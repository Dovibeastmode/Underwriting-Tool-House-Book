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" sheetId="2" state="visible" r:id="rId4"/>
    <sheet name="Decision Summary" sheetId="3" state="visible" r:id="rId5"/>
    <sheet name="Offer Engine" sheetId="4" state="visible" r:id="rId6"/>
    <sheet name="Historical Score" sheetId="5" state="visible" r:id="rId7"/>
    <sheet name="Comparable Deals" sheetId="6" state="visible" r:id="rId8"/>
    <sheet name="Historical Data" sheetId="7" state="visible" r:id="rId9"/>
    <sheet name="Controls" sheetId="8" state="visible" r:id="rId10"/>
    <sheet name="Checks" sheetId="9" state="visible" r:id="rId11"/>
    <sheet name="Ref" sheetId="10" state="visible" r:id="rId12"/>
  </sheets>
  <definedNames>
    <definedName function="false" hidden="false" localSheetId="1" name="_xlnm.Print_Area" vbProcedure="false">Deal!$B$1:$M$82</definedName>
    <definedName function="false" hidden="false" name="D26D33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<sst xmlns="http://schemas.openxmlformats.org/spreadsheetml/2006/main" count="10772" uniqueCount="3420">
  <si>
    <t xml:space="preserve">ASPIRE COMBINED UNDERWRITING MODEL  -  cash-flow engine + house-book evidence  (v1)</t>
  </si>
  <si>
    <t xml:space="preserve">HOW TO RUN A DEAL (everything happens on the Deal sheet)</t>
  </si>
  <si>
    <t xml:space="preserve">1. Section A: requested fund, factor, term, frequency (optional - the engine sizes an offer from bank data even if blank).</t>
  </si>
  <si>
    <t xml:space="preserve">2. Section B: up to 12 months of true revenue, average daily balance, negative days, NSFs - newest month first.</t>
  </si>
  <si>
    <t xml:space="preserve">3. Existing positions: funder, funded $, payment, frequency, start date. Monthly-frequency debt = leverage only, not a position.</t>
  </si>
  <si>
    <t xml:space="preserve">4. DEAL PROFILE (right of the bank data): ISO, industry (SIC major group), state, new deal or renewal, credit score. Position is automatic; override only if you know better.</t>
  </si>
  <si>
    <t xml:space="preserve">5. Read Section F at the bottom: final decision, fund, factor, term, payment, frequency, modifier, comparables, confidence, stipulations and the written conclusion.</t>
  </si>
  <si>
    <t xml:space="preserve">6. Decision Summary has the full 20-item output; Comparable Deals lists every house-book deal behind it by Contract ID; Historical Score shows all seven tiers and the credibility math.</t>
  </si>
  <si>
    <t xml:space="preserve">THE THREE LAYERS</t>
  </si>
  <si>
    <t xml:space="preserve">Layer 1 - Deal sheet sections A-E: the original cash-flow tool. Seven metrics plus credit score, green/yellow/red/knockout, score, cash-flow maximum daily payment (weakest of holdback, total leverage, daily-debt-to-balance green lines), term band, factor band, cash-flow max fund. Thresholds live on Controls.</t>
  </si>
  <si>
    <t xml:space="preserve">Layer 2 - Historical Data + Historical Score: 1,067 house-book deals, seasoned = age &gt;= 1.25 x contracted term at the as-of date. Seven matching tiers (new/renewal + industry + position ... down to the seasoned book). Primary cohort = first tier with &gt;= 10 seasoned deals and &gt;= $150k seasoned funded. Credibility Z = n/(n+30). Blended lost rate = Z x cohort + (1-Z) x book. Relative index = blended / book -&gt; modifier level (Controls table). Confidence High / Medium / Low; Low caps the modifier at one step from neutral.</t>
  </si>
  <si>
    <t xml:space="preserve">Layer 3 - Offer Engine + Decision Summary: adjusted fund = MIN(cash-flow max x multiplier, cash-flow max daily x adjusted term / adjusted factor). Term shortens by bands, factor rises by approved tiers, frequency may switch to weekly. All four offer-side metrics are recomputed and must stay off red. Decision = DECLINE / MANUAL REVIEW / CONDITIONAL / APPROVE.</t>
  </si>
  <si>
    <t xml:space="preserve">WHAT HISTORY CAN AND CANNOT DO</t>
  </si>
  <si>
    <t xml:space="preserve">Can: reduce funding, shorten term, raise factor within 1.40/1.45/1.49, require weekly, add stipulations, send to manual review, or allow the full cash-flow maximum when the evidence is strong and credible.</t>
  </si>
  <si>
    <t xml:space="preserve">Cannot: remove a knockout, push a green metric to red, exceed the cash-flow maximum, or make a precise adjustment on a tiny or unseasoned cohort (Low confidence caps it and adds a stip). Checks proves each of these on every deal.</t>
  </si>
  <si>
    <t xml:space="preserve">WHAT THE HOUSE BOOK ACTUALLY SUPPORTS (seasoned deals, after basic controls - see docs/01_Stage1_Audit_Findings.md)</t>
  </si>
  <si>
    <t xml:space="preserve">Robust: renewal vs new (odds of default x0.43), construction trades (x1.8), Westwood ISO (x0.3). Composition, not the variable: United Secured Capital 8, position 3 (mostly new + 1.49 + construction mix). Informational only: state, factor, term, deal size, weekly vs daily, advance/revenue, holdback. Leakage - never used: NSF count (post-funding).</t>
  </si>
  <si>
    <t xml:space="preserve">MAINTENANCE</t>
  </si>
  <si>
    <t xml:space="preserve">- Refresh: paste the CRM export into Historical Data columns A-X (values only, same column order), update the as-of date on Controls, check Checks.</t>
  </si>
  <si>
    <t xml:space="preserve">- Archiving a deal: copy the Deal sheet as before. Sections A-E stay self-contained; Section F points at the shared sheets and always shows the deal currently on the sheet named Deal - paste values before filing.</t>
  </si>
  <si>
    <t xml:space="preserve">- Never insert or delete rows on Controls; formulas reference fixed cells.</t>
  </si>
  <si>
    <t xml:space="preserve">- Score scaling: with a credit score entered the scorecard has 8 metrics; the score is scaled to the 7-point bands (score x 7 / metrics scored) so the pricing bands and tier names keep their meaning. APPROVE still requires every scored metric green.</t>
  </si>
  <si>
    <t xml:space="preserve">CONVERSIONS: money with 5 and 21.655 (weekly / 5 = daily; monthly / 21.655 = daily); time with 4.331 (weeks / 4.331 = months). MoneyBadger uses 4 and 21.</t>
  </si>
  <si>
    <t xml:space="preserve"> UNDERWRITING TOOL</t>
  </si>
  <si>
    <t xml:space="preserve">DECISION</t>
  </si>
  <si>
    <t xml:space="preserve">A.  OFFER</t>
  </si>
  <si>
    <t xml:space="preserve">MONEYBADGER CROSS-CHECK</t>
  </si>
  <si>
    <t xml:space="preserve">Fund $</t>
  </si>
  <si>
    <t xml:space="preserve">Factor</t>
  </si>
  <si>
    <t xml:space="preserve">Freq</t>
  </si>
  <si>
    <t xml:space="preserve">Fee %</t>
  </si>
  <si>
    <t xml:space="preserve">Metric</t>
  </si>
  <si>
    <t xml:space="preserve">This tool</t>
  </si>
  <si>
    <t xml:space="preserve">MoneyBadger</t>
  </si>
  <si>
    <t xml:space="preserve">Diff</t>
  </si>
  <si>
    <t xml:space="preserve">Weekly</t>
  </si>
  <si>
    <t xml:space="preserve">Payback</t>
  </si>
  <si>
    <t xml:space="preserve">Daily $</t>
  </si>
  <si>
    <t xml:space="preserve">Weekly $</t>
  </si>
  <si>
    <t xml:space="preserve">Monthly $</t>
  </si>
  <si>
    <t xml:space="preserve">Term (mo)</t>
  </si>
  <si>
    <t xml:space="preserve">Net $</t>
  </si>
  <si>
    <t xml:space="preserve">Holdback %</t>
  </si>
  <si>
    <t xml:space="preserve">Weeks / month</t>
  </si>
  <si>
    <t xml:space="preserve">Days / month</t>
  </si>
  <si>
    <t xml:space="preserve">B.  BANK DATA  (up to 12 months)</t>
  </si>
  <si>
    <t xml:space="preserve">Month - NEWEST FIRST</t>
  </si>
  <si>
    <t xml:space="preserve">True rev $</t>
  </si>
  <si>
    <t xml:space="preserve">Avg daily bal $</t>
  </si>
  <si>
    <t xml:space="preserve">Neg days</t>
  </si>
  <si>
    <t xml:space="preserve">NSFs</t>
  </si>
  <si>
    <t xml:space="preserve">MoM %</t>
  </si>
  <si>
    <t xml:space="preserve">DEAL PROFILE  (house-book match inputs)</t>
  </si>
  <si>
    <t xml:space="preserve">Jul</t>
  </si>
  <si>
    <t xml:space="preserve">ISO</t>
  </si>
  <si>
    <t xml:space="preserve">United Secured Capital 8</t>
  </si>
  <si>
    <t xml:space="preserve">Jun</t>
  </si>
  <si>
    <t xml:space="preserve">Industry (SIC major group)</t>
  </si>
  <si>
    <t xml:space="preserve">General Building Contractors</t>
  </si>
  <si>
    <t xml:space="preserve">May</t>
  </si>
  <si>
    <t xml:space="preserve">State</t>
  </si>
  <si>
    <t xml:space="preserve">TX</t>
  </si>
  <si>
    <t xml:space="preserve">Apr</t>
  </si>
  <si>
    <t xml:space="preserve">New deal or renewal</t>
  </si>
  <si>
    <t xml:space="preserve">New Deal</t>
  </si>
  <si>
    <t xml:space="preserve">Credit score (FICO)</t>
  </si>
  <si>
    <t xml:space="preserve">Proposed position (auto)</t>
  </si>
  <si>
    <t xml:space="preserve">auto: positions incl. new</t>
  </si>
  <si>
    <t xml:space="preserve">Position override (optional)</t>
  </si>
  <si>
    <t xml:space="preserve">AVG / TOTAL (months entered)</t>
  </si>
  <si>
    <t xml:space="preserve">EXISTING POSITIONS   (freq Monthly = leverage only, NOT a position)</t>
  </si>
  <si>
    <t xml:space="preserve">Funder</t>
  </si>
  <si>
    <t xml:space="preserve">Funded $</t>
  </si>
  <si>
    <t xml:space="preserve">Payment</t>
  </si>
  <si>
    <t xml:space="preserve">Daily equiv</t>
  </si>
  <si>
    <t xml:space="preserve">Start Date</t>
  </si>
  <si>
    <t xml:space="preserve">Est Term</t>
  </si>
  <si>
    <t xml:space="preserve">Est term (mo)</t>
  </si>
  <si>
    <t xml:space="preserve">Mo. remaining</t>
  </si>
  <si>
    <t xml:space="preserve">Fox Funding</t>
  </si>
  <si>
    <t xml:space="preserve">Positions (excl. Monthly)</t>
  </si>
  <si>
    <t xml:space="preserve">Total existing daily</t>
  </si>
  <si>
    <t xml:space="preserve">/month</t>
  </si>
  <si>
    <t xml:space="preserve">C.  METRICS</t>
  </si>
  <si>
    <t xml:space="preserve">Value</t>
  </si>
  <si>
    <t xml:space="preserve">Green</t>
  </si>
  <si>
    <t xml:space="preserve">Red</t>
  </si>
  <si>
    <t xml:space="preserve">Status</t>
  </si>
  <si>
    <t xml:space="preserve">Knockout</t>
  </si>
  <si>
    <t xml:space="preserve">Total LVG (all debt / rev)</t>
  </si>
  <si>
    <t xml:space="preserve">New holdback SP%</t>
  </si>
  <si>
    <t xml:space="preserve">Daily debt / balance</t>
  </si>
  <si>
    <t xml:space="preserve">Fund / revenue</t>
  </si>
  <si>
    <t xml:space="preserve"># positions (incl. new)</t>
  </si>
  <si>
    <t xml:space="preserve">Revenue trend (avg MoM)</t>
  </si>
  <si>
    <t xml:space="preserve">Neg days + NSFs (total)</t>
  </si>
  <si>
    <t xml:space="preserve">Existing leverage (before new)</t>
  </si>
  <si>
    <t xml:space="preserve">-</t>
  </si>
  <si>
    <t xml:space="preserve">INFO</t>
  </si>
  <si>
    <t xml:space="preserve">Balance / revenue</t>
  </si>
  <si>
    <t xml:space="preserve">D.  DECISION  (cash-flow layer, on the requested offer)</t>
  </si>
  <si>
    <t xml:space="preserve">Red flags</t>
  </si>
  <si>
    <t xml:space="preserve">Knockouts</t>
  </si>
  <si>
    <t xml:space="preserve">Decline if red flags &gt;=  (Controls)</t>
  </si>
  <si>
    <t xml:space="preserve">Minimum fund $</t>
  </si>
  <si>
    <t xml:space="preserve">E.  DEAL QUALITY  &amp;  CASH-FLOW MAXIMUM OFFER  (bank data alone)</t>
  </si>
  <si>
    <t xml:space="preserve">Score (G=1, Y=0.5, R=0)</t>
  </si>
  <si>
    <t xml:space="preserve">scored metrics</t>
  </si>
  <si>
    <t xml:space="preserve">Tier  (score scaled to 7 for the bands)</t>
  </si>
  <si>
    <t xml:space="preserve">Max daily by SP% green</t>
  </si>
  <si>
    <t xml:space="preserve">scaled score /7</t>
  </si>
  <si>
    <t xml:space="preserve">Max daily by Total LVG green</t>
  </si>
  <si>
    <t xml:space="preserve">Max daily by Daily/Balance green</t>
  </si>
  <si>
    <t xml:space="preserve">CASH-FLOW MAX DAILY  (weakest link)</t>
  </si>
  <si>
    <t xml:space="preserve">Weekly / monthly equivalent</t>
  </si>
  <si>
    <t xml:space="preserve">Term (daily pmts) / factor from bands</t>
  </si>
  <si>
    <t xml:space="preserve">CASH-FLOW MAX FUND</t>
  </si>
  <si>
    <t xml:space="preserve">F.  FINAL OFFER  =  cash-flow maximum  x  house-book evidence   (full detail on Decision Summary)</t>
  </si>
  <si>
    <t xml:space="preserve">Item</t>
  </si>
  <si>
    <t xml:space="preserve">Detail</t>
  </si>
  <si>
    <t xml:space="preserve">FINAL DECISION</t>
  </si>
  <si>
    <t xml:space="preserve">Recommended fund</t>
  </si>
  <si>
    <t xml:space="preserve">Term</t>
  </si>
  <si>
    <t xml:space="preserve">Frequency</t>
  </si>
  <si>
    <t xml:space="preserve">Holdback % at final offer</t>
  </si>
  <si>
    <t xml:space="preserve">Historical modifier</t>
  </si>
  <si>
    <t xml:space="preserve">Comparable deals (seasoned / all)</t>
  </si>
  <si>
    <t xml:space="preserve">Cohort principal lost rate</t>
  </si>
  <si>
    <t xml:space="preserve">Confidence</t>
  </si>
  <si>
    <t xml:space="preserve">Stipulations</t>
  </si>
  <si>
    <t xml:space="preserve">Underwriter's conclusion</t>
  </si>
  <si>
    <t xml:space="preserve">Layer 1 (sections A-E) is the safety ceiling. Section F never exceeds C63, never removes a knockout and never turns a green metric red - see Checks. Thresholds live on Controls.</t>
  </si>
  <si>
    <t xml:space="preserve">DECISION SUMMARY</t>
  </si>
  <si>
    <t xml:space="preserve">Everything an underwriter needs to sign or override. Cash flow sets the ceiling (Layer 1); house-book evidence sets how much of it to use (Layers 2-3).</t>
  </si>
  <si>
    <t xml:space="preserve">Recommended funding amount</t>
  </si>
  <si>
    <t xml:space="preserve">Recommended factor rate</t>
  </si>
  <si>
    <t xml:space="preserve">Recommended term</t>
  </si>
  <si>
    <t xml:space="preserve">Daily or weekly</t>
  </si>
  <si>
    <t xml:space="preserve">Total leverage (all debt / revenue)</t>
  </si>
  <si>
    <t xml:space="preserve">Funding-to-revenue</t>
  </si>
  <si>
    <t xml:space="preserve">Daily debt-to-balance</t>
  </si>
  <si>
    <t xml:space="preserve">Number of positions (incl. new)</t>
  </si>
  <si>
    <t xml:space="preserve">Historical risk modifier</t>
  </si>
  <si>
    <t xml:space="preserve">Cash-flow risk score</t>
  </si>
  <si>
    <t xml:space="preserve">Overall confidence in the historical evidence</t>
  </si>
  <si>
    <t xml:space="preserve">Number of comparable deals (seasoned / all matches)</t>
  </si>
  <si>
    <t xml:space="preserve">Percentage of comparable deals seasoned</t>
  </si>
  <si>
    <t xml:space="preserve">Comparable-cohort principal lost rate</t>
  </si>
  <si>
    <t xml:space="preserve">Comparable-cohort return on funded capital</t>
  </si>
  <si>
    <t xml:space="preserve">Largest historical impact</t>
  </si>
  <si>
    <t xml:space="preserve">Metric that limited the offer</t>
  </si>
  <si>
    <t xml:space="preserve">ISO / industry / state / position evidence</t>
  </si>
  <si>
    <t xml:space="preserve">Required stipulations</t>
  </si>
  <si>
    <t xml:space="preserve">Standard stipulations</t>
  </si>
  <si>
    <t xml:space="preserve">Manual-review triggers fired</t>
  </si>
  <si>
    <t xml:space="preserve">Main risks / positive factors</t>
  </si>
  <si>
    <t xml:space="preserve">Risk-based conditional stips (drive CONDITIONAL)</t>
  </si>
  <si>
    <t xml:space="preserve">OFFER ENGINE  -  base cash-flow offer, historical adjustment, adjusted offer</t>
  </si>
  <si>
    <t xml:space="preserve">Adjusted fund = MIN(base fund x multiplier, cash-flow max daily x adjusted term / adjusted factor). The second term keeps the daily payment at or below the cash-flow maximum even when the term is shortened.</t>
  </si>
  <si>
    <t xml:space="preserve">Base (cash flow only)</t>
  </si>
  <si>
    <t xml:space="preserve">Adjusted (with history)</t>
  </si>
  <si>
    <t xml:space="preserve">How</t>
  </si>
  <si>
    <t xml:space="preserve">Cash-flow max daily payment</t>
  </si>
  <si>
    <t xml:space="preserve">Deal C60 - weakest of holdback / total LVG / daily-debt-to-balance green lines</t>
  </si>
  <si>
    <t xml:space="preserve">Term (daily payments)</t>
  </si>
  <si>
    <t xml:space="preserve">Base band term; step moves down the Controls band table</t>
  </si>
  <si>
    <t xml:space="preserve">Next approved tier, never above 1.49</t>
  </si>
  <si>
    <t xml:space="preserve">Never above the base fund</t>
  </si>
  <si>
    <t xml:space="preserve">Daily payment</t>
  </si>
  <si>
    <t xml:space="preserve">fund x factor / term</t>
  </si>
  <si>
    <t xml:space="preserve">Historical modifier level (after confidence cap)</t>
  </si>
  <si>
    <t xml:space="preserve">1 strong positive .. 3 neutral .. 6 severe</t>
  </si>
  <si>
    <t xml:space="preserve">Fund multiplier</t>
  </si>
  <si>
    <t xml:space="preserve">Controls modifier table</t>
  </si>
  <si>
    <t xml:space="preserve">Term step (bands)</t>
  </si>
  <si>
    <t xml:space="preserve">Factor step (tiers)</t>
  </si>
  <si>
    <t xml:space="preserve">Frequency rule</t>
  </si>
  <si>
    <t xml:space="preserve">Manual review flag from modifier</t>
  </si>
  <si>
    <t xml:space="preserve">Frequency (final)</t>
  </si>
  <si>
    <t xml:space="preserve">Proposed frequency unless the modifier requires weekly</t>
  </si>
  <si>
    <t xml:space="preserve">Term in final units (weeks or daily pmts)</t>
  </si>
  <si>
    <t xml:space="preserve">Payment in final units</t>
  </si>
  <si>
    <t xml:space="preserve">Monthly payment</t>
  </si>
  <si>
    <t xml:space="preserve">Net disbursed (after fee)</t>
  </si>
  <si>
    <t xml:space="preserve">Term (months)</t>
  </si>
  <si>
    <t xml:space="preserve">METRICS RE-CHECKED AT EACH OFFER  (must stay off RED / KNOCKOUT)</t>
  </si>
  <si>
    <t xml:space="preserve">Base offer</t>
  </si>
  <si>
    <t xml:space="preserve">Adjusted offer</t>
  </si>
  <si>
    <t xml:space="preserve">Status (adjusted)</t>
  </si>
  <si>
    <t xml:space="preserve">Green / Red / Knockout</t>
  </si>
  <si>
    <t xml:space="preserve">merchant-side metric - unchanged by the offer</t>
  </si>
  <si>
    <t xml:space="preserve">SAFETY PROOF</t>
  </si>
  <si>
    <t xml:space="preserve">Adjusted fund &lt;= cash-flow max fund</t>
  </si>
  <si>
    <t xml:space="preserve">Adjusted daily payment &lt;= cash-flow max daily</t>
  </si>
  <si>
    <t xml:space="preserve">No offer-side metric RED or KNOCKOUT at adjusted offer</t>
  </si>
  <si>
    <t xml:space="preserve">Merchant knockouts untouched (history cannot remove them)</t>
  </si>
  <si>
    <t xml:space="preserve">Red flags at adjusted offer (offer-side + merchant-side)</t>
  </si>
  <si>
    <t xml:space="preserve">HISTORICAL SCORE  -  comparable cohorts, credibility and the risk modifier</t>
  </si>
  <si>
    <t xml:space="preserve">Rates use SEASONED deals only (age &gt;= seasoning multiple x contracted term, as of the Controls date). Unseasoned deals are counted, never rated. Blended lost rate = Z x cohort + (1-Z) x seasoned book, Z = n/(n+K).</t>
  </si>
  <si>
    <t xml:space="preserve">DEAL BEING MATCHED  (from the Deal sheet)</t>
  </si>
  <si>
    <t xml:space="preserve">Proposed position (effective)</t>
  </si>
  <si>
    <t xml:space="preserve">Industry</t>
  </si>
  <si>
    <t xml:space="preserve">Seasoned-book principal lost rate (baseline)</t>
  </si>
  <si>
    <t xml:space="preserve">Seasoned-book deals / funded</t>
  </si>
  <si>
    <t xml:space="preserve">Tier</t>
  </si>
  <si>
    <t xml:space="preserve">Cohort</t>
  </si>
  <si>
    <t xml:space="preserve">Keys</t>
  </si>
  <si>
    <t xml:space="preserve">Deals (all)</t>
  </si>
  <si>
    <t xml:space="preserve">Seasoned</t>
  </si>
  <si>
    <t xml:space="preserve">% seasoned</t>
  </si>
  <si>
    <t xml:space="preserve">Funded $ (seasoned)</t>
  </si>
  <si>
    <t xml:space="preserve">Open n</t>
  </si>
  <si>
    <t xml:space="preserve">Open %</t>
  </si>
  <si>
    <t xml:space="preserve">Default n</t>
  </si>
  <si>
    <t xml:space="preserve">Default %</t>
  </si>
  <si>
    <t xml:space="preserve">Principal lost rate</t>
  </si>
  <si>
    <t xml:space="preserve">Collected on defaults</t>
  </si>
  <si>
    <t xml:space="preserve">Return on funded</t>
  </si>
  <si>
    <t xml:space="preserve">Avg adv/rev</t>
  </si>
  <si>
    <t xml:space="preserve">Avg term (bd)</t>
  </si>
  <si>
    <t xml:space="preserve">Avg factor</t>
  </si>
  <si>
    <t xml:space="preserve">Avg deal size</t>
  </si>
  <si>
    <t xml:space="preserve">Avg days on book</t>
  </si>
  <si>
    <t xml:space="preserve">Renewal share</t>
  </si>
  <si>
    <t xml:space="preserve">Seasoned enough?</t>
  </si>
  <si>
    <t xml:space="preserve">Credibility Z</t>
  </si>
  <si>
    <t xml:space="preserve">Blended lost rate</t>
  </si>
  <si>
    <t xml:space="preserve">Relative index</t>
  </si>
  <si>
    <t xml:space="preserve">Meets min</t>
  </si>
  <si>
    <t xml:space="preserve">Impact vs book</t>
  </si>
  <si>
    <t xml:space="preserve">Lost rate shown?</t>
  </si>
  <si>
    <t xml:space="preserve">T1: new/renewal + industry + position</t>
  </si>
  <si>
    <t xml:space="preserve">NR + industry + position</t>
  </si>
  <si>
    <t xml:space="preserve">T2: new/renewal + ISO + position</t>
  </si>
  <si>
    <t xml:space="preserve">NR + ISO + position</t>
  </si>
  <si>
    <t xml:space="preserve">T3: new/renewal + industry</t>
  </si>
  <si>
    <t xml:space="preserve">NR + industry</t>
  </si>
  <si>
    <t xml:space="preserve">T4: new/renewal + ISO</t>
  </si>
  <si>
    <t xml:space="preserve">NR + ISO</t>
  </si>
  <si>
    <t xml:space="preserve">T5: new/renewal + position</t>
  </si>
  <si>
    <t xml:space="preserve">NR + position</t>
  </si>
  <si>
    <t xml:space="preserve">T6: new/renewal only</t>
  </si>
  <si>
    <t xml:space="preserve">NR</t>
  </si>
  <si>
    <t xml:space="preserve">T7: seasoned book (baseline)</t>
  </si>
  <si>
    <t xml:space="preserve">all seasoned deals in window</t>
  </si>
  <si>
    <t xml:space="preserve">SINGLE-DIMENSION EVIDENCE (informational + largest-impact test)</t>
  </si>
  <si>
    <t xml:space="preserve">S1</t>
  </si>
  <si>
    <t xml:space="preserve">Position only</t>
  </si>
  <si>
    <t xml:space="preserve">S2</t>
  </si>
  <si>
    <t xml:space="preserve">New/renewal only</t>
  </si>
  <si>
    <t xml:space="preserve">S3</t>
  </si>
  <si>
    <t xml:space="preserve">Industry only</t>
  </si>
  <si>
    <t xml:space="preserve">S4</t>
  </si>
  <si>
    <t xml:space="preserve">ISO only</t>
  </si>
  <si>
    <t xml:space="preserve">S5</t>
  </si>
  <si>
    <t xml:space="preserve">State only (INFORMATIONAL - never in hierarchy)</t>
  </si>
  <si>
    <t xml:space="preserve">State only</t>
  </si>
  <si>
    <t xml:space="preserve">RESULT</t>
  </si>
  <si>
    <t xml:space="preserve">Primary tier (first tier meeting the minimums)</t>
  </si>
  <si>
    <t xml:space="preserve">Primary cohort</t>
  </si>
  <si>
    <t xml:space="preserve">Seasoned deals in primary cohort / all matches</t>
  </si>
  <si>
    <t xml:space="preserve">% of comparable deals seasoned</t>
  </si>
  <si>
    <t xml:space="preserve">Cohort principal lost rate (seasoned)</t>
  </si>
  <si>
    <t xml:space="preserve">Cohort open share</t>
  </si>
  <si>
    <t xml:space="preserve">Cohort return on funded capital</t>
  </si>
  <si>
    <t xml:space="preserve">Cohort collected on defaults</t>
  </si>
  <si>
    <t xml:space="preserve">Relative index (blended / book)</t>
  </si>
  <si>
    <t xml:space="preserve">Modifier level from index (1 strong positive .. 6 severe)</t>
  </si>
  <si>
    <t xml:space="preserve">Modifier level after confidence cap</t>
  </si>
  <si>
    <t xml:space="preserve">Modifier level name</t>
  </si>
  <si>
    <t xml:space="preserve">Largest-impact variable (position / NR / industry / ISO)</t>
  </si>
  <si>
    <t xml:space="preserve">   its blended lost rate vs book</t>
  </si>
  <si>
    <t xml:space="preserve">ISO evidence</t>
  </si>
  <si>
    <t xml:space="preserve">Industry evidence</t>
  </si>
  <si>
    <t xml:space="preserve">State evidence (informational only)</t>
  </si>
  <si>
    <t xml:space="preserve">Position evidence</t>
  </si>
  <si>
    <t xml:space="preserve">Conflicting signals? (ISO and industry on opposite sides of neutral)</t>
  </si>
  <si>
    <t xml:space="preserve">Warnings</t>
  </si>
  <si>
    <t xml:space="preserve">COMPARABLE DEALS  -  every house-book deal in the primary cohort (seasoned and unseasoned), inspect by Contract ID</t>
  </si>
  <si>
    <t xml:space="preserve">Similarity tier 1 = closest (matches NR + industry + position). Deals shown with Seasoned = 0 are counted but excluded from every rate.</t>
  </si>
  <si>
    <t xml:space="preserve">#</t>
  </si>
  <si>
    <t xml:space="preserve">Contract ID</t>
  </si>
  <si>
    <t xml:space="preserve">DBA</t>
  </si>
  <si>
    <t xml:space="preserve">Funded</t>
  </si>
  <si>
    <t xml:space="preserve">Position</t>
  </si>
  <si>
    <t xml:space="preserve">New/renewal</t>
  </si>
  <si>
    <t xml:space="preserve">Advance</t>
  </si>
  <si>
    <t xml:space="preserve">Collected</t>
  </si>
  <si>
    <t xml:space="preserve">% paid</t>
  </si>
  <si>
    <t xml:space="preserve">Net cash</t>
  </si>
  <si>
    <t xml:space="preserve">Principal lost</t>
  </si>
  <si>
    <t xml:space="preserve">Term (bd)</t>
  </si>
  <si>
    <t xml:space="preserve">Age (bd)</t>
  </si>
  <si>
    <t xml:space="preserve">Days on book</t>
  </si>
  <si>
    <t xml:space="preserve">Default</t>
  </si>
  <si>
    <t xml:space="preserve">Open</t>
  </si>
  <si>
    <t xml:space="preserve">Similarity tier</t>
  </si>
  <si>
    <t xml:space="preserve">Why included</t>
  </si>
  <si>
    <t xml:space="preserve">Legal name</t>
  </si>
  <si>
    <t xml:space="preserve">Start date</t>
  </si>
  <si>
    <t xml:space="preserve">Last active</t>
  </si>
  <si>
    <t xml:space="preserve">SIC</t>
  </si>
  <si>
    <t xml:space="preserve">SIC2</t>
  </si>
  <si>
    <t xml:space="preserve">New or renewal</t>
  </si>
  <si>
    <t xml:space="preserve">Commission</t>
  </si>
  <si>
    <t xml:space="preserve">Balance</t>
  </si>
  <si>
    <t xml:space="preserve">Exp dur (raw)</t>
  </si>
  <si>
    <t xml:space="preserve">NSF count</t>
  </si>
  <si>
    <t xml:space="preserve">Avg rev/mo</t>
  </si>
  <si>
    <t xml:space="preserve">Biz start</t>
  </si>
  <si>
    <t xml:space="preserve">Pay frequency</t>
  </si>
  <si>
    <t xml:space="preserve">Term (bus. days)</t>
  </si>
  <si>
    <t xml:space="preserve">Age at as-of (bus. days)</t>
  </si>
  <si>
    <t xml:space="preserve">In window</t>
  </si>
  <si>
    <t xml:space="preserve">Resolved</t>
  </si>
  <si>
    <t xml:space="preserve">Closed family</t>
  </si>
  <si>
    <t xml:space="preserve">Status valid</t>
  </si>
  <si>
    <t xml:space="preserve">Adv / revenue</t>
  </si>
  <si>
    <t xml:space="preserve">Has revenue</t>
  </si>
  <si>
    <t xml:space="preserve">Days on book (bus.)</t>
  </si>
  <si>
    <t xml:space="preserve">Renewal</t>
  </si>
  <si>
    <t xml:space="preserve">Eligible (seasoned &amp; in window)</t>
  </si>
  <si>
    <t xml:space="preserve">m: position</t>
  </si>
  <si>
    <t xml:space="preserve">m: new/renewal</t>
  </si>
  <si>
    <t xml:space="preserve">m: industry</t>
  </si>
  <si>
    <t xml:space="preserve">m: ISO</t>
  </si>
  <si>
    <t xml:space="preserve">m: state</t>
  </si>
  <si>
    <t xml:space="preserve">T1 NR+Ind+Pos</t>
  </si>
  <si>
    <t xml:space="preserve">T2 NR+ISO+Pos</t>
  </si>
  <si>
    <t xml:space="preserve">T3 NR+Ind</t>
  </si>
  <si>
    <t xml:space="preserve">T4 NR+ISO</t>
  </si>
  <si>
    <t xml:space="preserve">T5 NR+Pos</t>
  </si>
  <si>
    <t xml:space="preserve">T6 NR</t>
  </si>
  <si>
    <t xml:space="preserve">T7 Book</t>
  </si>
  <si>
    <t xml:space="preserve">Best tier</t>
  </si>
  <si>
    <t xml:space="preserve">In primary cohort</t>
  </si>
  <si>
    <t xml:space="preserve">Seq</t>
  </si>
  <si>
    <t xml:space="preserve">5674142980</t>
  </si>
  <si>
    <t xml:space="preserve">The rustic charm bar and grill</t>
  </si>
  <si>
    <t xml:space="preserve">The rustic charm LLC</t>
  </si>
  <si>
    <t xml:space="preserve">Legal</t>
  </si>
  <si>
    <t xml:space="preserve">5813</t>
  </si>
  <si>
    <t xml:space="preserve">58</t>
  </si>
  <si>
    <t xml:space="preserve">CO</t>
  </si>
  <si>
    <t xml:space="preserve">GREYSTONE</t>
  </si>
  <si>
    <t xml:space="preserve">5674143732</t>
  </si>
  <si>
    <t xml:space="preserve">GUADALUPE CASTANEDA</t>
  </si>
  <si>
    <t xml:space="preserve">Written-Off</t>
  </si>
  <si>
    <t xml:space="preserve">1442</t>
  </si>
  <si>
    <t xml:space="preserve">14</t>
  </si>
  <si>
    <t xml:space="preserve">CA</t>
  </si>
  <si>
    <t xml:space="preserve">BFA 3</t>
  </si>
  <si>
    <t xml:space="preserve">5674144092</t>
  </si>
  <si>
    <t xml:space="preserve">DALE JOHNSON SOLE MBR</t>
  </si>
  <si>
    <t xml:space="preserve">LEVEL 4 TRANSPORT LLC</t>
  </si>
  <si>
    <t xml:space="preserve">4213</t>
  </si>
  <si>
    <t xml:space="preserve">42</t>
  </si>
  <si>
    <t xml:space="preserve">Liberty Bell Capital</t>
  </si>
  <si>
    <t xml:space="preserve">5674144406</t>
  </si>
  <si>
    <t xml:space="preserve">Lupotec</t>
  </si>
  <si>
    <t xml:space="preserve">LUPOTEC INC</t>
  </si>
  <si>
    <t xml:space="preserve">2821</t>
  </si>
  <si>
    <t xml:space="preserve">28</t>
  </si>
  <si>
    <t xml:space="preserve">Fidelity Funding</t>
  </si>
  <si>
    <t xml:space="preserve">5674144409</t>
  </si>
  <si>
    <t xml:space="preserve">AWK ENGINEERING &amp; TRADING LLC</t>
  </si>
  <si>
    <t xml:space="preserve">8711</t>
  </si>
  <si>
    <t xml:space="preserve">87</t>
  </si>
  <si>
    <t xml:space="preserve">J Capital Solutions</t>
  </si>
  <si>
    <t xml:space="preserve">5674145076</t>
  </si>
  <si>
    <t xml:space="preserve">GLOBAL RESEARCH CONSULTANTS, LLC</t>
  </si>
  <si>
    <t xml:space="preserve">Closed</t>
  </si>
  <si>
    <t xml:space="preserve">8748</t>
  </si>
  <si>
    <t xml:space="preserve">GA</t>
  </si>
  <si>
    <t xml:space="preserve">Secure Capital Solutions 7</t>
  </si>
  <si>
    <t xml:space="preserve">5674146645</t>
  </si>
  <si>
    <t xml:space="preserve">ELIZABETH CONVENIENT STORE &amp; HAIR BRAIDING</t>
  </si>
  <si>
    <t xml:space="preserve">ELIZABETH CONVENIENT STORE &amp; HAIR BRAIDING LLC</t>
  </si>
  <si>
    <t xml:space="preserve">5411</t>
  </si>
  <si>
    <t xml:space="preserve">54</t>
  </si>
  <si>
    <t xml:space="preserve">AZ</t>
  </si>
  <si>
    <t xml:space="preserve">ELITE FUNDING PARTNERS LLC 6</t>
  </si>
  <si>
    <t xml:space="preserve">5674147185</t>
  </si>
  <si>
    <t xml:space="preserve">Arete Gallery Inc</t>
  </si>
  <si>
    <t xml:space="preserve">8412</t>
  </si>
  <si>
    <t xml:space="preserve">84</t>
  </si>
  <si>
    <t xml:space="preserve">PA</t>
  </si>
  <si>
    <t xml:space="preserve">Pathway Catalyst</t>
  </si>
  <si>
    <t xml:space="preserve">5674147188</t>
  </si>
  <si>
    <t xml:space="preserve">S&amp;E ENTERPRISE</t>
  </si>
  <si>
    <t xml:space="preserve">S&amp;E ENTERPRISE LLC</t>
  </si>
  <si>
    <t xml:space="preserve">6531</t>
  </si>
  <si>
    <t xml:space="preserve">65</t>
  </si>
  <si>
    <t xml:space="preserve">RI</t>
  </si>
  <si>
    <t xml:space="preserve">Triumph Cap Fund</t>
  </si>
  <si>
    <t xml:space="preserve">5674147393</t>
  </si>
  <si>
    <t xml:space="preserve">Beeson Farms &amp; Hauling LLC</t>
  </si>
  <si>
    <t xml:space="preserve">0191</t>
  </si>
  <si>
    <t xml:space="preserve">01</t>
  </si>
  <si>
    <t xml:space="preserve">NC</t>
  </si>
  <si>
    <t xml:space="preserve">Key Capital Funding</t>
  </si>
  <si>
    <t xml:space="preserve">5674147441</t>
  </si>
  <si>
    <t xml:space="preserve">SJ HOSPICE SERVICES</t>
  </si>
  <si>
    <t xml:space="preserve">SJ HOSPICE SERVICES LLC</t>
  </si>
  <si>
    <t xml:space="preserve">8082</t>
  </si>
  <si>
    <t xml:space="preserve">80</t>
  </si>
  <si>
    <t xml:space="preserve">ICB FUNDING</t>
  </si>
  <si>
    <t xml:space="preserve">5674147491</t>
  </si>
  <si>
    <t xml:space="preserve">ROPP JERSEY CHEESE LLC</t>
  </si>
  <si>
    <t xml:space="preserve">5812</t>
  </si>
  <si>
    <t xml:space="preserve">IL</t>
  </si>
  <si>
    <t xml:space="preserve">ROYAL FUNDING GROUP</t>
  </si>
  <si>
    <t xml:space="preserve">5674147495</t>
  </si>
  <si>
    <t xml:space="preserve">ISHI MEDICAL EQUIPMENT &amp; SUPPLIES INC Calle Primera</t>
  </si>
  <si>
    <t xml:space="preserve">5047</t>
  </si>
  <si>
    <t xml:space="preserve">50</t>
  </si>
  <si>
    <t xml:space="preserve">5674147827</t>
  </si>
  <si>
    <t xml:space="preserve">Delta Security Services LLC</t>
  </si>
  <si>
    <t xml:space="preserve">7382</t>
  </si>
  <si>
    <t xml:space="preserve">73</t>
  </si>
  <si>
    <t xml:space="preserve">WA</t>
  </si>
  <si>
    <t xml:space="preserve">First Path Capital</t>
  </si>
  <si>
    <t xml:space="preserve">5674148218</t>
  </si>
  <si>
    <t xml:space="preserve">LTV EVENTS LLC</t>
  </si>
  <si>
    <t xml:space="preserve">7299</t>
  </si>
  <si>
    <t xml:space="preserve">72</t>
  </si>
  <si>
    <t xml:space="preserve">Redline Capital</t>
  </si>
  <si>
    <t xml:space="preserve">5674148220</t>
  </si>
  <si>
    <t xml:space="preserve">The Tailors</t>
  </si>
  <si>
    <t xml:space="preserve">Jojo's Sewing Co. LLC</t>
  </si>
  <si>
    <t xml:space="preserve">5699</t>
  </si>
  <si>
    <t xml:space="preserve">56</t>
  </si>
  <si>
    <t xml:space="preserve">MI</t>
  </si>
  <si>
    <t xml:space="preserve">Platform Funding</t>
  </si>
  <si>
    <t xml:space="preserve">5674149050</t>
  </si>
  <si>
    <t xml:space="preserve">Bright Future Academy</t>
  </si>
  <si>
    <t xml:space="preserve">8351</t>
  </si>
  <si>
    <t xml:space="preserve">83</t>
  </si>
  <si>
    <t xml:space="preserve">MN</t>
  </si>
  <si>
    <t xml:space="preserve">5674149117</t>
  </si>
  <si>
    <t xml:space="preserve">PRADO SALES</t>
  </si>
  <si>
    <t xml:space="preserve">P &amp; F Family Construction</t>
  </si>
  <si>
    <t xml:space="preserve">1521</t>
  </si>
  <si>
    <t xml:space="preserve">15</t>
  </si>
  <si>
    <t xml:space="preserve">Merchant ReFi</t>
  </si>
  <si>
    <t xml:space="preserve">5674149282</t>
  </si>
  <si>
    <t xml:space="preserve">The Garrison</t>
  </si>
  <si>
    <t xml:space="preserve">Garrison Restaurant &amp; cocktail lounge llc</t>
  </si>
  <si>
    <t xml:space="preserve">5674149485</t>
  </si>
  <si>
    <t xml:space="preserve">Cloud IX salon</t>
  </si>
  <si>
    <t xml:space="preserve">IX llc</t>
  </si>
  <si>
    <t xml:space="preserve">7231</t>
  </si>
  <si>
    <t xml:space="preserve">FL</t>
  </si>
  <si>
    <t xml:space="preserve">5674149599</t>
  </si>
  <si>
    <t xml:space="preserve">Robola Pizzeria</t>
  </si>
  <si>
    <t xml:space="preserve">AMC Fair Dealing</t>
  </si>
  <si>
    <t xml:space="preserve">Splash</t>
  </si>
  <si>
    <t xml:space="preserve">5674150031</t>
  </si>
  <si>
    <t xml:space="preserve">PLLC NA</t>
  </si>
  <si>
    <t xml:space="preserve">Living Tree New Braunfels</t>
  </si>
  <si>
    <t xml:space="preserve">8322</t>
  </si>
  <si>
    <t xml:space="preserve">5674150191</t>
  </si>
  <si>
    <t xml:space="preserve">Miranda shine corp</t>
  </si>
  <si>
    <t xml:space="preserve">7349</t>
  </si>
  <si>
    <t xml:space="preserve">MA</t>
  </si>
  <si>
    <t xml:space="preserve">Tip Top Capital</t>
  </si>
  <si>
    <t xml:space="preserve">5674150528</t>
  </si>
  <si>
    <t xml:space="preserve">Concrete Design Solutions</t>
  </si>
  <si>
    <t xml:space="preserve">1611</t>
  </si>
  <si>
    <t xml:space="preserve">16</t>
  </si>
  <si>
    <t xml:space="preserve">LA</t>
  </si>
  <si>
    <t xml:space="preserve">5674150533</t>
  </si>
  <si>
    <t xml:space="preserve">SIMPLY BEDLINERS &amp; MINOR AUTO BODY REPAIR</t>
  </si>
  <si>
    <t xml:space="preserve">SIMPLY BEDLINERS &amp; MINOR AUTO BODY REPAIR L.L.P.</t>
  </si>
  <si>
    <t xml:space="preserve">7532</t>
  </si>
  <si>
    <t xml:space="preserve">75</t>
  </si>
  <si>
    <t xml:space="preserve">The Funding Channel</t>
  </si>
  <si>
    <t xml:space="preserve">5674150572</t>
  </si>
  <si>
    <t xml:space="preserve">B &amp; G Trucking LLC</t>
  </si>
  <si>
    <t xml:space="preserve">4212</t>
  </si>
  <si>
    <t xml:space="preserve">5674150646</t>
  </si>
  <si>
    <t xml:space="preserve">DY GARAGE DOORS</t>
  </si>
  <si>
    <t xml:space="preserve">DY GARAGE DOORS LLC</t>
  </si>
  <si>
    <t xml:space="preserve">1751</t>
  </si>
  <si>
    <t xml:space="preserve">17</t>
  </si>
  <si>
    <t xml:space="preserve">5674150664</t>
  </si>
  <si>
    <t xml:space="preserve">Wyatts Feed and Seed</t>
  </si>
  <si>
    <t xml:space="preserve">2048</t>
  </si>
  <si>
    <t xml:space="preserve">20</t>
  </si>
  <si>
    <t xml:space="preserve">AL</t>
  </si>
  <si>
    <t xml:space="preserve">5674150667</t>
  </si>
  <si>
    <t xml:space="preserve">Casteen Property Maintenance</t>
  </si>
  <si>
    <t xml:space="preserve">5674150725</t>
  </si>
  <si>
    <t xml:space="preserve">Arkansas Climate Control</t>
  </si>
  <si>
    <t xml:space="preserve">1711</t>
  </si>
  <si>
    <t xml:space="preserve">AR</t>
  </si>
  <si>
    <t xml:space="preserve">TRUSTFI</t>
  </si>
  <si>
    <t xml:space="preserve">5674150820</t>
  </si>
  <si>
    <t xml:space="preserve">Brake Masters</t>
  </si>
  <si>
    <t xml:space="preserve">SLA BRAKE MASTERS LLC</t>
  </si>
  <si>
    <t xml:space="preserve">7538</t>
  </si>
  <si>
    <t xml:space="preserve">Fundible</t>
  </si>
  <si>
    <t xml:space="preserve">5674150864</t>
  </si>
  <si>
    <t xml:space="preserve">Rock Hard Flooring &amp; Land Clearing of Oklahoma</t>
  </si>
  <si>
    <t xml:space="preserve">AKH INVESTMENT LLC</t>
  </si>
  <si>
    <t xml:space="preserve">1629</t>
  </si>
  <si>
    <t xml:space="preserve">OK</t>
  </si>
  <si>
    <t xml:space="preserve">PEACH STATE SOLUTIONS</t>
  </si>
  <si>
    <t xml:space="preserve">5674151205</t>
  </si>
  <si>
    <t xml:space="preserve">CRAVE WINGS LLC</t>
  </si>
  <si>
    <t xml:space="preserve">TN</t>
  </si>
  <si>
    <t xml:space="preserve">5674151260</t>
  </si>
  <si>
    <t xml:space="preserve">NFB VENTURE SERVICES CORP</t>
  </si>
  <si>
    <t xml:space="preserve">7549</t>
  </si>
  <si>
    <t xml:space="preserve">CARE FUNDING GROUP</t>
  </si>
  <si>
    <t xml:space="preserve">5674151286</t>
  </si>
  <si>
    <t xml:space="preserve">DEALS ON 11 LLC</t>
  </si>
  <si>
    <t xml:space="preserve">5085</t>
  </si>
  <si>
    <t xml:space="preserve">Sky Advance</t>
  </si>
  <si>
    <t xml:space="preserve">5674151397</t>
  </si>
  <si>
    <t xml:space="preserve">HITCHCOCK &amp; COMPANY LLC</t>
  </si>
  <si>
    <t xml:space="preserve">ME</t>
  </si>
  <si>
    <t xml:space="preserve">5674151553</t>
  </si>
  <si>
    <t xml:space="preserve">VITELGUIDE LLC</t>
  </si>
  <si>
    <t xml:space="preserve">VITEL HEALTH LLC</t>
  </si>
  <si>
    <t xml:space="preserve">8742</t>
  </si>
  <si>
    <t xml:space="preserve">5674151571</t>
  </si>
  <si>
    <t xml:space="preserve">DIAMOND GROUP LOGISTICS CO</t>
  </si>
  <si>
    <t xml:space="preserve">Closed/NSF Unpaid</t>
  </si>
  <si>
    <t xml:space="preserve">Fund Max</t>
  </si>
  <si>
    <t xml:space="preserve">5674151572</t>
  </si>
  <si>
    <t xml:space="preserve">R &amp; B HEATING &amp; COOLING SPECIALIST</t>
  </si>
  <si>
    <t xml:space="preserve">R &amp; B HEATING &amp; COOLING</t>
  </si>
  <si>
    <t xml:space="preserve">In House Collection</t>
  </si>
  <si>
    <t xml:space="preserve">MZ ADVANCE</t>
  </si>
  <si>
    <t xml:space="preserve">5674151645</t>
  </si>
  <si>
    <t xml:space="preserve">NEXT LEVEL DME</t>
  </si>
  <si>
    <t xml:space="preserve">LINX SOLUTIONS LLC</t>
  </si>
  <si>
    <t xml:space="preserve">PMF</t>
  </si>
  <si>
    <t xml:space="preserve">5674151913</t>
  </si>
  <si>
    <t xml:space="preserve">5674151967</t>
  </si>
  <si>
    <t xml:space="preserve">ANDERSON CARPENTRY CO</t>
  </si>
  <si>
    <t xml:space="preserve">ANDERSON CARPENTRY AND CO</t>
  </si>
  <si>
    <t xml:space="preserve">Samson Funding</t>
  </si>
  <si>
    <t xml:space="preserve">5674152037</t>
  </si>
  <si>
    <t xml:space="preserve">COOPER PRINTING</t>
  </si>
  <si>
    <t xml:space="preserve">MS</t>
  </si>
  <si>
    <t xml:space="preserve">5674152412</t>
  </si>
  <si>
    <t xml:space="preserve">Anzar Deliveries</t>
  </si>
  <si>
    <t xml:space="preserve">Anzar Deliveries LLC</t>
  </si>
  <si>
    <t xml:space="preserve">Business Fund USA 4</t>
  </si>
  <si>
    <t xml:space="preserve">5674152422</t>
  </si>
  <si>
    <t xml:space="preserve">Care &amp; Wellness Solutions</t>
  </si>
  <si>
    <t xml:space="preserve">Care &amp; Wellness Solutions LLC</t>
  </si>
  <si>
    <t xml:space="preserve">8049</t>
  </si>
  <si>
    <t xml:space="preserve">VA</t>
  </si>
  <si>
    <t xml:space="preserve">Klendify</t>
  </si>
  <si>
    <t xml:space="preserve">5674152426</t>
  </si>
  <si>
    <t xml:space="preserve">Pro car care group</t>
  </si>
  <si>
    <t xml:space="preserve">7539</t>
  </si>
  <si>
    <t xml:space="preserve">One Box Funding</t>
  </si>
  <si>
    <t xml:space="preserve">5674152928</t>
  </si>
  <si>
    <t xml:space="preserve">Valla Park Financial</t>
  </si>
  <si>
    <t xml:space="preserve">3799</t>
  </si>
  <si>
    <t xml:space="preserve">37</t>
  </si>
  <si>
    <t xml:space="preserve">FIFTH VENTURE</t>
  </si>
  <si>
    <t xml:space="preserve">5674153028</t>
  </si>
  <si>
    <t xml:space="preserve">IDENTITY ATL LLC</t>
  </si>
  <si>
    <t xml:space="preserve">5399</t>
  </si>
  <si>
    <t xml:space="preserve">53</t>
  </si>
  <si>
    <t xml:space="preserve">5674153205</t>
  </si>
  <si>
    <t xml:space="preserve">JACKS PEST MGMT LLC</t>
  </si>
  <si>
    <t xml:space="preserve">7342</t>
  </si>
  <si>
    <t xml:space="preserve">MT</t>
  </si>
  <si>
    <t xml:space="preserve">5674153335</t>
  </si>
  <si>
    <t xml:space="preserve">Stones by crowne</t>
  </si>
  <si>
    <t xml:space="preserve">3281</t>
  </si>
  <si>
    <t xml:space="preserve">32</t>
  </si>
  <si>
    <t xml:space="preserve">Premium Capital (AMRK)</t>
  </si>
  <si>
    <t xml:space="preserve">5674153342</t>
  </si>
  <si>
    <t xml:space="preserve">CORNERSTONE GROWTH SOLUTIONS, LLC</t>
  </si>
  <si>
    <t xml:space="preserve">Westwood</t>
  </si>
  <si>
    <t xml:space="preserve">5674153395</t>
  </si>
  <si>
    <t xml:space="preserve">Happy Daiquiri llc</t>
  </si>
  <si>
    <t xml:space="preserve">Vanguard Equities</t>
  </si>
  <si>
    <t xml:space="preserve">5674153450</t>
  </si>
  <si>
    <t xml:space="preserve">Journey Homecare Services</t>
  </si>
  <si>
    <t xml:space="preserve">8051</t>
  </si>
  <si>
    <t xml:space="preserve">5674153597</t>
  </si>
  <si>
    <t xml:space="preserve">Anthony's RV Rentals</t>
  </si>
  <si>
    <t xml:space="preserve">7519</t>
  </si>
  <si>
    <t xml:space="preserve">5674153862</t>
  </si>
  <si>
    <t xml:space="preserve">W.H.S Humble &amp; Associates LLC</t>
  </si>
  <si>
    <t xml:space="preserve">7291</t>
  </si>
  <si>
    <t xml:space="preserve">5674153904</t>
  </si>
  <si>
    <t xml:space="preserve">RANDY ROBBINS AGENCY LLC</t>
  </si>
  <si>
    <t xml:space="preserve">6411</t>
  </si>
  <si>
    <t xml:space="preserve">64</t>
  </si>
  <si>
    <t xml:space="preserve">5674153985</t>
  </si>
  <si>
    <t xml:space="preserve">CAREFOCUS CORPORATION</t>
  </si>
  <si>
    <t xml:space="preserve">5674154010</t>
  </si>
  <si>
    <t xml:space="preserve">G Force Fiber Optics</t>
  </si>
  <si>
    <t xml:space="preserve">3357</t>
  </si>
  <si>
    <t xml:space="preserve">33</t>
  </si>
  <si>
    <t xml:space="preserve">5674154070</t>
  </si>
  <si>
    <t xml:space="preserve">HDP SERVICES</t>
  </si>
  <si>
    <t xml:space="preserve">5674154093</t>
  </si>
  <si>
    <t xml:space="preserve">Alba Italian Kitchen</t>
  </si>
  <si>
    <t xml:space="preserve">Tirupati Enterprises Limited</t>
  </si>
  <si>
    <t xml:space="preserve">5674154267</t>
  </si>
  <si>
    <t xml:space="preserve">MMMJ INVESTMENTS, LLC</t>
  </si>
  <si>
    <t xml:space="preserve">5674154332</t>
  </si>
  <si>
    <t xml:space="preserve">Smith and Webster II Oral Springs LLC</t>
  </si>
  <si>
    <t xml:space="preserve">SMITH AND WEBSTER RESTAURANT CORAL SPRINGS</t>
  </si>
  <si>
    <t xml:space="preserve">5674154422</t>
  </si>
  <si>
    <t xml:space="preserve">BUSHCO CONTRACTING</t>
  </si>
  <si>
    <t xml:space="preserve">5674154426</t>
  </si>
  <si>
    <t xml:space="preserve">Zuniga Flowers</t>
  </si>
  <si>
    <t xml:space="preserve">5992</t>
  </si>
  <si>
    <t xml:space="preserve">59</t>
  </si>
  <si>
    <t xml:space="preserve">5674154477</t>
  </si>
  <si>
    <t xml:space="preserve">Fast Line Delivery</t>
  </si>
  <si>
    <t xml:space="preserve">Fast Line Delivery LLC</t>
  </si>
  <si>
    <t xml:space="preserve">4215</t>
  </si>
  <si>
    <t xml:space="preserve">Diamond Bar Funding</t>
  </si>
  <si>
    <t xml:space="preserve">5674154563</t>
  </si>
  <si>
    <t xml:space="preserve">R K HOSTEL</t>
  </si>
  <si>
    <t xml:space="preserve">DIESTRO INC</t>
  </si>
  <si>
    <t xml:space="preserve">7011</t>
  </si>
  <si>
    <t xml:space="preserve">70</t>
  </si>
  <si>
    <t xml:space="preserve">5674154668</t>
  </si>
  <si>
    <t xml:space="preserve">BEESON FARMS &amp; HAULING LLC</t>
  </si>
  <si>
    <t xml:space="preserve">5674154700</t>
  </si>
  <si>
    <t xml:space="preserve">LRT SALES LLC</t>
  </si>
  <si>
    <t xml:space="preserve">1796</t>
  </si>
  <si>
    <t xml:space="preserve">5674154793</t>
  </si>
  <si>
    <t xml:space="preserve">Charlie's Electric LLC</t>
  </si>
  <si>
    <t xml:space="preserve">1731</t>
  </si>
  <si>
    <t xml:space="preserve">OH</t>
  </si>
  <si>
    <t xml:space="preserve">5674154803</t>
  </si>
  <si>
    <t xml:space="preserve">BLUE SKY DESIGNER LANSCAPE</t>
  </si>
  <si>
    <t xml:space="preserve">BLUE SKY DESIGNER LANDSCAPE LLC</t>
  </si>
  <si>
    <t xml:space="preserve">0782</t>
  </si>
  <si>
    <t xml:space="preserve">07</t>
  </si>
  <si>
    <t xml:space="preserve">5674154834</t>
  </si>
  <si>
    <t xml:space="preserve">Doughboyz Pizzeria LLC</t>
  </si>
  <si>
    <t xml:space="preserve">KS</t>
  </si>
  <si>
    <t xml:space="preserve">5674154843</t>
  </si>
  <si>
    <t xml:space="preserve">K&amp;S ENGINEERS INC</t>
  </si>
  <si>
    <t xml:space="preserve">IN</t>
  </si>
  <si>
    <t xml:space="preserve">5674154901</t>
  </si>
  <si>
    <t xml:space="preserve">Tree valley landscaping</t>
  </si>
  <si>
    <t xml:space="preserve">0783</t>
  </si>
  <si>
    <t xml:space="preserve">5674154923</t>
  </si>
  <si>
    <t xml:space="preserve">The Container Girls</t>
  </si>
  <si>
    <t xml:space="preserve">Containers 4 Sale, LLC</t>
  </si>
  <si>
    <t xml:space="preserve">3412</t>
  </si>
  <si>
    <t xml:space="preserve">34</t>
  </si>
  <si>
    <t xml:space="preserve">UT</t>
  </si>
  <si>
    <t xml:space="preserve">FC ADVANCE</t>
  </si>
  <si>
    <t xml:space="preserve">5674154953</t>
  </si>
  <si>
    <t xml:space="preserve">NFB Venture services Corp</t>
  </si>
  <si>
    <t xml:space="preserve">7542</t>
  </si>
  <si>
    <t xml:space="preserve">5674154958</t>
  </si>
  <si>
    <t xml:space="preserve">5674154965</t>
  </si>
  <si>
    <t xml:space="preserve">Umart</t>
  </si>
  <si>
    <t xml:space="preserve">Fareed Inc</t>
  </si>
  <si>
    <t xml:space="preserve">5541</t>
  </si>
  <si>
    <t xml:space="preserve">55</t>
  </si>
  <si>
    <t xml:space="preserve">5674155038</t>
  </si>
  <si>
    <t xml:space="preserve">So Baltimore, LLC</t>
  </si>
  <si>
    <t xml:space="preserve">MD</t>
  </si>
  <si>
    <t xml:space="preserve">Llama Loan</t>
  </si>
  <si>
    <t xml:space="preserve">5674155151</t>
  </si>
  <si>
    <t xml:space="preserve">Bental electric</t>
  </si>
  <si>
    <t xml:space="preserve">Fund Your Bizz</t>
  </si>
  <si>
    <t xml:space="preserve">5674155206</t>
  </si>
  <si>
    <t xml:space="preserve">Grappling Zone</t>
  </si>
  <si>
    <t xml:space="preserve">7991</t>
  </si>
  <si>
    <t xml:space="preserve">79</t>
  </si>
  <si>
    <t xml:space="preserve">5674155271</t>
  </si>
  <si>
    <t xml:space="preserve">M EASY LOGISTICS LLC</t>
  </si>
  <si>
    <t xml:space="preserve">NJ</t>
  </si>
  <si>
    <t xml:space="preserve">5674155318</t>
  </si>
  <si>
    <t xml:space="preserve">Team Green Contracting LLC</t>
  </si>
  <si>
    <t xml:space="preserve">1799</t>
  </si>
  <si>
    <t xml:space="preserve">5674155368</t>
  </si>
  <si>
    <t xml:space="preserve">CLOUD IX SALON</t>
  </si>
  <si>
    <t xml:space="preserve">IX LLC</t>
  </si>
  <si>
    <t xml:space="preserve">Bankruptcy</t>
  </si>
  <si>
    <t xml:space="preserve">5674155538</t>
  </si>
  <si>
    <t xml:space="preserve">﻿AlwaysHungry</t>
  </si>
  <si>
    <t xml:space="preserve">5674155549</t>
  </si>
  <si>
    <t xml:space="preserve">TWO STATES TACO LLC</t>
  </si>
  <si>
    <t xml:space="preserve">City Wide Capital</t>
  </si>
  <si>
    <t xml:space="preserve">5674155635</t>
  </si>
  <si>
    <t xml:space="preserve">Vivid Retro Customs</t>
  </si>
  <si>
    <t xml:space="preserve">Black Tie Funding</t>
  </si>
  <si>
    <t xml:space="preserve">5674155766</t>
  </si>
  <si>
    <t xml:space="preserve">5674155792</t>
  </si>
  <si>
    <t xml:space="preserve">5674155963</t>
  </si>
  <si>
    <t xml:space="preserve">HIGH SIERRA CORP</t>
  </si>
  <si>
    <t xml:space="preserve">5169</t>
  </si>
  <si>
    <t xml:space="preserve">51</t>
  </si>
  <si>
    <t xml:space="preserve">WI</t>
  </si>
  <si>
    <t xml:space="preserve">5674155976</t>
  </si>
  <si>
    <t xml:space="preserve">P &amp; F FAMILY CONSTRUCTION</t>
  </si>
  <si>
    <t xml:space="preserve">5674156158</t>
  </si>
  <si>
    <t xml:space="preserve">Luxe MediGlow</t>
  </si>
  <si>
    <t xml:space="preserve">Judy M Perkins LLC</t>
  </si>
  <si>
    <t xml:space="preserve">5674156261</t>
  </si>
  <si>
    <t xml:space="preserve">plush nails &amp; spa</t>
  </si>
  <si>
    <t xml:space="preserve">Huyen and Vu Bui Inc</t>
  </si>
  <si>
    <t xml:space="preserve">GROWTH RATE CAPITAL INC</t>
  </si>
  <si>
    <t xml:space="preserve">5674156303</t>
  </si>
  <si>
    <t xml:space="preserve">Hiway House</t>
  </si>
  <si>
    <t xml:space="preserve">Belle's Hiway House</t>
  </si>
  <si>
    <t xml:space="preserve">OR</t>
  </si>
  <si>
    <t xml:space="preserve">JABSCAP</t>
  </si>
  <si>
    <t xml:space="preserve">5674156693</t>
  </si>
  <si>
    <t xml:space="preserve">ATX Fleet Services Truck and Trailer Repair, LLC</t>
  </si>
  <si>
    <t xml:space="preserve">Milestone Capital Funding Inc</t>
  </si>
  <si>
    <t xml:space="preserve">5674156847</t>
  </si>
  <si>
    <t xml:space="preserve">NCW Basketball Group Llc</t>
  </si>
  <si>
    <t xml:space="preserve">7997</t>
  </si>
  <si>
    <t xml:space="preserve">5674156897</t>
  </si>
  <si>
    <t xml:space="preserve">Crafty Steere</t>
  </si>
  <si>
    <t xml:space="preserve">5331</t>
  </si>
  <si>
    <t xml:space="preserve">5674157134</t>
  </si>
  <si>
    <t xml:space="preserve">COREY'S SOUTHERN CATERING</t>
  </si>
  <si>
    <t xml:space="preserve">FAVOR ONE LLC</t>
  </si>
  <si>
    <t xml:space="preserve">5674157207</t>
  </si>
  <si>
    <t xml:space="preserve">MO</t>
  </si>
  <si>
    <t xml:space="preserve">5674157269</t>
  </si>
  <si>
    <t xml:space="preserve">Scholte Plumbing Co</t>
  </si>
  <si>
    <t xml:space="preserve">Scholte Plumbing Co., Inc.</t>
  </si>
  <si>
    <t xml:space="preserve">5674157427</t>
  </si>
  <si>
    <t xml:space="preserve">AMERICAN WEST</t>
  </si>
  <si>
    <t xml:space="preserve">EVR GREEN LLC</t>
  </si>
  <si>
    <t xml:space="preserve">5674157511</t>
  </si>
  <si>
    <t xml:space="preserve">LV9 TAX SERVICES</t>
  </si>
  <si>
    <t xml:space="preserve">Villalobos Lizett</t>
  </si>
  <si>
    <t xml:space="preserve">5674157548</t>
  </si>
  <si>
    <t xml:space="preserve">Auto tech tire and service</t>
  </si>
  <si>
    <t xml:space="preserve">APAS inc</t>
  </si>
  <si>
    <t xml:space="preserve">5674157640</t>
  </si>
  <si>
    <t xml:space="preserve">ORB Customs</t>
  </si>
  <si>
    <t xml:space="preserve">Off Roading Beast</t>
  </si>
  <si>
    <t xml:space="preserve">5999</t>
  </si>
  <si>
    <t xml:space="preserve">Qualifier</t>
  </si>
  <si>
    <t xml:space="preserve">5674157665</t>
  </si>
  <si>
    <t xml:space="preserve">LINCOLN BABIGUMIRA PAIN CLINIC, LTD.</t>
  </si>
  <si>
    <t xml:space="preserve">8011</t>
  </si>
  <si>
    <t xml:space="preserve">5674157964</t>
  </si>
  <si>
    <t xml:space="preserve">ROBOLA PIZZERIA</t>
  </si>
  <si>
    <t xml:space="preserve">AMC FAIR DEALING</t>
  </si>
  <si>
    <t xml:space="preserve">5674157967</t>
  </si>
  <si>
    <t xml:space="preserve">Cafe Gripon's</t>
  </si>
  <si>
    <t xml:space="preserve">Gripon Group LLC</t>
  </si>
  <si>
    <t xml:space="preserve">5674157987</t>
  </si>
  <si>
    <t xml:space="preserve">Organ Mountain Food Group NM</t>
  </si>
  <si>
    <t xml:space="preserve">ORGAN MOUNTAIN FOOD GROUP NM LLC</t>
  </si>
  <si>
    <t xml:space="preserve">NM</t>
  </si>
  <si>
    <t xml:space="preserve">5674158038</t>
  </si>
  <si>
    <t xml:space="preserve">Tillis Transportation LLC</t>
  </si>
  <si>
    <t xml:space="preserve">Viking Funding LLC</t>
  </si>
  <si>
    <t xml:space="preserve">5674158061</t>
  </si>
  <si>
    <t xml:space="preserve">Skoog Construction</t>
  </si>
  <si>
    <t xml:space="preserve">1522</t>
  </si>
  <si>
    <t xml:space="preserve">ID</t>
  </si>
  <si>
    <t xml:space="preserve">5674158214</t>
  </si>
  <si>
    <t xml:space="preserve">KCG LLC</t>
  </si>
  <si>
    <t xml:space="preserve">No state</t>
  </si>
  <si>
    <t xml:space="preserve">Elite Advance 5</t>
  </si>
  <si>
    <t xml:space="preserve">5674158234</t>
  </si>
  <si>
    <t xml:space="preserve">Synergy Circuits, Inc</t>
  </si>
  <si>
    <t xml:space="preserve">Synergy Circuits, Inc.</t>
  </si>
  <si>
    <t xml:space="preserve">3672</t>
  </si>
  <si>
    <t xml:space="preserve">36</t>
  </si>
  <si>
    <t xml:space="preserve">5674158253</t>
  </si>
  <si>
    <t xml:space="preserve">Shoperies NE LLC</t>
  </si>
  <si>
    <t xml:space="preserve">5674158274</t>
  </si>
  <si>
    <t xml:space="preserve">1622</t>
  </si>
  <si>
    <t xml:space="preserve">5674158299</t>
  </si>
  <si>
    <t xml:space="preserve">Boston's Good Eatz &amp; Caribbean Treatz</t>
  </si>
  <si>
    <t xml:space="preserve">Boston's Good Eatz &amp; Carribean Treatz</t>
  </si>
  <si>
    <t xml:space="preserve">5674158307</t>
  </si>
  <si>
    <t xml:space="preserve">Wig world</t>
  </si>
  <si>
    <t xml:space="preserve">GLAMSTYLUX LLC</t>
  </si>
  <si>
    <t xml:space="preserve">5674158319</t>
  </si>
  <si>
    <t xml:space="preserve">M. Delaney LLC</t>
  </si>
  <si>
    <t xml:space="preserve">5674158406</t>
  </si>
  <si>
    <t xml:space="preserve">Gordos tacos 9015 e via linda</t>
  </si>
  <si>
    <t xml:space="preserve">Twins creative Mexican food llc</t>
  </si>
  <si>
    <t xml:space="preserve">5674158425</t>
  </si>
  <si>
    <t xml:space="preserve">TBVB CORP</t>
  </si>
  <si>
    <t xml:space="preserve">5674158531</t>
  </si>
  <si>
    <t xml:space="preserve">THE CANDLEWYCK INN</t>
  </si>
  <si>
    <t xml:space="preserve">THE CANDLEWYCK INN, INC</t>
  </si>
  <si>
    <t xml:space="preserve">WV</t>
  </si>
  <si>
    <t xml:space="preserve">5674158547</t>
  </si>
  <si>
    <t xml:space="preserve">TAQUERIA Y ANTOJITOS EL GUANACO LLC</t>
  </si>
  <si>
    <t xml:space="preserve">5674158572</t>
  </si>
  <si>
    <t xml:space="preserve">Pet Dynasty</t>
  </si>
  <si>
    <t xml:space="preserve">MOO-VA-PET</t>
  </si>
  <si>
    <t xml:space="preserve">0742</t>
  </si>
  <si>
    <t xml:space="preserve">5674158642</t>
  </si>
  <si>
    <t xml:space="preserve">The Burgin Group LLC</t>
  </si>
  <si>
    <t xml:space="preserve">5674158686</t>
  </si>
  <si>
    <t xml:space="preserve">DR3M INSPECTIONS</t>
  </si>
  <si>
    <t xml:space="preserve">DR3M Inc</t>
  </si>
  <si>
    <t xml:space="preserve">7389</t>
  </si>
  <si>
    <t xml:space="preserve">5674158858</t>
  </si>
  <si>
    <t xml:space="preserve">CharterPro</t>
  </si>
  <si>
    <t xml:space="preserve">KING LIMOUSINE SERVICE INC</t>
  </si>
  <si>
    <t xml:space="preserve">4111</t>
  </si>
  <si>
    <t xml:space="preserve">41</t>
  </si>
  <si>
    <t xml:space="preserve">5674159072</t>
  </si>
  <si>
    <t xml:space="preserve">Anderson Carpentry Co.</t>
  </si>
  <si>
    <t xml:space="preserve">Anderson carpentry and Co.</t>
  </si>
  <si>
    <t xml:space="preserve">5674159288</t>
  </si>
  <si>
    <t xml:space="preserve">Fast Affordable College Student Mover and</t>
  </si>
  <si>
    <t xml:space="preserve">Alternative Solutions Funding</t>
  </si>
  <si>
    <t xml:space="preserve">5674159323</t>
  </si>
  <si>
    <t xml:space="preserve">FLOORS AND PAINTING FOR LESS</t>
  </si>
  <si>
    <t xml:space="preserve">FLOORS AND PAINTING FOR LESS, INC.</t>
  </si>
  <si>
    <t xml:space="preserve">1752</t>
  </si>
  <si>
    <t xml:space="preserve">EZ ADVANCE LLC</t>
  </si>
  <si>
    <t xml:space="preserve">5674159429</t>
  </si>
  <si>
    <t xml:space="preserve">Gago burger LLC</t>
  </si>
  <si>
    <t xml:space="preserve">Pyn Capital</t>
  </si>
  <si>
    <t xml:space="preserve">5674159655</t>
  </si>
  <si>
    <t xml:space="preserve">International Market LLC.</t>
  </si>
  <si>
    <t xml:space="preserve">5421</t>
  </si>
  <si>
    <t xml:space="preserve">5674159732</t>
  </si>
  <si>
    <t xml:space="preserve">SPY TRADER LLC</t>
  </si>
  <si>
    <t xml:space="preserve">TRADER LLC</t>
  </si>
  <si>
    <t xml:space="preserve">5674159929</t>
  </si>
  <si>
    <t xml:space="preserve">7999</t>
  </si>
  <si>
    <t xml:space="preserve">5674160073</t>
  </si>
  <si>
    <t xml:space="preserve">Top Armour Contracting</t>
  </si>
  <si>
    <t xml:space="preserve">5674160322</t>
  </si>
  <si>
    <t xml:space="preserve">TRPLUMBING LLC</t>
  </si>
  <si>
    <t xml:space="preserve">5674160473</t>
  </si>
  <si>
    <t xml:space="preserve">Forum Reliability Inc</t>
  </si>
  <si>
    <t xml:space="preserve">5674160655</t>
  </si>
  <si>
    <t xml:space="preserve">AD Car Detail LLC</t>
  </si>
  <si>
    <t xml:space="preserve">5012</t>
  </si>
  <si>
    <t xml:space="preserve">ROK</t>
  </si>
  <si>
    <t xml:space="preserve">5674160718</t>
  </si>
  <si>
    <t xml:space="preserve">Ampliphi Wellness P.M.A. 508c1a</t>
  </si>
  <si>
    <t xml:space="preserve">5674160797</t>
  </si>
  <si>
    <t xml:space="preserve">MACS CUSTOM INSTALLS</t>
  </si>
  <si>
    <t xml:space="preserve">At-Risk</t>
  </si>
  <si>
    <t xml:space="preserve">SC</t>
  </si>
  <si>
    <t xml:space="preserve">Shield Funding</t>
  </si>
  <si>
    <t xml:space="preserve">5674160807</t>
  </si>
  <si>
    <t xml:space="preserve">Hard Knocks Concrete LLC</t>
  </si>
  <si>
    <t xml:space="preserve">1771</t>
  </si>
  <si>
    <t xml:space="preserve">5674161032</t>
  </si>
  <si>
    <t xml:space="preserve">5674161160</t>
  </si>
  <si>
    <t xml:space="preserve">Bass Unique Services</t>
  </si>
  <si>
    <t xml:space="preserve">WOTR Enterprise LLC</t>
  </si>
  <si>
    <t xml:space="preserve">5674161384</t>
  </si>
  <si>
    <t xml:space="preserve">WILLIE'S REPAIR SERVICE</t>
  </si>
  <si>
    <t xml:space="preserve">Willie's Repair Service LLC</t>
  </si>
  <si>
    <t xml:space="preserve">5674161657</t>
  </si>
  <si>
    <t xml:space="preserve">2SISTERS CLEANING &amp; CARPET CLEANING: SERVICES</t>
  </si>
  <si>
    <t xml:space="preserve">5674161767</t>
  </si>
  <si>
    <t xml:space="preserve">DESIGN CRITERIA</t>
  </si>
  <si>
    <t xml:space="preserve">DESIGN CRITERIA INC</t>
  </si>
  <si>
    <t xml:space="preserve">3612</t>
  </si>
  <si>
    <t xml:space="preserve">5674161805</t>
  </si>
  <si>
    <t xml:space="preserve">41 master service</t>
  </si>
  <si>
    <t xml:space="preserve">3639</t>
  </si>
  <si>
    <t xml:space="preserve">True Path Funding</t>
  </si>
  <si>
    <t xml:space="preserve">5674161807</t>
  </si>
  <si>
    <t xml:space="preserve">Chivo's Pizza LLC</t>
  </si>
  <si>
    <t xml:space="preserve">5674161813</t>
  </si>
  <si>
    <t xml:space="preserve">MOOR HERBS MARKETPLACE</t>
  </si>
  <si>
    <t xml:space="preserve">THE MOORISH SCIENCE - TEMPLE THE DIVINE AND NATIONAL MOVEMENT OF NORTH AMERICA INC</t>
  </si>
  <si>
    <t xml:space="preserve">5674161856</t>
  </si>
  <si>
    <t xml:space="preserve">TOWERWORX</t>
  </si>
  <si>
    <t xml:space="preserve">TOWERWORX LLC</t>
  </si>
  <si>
    <t xml:space="preserve">4812</t>
  </si>
  <si>
    <t xml:space="preserve">48</t>
  </si>
  <si>
    <t xml:space="preserve">5674161998</t>
  </si>
  <si>
    <t xml:space="preserve">Midwest Detail And Power Wash</t>
  </si>
  <si>
    <t xml:space="preserve">3271</t>
  </si>
  <si>
    <t xml:space="preserve">CNL LOANS</t>
  </si>
  <si>
    <t xml:space="preserve">5674162024</t>
  </si>
  <si>
    <t xml:space="preserve">TONYS TRAILER</t>
  </si>
  <si>
    <t xml:space="preserve">ANTHONY COOK</t>
  </si>
  <si>
    <t xml:space="preserve">biz advance now</t>
  </si>
  <si>
    <t xml:space="preserve">5674162077</t>
  </si>
  <si>
    <t xml:space="preserve">5674162104</t>
  </si>
  <si>
    <t xml:space="preserve">R &amp; D towing LLC</t>
  </si>
  <si>
    <t xml:space="preserve">Fund Kite</t>
  </si>
  <si>
    <t xml:space="preserve">5674162110</t>
  </si>
  <si>
    <t xml:space="preserve">POPULAR PROSPECTIVE PRODUCTS</t>
  </si>
  <si>
    <t xml:space="preserve">POPULAR PROSPECTIVE PRODUCTS, INC.</t>
  </si>
  <si>
    <t xml:space="preserve">5045</t>
  </si>
  <si>
    <t xml:space="preserve">5674162284</t>
  </si>
  <si>
    <t xml:space="preserve">Barberia calle loiza</t>
  </si>
  <si>
    <t xml:space="preserve">7241</t>
  </si>
  <si>
    <t xml:space="preserve">PR</t>
  </si>
  <si>
    <t xml:space="preserve">Siriux internacional corp</t>
  </si>
  <si>
    <t xml:space="preserve">5674162288</t>
  </si>
  <si>
    <t xml:space="preserve">BLUE RIDGE WORLDWIDE LLC</t>
  </si>
  <si>
    <t xml:space="preserve">5674162307</t>
  </si>
  <si>
    <t xml:space="preserve">Myatt's Shirts &amp; Sports</t>
  </si>
  <si>
    <t xml:space="preserve">Stratton Inc</t>
  </si>
  <si>
    <t xml:space="preserve">5674162311</t>
  </si>
  <si>
    <t xml:space="preserve">VALOR TOURS LTD</t>
  </si>
  <si>
    <t xml:space="preserve">4725</t>
  </si>
  <si>
    <t xml:space="preserve">47</t>
  </si>
  <si>
    <t xml:space="preserve">5674162314</t>
  </si>
  <si>
    <t xml:space="preserve">PRIDECO LLC</t>
  </si>
  <si>
    <t xml:space="preserve">Supreme Capital Solutions</t>
  </si>
  <si>
    <t xml:space="preserve">5674162355</t>
  </si>
  <si>
    <t xml:space="preserve">Our Noire Kitchen LLC</t>
  </si>
  <si>
    <t xml:space="preserve">5674162376</t>
  </si>
  <si>
    <t xml:space="preserve">AK INDUSTRIES</t>
  </si>
  <si>
    <t xml:space="preserve">AZEEM A KHAN</t>
  </si>
  <si>
    <t xml:space="preserve">5674162412</t>
  </si>
  <si>
    <t xml:space="preserve">ST CAJETAN OIL COMPANY LLC</t>
  </si>
  <si>
    <t xml:space="preserve">1382</t>
  </si>
  <si>
    <t xml:space="preserve">13</t>
  </si>
  <si>
    <t xml:space="preserve">5674162433</t>
  </si>
  <si>
    <t xml:space="preserve">Garner Construction</t>
  </si>
  <si>
    <t xml:space="preserve">NGM ENTERPRISES LLC</t>
  </si>
  <si>
    <t xml:space="preserve">5674162458</t>
  </si>
  <si>
    <t xml:space="preserve">ARETE GALLERY INC</t>
  </si>
  <si>
    <t xml:space="preserve">Shop Funder</t>
  </si>
  <si>
    <t xml:space="preserve">5674162475</t>
  </si>
  <si>
    <t xml:space="preserve">Ace Prevention Private Security LLC</t>
  </si>
  <si>
    <t xml:space="preserve">I burst funding</t>
  </si>
  <si>
    <t xml:space="preserve">5674162572</t>
  </si>
  <si>
    <t xml:space="preserve">DAVINCI MEDICAL LLC</t>
  </si>
  <si>
    <t xml:space="preserve">Direct Funding LLC</t>
  </si>
  <si>
    <t xml:space="preserve">5674162573</t>
  </si>
  <si>
    <t xml:space="preserve">LINCOLN'S CONSTRUCTION REMODELING</t>
  </si>
  <si>
    <t xml:space="preserve">Lincoln'S Construction Remodeling Inc</t>
  </si>
  <si>
    <t xml:space="preserve">5674162590</t>
  </si>
  <si>
    <t xml:space="preserve">Fast Track Auto Carriers</t>
  </si>
  <si>
    <t xml:space="preserve">BEN H WHITEKER</t>
  </si>
  <si>
    <t xml:space="preserve">5674162596</t>
  </si>
  <si>
    <t xml:space="preserve">Malibu's Burgers</t>
  </si>
  <si>
    <t xml:space="preserve">Kesos LLC</t>
  </si>
  <si>
    <t xml:space="preserve">American Funding Association 1</t>
  </si>
  <si>
    <t xml:space="preserve">5674162609</t>
  </si>
  <si>
    <t xml:space="preserve">Ribeiro General Construction Corp</t>
  </si>
  <si>
    <t xml:space="preserve">NY Tribeca Group</t>
  </si>
  <si>
    <t xml:space="preserve">5674162669</t>
  </si>
  <si>
    <t xml:space="preserve">5674162670</t>
  </si>
  <si>
    <t xml:space="preserve">Panther De Luxe Shop</t>
  </si>
  <si>
    <t xml:space="preserve">5674162694</t>
  </si>
  <si>
    <t xml:space="preserve">Pecos discount liquor</t>
  </si>
  <si>
    <t xml:space="preserve">Harleen LLC</t>
  </si>
  <si>
    <t xml:space="preserve">Lowered Payments</t>
  </si>
  <si>
    <t xml:space="preserve">5921</t>
  </si>
  <si>
    <t xml:space="preserve">Fundwell</t>
  </si>
  <si>
    <t xml:space="preserve">5674162756</t>
  </si>
  <si>
    <t xml:space="preserve">5674162760</t>
  </si>
  <si>
    <t xml:space="preserve">THE ROBERT ESSIX FOUNDATION LLC</t>
  </si>
  <si>
    <t xml:space="preserve">8399</t>
  </si>
  <si>
    <t xml:space="preserve">5674162832</t>
  </si>
  <si>
    <t xml:space="preserve">Jojos italian diner</t>
  </si>
  <si>
    <t xml:space="preserve">Jojos italian diner llc</t>
  </si>
  <si>
    <t xml:space="preserve">3556</t>
  </si>
  <si>
    <t xml:space="preserve">35</t>
  </si>
  <si>
    <t xml:space="preserve">5674162872</t>
  </si>
  <si>
    <t xml:space="preserve">CJB custom installs</t>
  </si>
  <si>
    <t xml:space="preserve">CJB custom installs LLC</t>
  </si>
  <si>
    <t xml:space="preserve">5674162911</t>
  </si>
  <si>
    <t xml:space="preserve">OUI BEACH</t>
  </si>
  <si>
    <t xml:space="preserve">OUI BEACH, LLC</t>
  </si>
  <si>
    <t xml:space="preserve">5137</t>
  </si>
  <si>
    <t xml:space="preserve">5674162914</t>
  </si>
  <si>
    <t xml:space="preserve">ProColor Collision Fontana</t>
  </si>
  <si>
    <t xml:space="preserve">Standers Inc</t>
  </si>
  <si>
    <t xml:space="preserve">5674162983</t>
  </si>
  <si>
    <t xml:space="preserve">ON SITE REPAIR SERVICES LLC</t>
  </si>
  <si>
    <t xml:space="preserve">Ballicci</t>
  </si>
  <si>
    <t xml:space="preserve">5674162988</t>
  </si>
  <si>
    <t xml:space="preserve">Stone Manufacture</t>
  </si>
  <si>
    <t xml:space="preserve">SAWAED INC</t>
  </si>
  <si>
    <t xml:space="preserve">5674162990</t>
  </si>
  <si>
    <t xml:space="preserve">DALLAS DETAIL &amp; CONSTRUCTION</t>
  </si>
  <si>
    <t xml:space="preserve">5674162999</t>
  </si>
  <si>
    <t xml:space="preserve">GREENLIFE BOTANICALS LLC</t>
  </si>
  <si>
    <t xml:space="preserve">5674163045</t>
  </si>
  <si>
    <t xml:space="preserve">coreys Southern Catering</t>
  </si>
  <si>
    <t xml:space="preserve">5674163052</t>
  </si>
  <si>
    <t xml:space="preserve">5674163227</t>
  </si>
  <si>
    <t xml:space="preserve">Cramer Brothers Farms LLC</t>
  </si>
  <si>
    <t xml:space="preserve">Smarter Credit Inc.</t>
  </si>
  <si>
    <t xml:space="preserve">5674163296</t>
  </si>
  <si>
    <t xml:space="preserve">parker construction company</t>
  </si>
  <si>
    <t xml:space="preserve">Parker construction company llc</t>
  </si>
  <si>
    <t xml:space="preserve">Springville Partners</t>
  </si>
  <si>
    <t xml:space="preserve">5674163315</t>
  </si>
  <si>
    <t xml:space="preserve">CAPRI Transportation</t>
  </si>
  <si>
    <t xml:space="preserve">CAPRI TRANSPORTATION LLC</t>
  </si>
  <si>
    <t xml:space="preserve">5674163394</t>
  </si>
  <si>
    <t xml:space="preserve">S&amp;C SERVICES LLC</t>
  </si>
  <si>
    <t xml:space="preserve">5674163419</t>
  </si>
  <si>
    <t xml:space="preserve">POSA Management Group LLC</t>
  </si>
  <si>
    <t xml:space="preserve">5674163484</t>
  </si>
  <si>
    <t xml:space="preserve">Medina And Associates PC</t>
  </si>
  <si>
    <t xml:space="preserve">8021</t>
  </si>
  <si>
    <t xml:space="preserve">5674163699</t>
  </si>
  <si>
    <t xml:space="preserve">CLARITI EYE CARE LLC</t>
  </si>
  <si>
    <t xml:space="preserve">5674163921</t>
  </si>
  <si>
    <t xml:space="preserve">Tm Bristol group LLC</t>
  </si>
  <si>
    <t xml:space="preserve">5674163929</t>
  </si>
  <si>
    <t xml:space="preserve">EXCELLENCE HOME SERVICES LLC</t>
  </si>
  <si>
    <t xml:space="preserve">5674164038</t>
  </si>
  <si>
    <t xml:space="preserve">DYVINE CARE LLC</t>
  </si>
  <si>
    <t xml:space="preserve">5674164046</t>
  </si>
  <si>
    <t xml:space="preserve">GURU JI HOMECARE</t>
  </si>
  <si>
    <t xml:space="preserve">GURU JI HOMECARE AGENCY INC</t>
  </si>
  <si>
    <t xml:space="preserve">5674164085</t>
  </si>
  <si>
    <t xml:space="preserve">BLESSING FAMILY CARE HOME</t>
  </si>
  <si>
    <t xml:space="preserve">GERLYNE JEAN</t>
  </si>
  <si>
    <t xml:space="preserve">5674164116</t>
  </si>
  <si>
    <t xml:space="preserve">BIG DUDE AUTO CARE LLC</t>
  </si>
  <si>
    <t xml:space="preserve">7533</t>
  </si>
  <si>
    <t xml:space="preserve">5674164132</t>
  </si>
  <si>
    <t xml:space="preserve">6513</t>
  </si>
  <si>
    <t xml:space="preserve">5674164163</t>
  </si>
  <si>
    <t xml:space="preserve">Balanced Bites Cafe LLC</t>
  </si>
  <si>
    <t xml:space="preserve">5674164225</t>
  </si>
  <si>
    <t xml:space="preserve">Charles Hannum Inc</t>
  </si>
  <si>
    <t xml:space="preserve">5674164276</t>
  </si>
  <si>
    <t xml:space="preserve">COASTLINE SERVICES</t>
  </si>
  <si>
    <t xml:space="preserve">JULIAN JAKE CANALES</t>
  </si>
  <si>
    <t xml:space="preserve">7521</t>
  </si>
  <si>
    <t xml:space="preserve">5674164322</t>
  </si>
  <si>
    <t xml:space="preserve">5674164352</t>
  </si>
  <si>
    <t xml:space="preserve">Properties on the Go LLC</t>
  </si>
  <si>
    <t xml:space="preserve">8741</t>
  </si>
  <si>
    <t xml:space="preserve">Tech Consulting Pro LLC D/B/A: Nationwide Advance</t>
  </si>
  <si>
    <t xml:space="preserve">5674164385</t>
  </si>
  <si>
    <t xml:space="preserve">Philadelphia Academy for Nurse Aide Training</t>
  </si>
  <si>
    <t xml:space="preserve">PA NAT INC</t>
  </si>
  <si>
    <t xml:space="preserve">8331</t>
  </si>
  <si>
    <t xml:space="preserve">Shore Funding USA</t>
  </si>
  <si>
    <t xml:space="preserve">5674164388</t>
  </si>
  <si>
    <t xml:space="preserve">BOUNCIN LIL' RASCALS</t>
  </si>
  <si>
    <t xml:space="preserve">KARLY MARGARET SCOTT</t>
  </si>
  <si>
    <t xml:space="preserve">5674164443</t>
  </si>
  <si>
    <t xml:space="preserve">The Head Spa Sanctuary</t>
  </si>
  <si>
    <t xml:space="preserve">5674164518</t>
  </si>
  <si>
    <t xml:space="preserve">REDLINE FORESTRY MULCHING LLC</t>
  </si>
  <si>
    <t xml:space="preserve">0781</t>
  </si>
  <si>
    <t xml:space="preserve">5674164557</t>
  </si>
  <si>
    <t xml:space="preserve">Energy Curve Technologies</t>
  </si>
  <si>
    <t xml:space="preserve">ENERGY CURVE TECHNOLOGIES LLC</t>
  </si>
  <si>
    <t xml:space="preserve">5191</t>
  </si>
  <si>
    <t xml:space="preserve">5674164561</t>
  </si>
  <si>
    <t xml:space="preserve">OL SKOOL TRUCKING</t>
  </si>
  <si>
    <t xml:space="preserve">OL SKOOL TRUCKING INC</t>
  </si>
  <si>
    <t xml:space="preserve">5674164599</t>
  </si>
  <si>
    <t xml:space="preserve">KNGDM Sports Performance</t>
  </si>
  <si>
    <t xml:space="preserve">KNGDM SPORTS PERFORMANCE CORP</t>
  </si>
  <si>
    <t xml:space="preserve">5674164604</t>
  </si>
  <si>
    <t xml:space="preserve">OPTIMUS LOGISTICS LLC</t>
  </si>
  <si>
    <t xml:space="preserve">5674164632</t>
  </si>
  <si>
    <t xml:space="preserve">YOANNA FLIGHT SCHOOL INTERNATIONAL</t>
  </si>
  <si>
    <t xml:space="preserve">Yoanna Flight School International, Inc</t>
  </si>
  <si>
    <t xml:space="preserve">4581</t>
  </si>
  <si>
    <t xml:space="preserve">45</t>
  </si>
  <si>
    <t xml:space="preserve">5674164635</t>
  </si>
  <si>
    <t xml:space="preserve">503 BUILDERS LLC</t>
  </si>
  <si>
    <t xml:space="preserve">503 Builders LLC</t>
  </si>
  <si>
    <t xml:space="preserve">Biz fuel</t>
  </si>
  <si>
    <t xml:space="preserve">5674164667</t>
  </si>
  <si>
    <t xml:space="preserve">Haus of Athletes</t>
  </si>
  <si>
    <t xml:space="preserve">Hybrid Athlete llc</t>
  </si>
  <si>
    <t xml:space="preserve">5674164698</t>
  </si>
  <si>
    <t xml:space="preserve">5674164716</t>
  </si>
  <si>
    <t xml:space="preserve">JIU HONG CANYIN YULE, INC</t>
  </si>
  <si>
    <t xml:space="preserve">5674164806</t>
  </si>
  <si>
    <t xml:space="preserve">Phiri Property Management LLC</t>
  </si>
  <si>
    <t xml:space="preserve">cavala funding</t>
  </si>
  <si>
    <t xml:space="preserve">5674164817</t>
  </si>
  <si>
    <t xml:space="preserve">JAMES CORVIN</t>
  </si>
  <si>
    <t xml:space="preserve">James Corvin Inc</t>
  </si>
  <si>
    <t xml:space="preserve">5674164844</t>
  </si>
  <si>
    <t xml:space="preserve">Alpine Springs Water Distribution</t>
  </si>
  <si>
    <t xml:space="preserve">ALPINE SPRINGS WATER DISTRIBUTION LLC</t>
  </si>
  <si>
    <t xml:space="preserve">4941</t>
  </si>
  <si>
    <t xml:space="preserve">49</t>
  </si>
  <si>
    <t xml:space="preserve">5674164847</t>
  </si>
  <si>
    <t xml:space="preserve">HOLLINS &amp; ASSOCIATES</t>
  </si>
  <si>
    <t xml:space="preserve">HOLLINS &amp; ASSOCIATES LLC</t>
  </si>
  <si>
    <t xml:space="preserve">8721</t>
  </si>
  <si>
    <t xml:space="preserve">5674164887</t>
  </si>
  <si>
    <t xml:space="preserve">SOCAL MEDICAL TRANSPORTATION LLC</t>
  </si>
  <si>
    <t xml:space="preserve">4119</t>
  </si>
  <si>
    <t xml:space="preserve">5674164922</t>
  </si>
  <si>
    <t xml:space="preserve">MAMMA LEONE BAKERY, LLC</t>
  </si>
  <si>
    <t xml:space="preserve">5674164997</t>
  </si>
  <si>
    <t xml:space="preserve">Star Nails LLC</t>
  </si>
  <si>
    <t xml:space="preserve">5674165100</t>
  </si>
  <si>
    <t xml:space="preserve">Q&amp;B Trucking Fleet LLC</t>
  </si>
  <si>
    <t xml:space="preserve">5674165134</t>
  </si>
  <si>
    <t xml:space="preserve">TH Custom Finishes</t>
  </si>
  <si>
    <t xml:space="preserve">TH CUSTOM FINISHES LLC</t>
  </si>
  <si>
    <t xml:space="preserve">5674165155</t>
  </si>
  <si>
    <t xml:space="preserve">MANASSES HENRY FURNITURE</t>
  </si>
  <si>
    <t xml:space="preserve">5674165163</t>
  </si>
  <si>
    <t xml:space="preserve">JUST-IN-TIME LANDSCAPING LLC</t>
  </si>
  <si>
    <t xml:space="preserve">5674165354</t>
  </si>
  <si>
    <t xml:space="preserve">EASY PARKING</t>
  </si>
  <si>
    <t xml:space="preserve">Easy Parking LLC</t>
  </si>
  <si>
    <t xml:space="preserve">5674165467</t>
  </si>
  <si>
    <t xml:space="preserve">5674165546</t>
  </si>
  <si>
    <t xml:space="preserve">The Dent Mann</t>
  </si>
  <si>
    <t xml:space="preserve">AVON ADVANCE</t>
  </si>
  <si>
    <t xml:space="preserve">5674165547</t>
  </si>
  <si>
    <t xml:space="preserve">southeast customs</t>
  </si>
  <si>
    <t xml:space="preserve">SOUTHEAST CUSTOMS LLC</t>
  </si>
  <si>
    <t xml:space="preserve">5014</t>
  </si>
  <si>
    <t xml:space="preserve">5674165577</t>
  </si>
  <si>
    <t xml:space="preserve">PALMETTO HOME REMODELS LLC</t>
  </si>
  <si>
    <t xml:space="preserve">5674165609</t>
  </si>
  <si>
    <t xml:space="preserve">5674165610</t>
  </si>
  <si>
    <t xml:space="preserve">W&amp;D AUTO SALES INC</t>
  </si>
  <si>
    <t xml:space="preserve">5599</t>
  </si>
  <si>
    <t xml:space="preserve">5674165622</t>
  </si>
  <si>
    <t xml:space="preserve">5674165708</t>
  </si>
  <si>
    <t xml:space="preserve">KCGLLC</t>
  </si>
  <si>
    <t xml:space="preserve">5674165723</t>
  </si>
  <si>
    <t xml:space="preserve">BENZ MANAGEMENT INC</t>
  </si>
  <si>
    <t xml:space="preserve">5674165729</t>
  </si>
  <si>
    <t xml:space="preserve">﻿TRIPLE D FINANCIAL INC</t>
  </si>
  <si>
    <t xml:space="preserve">5674165739</t>
  </si>
  <si>
    <t xml:space="preserve">Az deck pros</t>
  </si>
  <si>
    <t xml:space="preserve">AZ COOL DECK LLC</t>
  </si>
  <si>
    <t xml:space="preserve">Go Ai Ez LLC Dba:Gova Funding</t>
  </si>
  <si>
    <t xml:space="preserve">5674165849</t>
  </si>
  <si>
    <t xml:space="preserve">BD Home Group Inc</t>
  </si>
  <si>
    <t xml:space="preserve">5674165932</t>
  </si>
  <si>
    <t xml:space="preserve">Jay's Technology Solutions, LLC</t>
  </si>
  <si>
    <t xml:space="preserve">7371</t>
  </si>
  <si>
    <t xml:space="preserve">5674165956</t>
  </si>
  <si>
    <t xml:space="preserve">Cygnus Staffing and Consulting Inc</t>
  </si>
  <si>
    <t xml:space="preserve">7363</t>
  </si>
  <si>
    <t xml:space="preserve">5674165958</t>
  </si>
  <si>
    <t xml:space="preserve">Blast blow dry</t>
  </si>
  <si>
    <t xml:space="preserve">5674165960</t>
  </si>
  <si>
    <t xml:space="preserve">EMDR NH LLC</t>
  </si>
  <si>
    <t xml:space="preserve">LIFE IN BLOOM COUNSELING, LLC</t>
  </si>
  <si>
    <t xml:space="preserve">NH</t>
  </si>
  <si>
    <t xml:space="preserve">5674166066</t>
  </si>
  <si>
    <t xml:space="preserve">CC REMODELING SERVICES INC</t>
  </si>
  <si>
    <t xml:space="preserve">5674166141</t>
  </si>
  <si>
    <t xml:space="preserve">Champion Lanes</t>
  </si>
  <si>
    <t xml:space="preserve">Champions IB LLC</t>
  </si>
  <si>
    <t xml:space="preserve">7933</t>
  </si>
  <si>
    <t xml:space="preserve">Vantage Cap Group</t>
  </si>
  <si>
    <t xml:space="preserve">5674166148</t>
  </si>
  <si>
    <t xml:space="preserve">SR UNBOUNDED</t>
  </si>
  <si>
    <t xml:space="preserve">5674166156</t>
  </si>
  <si>
    <t xml:space="preserve">FL AUTO TRANSPORT LLC</t>
  </si>
  <si>
    <t xml:space="preserve">5674166369</t>
  </si>
  <si>
    <t xml:space="preserve">4121</t>
  </si>
  <si>
    <t xml:space="preserve">5674166400</t>
  </si>
  <si>
    <t xml:space="preserve">5674166825</t>
  </si>
  <si>
    <t xml:space="preserve">ALPHA 3 MASONRY &amp; REMODEL</t>
  </si>
  <si>
    <t xml:space="preserve">ALPHA 3 MASONRY &amp; REMODEL LLC</t>
  </si>
  <si>
    <t xml:space="preserve">FIMACAP INC</t>
  </si>
  <si>
    <t xml:space="preserve">5674166925</t>
  </si>
  <si>
    <t xml:space="preserve">5674166986</t>
  </si>
  <si>
    <t xml:space="preserve">Klenk Holdings LLC</t>
  </si>
  <si>
    <t xml:space="preserve">5674167047</t>
  </si>
  <si>
    <t xml:space="preserve">Kenetix Performance and Fitness</t>
  </si>
  <si>
    <t xml:space="preserve">Kenetix LLC</t>
  </si>
  <si>
    <t xml:space="preserve">5674167065</t>
  </si>
  <si>
    <t xml:space="preserve">THE THERAPY CORNER COUNSELING &amp; CONSULTING, PLLC</t>
  </si>
  <si>
    <t xml:space="preserve">8732</t>
  </si>
  <si>
    <t xml:space="preserve">5674167118</t>
  </si>
  <si>
    <t xml:space="preserve">Red E Electric</t>
  </si>
  <si>
    <t xml:space="preserve">5674167134</t>
  </si>
  <si>
    <t xml:space="preserve">K&amp;JTowing,Inc</t>
  </si>
  <si>
    <t xml:space="preserve">5674167135</t>
  </si>
  <si>
    <t xml:space="preserve">La Lucha LLC</t>
  </si>
  <si>
    <t xml:space="preserve">5674167208</t>
  </si>
  <si>
    <t xml:space="preserve">Off Leash K9 Training Houston</t>
  </si>
  <si>
    <t xml:space="preserve">JUSTIN AERICK BAILEY</t>
  </si>
  <si>
    <t xml:space="preserve">0752</t>
  </si>
  <si>
    <t xml:space="preserve">5674167261</t>
  </si>
  <si>
    <t xml:space="preserve">VORTEX INNOVATIONS CORPORATION</t>
  </si>
  <si>
    <t xml:space="preserve">5674167314</t>
  </si>
  <si>
    <t xml:space="preserve">Terry Mann Floors</t>
  </si>
  <si>
    <t xml:space="preserve">Terry Mann LLC</t>
  </si>
  <si>
    <t xml:space="preserve">2426</t>
  </si>
  <si>
    <t xml:space="preserve">24</t>
  </si>
  <si>
    <t xml:space="preserve">5674167324</t>
  </si>
  <si>
    <t xml:space="preserve">5674167360</t>
  </si>
  <si>
    <t xml:space="preserve">Precisely Pandas LLC</t>
  </si>
  <si>
    <t xml:space="preserve">CT</t>
  </si>
  <si>
    <t xml:space="preserve">National Business Capital</t>
  </si>
  <si>
    <t xml:space="preserve">5674167409</t>
  </si>
  <si>
    <t xml:space="preserve">Cincinnati Home Remodelation LLC</t>
  </si>
  <si>
    <t xml:space="preserve">5674167410</t>
  </si>
  <si>
    <t xml:space="preserve">Innovate Insurance Agency, Inc.</t>
  </si>
  <si>
    <t xml:space="preserve">5674167497</t>
  </si>
  <si>
    <t xml:space="preserve">IPDR HAIL &amp; DENT REPAIR</t>
  </si>
  <si>
    <t xml:space="preserve">IPDR HAIL &amp; DENT REPAIR LLC</t>
  </si>
  <si>
    <t xml:space="preserve">5674167502</t>
  </si>
  <si>
    <t xml:space="preserve">Southern Panc Eat Good LLC DBA Southern Pancake House</t>
  </si>
  <si>
    <t xml:space="preserve">Let'em Eat Good LLC</t>
  </si>
  <si>
    <t xml:space="preserve">5674167574</t>
  </si>
  <si>
    <t xml:space="preserve">Rg cabinets</t>
  </si>
  <si>
    <t xml:space="preserve">RG Cabinets</t>
  </si>
  <si>
    <t xml:space="preserve">2434</t>
  </si>
  <si>
    <t xml:space="preserve">5674167595</t>
  </si>
  <si>
    <t xml:space="preserve">JTD PICASSO</t>
  </si>
  <si>
    <t xml:space="preserve">Jtd Picasso llc</t>
  </si>
  <si>
    <t xml:space="preserve">5674167660</t>
  </si>
  <si>
    <t xml:space="preserve">The Brass Tap</t>
  </si>
  <si>
    <t xml:space="preserve">Tall Boy LLC</t>
  </si>
  <si>
    <t xml:space="preserve">5674167684</t>
  </si>
  <si>
    <t xml:space="preserve">Chasing More Vacations</t>
  </si>
  <si>
    <t xml:space="preserve">LORETTA DARNELL</t>
  </si>
  <si>
    <t xml:space="preserve">4724</t>
  </si>
  <si>
    <t xml:space="preserve">5674167693</t>
  </si>
  <si>
    <t xml:space="preserve">GOOD SAMARITAN INVESTMENT LLC</t>
  </si>
  <si>
    <t xml:space="preserve">5674167720</t>
  </si>
  <si>
    <t xml:space="preserve">Arrow Rental</t>
  </si>
  <si>
    <t xml:space="preserve">The Rental Guys L.L.C.</t>
  </si>
  <si>
    <t xml:space="preserve">4789</t>
  </si>
  <si>
    <t xml:space="preserve">5674167736</t>
  </si>
  <si>
    <t xml:space="preserve">Little Magic Bar</t>
  </si>
  <si>
    <t xml:space="preserve">VOODOO MAGIC LLC</t>
  </si>
  <si>
    <t xml:space="preserve">5674167778</t>
  </si>
  <si>
    <t xml:space="preserve">AIR LAND &amp; SEA PHYSICALS &amp; CONSULTATION</t>
  </si>
  <si>
    <t xml:space="preserve">AIR LAND &amp; SEA PHYSICALS &amp; CONSULTATION, LLC</t>
  </si>
  <si>
    <t xml:space="preserve">5674167807</t>
  </si>
  <si>
    <t xml:space="preserve">RON KING LLC</t>
  </si>
  <si>
    <t xml:space="preserve">5674167817</t>
  </si>
  <si>
    <t xml:space="preserve">AFC Urgent Care Coppell</t>
  </si>
  <si>
    <t xml:space="preserve">FTA Holdings LLC</t>
  </si>
  <si>
    <t xml:space="preserve">8071</t>
  </si>
  <si>
    <t xml:space="preserve">5674167862</t>
  </si>
  <si>
    <t xml:space="preserve">Lulabelle's CLT LLC</t>
  </si>
  <si>
    <t xml:space="preserve">Upright Advance Corp</t>
  </si>
  <si>
    <t xml:space="preserve">5674167932</t>
  </si>
  <si>
    <t xml:space="preserve">Perfect Minds LLC</t>
  </si>
  <si>
    <t xml:space="preserve">5674167952</t>
  </si>
  <si>
    <t xml:space="preserve">Born Again Cleaning Services LLC</t>
  </si>
  <si>
    <t xml:space="preserve">KY</t>
  </si>
  <si>
    <t xml:space="preserve">5674167960</t>
  </si>
  <si>
    <t xml:space="preserve">ALL IN LAND &amp; PROPERTY DEVELOPMENT INC</t>
  </si>
  <si>
    <t xml:space="preserve">Fundward</t>
  </si>
  <si>
    <t xml:space="preserve">5674167974</t>
  </si>
  <si>
    <t xml:space="preserve">6BLU</t>
  </si>
  <si>
    <t xml:space="preserve">6Blu Inc</t>
  </si>
  <si>
    <t xml:space="preserve">5674167996</t>
  </si>
  <si>
    <t xml:space="preserve">CNG CLEANING SOLUTIONS</t>
  </si>
  <si>
    <t xml:space="preserve">CNG CLEANING SOLUTIONS LLC</t>
  </si>
  <si>
    <t xml:space="preserve">5674168062</t>
  </si>
  <si>
    <t xml:space="preserve">5674168076</t>
  </si>
  <si>
    <t xml:space="preserve">Luminous Dental Studio</t>
  </si>
  <si>
    <t xml:space="preserve">Luminous Dental Associates PLLC</t>
  </si>
  <si>
    <t xml:space="preserve">8072</t>
  </si>
  <si>
    <t xml:space="preserve">5674168109</t>
  </si>
  <si>
    <t xml:space="preserve">Hive HomeGoods</t>
  </si>
  <si>
    <t xml:space="preserve">HIVE HOMEGOODS LLC</t>
  </si>
  <si>
    <t xml:space="preserve">5023</t>
  </si>
  <si>
    <t xml:space="preserve">5674168176</t>
  </si>
  <si>
    <t xml:space="preserve">WHICH WICH #95</t>
  </si>
  <si>
    <t xml:space="preserve">H&amp;M Mendez Enterprises LLC</t>
  </si>
  <si>
    <t xml:space="preserve">5674168235</t>
  </si>
  <si>
    <t xml:space="preserve">MDS Pack2Ship LLC</t>
  </si>
  <si>
    <t xml:space="preserve">4783</t>
  </si>
  <si>
    <t xml:space="preserve">5674168241</t>
  </si>
  <si>
    <t xml:space="preserve">Anderson Electric LLC</t>
  </si>
  <si>
    <t xml:space="preserve">5674168247</t>
  </si>
  <si>
    <t xml:space="preserve">5674168395</t>
  </si>
  <si>
    <t xml:space="preserve">Binxy Boy Consulting INC.</t>
  </si>
  <si>
    <t xml:space="preserve">Aspire Funding</t>
  </si>
  <si>
    <t xml:space="preserve">5674168410</t>
  </si>
  <si>
    <t xml:space="preserve">BARBERIA CALLE LOIZA VILLA CAROLINA</t>
  </si>
  <si>
    <t xml:space="preserve">ROBERTO ROLON DELGADO</t>
  </si>
  <si>
    <t xml:space="preserve">5674168427</t>
  </si>
  <si>
    <t xml:space="preserve">DBA EL TACO LOCO AL VAPOR</t>
  </si>
  <si>
    <t xml:space="preserve">5674168717</t>
  </si>
  <si>
    <t xml:space="preserve">S. Shuart Contracting, LLC</t>
  </si>
  <si>
    <t xml:space="preserve">5674168782</t>
  </si>
  <si>
    <t xml:space="preserve">5674168787</t>
  </si>
  <si>
    <t xml:space="preserve">CCC TREE SERVICE INC</t>
  </si>
  <si>
    <t xml:space="preserve">0851</t>
  </si>
  <si>
    <t xml:space="preserve">08</t>
  </si>
  <si>
    <t xml:space="preserve">5674168835</t>
  </si>
  <si>
    <t xml:space="preserve">5674168872</t>
  </si>
  <si>
    <t xml:space="preserve">Blue Mountain Heating &amp; Air</t>
  </si>
  <si>
    <t xml:space="preserve">5674168907</t>
  </si>
  <si>
    <t xml:space="preserve">Awnings R Us</t>
  </si>
  <si>
    <t xml:space="preserve">3524</t>
  </si>
  <si>
    <t xml:space="preserve">5674168912</t>
  </si>
  <si>
    <t xml:space="preserve">KHEPRA'S RAW FOOD JUICE BAR</t>
  </si>
  <si>
    <t xml:space="preserve">KHEPRA ANU SOLE PROP</t>
  </si>
  <si>
    <t xml:space="preserve">DC</t>
  </si>
  <si>
    <t xml:space="preserve">5674169031</t>
  </si>
  <si>
    <t xml:space="preserve">5674169050</t>
  </si>
  <si>
    <t xml:space="preserve">Alodia Brands Inc.</t>
  </si>
  <si>
    <t xml:space="preserve">5674169104</t>
  </si>
  <si>
    <t xml:space="preserve">TGIF LLC</t>
  </si>
  <si>
    <t xml:space="preserve">5159</t>
  </si>
  <si>
    <t xml:space="preserve">5674169127</t>
  </si>
  <si>
    <t xml:space="preserve">Dsg performance</t>
  </si>
  <si>
    <t xml:space="preserve">DSG PERFORMANCE LLC</t>
  </si>
  <si>
    <t xml:space="preserve">2396</t>
  </si>
  <si>
    <t xml:space="preserve">23</t>
  </si>
  <si>
    <t xml:space="preserve">5674169134</t>
  </si>
  <si>
    <t xml:space="preserve">5674169159</t>
  </si>
  <si>
    <t xml:space="preserve">CLOVE AND HOOF RESTAURANT</t>
  </si>
  <si>
    <t xml:space="preserve">5674169163</t>
  </si>
  <si>
    <t xml:space="preserve">5674169206</t>
  </si>
  <si>
    <t xml:space="preserve">Novulis Corporation</t>
  </si>
  <si>
    <t xml:space="preserve">9661</t>
  </si>
  <si>
    <t xml:space="preserve">96</t>
  </si>
  <si>
    <t xml:space="preserve">5674169212</t>
  </si>
  <si>
    <t xml:space="preserve">REALTAKAI</t>
  </si>
  <si>
    <t xml:space="preserve">JAY LLC</t>
  </si>
  <si>
    <t xml:space="preserve">5261</t>
  </si>
  <si>
    <t xml:space="preserve">52</t>
  </si>
  <si>
    <t xml:space="preserve">5674169288</t>
  </si>
  <si>
    <t xml:space="preserve">5674169299</t>
  </si>
  <si>
    <t xml:space="preserve">Essential Washer LLC</t>
  </si>
  <si>
    <t xml:space="preserve">5674169327</t>
  </si>
  <si>
    <t xml:space="preserve">WOWS KITCHEN</t>
  </si>
  <si>
    <t xml:space="preserve">5499</t>
  </si>
  <si>
    <t xml:space="preserve">5674169346</t>
  </si>
  <si>
    <t xml:space="preserve">Robs Flooring LLC</t>
  </si>
  <si>
    <t xml:space="preserve">5674169361</t>
  </si>
  <si>
    <t xml:space="preserve">Bayani Commercial, Inc.</t>
  </si>
  <si>
    <t xml:space="preserve">3731</t>
  </si>
  <si>
    <t xml:space="preserve">5674169460</t>
  </si>
  <si>
    <t xml:space="preserve">Jerry's venture</t>
  </si>
  <si>
    <t xml:space="preserve">7221</t>
  </si>
  <si>
    <t xml:space="preserve">5674169466</t>
  </si>
  <si>
    <t xml:space="preserve">Foutch Properties</t>
  </si>
  <si>
    <t xml:space="preserve">JMAE LLC</t>
  </si>
  <si>
    <t xml:space="preserve">Closed/NSF</t>
  </si>
  <si>
    <t xml:space="preserve">IA</t>
  </si>
  <si>
    <t xml:space="preserve">5674169518</t>
  </si>
  <si>
    <t xml:space="preserve">FRESH LAND IMPORTS LLC</t>
  </si>
  <si>
    <t xml:space="preserve">3495</t>
  </si>
  <si>
    <t xml:space="preserve">5674169540</t>
  </si>
  <si>
    <t xml:space="preserve">5674169558</t>
  </si>
  <si>
    <t xml:space="preserve">Life Heart Medical Center LLC</t>
  </si>
  <si>
    <t xml:space="preserve">6371</t>
  </si>
  <si>
    <t xml:space="preserve">63</t>
  </si>
  <si>
    <t xml:space="preserve">Pharoah Fund</t>
  </si>
  <si>
    <t xml:space="preserve">5674169614</t>
  </si>
  <si>
    <t xml:space="preserve">Cask wine bar &amp; restaurant</t>
  </si>
  <si>
    <t xml:space="preserve">Kurtrestaurant LLC</t>
  </si>
  <si>
    <t xml:space="preserve">5674169644</t>
  </si>
  <si>
    <t xml:space="preserve">FINELINES DESIGN STUDIO LLC</t>
  </si>
  <si>
    <t xml:space="preserve">5674169662</t>
  </si>
  <si>
    <t xml:space="preserve">ACE FENCE COMPANY</t>
  </si>
  <si>
    <t xml:space="preserve">Z &amp; G Investment Group, LLC</t>
  </si>
  <si>
    <t xml:space="preserve">5674169689</t>
  </si>
  <si>
    <t xml:space="preserve">A2Z FAMILY DENTAL, P.C.</t>
  </si>
  <si>
    <t xml:space="preserve">5674169716</t>
  </si>
  <si>
    <t xml:space="preserve">5674169733</t>
  </si>
  <si>
    <t xml:space="preserve">FEDL Monique Bakery</t>
  </si>
  <si>
    <t xml:space="preserve">FEDL MONIQUE BAKERIES INC</t>
  </si>
  <si>
    <t xml:space="preserve">2051</t>
  </si>
  <si>
    <t xml:space="preserve">5674169755</t>
  </si>
  <si>
    <t xml:space="preserve">Fadak international food market</t>
  </si>
  <si>
    <t xml:space="preserve">Blue Oak Advance</t>
  </si>
  <si>
    <t xml:space="preserve">5674169769</t>
  </si>
  <si>
    <t xml:space="preserve">huyen and vu bui inc</t>
  </si>
  <si>
    <t xml:space="preserve">ontime cap</t>
  </si>
  <si>
    <t xml:space="preserve">5674169782</t>
  </si>
  <si>
    <t xml:space="preserve">Gamboa Fence Corp</t>
  </si>
  <si>
    <t xml:space="preserve">5674169783</t>
  </si>
  <si>
    <t xml:space="preserve">JUST YOU AN EXCL STYLING N COLOR SALON</t>
  </si>
  <si>
    <t xml:space="preserve">5674170631</t>
  </si>
  <si>
    <t xml:space="preserve">DISMAR LOGISTICS GROUP</t>
  </si>
  <si>
    <t xml:space="preserve">FundFlex</t>
  </si>
  <si>
    <t xml:space="preserve">5674170648</t>
  </si>
  <si>
    <t xml:space="preserve">MICHELLE BABIN TRANCHINA DBA ST. MICHELLE DAY SPA</t>
  </si>
  <si>
    <t xml:space="preserve">St. Michel Day Spa</t>
  </si>
  <si>
    <t xml:space="preserve">Streamline Funding LLC</t>
  </si>
  <si>
    <t xml:space="preserve">5674170697</t>
  </si>
  <si>
    <t xml:space="preserve">The Blueprint</t>
  </si>
  <si>
    <t xml:space="preserve">ARCS Enterprises LLC</t>
  </si>
  <si>
    <t xml:space="preserve">5961</t>
  </si>
  <si>
    <t xml:space="preserve">5674170744</t>
  </si>
  <si>
    <t xml:space="preserve">MMA Trading Consultancy LLC</t>
  </si>
  <si>
    <t xml:space="preserve">5674170753</t>
  </si>
  <si>
    <t xml:space="preserve">STARLIGHT</t>
  </si>
  <si>
    <t xml:space="preserve">MIGUEL A BERDIEL TORRES</t>
  </si>
  <si>
    <t xml:space="preserve">5674170785</t>
  </si>
  <si>
    <t xml:space="preserve">ALG LUXURY CHARTER SERVICES INC</t>
  </si>
  <si>
    <t xml:space="preserve">5674170833</t>
  </si>
  <si>
    <t xml:space="preserve">TWILIGHT ANESTHETICS, PLLC</t>
  </si>
  <si>
    <t xml:space="preserve">8059</t>
  </si>
  <si>
    <t xml:space="preserve">5674170835</t>
  </si>
  <si>
    <t xml:space="preserve">5674170855</t>
  </si>
  <si>
    <t xml:space="preserve">7922</t>
  </si>
  <si>
    <t xml:space="preserve">5674170899</t>
  </si>
  <si>
    <t xml:space="preserve">INSPIRED BY SPIRITS DISTILLING COMPANY</t>
  </si>
  <si>
    <t xml:space="preserve">INSPIRED BY SPIRITS DISTILLING COMPANY LLC</t>
  </si>
  <si>
    <t xml:space="preserve">2084</t>
  </si>
  <si>
    <t xml:space="preserve">5674170968</t>
  </si>
  <si>
    <t xml:space="preserve">Preferred Nation Inc.</t>
  </si>
  <si>
    <t xml:space="preserve">3999</t>
  </si>
  <si>
    <t xml:space="preserve">39</t>
  </si>
  <si>
    <t xml:space="preserve">5674170970</t>
  </si>
  <si>
    <t xml:space="preserve">New Litttle Thai Chef, LLC</t>
  </si>
  <si>
    <t xml:space="preserve">5674170978</t>
  </si>
  <si>
    <t xml:space="preserve">Banks Chiropractic and Medical</t>
  </si>
  <si>
    <t xml:space="preserve">8041</t>
  </si>
  <si>
    <t xml:space="preserve">HI</t>
  </si>
  <si>
    <t xml:space="preserve">5674171028</t>
  </si>
  <si>
    <t xml:space="preserve">ValuCompass</t>
  </si>
  <si>
    <t xml:space="preserve">ValuCompass, LLC</t>
  </si>
  <si>
    <t xml:space="preserve">7372</t>
  </si>
  <si>
    <t xml:space="preserve">VT</t>
  </si>
  <si>
    <t xml:space="preserve">5674171103</t>
  </si>
  <si>
    <t xml:space="preserve">SM &amp; SONS INC</t>
  </si>
  <si>
    <t xml:space="preserve">5674171153</t>
  </si>
  <si>
    <t xml:space="preserve">THE HOUSE OF JIREH MINISTRIES</t>
  </si>
  <si>
    <t xml:space="preserve">THE HOUSE OF JIREH MINISTRIES, INC.</t>
  </si>
  <si>
    <t xml:space="preserve">8661</t>
  </si>
  <si>
    <t xml:space="preserve">86</t>
  </si>
  <si>
    <t xml:space="preserve">5674171177</t>
  </si>
  <si>
    <t xml:space="preserve">Quality NE</t>
  </si>
  <si>
    <t xml:space="preserve">Quality New England Construction Inc</t>
  </si>
  <si>
    <t xml:space="preserve">5674171180</t>
  </si>
  <si>
    <t xml:space="preserve">5674171206</t>
  </si>
  <si>
    <t xml:space="preserve">FiberCom Engineering</t>
  </si>
  <si>
    <t xml:space="preserve">FiberCom Engineering LLC</t>
  </si>
  <si>
    <t xml:space="preserve">5674171233</t>
  </si>
  <si>
    <t xml:space="preserve">ICE COLD AIR</t>
  </si>
  <si>
    <t xml:space="preserve">CAMPBELL AUTOMOTIVE 730 LLC</t>
  </si>
  <si>
    <t xml:space="preserve">5674171266</t>
  </si>
  <si>
    <t xml:space="preserve">EMPIRE DENTAL SUPPLIES &amp; SERVICE</t>
  </si>
  <si>
    <t xml:space="preserve">3845</t>
  </si>
  <si>
    <t xml:space="preserve">38</t>
  </si>
  <si>
    <t xml:space="preserve">5674171326</t>
  </si>
  <si>
    <t xml:space="preserve">V&amp;P Express LLC</t>
  </si>
  <si>
    <t xml:space="preserve">5674171417</t>
  </si>
  <si>
    <t xml:space="preserve">CIMIKOSKI STEM CELLS</t>
  </si>
  <si>
    <t xml:space="preserve">5674171445</t>
  </si>
  <si>
    <t xml:space="preserve">TONA PROPERTY MANAGEMENT</t>
  </si>
  <si>
    <t xml:space="preserve">TONA PROPERTY MANAGEMENT LLC</t>
  </si>
  <si>
    <t xml:space="preserve">5674171469</t>
  </si>
  <si>
    <t xml:space="preserve">BEST MOVERS FALLS CHURCH VA</t>
  </si>
  <si>
    <t xml:space="preserve">PIECE OF CAKE LLC,  LOCAL BEST MOVERS LLC</t>
  </si>
  <si>
    <t xml:space="preserve">5674171571</t>
  </si>
  <si>
    <t xml:space="preserve">Antique Kitchen Family</t>
  </si>
  <si>
    <t xml:space="preserve">G.A.J. INC</t>
  </si>
  <si>
    <t xml:space="preserve">level 3 funding</t>
  </si>
  <si>
    <t xml:space="preserve">5674171580</t>
  </si>
  <si>
    <t xml:space="preserve">J&amp;S ENTERPRISES UNLIMITED LLC</t>
  </si>
  <si>
    <t xml:space="preserve">legacy funding llc</t>
  </si>
  <si>
    <t xml:space="preserve">5674171592</t>
  </si>
  <si>
    <t xml:space="preserve">Mamaw's Cafe &amp; Catering</t>
  </si>
  <si>
    <t xml:space="preserve">Settlement Agreement</t>
  </si>
  <si>
    <t xml:space="preserve">5674171596</t>
  </si>
  <si>
    <t xml:space="preserve">T AND T IRRIGATION</t>
  </si>
  <si>
    <t xml:space="preserve">EQUIPMENT AND ENGINEERING CORPORATION</t>
  </si>
  <si>
    <t xml:space="preserve">4971</t>
  </si>
  <si>
    <t xml:space="preserve">5674171598</t>
  </si>
  <si>
    <t xml:space="preserve">FOOTS CONSTRUCTION</t>
  </si>
  <si>
    <t xml:space="preserve">5674171618</t>
  </si>
  <si>
    <t xml:space="preserve">BCD ACADEMY</t>
  </si>
  <si>
    <t xml:space="preserve">B.C.D ACADEMY LLC</t>
  </si>
  <si>
    <t xml:space="preserve">8211</t>
  </si>
  <si>
    <t xml:space="preserve">82</t>
  </si>
  <si>
    <t xml:space="preserve">5674171654</t>
  </si>
  <si>
    <t xml:space="preserve">Humble Baron</t>
  </si>
  <si>
    <t xml:space="preserve">HUMBLE BARON INC</t>
  </si>
  <si>
    <t xml:space="preserve">Advance Consolidations</t>
  </si>
  <si>
    <t xml:space="preserve">5674171672</t>
  </si>
  <si>
    <t xml:space="preserve">Exquisite Bride, LLC</t>
  </si>
  <si>
    <t xml:space="preserve">5674171716</t>
  </si>
  <si>
    <t xml:space="preserve">Diamond Painting Llc</t>
  </si>
  <si>
    <t xml:space="preserve">5674172525</t>
  </si>
  <si>
    <t xml:space="preserve">5674172531</t>
  </si>
  <si>
    <t xml:space="preserve">2519</t>
  </si>
  <si>
    <t xml:space="preserve">25</t>
  </si>
  <si>
    <t xml:space="preserve">5674172558</t>
  </si>
  <si>
    <t xml:space="preserve">PMG MANAGEMENT  DBA PREMIER POOLS AND SPAS OF MIDLAND/ODESSA DBA JESSICA GAVALDON GEN PTR</t>
  </si>
  <si>
    <t xml:space="preserve">PMG MANAGEMENT LLC</t>
  </si>
  <si>
    <t xml:space="preserve">5674172559</t>
  </si>
  <si>
    <t xml:space="preserve">Phoenix Commerce LLC</t>
  </si>
  <si>
    <t xml:space="preserve">liquidity lending group</t>
  </si>
  <si>
    <t xml:space="preserve">5674172567</t>
  </si>
  <si>
    <t xml:space="preserve">R.A. MASONRY</t>
  </si>
  <si>
    <t xml:space="preserve">R.A. MASONRY, LLC</t>
  </si>
  <si>
    <t xml:space="preserve">1741</t>
  </si>
  <si>
    <t xml:space="preserve">5674172569</t>
  </si>
  <si>
    <t xml:space="preserve">JD HEAT &amp; AIR LLC</t>
  </si>
  <si>
    <t xml:space="preserve">5674172606</t>
  </si>
  <si>
    <t xml:space="preserve">GM&amp;I Services LLC</t>
  </si>
  <si>
    <t xml:space="preserve">9511</t>
  </si>
  <si>
    <t xml:space="preserve">95</t>
  </si>
  <si>
    <t xml:space="preserve">5674172613</t>
  </si>
  <si>
    <t xml:space="preserve">Craft Roots Vegan Bar and Grill</t>
  </si>
  <si>
    <t xml:space="preserve">Gaich Group LLC</t>
  </si>
  <si>
    <t xml:space="preserve">5674172631</t>
  </si>
  <si>
    <t xml:space="preserve">pink rabbit bar and lounge</t>
  </si>
  <si>
    <t xml:space="preserve">PINK RABBIT LLC</t>
  </si>
  <si>
    <t xml:space="preserve">5674172650</t>
  </si>
  <si>
    <t xml:space="preserve">EAGLE MEDICAL MANAGEMENT INC</t>
  </si>
  <si>
    <t xml:space="preserve">5674172661</t>
  </si>
  <si>
    <t xml:space="preserve">LASHOLOGY</t>
  </si>
  <si>
    <t xml:space="preserve">Iconic Holdings Inc.</t>
  </si>
  <si>
    <t xml:space="preserve">5674172682</t>
  </si>
  <si>
    <t xml:space="preserve">Benjamin's Queens</t>
  </si>
  <si>
    <t xml:space="preserve">Benjamin's Queens LLC</t>
  </si>
  <si>
    <t xml:space="preserve">langtech</t>
  </si>
  <si>
    <t xml:space="preserve">5674172690</t>
  </si>
  <si>
    <t xml:space="preserve">REDELIFT EQUIPMENT LIMITED LTD</t>
  </si>
  <si>
    <t xml:space="preserve">5674172692</t>
  </si>
  <si>
    <t xml:space="preserve">KATHY'S MASON JAR FAMILY DINER LLC</t>
  </si>
  <si>
    <t xml:space="preserve">5674172696</t>
  </si>
  <si>
    <t xml:space="preserve">GREATFLORIDA INSURANCE</t>
  </si>
  <si>
    <t xml:space="preserve">AJRANC Insurance Agency, Inc</t>
  </si>
  <si>
    <t xml:space="preserve">Fund Simple</t>
  </si>
  <si>
    <t xml:space="preserve">5674172718</t>
  </si>
  <si>
    <t xml:space="preserve">nisa thai cuisine</t>
  </si>
  <si>
    <t xml:space="preserve">5674172721</t>
  </si>
  <si>
    <t xml:space="preserve">5674172739</t>
  </si>
  <si>
    <t xml:space="preserve">5674172769</t>
  </si>
  <si>
    <t xml:space="preserve">PAYPERCALL.IO</t>
  </si>
  <si>
    <t xml:space="preserve">ARTLIVESTUDIOS</t>
  </si>
  <si>
    <t xml:space="preserve">5674172792</t>
  </si>
  <si>
    <t xml:space="preserve">Recovery Ranch</t>
  </si>
  <si>
    <t xml:space="preserve">RECOVERY RANCH LLC</t>
  </si>
  <si>
    <t xml:space="preserve">6361</t>
  </si>
  <si>
    <t xml:space="preserve">5674172805</t>
  </si>
  <si>
    <t xml:space="preserve">5674172827</t>
  </si>
  <si>
    <t xml:space="preserve">5674172831</t>
  </si>
  <si>
    <t xml:space="preserve">PROFIX</t>
  </si>
  <si>
    <t xml:space="preserve">MXCONCEPTS LLC</t>
  </si>
  <si>
    <t xml:space="preserve">5674172872</t>
  </si>
  <si>
    <t xml:space="preserve">ROYS INDUSTRAIL POWER EQ.</t>
  </si>
  <si>
    <t xml:space="preserve">Vital Funding</t>
  </si>
  <si>
    <t xml:space="preserve">5674172902</t>
  </si>
  <si>
    <t xml:space="preserve">THE A&amp;N TEAM THE A DBA THE VIEW DBA VIEW RESTAURANT &amp; LOUNGE DBA RANA MACK MBR</t>
  </si>
  <si>
    <t xml:space="preserve">THE A&amp;N TEAM LLC</t>
  </si>
  <si>
    <t xml:space="preserve">5674172925</t>
  </si>
  <si>
    <t xml:space="preserve">Map and Map</t>
  </si>
  <si>
    <t xml:space="preserve">5674172929</t>
  </si>
  <si>
    <t xml:space="preserve">PEOPLE UNITED OF LOUISIANA LLC</t>
  </si>
  <si>
    <t xml:space="preserve">Dubbs holding</t>
  </si>
  <si>
    <t xml:space="preserve">5674172938</t>
  </si>
  <si>
    <t xml:space="preserve">Creatuity</t>
  </si>
  <si>
    <t xml:space="preserve">Creatuity Corp</t>
  </si>
  <si>
    <t xml:space="preserve">7353</t>
  </si>
  <si>
    <t xml:space="preserve">5674172976</t>
  </si>
  <si>
    <t xml:space="preserve">SMASHBURGER, SMASHBURGER 1787, SMASHBURGER 1788</t>
  </si>
  <si>
    <t xml:space="preserve">C4 Enterprises, LLC</t>
  </si>
  <si>
    <t xml:space="preserve">black flag funding</t>
  </si>
  <si>
    <t xml:space="preserve">5674173014</t>
  </si>
  <si>
    <t xml:space="preserve">5674173041</t>
  </si>
  <si>
    <t xml:space="preserve">Firehouse Pizza</t>
  </si>
  <si>
    <t xml:space="preserve">Osvan Inc.</t>
  </si>
  <si>
    <t xml:space="preserve">5674173055</t>
  </si>
  <si>
    <t xml:space="preserve">PRESTIGE CARE PLLC</t>
  </si>
  <si>
    <t xml:space="preserve">5674173101</t>
  </si>
  <si>
    <t xml:space="preserve">Oscar Mike Security</t>
  </si>
  <si>
    <t xml:space="preserve">5674173153</t>
  </si>
  <si>
    <t xml:space="preserve">Solution Auto Center LLC</t>
  </si>
  <si>
    <t xml:space="preserve">5674173197</t>
  </si>
  <si>
    <t xml:space="preserve">PARK HEAVY HAUL LLC</t>
  </si>
  <si>
    <t xml:space="preserve">5674173257</t>
  </si>
  <si>
    <t xml:space="preserve">FLORES HOME COOKING</t>
  </si>
  <si>
    <t xml:space="preserve">LINDA MARIANA LUNA</t>
  </si>
  <si>
    <t xml:space="preserve">5674173261</t>
  </si>
  <si>
    <t xml:space="preserve">More Clean of Texas</t>
  </si>
  <si>
    <t xml:space="preserve">Watts Enterprises LLc</t>
  </si>
  <si>
    <t xml:space="preserve">SNA Capital source</t>
  </si>
  <si>
    <t xml:space="preserve">5674173324</t>
  </si>
  <si>
    <t xml:space="preserve">SilentG Consulting, LLC</t>
  </si>
  <si>
    <t xml:space="preserve">NV</t>
  </si>
  <si>
    <t xml:space="preserve">5674173334</t>
  </si>
  <si>
    <t xml:space="preserve">Robinson Law Firm LLC</t>
  </si>
  <si>
    <t xml:space="preserve">8111</t>
  </si>
  <si>
    <t xml:space="preserve">81</t>
  </si>
  <si>
    <t xml:space="preserve">Linked In Funding</t>
  </si>
  <si>
    <t xml:space="preserve">5674173340</t>
  </si>
  <si>
    <t xml:space="preserve">SC GROUP LLC</t>
  </si>
  <si>
    <t xml:space="preserve">7629</t>
  </si>
  <si>
    <t xml:space="preserve">76</t>
  </si>
  <si>
    <t xml:space="preserve">5674173377</t>
  </si>
  <si>
    <t xml:space="preserve">Aero Systems LLC</t>
  </si>
  <si>
    <t xml:space="preserve">5674173462</t>
  </si>
  <si>
    <t xml:space="preserve">F AND K HOMECARE SERVICES LLC</t>
  </si>
  <si>
    <t xml:space="preserve">5674173466</t>
  </si>
  <si>
    <t xml:space="preserve">CASTROS CARGO EXPRESS LLC</t>
  </si>
  <si>
    <t xml:space="preserve">5674173467</t>
  </si>
  <si>
    <t xml:space="preserve">B&amp;T Construction And Remodels</t>
  </si>
  <si>
    <t xml:space="preserve">B&amp;T CONSTRUCTION AND REMODELS LLC</t>
  </si>
  <si>
    <t xml:space="preserve">5674173477</t>
  </si>
  <si>
    <t xml:space="preserve">SFV BUILDERS CORPORATION</t>
  </si>
  <si>
    <t xml:space="preserve">BizFin LLC</t>
  </si>
  <si>
    <t xml:space="preserve">5674173492</t>
  </si>
  <si>
    <t xml:space="preserve">1234 ENTERPRISES INC.</t>
  </si>
  <si>
    <t xml:space="preserve">5674173525</t>
  </si>
  <si>
    <t xml:space="preserve">PIG COW SPUD LLC</t>
  </si>
  <si>
    <t xml:space="preserve">5674173531</t>
  </si>
  <si>
    <t xml:space="preserve">IMPORT AUTOMOTIVE REPAIR</t>
  </si>
  <si>
    <t xml:space="preserve">TK FAMILY LLC</t>
  </si>
  <si>
    <t xml:space="preserve">5674173574</t>
  </si>
  <si>
    <t xml:space="preserve">VITALIS WELLNESS CENTER</t>
  </si>
  <si>
    <t xml:space="preserve">VITALIS WELLNESS CENTER LLC</t>
  </si>
  <si>
    <t xml:space="preserve">5674173588</t>
  </si>
  <si>
    <t xml:space="preserve">Bailey's Auto Crushing &amp; Recycling</t>
  </si>
  <si>
    <t xml:space="preserve">ROBERT M BAILEY</t>
  </si>
  <si>
    <t xml:space="preserve">3465</t>
  </si>
  <si>
    <t xml:space="preserve">Birkin Capital Inc</t>
  </si>
  <si>
    <t xml:space="preserve">5674173593</t>
  </si>
  <si>
    <t xml:space="preserve">YOUNGSTOWN FOOD MART</t>
  </si>
  <si>
    <t xml:space="preserve">5674173607</t>
  </si>
  <si>
    <t xml:space="preserve">5674173616</t>
  </si>
  <si>
    <t xml:space="preserve">5674173621</t>
  </si>
  <si>
    <t xml:space="preserve">AS ONE TRANSPORTATION</t>
  </si>
  <si>
    <t xml:space="preserve">5674173625</t>
  </si>
  <si>
    <t xml:space="preserve">JWS OUTPOST 421 LLC</t>
  </si>
  <si>
    <t xml:space="preserve">5674173638</t>
  </si>
  <si>
    <t xml:space="preserve">GENERATOR SUPERCENTER OF ORLANDO</t>
  </si>
  <si>
    <t xml:space="preserve">CENTRAL BACKUP LLC</t>
  </si>
  <si>
    <t xml:space="preserve">3621</t>
  </si>
  <si>
    <t xml:space="preserve">5674173690</t>
  </si>
  <si>
    <t xml:space="preserve">Discovery Water Management LLC.</t>
  </si>
  <si>
    <t xml:space="preserve">1623</t>
  </si>
  <si>
    <t xml:space="preserve">5674173726</t>
  </si>
  <si>
    <t xml:space="preserve">BLACKBURN BUSINESS MANAGEMENT</t>
  </si>
  <si>
    <t xml:space="preserve">BLACKBURN BUSINESS MANAGEMENT LLC</t>
  </si>
  <si>
    <t xml:space="preserve">5674173770</t>
  </si>
  <si>
    <t xml:space="preserve">CP INFINITY CONSULTING LLC</t>
  </si>
  <si>
    <t xml:space="preserve">5674173789</t>
  </si>
  <si>
    <t xml:space="preserve">BAD HABITS</t>
  </si>
  <si>
    <t xml:space="preserve">BAD HABITS HTX LLC</t>
  </si>
  <si>
    <t xml:space="preserve">7911</t>
  </si>
  <si>
    <t xml:space="preserve">5674173818</t>
  </si>
  <si>
    <t xml:space="preserve">PAGANOTTIS CLEANING SERVICES</t>
  </si>
  <si>
    <t xml:space="preserve">PAGANOTTIS CLEANING SERVICES INC</t>
  </si>
  <si>
    <t xml:space="preserve">7217</t>
  </si>
  <si>
    <t xml:space="preserve">5674173826</t>
  </si>
  <si>
    <t xml:space="preserve">PANZA XPRESS INC</t>
  </si>
  <si>
    <t xml:space="preserve">5674173833</t>
  </si>
  <si>
    <t xml:space="preserve">TACOS BROTHERS LLC</t>
  </si>
  <si>
    <t xml:space="preserve">5674173877</t>
  </si>
  <si>
    <t xml:space="preserve">5674173879</t>
  </si>
  <si>
    <t xml:space="preserve">mobilized retail marketing</t>
  </si>
  <si>
    <t xml:space="preserve">moreable llc</t>
  </si>
  <si>
    <t xml:space="preserve">4813</t>
  </si>
  <si>
    <t xml:space="preserve">5674173880</t>
  </si>
  <si>
    <t xml:space="preserve">Platinum distribution services LLC</t>
  </si>
  <si>
    <t xml:space="preserve">3537</t>
  </si>
  <si>
    <t xml:space="preserve">5674173916</t>
  </si>
  <si>
    <t xml:space="preserve">Nest protection</t>
  </si>
  <si>
    <t xml:space="preserve">Miami Valley environmental services</t>
  </si>
  <si>
    <t xml:space="preserve">3822</t>
  </si>
  <si>
    <t xml:space="preserve">5674173923</t>
  </si>
  <si>
    <t xml:space="preserve">J SHOP</t>
  </si>
  <si>
    <t xml:space="preserve">JAE H IM</t>
  </si>
  <si>
    <t xml:space="preserve">5674173969</t>
  </si>
  <si>
    <t xml:space="preserve">Recharge Exteriors</t>
  </si>
  <si>
    <t xml:space="preserve">5674173981</t>
  </si>
  <si>
    <t xml:space="preserve">FIRST ELECTRIC</t>
  </si>
  <si>
    <t xml:space="preserve">WNT LLC</t>
  </si>
  <si>
    <t xml:space="preserve">5674173985</t>
  </si>
  <si>
    <t xml:space="preserve">WORKFORCE READY KONCEPTS</t>
  </si>
  <si>
    <t xml:space="preserve">WORKFORCE READY KONCEPTS, LLC</t>
  </si>
  <si>
    <t xml:space="preserve">5674174100</t>
  </si>
  <si>
    <t xml:space="preserve">Fresh Dental</t>
  </si>
  <si>
    <t xml:space="preserve">Fresh Dental LLC</t>
  </si>
  <si>
    <t xml:space="preserve">5674174106</t>
  </si>
  <si>
    <t xml:space="preserve">Mile shop</t>
  </si>
  <si>
    <t xml:space="preserve">MHS shop llc</t>
  </si>
  <si>
    <t xml:space="preserve">5674174119</t>
  </si>
  <si>
    <t xml:space="preserve">VENTURE Vs</t>
  </si>
  <si>
    <t xml:space="preserve">VENTURE V &amp; S LLC</t>
  </si>
  <si>
    <t xml:space="preserve">5674174125</t>
  </si>
  <si>
    <t xml:space="preserve">Diamond M Group</t>
  </si>
  <si>
    <t xml:space="preserve">Bruce A Messer</t>
  </si>
  <si>
    <t xml:space="preserve">5674174148</t>
  </si>
  <si>
    <t xml:space="preserve">Osuna Dental Care</t>
  </si>
  <si>
    <t xml:space="preserve">Chris Y. Kim, DDS LLC</t>
  </si>
  <si>
    <t xml:space="preserve">5674174218</t>
  </si>
  <si>
    <t xml:space="preserve">LOS JIMADORES TEX MEX &amp; TEQUILA FACTORY</t>
  </si>
  <si>
    <t xml:space="preserve">5674174240</t>
  </si>
  <si>
    <t xml:space="preserve">CAROL &amp; COMPANY LLC</t>
  </si>
  <si>
    <t xml:space="preserve">5674174299</t>
  </si>
  <si>
    <t xml:space="preserve">pivotal key</t>
  </si>
  <si>
    <t xml:space="preserve">PIVOTAL KEY, LLC</t>
  </si>
  <si>
    <t xml:space="preserve">6311</t>
  </si>
  <si>
    <t xml:space="preserve">5674174308</t>
  </si>
  <si>
    <t xml:space="preserve">America's Best Vacuum LLC</t>
  </si>
  <si>
    <t xml:space="preserve">5674174336</t>
  </si>
  <si>
    <t xml:space="preserve">SOUTH CITY SHOP LLC</t>
  </si>
  <si>
    <t xml:space="preserve">5674174341</t>
  </si>
  <si>
    <t xml:space="preserve">Triple D Financial Inc</t>
  </si>
  <si>
    <t xml:space="preserve">5674174352</t>
  </si>
  <si>
    <t xml:space="preserve">EVERSAFE</t>
  </si>
  <si>
    <t xml:space="preserve">ElderScan LLC</t>
  </si>
  <si>
    <t xml:space="preserve">5674174365</t>
  </si>
  <si>
    <t xml:space="preserve">5674174367</t>
  </si>
  <si>
    <t xml:space="preserve">Shells and tails</t>
  </si>
  <si>
    <t xml:space="preserve">Shells and tails 2 Geaux</t>
  </si>
  <si>
    <t xml:space="preserve">Bingo advance LLC</t>
  </si>
  <si>
    <t xml:space="preserve">5674174403</t>
  </si>
  <si>
    <t xml:space="preserve">RIVERSIDE AUTOMOTIVE AND TIRE LLC</t>
  </si>
  <si>
    <t xml:space="preserve">5674174433</t>
  </si>
  <si>
    <t xml:space="preserve">Wcs All Immigration Document Service</t>
  </si>
  <si>
    <t xml:space="preserve">WORLD COMPUTER SYSTEMS INC</t>
  </si>
  <si>
    <t xml:space="preserve">LENDCAP SOLUTIONS</t>
  </si>
  <si>
    <t xml:space="preserve">5674174462</t>
  </si>
  <si>
    <t xml:space="preserve">Roseville Walmart Baugus Corporation d/b/a Subway</t>
  </si>
  <si>
    <t xml:space="preserve">Roseville Walmart Baugus Corporation</t>
  </si>
  <si>
    <t xml:space="preserve">5674174514</t>
  </si>
  <si>
    <t xml:space="preserve">Compassionate Heart Services LLC</t>
  </si>
  <si>
    <t xml:space="preserve">5674174537</t>
  </si>
  <si>
    <t xml:space="preserve">ECW lawn &amp; Tree Service LLC</t>
  </si>
  <si>
    <t xml:space="preserve">5674174583</t>
  </si>
  <si>
    <t xml:space="preserve">ELITE ROOFING LLC</t>
  </si>
  <si>
    <t xml:space="preserve">1761</t>
  </si>
  <si>
    <t xml:space="preserve">5674174595</t>
  </si>
  <si>
    <t xml:space="preserve">KNIGHT MAINTENANCE LLC</t>
  </si>
  <si>
    <t xml:space="preserve">5674174626</t>
  </si>
  <si>
    <t xml:space="preserve">PAUGUS BAY LANDSCAPE LLC</t>
  </si>
  <si>
    <t xml:space="preserve">5674174627</t>
  </si>
  <si>
    <t xml:space="preserve">VILLI ELECTRICAL SERVICES</t>
  </si>
  <si>
    <t xml:space="preserve">LUNA LUCE LLC</t>
  </si>
  <si>
    <t xml:space="preserve">5674174652</t>
  </si>
  <si>
    <t xml:space="preserve">PROFESSIONAL SYSTEMS INSTALLATION</t>
  </si>
  <si>
    <t xml:space="preserve">professional systems installation, inc</t>
  </si>
  <si>
    <t xml:space="preserve">4225</t>
  </si>
  <si>
    <t xml:space="preserve">5674174654</t>
  </si>
  <si>
    <t xml:space="preserve">Obys Auto Restoration LLC</t>
  </si>
  <si>
    <t xml:space="preserve">5674174716</t>
  </si>
  <si>
    <t xml:space="preserve">WILLIAMS FIRE PROTECTION</t>
  </si>
  <si>
    <t xml:space="preserve">9224</t>
  </si>
  <si>
    <t xml:space="preserve">92</t>
  </si>
  <si>
    <t xml:space="preserve">5674174762</t>
  </si>
  <si>
    <t xml:space="preserve">5674174763</t>
  </si>
  <si>
    <t xml:space="preserve">Hd Builders And Construction LLC</t>
  </si>
  <si>
    <t xml:space="preserve">5674174814</t>
  </si>
  <si>
    <t xml:space="preserve">LOW-COUNTRY INSURANCE SOLUTIONS</t>
  </si>
  <si>
    <t xml:space="preserve">FORREST S SMITH</t>
  </si>
  <si>
    <t xml:space="preserve">5674174820</t>
  </si>
  <si>
    <t xml:space="preserve">Cream Ridge Golf Course</t>
  </si>
  <si>
    <t xml:space="preserve">CR Golf Management LLC</t>
  </si>
  <si>
    <t xml:space="preserve">7992</t>
  </si>
  <si>
    <t xml:space="preserve">5674174823</t>
  </si>
  <si>
    <t xml:space="preserve">Jacalito Taqueria Inc</t>
  </si>
  <si>
    <t xml:space="preserve">5674174897</t>
  </si>
  <si>
    <t xml:space="preserve">Carlyle Care Clinic PLLC</t>
  </si>
  <si>
    <t xml:space="preserve">5674174903</t>
  </si>
  <si>
    <t xml:space="preserve">JB AUTOMOTIVE REPAIRS, JB AUTOMOTIVE</t>
  </si>
  <si>
    <t xml:space="preserve">WILLIAMS MOBILE LLC</t>
  </si>
  <si>
    <t xml:space="preserve">5674174932</t>
  </si>
  <si>
    <t xml:space="preserve">EL TACO LOCO AL VAPOR II,</t>
  </si>
  <si>
    <t xml:space="preserve">5674174937</t>
  </si>
  <si>
    <t xml:space="preserve">5674174940</t>
  </si>
  <si>
    <t xml:space="preserve">5674174945</t>
  </si>
  <si>
    <t xml:space="preserve">S&amp;R JANITORIAL SERVICE LLC</t>
  </si>
  <si>
    <t xml:space="preserve">5674174958</t>
  </si>
  <si>
    <t xml:space="preserve">Oaceus Insurance Services LLC</t>
  </si>
  <si>
    <t xml:space="preserve">Smith Delliquadri &amp; Co</t>
  </si>
  <si>
    <t xml:space="preserve">5674174960</t>
  </si>
  <si>
    <t xml:space="preserve">PROSPECT MASTER</t>
  </si>
  <si>
    <t xml:space="preserve">PROSPECT MASTER LLC</t>
  </si>
  <si>
    <t xml:space="preserve">5674174968</t>
  </si>
  <si>
    <t xml:space="preserve">Rodeo 29 Bar &amp; Grill</t>
  </si>
  <si>
    <t xml:space="preserve">5674174982</t>
  </si>
  <si>
    <t xml:space="preserve">GEM TAKEOFFS</t>
  </si>
  <si>
    <t xml:space="preserve">1499</t>
  </si>
  <si>
    <t xml:space="preserve">5674175013</t>
  </si>
  <si>
    <t xml:space="preserve">R And R Transit LLC</t>
  </si>
  <si>
    <t xml:space="preserve">5674175022</t>
  </si>
  <si>
    <t xml:space="preserve">FIT MEDICAL SUPPLY LLC</t>
  </si>
  <si>
    <t xml:space="preserve">5674175024</t>
  </si>
  <si>
    <t xml:space="preserve">c BROOKS TRANS LLC</t>
  </si>
  <si>
    <t xml:space="preserve">penco holdings</t>
  </si>
  <si>
    <t xml:space="preserve">5674175027</t>
  </si>
  <si>
    <t xml:space="preserve">A AND K ASSOCIATES</t>
  </si>
  <si>
    <t xml:space="preserve">KAY INVESTMENT INC</t>
  </si>
  <si>
    <t xml:space="preserve">5674175075</t>
  </si>
  <si>
    <t xml:space="preserve">Cider Hill Construction LLC</t>
  </si>
  <si>
    <t xml:space="preserve">THBH investments Limited LLC</t>
  </si>
  <si>
    <t xml:space="preserve">5674175090</t>
  </si>
  <si>
    <t xml:space="preserve">LANDSCAPE ASSOCIATES OF GA</t>
  </si>
  <si>
    <t xml:space="preserve">LANDSCAPE ASSOCIATES OF GA LLC</t>
  </si>
  <si>
    <t xml:space="preserve">5674175097</t>
  </si>
  <si>
    <t xml:space="preserve">NC Top Service LLC</t>
  </si>
  <si>
    <t xml:space="preserve">5674175232</t>
  </si>
  <si>
    <t xml:space="preserve">DABUILT HOMES AND CONSTRUCTION</t>
  </si>
  <si>
    <t xml:space="preserve">Dabuilt Homes and Construction LLC</t>
  </si>
  <si>
    <t xml:space="preserve">MONETCAP</t>
  </si>
  <si>
    <t xml:space="preserve">5674175240</t>
  </si>
  <si>
    <t xml:space="preserve">LIT ELECTRICAL CONTRACTORS</t>
  </si>
  <si>
    <t xml:space="preserve">5674175248</t>
  </si>
  <si>
    <t xml:space="preserve">5674175340</t>
  </si>
  <si>
    <t xml:space="preserve">CROSKEY TRANSPORTATION LLC</t>
  </si>
  <si>
    <t xml:space="preserve">5674175347</t>
  </si>
  <si>
    <t xml:space="preserve">MRG HEALTH</t>
  </si>
  <si>
    <t xml:space="preserve">MRG HEALTH INC</t>
  </si>
  <si>
    <t xml:space="preserve">8099</t>
  </si>
  <si>
    <t xml:space="preserve">5674175350</t>
  </si>
  <si>
    <t xml:space="preserve">MAMA'S &amp; PAPA'S PIZZA GROTTO</t>
  </si>
  <si>
    <t xml:space="preserve">2- FRIENDS, INC.</t>
  </si>
  <si>
    <t xml:space="preserve">5674175372</t>
  </si>
  <si>
    <t xml:space="preserve">Bugged Out Pest Control LLC</t>
  </si>
  <si>
    <t xml:space="preserve">5674175376</t>
  </si>
  <si>
    <t xml:space="preserve">A.L.I.C.E. homecare llc</t>
  </si>
  <si>
    <t xml:space="preserve">peach tree capital</t>
  </si>
  <si>
    <t xml:space="preserve">5674175530</t>
  </si>
  <si>
    <t xml:space="preserve">MARCOS SOULFIRE, LLC</t>
  </si>
  <si>
    <t xml:space="preserve">3021</t>
  </si>
  <si>
    <t xml:space="preserve">30</t>
  </si>
  <si>
    <t xml:space="preserve">5674175538</t>
  </si>
  <si>
    <t xml:space="preserve">C&amp;G Services Systems LLC</t>
  </si>
  <si>
    <t xml:space="preserve">5674175552</t>
  </si>
  <si>
    <t xml:space="preserve">RESOURCE HEALTHCARE</t>
  </si>
  <si>
    <t xml:space="preserve">RESOURCE HEALTHCARE INC</t>
  </si>
  <si>
    <t xml:space="preserve">5674175571</t>
  </si>
  <si>
    <t xml:space="preserve">UNLIMITED BEAUTY LLC</t>
  </si>
  <si>
    <t xml:space="preserve">cenitcapital</t>
  </si>
  <si>
    <t xml:space="preserve">5674175597</t>
  </si>
  <si>
    <t xml:space="preserve">Peak Communication LLC</t>
  </si>
  <si>
    <t xml:space="preserve">3669</t>
  </si>
  <si>
    <t xml:space="preserve">5674175602</t>
  </si>
  <si>
    <t xml:space="preserve">WCW TRANSPORTATION LLC</t>
  </si>
  <si>
    <t xml:space="preserve">5674175609</t>
  </si>
  <si>
    <t xml:space="preserve">5674175655</t>
  </si>
  <si>
    <t xml:space="preserve">Big World Enterprises</t>
  </si>
  <si>
    <t xml:space="preserve">7311</t>
  </si>
  <si>
    <t xml:space="preserve">5674175659</t>
  </si>
  <si>
    <t xml:space="preserve">Buckeye Boring LLC</t>
  </si>
  <si>
    <t xml:space="preserve">5674175701</t>
  </si>
  <si>
    <t xml:space="preserve">NEW BARI PIZZA &amp; CHICKEN</t>
  </si>
  <si>
    <t xml:space="preserve">NEW BARI PIZZA &amp; CHICKEN LLC</t>
  </si>
  <si>
    <t xml:space="preserve">5674175738</t>
  </si>
  <si>
    <t xml:space="preserve">BMP TRADERS</t>
  </si>
  <si>
    <t xml:space="preserve">BMP Traders, LLC</t>
  </si>
  <si>
    <t xml:space="preserve">5674175749</t>
  </si>
  <si>
    <t xml:space="preserve">AJ Smith Transport LLC</t>
  </si>
  <si>
    <t xml:space="preserve">4731</t>
  </si>
  <si>
    <t xml:space="preserve">5674175773</t>
  </si>
  <si>
    <t xml:space="preserve">Yogurtland sendero</t>
  </si>
  <si>
    <t xml:space="preserve">Flavorlust llc</t>
  </si>
  <si>
    <t xml:space="preserve">Simply capital source inc</t>
  </si>
  <si>
    <t xml:space="preserve">5674175779</t>
  </si>
  <si>
    <t xml:space="preserve">Cuevas Heating &amp; Air LLC</t>
  </si>
  <si>
    <t xml:space="preserve">3433</t>
  </si>
  <si>
    <t xml:space="preserve">5674175819</t>
  </si>
  <si>
    <t xml:space="preserve">JABC SERVICES GROUP LLC</t>
  </si>
  <si>
    <t xml:space="preserve">5674175833</t>
  </si>
  <si>
    <t xml:space="preserve">TOP TO BOTTOM INC</t>
  </si>
  <si>
    <t xml:space="preserve">5674175850</t>
  </si>
  <si>
    <t xml:space="preserve">GenZy Clothing</t>
  </si>
  <si>
    <t xml:space="preserve">GENZ FASHION LLC</t>
  </si>
  <si>
    <t xml:space="preserve">5674175861</t>
  </si>
  <si>
    <t xml:space="preserve">MudHen Brewing Company</t>
  </si>
  <si>
    <t xml:space="preserve">BS Liquor, LLC</t>
  </si>
  <si>
    <t xml:space="preserve">5674175888</t>
  </si>
  <si>
    <t xml:space="preserve">4729</t>
  </si>
  <si>
    <t xml:space="preserve">5674175897</t>
  </si>
  <si>
    <t xml:space="preserve">Daurden Arts LLC</t>
  </si>
  <si>
    <t xml:space="preserve">5674175932</t>
  </si>
  <si>
    <t xml:space="preserve">S&amp;K Property Services LLC</t>
  </si>
  <si>
    <t xml:space="preserve">5674175945</t>
  </si>
  <si>
    <t xml:space="preserve">5674176005</t>
  </si>
  <si>
    <t xml:space="preserve">S&amp;D ELECTRIC</t>
  </si>
  <si>
    <t xml:space="preserve">S&amp;D Electric, LLC</t>
  </si>
  <si>
    <t xml:space="preserve">ecp business capital</t>
  </si>
  <si>
    <t xml:space="preserve">5674176016</t>
  </si>
  <si>
    <t xml:space="preserve">5674176019</t>
  </si>
  <si>
    <t xml:space="preserve">A-1 CEMENT FINISHING &amp; BOBCAT WORK</t>
  </si>
  <si>
    <t xml:space="preserve">ALAN L LINDSEY</t>
  </si>
  <si>
    <t xml:space="preserve">5674176020</t>
  </si>
  <si>
    <t xml:space="preserve">5674176053</t>
  </si>
  <si>
    <t xml:space="preserve">ANB PASTRY EMPIRE</t>
  </si>
  <si>
    <t xml:space="preserve">ANB PASTRY EMPIRE LLC</t>
  </si>
  <si>
    <t xml:space="preserve">5142</t>
  </si>
  <si>
    <t xml:space="preserve">5674176064</t>
  </si>
  <si>
    <t xml:space="preserve">KMT TRUCKING SERVICE LLC</t>
  </si>
  <si>
    <t xml:space="preserve">5674176066</t>
  </si>
  <si>
    <t xml:space="preserve">TOMPKINS TRANSPORTATION</t>
  </si>
  <si>
    <t xml:space="preserve">TOMPKINS TRANSPORTATION LLC</t>
  </si>
  <si>
    <t xml:space="preserve">MADVANCEGRP</t>
  </si>
  <si>
    <t xml:space="preserve">5674176109</t>
  </si>
  <si>
    <t xml:space="preserve">ImpactPro Parts &amp; Supply Inc</t>
  </si>
  <si>
    <t xml:space="preserve">WM Nohle Inc</t>
  </si>
  <si>
    <t xml:space="preserve">5531</t>
  </si>
  <si>
    <t xml:space="preserve">5674176146</t>
  </si>
  <si>
    <t xml:space="preserve">A &amp; F SERVICES</t>
  </si>
  <si>
    <t xml:space="preserve">I HAUL ASSOCIATES LLC</t>
  </si>
  <si>
    <t xml:space="preserve">5674176152</t>
  </si>
  <si>
    <t xml:space="preserve">QWIK PACK &amp; SHIP</t>
  </si>
  <si>
    <t xml:space="preserve">QWIK PACK &amp; SHIP USA, LLC</t>
  </si>
  <si>
    <t xml:space="preserve">2752</t>
  </si>
  <si>
    <t xml:space="preserve">27</t>
  </si>
  <si>
    <t xml:space="preserve">5674176174</t>
  </si>
  <si>
    <t xml:space="preserve">LONDON'S LITTLE ANGELS LEARNING ACADEMY</t>
  </si>
  <si>
    <t xml:space="preserve">LONDON'S LITTLE ANGELS LEARNING ACADEMY INC</t>
  </si>
  <si>
    <t xml:space="preserve">5674176222</t>
  </si>
  <si>
    <t xml:space="preserve">SAYRAS DBA JQ'S QUICK SHOPPE DBA RED AND WHITE DBA CORNER SHOPPE</t>
  </si>
  <si>
    <t xml:space="preserve">SAYRAS LLC</t>
  </si>
  <si>
    <t xml:space="preserve">Amerishop Financial services</t>
  </si>
  <si>
    <t xml:space="preserve">5674176242</t>
  </si>
  <si>
    <t xml:space="preserve">Hitaway Baseball Training LLC</t>
  </si>
  <si>
    <t xml:space="preserve">HITAWAY BASEBALL TRAINING LLC</t>
  </si>
  <si>
    <t xml:space="preserve">5674176247</t>
  </si>
  <si>
    <t xml:space="preserve">US FOOD TRUCK FACTORY</t>
  </si>
  <si>
    <t xml:space="preserve">NORTHSTAR MILLENIUM LLC</t>
  </si>
  <si>
    <t xml:space="preserve">5674176262</t>
  </si>
  <si>
    <t xml:space="preserve">Marcus, Fairall, Bristol + Co., PLLC</t>
  </si>
  <si>
    <t xml:space="preserve">5674176267</t>
  </si>
  <si>
    <t xml:space="preserve">HJM CONSTRUCTION DBA HOLLY SERVIN MBR</t>
  </si>
  <si>
    <t xml:space="preserve">HJM Construction LLC</t>
  </si>
  <si>
    <t xml:space="preserve">5674176304</t>
  </si>
  <si>
    <t xml:space="preserve">BLUEPRINT GLOBAL USA, LLC</t>
  </si>
  <si>
    <t xml:space="preserve">5674176318</t>
  </si>
  <si>
    <t xml:space="preserve">Tw services llc</t>
  </si>
  <si>
    <t xml:space="preserve">7211</t>
  </si>
  <si>
    <t xml:space="preserve">5674176320</t>
  </si>
  <si>
    <t xml:space="preserve">TJ&amp;ASSOCIATES LLC</t>
  </si>
  <si>
    <t xml:space="preserve">5674176323</t>
  </si>
  <si>
    <t xml:space="preserve">5674176347</t>
  </si>
  <si>
    <t xml:space="preserve">MOISES MARES AGUILAR</t>
  </si>
  <si>
    <t xml:space="preserve">5674176350</t>
  </si>
  <si>
    <t xml:space="preserve">Baby Boss Auto Shop</t>
  </si>
  <si>
    <t xml:space="preserve">Carlos A Jamie</t>
  </si>
  <si>
    <t xml:space="preserve">5674176418</t>
  </si>
  <si>
    <t xml:space="preserve">5674176425</t>
  </si>
  <si>
    <t xml:space="preserve">Hot Lava Agency</t>
  </si>
  <si>
    <t xml:space="preserve">HOT LAVA AGENCY LLC</t>
  </si>
  <si>
    <t xml:space="preserve">0139</t>
  </si>
  <si>
    <t xml:space="preserve">5674176533</t>
  </si>
  <si>
    <t xml:space="preserve">BRIAN K MOTZ DDS PC</t>
  </si>
  <si>
    <t xml:space="preserve">5674176539</t>
  </si>
  <si>
    <t xml:space="preserve">MAPD HELPDESK INSURANCE AGENCY</t>
  </si>
  <si>
    <t xml:space="preserve">Top Floor Advance</t>
  </si>
  <si>
    <t xml:space="preserve">5674176546</t>
  </si>
  <si>
    <t xml:space="preserve">INTOWN DOOR SERVICES</t>
  </si>
  <si>
    <t xml:space="preserve">Intown Door Services LLC</t>
  </si>
  <si>
    <t xml:space="preserve">3442</t>
  </si>
  <si>
    <t xml:space="preserve">5674176547</t>
  </si>
  <si>
    <t xml:space="preserve">MONTROSE CONCRETE, INC.</t>
  </si>
  <si>
    <t xml:space="preserve">5674176597</t>
  </si>
  <si>
    <t xml:space="preserve">Simco Building and Remodeling</t>
  </si>
  <si>
    <t xml:space="preserve">5674176604</t>
  </si>
  <si>
    <t xml:space="preserve">LOS ALVAREZ CONSTRUCTION SERVICE CORP</t>
  </si>
  <si>
    <t xml:space="preserve">5674176627</t>
  </si>
  <si>
    <t xml:space="preserve">SIERRA SHRED</t>
  </si>
  <si>
    <t xml:space="preserve">SIERRA SHRED LLC</t>
  </si>
  <si>
    <t xml:space="preserve">5093</t>
  </si>
  <si>
    <t xml:space="preserve">secure way capital</t>
  </si>
  <si>
    <t xml:space="preserve">5674176677</t>
  </si>
  <si>
    <t xml:space="preserve">T &amp; B LOGISTICS INC</t>
  </si>
  <si>
    <t xml:space="preserve">5674176696</t>
  </si>
  <si>
    <t xml:space="preserve">FIRST GENERATION GASTRONOMY CO</t>
  </si>
  <si>
    <t xml:space="preserve">5674176709</t>
  </si>
  <si>
    <t xml:space="preserve">REP Provisions</t>
  </si>
  <si>
    <t xml:space="preserve">REP Provisions LLC</t>
  </si>
  <si>
    <t xml:space="preserve">5147</t>
  </si>
  <si>
    <t xml:space="preserve">5674176711</t>
  </si>
  <si>
    <t xml:space="preserve">Performance DSD, LLC</t>
  </si>
  <si>
    <t xml:space="preserve">5674176795</t>
  </si>
  <si>
    <t xml:space="preserve">Stampmill Inn</t>
  </si>
  <si>
    <t xml:space="preserve">Renaissance Concepts Llc</t>
  </si>
  <si>
    <t xml:space="preserve">SD</t>
  </si>
  <si>
    <t xml:space="preserve">5674176799</t>
  </si>
  <si>
    <t xml:space="preserve">ONELLA HOME CARE LLC</t>
  </si>
  <si>
    <t xml:space="preserve">5674176820</t>
  </si>
  <si>
    <t xml:space="preserve">Starter Cars</t>
  </si>
  <si>
    <t xml:space="preserve">SCOTT R DEGOL</t>
  </si>
  <si>
    <t xml:space="preserve">5511</t>
  </si>
  <si>
    <t xml:space="preserve">5674176864</t>
  </si>
  <si>
    <t xml:space="preserve">National Food Equipment LLC</t>
  </si>
  <si>
    <t xml:space="preserve">5674176899</t>
  </si>
  <si>
    <t xml:space="preserve">5674176909</t>
  </si>
  <si>
    <t xml:space="preserve">Das Contractors</t>
  </si>
  <si>
    <t xml:space="preserve">5674176973</t>
  </si>
  <si>
    <t xml:space="preserve">Shawnee Litigator Law</t>
  </si>
  <si>
    <t xml:space="preserve">Shelley L Levisay PLLC</t>
  </si>
  <si>
    <t xml:space="preserve">5674176997</t>
  </si>
  <si>
    <t xml:space="preserve">APPALACHIAN LANDSCAPING</t>
  </si>
  <si>
    <t xml:space="preserve">5674177004</t>
  </si>
  <si>
    <t xml:space="preserve">Summit Solar Solutions, LLC</t>
  </si>
  <si>
    <t xml:space="preserve">5674177010</t>
  </si>
  <si>
    <t xml:space="preserve">ABOUT ANYWHERE PORTA POTTY AND SEPTIC LLC</t>
  </si>
  <si>
    <t xml:space="preserve">4959</t>
  </si>
  <si>
    <t xml:space="preserve">Can I Have Money</t>
  </si>
  <si>
    <t xml:space="preserve">5674177016</t>
  </si>
  <si>
    <t xml:space="preserve">RS WELDING CONSTRUCTION LLC</t>
  </si>
  <si>
    <t xml:space="preserve">7692</t>
  </si>
  <si>
    <t xml:space="preserve">5674177060</t>
  </si>
  <si>
    <t xml:space="preserve">WINNING MENTALITY INVESTMENTS</t>
  </si>
  <si>
    <t xml:space="preserve">WINNING MENTALITY INVESTMENTS INC</t>
  </si>
  <si>
    <t xml:space="preserve">5674177082</t>
  </si>
  <si>
    <t xml:space="preserve">RAUL B. RODRIGUEZ LAW PC</t>
  </si>
  <si>
    <t xml:space="preserve">RAUL B. RODRIGUEZ LAW PC.</t>
  </si>
  <si>
    <t xml:space="preserve">Lightning SBA Loans</t>
  </si>
  <si>
    <t xml:space="preserve">5674177100</t>
  </si>
  <si>
    <t xml:space="preserve">Sand Trap Bar &amp; Grill</t>
  </si>
  <si>
    <t xml:space="preserve">C &amp; a Restaurant Group Llc</t>
  </si>
  <si>
    <t xml:space="preserve">5674177103</t>
  </si>
  <si>
    <t xml:space="preserve">JN JA AUTOS</t>
  </si>
  <si>
    <t xml:space="preserve">JN JA Autos, LLC</t>
  </si>
  <si>
    <t xml:space="preserve">5674177114</t>
  </si>
  <si>
    <t xml:space="preserve">MH CONSTRUCTION</t>
  </si>
  <si>
    <t xml:space="preserve">MH Construction Inc.</t>
  </si>
  <si>
    <t xml:space="preserve">5674177115</t>
  </si>
  <si>
    <t xml:space="preserve">BOWL OF FUN LANES LLC</t>
  </si>
  <si>
    <t xml:space="preserve">5674177117</t>
  </si>
  <si>
    <t xml:space="preserve">TEAMWORK TOWN INC</t>
  </si>
  <si>
    <t xml:space="preserve">5674177118</t>
  </si>
  <si>
    <t xml:space="preserve">SKEENS RESTORATION &amp; CONSTRUCTION LLC</t>
  </si>
  <si>
    <t xml:space="preserve">5674177144</t>
  </si>
  <si>
    <t xml:space="preserve">5674177170</t>
  </si>
  <si>
    <t xml:space="preserve">TASHAV'S CARIBBEAN &amp; SOUL FOOD CUISINE</t>
  </si>
  <si>
    <t xml:space="preserve">TASHA'S CARIBBEAN &amp; SOUL FOOD</t>
  </si>
  <si>
    <t xml:space="preserve">5674177183</t>
  </si>
  <si>
    <t xml:space="preserve">5674177232</t>
  </si>
  <si>
    <t xml:space="preserve">Good Living Expositions Inc</t>
  </si>
  <si>
    <t xml:space="preserve">5674177238</t>
  </si>
  <si>
    <t xml:space="preserve">MEHFIL INDIAN BISTRO LLC</t>
  </si>
  <si>
    <t xml:space="preserve">5674177241</t>
  </si>
  <si>
    <t xml:space="preserve">LIL EXPLORERS</t>
  </si>
  <si>
    <t xml:space="preserve">LIL EXPLORERS OF BOERNE LLC</t>
  </si>
  <si>
    <t xml:space="preserve">5674177264</t>
  </si>
  <si>
    <t xml:space="preserve">TANG DYNASTY LLC</t>
  </si>
  <si>
    <t xml:space="preserve">TANG &amp; LLANTINO ENTERPRISES LLC</t>
  </si>
  <si>
    <t xml:space="preserve">5674177267</t>
  </si>
  <si>
    <t xml:space="preserve">JUICE FIX</t>
  </si>
  <si>
    <t xml:space="preserve">JUICE FIX LLC</t>
  </si>
  <si>
    <t xml:space="preserve">5674177318</t>
  </si>
  <si>
    <t xml:space="preserve">SS Property Rental Management LLC</t>
  </si>
  <si>
    <t xml:space="preserve">5674177342</t>
  </si>
  <si>
    <t xml:space="preserve">5674177343</t>
  </si>
  <si>
    <t xml:space="preserve">Homebase</t>
  </si>
  <si>
    <t xml:space="preserve">HOMEBASE DC LLC</t>
  </si>
  <si>
    <t xml:space="preserve">8699</t>
  </si>
  <si>
    <t xml:space="preserve">5674177367</t>
  </si>
  <si>
    <t xml:space="preserve">HOUSTON CONSULTING GROUP LLC</t>
  </si>
  <si>
    <t xml:space="preserve">5674177406</t>
  </si>
  <si>
    <t xml:space="preserve">24 HOURS TOWING AND ROADSIDE LLC</t>
  </si>
  <si>
    <t xml:space="preserve">4499</t>
  </si>
  <si>
    <t xml:space="preserve">44</t>
  </si>
  <si>
    <t xml:space="preserve">5674177418</t>
  </si>
  <si>
    <t xml:space="preserve">COMFORT ZONE EVOLUTION</t>
  </si>
  <si>
    <t xml:space="preserve">COMFORT ZONE EVOLUTION INC</t>
  </si>
  <si>
    <t xml:space="preserve">5712</t>
  </si>
  <si>
    <t xml:space="preserve">57</t>
  </si>
  <si>
    <t xml:space="preserve">5674177420</t>
  </si>
  <si>
    <t xml:space="preserve">5674177428</t>
  </si>
  <si>
    <t xml:space="preserve">5674177451</t>
  </si>
  <si>
    <t xml:space="preserve">JF3 HOLDINGS LLC</t>
  </si>
  <si>
    <t xml:space="preserve">5674177455</t>
  </si>
  <si>
    <t xml:space="preserve">5674177471</t>
  </si>
  <si>
    <t xml:space="preserve">5674177483</t>
  </si>
  <si>
    <t xml:space="preserve">5674177552</t>
  </si>
  <si>
    <t xml:space="preserve">Fjord Builders and Design Partners LLC</t>
  </si>
  <si>
    <t xml:space="preserve">5674177628</t>
  </si>
  <si>
    <t xml:space="preserve">Bland Funeral Home, LLC</t>
  </si>
  <si>
    <t xml:space="preserve">7261</t>
  </si>
  <si>
    <t xml:space="preserve">5674177634</t>
  </si>
  <si>
    <t xml:space="preserve">5674177660</t>
  </si>
  <si>
    <t xml:space="preserve">SURF &amp; TURF STEAKHOUSE</t>
  </si>
  <si>
    <t xml:space="preserve">SURF &amp; TURF STEAKHOUSE LLC</t>
  </si>
  <si>
    <t xml:space="preserve">DE</t>
  </si>
  <si>
    <t xml:space="preserve">5674177701</t>
  </si>
  <si>
    <t xml:space="preserve">5674177709</t>
  </si>
  <si>
    <t xml:space="preserve">JB ACCOUNTING &amp; TAX GROUP AAC</t>
  </si>
  <si>
    <t xml:space="preserve">5674177736</t>
  </si>
  <si>
    <t xml:space="preserve">jaar global LLC</t>
  </si>
  <si>
    <t xml:space="preserve">Upwise capital</t>
  </si>
  <si>
    <t xml:space="preserve">5674177740</t>
  </si>
  <si>
    <t xml:space="preserve">GONMAX SERVICES, INC</t>
  </si>
  <si>
    <t xml:space="preserve">5674177761</t>
  </si>
  <si>
    <t xml:space="preserve">SV FRANCHISE, LLC</t>
  </si>
  <si>
    <t xml:space="preserve">DIRECT CAPITAL SOURCE, INC.</t>
  </si>
  <si>
    <t xml:space="preserve">5674177801</t>
  </si>
  <si>
    <t xml:space="preserve">sunshine rentals and tors</t>
  </si>
  <si>
    <t xml:space="preserve">SUNSHINE RENTALS &amp; TOURS CORP</t>
  </si>
  <si>
    <t xml:space="preserve">5674177803</t>
  </si>
  <si>
    <t xml:space="preserve">B &amp; R TILES INC</t>
  </si>
  <si>
    <t xml:space="preserve">5674177806</t>
  </si>
  <si>
    <t xml:space="preserve">Paul Davis Restoration</t>
  </si>
  <si>
    <t xml:space="preserve">DJSO Enterprises LLC</t>
  </si>
  <si>
    <t xml:space="preserve">5674177859</t>
  </si>
  <si>
    <t xml:space="preserve">PEPE LOGISTICS LLC</t>
  </si>
  <si>
    <t xml:space="preserve">5674177863</t>
  </si>
  <si>
    <t xml:space="preserve">JIMMY IN THE HOUSE SERVICES LLC</t>
  </si>
  <si>
    <t xml:space="preserve">5674177893</t>
  </si>
  <si>
    <t xml:space="preserve">MAPULA LOGISTICS LLC</t>
  </si>
  <si>
    <t xml:space="preserve">5674177920</t>
  </si>
  <si>
    <t xml:space="preserve">SS1 LLC</t>
  </si>
  <si>
    <t xml:space="preserve">5674177940</t>
  </si>
  <si>
    <t xml:space="preserve">RED ROCK STEAKHOUSE &amp; BAR LLC</t>
  </si>
  <si>
    <t xml:space="preserve">5674177941</t>
  </si>
  <si>
    <t xml:space="preserve">SMACK EM SEAFOOD LLC</t>
  </si>
  <si>
    <t xml:space="preserve">5674178034</t>
  </si>
  <si>
    <t xml:space="preserve">5674178048</t>
  </si>
  <si>
    <t xml:space="preserve">Iphone Doctor Of Waco</t>
  </si>
  <si>
    <t xml:space="preserve">5674178051</t>
  </si>
  <si>
    <t xml:space="preserve">LEGACY BARN DOORS INC.</t>
  </si>
  <si>
    <t xml:space="preserve">2531</t>
  </si>
  <si>
    <t xml:space="preserve">5674178068</t>
  </si>
  <si>
    <t xml:space="preserve">Garcia xpress LLC</t>
  </si>
  <si>
    <t xml:space="preserve">GARCIA XPRESS LLC</t>
  </si>
  <si>
    <t xml:space="preserve">5674178074</t>
  </si>
  <si>
    <t xml:space="preserve">J &amp; R CONSTRUCTION</t>
  </si>
  <si>
    <t xml:space="preserve">5674178118</t>
  </si>
  <si>
    <t xml:space="preserve">5674178132</t>
  </si>
  <si>
    <t xml:space="preserve">TOP NOTCH TRAINING GYM LLC</t>
  </si>
  <si>
    <t xml:space="preserve">5674178133</t>
  </si>
  <si>
    <t xml:space="preserve">LEGENDS OFFROAD LLC</t>
  </si>
  <si>
    <t xml:space="preserve">ND</t>
  </si>
  <si>
    <t xml:space="preserve">5674178226</t>
  </si>
  <si>
    <t xml:space="preserve">ASTER PACIFIC LLC</t>
  </si>
  <si>
    <t xml:space="preserve">5674178229</t>
  </si>
  <si>
    <t xml:space="preserve">Beauty Bar Medispa Greenville, PLLC</t>
  </si>
  <si>
    <t xml:space="preserve">5674178256</t>
  </si>
  <si>
    <t xml:space="preserve">ferrox enterprises inc</t>
  </si>
  <si>
    <t xml:space="preserve">5674178317</t>
  </si>
  <si>
    <t xml:space="preserve">Falkon Technologies LLC</t>
  </si>
  <si>
    <t xml:space="preserve">5674178327</t>
  </si>
  <si>
    <t xml:space="preserve">AAMCO of Athens</t>
  </si>
  <si>
    <t xml:space="preserve">RL BARRON HOLDING INC</t>
  </si>
  <si>
    <t xml:space="preserve">5674178331</t>
  </si>
  <si>
    <t xml:space="preserve">Silver &amp; Riley</t>
  </si>
  <si>
    <t xml:space="preserve">5674178399</t>
  </si>
  <si>
    <t xml:space="preserve">Fifth Gear Powersports</t>
  </si>
  <si>
    <t xml:space="preserve">FIFTH GEAR POWERSPORTS LLC</t>
  </si>
  <si>
    <t xml:space="preserve">5674178438</t>
  </si>
  <si>
    <t xml:space="preserve">PARIKH LAW GROUP</t>
  </si>
  <si>
    <t xml:space="preserve">PARIKH LAW GROUP LLC</t>
  </si>
  <si>
    <t xml:space="preserve">5674178491</t>
  </si>
  <si>
    <t xml:space="preserve">FIREWATER RESTORATION AND CONSTRUCTION, INC</t>
  </si>
  <si>
    <t xml:space="preserve">5674178516</t>
  </si>
  <si>
    <t xml:space="preserve">DICKINSON FEED &amp; SUPPLY LLC</t>
  </si>
  <si>
    <t xml:space="preserve">0219</t>
  </si>
  <si>
    <t xml:space="preserve">02</t>
  </si>
  <si>
    <t xml:space="preserve">5674178518</t>
  </si>
  <si>
    <t xml:space="preserve">RHINOMACTT LLC</t>
  </si>
  <si>
    <t xml:space="preserve">5674178538</t>
  </si>
  <si>
    <t xml:space="preserve">Southern Power Systems LLC</t>
  </si>
  <si>
    <t xml:space="preserve">5674178553</t>
  </si>
  <si>
    <t xml:space="preserve">T&amp;M BUILDERS AND DESIGN INC</t>
  </si>
  <si>
    <t xml:space="preserve">5674178578</t>
  </si>
  <si>
    <t xml:space="preserve">CITI LIMOUSINE GROUP, INC.</t>
  </si>
  <si>
    <t xml:space="preserve">5674178595</t>
  </si>
  <si>
    <t xml:space="preserve">HUMBLE WELLNESS LLC</t>
  </si>
  <si>
    <t xml:space="preserve">5674178605</t>
  </si>
  <si>
    <t xml:space="preserve">BUFFALO'S CAFE</t>
  </si>
  <si>
    <t xml:space="preserve">B&amp;A HOSPITALITY OF ROME INC</t>
  </si>
  <si>
    <t xml:space="preserve">5674178608</t>
  </si>
  <si>
    <t xml:space="preserve">CJ3 Properties, LLC</t>
  </si>
  <si>
    <t xml:space="preserve">5674178625</t>
  </si>
  <si>
    <t xml:space="preserve">UNCLE TOMY'S ORIGINAL PIZZA</t>
  </si>
  <si>
    <t xml:space="preserve">27TH STREET FOOD LLC</t>
  </si>
  <si>
    <t xml:space="preserve">5674178629</t>
  </si>
  <si>
    <t xml:space="preserve">THE TAMPA BAY COLLARD GREEN FESTIVAL INC</t>
  </si>
  <si>
    <t xml:space="preserve">5674178655</t>
  </si>
  <si>
    <t xml:space="preserve">5674178663</t>
  </si>
  <si>
    <t xml:space="preserve">CORNUCOPIA FARMS LLC</t>
  </si>
  <si>
    <t xml:space="preserve">5674178677</t>
  </si>
  <si>
    <t xml:space="preserve">5674178697</t>
  </si>
  <si>
    <t xml:space="preserve">All inclusive service station Corp</t>
  </si>
  <si>
    <t xml:space="preserve">5674178709</t>
  </si>
  <si>
    <t xml:space="preserve">5674178723</t>
  </si>
  <si>
    <t xml:space="preserve">SYDNEY LB INC</t>
  </si>
  <si>
    <t xml:space="preserve">SABER ASSETS LLC</t>
  </si>
  <si>
    <t xml:space="preserve">5674178730</t>
  </si>
  <si>
    <t xml:space="preserve">irwin printing company inc</t>
  </si>
  <si>
    <t xml:space="preserve">5674178733</t>
  </si>
  <si>
    <t xml:space="preserve">JRRE CONSULTING</t>
  </si>
  <si>
    <t xml:space="preserve">JRRE CONSULTING LLC</t>
  </si>
  <si>
    <t xml:space="preserve">5674178740</t>
  </si>
  <si>
    <t xml:space="preserve">K &amp; R DEVELOPMENT</t>
  </si>
  <si>
    <t xml:space="preserve">K &amp; R DEVELOPMENT LLC</t>
  </si>
  <si>
    <t xml:space="preserve">bridge consolidation</t>
  </si>
  <si>
    <t xml:space="preserve">5674178759</t>
  </si>
  <si>
    <t xml:space="preserve">EL Fogon Restobar and Grill</t>
  </si>
  <si>
    <t xml:space="preserve">5674178767</t>
  </si>
  <si>
    <t xml:space="preserve">Simpl Construction</t>
  </si>
  <si>
    <t xml:space="preserve">5674178782</t>
  </si>
  <si>
    <t xml:space="preserve">Kc Pharmaceuticals, Inc.</t>
  </si>
  <si>
    <t xml:space="preserve">2834</t>
  </si>
  <si>
    <t xml:space="preserve">5674178840</t>
  </si>
  <si>
    <t xml:space="preserve">4492</t>
  </si>
  <si>
    <t xml:space="preserve">Atla Finance</t>
  </si>
  <si>
    <t xml:space="preserve">5674178857</t>
  </si>
  <si>
    <t xml:space="preserve">AMINO PHARM LLC</t>
  </si>
  <si>
    <t xml:space="preserve">5674178874</t>
  </si>
  <si>
    <t xml:space="preserve">Precision Home Builders</t>
  </si>
  <si>
    <t xml:space="preserve">PHB LLC</t>
  </si>
  <si>
    <t xml:space="preserve">5674178880</t>
  </si>
  <si>
    <t xml:space="preserve">5674178899</t>
  </si>
  <si>
    <t xml:space="preserve">DLW Remodeling</t>
  </si>
  <si>
    <t xml:space="preserve">DL Woolfolk Group LLC</t>
  </si>
  <si>
    <t xml:space="preserve">5674178958</t>
  </si>
  <si>
    <t xml:space="preserve">5674178970</t>
  </si>
  <si>
    <t xml:space="preserve">SST Brands</t>
  </si>
  <si>
    <t xml:space="preserve">Heads Up Headcare LLC</t>
  </si>
  <si>
    <t xml:space="preserve">YM ventures</t>
  </si>
  <si>
    <t xml:space="preserve">5674178988</t>
  </si>
  <si>
    <t xml:space="preserve">5674179033</t>
  </si>
  <si>
    <t xml:space="preserve">Hatmaker Holdings LLC</t>
  </si>
  <si>
    <t xml:space="preserve">5674179054</t>
  </si>
  <si>
    <t xml:space="preserve">GREENMART DESIGN &amp; LANDSCAPE LLC</t>
  </si>
  <si>
    <t xml:space="preserve">5674179089</t>
  </si>
  <si>
    <t xml:space="preserve">JT LLC RENOVATIONS LLC</t>
  </si>
  <si>
    <t xml:space="preserve">5674179094</t>
  </si>
  <si>
    <t xml:space="preserve">5674179109</t>
  </si>
  <si>
    <t xml:space="preserve">2521</t>
  </si>
  <si>
    <t xml:space="preserve">5674179123</t>
  </si>
  <si>
    <t xml:space="preserve">MICA WASTE &amp; RECYCLING LLC</t>
  </si>
  <si>
    <t xml:space="preserve">5674179183</t>
  </si>
  <si>
    <t xml:space="preserve">5674179187</t>
  </si>
  <si>
    <t xml:space="preserve">5674179218</t>
  </si>
  <si>
    <t xml:space="preserve">5674179253</t>
  </si>
  <si>
    <t xml:space="preserve">WESTBROOK AUTOMOTIVE</t>
  </si>
  <si>
    <t xml:space="preserve">WESTBROOK AUTOMOTIVE, INC.</t>
  </si>
  <si>
    <t xml:space="preserve">5674179297</t>
  </si>
  <si>
    <t xml:space="preserve">Smile with care Dental of Colorado</t>
  </si>
  <si>
    <t xml:space="preserve">Smile with Care dental of Colorado</t>
  </si>
  <si>
    <t xml:space="preserve">5674179304</t>
  </si>
  <si>
    <t xml:space="preserve">Lewisville Holding, LLC</t>
  </si>
  <si>
    <t xml:space="preserve">7359</t>
  </si>
  <si>
    <t xml:space="preserve">5674179307</t>
  </si>
  <si>
    <t xml:space="preserve">TAN LOC DBA THINH AN KITCHEN &amp; TOFU</t>
  </si>
  <si>
    <t xml:space="preserve">TAN LOC LLC</t>
  </si>
  <si>
    <t xml:space="preserve">5674179309</t>
  </si>
  <si>
    <t xml:space="preserve">A.A. Law Movers inc</t>
  </si>
  <si>
    <t xml:space="preserve">5674179322</t>
  </si>
  <si>
    <t xml:space="preserve">SBC Xicato Corporation</t>
  </si>
  <si>
    <t xml:space="preserve">3648</t>
  </si>
  <si>
    <t xml:space="preserve">5674179346</t>
  </si>
  <si>
    <t xml:space="preserve">MANNY HALLEY PRODUCTIONS, IMANI MEDIA GROUP</t>
  </si>
  <si>
    <t xml:space="preserve">A MANNY HALLEY PRODUCTIONS LLC</t>
  </si>
  <si>
    <t xml:space="preserve">7819</t>
  </si>
  <si>
    <t xml:space="preserve">78</t>
  </si>
  <si>
    <t xml:space="preserve">5674179360</t>
  </si>
  <si>
    <t xml:space="preserve">VENTURE V</t>
  </si>
  <si>
    <t xml:space="preserve">5674179363</t>
  </si>
  <si>
    <t xml:space="preserve">Mully's Pub &amp; Patio</t>
  </si>
  <si>
    <t xml:space="preserve">Mulherin Hospitality LLC</t>
  </si>
  <si>
    <t xml:space="preserve">5674179380</t>
  </si>
  <si>
    <t xml:space="preserve">CS CONSTRUCTORS LLC</t>
  </si>
  <si>
    <t xml:space="preserve">5674179404</t>
  </si>
  <si>
    <t xml:space="preserve">K M Construction</t>
  </si>
  <si>
    <t xml:space="preserve">matthew page</t>
  </si>
  <si>
    <t xml:space="preserve">5674179410</t>
  </si>
  <si>
    <t xml:space="preserve">COASTAL PIER AND BOATHOUSE</t>
  </si>
  <si>
    <t xml:space="preserve">Coastal Pier And Boathouse, LLC</t>
  </si>
  <si>
    <t xml:space="preserve">4491</t>
  </si>
  <si>
    <t xml:space="preserve">5674179424</t>
  </si>
  <si>
    <t xml:space="preserve">Wee Thrive Pediatric Therapy Group, Inc</t>
  </si>
  <si>
    <t xml:space="preserve">5674179429</t>
  </si>
  <si>
    <t xml:space="preserve">WATER RESTORATION, INC.</t>
  </si>
  <si>
    <t xml:space="preserve">5674179447</t>
  </si>
  <si>
    <t xml:space="preserve">Apex Autoworx llc</t>
  </si>
  <si>
    <t xml:space="preserve">5674179507</t>
  </si>
  <si>
    <t xml:space="preserve">METAL AND MATH LLC</t>
  </si>
  <si>
    <t xml:space="preserve">5674179535</t>
  </si>
  <si>
    <t xml:space="preserve">KICHI &amp; LEON LLC</t>
  </si>
  <si>
    <t xml:space="preserve">5674179543</t>
  </si>
  <si>
    <t xml:space="preserve">Lion Chef Africa LLC</t>
  </si>
  <si>
    <t xml:space="preserve">5674179580</t>
  </si>
  <si>
    <t xml:space="preserve">WIN ICE LLC</t>
  </si>
  <si>
    <t xml:space="preserve">5674179592</t>
  </si>
  <si>
    <t xml:space="preserve">Line-x Of Santa Maria</t>
  </si>
  <si>
    <t xml:space="preserve">LINE-X OF SANTA MARIA</t>
  </si>
  <si>
    <t xml:space="preserve">5674179602</t>
  </si>
  <si>
    <t xml:space="preserve">Candy Apple Agency</t>
  </si>
  <si>
    <t xml:space="preserve">Candy ent LLC</t>
  </si>
  <si>
    <t xml:space="preserve">Merchant Advance Now</t>
  </si>
  <si>
    <t xml:space="preserve">5674179613</t>
  </si>
  <si>
    <t xml:space="preserve">5674179674</t>
  </si>
  <si>
    <t xml:space="preserve">5674179702</t>
  </si>
  <si>
    <t xml:space="preserve">Creative Learning Child Development Minis</t>
  </si>
  <si>
    <t xml:space="preserve">5674179722</t>
  </si>
  <si>
    <t xml:space="preserve">Shriyas Kitchen</t>
  </si>
  <si>
    <t xml:space="preserve">SILPA'S INTERNATIONAL FOODS LLC</t>
  </si>
  <si>
    <t xml:space="preserve">5674179768</t>
  </si>
  <si>
    <t xml:space="preserve">5149</t>
  </si>
  <si>
    <t xml:space="preserve">5674179778</t>
  </si>
  <si>
    <t xml:space="preserve">RAHAB ADULT FAMILY HOME LLC</t>
  </si>
  <si>
    <t xml:space="preserve">8361</t>
  </si>
  <si>
    <t xml:space="preserve">5674179797</t>
  </si>
  <si>
    <t xml:space="preserve">DIGITAL ASCENSION GROUP</t>
  </si>
  <si>
    <t xml:space="preserve">DIGITAL ASCENSION GROUP LLC, DIGITAL FAMILY OFFICE LLC</t>
  </si>
  <si>
    <t xml:space="preserve">6282</t>
  </si>
  <si>
    <t xml:space="preserve">62</t>
  </si>
  <si>
    <t xml:space="preserve">5674179826</t>
  </si>
  <si>
    <t xml:space="preserve">5674179847</t>
  </si>
  <si>
    <t xml:space="preserve">P&amp;PD WHOLESALE</t>
  </si>
  <si>
    <t xml:space="preserve">Pearls and paper dolls LLC</t>
  </si>
  <si>
    <t xml:space="preserve">5674179855</t>
  </si>
  <si>
    <t xml:space="preserve">5674179857</t>
  </si>
  <si>
    <t xml:space="preserve">Tennex Ventures LLC</t>
  </si>
  <si>
    <t xml:space="preserve">2879</t>
  </si>
  <si>
    <t xml:space="preserve">5674179864</t>
  </si>
  <si>
    <t xml:space="preserve">El Katracho Restaurant LLC</t>
  </si>
  <si>
    <t xml:space="preserve">5674179865</t>
  </si>
  <si>
    <t xml:space="preserve">ORANGE TRANSPORTATION DBA ZIA M SHEIKH  SOLE MBR</t>
  </si>
  <si>
    <t xml:space="preserve">ORANGE TRANSPORTATION LLC</t>
  </si>
  <si>
    <t xml:space="preserve">5674179905</t>
  </si>
  <si>
    <t xml:space="preserve">1Numerica Solutions JCSN Accounting Services</t>
  </si>
  <si>
    <t xml:space="preserve">JCSN Corp</t>
  </si>
  <si>
    <t xml:space="preserve">The Funding Family</t>
  </si>
  <si>
    <t xml:space="preserve">5674179921</t>
  </si>
  <si>
    <t xml:space="preserve">Focus Freight Llc</t>
  </si>
  <si>
    <t xml:space="preserve">upcrunch</t>
  </si>
  <si>
    <t xml:space="preserve">5674179923</t>
  </si>
  <si>
    <t xml:space="preserve">Wood's Landscape Services Inc</t>
  </si>
  <si>
    <t xml:space="preserve">Barlwood Enterprises, LLC</t>
  </si>
  <si>
    <t xml:space="preserve">True Eagle Capital</t>
  </si>
  <si>
    <t xml:space="preserve">5674179949</t>
  </si>
  <si>
    <t xml:space="preserve">JJ MUTTS W&amp;S</t>
  </si>
  <si>
    <t xml:space="preserve">DMV</t>
  </si>
  <si>
    <t xml:space="preserve">Mills  funding group</t>
  </si>
  <si>
    <t xml:space="preserve">5674179963</t>
  </si>
  <si>
    <t xml:space="preserve">kkc partners llc</t>
  </si>
  <si>
    <t xml:space="preserve">5674179984</t>
  </si>
  <si>
    <t xml:space="preserve">H30 TRUCKING LLC</t>
  </si>
  <si>
    <t xml:space="preserve">5674180050</t>
  </si>
  <si>
    <t xml:space="preserve">vecs group llc</t>
  </si>
  <si>
    <t xml:space="preserve">5674180053</t>
  </si>
  <si>
    <t xml:space="preserve">GREEN BOX FOUR LLC</t>
  </si>
  <si>
    <t xml:space="preserve">Swift Business Funding</t>
  </si>
  <si>
    <t xml:space="preserve">5674180082</t>
  </si>
  <si>
    <t xml:space="preserve">EAST BAY WINDOW CLEANING &amp; GENERAL BUILDING MAINTENANCE LLC</t>
  </si>
  <si>
    <t xml:space="preserve">5674180096</t>
  </si>
  <si>
    <t xml:space="preserve">5674180102</t>
  </si>
  <si>
    <t xml:space="preserve">BOOTS TO TRUCKS</t>
  </si>
  <si>
    <t xml:space="preserve">Boots To Trucks Inc.</t>
  </si>
  <si>
    <t xml:space="preserve">5674180126</t>
  </si>
  <si>
    <t xml:space="preserve">SILVER STAR INVESTIGATION</t>
  </si>
  <si>
    <t xml:space="preserve">5674180153</t>
  </si>
  <si>
    <t xml:space="preserve">One Day Real Estate Services Llc</t>
  </si>
  <si>
    <t xml:space="preserve">5674180155</t>
  </si>
  <si>
    <t xml:space="preserve">Earl Ives Painting LLC</t>
  </si>
  <si>
    <t xml:space="preserve">5674180160</t>
  </si>
  <si>
    <t xml:space="preserve">JS4 Trucking</t>
  </si>
  <si>
    <t xml:space="preserve">JS4 TRUCKING INC</t>
  </si>
  <si>
    <t xml:space="preserve">5674180163</t>
  </si>
  <si>
    <t xml:space="preserve">FIVE STARZ LOGISTICS DBA FIVE STARZ TRUCKING INC</t>
  </si>
  <si>
    <t xml:space="preserve">FIVE STARZ LOGISTICS INCORPORATED</t>
  </si>
  <si>
    <t xml:space="preserve">5674180170</t>
  </si>
  <si>
    <t xml:space="preserve">Southern Emblem Inc</t>
  </si>
  <si>
    <t xml:space="preserve">5674180179</t>
  </si>
  <si>
    <t xml:space="preserve">scrubs4u</t>
  </si>
  <si>
    <t xml:space="preserve">scrub 4 U corp</t>
  </si>
  <si>
    <t xml:space="preserve">5674180203</t>
  </si>
  <si>
    <t xml:space="preserve">Nest Protection Plan</t>
  </si>
  <si>
    <t xml:space="preserve">Miami Valley Environmental Services LLC</t>
  </si>
  <si>
    <t xml:space="preserve">8999</t>
  </si>
  <si>
    <t xml:space="preserve">89</t>
  </si>
  <si>
    <t xml:space="preserve">5674180207</t>
  </si>
  <si>
    <t xml:space="preserve">BLU POWER SOLUTIONS DBA YORIKO S CARREON SOLE MBR</t>
  </si>
  <si>
    <t xml:space="preserve">BLU POWER SOLUTIONS, LLC</t>
  </si>
  <si>
    <t xml:space="preserve">5674180211</t>
  </si>
  <si>
    <t xml:space="preserve">ON MY WAY EXPRESS</t>
  </si>
  <si>
    <t xml:space="preserve">ON MY WAY EXPRESS LLC</t>
  </si>
  <si>
    <t xml:space="preserve">5674180214</t>
  </si>
  <si>
    <t xml:space="preserve">KABOB VILLAGE</t>
  </si>
  <si>
    <t xml:space="preserve">KABOB VILLAGE VIP CALABASAS</t>
  </si>
  <si>
    <t xml:space="preserve">lexington capital holdings</t>
  </si>
  <si>
    <t xml:space="preserve">5674180232</t>
  </si>
  <si>
    <t xml:space="preserve">NOR CAL CONCRETE CUTTING INC.</t>
  </si>
  <si>
    <t xml:space="preserve">NS PRO INC.</t>
  </si>
  <si>
    <t xml:space="preserve">5674180282</t>
  </si>
  <si>
    <t xml:space="preserve">Resurge Insurance Marketing, Inc.</t>
  </si>
  <si>
    <t xml:space="preserve">5674180316</t>
  </si>
  <si>
    <t xml:space="preserve">TK AUTOMOTIVE LOGISTICS SOLUTIONS DBA MARIO DOMINGUEZ SOLE MBR</t>
  </si>
  <si>
    <t xml:space="preserve">TK AUTOMOTIVE LOGISTICS SOLUTIONS LLC</t>
  </si>
  <si>
    <t xml:space="preserve">5674180336</t>
  </si>
  <si>
    <t xml:space="preserve">B.M. Construction Services llc</t>
  </si>
  <si>
    <t xml:space="preserve">5674180350</t>
  </si>
  <si>
    <t xml:space="preserve">Tack Car Rentals LLC</t>
  </si>
  <si>
    <t xml:space="preserve">7514</t>
  </si>
  <si>
    <t xml:space="preserve">5674180390</t>
  </si>
  <si>
    <t xml:space="preserve">SHELTON DIAGNOSTICS INC</t>
  </si>
  <si>
    <t xml:space="preserve">5674180395</t>
  </si>
  <si>
    <t xml:space="preserve">Pixels Investments</t>
  </si>
  <si>
    <t xml:space="preserve">5674180417</t>
  </si>
  <si>
    <t xml:space="preserve">Artkuisine LLC</t>
  </si>
  <si>
    <t xml:space="preserve">Monarch funding Group</t>
  </si>
  <si>
    <t xml:space="preserve">5674180422</t>
  </si>
  <si>
    <t xml:space="preserve">TRES JARDINES LLC</t>
  </si>
  <si>
    <t xml:space="preserve">5674180444</t>
  </si>
  <si>
    <t xml:space="preserve">KLIPPER AUTOMOTIVE</t>
  </si>
  <si>
    <t xml:space="preserve">Klipper Automotive LLC</t>
  </si>
  <si>
    <t xml:space="preserve">5674180467</t>
  </si>
  <si>
    <t xml:space="preserve">G&amp;K Carpet and Flooring LLC</t>
  </si>
  <si>
    <t xml:space="preserve">5674180469</t>
  </si>
  <si>
    <t xml:space="preserve">4 EVER TRUCKING 2 LLC</t>
  </si>
  <si>
    <t xml:space="preserve">5674180473</t>
  </si>
  <si>
    <t xml:space="preserve">5674180478</t>
  </si>
  <si>
    <t xml:space="preserve">The Eklund Companies, INC</t>
  </si>
  <si>
    <t xml:space="preserve">5674180495</t>
  </si>
  <si>
    <t xml:space="preserve">JACK N MARK TRADING</t>
  </si>
  <si>
    <t xml:space="preserve">5674180506</t>
  </si>
  <si>
    <t xml:space="preserve">ONSIGHT HEALTHCARE</t>
  </si>
  <si>
    <t xml:space="preserve">Healthcare Hospitality Group LLC</t>
  </si>
  <si>
    <t xml:space="preserve">8062</t>
  </si>
  <si>
    <t xml:space="preserve">5674180513</t>
  </si>
  <si>
    <t xml:space="preserve">JMJ IT Services Corp</t>
  </si>
  <si>
    <t xml:space="preserve">5674180514</t>
  </si>
  <si>
    <t xml:space="preserve">REYOGMAR TECHNOLOGIES INC</t>
  </si>
  <si>
    <t xml:space="preserve">5674180517</t>
  </si>
  <si>
    <t xml:space="preserve">5674180538</t>
  </si>
  <si>
    <t xml:space="preserve">5674180564</t>
  </si>
  <si>
    <t xml:space="preserve">ANIMAL MICROBIOME ANALYTICS</t>
  </si>
  <si>
    <t xml:space="preserve">Animal Microbiome Analytics, Inc.</t>
  </si>
  <si>
    <t xml:space="preserve">2047</t>
  </si>
  <si>
    <t xml:space="preserve">5674180572</t>
  </si>
  <si>
    <t xml:space="preserve">Virtuous Vices LLC</t>
  </si>
  <si>
    <t xml:space="preserve">Capital 1 Group LLC DBA Tier One Financing LLC</t>
  </si>
  <si>
    <t xml:space="preserve">5674180590</t>
  </si>
  <si>
    <t xml:space="preserve">TTC EVENTS</t>
  </si>
  <si>
    <t xml:space="preserve">THAT TEXAS CREW LLC</t>
  </si>
  <si>
    <t xml:space="preserve">Lemonaid</t>
  </si>
  <si>
    <t xml:space="preserve">5674180677</t>
  </si>
  <si>
    <t xml:space="preserve">BLACKSTACK SECURITY DBA AARON EDWARD BLACK SOLE MBR</t>
  </si>
  <si>
    <t xml:space="preserve">BLACKSTACK SECURITY SERVICES LLC</t>
  </si>
  <si>
    <t xml:space="preserve">6231</t>
  </si>
  <si>
    <t xml:space="preserve">5674180689</t>
  </si>
  <si>
    <t xml:space="preserve">WO-BO FARMS</t>
  </si>
  <si>
    <t xml:space="preserve">DAVID R WOLFINGER</t>
  </si>
  <si>
    <t xml:space="preserve">5674180710</t>
  </si>
  <si>
    <t xml:space="preserve">Green Living Freight</t>
  </si>
  <si>
    <t xml:space="preserve">The Green Living Freight Inc.</t>
  </si>
  <si>
    <t xml:space="preserve">5674180777</t>
  </si>
  <si>
    <t xml:space="preserve">BLULEO TRANSPORT LLC</t>
  </si>
  <si>
    <t xml:space="preserve">5674180785</t>
  </si>
  <si>
    <t xml:space="preserve">5674180794</t>
  </si>
  <si>
    <t xml:space="preserve">EAGLE'S LOGISTIC AND DELIVERIES LLC</t>
  </si>
  <si>
    <t xml:space="preserve">5674180798</t>
  </si>
  <si>
    <t xml:space="preserve">5674180814</t>
  </si>
  <si>
    <t xml:space="preserve">Air duck, chimney, fireplace</t>
  </si>
  <si>
    <t xml:space="preserve">Isnvn LLC</t>
  </si>
  <si>
    <t xml:space="preserve">5674180836</t>
  </si>
  <si>
    <t xml:space="preserve">CRYSTAL STAIRS LLC</t>
  </si>
  <si>
    <t xml:space="preserve">5674180868</t>
  </si>
  <si>
    <t xml:space="preserve">E-Z ELECTRIC LLC</t>
  </si>
  <si>
    <t xml:space="preserve">5674180889</t>
  </si>
  <si>
    <t xml:space="preserve">A Better Child Care 3</t>
  </si>
  <si>
    <t xml:space="preserve">5674180906</t>
  </si>
  <si>
    <t xml:space="preserve">5674180910</t>
  </si>
  <si>
    <t xml:space="preserve">CONSULTANT MANAGEMENT GROUP LLC</t>
  </si>
  <si>
    <t xml:space="preserve">5674180911</t>
  </si>
  <si>
    <t xml:space="preserve">Reece Renovations Inc</t>
  </si>
  <si>
    <t xml:space="preserve">5674180915</t>
  </si>
  <si>
    <t xml:space="preserve">GOLDEN GROVE, USA DBA CAROLINA  NUT TRANSPORT, INC DBA GOLDEN GROVE</t>
  </si>
  <si>
    <t xml:space="preserve">GOLDEN GROVE, USA INC</t>
  </si>
  <si>
    <t xml:space="preserve">5674180929</t>
  </si>
  <si>
    <t xml:space="preserve">Vets 4 Alltrades Dumping And Hauling</t>
  </si>
  <si>
    <t xml:space="preserve">Ace Partners</t>
  </si>
  <si>
    <t xml:space="preserve">5674180949</t>
  </si>
  <si>
    <t xml:space="preserve">Escapade Games</t>
  </si>
  <si>
    <t xml:space="preserve">ZOE ESCAPE LLC</t>
  </si>
  <si>
    <t xml:space="preserve">5674180955</t>
  </si>
  <si>
    <t xml:space="preserve">JERICHO AUDIO/VISUAL, L.L.C.</t>
  </si>
  <si>
    <t xml:space="preserve">3651</t>
  </si>
  <si>
    <t xml:space="preserve">5674180967</t>
  </si>
  <si>
    <t xml:space="preserve">FSP CONTRACTING LLC</t>
  </si>
  <si>
    <t xml:space="preserve">5674181000</t>
  </si>
  <si>
    <t xml:space="preserve">AISB ENTERPRISES, INC.</t>
  </si>
  <si>
    <t xml:space="preserve">7378</t>
  </si>
  <si>
    <t xml:space="preserve">5674181035</t>
  </si>
  <si>
    <t xml:space="preserve">STRAIGHTWAY TRANSPORTATION DBA ANTHONY BETHEL SOLE MBR</t>
  </si>
  <si>
    <t xml:space="preserve">STRAIGHTWAY TRANSPORTATION INC.</t>
  </si>
  <si>
    <t xml:space="preserve">5674181052</t>
  </si>
  <si>
    <t xml:space="preserve">SR UNBOUNDED LLC</t>
  </si>
  <si>
    <t xml:space="preserve">5674181104</t>
  </si>
  <si>
    <t xml:space="preserve">5674181110</t>
  </si>
  <si>
    <t xml:space="preserve">Hollins &amp; Associates</t>
  </si>
  <si>
    <t xml:space="preserve">5674181173</t>
  </si>
  <si>
    <t xml:space="preserve">5674181224</t>
  </si>
  <si>
    <t xml:space="preserve">THP</t>
  </si>
  <si>
    <t xml:space="preserve">RELAXATION GROUP LLC</t>
  </si>
  <si>
    <t xml:space="preserve">5674181227</t>
  </si>
  <si>
    <t xml:space="preserve">SHIINES TRUCKING LLC</t>
  </si>
  <si>
    <t xml:space="preserve">5674181234</t>
  </si>
  <si>
    <t xml:space="preserve">5674181256</t>
  </si>
  <si>
    <t xml:space="preserve">NORTH VALLEY TRANSPORT</t>
  </si>
  <si>
    <t xml:space="preserve">NORTH VALLEY TRANSPORT LLC</t>
  </si>
  <si>
    <t xml:space="preserve">ez alternative solutions</t>
  </si>
  <si>
    <t xml:space="preserve">5674181270</t>
  </si>
  <si>
    <t xml:space="preserve">h-h transport</t>
  </si>
  <si>
    <t xml:space="preserve">H-H transport</t>
  </si>
  <si>
    <t xml:space="preserve">5674181276</t>
  </si>
  <si>
    <t xml:space="preserve">FIRST CLASS REPAIR CORPORATION</t>
  </si>
  <si>
    <t xml:space="preserve">5674181280</t>
  </si>
  <si>
    <t xml:space="preserve">Hecto Group, LLC</t>
  </si>
  <si>
    <t xml:space="preserve">5674181302</t>
  </si>
  <si>
    <t xml:space="preserve">CENTER HARBOR SUTTON HOUSE B&amp;B</t>
  </si>
  <si>
    <t xml:space="preserve">THAIS D ST CLAIR</t>
  </si>
  <si>
    <t xml:space="preserve">5674181345</t>
  </si>
  <si>
    <t xml:space="preserve">5674181352</t>
  </si>
  <si>
    <t xml:space="preserve">Free Flow Plumbing</t>
  </si>
  <si>
    <t xml:space="preserve">FREE FLOW PLUMBING LLC</t>
  </si>
  <si>
    <t xml:space="preserve">5674181355</t>
  </si>
  <si>
    <t xml:space="preserve">ECH TOOLS MATCO DISTRIBUTOR</t>
  </si>
  <si>
    <t xml:space="preserve">3541</t>
  </si>
  <si>
    <t xml:space="preserve">5674181361</t>
  </si>
  <si>
    <t xml:space="preserve">Ur Power Source Llc</t>
  </si>
  <si>
    <t xml:space="preserve">5674181378</t>
  </si>
  <si>
    <t xml:space="preserve">Guided Property Solutions LLC</t>
  </si>
  <si>
    <t xml:space="preserve">5674181380</t>
  </si>
  <si>
    <t xml:space="preserve">5674181387</t>
  </si>
  <si>
    <t xml:space="preserve">TECHNOLOGY INTEGRATORS OF TEXAS</t>
  </si>
  <si>
    <t xml:space="preserve">TECHNOLOGY INTEGRATORS OF TEXAS, LLC</t>
  </si>
  <si>
    <t xml:space="preserve">5674181431</t>
  </si>
  <si>
    <t xml:space="preserve">MC SITE WORK INC</t>
  </si>
  <si>
    <t xml:space="preserve">ALLSTATE FUND PROS LLC</t>
  </si>
  <si>
    <t xml:space="preserve">5674181443</t>
  </si>
  <si>
    <t xml:space="preserve">5674181446</t>
  </si>
  <si>
    <t xml:space="preserve">5674181461</t>
  </si>
  <si>
    <t xml:space="preserve">paredes construction inc</t>
  </si>
  <si>
    <t xml:space="preserve">5674181471</t>
  </si>
  <si>
    <t xml:space="preserve">The Face Place</t>
  </si>
  <si>
    <t xml:space="preserve">Green Chrysalis Enterprise LLC</t>
  </si>
  <si>
    <t xml:space="preserve">5674181477</t>
  </si>
  <si>
    <t xml:space="preserve">GP AUTO SERVICES LLC</t>
  </si>
  <si>
    <t xml:space="preserve">5674181502</t>
  </si>
  <si>
    <t xml:space="preserve">STAYLO GROUP LLC</t>
  </si>
  <si>
    <t xml:space="preserve">5674181521</t>
  </si>
  <si>
    <t xml:space="preserve">5674181523</t>
  </si>
  <si>
    <t xml:space="preserve">5674181642</t>
  </si>
  <si>
    <t xml:space="preserve">Wolf Inn Llc</t>
  </si>
  <si>
    <t xml:space="preserve">5674181662</t>
  </si>
  <si>
    <t xml:space="preserve">BUG BUSTERS LLC</t>
  </si>
  <si>
    <t xml:space="preserve">5674181703</t>
  </si>
  <si>
    <t xml:space="preserve">SANSAN USA</t>
  </si>
  <si>
    <t xml:space="preserve">5674181745</t>
  </si>
  <si>
    <t xml:space="preserve">A &amp; H Sullivan Construction</t>
  </si>
  <si>
    <t xml:space="preserve">A &amp; H Sullivan Construction LLC</t>
  </si>
  <si>
    <t xml:space="preserve">5674181778</t>
  </si>
  <si>
    <t xml:space="preserve">U.S. Moving</t>
  </si>
  <si>
    <t xml:space="preserve">5674181807</t>
  </si>
  <si>
    <t xml:space="preserve">5674181840</t>
  </si>
  <si>
    <t xml:space="preserve">NHI T DAO SOLE PROP</t>
  </si>
  <si>
    <t xml:space="preserve">5674181872</t>
  </si>
  <si>
    <t xml:space="preserve">Matt Gifford Painting LLC</t>
  </si>
  <si>
    <t xml:space="preserve">5674181931</t>
  </si>
  <si>
    <t xml:space="preserve">5674181935</t>
  </si>
  <si>
    <t xml:space="preserve">5674181942</t>
  </si>
  <si>
    <t xml:space="preserve">MCD VETERANS LLC</t>
  </si>
  <si>
    <t xml:space="preserve">5674181949</t>
  </si>
  <si>
    <t xml:space="preserve">1st Choice Realty, LLC</t>
  </si>
  <si>
    <t xml:space="preserve">5674182027</t>
  </si>
  <si>
    <t xml:space="preserve">5674182028</t>
  </si>
  <si>
    <t xml:space="preserve">BSL Construction LLC</t>
  </si>
  <si>
    <t xml:space="preserve">5674182067</t>
  </si>
  <si>
    <t xml:space="preserve">5674182078</t>
  </si>
  <si>
    <t xml:space="preserve">6221</t>
  </si>
  <si>
    <t xml:space="preserve">5674182104</t>
  </si>
  <si>
    <t xml:space="preserve">TAVERN ON THE HILL</t>
  </si>
  <si>
    <t xml:space="preserve">TAVERN ON THE HILL LLC</t>
  </si>
  <si>
    <t xml:space="preserve">5674182144</t>
  </si>
  <si>
    <t xml:space="preserve">REVUP ENTERPRISES LLC</t>
  </si>
  <si>
    <t xml:space="preserve">5674182179</t>
  </si>
  <si>
    <t xml:space="preserve">5674182193</t>
  </si>
  <si>
    <t xml:space="preserve">5674182197</t>
  </si>
  <si>
    <t xml:space="preserve">Brass Kisses</t>
  </si>
  <si>
    <t xml:space="preserve">Douglas Alan, LLC</t>
  </si>
  <si>
    <t xml:space="preserve">5674182220</t>
  </si>
  <si>
    <t xml:space="preserve">Design Mix Solutions</t>
  </si>
  <si>
    <t xml:space="preserve">5039</t>
  </si>
  <si>
    <t xml:space="preserve">5674182236</t>
  </si>
  <si>
    <t xml:space="preserve">FIRST STEPS PEDIATRICS, BRUCE R. LANTRY, MD</t>
  </si>
  <si>
    <t xml:space="preserve">First Steps Pediatrics PLLC</t>
  </si>
  <si>
    <t xml:space="preserve">5674182314</t>
  </si>
  <si>
    <t xml:space="preserve">LUKA CONTRACTING SERVICES LLC</t>
  </si>
  <si>
    <t xml:space="preserve">Lend Bull LLC</t>
  </si>
  <si>
    <t xml:space="preserve">5674182328</t>
  </si>
  <si>
    <t xml:space="preserve">5674182355</t>
  </si>
  <si>
    <t xml:space="preserve">ApexCare</t>
  </si>
  <si>
    <t xml:space="preserve">5674182358</t>
  </si>
  <si>
    <t xml:space="preserve">UPPLICATION LLC</t>
  </si>
  <si>
    <t xml:space="preserve">5674182385</t>
  </si>
  <si>
    <t xml:space="preserve">BARKLEAN CORP</t>
  </si>
  <si>
    <t xml:space="preserve">Credibly</t>
  </si>
  <si>
    <t xml:space="preserve">5674182388</t>
  </si>
  <si>
    <t xml:space="preserve">5674182444</t>
  </si>
  <si>
    <t xml:space="preserve">Gallo Enterprise</t>
  </si>
  <si>
    <t xml:space="preserve">SAGRARIO RAMIREZ-HERNANDEZ SOLE PROP</t>
  </si>
  <si>
    <t xml:space="preserve">5674182475</t>
  </si>
  <si>
    <t xml:space="preserve">5674182494</t>
  </si>
  <si>
    <t xml:space="preserve">5674182516</t>
  </si>
  <si>
    <t xml:space="preserve">DOMINIC'S ITALIAN RESTAURANT</t>
  </si>
  <si>
    <t xml:space="preserve">Dominic the great Inc.</t>
  </si>
  <si>
    <t xml:space="preserve">5674182552</t>
  </si>
  <si>
    <t xml:space="preserve">RL BARRRON HOLDING INC</t>
  </si>
  <si>
    <t xml:space="preserve">5674182566</t>
  </si>
  <si>
    <t xml:space="preserve">Mobile Park Management LLC</t>
  </si>
  <si>
    <t xml:space="preserve">Pro Source Lending Group</t>
  </si>
  <si>
    <t xml:space="preserve">5674182569</t>
  </si>
  <si>
    <t xml:space="preserve">5674182576</t>
  </si>
  <si>
    <t xml:space="preserve">DRTX Facility Maintenance, LLC</t>
  </si>
  <si>
    <t xml:space="preserve">SNB CAPITAL 18 LLC</t>
  </si>
  <si>
    <t xml:space="preserve">5674182583</t>
  </si>
  <si>
    <t xml:space="preserve">Connected Contracting Corp</t>
  </si>
  <si>
    <t xml:space="preserve">5674182601</t>
  </si>
  <si>
    <t xml:space="preserve">Donopoly remodeling expert LLC</t>
  </si>
  <si>
    <t xml:space="preserve">5674182640</t>
  </si>
  <si>
    <t xml:space="preserve">Elk Hotel, LLC Dba</t>
  </si>
  <si>
    <t xml:space="preserve">5674182650</t>
  </si>
  <si>
    <t xml:space="preserve">5674182666</t>
  </si>
  <si>
    <t xml:space="preserve">Immpacto flooring LLc</t>
  </si>
  <si>
    <t xml:space="preserve">5674182695</t>
  </si>
  <si>
    <t xml:space="preserve">5674182765</t>
  </si>
  <si>
    <t xml:space="preserve">5674182775</t>
  </si>
  <si>
    <t xml:space="preserve">M&amp;K Boardroom LLC</t>
  </si>
  <si>
    <t xml:space="preserve">5674182778</t>
  </si>
  <si>
    <t xml:space="preserve">JRA Enterprises LLC</t>
  </si>
  <si>
    <t xml:space="preserve">5674182805</t>
  </si>
  <si>
    <t xml:space="preserve">B &amp; c Hauling LLC</t>
  </si>
  <si>
    <t xml:space="preserve">5674182814</t>
  </si>
  <si>
    <t xml:space="preserve">5674182861</t>
  </si>
  <si>
    <t xml:space="preserve">5674182862</t>
  </si>
  <si>
    <t xml:space="preserve">pops shop</t>
  </si>
  <si>
    <t xml:space="preserve">pops management LLC</t>
  </si>
  <si>
    <t xml:space="preserve">ICG Funding</t>
  </si>
  <si>
    <t xml:space="preserve">5674182949</t>
  </si>
  <si>
    <t xml:space="preserve">5674182983</t>
  </si>
  <si>
    <t xml:space="preserve">MOU LOGISTICS LLC</t>
  </si>
  <si>
    <t xml:space="preserve">5674182986</t>
  </si>
  <si>
    <t xml:space="preserve">5674183018</t>
  </si>
  <si>
    <t xml:space="preserve">Trajum Machine Learning</t>
  </si>
  <si>
    <t xml:space="preserve">5674183058</t>
  </si>
  <si>
    <t xml:space="preserve">B&amp;D Truck and Trailer Repair</t>
  </si>
  <si>
    <t xml:space="preserve">5674183068</t>
  </si>
  <si>
    <t xml:space="preserve">HOOF LAW FIRM</t>
  </si>
  <si>
    <t xml:space="preserve">THE HOOF LAW FIRM PLLC</t>
  </si>
  <si>
    <t xml:space="preserve">5674183070</t>
  </si>
  <si>
    <t xml:space="preserve">Wise Path Recovery Centers</t>
  </si>
  <si>
    <t xml:space="preserve">Westover Project Associates LLC</t>
  </si>
  <si>
    <t xml:space="preserve">5674183112</t>
  </si>
  <si>
    <t xml:space="preserve">Williston Publishing</t>
  </si>
  <si>
    <t xml:space="preserve">2711</t>
  </si>
  <si>
    <t xml:space="preserve">5674183176</t>
  </si>
  <si>
    <t xml:space="preserve">OBrien Mechanical LLC</t>
  </si>
  <si>
    <t xml:space="preserve">5674183201</t>
  </si>
  <si>
    <t xml:space="preserve">Jacbyte Systems and Software</t>
  </si>
  <si>
    <t xml:space="preserve">EPCG LLC</t>
  </si>
  <si>
    <t xml:space="preserve">5674183239</t>
  </si>
  <si>
    <t xml:space="preserve">DOMINICANA BUSINESS</t>
  </si>
  <si>
    <t xml:space="preserve">Dominicana Business INC</t>
  </si>
  <si>
    <t xml:space="preserve">Broadway Advance LLC</t>
  </si>
  <si>
    <t xml:space="preserve">5674183265</t>
  </si>
  <si>
    <t xml:space="preserve">SUPER CLEANER</t>
  </si>
  <si>
    <t xml:space="preserve">KIRAN INCORPORATED INC</t>
  </si>
  <si>
    <t xml:space="preserve">5674183284</t>
  </si>
  <si>
    <t xml:space="preserve">DBA-HOLO TRAK</t>
  </si>
  <si>
    <t xml:space="preserve">ROCKY MOUNTAIN TRACKING, INC</t>
  </si>
  <si>
    <t xml:space="preserve">5674183295</t>
  </si>
  <si>
    <t xml:space="preserve">URSUS VICTOR, LLC</t>
  </si>
  <si>
    <t xml:space="preserve">3629</t>
  </si>
  <si>
    <t xml:space="preserve">5674183308</t>
  </si>
  <si>
    <t xml:space="preserve">5674183319</t>
  </si>
  <si>
    <t xml:space="preserve">Youth Oasis</t>
  </si>
  <si>
    <t xml:space="preserve">5674183324</t>
  </si>
  <si>
    <t xml:space="preserve">WEIPLLC</t>
  </si>
  <si>
    <t xml:space="preserve">5674183362</t>
  </si>
  <si>
    <t xml:space="preserve">John Hebert MD</t>
  </si>
  <si>
    <t xml:space="preserve">5674183368</t>
  </si>
  <si>
    <t xml:space="preserve">OBJECT ORIENTED PARTNERS DBA ZENITH PREP ACADEMY DBA FRANK SONG SOLE MBR</t>
  </si>
  <si>
    <t xml:space="preserve">OBJECT ORIENTED PARTNERS LLC</t>
  </si>
  <si>
    <t xml:space="preserve">5674183390</t>
  </si>
  <si>
    <t xml:space="preserve">5674183401</t>
  </si>
  <si>
    <t xml:space="preserve">Holiday Cafe</t>
  </si>
  <si>
    <t xml:space="preserve">Stephanie Sieg</t>
  </si>
  <si>
    <t xml:space="preserve">lightningfundingsolutions</t>
  </si>
  <si>
    <t xml:space="preserve">5674183472</t>
  </si>
  <si>
    <t xml:space="preserve">SIZZLING BITES</t>
  </si>
  <si>
    <t xml:space="preserve">SIZZLING BITES LLC</t>
  </si>
  <si>
    <t xml:space="preserve">5674183524</t>
  </si>
  <si>
    <t xml:space="preserve">5674183525</t>
  </si>
  <si>
    <t xml:space="preserve">ANDREW R KLAUSNER, P.C. , KLAUSNER JOHNSON LLP</t>
  </si>
  <si>
    <t xml:space="preserve">ANDREW R KLAUSNER A PROFESSIONAL CORPORATION</t>
  </si>
  <si>
    <t xml:space="preserve">5674183565</t>
  </si>
  <si>
    <t xml:space="preserve">PLATINUM PARTNERS EST LLC</t>
  </si>
  <si>
    <t xml:space="preserve">DBS FUNDING GROUP</t>
  </si>
  <si>
    <t xml:space="preserve">5674183566</t>
  </si>
  <si>
    <t xml:space="preserve">5674183568</t>
  </si>
  <si>
    <t xml:space="preserve">The beauty Clinic Med Spa</t>
  </si>
  <si>
    <t xml:space="preserve">THE BEAUTY CLINIC MED SPA INC</t>
  </si>
  <si>
    <t xml:space="preserve">5674183576</t>
  </si>
  <si>
    <t xml:space="preserve">5674183596</t>
  </si>
  <si>
    <t xml:space="preserve">Jordan services llc</t>
  </si>
  <si>
    <t xml:space="preserve">5674183634</t>
  </si>
  <si>
    <t xml:space="preserve">Fiduol sxm llc</t>
  </si>
  <si>
    <t xml:space="preserve">5674183658</t>
  </si>
  <si>
    <t xml:space="preserve">5674183673</t>
  </si>
  <si>
    <t xml:space="preserve">5674183703</t>
  </si>
  <si>
    <t xml:space="preserve">DENVER IMMERSIVE REPERTORY THEATER</t>
  </si>
  <si>
    <t xml:space="preserve">5674183704</t>
  </si>
  <si>
    <t xml:space="preserve">El bombazo Cuban food</t>
  </si>
  <si>
    <t xml:space="preserve">El bombazo Cuban food LLC</t>
  </si>
  <si>
    <t xml:space="preserve">5674183705</t>
  </si>
  <si>
    <t xml:space="preserve">Foreman Logistics Inc.</t>
  </si>
  <si>
    <t xml:space="preserve">5674183724</t>
  </si>
  <si>
    <t xml:space="preserve">5674183726</t>
  </si>
  <si>
    <t xml:space="preserve">Construction of the Texans ILLC</t>
  </si>
  <si>
    <t xml:space="preserve">Construction of the Texans LLC</t>
  </si>
  <si>
    <t xml:space="preserve">5674183750</t>
  </si>
  <si>
    <t xml:space="preserve">CM&amp;M Construction Enterprise LLC</t>
  </si>
  <si>
    <t xml:space="preserve">5674183764</t>
  </si>
  <si>
    <t xml:space="preserve">5674183838</t>
  </si>
  <si>
    <t xml:space="preserve">BARWAAQA CAFE</t>
  </si>
  <si>
    <t xml:space="preserve">BARWAAQA CAFE LLC</t>
  </si>
  <si>
    <t xml:space="preserve">5674183839</t>
  </si>
  <si>
    <t xml:space="preserve">ABOVE AND BEYOND EARLY LEARNERS ACADEMY LLC</t>
  </si>
  <si>
    <t xml:space="preserve">5674183849</t>
  </si>
  <si>
    <t xml:space="preserve">5674183898</t>
  </si>
  <si>
    <t xml:space="preserve">2331</t>
  </si>
  <si>
    <t xml:space="preserve">5674183906</t>
  </si>
  <si>
    <t xml:space="preserve">5674183929</t>
  </si>
  <si>
    <t xml:space="preserve">5674183945</t>
  </si>
  <si>
    <t xml:space="preserve">LEAD MASTERS, INC.</t>
  </si>
  <si>
    <t xml:space="preserve">5674183949</t>
  </si>
  <si>
    <t xml:space="preserve">SILVER STAR INVESTIGATION CORP</t>
  </si>
  <si>
    <t xml:space="preserve">7381</t>
  </si>
  <si>
    <t xml:space="preserve">5674183971</t>
  </si>
  <si>
    <t xml:space="preserve">IVY BROOK ACADEMY</t>
  </si>
  <si>
    <t xml:space="preserve">DANI ACADEMY INC</t>
  </si>
  <si>
    <t xml:space="preserve">5674183985</t>
  </si>
  <si>
    <t xml:space="preserve">Road Logistics Freight LLC</t>
  </si>
  <si>
    <t xml:space="preserve">Financial Express LLC</t>
  </si>
  <si>
    <t xml:space="preserve">5674184007</t>
  </si>
  <si>
    <t xml:space="preserve">TAPCLASSIFIEDS AUTO DBA TAPOVERDRIVE</t>
  </si>
  <si>
    <t xml:space="preserve">TAPCLASSIFIEDS AUTO, INC</t>
  </si>
  <si>
    <t xml:space="preserve">5674184019</t>
  </si>
  <si>
    <t xml:space="preserve">5674184028</t>
  </si>
  <si>
    <t xml:space="preserve">5674184040</t>
  </si>
  <si>
    <t xml:space="preserve">5674184066</t>
  </si>
  <si>
    <t xml:space="preserve">YOUR FAMILY HEALTHCARE</t>
  </si>
  <si>
    <t xml:space="preserve">YOUR FAMILY HEALTHCARE LLC</t>
  </si>
  <si>
    <t xml:space="preserve">5674184091</t>
  </si>
  <si>
    <t xml:space="preserve">Millersroom</t>
  </si>
  <si>
    <t xml:space="preserve">MILLERSROOM LLC, MARQUISE MILLER</t>
  </si>
  <si>
    <t xml:space="preserve">5651</t>
  </si>
  <si>
    <t xml:space="preserve">5674184099</t>
  </si>
  <si>
    <t xml:space="preserve">5674184124</t>
  </si>
  <si>
    <t xml:space="preserve">FLOW KING ROOTER DBA  FLOW KING ROOTER PLUMBING DBA FLOW KING SERVICES LLC</t>
  </si>
  <si>
    <t xml:space="preserve">FLOW KING ROOTER LLC</t>
  </si>
  <si>
    <t xml:space="preserve">5674184146</t>
  </si>
  <si>
    <t xml:space="preserve">5674184158</t>
  </si>
  <si>
    <t xml:space="preserve">The Market by Jennifer's LLC</t>
  </si>
  <si>
    <t xml:space="preserve">5674184186</t>
  </si>
  <si>
    <t xml:space="preserve">5674184207</t>
  </si>
  <si>
    <t xml:space="preserve">5674184225</t>
  </si>
  <si>
    <t xml:space="preserve">5674184228</t>
  </si>
  <si>
    <t xml:space="preserve">5674184235</t>
  </si>
  <si>
    <t xml:space="preserve">5674184236</t>
  </si>
  <si>
    <t xml:space="preserve">5674184273</t>
  </si>
  <si>
    <t xml:space="preserve">American services inc</t>
  </si>
  <si>
    <t xml:space="preserve">7699</t>
  </si>
  <si>
    <t xml:space="preserve">5674184284</t>
  </si>
  <si>
    <t xml:space="preserve">5674184309</t>
  </si>
  <si>
    <t xml:space="preserve">Our House MHSA Inc</t>
  </si>
  <si>
    <t xml:space="preserve">8093</t>
  </si>
  <si>
    <t xml:space="preserve">5674184350</t>
  </si>
  <si>
    <t xml:space="preserve">THE BREAK SPORTS GRILL SARATOGA SPRINGS DBA THE DKBK</t>
  </si>
  <si>
    <t xml:space="preserve">The DKBK LLC</t>
  </si>
  <si>
    <t xml:space="preserve">5674184362</t>
  </si>
  <si>
    <t xml:space="preserve">READY TO ASSEMBLE</t>
  </si>
  <si>
    <t xml:space="preserve">Ready to Assemble inc</t>
  </si>
  <si>
    <t xml:space="preserve">5674184374</t>
  </si>
  <si>
    <t xml:space="preserve">The Edge</t>
  </si>
  <si>
    <t xml:space="preserve">Open Edge, LLC</t>
  </si>
  <si>
    <t xml:space="preserve">Choicecapital Solutions LLC</t>
  </si>
  <si>
    <t xml:space="preserve">5674184447</t>
  </si>
  <si>
    <t xml:space="preserve">5674184485</t>
  </si>
  <si>
    <t xml:space="preserve">ELSE NUTRITION</t>
  </si>
  <si>
    <t xml:space="preserve">ELSE NUTRITION USA INC</t>
  </si>
  <si>
    <t xml:space="preserve">5131</t>
  </si>
  <si>
    <t xml:space="preserve">5674184501</t>
  </si>
  <si>
    <t xml:space="preserve">TITAN MECHANICAL LLC</t>
  </si>
  <si>
    <t xml:space="preserve">5674184525</t>
  </si>
  <si>
    <t xml:space="preserve">TG SPORTSMANS CLUB</t>
  </si>
  <si>
    <t xml:space="preserve">5674184534</t>
  </si>
  <si>
    <t xml:space="preserve">A&amp;W Restaurant</t>
  </si>
  <si>
    <t xml:space="preserve">All American fast food inc</t>
  </si>
  <si>
    <t xml:space="preserve">5674184536</t>
  </si>
  <si>
    <t xml:space="preserve">Army Shop</t>
  </si>
  <si>
    <t xml:space="preserve">5674184579</t>
  </si>
  <si>
    <t xml:space="preserve">GARY EYE ASSOCIATES, BETTINA LOUISE GARY,</t>
  </si>
  <si>
    <t xml:space="preserve">JAX&amp;RAE OPTOMETRIC LLC</t>
  </si>
  <si>
    <t xml:space="preserve">8042</t>
  </si>
  <si>
    <t xml:space="preserve">5674184583</t>
  </si>
  <si>
    <t xml:space="preserve">Good vibes only entertainment LLC</t>
  </si>
  <si>
    <t xml:space="preserve">5674184598</t>
  </si>
  <si>
    <t xml:space="preserve">BLUE LABEL CONSTRUCTION CO</t>
  </si>
  <si>
    <t xml:space="preserve">5674184619</t>
  </si>
  <si>
    <t xml:space="preserve">ASCG Consulting LLC</t>
  </si>
  <si>
    <t xml:space="preserve">Deal Struck</t>
  </si>
  <si>
    <t xml:space="preserve">5674184661</t>
  </si>
  <si>
    <t xml:space="preserve">Victory Freight Transport, Inc.</t>
  </si>
  <si>
    <t xml:space="preserve">Capfront Funding</t>
  </si>
  <si>
    <t xml:space="preserve">5674184671</t>
  </si>
  <si>
    <t xml:space="preserve">ARROW TRANSPORT LLC</t>
  </si>
  <si>
    <t xml:space="preserve">5674184685</t>
  </si>
  <si>
    <t xml:space="preserve">5674184723</t>
  </si>
  <si>
    <t xml:space="preserve">CIMEX SERVICES LLC</t>
  </si>
  <si>
    <t xml:space="preserve">5674184724</t>
  </si>
  <si>
    <t xml:space="preserve">OLIVARES GARAGE</t>
  </si>
  <si>
    <t xml:space="preserve">OLIVARES GARAGE LLC</t>
  </si>
  <si>
    <t xml:space="preserve">5674184755</t>
  </si>
  <si>
    <t xml:space="preserve">5674184770</t>
  </si>
  <si>
    <t xml:space="preserve">CHALO FAST FOOD</t>
  </si>
  <si>
    <t xml:space="preserve">JUDCRIS LLC</t>
  </si>
  <si>
    <t xml:space="preserve">5674184772</t>
  </si>
  <si>
    <t xml:space="preserve">1-800-Radiators</t>
  </si>
  <si>
    <t xml:space="preserve">C &amp; K Sorgenfrie Corp</t>
  </si>
  <si>
    <t xml:space="preserve">5674184816</t>
  </si>
  <si>
    <t xml:space="preserve">LINDEY'S PRIME STEAKHOUSE</t>
  </si>
  <si>
    <t xml:space="preserve">Lindey's Inc.</t>
  </si>
  <si>
    <t xml:space="preserve">5674184818</t>
  </si>
  <si>
    <t xml:space="preserve">Exhibit Boss LLC</t>
  </si>
  <si>
    <t xml:space="preserve">3993</t>
  </si>
  <si>
    <t xml:space="preserve">5674184839</t>
  </si>
  <si>
    <t xml:space="preserve">First Development</t>
  </si>
  <si>
    <t xml:space="preserve">5674184843</t>
  </si>
  <si>
    <t xml:space="preserve">5674184856</t>
  </si>
  <si>
    <t xml:space="preserve">5674184857</t>
  </si>
  <si>
    <t xml:space="preserve">5674184859</t>
  </si>
  <si>
    <t xml:space="preserve">CAFE KHALIFA INC</t>
  </si>
  <si>
    <t xml:space="preserve">5674184860</t>
  </si>
  <si>
    <t xml:space="preserve">5674184866</t>
  </si>
  <si>
    <t xml:space="preserve">Cokd Regent LLC</t>
  </si>
  <si>
    <t xml:space="preserve">5674184898</t>
  </si>
  <si>
    <t xml:space="preserve">4Rocks Arena</t>
  </si>
  <si>
    <t xml:space="preserve">5674184975</t>
  </si>
  <si>
    <t xml:space="preserve">Eod</t>
  </si>
  <si>
    <t xml:space="preserve">5674184987</t>
  </si>
  <si>
    <t xml:space="preserve">SPOTLESS RESTORATION DBA JEFFREY BENSON MBR</t>
  </si>
  <si>
    <t xml:space="preserve">SPOTLESS RESTORATION LLC</t>
  </si>
  <si>
    <t xml:space="preserve">5674185011</t>
  </si>
  <si>
    <t xml:space="preserve">5674185112</t>
  </si>
  <si>
    <t xml:space="preserve">5674185138</t>
  </si>
  <si>
    <t xml:space="preserve">CREDIBLE AUTO SALES LLC</t>
  </si>
  <si>
    <t xml:space="preserve">5674185185</t>
  </si>
  <si>
    <t xml:space="preserve">Four brothers general merchandise inc</t>
  </si>
  <si>
    <t xml:space="preserve">5674185208</t>
  </si>
  <si>
    <t xml:space="preserve">Wise Water Solutions</t>
  </si>
  <si>
    <t xml:space="preserve">Wise Landscaping LLC</t>
  </si>
  <si>
    <t xml:space="preserve">5674185224</t>
  </si>
  <si>
    <t xml:space="preserve">5674185229</t>
  </si>
  <si>
    <t xml:space="preserve">Santiban Services Group LLC</t>
  </si>
  <si>
    <t xml:space="preserve">5674185236</t>
  </si>
  <si>
    <t xml:space="preserve">3-B'S CONSTRUCTION, LLC</t>
  </si>
  <si>
    <t xml:space="preserve">5674185313</t>
  </si>
  <si>
    <t xml:space="preserve">5674185314</t>
  </si>
  <si>
    <t xml:space="preserve">5674185320</t>
  </si>
  <si>
    <t xml:space="preserve">CHEF ERICS BEST INC</t>
  </si>
  <si>
    <t xml:space="preserve">5674185325</t>
  </si>
  <si>
    <t xml:space="preserve">Rudy LLC</t>
  </si>
  <si>
    <t xml:space="preserve">Clover Capital</t>
  </si>
  <si>
    <t xml:space="preserve">5674185368</t>
  </si>
  <si>
    <t xml:space="preserve">GATEWAY COMICS AND TOYS</t>
  </si>
  <si>
    <t xml:space="preserve">NOVA GATEWAY GROUP LLC , EDWARD P SANDERSON</t>
  </si>
  <si>
    <t xml:space="preserve">5942</t>
  </si>
  <si>
    <t xml:space="preserve">Financity</t>
  </si>
  <si>
    <t xml:space="preserve">5674185371</t>
  </si>
  <si>
    <t xml:space="preserve">Bamboo House Restaurant LLC</t>
  </si>
  <si>
    <t xml:space="preserve">alvara capital</t>
  </si>
  <si>
    <t xml:space="preserve">5674185378</t>
  </si>
  <si>
    <t xml:space="preserve">AMIN TRADING LLC</t>
  </si>
  <si>
    <t xml:space="preserve">5674185386</t>
  </si>
  <si>
    <t xml:space="preserve">QUALITY COMMUNITY HEALTH CARE</t>
  </si>
  <si>
    <t xml:space="preserve">QUALITY COMMUNITY HEALTH CARE, INC.</t>
  </si>
  <si>
    <t xml:space="preserve">5674185390</t>
  </si>
  <si>
    <t xml:space="preserve">CATAMOUNT BUILDERS</t>
  </si>
  <si>
    <t xml:space="preserve">Catamount Builders, Inc</t>
  </si>
  <si>
    <t xml:space="preserve">5674185416</t>
  </si>
  <si>
    <t xml:space="preserve">All dogs hair haven</t>
  </si>
  <si>
    <t xml:space="preserve">CRAWFIS CREATURES INC</t>
  </si>
  <si>
    <t xml:space="preserve">5674185436</t>
  </si>
  <si>
    <t xml:space="preserve">4Play Kitchen &amp; Cocktails</t>
  </si>
  <si>
    <t xml:space="preserve">4Play LLC</t>
  </si>
  <si>
    <t xml:space="preserve">5674185449</t>
  </si>
  <si>
    <t xml:space="preserve">ORGANIZACION DE EVENTOS ZEUS</t>
  </si>
  <si>
    <t xml:space="preserve">ORGANIZACION DE EVENTOS ZEUS LLC</t>
  </si>
  <si>
    <t xml:space="preserve">7941</t>
  </si>
  <si>
    <t xml:space="preserve">5674185504</t>
  </si>
  <si>
    <t xml:space="preserve">CAPITOL INVESTMENT CONSULTANTS, LTD  DBA  WENDY BALICANTA SOLE MBR</t>
  </si>
  <si>
    <t xml:space="preserve">CAPITOL INVESTMENT CONSULTANTS LLC</t>
  </si>
  <si>
    <t xml:space="preserve">5674185547</t>
  </si>
  <si>
    <t xml:space="preserve">HEALTH WELLNESS CLINICCO LLC</t>
  </si>
  <si>
    <t xml:space="preserve">5674185552</t>
  </si>
  <si>
    <t xml:space="preserve">y3ms wireless plus</t>
  </si>
  <si>
    <t xml:space="preserve">Y3MS WIRELESS PLUS LLC</t>
  </si>
  <si>
    <t xml:space="preserve">5674185556</t>
  </si>
  <si>
    <t xml:space="preserve">FIRST CLASS HOME HEALTHCARE SERVICES LLC</t>
  </si>
  <si>
    <t xml:space="preserve">MAGDALENA MARIE DOLBRUS-GREENE</t>
  </si>
  <si>
    <t xml:space="preserve">5674185577</t>
  </si>
  <si>
    <t xml:space="preserve">Borezzo</t>
  </si>
  <si>
    <t xml:space="preserve">Borezzo LLC</t>
  </si>
  <si>
    <t xml:space="preserve">5674185628</t>
  </si>
  <si>
    <t xml:space="preserve">UNITED TARPS</t>
  </si>
  <si>
    <t xml:space="preserve">United Tarps LLC</t>
  </si>
  <si>
    <t xml:space="preserve">2394</t>
  </si>
  <si>
    <t xml:space="preserve">5674185652</t>
  </si>
  <si>
    <t xml:space="preserve">5674185654</t>
  </si>
  <si>
    <t xml:space="preserve">TRANSGLOBAL CONCESSIONS</t>
  </si>
  <si>
    <t xml:space="preserve">Transglobal Concessions LLC</t>
  </si>
  <si>
    <t xml:space="preserve">5674185729</t>
  </si>
  <si>
    <t xml:space="preserve">KOZLENKO&amp;CO LLC</t>
  </si>
  <si>
    <t xml:space="preserve">5674185734</t>
  </si>
  <si>
    <t xml:space="preserve">OLD SAYBROOK GARDEN CENTER</t>
  </si>
  <si>
    <t xml:space="preserve">He did he did LLC</t>
  </si>
  <si>
    <t xml:space="preserve">5674185746</t>
  </si>
  <si>
    <t xml:space="preserve">AGAVE BUILDERS</t>
  </si>
  <si>
    <t xml:space="preserve">AGAVE BUILDERS LLC</t>
  </si>
  <si>
    <t xml:space="preserve">5674185758</t>
  </si>
  <si>
    <t xml:space="preserve">YUMA LANDING COMPANY</t>
  </si>
  <si>
    <t xml:space="preserve">5674185768</t>
  </si>
  <si>
    <t xml:space="preserve">VENTURA PRODUCE</t>
  </si>
  <si>
    <t xml:space="preserve">Ventura Produce INC.</t>
  </si>
  <si>
    <t xml:space="preserve">5148</t>
  </si>
  <si>
    <t xml:space="preserve">5674185771</t>
  </si>
  <si>
    <t xml:space="preserve">DIXON MECHANICAL LLC</t>
  </si>
  <si>
    <t xml:space="preserve">5674185785</t>
  </si>
  <si>
    <t xml:space="preserve">TAQUERIA EGRAN CHAPIN</t>
  </si>
  <si>
    <t xml:space="preserve">5674185786</t>
  </si>
  <si>
    <t xml:space="preserve">GREAT LAKES URGENT CARE</t>
  </si>
  <si>
    <t xml:space="preserve">GREAT LAKES MEDICAL SERVICES LLC</t>
  </si>
  <si>
    <t xml:space="preserve">5674185857</t>
  </si>
  <si>
    <t xml:space="preserve">5674185859</t>
  </si>
  <si>
    <t xml:space="preserve">Controlled Outcomes</t>
  </si>
  <si>
    <t xml:space="preserve">CONTROLLED OUTCOMES LLC</t>
  </si>
  <si>
    <t xml:space="preserve">5674185876</t>
  </si>
  <si>
    <t xml:space="preserve">Miramar Mermaids Synchro Team</t>
  </si>
  <si>
    <t xml:space="preserve">MIRAMAR MERMAIDS SYNCHRO TEAM LLC</t>
  </si>
  <si>
    <t xml:space="preserve">5674185894</t>
  </si>
  <si>
    <t xml:space="preserve">RML DBA FETTES MOVING &amp; STORAGE DBA ROBERT LEHR SOLE MBR</t>
  </si>
  <si>
    <t xml:space="preserve">RML LLC</t>
  </si>
  <si>
    <t xml:space="preserve">4226</t>
  </si>
  <si>
    <t xml:space="preserve">5674185913</t>
  </si>
  <si>
    <t xml:space="preserve">HD SADLER ELECTRICAL REPAIR SERVICE LLC</t>
  </si>
  <si>
    <t xml:space="preserve">5674185941</t>
  </si>
  <si>
    <t xml:space="preserve">MJD EXCAVATING</t>
  </si>
  <si>
    <t xml:space="preserve">MJD EXCAVATING INC</t>
  </si>
  <si>
    <t xml:space="preserve">5674185972</t>
  </si>
  <si>
    <t xml:space="preserve">Eyecare Express</t>
  </si>
  <si>
    <t xml:space="preserve">THIRTEENTH  STREET OPTICAL CO INC</t>
  </si>
  <si>
    <t xml:space="preserve">5674185992</t>
  </si>
  <si>
    <t xml:space="preserve">ELEVATE IT</t>
  </si>
  <si>
    <t xml:space="preserve">ELEVATE EVENTS LLC</t>
  </si>
  <si>
    <t xml:space="preserve">5674186087</t>
  </si>
  <si>
    <t xml:space="preserve">CARGO, CARGO TX, CARGO LLC</t>
  </si>
  <si>
    <t xml:space="preserve">CARGO OPERATIONS LLC</t>
  </si>
  <si>
    <t xml:space="preserve">5674186171</t>
  </si>
  <si>
    <t xml:space="preserve">LIG LOGISTICS LLC</t>
  </si>
  <si>
    <t xml:space="preserve">5674186188</t>
  </si>
  <si>
    <t xml:space="preserve">The Med Spa by BA</t>
  </si>
  <si>
    <t xml:space="preserve">THE MED SPA BY BA LLC</t>
  </si>
  <si>
    <t xml:space="preserve">5674186239</t>
  </si>
  <si>
    <t xml:space="preserve">T1 RESTORATION &amp; CONSTRUCTION, T1 RESTORATION</t>
  </si>
  <si>
    <t xml:space="preserve">T1 RESTORATION &amp; CONSTRUCTION LLC</t>
  </si>
  <si>
    <t xml:space="preserve">5674186277</t>
  </si>
  <si>
    <t xml:space="preserve">5674186308</t>
  </si>
  <si>
    <t xml:space="preserve">Tayler Playgrounds</t>
  </si>
  <si>
    <t xml:space="preserve">TAYLER PLAYGROUNDS LLC</t>
  </si>
  <si>
    <t xml:space="preserve">3949</t>
  </si>
  <si>
    <t xml:space="preserve">5674186312</t>
  </si>
  <si>
    <t xml:space="preserve">PAR-10 Companies</t>
  </si>
  <si>
    <t xml:space="preserve">5674186372</t>
  </si>
  <si>
    <t xml:space="preserve">5674186382</t>
  </si>
  <si>
    <t xml:space="preserve">Golden Stream Media LLC</t>
  </si>
  <si>
    <t xml:space="preserve">5674186416</t>
  </si>
  <si>
    <t xml:space="preserve">BE WELLNESS DBA DUBOIS DRUG AND WELLNESS DBA WILLIAM DRAHUSHAK SOLE MBR</t>
  </si>
  <si>
    <t xml:space="preserve">BE Wellness Inc</t>
  </si>
  <si>
    <t xml:space="preserve">5674186419</t>
  </si>
  <si>
    <t xml:space="preserve">FRANCHISE MEALS</t>
  </si>
  <si>
    <t xml:space="preserve">FRANCHISE MEALS LLC</t>
  </si>
  <si>
    <t xml:space="preserve">5674186483</t>
  </si>
  <si>
    <t xml:space="preserve">TACOS MADRE KITCHEN &amp; CANTINA</t>
  </si>
  <si>
    <t xml:space="preserve">Tacos Madre Kitchen &amp; Cantina LLC</t>
  </si>
  <si>
    <t xml:space="preserve">5674186487</t>
  </si>
  <si>
    <t xml:space="preserve">Doreesha Flavad Puurckles</t>
  </si>
  <si>
    <t xml:space="preserve">5674186490</t>
  </si>
  <si>
    <t xml:space="preserve">5674186503</t>
  </si>
  <si>
    <t xml:space="preserve">Nexus Contracting</t>
  </si>
  <si>
    <t xml:space="preserve">NEXUS CONTRACTING LLC</t>
  </si>
  <si>
    <t xml:space="preserve">5674186521</t>
  </si>
  <si>
    <t xml:space="preserve">ROUSNY LLC</t>
  </si>
  <si>
    <t xml:space="preserve">5674186593</t>
  </si>
  <si>
    <t xml:space="preserve">5674186624</t>
  </si>
  <si>
    <t xml:space="preserve">Senter Consulting Inc</t>
  </si>
  <si>
    <t xml:space="preserve">5674186679</t>
  </si>
  <si>
    <t xml:space="preserve">AMDF SOLUTIONS CORP</t>
  </si>
  <si>
    <t xml:space="preserve">5674186685</t>
  </si>
  <si>
    <t xml:space="preserve">Sweet Racks &amp; Smokin' Butts BBQ</t>
  </si>
  <si>
    <t xml:space="preserve">Sweet Racks &amp; Smokin' Butts BBQ LLC</t>
  </si>
  <si>
    <t xml:space="preserve">Seacap</t>
  </si>
  <si>
    <t xml:space="preserve">5674186738</t>
  </si>
  <si>
    <t xml:space="preserve">Finish line diner</t>
  </si>
  <si>
    <t xml:space="preserve">SUMER D BOOHER</t>
  </si>
  <si>
    <t xml:space="preserve">5674186773</t>
  </si>
  <si>
    <t xml:space="preserve">Transporte Jose Baez Corp</t>
  </si>
  <si>
    <t xml:space="preserve">5674186776</t>
  </si>
  <si>
    <t xml:space="preserve">AERODESIGN SERVICES DBA ADS</t>
  </si>
  <si>
    <t xml:space="preserve">AeroDesign Services LLC</t>
  </si>
  <si>
    <t xml:space="preserve">3728</t>
  </si>
  <si>
    <t xml:space="preserve">FireLine Funding</t>
  </si>
  <si>
    <t xml:space="preserve">5674186785</t>
  </si>
  <si>
    <t xml:space="preserve">Browns logging LLC</t>
  </si>
  <si>
    <t xml:space="preserve">2411</t>
  </si>
  <si>
    <t xml:space="preserve">5674186794</t>
  </si>
  <si>
    <t xml:space="preserve">GREASE MONKEY, GREASE MONKEY OF PENDLETON</t>
  </si>
  <si>
    <t xml:space="preserve">Grease Monkey</t>
  </si>
  <si>
    <t xml:space="preserve">elite finance team</t>
  </si>
  <si>
    <t xml:space="preserve">5674186838</t>
  </si>
  <si>
    <t xml:space="preserve">ROLLS AND BOWLS SUSHI</t>
  </si>
  <si>
    <t xml:space="preserve">Rolls and bowls Llc</t>
  </si>
  <si>
    <t xml:space="preserve">5674186914</t>
  </si>
  <si>
    <t xml:space="preserve">Holliday Empowerment LLC</t>
  </si>
  <si>
    <t xml:space="preserve">5674186935</t>
  </si>
  <si>
    <t xml:space="preserve">Shift N2 Gear Auto LLC</t>
  </si>
  <si>
    <t xml:space="preserve">5674186941</t>
  </si>
  <si>
    <t xml:space="preserve">QuitYerPitchin LLC</t>
  </si>
  <si>
    <t xml:space="preserve">7033</t>
  </si>
  <si>
    <t xml:space="preserve">5674186955</t>
  </si>
  <si>
    <t xml:space="preserve">Highlander Transport Ak Llc</t>
  </si>
  <si>
    <t xml:space="preserve">5674186983</t>
  </si>
  <si>
    <t xml:space="preserve">Cavalier Auto Transport</t>
  </si>
  <si>
    <t xml:space="preserve">5674186987</t>
  </si>
  <si>
    <t xml:space="preserve">Kelly Kapital</t>
  </si>
  <si>
    <t xml:space="preserve">5674187021</t>
  </si>
  <si>
    <t xml:space="preserve">5674187028</t>
  </si>
  <si>
    <t xml:space="preserve">Sofi foods and meat</t>
  </si>
  <si>
    <t xml:space="preserve">Sofi foods and meat inc</t>
  </si>
  <si>
    <t xml:space="preserve">5674187072</t>
  </si>
  <si>
    <t xml:space="preserve">EASTERN VIRGINIA CAREER COLLEGE, EVCC</t>
  </si>
  <si>
    <t xml:space="preserve">TEMACC LLC</t>
  </si>
  <si>
    <t xml:space="preserve">8299</t>
  </si>
  <si>
    <t xml:space="preserve">NY</t>
  </si>
  <si>
    <t xml:space="preserve">5674187085</t>
  </si>
  <si>
    <t xml:space="preserve">WEBBER INTERNATIONAL UNIVERSITY</t>
  </si>
  <si>
    <t xml:space="preserve">WEBBER INTERNATIONAL UNIVERSITY INC</t>
  </si>
  <si>
    <t xml:space="preserve">5674187100</t>
  </si>
  <si>
    <t xml:space="preserve">5674187103</t>
  </si>
  <si>
    <t xml:space="preserve">Ark Solutions</t>
  </si>
  <si>
    <t xml:space="preserve">Ark Solutions LLC</t>
  </si>
  <si>
    <t xml:space="preserve">5734</t>
  </si>
  <si>
    <t xml:space="preserve">Wisco Capital</t>
  </si>
  <si>
    <t xml:space="preserve">5674187104</t>
  </si>
  <si>
    <t xml:space="preserve">SASQUATCH PROVISIONS LLC</t>
  </si>
  <si>
    <t xml:space="preserve">5674187105</t>
  </si>
  <si>
    <t xml:space="preserve">SUMMIT EXERCISES AND TRAINING, SUMMITET</t>
  </si>
  <si>
    <t xml:space="preserve">Summit Exercises and Training LLC</t>
  </si>
  <si>
    <t xml:space="preserve">9711</t>
  </si>
  <si>
    <t xml:space="preserve">97</t>
  </si>
  <si>
    <t xml:space="preserve">5674187132</t>
  </si>
  <si>
    <t xml:space="preserve">A Plus Commercial Tire Service</t>
  </si>
  <si>
    <t xml:space="preserve">5674187138</t>
  </si>
  <si>
    <t xml:space="preserve">5674187198</t>
  </si>
  <si>
    <t xml:space="preserve">5674187202</t>
  </si>
  <si>
    <t xml:space="preserve">5674187210</t>
  </si>
  <si>
    <t xml:space="preserve">SERENE SPACES LLC</t>
  </si>
  <si>
    <t xml:space="preserve">6512</t>
  </si>
  <si>
    <t xml:space="preserve">5674187211</t>
  </si>
  <si>
    <t xml:space="preserve">5674187240</t>
  </si>
  <si>
    <t xml:space="preserve">DV S GARAGE INC</t>
  </si>
  <si>
    <t xml:space="preserve">5674187312</t>
  </si>
  <si>
    <t xml:space="preserve">5674187332</t>
  </si>
  <si>
    <t xml:space="preserve">5674187367</t>
  </si>
  <si>
    <t xml:space="preserve">CAPTAIN DYNAMIC SOLUTIONS</t>
  </si>
  <si>
    <t xml:space="preserve">CAPTAIN DYNAMIC SOLUTIONS LLC</t>
  </si>
  <si>
    <t xml:space="preserve">5674187421</t>
  </si>
  <si>
    <t xml:space="preserve">5674187506</t>
  </si>
  <si>
    <t xml:space="preserve">THE VINEYARD CAMP AND RETREAT CENTER</t>
  </si>
  <si>
    <t xml:space="preserve">The Vineyard Camp and Retreat Ce nter Inc</t>
  </si>
  <si>
    <t xml:space="preserve">7032</t>
  </si>
  <si>
    <t xml:space="preserve">5674187540</t>
  </si>
  <si>
    <t xml:space="preserve">5674187579</t>
  </si>
  <si>
    <t xml:space="preserve">5674187704</t>
  </si>
  <si>
    <t xml:space="preserve">YUGO TRANS</t>
  </si>
  <si>
    <t xml:space="preserve">yugo trans ltd</t>
  </si>
  <si>
    <t xml:space="preserve">Hero Advance Group</t>
  </si>
  <si>
    <t xml:space="preserve">5674187744</t>
  </si>
  <si>
    <t xml:space="preserve">5674187748</t>
  </si>
  <si>
    <t xml:space="preserve">HELPING HEARTS RES FACILITIES 1 DBA HELPING HEARTS RESIDENTIAL</t>
  </si>
  <si>
    <t xml:space="preserve">Helping Hearts Residential Facilities I, LLC</t>
  </si>
  <si>
    <t xml:space="preserve">5674187753</t>
  </si>
  <si>
    <t xml:space="preserve">2091</t>
  </si>
  <si>
    <t xml:space="preserve">5674187783</t>
  </si>
  <si>
    <t xml:space="preserve">5674187792</t>
  </si>
  <si>
    <t xml:space="preserve">REVUP COLLISION &amp; AUTO REPAIR</t>
  </si>
  <si>
    <t xml:space="preserve">5674187859</t>
  </si>
  <si>
    <t xml:space="preserve">ARES COMFORT SYSTEMS, LLC MARIA APARICIO SOLE MBR</t>
  </si>
  <si>
    <t xml:space="preserve">Ares Comfort Systems, LLC</t>
  </si>
  <si>
    <t xml:space="preserve">5075</t>
  </si>
  <si>
    <t xml:space="preserve">5674187915</t>
  </si>
  <si>
    <t xml:space="preserve">Paxton Ranches LLC</t>
  </si>
  <si>
    <t xml:space="preserve">0212</t>
  </si>
  <si>
    <t xml:space="preserve">5674187997</t>
  </si>
  <si>
    <t xml:space="preserve">5674188006</t>
  </si>
  <si>
    <t xml:space="preserve">Scottsdale Supplies</t>
  </si>
  <si>
    <t xml:space="preserve">5674188015</t>
  </si>
  <si>
    <t xml:space="preserve">5674188027</t>
  </si>
  <si>
    <t xml:space="preserve">MT Repair Quick Solution Inc.</t>
  </si>
  <si>
    <t xml:space="preserve">5674188054</t>
  </si>
  <si>
    <t xml:space="preserve">5674188066</t>
  </si>
  <si>
    <t xml:space="preserve">5674188067</t>
  </si>
  <si>
    <t xml:space="preserve">RACING STABLES</t>
  </si>
  <si>
    <t xml:space="preserve">JOHN ROACH</t>
  </si>
  <si>
    <t xml:space="preserve">7948</t>
  </si>
  <si>
    <t xml:space="preserve">5674188069</t>
  </si>
  <si>
    <t xml:space="preserve">5674188104</t>
  </si>
  <si>
    <t xml:space="preserve">5674188122</t>
  </si>
  <si>
    <t xml:space="preserve">MARTIN PALMER TOOL</t>
  </si>
  <si>
    <t xml:space="preserve">EDFA LLC</t>
  </si>
  <si>
    <t xml:space="preserve">3544</t>
  </si>
  <si>
    <t xml:space="preserve">5674188123</t>
  </si>
  <si>
    <t xml:space="preserve">Kelly Logging Nelson W Sayre</t>
  </si>
  <si>
    <t xml:space="preserve">5031</t>
  </si>
  <si>
    <t xml:space="preserve">5674188131</t>
  </si>
  <si>
    <t xml:space="preserve">MYERS AUTO DIESEL SERVICE</t>
  </si>
  <si>
    <t xml:space="preserve">KEVIN G MYERS DBA MYERS AUTO DIESEL SERVICE</t>
  </si>
  <si>
    <t xml:space="preserve">Tier one</t>
  </si>
  <si>
    <t xml:space="preserve">5674188137</t>
  </si>
  <si>
    <t xml:space="preserve">Peridot Medical Group Corp</t>
  </si>
  <si>
    <t xml:space="preserve">5674188177</t>
  </si>
  <si>
    <t xml:space="preserve">GBS WORLDWIDE</t>
  </si>
  <si>
    <t xml:space="preserve">GBS WORLDWIDE INC.</t>
  </si>
  <si>
    <t xml:space="preserve">5674188239</t>
  </si>
  <si>
    <t xml:space="preserve">5674188277</t>
  </si>
  <si>
    <t xml:space="preserve">Prima Mente</t>
  </si>
  <si>
    <t xml:space="preserve">PRIMA MENTE INC</t>
  </si>
  <si>
    <t xml:space="preserve">8734</t>
  </si>
  <si>
    <t xml:space="preserve">5674188312</t>
  </si>
  <si>
    <t xml:space="preserve">5674188360</t>
  </si>
  <si>
    <t xml:space="preserve">5674188430</t>
  </si>
  <si>
    <t xml:space="preserve">ALONSO MEDICAL CENTER</t>
  </si>
  <si>
    <t xml:space="preserve">ALONSO MEDICAL CENTER LLC, PLLC</t>
  </si>
  <si>
    <t xml:space="preserve">5674188624</t>
  </si>
  <si>
    <t xml:space="preserve">SOUTHRIDGE PEDIATRIC DENTISTRY</t>
  </si>
  <si>
    <t xml:space="preserve">David c Roth DDS LLC</t>
  </si>
  <si>
    <t xml:space="preserve">5674188733</t>
  </si>
  <si>
    <t xml:space="preserve">5674188742</t>
  </si>
  <si>
    <t xml:space="preserve">POPS DBM</t>
  </si>
  <si>
    <t xml:space="preserve">POPS DBM LLC</t>
  </si>
  <si>
    <t xml:space="preserve">5674188778</t>
  </si>
  <si>
    <t xml:space="preserve">SILER LAW OFFICE, PLLC , DANIEL R SILER SOLE PROP</t>
  </si>
  <si>
    <t xml:space="preserve">SILER LAW OFFICE PLLC</t>
  </si>
  <si>
    <t xml:space="preserve">CONTROLS  -  every editable underwriting threshold, pricing tier, historical weight and rule</t>
  </si>
  <si>
    <t xml:space="preserve">Blue = editable input. Change values here only; the Deal, Historical Score, Offer Engine and Decision Summary sheets read them. Cell addresses are referenced by formulas - do not insert or delete rows.</t>
  </si>
  <si>
    <t xml:space="preserve">1. CASH-FLOW THRESHOLDS  (Deal sheet metrics)</t>
  </si>
  <si>
    <t xml:space="preserve">Green (at or better)</t>
  </si>
  <si>
    <t xml:space="preserve">Red (at or worse)</t>
  </si>
  <si>
    <t xml:space="preserve">Direction</t>
  </si>
  <si>
    <t xml:space="preserve">Note</t>
  </si>
  <si>
    <t xml:space="preserve">higher is worse</t>
  </si>
  <si>
    <t xml:space="preserve">Monthly debt service incl. new deal / avg true revenue</t>
  </si>
  <si>
    <t xml:space="preserve">New deal monthly payment / avg true revenue</t>
  </si>
  <si>
    <t xml:space="preserve">All daily debt incl. new / avg daily balance</t>
  </si>
  <si>
    <t xml:space="preserve">Fund $ / avg monthly true revenue</t>
  </si>
  <si>
    <t xml:space="preserve">Existing non-monthly positions + 1</t>
  </si>
  <si>
    <t xml:space="preserve">lower is worse</t>
  </si>
  <si>
    <t xml:space="preserve">Average month-over-month change of entered months</t>
  </si>
  <si>
    <t xml:space="preserve">Total across ALL months entered (not per month)</t>
  </si>
  <si>
    <t xml:space="preserve">Your bands: 650+ green, 630-649 yellow, below 630 red. Knockout: score at or below this = knockout; 0 = off</t>
  </si>
  <si>
    <t xml:space="preserve">Decline if red flags (RED + KNOCKOUT) &gt;=</t>
  </si>
  <si>
    <t xml:space="preserve">Minimum fund $ (below this = decline)</t>
  </si>
  <si>
    <t xml:space="preserve">Underwriting fee % (deducted from disbursement)</t>
  </si>
  <si>
    <t xml:space="preserve">2. PRICING BANDS  (score on the 7-point scale -&gt; term cap and factor)</t>
  </si>
  <si>
    <t xml:space="preserve">Score &gt;=</t>
  </si>
  <si>
    <t xml:space="preserve">Term cap (daily pmts)</t>
  </si>
  <si>
    <t xml:space="preserve">Bands are unchanged from the original tool. Term step -1 moves one row up this table.</t>
  </si>
  <si>
    <t xml:space="preserve">Max term (months)</t>
  </si>
  <si>
    <t xml:space="preserve">195 collection days at 21.655/month</t>
  </si>
  <si>
    <t xml:space="preserve">Approved factor tiers (low -&gt; high)</t>
  </si>
  <si>
    <t xml:space="preserve">1.35 is the prepay rate, not a tier. 1.50+ is a hard no.</t>
  </si>
  <si>
    <t xml:space="preserve">Tier cut-offs on 7-point scale: Strong / Solid / Moderate</t>
  </si>
  <si>
    <t xml:space="preserve">3. CONVERSION CONSTANTS</t>
  </si>
  <si>
    <t xml:space="preserve">Weeks per month (ours)</t>
  </si>
  <si>
    <t xml:space="preserve">Time converts with 4.331</t>
  </si>
  <si>
    <t xml:space="preserve">Business days per month (ours)</t>
  </si>
  <si>
    <t xml:space="preserve">Money converts with 5 and 21.655</t>
  </si>
  <si>
    <t xml:space="preserve">MoneyBadger weeks per month</t>
  </si>
  <si>
    <t xml:space="preserve">MB uses 4 on weekly deals</t>
  </si>
  <si>
    <t xml:space="preserve">MoneyBadger business days per month</t>
  </si>
  <si>
    <t xml:space="preserve">MB uses 21 on daily deals (one confirmed data point)</t>
  </si>
  <si>
    <t xml:space="preserve">Calendar days per month (months-remaining calc)</t>
  </si>
  <si>
    <t xml:space="preserve">Assumed factor on existing positions (est. term)</t>
  </si>
  <si>
    <t xml:space="preserve">Used when only funded $ / payment is known</t>
  </si>
  <si>
    <t xml:space="preserve">4. HISTORICAL EVIDENCE SETTINGS</t>
  </si>
  <si>
    <t xml:space="preserve">As-of date for seasoning (date of the CRM export)</t>
  </si>
  <si>
    <t xml:space="preserve">Age = business days from funding to this date</t>
  </si>
  <si>
    <t xml:space="preserve">Window: include deals funded on or after</t>
  </si>
  <si>
    <t xml:space="preserve">Window: include deals funded on or before</t>
  </si>
  <si>
    <t xml:space="preserve">Full file. Set to 12/31/2025 for the settled book</t>
  </si>
  <si>
    <t xml:space="preserve">Seasoning multiple (age &gt;= multiple x contracted term)</t>
  </si>
  <si>
    <t xml:space="preserve">v13 rule from the house-book session</t>
  </si>
  <si>
    <t xml:space="preserve">Minimum seasoned deals for a cohort to be PRIMARY</t>
  </si>
  <si>
    <t xml:space="preserve">Below this the engine drops to the next tier</t>
  </si>
  <si>
    <t xml:space="preserve">Minimum seasoned funded $ for a cohort to be PRIMARY</t>
  </si>
  <si>
    <t xml:space="preserve">Credibility constant K (seasoned deals for Z = 0.5)</t>
  </si>
  <si>
    <t xml:space="preserve">Z = n / (n + K). 30 deals -&gt; half weight; 90 -&gt; 75%</t>
  </si>
  <si>
    <t xml:space="preserve">Max open share for a cohort to count as seasoned-enough</t>
  </si>
  <si>
    <t xml:space="preserve">Above this the cohort is flagged and confidence cannot be High</t>
  </si>
  <si>
    <t xml:space="preserve">High confidence: minimum Z</t>
  </si>
  <si>
    <t xml:space="preserve">and open share within the line above</t>
  </si>
  <si>
    <t xml:space="preserve">Medium confidence: minimum Z</t>
  </si>
  <si>
    <t xml:space="preserve">Below = Low</t>
  </si>
  <si>
    <t xml:space="preserve">Low confidence: max steps from Neutral the modifier may move</t>
  </si>
  <si>
    <t xml:space="preserve">Weak evidence can never drive a severe adjustment</t>
  </si>
  <si>
    <t xml:space="preserve">Minimum seasoned deals before a RATE is displayed</t>
  </si>
  <si>
    <t xml:space="preserve">Counts and dollars always show</t>
  </si>
  <si>
    <t xml:space="preserve">5. HISTORICAL MODIFIER TABLE  (relative index = blended cohort lost rate / seasoned-book lost rate)</t>
  </si>
  <si>
    <t xml:space="preserve">Index at or below</t>
  </si>
  <si>
    <t xml:space="preserve">Level</t>
  </si>
  <si>
    <t xml:space="preserve">Fund multiplier (x cash-flow max)</t>
  </si>
  <si>
    <t xml:space="preserve">Manual review?</t>
  </si>
  <si>
    <t xml:space="preserve">Strong positive</t>
  </si>
  <si>
    <t xml:space="preserve">As proposed</t>
  </si>
  <si>
    <t xml:space="preserve">N</t>
  </si>
  <si>
    <t xml:space="preserve">Full cash-flow maximum only with strong, credible evidence</t>
  </si>
  <si>
    <t xml:space="preserve">Mild positive</t>
  </si>
  <si>
    <t xml:space="preserve">Neutral</t>
  </si>
  <si>
    <t xml:space="preserve">Base utilisation. Set 1.00 to reproduce the old tool</t>
  </si>
  <si>
    <t xml:space="preserve">Mild negative</t>
  </si>
  <si>
    <t xml:space="preserve">Shorter band, next factor tier</t>
  </si>
  <si>
    <t xml:space="preserve">Negative</t>
  </si>
  <si>
    <t xml:space="preserve">Adds weekly remittance + no-stacking covenant</t>
  </si>
  <si>
    <t xml:space="preserve">Severe</t>
  </si>
  <si>
    <t xml:space="preserve">Y</t>
  </si>
  <si>
    <t xml:space="preserve">Sent to manual review</t>
  </si>
  <si>
    <t xml:space="preserve">6. STATUS MAPPING  (the only place default / resolved / closed / open are defined)</t>
  </si>
  <si>
    <t xml:space="preserve">Counts as default?</t>
  </si>
  <si>
    <t xml:space="preserve">Counts as resolved?</t>
  </si>
  <si>
    <t xml:space="preserve">Counts as Closed?</t>
  </si>
  <si>
    <t xml:space="preserve">Counts as Open?</t>
  </si>
  <si>
    <t xml:space="preserve">Deals in file</t>
  </si>
  <si>
    <t xml:space="preserve">No</t>
  </si>
  <si>
    <t xml:space="preserve">Yes</t>
  </si>
  <si>
    <t xml:space="preserve">Lowered Payments = restructured, still collecting. House book treats it as performing; switch B68 to Yes to treat as impaired.</t>
  </si>
  <si>
    <t xml:space="preserve">At-Risk: 1 deal, defaulted per house book.</t>
  </si>
  <si>
    <t xml:space="preserve">7. MANUAL-REVIEW TRIGGERS  (Y = active)</t>
  </si>
  <si>
    <t xml:space="preserve">Trigger</t>
  </si>
  <si>
    <t xml:space="preserve">Active?</t>
  </si>
  <si>
    <t xml:space="preserve">Parameter</t>
  </si>
  <si>
    <t xml:space="preserve">Historical modifier is Severe</t>
  </si>
  <si>
    <t xml:space="preserve">Confidence Low AND any metric RED</t>
  </si>
  <si>
    <t xml:space="preserve">Credit score RED AND another metric RED</t>
  </si>
  <si>
    <t xml:space="preserve">Positions incl. new at or above</t>
  </si>
  <si>
    <t xml:space="preserve">Log rule: fund up to a 4th; parameter = position count that triggers review</t>
  </si>
  <si>
    <t xml:space="preserve">New deal, 3rd position or higher, construction industry (SIC 15/16/17)</t>
  </si>
  <si>
    <t xml:space="preserve">Parameter = position at or above. The one raw house-book effect that stayed visible after controls</t>
  </si>
  <si>
    <t xml:space="preserve">ISO or industry has no deals in the house book</t>
  </si>
  <si>
    <t xml:space="preserve">Unknown relationship</t>
  </si>
  <si>
    <t xml:space="preserve">Adjusted fund below minimum fund $</t>
  </si>
  <si>
    <t xml:space="preserve">Primary cohort open share above the max open share</t>
  </si>
  <si>
    <t xml:space="preserve">Off by default; the flag is shown anyway</t>
  </si>
  <si>
    <t xml:space="preserve">8. STIPULATION RULES  (Y = active)</t>
  </si>
  <si>
    <t xml:space="preserve">Stipulation</t>
  </si>
  <si>
    <t xml:space="preserve">Condition</t>
  </si>
  <si>
    <t xml:space="preserve">DataMerch, UCC search, positions / payoff letters</t>
  </si>
  <si>
    <t xml:space="preserve">Always</t>
  </si>
  <si>
    <t xml:space="preserve">Standing rule from the underwriting session</t>
  </si>
  <si>
    <t xml:space="preserve">No-stacking covenant with default-to-daily</t>
  </si>
  <si>
    <t xml:space="preserve">Modifier Mild negative or worse</t>
  </si>
  <si>
    <t xml:space="preserve">Bank login verification (Plaid / DecisionLogic)</t>
  </si>
  <si>
    <t xml:space="preserve">Neg days + NSFs not GREEN</t>
  </si>
  <si>
    <t xml:space="preserve">Payoff / balance letter for every existing position</t>
  </si>
  <si>
    <t xml:space="preserve">Existing positions &gt;= 2</t>
  </si>
  <si>
    <t xml:space="preserve">Landlord / lease letter</t>
  </si>
  <si>
    <t xml:space="preserve">Credit score not GREEN</t>
  </si>
  <si>
    <t xml:space="preserve">Underwriter review of the historical evidence</t>
  </si>
  <si>
    <t xml:space="preserve">Confidence Low</t>
  </si>
  <si>
    <t xml:space="preserve">Weekly remittance (no daily option)</t>
  </si>
  <si>
    <t xml:space="preserve">Frequency switched to Weekly by the modifier</t>
  </si>
  <si>
    <t xml:space="preserve">Prior-contract payoff and renewal history</t>
  </si>
  <si>
    <t xml:space="preserve">Renewal selected</t>
  </si>
  <si>
    <t xml:space="preserve">CHECKS / AUDIT</t>
  </si>
  <si>
    <t xml:space="preserve">Check</t>
  </si>
  <si>
    <t xml:space="preserve">Result</t>
  </si>
  <si>
    <t xml:space="preserve">MISSING INPUTS</t>
  </si>
  <si>
    <t xml:space="preserve">Bank data entered (at least one month of true revenue)</t>
  </si>
  <si>
    <t xml:space="preserve">Average daily balance entered</t>
  </si>
  <si>
    <t xml:space="preserve">New deal or renewal entered (required for any cohort tighter than the book)</t>
  </si>
  <si>
    <t xml:space="preserve">ISO entered and found in the house book</t>
  </si>
  <si>
    <t xml:space="preserve">Industry entered and found in the house book</t>
  </si>
  <si>
    <t xml:space="preserve">State entered</t>
  </si>
  <si>
    <t xml:space="preserve">Credit score entered</t>
  </si>
  <si>
    <t xml:space="preserve">Requested offer entered (fund, factor, term, frequency)</t>
  </si>
  <si>
    <t xml:space="preserve">Requested factor is an approved tier</t>
  </si>
  <si>
    <t xml:space="preserve">FORMULA ERRORS</t>
  </si>
  <si>
    <t xml:space="preserve">Deal sheet</t>
  </si>
  <si>
    <t xml:space="preserve">Historical Data</t>
  </si>
  <si>
    <t xml:space="preserve">Historical Score</t>
  </si>
  <si>
    <t xml:space="preserve">Offer Engine / Decision Summary</t>
  </si>
  <si>
    <t xml:space="preserve">SAFETY (history may never override cash flow)</t>
  </si>
  <si>
    <t xml:space="preserve">No offer-side metric red/knockout at the adjusted offer</t>
  </si>
  <si>
    <t xml:space="preserve">Merchant knockouts untouched</t>
  </si>
  <si>
    <t xml:space="preserve">COHORT QUALITY</t>
  </si>
  <si>
    <t xml:space="preserve">Primary cohort met the minimum seasoned count and dollars</t>
  </si>
  <si>
    <t xml:space="preserve">Primary cohort seasoned-enough (open share within limit)</t>
  </si>
  <si>
    <t xml:space="preserve">Credibility Z at least the Medium line</t>
  </si>
  <si>
    <t xml:space="preserve">Conflicting ISO vs industry signals</t>
  </si>
  <si>
    <t xml:space="preserve">Tighter cohorts skipped for being too small (tiers above the primary)</t>
  </si>
  <si>
    <t xml:space="preserve">State cohort is informational only</t>
  </si>
  <si>
    <t xml:space="preserve">DATA QUALITY (house book)</t>
  </si>
  <si>
    <t xml:space="preserve">Deals loaded</t>
  </si>
  <si>
    <t xml:space="preserve">Statuses not in the Controls mapping</t>
  </si>
  <si>
    <t xml:space="preserve">Deals with no revenue figure</t>
  </si>
  <si>
    <t xml:space="preserve">Deals with no ISO / no state / no SIC</t>
  </si>
  <si>
    <t xml:space="preserve">Never-paid deals (collected &lt;= 0)</t>
  </si>
  <si>
    <t xml:space="preserve">Open status but 99.9%+ paid (stale status)</t>
  </si>
  <si>
    <t xml:space="preserve">Open deals older than 1.5x contracted term</t>
  </si>
  <si>
    <t xml:space="preserve">Implausible durations: weekly term above 39 weeks (9-month box)</t>
  </si>
  <si>
    <t xml:space="preserve">Position field concentration (49% of the book is position 3)</t>
  </si>
  <si>
    <t xml:space="preserve">Lowered Payments treated as performing (Controls B68)</t>
  </si>
  <si>
    <t xml:space="preserve">Written-Off deals collected most of their payback</t>
  </si>
  <si>
    <t xml:space="preserve">RECONCILIATION to the original House Book Analytics workbook (full file)</t>
  </si>
  <si>
    <t xml:space="preserve">Total funded = $34,481,626</t>
  </si>
  <si>
    <t xml:space="preserve">Total collected = $27,438,510</t>
  </si>
  <si>
    <t xml:space="preserve">Principal lost (house-book status mapping) = $5,270,163</t>
  </si>
  <si>
    <t xml:space="preserve">Principal lost rate (full file) = 15.3%</t>
  </si>
  <si>
    <t xml:space="preserve">Payback = advance x factor on every deal</t>
  </si>
  <si>
    <t xml:space="preserve">Seasoned book size (637 deals at as-of 08/25/2026, multiple 1.25, NETWORKDAYS inclusive)</t>
  </si>
  <si>
    <t xml:space="preserve">Sum of tier-7 cohort funded equals in-window seasoned funded</t>
  </si>
  <si>
    <t xml:space="preserve">Comparable list count equals primary cohort matches (first 400)</t>
  </si>
  <si>
    <t xml:space="preserve">Division</t>
  </si>
  <si>
    <t xml:space="preserve">ISO (house-book spelling)</t>
  </si>
  <si>
    <t xml:space="preserve">Industry list (dropdown)</t>
  </si>
  <si>
    <t xml:space="preserve">Fed holiday</t>
  </si>
  <si>
    <t xml:space="preserve">Status list</t>
  </si>
  <si>
    <t xml:space="preserve">Dropdown sources. ISO and state lists come from the house-book data so a Deal entry always matches the history spelling.</t>
  </si>
  <si>
    <t xml:space="preserve">Agricultural Production - Crops</t>
  </si>
  <si>
    <t xml:space="preserve">Agriculture, Forestry &amp; Fishing</t>
  </si>
  <si>
    <t xml:space="preserve">Administration of Economic Programs</t>
  </si>
  <si>
    <t xml:space="preserve">Agricultural Production - Livestock</t>
  </si>
  <si>
    <t xml:space="preserve">Agricultural Services</t>
  </si>
  <si>
    <t xml:space="preserve">Forestry</t>
  </si>
  <si>
    <t xml:space="preserve">Oil &amp; Gas Extraction</t>
  </si>
  <si>
    <t xml:space="preserve">Mining</t>
  </si>
  <si>
    <t xml:space="preserve">Air Transportation</t>
  </si>
  <si>
    <t xml:space="preserve">Nonmetallic Minerals Mining</t>
  </si>
  <si>
    <t xml:space="preserve">Amusement &amp; Recreation Services</t>
  </si>
  <si>
    <t xml:space="preserve">Construction</t>
  </si>
  <si>
    <t xml:space="preserve">Apparel &amp; Accessory Stores</t>
  </si>
  <si>
    <t xml:space="preserve">Heavy Construction</t>
  </si>
  <si>
    <t xml:space="preserve">Apparel &amp; Textile Products</t>
  </si>
  <si>
    <t xml:space="preserve">Special Trade Contractors</t>
  </si>
  <si>
    <t xml:space="preserve">Auto Dealers &amp; Gas Stations</t>
  </si>
  <si>
    <t xml:space="preserve">Food &amp; Kindred Products</t>
  </si>
  <si>
    <t xml:space="preserve">Manufacturing</t>
  </si>
  <si>
    <t xml:space="preserve">Auto Repair &amp; Services</t>
  </si>
  <si>
    <t xml:space="preserve">Building Materials &amp; Garden Supply</t>
  </si>
  <si>
    <t xml:space="preserve">Lumber &amp; Wood Products</t>
  </si>
  <si>
    <t xml:space="preserve">Business Services</t>
  </si>
  <si>
    <t xml:space="preserve">Furniture &amp; Fixtures</t>
  </si>
  <si>
    <t xml:space="preserve">Chemicals &amp; Allied Products</t>
  </si>
  <si>
    <t xml:space="preserve">Printing &amp; Publishing</t>
  </si>
  <si>
    <t xml:space="preserve">Communications</t>
  </si>
  <si>
    <t xml:space="preserve">Eating &amp; Drinking Places</t>
  </si>
  <si>
    <t xml:space="preserve">Rubber &amp; Plastics</t>
  </si>
  <si>
    <t xml:space="preserve">Educational Services</t>
  </si>
  <si>
    <t xml:space="preserve">Stone, Clay, Glass &amp; Concrete</t>
  </si>
  <si>
    <t xml:space="preserve">Electric, Gas &amp; Sanitary Services</t>
  </si>
  <si>
    <t xml:space="preserve">Primary Metal Industries</t>
  </si>
  <si>
    <t xml:space="preserve">Electronic &amp; Electrical Equipment</t>
  </si>
  <si>
    <t xml:space="preserve">Fabricated Metal Products</t>
  </si>
  <si>
    <t xml:space="preserve">Engineering, Accounting &amp; Management</t>
  </si>
  <si>
    <t xml:space="preserve">Industrial Machinery &amp; Equipment</t>
  </si>
  <si>
    <t xml:space="preserve">Environmental Quality &amp; Housing</t>
  </si>
  <si>
    <t xml:space="preserve">Transportation Equipment</t>
  </si>
  <si>
    <t xml:space="preserve">Instruments &amp; Related Products</t>
  </si>
  <si>
    <t xml:space="preserve">Food Stores</t>
  </si>
  <si>
    <t xml:space="preserve">Miscellaneous Manufacturing</t>
  </si>
  <si>
    <t xml:space="preserve">Local &amp; Interurban Passenger Transit</t>
  </si>
  <si>
    <t xml:space="preserve">Transportation &amp; Utilities</t>
  </si>
  <si>
    <t xml:space="preserve">Trucking &amp; Warehousing</t>
  </si>
  <si>
    <t xml:space="preserve">Furniture &amp; Home Furnishings Stores</t>
  </si>
  <si>
    <t xml:space="preserve">Water Transportation</t>
  </si>
  <si>
    <t xml:space="preserve">General Merchandise Stores</t>
  </si>
  <si>
    <t xml:space="preserve">Transportation Services</t>
  </si>
  <si>
    <t xml:space="preserve">Health Services</t>
  </si>
  <si>
    <t xml:space="preserve">Hotels &amp; Lodging</t>
  </si>
  <si>
    <t xml:space="preserve">Wholesale Trade - Durable Goods</t>
  </si>
  <si>
    <t xml:space="preserve">Wholesale Trade</t>
  </si>
  <si>
    <t xml:space="preserve">Wholesale Trade - Nondurable Goods</t>
  </si>
  <si>
    <t xml:space="preserve">Retail Trade</t>
  </si>
  <si>
    <t xml:space="preserve">Insurance Agents &amp; Brokers</t>
  </si>
  <si>
    <t xml:space="preserve">Insurance Carriers</t>
  </si>
  <si>
    <t xml:space="preserve">Justice, Public Order &amp; Safety</t>
  </si>
  <si>
    <t xml:space="preserve">Legal Services</t>
  </si>
  <si>
    <t xml:space="preserve">Membership Organizations</t>
  </si>
  <si>
    <t xml:space="preserve">Miscellaneous Retail</t>
  </si>
  <si>
    <t xml:space="preserve">Security &amp; Commodity Brokers</t>
  </si>
  <si>
    <t xml:space="preserve">Finance, Insurance &amp; Real Estate</t>
  </si>
  <si>
    <t xml:space="preserve">Miscellaneous Repair Services</t>
  </si>
  <si>
    <t xml:space="preserve">Motion Pictures</t>
  </si>
  <si>
    <t xml:space="preserve">Real Estate</t>
  </si>
  <si>
    <t xml:space="preserve">Museums &amp; Botanical Gardens</t>
  </si>
  <si>
    <t xml:space="preserve">Services</t>
  </si>
  <si>
    <t xml:space="preserve">National Security &amp; Intl Affairs</t>
  </si>
  <si>
    <t xml:space="preserve">Personal Services</t>
  </si>
  <si>
    <t xml:space="preserve">Services - Miscellaneous</t>
  </si>
  <si>
    <t xml:space="preserve">Social Services</t>
  </si>
  <si>
    <t xml:space="preserve">Public Administration</t>
  </si>
  <si>
    <t xml:space="preserve">No SIC</t>
  </si>
  <si>
    <t xml:space="preserve">Unclassified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</si>
</sst>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"/>
    <numFmt numFmtId="167" formatCode="0"/>
    <numFmt numFmtId="168" formatCode="0%"/>
    <numFmt numFmtId="169" formatCode="\$#,##0.00"/>
    <numFmt numFmtId="170" formatCode="0.00%"/>
    <numFmt numFmtId="171" formatCode="0.0%"/>
    <numFmt numFmtId="172" formatCode="0.0"/>
    <numFmt numFmtId="173" formatCode="0.000"/>
    <numFmt numFmtId="174" formatCode="m/d/yyyy"/>
    <numFmt numFmtId="175" formatCode="#,##0.00"/>
    <numFmt numFmtId="176" formatCode="General"/>
    <numFmt numFmtId="177" formatCode="mm/dd/yyyy"/>
    <numFmt numFmtId="178" formatCode="0.0000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5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theme="1"/>
      <name val="Calibri"/>
      <family val="0"/>
      <charset val="1"/>
    </font>
    <font>
      <i val="true"/>
      <sz val="9"/>
      <color rgb="FF37415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sz val="11"/>
      <color rgb="FF008000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3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FFF9C4"/>
        <bgColor rgb="FFFFFF99"/>
      </patternFill>
    </fill>
    <fill>
      <patternFill patternType="solid">
        <fgColor rgb="FFE5E7EB"/>
        <bgColor rgb="FFFFF9C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28.35" hidden="false" customHeight="false" outlineLevel="0" collapsed="false">
      <c r="B8" s="2" t="s">
        <v>5</v>
      </c>
    </row>
    <row r="9" customFormat="false" ht="28.35" hidden="false" customHeight="false" outlineLevel="0" collapsed="false">
      <c r="B9" s="2" t="s">
        <v>6</v>
      </c>
    </row>
    <row r="10" customFormat="false" ht="28.3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1" t="s">
        <v>8</v>
      </c>
    </row>
    <row r="13" customFormat="false" ht="41.75" hidden="false" customHeight="false" outlineLevel="0" collapsed="false">
      <c r="B13" s="2" t="s">
        <v>9</v>
      </c>
    </row>
    <row r="14" customFormat="false" ht="55.2" hidden="false" customHeight="false" outlineLevel="0" collapsed="false">
      <c r="B14" s="2" t="s">
        <v>10</v>
      </c>
    </row>
    <row r="15" customFormat="false" ht="41.7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1" t="s">
        <v>12</v>
      </c>
    </row>
    <row r="18" customFormat="false" ht="28.35" hidden="false" customHeight="false" outlineLevel="0" collapsed="false">
      <c r="B18" s="2" t="s">
        <v>13</v>
      </c>
    </row>
    <row r="19" customFormat="false" ht="28.3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2" t="s">
        <v>15</v>
      </c>
    </row>
    <row r="22" customFormat="false" ht="41.7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1" t="s">
        <v>17</v>
      </c>
    </row>
    <row r="25" customFormat="false" ht="28.35" hidden="false" customHeight="false" outlineLevel="0" collapsed="false">
      <c r="B25" s="2" t="s">
        <v>18</v>
      </c>
    </row>
    <row r="26" customFormat="false" ht="28.35" hidden="false" customHeight="false" outlineLevel="0" collapsed="false">
      <c r="B26" s="2" t="s">
        <v>19</v>
      </c>
    </row>
    <row r="27" customFormat="false" ht="15" hidden="false" customHeight="false" outlineLevel="0" collapsed="false">
      <c r="B27" s="2" t="s">
        <v>20</v>
      </c>
    </row>
    <row r="28" customFormat="false" ht="28.3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/>
    </row>
    <row r="30" customFormat="false" ht="28.35" hidden="false" customHeight="false" outlineLevel="0" collapsed="false">
      <c r="B30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7.14"/>
    <col collapsed="false" customWidth="true" hidden="false" outlineLevel="0" max="4" min="3" style="0" width="17.2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.86"/>
    <col collapsed="false" customWidth="true" hidden="false" outlineLevel="0" max="10" min="10" style="0" width="27"/>
    <col collapsed="false" customWidth="true" hidden="false" outlineLevel="0" max="13" min="11" style="0" width="26"/>
    <col collapsed="false" customWidth="true" hidden="false" outlineLevel="0" max="26" min="14" style="0" width="8.71"/>
  </cols>
  <sheetData>
    <row r="1" customFormat="false" ht="18.55" hidden="false" customHeight="false" outlineLevel="0" collapsed="false">
      <c r="B1" s="3" t="s">
        <v>23</v>
      </c>
    </row>
    <row r="2" customFormat="false" ht="16.4" hidden="false" customHeight="false" outlineLevel="0" collapsed="false">
      <c r="B2" s="4" t="s">
        <v>24</v>
      </c>
      <c r="C2" s="5" t="str">
        <f aca="false">C52</f>
        <v>CONDITIONAL</v>
      </c>
      <c r="D2" s="6" t="str">
        <f aca="false">IF(C52="","",C50&amp;" red flag(s) vs limit "&amp;C51&amp;"   |   "&amp;COUNTIF(F38:F45,"GREEN")&amp;"G / "&amp;COUNTIF(F38:F45,"YELLOW")&amp;"Y / "&amp;COUNTIF(F38:F45,"RED")&amp;"R   |   score "&amp;TEXT(C55,"0.0")&amp;"/"&amp;D55&amp;" = "&amp;C56&amp;"   |   FINAL (with house book): "&amp;IF(C67="","-",C67))</f>
        <v>0 red flag(s) vs limit 2   |   5G / 3Y / 0R   |   score 6.5/8 = Solid   |   FINAL (with house book): CONDITIONAL</v>
      </c>
      <c r="E2" s="6"/>
      <c r="F2" s="6"/>
      <c r="G2" s="6"/>
      <c r="H2" s="6"/>
    </row>
    <row r="3" customFormat="false" ht="15" hidden="false" customHeight="false" outlineLevel="0" collapsed="false">
      <c r="B3" s="7"/>
    </row>
    <row r="4" customFormat="false" ht="15" hidden="false" customHeight="false" outlineLevel="0" collapsed="false">
      <c r="B4" s="8" t="s">
        <v>25</v>
      </c>
      <c r="C4" s="8"/>
      <c r="D4" s="8"/>
      <c r="E4" s="8"/>
      <c r="F4" s="8"/>
      <c r="G4" s="8"/>
      <c r="H4" s="8"/>
      <c r="J4" s="8" t="s">
        <v>26</v>
      </c>
      <c r="K4" s="8"/>
      <c r="L4" s="8"/>
      <c r="M4" s="8"/>
    </row>
    <row r="5" customFormat="false" ht="15" hidden="false" customHeight="false" outlineLevel="0" collapsed="false">
      <c r="B5" s="9" t="s">
        <v>27</v>
      </c>
      <c r="C5" s="9" t="s">
        <v>28</v>
      </c>
      <c r="D5" s="9" t="str">
        <f aca="false">IF($E$6="Weekly","Term (weeks)","Term (daily pmts)")</f>
        <v>Term (weeks)</v>
      </c>
      <c r="E5" s="9" t="s">
        <v>29</v>
      </c>
      <c r="F5" s="9" t="s">
        <v>30</v>
      </c>
      <c r="J5" s="9" t="s">
        <v>31</v>
      </c>
      <c r="K5" s="9" t="s">
        <v>32</v>
      </c>
      <c r="L5" s="9" t="s">
        <v>33</v>
      </c>
      <c r="M5" s="9" t="s">
        <v>34</v>
      </c>
    </row>
    <row r="6" customFormat="false" ht="15" hidden="false" customHeight="false" outlineLevel="0" collapsed="false">
      <c r="B6" s="10" t="n">
        <v>75000</v>
      </c>
      <c r="C6" s="11" t="n">
        <v>1.49</v>
      </c>
      <c r="D6" s="12" t="n">
        <v>30</v>
      </c>
      <c r="E6" s="13" t="s">
        <v>35</v>
      </c>
      <c r="F6" s="14" t="n">
        <f aca="false">Controls!$B$15</f>
        <v>0.05</v>
      </c>
      <c r="J6" s="15" t="str">
        <f aca="false">IF($E$6="Weekly","Weekly remittance","Daily remittance")</f>
        <v>Weekly remittance</v>
      </c>
      <c r="K6" s="16" t="n">
        <f aca="false">IF(OR($E$6="",C8="",C24=0),"",IF($E$6="Weekly",D8,C8))</f>
        <v>3725</v>
      </c>
      <c r="L6" s="16" t="n">
        <f aca="false">IF(OR(L7="",C24=0),"",L7*C24/IF($E$6="Weekly",$L$8,$L$9))</f>
        <v>3725.4125</v>
      </c>
      <c r="M6" s="17" t="n">
        <f aca="false">IF(OR(K6="",L6=""),"",L6-K6)</f>
        <v>0.412500000000364</v>
      </c>
    </row>
    <row r="7" customFormat="false" ht="15" hidden="false" customHeight="false" outlineLevel="0" collapsed="false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J7" s="15" t="s">
        <v>42</v>
      </c>
      <c r="K7" s="18" t="n">
        <f aca="false">IF(OR(D8="",C24=0),"",E8/C24)</f>
        <v>0.135003974895398</v>
      </c>
      <c r="L7" s="18" t="n">
        <f aca="false">IF(OR($E$6="",C8="",C24=0),"",ROUND(IF($E$6="Weekly",D8*$L$8,C8*$L$9)/C24*100,2)/100)</f>
        <v>0.1247</v>
      </c>
      <c r="M7" s="19" t="n">
        <f aca="false">IF(OR(K7="",L7=""),"",L7-K7)</f>
        <v>-0.0103039748953975</v>
      </c>
    </row>
    <row r="8" customFormat="false" ht="15" hidden="false" customHeight="false" outlineLevel="0" collapsed="false">
      <c r="B8" s="20" t="n">
        <f aca="false">IF(OR(B6="",C6=""),"",B6*C6)</f>
        <v>111750</v>
      </c>
      <c r="C8" s="21" t="n">
        <f aca="false">IF(OR(B8="",D6="",D6=0),"",IF(E6="Weekly",(B8/D6)/5,B8/D6))</f>
        <v>745</v>
      </c>
      <c r="D8" s="21" t="n">
        <f aca="false">IF(C8="","",C8*5)</f>
        <v>3725</v>
      </c>
      <c r="E8" s="20" t="n">
        <f aca="false">IF(C8="","",C8*$K$9)</f>
        <v>16132.975</v>
      </c>
      <c r="F8" s="22" t="n">
        <f aca="false">IF(OR(D6="",D6=0),"",IF(E6="Weekly",D6,D6/5)/($K$9/5))</f>
        <v>6.9268067420919</v>
      </c>
      <c r="G8" s="20" t="n">
        <f aca="false">IF(B6="","",B6-(B6*F6))</f>
        <v>71250</v>
      </c>
      <c r="J8" s="15" t="s">
        <v>43</v>
      </c>
      <c r="K8" s="23" t="n">
        <f aca="false">Controls!$B$28</f>
        <v>4.331</v>
      </c>
      <c r="L8" s="23" t="n">
        <f aca="false">Controls!$B$30</f>
        <v>4</v>
      </c>
      <c r="M8" s="24" t="n">
        <f aca="false">IF(OR(K8="",L8=""),"",L8-K8)</f>
        <v>-0.331</v>
      </c>
    </row>
    <row r="9" customFormat="false" ht="15" hidden="false" customHeight="false" outlineLevel="0" collapsed="false">
      <c r="J9" s="15" t="s">
        <v>44</v>
      </c>
      <c r="K9" s="23" t="n">
        <f aca="false">Controls!$B$29</f>
        <v>21.655</v>
      </c>
      <c r="L9" s="23" t="n">
        <f aca="false">Controls!$B$31</f>
        <v>21</v>
      </c>
      <c r="M9" s="24" t="n">
        <f aca="false">IF(OR(K9="",L9=""),"",L9-K9)</f>
        <v>-0.655000000000001</v>
      </c>
    </row>
    <row r="10" customFormat="false" ht="15" hidden="false" customHeight="false" outlineLevel="0" collapsed="false">
      <c r="B10" s="8" t="s">
        <v>45</v>
      </c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B11" s="9" t="s">
        <v>46</v>
      </c>
      <c r="C11" s="9" t="s">
        <v>47</v>
      </c>
      <c r="D11" s="9" t="s">
        <v>48</v>
      </c>
      <c r="E11" s="9" t="s">
        <v>49</v>
      </c>
      <c r="F11" s="9" t="s">
        <v>50</v>
      </c>
      <c r="G11" s="9" t="s">
        <v>51</v>
      </c>
      <c r="J11" s="8" t="s">
        <v>52</v>
      </c>
      <c r="K11" s="8"/>
      <c r="L11" s="8"/>
      <c r="M11" s="8"/>
    </row>
    <row r="12" customFormat="false" ht="15" hidden="false" customHeight="false" outlineLevel="0" collapsed="false">
      <c r="B12" s="25" t="s">
        <v>53</v>
      </c>
      <c r="C12" s="26" t="n">
        <v>124000</v>
      </c>
      <c r="D12" s="26" t="n">
        <v>9200</v>
      </c>
      <c r="E12" s="27" t="n">
        <v>0</v>
      </c>
      <c r="F12" s="27" t="n">
        <v>0</v>
      </c>
      <c r="G12" s="28" t="n">
        <f aca="false">IF(OR(C12="",C13=""),"",(C12-C13)/C13)</f>
        <v>0.0508474576271187</v>
      </c>
      <c r="J12" s="29" t="s">
        <v>54</v>
      </c>
      <c r="K12" s="30" t="s">
        <v>55</v>
      </c>
      <c r="L12" s="31" t="str">
        <f aca="false">IF(K12="","",COUNTIF('Historical Data'!$K$2:$K$1068,K12)&amp;" deals in book")</f>
        <v>175 deals in book</v>
      </c>
      <c r="M12" s="31"/>
    </row>
    <row r="13" customFormat="false" ht="15" hidden="false" customHeight="false" outlineLevel="0" collapsed="false">
      <c r="B13" s="25" t="s">
        <v>56</v>
      </c>
      <c r="C13" s="26" t="n">
        <v>118000</v>
      </c>
      <c r="D13" s="26" t="n">
        <v>8100</v>
      </c>
      <c r="E13" s="27" t="n">
        <v>1</v>
      </c>
      <c r="F13" s="27" t="n">
        <v>0</v>
      </c>
      <c r="G13" s="28" t="n">
        <f aca="false">IF(OR(C13="",C14=""),"",(C13-C14)/C14)</f>
        <v>-0.0247933884297521</v>
      </c>
      <c r="J13" s="32" t="s">
        <v>57</v>
      </c>
      <c r="K13" s="33" t="s">
        <v>58</v>
      </c>
      <c r="L13" s="34" t="str">
        <f aca="false">IF(K13="","",COUNTIF('Historical Data'!$Y$2:$Y$1068,K13)&amp;" deals in book")</f>
        <v>121 deals in book</v>
      </c>
      <c r="M13" s="34"/>
    </row>
    <row r="14" customFormat="false" ht="15" hidden="false" customHeight="false" outlineLevel="0" collapsed="false">
      <c r="B14" s="25" t="s">
        <v>59</v>
      </c>
      <c r="C14" s="26" t="n">
        <v>121000</v>
      </c>
      <c r="D14" s="26" t="n">
        <v>9800</v>
      </c>
      <c r="E14" s="27" t="n">
        <v>0</v>
      </c>
      <c r="F14" s="27" t="n">
        <v>1</v>
      </c>
      <c r="G14" s="28" t="n">
        <f aca="false">IF(OR(C14="",C15=""),"",(C14-C15)/C15)</f>
        <v>0.0521739130434783</v>
      </c>
      <c r="J14" s="32" t="s">
        <v>60</v>
      </c>
      <c r="K14" s="33" t="s">
        <v>61</v>
      </c>
      <c r="L14" s="34" t="str">
        <f aca="false">IF(K14="","",COUNTIF('Historical Data'!$J$2:$J$1068,K14)&amp;" deals in book")</f>
        <v>197 deals in book</v>
      </c>
      <c r="M14" s="34"/>
    </row>
    <row r="15" customFormat="false" ht="15" hidden="false" customHeight="false" outlineLevel="0" collapsed="false">
      <c r="B15" s="25" t="s">
        <v>62</v>
      </c>
      <c r="C15" s="26" t="n">
        <v>115000</v>
      </c>
      <c r="D15" s="26" t="n">
        <v>8900</v>
      </c>
      <c r="E15" s="27" t="n">
        <v>0</v>
      </c>
      <c r="F15" s="27" t="n">
        <v>0</v>
      </c>
      <c r="G15" s="28" t="str">
        <f aca="false">IF(OR(C15="",C16=""),"",(C15-C16)/C16)</f>
        <v/>
      </c>
      <c r="J15" s="32" t="s">
        <v>63</v>
      </c>
      <c r="K15" s="33" t="s">
        <v>64</v>
      </c>
      <c r="L15" s="34" t="str">
        <f aca="false">IF(K15="","REQUIRED for history match","")</f>
        <v/>
      </c>
      <c r="M15" s="34"/>
    </row>
    <row r="16" customFormat="false" ht="15" hidden="false" customHeight="false" outlineLevel="0" collapsed="false">
      <c r="B16" s="25"/>
      <c r="C16" s="26"/>
      <c r="D16" s="26"/>
      <c r="E16" s="27"/>
      <c r="F16" s="27"/>
      <c r="G16" s="28" t="str">
        <f aca="false">IF(OR(C16="",C17=""),"",(C16-C17)/C17)</f>
        <v/>
      </c>
      <c r="J16" s="32" t="s">
        <v>65</v>
      </c>
      <c r="K16" s="33" t="n">
        <v>640</v>
      </c>
      <c r="L16" s="34" t="str">
        <f aca="false">IF(K16="","not scored",IF(K16&gt;=Controls!$B$12,"GREEN",IF(K16&gt;=Controls!$C$12,"YELLOW","RED")))</f>
        <v>YELLOW</v>
      </c>
      <c r="M16" s="34"/>
    </row>
    <row r="17" customFormat="false" ht="15" hidden="false" customHeight="false" outlineLevel="0" collapsed="false">
      <c r="B17" s="25"/>
      <c r="C17" s="26"/>
      <c r="D17" s="26"/>
      <c r="E17" s="27"/>
      <c r="F17" s="27"/>
      <c r="G17" s="28" t="str">
        <f aca="false">IF(OR(C17="",C18=""),"",(C17-C18)/C18)</f>
        <v/>
      </c>
      <c r="J17" s="29" t="s">
        <v>66</v>
      </c>
      <c r="K17" s="35" t="n">
        <f aca="false">IF(C42="","",C42)</f>
        <v>2</v>
      </c>
      <c r="L17" s="36" t="s">
        <v>67</v>
      </c>
      <c r="M17" s="36"/>
    </row>
    <row r="18" customFormat="false" ht="15" hidden="false" customHeight="false" outlineLevel="0" collapsed="false">
      <c r="B18" s="25"/>
      <c r="C18" s="26"/>
      <c r="D18" s="26"/>
      <c r="E18" s="27"/>
      <c r="F18" s="27"/>
      <c r="G18" s="28" t="str">
        <f aca="false">IF(OR(C18="",C19=""),"",(C18-C19)/C19)</f>
        <v/>
      </c>
      <c r="J18" s="29" t="s">
        <v>68</v>
      </c>
      <c r="K18" s="37"/>
      <c r="L18" s="36" t="str">
        <f aca="false">IF(K18="","",IF(K18&lt;&gt;K17,"override in use",""))</f>
        <v/>
      </c>
      <c r="M18" s="36"/>
    </row>
    <row r="19" customFormat="false" ht="15" hidden="false" customHeight="false" outlineLevel="0" collapsed="false">
      <c r="B19" s="25"/>
      <c r="C19" s="26"/>
      <c r="D19" s="26"/>
      <c r="E19" s="27"/>
      <c r="F19" s="27"/>
      <c r="G19" s="28" t="str">
        <f aca="false">IF(OR(C19="",C20=""),"",(C19-C20)/C20)</f>
        <v/>
      </c>
    </row>
    <row r="20" customFormat="false" ht="15" hidden="false" customHeight="false" outlineLevel="0" collapsed="false">
      <c r="B20" s="25"/>
      <c r="C20" s="26"/>
      <c r="D20" s="26"/>
      <c r="E20" s="27"/>
      <c r="F20" s="27"/>
      <c r="G20" s="28" t="str">
        <f aca="false">IF(OR(C20="",C21=""),"",(C20-C21)/C21)</f>
        <v/>
      </c>
    </row>
    <row r="21" customFormat="false" ht="15.75" hidden="false" customHeight="true" outlineLevel="0" collapsed="false">
      <c r="B21" s="25"/>
      <c r="C21" s="26"/>
      <c r="D21" s="26"/>
      <c r="E21" s="27"/>
      <c r="F21" s="27"/>
      <c r="G21" s="28" t="str">
        <f aca="false">IF(OR(C21="",C22=""),"",(C21-C22)/C22)</f>
        <v/>
      </c>
    </row>
    <row r="22" customFormat="false" ht="15.75" hidden="false" customHeight="true" outlineLevel="0" collapsed="false">
      <c r="B22" s="25"/>
      <c r="C22" s="26"/>
      <c r="D22" s="26"/>
      <c r="E22" s="27"/>
      <c r="F22" s="27"/>
      <c r="G22" s="28" t="str">
        <f aca="false">IF(OR(C22="",C23=""),"",(C22-C23)/C23)</f>
        <v/>
      </c>
    </row>
    <row r="23" customFormat="false" ht="15.75" hidden="false" customHeight="true" outlineLevel="0" collapsed="false">
      <c r="B23" s="25"/>
      <c r="C23" s="26"/>
      <c r="D23" s="26"/>
      <c r="E23" s="27"/>
      <c r="F23" s="27"/>
      <c r="G23" s="38"/>
    </row>
    <row r="24" customFormat="false" ht="15.75" hidden="false" customHeight="true" outlineLevel="0" collapsed="false">
      <c r="B24" s="39" t="s">
        <v>69</v>
      </c>
      <c r="C24" s="40" t="n">
        <f aca="false">IF(COUNT(C12:C23)=0,0,AVERAGE(C12:C23))</f>
        <v>119500</v>
      </c>
      <c r="D24" s="40" t="n">
        <f aca="false">IF(COUNT(D12:D23)=0,0,AVERAGE(D12:D23))</f>
        <v>9000</v>
      </c>
      <c r="E24" s="41" t="n">
        <f aca="false">SUM(E12:E23)</f>
        <v>1</v>
      </c>
      <c r="F24" s="41" t="n">
        <f aca="false">SUM(F12:F23)</f>
        <v>1</v>
      </c>
      <c r="G24" s="42" t="n">
        <f aca="false">IFERROR(AVERAGE(G12:G22),"")</f>
        <v>0.0260759940802816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8" t="s">
        <v>70</v>
      </c>
      <c r="C26" s="8"/>
      <c r="D26" s="8"/>
      <c r="E26" s="8"/>
      <c r="F26" s="8"/>
      <c r="G26" s="8"/>
      <c r="H26" s="8"/>
      <c r="I26" s="8"/>
      <c r="J26" s="8"/>
    </row>
    <row r="27" customFormat="false" ht="15.75" hidden="false" customHeight="true" outlineLevel="0" collapsed="false">
      <c r="B27" s="9" t="s">
        <v>71</v>
      </c>
      <c r="C27" s="9" t="s">
        <v>72</v>
      </c>
      <c r="D27" s="9" t="s">
        <v>73</v>
      </c>
      <c r="E27" s="9" t="s">
        <v>29</v>
      </c>
      <c r="F27" s="9" t="s">
        <v>74</v>
      </c>
      <c r="G27" s="9" t="s">
        <v>75</v>
      </c>
      <c r="H27" s="9" t="s">
        <v>76</v>
      </c>
      <c r="I27" s="9" t="s">
        <v>77</v>
      </c>
      <c r="J27" s="9" t="s">
        <v>78</v>
      </c>
    </row>
    <row r="28" customFormat="false" ht="15.75" hidden="false" customHeight="true" outlineLevel="0" collapsed="false">
      <c r="B28" s="43" t="s">
        <v>79</v>
      </c>
      <c r="C28" s="26" t="n">
        <v>60000</v>
      </c>
      <c r="D28" s="26" t="n">
        <v>2500</v>
      </c>
      <c r="E28" s="25" t="s">
        <v>35</v>
      </c>
      <c r="F28" s="16" t="n">
        <f aca="false">IF(D28&lt;&gt;"",IF(E28="Daily",D28,IF(E28="Weekly",D28/5,D28/$K$9)),IF(C28="","",C28*Controls!$B$33/(Controls!$B$23*$K$9)))</f>
        <v>500</v>
      </c>
      <c r="G28" s="44"/>
      <c r="H28" s="45" t="n">
        <f aca="false">IF(OR(C28="",D28=""),"",ROUND(C28*Controls!$B$33/D28,0))</f>
        <v>35</v>
      </c>
      <c r="I28" s="45" t="n">
        <f aca="false">IF(H28="","",H28/IF(E28="Daily",$K$9,IF(E28="Weekly",$K$9/5,1)))</f>
        <v>8.08127453244054</v>
      </c>
      <c r="J28" s="45" t="str">
        <f aca="true">IF(OR(I28="",G28=""),"",MAX(0,I28-(TODAY()-G28)/Controls!$B$32))</f>
        <v/>
      </c>
    </row>
    <row r="29" customFormat="false" ht="15.75" hidden="false" customHeight="true" outlineLevel="0" collapsed="false">
      <c r="B29" s="43"/>
      <c r="C29" s="26"/>
      <c r="D29" s="26"/>
      <c r="E29" s="25" t="s">
        <v>35</v>
      </c>
      <c r="F29" s="16" t="str">
        <f aca="false">IF(D29&lt;&gt;"",IF(E29="Daily",D29,IF(E29="Weekly",D29/5,D29/$K$9)),IF(C29="","",C29*Controls!$B$33/(Controls!$B$23*$K$9)))</f>
        <v/>
      </c>
      <c r="G29" s="44"/>
      <c r="H29" s="44" t="str">
        <f aca="false">IF(OR(C29="",D29=""),"",ROUND(C29*Controls!$B$33/D29,0))</f>
        <v/>
      </c>
      <c r="I29" s="38" t="str">
        <f aca="false">IF(H29="","",H29/IF(E29="Daily",$K$9,IF(E29="Weekly",$K$9/5,1)))</f>
        <v/>
      </c>
      <c r="J29" s="44" t="str">
        <f aca="true">IF(OR(I29="",G29=""),"",MAX(0,I29-(TODAY()-G29)/Controls!$B$32))</f>
        <v/>
      </c>
    </row>
    <row r="30" customFormat="false" ht="15.75" hidden="false" customHeight="true" outlineLevel="0" collapsed="false">
      <c r="B30" s="43"/>
      <c r="C30" s="26"/>
      <c r="D30" s="26"/>
      <c r="E30" s="25" t="s">
        <v>35</v>
      </c>
      <c r="F30" s="16" t="str">
        <f aca="false">IF(D30&lt;&gt;"",IF(E30="Daily",D30,IF(E30="Weekly",D30/5,D30/$K$9)),IF(C30="","",C30*Controls!$B$33/(Controls!$B$23*$K$9)))</f>
        <v/>
      </c>
      <c r="G30" s="44"/>
      <c r="H30" s="44" t="str">
        <f aca="false">IF(OR(C30="",D30=""),"",ROUND(C30*Controls!$B$33/D30,0))</f>
        <v/>
      </c>
      <c r="I30" s="38" t="str">
        <f aca="false">IF(H30="","",H30/IF(E30="Daily",$K$9,IF(E30="Weekly",$K$9/5,1)))</f>
        <v/>
      </c>
      <c r="J30" s="44" t="str">
        <f aca="true">IF(OR(I30="",G30=""),"",MAX(0,I30-(TODAY()-G30)/Controls!$B$32))</f>
        <v/>
      </c>
    </row>
    <row r="31" customFormat="false" ht="15.75" hidden="false" customHeight="true" outlineLevel="0" collapsed="false">
      <c r="B31" s="43"/>
      <c r="C31" s="26"/>
      <c r="D31" s="26"/>
      <c r="E31" s="25" t="s">
        <v>35</v>
      </c>
      <c r="F31" s="16" t="str">
        <f aca="false">IF(D31&lt;&gt;"",IF(E31="Daily",D31,IF(E31="Weekly",D31/5,D31/$K$9)),IF(C31="","",C31*Controls!$B$33/(Controls!$B$23*$K$9)))</f>
        <v/>
      </c>
      <c r="G31" s="44"/>
      <c r="H31" s="44" t="str">
        <f aca="false">IF(OR(C31="",D31=""),"",ROUND(C31*Controls!$B$33/D31,0))</f>
        <v/>
      </c>
      <c r="I31" s="38" t="str">
        <f aca="false">IF(H31="","",H31/IF(E31="Daily",$K$9,IF(E31="Weekly",$K$9/5,1)))</f>
        <v/>
      </c>
      <c r="J31" s="44" t="str">
        <f aca="true">IF(OR(I31="",G31=""),"",MAX(0,I31-(TODAY()-G31)/Controls!$B$32))</f>
        <v/>
      </c>
    </row>
    <row r="32" customFormat="false" ht="15.75" hidden="false" customHeight="true" outlineLevel="0" collapsed="false">
      <c r="B32" s="43"/>
      <c r="C32" s="26"/>
      <c r="D32" s="26"/>
      <c r="E32" s="25" t="s">
        <v>35</v>
      </c>
      <c r="F32" s="16" t="str">
        <f aca="false">IF(D32&lt;&gt;"",IF(E32="Daily",D32,IF(E32="Weekly",D32/5,D32/$K$9)),IF(C32="","",C32*Controls!$B$33/(Controls!$B$23*$K$9)))</f>
        <v/>
      </c>
      <c r="G32" s="44"/>
      <c r="H32" s="44" t="str">
        <f aca="false">IF(OR(C32="",D32=""),"",ROUND(C32*Controls!$B$33/D32,0))</f>
        <v/>
      </c>
      <c r="I32" s="38" t="str">
        <f aca="false">IF(H32="","",H32/IF(E32="Daily",$K$9,IF(E32="Weekly",$K$9/5,1)))</f>
        <v/>
      </c>
      <c r="J32" s="44" t="str">
        <f aca="true">IF(OR(I32="",G32=""),"",MAX(0,I32-(TODAY()-G32)/Controls!$B$32))</f>
        <v/>
      </c>
    </row>
    <row r="33" customFormat="false" ht="15.75" hidden="false" customHeight="true" outlineLevel="0" collapsed="false">
      <c r="B33" s="43"/>
      <c r="C33" s="26"/>
      <c r="D33" s="26"/>
      <c r="E33" s="25" t="s">
        <v>35</v>
      </c>
      <c r="F33" s="16" t="str">
        <f aca="false">IF(D33&lt;&gt;"",IF(E33="Daily",D33,IF(E33="Weekly",D33/5,D33/$K$9)),IF(C33="","",C33*Controls!$B$33/(Controls!$B$23*$K$9)))</f>
        <v/>
      </c>
      <c r="G33" s="44"/>
      <c r="H33" s="44" t="str">
        <f aca="false">IF(OR(C33="",D33=""),"",ROUND(C33*Controls!$B$33/D33,0))</f>
        <v/>
      </c>
      <c r="I33" s="38" t="str">
        <f aca="false">IF(H33="","",H33/IF(E33="Daily",$K$9,IF(E33="Weekly",$K$9/5,1)))</f>
        <v/>
      </c>
      <c r="J33" s="44" t="str">
        <f aca="true">IF(OR(I33="",G33=""),"",MAX(0,I33-(TODAY()-G33)/Controls!$B$32))</f>
        <v/>
      </c>
    </row>
    <row r="34" customFormat="false" ht="15.75" hidden="false" customHeight="true" outlineLevel="0" collapsed="false">
      <c r="B34" s="46" t="s">
        <v>80</v>
      </c>
      <c r="C34" s="41" t="n">
        <f aca="false">SUMPRODUCT(((C28:C33&lt;&gt;"")+(D28:D33&lt;&gt;"")&gt;0)*(E28:E33&lt;&gt;"Monthly"))</f>
        <v>1</v>
      </c>
      <c r="D34" s="46" t="s">
        <v>81</v>
      </c>
      <c r="E34" s="47" t="n">
        <f aca="false">SUM(F28:F33)</f>
        <v>500</v>
      </c>
      <c r="F34" s="40" t="n">
        <f aca="false">E34*$K$9</f>
        <v>10827.5</v>
      </c>
      <c r="G34" s="7" t="s">
        <v>82</v>
      </c>
    </row>
    <row r="35" customFormat="false" ht="15.75" hidden="false" customHeight="true" outlineLevel="0" collapsed="false">
      <c r="E35" s="48"/>
    </row>
    <row r="36" customFormat="false" ht="15.75" hidden="false" customHeight="true" outlineLevel="0" collapsed="false">
      <c r="B36" s="8" t="s">
        <v>83</v>
      </c>
      <c r="C36" s="8"/>
      <c r="D36" s="8"/>
      <c r="E36" s="8"/>
      <c r="F36" s="8"/>
      <c r="G36" s="8"/>
      <c r="H36" s="8"/>
    </row>
    <row r="37" customFormat="false" ht="15.75" hidden="false" customHeight="true" outlineLevel="0" collapsed="false">
      <c r="B37" s="9" t="s">
        <v>31</v>
      </c>
      <c r="C37" s="9" t="s">
        <v>84</v>
      </c>
      <c r="D37" s="9" t="s">
        <v>85</v>
      </c>
      <c r="E37" s="9" t="s">
        <v>86</v>
      </c>
      <c r="F37" s="9" t="s">
        <v>87</v>
      </c>
      <c r="G37" s="9" t="s">
        <v>88</v>
      </c>
    </row>
    <row r="38" customFormat="false" ht="15.75" hidden="false" customHeight="true" outlineLevel="0" collapsed="false">
      <c r="B38" s="15" t="s">
        <v>89</v>
      </c>
      <c r="C38" s="49" t="n">
        <f aca="false">IF(C24=0,"",(E34+IF(C8="",0,C8))*$K$9/C24)</f>
        <v>0.225610669456067</v>
      </c>
      <c r="D38" s="50" t="n">
        <f aca="false">Controls!$B$5</f>
        <v>0.3</v>
      </c>
      <c r="E38" s="50" t="n">
        <f aca="false">Controls!$C$5</f>
        <v>0.45</v>
      </c>
      <c r="F38" s="51" t="str">
        <f aca="false">IF(C38="","",IF(C38&gt;=G38,"KNOCKOUT",IF(C38&lt;=D38,"GREEN",IF(C38&gt;=E38,"RED","YELLOW"))))</f>
        <v>GREEN</v>
      </c>
      <c r="G38" s="50" t="n">
        <f aca="false">Controls!$D$5</f>
        <v>0.55</v>
      </c>
    </row>
    <row r="39" customFormat="false" ht="15.75" hidden="false" customHeight="true" outlineLevel="0" collapsed="false">
      <c r="B39" s="15" t="s">
        <v>90</v>
      </c>
      <c r="C39" s="49" t="n">
        <f aca="false">IF(OR(C24=0,E8=""),"",E8/C24)</f>
        <v>0.135003974895398</v>
      </c>
      <c r="D39" s="50" t="n">
        <f aca="false">Controls!$B$6</f>
        <v>0.18</v>
      </c>
      <c r="E39" s="50" t="n">
        <f aca="false">Controls!$C$6</f>
        <v>0.25</v>
      </c>
      <c r="F39" s="51" t="str">
        <f aca="false">IF(C39="","",IF(C39&gt;=G39,"KNOCKOUT",IF(C39&lt;=D39,"GREEN",IF(C39&gt;=E39,"RED","YELLOW"))))</f>
        <v>GREEN</v>
      </c>
      <c r="G39" s="50" t="n">
        <f aca="false">Controls!$D$6</f>
        <v>0.35</v>
      </c>
    </row>
    <row r="40" customFormat="false" ht="15.75" hidden="false" customHeight="true" outlineLevel="0" collapsed="false">
      <c r="B40" s="15" t="s">
        <v>91</v>
      </c>
      <c r="C40" s="49" t="n">
        <f aca="false">IF(D24=0,"",(E34+IF(C8="",0,C8))/D24)</f>
        <v>0.138333333333333</v>
      </c>
      <c r="D40" s="50" t="n">
        <f aca="false">Controls!$B$7</f>
        <v>0.18</v>
      </c>
      <c r="E40" s="50" t="n">
        <f aca="false">Controls!$C$7</f>
        <v>0.3</v>
      </c>
      <c r="F40" s="51" t="str">
        <f aca="false">IF(C40="","",IF(C40&gt;=G40,"KNOCKOUT",IF(C40&lt;=D40,"GREEN",IF(C40&gt;=E40,"RED","YELLOW"))))</f>
        <v>GREEN</v>
      </c>
      <c r="G40" s="50" t="n">
        <f aca="false">Controls!$D$7</f>
        <v>0.35</v>
      </c>
    </row>
    <row r="41" customFormat="false" ht="15.75" hidden="false" customHeight="true" outlineLevel="0" collapsed="false">
      <c r="B41" s="15" t="s">
        <v>92</v>
      </c>
      <c r="C41" s="52" t="n">
        <f aca="false">IF(OR(C24=0,B6=""),"",B6/C24)</f>
        <v>0.627615062761506</v>
      </c>
      <c r="D41" s="53" t="n">
        <f aca="false">Controls!$B$8</f>
        <v>0.6</v>
      </c>
      <c r="E41" s="53" t="n">
        <f aca="false">Controls!$C$8</f>
        <v>0.9</v>
      </c>
      <c r="F41" s="51" t="str">
        <f aca="false">IF(C41="","",IF(C41&gt;=G41,"KNOCKOUT",IF(C41&lt;=D41,"GREEN",IF(C41&gt;=E41,"RED","YELLOW"))))</f>
        <v>YELLOW</v>
      </c>
      <c r="G41" s="53" t="n">
        <f aca="false">Controls!$D$8</f>
        <v>1.25</v>
      </c>
    </row>
    <row r="42" customFormat="false" ht="15.75" hidden="false" customHeight="true" outlineLevel="0" collapsed="false">
      <c r="B42" s="15" t="s">
        <v>93</v>
      </c>
      <c r="C42" s="54" t="n">
        <f aca="false">IF(C24=0,"",C34+1)</f>
        <v>2</v>
      </c>
      <c r="D42" s="55" t="n">
        <f aca="false">Controls!$B$9</f>
        <v>2</v>
      </c>
      <c r="E42" s="55" t="n">
        <f aca="false">Controls!$C$9</f>
        <v>5</v>
      </c>
      <c r="F42" s="51" t="str">
        <f aca="false">IF(C42="","",IF(C42&gt;=G42,"KNOCKOUT",IF(C42&lt;=D42,"GREEN",IF(C42&gt;=E42,"RED","YELLOW"))))</f>
        <v>GREEN</v>
      </c>
      <c r="G42" s="55" t="n">
        <f aca="false">Controls!$D$9</f>
        <v>6</v>
      </c>
    </row>
    <row r="43" customFormat="false" ht="15.75" hidden="false" customHeight="true" outlineLevel="0" collapsed="false">
      <c r="B43" s="15" t="s">
        <v>94</v>
      </c>
      <c r="C43" s="19" t="n">
        <f aca="false">G24</f>
        <v>0.0260759940802816</v>
      </c>
      <c r="D43" s="50" t="n">
        <f aca="false">Controls!$B$10</f>
        <v>-0.05</v>
      </c>
      <c r="E43" s="50" t="n">
        <f aca="false">Controls!$C$10</f>
        <v>-0.15</v>
      </c>
      <c r="F43" s="51" t="str">
        <f aca="false">IF(C24=0,"",IF(NOT(ISNUMBER(C43)),"YELLOW",IF(C43&lt;=G43,"KNOCKOUT",IF(C43&gt;=D43,"GREEN",IF(C43&lt;=E43,"RED","YELLOW")))))</f>
        <v>GREEN</v>
      </c>
      <c r="G43" s="50" t="n">
        <f aca="false">Controls!$D$10</f>
        <v>-0.3</v>
      </c>
    </row>
    <row r="44" customFormat="false" ht="15.75" hidden="false" customHeight="true" outlineLevel="0" collapsed="false">
      <c r="B44" s="15" t="s">
        <v>95</v>
      </c>
      <c r="C44" s="54" t="n">
        <f aca="false">E24+F24</f>
        <v>2</v>
      </c>
      <c r="D44" s="55" t="n">
        <f aca="false">Controls!$B$11</f>
        <v>1</v>
      </c>
      <c r="E44" s="55" t="n">
        <f aca="false">Controls!$C$11</f>
        <v>6</v>
      </c>
      <c r="F44" s="51" t="str">
        <f aca="false">IF(C44="","",IF(C44&gt;=G44,"KNOCKOUT",IF(C44&lt;=D44,"GREEN",IF(C44&gt;=E44,"RED","YELLOW"))))</f>
        <v>YELLOW</v>
      </c>
      <c r="G44" s="55" t="n">
        <f aca="false">Controls!$D$11</f>
        <v>10</v>
      </c>
    </row>
    <row r="45" customFormat="false" ht="15.75" hidden="false" customHeight="true" outlineLevel="0" collapsed="false">
      <c r="B45" s="15" t="s">
        <v>65</v>
      </c>
      <c r="C45" s="54" t="n">
        <f aca="false">IF(K16="","",K16)</f>
        <v>640</v>
      </c>
      <c r="D45" s="55" t="n">
        <f aca="false">Controls!$B$12</f>
        <v>650</v>
      </c>
      <c r="E45" s="55" t="n">
        <f aca="false">Controls!$C$12</f>
        <v>630</v>
      </c>
      <c r="F45" s="51" t="str">
        <f aca="false">IF(C45="","",IF(AND(G45&lt;&gt;0,C45&lt;=G45),"KNOCKOUT",IF(C45&gt;=D45,"GREEN",IF(C45&lt;E45,"RED","YELLOW"))))</f>
        <v>YELLOW</v>
      </c>
      <c r="G45" s="55" t="n">
        <f aca="false">Controls!$D$12</f>
        <v>0</v>
      </c>
    </row>
    <row r="46" customFormat="false" ht="15.75" hidden="false" customHeight="true" outlineLevel="0" collapsed="false">
      <c r="B46" s="15" t="s">
        <v>96</v>
      </c>
      <c r="C46" s="19" t="n">
        <f aca="false">IF(C24=0,"",F34/C24)</f>
        <v>0.0906066945606695</v>
      </c>
      <c r="D46" s="56" t="s">
        <v>97</v>
      </c>
      <c r="E46" s="56" t="s">
        <v>97</v>
      </c>
      <c r="F46" s="57" t="s">
        <v>98</v>
      </c>
    </row>
    <row r="47" customFormat="false" ht="15.75" hidden="false" customHeight="true" outlineLevel="0" collapsed="false">
      <c r="B47" s="15" t="s">
        <v>99</v>
      </c>
      <c r="C47" s="19" t="n">
        <f aca="false">IF(C24=0,"",D24/C24)</f>
        <v>0.0753138075313808</v>
      </c>
      <c r="D47" s="56" t="s">
        <v>97</v>
      </c>
      <c r="E47" s="56" t="s">
        <v>97</v>
      </c>
      <c r="F47" s="57" t="s">
        <v>98</v>
      </c>
    </row>
    <row r="48" customFormat="false" ht="15.75" hidden="false" customHeight="true" outlineLevel="0" collapsed="false"/>
    <row r="49" customFormat="false" ht="15.75" hidden="false" customHeight="true" outlineLevel="0" collapsed="false">
      <c r="B49" s="8" t="s">
        <v>100</v>
      </c>
      <c r="C49" s="8"/>
      <c r="D49" s="8"/>
      <c r="E49" s="8"/>
      <c r="F49" s="8"/>
      <c r="G49" s="8"/>
      <c r="H49" s="8"/>
    </row>
    <row r="50" customFormat="false" ht="15.75" hidden="false" customHeight="true" outlineLevel="0" collapsed="false">
      <c r="B50" s="58" t="s">
        <v>101</v>
      </c>
      <c r="C50" s="59" t="n">
        <f aca="false">COUNTIF(F38:F45,"RED")+COUNTIF(F38:F45,"KNOCKOUT")</f>
        <v>0</v>
      </c>
      <c r="D50" s="58" t="s">
        <v>102</v>
      </c>
      <c r="E50" s="59" t="n">
        <f aca="false">COUNTIF(F38:F45,"KNOCKOUT")</f>
        <v>0</v>
      </c>
    </row>
    <row r="51" customFormat="false" ht="15.75" hidden="false" customHeight="true" outlineLevel="0" collapsed="false">
      <c r="B51" s="60" t="s">
        <v>103</v>
      </c>
      <c r="C51" s="61" t="n">
        <f aca="false">Controls!$B$13</f>
        <v>2</v>
      </c>
      <c r="D51" s="62" t="s">
        <v>104</v>
      </c>
      <c r="E51" s="63" t="n">
        <f aca="false">Controls!$B$14</f>
        <v>20000</v>
      </c>
    </row>
    <row r="52" customFormat="false" ht="15.75" hidden="false" customHeight="true" outlineLevel="0" collapsed="false">
      <c r="B52" s="58" t="s">
        <v>24</v>
      </c>
      <c r="C52" s="5" t="str">
        <f aca="false">IF(C24=0,"",IF(OR(E50&gt;0,IF(ISNUMBER(C63),C63,0)&lt;E51),"DECLINE",IF(OR(B6="",B6=0),"",IF(C50&gt;=C51,"DECLINE",IF(COUNTIF(F38:F45,"GREEN")=D55,"APPROVE","CONDITIONAL")))))</f>
        <v>CONDITIONAL</v>
      </c>
      <c r="D52" s="6" t="str">
        <f aca="false">IF(C52="DECLINE",IF(E50&gt;0,"KNOCKOUT: "&amp;INDEX(B38:B45,MATCH("KNOCKOUT",F38:F45,0))&amp;" is past its knockout line.",IF(C50&gt;=C51,"Red flags reached the threshold.","Recommended fund "&amp;IF(ISNUMBER(C63),TEXT(C63,"$#,##0"),"$0")&amp;" is below your minimum "&amp;TEXT(E51,"$#,##0")&amp;".")),IF(C52="APPROVE","All "&amp;D55&amp;" decision metrics green.",IF(C52="","Enter offer + bank data.","Fundable but not clean - review yellows/reds above.")))</f>
        <v>Fundable but not clean - review yellows/reds above.</v>
      </c>
      <c r="E52" s="6"/>
      <c r="F52" s="6"/>
      <c r="G52" s="6"/>
      <c r="H52" s="6"/>
    </row>
    <row r="53" customFormat="false" ht="15.75" hidden="false" customHeight="true" outlineLevel="0" collapsed="false"/>
    <row r="54" customFormat="false" ht="15.75" hidden="false" customHeight="true" outlineLevel="0" collapsed="false">
      <c r="B54" s="8" t="s">
        <v>105</v>
      </c>
      <c r="C54" s="8"/>
      <c r="D54" s="8"/>
      <c r="E54" s="8"/>
      <c r="F54" s="8"/>
      <c r="G54" s="8"/>
      <c r="H54" s="8"/>
    </row>
    <row r="55" customFormat="false" ht="15.75" hidden="false" customHeight="true" outlineLevel="0" collapsed="false">
      <c r="B55" s="60" t="s">
        <v>106</v>
      </c>
      <c r="C55" s="64" t="n">
        <f aca="false">COUNTIF(F38:F45,"GREEN")+0.5*COUNTIF(F38:F45,"YELLOW")</f>
        <v>6.5</v>
      </c>
      <c r="D55" s="7" t="n">
        <f aca="false">SUMPRODUCT(--(F38:F45&lt;&gt;""))</f>
        <v>8</v>
      </c>
      <c r="E55" s="65" t="s">
        <v>107</v>
      </c>
    </row>
    <row r="56" customFormat="false" ht="15.75" hidden="false" customHeight="true" outlineLevel="0" collapsed="false">
      <c r="B56" s="60" t="s">
        <v>108</v>
      </c>
      <c r="C56" s="51" t="str">
        <f aca="false">IF(C24=0,"",IF(D57&gt;=Controls!$B$25,"Strong",IF(D57&gt;=Controls!$C$25,"Solid",IF(D57&gt;=Controls!$D$25,"Moderate","Weak"))))</f>
        <v>Solid</v>
      </c>
    </row>
    <row r="57" customFormat="false" ht="15.75" hidden="false" customHeight="true" outlineLevel="0" collapsed="false">
      <c r="B57" s="60" t="s">
        <v>109</v>
      </c>
      <c r="C57" s="16" t="n">
        <f aca="false">IF(C24=0,"",D39*C24/$K$9)</f>
        <v>993.304086815978</v>
      </c>
      <c r="D57" s="66" t="n">
        <f aca="false">IF(D55=0,0,C55*7/D55)</f>
        <v>5.6875</v>
      </c>
      <c r="E57" s="65" t="s">
        <v>110</v>
      </c>
    </row>
    <row r="58" customFormat="false" ht="15.75" hidden="false" customHeight="true" outlineLevel="0" collapsed="false">
      <c r="B58" s="60" t="s">
        <v>111</v>
      </c>
      <c r="C58" s="16" t="n">
        <f aca="false">IF(C24=0,"",(D38*C24-F34)/$K$9)</f>
        <v>1155.50681135996</v>
      </c>
    </row>
    <row r="59" customFormat="false" ht="15.75" hidden="false" customHeight="true" outlineLevel="0" collapsed="false">
      <c r="B59" s="60" t="s">
        <v>112</v>
      </c>
      <c r="C59" s="16" t="n">
        <f aca="false">IF(OR(C24=0,D24=0),"",D40*D24-E34)</f>
        <v>1120</v>
      </c>
    </row>
    <row r="60" customFormat="false" ht="15.75" hidden="false" customHeight="true" outlineLevel="0" collapsed="false">
      <c r="B60" s="58" t="s">
        <v>113</v>
      </c>
      <c r="C60" s="21" t="n">
        <f aca="false">IF(C24=0,"",MAX(0,MIN(C57:C59)))</f>
        <v>993.304086815978</v>
      </c>
      <c r="D60" s="6" t="str">
        <f aca="false">IF(C60="","",IF(C60=0,"no clean room - existing debt is over a green line",INDEX({"SP% holdback";"Total LVG";"Daily/Balance"},MATCH(C60,C57:C59,0))&amp;" is the limit"))</f>
        <v>SP% holdback is the limit</v>
      </c>
      <c r="E60" s="6"/>
      <c r="F60" s="6"/>
      <c r="G60" s="6"/>
      <c r="H60" s="6"/>
    </row>
    <row r="61" customFormat="false" ht="15.75" hidden="false" customHeight="true" outlineLevel="0" collapsed="false">
      <c r="B61" s="60" t="s">
        <v>114</v>
      </c>
      <c r="C61" s="67" t="n">
        <f aca="false">IF(OR(C60="",C60=0),"",C60*5)</f>
        <v>4966.52043407989</v>
      </c>
      <c r="D61" s="67" t="n">
        <f aca="false">IF(OR(C60="",C60=0),"",C60*$K$9)</f>
        <v>21510</v>
      </c>
    </row>
    <row r="62" customFormat="false" ht="15.75" hidden="false" customHeight="true" outlineLevel="0" collapsed="false">
      <c r="B62" s="60" t="s">
        <v>115</v>
      </c>
      <c r="C62" s="68" t="n">
        <f aca="false">IF(OR(C60="",C60=0,C55=""),"",MAX(20,MIN(INDEX(Controls!$B$19:$B$22,MATCH(D57,Controls!$A$19:$A$22,1)),FLOOR(Controls!$B$23*$K$9,5),FLOOR(D41*C24*D62/C60,5))))</f>
        <v>100</v>
      </c>
      <c r="D62" s="69" t="n">
        <f aca="false">IF(OR(C55="",C24=0),"",INDEX(Controls!$C$19:$C$22,MATCH(D57,Controls!$A$19:$A$22,1)))</f>
        <v>1.45</v>
      </c>
    </row>
    <row r="63" customFormat="false" ht="15.75" hidden="false" customHeight="true" outlineLevel="0" collapsed="false">
      <c r="B63" s="58" t="s">
        <v>116</v>
      </c>
      <c r="C63" s="70" t="n">
        <f aca="false">IF(COUNTIF(F42:F45,"KNOCKOUT")&gt;0,"-",IF(OR(C60="",C60=0,C62="",D62=""),"",FLOOR(C60*C62/D62,500)))</f>
        <v>68500</v>
      </c>
      <c r="D63" s="6" t="str">
        <f aca="false">IF(C63="-","KNOCKOUT on the merchant - do not fund.",IF(C63="","","payback "&amp;TEXT(C63*D62,"$#,##0")&amp;" over "&amp;C62&amp;" daily pmts ("&amp;TEXT(C62/5,"0")&amp;" wks) - this is the ceiling; see F below"))</f>
        <v>payback $99,325 over 100 daily pmts (20 wks) - this is the ceiling; see F below</v>
      </c>
      <c r="E63" s="6"/>
      <c r="F63" s="6"/>
      <c r="G63" s="6"/>
      <c r="H63" s="6"/>
    </row>
    <row r="64" customFormat="false" ht="15.75" hidden="false" customHeight="true" outlineLevel="0" collapsed="false">
      <c r="B64" s="6"/>
      <c r="C64" s="6"/>
      <c r="D64" s="6"/>
      <c r="E64" s="6"/>
      <c r="F64" s="6"/>
      <c r="G64" s="6"/>
      <c r="H64" s="6"/>
    </row>
    <row r="65" customFormat="false" ht="18" hidden="false" customHeight="true" outlineLevel="0" collapsed="false">
      <c r="B65" s="8" t="s">
        <v>117</v>
      </c>
      <c r="C65" s="8"/>
      <c r="D65" s="8"/>
      <c r="E65" s="8"/>
      <c r="F65" s="8"/>
      <c r="G65" s="8"/>
      <c r="H65" s="8"/>
    </row>
    <row r="66" customFormat="false" ht="15.75" hidden="false" customHeight="true" outlineLevel="0" collapsed="false">
      <c r="B66" s="9" t="s">
        <v>118</v>
      </c>
      <c r="C66" s="9" t="s">
        <v>84</v>
      </c>
      <c r="D66" s="9" t="s">
        <v>119</v>
      </c>
      <c r="E66" s="9"/>
      <c r="F66" s="9"/>
      <c r="G66" s="9"/>
      <c r="H66" s="9"/>
    </row>
    <row r="67" customFormat="false" ht="15.75" hidden="false" customHeight="true" outlineLevel="0" collapsed="false">
      <c r="B67" s="71" t="s">
        <v>120</v>
      </c>
      <c r="C67" s="72" t="str">
        <f aca="false">'Decision Summary'!$C$5</f>
        <v>CONDITIONAL</v>
      </c>
      <c r="D67" s="36" t="str">
        <f aca="false">'Decision Summary'!$D$5</f>
        <v>Yellows/reds remain, evidence is negative, or conditional stips apply - see below.</v>
      </c>
      <c r="E67" s="36"/>
      <c r="F67" s="36"/>
      <c r="G67" s="36"/>
      <c r="H67" s="36"/>
    </row>
    <row r="68" customFormat="false" ht="15.75" hidden="false" customHeight="true" outlineLevel="0" collapsed="false">
      <c r="B68" s="71" t="s">
        <v>121</v>
      </c>
      <c r="C68" s="73" t="n">
        <f aca="false">'Decision Summary'!$C$6</f>
        <v>54500</v>
      </c>
      <c r="D68" s="36" t="str">
        <f aca="false">'Decision Summary'!$D$6</f>
        <v>cash-flow max $68,500  -&gt;  80% used  (requested $75,000)</v>
      </c>
      <c r="E68" s="36"/>
      <c r="F68" s="36"/>
      <c r="G68" s="36"/>
      <c r="H68" s="36"/>
    </row>
    <row r="69" customFormat="false" ht="15.75" hidden="false" customHeight="true" outlineLevel="0" collapsed="false">
      <c r="B69" s="71" t="s">
        <v>28</v>
      </c>
      <c r="C69" s="74" t="n">
        <f aca="false">'Decision Summary'!$C$7</f>
        <v>1.49</v>
      </c>
      <c r="D69" s="36" t="str">
        <f aca="false">'Decision Summary'!$D$7</f>
        <v>base 1.45 -&gt; raised one approved tier by history</v>
      </c>
      <c r="E69" s="36"/>
      <c r="F69" s="36"/>
      <c r="G69" s="36"/>
      <c r="H69" s="36"/>
    </row>
    <row r="70" customFormat="false" ht="15.75" hidden="false" customHeight="true" outlineLevel="0" collapsed="false">
      <c r="B70" s="71" t="s">
        <v>122</v>
      </c>
      <c r="C70" s="75" t="n">
        <f aca="false">'Decision Summary'!$C$8</f>
        <v>20</v>
      </c>
      <c r="D70" s="36" t="str">
        <f aca="false">'Decision Summary'!$D$8</f>
        <v>weeks  (4.6 months; base 100 daily pmts)</v>
      </c>
      <c r="E70" s="36"/>
      <c r="F70" s="36"/>
      <c r="G70" s="36"/>
      <c r="H70" s="36"/>
    </row>
    <row r="71" customFormat="false" ht="15.75" hidden="false" customHeight="true" outlineLevel="0" collapsed="false">
      <c r="B71" s="71" t="s">
        <v>73</v>
      </c>
      <c r="C71" s="76" t="n">
        <f aca="false">'Decision Summary'!$C$9</f>
        <v>4060.25</v>
      </c>
      <c r="D71" s="36" t="str">
        <f aca="false">'Decision Summary'!$D$9</f>
        <v>per week;  daily-equivalent $812.05, monthly $17,585;  payback $81,205, net $51,775</v>
      </c>
      <c r="E71" s="36"/>
      <c r="F71" s="36"/>
      <c r="G71" s="36"/>
      <c r="H71" s="36"/>
    </row>
    <row r="72" customFormat="false" ht="15.75" hidden="false" customHeight="true" outlineLevel="0" collapsed="false">
      <c r="B72" s="71" t="s">
        <v>123</v>
      </c>
      <c r="C72" s="77" t="str">
        <f aca="false">'Decision Summary'!$C$10</f>
        <v>Weekly</v>
      </c>
      <c r="D72" s="36" t="str">
        <f aca="false">'Decision Summary'!$D$10</f>
        <v>As proposed on the Deal sheet</v>
      </c>
      <c r="E72" s="36"/>
      <c r="F72" s="36"/>
      <c r="G72" s="36"/>
      <c r="H72" s="36"/>
    </row>
    <row r="73" customFormat="false" ht="15.75" hidden="false" customHeight="true" outlineLevel="0" collapsed="false">
      <c r="B73" s="71" t="s">
        <v>124</v>
      </c>
      <c r="C73" s="78" t="n">
        <f aca="false">'Decision Summary'!$C$11</f>
        <v>0.147154332635983</v>
      </c>
      <c r="D73" s="36" t="str">
        <f aca="false">'Decision Summary'!$D$11</f>
        <v>GREEN  (green line 18%)</v>
      </c>
      <c r="E73" s="36"/>
      <c r="F73" s="36"/>
      <c r="G73" s="36"/>
      <c r="H73" s="36"/>
    </row>
    <row r="74" customFormat="false" ht="15.75" hidden="false" customHeight="true" outlineLevel="0" collapsed="false">
      <c r="B74" s="71" t="s">
        <v>125</v>
      </c>
      <c r="C74" s="77" t="str">
        <f aca="false">'Decision Summary'!$C$16</f>
        <v>Mild negative</v>
      </c>
      <c r="D74" s="36" t="str">
        <f aca="false">'Decision Summary'!$D$16</f>
        <v>relative index 1.27 (1.00 = seasoned book); fund x 0.80, term step -1, factor step 1</v>
      </c>
      <c r="E74" s="36"/>
      <c r="F74" s="36"/>
      <c r="G74" s="36"/>
      <c r="H74" s="36"/>
    </row>
    <row r="75" customFormat="false" ht="15.75" hidden="false" customHeight="true" outlineLevel="0" collapsed="false">
      <c r="B75" s="71" t="s">
        <v>126</v>
      </c>
      <c r="C75" s="77" t="str">
        <f aca="false">'Decision Summary'!$C$19</f>
        <v>23 / 27</v>
      </c>
      <c r="D75" s="36" t="str">
        <f aca="false">'Decision Summary'!$D$19</f>
        <v>T1: new/renewal + industry + position</v>
      </c>
      <c r="E75" s="36"/>
      <c r="F75" s="36"/>
      <c r="G75" s="36"/>
      <c r="H75" s="36"/>
    </row>
    <row r="76" customFormat="false" ht="15.75" hidden="false" customHeight="true" outlineLevel="0" collapsed="false">
      <c r="B76" s="71" t="s">
        <v>127</v>
      </c>
      <c r="C76" s="78" t="n">
        <f aca="false">'Decision Summary'!$C$21</f>
        <v>0.340006835748792</v>
      </c>
      <c r="D76" s="36" t="str">
        <f aca="false">'Decision Summary'!$D$21</f>
        <v>vs seasoned book 21.1%;  blended (credibility-weighted) 26.7%;  collected on defaults 29%</v>
      </c>
      <c r="E76" s="36"/>
      <c r="F76" s="36"/>
      <c r="G76" s="36"/>
      <c r="H76" s="36"/>
    </row>
    <row r="77" customFormat="false" ht="15.75" hidden="false" customHeight="true" outlineLevel="0" collapsed="false">
      <c r="B77" s="71" t="s">
        <v>128</v>
      </c>
      <c r="C77" s="77" t="str">
        <f aca="false">'Decision Summary'!$C$18</f>
        <v>Medium</v>
      </c>
      <c r="D77" s="36" t="str">
        <f aca="false">'Decision Summary'!$D$18</f>
        <v>Z = 0.43; open share 4%; primary tier 1</v>
      </c>
      <c r="E77" s="36"/>
      <c r="F77" s="36"/>
      <c r="G77" s="36"/>
      <c r="H77" s="36"/>
    </row>
    <row r="78" customFormat="false" ht="42" hidden="false" customHeight="true" outlineLevel="0" collapsed="false">
      <c r="B78" s="71" t="s">
        <v>129</v>
      </c>
      <c r="C78" s="79" t="str">
        <f aca="false">'Decision Summary'!$C$26</f>
        <v>DataMerch, UCC search, positions / payoff letters; No-stacking covenant with default-to-daily; Bank login verification (Plaid/DecisionLogic); Landlord/lease letter; </v>
      </c>
      <c r="D78" s="79"/>
      <c r="E78" s="79"/>
      <c r="F78" s="79"/>
      <c r="G78" s="79"/>
      <c r="H78" s="79"/>
    </row>
    <row r="79" customFormat="false" ht="105" hidden="false" customHeight="true" outlineLevel="0" collapsed="false">
      <c r="B79" s="80" t="s">
        <v>130</v>
      </c>
      <c r="C79" s="81" t="str">
        <f aca="false">'Decision Summary'!$C$30</f>
        <v>Cash flow supports up to $68,500 (SP% holdback is the limit, 100 daily pmts @ 1.45). The recommendation is $54,500 (80% of the maximum) at 1.49 over 20 weeks, $4,060/week, because the primary comparable cohort (T1: new/renewal + industry + position) holds 23 / 27 seasoned deals with a principal lost rate of 34.0% against 21.1% for the seasoned book; at credibility 0.43 that blends to 26.7% (index 1.27), which is mild negative. Confidence is medium. ISO United Secured Capital 8: 109 seasoned deals, lost 26.5% vs 21.1% book, Z 0.78 -&gt; weaker than book. Industry General Building Contractors: 82 seasoned deals, lost 32.5% vs 21.1% book, Z 0.73 -&gt; weaker than book. State TX: 118 seasoned deals, lost 13.0% vs 21.1% book - informational only, not used in the offer.  Conditional stips: No-stacking covenant with default-to-daily; Bank login verification (Plaid/DecisionLogic); Landlord/lease letter; </v>
      </c>
      <c r="D79" s="81"/>
      <c r="E79" s="81"/>
      <c r="F79" s="81"/>
      <c r="G79" s="81"/>
      <c r="H79" s="81"/>
    </row>
    <row r="80" customFormat="false" ht="15.75" hidden="false" customHeight="true" outlineLevel="0" collapsed="false">
      <c r="B80" s="82" t="s">
        <v>131</v>
      </c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6">
    <mergeCell ref="D2:H2"/>
    <mergeCell ref="B4:H4"/>
    <mergeCell ref="J4:M4"/>
    <mergeCell ref="B10:H10"/>
    <mergeCell ref="J11:M11"/>
    <mergeCell ref="L12:M12"/>
    <mergeCell ref="L13:M13"/>
    <mergeCell ref="L14:M14"/>
    <mergeCell ref="L15:M15"/>
    <mergeCell ref="L16:M16"/>
    <mergeCell ref="L17:M17"/>
    <mergeCell ref="L18:M18"/>
    <mergeCell ref="B26:J26"/>
    <mergeCell ref="B36:H36"/>
    <mergeCell ref="B49:H49"/>
    <mergeCell ref="D52:H52"/>
    <mergeCell ref="B54:H54"/>
    <mergeCell ref="D60:H60"/>
    <mergeCell ref="D63:H63"/>
    <mergeCell ref="B64:H64"/>
    <mergeCell ref="B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C78:H78"/>
    <mergeCell ref="D78:H78"/>
    <mergeCell ref="C79:H79"/>
  </mergeCells>
  <conditionalFormatting sqref="F38:F4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C2">
    <cfRule type="cellIs" priority="6" operator="equal" aboveAverage="0" equalAverage="0" bottom="0" percent="0" rank="0" text="" dxfId="0">
      <formula>"APPROVE"</formula>
    </cfRule>
    <cfRule type="cellIs" priority="7" operator="equal" aboveAverage="0" equalAverage="0" bottom="0" percent="0" rank="0" text="" dxfId="1">
      <formula>"CONDITIONAL"</formula>
    </cfRule>
    <cfRule type="cellIs" priority="8" operator="equal" aboveAverage="0" equalAverage="0" bottom="0" percent="0" rank="0" text="" dxfId="2">
      <formula>"DECLINE"</formula>
    </cfRule>
    <cfRule type="cellIs" priority="9" operator="equal" aboveAverage="0" equalAverage="0" bottom="0" percent="0" rank="0" text="" dxfId="3">
      <formula>"MANUAL REVIEW"</formula>
    </cfRule>
  </conditionalFormatting>
  <conditionalFormatting sqref="C52">
    <cfRule type="cellIs" priority="10" operator="equal" aboveAverage="0" equalAverage="0" bottom="0" percent="0" rank="0" text="" dxfId="0">
      <formula>"APPROVE"</formula>
    </cfRule>
    <cfRule type="cellIs" priority="11" operator="equal" aboveAverage="0" equalAverage="0" bottom="0" percent="0" rank="0" text="" dxfId="1">
      <formula>"CONDITIONAL"</formula>
    </cfRule>
    <cfRule type="cellIs" priority="12" operator="equal" aboveAverage="0" equalAverage="0" bottom="0" percent="0" rank="0" text="" dxfId="2">
      <formula>"DECLINE"</formula>
    </cfRule>
    <cfRule type="cellIs" priority="13" operator="equal" aboveAverage="0" equalAverage="0" bottom="0" percent="0" rank="0" text="" dxfId="3">
      <formula>"MANUAL REVIEW"</formula>
    </cfRule>
  </conditionalFormatting>
  <conditionalFormatting sqref="C67">
    <cfRule type="cellIs" priority="14" operator="equal" aboveAverage="0" equalAverage="0" bottom="0" percent="0" rank="0" text="" dxfId="0">
      <formula>"APPROVE"</formula>
    </cfRule>
    <cfRule type="cellIs" priority="15" operator="equal" aboveAverage="0" equalAverage="0" bottom="0" percent="0" rank="0" text="" dxfId="1">
      <formula>"CONDITIONAL"</formula>
    </cfRule>
    <cfRule type="cellIs" priority="16" operator="equal" aboveAverage="0" equalAverage="0" bottom="0" percent="0" rank="0" text="" dxfId="2">
      <formula>"DECLINE"</formula>
    </cfRule>
    <cfRule type="cellIs" priority="17" operator="equal" aboveAverage="0" equalAverage="0" bottom="0" percent="0" rank="0" text="" dxfId="3">
      <formula>"MANUAL REVIEW"</formula>
    </cfRule>
  </conditionalFormatting>
  <dataValidations count="7">
    <dataValidation allowBlank="true" errorStyle="stop" operator="between" showDropDown="false" showErrorMessage="false" showInputMessage="false" sqref="E28:E33" type="list">
      <formula1>"Weekly,Daily,Monthly"</formula1>
      <formula2>0</formula2>
    </dataValidation>
    <dataValidation allowBlank="true" errorStyle="stop" operator="between" showDropDown="false" showErrorMessage="false" showInputMessage="false" sqref="B12:B23" type="list">
      <formula1>"Jan,Feb,Mar,Apr,May,Jun,Jul,Aug,Sep,Oct,Nov,Dec"</formula1>
      <formula2>0</formula2>
    </dataValidation>
    <dataValidation allowBlank="true" errorStyle="stop" operator="between" showDropDown="false" showErrorMessage="false" showInputMessage="false" sqref="E6" type="list">
      <formula1>"Daily,Weekly"</formula1>
      <formula2>0</formula2>
    </dataValidation>
    <dataValidation allowBlank="true" errorStyle="stop" operator="between" showDropDown="false" showErrorMessage="false" showInputMessage="false" sqref="K12" type="list">
      <formula1>Ref!$E$2:$E$157</formula1>
      <formula2>0</formula2>
    </dataValidation>
    <dataValidation allowBlank="true" errorStyle="stop" operator="between" showDropDown="false" showErrorMessage="false" showInputMessage="false" sqref="K13" type="list">
      <formula1>Ref!$G$2:$G$67</formula1>
      <formula2>0</formula2>
    </dataValidation>
    <dataValidation allowBlank="true" errorStyle="stop" operator="between" showDropDown="false" showErrorMessage="false" showInputMessage="false" sqref="K14" type="list">
      <formula1>Ref!$I$2:$I$51</formula1>
      <formula2>0</formula2>
    </dataValidation>
    <dataValidation allowBlank="true" errorStyle="stop" operator="between" showDropDown="false" showErrorMessage="false" showInputMessage="false" sqref="K15" type="list">
      <formula1>"New Deal,Renewal"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95"/>
  </cols>
  <sheetData>
    <row r="1" customFormat="false" ht="17.35" hidden="false" customHeight="false" outlineLevel="0" collapsed="false">
      <c r="B1" s="83" t="s">
        <v>132</v>
      </c>
    </row>
    <row r="2" customFormat="false" ht="15" hidden="false" customHeight="false" outlineLevel="0" collapsed="false">
      <c r="B2" s="82" t="s">
        <v>133</v>
      </c>
    </row>
    <row r="4" customFormat="false" ht="15" hidden="false" customHeight="false" outlineLevel="0" collapsed="false">
      <c r="A4" s="9"/>
      <c r="B4" s="9" t="s">
        <v>118</v>
      </c>
      <c r="C4" s="9" t="s">
        <v>84</v>
      </c>
      <c r="D4" s="9" t="s">
        <v>119</v>
      </c>
    </row>
    <row r="5" customFormat="false" ht="31.5" hidden="false" customHeight="true" outlineLevel="0" collapsed="false">
      <c r="B5" s="84" t="s">
        <v>24</v>
      </c>
      <c r="C5" s="85" t="str">
        <f aca="false">IF(Deal!$C$24=0,"",IF(OR(Deal!$C$63="-",Deal!$C$63="",'Offer Engine'!$D$8="",'Offer Engine'!$D$8=0,'Offer Engine'!$D$8&lt;Controls!$B$14,'Offer Engine'!$D$40&gt;=Controls!$B$13),"DECLINE",IF(C28&lt;&gt;"","MANUAL REVIEW",IF(OR(COUNTIF('Offer Engine'!$E$26:$E$33,"YELLOW")+COUNTIF('Offer Engine'!$E$26:$E$33,"RED")&gt;0,'Offer Engine'!$C$10&gt;=4,C31&gt;0),"CONDITIONAL","APPROVE"))))</f>
        <v>CONDITIONAL</v>
      </c>
      <c r="D5" s="86" t="str">
        <f aca="false">IF(C5="","Enter bank data + deal profile.",IF(C5="DECLINE",IF(COUNTIF(Deal!$F$42:$F$45,"KNOCKOUT")&gt;0,"Merchant knockout: "&amp;INDEX(Deal!$B$42:$B$45,MATCH("KNOCKOUT",Deal!$F$42:$F$45,0))&amp;".",IF(OR('Offer Engine'!$D$8="",'Offer Engine'!$D$8=0),"No clean room under the green lines.",IF('Offer Engine'!$D$8&lt;Controls!$B$14,"Adjusted fund "&amp;TEXT('Offer Engine'!$D$8,"$#,##0")&amp;" is below the minimum "&amp;TEXT(Controls!$B$14,"$#,##0")&amp;".","Red flags at the adjusted offer reached the limit."))),IF(C5="MANUAL REVIEW","Triggers: "&amp;C28,IF(C5="APPROVE","All metrics green at the adjusted offer; evidence neutral or better; standard stips only.","Yellows/reds remain, evidence is negative, or conditional stips apply - see below."))))</f>
        <v>Yellows/reds remain, evidence is negative, or conditional stips apply - see below.</v>
      </c>
    </row>
    <row r="6" customFormat="false" ht="16.15" hidden="false" customHeight="false" outlineLevel="0" collapsed="false">
      <c r="B6" s="84" t="s">
        <v>134</v>
      </c>
      <c r="C6" s="87" t="n">
        <f aca="false">'Offer Engine'!$D$8</f>
        <v>54500</v>
      </c>
      <c r="D6" s="86" t="str">
        <f aca="false">IF(OR(C6="",C6="-"),"",IF(ISNUMBER(Deal!$C$63),"cash-flow max "&amp;TEXT(Deal!$C$63,"$#,##0")&amp;"  -&gt;  "&amp;TEXT(C6/Deal!$C$63,"0%")&amp;" used  (requested "&amp;IF(Deal!$B$6="","n/a",TEXT(Deal!$B$6,"$#,##0"))&amp;")",""))</f>
        <v>cash-flow max $68,500  -&gt;  80% used  (requested $75,000)</v>
      </c>
    </row>
    <row r="7" customFormat="false" ht="15" hidden="false" customHeight="false" outlineLevel="0" collapsed="false">
      <c r="B7" s="84" t="s">
        <v>135</v>
      </c>
      <c r="C7" s="88" t="n">
        <f aca="false">'Offer Engine'!$D$7</f>
        <v>1.49</v>
      </c>
      <c r="D7" s="86" t="str">
        <f aca="false">IF(C7="","","base "&amp;TEXT('Offer Engine'!$C$7,"0.00")&amp;IF('Offer Engine'!$D$7&gt;'Offer Engine'!$C$7," -&gt; raised one approved tier by history",""))</f>
        <v>base 1.45 -&gt; raised one approved tier by history</v>
      </c>
    </row>
    <row r="8" customFormat="false" ht="15" hidden="false" customHeight="false" outlineLevel="0" collapsed="false">
      <c r="B8" s="84" t="s">
        <v>136</v>
      </c>
      <c r="C8" s="89" t="n">
        <f aca="false">'Offer Engine'!$D$17</f>
        <v>20</v>
      </c>
      <c r="D8" s="86" t="str">
        <f aca="false">IF(C8="","",IF('Offer Engine'!$D$16="Weekly","weeks","daily payments")&amp;"  ("&amp;TEXT('Offer Engine'!$D$22,"0.0")&amp;" months; base "&amp;'Offer Engine'!$C$6&amp;" daily pmts"&amp;IF('Offer Engine'!$D$6&lt;'Offer Engine'!$C$6,", shortened by history","")&amp;")")</f>
        <v>weeks  (4.6 months; base 100 daily pmts)</v>
      </c>
    </row>
    <row r="9" customFormat="false" ht="15" hidden="false" customHeight="false" outlineLevel="0" collapsed="false">
      <c r="B9" s="84" t="s">
        <v>73</v>
      </c>
      <c r="C9" s="90" t="n">
        <f aca="false">'Offer Engine'!$D$18</f>
        <v>4060.25</v>
      </c>
      <c r="D9" s="86" t="str">
        <f aca="false">IF(C9="","","per "&amp;IF('Offer Engine'!$D$16="Weekly","week","business day")&amp;";  daily-equivalent "&amp;TEXT('Offer Engine'!$D$9,"$#,##0.00")&amp;", monthly "&amp;TEXT('Offer Engine'!$D$19,"$#,##0")&amp;";  payback "&amp;TEXT('Offer Engine'!$D$20,"$#,##0")&amp;", net "&amp;TEXT('Offer Engine'!$D$21,"$#,##0"))</f>
        <v>per week;  daily-equivalent $812.05, monthly $17,585;  payback $81,205, net $51,775</v>
      </c>
    </row>
    <row r="10" customFormat="false" ht="15" hidden="false" customHeight="false" outlineLevel="0" collapsed="false">
      <c r="B10" s="84" t="s">
        <v>137</v>
      </c>
      <c r="C10" s="91" t="str">
        <f aca="false">'Offer Engine'!$D$16</f>
        <v>Weekly</v>
      </c>
      <c r="D10" s="86" t="str">
        <f aca="false">IF('Offer Engine'!$C$14="Weekly","Weekly required by the historical modifier","As proposed on the Deal sheet")</f>
        <v>As proposed on the Deal sheet</v>
      </c>
    </row>
    <row r="11" customFormat="false" ht="15" hidden="false" customHeight="false" outlineLevel="0" collapsed="false">
      <c r="B11" s="84" t="s">
        <v>42</v>
      </c>
      <c r="C11" s="92" t="n">
        <f aca="false">'Offer Engine'!$D$27</f>
        <v>0.147154332635983</v>
      </c>
      <c r="D11" s="86" t="str">
        <f aca="false">IF(C11="","",'Offer Engine'!$E$27&amp;"  (green line "&amp;TEXT(Controls!$B$6,"0%")&amp;")")</f>
        <v>GREEN  (green line 18%)</v>
      </c>
    </row>
    <row r="12" customFormat="false" ht="15" hidden="false" customHeight="false" outlineLevel="0" collapsed="false">
      <c r="B12" s="84" t="s">
        <v>138</v>
      </c>
      <c r="C12" s="92" t="n">
        <f aca="false">'Offer Engine'!$D$26</f>
        <v>0.237761027196653</v>
      </c>
      <c r="D12" s="86" t="str">
        <f aca="false">IF(C12="","",'Offer Engine'!$E$26&amp;"  (green line "&amp;TEXT(Controls!$B$5,"0%")&amp;")")</f>
        <v>GREEN  (green line 30%)</v>
      </c>
    </row>
    <row r="13" customFormat="false" ht="15" hidden="false" customHeight="false" outlineLevel="0" collapsed="false">
      <c r="B13" s="84" t="s">
        <v>139</v>
      </c>
      <c r="C13" s="88" t="n">
        <f aca="false">'Offer Engine'!$D$29</f>
        <v>0.456066945606695</v>
      </c>
      <c r="D13" s="86" t="str">
        <f aca="false">IF(C13="","",'Offer Engine'!$E$29&amp;"  (green line "&amp;TEXT(Controls!$B$8,"0.00")&amp;"x)")</f>
        <v>GREEN  (green line 0.60x)</v>
      </c>
    </row>
    <row r="14" customFormat="false" ht="15" hidden="false" customHeight="false" outlineLevel="0" collapsed="false">
      <c r="B14" s="84" t="s">
        <v>140</v>
      </c>
      <c r="C14" s="92" t="n">
        <f aca="false">'Offer Engine'!$D$28</f>
        <v>0.145783333333333</v>
      </c>
      <c r="D14" s="86" t="str">
        <f aca="false">IF(C14="","",'Offer Engine'!$E$28&amp;"  (green line "&amp;TEXT(Controls!$B$7,"0%")&amp;")")</f>
        <v>GREEN  (green line 18%)</v>
      </c>
    </row>
    <row r="15" customFormat="false" ht="15" hidden="false" customHeight="false" outlineLevel="0" collapsed="false">
      <c r="B15" s="84" t="s">
        <v>141</v>
      </c>
      <c r="C15" s="89" t="n">
        <f aca="false">Deal!$C$42</f>
        <v>2</v>
      </c>
      <c r="D15" s="86" t="str">
        <f aca="false">IF(C15="","",Deal!$F$42&amp;IF(Deal!$K$18&lt;&gt;"","  (position override "&amp;Deal!$K$18&amp;" used for matching)",""))</f>
        <v>GREEN</v>
      </c>
    </row>
    <row r="16" customFormat="false" ht="15" hidden="false" customHeight="false" outlineLevel="0" collapsed="false">
      <c r="B16" s="84" t="s">
        <v>142</v>
      </c>
      <c r="C16" s="91" t="str">
        <f aca="false">'Historical Score'!$C$43</f>
        <v>Mild negative</v>
      </c>
      <c r="D16" s="86" t="str">
        <f aca="false">IF(C16="","","relative index "&amp;TEXT('Historical Score'!$C$39,"0.00")&amp;" (1.00 = seasoned book); fund x "&amp;TEXT('Offer Engine'!$D$11,"0.00")&amp;", term step "&amp;'Offer Engine'!$D$12&amp;", factor step "&amp;'Offer Engine'!$D$13&amp;IF('Historical Score'!$C$42&lt;&gt;'Historical Score'!$C$40,"; capped by Low confidence",""))</f>
        <v>relative index 1.27 (1.00 = seasoned book); fund x 0.80, term step -1, factor step 1</v>
      </c>
    </row>
    <row r="17" customFormat="false" ht="15" hidden="false" customHeight="false" outlineLevel="0" collapsed="false">
      <c r="B17" s="84" t="s">
        <v>143</v>
      </c>
      <c r="C17" s="93" t="n">
        <f aca="false">Deal!$C$55</f>
        <v>6.5</v>
      </c>
      <c r="D17" s="86" t="str">
        <f aca="false">IF(C17="","","of "&amp;Deal!$D$55&amp;" scored metrics = "&amp;Deal!$C$56&amp;"  (scaled "&amp;TEXT(Deal!$D$57,"0.0")&amp;"/7 for pricing bands)")</f>
        <v>of 8 scored metrics = Solid  (scaled 5.7/7 for pricing bands)</v>
      </c>
    </row>
    <row r="18" customFormat="false" ht="15" hidden="false" customHeight="false" outlineLevel="0" collapsed="false">
      <c r="B18" s="84" t="s">
        <v>144</v>
      </c>
      <c r="C18" s="91" t="str">
        <f aca="false">'Historical Score'!$C$41</f>
        <v>Medium</v>
      </c>
      <c r="D18" s="86" t="str">
        <f aca="false">"Z = "&amp;TEXT('Historical Score'!$C$37,"0.00")&amp;"; open share "&amp;IF('Historical Score'!$C$34="","n/a",TEXT('Historical Score'!$C$34,"0%"))&amp;"; "&amp;IF('Historical Score'!$C$29=7,"no specific cohort met the minimums","primary tier "&amp;'Historical Score'!$C$29)</f>
        <v>Z = 0.43; open share 4%; primary tier 1</v>
      </c>
    </row>
    <row r="19" customFormat="false" ht="15" hidden="false" customHeight="false" outlineLevel="0" collapsed="false">
      <c r="B19" s="84" t="s">
        <v>145</v>
      </c>
      <c r="C19" s="91" t="str">
        <f aca="false">'Historical Score'!$C$31</f>
        <v>23 / 27</v>
      </c>
      <c r="D19" s="86" t="str">
        <f aca="false">'Historical Score'!$C$30</f>
        <v>T1: new/renewal + industry + position</v>
      </c>
    </row>
    <row r="20" customFormat="false" ht="15" hidden="false" customHeight="false" outlineLevel="0" collapsed="false">
      <c r="B20" s="84" t="s">
        <v>146</v>
      </c>
      <c r="C20" s="92" t="n">
        <f aca="false">'Historical Score'!$C$32</f>
        <v>0.851851851851852</v>
      </c>
      <c r="D20" s="86" t="str">
        <f aca="false">"unseasoned deals are listed on Comparable Deals but never rated"</f>
        <v>unseasoned deals are listed on Comparable Deals but never rated</v>
      </c>
    </row>
    <row r="21" customFormat="false" ht="15" hidden="false" customHeight="false" outlineLevel="0" collapsed="false">
      <c r="B21" s="84" t="s">
        <v>147</v>
      </c>
      <c r="C21" s="92" t="n">
        <f aca="false">'Historical Score'!$C$33</f>
        <v>0.340006835748792</v>
      </c>
      <c r="D21" s="86" t="str">
        <f aca="false">IF(C21="","too few seasoned deals to show a rate","vs seasoned book "&amp;TEXT('Historical Score'!$C$10,"0.0%")&amp;";  blended (credibility-weighted) "&amp;TEXT('Historical Score'!$C$38,"0.0%")&amp;";  collected on defaults "&amp;IF('Historical Score'!$C$36="","n/a",TEXT('Historical Score'!$C$36,"0%")))</f>
        <v>vs seasoned book 21.1%;  blended (credibility-weighted) 26.7%;  collected on defaults 29%</v>
      </c>
    </row>
    <row r="22" customFormat="false" ht="15" hidden="false" customHeight="false" outlineLevel="0" collapsed="false">
      <c r="B22" s="84" t="s">
        <v>148</v>
      </c>
      <c r="C22" s="92" t="n">
        <f aca="false">'Historical Score'!$C$35</f>
        <v>-0.118939782608696</v>
      </c>
      <c r="D22" s="86" t="str">
        <f aca="false">IF(C22="","","seasoned deals only; open deals in the cohort depress this figure")</f>
        <v>seasoned deals only; open deals in the cohort depress this figure</v>
      </c>
    </row>
    <row r="23" customFormat="false" ht="15" hidden="false" customHeight="false" outlineLevel="0" collapsed="false">
      <c r="B23" s="84" t="s">
        <v>149</v>
      </c>
      <c r="C23" s="94" t="str">
        <f aca="false">'Historical Score'!$C$44</f>
        <v>Industry only</v>
      </c>
      <c r="D23" s="86" t="str">
        <f aca="false">'Historical Score'!$C$45</f>
        <v>29.4% vs 21.1% book (82 seasoned deals)</v>
      </c>
    </row>
    <row r="24" customFormat="false" ht="15" hidden="false" customHeight="false" outlineLevel="0" collapsed="false">
      <c r="B24" s="84" t="s">
        <v>150</v>
      </c>
      <c r="C24" s="94" t="str">
        <f aca="false">IF(Deal!$D$60="","",Deal!$D$60)</f>
        <v>SP% holdback is the limit</v>
      </c>
      <c r="D24" s="86" t="str">
        <f aca="false">IF(Deal!$C$60="","",IF(Deal!$C$60=0,"existing debt already exceeds a green line",IF(Deal!$C$62=FLOOR(Deal!$D$41*Deal!$C$24*Deal!$D$62/Deal!$C$60,5),"term also capped by the fund/revenue green line","term set by the score band")))</f>
        <v>term also capped by the fund/revenue green line</v>
      </c>
    </row>
    <row r="25" customFormat="false" ht="45" hidden="false" customHeight="true" outlineLevel="0" collapsed="false">
      <c r="B25" s="84" t="s">
        <v>151</v>
      </c>
      <c r="C25" s="95" t="str">
        <f aca="false">'Historical Score'!$C$46</f>
        <v>ISO United Secured Capital 8: 109 seasoned deals, lost 26.5% vs 21.1% book, Z 0.78 -&gt; weaker than book</v>
      </c>
      <c r="D25" s="86" t="str">
        <f aca="false">'Historical Score'!$C$47&amp;" | "&amp;'Historical Score'!$C$48&amp;" | "&amp;'Historical Score'!$C$49&amp;IF('Historical Score'!$C$50="No",""," | CONFLICT: "&amp;'Historical Score'!$C$50)</f>
        <v>Industry General Building Contractors: 82 seasoned deals, lost 32.5% vs 21.1% book, Z 0.73 -&gt; weaker than book | State TX: 118 seasoned deals, lost 13.0% vs 21.1% book - informational only, not used in the offer | Position 2: 145 seasoned deals, lost 23.6% vs 21.1% book</v>
      </c>
    </row>
    <row r="26" customFormat="false" ht="45" hidden="false" customHeight="true" outlineLevel="0" collapsed="false">
      <c r="B26" s="84" t="s">
        <v>152</v>
      </c>
      <c r="C26" s="95" t="str">
        <f aca="false">C27&amp;IF(D26="","","; "&amp;D26)</f>
        <v>DataMerch, UCC search, positions / payoff letters; No-stacking covenant with default-to-daily; Bank login verification (Plaid/DecisionLogic); Landlord/lease letter; </v>
      </c>
      <c r="D26" s="86" t="str">
        <f aca="false">IF(AND(Controls!$B$91="Y",'Offer Engine'!$C$10&gt;=4),"No-stacking covenant with default-to-daily; ","")&amp;IF(AND(Controls!$B$92="Y",Deal!$F$44&lt;&gt;"GREEN",Deal!$F$44&lt;&gt;""),"Bank login verification (Plaid/DecisionLogic); ","")&amp;IF(AND(Controls!$B$93="Y",Deal!$C$34&gt;=2),"Payoff/balance letter for each existing position; ","")&amp;IF(AND(Controls!$B$94="Y",Deal!$F$45&lt;&gt;"GREEN",Deal!$F$45&lt;&gt;""),"Landlord/lease letter; ","")&amp;IF(AND(Controls!$B$95="Y",'Historical Score'!$C$41="Low"),"Underwriter review of historical evidence; ","")&amp;IF(AND(Controls!$B$96="Y",'Offer Engine'!$C$14="Weekly"),"Weekly remittance only; ","")&amp;IF(AND(Controls!$B$97="Y",Deal!$K$15="Renewal"),"Prior-contract payoff and renewal history; ","")</f>
        <v>No-stacking covenant with default-to-daily; Bank login verification (Plaid/DecisionLogic); Landlord/lease letter; </v>
      </c>
    </row>
    <row r="27" customFormat="false" ht="15" hidden="false" customHeight="false" outlineLevel="0" collapsed="false">
      <c r="B27" s="84" t="s">
        <v>153</v>
      </c>
      <c r="C27" s="94" t="str">
        <f aca="false">IF(Controls!$B$90="Y",Controls!$A$90,"")</f>
        <v>DataMerch, UCC search, positions / payoff letters</v>
      </c>
      <c r="D27" s="86" t="str">
        <f aca="false">"always required"</f>
        <v>always required</v>
      </c>
    </row>
    <row r="28" customFormat="false" ht="45" hidden="false" customHeight="true" outlineLevel="0" collapsed="false">
      <c r="B28" s="84" t="s">
        <v>154</v>
      </c>
      <c r="C28" s="95" t="str">
        <f aca="false">IF(AND(Controls!$B$79="Y",'Offer Engine'!$C$15="Y"),"Severe historical modifier; ","")&amp;IF(AND(Controls!$B$80="Y",'Historical Score'!$C$41="Low",COUNTIF('Offer Engine'!$E$26:$E$33,"RED")&gt;0),"Low confidence with a RED metric; ","")&amp;IF(AND(Controls!$B$81="Y",Deal!$F$45="RED",COUNTIF('Offer Engine'!$E$26:$E$32,"RED")&gt;0),"Credit RED plus another RED; ","")&amp;IF(AND(Controls!$B$82="Y",ISNUMBER(Deal!$C$42),IF(ISNUMBER(Deal!$C$42),Deal!$C$42,0)&gt;=Controls!$C$82),"Positions incl. new at/above "&amp;Controls!$C$82&amp;"; ","")&amp;IF(AND(Controls!$B$83="Y",Deal!$K$15="New Deal",ISNUMBER('Historical Score'!$C$6),IF(ISNUMBER('Historical Score'!$C$6),'Historical Score'!$C$6,0)&gt;=Controls!$C$83,OR(Deal!$K$13="General Building Contractors",Deal!$K$13="Special Trade Contractors",Deal!$K$13="Heavy Construction")),"New 3rd+ position construction deal; ","")&amp;IF(AND(Controls!$B$84="Y",OR(AND(Deal!$K$12&lt;&gt;"",COUNTIF('Historical Data'!$K$2:$K$1068,Deal!$K$12)=0),AND(Deal!$K$13&lt;&gt;"",COUNTIF('Historical Data'!$Y$2:$Y$1068,Deal!$K$13)=0))),"ISO or industry not in house book; ","")&amp;IF(AND(Controls!$B$85="Y",ISNUMBER('Offer Engine'!$D$8),IF(ISNUMBER('Offer Engine'!$D$8),'Offer Engine'!$D$8,0)&lt;Controls!$B$14,IF(ISNUMBER('Offer Engine'!$D$8),'Offer Engine'!$D$8,0)&gt;0),"Adjusted fund below minimum; ","")&amp;IF(AND(Controls!$B$86="Y",ISNUMBER('Historical Score'!$C$34),IF(ISNUMBER('Historical Score'!$C$34),'Historical Score'!$C$34,0)&gt;Controls!$B$43),"Cohort open share high; ","")</f>
        <v/>
      </c>
      <c r="D28" s="86" t="str">
        <f aca="false">"blank = none"</f>
        <v>blank = none</v>
      </c>
    </row>
    <row r="29" customFormat="false" ht="45" hidden="false" customHeight="true" outlineLevel="0" collapsed="false">
      <c r="B29" s="84" t="s">
        <v>155</v>
      </c>
      <c r="C29" s="95" t="str">
        <f aca="false">IF(COUNTIF(Deal!$F$38:$F$45,"RED")+COUNTIF(Deal!$F$38:$F$45,"KNOCKOUT")=0,"Risks: none red on the requested offer","Risks: "&amp;IF(Deal!$F$38="RED","total leverage; ","")&amp;IF(Deal!$F$39="RED","holdback; ","")&amp;IF(Deal!$F$40="RED","daily debt/balance; ","")&amp;IF(Deal!$F$41="RED","fund/revenue; ","")&amp;IF(Deal!$F$42="RED","positions; ","")&amp;IF(Deal!$F$43="RED","revenue trend; ","")&amp;IF(Deal!$F$44="RED","neg days/NSFs; ","")&amp;IF(Deal!$F$45="RED","credit; ","")&amp;IF(COUNTIF(Deal!$F$38:$F$45,"KNOCKOUT")&gt;0,"KNOCKOUT present",""))&amp;IF('Offer Engine'!$C$10&gt;=4," | history: "&amp;'Historical Score'!$C$43,"")</f>
        <v>Risks: none red on the requested offer | history: Mild negative</v>
      </c>
      <c r="D29" s="86" t="str">
        <f aca="false">"Positives: "&amp;IF(COUNTIF(Deal!$F$38:$F$45,"GREEN")=0,"none green",IF(Deal!$F$38="GREEN","leverage; ","")&amp;IF(Deal!$F$39="GREEN","holdback; ","")&amp;IF(Deal!$F$40="GREEN","daily debt/balance; ","")&amp;IF(Deal!$F$41="GREEN","fund/revenue; ","")&amp;IF(Deal!$F$42="GREEN","positions; ","")&amp;IF(Deal!$F$43="GREEN","revenue trend; ","")&amp;IF(Deal!$F$44="GREEN","clean neg days/NSFs; ","")&amp;IF(Deal!$F$45="GREEN","credit; ",""))&amp;IF('Offer Engine'!$C$10&lt;=2,"history: "&amp;'Historical Score'!$C$43,"")&amp;IF(Deal!$K$15="Renewal"," | renewal (strongest surviving positive in the book)","")</f>
        <v>Positives: leverage; holdback; daily debt/balance; positions; revenue trend; </v>
      </c>
    </row>
    <row r="30" customFormat="false" ht="150" hidden="false" customHeight="true" outlineLevel="0" collapsed="false">
      <c r="B30" s="84" t="s">
        <v>130</v>
      </c>
      <c r="C30" s="95" t="str">
        <f aca="false">IF(Deal!$C$24=0,"Enter bank data.",IF(Deal!$C$63="-","Do not fund: "&amp;INDEX(Deal!$B$42:$B$45,MATCH("KNOCKOUT",Deal!$F$42:$F$45,0))&amp;" is past its knockout line; history cannot override a knockout.",IF(OR(Deal!$C$63="",Deal!$C$63=0),"Cash flow leaves no clean room under the green lines - "&amp;Deal!$D$60&amp;".","Cash flow supports up to "&amp;TEXT(Deal!$C$63,"$#,##0")&amp;" ("&amp;Deal!$D$60&amp;", "&amp;Deal!$C$62&amp;" daily pmts @ "&amp;TEXT(Deal!$D$62,"0.00")&amp;"). "&amp;IF(C5="DECLINE","The deal is declined: "&amp;D5&amp;" For reference, ","The recommendation is "&amp;TEXT(C6,"$#,##0")&amp;" ("&amp;TEXT(C6/Deal!$C$63,"0%")&amp;" of the maximum) at "&amp;TEXT(C7,"0.00")&amp;" over "&amp;TEXT(C8,"0")&amp;IF(C10="Weekly"," weeks"," daily payments")&amp;", "&amp;TEXT(C9,"$#,##0")&amp;IF(C10="Weekly","/week","/day")&amp;", because ")&amp;"the primary comparable cohort ("&amp;'Historical Score'!$C$30&amp;") holds "&amp;'Historical Score'!$C$31&amp;" seasoned deals with a principal lost rate of "&amp;IF('Historical Score'!$C$33="","n/a",TEXT('Historical Score'!$C$33,"0.0%"))&amp;" against "&amp;TEXT('Historical Score'!$C$10,"0.0%")&amp;" for the seasoned book; at credibility "&amp;TEXT('Historical Score'!$C$37,"0.00")&amp;" that blends to "&amp;TEXT('Historical Score'!$C$38,"0.0%")&amp;" (index "&amp;TEXT('Historical Score'!$C$39,"0.00")&amp;"), which is "&amp;LOWER('Historical Score'!$C$43)&amp;IF('Historical Score'!$C$42&lt;&gt;'Historical Score'!$C$40," after the low-confidence cap","")&amp;". Confidence is "&amp;LOWER('Historical Score'!$C$41)&amp;". "&amp;IF(Deal!$K$15="Renewal","Renewal status is the strongest surviving positive in the book. ","")&amp;'Historical Score'!$C$46&amp;". "&amp;'Historical Score'!$C$47&amp;". "&amp;'Historical Score'!$C$48&amp;". "&amp;IF(C28&lt;&gt;"","Sent to manual review: "&amp;C28,"")&amp;IF(D26&lt;&gt;""," Conditional stips: "&amp;D26,""))))</f>
        <v>Cash flow supports up to $68,500 (SP% holdback is the limit, 100 daily pmts @ 1.45). The recommendation is $54,500 (80% of the maximum) at 1.49 over 20 weeks, $4,060/week, because the primary comparable cohort (T1: new/renewal + industry + position) holds 23 / 27 seasoned deals with a principal lost rate of 34.0% against 21.1% for the seasoned book; at credibility 0.43 that blends to 26.7% (index 1.27), which is mild negative. Confidence is medium. ISO United Secured Capital 8: 109 seasoned deals, lost 26.5% vs 21.1% book, Z 0.78 -&gt; weaker than book. Industry General Building Contractors: 82 seasoned deals, lost 32.5% vs 21.1% book, Z 0.73 -&gt; weaker than book. State TX: 118 seasoned deals, lost 13.0% vs 21.1% book - informational only, not used in the offer.  Conditional stips: No-stacking covenant with default-to-daily; Bank login verification (Plaid/DecisionLogic); Landlord/lease letter; </v>
      </c>
      <c r="D30" s="95"/>
    </row>
    <row r="31" customFormat="false" ht="15" hidden="false" customHeight="false" outlineLevel="0" collapsed="false">
      <c r="B31" s="84" t="s">
        <v>156</v>
      </c>
      <c r="C31" s="89" t="n">
        <f aca="false">IF(AND(Controls!$B$91="Y",'Offer Engine'!$C$10&gt;=4),1,0)+IF(AND(Controls!$B$92="Y",Deal!$F$44&lt;&gt;"GREEN",Deal!$F$44&lt;&gt;""),1,0)+IF(AND(Controls!$B$94="Y",Deal!$F$45&lt;&gt;"GREEN",Deal!$F$45&lt;&gt;""),1,0)+IF(AND(Controls!$B$95="Y",'Historical Score'!$C$41="Low"),1,0)+IF(AND(Controls!$B$96="Y",'Offer Engine'!$C$14="Weekly"),1,0)</f>
        <v>3</v>
      </c>
      <c r="D31" s="86" t="str">
        <f aca="false">"documentary stips (payoff letters, renewal history) do not by themselves make a deal CONDITIONAL"</f>
        <v>documentary stips (payoff letters, renewal history) do not by themselves make a deal CONDITIONAL</v>
      </c>
    </row>
  </sheetData>
  <mergeCells count="1">
    <mergeCell ref="C30:D30"/>
  </mergeCells>
  <conditionalFormatting sqref="C5">
    <cfRule type="cellIs" priority="2" operator="equal" aboveAverage="0" equalAverage="0" bottom="0" percent="0" rank="0" text="" dxfId="0">
      <formula>"APPROVE"</formula>
    </cfRule>
    <cfRule type="cellIs" priority="3" operator="equal" aboveAverage="0" equalAverage="0" bottom="0" percent="0" rank="0" text="" dxfId="1">
      <formula>"CONDITIONAL"</formula>
    </cfRule>
    <cfRule type="cellIs" priority="4" operator="equal" aboveAverage="0" equalAverage="0" bottom="0" percent="0" rank="0" text="" dxfId="2">
      <formula>"DECLINE"</formula>
    </cfRule>
    <cfRule type="cellIs" priority="5" operator="equal" aboveAverage="0" equalAverage="0" bottom="0" percent="0" rank="0" text="" dxfId="3">
      <formula>"MANUAL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B1" s="83" t="s">
        <v>157</v>
      </c>
    </row>
    <row r="2" customFormat="false" ht="15" hidden="false" customHeight="false" outlineLevel="0" collapsed="false">
      <c r="B2" s="82" t="s">
        <v>158</v>
      </c>
    </row>
    <row r="4" customFormat="false" ht="15" hidden="false" customHeight="false" outlineLevel="0" collapsed="false">
      <c r="A4" s="9"/>
      <c r="B4" s="9" t="s">
        <v>118</v>
      </c>
      <c r="C4" s="9" t="s">
        <v>159</v>
      </c>
      <c r="D4" s="9" t="s">
        <v>160</v>
      </c>
      <c r="E4" s="9" t="s">
        <v>87</v>
      </c>
      <c r="F4" s="9" t="s">
        <v>161</v>
      </c>
    </row>
    <row r="5" customFormat="false" ht="15" hidden="false" customHeight="false" outlineLevel="0" collapsed="false">
      <c r="B5" s="94" t="s">
        <v>162</v>
      </c>
      <c r="C5" s="90" t="n">
        <f aca="false">Deal!$C$60</f>
        <v>993.304086815978</v>
      </c>
      <c r="D5" s="76" t="n">
        <f aca="false">Deal!$C$60</f>
        <v>993.304086815978</v>
      </c>
      <c r="F5" s="82" t="s">
        <v>163</v>
      </c>
    </row>
    <row r="6" customFormat="false" ht="15" hidden="false" customHeight="false" outlineLevel="0" collapsed="false">
      <c r="B6" s="94" t="s">
        <v>164</v>
      </c>
      <c r="C6" s="89" t="n">
        <f aca="false">Deal!$C$62</f>
        <v>100</v>
      </c>
      <c r="D6" s="75" t="n">
        <f aca="false">IF(OR(C6="",C8="-"),"",MAX(20,MIN(C6,INDEX(Controls!$B$19:$B$22,MAX(1,MATCH(Deal!$D$57,Controls!$A$19:$A$22,1)+C12)))))</f>
        <v>100</v>
      </c>
      <c r="F6" s="82" t="s">
        <v>165</v>
      </c>
    </row>
    <row r="7" customFormat="false" ht="15" hidden="false" customHeight="false" outlineLevel="0" collapsed="false">
      <c r="B7" s="94" t="s">
        <v>28</v>
      </c>
      <c r="C7" s="88" t="n">
        <f aca="false">Deal!$D$62</f>
        <v>1.45</v>
      </c>
      <c r="D7" s="74" t="n">
        <f aca="false">IF(C7="","",INDEX(Controls!$B$24:$D$24,MIN(3,MAX(1,MATCH(C7,Controls!$B$24:$D$24,0)+C13))))</f>
        <v>1.49</v>
      </c>
      <c r="F7" s="82" t="s">
        <v>166</v>
      </c>
    </row>
    <row r="8" customFormat="false" ht="15" hidden="false" customHeight="false" outlineLevel="0" collapsed="false">
      <c r="B8" s="94" t="s">
        <v>27</v>
      </c>
      <c r="C8" s="96" t="n">
        <f aca="false">Deal!$C$63</f>
        <v>68500</v>
      </c>
      <c r="D8" s="97" t="n">
        <f aca="false">IF(C8="-","-",IF(OR(C8="",D6="",D7=""),"",MAX(0,FLOOR(MIN(C8*C11,C5*D6/D7),500))))</f>
        <v>54500</v>
      </c>
      <c r="F8" s="82" t="s">
        <v>167</v>
      </c>
    </row>
    <row r="9" customFormat="false" ht="15" hidden="false" customHeight="false" outlineLevel="0" collapsed="false">
      <c r="B9" s="94" t="s">
        <v>168</v>
      </c>
      <c r="C9" s="90" t="n">
        <f aca="false">IF(OR(C8="",C8="-"),"",C8*C7/C6)</f>
        <v>993.25</v>
      </c>
      <c r="D9" s="76" t="n">
        <f aca="false">IF(OR(D8="",D8="-",D8=0),"",D8*D7/D6)</f>
        <v>812.05</v>
      </c>
      <c r="F9" s="82" t="s">
        <v>169</v>
      </c>
    </row>
    <row r="10" customFormat="false" ht="15" hidden="false" customHeight="false" outlineLevel="0" collapsed="false">
      <c r="B10" s="94" t="s">
        <v>170</v>
      </c>
      <c r="C10" s="89" t="n">
        <f aca="false">'Historical Score'!$C$42</f>
        <v>4</v>
      </c>
      <c r="D10" s="75" t="n">
        <f aca="false">'Historical Score'!$C$42</f>
        <v>4</v>
      </c>
      <c r="F10" s="82" t="s">
        <v>171</v>
      </c>
    </row>
    <row r="11" customFormat="false" ht="15" hidden="false" customHeight="false" outlineLevel="0" collapsed="false">
      <c r="B11" s="94" t="s">
        <v>172</v>
      </c>
      <c r="C11" s="88" t="n">
        <f aca="false">INDEX(Controls!$C$54:$C$59,C10)</f>
        <v>0.8</v>
      </c>
      <c r="D11" s="74" t="n">
        <f aca="false">INDEX(Controls!$C$54:$C$59,C10)</f>
        <v>0.8</v>
      </c>
      <c r="F11" s="82" t="s">
        <v>173</v>
      </c>
    </row>
    <row r="12" customFormat="false" ht="15" hidden="false" customHeight="false" outlineLevel="0" collapsed="false">
      <c r="B12" s="94" t="s">
        <v>174</v>
      </c>
      <c r="C12" s="89" t="n">
        <f aca="false">INDEX(Controls!$D$54:$D$59,C10)</f>
        <v>-1</v>
      </c>
      <c r="D12" s="75" t="n">
        <f aca="false">INDEX(Controls!$D$54:$D$59,C10)</f>
        <v>-1</v>
      </c>
      <c r="F12" s="82"/>
    </row>
    <row r="13" customFormat="false" ht="15" hidden="false" customHeight="false" outlineLevel="0" collapsed="false">
      <c r="B13" s="94" t="s">
        <v>175</v>
      </c>
      <c r="C13" s="89" t="n">
        <f aca="false">INDEX(Controls!$E$54:$E$59,C10)</f>
        <v>1</v>
      </c>
      <c r="D13" s="75" t="n">
        <f aca="false">INDEX(Controls!$E$54:$E$59,C10)</f>
        <v>1</v>
      </c>
      <c r="F13" s="82"/>
    </row>
    <row r="14" customFormat="false" ht="15" hidden="false" customHeight="false" outlineLevel="0" collapsed="false">
      <c r="B14" s="94" t="s">
        <v>176</v>
      </c>
      <c r="C14" s="91" t="str">
        <f aca="false">INDEX(Controls!$F$54:$F$59,C10)</f>
        <v>As proposed</v>
      </c>
      <c r="D14" s="77" t="str">
        <f aca="false">INDEX(Controls!$F$54:$F$59,C10)</f>
        <v>As proposed</v>
      </c>
      <c r="F14" s="82"/>
    </row>
    <row r="15" customFormat="false" ht="15" hidden="false" customHeight="false" outlineLevel="0" collapsed="false">
      <c r="B15" s="94" t="s">
        <v>177</v>
      </c>
      <c r="C15" s="91" t="str">
        <f aca="false">INDEX(Controls!$G$54:$G$59,C10)</f>
        <v>N</v>
      </c>
      <c r="D15" s="77" t="str">
        <f aca="false">INDEX(Controls!$G$54:$G$59,C10)</f>
        <v>N</v>
      </c>
      <c r="F15" s="82"/>
    </row>
    <row r="16" customFormat="false" ht="15" hidden="false" customHeight="false" outlineLevel="0" collapsed="false">
      <c r="B16" s="94" t="s">
        <v>178</v>
      </c>
      <c r="C16" s="91" t="str">
        <f aca="false">IF(Deal!$E$6="","Daily",Deal!$E$6)</f>
        <v>Weekly</v>
      </c>
      <c r="D16" s="77" t="str">
        <f aca="false">IF(C14="Weekly","Weekly",IF(Deal!$E$6="","Daily",Deal!$E$6))</f>
        <v>Weekly</v>
      </c>
      <c r="F16" s="82" t="s">
        <v>179</v>
      </c>
    </row>
    <row r="17" customFormat="false" ht="15" hidden="false" customHeight="false" outlineLevel="0" collapsed="false">
      <c r="B17" s="94" t="s">
        <v>180</v>
      </c>
      <c r="C17" s="89" t="n">
        <f aca="false">IF(OR(C6="",C8="-"),"",IF(C16="Weekly",C6/5,C6))</f>
        <v>20</v>
      </c>
      <c r="D17" s="75" t="n">
        <f aca="false">IF(OR(D6="",D8="-"),"",IF(D16="Weekly",D6/5,D6))</f>
        <v>20</v>
      </c>
      <c r="F17" s="82"/>
    </row>
    <row r="18" customFormat="false" ht="15" hidden="false" customHeight="false" outlineLevel="0" collapsed="false">
      <c r="B18" s="94" t="s">
        <v>181</v>
      </c>
      <c r="C18" s="90" t="n">
        <f aca="false">IF(C9="","",IF(C16="Weekly",C9*5,C9))</f>
        <v>4966.25</v>
      </c>
      <c r="D18" s="76" t="n">
        <f aca="false">IF(D9="","",IF(D16="Weekly",D9*5,D9))</f>
        <v>4060.25</v>
      </c>
      <c r="F18" s="82"/>
    </row>
    <row r="19" customFormat="false" ht="15" hidden="false" customHeight="false" outlineLevel="0" collapsed="false">
      <c r="B19" s="94" t="s">
        <v>182</v>
      </c>
      <c r="C19" s="96" t="n">
        <f aca="false">IF(C9="","",C9*Controls!$B$29)</f>
        <v>21508.82875</v>
      </c>
      <c r="D19" s="97" t="n">
        <f aca="false">IF(D9="","",D9*Controls!$B$29)</f>
        <v>17584.94275</v>
      </c>
      <c r="F19" s="82"/>
    </row>
    <row r="20" customFormat="false" ht="15" hidden="false" customHeight="false" outlineLevel="0" collapsed="false">
      <c r="B20" s="94" t="s">
        <v>36</v>
      </c>
      <c r="C20" s="96" t="n">
        <f aca="false">IF(OR(C8="",C8="-"),"",C8*C7)</f>
        <v>99325</v>
      </c>
      <c r="D20" s="97" t="n">
        <f aca="false">IF(OR(D8="",D8="-"),"",D8*D7)</f>
        <v>81205</v>
      </c>
      <c r="F20" s="82"/>
    </row>
    <row r="21" customFormat="false" ht="15" hidden="false" customHeight="false" outlineLevel="0" collapsed="false">
      <c r="B21" s="94" t="s">
        <v>183</v>
      </c>
      <c r="C21" s="96" t="n">
        <f aca="false">IF(OR(C8="",C8="-"),"",C8*(1-Controls!$B$15))</f>
        <v>65075</v>
      </c>
      <c r="D21" s="97" t="n">
        <f aca="false">IF(OR(D8="",D8="-"),"",D8*(1-Controls!$B$15))</f>
        <v>51775</v>
      </c>
      <c r="F21" s="82"/>
    </row>
    <row r="22" customFormat="false" ht="15" hidden="false" customHeight="false" outlineLevel="0" collapsed="false">
      <c r="B22" s="94" t="s">
        <v>184</v>
      </c>
      <c r="C22" s="93" t="n">
        <f aca="false">IF(C6="","",C6/Controls!$B$29)</f>
        <v>4.6178711613946</v>
      </c>
      <c r="D22" s="98" t="n">
        <f aca="false">IF(D6="","",D6/Controls!$B$29)</f>
        <v>4.6178711613946</v>
      </c>
      <c r="F22" s="82"/>
    </row>
    <row r="24" customFormat="false" ht="15" hidden="false" customHeight="false" outlineLevel="0" collapsed="false">
      <c r="B24" s="8" t="s">
        <v>185</v>
      </c>
      <c r="C24" s="8"/>
      <c r="D24" s="8"/>
      <c r="E24" s="8"/>
      <c r="F24" s="8"/>
    </row>
    <row r="25" customFormat="false" ht="15" hidden="false" customHeight="false" outlineLevel="0" collapsed="false">
      <c r="A25" s="9"/>
      <c r="B25" s="9" t="s">
        <v>31</v>
      </c>
      <c r="C25" s="9" t="s">
        <v>186</v>
      </c>
      <c r="D25" s="9" t="s">
        <v>187</v>
      </c>
      <c r="E25" s="9" t="s">
        <v>188</v>
      </c>
      <c r="F25" s="9" t="s">
        <v>189</v>
      </c>
    </row>
    <row r="26" customFormat="false" ht="15" hidden="false" customHeight="false" outlineLevel="0" collapsed="false">
      <c r="B26" s="94" t="s">
        <v>89</v>
      </c>
      <c r="C26" s="92" t="n">
        <f aca="false">IF(OR(Deal!$C$24=0,C9=""),"",(Deal!$E$34+C9)*Controls!$B$29/Deal!$C$24)</f>
        <v>0.270596893305439</v>
      </c>
      <c r="D26" s="78" t="n">
        <f aca="false">IF(OR(Deal!$C$24=0,D9=""),"",(Deal!$E$34+D9)*Controls!$B$29/Deal!$C$24)</f>
        <v>0.237761027196653</v>
      </c>
      <c r="E26" s="77" t="str">
        <f aca="false">IF(D26="","",IF(D26&gt;=Controls!$D$5,"KNOCKOUT",IF(D26&lt;=Controls!$B$5,"GREEN",IF(D26&gt;=Controls!$C$5,"RED","YELLOW"))))</f>
        <v>GREEN</v>
      </c>
      <c r="F26" s="99" t="str">
        <f aca="false">TEXT(Controls!$B$5,"0.0%")&amp;" / "&amp;TEXT(Controls!$C$5,"0.0%")&amp;" / "&amp;TEXT(Controls!$D$5,"0.0%")</f>
        <v>30.0% / 45.0% / 55.0%</v>
      </c>
    </row>
    <row r="27" customFormat="false" ht="15" hidden="false" customHeight="false" outlineLevel="0" collapsed="false">
      <c r="B27" s="94" t="s">
        <v>90</v>
      </c>
      <c r="C27" s="92" t="n">
        <f aca="false">IF(OR(Deal!$C$24=0,C9=""),"",C9*Controls!$B$29/Deal!$C$24)</f>
        <v>0.17999019874477</v>
      </c>
      <c r="D27" s="78" t="n">
        <f aca="false">IF(OR(Deal!$C$24=0,D9=""),"",D9*Controls!$B$29/Deal!$C$24)</f>
        <v>0.147154332635983</v>
      </c>
      <c r="E27" s="77" t="str">
        <f aca="false">IF(D27="","",IF(D27&gt;=Controls!$D$6,"KNOCKOUT",IF(D27&lt;=Controls!$B$6,"GREEN",IF(D27&gt;=Controls!$C$6,"RED","YELLOW"))))</f>
        <v>GREEN</v>
      </c>
      <c r="F27" s="99" t="str">
        <f aca="false">TEXT(Controls!$B$6,"0.0%")&amp;" / "&amp;TEXT(Controls!$C$6,"0.0%")&amp;" / "&amp;TEXT(Controls!$D$6,"0.0%")</f>
        <v>18.0% / 25.0% / 35.0%</v>
      </c>
    </row>
    <row r="28" customFormat="false" ht="15" hidden="false" customHeight="false" outlineLevel="0" collapsed="false">
      <c r="B28" s="94" t="s">
        <v>91</v>
      </c>
      <c r="C28" s="92" t="n">
        <f aca="false">IF(OR(Deal!$D$24=0,C9=""),"",(Deal!$E$34+C9)/Deal!$D$24)</f>
        <v>0.165916666666667</v>
      </c>
      <c r="D28" s="78" t="n">
        <f aca="false">IF(OR(Deal!$D$24=0,D9=""),"",(Deal!$E$34+D9)/Deal!$D$24)</f>
        <v>0.145783333333333</v>
      </c>
      <c r="E28" s="77" t="str">
        <f aca="false">IF(D28="","",IF(D28&gt;=Controls!$D$7,"KNOCKOUT",IF(D28&lt;=Controls!$B$7,"GREEN",IF(D28&gt;=Controls!$C$7,"RED","YELLOW"))))</f>
        <v>GREEN</v>
      </c>
      <c r="F28" s="99" t="str">
        <f aca="false">TEXT(Controls!$B$7,"0.0%")&amp;" / "&amp;TEXT(Controls!$C$7,"0.0%")&amp;" / "&amp;TEXT(Controls!$D$7,"0.0%")</f>
        <v>18.0% / 30.0% / 35.0%</v>
      </c>
    </row>
    <row r="29" customFormat="false" ht="15" hidden="false" customHeight="false" outlineLevel="0" collapsed="false">
      <c r="B29" s="94" t="s">
        <v>92</v>
      </c>
      <c r="C29" s="88" t="n">
        <f aca="false">IF(OR(Deal!$C$24=0,C8="",C8="-"),"",C8/Deal!$C$24)</f>
        <v>0.573221757322176</v>
      </c>
      <c r="D29" s="74" t="n">
        <f aca="false">IF(OR(Deal!$C$24=0,D8="",D8="-"),"",D8/Deal!$C$24)</f>
        <v>0.456066945606695</v>
      </c>
      <c r="E29" s="77" t="str">
        <f aca="false">IF(D29="","",IF(D29&gt;=Controls!$D$8,"KNOCKOUT",IF(D29&lt;=Controls!$B$8,"GREEN",IF(D29&gt;=Controls!$C$8,"RED","YELLOW"))))</f>
        <v>GREEN</v>
      </c>
      <c r="F29" s="99" t="str">
        <f aca="false">TEXT(Controls!$B$8,"0.00")&amp;" / "&amp;TEXT(Controls!$C$8,"0.00")&amp;" / "&amp;TEXT(Controls!$D$8,"0.00")</f>
        <v>0.60 / 0.90 / 1.25</v>
      </c>
    </row>
    <row r="30" customFormat="false" ht="15" hidden="false" customHeight="false" outlineLevel="0" collapsed="false">
      <c r="B30" s="94" t="s">
        <v>93</v>
      </c>
      <c r="C30" s="89" t="n">
        <f aca="false">Deal!$C$42</f>
        <v>2</v>
      </c>
      <c r="D30" s="89" t="n">
        <f aca="false">Deal!$C$42</f>
        <v>2</v>
      </c>
      <c r="E30" s="77" t="str">
        <f aca="false">Deal!$F$42</f>
        <v>GREEN</v>
      </c>
      <c r="F30" s="82" t="s">
        <v>190</v>
      </c>
    </row>
    <row r="31" customFormat="false" ht="15" hidden="false" customHeight="false" outlineLevel="0" collapsed="false">
      <c r="B31" s="94" t="s">
        <v>94</v>
      </c>
      <c r="C31" s="92" t="n">
        <f aca="false">Deal!$C$43</f>
        <v>0.0260759940802816</v>
      </c>
      <c r="D31" s="92" t="n">
        <f aca="false">Deal!$C$43</f>
        <v>0.0260759940802816</v>
      </c>
      <c r="E31" s="77" t="str">
        <f aca="false">Deal!$F$43</f>
        <v>GREEN</v>
      </c>
      <c r="F31" s="82" t="s">
        <v>190</v>
      </c>
    </row>
    <row r="32" customFormat="false" ht="15" hidden="false" customHeight="false" outlineLevel="0" collapsed="false">
      <c r="B32" s="94" t="s">
        <v>95</v>
      </c>
      <c r="C32" s="89" t="n">
        <f aca="false">Deal!$C$44</f>
        <v>2</v>
      </c>
      <c r="D32" s="89" t="n">
        <f aca="false">Deal!$C$44</f>
        <v>2</v>
      </c>
      <c r="E32" s="77" t="str">
        <f aca="false">Deal!$F$44</f>
        <v>YELLOW</v>
      </c>
      <c r="F32" s="82" t="s">
        <v>190</v>
      </c>
    </row>
    <row r="33" customFormat="false" ht="15" hidden="false" customHeight="false" outlineLevel="0" collapsed="false">
      <c r="B33" s="94" t="s">
        <v>65</v>
      </c>
      <c r="C33" s="89" t="n">
        <f aca="false">Deal!$C$45</f>
        <v>640</v>
      </c>
      <c r="D33" s="89" t="n">
        <f aca="false">Deal!$C$45</f>
        <v>640</v>
      </c>
      <c r="E33" s="77" t="str">
        <f aca="false">Deal!$F$45</f>
        <v>YELLOW</v>
      </c>
      <c r="F33" s="82" t="s">
        <v>190</v>
      </c>
    </row>
    <row r="35" customFormat="false" ht="15" hidden="false" customHeight="false" outlineLevel="0" collapsed="false">
      <c r="B35" s="8" t="s">
        <v>191</v>
      </c>
      <c r="C35" s="8"/>
      <c r="D35" s="8"/>
      <c r="E35" s="8"/>
      <c r="F35" s="8"/>
    </row>
    <row r="36" customFormat="false" ht="15" hidden="false" customHeight="false" outlineLevel="0" collapsed="false">
      <c r="B36" s="94" t="s">
        <v>192</v>
      </c>
      <c r="D36" s="77" t="str">
        <f aca="false">IF(OR(D8="",D8="-",C8="",C8="-"),"OK",IF(D8&lt;=C8,"OK","FAIL"))</f>
        <v>OK</v>
      </c>
    </row>
    <row r="37" customFormat="false" ht="15" hidden="false" customHeight="false" outlineLevel="0" collapsed="false">
      <c r="B37" s="94" t="s">
        <v>193</v>
      </c>
      <c r="D37" s="77" t="str">
        <f aca="false">IF(OR(D9="",C5=""),"OK",IF(D9&lt;=C5+0.005,"OK","FAIL"))</f>
        <v>OK</v>
      </c>
    </row>
    <row r="38" customFormat="false" ht="15" hidden="false" customHeight="false" outlineLevel="0" collapsed="false">
      <c r="B38" s="94" t="s">
        <v>194</v>
      </c>
      <c r="D38" s="77" t="str">
        <f aca="false">IF(COUNTIF(E26:E29,"RED")+COUNTIF(E26:E29,"KNOCKOUT")=0,"OK","FAIL")</f>
        <v>OK</v>
      </c>
    </row>
    <row r="39" customFormat="false" ht="15" hidden="false" customHeight="false" outlineLevel="0" collapsed="false">
      <c r="B39" s="94" t="s">
        <v>195</v>
      </c>
      <c r="D39" s="77" t="str">
        <f aca="false">IF(COUNTIF(Deal!$F$42:$F$45,"KNOCKOUT")&gt;0,IF(D8="-","OK","FAIL"),"OK")</f>
        <v>OK</v>
      </c>
    </row>
    <row r="40" customFormat="false" ht="15" hidden="false" customHeight="false" outlineLevel="0" collapsed="false">
      <c r="B40" s="94" t="s">
        <v>196</v>
      </c>
      <c r="D40" s="77" t="n">
        <f aca="false">COUNTIF(E26:E33,"RED")+COUNTIF(E26:E33,"KNOCKOUT")</f>
        <v>0</v>
      </c>
    </row>
  </sheetData>
  <mergeCells count="2">
    <mergeCell ref="B24:F24"/>
    <mergeCell ref="B35:F35"/>
  </mergeCells>
  <conditionalFormatting sqref="E26:E33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"YELLOW"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2">
      <formula>"KNOCKOUT"</formula>
    </cfRule>
  </conditionalFormatting>
  <conditionalFormatting sqref="D36:D39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"WARN"</formula>
    </cfRule>
    <cfRule type="cellIs" priority="8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6" min="4" style="0" width="9"/>
    <col collapsed="false" customWidth="true" hidden="false" outlineLevel="0" max="7" min="7" style="0" width="13"/>
    <col collapsed="false" customWidth="true" hidden="false" outlineLevel="0" max="11" min="8" style="0" width="8"/>
    <col collapsed="false" customWidth="true" hidden="false" outlineLevel="0" max="14" min="12" style="0" width="10"/>
    <col collapsed="false" customWidth="true" hidden="false" outlineLevel="0" max="16" min="15" style="0" width="9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20" min="19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8"/>
    <col collapsed="false" customWidth="true" hidden="false" outlineLevel="0" max="27" min="26" style="0" width="12"/>
  </cols>
  <sheetData>
    <row r="1" customFormat="false" ht="17.35" hidden="false" customHeight="false" outlineLevel="0" collapsed="false">
      <c r="A1" s="83" t="s">
        <v>197</v>
      </c>
    </row>
    <row r="2" customFormat="false" ht="15" hidden="false" customHeight="false" outlineLevel="0" collapsed="false">
      <c r="A2" s="82" t="s">
        <v>198</v>
      </c>
    </row>
    <row r="4" customFormat="false" ht="15" hidden="false" customHeight="false" outlineLevel="0" collapsed="false">
      <c r="A4" s="8" t="s">
        <v>199</v>
      </c>
      <c r="B4" s="8"/>
      <c r="C4" s="8"/>
    </row>
    <row r="5" customFormat="false" ht="15" hidden="false" customHeight="false" outlineLevel="0" collapsed="false">
      <c r="B5" s="94" t="s">
        <v>63</v>
      </c>
      <c r="C5" s="77" t="str">
        <f aca="false">IF(Deal!$K$15="","",Deal!$K$15)</f>
        <v>New Deal</v>
      </c>
    </row>
    <row r="6" customFormat="false" ht="15" hidden="false" customHeight="false" outlineLevel="0" collapsed="false">
      <c r="B6" s="94" t="s">
        <v>200</v>
      </c>
      <c r="C6" s="75" t="n">
        <f aca="false">IF(Deal!$K$18&lt;&gt;"",Deal!$K$18,Deal!$K$17)</f>
        <v>2</v>
      </c>
    </row>
    <row r="7" customFormat="false" ht="15" hidden="false" customHeight="false" outlineLevel="0" collapsed="false">
      <c r="B7" s="94" t="s">
        <v>201</v>
      </c>
      <c r="C7" s="77" t="str">
        <f aca="false">IF(Deal!$K$13="","",Deal!$K$13)</f>
        <v>General Building Contractors</v>
      </c>
    </row>
    <row r="8" customFormat="false" ht="15" hidden="false" customHeight="false" outlineLevel="0" collapsed="false">
      <c r="B8" s="94" t="s">
        <v>54</v>
      </c>
      <c r="C8" s="77" t="str">
        <f aca="false">IF(Deal!$K$12="","",Deal!$K$12)</f>
        <v>United Secured Capital 8</v>
      </c>
    </row>
    <row r="9" customFormat="false" ht="15" hidden="false" customHeight="false" outlineLevel="0" collapsed="false">
      <c r="B9" s="94" t="s">
        <v>60</v>
      </c>
      <c r="C9" s="77" t="str">
        <f aca="false">IF(Deal!$K$14="","",Deal!$K$14)</f>
        <v>TX</v>
      </c>
    </row>
    <row r="10" customFormat="false" ht="15" hidden="false" customHeight="false" outlineLevel="0" collapsed="false">
      <c r="B10" s="94" t="s">
        <v>202</v>
      </c>
      <c r="C10" s="78" t="n">
        <f aca="false">$L$20</f>
        <v>0.210596993932879</v>
      </c>
    </row>
    <row r="11" customFormat="false" ht="15" hidden="false" customHeight="false" outlineLevel="0" collapsed="false">
      <c r="B11" s="94" t="s">
        <v>203</v>
      </c>
      <c r="C11" s="77" t="str">
        <f aca="false">TEXT($E$20,"#,##0")&amp;" / "&amp;TEXT($G$20,"$#,##0")</f>
        <v>637 / $12,563,126</v>
      </c>
    </row>
    <row r="13" customFormat="false" ht="39.75" hidden="false" customHeight="true" outlineLevel="0" collapsed="false">
      <c r="A13" s="100" t="s">
        <v>204</v>
      </c>
      <c r="B13" s="100" t="s">
        <v>205</v>
      </c>
      <c r="C13" s="100" t="s">
        <v>206</v>
      </c>
      <c r="D13" s="100" t="s">
        <v>207</v>
      </c>
      <c r="E13" s="100" t="s">
        <v>208</v>
      </c>
      <c r="F13" s="100" t="s">
        <v>209</v>
      </c>
      <c r="G13" s="100" t="s">
        <v>210</v>
      </c>
      <c r="H13" s="100" t="s">
        <v>211</v>
      </c>
      <c r="I13" s="100" t="s">
        <v>212</v>
      </c>
      <c r="J13" s="100" t="s">
        <v>213</v>
      </c>
      <c r="K13" s="100" t="s">
        <v>214</v>
      </c>
      <c r="L13" s="100" t="s">
        <v>215</v>
      </c>
      <c r="M13" s="100" t="s">
        <v>216</v>
      </c>
      <c r="N13" s="100" t="s">
        <v>217</v>
      </c>
      <c r="O13" s="100" t="s">
        <v>218</v>
      </c>
      <c r="P13" s="100" t="s">
        <v>219</v>
      </c>
      <c r="Q13" s="100" t="s">
        <v>220</v>
      </c>
      <c r="R13" s="100" t="s">
        <v>221</v>
      </c>
      <c r="S13" s="100" t="s">
        <v>222</v>
      </c>
      <c r="T13" s="100" t="s">
        <v>223</v>
      </c>
      <c r="U13" s="100" t="s">
        <v>224</v>
      </c>
      <c r="V13" s="100" t="s">
        <v>225</v>
      </c>
      <c r="W13" s="100" t="s">
        <v>226</v>
      </c>
      <c r="X13" s="100" t="s">
        <v>227</v>
      </c>
      <c r="Y13" s="100" t="s">
        <v>228</v>
      </c>
      <c r="Z13" s="100" t="s">
        <v>229</v>
      </c>
      <c r="AA13" s="100" t="s">
        <v>230</v>
      </c>
    </row>
    <row r="14" customFormat="false" ht="15" hidden="false" customHeight="false" outlineLevel="0" collapsed="false">
      <c r="A14" s="77" t="n">
        <v>1</v>
      </c>
      <c r="B14" s="94" t="s">
        <v>231</v>
      </c>
      <c r="C14" s="94" t="s">
        <v>232</v>
      </c>
      <c r="D14" s="91" t="n">
        <f aca="false">SUMPRODUCT('Historical Data'!$AV$2:$AV$1068*'Historical Data'!$AD$2:$AD$1068)</f>
        <v>27</v>
      </c>
      <c r="E14" s="91" t="n">
        <f aca="false">SUMPRODUCT('Historical Data'!$AV$2:$AV$1068*'Historical Data'!$AP$2:$AP$1068)</f>
        <v>23</v>
      </c>
      <c r="F14" s="92" t="n">
        <f aca="false">IF(D14=0,"",E14/D14)</f>
        <v>0.851851851851852</v>
      </c>
      <c r="G14" s="96" t="n">
        <f aca="false">SUMPRODUCT('Historical Data'!$AV$2:$AV$1068*'Historical Data'!$AP$2:$AP$1068*'Historical Data'!$N$2:$N$1068)</f>
        <v>414000</v>
      </c>
      <c r="H14" s="91" t="n">
        <f aca="false">SUMPRODUCT('Historical Data'!$AV$2:$AV$1068*'Historical Data'!$AP$2:$AP$1068*'Historical Data'!$AH$2:$AH$1068)</f>
        <v>1</v>
      </c>
      <c r="I14" s="92" t="n">
        <f aca="false">IF(E14=0,"",H14/E14)</f>
        <v>0.0434782608695652</v>
      </c>
      <c r="J14" s="91" t="n">
        <f aca="false">SUMPRODUCT('Historical Data'!$AV$2:$AV$1068*'Historical Data'!$AP$2:$AP$1068*'Historical Data'!$AE$2:$AE$1068)</f>
        <v>11</v>
      </c>
      <c r="K14" s="92" t="n">
        <f aca="false">IF(E14=0,"",J14/E14)</f>
        <v>0.478260869565217</v>
      </c>
      <c r="L14" s="92" t="n">
        <f aca="false">IF(OR(E14&lt;Controls!$B$47,G14=0),"",SUMPRODUCT('Historical Data'!$AV$2:$AV$1068*'Historical Data'!$AP$2:$AP$1068*'Historical Data'!$AK$2:$AK$1068)/G14)</f>
        <v>0.340006835748792</v>
      </c>
      <c r="M14" s="92" t="n">
        <f aca="false">IF(OR(E14&lt;Controls!$B$47,SUMPRODUCT('Historical Data'!$AV$2:$AV$1068*'Historical Data'!$AP$2:$AP$1068*'Historical Data'!$AE$2:$AE$1068*'Historical Data'!$N$2:$N$1068)=0),"",SUMPRODUCT('Historical Data'!$AV$2:$AV$1068*'Historical Data'!$AP$2:$AP$1068*'Historical Data'!$AE$2:$AE$1068*'Historical Data'!$Q$2:$Q$1068)/SUMPRODUCT('Historical Data'!$AV$2:$AV$1068*'Historical Data'!$AP$2:$AP$1068*'Historical Data'!$AE$2:$AE$1068*'Historical Data'!$N$2:$N$1068))</f>
        <v>0.289076616161616</v>
      </c>
      <c r="N14" s="92" t="n">
        <f aca="false">IF(OR(E14&lt;Controls!$B$47,G14=0),"",SUMPRODUCT('Historical Data'!$AV$2:$AV$1068*'Historical Data'!$AP$2:$AP$1068*'Historical Data'!$AJ$2:$AJ$1068)/G14)</f>
        <v>-0.118939782608696</v>
      </c>
      <c r="O14" s="88" t="n">
        <f aca="false">IF(SUMPRODUCT('Historical Data'!$AV$2:$AV$1068*'Historical Data'!$AP$2:$AP$1068*'Historical Data'!$AM$2:$AM$1068)=0,"",SUMPRODUCT('Historical Data'!$AV$2:$AV$1068*'Historical Data'!$AP$2:$AP$1068*'Historical Data'!$AM$2:$AM$1068*'Historical Data'!$AL$2:$AL$1068)/SUMPRODUCT('Historical Data'!$AV$2:$AV$1068*'Historical Data'!$AP$2:$AP$1068*'Historical Data'!$AM$2:$AM$1068))</f>
        <v>0.2532591337462</v>
      </c>
      <c r="P14" s="89" t="n">
        <f aca="false">IF(E14=0,"",SUMPRODUCT('Historical Data'!$AV$2:$AV$1068*'Historical Data'!$AP$2:$AP$1068*'Historical Data'!$AA$2:$AA$1068)/E14)</f>
        <v>81.615057826087</v>
      </c>
      <c r="Q14" s="88" t="n">
        <f aca="false">IF(E14=0,"",SUMPRODUCT('Historical Data'!$AV$2:$AV$1068*'Historical Data'!$AP$2:$AP$1068*'Historical Data'!$M$2:$M$1068)/E14)</f>
        <v>1.47017391304348</v>
      </c>
      <c r="R14" s="96" t="n">
        <f aca="false">IF(E14=0,"",G14/E14)</f>
        <v>18000</v>
      </c>
      <c r="S14" s="89" t="n">
        <f aca="false">IF(E14=0,"",SUMPRODUCT('Historical Data'!$AV$2:$AV$1068*'Historical Data'!$AP$2:$AP$1068*'Historical Data'!$AN$2:$AN$1068)/E14)</f>
        <v>89.5217391304348</v>
      </c>
      <c r="T14" s="92" t="n">
        <f aca="false">IF(E14=0,"",SUMPRODUCT('Historical Data'!$AV$2:$AV$1068*'Historical Data'!$AP$2:$AP$1068*'Historical Data'!$AO$2:$AO$1068)/E14)</f>
        <v>0</v>
      </c>
      <c r="U14" s="91" t="str">
        <f aca="false">IF(AND(E14&gt;=Controls!$B$40,G14&gt;=Controls!$B$41,IF(I14="",1,I14)&lt;=Controls!$B$43),"Yes","No")</f>
        <v>Yes</v>
      </c>
      <c r="V14" s="88" t="n">
        <f aca="false">IF(E14+Controls!$B$42=0,0,E14/(E14+Controls!$B$42))</f>
        <v>0.433962264150943</v>
      </c>
      <c r="W14" s="92" t="n">
        <f aca="false">IF(L14="",$C$10,V14*L14+(1-V14)*$C$10)</f>
        <v>0.266755981890728</v>
      </c>
      <c r="X14" s="88" t="n">
        <f aca="false">IF(OR($C$10="",$C$10=0),"",W14/$C$10)</f>
        <v>1.26666566748691</v>
      </c>
      <c r="Y14" s="91" t="n">
        <f aca="false">IF(AND(E14&gt;=Controls!$B$40,G14&gt;=Controls!$B$41),1,0)</f>
        <v>1</v>
      </c>
      <c r="Z14" s="92" t="n">
        <f aca="false">IF(L14="",0,ABS(W14-$C$10))</f>
        <v>0.056158987957849</v>
      </c>
      <c r="AA14" s="91" t="str">
        <f aca="false">IF(L14="","No","Yes")</f>
        <v>Yes</v>
      </c>
    </row>
    <row r="15" customFormat="false" ht="15" hidden="false" customHeight="false" outlineLevel="0" collapsed="false">
      <c r="A15" s="77" t="n">
        <v>2</v>
      </c>
      <c r="B15" s="94" t="s">
        <v>233</v>
      </c>
      <c r="C15" s="94" t="s">
        <v>234</v>
      </c>
      <c r="D15" s="91" t="n">
        <f aca="false">SUMPRODUCT('Historical Data'!$AW$2:$AW$1068*'Historical Data'!$AD$2:$AD$1068)</f>
        <v>21</v>
      </c>
      <c r="E15" s="91" t="n">
        <f aca="false">SUMPRODUCT('Historical Data'!$AW$2:$AW$1068*'Historical Data'!$AP$2:$AP$1068)</f>
        <v>19</v>
      </c>
      <c r="F15" s="92" t="n">
        <f aca="false">IF(D15=0,"",E15/D15)</f>
        <v>0.904761904761905</v>
      </c>
      <c r="G15" s="96" t="n">
        <f aca="false">SUMPRODUCT('Historical Data'!$AW$2:$AW$1068*'Historical Data'!$AP$2:$AP$1068*'Historical Data'!$N$2:$N$1068)</f>
        <v>268500</v>
      </c>
      <c r="H15" s="91" t="n">
        <f aca="false">SUMPRODUCT('Historical Data'!$AW$2:$AW$1068*'Historical Data'!$AP$2:$AP$1068*'Historical Data'!$AH$2:$AH$1068)</f>
        <v>3</v>
      </c>
      <c r="I15" s="92" t="n">
        <f aca="false">IF(E15=0,"",H15/E15)</f>
        <v>0.157894736842105</v>
      </c>
      <c r="J15" s="91" t="n">
        <f aca="false">SUMPRODUCT('Historical Data'!$AW$2:$AW$1068*'Historical Data'!$AP$2:$AP$1068*'Historical Data'!$AE$2:$AE$1068)</f>
        <v>9</v>
      </c>
      <c r="K15" s="92" t="n">
        <f aca="false">IF(E15=0,"",J15/E15)</f>
        <v>0.473684210526316</v>
      </c>
      <c r="L15" s="92" t="n">
        <f aca="false">IF(OR(E15&lt;Controls!$B$47,G15=0),"",SUMPRODUCT('Historical Data'!$AW$2:$AW$1068*'Historical Data'!$AP$2:$AP$1068*'Historical Data'!$AK$2:$AK$1068)/G15)</f>
        <v>0.261674748603352</v>
      </c>
      <c r="M15" s="92" t="n">
        <f aca="false">IF(OR(E15&lt;Controls!$B$47,SUMPRODUCT('Historical Data'!$AW$2:$AW$1068*'Historical Data'!$AP$2:$AP$1068*'Historical Data'!$AE$2:$AE$1068*'Historical Data'!$N$2:$N$1068)=0),"",SUMPRODUCT('Historical Data'!$AW$2:$AW$1068*'Historical Data'!$AP$2:$AP$1068*'Historical Data'!$AE$2:$AE$1068*'Historical Data'!$Q$2:$Q$1068)/SUMPRODUCT('Historical Data'!$AW$2:$AW$1068*'Historical Data'!$AP$2:$AP$1068*'Historical Data'!$AE$2:$AE$1068*'Historical Data'!$N$2:$N$1068))</f>
        <v>0.3754696</v>
      </c>
      <c r="N15" s="92" t="n">
        <f aca="false">IF(OR(E15&lt;Controls!$B$47,G15=0),"",SUMPRODUCT('Historical Data'!$AW$2:$AW$1068*'Historical Data'!$AP$2:$AP$1068*'Historical Data'!$AJ$2:$AJ$1068)/G15)</f>
        <v>-0.0273648044692737</v>
      </c>
      <c r="O15" s="88" t="n">
        <f aca="false">IF(SUMPRODUCT('Historical Data'!$AW$2:$AW$1068*'Historical Data'!$AP$2:$AP$1068*'Historical Data'!$AM$2:$AM$1068)=0,"",SUMPRODUCT('Historical Data'!$AW$2:$AW$1068*'Historical Data'!$AP$2:$AP$1068*'Historical Data'!$AM$2:$AM$1068*'Historical Data'!$AL$2:$AL$1068)/SUMPRODUCT('Historical Data'!$AW$2:$AW$1068*'Historical Data'!$AP$2:$AP$1068*'Historical Data'!$AM$2:$AM$1068))</f>
        <v>0.409483079445694</v>
      </c>
      <c r="P15" s="89" t="n">
        <f aca="false">IF(E15=0,"",SUMPRODUCT('Historical Data'!$AW$2:$AW$1068*'Historical Data'!$AP$2:$AP$1068*'Historical Data'!$AA$2:$AA$1068)/E15)</f>
        <v>74.38436</v>
      </c>
      <c r="Q15" s="88" t="n">
        <f aca="false">IF(E15=0,"",SUMPRODUCT('Historical Data'!$AW$2:$AW$1068*'Historical Data'!$AP$2:$AP$1068*'Historical Data'!$M$2:$M$1068)/E15)</f>
        <v>1.48605263157895</v>
      </c>
      <c r="R15" s="96" t="n">
        <f aca="false">IF(E15=0,"",G15/E15)</f>
        <v>14131.5789473684</v>
      </c>
      <c r="S15" s="89" t="n">
        <f aca="false">IF(E15=0,"",SUMPRODUCT('Historical Data'!$AW$2:$AW$1068*'Historical Data'!$AP$2:$AP$1068*'Historical Data'!$AN$2:$AN$1068)/E15)</f>
        <v>101.473684210526</v>
      </c>
      <c r="T15" s="92" t="n">
        <f aca="false">IF(E15=0,"",SUMPRODUCT('Historical Data'!$AW$2:$AW$1068*'Historical Data'!$AP$2:$AP$1068*'Historical Data'!$AO$2:$AO$1068)/E15)</f>
        <v>0</v>
      </c>
      <c r="U15" s="91" t="str">
        <f aca="false">IF(AND(E15&gt;=Controls!$B$40,G15&gt;=Controls!$B$41,IF(I15="",1,I15)&lt;=Controls!$B$43),"Yes","No")</f>
        <v>No</v>
      </c>
      <c r="V15" s="88" t="n">
        <f aca="false">IF(E15+Controls!$B$42=0,0,E15/(E15+Controls!$B$42))</f>
        <v>0.387755102040816</v>
      </c>
      <c r="W15" s="92" t="n">
        <f aca="false">IF(L15="",$C$10,V15*L15+(1-V15)*$C$10)</f>
        <v>0.230402653907144</v>
      </c>
      <c r="X15" s="88" t="n">
        <f aca="false">IF(OR($C$10="",$C$10=0),"",W15/$C$10)</f>
        <v>1.09404531187457</v>
      </c>
      <c r="Y15" s="91" t="n">
        <f aca="false">IF(AND(E15&gt;=Controls!$B$40,G15&gt;=Controls!$B$41),1,0)</f>
        <v>1</v>
      </c>
      <c r="Z15" s="92" t="n">
        <f aca="false">IF(L15="",0,ABS(W15-$C$10))</f>
        <v>0.0198056599742648</v>
      </c>
      <c r="AA15" s="91" t="str">
        <f aca="false">IF(L15="","No","Yes")</f>
        <v>Yes</v>
      </c>
    </row>
    <row r="16" customFormat="false" ht="15" hidden="false" customHeight="false" outlineLevel="0" collapsed="false">
      <c r="A16" s="77" t="n">
        <v>3</v>
      </c>
      <c r="B16" s="94" t="s">
        <v>235</v>
      </c>
      <c r="C16" s="94" t="s">
        <v>236</v>
      </c>
      <c r="D16" s="91" t="n">
        <f aca="false">SUMPRODUCT('Historical Data'!$AX$2:$AX$1068*'Historical Data'!$AD$2:$AD$1068)</f>
        <v>98</v>
      </c>
      <c r="E16" s="91" t="n">
        <f aca="false">SUMPRODUCT('Historical Data'!$AX$2:$AX$1068*'Historical Data'!$AP$2:$AP$1068)</f>
        <v>70</v>
      </c>
      <c r="F16" s="92" t="n">
        <f aca="false">IF(D16=0,"",E16/D16)</f>
        <v>0.714285714285714</v>
      </c>
      <c r="G16" s="96" t="n">
        <f aca="false">SUMPRODUCT('Historical Data'!$AX$2:$AX$1068*'Historical Data'!$AP$2:$AP$1068*'Historical Data'!$N$2:$N$1068)</f>
        <v>1145500</v>
      </c>
      <c r="H16" s="91" t="n">
        <f aca="false">SUMPRODUCT('Historical Data'!$AX$2:$AX$1068*'Historical Data'!$AP$2:$AP$1068*'Historical Data'!$AH$2:$AH$1068)</f>
        <v>5</v>
      </c>
      <c r="I16" s="92" t="n">
        <f aca="false">IF(E16=0,"",H16/E16)</f>
        <v>0.0714285714285714</v>
      </c>
      <c r="J16" s="91" t="n">
        <f aca="false">SUMPRODUCT('Historical Data'!$AX$2:$AX$1068*'Historical Data'!$AP$2:$AP$1068*'Historical Data'!$AE$2:$AE$1068)</f>
        <v>40</v>
      </c>
      <c r="K16" s="92" t="n">
        <f aca="false">IF(E16=0,"",J16/E16)</f>
        <v>0.571428571428571</v>
      </c>
      <c r="L16" s="92" t="n">
        <f aca="false">IF(OR(E16&lt;Controls!$B$47,G16=0),"",SUMPRODUCT('Historical Data'!$AX$2:$AX$1068*'Historical Data'!$AP$2:$AP$1068*'Historical Data'!$AK$2:$AK$1068)/G16)</f>
        <v>0.327640698384985</v>
      </c>
      <c r="M16" s="92" t="n">
        <f aca="false">IF(OR(E16&lt;Controls!$B$47,SUMPRODUCT('Historical Data'!$AX$2:$AX$1068*'Historical Data'!$AP$2:$AP$1068*'Historical Data'!$AE$2:$AE$1068*'Historical Data'!$N$2:$N$1068)=0),"",SUMPRODUCT('Historical Data'!$AX$2:$AX$1068*'Historical Data'!$AP$2:$AP$1068*'Historical Data'!$AE$2:$AE$1068*'Historical Data'!$Q$2:$Q$1068)/SUMPRODUCT('Historical Data'!$AX$2:$AX$1068*'Historical Data'!$AP$2:$AP$1068*'Historical Data'!$AE$2:$AE$1068*'Historical Data'!$N$2:$N$1068))</f>
        <v>0.44452030418251</v>
      </c>
      <c r="N16" s="92" t="n">
        <f aca="false">IF(OR(E16&lt;Controls!$B$47,G16=0),"",SUMPRODUCT('Historical Data'!$AX$2:$AX$1068*'Historical Data'!$AP$2:$AP$1068*'Historical Data'!$AJ$2:$AJ$1068)/G16)</f>
        <v>-0.165749847228285</v>
      </c>
      <c r="O16" s="88" t="n">
        <f aca="false">IF(SUMPRODUCT('Historical Data'!$AX$2:$AX$1068*'Historical Data'!$AP$2:$AP$1068*'Historical Data'!$AM$2:$AM$1068)=0,"",SUMPRODUCT('Historical Data'!$AX$2:$AX$1068*'Historical Data'!$AP$2:$AP$1068*'Historical Data'!$AM$2:$AM$1068*'Historical Data'!$AL$2:$AL$1068)/SUMPRODUCT('Historical Data'!$AX$2:$AX$1068*'Historical Data'!$AP$2:$AP$1068*'Historical Data'!$AM$2:$AM$1068))</f>
        <v>0.288742643886026</v>
      </c>
      <c r="P16" s="89" t="n">
        <f aca="false">IF(E16=0,"",SUMPRODUCT('Historical Data'!$AX$2:$AX$1068*'Historical Data'!$AP$2:$AP$1068*'Historical Data'!$AA$2:$AA$1068)/E16)</f>
        <v>74.4717514285714</v>
      </c>
      <c r="Q16" s="88" t="n">
        <f aca="false">IF(E16=0,"",SUMPRODUCT('Historical Data'!$AX$2:$AX$1068*'Historical Data'!$AP$2:$AP$1068*'Historical Data'!$M$2:$M$1068)/E16)</f>
        <v>1.47717642857143</v>
      </c>
      <c r="R16" s="96" t="n">
        <f aca="false">IF(E16=0,"",G16/E16)</f>
        <v>16364.2857142857</v>
      </c>
      <c r="S16" s="89" t="n">
        <f aca="false">IF(E16=0,"",SUMPRODUCT('Historical Data'!$AX$2:$AX$1068*'Historical Data'!$AP$2:$AP$1068*'Historical Data'!$AN$2:$AN$1068)/E16)</f>
        <v>87.6714285714286</v>
      </c>
      <c r="T16" s="92" t="n">
        <f aca="false">IF(E16=0,"",SUMPRODUCT('Historical Data'!$AX$2:$AX$1068*'Historical Data'!$AP$2:$AP$1068*'Historical Data'!$AO$2:$AO$1068)/E16)</f>
        <v>0</v>
      </c>
      <c r="U16" s="91" t="str">
        <f aca="false">IF(AND(E16&gt;=Controls!$B$40,G16&gt;=Controls!$B$41,IF(I16="",1,I16)&lt;=Controls!$B$43),"Yes","No")</f>
        <v>Yes</v>
      </c>
      <c r="V16" s="88" t="n">
        <f aca="false">IF(E16+Controls!$B$42=0,0,E16/(E16+Controls!$B$42))</f>
        <v>0.7</v>
      </c>
      <c r="W16" s="92" t="n">
        <f aca="false">IF(L16="",$C$10,V16*L16+(1-V16)*$C$10)</f>
        <v>0.292527587049353</v>
      </c>
      <c r="X16" s="88" t="n">
        <f aca="false">IF(OR($C$10="",$C$10=0),"",W16/$C$10)</f>
        <v>1.38903970843281</v>
      </c>
      <c r="Y16" s="91" t="n">
        <f aca="false">IF(AND(E16&gt;=Controls!$B$40,G16&gt;=Controls!$B$41),1,0)</f>
        <v>1</v>
      </c>
      <c r="Z16" s="92" t="n">
        <f aca="false">IF(L16="",0,ABS(W16-$C$10))</f>
        <v>0.0819305931164737</v>
      </c>
      <c r="AA16" s="91" t="str">
        <f aca="false">IF(L16="","No","Yes")</f>
        <v>Yes</v>
      </c>
    </row>
    <row r="17" customFormat="false" ht="15" hidden="false" customHeight="false" outlineLevel="0" collapsed="false">
      <c r="A17" s="77" t="n">
        <v>4</v>
      </c>
      <c r="B17" s="94" t="s">
        <v>237</v>
      </c>
      <c r="C17" s="94" t="s">
        <v>238</v>
      </c>
      <c r="D17" s="91" t="n">
        <f aca="false">SUMPRODUCT('Historical Data'!$AY$2:$AY$1068*'Historical Data'!$AD$2:$AD$1068)</f>
        <v>135</v>
      </c>
      <c r="E17" s="91" t="n">
        <f aca="false">SUMPRODUCT('Historical Data'!$AY$2:$AY$1068*'Historical Data'!$AP$2:$AP$1068)</f>
        <v>95</v>
      </c>
      <c r="F17" s="92" t="n">
        <f aca="false">IF(D17=0,"",E17/D17)</f>
        <v>0.703703703703704</v>
      </c>
      <c r="G17" s="96" t="n">
        <f aca="false">SUMPRODUCT('Historical Data'!$AY$2:$AY$1068*'Historical Data'!$AP$2:$AP$1068*'Historical Data'!$N$2:$N$1068)</f>
        <v>1608000</v>
      </c>
      <c r="H17" s="91" t="n">
        <f aca="false">SUMPRODUCT('Historical Data'!$AY$2:$AY$1068*'Historical Data'!$AP$2:$AP$1068*'Historical Data'!$AH$2:$AH$1068)</f>
        <v>10</v>
      </c>
      <c r="I17" s="92" t="n">
        <f aca="false">IF(E17=0,"",H17/E17)</f>
        <v>0.105263157894737</v>
      </c>
      <c r="J17" s="91" t="n">
        <f aca="false">SUMPRODUCT('Historical Data'!$AY$2:$AY$1068*'Historical Data'!$AP$2:$AP$1068*'Historical Data'!$AE$2:$AE$1068)</f>
        <v>49</v>
      </c>
      <c r="K17" s="92" t="n">
        <f aca="false">IF(E17=0,"",J17/E17)</f>
        <v>0.515789473684211</v>
      </c>
      <c r="L17" s="92" t="n">
        <f aca="false">IF(OR(E17&lt;Controls!$B$47,G17=0),"",SUMPRODUCT('Historical Data'!$AY$2:$AY$1068*'Historical Data'!$AP$2:$AP$1068*'Historical Data'!$AK$2:$AK$1068)/G17)</f>
        <v>0.287451803482587</v>
      </c>
      <c r="M17" s="92" t="n">
        <f aca="false">IF(OR(E17&lt;Controls!$B$47,SUMPRODUCT('Historical Data'!$AY$2:$AY$1068*'Historical Data'!$AP$2:$AP$1068*'Historical Data'!$AE$2:$AE$1068*'Historical Data'!$N$2:$N$1068)=0),"",SUMPRODUCT('Historical Data'!$AY$2:$AY$1068*'Historical Data'!$AP$2:$AP$1068*'Historical Data'!$AE$2:$AE$1068*'Historical Data'!$Q$2:$Q$1068)/SUMPRODUCT('Historical Data'!$AY$2:$AY$1068*'Historical Data'!$AP$2:$AP$1068*'Historical Data'!$AE$2:$AE$1068*'Historical Data'!$N$2:$N$1068))</f>
        <v>0.465160036144578</v>
      </c>
      <c r="N17" s="92" t="n">
        <f aca="false">IF(OR(E17&lt;Controls!$B$47,G17=0),"",SUMPRODUCT('Historical Data'!$AY$2:$AY$1068*'Historical Data'!$AP$2:$AP$1068*'Historical Data'!$AJ$2:$AJ$1068)/G17)</f>
        <v>-0.0787772388059702</v>
      </c>
      <c r="O17" s="88" t="n">
        <f aca="false">IF(SUMPRODUCT('Historical Data'!$AY$2:$AY$1068*'Historical Data'!$AP$2:$AP$1068*'Historical Data'!$AM$2:$AM$1068)=0,"",SUMPRODUCT('Historical Data'!$AY$2:$AY$1068*'Historical Data'!$AP$2:$AP$1068*'Historical Data'!$AM$2:$AM$1068*'Historical Data'!$AL$2:$AL$1068)/SUMPRODUCT('Historical Data'!$AY$2:$AY$1068*'Historical Data'!$AP$2:$AP$1068*'Historical Data'!$AM$2:$AM$1068))</f>
        <v>0.409518155750274</v>
      </c>
      <c r="P17" s="89" t="n">
        <f aca="false">IF(E17=0,"",SUMPRODUCT('Historical Data'!$AY$2:$AY$1068*'Historical Data'!$AP$2:$AP$1068*'Historical Data'!$AA$2:$AA$1068)/E17)</f>
        <v>70.3366545789474</v>
      </c>
      <c r="Q17" s="88" t="n">
        <f aca="false">IF(E17=0,"",SUMPRODUCT('Historical Data'!$AY$2:$AY$1068*'Historical Data'!$AP$2:$AP$1068*'Historical Data'!$M$2:$M$1068)/E17)</f>
        <v>1.48889824557895</v>
      </c>
      <c r="R17" s="96" t="n">
        <f aca="false">IF(E17=0,"",G17/E17)</f>
        <v>16926.3157894737</v>
      </c>
      <c r="S17" s="89" t="n">
        <f aca="false">IF(E17=0,"",SUMPRODUCT('Historical Data'!$AY$2:$AY$1068*'Historical Data'!$AP$2:$AP$1068*'Historical Data'!$AN$2:$AN$1068)/E17)</f>
        <v>78.8842105263158</v>
      </c>
      <c r="T17" s="92" t="n">
        <f aca="false">IF(E17=0,"",SUMPRODUCT('Historical Data'!$AY$2:$AY$1068*'Historical Data'!$AP$2:$AP$1068*'Historical Data'!$AO$2:$AO$1068)/E17)</f>
        <v>0</v>
      </c>
      <c r="U17" s="91" t="str">
        <f aca="false">IF(AND(E17&gt;=Controls!$B$40,G17&gt;=Controls!$B$41,IF(I17="",1,I17)&lt;=Controls!$B$43),"Yes","No")</f>
        <v>Yes</v>
      </c>
      <c r="V17" s="88" t="n">
        <f aca="false">IF(E17+Controls!$B$42=0,0,E17/(E17+Controls!$B$42))</f>
        <v>0.76</v>
      </c>
      <c r="W17" s="92" t="n">
        <f aca="false">IF(L17="",$C$10,V17*L17+(1-V17)*$C$10)</f>
        <v>0.269006649190657</v>
      </c>
      <c r="X17" s="88" t="n">
        <f aca="false">IF(OR($C$10="",$C$10=0),"",W17/$C$10)</f>
        <v>1.27735274928185</v>
      </c>
      <c r="Y17" s="91" t="n">
        <f aca="false">IF(AND(E17&gt;=Controls!$B$40,G17&gt;=Controls!$B$41),1,0)</f>
        <v>1</v>
      </c>
      <c r="Z17" s="92" t="n">
        <f aca="false">IF(L17="",0,ABS(W17-$C$10))</f>
        <v>0.0584096552577778</v>
      </c>
      <c r="AA17" s="91" t="str">
        <f aca="false">IF(L17="","No","Yes")</f>
        <v>Yes</v>
      </c>
    </row>
    <row r="18" customFormat="false" ht="15" hidden="false" customHeight="false" outlineLevel="0" collapsed="false">
      <c r="A18" s="77" t="n">
        <v>5</v>
      </c>
      <c r="B18" s="94" t="s">
        <v>239</v>
      </c>
      <c r="C18" s="94" t="s">
        <v>240</v>
      </c>
      <c r="D18" s="91" t="n">
        <f aca="false">SUMPRODUCT('Historical Data'!$AZ$2:$AZ$1068*'Historical Data'!$AD$2:$AD$1068)</f>
        <v>187</v>
      </c>
      <c r="E18" s="91" t="n">
        <f aca="false">SUMPRODUCT('Historical Data'!$AZ$2:$AZ$1068*'Historical Data'!$AP$2:$AP$1068)</f>
        <v>131</v>
      </c>
      <c r="F18" s="92" t="n">
        <f aca="false">IF(D18=0,"",E18/D18)</f>
        <v>0.700534759358289</v>
      </c>
      <c r="G18" s="96" t="n">
        <f aca="false">SUMPRODUCT('Historical Data'!$AZ$2:$AZ$1068*'Historical Data'!$AP$2:$AP$1068*'Historical Data'!$N$2:$N$1068)</f>
        <v>2313000</v>
      </c>
      <c r="H18" s="91" t="n">
        <f aca="false">SUMPRODUCT('Historical Data'!$AZ$2:$AZ$1068*'Historical Data'!$AP$2:$AP$1068*'Historical Data'!$AH$2:$AH$1068)</f>
        <v>7</v>
      </c>
      <c r="I18" s="92" t="n">
        <f aca="false">IF(E18=0,"",H18/E18)</f>
        <v>0.0534351145038168</v>
      </c>
      <c r="J18" s="91" t="n">
        <f aca="false">SUMPRODUCT('Historical Data'!$AZ$2:$AZ$1068*'Historical Data'!$AP$2:$AP$1068*'Historical Data'!$AE$2:$AE$1068)</f>
        <v>54</v>
      </c>
      <c r="K18" s="92" t="n">
        <f aca="false">IF(E18=0,"",J18/E18)</f>
        <v>0.412213740458015</v>
      </c>
      <c r="L18" s="92" t="n">
        <f aca="false">IF(OR(E18&lt;Controls!$B$47,G18=0),"",SUMPRODUCT('Historical Data'!$AZ$2:$AZ$1068*'Historical Data'!$AP$2:$AP$1068*'Historical Data'!$AK$2:$AK$1068)/G18)</f>
        <v>0.234099057501081</v>
      </c>
      <c r="M18" s="92" t="n">
        <f aca="false">IF(OR(E18&lt;Controls!$B$47,SUMPRODUCT('Historical Data'!$AZ$2:$AZ$1068*'Historical Data'!$AP$2:$AP$1068*'Historical Data'!$AE$2:$AE$1068*'Historical Data'!$N$2:$N$1068)=0),"",SUMPRODUCT('Historical Data'!$AZ$2:$AZ$1068*'Historical Data'!$AP$2:$AP$1068*'Historical Data'!$AE$2:$AE$1068*'Historical Data'!$Q$2:$Q$1068)/SUMPRODUCT('Historical Data'!$AZ$2:$AZ$1068*'Historical Data'!$AP$2:$AP$1068*'Historical Data'!$AE$2:$AE$1068*'Historical Data'!$N$2:$N$1068))</f>
        <v>0.386410803259604</v>
      </c>
      <c r="N18" s="92" t="n">
        <f aca="false">IF(OR(E18&lt;Controls!$B$47,G18=0),"",SUMPRODUCT('Historical Data'!$AZ$2:$AZ$1068*'Historical Data'!$AP$2:$AP$1068*'Historical Data'!$AJ$2:$AJ$1068)/G18)</f>
        <v>0.0264295633376567</v>
      </c>
      <c r="O18" s="88" t="n">
        <f aca="false">IF(SUMPRODUCT('Historical Data'!$AZ$2:$AZ$1068*'Historical Data'!$AP$2:$AP$1068*'Historical Data'!$AM$2:$AM$1068)=0,"",SUMPRODUCT('Historical Data'!$AZ$2:$AZ$1068*'Historical Data'!$AP$2:$AP$1068*'Historical Data'!$AM$2:$AM$1068*'Historical Data'!$AL$2:$AL$1068)/SUMPRODUCT('Historical Data'!$AZ$2:$AZ$1068*'Historical Data'!$AP$2:$AP$1068*'Historical Data'!$AM$2:$AM$1068))</f>
        <v>0.374195776500175</v>
      </c>
      <c r="P18" s="89" t="n">
        <f aca="false">IF(E18=0,"",SUMPRODUCT('Historical Data'!$AZ$2:$AZ$1068*'Historical Data'!$AP$2:$AP$1068*'Historical Data'!$AA$2:$AA$1068)/E18)</f>
        <v>81.3692689694657</v>
      </c>
      <c r="Q18" s="88" t="n">
        <f aca="false">IF(E18=0,"",SUMPRODUCT('Historical Data'!$AZ$2:$AZ$1068*'Historical Data'!$AP$2:$AP$1068*'Historical Data'!$M$2:$M$1068)/E18)</f>
        <v>1.46605219465649</v>
      </c>
      <c r="R18" s="96" t="n">
        <f aca="false">IF(E18=0,"",G18/E18)</f>
        <v>17656.4885496183</v>
      </c>
      <c r="S18" s="89" t="n">
        <f aca="false">IF(E18=0,"",SUMPRODUCT('Historical Data'!$AZ$2:$AZ$1068*'Historical Data'!$AP$2:$AP$1068*'Historical Data'!$AN$2:$AN$1068)/E18)</f>
        <v>86.206106870229</v>
      </c>
      <c r="T18" s="92" t="n">
        <f aca="false">IF(E18=0,"",SUMPRODUCT('Historical Data'!$AZ$2:$AZ$1068*'Historical Data'!$AP$2:$AP$1068*'Historical Data'!$AO$2:$AO$1068)/E18)</f>
        <v>0</v>
      </c>
      <c r="U18" s="91" t="str">
        <f aca="false">IF(AND(E18&gt;=Controls!$B$40,G18&gt;=Controls!$B$41,IF(I18="",1,I18)&lt;=Controls!$B$43),"Yes","No")</f>
        <v>Yes</v>
      </c>
      <c r="V18" s="88" t="n">
        <f aca="false">IF(E18+Controls!$B$42=0,0,E18/(E18+Controls!$B$42))</f>
        <v>0.813664596273292</v>
      </c>
      <c r="W18" s="92" t="n">
        <f aca="false">IF(L18="",$C$10,V18*L18+(1-V18)*$C$10)</f>
        <v>0.229719790997689</v>
      </c>
      <c r="X18" s="88" t="n">
        <f aca="false">IF(OR($C$10="",$C$10=0),"",W18/$C$10)</f>
        <v>1.09080280163403</v>
      </c>
      <c r="Y18" s="91" t="n">
        <f aca="false">IF(AND(E18&gt;=Controls!$B$40,G18&gt;=Controls!$B$41),1,0)</f>
        <v>1</v>
      </c>
      <c r="Z18" s="92" t="n">
        <f aca="false">IF(L18="",0,ABS(W18-$C$10))</f>
        <v>0.0191227970648099</v>
      </c>
      <c r="AA18" s="91" t="str">
        <f aca="false">IF(L18="","No","Yes")</f>
        <v>Yes</v>
      </c>
    </row>
    <row r="19" customFormat="false" ht="15" hidden="false" customHeight="false" outlineLevel="0" collapsed="false">
      <c r="A19" s="77" t="n">
        <v>6</v>
      </c>
      <c r="B19" s="94" t="s">
        <v>241</v>
      </c>
      <c r="C19" s="94" t="s">
        <v>242</v>
      </c>
      <c r="D19" s="91" t="n">
        <f aca="false">SUMPRODUCT('Historical Data'!$BA$2:$BA$1068*'Historical Data'!$AD$2:$AD$1068)</f>
        <v>852</v>
      </c>
      <c r="E19" s="91" t="n">
        <f aca="false">SUMPRODUCT('Historical Data'!$BA$2:$BA$1068*'Historical Data'!$AP$2:$AP$1068)</f>
        <v>536</v>
      </c>
      <c r="F19" s="92" t="n">
        <f aca="false">IF(D19=0,"",E19/D19)</f>
        <v>0.629107981220657</v>
      </c>
      <c r="G19" s="96" t="n">
        <f aca="false">SUMPRODUCT('Historical Data'!$BA$2:$BA$1068*'Historical Data'!$AP$2:$AP$1068*'Historical Data'!$N$2:$N$1068)</f>
        <v>10039126</v>
      </c>
      <c r="H19" s="91" t="n">
        <f aca="false">SUMPRODUCT('Historical Data'!$BA$2:$BA$1068*'Historical Data'!$AP$2:$AP$1068*'Historical Data'!$AH$2:$AH$1068)</f>
        <v>34</v>
      </c>
      <c r="I19" s="92" t="n">
        <f aca="false">IF(E19=0,"",H19/E19)</f>
        <v>0.0634328358208955</v>
      </c>
      <c r="J19" s="91" t="n">
        <f aca="false">SUMPRODUCT('Historical Data'!$BA$2:$BA$1068*'Historical Data'!$AP$2:$AP$1068*'Historical Data'!$AE$2:$AE$1068)</f>
        <v>243</v>
      </c>
      <c r="K19" s="92" t="n">
        <f aca="false">IF(E19=0,"",J19/E19)</f>
        <v>0.453358208955224</v>
      </c>
      <c r="L19" s="92" t="n">
        <f aca="false">IF(OR(E19&lt;Controls!$B$47,G19=0),"",SUMPRODUCT('Historical Data'!$BA$2:$BA$1068*'Historical Data'!$AP$2:$AP$1068*'Historical Data'!$AK$2:$AK$1068)/G19)</f>
        <v>0.234613024081977</v>
      </c>
      <c r="M19" s="92" t="n">
        <f aca="false">IF(OR(E19&lt;Controls!$B$47,SUMPRODUCT('Historical Data'!$BA$2:$BA$1068*'Historical Data'!$AP$2:$AP$1068*'Historical Data'!$AE$2:$AE$1068*'Historical Data'!$N$2:$N$1068)=0),"",SUMPRODUCT('Historical Data'!$BA$2:$BA$1068*'Historical Data'!$AP$2:$AP$1068*'Historical Data'!$AE$2:$AE$1068*'Historical Data'!$Q$2:$Q$1068)/SUMPRODUCT('Historical Data'!$BA$2:$BA$1068*'Historical Data'!$AP$2:$AP$1068*'Historical Data'!$AE$2:$AE$1068*'Historical Data'!$N$2:$N$1068))</f>
        <v>0.465841128459901</v>
      </c>
      <c r="N19" s="92" t="n">
        <f aca="false">IF(OR(E19&lt;Controls!$B$47,G19=0),"",SUMPRODUCT('Historical Data'!$BA$2:$BA$1068*'Historical Data'!$AP$2:$AP$1068*'Historical Data'!$AJ$2:$AJ$1068)/G19)</f>
        <v>-0.0229682554039067</v>
      </c>
      <c r="O19" s="88" t="n">
        <f aca="false">IF(SUMPRODUCT('Historical Data'!$BA$2:$BA$1068*'Historical Data'!$AP$2:$AP$1068*'Historical Data'!$AM$2:$AM$1068)=0,"",SUMPRODUCT('Historical Data'!$BA$2:$BA$1068*'Historical Data'!$AP$2:$AP$1068*'Historical Data'!$AM$2:$AM$1068*'Historical Data'!$AL$2:$AL$1068)/SUMPRODUCT('Historical Data'!$BA$2:$BA$1068*'Historical Data'!$AP$2:$AP$1068*'Historical Data'!$AM$2:$AM$1068))</f>
        <v>0.339804956392048</v>
      </c>
      <c r="P19" s="89" t="n">
        <f aca="false">IF(E19=0,"",SUMPRODUCT('Historical Data'!$BA$2:$BA$1068*'Historical Data'!$AP$2:$AP$1068*'Historical Data'!$AA$2:$AA$1068)/E19)</f>
        <v>77.5408643843284</v>
      </c>
      <c r="Q19" s="88" t="n">
        <f aca="false">IF(E19=0,"",SUMPRODUCT('Historical Data'!$BA$2:$BA$1068*'Historical Data'!$AP$2:$AP$1068*'Historical Data'!$M$2:$M$1068)/E19)</f>
        <v>1.47009130378731</v>
      </c>
      <c r="R19" s="96" t="n">
        <f aca="false">IF(E19=0,"",G19/E19)</f>
        <v>18729.7126865672</v>
      </c>
      <c r="S19" s="89" t="n">
        <f aca="false">IF(E19=0,"",SUMPRODUCT('Historical Data'!$BA$2:$BA$1068*'Historical Data'!$AP$2:$AP$1068*'Historical Data'!$AN$2:$AN$1068)/E19)</f>
        <v>86.9179104477612</v>
      </c>
      <c r="T19" s="92" t="n">
        <f aca="false">IF(E19=0,"",SUMPRODUCT('Historical Data'!$BA$2:$BA$1068*'Historical Data'!$AP$2:$AP$1068*'Historical Data'!$AO$2:$AO$1068)/E19)</f>
        <v>0</v>
      </c>
      <c r="U19" s="91" t="str">
        <f aca="false">IF(AND(E19&gt;=Controls!$B$40,G19&gt;=Controls!$B$41,IF(I19="",1,I19)&lt;=Controls!$B$43),"Yes","No")</f>
        <v>Yes</v>
      </c>
      <c r="V19" s="88" t="n">
        <f aca="false">IF(E19+Controls!$B$42=0,0,E19/(E19+Controls!$B$42))</f>
        <v>0.946996466431095</v>
      </c>
      <c r="W19" s="92" t="n">
        <f aca="false">IF(L19="",$C$10,V19*L19+(1-V19)*$C$10)</f>
        <v>0.233340089621777</v>
      </c>
      <c r="X19" s="88" t="n">
        <f aca="false">IF(OR($C$10="",$C$10=0),"",W19/$C$10)</f>
        <v>1.10799344883406</v>
      </c>
      <c r="Y19" s="91" t="n">
        <f aca="false">IF(AND(E19&gt;=Controls!$B$40,G19&gt;=Controls!$B$41),1,0)</f>
        <v>1</v>
      </c>
      <c r="Z19" s="92" t="n">
        <f aca="false">IF(L19="",0,ABS(W19-$C$10))</f>
        <v>0.0227430956888979</v>
      </c>
      <c r="AA19" s="91" t="str">
        <f aca="false">IF(L19="","No","Yes")</f>
        <v>Yes</v>
      </c>
    </row>
    <row r="20" customFormat="false" ht="15" hidden="false" customHeight="false" outlineLevel="0" collapsed="false">
      <c r="A20" s="77" t="n">
        <v>7</v>
      </c>
      <c r="B20" s="94" t="s">
        <v>243</v>
      </c>
      <c r="C20" s="94" t="s">
        <v>244</v>
      </c>
      <c r="D20" s="91" t="n">
        <f aca="false">SUMPRODUCT('Historical Data'!$BB$2:$BB$1068*'Historical Data'!$AD$2:$AD$1068)</f>
        <v>1067</v>
      </c>
      <c r="E20" s="91" t="n">
        <f aca="false">SUMPRODUCT('Historical Data'!$BB$2:$BB$1068*'Historical Data'!$AP$2:$AP$1068)</f>
        <v>637</v>
      </c>
      <c r="F20" s="92" t="n">
        <f aca="false">IF(D20=0,"",E20/D20)</f>
        <v>0.597000937207123</v>
      </c>
      <c r="G20" s="96" t="n">
        <f aca="false">SUMPRODUCT('Historical Data'!$BB$2:$BB$1068*'Historical Data'!$AP$2:$AP$1068*'Historical Data'!$N$2:$N$1068)</f>
        <v>12563126</v>
      </c>
      <c r="H20" s="91" t="n">
        <f aca="false">SUMPRODUCT('Historical Data'!$BB$2:$BB$1068*'Historical Data'!$AP$2:$AP$1068*'Historical Data'!$AH$2:$AH$1068)</f>
        <v>44</v>
      </c>
      <c r="I20" s="92" t="n">
        <f aca="false">IF(E20=0,"",H20/E20)</f>
        <v>0.0690737833594976</v>
      </c>
      <c r="J20" s="91" t="n">
        <f aca="false">SUMPRODUCT('Historical Data'!$BB$2:$BB$1068*'Historical Data'!$AP$2:$AP$1068*'Historical Data'!$AE$2:$AE$1068)</f>
        <v>270</v>
      </c>
      <c r="K20" s="92" t="n">
        <f aca="false">IF(E20=0,"",J20/E20)</f>
        <v>0.423861852433281</v>
      </c>
      <c r="L20" s="92" t="n">
        <f aca="false">IF(OR(E20&lt;Controls!$B$47,G20=0),"",SUMPRODUCT('Historical Data'!$BB$2:$BB$1068*'Historical Data'!$AP$2:$AP$1068*'Historical Data'!$AK$2:$AK$1068)/G20)</f>
        <v>0.210596993932879</v>
      </c>
      <c r="M20" s="92" t="n">
        <f aca="false">IF(OR(E20&lt;Controls!$B$47,SUMPRODUCT('Historical Data'!$BB$2:$BB$1068*'Historical Data'!$AP$2:$AP$1068*'Historical Data'!$AE$2:$AE$1068*'Historical Data'!$N$2:$N$1068)=0),"",SUMPRODUCT('Historical Data'!$BB$2:$BB$1068*'Historical Data'!$AP$2:$AP$1068*'Historical Data'!$AE$2:$AE$1068*'Historical Data'!$Q$2:$Q$1068)/SUMPRODUCT('Historical Data'!$BB$2:$BB$1068*'Historical Data'!$AP$2:$AP$1068*'Historical Data'!$AE$2:$AE$1068*'Historical Data'!$N$2:$N$1068))</f>
        <v>0.474017216902581</v>
      </c>
      <c r="N20" s="92" t="n">
        <f aca="false">IF(OR(E20&lt;Controls!$B$47,G20=0),"",SUMPRODUCT('Historical Data'!$BB$2:$BB$1068*'Historical Data'!$AP$2:$AP$1068*'Historical Data'!$AJ$2:$AJ$1068)/G20)</f>
        <v>0.0222599725577854</v>
      </c>
      <c r="O20" s="88" t="n">
        <f aca="false">IF(SUMPRODUCT('Historical Data'!$BB$2:$BB$1068*'Historical Data'!$AP$2:$AP$1068*'Historical Data'!$AM$2:$AM$1068)=0,"",SUMPRODUCT('Historical Data'!$BB$2:$BB$1068*'Historical Data'!$AP$2:$AP$1068*'Historical Data'!$AM$2:$AM$1068*'Historical Data'!$AL$2:$AL$1068)/SUMPRODUCT('Historical Data'!$BB$2:$BB$1068*'Historical Data'!$AP$2:$AP$1068*'Historical Data'!$AM$2:$AM$1068))</f>
        <v>0.368687386298527</v>
      </c>
      <c r="P20" s="89" t="n">
        <f aca="false">IF(E20=0,"",SUMPRODUCT('Historical Data'!$BB$2:$BB$1068*'Historical Data'!$AP$2:$AP$1068*'Historical Data'!$AA$2:$AA$1068)/E20)</f>
        <v>77.4315931711146</v>
      </c>
      <c r="Q20" s="88" t="n">
        <f aca="false">IF(E20=0,"",SUMPRODUCT('Historical Data'!$BB$2:$BB$1068*'Historical Data'!$AP$2:$AP$1068*'Historical Data'!$M$2:$M$1068)/E20)</f>
        <v>1.47138216456829</v>
      </c>
      <c r="R20" s="96" t="n">
        <f aca="false">IF(E20=0,"",G20/E20)</f>
        <v>19722.3328100471</v>
      </c>
      <c r="S20" s="89" t="n">
        <f aca="false">IF(E20=0,"",SUMPRODUCT('Historical Data'!$BB$2:$BB$1068*'Historical Data'!$AP$2:$AP$1068*'Historical Data'!$AN$2:$AN$1068)/E20)</f>
        <v>88.1255886970173</v>
      </c>
      <c r="T20" s="92" t="n">
        <f aca="false">IF(E20=0,"",SUMPRODUCT('Historical Data'!$BB$2:$BB$1068*'Historical Data'!$AP$2:$AP$1068*'Historical Data'!$AO$2:$AO$1068)/E20)</f>
        <v>0.158555729984301</v>
      </c>
      <c r="U20" s="91" t="str">
        <f aca="false">IF(AND(E20&gt;=Controls!$B$40,G20&gt;=Controls!$B$41,IF(I20="",1,I20)&lt;=Controls!$B$43),"Yes","No")</f>
        <v>Yes</v>
      </c>
      <c r="V20" s="88" t="n">
        <f aca="false">IF(E20+Controls!$B$42=0,0,E20/(E20+Controls!$B$42))</f>
        <v>0.955022488755622</v>
      </c>
      <c r="W20" s="92" t="n">
        <f aca="false">IF(L20="",$C$10,V20*L20+(1-V20)*$C$10)</f>
        <v>0.210596993932879</v>
      </c>
      <c r="X20" s="88" t="n">
        <f aca="false">IF(OR($C$10="",$C$10=0),"",W20/$C$10)</f>
        <v>1</v>
      </c>
      <c r="Y20" s="91" t="n">
        <f aca="false">IF(AND(E20&gt;=Controls!$B$40,G20&gt;=Controls!$B$41),1,0)</f>
        <v>1</v>
      </c>
      <c r="Z20" s="92" t="n">
        <f aca="false">IF(L20="",0,ABS(W20-$C$10))</f>
        <v>0</v>
      </c>
      <c r="AA20" s="91" t="str">
        <f aca="false">IF(L20="","No","Yes")</f>
        <v>Yes</v>
      </c>
    </row>
    <row r="21" customFormat="false" ht="15" hidden="false" customHeight="false" outlineLevel="0" collapsed="false">
      <c r="A21" s="9"/>
      <c r="B21" s="9" t="s">
        <v>245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customFormat="false" ht="15" hidden="false" customHeight="false" outlineLevel="0" collapsed="false">
      <c r="A22" s="77" t="s">
        <v>246</v>
      </c>
      <c r="B22" s="94" t="s">
        <v>247</v>
      </c>
      <c r="C22" s="94" t="s">
        <v>247</v>
      </c>
      <c r="D22" s="91" t="n">
        <f aca="false">SUMPRODUCT('Historical Data'!$AQ$2:$AQ$1068*'Historical Data'!$AD$2:$AD$1068)</f>
        <v>213</v>
      </c>
      <c r="E22" s="91" t="n">
        <f aca="false">SUMPRODUCT('Historical Data'!$AQ$2:$AQ$1068*'Historical Data'!$AP$2:$AP$1068)</f>
        <v>145</v>
      </c>
      <c r="F22" s="92" t="n">
        <f aca="false">IF(D22=0,"",E22/D22)</f>
        <v>0.68075117370892</v>
      </c>
      <c r="G22" s="96" t="n">
        <f aca="false">SUMPRODUCT('Historical Data'!$AQ$2:$AQ$1068*'Historical Data'!$AP$2:$AP$1068*'Historical Data'!$N$2:$N$1068)</f>
        <v>2573500</v>
      </c>
      <c r="H22" s="91" t="n">
        <f aca="false">SUMPRODUCT('Historical Data'!$AQ$2:$AQ$1068*'Historical Data'!$AP$2:$AP$1068*'Historical Data'!$AH$2:$AH$1068)</f>
        <v>8</v>
      </c>
      <c r="I22" s="92" t="n">
        <f aca="false">IF(E22=0,"",H22/E22)</f>
        <v>0.0551724137931035</v>
      </c>
      <c r="J22" s="91" t="n">
        <f aca="false">SUMPRODUCT('Historical Data'!$AQ$2:$AQ$1068*'Historical Data'!$AP$2:$AP$1068*'Historical Data'!$AE$2:$AE$1068)</f>
        <v>60</v>
      </c>
      <c r="K22" s="92" t="n">
        <f aca="false">IF(E22=0,"",J22/E22)</f>
        <v>0.413793103448276</v>
      </c>
      <c r="L22" s="92" t="n">
        <f aca="false">IF(OR(E22&lt;Controls!$B$47,G22=0),"",SUMPRODUCT('Historical Data'!$AQ$2:$AQ$1068*'Historical Data'!$AP$2:$AP$1068*'Historical Data'!$AK$2:$AK$1068)/G22)</f>
        <v>0.235776549446279</v>
      </c>
      <c r="M22" s="92" t="n">
        <f aca="false">IF(OR(E22&lt;Controls!$B$47,SUMPRODUCT('Historical Data'!$AQ$2:$AQ$1068*'Historical Data'!$AP$2:$AP$1068*'Historical Data'!$AE$2:$AE$1068*'Historical Data'!$N$2:$N$1068)=0),"",SUMPRODUCT('Historical Data'!$AQ$2:$AQ$1068*'Historical Data'!$AP$2:$AP$1068*'Historical Data'!$AE$2:$AE$1068*'Historical Data'!$Q$2:$Q$1068)/SUMPRODUCT('Historical Data'!$AQ$2:$AQ$1068*'Historical Data'!$AP$2:$AP$1068*'Historical Data'!$AE$2:$AE$1068*'Historical Data'!$N$2:$N$1068))</f>
        <v>0.387853916192447</v>
      </c>
      <c r="N22" s="92" t="n">
        <f aca="false">IF(OR(E22&lt;Controls!$B$47,G22=0),"",SUMPRODUCT('Historical Data'!$AQ$2:$AQ$1068*'Historical Data'!$AP$2:$AP$1068*'Historical Data'!$AJ$2:$AJ$1068)/G22)</f>
        <v>0.0181620477948319</v>
      </c>
      <c r="O22" s="88" t="n">
        <f aca="false">IF(SUMPRODUCT('Historical Data'!$AQ$2:$AQ$1068*'Historical Data'!$AP$2:$AP$1068*'Historical Data'!$AM$2:$AM$1068)=0,"",SUMPRODUCT('Historical Data'!$AQ$2:$AQ$1068*'Historical Data'!$AP$2:$AP$1068*'Historical Data'!$AM$2:$AM$1068*'Historical Data'!$AL$2:$AL$1068)/SUMPRODUCT('Historical Data'!$AQ$2:$AQ$1068*'Historical Data'!$AP$2:$AP$1068*'Historical Data'!$AM$2:$AM$1068))</f>
        <v>0.401117114012123</v>
      </c>
      <c r="P22" s="89" t="n">
        <f aca="false">IF(E22=0,"",SUMPRODUCT('Historical Data'!$AQ$2:$AQ$1068*'Historical Data'!$AP$2:$AP$1068*'Historical Data'!$AA$2:$AA$1068)/E22)</f>
        <v>80.6777467931035</v>
      </c>
      <c r="Q22" s="88" t="n">
        <f aca="false">IF(E22=0,"",SUMPRODUCT('Historical Data'!$AQ$2:$AQ$1068*'Historical Data'!$AP$2:$AP$1068*'Historical Data'!$M$2:$M$1068)/E22)</f>
        <v>1.46635060344828</v>
      </c>
      <c r="R22" s="96" t="n">
        <f aca="false">IF(E22=0,"",G22/E22)</f>
        <v>17748.275862069</v>
      </c>
      <c r="S22" s="89" t="n">
        <f aca="false">IF(E22=0,"",SUMPRODUCT('Historical Data'!$AQ$2:$AQ$1068*'Historical Data'!$AP$2:$AP$1068*'Historical Data'!$AN$2:$AN$1068)/E22)</f>
        <v>87.5586206896552</v>
      </c>
      <c r="T22" s="92" t="n">
        <f aca="false">IF(E22=0,"",SUMPRODUCT('Historical Data'!$AQ$2:$AQ$1068*'Historical Data'!$AP$2:$AP$1068*'Historical Data'!$AO$2:$AO$1068)/E22)</f>
        <v>0.096551724137931</v>
      </c>
      <c r="U22" s="91" t="str">
        <f aca="false">IF(AND(E22&gt;=Controls!$B$40,G22&gt;=Controls!$B$41,IF(I22="",1,I22)&lt;=Controls!$B$43),"Yes","No")</f>
        <v>Yes</v>
      </c>
      <c r="V22" s="88" t="n">
        <f aca="false">IF(E22+Controls!$B$42=0,0,E22/(E22+Controls!$B$42))</f>
        <v>0.828571428571429</v>
      </c>
      <c r="W22" s="92" t="n">
        <f aca="false">IF(L22="",$C$10,V22*L22+(1-V22)*$C$10)</f>
        <v>0.231460054215411</v>
      </c>
      <c r="X22" s="88" t="n">
        <f aca="false">IF(OR($C$10="",$C$10=0),"",W22/$C$10)</f>
        <v>1.09906627769426</v>
      </c>
      <c r="Y22" s="91" t="n">
        <f aca="false">IF(AND(E22&gt;=Controls!$B$40,G22&gt;=Controls!$B$41),1,0)</f>
        <v>1</v>
      </c>
      <c r="Z22" s="92" t="n">
        <f aca="false">IF(L22="",0,ABS(W22-$C$10))</f>
        <v>0.0208630602825314</v>
      </c>
      <c r="AA22" s="91" t="str">
        <f aca="false">IF(L22="","No","Yes")</f>
        <v>Yes</v>
      </c>
    </row>
    <row r="23" customFormat="false" ht="15" hidden="false" customHeight="false" outlineLevel="0" collapsed="false">
      <c r="A23" s="77" t="s">
        <v>248</v>
      </c>
      <c r="B23" s="94" t="s">
        <v>249</v>
      </c>
      <c r="C23" s="94" t="s">
        <v>249</v>
      </c>
      <c r="D23" s="91" t="n">
        <f aca="false">SUMPRODUCT('Historical Data'!$AR$2:$AR$1068*'Historical Data'!$AD$2:$AD$1068)</f>
        <v>852</v>
      </c>
      <c r="E23" s="91" t="n">
        <f aca="false">SUMPRODUCT('Historical Data'!$AR$2:$AR$1068*'Historical Data'!$AP$2:$AP$1068)</f>
        <v>536</v>
      </c>
      <c r="F23" s="92" t="n">
        <f aca="false">IF(D23=0,"",E23/D23)</f>
        <v>0.629107981220657</v>
      </c>
      <c r="G23" s="96" t="n">
        <f aca="false">SUMPRODUCT('Historical Data'!$AR$2:$AR$1068*'Historical Data'!$AP$2:$AP$1068*'Historical Data'!$N$2:$N$1068)</f>
        <v>10039126</v>
      </c>
      <c r="H23" s="91" t="n">
        <f aca="false">SUMPRODUCT('Historical Data'!$AR$2:$AR$1068*'Historical Data'!$AP$2:$AP$1068*'Historical Data'!$AH$2:$AH$1068)</f>
        <v>34</v>
      </c>
      <c r="I23" s="92" t="n">
        <f aca="false">IF(E23=0,"",H23/E23)</f>
        <v>0.0634328358208955</v>
      </c>
      <c r="J23" s="91" t="n">
        <f aca="false">SUMPRODUCT('Historical Data'!$AR$2:$AR$1068*'Historical Data'!$AP$2:$AP$1068*'Historical Data'!$AE$2:$AE$1068)</f>
        <v>243</v>
      </c>
      <c r="K23" s="92" t="n">
        <f aca="false">IF(E23=0,"",J23/E23)</f>
        <v>0.453358208955224</v>
      </c>
      <c r="L23" s="92" t="n">
        <f aca="false">IF(OR(E23&lt;Controls!$B$47,G23=0),"",SUMPRODUCT('Historical Data'!$AR$2:$AR$1068*'Historical Data'!$AP$2:$AP$1068*'Historical Data'!$AK$2:$AK$1068)/G23)</f>
        <v>0.234613024081977</v>
      </c>
      <c r="M23" s="92" t="n">
        <f aca="false">IF(OR(E23&lt;Controls!$B$47,SUMPRODUCT('Historical Data'!$AR$2:$AR$1068*'Historical Data'!$AP$2:$AP$1068*'Historical Data'!$AE$2:$AE$1068*'Historical Data'!$N$2:$N$1068)=0),"",SUMPRODUCT('Historical Data'!$AR$2:$AR$1068*'Historical Data'!$AP$2:$AP$1068*'Historical Data'!$AE$2:$AE$1068*'Historical Data'!$Q$2:$Q$1068)/SUMPRODUCT('Historical Data'!$AR$2:$AR$1068*'Historical Data'!$AP$2:$AP$1068*'Historical Data'!$AE$2:$AE$1068*'Historical Data'!$N$2:$N$1068))</f>
        <v>0.465841128459901</v>
      </c>
      <c r="N23" s="92" t="n">
        <f aca="false">IF(OR(E23&lt;Controls!$B$47,G23=0),"",SUMPRODUCT('Historical Data'!$AR$2:$AR$1068*'Historical Data'!$AP$2:$AP$1068*'Historical Data'!$AJ$2:$AJ$1068)/G23)</f>
        <v>-0.0229682554039067</v>
      </c>
      <c r="O23" s="88" t="n">
        <f aca="false">IF(SUMPRODUCT('Historical Data'!$AR$2:$AR$1068*'Historical Data'!$AP$2:$AP$1068*'Historical Data'!$AM$2:$AM$1068)=0,"",SUMPRODUCT('Historical Data'!$AR$2:$AR$1068*'Historical Data'!$AP$2:$AP$1068*'Historical Data'!$AM$2:$AM$1068*'Historical Data'!$AL$2:$AL$1068)/SUMPRODUCT('Historical Data'!$AR$2:$AR$1068*'Historical Data'!$AP$2:$AP$1068*'Historical Data'!$AM$2:$AM$1068))</f>
        <v>0.339804956392048</v>
      </c>
      <c r="P23" s="89" t="n">
        <f aca="false">IF(E23=0,"",SUMPRODUCT('Historical Data'!$AR$2:$AR$1068*'Historical Data'!$AP$2:$AP$1068*'Historical Data'!$AA$2:$AA$1068)/E23)</f>
        <v>77.5408643843284</v>
      </c>
      <c r="Q23" s="88" t="n">
        <f aca="false">IF(E23=0,"",SUMPRODUCT('Historical Data'!$AR$2:$AR$1068*'Historical Data'!$AP$2:$AP$1068*'Historical Data'!$M$2:$M$1068)/E23)</f>
        <v>1.47009130378731</v>
      </c>
      <c r="R23" s="96" t="n">
        <f aca="false">IF(E23=0,"",G23/E23)</f>
        <v>18729.7126865672</v>
      </c>
      <c r="S23" s="89" t="n">
        <f aca="false">IF(E23=0,"",SUMPRODUCT('Historical Data'!$AR$2:$AR$1068*'Historical Data'!$AP$2:$AP$1068*'Historical Data'!$AN$2:$AN$1068)/E23)</f>
        <v>86.9179104477612</v>
      </c>
      <c r="T23" s="92" t="n">
        <f aca="false">IF(E23=0,"",SUMPRODUCT('Historical Data'!$AR$2:$AR$1068*'Historical Data'!$AP$2:$AP$1068*'Historical Data'!$AO$2:$AO$1068)/E23)</f>
        <v>0</v>
      </c>
      <c r="U23" s="91" t="str">
        <f aca="false">IF(AND(E23&gt;=Controls!$B$40,G23&gt;=Controls!$B$41,IF(I23="",1,I23)&lt;=Controls!$B$43),"Yes","No")</f>
        <v>Yes</v>
      </c>
      <c r="V23" s="88" t="n">
        <f aca="false">IF(E23+Controls!$B$42=0,0,E23/(E23+Controls!$B$42))</f>
        <v>0.946996466431095</v>
      </c>
      <c r="W23" s="92" t="n">
        <f aca="false">IF(L23="",$C$10,V23*L23+(1-V23)*$C$10)</f>
        <v>0.233340089621777</v>
      </c>
      <c r="X23" s="88" t="n">
        <f aca="false">IF(OR($C$10="",$C$10=0),"",W23/$C$10)</f>
        <v>1.10799344883406</v>
      </c>
      <c r="Y23" s="91" t="n">
        <f aca="false">IF(AND(E23&gt;=Controls!$B$40,G23&gt;=Controls!$B$41),1,0)</f>
        <v>1</v>
      </c>
      <c r="Z23" s="92" t="n">
        <f aca="false">IF(L23="",0,ABS(W23-$C$10))</f>
        <v>0.0227430956888979</v>
      </c>
      <c r="AA23" s="91" t="str">
        <f aca="false">IF(L23="","No","Yes")</f>
        <v>Yes</v>
      </c>
    </row>
    <row r="24" customFormat="false" ht="15" hidden="false" customHeight="false" outlineLevel="0" collapsed="false">
      <c r="A24" s="77" t="s">
        <v>250</v>
      </c>
      <c r="B24" s="94" t="s">
        <v>251</v>
      </c>
      <c r="C24" s="94" t="s">
        <v>251</v>
      </c>
      <c r="D24" s="91" t="n">
        <f aca="false">SUMPRODUCT('Historical Data'!$AS$2:$AS$1068*'Historical Data'!$AD$2:$AD$1068)</f>
        <v>121</v>
      </c>
      <c r="E24" s="91" t="n">
        <f aca="false">SUMPRODUCT('Historical Data'!$AS$2:$AS$1068*'Historical Data'!$AP$2:$AP$1068)</f>
        <v>82</v>
      </c>
      <c r="F24" s="92" t="n">
        <f aca="false">IF(D24=0,"",E24/D24)</f>
        <v>0.677685950413223</v>
      </c>
      <c r="G24" s="96" t="n">
        <f aca="false">SUMPRODUCT('Historical Data'!$AS$2:$AS$1068*'Historical Data'!$AP$2:$AP$1068*'Historical Data'!$N$2:$N$1068)</f>
        <v>1390000</v>
      </c>
      <c r="H24" s="91" t="n">
        <f aca="false">SUMPRODUCT('Historical Data'!$AS$2:$AS$1068*'Historical Data'!$AP$2:$AP$1068*'Historical Data'!$AH$2:$AH$1068)</f>
        <v>6</v>
      </c>
      <c r="I24" s="92" t="n">
        <f aca="false">IF(E24=0,"",H24/E24)</f>
        <v>0.0731707317073171</v>
      </c>
      <c r="J24" s="91" t="n">
        <f aca="false">SUMPRODUCT('Historical Data'!$AS$2:$AS$1068*'Historical Data'!$AP$2:$AP$1068*'Historical Data'!$AE$2:$AE$1068)</f>
        <v>45</v>
      </c>
      <c r="K24" s="92" t="n">
        <f aca="false">IF(E24=0,"",J24/E24)</f>
        <v>0.548780487804878</v>
      </c>
      <c r="L24" s="92" t="n">
        <f aca="false">IF(OR(E24&lt;Controls!$B$47,G24=0),"",SUMPRODUCT('Historical Data'!$AS$2:$AS$1068*'Historical Data'!$AP$2:$AP$1068*'Historical Data'!$AK$2:$AK$1068)/G24)</f>
        <v>0.324952107913669</v>
      </c>
      <c r="M24" s="92" t="n">
        <f aca="false">IF(OR(E24&lt;Controls!$B$47,SUMPRODUCT('Historical Data'!$AS$2:$AS$1068*'Historical Data'!$AP$2:$AP$1068*'Historical Data'!$AE$2:$AE$1068*'Historical Data'!$N$2:$N$1068)=0),"",SUMPRODUCT('Historical Data'!$AS$2:$AS$1068*'Historical Data'!$AP$2:$AP$1068*'Historical Data'!$AE$2:$AE$1068*'Historical Data'!$Q$2:$Q$1068)/SUMPRODUCT('Historical Data'!$AS$2:$AS$1068*'Historical Data'!$AP$2:$AP$1068*'Historical Data'!$AE$2:$AE$1068*'Historical Data'!$N$2:$N$1068))</f>
        <v>0.422368986265533</v>
      </c>
      <c r="N24" s="92" t="n">
        <f aca="false">IF(OR(E24&lt;Controls!$B$47,G24=0),"",SUMPRODUCT('Historical Data'!$AS$2:$AS$1068*'Historical Data'!$AP$2:$AP$1068*'Historical Data'!$AJ$2:$AJ$1068)/G24)</f>
        <v>-0.144835460431655</v>
      </c>
      <c r="O24" s="88" t="n">
        <f aca="false">IF(SUMPRODUCT('Historical Data'!$AS$2:$AS$1068*'Historical Data'!$AP$2:$AP$1068*'Historical Data'!$AM$2:$AM$1068)=0,"",SUMPRODUCT('Historical Data'!$AS$2:$AS$1068*'Historical Data'!$AP$2:$AP$1068*'Historical Data'!$AM$2:$AM$1068*'Historical Data'!$AL$2:$AL$1068)/SUMPRODUCT('Historical Data'!$AS$2:$AS$1068*'Historical Data'!$AP$2:$AP$1068*'Historical Data'!$AM$2:$AM$1068))</f>
        <v>0.302299064443729</v>
      </c>
      <c r="P24" s="89" t="n">
        <f aca="false">IF(E24=0,"",SUMPRODUCT('Historical Data'!$AS$2:$AS$1068*'Historical Data'!$AP$2:$AP$1068*'Historical Data'!$AA$2:$AA$1068)/E24)</f>
        <v>74.6045835365854</v>
      </c>
      <c r="Q24" s="88" t="n">
        <f aca="false">IF(E24=0,"",SUMPRODUCT('Historical Data'!$AS$2:$AS$1068*'Historical Data'!$AP$2:$AP$1068*'Historical Data'!$M$2:$M$1068)/E24)</f>
        <v>1.47838231707317</v>
      </c>
      <c r="R24" s="96" t="n">
        <f aca="false">IF(E24=0,"",G24/E24)</f>
        <v>16951.2195121951</v>
      </c>
      <c r="S24" s="89" t="n">
        <f aca="false">IF(E24=0,"",SUMPRODUCT('Historical Data'!$AS$2:$AS$1068*'Historical Data'!$AP$2:$AP$1068*'Historical Data'!$AN$2:$AN$1068)/E24)</f>
        <v>86.1829268292683</v>
      </c>
      <c r="T24" s="92" t="n">
        <f aca="false">IF(E24=0,"",SUMPRODUCT('Historical Data'!$AS$2:$AS$1068*'Historical Data'!$AP$2:$AP$1068*'Historical Data'!$AO$2:$AO$1068)/E24)</f>
        <v>0.146341463414634</v>
      </c>
      <c r="U24" s="91" t="str">
        <f aca="false">IF(AND(E24&gt;=Controls!$B$40,G24&gt;=Controls!$B$41,IF(I24="",1,I24)&lt;=Controls!$B$43),"Yes","No")</f>
        <v>Yes</v>
      </c>
      <c r="V24" s="88" t="n">
        <f aca="false">IF(E24+Controls!$B$42=0,0,E24/(E24+Controls!$B$42))</f>
        <v>0.732142857142857</v>
      </c>
      <c r="W24" s="92" t="n">
        <f aca="false">IF(L24="",$C$10,V24*L24+(1-V24)*$C$10)</f>
        <v>0.294321273811672</v>
      </c>
      <c r="X24" s="88" t="n">
        <f aca="false">IF(OR($C$10="",$C$10=0),"",W24/$C$10)</f>
        <v>1.39755686116525</v>
      </c>
      <c r="Y24" s="91" t="n">
        <f aca="false">IF(AND(E24&gt;=Controls!$B$40,G24&gt;=Controls!$B$41),1,0)</f>
        <v>1</v>
      </c>
      <c r="Z24" s="92" t="n">
        <f aca="false">IF(L24="",0,ABS(W24-$C$10))</f>
        <v>0.0837242798787924</v>
      </c>
      <c r="AA24" s="91" t="str">
        <f aca="false">IF(L24="","No","Yes")</f>
        <v>Yes</v>
      </c>
    </row>
    <row r="25" customFormat="false" ht="15" hidden="false" customHeight="false" outlineLevel="0" collapsed="false">
      <c r="A25" s="77" t="s">
        <v>252</v>
      </c>
      <c r="B25" s="94" t="s">
        <v>253</v>
      </c>
      <c r="C25" s="94" t="s">
        <v>253</v>
      </c>
      <c r="D25" s="91" t="n">
        <f aca="false">SUMPRODUCT('Historical Data'!$AT$2:$AT$1068*'Historical Data'!$AD$2:$AD$1068)</f>
        <v>175</v>
      </c>
      <c r="E25" s="91" t="n">
        <f aca="false">SUMPRODUCT('Historical Data'!$AT$2:$AT$1068*'Historical Data'!$AP$2:$AP$1068)</f>
        <v>109</v>
      </c>
      <c r="F25" s="92" t="n">
        <f aca="false">IF(D25=0,"",E25/D25)</f>
        <v>0.622857142857143</v>
      </c>
      <c r="G25" s="96" t="n">
        <f aca="false">SUMPRODUCT('Historical Data'!$AT$2:$AT$1068*'Historical Data'!$AP$2:$AP$1068*'Historical Data'!$N$2:$N$1068)</f>
        <v>2007500</v>
      </c>
      <c r="H25" s="91" t="n">
        <f aca="false">SUMPRODUCT('Historical Data'!$AT$2:$AT$1068*'Historical Data'!$AP$2:$AP$1068*'Historical Data'!$AH$2:$AH$1068)</f>
        <v>11</v>
      </c>
      <c r="I25" s="92" t="n">
        <f aca="false">IF(E25=0,"",H25/E25)</f>
        <v>0.100917431192661</v>
      </c>
      <c r="J25" s="91" t="n">
        <f aca="false">SUMPRODUCT('Historical Data'!$AT$2:$AT$1068*'Historical Data'!$AP$2:$AP$1068*'Historical Data'!$AE$2:$AE$1068)</f>
        <v>54</v>
      </c>
      <c r="K25" s="92" t="n">
        <f aca="false">IF(E25=0,"",J25/E25)</f>
        <v>0.495412844036697</v>
      </c>
      <c r="L25" s="92" t="n">
        <f aca="false">IF(OR(E25&lt;Controls!$B$47,G25=0),"",SUMPRODUCT('Historical Data'!$AT$2:$AT$1068*'Historical Data'!$AP$2:$AP$1068*'Historical Data'!$AK$2:$AK$1068)/G25)</f>
        <v>0.26542797011208</v>
      </c>
      <c r="M25" s="92" t="n">
        <f aca="false">IF(OR(E25&lt;Controls!$B$47,SUMPRODUCT('Historical Data'!$AT$2:$AT$1068*'Historical Data'!$AP$2:$AP$1068*'Historical Data'!$AE$2:$AE$1068*'Historical Data'!$N$2:$N$1068)=0),"",SUMPRODUCT('Historical Data'!$AT$2:$AT$1068*'Historical Data'!$AP$2:$AP$1068*'Historical Data'!$AE$2:$AE$1068*'Historical Data'!$Q$2:$Q$1068)/SUMPRODUCT('Historical Data'!$AT$2:$AT$1068*'Historical Data'!$AP$2:$AP$1068*'Historical Data'!$AE$2:$AE$1068*'Historical Data'!$N$2:$N$1068))</f>
        <v>0.463460563086549</v>
      </c>
      <c r="N25" s="92" t="n">
        <f aca="false">IF(OR(E25&lt;Controls!$B$47,G25=0),"",SUMPRODUCT('Historical Data'!$AT$2:$AT$1068*'Historical Data'!$AP$2:$AP$1068*'Historical Data'!$AJ$2:$AJ$1068)/G25)</f>
        <v>-0.0418756662515567</v>
      </c>
      <c r="O25" s="88" t="n">
        <f aca="false">IF(SUMPRODUCT('Historical Data'!$AT$2:$AT$1068*'Historical Data'!$AP$2:$AP$1068*'Historical Data'!$AM$2:$AM$1068)=0,"",SUMPRODUCT('Historical Data'!$AT$2:$AT$1068*'Historical Data'!$AP$2:$AP$1068*'Historical Data'!$AM$2:$AM$1068*'Historical Data'!$AL$2:$AL$1068)/SUMPRODUCT('Historical Data'!$AT$2:$AT$1068*'Historical Data'!$AP$2:$AP$1068*'Historical Data'!$AM$2:$AM$1068))</f>
        <v>0.432848261118904</v>
      </c>
      <c r="P25" s="89" t="n">
        <f aca="false">IF(E25=0,"",SUMPRODUCT('Historical Data'!$AT$2:$AT$1068*'Historical Data'!$AP$2:$AP$1068*'Historical Data'!$AA$2:$AA$1068)/E25)</f>
        <v>71.8214868807339</v>
      </c>
      <c r="Q25" s="88" t="n">
        <f aca="false">IF(E25=0,"",SUMPRODUCT('Historical Data'!$AT$2:$AT$1068*'Historical Data'!$AP$2:$AP$1068*'Historical Data'!$M$2:$M$1068)/E25)</f>
        <v>1.48912232412844</v>
      </c>
      <c r="R25" s="96" t="n">
        <f aca="false">IF(E25=0,"",G25/E25)</f>
        <v>18417.4311926606</v>
      </c>
      <c r="S25" s="89" t="n">
        <f aca="false">IF(E25=0,"",SUMPRODUCT('Historical Data'!$AT$2:$AT$1068*'Historical Data'!$AP$2:$AP$1068*'Historical Data'!$AN$2:$AN$1068)/E25)</f>
        <v>80.1743119266055</v>
      </c>
      <c r="T25" s="92" t="n">
        <f aca="false">IF(E25=0,"",SUMPRODUCT('Historical Data'!$AT$2:$AT$1068*'Historical Data'!$AP$2:$AP$1068*'Historical Data'!$AO$2:$AO$1068)/E25)</f>
        <v>0.128440366972477</v>
      </c>
      <c r="U25" s="91" t="str">
        <f aca="false">IF(AND(E25&gt;=Controls!$B$40,G25&gt;=Controls!$B$41,IF(I25="",1,I25)&lt;=Controls!$B$43),"Yes","No")</f>
        <v>Yes</v>
      </c>
      <c r="V25" s="88" t="n">
        <f aca="false">IF(E25+Controls!$B$42=0,0,E25/(E25+Controls!$B$42))</f>
        <v>0.784172661870504</v>
      </c>
      <c r="W25" s="92" t="n">
        <f aca="false">IF(L25="",$C$10,V25*L25+(1-V25)*$C$10)</f>
        <v>0.253593946476281</v>
      </c>
      <c r="X25" s="88" t="n">
        <f aca="false">IF(OR($C$10="",$C$10=0),"",W25/$C$10)</f>
        <v>1.204166981401</v>
      </c>
      <c r="Y25" s="91" t="n">
        <f aca="false">IF(AND(E25&gt;=Controls!$B$40,G25&gt;=Controls!$B$41),1,0)</f>
        <v>1</v>
      </c>
      <c r="Z25" s="92" t="n">
        <f aca="false">IF(L25="",0,ABS(W25-$C$10))</f>
        <v>0.0429969525434017</v>
      </c>
      <c r="AA25" s="91" t="str">
        <f aca="false">IF(L25="","No","Yes")</f>
        <v>Yes</v>
      </c>
    </row>
    <row r="26" customFormat="false" ht="15" hidden="false" customHeight="false" outlineLevel="0" collapsed="false">
      <c r="A26" s="77" t="s">
        <v>254</v>
      </c>
      <c r="B26" s="94" t="s">
        <v>255</v>
      </c>
      <c r="C26" s="94" t="s">
        <v>256</v>
      </c>
      <c r="D26" s="91" t="n">
        <f aca="false">SUMPRODUCT('Historical Data'!$AU$2:$AU$1068*'Historical Data'!$AD$2:$AD$1068)</f>
        <v>197</v>
      </c>
      <c r="E26" s="91" t="n">
        <f aca="false">SUMPRODUCT('Historical Data'!$AU$2:$AU$1068*'Historical Data'!$AP$2:$AP$1068)</f>
        <v>118</v>
      </c>
      <c r="F26" s="92" t="n">
        <f aca="false">IF(D26=0,"",E26/D26)</f>
        <v>0.598984771573604</v>
      </c>
      <c r="G26" s="96" t="n">
        <f aca="false">SUMPRODUCT('Historical Data'!$AU$2:$AU$1068*'Historical Data'!$AP$2:$AP$1068*'Historical Data'!$N$2:$N$1068)</f>
        <v>2456000</v>
      </c>
      <c r="H26" s="91" t="n">
        <f aca="false">SUMPRODUCT('Historical Data'!$AU$2:$AU$1068*'Historical Data'!$AP$2:$AP$1068*'Historical Data'!$AH$2:$AH$1068)</f>
        <v>10</v>
      </c>
      <c r="I26" s="92" t="n">
        <f aca="false">IF(E26=0,"",H26/E26)</f>
        <v>0.0847457627118644</v>
      </c>
      <c r="J26" s="91" t="n">
        <f aca="false">SUMPRODUCT('Historical Data'!$AU$2:$AU$1068*'Historical Data'!$AP$2:$AP$1068*'Historical Data'!$AE$2:$AE$1068)</f>
        <v>36</v>
      </c>
      <c r="K26" s="92" t="n">
        <f aca="false">IF(E26=0,"",J26/E26)</f>
        <v>0.305084745762712</v>
      </c>
      <c r="L26" s="92" t="n">
        <f aca="false">IF(OR(E26&lt;Controls!$B$47,G26=0),"",SUMPRODUCT('Historical Data'!$AU$2:$AU$1068*'Historical Data'!$AP$2:$AP$1068*'Historical Data'!$AK$2:$AK$1068)/G26)</f>
        <v>0.130013285830619</v>
      </c>
      <c r="M26" s="92" t="n">
        <f aca="false">IF(OR(E26&lt;Controls!$B$47,SUMPRODUCT('Historical Data'!$AU$2:$AU$1068*'Historical Data'!$AP$2:$AP$1068*'Historical Data'!$AE$2:$AE$1068*'Historical Data'!$N$2:$N$1068)=0),"",SUMPRODUCT('Historical Data'!$AU$2:$AU$1068*'Historical Data'!$AP$2:$AP$1068*'Historical Data'!$AE$2:$AE$1068*'Historical Data'!$Q$2:$Q$1068)/SUMPRODUCT('Historical Data'!$AU$2:$AU$1068*'Historical Data'!$AP$2:$AP$1068*'Historical Data'!$AE$2:$AE$1068*'Historical Data'!$N$2:$N$1068))</f>
        <v>0.601614745201853</v>
      </c>
      <c r="N26" s="92" t="n">
        <f aca="false">IF(OR(E26&lt;Controls!$B$47,G26=0),"",SUMPRODUCT('Historical Data'!$AU$2:$AU$1068*'Historical Data'!$AP$2:$AP$1068*'Historical Data'!$AJ$2:$AJ$1068)/G26)</f>
        <v>0.135981543159609</v>
      </c>
      <c r="O26" s="88" t="n">
        <f aca="false">IF(SUMPRODUCT('Historical Data'!$AU$2:$AU$1068*'Historical Data'!$AP$2:$AP$1068*'Historical Data'!$AM$2:$AM$1068)=0,"",SUMPRODUCT('Historical Data'!$AU$2:$AU$1068*'Historical Data'!$AP$2:$AP$1068*'Historical Data'!$AM$2:$AM$1068*'Historical Data'!$AL$2:$AL$1068)/SUMPRODUCT('Historical Data'!$AU$2:$AU$1068*'Historical Data'!$AP$2:$AP$1068*'Historical Data'!$AM$2:$AM$1068))</f>
        <v>0.35572820206319</v>
      </c>
      <c r="P26" s="89" t="n">
        <f aca="false">IF(E26=0,"",SUMPRODUCT('Historical Data'!$AU$2:$AU$1068*'Historical Data'!$AP$2:$AP$1068*'Historical Data'!$AA$2:$AA$1068)/E26)</f>
        <v>85.5482652542373</v>
      </c>
      <c r="Q26" s="88" t="n">
        <f aca="false">IF(E26=0,"",SUMPRODUCT('Historical Data'!$AU$2:$AU$1068*'Historical Data'!$AP$2:$AP$1068*'Historical Data'!$M$2:$M$1068)/E26)</f>
        <v>1.46131436440678</v>
      </c>
      <c r="R26" s="96" t="n">
        <f aca="false">IF(E26=0,"",G26/E26)</f>
        <v>20813.5593220339</v>
      </c>
      <c r="S26" s="89" t="n">
        <f aca="false">IF(E26=0,"",SUMPRODUCT('Historical Data'!$AU$2:$AU$1068*'Historical Data'!$AP$2:$AP$1068*'Historical Data'!$AN$2:$AN$1068)/E26)</f>
        <v>87.9915254237288</v>
      </c>
      <c r="T26" s="92" t="n">
        <f aca="false">IF(E26=0,"",SUMPRODUCT('Historical Data'!$AU$2:$AU$1068*'Historical Data'!$AP$2:$AP$1068*'Historical Data'!$AO$2:$AO$1068)/E26)</f>
        <v>0.14406779661017</v>
      </c>
      <c r="U26" s="91" t="str">
        <f aca="false">IF(AND(E26&gt;=Controls!$B$40,G26&gt;=Controls!$B$41,IF(I26="",1,I26)&lt;=Controls!$B$43),"Yes","No")</f>
        <v>Yes</v>
      </c>
      <c r="V26" s="88" t="n">
        <f aca="false">IF(E26+Controls!$B$42=0,0,E26/(E26+Controls!$B$42))</f>
        <v>0.797297297297297</v>
      </c>
      <c r="W26" s="92" t="n">
        <f aca="false">IF(L26="",$C$10,V26*L26+(1-V26)*$C$10)</f>
        <v>0.146347821256753</v>
      </c>
      <c r="X26" s="88" t="n">
        <f aca="false">IF(OR($C$10="",$C$10=0),"",W26/$C$10)</f>
        <v>0.694918851991763</v>
      </c>
      <c r="Y26" s="91" t="n">
        <f aca="false">IF(AND(E26&gt;=Controls!$B$40,G26&gt;=Controls!$B$41),1,0)</f>
        <v>1</v>
      </c>
      <c r="Z26" s="92" t="n">
        <f aca="false">IF(L26="",0,ABS(W26-$C$10))</f>
        <v>0.0642491726761267</v>
      </c>
      <c r="AA26" s="91" t="str">
        <f aca="false">IF(L26="","No","Yes")</f>
        <v>Yes</v>
      </c>
    </row>
    <row r="28" customFormat="false" ht="15" hidden="false" customHeight="false" outlineLevel="0" collapsed="false">
      <c r="A28" s="8" t="s">
        <v>257</v>
      </c>
      <c r="B28" s="8"/>
      <c r="C28" s="8"/>
    </row>
    <row r="29" customFormat="false" ht="15" hidden="false" customHeight="false" outlineLevel="0" collapsed="false">
      <c r="B29" s="94" t="s">
        <v>258</v>
      </c>
      <c r="C29" s="101" t="n">
        <f aca="false">IFERROR(MATCH(1,$Y$14:$Y$20,0),7)</f>
        <v>1</v>
      </c>
    </row>
    <row r="30" customFormat="false" ht="15" hidden="false" customHeight="false" outlineLevel="0" collapsed="false">
      <c r="B30" s="94" t="s">
        <v>259</v>
      </c>
      <c r="C30" s="84" t="str">
        <f aca="false">INDEX($B$14:$B$20,$C$29)</f>
        <v>T1: new/renewal + industry + position</v>
      </c>
    </row>
    <row r="31" customFormat="false" ht="15" hidden="false" customHeight="false" outlineLevel="0" collapsed="false">
      <c r="B31" s="94" t="s">
        <v>260</v>
      </c>
      <c r="C31" s="84" t="str">
        <f aca="false">TEXT(INDEX($E$14:$E$20,$C$29),"#,##0")&amp;" / "&amp;TEXT(INDEX($D$14:$D$20,$C$29),"#,##0")</f>
        <v>23 / 27</v>
      </c>
    </row>
    <row r="32" customFormat="false" ht="15" hidden="false" customHeight="false" outlineLevel="0" collapsed="false">
      <c r="B32" s="94" t="s">
        <v>261</v>
      </c>
      <c r="C32" s="102" t="n">
        <f aca="false">INDEX($F$14:$F$20,$C$29)</f>
        <v>0.851851851851852</v>
      </c>
    </row>
    <row r="33" customFormat="false" ht="15" hidden="false" customHeight="false" outlineLevel="0" collapsed="false">
      <c r="B33" s="94" t="s">
        <v>262</v>
      </c>
      <c r="C33" s="102" t="n">
        <f aca="false">INDEX($L$14:$L$20,$C$29)</f>
        <v>0.340006835748792</v>
      </c>
    </row>
    <row r="34" customFormat="false" ht="15" hidden="false" customHeight="false" outlineLevel="0" collapsed="false">
      <c r="B34" s="94" t="s">
        <v>263</v>
      </c>
      <c r="C34" s="102" t="n">
        <f aca="false">INDEX($I$14:$I$20,$C$29)</f>
        <v>0.0434782608695652</v>
      </c>
    </row>
    <row r="35" customFormat="false" ht="15" hidden="false" customHeight="false" outlineLevel="0" collapsed="false">
      <c r="B35" s="94" t="s">
        <v>264</v>
      </c>
      <c r="C35" s="102" t="n">
        <f aca="false">INDEX($N$14:$N$20,$C$29)</f>
        <v>-0.118939782608696</v>
      </c>
    </row>
    <row r="36" customFormat="false" ht="15" hidden="false" customHeight="false" outlineLevel="0" collapsed="false">
      <c r="B36" s="94" t="s">
        <v>265</v>
      </c>
      <c r="C36" s="102" t="n">
        <f aca="false">INDEX($M$14:$M$20,$C$29)</f>
        <v>0.289076616161616</v>
      </c>
    </row>
    <row r="37" customFormat="false" ht="15" hidden="false" customHeight="false" outlineLevel="0" collapsed="false">
      <c r="B37" s="94" t="s">
        <v>225</v>
      </c>
      <c r="C37" s="103" t="n">
        <f aca="false">INDEX($V$14:$V$20,$C$29)</f>
        <v>0.433962264150943</v>
      </c>
    </row>
    <row r="38" customFormat="false" ht="15" hidden="false" customHeight="false" outlineLevel="0" collapsed="false">
      <c r="B38" s="94" t="s">
        <v>226</v>
      </c>
      <c r="C38" s="102" t="n">
        <f aca="false">INDEX($W$14:$W$20,$C$29)</f>
        <v>0.266755981890728</v>
      </c>
    </row>
    <row r="39" customFormat="false" ht="15" hidden="false" customHeight="false" outlineLevel="0" collapsed="false">
      <c r="B39" s="94" t="s">
        <v>266</v>
      </c>
      <c r="C39" s="103" t="n">
        <f aca="false">INDEX($X$14:$X$20,$C$29)</f>
        <v>1.26666566748691</v>
      </c>
    </row>
    <row r="40" customFormat="false" ht="15" hidden="false" customHeight="false" outlineLevel="0" collapsed="false">
      <c r="B40" s="94" t="s">
        <v>267</v>
      </c>
      <c r="C40" s="101" t="n">
        <f aca="false">IF(C39="",3,COUNTIF(Controls!$A$54:$A$59,"&lt;"&amp;C39)+1)</f>
        <v>4</v>
      </c>
    </row>
    <row r="41" customFormat="false" ht="15" hidden="false" customHeight="false" outlineLevel="0" collapsed="false">
      <c r="B41" s="94" t="s">
        <v>128</v>
      </c>
      <c r="C41" s="84" t="str">
        <f aca="false">IF(OR($C$29=7,C37&lt;Controls!$B$45),"Low",IF(AND(C37&gt;=Controls!$B$44,IF(C34="",1,C34)&lt;=Controls!$B$43),"High","Medium"))</f>
        <v>Medium</v>
      </c>
    </row>
    <row r="42" customFormat="false" ht="15" hidden="false" customHeight="false" outlineLevel="0" collapsed="false">
      <c r="B42" s="94" t="s">
        <v>268</v>
      </c>
      <c r="C42" s="101" t="n">
        <f aca="false">IF(C41="Low",MIN(MAX(C40,3-Controls!$B$46),3+Controls!$B$46),C40)</f>
        <v>4</v>
      </c>
    </row>
    <row r="43" customFormat="false" ht="15" hidden="false" customHeight="false" outlineLevel="0" collapsed="false">
      <c r="B43" s="94" t="s">
        <v>269</v>
      </c>
      <c r="C43" s="84" t="str">
        <f aca="false">INDEX(Controls!$B$54:$B$59,C42)</f>
        <v>Mild negative</v>
      </c>
    </row>
    <row r="44" customFormat="false" ht="15" hidden="false" customHeight="false" outlineLevel="0" collapsed="false">
      <c r="B44" s="94" t="s">
        <v>270</v>
      </c>
      <c r="C44" s="84" t="str">
        <f aca="false">IF(MAX($Z$22:$Z$25)=0,"none - no single-dimension cohort has a rate",INDEX($B$22:$B$25,MATCH(MAX($Z$22:$Z$25),$Z$22:$Z$25,0)))</f>
        <v>Industry only</v>
      </c>
    </row>
    <row r="45" customFormat="false" ht="15" hidden="false" customHeight="false" outlineLevel="0" collapsed="false">
      <c r="B45" s="94" t="s">
        <v>271</v>
      </c>
      <c r="C45" s="84" t="str">
        <f aca="false">IF(MAX($Z$22:$Z$25)=0,"",TEXT(INDEX($W$22:$W$25,MATCH(MAX($Z$22:$Z$25),$Z$22:$Z$25,0)),"0.0%")&amp;" vs "&amp;TEXT($C$10,"0.0%")&amp;" book ("&amp;TEXT(INDEX($E$22:$E$25,MATCH(MAX($Z$22:$Z$25),$Z$22:$Z$25,0)),"0")&amp;" seasoned deals)")</f>
        <v>29.4% vs 21.1% book (82 seasoned deals)</v>
      </c>
    </row>
    <row r="46" customFormat="false" ht="15" hidden="false" customHeight="false" outlineLevel="0" collapsed="false">
      <c r="B46" s="94" t="s">
        <v>272</v>
      </c>
      <c r="C46" s="84" t="str">
        <f aca="false">IF($C$8="","ISO not entered",IF($E$25=0,"ISO "&amp;$C$8&amp;" has no seasoned deals in the book",IF($L$25="","ISO "&amp;$C$8&amp;": "&amp;$E$25&amp;" seasoned deals - too few to rate","ISO "&amp;$C$8&amp;": "&amp;$E$25&amp;" seasoned deals, lost "&amp;TEXT($L$25,"0.0%")&amp;" vs "&amp;TEXT($C$10,"0.0%")&amp;" book, Z "&amp;TEXT($V$25,"0.00")&amp;" -&gt; "&amp;IF($X$25&lt;=Controls!$A$55,"stronger than book",IF($X$25&lt;=Controls!$A$56,"neutral","weaker than book")))))</f>
        <v>ISO United Secured Capital 8: 109 seasoned deals, lost 26.5% vs 21.1% book, Z 0.78 -&gt; weaker than book</v>
      </c>
    </row>
    <row r="47" customFormat="false" ht="15" hidden="false" customHeight="false" outlineLevel="0" collapsed="false">
      <c r="B47" s="94" t="s">
        <v>273</v>
      </c>
      <c r="C47" s="84" t="str">
        <f aca="false">IF($C$7="","Industry not entered",IF($E$24=0,"Industry has no seasoned deals in the book",IF($L$24="","Industry "&amp;$C$7&amp;": "&amp;$E$24&amp;" seasoned deals - too few to rate","Industry "&amp;$C$7&amp;": "&amp;$E$24&amp;" seasoned deals, lost "&amp;TEXT($L$24,"0.0%")&amp;" vs "&amp;TEXT($C$10,"0.0%")&amp;" book, Z "&amp;TEXT($V$24,"0.00")&amp;" -&gt; "&amp;IF($X$24&lt;=Controls!$A$55,"stronger than book",IF($X$24&lt;=Controls!$A$56,"neutral","weaker than book")))))</f>
        <v>Industry General Building Contractors: 82 seasoned deals, lost 32.5% vs 21.1% book, Z 0.73 -&gt; weaker than book</v>
      </c>
    </row>
    <row r="48" customFormat="false" ht="15" hidden="false" customHeight="false" outlineLevel="0" collapsed="false">
      <c r="B48" s="94" t="s">
        <v>274</v>
      </c>
      <c r="C48" s="84" t="str">
        <f aca="false">IF($C$9="","State not entered",IF($E$26=0,"State "&amp;$C$9&amp;" has no seasoned deals",IF($L$26="","State "&amp;$C$9&amp;": "&amp;$E$26&amp;" seasoned deals - too few to rate; not used","State "&amp;$C$9&amp;": "&amp;$E$26&amp;" seasoned deals, lost "&amp;TEXT($L$26,"0.0%")&amp;" vs "&amp;TEXT($C$10,"0.0%")&amp;" book - informational only, not used in the offer")))</f>
        <v>State TX: 118 seasoned deals, lost 13.0% vs 21.1% book - informational only, not used in the offer</v>
      </c>
    </row>
    <row r="49" customFormat="false" ht="15" hidden="false" customHeight="false" outlineLevel="0" collapsed="false">
      <c r="B49" s="94" t="s">
        <v>275</v>
      </c>
      <c r="C49" s="84" t="str">
        <f aca="false">IF($C$6="","Position not entered",IF($L$22="","Position "&amp;$C$6&amp;": "&amp;$E$22&amp;" seasoned deals - too few to rate","Position "&amp;$C$6&amp;": "&amp;$E$22&amp;" seasoned deals, lost "&amp;TEXT($L$22,"0.0%")&amp;" vs "&amp;TEXT($C$10,"0.0%")&amp;" book"))</f>
        <v>Position 2: 145 seasoned deals, lost 23.6% vs 21.1% book</v>
      </c>
    </row>
    <row r="50" customFormat="false" ht="15" hidden="false" customHeight="false" outlineLevel="0" collapsed="false">
      <c r="B50" s="94" t="s">
        <v>276</v>
      </c>
      <c r="C50" s="84" t="str">
        <f aca="false">IF(OR($L$24="",$L$25=""),"No",IF(OR(AND($X$24&lt;Controls!$A$55,$X$25&gt;Controls!$A$56),AND($X$25&lt;Controls!$A$55,$X$24&gt;Controls!$A$56)),"YES - review both cohorts","No"))</f>
        <v>No</v>
      </c>
    </row>
    <row r="51" customFormat="false" ht="15" hidden="false" customHeight="false" outlineLevel="0" collapsed="false">
      <c r="B51" s="94" t="s">
        <v>277</v>
      </c>
      <c r="C51" s="84" t="str">
        <f aca="false">IF($C$29=7,"No cohort met the minimums - book baseline used; ","")&amp;IF(INDEX($U$14:$U$20,$C$29)="No","Primary cohort not seasoned-enough (count, dollars or open share); ","")&amp;IF(C41="Low","Low confidence - modifier capped; ","")&amp;IF(C33&lt;Controls!$B$43,"","Cohort open share high; ")</f>
        <v>Cohort open share high; </v>
      </c>
    </row>
  </sheetData>
  <mergeCells count="2">
    <mergeCell ref="A4:C4"/>
    <mergeCell ref="A28:C28"/>
  </mergeCells>
  <conditionalFormatting sqref="U14:U2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4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3" min="12" style="0" width="11"/>
    <col collapsed="false" customWidth="true" hidden="false" outlineLevel="0" max="14" min="14" style="0" width="7"/>
    <col collapsed="false" customWidth="true" hidden="false" outlineLevel="0" max="16" min="15" style="0" width="11"/>
    <col collapsed="false" customWidth="true" hidden="false" outlineLevel="0" max="21" min="17" style="0" width="8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4" min="24" style="0" width="40"/>
  </cols>
  <sheetData>
    <row r="1" customFormat="false" ht="17.35" hidden="false" customHeight="false" outlineLevel="0" collapsed="false">
      <c r="A1" s="83" t="s">
        <v>278</v>
      </c>
    </row>
    <row r="2" customFormat="false" ht="15" hidden="false" customHeight="false" outlineLevel="0" collapsed="false">
      <c r="A2" s="104" t="str">
        <f aca="false">"Primary cohort: "&amp;'Historical Score'!$C$30&amp;"   |   "&amp;'Historical Score'!$C$31&amp;" seasoned / all   |   only the first 400 are listed"</f>
        <v>Primary cohort: T1: new/renewal + industry + position   |   23 / 27 seasoned / all   |   only the first 400 are listed</v>
      </c>
    </row>
    <row r="3" customFormat="false" ht="15" hidden="false" customHeight="false" outlineLevel="0" collapsed="false">
      <c r="A3" s="82" t="s">
        <v>279</v>
      </c>
    </row>
    <row r="4" customFormat="false" ht="30" hidden="false" customHeight="true" outlineLevel="0" collapsed="false">
      <c r="A4" s="9" t="s">
        <v>280</v>
      </c>
      <c r="B4" s="9" t="s">
        <v>281</v>
      </c>
      <c r="C4" s="9" t="s">
        <v>282</v>
      </c>
      <c r="D4" s="9" t="s">
        <v>87</v>
      </c>
      <c r="E4" s="9" t="s">
        <v>283</v>
      </c>
      <c r="F4" s="9" t="s">
        <v>284</v>
      </c>
      <c r="G4" s="9" t="s">
        <v>201</v>
      </c>
      <c r="H4" s="9" t="s">
        <v>54</v>
      </c>
      <c r="I4" s="9" t="s">
        <v>60</v>
      </c>
      <c r="J4" s="9" t="s">
        <v>285</v>
      </c>
      <c r="K4" s="9" t="s">
        <v>28</v>
      </c>
      <c r="L4" s="9" t="s">
        <v>286</v>
      </c>
      <c r="M4" s="9" t="s">
        <v>287</v>
      </c>
      <c r="N4" s="9" t="s">
        <v>288</v>
      </c>
      <c r="O4" s="9" t="s">
        <v>289</v>
      </c>
      <c r="P4" s="9" t="s">
        <v>290</v>
      </c>
      <c r="Q4" s="9" t="s">
        <v>291</v>
      </c>
      <c r="R4" s="9" t="s">
        <v>292</v>
      </c>
      <c r="S4" s="9" t="s">
        <v>293</v>
      </c>
      <c r="T4" s="9" t="s">
        <v>208</v>
      </c>
      <c r="U4" s="9" t="s">
        <v>294</v>
      </c>
      <c r="V4" s="9" t="s">
        <v>295</v>
      </c>
      <c r="W4" s="9" t="s">
        <v>296</v>
      </c>
      <c r="X4" s="9" t="s">
        <v>297</v>
      </c>
    </row>
    <row r="5" customFormat="false" ht="15" hidden="false" customHeight="false" outlineLevel="0" collapsed="false">
      <c r="A5" s="105" t="n">
        <v>1</v>
      </c>
      <c r="B5" s="106" t="str">
        <f aca="false">IFERROR(INDEX('Historical Data'!$A$2:$A$1068,MATCH($A5,'Historical Data'!$BE$2:$BE$1068,0)),"")</f>
        <v>5674154422</v>
      </c>
      <c r="C5" s="106" t="str">
        <f aca="false">IFERROR(INDEX('Historical Data'!$B$2:$B$1068,MATCH($A5,'Historical Data'!$BE$2:$BE$1068,0)),"")</f>
        <v>BUSHCO CONTRACTING</v>
      </c>
      <c r="D5" s="106" t="str">
        <f aca="false">IFERROR(INDEX('Historical Data'!$D$2:$D$1068,MATCH($A5,'Historical Data'!$BE$2:$BE$1068,0)),"")</f>
        <v>Legal</v>
      </c>
      <c r="E5" s="107" t="n">
        <f aca="false">IFERROR(INDEX('Historical Data'!$E$2:$E$1068,MATCH($A5,'Historical Data'!$BE$2:$BE$1068,0)),"")</f>
        <v>45754</v>
      </c>
      <c r="F5" s="106" t="n">
        <f aca="false">IFERROR(INDEX('Historical Data'!$G$2:$G$1068,MATCH($A5,'Historical Data'!$BE$2:$BE$1068,0)),"")</f>
        <v>2</v>
      </c>
      <c r="G5" s="106" t="str">
        <f aca="false">IFERROR(INDEX('Historical Data'!$Y$2:$Y$1068,MATCH($A5,'Historical Data'!$BE$2:$BE$1068,0)),"")</f>
        <v>General Building Contractors</v>
      </c>
      <c r="H5" s="106" t="str">
        <f aca="false">IFERROR(INDEX('Historical Data'!$K$2:$K$1068,MATCH($A5,'Historical Data'!$BE$2:$BE$1068,0)),"")</f>
        <v>GREYSTONE</v>
      </c>
      <c r="I5" s="106" t="str">
        <f aca="false">IFERROR(INDEX('Historical Data'!$J$2:$J$1068,MATCH($A5,'Historical Data'!$BE$2:$BE$1068,0)),"")</f>
        <v>CA</v>
      </c>
      <c r="J5" s="106" t="str">
        <f aca="false">IFERROR(INDEX('Historical Data'!$L$2:$L$1068,MATCH($A5,'Historical Data'!$BE$2:$BE$1068,0)),"")</f>
        <v>New Deal</v>
      </c>
      <c r="K5" s="108" t="n">
        <f aca="false">IFERROR(INDEX('Historical Data'!$M$2:$M$1068,MATCH($A5,'Historical Data'!$BE$2:$BE$1068,0)),"")</f>
        <v>1.49</v>
      </c>
      <c r="L5" s="109" t="n">
        <f aca="false">IFERROR(INDEX('Historical Data'!$N$2:$N$1068,MATCH($A5,'Historical Data'!$BE$2:$BE$1068,0)),"")</f>
        <v>14000</v>
      </c>
      <c r="M5" s="109" t="n">
        <f aca="false">IFERROR(INDEX('Historical Data'!$Q$2:$Q$1068,MATCH($A5,'Historical Data'!$BE$2:$BE$1068,0)),"")</f>
        <v>2318.06</v>
      </c>
      <c r="N5" s="110" t="n">
        <f aca="false">IFERROR(INDEX('Historical Data'!$S$2:$S$1068,MATCH($A5,'Historical Data'!$BE$2:$BE$1068,0)),"")</f>
        <v>0.111124640460211</v>
      </c>
      <c r="O5" s="109" t="n">
        <f aca="false">IFERROR(INDEX('Historical Data'!$AJ$2:$AJ$1068,MATCH($A5,'Historical Data'!$BE$2:$BE$1068,0)),"")</f>
        <v>-11681.94</v>
      </c>
      <c r="P5" s="109" t="n">
        <f aca="false">IFERROR(INDEX('Historical Data'!$AK$2:$AK$1068,MATCH($A5,'Historical Data'!$BE$2:$BE$1068,0)),"")</f>
        <v>11681.94</v>
      </c>
      <c r="Q5" s="106" t="n">
        <f aca="false">IFERROR(INDEX('Historical Data'!$AA$2:$AA$1068,MATCH($A5,'Historical Data'!$BE$2:$BE$1068,0)),"")</f>
        <v>90</v>
      </c>
      <c r="R5" s="106" t="n">
        <f aca="false">IFERROR(INDEX('Historical Data'!$AB$2:$AB$1068,MATCH($A5,'Historical Data'!$BE$2:$BE$1068,0)),"")</f>
        <v>349</v>
      </c>
      <c r="S5" s="106" t="n">
        <f aca="false">IFERROR(INDEX('Historical Data'!$AN$2:$AN$1068,MATCH($A5,'Historical Data'!$BE$2:$BE$1068,0)),"")</f>
        <v>25</v>
      </c>
      <c r="T5" s="106" t="n">
        <f aca="false">IFERROR(INDEX('Historical Data'!$AC$2:$AC$1068,MATCH($A5,'Historical Data'!$BE$2:$BE$1068,0)),"")</f>
        <v>1</v>
      </c>
      <c r="U5" s="106" t="n">
        <f aca="false">IFERROR(INDEX('Historical Data'!$AE$2:$AE$1068,MATCH($A5,'Historical Data'!$BE$2:$BE$1068,0)),"")</f>
        <v>1</v>
      </c>
      <c r="V5" s="106" t="n">
        <f aca="false">IFERROR(INDEX('Historical Data'!$AH$2:$AH$1068,MATCH($A5,'Historical Data'!$BE$2:$BE$1068,0)),"")</f>
        <v>0</v>
      </c>
      <c r="W5" s="106" t="n">
        <f aca="false">IFERROR(INDEX('Historical Data'!$BC$2:$BC$1068,MATCH($A5,'Historical Data'!$BE$2:$BE$1068,0)),"")</f>
        <v>1</v>
      </c>
      <c r="X5" s="105" t="str">
        <f aca="false">IF(B5="","",IF(W5=1,"NR + industry + position",IF(W5=2,"NR + ISO + position",IF(W5=3,"NR + industry",IF(W5=4,"NR + ISO",IF(W5=5,"NR + position",IF(W5=6,"NR only","book baseline"))))))&amp;"  ["&amp;IF(T5=1,"seasoned","unseasoned")&amp;IF(U5=1,", defaulted","")&amp;IF(V5=1,", open","")&amp;"]")</f>
        <v>NR + industry + position  [seasoned, defaulted]</v>
      </c>
    </row>
    <row r="6" customFormat="false" ht="15" hidden="false" customHeight="false" outlineLevel="0" collapsed="false">
      <c r="A6" s="105" t="n">
        <v>2</v>
      </c>
      <c r="B6" s="106" t="str">
        <f aca="false">IFERROR(INDEX('Historical Data'!$A$2:$A$1068,MATCH($A6,'Historical Data'!$BE$2:$BE$1068,0)),"")</f>
        <v>5674160797</v>
      </c>
      <c r="C6" s="106" t="str">
        <f aca="false">IFERROR(INDEX('Historical Data'!$B$2:$B$1068,MATCH($A6,'Historical Data'!$BE$2:$BE$1068,0)),"")</f>
        <v>MACS CUSTOM INSTALLS</v>
      </c>
      <c r="D6" s="106" t="str">
        <f aca="false">IFERROR(INDEX('Historical Data'!$D$2:$D$1068,MATCH($A6,'Historical Data'!$BE$2:$BE$1068,0)),"")</f>
        <v>At-Risk</v>
      </c>
      <c r="E6" s="107" t="n">
        <f aca="false">IFERROR(INDEX('Historical Data'!$E$2:$E$1068,MATCH($A6,'Historical Data'!$BE$2:$BE$1068,0)),"")</f>
        <v>45838</v>
      </c>
      <c r="F6" s="106" t="n">
        <f aca="false">IFERROR(INDEX('Historical Data'!$G$2:$G$1068,MATCH($A6,'Historical Data'!$BE$2:$BE$1068,0)),"")</f>
        <v>2</v>
      </c>
      <c r="G6" s="106" t="str">
        <f aca="false">IFERROR(INDEX('Historical Data'!$Y$2:$Y$1068,MATCH($A6,'Historical Data'!$BE$2:$BE$1068,0)),"")</f>
        <v>General Building Contractors</v>
      </c>
      <c r="H6" s="106" t="str">
        <f aca="false">IFERROR(INDEX('Historical Data'!$K$2:$K$1068,MATCH($A6,'Historical Data'!$BE$2:$BE$1068,0)),"")</f>
        <v>Shield Funding</v>
      </c>
      <c r="I6" s="106" t="str">
        <f aca="false">IFERROR(INDEX('Historical Data'!$J$2:$J$1068,MATCH($A6,'Historical Data'!$BE$2:$BE$1068,0)),"")</f>
        <v>SC</v>
      </c>
      <c r="J6" s="106" t="str">
        <f aca="false">IFERROR(INDEX('Historical Data'!$L$2:$L$1068,MATCH($A6,'Historical Data'!$BE$2:$BE$1068,0)),"")</f>
        <v>New Deal</v>
      </c>
      <c r="K6" s="108" t="n">
        <f aca="false">IFERROR(INDEX('Historical Data'!$M$2:$M$1068,MATCH($A6,'Historical Data'!$BE$2:$BE$1068,0)),"")</f>
        <v>1.49</v>
      </c>
      <c r="L6" s="109" t="n">
        <f aca="false">IFERROR(INDEX('Historical Data'!$N$2:$N$1068,MATCH($A6,'Historical Data'!$BE$2:$BE$1068,0)),"")</f>
        <v>10000</v>
      </c>
      <c r="M6" s="109" t="n">
        <f aca="false">IFERROR(INDEX('Historical Data'!$Q$2:$Q$1068,MATCH($A6,'Historical Data'!$BE$2:$BE$1068,0)),"")</f>
        <v>8473.92</v>
      </c>
      <c r="N6" s="110" t="n">
        <f aca="false">IFERROR(INDEX('Historical Data'!$S$2:$S$1068,MATCH($A6,'Historical Data'!$BE$2:$BE$1068,0)),"")</f>
        <v>0.568719463087248</v>
      </c>
      <c r="O6" s="109" t="n">
        <f aca="false">IFERROR(INDEX('Historical Data'!$AJ$2:$AJ$1068,MATCH($A6,'Historical Data'!$BE$2:$BE$1068,0)),"")</f>
        <v>-1526.08</v>
      </c>
      <c r="P6" s="109" t="n">
        <f aca="false">IFERROR(INDEX('Historical Data'!$AK$2:$AK$1068,MATCH($A6,'Historical Data'!$BE$2:$BE$1068,0)),"")</f>
        <v>1526.08</v>
      </c>
      <c r="Q6" s="106" t="n">
        <f aca="false">IFERROR(INDEX('Historical Data'!$AA$2:$AA$1068,MATCH($A6,'Historical Data'!$BE$2:$BE$1068,0)),"")</f>
        <v>56.801065</v>
      </c>
      <c r="R6" s="106" t="n">
        <f aca="false">IFERROR(INDEX('Historical Data'!$AB$2:$AB$1068,MATCH($A6,'Historical Data'!$BE$2:$BE$1068,0)),"")</f>
        <v>291</v>
      </c>
      <c r="S6" s="106" t="n">
        <f aca="false">IFERROR(INDEX('Historical Data'!$AN$2:$AN$1068,MATCH($A6,'Historical Data'!$BE$2:$BE$1068,0)),"")</f>
        <v>221</v>
      </c>
      <c r="T6" s="106" t="n">
        <f aca="false">IFERROR(INDEX('Historical Data'!$AC$2:$AC$1068,MATCH($A6,'Historical Data'!$BE$2:$BE$1068,0)),"")</f>
        <v>1</v>
      </c>
      <c r="U6" s="106" t="n">
        <f aca="false">IFERROR(INDEX('Historical Data'!$AE$2:$AE$1068,MATCH($A6,'Historical Data'!$BE$2:$BE$1068,0)),"")</f>
        <v>1</v>
      </c>
      <c r="V6" s="106" t="n">
        <f aca="false">IFERROR(INDEX('Historical Data'!$AH$2:$AH$1068,MATCH($A6,'Historical Data'!$BE$2:$BE$1068,0)),"")</f>
        <v>0</v>
      </c>
      <c r="W6" s="106" t="n">
        <f aca="false">IFERROR(INDEX('Historical Data'!$BC$2:$BC$1068,MATCH($A6,'Historical Data'!$BE$2:$BE$1068,0)),"")</f>
        <v>1</v>
      </c>
      <c r="X6" s="105" t="str">
        <f aca="false">IF(B6="","",IF(W6=1,"NR + industry + position",IF(W6=2,"NR + ISO + position",IF(W6=3,"NR + industry",IF(W6=4,"NR + ISO",IF(W6=5,"NR + position",IF(W6=6,"NR only","book baseline"))))))&amp;"  ["&amp;IF(T6=1,"seasoned","unseasoned")&amp;IF(U6=1,", defaulted","")&amp;IF(V6=1,", open","")&amp;"]")</f>
        <v>NR + industry + position  [seasoned, defaulted]</v>
      </c>
    </row>
    <row r="7" customFormat="false" ht="15" hidden="false" customHeight="false" outlineLevel="0" collapsed="false">
      <c r="A7" s="105" t="n">
        <v>3</v>
      </c>
      <c r="B7" s="106" t="str">
        <f aca="false">IFERROR(INDEX('Historical Data'!$A$2:$A$1068,MATCH($A7,'Historical Data'!$BE$2:$BE$1068,0)),"")</f>
        <v>5674162609</v>
      </c>
      <c r="C7" s="106" t="str">
        <f aca="false">IFERROR(INDEX('Historical Data'!$B$2:$B$1068,MATCH($A7,'Historical Data'!$BE$2:$BE$1068,0)),"")</f>
        <v>Ribeiro General Construction Corp</v>
      </c>
      <c r="D7" s="106" t="str">
        <f aca="false">IFERROR(INDEX('Historical Data'!$D$2:$D$1068,MATCH($A7,'Historical Data'!$BE$2:$BE$1068,0)),"")</f>
        <v>Closed</v>
      </c>
      <c r="E7" s="107" t="n">
        <f aca="false">IFERROR(INDEX('Historical Data'!$E$2:$E$1068,MATCH($A7,'Historical Data'!$BE$2:$BE$1068,0)),"")</f>
        <v>45863</v>
      </c>
      <c r="F7" s="106" t="n">
        <f aca="false">IFERROR(INDEX('Historical Data'!$G$2:$G$1068,MATCH($A7,'Historical Data'!$BE$2:$BE$1068,0)),"")</f>
        <v>2</v>
      </c>
      <c r="G7" s="106" t="str">
        <f aca="false">IFERROR(INDEX('Historical Data'!$Y$2:$Y$1068,MATCH($A7,'Historical Data'!$BE$2:$BE$1068,0)),"")</f>
        <v>General Building Contractors</v>
      </c>
      <c r="H7" s="106" t="str">
        <f aca="false">IFERROR(INDEX('Historical Data'!$K$2:$K$1068,MATCH($A7,'Historical Data'!$BE$2:$BE$1068,0)),"")</f>
        <v>NY Tribeca Group</v>
      </c>
      <c r="I7" s="106" t="str">
        <f aca="false">IFERROR(INDEX('Historical Data'!$J$2:$J$1068,MATCH($A7,'Historical Data'!$BE$2:$BE$1068,0)),"")</f>
        <v>MA</v>
      </c>
      <c r="J7" s="106" t="str">
        <f aca="false">IFERROR(INDEX('Historical Data'!$L$2:$L$1068,MATCH($A7,'Historical Data'!$BE$2:$BE$1068,0)),"")</f>
        <v>New Deal</v>
      </c>
      <c r="K7" s="108" t="n">
        <f aca="false">IFERROR(INDEX('Historical Data'!$M$2:$M$1068,MATCH($A7,'Historical Data'!$BE$2:$BE$1068,0)),"")</f>
        <v>1.35</v>
      </c>
      <c r="L7" s="109" t="n">
        <f aca="false">IFERROR(INDEX('Historical Data'!$N$2:$N$1068,MATCH($A7,'Historical Data'!$BE$2:$BE$1068,0)),"")</f>
        <v>10000</v>
      </c>
      <c r="M7" s="109" t="n">
        <f aca="false">IFERROR(INDEX('Historical Data'!$Q$2:$Q$1068,MATCH($A7,'Historical Data'!$BE$2:$BE$1068,0)),"")</f>
        <v>13500</v>
      </c>
      <c r="N7" s="110" t="n">
        <f aca="false">IFERROR(INDEX('Historical Data'!$S$2:$S$1068,MATCH($A7,'Historical Data'!$BE$2:$BE$1068,0)),"")</f>
        <v>1</v>
      </c>
      <c r="O7" s="109" t="n">
        <f aca="false">IFERROR(INDEX('Historical Data'!$AJ$2:$AJ$1068,MATCH($A7,'Historical Data'!$BE$2:$BE$1068,0)),"")</f>
        <v>3500</v>
      </c>
      <c r="P7" s="109" t="n">
        <f aca="false">IFERROR(INDEX('Historical Data'!$AK$2:$AK$1068,MATCH($A7,'Historical Data'!$BE$2:$BE$1068,0)),"")</f>
        <v>0</v>
      </c>
      <c r="Q7" s="106" t="n">
        <f aca="false">IFERROR(INDEX('Historical Data'!$AA$2:$AA$1068,MATCH($A7,'Historical Data'!$BE$2:$BE$1068,0)),"")</f>
        <v>42.595385</v>
      </c>
      <c r="R7" s="106" t="n">
        <f aca="false">IFERROR(INDEX('Historical Data'!$AB$2:$AB$1068,MATCH($A7,'Historical Data'!$BE$2:$BE$1068,0)),"")</f>
        <v>273</v>
      </c>
      <c r="S7" s="106" t="n">
        <f aca="false">IFERROR(INDEX('Historical Data'!$AN$2:$AN$1068,MATCH($A7,'Historical Data'!$BE$2:$BE$1068,0)),"")</f>
        <v>72</v>
      </c>
      <c r="T7" s="106" t="n">
        <f aca="false">IFERROR(INDEX('Historical Data'!$AC$2:$AC$1068,MATCH($A7,'Historical Data'!$BE$2:$BE$1068,0)),"")</f>
        <v>1</v>
      </c>
      <c r="U7" s="106" t="n">
        <f aca="false">IFERROR(INDEX('Historical Data'!$AE$2:$AE$1068,MATCH($A7,'Historical Data'!$BE$2:$BE$1068,0)),"")</f>
        <v>0</v>
      </c>
      <c r="V7" s="106" t="n">
        <f aca="false">IFERROR(INDEX('Historical Data'!$AH$2:$AH$1068,MATCH($A7,'Historical Data'!$BE$2:$BE$1068,0)),"")</f>
        <v>0</v>
      </c>
      <c r="W7" s="106" t="n">
        <f aca="false">IFERROR(INDEX('Historical Data'!$BC$2:$BC$1068,MATCH($A7,'Historical Data'!$BE$2:$BE$1068,0)),"")</f>
        <v>1</v>
      </c>
      <c r="X7" s="105" t="str">
        <f aca="false">IF(B7="","",IF(W7=1,"NR + industry + position",IF(W7=2,"NR + ISO + position",IF(W7=3,"NR + industry",IF(W7=4,"NR + ISO",IF(W7=5,"NR + position",IF(W7=6,"NR only","book baseline"))))))&amp;"  ["&amp;IF(T7=1,"seasoned","unseasoned")&amp;IF(U7=1,", defaulted","")&amp;IF(V7=1,", open","")&amp;"]")</f>
        <v>NR + industry + position  [seasoned]</v>
      </c>
    </row>
    <row r="8" customFormat="false" ht="15" hidden="false" customHeight="false" outlineLevel="0" collapsed="false">
      <c r="A8" s="105" t="n">
        <v>4</v>
      </c>
      <c r="B8" s="106" t="str">
        <f aca="false">IFERROR(INDEX('Historical Data'!$A$2:$A$1068,MATCH($A8,'Historical Data'!$BE$2:$BE$1068,0)),"")</f>
        <v>5674162983</v>
      </c>
      <c r="C8" s="106" t="str">
        <f aca="false">IFERROR(INDEX('Historical Data'!$B$2:$B$1068,MATCH($A8,'Historical Data'!$BE$2:$BE$1068,0)),"")</f>
        <v>ON SITE REPAIR SERVICES LLC</v>
      </c>
      <c r="D8" s="106" t="str">
        <f aca="false">IFERROR(INDEX('Historical Data'!$D$2:$D$1068,MATCH($A8,'Historical Data'!$BE$2:$BE$1068,0)),"")</f>
        <v>Closed</v>
      </c>
      <c r="E8" s="107" t="n">
        <f aca="false">IFERROR(INDEX('Historical Data'!$E$2:$E$1068,MATCH($A8,'Historical Data'!$BE$2:$BE$1068,0)),"")</f>
        <v>45869</v>
      </c>
      <c r="F8" s="106" t="n">
        <f aca="false">IFERROR(INDEX('Historical Data'!$G$2:$G$1068,MATCH($A8,'Historical Data'!$BE$2:$BE$1068,0)),"")</f>
        <v>2</v>
      </c>
      <c r="G8" s="106" t="str">
        <f aca="false">IFERROR(INDEX('Historical Data'!$Y$2:$Y$1068,MATCH($A8,'Historical Data'!$BE$2:$BE$1068,0)),"")</f>
        <v>General Building Contractors</v>
      </c>
      <c r="H8" s="106" t="str">
        <f aca="false">IFERROR(INDEX('Historical Data'!$K$2:$K$1068,MATCH($A8,'Historical Data'!$BE$2:$BE$1068,0)),"")</f>
        <v>Ballicci</v>
      </c>
      <c r="I8" s="106" t="str">
        <f aca="false">IFERROR(INDEX('Historical Data'!$J$2:$J$1068,MATCH($A8,'Historical Data'!$BE$2:$BE$1068,0)),"")</f>
        <v>TX</v>
      </c>
      <c r="J8" s="106" t="str">
        <f aca="false">IFERROR(INDEX('Historical Data'!$L$2:$L$1068,MATCH($A8,'Historical Data'!$BE$2:$BE$1068,0)),"")</f>
        <v>New Deal</v>
      </c>
      <c r="K8" s="108" t="n">
        <f aca="false">IFERROR(INDEX('Historical Data'!$M$2:$M$1068,MATCH($A8,'Historical Data'!$BE$2:$BE$1068,0)),"")</f>
        <v>1.49</v>
      </c>
      <c r="L8" s="109" t="n">
        <f aca="false">IFERROR(INDEX('Historical Data'!$N$2:$N$1068,MATCH($A8,'Historical Data'!$BE$2:$BE$1068,0)),"")</f>
        <v>15000</v>
      </c>
      <c r="M8" s="109" t="n">
        <f aca="false">IFERROR(INDEX('Historical Data'!$Q$2:$Q$1068,MATCH($A8,'Historical Data'!$BE$2:$BE$1068,0)),"")</f>
        <v>22350</v>
      </c>
      <c r="N8" s="110" t="n">
        <f aca="false">IFERROR(INDEX('Historical Data'!$S$2:$S$1068,MATCH($A8,'Historical Data'!$BE$2:$BE$1068,0)),"")</f>
        <v>1</v>
      </c>
      <c r="O8" s="109" t="n">
        <f aca="false">IFERROR(INDEX('Historical Data'!$AJ$2:$AJ$1068,MATCH($A8,'Historical Data'!$BE$2:$BE$1068,0)),"")</f>
        <v>7350</v>
      </c>
      <c r="P8" s="109" t="n">
        <f aca="false">IFERROR(INDEX('Historical Data'!$AK$2:$AK$1068,MATCH($A8,'Historical Data'!$BE$2:$BE$1068,0)),"")</f>
        <v>0</v>
      </c>
      <c r="Q8" s="106" t="n">
        <f aca="false">IFERROR(INDEX('Historical Data'!$AA$2:$AA$1068,MATCH($A8,'Historical Data'!$BE$2:$BE$1068,0)),"")</f>
        <v>60.352485</v>
      </c>
      <c r="R8" s="106" t="n">
        <f aca="false">IFERROR(INDEX('Historical Data'!$AB$2:$AB$1068,MATCH($A8,'Historical Data'!$BE$2:$BE$1068,0)),"")</f>
        <v>269</v>
      </c>
      <c r="S8" s="106" t="n">
        <f aca="false">IFERROR(INDEX('Historical Data'!$AN$2:$AN$1068,MATCH($A8,'Historical Data'!$BE$2:$BE$1068,0)),"")</f>
        <v>86</v>
      </c>
      <c r="T8" s="106" t="n">
        <f aca="false">IFERROR(INDEX('Historical Data'!$AC$2:$AC$1068,MATCH($A8,'Historical Data'!$BE$2:$BE$1068,0)),"")</f>
        <v>1</v>
      </c>
      <c r="U8" s="106" t="n">
        <f aca="false">IFERROR(INDEX('Historical Data'!$AE$2:$AE$1068,MATCH($A8,'Historical Data'!$BE$2:$BE$1068,0)),"")</f>
        <v>0</v>
      </c>
      <c r="V8" s="106" t="n">
        <f aca="false">IFERROR(INDEX('Historical Data'!$AH$2:$AH$1068,MATCH($A8,'Historical Data'!$BE$2:$BE$1068,0)),"")</f>
        <v>0</v>
      </c>
      <c r="W8" s="106" t="n">
        <f aca="false">IFERROR(INDEX('Historical Data'!$BC$2:$BC$1068,MATCH($A8,'Historical Data'!$BE$2:$BE$1068,0)),"")</f>
        <v>1</v>
      </c>
      <c r="X8" s="105" t="str">
        <f aca="false">IF(B8="","",IF(W8=1,"NR + industry + position",IF(W8=2,"NR + ISO + position",IF(W8=3,"NR + industry",IF(W8=4,"NR + ISO",IF(W8=5,"NR + position",IF(W8=6,"NR only","book baseline"))))))&amp;"  ["&amp;IF(T8=1,"seasoned","unseasoned")&amp;IF(U8=1,", defaulted","")&amp;IF(V8=1,", open","")&amp;"]")</f>
        <v>NR + industry + position  [seasoned]</v>
      </c>
    </row>
    <row r="9" customFormat="false" ht="15" hidden="false" customHeight="false" outlineLevel="0" collapsed="false">
      <c r="A9" s="105" t="n">
        <v>5</v>
      </c>
      <c r="B9" s="106" t="str">
        <f aca="false">IFERROR(INDEX('Historical Data'!$A$2:$A$1068,MATCH($A9,'Historical Data'!$BE$2:$BE$1068,0)),"")</f>
        <v>5674163296</v>
      </c>
      <c r="C9" s="106" t="str">
        <f aca="false">IFERROR(INDEX('Historical Data'!$B$2:$B$1068,MATCH($A9,'Historical Data'!$BE$2:$BE$1068,0)),"")</f>
        <v>parker construction company</v>
      </c>
      <c r="D9" s="106" t="str">
        <f aca="false">IFERROR(INDEX('Historical Data'!$D$2:$D$1068,MATCH($A9,'Historical Data'!$BE$2:$BE$1068,0)),"")</f>
        <v>Legal</v>
      </c>
      <c r="E9" s="107" t="n">
        <f aca="false">IFERROR(INDEX('Historical Data'!$E$2:$E$1068,MATCH($A9,'Historical Data'!$BE$2:$BE$1068,0)),"")</f>
        <v>45874</v>
      </c>
      <c r="F9" s="106" t="n">
        <f aca="false">IFERROR(INDEX('Historical Data'!$G$2:$G$1068,MATCH($A9,'Historical Data'!$BE$2:$BE$1068,0)),"")</f>
        <v>2</v>
      </c>
      <c r="G9" s="106" t="str">
        <f aca="false">IFERROR(INDEX('Historical Data'!$Y$2:$Y$1068,MATCH($A9,'Historical Data'!$BE$2:$BE$1068,0)),"")</f>
        <v>General Building Contractors</v>
      </c>
      <c r="H9" s="106" t="str">
        <f aca="false">IFERROR(INDEX('Historical Data'!$K$2:$K$1068,MATCH($A9,'Historical Data'!$BE$2:$BE$1068,0)),"")</f>
        <v>Springville Partners</v>
      </c>
      <c r="I9" s="106" t="str">
        <f aca="false">IFERROR(INDEX('Historical Data'!$J$2:$J$1068,MATCH($A9,'Historical Data'!$BE$2:$BE$1068,0)),"")</f>
        <v>TN</v>
      </c>
      <c r="J9" s="106" t="str">
        <f aca="false">IFERROR(INDEX('Historical Data'!$L$2:$L$1068,MATCH($A9,'Historical Data'!$BE$2:$BE$1068,0)),"")</f>
        <v>New Deal</v>
      </c>
      <c r="K9" s="108" t="n">
        <f aca="false">IFERROR(INDEX('Historical Data'!$M$2:$M$1068,MATCH($A9,'Historical Data'!$BE$2:$BE$1068,0)),"")</f>
        <v>1.499</v>
      </c>
      <c r="L9" s="109" t="n">
        <f aca="false">IFERROR(INDEX('Historical Data'!$N$2:$N$1068,MATCH($A9,'Historical Data'!$BE$2:$BE$1068,0)),"")</f>
        <v>20000</v>
      </c>
      <c r="M9" s="109" t="n">
        <f aca="false">IFERROR(INDEX('Historical Data'!$Q$2:$Q$1068,MATCH($A9,'Historical Data'!$BE$2:$BE$1068,0)),"")</f>
        <v>3350.52</v>
      </c>
      <c r="N9" s="110" t="n">
        <f aca="false">IFERROR(INDEX('Historical Data'!$S$2:$S$1068,MATCH($A9,'Historical Data'!$BE$2:$BE$1068,0)),"")</f>
        <v>0.111758505670447</v>
      </c>
      <c r="O9" s="109" t="n">
        <f aca="false">IFERROR(INDEX('Historical Data'!$AJ$2:$AJ$1068,MATCH($A9,'Historical Data'!$BE$2:$BE$1068,0)),"")</f>
        <v>-16649.48</v>
      </c>
      <c r="P9" s="109" t="n">
        <f aca="false">IFERROR(INDEX('Historical Data'!$AK$2:$AK$1068,MATCH($A9,'Historical Data'!$BE$2:$BE$1068,0)),"")</f>
        <v>16649.48</v>
      </c>
      <c r="Q9" s="106" t="n">
        <f aca="false">IFERROR(INDEX('Historical Data'!$AA$2:$AA$1068,MATCH($A9,'Historical Data'!$BE$2:$BE$1068,0)),"")</f>
        <v>56.801065</v>
      </c>
      <c r="R9" s="106" t="n">
        <f aca="false">IFERROR(INDEX('Historical Data'!$AB$2:$AB$1068,MATCH($A9,'Historical Data'!$BE$2:$BE$1068,0)),"")</f>
        <v>266</v>
      </c>
      <c r="S9" s="106" t="n">
        <f aca="false">IFERROR(INDEX('Historical Data'!$AN$2:$AN$1068,MATCH($A9,'Historical Data'!$BE$2:$BE$1068,0)),"")</f>
        <v>12</v>
      </c>
      <c r="T9" s="106" t="n">
        <f aca="false">IFERROR(INDEX('Historical Data'!$AC$2:$AC$1068,MATCH($A9,'Historical Data'!$BE$2:$BE$1068,0)),"")</f>
        <v>1</v>
      </c>
      <c r="U9" s="106" t="n">
        <f aca="false">IFERROR(INDEX('Historical Data'!$AE$2:$AE$1068,MATCH($A9,'Historical Data'!$BE$2:$BE$1068,0)),"")</f>
        <v>1</v>
      </c>
      <c r="V9" s="106" t="n">
        <f aca="false">IFERROR(INDEX('Historical Data'!$AH$2:$AH$1068,MATCH($A9,'Historical Data'!$BE$2:$BE$1068,0)),"")</f>
        <v>0</v>
      </c>
      <c r="W9" s="106" t="n">
        <f aca="false">IFERROR(INDEX('Historical Data'!$BC$2:$BC$1068,MATCH($A9,'Historical Data'!$BE$2:$BE$1068,0)),"")</f>
        <v>1</v>
      </c>
      <c r="X9" s="105" t="str">
        <f aca="false">IF(B9="","",IF(W9=1,"NR + industry + position",IF(W9=2,"NR + ISO + position",IF(W9=3,"NR + industry",IF(W9=4,"NR + ISO",IF(W9=5,"NR + position",IF(W9=6,"NR only","book baseline"))))))&amp;"  ["&amp;IF(T9=1,"seasoned","unseasoned")&amp;IF(U9=1,", defaulted","")&amp;IF(V9=1,", open","")&amp;"]")</f>
        <v>NR + industry + position  [seasoned, defaulted]</v>
      </c>
    </row>
    <row r="10" customFormat="false" ht="15" hidden="false" customHeight="false" outlineLevel="0" collapsed="false">
      <c r="A10" s="105" t="n">
        <v>6</v>
      </c>
      <c r="B10" s="106" t="str">
        <f aca="false">IFERROR(INDEX('Historical Data'!$A$2:$A$1068,MATCH($A10,'Historical Data'!$BE$2:$BE$1068,0)),"")</f>
        <v>5674163929</v>
      </c>
      <c r="C10" s="106" t="str">
        <f aca="false">IFERROR(INDEX('Historical Data'!$B$2:$B$1068,MATCH($A10,'Historical Data'!$BE$2:$BE$1068,0)),"")</f>
        <v>EXCELLENCE HOME SERVICES LLC</v>
      </c>
      <c r="D10" s="106" t="str">
        <f aca="false">IFERROR(INDEX('Historical Data'!$D$2:$D$1068,MATCH($A10,'Historical Data'!$BE$2:$BE$1068,0)),"")</f>
        <v>Closed</v>
      </c>
      <c r="E10" s="107" t="n">
        <f aca="false">IFERROR(INDEX('Historical Data'!$E$2:$E$1068,MATCH($A10,'Historical Data'!$BE$2:$BE$1068,0)),"")</f>
        <v>45882</v>
      </c>
      <c r="F10" s="106" t="n">
        <f aca="false">IFERROR(INDEX('Historical Data'!$G$2:$G$1068,MATCH($A10,'Historical Data'!$BE$2:$BE$1068,0)),"")</f>
        <v>2</v>
      </c>
      <c r="G10" s="106" t="str">
        <f aca="false">IFERROR(INDEX('Historical Data'!$Y$2:$Y$1068,MATCH($A10,'Historical Data'!$BE$2:$BE$1068,0)),"")</f>
        <v>General Building Contractors</v>
      </c>
      <c r="H10" s="106" t="str">
        <f aca="false">IFERROR(INDEX('Historical Data'!$K$2:$K$1068,MATCH($A10,'Historical Data'!$BE$2:$BE$1068,0)),"")</f>
        <v>The Funding Channel</v>
      </c>
      <c r="I10" s="106" t="str">
        <f aca="false">IFERROR(INDEX('Historical Data'!$J$2:$J$1068,MATCH($A10,'Historical Data'!$BE$2:$BE$1068,0)),"")</f>
        <v>FL</v>
      </c>
      <c r="J10" s="106" t="str">
        <f aca="false">IFERROR(INDEX('Historical Data'!$L$2:$L$1068,MATCH($A10,'Historical Data'!$BE$2:$BE$1068,0)),"")</f>
        <v>New Deal</v>
      </c>
      <c r="K10" s="108" t="n">
        <f aca="false">IFERROR(INDEX('Historical Data'!$M$2:$M$1068,MATCH($A10,'Historical Data'!$BE$2:$BE$1068,0)),"")</f>
        <v>1.49</v>
      </c>
      <c r="L10" s="109" t="n">
        <f aca="false">IFERROR(INDEX('Historical Data'!$N$2:$N$1068,MATCH($A10,'Historical Data'!$BE$2:$BE$1068,0)),"")</f>
        <v>15000</v>
      </c>
      <c r="M10" s="109" t="n">
        <f aca="false">IFERROR(INDEX('Historical Data'!$Q$2:$Q$1068,MATCH($A10,'Historical Data'!$BE$2:$BE$1068,0)),"")</f>
        <v>22350</v>
      </c>
      <c r="N10" s="110" t="n">
        <f aca="false">IFERROR(INDEX('Historical Data'!$S$2:$S$1068,MATCH($A10,'Historical Data'!$BE$2:$BE$1068,0)),"")</f>
        <v>1</v>
      </c>
      <c r="O10" s="109" t="n">
        <f aca="false">IFERROR(INDEX('Historical Data'!$AJ$2:$AJ$1068,MATCH($A10,'Historical Data'!$BE$2:$BE$1068,0)),"")</f>
        <v>7350</v>
      </c>
      <c r="P10" s="109" t="n">
        <f aca="false">IFERROR(INDEX('Historical Data'!$AK$2:$AK$1068,MATCH($A10,'Historical Data'!$BE$2:$BE$1068,0)),"")</f>
        <v>0</v>
      </c>
      <c r="Q10" s="106" t="n">
        <f aca="false">IFERROR(INDEX('Historical Data'!$AA$2:$AA$1068,MATCH($A10,'Historical Data'!$BE$2:$BE$1068,0)),"")</f>
        <v>75</v>
      </c>
      <c r="R10" s="106" t="n">
        <f aca="false">IFERROR(INDEX('Historical Data'!$AB$2:$AB$1068,MATCH($A10,'Historical Data'!$BE$2:$BE$1068,0)),"")</f>
        <v>260</v>
      </c>
      <c r="S10" s="106" t="n">
        <f aca="false">IFERROR(INDEX('Historical Data'!$AN$2:$AN$1068,MATCH($A10,'Historical Data'!$BE$2:$BE$1068,0)),"")</f>
        <v>73</v>
      </c>
      <c r="T10" s="106" t="n">
        <f aca="false">IFERROR(INDEX('Historical Data'!$AC$2:$AC$1068,MATCH($A10,'Historical Data'!$BE$2:$BE$1068,0)),"")</f>
        <v>1</v>
      </c>
      <c r="U10" s="106" t="n">
        <f aca="false">IFERROR(INDEX('Historical Data'!$AE$2:$AE$1068,MATCH($A10,'Historical Data'!$BE$2:$BE$1068,0)),"")</f>
        <v>0</v>
      </c>
      <c r="V10" s="106" t="n">
        <f aca="false">IFERROR(INDEX('Historical Data'!$AH$2:$AH$1068,MATCH($A10,'Historical Data'!$BE$2:$BE$1068,0)),"")</f>
        <v>0</v>
      </c>
      <c r="W10" s="106" t="n">
        <f aca="false">IFERROR(INDEX('Historical Data'!$BC$2:$BC$1068,MATCH($A10,'Historical Data'!$BE$2:$BE$1068,0)),"")</f>
        <v>1</v>
      </c>
      <c r="X10" s="105" t="str">
        <f aca="false">IF(B10="","",IF(W10=1,"NR + industry + position",IF(W10=2,"NR + ISO + position",IF(W10=3,"NR + industry",IF(W10=4,"NR + ISO",IF(W10=5,"NR + position",IF(W10=6,"NR only","book baseline"))))))&amp;"  ["&amp;IF(T10=1,"seasoned","unseasoned")&amp;IF(U10=1,", defaulted","")&amp;IF(V10=1,", open","")&amp;"]")</f>
        <v>NR + industry + position  [seasoned]</v>
      </c>
    </row>
    <row r="11" customFormat="false" ht="15" hidden="false" customHeight="false" outlineLevel="0" collapsed="false">
      <c r="A11" s="105" t="n">
        <v>7</v>
      </c>
      <c r="B11" s="106" t="str">
        <f aca="false">IFERROR(INDEX('Historical Data'!$A$2:$A$1068,MATCH($A11,'Historical Data'!$BE$2:$BE$1068,0)),"")</f>
        <v>5674164817</v>
      </c>
      <c r="C11" s="106" t="str">
        <f aca="false">IFERROR(INDEX('Historical Data'!$B$2:$B$1068,MATCH($A11,'Historical Data'!$BE$2:$BE$1068,0)),"")</f>
        <v>JAMES CORVIN</v>
      </c>
      <c r="D11" s="106" t="str">
        <f aca="false">IFERROR(INDEX('Historical Data'!$D$2:$D$1068,MATCH($A11,'Historical Data'!$BE$2:$BE$1068,0)),"")</f>
        <v>Legal</v>
      </c>
      <c r="E11" s="107" t="n">
        <f aca="false">IFERROR(INDEX('Historical Data'!$E$2:$E$1068,MATCH($A11,'Historical Data'!$BE$2:$BE$1068,0)),"")</f>
        <v>45895</v>
      </c>
      <c r="F11" s="106" t="n">
        <f aca="false">IFERROR(INDEX('Historical Data'!$G$2:$G$1068,MATCH($A11,'Historical Data'!$BE$2:$BE$1068,0)),"")</f>
        <v>2</v>
      </c>
      <c r="G11" s="106" t="str">
        <f aca="false">IFERROR(INDEX('Historical Data'!$Y$2:$Y$1068,MATCH($A11,'Historical Data'!$BE$2:$BE$1068,0)),"")</f>
        <v>General Building Contractors</v>
      </c>
      <c r="H11" s="106" t="str">
        <f aca="false">IFERROR(INDEX('Historical Data'!$K$2:$K$1068,MATCH($A11,'Historical Data'!$BE$2:$BE$1068,0)),"")</f>
        <v>PMF</v>
      </c>
      <c r="I11" s="106" t="str">
        <f aca="false">IFERROR(INDEX('Historical Data'!$J$2:$J$1068,MATCH($A11,'Historical Data'!$BE$2:$BE$1068,0)),"")</f>
        <v>VA</v>
      </c>
      <c r="J11" s="106" t="str">
        <f aca="false">IFERROR(INDEX('Historical Data'!$L$2:$L$1068,MATCH($A11,'Historical Data'!$BE$2:$BE$1068,0)),"")</f>
        <v>New Deal</v>
      </c>
      <c r="K11" s="108" t="n">
        <f aca="false">IFERROR(INDEX('Historical Data'!$M$2:$M$1068,MATCH($A11,'Historical Data'!$BE$2:$BE$1068,0)),"")</f>
        <v>1.49</v>
      </c>
      <c r="L11" s="109" t="n">
        <f aca="false">IFERROR(INDEX('Historical Data'!$N$2:$N$1068,MATCH($A11,'Historical Data'!$BE$2:$BE$1068,0)),"")</f>
        <v>75000</v>
      </c>
      <c r="M11" s="109" t="n">
        <f aca="false">IFERROR(INDEX('Historical Data'!$Q$2:$Q$1068,MATCH($A11,'Historical Data'!$BE$2:$BE$1068,0)),"")</f>
        <v>27953.45</v>
      </c>
      <c r="N11" s="110" t="n">
        <f aca="false">IFERROR(INDEX('Historical Data'!$S$2:$S$1068,MATCH($A11,'Historical Data'!$BE$2:$BE$1068,0)),"")</f>
        <v>0.250142729306488</v>
      </c>
      <c r="O11" s="109" t="n">
        <f aca="false">IFERROR(INDEX('Historical Data'!$AJ$2:$AJ$1068,MATCH($A11,'Historical Data'!$BE$2:$BE$1068,0)),"")</f>
        <v>-47046.55</v>
      </c>
      <c r="P11" s="109" t="n">
        <f aca="false">IFERROR(INDEX('Historical Data'!$AK$2:$AK$1068,MATCH($A11,'Historical Data'!$BE$2:$BE$1068,0)),"")</f>
        <v>47046.55</v>
      </c>
      <c r="Q11" s="106" t="n">
        <f aca="false">IFERROR(INDEX('Historical Data'!$AA$2:$AA$1068,MATCH($A11,'Historical Data'!$BE$2:$BE$1068,0)),"")</f>
        <v>140</v>
      </c>
      <c r="R11" s="106" t="n">
        <f aca="false">IFERROR(INDEX('Historical Data'!$AB$2:$AB$1068,MATCH($A11,'Historical Data'!$BE$2:$BE$1068,0)),"")</f>
        <v>251</v>
      </c>
      <c r="S11" s="106" t="n">
        <f aca="false">IFERROR(INDEX('Historical Data'!$AN$2:$AN$1068,MATCH($A11,'Historical Data'!$BE$2:$BE$1068,0)),"")</f>
        <v>38</v>
      </c>
      <c r="T11" s="106" t="n">
        <f aca="false">IFERROR(INDEX('Historical Data'!$AC$2:$AC$1068,MATCH($A11,'Historical Data'!$BE$2:$BE$1068,0)),"")</f>
        <v>1</v>
      </c>
      <c r="U11" s="106" t="n">
        <f aca="false">IFERROR(INDEX('Historical Data'!$AE$2:$AE$1068,MATCH($A11,'Historical Data'!$BE$2:$BE$1068,0)),"")</f>
        <v>1</v>
      </c>
      <c r="V11" s="106" t="n">
        <f aca="false">IFERROR(INDEX('Historical Data'!$AH$2:$AH$1068,MATCH($A11,'Historical Data'!$BE$2:$BE$1068,0)),"")</f>
        <v>0</v>
      </c>
      <c r="W11" s="106" t="n">
        <f aca="false">IFERROR(INDEX('Historical Data'!$BC$2:$BC$1068,MATCH($A11,'Historical Data'!$BE$2:$BE$1068,0)),"")</f>
        <v>1</v>
      </c>
      <c r="X11" s="105" t="str">
        <f aca="false">IF(B11="","",IF(W11=1,"NR + industry + position",IF(W11=2,"NR + ISO + position",IF(W11=3,"NR + industry",IF(W11=4,"NR + ISO",IF(W11=5,"NR + position",IF(W11=6,"NR only","book baseline"))))))&amp;"  ["&amp;IF(T11=1,"seasoned","unseasoned")&amp;IF(U11=1,", defaulted","")&amp;IF(V11=1,", open","")&amp;"]")</f>
        <v>NR + industry + position  [seasoned, defaulted]</v>
      </c>
    </row>
    <row r="12" customFormat="false" ht="15" hidden="false" customHeight="false" outlineLevel="0" collapsed="false">
      <c r="A12" s="105" t="n">
        <v>8</v>
      </c>
      <c r="B12" s="106" t="str">
        <f aca="false">IFERROR(INDEX('Historical Data'!$A$2:$A$1068,MATCH($A12,'Historical Data'!$BE$2:$BE$1068,0)),"")</f>
        <v>5674165849</v>
      </c>
      <c r="C12" s="106" t="str">
        <f aca="false">IFERROR(INDEX('Historical Data'!$B$2:$B$1068,MATCH($A12,'Historical Data'!$BE$2:$BE$1068,0)),"")</f>
        <v>BD Home Group Inc</v>
      </c>
      <c r="D12" s="106" t="str">
        <f aca="false">IFERROR(INDEX('Historical Data'!$D$2:$D$1068,MATCH($A12,'Historical Data'!$BE$2:$BE$1068,0)),"")</f>
        <v>Legal</v>
      </c>
      <c r="E12" s="107" t="n">
        <f aca="false">IFERROR(INDEX('Historical Data'!$E$2:$E$1068,MATCH($A12,'Historical Data'!$BE$2:$BE$1068,0)),"")</f>
        <v>45908</v>
      </c>
      <c r="F12" s="106" t="n">
        <f aca="false">IFERROR(INDEX('Historical Data'!$G$2:$G$1068,MATCH($A12,'Historical Data'!$BE$2:$BE$1068,0)),"")</f>
        <v>2</v>
      </c>
      <c r="G12" s="106" t="str">
        <f aca="false">IFERROR(INDEX('Historical Data'!$Y$2:$Y$1068,MATCH($A12,'Historical Data'!$BE$2:$BE$1068,0)),"")</f>
        <v>General Building Contractors</v>
      </c>
      <c r="H12" s="106" t="str">
        <f aca="false">IFERROR(INDEX('Historical Data'!$K$2:$K$1068,MATCH($A12,'Historical Data'!$BE$2:$BE$1068,0)),"")</f>
        <v>Tech Consulting Pro LLC D/B/A: Nationwide Advance</v>
      </c>
      <c r="I12" s="106" t="str">
        <f aca="false">IFERROR(INDEX('Historical Data'!$J$2:$J$1068,MATCH($A12,'Historical Data'!$BE$2:$BE$1068,0)),"")</f>
        <v>CA</v>
      </c>
      <c r="J12" s="106" t="str">
        <f aca="false">IFERROR(INDEX('Historical Data'!$L$2:$L$1068,MATCH($A12,'Historical Data'!$BE$2:$BE$1068,0)),"")</f>
        <v>New Deal</v>
      </c>
      <c r="K12" s="108" t="n">
        <f aca="false">IFERROR(INDEX('Historical Data'!$M$2:$M$1068,MATCH($A12,'Historical Data'!$BE$2:$BE$1068,0)),"")</f>
        <v>1.499</v>
      </c>
      <c r="L12" s="109" t="n">
        <f aca="false">IFERROR(INDEX('Historical Data'!$N$2:$N$1068,MATCH($A12,'Historical Data'!$BE$2:$BE$1068,0)),"")</f>
        <v>16000</v>
      </c>
      <c r="M12" s="109" t="n">
        <f aca="false">IFERROR(INDEX('Historical Data'!$Q$2:$Q$1068,MATCH($A12,'Historical Data'!$BE$2:$BE$1068,0)),"")</f>
        <v>866.4</v>
      </c>
      <c r="N12" s="110" t="n">
        <f aca="false">IFERROR(INDEX('Historical Data'!$S$2:$S$1068,MATCH($A12,'Historical Data'!$BE$2:$BE$1068,0)),"")</f>
        <v>0.0361240827218145</v>
      </c>
      <c r="O12" s="109" t="n">
        <f aca="false">IFERROR(INDEX('Historical Data'!$AJ$2:$AJ$1068,MATCH($A12,'Historical Data'!$BE$2:$BE$1068,0)),"")</f>
        <v>-15133.6</v>
      </c>
      <c r="P12" s="109" t="n">
        <f aca="false">IFERROR(INDEX('Historical Data'!$AK$2:$AK$1068,MATCH($A12,'Historical Data'!$BE$2:$BE$1068,0)),"")</f>
        <v>15133.6</v>
      </c>
      <c r="Q12" s="106" t="n">
        <f aca="false">IFERROR(INDEX('Historical Data'!$AA$2:$AA$1068,MATCH($A12,'Historical Data'!$BE$2:$BE$1068,0)),"")</f>
        <v>39.043965</v>
      </c>
      <c r="R12" s="106" t="n">
        <f aca="false">IFERROR(INDEX('Historical Data'!$AB$2:$AB$1068,MATCH($A12,'Historical Data'!$BE$2:$BE$1068,0)),"")</f>
        <v>243</v>
      </c>
      <c r="S12" s="106" t="n">
        <f aca="false">IFERROR(INDEX('Historical Data'!$AN$2:$AN$1068,MATCH($A12,'Historical Data'!$BE$2:$BE$1068,0)),"")</f>
        <v>184</v>
      </c>
      <c r="T12" s="106" t="n">
        <f aca="false">IFERROR(INDEX('Historical Data'!$AC$2:$AC$1068,MATCH($A12,'Historical Data'!$BE$2:$BE$1068,0)),"")</f>
        <v>1</v>
      </c>
      <c r="U12" s="106" t="n">
        <f aca="false">IFERROR(INDEX('Historical Data'!$AE$2:$AE$1068,MATCH($A12,'Historical Data'!$BE$2:$BE$1068,0)),"")</f>
        <v>1</v>
      </c>
      <c r="V12" s="106" t="n">
        <f aca="false">IFERROR(INDEX('Historical Data'!$AH$2:$AH$1068,MATCH($A12,'Historical Data'!$BE$2:$BE$1068,0)),"")</f>
        <v>0</v>
      </c>
      <c r="W12" s="106" t="n">
        <f aca="false">IFERROR(INDEX('Historical Data'!$BC$2:$BC$1068,MATCH($A12,'Historical Data'!$BE$2:$BE$1068,0)),"")</f>
        <v>1</v>
      </c>
      <c r="X12" s="105" t="str">
        <f aca="false">IF(B12="","",IF(W12=1,"NR + industry + position",IF(W12=2,"NR + ISO + position",IF(W12=3,"NR + industry",IF(W12=4,"NR + ISO",IF(W12=5,"NR + position",IF(W12=6,"NR only","book baseline"))))))&amp;"  ["&amp;IF(T12=1,"seasoned","unseasoned")&amp;IF(U12=1,", defaulted","")&amp;IF(V12=1,", open","")&amp;"]")</f>
        <v>NR + industry + position  [seasoned, defaulted]</v>
      </c>
    </row>
    <row r="13" customFormat="false" ht="15" hidden="false" customHeight="false" outlineLevel="0" collapsed="false">
      <c r="A13" s="105" t="n">
        <v>9</v>
      </c>
      <c r="B13" s="106" t="str">
        <f aca="false">IFERROR(INDEX('Historical Data'!$A$2:$A$1068,MATCH($A13,'Historical Data'!$BE$2:$BE$1068,0)),"")</f>
        <v>5674166066</v>
      </c>
      <c r="C13" s="106" t="str">
        <f aca="false">IFERROR(INDEX('Historical Data'!$B$2:$B$1068,MATCH($A13,'Historical Data'!$BE$2:$BE$1068,0)),"")</f>
        <v>CC REMODELING SERVICES INC</v>
      </c>
      <c r="D13" s="106" t="str">
        <f aca="false">IFERROR(INDEX('Historical Data'!$D$2:$D$1068,MATCH($A13,'Historical Data'!$BE$2:$BE$1068,0)),"")</f>
        <v>Closed</v>
      </c>
      <c r="E13" s="107" t="n">
        <f aca="false">IFERROR(INDEX('Historical Data'!$E$2:$E$1068,MATCH($A13,'Historical Data'!$BE$2:$BE$1068,0)),"")</f>
        <v>45910</v>
      </c>
      <c r="F13" s="106" t="n">
        <f aca="false">IFERROR(INDEX('Historical Data'!$G$2:$G$1068,MATCH($A13,'Historical Data'!$BE$2:$BE$1068,0)),"")</f>
        <v>2</v>
      </c>
      <c r="G13" s="106" t="str">
        <f aca="false">IFERROR(INDEX('Historical Data'!$Y$2:$Y$1068,MATCH($A13,'Historical Data'!$BE$2:$BE$1068,0)),"")</f>
        <v>General Building Contractors</v>
      </c>
      <c r="H13" s="106" t="str">
        <f aca="false">IFERROR(INDEX('Historical Data'!$K$2:$K$1068,MATCH($A13,'Historical Data'!$BE$2:$BE$1068,0)),"")</f>
        <v>biz advance now</v>
      </c>
      <c r="I13" s="106" t="str">
        <f aca="false">IFERROR(INDEX('Historical Data'!$J$2:$J$1068,MATCH($A13,'Historical Data'!$BE$2:$BE$1068,0)),"")</f>
        <v>TN</v>
      </c>
      <c r="J13" s="106" t="str">
        <f aca="false">IFERROR(INDEX('Historical Data'!$L$2:$L$1068,MATCH($A13,'Historical Data'!$BE$2:$BE$1068,0)),"")</f>
        <v>New Deal</v>
      </c>
      <c r="K13" s="108" t="n">
        <f aca="false">IFERROR(INDEX('Historical Data'!$M$2:$M$1068,MATCH($A13,'Historical Data'!$BE$2:$BE$1068,0)),"")</f>
        <v>1.499</v>
      </c>
      <c r="L13" s="109" t="n">
        <f aca="false">IFERROR(INDEX('Historical Data'!$N$2:$N$1068,MATCH($A13,'Historical Data'!$BE$2:$BE$1068,0)),"")</f>
        <v>15000</v>
      </c>
      <c r="M13" s="109" t="n">
        <f aca="false">IFERROR(INDEX('Historical Data'!$Q$2:$Q$1068,MATCH($A13,'Historical Data'!$BE$2:$BE$1068,0)),"")</f>
        <v>22485</v>
      </c>
      <c r="N13" s="110" t="n">
        <f aca="false">IFERROR(INDEX('Historical Data'!$S$2:$S$1068,MATCH($A13,'Historical Data'!$BE$2:$BE$1068,0)),"")</f>
        <v>1</v>
      </c>
      <c r="O13" s="109" t="n">
        <f aca="false">IFERROR(INDEX('Historical Data'!$AJ$2:$AJ$1068,MATCH($A13,'Historical Data'!$BE$2:$BE$1068,0)),"")</f>
        <v>7485</v>
      </c>
      <c r="P13" s="109" t="n">
        <f aca="false">IFERROR(INDEX('Historical Data'!$AK$2:$AK$1068,MATCH($A13,'Historical Data'!$BE$2:$BE$1068,0)),"")</f>
        <v>0</v>
      </c>
      <c r="Q13" s="106" t="n">
        <f aca="false">IFERROR(INDEX('Historical Data'!$AA$2:$AA$1068,MATCH($A13,'Historical Data'!$BE$2:$BE$1068,0)),"")</f>
        <v>56.801065</v>
      </c>
      <c r="R13" s="106" t="n">
        <f aca="false">IFERROR(INDEX('Historical Data'!$AB$2:$AB$1068,MATCH($A13,'Historical Data'!$BE$2:$BE$1068,0)),"")</f>
        <v>241</v>
      </c>
      <c r="S13" s="106" t="n">
        <f aca="false">IFERROR(INDEX('Historical Data'!$AN$2:$AN$1068,MATCH($A13,'Historical Data'!$BE$2:$BE$1068,0)),"")</f>
        <v>82</v>
      </c>
      <c r="T13" s="106" t="n">
        <f aca="false">IFERROR(INDEX('Historical Data'!$AC$2:$AC$1068,MATCH($A13,'Historical Data'!$BE$2:$BE$1068,0)),"")</f>
        <v>1</v>
      </c>
      <c r="U13" s="106" t="n">
        <f aca="false">IFERROR(INDEX('Historical Data'!$AE$2:$AE$1068,MATCH($A13,'Historical Data'!$BE$2:$BE$1068,0)),"")</f>
        <v>0</v>
      </c>
      <c r="V13" s="106" t="n">
        <f aca="false">IFERROR(INDEX('Historical Data'!$AH$2:$AH$1068,MATCH($A13,'Historical Data'!$BE$2:$BE$1068,0)),"")</f>
        <v>0</v>
      </c>
      <c r="W13" s="106" t="n">
        <f aca="false">IFERROR(INDEX('Historical Data'!$BC$2:$BC$1068,MATCH($A13,'Historical Data'!$BE$2:$BE$1068,0)),"")</f>
        <v>1</v>
      </c>
      <c r="X13" s="105" t="str">
        <f aca="false">IF(B13="","",IF(W13=1,"NR + industry + position",IF(W13=2,"NR + ISO + position",IF(W13=3,"NR + industry",IF(W13=4,"NR + ISO",IF(W13=5,"NR + position",IF(W13=6,"NR only","book baseline"))))))&amp;"  ["&amp;IF(T13=1,"seasoned","unseasoned")&amp;IF(U13=1,", defaulted","")&amp;IF(V13=1,", open","")&amp;"]")</f>
        <v>NR + industry + position  [seasoned]</v>
      </c>
    </row>
    <row r="14" customFormat="false" ht="15" hidden="false" customHeight="false" outlineLevel="0" collapsed="false">
      <c r="A14" s="105" t="n">
        <v>10</v>
      </c>
      <c r="B14" s="106" t="str">
        <f aca="false">IFERROR(INDEX('Historical Data'!$A$2:$A$1068,MATCH($A14,'Historical Data'!$BE$2:$BE$1068,0)),"")</f>
        <v>5674166825</v>
      </c>
      <c r="C14" s="106" t="str">
        <f aca="false">IFERROR(INDEX('Historical Data'!$B$2:$B$1068,MATCH($A14,'Historical Data'!$BE$2:$BE$1068,0)),"")</f>
        <v>ALPHA 3 MASONRY &amp; REMODEL</v>
      </c>
      <c r="D14" s="106" t="str">
        <f aca="false">IFERROR(INDEX('Historical Data'!$D$2:$D$1068,MATCH($A14,'Historical Data'!$BE$2:$BE$1068,0)),"")</f>
        <v>Closed</v>
      </c>
      <c r="E14" s="107" t="n">
        <f aca="false">IFERROR(INDEX('Historical Data'!$E$2:$E$1068,MATCH($A14,'Historical Data'!$BE$2:$BE$1068,0)),"")</f>
        <v>45917</v>
      </c>
      <c r="F14" s="106" t="n">
        <f aca="false">IFERROR(INDEX('Historical Data'!$G$2:$G$1068,MATCH($A14,'Historical Data'!$BE$2:$BE$1068,0)),"")</f>
        <v>2</v>
      </c>
      <c r="G14" s="106" t="str">
        <f aca="false">IFERROR(INDEX('Historical Data'!$Y$2:$Y$1068,MATCH($A14,'Historical Data'!$BE$2:$BE$1068,0)),"")</f>
        <v>General Building Contractors</v>
      </c>
      <c r="H14" s="106" t="str">
        <f aca="false">IFERROR(INDEX('Historical Data'!$K$2:$K$1068,MATCH($A14,'Historical Data'!$BE$2:$BE$1068,0)),"")</f>
        <v>FIMACAP INC</v>
      </c>
      <c r="I14" s="106" t="str">
        <f aca="false">IFERROR(INDEX('Historical Data'!$J$2:$J$1068,MATCH($A14,'Historical Data'!$BE$2:$BE$1068,0)),"")</f>
        <v>AZ</v>
      </c>
      <c r="J14" s="106" t="str">
        <f aca="false">IFERROR(INDEX('Historical Data'!$L$2:$L$1068,MATCH($A14,'Historical Data'!$BE$2:$BE$1068,0)),"")</f>
        <v>New Deal</v>
      </c>
      <c r="K14" s="108" t="n">
        <f aca="false">IFERROR(INDEX('Historical Data'!$M$2:$M$1068,MATCH($A14,'Historical Data'!$BE$2:$BE$1068,0)),"")</f>
        <v>1.35</v>
      </c>
      <c r="L14" s="109" t="n">
        <f aca="false">IFERROR(INDEX('Historical Data'!$N$2:$N$1068,MATCH($A14,'Historical Data'!$BE$2:$BE$1068,0)),"")</f>
        <v>20000</v>
      </c>
      <c r="M14" s="109" t="n">
        <f aca="false">IFERROR(INDEX('Historical Data'!$Q$2:$Q$1068,MATCH($A14,'Historical Data'!$BE$2:$BE$1068,0)),"")</f>
        <v>27000</v>
      </c>
      <c r="N14" s="110" t="n">
        <f aca="false">IFERROR(INDEX('Historical Data'!$S$2:$S$1068,MATCH($A14,'Historical Data'!$BE$2:$BE$1068,0)),"")</f>
        <v>1</v>
      </c>
      <c r="O14" s="109" t="n">
        <f aca="false">IFERROR(INDEX('Historical Data'!$AJ$2:$AJ$1068,MATCH($A14,'Historical Data'!$BE$2:$BE$1068,0)),"")</f>
        <v>7000</v>
      </c>
      <c r="P14" s="109" t="n">
        <f aca="false">IFERROR(INDEX('Historical Data'!$AK$2:$AK$1068,MATCH($A14,'Historical Data'!$BE$2:$BE$1068,0)),"")</f>
        <v>0</v>
      </c>
      <c r="Q14" s="106" t="n">
        <f aca="false">IFERROR(INDEX('Historical Data'!$AA$2:$AA$1068,MATCH($A14,'Historical Data'!$BE$2:$BE$1068,0)),"")</f>
        <v>110</v>
      </c>
      <c r="R14" s="106" t="n">
        <f aca="false">IFERROR(INDEX('Historical Data'!$AB$2:$AB$1068,MATCH($A14,'Historical Data'!$BE$2:$BE$1068,0)),"")</f>
        <v>236</v>
      </c>
      <c r="S14" s="106" t="n">
        <f aca="false">IFERROR(INDEX('Historical Data'!$AN$2:$AN$1068,MATCH($A14,'Historical Data'!$BE$2:$BE$1068,0)),"")</f>
        <v>110</v>
      </c>
      <c r="T14" s="106" t="n">
        <f aca="false">IFERROR(INDEX('Historical Data'!$AC$2:$AC$1068,MATCH($A14,'Historical Data'!$BE$2:$BE$1068,0)),"")</f>
        <v>1</v>
      </c>
      <c r="U14" s="106" t="n">
        <f aca="false">IFERROR(INDEX('Historical Data'!$AE$2:$AE$1068,MATCH($A14,'Historical Data'!$BE$2:$BE$1068,0)),"")</f>
        <v>0</v>
      </c>
      <c r="V14" s="106" t="n">
        <f aca="false">IFERROR(INDEX('Historical Data'!$AH$2:$AH$1068,MATCH($A14,'Historical Data'!$BE$2:$BE$1068,0)),"")</f>
        <v>0</v>
      </c>
      <c r="W14" s="106" t="n">
        <f aca="false">IFERROR(INDEX('Historical Data'!$BC$2:$BC$1068,MATCH($A14,'Historical Data'!$BE$2:$BE$1068,0)),"")</f>
        <v>1</v>
      </c>
      <c r="X14" s="105" t="str">
        <f aca="false">IF(B14="","",IF(W14=1,"NR + industry + position",IF(W14=2,"NR + ISO + position",IF(W14=3,"NR + industry",IF(W14=4,"NR + ISO",IF(W14=5,"NR + position",IF(W14=6,"NR only","book baseline"))))))&amp;"  ["&amp;IF(T14=1,"seasoned","unseasoned")&amp;IF(U14=1,", defaulted","")&amp;IF(V14=1,", open","")&amp;"]")</f>
        <v>NR + industry + position  [seasoned]</v>
      </c>
    </row>
    <row r="15" customFormat="false" ht="15" hidden="false" customHeight="false" outlineLevel="0" collapsed="false">
      <c r="A15" s="105" t="n">
        <v>11</v>
      </c>
      <c r="B15" s="106" t="str">
        <f aca="false">IFERROR(INDEX('Historical Data'!$A$2:$A$1068,MATCH($A15,'Historical Data'!$BE$2:$BE$1068,0)),"")</f>
        <v>5674167409</v>
      </c>
      <c r="C15" s="106" t="str">
        <f aca="false">IFERROR(INDEX('Historical Data'!$B$2:$B$1068,MATCH($A15,'Historical Data'!$BE$2:$BE$1068,0)),"")</f>
        <v>Cincinnati Home Remodelation LLC</v>
      </c>
      <c r="D15" s="106" t="str">
        <f aca="false">IFERROR(INDEX('Historical Data'!$D$2:$D$1068,MATCH($A15,'Historical Data'!$BE$2:$BE$1068,0)),"")</f>
        <v>Legal</v>
      </c>
      <c r="E15" s="107" t="n">
        <f aca="false">IFERROR(INDEX('Historical Data'!$E$2:$E$1068,MATCH($A15,'Historical Data'!$BE$2:$BE$1068,0)),"")</f>
        <v>45926</v>
      </c>
      <c r="F15" s="106" t="n">
        <f aca="false">IFERROR(INDEX('Historical Data'!$G$2:$G$1068,MATCH($A15,'Historical Data'!$BE$2:$BE$1068,0)),"")</f>
        <v>2</v>
      </c>
      <c r="G15" s="106" t="str">
        <f aca="false">IFERROR(INDEX('Historical Data'!$Y$2:$Y$1068,MATCH($A15,'Historical Data'!$BE$2:$BE$1068,0)),"")</f>
        <v>General Building Contractors</v>
      </c>
      <c r="H15" s="106" t="str">
        <f aca="false">IFERROR(INDEX('Historical Data'!$K$2:$K$1068,MATCH($A15,'Historical Data'!$BE$2:$BE$1068,0)),"")</f>
        <v>United Secured Capital 8</v>
      </c>
      <c r="I15" s="106" t="str">
        <f aca="false">IFERROR(INDEX('Historical Data'!$J$2:$J$1068,MATCH($A15,'Historical Data'!$BE$2:$BE$1068,0)),"")</f>
        <v>OH</v>
      </c>
      <c r="J15" s="106" t="str">
        <f aca="false">IFERROR(INDEX('Historical Data'!$L$2:$L$1068,MATCH($A15,'Historical Data'!$BE$2:$BE$1068,0)),"")</f>
        <v>New Deal</v>
      </c>
      <c r="K15" s="108" t="n">
        <f aca="false">IFERROR(INDEX('Historical Data'!$M$2:$M$1068,MATCH($A15,'Historical Data'!$BE$2:$BE$1068,0)),"")</f>
        <v>1.499</v>
      </c>
      <c r="L15" s="109" t="n">
        <f aca="false">IFERROR(INDEX('Historical Data'!$N$2:$N$1068,MATCH($A15,'Historical Data'!$BE$2:$BE$1068,0)),"")</f>
        <v>7000</v>
      </c>
      <c r="M15" s="109" t="n">
        <f aca="false">IFERROR(INDEX('Historical Data'!$Q$2:$Q$1068,MATCH($A15,'Historical Data'!$BE$2:$BE$1068,0)),"")</f>
        <v>3913.5</v>
      </c>
      <c r="N15" s="110" t="n">
        <f aca="false">IFERROR(INDEX('Historical Data'!$S$2:$S$1068,MATCH($A15,'Historical Data'!$BE$2:$BE$1068,0)),"")</f>
        <v>0.372962927666063</v>
      </c>
      <c r="O15" s="109" t="n">
        <f aca="false">IFERROR(INDEX('Historical Data'!$AJ$2:$AJ$1068,MATCH($A15,'Historical Data'!$BE$2:$BE$1068,0)),"")</f>
        <v>-3086.5</v>
      </c>
      <c r="P15" s="109" t="n">
        <f aca="false">IFERROR(INDEX('Historical Data'!$AK$2:$AK$1068,MATCH($A15,'Historical Data'!$BE$2:$BE$1068,0)),"")</f>
        <v>3086.5</v>
      </c>
      <c r="Q15" s="106" t="n">
        <f aca="false">IFERROR(INDEX('Historical Data'!$AA$2:$AA$1068,MATCH($A15,'Historical Data'!$BE$2:$BE$1068,0)),"")</f>
        <v>56.801065</v>
      </c>
      <c r="R15" s="106" t="n">
        <f aca="false">IFERROR(INDEX('Historical Data'!$AB$2:$AB$1068,MATCH($A15,'Historical Data'!$BE$2:$BE$1068,0)),"")</f>
        <v>229</v>
      </c>
      <c r="S15" s="106" t="n">
        <f aca="false">IFERROR(INDEX('Historical Data'!$AN$2:$AN$1068,MATCH($A15,'Historical Data'!$BE$2:$BE$1068,0)),"")</f>
        <v>54</v>
      </c>
      <c r="T15" s="106" t="n">
        <f aca="false">IFERROR(INDEX('Historical Data'!$AC$2:$AC$1068,MATCH($A15,'Historical Data'!$BE$2:$BE$1068,0)),"")</f>
        <v>1</v>
      </c>
      <c r="U15" s="106" t="n">
        <f aca="false">IFERROR(INDEX('Historical Data'!$AE$2:$AE$1068,MATCH($A15,'Historical Data'!$BE$2:$BE$1068,0)),"")</f>
        <v>1</v>
      </c>
      <c r="V15" s="106" t="n">
        <f aca="false">IFERROR(INDEX('Historical Data'!$AH$2:$AH$1068,MATCH($A15,'Historical Data'!$BE$2:$BE$1068,0)),"")</f>
        <v>0</v>
      </c>
      <c r="W15" s="106" t="n">
        <f aca="false">IFERROR(INDEX('Historical Data'!$BC$2:$BC$1068,MATCH($A15,'Historical Data'!$BE$2:$BE$1068,0)),"")</f>
        <v>1</v>
      </c>
      <c r="X15" s="105" t="str">
        <f aca="false">IF(B15="","",IF(W15=1,"NR + industry + position",IF(W15=2,"NR + ISO + position",IF(W15=3,"NR + industry",IF(W15=4,"NR + ISO",IF(W15=5,"NR + position",IF(W15=6,"NR only","book baseline"))))))&amp;"  ["&amp;IF(T15=1,"seasoned","unseasoned")&amp;IF(U15=1,", defaulted","")&amp;IF(V15=1,", open","")&amp;"]")</f>
        <v>NR + industry + position  [seasoned, defaulted]</v>
      </c>
    </row>
    <row r="16" customFormat="false" ht="15" hidden="false" customHeight="false" outlineLevel="0" collapsed="false">
      <c r="A16" s="105" t="n">
        <v>12</v>
      </c>
      <c r="B16" s="106" t="str">
        <f aca="false">IFERROR(INDEX('Historical Data'!$A$2:$A$1068,MATCH($A16,'Historical Data'!$BE$2:$BE$1068,0)),"")</f>
        <v>5674169346</v>
      </c>
      <c r="C16" s="106" t="str">
        <f aca="false">IFERROR(INDEX('Historical Data'!$B$2:$B$1068,MATCH($A16,'Historical Data'!$BE$2:$BE$1068,0)),"")</f>
        <v>Robs Flooring LLC</v>
      </c>
      <c r="D16" s="106" t="str">
        <f aca="false">IFERROR(INDEX('Historical Data'!$D$2:$D$1068,MATCH($A16,'Historical Data'!$BE$2:$BE$1068,0)),"")</f>
        <v>In House Collection</v>
      </c>
      <c r="E16" s="107" t="n">
        <f aca="false">IFERROR(INDEX('Historical Data'!$E$2:$E$1068,MATCH($A16,'Historical Data'!$BE$2:$BE$1068,0)),"")</f>
        <v>45958</v>
      </c>
      <c r="F16" s="106" t="n">
        <f aca="false">IFERROR(INDEX('Historical Data'!$G$2:$G$1068,MATCH($A16,'Historical Data'!$BE$2:$BE$1068,0)),"")</f>
        <v>2</v>
      </c>
      <c r="G16" s="106" t="str">
        <f aca="false">IFERROR(INDEX('Historical Data'!$Y$2:$Y$1068,MATCH($A16,'Historical Data'!$BE$2:$BE$1068,0)),"")</f>
        <v>General Building Contractors</v>
      </c>
      <c r="H16" s="106" t="str">
        <f aca="false">IFERROR(INDEX('Historical Data'!$K$2:$K$1068,MATCH($A16,'Historical Data'!$BE$2:$BE$1068,0)),"")</f>
        <v>Llama Loan</v>
      </c>
      <c r="I16" s="106" t="str">
        <f aca="false">IFERROR(INDEX('Historical Data'!$J$2:$J$1068,MATCH($A16,'Historical Data'!$BE$2:$BE$1068,0)),"")</f>
        <v>MI</v>
      </c>
      <c r="J16" s="106" t="str">
        <f aca="false">IFERROR(INDEX('Historical Data'!$L$2:$L$1068,MATCH($A16,'Historical Data'!$BE$2:$BE$1068,0)),"")</f>
        <v>New Deal</v>
      </c>
      <c r="K16" s="108" t="n">
        <f aca="false">IFERROR(INDEX('Historical Data'!$M$2:$M$1068,MATCH($A16,'Historical Data'!$BE$2:$BE$1068,0)),"")</f>
        <v>1.45</v>
      </c>
      <c r="L16" s="109" t="n">
        <f aca="false">IFERROR(INDEX('Historical Data'!$N$2:$N$1068,MATCH($A16,'Historical Data'!$BE$2:$BE$1068,0)),"")</f>
        <v>3500</v>
      </c>
      <c r="M16" s="109" t="n">
        <f aca="false">IFERROR(INDEX('Historical Data'!$Q$2:$Q$1068,MATCH($A16,'Historical Data'!$BE$2:$BE$1068,0)),"")</f>
        <v>2067.06</v>
      </c>
      <c r="N16" s="110" t="n">
        <f aca="false">IFERROR(INDEX('Historical Data'!$S$2:$S$1068,MATCH($A16,'Historical Data'!$BE$2:$BE$1068,0)),"")</f>
        <v>0.407302463054187</v>
      </c>
      <c r="O16" s="109" t="n">
        <f aca="false">IFERROR(INDEX('Historical Data'!$AJ$2:$AJ$1068,MATCH($A16,'Historical Data'!$BE$2:$BE$1068,0)),"")</f>
        <v>-1432.94</v>
      </c>
      <c r="P16" s="109" t="n">
        <f aca="false">IFERROR(INDEX('Historical Data'!$AK$2:$AK$1068,MATCH($A16,'Historical Data'!$BE$2:$BE$1068,0)),"")</f>
        <v>1432.94</v>
      </c>
      <c r="Q16" s="106" t="n">
        <f aca="false">IFERROR(INDEX('Historical Data'!$AA$2:$AA$1068,MATCH($A16,'Historical Data'!$BE$2:$BE$1068,0)),"")</f>
        <v>80</v>
      </c>
      <c r="R16" s="106" t="n">
        <f aca="false">IFERROR(INDEX('Historical Data'!$AB$2:$AB$1068,MATCH($A16,'Historical Data'!$BE$2:$BE$1068,0)),"")</f>
        <v>208</v>
      </c>
      <c r="S16" s="106" t="n">
        <f aca="false">IFERROR(INDEX('Historical Data'!$AN$2:$AN$1068,MATCH($A16,'Historical Data'!$BE$2:$BE$1068,0)),"")</f>
        <v>201</v>
      </c>
      <c r="T16" s="106" t="n">
        <f aca="false">IFERROR(INDEX('Historical Data'!$AC$2:$AC$1068,MATCH($A16,'Historical Data'!$BE$2:$BE$1068,0)),"")</f>
        <v>1</v>
      </c>
      <c r="U16" s="106" t="n">
        <f aca="false">IFERROR(INDEX('Historical Data'!$AE$2:$AE$1068,MATCH($A16,'Historical Data'!$BE$2:$BE$1068,0)),"")</f>
        <v>1</v>
      </c>
      <c r="V16" s="106" t="n">
        <f aca="false">IFERROR(INDEX('Historical Data'!$AH$2:$AH$1068,MATCH($A16,'Historical Data'!$BE$2:$BE$1068,0)),"")</f>
        <v>0</v>
      </c>
      <c r="W16" s="106" t="n">
        <f aca="false">IFERROR(INDEX('Historical Data'!$BC$2:$BC$1068,MATCH($A16,'Historical Data'!$BE$2:$BE$1068,0)),"")</f>
        <v>1</v>
      </c>
      <c r="X16" s="105" t="str">
        <f aca="false">IF(B16="","",IF(W16=1,"NR + industry + position",IF(W16=2,"NR + ISO + position",IF(W16=3,"NR + industry",IF(W16=4,"NR + ISO",IF(W16=5,"NR + position",IF(W16=6,"NR only","book baseline"))))))&amp;"  ["&amp;IF(T16=1,"seasoned","unseasoned")&amp;IF(U16=1,", defaulted","")&amp;IF(V16=1,", open","")&amp;"]")</f>
        <v>NR + industry + position  [seasoned, defaulted]</v>
      </c>
    </row>
    <row r="17" customFormat="false" ht="15" hidden="false" customHeight="false" outlineLevel="0" collapsed="false">
      <c r="A17" s="105" t="n">
        <v>13</v>
      </c>
      <c r="B17" s="106" t="str">
        <f aca="false">IFERROR(INDEX('Historical Data'!$A$2:$A$1068,MATCH($A17,'Historical Data'!$BE$2:$BE$1068,0)),"")</f>
        <v>5674171177</v>
      </c>
      <c r="C17" s="106" t="str">
        <f aca="false">IFERROR(INDEX('Historical Data'!$B$2:$B$1068,MATCH($A17,'Historical Data'!$BE$2:$BE$1068,0)),"")</f>
        <v>Quality NE</v>
      </c>
      <c r="D17" s="106" t="str">
        <f aca="false">IFERROR(INDEX('Historical Data'!$D$2:$D$1068,MATCH($A17,'Historical Data'!$BE$2:$BE$1068,0)),"")</f>
        <v>Legal</v>
      </c>
      <c r="E17" s="107" t="n">
        <f aca="false">IFERROR(INDEX('Historical Data'!$E$2:$E$1068,MATCH($A17,'Historical Data'!$BE$2:$BE$1068,0)),"")</f>
        <v>45973</v>
      </c>
      <c r="F17" s="106" t="n">
        <f aca="false">IFERROR(INDEX('Historical Data'!$G$2:$G$1068,MATCH($A17,'Historical Data'!$BE$2:$BE$1068,0)),"")</f>
        <v>2</v>
      </c>
      <c r="G17" s="106" t="str">
        <f aca="false">IFERROR(INDEX('Historical Data'!$Y$2:$Y$1068,MATCH($A17,'Historical Data'!$BE$2:$BE$1068,0)),"")</f>
        <v>General Building Contractors</v>
      </c>
      <c r="H17" s="106" t="str">
        <f aca="false">IFERROR(INDEX('Historical Data'!$K$2:$K$1068,MATCH($A17,'Historical Data'!$BE$2:$BE$1068,0)),"")</f>
        <v>Shore Funding USA</v>
      </c>
      <c r="I17" s="106" t="str">
        <f aca="false">IFERROR(INDEX('Historical Data'!$J$2:$J$1068,MATCH($A17,'Historical Data'!$BE$2:$BE$1068,0)),"")</f>
        <v>RI</v>
      </c>
      <c r="J17" s="106" t="str">
        <f aca="false">IFERROR(INDEX('Historical Data'!$L$2:$L$1068,MATCH($A17,'Historical Data'!$BE$2:$BE$1068,0)),"")</f>
        <v>New Deal</v>
      </c>
      <c r="K17" s="108" t="n">
        <f aca="false">IFERROR(INDEX('Historical Data'!$M$2:$M$1068,MATCH($A17,'Historical Data'!$BE$2:$BE$1068,0)),"")</f>
        <v>1.49</v>
      </c>
      <c r="L17" s="109" t="n">
        <f aca="false">IFERROR(INDEX('Historical Data'!$N$2:$N$1068,MATCH($A17,'Historical Data'!$BE$2:$BE$1068,0)),"")</f>
        <v>20000</v>
      </c>
      <c r="M17" s="109" t="n">
        <f aca="false">IFERROR(INDEX('Historical Data'!$Q$2:$Q$1068,MATCH($A17,'Historical Data'!$BE$2:$BE$1068,0)),"")</f>
        <v>0</v>
      </c>
      <c r="N17" s="110" t="n">
        <f aca="false">IFERROR(INDEX('Historical Data'!$S$2:$S$1068,MATCH($A17,'Historical Data'!$BE$2:$BE$1068,0)),"")</f>
        <v>0</v>
      </c>
      <c r="O17" s="109" t="n">
        <f aca="false">IFERROR(INDEX('Historical Data'!$AJ$2:$AJ$1068,MATCH($A17,'Historical Data'!$BE$2:$BE$1068,0)),"")</f>
        <v>-20000</v>
      </c>
      <c r="P17" s="109" t="n">
        <f aca="false">IFERROR(INDEX('Historical Data'!$AK$2:$AK$1068,MATCH($A17,'Historical Data'!$BE$2:$BE$1068,0)),"")</f>
        <v>20000</v>
      </c>
      <c r="Q17" s="106" t="n">
        <f aca="false">IFERROR(INDEX('Historical Data'!$AA$2:$AA$1068,MATCH($A17,'Historical Data'!$BE$2:$BE$1068,0)),"")</f>
        <v>100</v>
      </c>
      <c r="R17" s="106" t="n">
        <f aca="false">IFERROR(INDEX('Historical Data'!$AB$2:$AB$1068,MATCH($A17,'Historical Data'!$BE$2:$BE$1068,0)),"")</f>
        <v>198</v>
      </c>
      <c r="S17" s="106" t="n">
        <f aca="false">IFERROR(INDEX('Historical Data'!$AN$2:$AN$1068,MATCH($A17,'Historical Data'!$BE$2:$BE$1068,0)),"")</f>
        <v>50</v>
      </c>
      <c r="T17" s="106" t="n">
        <f aca="false">IFERROR(INDEX('Historical Data'!$AC$2:$AC$1068,MATCH($A17,'Historical Data'!$BE$2:$BE$1068,0)),"")</f>
        <v>1</v>
      </c>
      <c r="U17" s="106" t="n">
        <f aca="false">IFERROR(INDEX('Historical Data'!$AE$2:$AE$1068,MATCH($A17,'Historical Data'!$BE$2:$BE$1068,0)),"")</f>
        <v>1</v>
      </c>
      <c r="V17" s="106" t="n">
        <f aca="false">IFERROR(INDEX('Historical Data'!$AH$2:$AH$1068,MATCH($A17,'Historical Data'!$BE$2:$BE$1068,0)),"")</f>
        <v>0</v>
      </c>
      <c r="W17" s="106" t="n">
        <f aca="false">IFERROR(INDEX('Historical Data'!$BC$2:$BC$1068,MATCH($A17,'Historical Data'!$BE$2:$BE$1068,0)),"")</f>
        <v>1</v>
      </c>
      <c r="X17" s="105" t="str">
        <f aca="false">IF(B17="","",IF(W17=1,"NR + industry + position",IF(W17=2,"NR + ISO + position",IF(W17=3,"NR + industry",IF(W17=4,"NR + ISO",IF(W17=5,"NR + position",IF(W17=6,"NR only","book baseline"))))))&amp;"  ["&amp;IF(T17=1,"seasoned","unseasoned")&amp;IF(U17=1,", defaulted","")&amp;IF(V17=1,", open","")&amp;"]")</f>
        <v>NR + industry + position  [seasoned, defaulted]</v>
      </c>
    </row>
    <row r="18" customFormat="false" ht="15" hidden="false" customHeight="false" outlineLevel="0" collapsed="false">
      <c r="A18" s="105" t="n">
        <v>14</v>
      </c>
      <c r="B18" s="106" t="str">
        <f aca="false">IFERROR(INDEX('Historical Data'!$A$2:$A$1068,MATCH($A18,'Historical Data'!$BE$2:$BE$1068,0)),"")</f>
        <v>5674171598</v>
      </c>
      <c r="C18" s="106" t="str">
        <f aca="false">IFERROR(INDEX('Historical Data'!$B$2:$B$1068,MATCH($A18,'Historical Data'!$BE$2:$BE$1068,0)),"")</f>
        <v>FOOTS CONSTRUCTION</v>
      </c>
      <c r="D18" s="106" t="str">
        <f aca="false">IFERROR(INDEX('Historical Data'!$D$2:$D$1068,MATCH($A18,'Historical Data'!$BE$2:$BE$1068,0)),"")</f>
        <v>Legal</v>
      </c>
      <c r="E18" s="107" t="n">
        <f aca="false">IFERROR(INDEX('Historical Data'!$E$2:$E$1068,MATCH($A18,'Historical Data'!$BE$2:$BE$1068,0)),"")</f>
        <v>45979</v>
      </c>
      <c r="F18" s="106" t="n">
        <f aca="false">IFERROR(INDEX('Historical Data'!$G$2:$G$1068,MATCH($A18,'Historical Data'!$BE$2:$BE$1068,0)),"")</f>
        <v>2</v>
      </c>
      <c r="G18" s="106" t="str">
        <f aca="false">IFERROR(INDEX('Historical Data'!$Y$2:$Y$1068,MATCH($A18,'Historical Data'!$BE$2:$BE$1068,0)),"")</f>
        <v>General Building Contractors</v>
      </c>
      <c r="H18" s="106" t="str">
        <f aca="false">IFERROR(INDEX('Historical Data'!$K$2:$K$1068,MATCH($A18,'Historical Data'!$BE$2:$BE$1068,0)),"")</f>
        <v>Secure Capital Solutions 7</v>
      </c>
      <c r="I18" s="106" t="str">
        <f aca="false">IFERROR(INDEX('Historical Data'!$J$2:$J$1068,MATCH($A18,'Historical Data'!$BE$2:$BE$1068,0)),"")</f>
        <v>GA</v>
      </c>
      <c r="J18" s="106" t="str">
        <f aca="false">IFERROR(INDEX('Historical Data'!$L$2:$L$1068,MATCH($A18,'Historical Data'!$BE$2:$BE$1068,0)),"")</f>
        <v>New Deal</v>
      </c>
      <c r="K18" s="108" t="n">
        <f aca="false">IFERROR(INDEX('Historical Data'!$M$2:$M$1068,MATCH($A18,'Historical Data'!$BE$2:$BE$1068,0)),"")</f>
        <v>1.499</v>
      </c>
      <c r="L18" s="109" t="n">
        <f aca="false">IFERROR(INDEX('Historical Data'!$N$2:$N$1068,MATCH($A18,'Historical Data'!$BE$2:$BE$1068,0)),"")</f>
        <v>5000</v>
      </c>
      <c r="M18" s="109" t="n">
        <f aca="false">IFERROR(INDEX('Historical Data'!$Q$2:$Q$1068,MATCH($A18,'Historical Data'!$BE$2:$BE$1068,0)),"")</f>
        <v>653.52</v>
      </c>
      <c r="N18" s="110" t="n">
        <f aca="false">IFERROR(INDEX('Historical Data'!$S$2:$S$1068,MATCH($A18,'Historical Data'!$BE$2:$BE$1068,0)),"")</f>
        <v>0.0871941294196131</v>
      </c>
      <c r="O18" s="109" t="n">
        <f aca="false">IFERROR(INDEX('Historical Data'!$AJ$2:$AJ$1068,MATCH($A18,'Historical Data'!$BE$2:$BE$1068,0)),"")</f>
        <v>-4346.48</v>
      </c>
      <c r="P18" s="109" t="n">
        <f aca="false">IFERROR(INDEX('Historical Data'!$AK$2:$AK$1068,MATCH($A18,'Historical Data'!$BE$2:$BE$1068,0)),"")</f>
        <v>4346.48</v>
      </c>
      <c r="Q18" s="106" t="n">
        <f aca="false">IFERROR(INDEX('Historical Data'!$AA$2:$AA$1068,MATCH($A18,'Historical Data'!$BE$2:$BE$1068,0)),"")</f>
        <v>56.801065</v>
      </c>
      <c r="R18" s="106" t="n">
        <f aca="false">IFERROR(INDEX('Historical Data'!$AB$2:$AB$1068,MATCH($A18,'Historical Data'!$BE$2:$BE$1068,0)),"")</f>
        <v>194</v>
      </c>
      <c r="S18" s="106" t="n">
        <f aca="false">IFERROR(INDEX('Historical Data'!$AN$2:$AN$1068,MATCH($A18,'Historical Data'!$BE$2:$BE$1068,0)),"")</f>
        <v>39</v>
      </c>
      <c r="T18" s="106" t="n">
        <f aca="false">IFERROR(INDEX('Historical Data'!$AC$2:$AC$1068,MATCH($A18,'Historical Data'!$BE$2:$BE$1068,0)),"")</f>
        <v>1</v>
      </c>
      <c r="U18" s="106" t="n">
        <f aca="false">IFERROR(INDEX('Historical Data'!$AE$2:$AE$1068,MATCH($A18,'Historical Data'!$BE$2:$BE$1068,0)),"")</f>
        <v>1</v>
      </c>
      <c r="V18" s="106" t="n">
        <f aca="false">IFERROR(INDEX('Historical Data'!$AH$2:$AH$1068,MATCH($A18,'Historical Data'!$BE$2:$BE$1068,0)),"")</f>
        <v>0</v>
      </c>
      <c r="W18" s="106" t="n">
        <f aca="false">IFERROR(INDEX('Historical Data'!$BC$2:$BC$1068,MATCH($A18,'Historical Data'!$BE$2:$BE$1068,0)),"")</f>
        <v>1</v>
      </c>
      <c r="X18" s="105" t="str">
        <f aca="false">IF(B18="","",IF(W18=1,"NR + industry + position",IF(W18=2,"NR + ISO + position",IF(W18=3,"NR + industry",IF(W18=4,"NR + ISO",IF(W18=5,"NR + position",IF(W18=6,"NR only","book baseline"))))))&amp;"  ["&amp;IF(T18=1,"seasoned","unseasoned")&amp;IF(U18=1,", defaulted","")&amp;IF(V18=1,", open","")&amp;"]")</f>
        <v>NR + industry + position  [seasoned, defaulted]</v>
      </c>
    </row>
    <row r="19" customFormat="false" ht="15" hidden="false" customHeight="false" outlineLevel="0" collapsed="false">
      <c r="A19" s="105" t="n">
        <v>15</v>
      </c>
      <c r="B19" s="106" t="str">
        <f aca="false">IFERROR(INDEX('Historical Data'!$A$2:$A$1068,MATCH($A19,'Historical Data'!$BE$2:$BE$1068,0)),"")</f>
        <v>5674172831</v>
      </c>
      <c r="C19" s="106" t="str">
        <f aca="false">IFERROR(INDEX('Historical Data'!$B$2:$B$1068,MATCH($A19,'Historical Data'!$BE$2:$BE$1068,0)),"")</f>
        <v>PROFIX</v>
      </c>
      <c r="D19" s="106" t="str">
        <f aca="false">IFERROR(INDEX('Historical Data'!$D$2:$D$1068,MATCH($A19,'Historical Data'!$BE$2:$BE$1068,0)),"")</f>
        <v>Open</v>
      </c>
      <c r="E19" s="107" t="n">
        <f aca="false">IFERROR(INDEX('Historical Data'!$E$2:$E$1068,MATCH($A19,'Historical Data'!$BE$2:$BE$1068,0)),"")</f>
        <v>45986</v>
      </c>
      <c r="F19" s="106" t="n">
        <f aca="false">IFERROR(INDEX('Historical Data'!$G$2:$G$1068,MATCH($A19,'Historical Data'!$BE$2:$BE$1068,0)),"")</f>
        <v>2</v>
      </c>
      <c r="G19" s="106" t="str">
        <f aca="false">IFERROR(INDEX('Historical Data'!$Y$2:$Y$1068,MATCH($A19,'Historical Data'!$BE$2:$BE$1068,0)),"")</f>
        <v>General Building Contractors</v>
      </c>
      <c r="H19" s="106" t="str">
        <f aca="false">IFERROR(INDEX('Historical Data'!$K$2:$K$1068,MATCH($A19,'Historical Data'!$BE$2:$BE$1068,0)),"")</f>
        <v>Platform Funding</v>
      </c>
      <c r="I19" s="106" t="str">
        <f aca="false">IFERROR(INDEX('Historical Data'!$J$2:$J$1068,MATCH($A19,'Historical Data'!$BE$2:$BE$1068,0)),"")</f>
        <v>TX</v>
      </c>
      <c r="J19" s="106" t="str">
        <f aca="false">IFERROR(INDEX('Historical Data'!$L$2:$L$1068,MATCH($A19,'Historical Data'!$BE$2:$BE$1068,0)),"")</f>
        <v>New Deal</v>
      </c>
      <c r="K19" s="108" t="n">
        <f aca="false">IFERROR(INDEX('Historical Data'!$M$2:$M$1068,MATCH($A19,'Historical Data'!$BE$2:$BE$1068,0)),"")</f>
        <v>1.499</v>
      </c>
      <c r="L19" s="109" t="n">
        <f aca="false">IFERROR(INDEX('Historical Data'!$N$2:$N$1068,MATCH($A19,'Historical Data'!$BE$2:$BE$1068,0)),"")</f>
        <v>20000</v>
      </c>
      <c r="M19" s="109" t="n">
        <f aca="false">IFERROR(INDEX('Historical Data'!$Q$2:$Q$1068,MATCH($A19,'Historical Data'!$BE$2:$BE$1068,0)),"")</f>
        <v>25246.76</v>
      </c>
      <c r="N19" s="110" t="n">
        <f aca="false">IFERROR(INDEX('Historical Data'!$S$2:$S$1068,MATCH($A19,'Historical Data'!$BE$2:$BE$1068,0)),"")</f>
        <v>0.842120080053369</v>
      </c>
      <c r="O19" s="109" t="n">
        <f aca="false">IFERROR(INDEX('Historical Data'!$AJ$2:$AJ$1068,MATCH($A19,'Historical Data'!$BE$2:$BE$1068,0)),"")</f>
        <v>5246.76</v>
      </c>
      <c r="P19" s="109" t="n">
        <f aca="false">IFERROR(INDEX('Historical Data'!$AK$2:$AK$1068,MATCH($A19,'Historical Data'!$BE$2:$BE$1068,0)),"")</f>
        <v>0</v>
      </c>
      <c r="Q19" s="106" t="n">
        <f aca="false">IFERROR(INDEX('Historical Data'!$AA$2:$AA$1068,MATCH($A19,'Historical Data'!$BE$2:$BE$1068,0)),"")</f>
        <v>130</v>
      </c>
      <c r="R19" s="106" t="n">
        <f aca="false">IFERROR(INDEX('Historical Data'!$AB$2:$AB$1068,MATCH($A19,'Historical Data'!$BE$2:$BE$1068,0)),"")</f>
        <v>189</v>
      </c>
      <c r="S19" s="106" t="n">
        <f aca="false">IFERROR(INDEX('Historical Data'!$AN$2:$AN$1068,MATCH($A19,'Historical Data'!$BE$2:$BE$1068,0)),"")</f>
        <v>183</v>
      </c>
      <c r="T19" s="106" t="n">
        <f aca="false">IFERROR(INDEX('Historical Data'!$AC$2:$AC$1068,MATCH($A19,'Historical Data'!$BE$2:$BE$1068,0)),"")</f>
        <v>1</v>
      </c>
      <c r="U19" s="106" t="n">
        <f aca="false">IFERROR(INDEX('Historical Data'!$AE$2:$AE$1068,MATCH($A19,'Historical Data'!$BE$2:$BE$1068,0)),"")</f>
        <v>0</v>
      </c>
      <c r="V19" s="106" t="n">
        <f aca="false">IFERROR(INDEX('Historical Data'!$AH$2:$AH$1068,MATCH($A19,'Historical Data'!$BE$2:$BE$1068,0)),"")</f>
        <v>1</v>
      </c>
      <c r="W19" s="106" t="n">
        <f aca="false">IFERROR(INDEX('Historical Data'!$BC$2:$BC$1068,MATCH($A19,'Historical Data'!$BE$2:$BE$1068,0)),"")</f>
        <v>1</v>
      </c>
      <c r="X19" s="105" t="str">
        <f aca="false">IF(B19="","",IF(W19=1,"NR + industry + position",IF(W19=2,"NR + ISO + position",IF(W19=3,"NR + industry",IF(W19=4,"NR + ISO",IF(W19=5,"NR + position",IF(W19=6,"NR only","book baseline"))))))&amp;"  ["&amp;IF(T19=1,"seasoned","unseasoned")&amp;IF(U19=1,", defaulted","")&amp;IF(V19=1,", open","")&amp;"]")</f>
        <v>NR + industry + position  [seasoned, open]</v>
      </c>
    </row>
    <row r="20" customFormat="false" ht="15" hidden="false" customHeight="false" outlineLevel="0" collapsed="false">
      <c r="A20" s="105" t="n">
        <v>16</v>
      </c>
      <c r="B20" s="106" t="str">
        <f aca="false">IFERROR(INDEX('Historical Data'!$A$2:$A$1068,MATCH($A20,'Historical Data'!$BE$2:$BE$1068,0)),"")</f>
        <v>5674173477</v>
      </c>
      <c r="C20" s="106" t="str">
        <f aca="false">IFERROR(INDEX('Historical Data'!$B$2:$B$1068,MATCH($A20,'Historical Data'!$BE$2:$BE$1068,0)),"")</f>
        <v>SFV BUILDERS CORPORATION</v>
      </c>
      <c r="D20" s="106" t="str">
        <f aca="false">IFERROR(INDEX('Historical Data'!$D$2:$D$1068,MATCH($A20,'Historical Data'!$BE$2:$BE$1068,0)),"")</f>
        <v>Legal</v>
      </c>
      <c r="E20" s="107" t="n">
        <f aca="false">IFERROR(INDEX('Historical Data'!$E$2:$E$1068,MATCH($A20,'Historical Data'!$BE$2:$BE$1068,0)),"")</f>
        <v>45995</v>
      </c>
      <c r="F20" s="106" t="n">
        <f aca="false">IFERROR(INDEX('Historical Data'!$G$2:$G$1068,MATCH($A20,'Historical Data'!$BE$2:$BE$1068,0)),"")</f>
        <v>2</v>
      </c>
      <c r="G20" s="106" t="str">
        <f aca="false">IFERROR(INDEX('Historical Data'!$Y$2:$Y$1068,MATCH($A20,'Historical Data'!$BE$2:$BE$1068,0)),"")</f>
        <v>General Building Contractors</v>
      </c>
      <c r="H20" s="106" t="str">
        <f aca="false">IFERROR(INDEX('Historical Data'!$K$2:$K$1068,MATCH($A20,'Historical Data'!$BE$2:$BE$1068,0)),"")</f>
        <v>BizFin LLC</v>
      </c>
      <c r="I20" s="106" t="str">
        <f aca="false">IFERROR(INDEX('Historical Data'!$J$2:$J$1068,MATCH($A20,'Historical Data'!$BE$2:$BE$1068,0)),"")</f>
        <v>CA</v>
      </c>
      <c r="J20" s="106" t="str">
        <f aca="false">IFERROR(INDEX('Historical Data'!$L$2:$L$1068,MATCH($A20,'Historical Data'!$BE$2:$BE$1068,0)),"")</f>
        <v>New Deal</v>
      </c>
      <c r="K20" s="108" t="n">
        <f aca="false">IFERROR(INDEX('Historical Data'!$M$2:$M$1068,MATCH($A20,'Historical Data'!$BE$2:$BE$1068,0)),"")</f>
        <v>1.49</v>
      </c>
      <c r="L20" s="109" t="n">
        <f aca="false">IFERROR(INDEX('Historical Data'!$N$2:$N$1068,MATCH($A20,'Historical Data'!$BE$2:$BE$1068,0)),"")</f>
        <v>7500</v>
      </c>
      <c r="M20" s="109" t="n">
        <f aca="false">IFERROR(INDEX('Historical Data'!$Q$2:$Q$1068,MATCH($A20,'Historical Data'!$BE$2:$BE$1068,0)),"")</f>
        <v>3916.15</v>
      </c>
      <c r="N20" s="110" t="n">
        <f aca="false">IFERROR(INDEX('Historical Data'!$S$2:$S$1068,MATCH($A20,'Historical Data'!$BE$2:$BE$1068,0)),"")</f>
        <v>0.350438478747204</v>
      </c>
      <c r="O20" s="109" t="n">
        <f aca="false">IFERROR(INDEX('Historical Data'!$AJ$2:$AJ$1068,MATCH($A20,'Historical Data'!$BE$2:$BE$1068,0)),"")</f>
        <v>-3583.85</v>
      </c>
      <c r="P20" s="109" t="n">
        <f aca="false">IFERROR(INDEX('Historical Data'!$AK$2:$AK$1068,MATCH($A20,'Historical Data'!$BE$2:$BE$1068,0)),"")</f>
        <v>3583.85</v>
      </c>
      <c r="Q20" s="106" t="n">
        <f aca="false">IFERROR(INDEX('Historical Data'!$AA$2:$AA$1068,MATCH($A20,'Historical Data'!$BE$2:$BE$1068,0)),"")</f>
        <v>100</v>
      </c>
      <c r="R20" s="106" t="n">
        <f aca="false">IFERROR(INDEX('Historical Data'!$AB$2:$AB$1068,MATCH($A20,'Historical Data'!$BE$2:$BE$1068,0)),"")</f>
        <v>183</v>
      </c>
      <c r="S20" s="106" t="n">
        <f aca="false">IFERROR(INDEX('Historical Data'!$AN$2:$AN$1068,MATCH($A20,'Historical Data'!$BE$2:$BE$1068,0)),"")</f>
        <v>80</v>
      </c>
      <c r="T20" s="106" t="n">
        <f aca="false">IFERROR(INDEX('Historical Data'!$AC$2:$AC$1068,MATCH($A20,'Historical Data'!$BE$2:$BE$1068,0)),"")</f>
        <v>1</v>
      </c>
      <c r="U20" s="106" t="n">
        <f aca="false">IFERROR(INDEX('Historical Data'!$AE$2:$AE$1068,MATCH($A20,'Historical Data'!$BE$2:$BE$1068,0)),"")</f>
        <v>1</v>
      </c>
      <c r="V20" s="106" t="n">
        <f aca="false">IFERROR(INDEX('Historical Data'!$AH$2:$AH$1068,MATCH($A20,'Historical Data'!$BE$2:$BE$1068,0)),"")</f>
        <v>0</v>
      </c>
      <c r="W20" s="106" t="n">
        <f aca="false">IFERROR(INDEX('Historical Data'!$BC$2:$BC$1068,MATCH($A20,'Historical Data'!$BE$2:$BE$1068,0)),"")</f>
        <v>1</v>
      </c>
      <c r="X20" s="105" t="str">
        <f aca="false">IF(B20="","",IF(W20=1,"NR + industry + position",IF(W20=2,"NR + ISO + position",IF(W20=3,"NR + industry",IF(W20=4,"NR + ISO",IF(W20=5,"NR + position",IF(W20=6,"NR only","book baseline"))))))&amp;"  ["&amp;IF(T20=1,"seasoned","unseasoned")&amp;IF(U20=1,", defaulted","")&amp;IF(V20=1,", open","")&amp;"]")</f>
        <v>NR + industry + position  [seasoned, defaulted]</v>
      </c>
    </row>
    <row r="21" customFormat="false" ht="15" hidden="false" customHeight="false" outlineLevel="0" collapsed="false">
      <c r="A21" s="105" t="n">
        <v>17</v>
      </c>
      <c r="B21" s="106" t="str">
        <f aca="false">IFERROR(INDEX('Historical Data'!$A$2:$A$1068,MATCH($A21,'Historical Data'!$BE$2:$BE$1068,0)),"")</f>
        <v>5674174125</v>
      </c>
      <c r="C21" s="106" t="str">
        <f aca="false">IFERROR(INDEX('Historical Data'!$B$2:$B$1068,MATCH($A21,'Historical Data'!$BE$2:$BE$1068,0)),"")</f>
        <v>Diamond M Group</v>
      </c>
      <c r="D21" s="106" t="str">
        <f aca="false">IFERROR(INDEX('Historical Data'!$D$2:$D$1068,MATCH($A21,'Historical Data'!$BE$2:$BE$1068,0)),"")</f>
        <v>In House Collection</v>
      </c>
      <c r="E21" s="107" t="n">
        <f aca="false">IFERROR(INDEX('Historical Data'!$E$2:$E$1068,MATCH($A21,'Historical Data'!$BE$2:$BE$1068,0)),"")</f>
        <v>46002</v>
      </c>
      <c r="F21" s="106" t="n">
        <f aca="false">IFERROR(INDEX('Historical Data'!$G$2:$G$1068,MATCH($A21,'Historical Data'!$BE$2:$BE$1068,0)),"")</f>
        <v>2</v>
      </c>
      <c r="G21" s="106" t="str">
        <f aca="false">IFERROR(INDEX('Historical Data'!$Y$2:$Y$1068,MATCH($A21,'Historical Data'!$BE$2:$BE$1068,0)),"")</f>
        <v>General Building Contractors</v>
      </c>
      <c r="H21" s="106" t="str">
        <f aca="false">IFERROR(INDEX('Historical Data'!$K$2:$K$1068,MATCH($A21,'Historical Data'!$BE$2:$BE$1068,0)),"")</f>
        <v>National Business Capital</v>
      </c>
      <c r="I21" s="106" t="str">
        <f aca="false">IFERROR(INDEX('Historical Data'!$J$2:$J$1068,MATCH($A21,'Historical Data'!$BE$2:$BE$1068,0)),"")</f>
        <v>WV</v>
      </c>
      <c r="J21" s="106" t="str">
        <f aca="false">IFERROR(INDEX('Historical Data'!$L$2:$L$1068,MATCH($A21,'Historical Data'!$BE$2:$BE$1068,0)),"")</f>
        <v>New Deal</v>
      </c>
      <c r="K21" s="108" t="n">
        <f aca="false">IFERROR(INDEX('Historical Data'!$M$2:$M$1068,MATCH($A21,'Historical Data'!$BE$2:$BE$1068,0)),"")</f>
        <v>1.49</v>
      </c>
      <c r="L21" s="109" t="n">
        <f aca="false">IFERROR(INDEX('Historical Data'!$N$2:$N$1068,MATCH($A21,'Historical Data'!$BE$2:$BE$1068,0)),"")</f>
        <v>20000</v>
      </c>
      <c r="M21" s="109" t="n">
        <f aca="false">IFERROR(INDEX('Historical Data'!$Q$2:$Q$1068,MATCH($A21,'Historical Data'!$BE$2:$BE$1068,0)),"")</f>
        <v>3724.59</v>
      </c>
      <c r="N21" s="110" t="n">
        <f aca="false">IFERROR(INDEX('Historical Data'!$S$2:$S$1068,MATCH($A21,'Historical Data'!$BE$2:$BE$1068,0)),"")</f>
        <v>0.124986241610738</v>
      </c>
      <c r="O21" s="109" t="n">
        <f aca="false">IFERROR(INDEX('Historical Data'!$AJ$2:$AJ$1068,MATCH($A21,'Historical Data'!$BE$2:$BE$1068,0)),"")</f>
        <v>-16275.41</v>
      </c>
      <c r="P21" s="109" t="n">
        <f aca="false">IFERROR(INDEX('Historical Data'!$AK$2:$AK$1068,MATCH($A21,'Historical Data'!$BE$2:$BE$1068,0)),"")</f>
        <v>16275.41</v>
      </c>
      <c r="Q21" s="106" t="n">
        <f aca="false">IFERROR(INDEX('Historical Data'!$AA$2:$AA$1068,MATCH($A21,'Historical Data'!$BE$2:$BE$1068,0)),"")</f>
        <v>120</v>
      </c>
      <c r="R21" s="106" t="n">
        <f aca="false">IFERROR(INDEX('Historical Data'!$AB$2:$AB$1068,MATCH($A21,'Historical Data'!$BE$2:$BE$1068,0)),"")</f>
        <v>178</v>
      </c>
      <c r="S21" s="106" t="n">
        <f aca="false">IFERROR(INDEX('Historical Data'!$AN$2:$AN$1068,MATCH($A21,'Historical Data'!$BE$2:$BE$1068,0)),"")</f>
        <v>34</v>
      </c>
      <c r="T21" s="106" t="n">
        <f aca="false">IFERROR(INDEX('Historical Data'!$AC$2:$AC$1068,MATCH($A21,'Historical Data'!$BE$2:$BE$1068,0)),"")</f>
        <v>1</v>
      </c>
      <c r="U21" s="106" t="n">
        <f aca="false">IFERROR(INDEX('Historical Data'!$AE$2:$AE$1068,MATCH($A21,'Historical Data'!$BE$2:$BE$1068,0)),"")</f>
        <v>1</v>
      </c>
      <c r="V21" s="106" t="n">
        <f aca="false">IFERROR(INDEX('Historical Data'!$AH$2:$AH$1068,MATCH($A21,'Historical Data'!$BE$2:$BE$1068,0)),"")</f>
        <v>0</v>
      </c>
      <c r="W21" s="106" t="n">
        <f aca="false">IFERROR(INDEX('Historical Data'!$BC$2:$BC$1068,MATCH($A21,'Historical Data'!$BE$2:$BE$1068,0)),"")</f>
        <v>1</v>
      </c>
      <c r="X21" s="105" t="str">
        <f aca="false">IF(B21="","",IF(W21=1,"NR + industry + position",IF(W21=2,"NR + ISO + position",IF(W21=3,"NR + industry",IF(W21=4,"NR + ISO",IF(W21=5,"NR + position",IF(W21=6,"NR only","book baseline"))))))&amp;"  ["&amp;IF(T21=1,"seasoned","unseasoned")&amp;IF(U21=1,", defaulted","")&amp;IF(V21=1,", open","")&amp;"]")</f>
        <v>NR + industry + position  [seasoned, defaulted]</v>
      </c>
    </row>
    <row r="22" customFormat="false" ht="15" hidden="false" customHeight="false" outlineLevel="0" collapsed="false">
      <c r="A22" s="105" t="n">
        <v>18</v>
      </c>
      <c r="B22" s="106" t="str">
        <f aca="false">IFERROR(INDEX('Historical Data'!$A$2:$A$1068,MATCH($A22,'Historical Data'!$BE$2:$BE$1068,0)),"")</f>
        <v>5674174762</v>
      </c>
      <c r="C22" s="106" t="str">
        <f aca="false">IFERROR(INDEX('Historical Data'!$B$2:$B$1068,MATCH($A22,'Historical Data'!$BE$2:$BE$1068,0)),"")</f>
        <v>ON SITE REPAIR SERVICES LLC</v>
      </c>
      <c r="D22" s="106" t="str">
        <f aca="false">IFERROR(INDEX('Historical Data'!$D$2:$D$1068,MATCH($A22,'Historical Data'!$BE$2:$BE$1068,0)),"")</f>
        <v>Closed</v>
      </c>
      <c r="E22" s="107" t="n">
        <f aca="false">IFERROR(INDEX('Historical Data'!$E$2:$E$1068,MATCH($A22,'Historical Data'!$BE$2:$BE$1068,0)),"")</f>
        <v>46010</v>
      </c>
      <c r="F22" s="106" t="n">
        <f aca="false">IFERROR(INDEX('Historical Data'!$G$2:$G$1068,MATCH($A22,'Historical Data'!$BE$2:$BE$1068,0)),"")</f>
        <v>2</v>
      </c>
      <c r="G22" s="106" t="str">
        <f aca="false">IFERROR(INDEX('Historical Data'!$Y$2:$Y$1068,MATCH($A22,'Historical Data'!$BE$2:$BE$1068,0)),"")</f>
        <v>General Building Contractors</v>
      </c>
      <c r="H22" s="106" t="str">
        <f aca="false">IFERROR(INDEX('Historical Data'!$K$2:$K$1068,MATCH($A22,'Historical Data'!$BE$2:$BE$1068,0)),"")</f>
        <v>Ballicci</v>
      </c>
      <c r="I22" s="106" t="str">
        <f aca="false">IFERROR(INDEX('Historical Data'!$J$2:$J$1068,MATCH($A22,'Historical Data'!$BE$2:$BE$1068,0)),"")</f>
        <v>TX</v>
      </c>
      <c r="J22" s="106" t="str">
        <f aca="false">IFERROR(INDEX('Historical Data'!$L$2:$L$1068,MATCH($A22,'Historical Data'!$BE$2:$BE$1068,0)),"")</f>
        <v>New Deal</v>
      </c>
      <c r="K22" s="108" t="n">
        <f aca="false">IFERROR(INDEX('Historical Data'!$M$2:$M$1068,MATCH($A22,'Historical Data'!$BE$2:$BE$1068,0)),"")</f>
        <v>1.39</v>
      </c>
      <c r="L22" s="109" t="n">
        <f aca="false">IFERROR(INDEX('Historical Data'!$N$2:$N$1068,MATCH($A22,'Historical Data'!$BE$2:$BE$1068,0)),"")</f>
        <v>30000</v>
      </c>
      <c r="M22" s="109" t="n">
        <f aca="false">IFERROR(INDEX('Historical Data'!$Q$2:$Q$1068,MATCH($A22,'Historical Data'!$BE$2:$BE$1068,0)),"")</f>
        <v>41700</v>
      </c>
      <c r="N22" s="110" t="n">
        <f aca="false">IFERROR(INDEX('Historical Data'!$S$2:$S$1068,MATCH($A22,'Historical Data'!$BE$2:$BE$1068,0)),"")</f>
        <v>1</v>
      </c>
      <c r="O22" s="109" t="n">
        <f aca="false">IFERROR(INDEX('Historical Data'!$AJ$2:$AJ$1068,MATCH($A22,'Historical Data'!$BE$2:$BE$1068,0)),"")</f>
        <v>11700</v>
      </c>
      <c r="P22" s="109" t="n">
        <f aca="false">IFERROR(INDEX('Historical Data'!$AK$2:$AK$1068,MATCH($A22,'Historical Data'!$BE$2:$BE$1068,0)),"")</f>
        <v>0</v>
      </c>
      <c r="Q22" s="106" t="n">
        <f aca="false">IFERROR(INDEX('Historical Data'!$AA$2:$AA$1068,MATCH($A22,'Historical Data'!$BE$2:$BE$1068,0)),"")</f>
        <v>78.109585</v>
      </c>
      <c r="R22" s="106" t="n">
        <f aca="false">IFERROR(INDEX('Historical Data'!$AB$2:$AB$1068,MATCH($A22,'Historical Data'!$BE$2:$BE$1068,0)),"")</f>
        <v>172</v>
      </c>
      <c r="S22" s="106" t="n">
        <f aca="false">IFERROR(INDEX('Historical Data'!$AN$2:$AN$1068,MATCH($A22,'Historical Data'!$BE$2:$BE$1068,0)),"")</f>
        <v>70</v>
      </c>
      <c r="T22" s="106" t="n">
        <f aca="false">IFERROR(INDEX('Historical Data'!$AC$2:$AC$1068,MATCH($A22,'Historical Data'!$BE$2:$BE$1068,0)),"")</f>
        <v>1</v>
      </c>
      <c r="U22" s="106" t="n">
        <f aca="false">IFERROR(INDEX('Historical Data'!$AE$2:$AE$1068,MATCH($A22,'Historical Data'!$BE$2:$BE$1068,0)),"")</f>
        <v>0</v>
      </c>
      <c r="V22" s="106" t="n">
        <f aca="false">IFERROR(INDEX('Historical Data'!$AH$2:$AH$1068,MATCH($A22,'Historical Data'!$BE$2:$BE$1068,0)),"")</f>
        <v>0</v>
      </c>
      <c r="W22" s="106" t="n">
        <f aca="false">IFERROR(INDEX('Historical Data'!$BC$2:$BC$1068,MATCH($A22,'Historical Data'!$BE$2:$BE$1068,0)),"")</f>
        <v>1</v>
      </c>
      <c r="X22" s="105" t="str">
        <f aca="false">IF(B22="","",IF(W22=1,"NR + industry + position",IF(W22=2,"NR + ISO + position",IF(W22=3,"NR + industry",IF(W22=4,"NR + ISO",IF(W22=5,"NR + position",IF(W22=6,"NR only","book baseline"))))))&amp;"  ["&amp;IF(T22=1,"seasoned","unseasoned")&amp;IF(U22=1,", defaulted","")&amp;IF(V22=1,", open","")&amp;"]")</f>
        <v>NR + industry + position  [seasoned]</v>
      </c>
    </row>
    <row r="23" customFormat="false" ht="15" hidden="false" customHeight="false" outlineLevel="0" collapsed="false">
      <c r="A23" s="105" t="n">
        <v>19</v>
      </c>
      <c r="B23" s="106" t="str">
        <f aca="false">IFERROR(INDEX('Historical Data'!$A$2:$A$1068,MATCH($A23,'Historical Data'!$BE$2:$BE$1068,0)),"")</f>
        <v>5674174763</v>
      </c>
      <c r="C23" s="106" t="str">
        <f aca="false">IFERROR(INDEX('Historical Data'!$B$2:$B$1068,MATCH($A23,'Historical Data'!$BE$2:$BE$1068,0)),"")</f>
        <v>Hd Builders And Construction LLC</v>
      </c>
      <c r="D23" s="106" t="str">
        <f aca="false">IFERROR(INDEX('Historical Data'!$D$2:$D$1068,MATCH($A23,'Historical Data'!$BE$2:$BE$1068,0)),"")</f>
        <v>Closed</v>
      </c>
      <c r="E23" s="107" t="n">
        <f aca="false">IFERROR(INDEX('Historical Data'!$E$2:$E$1068,MATCH($A23,'Historical Data'!$BE$2:$BE$1068,0)),"")</f>
        <v>46010</v>
      </c>
      <c r="F23" s="106" t="n">
        <f aca="false">IFERROR(INDEX('Historical Data'!$G$2:$G$1068,MATCH($A23,'Historical Data'!$BE$2:$BE$1068,0)),"")</f>
        <v>2</v>
      </c>
      <c r="G23" s="106" t="str">
        <f aca="false">IFERROR(INDEX('Historical Data'!$Y$2:$Y$1068,MATCH($A23,'Historical Data'!$BE$2:$BE$1068,0)),"")</f>
        <v>General Building Contractors</v>
      </c>
      <c r="H23" s="106" t="str">
        <f aca="false">IFERROR(INDEX('Historical Data'!$K$2:$K$1068,MATCH($A23,'Historical Data'!$BE$2:$BE$1068,0)),"")</f>
        <v>AVON ADVANCE</v>
      </c>
      <c r="I23" s="106" t="str">
        <f aca="false">IFERROR(INDEX('Historical Data'!$J$2:$J$1068,MATCH($A23,'Historical Data'!$BE$2:$BE$1068,0)),"")</f>
        <v>NM</v>
      </c>
      <c r="J23" s="106" t="str">
        <f aca="false">IFERROR(INDEX('Historical Data'!$L$2:$L$1068,MATCH($A23,'Historical Data'!$BE$2:$BE$1068,0)),"")</f>
        <v>New Deal</v>
      </c>
      <c r="K23" s="108" t="n">
        <f aca="false">IFERROR(INDEX('Historical Data'!$M$2:$M$1068,MATCH($A23,'Historical Data'!$BE$2:$BE$1068,0)),"")</f>
        <v>1.49</v>
      </c>
      <c r="L23" s="109" t="n">
        <f aca="false">IFERROR(INDEX('Historical Data'!$N$2:$N$1068,MATCH($A23,'Historical Data'!$BE$2:$BE$1068,0)),"")</f>
        <v>6000</v>
      </c>
      <c r="M23" s="109" t="n">
        <f aca="false">IFERROR(INDEX('Historical Data'!$Q$2:$Q$1068,MATCH($A23,'Historical Data'!$BE$2:$BE$1068,0)),"")</f>
        <v>8940</v>
      </c>
      <c r="N23" s="110" t="n">
        <f aca="false">IFERROR(INDEX('Historical Data'!$S$2:$S$1068,MATCH($A23,'Historical Data'!$BE$2:$BE$1068,0)),"")</f>
        <v>1</v>
      </c>
      <c r="O23" s="109" t="n">
        <f aca="false">IFERROR(INDEX('Historical Data'!$AJ$2:$AJ$1068,MATCH($A23,'Historical Data'!$BE$2:$BE$1068,0)),"")</f>
        <v>2940</v>
      </c>
      <c r="P23" s="109" t="n">
        <f aca="false">IFERROR(INDEX('Historical Data'!$AK$2:$AK$1068,MATCH($A23,'Historical Data'!$BE$2:$BE$1068,0)),"")</f>
        <v>0</v>
      </c>
      <c r="Q23" s="106" t="n">
        <f aca="false">IFERROR(INDEX('Historical Data'!$AA$2:$AA$1068,MATCH($A23,'Historical Data'!$BE$2:$BE$1068,0)),"")</f>
        <v>56.801065</v>
      </c>
      <c r="R23" s="106" t="n">
        <f aca="false">IFERROR(INDEX('Historical Data'!$AB$2:$AB$1068,MATCH($A23,'Historical Data'!$BE$2:$BE$1068,0)),"")</f>
        <v>172</v>
      </c>
      <c r="S23" s="106" t="n">
        <f aca="false">IFERROR(INDEX('Historical Data'!$AN$2:$AN$1068,MATCH($A23,'Historical Data'!$BE$2:$BE$1068,0)),"")</f>
        <v>53</v>
      </c>
      <c r="T23" s="106" t="n">
        <f aca="false">IFERROR(INDEX('Historical Data'!$AC$2:$AC$1068,MATCH($A23,'Historical Data'!$BE$2:$BE$1068,0)),"")</f>
        <v>1</v>
      </c>
      <c r="U23" s="106" t="n">
        <f aca="false">IFERROR(INDEX('Historical Data'!$AE$2:$AE$1068,MATCH($A23,'Historical Data'!$BE$2:$BE$1068,0)),"")</f>
        <v>0</v>
      </c>
      <c r="V23" s="106" t="n">
        <f aca="false">IFERROR(INDEX('Historical Data'!$AH$2:$AH$1068,MATCH($A23,'Historical Data'!$BE$2:$BE$1068,0)),"")</f>
        <v>0</v>
      </c>
      <c r="W23" s="106" t="n">
        <f aca="false">IFERROR(INDEX('Historical Data'!$BC$2:$BC$1068,MATCH($A23,'Historical Data'!$BE$2:$BE$1068,0)),"")</f>
        <v>1</v>
      </c>
      <c r="X23" s="105" t="str">
        <f aca="false">IF(B23="","",IF(W23=1,"NR + industry + position",IF(W23=2,"NR + ISO + position",IF(W23=3,"NR + industry",IF(W23=4,"NR + ISO",IF(W23=5,"NR + position",IF(W23=6,"NR only","book baseline"))))))&amp;"  ["&amp;IF(T23=1,"seasoned","unseasoned")&amp;IF(U23=1,", defaulted","")&amp;IF(V23=1,", open","")&amp;"]")</f>
        <v>NR + industry + position  [seasoned]</v>
      </c>
    </row>
    <row r="24" customFormat="false" ht="15" hidden="false" customHeight="false" outlineLevel="0" collapsed="false">
      <c r="A24" s="105" t="n">
        <v>20</v>
      </c>
      <c r="B24" s="106" t="str">
        <f aca="false">IFERROR(INDEX('Historical Data'!$A$2:$A$1068,MATCH($A24,'Historical Data'!$BE$2:$BE$1068,0)),"")</f>
        <v>5674175097</v>
      </c>
      <c r="C24" s="106" t="str">
        <f aca="false">IFERROR(INDEX('Historical Data'!$B$2:$B$1068,MATCH($A24,'Historical Data'!$BE$2:$BE$1068,0)),"")</f>
        <v>NC Top Service LLC</v>
      </c>
      <c r="D24" s="106" t="str">
        <f aca="false">IFERROR(INDEX('Historical Data'!$D$2:$D$1068,MATCH($A24,'Historical Data'!$BE$2:$BE$1068,0)),"")</f>
        <v>Closed</v>
      </c>
      <c r="E24" s="107" t="n">
        <f aca="false">IFERROR(INDEX('Historical Data'!$E$2:$E$1068,MATCH($A24,'Historical Data'!$BE$2:$BE$1068,0)),"")</f>
        <v>46017</v>
      </c>
      <c r="F24" s="106" t="n">
        <f aca="false">IFERROR(INDEX('Historical Data'!$G$2:$G$1068,MATCH($A24,'Historical Data'!$BE$2:$BE$1068,0)),"")</f>
        <v>2</v>
      </c>
      <c r="G24" s="106" t="str">
        <f aca="false">IFERROR(INDEX('Historical Data'!$Y$2:$Y$1068,MATCH($A24,'Historical Data'!$BE$2:$BE$1068,0)),"")</f>
        <v>General Building Contractors</v>
      </c>
      <c r="H24" s="106" t="str">
        <f aca="false">IFERROR(INDEX('Historical Data'!$K$2:$K$1068,MATCH($A24,'Historical Data'!$BE$2:$BE$1068,0)),"")</f>
        <v>United Secured Capital 8</v>
      </c>
      <c r="I24" s="106" t="str">
        <f aca="false">IFERROR(INDEX('Historical Data'!$J$2:$J$1068,MATCH($A24,'Historical Data'!$BE$2:$BE$1068,0)),"")</f>
        <v>NC</v>
      </c>
      <c r="J24" s="106" t="str">
        <f aca="false">IFERROR(INDEX('Historical Data'!$L$2:$L$1068,MATCH($A24,'Historical Data'!$BE$2:$BE$1068,0)),"")</f>
        <v>New Deal</v>
      </c>
      <c r="K24" s="108" t="n">
        <f aca="false">IFERROR(INDEX('Historical Data'!$M$2:$M$1068,MATCH($A24,'Historical Data'!$BE$2:$BE$1068,0)),"")</f>
        <v>1.42</v>
      </c>
      <c r="L24" s="109" t="n">
        <f aca="false">IFERROR(INDEX('Historical Data'!$N$2:$N$1068,MATCH($A24,'Historical Data'!$BE$2:$BE$1068,0)),"")</f>
        <v>31000</v>
      </c>
      <c r="M24" s="109" t="n">
        <f aca="false">IFERROR(INDEX('Historical Data'!$Q$2:$Q$1068,MATCH($A24,'Historical Data'!$BE$2:$BE$1068,0)),"")</f>
        <v>44020</v>
      </c>
      <c r="N24" s="110" t="n">
        <f aca="false">IFERROR(INDEX('Historical Data'!$S$2:$S$1068,MATCH($A24,'Historical Data'!$BE$2:$BE$1068,0)),"")</f>
        <v>1</v>
      </c>
      <c r="O24" s="109" t="n">
        <f aca="false">IFERROR(INDEX('Historical Data'!$AJ$2:$AJ$1068,MATCH($A24,'Historical Data'!$BE$2:$BE$1068,0)),"")</f>
        <v>13020</v>
      </c>
      <c r="P24" s="109" t="n">
        <f aca="false">IFERROR(INDEX('Historical Data'!$AK$2:$AK$1068,MATCH($A24,'Historical Data'!$BE$2:$BE$1068,0)),"")</f>
        <v>0</v>
      </c>
      <c r="Q24" s="106" t="n">
        <f aca="false">IFERROR(INDEX('Historical Data'!$AA$2:$AA$1068,MATCH($A24,'Historical Data'!$BE$2:$BE$1068,0)),"")</f>
        <v>140</v>
      </c>
      <c r="R24" s="106" t="n">
        <f aca="false">IFERROR(INDEX('Historical Data'!$AB$2:$AB$1068,MATCH($A24,'Historical Data'!$BE$2:$BE$1068,0)),"")</f>
        <v>168</v>
      </c>
      <c r="S24" s="106" t="n">
        <f aca="false">IFERROR(INDEX('Historical Data'!$AN$2:$AN$1068,MATCH($A24,'Historical Data'!$BE$2:$BE$1068,0)),"")</f>
        <v>61</v>
      </c>
      <c r="T24" s="106" t="n">
        <f aca="false">IFERROR(INDEX('Historical Data'!$AC$2:$AC$1068,MATCH($A24,'Historical Data'!$BE$2:$BE$1068,0)),"")</f>
        <v>0</v>
      </c>
      <c r="U24" s="106" t="n">
        <f aca="false">IFERROR(INDEX('Historical Data'!$AE$2:$AE$1068,MATCH($A24,'Historical Data'!$BE$2:$BE$1068,0)),"")</f>
        <v>0</v>
      </c>
      <c r="V24" s="106" t="n">
        <f aca="false">IFERROR(INDEX('Historical Data'!$AH$2:$AH$1068,MATCH($A24,'Historical Data'!$BE$2:$BE$1068,0)),"")</f>
        <v>0</v>
      </c>
      <c r="W24" s="106" t="n">
        <f aca="false">IFERROR(INDEX('Historical Data'!$BC$2:$BC$1068,MATCH($A24,'Historical Data'!$BE$2:$BE$1068,0)),"")</f>
        <v>1</v>
      </c>
      <c r="X24" s="105" t="str">
        <f aca="false">IF(B24="","",IF(W24=1,"NR + industry + position",IF(W24=2,"NR + ISO + position",IF(W24=3,"NR + industry",IF(W24=4,"NR + ISO",IF(W24=5,"NR + position",IF(W24=6,"NR only","book baseline"))))))&amp;"  ["&amp;IF(T24=1,"seasoned","unseasoned")&amp;IF(U24=1,", defaulted","")&amp;IF(V24=1,", open","")&amp;"]")</f>
        <v>NR + industry + position  [unseasoned]</v>
      </c>
    </row>
    <row r="25" customFormat="false" ht="15" hidden="false" customHeight="false" outlineLevel="0" collapsed="false">
      <c r="A25" s="105" t="n">
        <v>21</v>
      </c>
      <c r="B25" s="106" t="str">
        <f aca="false">IFERROR(INDEX('Historical Data'!$A$2:$A$1068,MATCH($A25,'Historical Data'!$BE$2:$BE$1068,0)),"")</f>
        <v>5674175232</v>
      </c>
      <c r="C25" s="106" t="str">
        <f aca="false">IFERROR(INDEX('Historical Data'!$B$2:$B$1068,MATCH($A25,'Historical Data'!$BE$2:$BE$1068,0)),"")</f>
        <v>DABUILT HOMES AND CONSTRUCTION</v>
      </c>
      <c r="D25" s="106" t="str">
        <f aca="false">IFERROR(INDEX('Historical Data'!$D$2:$D$1068,MATCH($A25,'Historical Data'!$BE$2:$BE$1068,0)),"")</f>
        <v>Closed</v>
      </c>
      <c r="E25" s="107" t="n">
        <f aca="false">IFERROR(INDEX('Historical Data'!$E$2:$E$1068,MATCH($A25,'Historical Data'!$BE$2:$BE$1068,0)),"")</f>
        <v>46020</v>
      </c>
      <c r="F25" s="106" t="n">
        <f aca="false">IFERROR(INDEX('Historical Data'!$G$2:$G$1068,MATCH($A25,'Historical Data'!$BE$2:$BE$1068,0)),"")</f>
        <v>2</v>
      </c>
      <c r="G25" s="106" t="str">
        <f aca="false">IFERROR(INDEX('Historical Data'!$Y$2:$Y$1068,MATCH($A25,'Historical Data'!$BE$2:$BE$1068,0)),"")</f>
        <v>General Building Contractors</v>
      </c>
      <c r="H25" s="106" t="str">
        <f aca="false">IFERROR(INDEX('Historical Data'!$K$2:$K$1068,MATCH($A25,'Historical Data'!$BE$2:$BE$1068,0)),"")</f>
        <v>MONETCAP</v>
      </c>
      <c r="I25" s="106" t="str">
        <f aca="false">IFERROR(INDEX('Historical Data'!$J$2:$J$1068,MATCH($A25,'Historical Data'!$BE$2:$BE$1068,0)),"")</f>
        <v>TX</v>
      </c>
      <c r="J25" s="106" t="str">
        <f aca="false">IFERROR(INDEX('Historical Data'!$L$2:$L$1068,MATCH($A25,'Historical Data'!$BE$2:$BE$1068,0)),"")</f>
        <v>New Deal</v>
      </c>
      <c r="K25" s="108" t="n">
        <f aca="false">IFERROR(INDEX('Historical Data'!$M$2:$M$1068,MATCH($A25,'Historical Data'!$BE$2:$BE$1068,0)),"")</f>
        <v>1.49</v>
      </c>
      <c r="L25" s="109" t="n">
        <f aca="false">IFERROR(INDEX('Historical Data'!$N$2:$N$1068,MATCH($A25,'Historical Data'!$BE$2:$BE$1068,0)),"")</f>
        <v>20000</v>
      </c>
      <c r="M25" s="109" t="n">
        <f aca="false">IFERROR(INDEX('Historical Data'!$Q$2:$Q$1068,MATCH($A25,'Historical Data'!$BE$2:$BE$1068,0)),"")</f>
        <v>29800</v>
      </c>
      <c r="N25" s="110" t="n">
        <f aca="false">IFERROR(INDEX('Historical Data'!$S$2:$S$1068,MATCH($A25,'Historical Data'!$BE$2:$BE$1068,0)),"")</f>
        <v>1</v>
      </c>
      <c r="O25" s="109" t="n">
        <f aca="false">IFERROR(INDEX('Historical Data'!$AJ$2:$AJ$1068,MATCH($A25,'Historical Data'!$BE$2:$BE$1068,0)),"")</f>
        <v>9800</v>
      </c>
      <c r="P25" s="109" t="n">
        <f aca="false">IFERROR(INDEX('Historical Data'!$AK$2:$AK$1068,MATCH($A25,'Historical Data'!$BE$2:$BE$1068,0)),"")</f>
        <v>0</v>
      </c>
      <c r="Q25" s="106" t="n">
        <f aca="false">IFERROR(INDEX('Historical Data'!$AA$2:$AA$1068,MATCH($A25,'Historical Data'!$BE$2:$BE$1068,0)),"")</f>
        <v>80.231775</v>
      </c>
      <c r="R25" s="106" t="n">
        <f aca="false">IFERROR(INDEX('Historical Data'!$AB$2:$AB$1068,MATCH($A25,'Historical Data'!$BE$2:$BE$1068,0)),"")</f>
        <v>167</v>
      </c>
      <c r="S25" s="106" t="n">
        <f aca="false">IFERROR(INDEX('Historical Data'!$AN$2:$AN$1068,MATCH($A25,'Historical Data'!$BE$2:$BE$1068,0)),"")</f>
        <v>117</v>
      </c>
      <c r="T25" s="106" t="n">
        <f aca="false">IFERROR(INDEX('Historical Data'!$AC$2:$AC$1068,MATCH($A25,'Historical Data'!$BE$2:$BE$1068,0)),"")</f>
        <v>1</v>
      </c>
      <c r="U25" s="106" t="n">
        <f aca="false">IFERROR(INDEX('Historical Data'!$AE$2:$AE$1068,MATCH($A25,'Historical Data'!$BE$2:$BE$1068,0)),"")</f>
        <v>0</v>
      </c>
      <c r="V25" s="106" t="n">
        <f aca="false">IFERROR(INDEX('Historical Data'!$AH$2:$AH$1068,MATCH($A25,'Historical Data'!$BE$2:$BE$1068,0)),"")</f>
        <v>0</v>
      </c>
      <c r="W25" s="106" t="n">
        <f aca="false">IFERROR(INDEX('Historical Data'!$BC$2:$BC$1068,MATCH($A25,'Historical Data'!$BE$2:$BE$1068,0)),"")</f>
        <v>1</v>
      </c>
      <c r="X25" s="105" t="str">
        <f aca="false">IF(B25="","",IF(W25=1,"NR + industry + position",IF(W25=2,"NR + ISO + position",IF(W25=3,"NR + industry",IF(W25=4,"NR + ISO",IF(W25=5,"NR + position",IF(W25=6,"NR only","book baseline"))))))&amp;"  ["&amp;IF(T25=1,"seasoned","unseasoned")&amp;IF(U25=1,", defaulted","")&amp;IF(V25=1,", open","")&amp;"]")</f>
        <v>NR + industry + position  [seasoned]</v>
      </c>
    </row>
    <row r="26" customFormat="false" ht="15" hidden="false" customHeight="false" outlineLevel="0" collapsed="false">
      <c r="A26" s="105" t="n">
        <v>22</v>
      </c>
      <c r="B26" s="106" t="str">
        <f aca="false">IFERROR(INDEX('Historical Data'!$A$2:$A$1068,MATCH($A26,'Historical Data'!$BE$2:$BE$1068,0)),"")</f>
        <v>5674175932</v>
      </c>
      <c r="C26" s="106" t="str">
        <f aca="false">IFERROR(INDEX('Historical Data'!$B$2:$B$1068,MATCH($A26,'Historical Data'!$BE$2:$BE$1068,0)),"")</f>
        <v>S&amp;K Property Services LLC</v>
      </c>
      <c r="D26" s="106" t="str">
        <f aca="false">IFERROR(INDEX('Historical Data'!$D$2:$D$1068,MATCH($A26,'Historical Data'!$BE$2:$BE$1068,0)),"")</f>
        <v>Closed</v>
      </c>
      <c r="E26" s="107" t="n">
        <f aca="false">IFERROR(INDEX('Historical Data'!$E$2:$E$1068,MATCH($A26,'Historical Data'!$BE$2:$BE$1068,0)),"")</f>
        <v>46029</v>
      </c>
      <c r="F26" s="106" t="n">
        <f aca="false">IFERROR(INDEX('Historical Data'!$G$2:$G$1068,MATCH($A26,'Historical Data'!$BE$2:$BE$1068,0)),"")</f>
        <v>2</v>
      </c>
      <c r="G26" s="106" t="str">
        <f aca="false">IFERROR(INDEX('Historical Data'!$Y$2:$Y$1068,MATCH($A26,'Historical Data'!$BE$2:$BE$1068,0)),"")</f>
        <v>General Building Contractors</v>
      </c>
      <c r="H26" s="106" t="str">
        <f aca="false">IFERROR(INDEX('Historical Data'!$K$2:$K$1068,MATCH($A26,'Historical Data'!$BE$2:$BE$1068,0)),"")</f>
        <v>Ballicci</v>
      </c>
      <c r="I26" s="106" t="str">
        <f aca="false">IFERROR(INDEX('Historical Data'!$J$2:$J$1068,MATCH($A26,'Historical Data'!$BE$2:$BE$1068,0)),"")</f>
        <v>GA</v>
      </c>
      <c r="J26" s="106" t="str">
        <f aca="false">IFERROR(INDEX('Historical Data'!$L$2:$L$1068,MATCH($A26,'Historical Data'!$BE$2:$BE$1068,0)),"")</f>
        <v>New Deal</v>
      </c>
      <c r="K26" s="108" t="n">
        <f aca="false">IFERROR(INDEX('Historical Data'!$M$2:$M$1068,MATCH($A26,'Historical Data'!$BE$2:$BE$1068,0)),"")</f>
        <v>1.49</v>
      </c>
      <c r="L26" s="109" t="n">
        <f aca="false">IFERROR(INDEX('Historical Data'!$N$2:$N$1068,MATCH($A26,'Historical Data'!$BE$2:$BE$1068,0)),"")</f>
        <v>25000</v>
      </c>
      <c r="M26" s="109" t="n">
        <f aca="false">IFERROR(INDEX('Historical Data'!$Q$2:$Q$1068,MATCH($A26,'Historical Data'!$BE$2:$BE$1068,0)),"")</f>
        <v>37250</v>
      </c>
      <c r="N26" s="110" t="n">
        <f aca="false">IFERROR(INDEX('Historical Data'!$S$2:$S$1068,MATCH($A26,'Historical Data'!$BE$2:$BE$1068,0)),"")</f>
        <v>1</v>
      </c>
      <c r="O26" s="109" t="n">
        <f aca="false">IFERROR(INDEX('Historical Data'!$AJ$2:$AJ$1068,MATCH($A26,'Historical Data'!$BE$2:$BE$1068,0)),"")</f>
        <v>12250</v>
      </c>
      <c r="P26" s="109" t="n">
        <f aca="false">IFERROR(INDEX('Historical Data'!$AK$2:$AK$1068,MATCH($A26,'Historical Data'!$BE$2:$BE$1068,0)),"")</f>
        <v>0</v>
      </c>
      <c r="Q26" s="106" t="n">
        <f aca="false">IFERROR(INDEX('Historical Data'!$AA$2:$AA$1068,MATCH($A26,'Historical Data'!$BE$2:$BE$1068,0)),"")</f>
        <v>71.006745</v>
      </c>
      <c r="R26" s="106" t="n">
        <f aca="false">IFERROR(INDEX('Historical Data'!$AB$2:$AB$1068,MATCH($A26,'Historical Data'!$BE$2:$BE$1068,0)),"")</f>
        <v>161</v>
      </c>
      <c r="S26" s="106" t="n">
        <f aca="false">IFERROR(INDEX('Historical Data'!$AN$2:$AN$1068,MATCH($A26,'Historical Data'!$BE$2:$BE$1068,0)),"")</f>
        <v>71</v>
      </c>
      <c r="T26" s="106" t="n">
        <f aca="false">IFERROR(INDEX('Historical Data'!$AC$2:$AC$1068,MATCH($A26,'Historical Data'!$BE$2:$BE$1068,0)),"")</f>
        <v>1</v>
      </c>
      <c r="U26" s="106" t="n">
        <f aca="false">IFERROR(INDEX('Historical Data'!$AE$2:$AE$1068,MATCH($A26,'Historical Data'!$BE$2:$BE$1068,0)),"")</f>
        <v>0</v>
      </c>
      <c r="V26" s="106" t="n">
        <f aca="false">IFERROR(INDEX('Historical Data'!$AH$2:$AH$1068,MATCH($A26,'Historical Data'!$BE$2:$BE$1068,0)),"")</f>
        <v>0</v>
      </c>
      <c r="W26" s="106" t="n">
        <f aca="false">IFERROR(INDEX('Historical Data'!$BC$2:$BC$1068,MATCH($A26,'Historical Data'!$BE$2:$BE$1068,0)),"")</f>
        <v>1</v>
      </c>
      <c r="X26" s="105" t="str">
        <f aca="false">IF(B26="","",IF(W26=1,"NR + industry + position",IF(W26=2,"NR + ISO + position",IF(W26=3,"NR + industry",IF(W26=4,"NR + ISO",IF(W26=5,"NR + position",IF(W26=6,"NR only","book baseline"))))))&amp;"  ["&amp;IF(T26=1,"seasoned","unseasoned")&amp;IF(U26=1,", defaulted","")&amp;IF(V26=1,", open","")&amp;"]")</f>
        <v>NR + industry + position  [seasoned]</v>
      </c>
    </row>
    <row r="27" customFormat="false" ht="15" hidden="false" customHeight="false" outlineLevel="0" collapsed="false">
      <c r="A27" s="105" t="n">
        <v>23</v>
      </c>
      <c r="B27" s="106" t="str">
        <f aca="false">IFERROR(INDEX('Historical Data'!$A$2:$A$1068,MATCH($A27,'Historical Data'!$BE$2:$BE$1068,0)),"")</f>
        <v>5674177114</v>
      </c>
      <c r="C27" s="106" t="str">
        <f aca="false">IFERROR(INDEX('Historical Data'!$B$2:$B$1068,MATCH($A27,'Historical Data'!$BE$2:$BE$1068,0)),"")</f>
        <v>MH CONSTRUCTION</v>
      </c>
      <c r="D27" s="106" t="str">
        <f aca="false">IFERROR(INDEX('Historical Data'!$D$2:$D$1068,MATCH($A27,'Historical Data'!$BE$2:$BE$1068,0)),"")</f>
        <v>Open</v>
      </c>
      <c r="E27" s="107" t="n">
        <f aca="false">IFERROR(INDEX('Historical Data'!$E$2:$E$1068,MATCH($A27,'Historical Data'!$BE$2:$BE$1068,0)),"")</f>
        <v>46045</v>
      </c>
      <c r="F27" s="106" t="n">
        <f aca="false">IFERROR(INDEX('Historical Data'!$G$2:$G$1068,MATCH($A27,'Historical Data'!$BE$2:$BE$1068,0)),"")</f>
        <v>2</v>
      </c>
      <c r="G27" s="106" t="str">
        <f aca="false">IFERROR(INDEX('Historical Data'!$Y$2:$Y$1068,MATCH($A27,'Historical Data'!$BE$2:$BE$1068,0)),"")</f>
        <v>General Building Contractors</v>
      </c>
      <c r="H27" s="106" t="str">
        <f aca="false">IFERROR(INDEX('Historical Data'!$K$2:$K$1068,MATCH($A27,'Historical Data'!$BE$2:$BE$1068,0)),"")</f>
        <v>PMF</v>
      </c>
      <c r="I27" s="106" t="str">
        <f aca="false">IFERROR(INDEX('Historical Data'!$J$2:$J$1068,MATCH($A27,'Historical Data'!$BE$2:$BE$1068,0)),"")</f>
        <v>PA</v>
      </c>
      <c r="J27" s="106" t="str">
        <f aca="false">IFERROR(INDEX('Historical Data'!$L$2:$L$1068,MATCH($A27,'Historical Data'!$BE$2:$BE$1068,0)),"")</f>
        <v>New Deal</v>
      </c>
      <c r="K27" s="108" t="n">
        <f aca="false">IFERROR(INDEX('Historical Data'!$M$2:$M$1068,MATCH($A27,'Historical Data'!$BE$2:$BE$1068,0)),"")</f>
        <v>1.45</v>
      </c>
      <c r="L27" s="109" t="n">
        <f aca="false">IFERROR(INDEX('Historical Data'!$N$2:$N$1068,MATCH($A27,'Historical Data'!$BE$2:$BE$1068,0)),"")</f>
        <v>50000</v>
      </c>
      <c r="M27" s="109" t="n">
        <f aca="false">IFERROR(INDEX('Historical Data'!$Q$2:$Q$1068,MATCH($A27,'Historical Data'!$BE$2:$BE$1068,0)),"")</f>
        <v>34449.63</v>
      </c>
      <c r="N27" s="110" t="n">
        <f aca="false">IFERROR(INDEX('Historical Data'!$S$2:$S$1068,MATCH($A27,'Historical Data'!$BE$2:$BE$1068,0)),"")</f>
        <v>0.475167310344828</v>
      </c>
      <c r="O27" s="109" t="n">
        <f aca="false">IFERROR(INDEX('Historical Data'!$AJ$2:$AJ$1068,MATCH($A27,'Historical Data'!$BE$2:$BE$1068,0)),"")</f>
        <v>-15550.37</v>
      </c>
      <c r="P27" s="109" t="n">
        <f aca="false">IFERROR(INDEX('Historical Data'!$AK$2:$AK$1068,MATCH($A27,'Historical Data'!$BE$2:$BE$1068,0)),"")</f>
        <v>0</v>
      </c>
      <c r="Q27" s="106" t="n">
        <f aca="false">IFERROR(INDEX('Historical Data'!$AA$2:$AA$1068,MATCH($A27,'Historical Data'!$BE$2:$BE$1068,0)),"")</f>
        <v>190</v>
      </c>
      <c r="R27" s="106" t="n">
        <f aca="false">IFERROR(INDEX('Historical Data'!$AB$2:$AB$1068,MATCH($A27,'Historical Data'!$BE$2:$BE$1068,0)),"")</f>
        <v>150</v>
      </c>
      <c r="S27" s="106" t="n">
        <f aca="false">IFERROR(INDEX('Historical Data'!$AN$2:$AN$1068,MATCH($A27,'Historical Data'!$BE$2:$BE$1068,0)),"")</f>
        <v>142</v>
      </c>
      <c r="T27" s="106" t="n">
        <f aca="false">IFERROR(INDEX('Historical Data'!$AC$2:$AC$1068,MATCH($A27,'Historical Data'!$BE$2:$BE$1068,0)),"")</f>
        <v>0</v>
      </c>
      <c r="U27" s="106" t="n">
        <f aca="false">IFERROR(INDEX('Historical Data'!$AE$2:$AE$1068,MATCH($A27,'Historical Data'!$BE$2:$BE$1068,0)),"")</f>
        <v>0</v>
      </c>
      <c r="V27" s="106" t="n">
        <f aca="false">IFERROR(INDEX('Historical Data'!$AH$2:$AH$1068,MATCH($A27,'Historical Data'!$BE$2:$BE$1068,0)),"")</f>
        <v>1</v>
      </c>
      <c r="W27" s="106" t="n">
        <f aca="false">IFERROR(INDEX('Historical Data'!$BC$2:$BC$1068,MATCH($A27,'Historical Data'!$BE$2:$BE$1068,0)),"")</f>
        <v>1</v>
      </c>
      <c r="X27" s="105" t="str">
        <f aca="false">IF(B27="","",IF(W27=1,"NR + industry + position",IF(W27=2,"NR + ISO + position",IF(W27=3,"NR + industry",IF(W27=4,"NR + ISO",IF(W27=5,"NR + position",IF(W27=6,"NR only","book baseline"))))))&amp;"  ["&amp;IF(T27=1,"seasoned","unseasoned")&amp;IF(U27=1,", defaulted","")&amp;IF(V27=1,", open","")&amp;"]")</f>
        <v>NR + industry + position  [unseasoned, open]</v>
      </c>
    </row>
    <row r="28" customFormat="false" ht="15" hidden="false" customHeight="false" outlineLevel="0" collapsed="false">
      <c r="A28" s="105" t="n">
        <v>24</v>
      </c>
      <c r="B28" s="106" t="str">
        <f aca="false">IFERROR(INDEX('Historical Data'!$A$2:$A$1068,MATCH($A28,'Historical Data'!$BE$2:$BE$1068,0)),"")</f>
        <v>5674177117</v>
      </c>
      <c r="C28" s="106" t="str">
        <f aca="false">IFERROR(INDEX('Historical Data'!$B$2:$B$1068,MATCH($A28,'Historical Data'!$BE$2:$BE$1068,0)),"")</f>
        <v>TEAMWORK TOWN INC</v>
      </c>
      <c r="D28" s="106" t="str">
        <f aca="false">IFERROR(INDEX('Historical Data'!$D$2:$D$1068,MATCH($A28,'Historical Data'!$BE$2:$BE$1068,0)),"")</f>
        <v>Closed</v>
      </c>
      <c r="E28" s="107" t="n">
        <f aca="false">IFERROR(INDEX('Historical Data'!$E$2:$E$1068,MATCH($A28,'Historical Data'!$BE$2:$BE$1068,0)),"")</f>
        <v>46045</v>
      </c>
      <c r="F28" s="106" t="n">
        <f aca="false">IFERROR(INDEX('Historical Data'!$G$2:$G$1068,MATCH($A28,'Historical Data'!$BE$2:$BE$1068,0)),"")</f>
        <v>2</v>
      </c>
      <c r="G28" s="106" t="str">
        <f aca="false">IFERROR(INDEX('Historical Data'!$Y$2:$Y$1068,MATCH($A28,'Historical Data'!$BE$2:$BE$1068,0)),"")</f>
        <v>General Building Contractors</v>
      </c>
      <c r="H28" s="106" t="str">
        <f aca="false">IFERROR(INDEX('Historical Data'!$K$2:$K$1068,MATCH($A28,'Historical Data'!$BE$2:$BE$1068,0)),"")</f>
        <v>Westwood</v>
      </c>
      <c r="I28" s="106" t="str">
        <f aca="false">IFERROR(INDEX('Historical Data'!$J$2:$J$1068,MATCH($A28,'Historical Data'!$BE$2:$BE$1068,0)),"")</f>
        <v>TX</v>
      </c>
      <c r="J28" s="106" t="str">
        <f aca="false">IFERROR(INDEX('Historical Data'!$L$2:$L$1068,MATCH($A28,'Historical Data'!$BE$2:$BE$1068,0)),"")</f>
        <v>New Deal</v>
      </c>
      <c r="K28" s="108" t="n">
        <f aca="false">IFERROR(INDEX('Historical Data'!$M$2:$M$1068,MATCH($A28,'Historical Data'!$BE$2:$BE$1068,0)),"")</f>
        <v>1.4</v>
      </c>
      <c r="L28" s="109" t="n">
        <f aca="false">IFERROR(INDEX('Historical Data'!$N$2:$N$1068,MATCH($A28,'Historical Data'!$BE$2:$BE$1068,0)),"")</f>
        <v>30000</v>
      </c>
      <c r="M28" s="109" t="n">
        <f aca="false">IFERROR(INDEX('Historical Data'!$Q$2:$Q$1068,MATCH($A28,'Historical Data'!$BE$2:$BE$1068,0)),"")</f>
        <v>42000</v>
      </c>
      <c r="N28" s="110" t="n">
        <f aca="false">IFERROR(INDEX('Historical Data'!$S$2:$S$1068,MATCH($A28,'Historical Data'!$BE$2:$BE$1068,0)),"")</f>
        <v>1</v>
      </c>
      <c r="O28" s="109" t="n">
        <f aca="false">IFERROR(INDEX('Historical Data'!$AJ$2:$AJ$1068,MATCH($A28,'Historical Data'!$BE$2:$BE$1068,0)),"")</f>
        <v>12000</v>
      </c>
      <c r="P28" s="109" t="n">
        <f aca="false">IFERROR(INDEX('Historical Data'!$AK$2:$AK$1068,MATCH($A28,'Historical Data'!$BE$2:$BE$1068,0)),"")</f>
        <v>0</v>
      </c>
      <c r="Q28" s="106" t="n">
        <f aca="false">IFERROR(INDEX('Historical Data'!$AA$2:$AA$1068,MATCH($A28,'Historical Data'!$BE$2:$BE$1068,0)),"")</f>
        <v>100</v>
      </c>
      <c r="R28" s="106" t="n">
        <f aca="false">IFERROR(INDEX('Historical Data'!$AB$2:$AB$1068,MATCH($A28,'Historical Data'!$BE$2:$BE$1068,0)),"")</f>
        <v>150</v>
      </c>
      <c r="S28" s="106" t="n">
        <f aca="false">IFERROR(INDEX('Historical Data'!$AN$2:$AN$1068,MATCH($A28,'Historical Data'!$BE$2:$BE$1068,0)),"")</f>
        <v>125</v>
      </c>
      <c r="T28" s="106" t="n">
        <f aca="false">IFERROR(INDEX('Historical Data'!$AC$2:$AC$1068,MATCH($A28,'Historical Data'!$BE$2:$BE$1068,0)),"")</f>
        <v>1</v>
      </c>
      <c r="U28" s="106" t="n">
        <f aca="false">IFERROR(INDEX('Historical Data'!$AE$2:$AE$1068,MATCH($A28,'Historical Data'!$BE$2:$BE$1068,0)),"")</f>
        <v>0</v>
      </c>
      <c r="V28" s="106" t="n">
        <f aca="false">IFERROR(INDEX('Historical Data'!$AH$2:$AH$1068,MATCH($A28,'Historical Data'!$BE$2:$BE$1068,0)),"")</f>
        <v>0</v>
      </c>
      <c r="W28" s="106" t="n">
        <f aca="false">IFERROR(INDEX('Historical Data'!$BC$2:$BC$1068,MATCH($A28,'Historical Data'!$BE$2:$BE$1068,0)),"")</f>
        <v>1</v>
      </c>
      <c r="X28" s="105" t="str">
        <f aca="false">IF(B28="","",IF(W28=1,"NR + industry + position",IF(W28=2,"NR + ISO + position",IF(W28=3,"NR + industry",IF(W28=4,"NR + ISO",IF(W28=5,"NR + position",IF(W28=6,"NR only","book baseline"))))))&amp;"  ["&amp;IF(T28=1,"seasoned","unseasoned")&amp;IF(U28=1,", defaulted","")&amp;IF(V28=1,", open","")&amp;"]")</f>
        <v>NR + industry + position  [seasoned]</v>
      </c>
    </row>
    <row r="29" customFormat="false" ht="15" hidden="false" customHeight="false" outlineLevel="0" collapsed="false">
      <c r="A29" s="105" t="n">
        <v>25</v>
      </c>
      <c r="B29" s="106" t="str">
        <f aca="false">IFERROR(INDEX('Historical Data'!$A$2:$A$1068,MATCH($A29,'Historical Data'!$BE$2:$BE$1068,0)),"")</f>
        <v>5674177118</v>
      </c>
      <c r="C29" s="106" t="str">
        <f aca="false">IFERROR(INDEX('Historical Data'!$B$2:$B$1068,MATCH($A29,'Historical Data'!$BE$2:$BE$1068,0)),"")</f>
        <v>SKEENS RESTORATION &amp; CONSTRUCTION LLC</v>
      </c>
      <c r="D29" s="106" t="str">
        <f aca="false">IFERROR(INDEX('Historical Data'!$D$2:$D$1068,MATCH($A29,'Historical Data'!$BE$2:$BE$1068,0)),"")</f>
        <v>Closed</v>
      </c>
      <c r="E29" s="107" t="n">
        <f aca="false">IFERROR(INDEX('Historical Data'!$E$2:$E$1068,MATCH($A29,'Historical Data'!$BE$2:$BE$1068,0)),"")</f>
        <v>46045</v>
      </c>
      <c r="F29" s="106" t="n">
        <f aca="false">IFERROR(INDEX('Historical Data'!$G$2:$G$1068,MATCH($A29,'Historical Data'!$BE$2:$BE$1068,0)),"")</f>
        <v>2</v>
      </c>
      <c r="G29" s="106" t="str">
        <f aca="false">IFERROR(INDEX('Historical Data'!$Y$2:$Y$1068,MATCH($A29,'Historical Data'!$BE$2:$BE$1068,0)),"")</f>
        <v>General Building Contractors</v>
      </c>
      <c r="H29" s="106" t="str">
        <f aca="false">IFERROR(INDEX('Historical Data'!$K$2:$K$1068,MATCH($A29,'Historical Data'!$BE$2:$BE$1068,0)),"")</f>
        <v>United Secured Capital 8</v>
      </c>
      <c r="I29" s="106" t="str">
        <f aca="false">IFERROR(INDEX('Historical Data'!$J$2:$J$1068,MATCH($A29,'Historical Data'!$BE$2:$BE$1068,0)),"")</f>
        <v>TN</v>
      </c>
      <c r="J29" s="106" t="str">
        <f aca="false">IFERROR(INDEX('Historical Data'!$L$2:$L$1068,MATCH($A29,'Historical Data'!$BE$2:$BE$1068,0)),"")</f>
        <v>New Deal</v>
      </c>
      <c r="K29" s="108" t="n">
        <f aca="false">IFERROR(INDEX('Historical Data'!$M$2:$M$1068,MATCH($A29,'Historical Data'!$BE$2:$BE$1068,0)),"")</f>
        <v>1.49</v>
      </c>
      <c r="L29" s="109" t="n">
        <f aca="false">IFERROR(INDEX('Historical Data'!$N$2:$N$1068,MATCH($A29,'Historical Data'!$BE$2:$BE$1068,0)),"")</f>
        <v>10000</v>
      </c>
      <c r="M29" s="109" t="n">
        <f aca="false">IFERROR(INDEX('Historical Data'!$Q$2:$Q$1068,MATCH($A29,'Historical Data'!$BE$2:$BE$1068,0)),"")</f>
        <v>14900</v>
      </c>
      <c r="N29" s="110" t="n">
        <f aca="false">IFERROR(INDEX('Historical Data'!$S$2:$S$1068,MATCH($A29,'Historical Data'!$BE$2:$BE$1068,0)),"")</f>
        <v>1</v>
      </c>
      <c r="O29" s="109" t="n">
        <f aca="false">IFERROR(INDEX('Historical Data'!$AJ$2:$AJ$1068,MATCH($A29,'Historical Data'!$BE$2:$BE$1068,0)),"")</f>
        <v>4900</v>
      </c>
      <c r="P29" s="109" t="n">
        <f aca="false">IFERROR(INDEX('Historical Data'!$AK$2:$AK$1068,MATCH($A29,'Historical Data'!$BE$2:$BE$1068,0)),"")</f>
        <v>0</v>
      </c>
      <c r="Q29" s="106" t="n">
        <f aca="false">IFERROR(INDEX('Historical Data'!$AA$2:$AA$1068,MATCH($A29,'Historical Data'!$BE$2:$BE$1068,0)),"")</f>
        <v>120</v>
      </c>
      <c r="R29" s="106" t="n">
        <f aca="false">IFERROR(INDEX('Historical Data'!$AB$2:$AB$1068,MATCH($A29,'Historical Data'!$BE$2:$BE$1068,0)),"")</f>
        <v>150</v>
      </c>
      <c r="S29" s="106" t="n">
        <f aca="false">IFERROR(INDEX('Historical Data'!$AN$2:$AN$1068,MATCH($A29,'Historical Data'!$BE$2:$BE$1068,0)),"")</f>
        <v>79</v>
      </c>
      <c r="T29" s="106" t="n">
        <f aca="false">IFERROR(INDEX('Historical Data'!$AC$2:$AC$1068,MATCH($A29,'Historical Data'!$BE$2:$BE$1068,0)),"")</f>
        <v>1</v>
      </c>
      <c r="U29" s="106" t="n">
        <f aca="false">IFERROR(INDEX('Historical Data'!$AE$2:$AE$1068,MATCH($A29,'Historical Data'!$BE$2:$BE$1068,0)),"")</f>
        <v>0</v>
      </c>
      <c r="V29" s="106" t="n">
        <f aca="false">IFERROR(INDEX('Historical Data'!$AH$2:$AH$1068,MATCH($A29,'Historical Data'!$BE$2:$BE$1068,0)),"")</f>
        <v>0</v>
      </c>
      <c r="W29" s="106" t="n">
        <f aca="false">IFERROR(INDEX('Historical Data'!$BC$2:$BC$1068,MATCH($A29,'Historical Data'!$BE$2:$BE$1068,0)),"")</f>
        <v>1</v>
      </c>
      <c r="X29" s="105" t="str">
        <f aca="false">IF(B29="","",IF(W29=1,"NR + industry + position",IF(W29=2,"NR + ISO + position",IF(W29=3,"NR + industry",IF(W29=4,"NR + ISO",IF(W29=5,"NR + position",IF(W29=6,"NR only","book baseline"))))))&amp;"  ["&amp;IF(T29=1,"seasoned","unseasoned")&amp;IF(U29=1,", defaulted","")&amp;IF(V29=1,", open","")&amp;"]")</f>
        <v>NR + industry + position  [seasoned]</v>
      </c>
    </row>
    <row r="30" customFormat="false" ht="15" hidden="false" customHeight="false" outlineLevel="0" collapsed="false">
      <c r="A30" s="105" t="n">
        <v>26</v>
      </c>
      <c r="B30" s="106" t="str">
        <f aca="false">IFERROR(INDEX('Historical Data'!$A$2:$A$1068,MATCH($A30,'Historical Data'!$BE$2:$BE$1068,0)),"")</f>
        <v>5674185746</v>
      </c>
      <c r="C30" s="106" t="str">
        <f aca="false">IFERROR(INDEX('Historical Data'!$B$2:$B$1068,MATCH($A30,'Historical Data'!$BE$2:$BE$1068,0)),"")</f>
        <v>AGAVE BUILDERS</v>
      </c>
      <c r="D30" s="106" t="str">
        <f aca="false">IFERROR(INDEX('Historical Data'!$D$2:$D$1068,MATCH($A30,'Historical Data'!$BE$2:$BE$1068,0)),"")</f>
        <v>Legal</v>
      </c>
      <c r="E30" s="107" t="n">
        <f aca="false">IFERROR(INDEX('Historical Data'!$E$2:$E$1068,MATCH($A30,'Historical Data'!$BE$2:$BE$1068,0)),"")</f>
        <v>46191</v>
      </c>
      <c r="F30" s="106" t="n">
        <f aca="false">IFERROR(INDEX('Historical Data'!$G$2:$G$1068,MATCH($A30,'Historical Data'!$BE$2:$BE$1068,0)),"")</f>
        <v>2</v>
      </c>
      <c r="G30" s="106" t="str">
        <f aca="false">IFERROR(INDEX('Historical Data'!$Y$2:$Y$1068,MATCH($A30,'Historical Data'!$BE$2:$BE$1068,0)),"")</f>
        <v>General Building Contractors</v>
      </c>
      <c r="H30" s="106" t="str">
        <f aca="false">IFERROR(INDEX('Historical Data'!$K$2:$K$1068,MATCH($A30,'Historical Data'!$BE$2:$BE$1068,0)),"")</f>
        <v>J Capital Solutions</v>
      </c>
      <c r="I30" s="106" t="str">
        <f aca="false">IFERROR(INDEX('Historical Data'!$J$2:$J$1068,MATCH($A30,'Historical Data'!$BE$2:$BE$1068,0)),"")</f>
        <v>AZ</v>
      </c>
      <c r="J30" s="106" t="str">
        <f aca="false">IFERROR(INDEX('Historical Data'!$L$2:$L$1068,MATCH($A30,'Historical Data'!$BE$2:$BE$1068,0)),"")</f>
        <v>New Deal</v>
      </c>
      <c r="K30" s="108" t="n">
        <f aca="false">IFERROR(INDEX('Historical Data'!$M$2:$M$1068,MATCH($A30,'Historical Data'!$BE$2:$BE$1068,0)),"")</f>
        <v>1.49</v>
      </c>
      <c r="L30" s="109" t="n">
        <f aca="false">IFERROR(INDEX('Historical Data'!$N$2:$N$1068,MATCH($A30,'Historical Data'!$BE$2:$BE$1068,0)),"")</f>
        <v>70000</v>
      </c>
      <c r="M30" s="109" t="n">
        <f aca="false">IFERROR(INDEX('Historical Data'!$Q$2:$Q$1068,MATCH($A30,'Historical Data'!$BE$2:$BE$1068,0)),"")</f>
        <v>3069.58</v>
      </c>
      <c r="N30" s="110" t="n">
        <f aca="false">IFERROR(INDEX('Historical Data'!$S$2:$S$1068,MATCH($A30,'Historical Data'!$BE$2:$BE$1068,0)),"")</f>
        <v>0.029430297219559</v>
      </c>
      <c r="O30" s="109" t="n">
        <f aca="false">IFERROR(INDEX('Historical Data'!$AJ$2:$AJ$1068,MATCH($A30,'Historical Data'!$BE$2:$BE$1068,0)),"")</f>
        <v>-66930.42</v>
      </c>
      <c r="P30" s="109" t="n">
        <f aca="false">IFERROR(INDEX('Historical Data'!$AK$2:$AK$1068,MATCH($A30,'Historical Data'!$BE$2:$BE$1068,0)),"")</f>
        <v>66930.42</v>
      </c>
      <c r="Q30" s="106" t="n">
        <f aca="false">IFERROR(INDEX('Historical Data'!$AA$2:$AA$1068,MATCH($A30,'Historical Data'!$BE$2:$BE$1068,0)),"")</f>
        <v>170</v>
      </c>
      <c r="R30" s="106" t="n">
        <f aca="false">IFERROR(INDEX('Historical Data'!$AB$2:$AB$1068,MATCH($A30,'Historical Data'!$BE$2:$BE$1068,0)),"")</f>
        <v>48</v>
      </c>
      <c r="S30" s="106" t="n">
        <f aca="false">IFERROR(INDEX('Historical Data'!$AN$2:$AN$1068,MATCH($A30,'Historical Data'!$BE$2:$BE$1068,0)),"")</f>
        <v>33</v>
      </c>
      <c r="T30" s="106" t="n">
        <f aca="false">IFERROR(INDEX('Historical Data'!$AC$2:$AC$1068,MATCH($A30,'Historical Data'!$BE$2:$BE$1068,0)),"")</f>
        <v>0</v>
      </c>
      <c r="U30" s="106" t="n">
        <f aca="false">IFERROR(INDEX('Historical Data'!$AE$2:$AE$1068,MATCH($A30,'Historical Data'!$BE$2:$BE$1068,0)),"")</f>
        <v>1</v>
      </c>
      <c r="V30" s="106" t="n">
        <f aca="false">IFERROR(INDEX('Historical Data'!$AH$2:$AH$1068,MATCH($A30,'Historical Data'!$BE$2:$BE$1068,0)),"")</f>
        <v>0</v>
      </c>
      <c r="W30" s="106" t="n">
        <f aca="false">IFERROR(INDEX('Historical Data'!$BC$2:$BC$1068,MATCH($A30,'Historical Data'!$BE$2:$BE$1068,0)),"")</f>
        <v>1</v>
      </c>
      <c r="X30" s="105" t="str">
        <f aca="false">IF(B30="","",IF(W30=1,"NR + industry + position",IF(W30=2,"NR + ISO + position",IF(W30=3,"NR + industry",IF(W30=4,"NR + ISO",IF(W30=5,"NR + position",IF(W30=6,"NR only","book baseline"))))))&amp;"  ["&amp;IF(T30=1,"seasoned","unseasoned")&amp;IF(U30=1,", defaulted","")&amp;IF(V30=1,", open","")&amp;"]")</f>
        <v>NR + industry + position  [unseasoned, defaulted]</v>
      </c>
    </row>
    <row r="31" customFormat="false" ht="15" hidden="false" customHeight="false" outlineLevel="0" collapsed="false">
      <c r="A31" s="105" t="n">
        <v>27</v>
      </c>
      <c r="B31" s="106" t="str">
        <f aca="false">IFERROR(INDEX('Historical Data'!$A$2:$A$1068,MATCH($A31,'Historical Data'!$BE$2:$BE$1068,0)),"")</f>
        <v>5674186277</v>
      </c>
      <c r="C31" s="106" t="str">
        <f aca="false">IFERROR(INDEX('Historical Data'!$B$2:$B$1068,MATCH($A31,'Historical Data'!$BE$2:$BE$1068,0)),"")</f>
        <v>TEAMWORK TOWN INC</v>
      </c>
      <c r="D31" s="106" t="str">
        <f aca="false">IFERROR(INDEX('Historical Data'!$D$2:$D$1068,MATCH($A31,'Historical Data'!$BE$2:$BE$1068,0)),"")</f>
        <v>Open</v>
      </c>
      <c r="E31" s="107" t="n">
        <f aca="false">IFERROR(INDEX('Historical Data'!$E$2:$E$1068,MATCH($A31,'Historical Data'!$BE$2:$BE$1068,0)),"")</f>
        <v>46202</v>
      </c>
      <c r="F31" s="106" t="n">
        <f aca="false">IFERROR(INDEX('Historical Data'!$G$2:$G$1068,MATCH($A31,'Historical Data'!$BE$2:$BE$1068,0)),"")</f>
        <v>2</v>
      </c>
      <c r="G31" s="106" t="str">
        <f aca="false">IFERROR(INDEX('Historical Data'!$Y$2:$Y$1068,MATCH($A31,'Historical Data'!$BE$2:$BE$1068,0)),"")</f>
        <v>General Building Contractors</v>
      </c>
      <c r="H31" s="106" t="str">
        <f aca="false">IFERROR(INDEX('Historical Data'!$K$2:$K$1068,MATCH($A31,'Historical Data'!$BE$2:$BE$1068,0)),"")</f>
        <v>Westwood</v>
      </c>
      <c r="I31" s="106" t="str">
        <f aca="false">IFERROR(INDEX('Historical Data'!$J$2:$J$1068,MATCH($A31,'Historical Data'!$BE$2:$BE$1068,0)),"")</f>
        <v>TX</v>
      </c>
      <c r="J31" s="106" t="str">
        <f aca="false">IFERROR(INDEX('Historical Data'!$L$2:$L$1068,MATCH($A31,'Historical Data'!$BE$2:$BE$1068,0)),"")</f>
        <v>New Deal</v>
      </c>
      <c r="K31" s="108" t="n">
        <f aca="false">IFERROR(INDEX('Historical Data'!$M$2:$M$1068,MATCH($A31,'Historical Data'!$BE$2:$BE$1068,0)),"")</f>
        <v>1.4</v>
      </c>
      <c r="L31" s="109" t="n">
        <f aca="false">IFERROR(INDEX('Historical Data'!$N$2:$N$1068,MATCH($A31,'Historical Data'!$BE$2:$BE$1068,0)),"")</f>
        <v>42000</v>
      </c>
      <c r="M31" s="109" t="n">
        <f aca="false">IFERROR(INDEX('Historical Data'!$Q$2:$Q$1068,MATCH($A31,'Historical Data'!$BE$2:$BE$1068,0)),"")</f>
        <v>13840.04</v>
      </c>
      <c r="N31" s="110" t="n">
        <f aca="false">IFERROR(INDEX('Historical Data'!$S$2:$S$1068,MATCH($A31,'Historical Data'!$BE$2:$BE$1068,0)),"")</f>
        <v>0.235374829931973</v>
      </c>
      <c r="O31" s="109" t="n">
        <f aca="false">IFERROR(INDEX('Historical Data'!$AJ$2:$AJ$1068,MATCH($A31,'Historical Data'!$BE$2:$BE$1068,0)),"")</f>
        <v>-28159.96</v>
      </c>
      <c r="P31" s="109" t="n">
        <f aca="false">IFERROR(INDEX('Historical Data'!$AK$2:$AK$1068,MATCH($A31,'Historical Data'!$BE$2:$BE$1068,0)),"")</f>
        <v>0</v>
      </c>
      <c r="Q31" s="106" t="n">
        <f aca="false">IFERROR(INDEX('Historical Data'!$AA$2:$AA$1068,MATCH($A31,'Historical Data'!$BE$2:$BE$1068,0)),"")</f>
        <v>140</v>
      </c>
      <c r="R31" s="106" t="n">
        <f aca="false">IFERROR(INDEX('Historical Data'!$AB$2:$AB$1068,MATCH($A31,'Historical Data'!$BE$2:$BE$1068,0)),"")</f>
        <v>42</v>
      </c>
      <c r="S31" s="106" t="n">
        <f aca="false">IFERROR(INDEX('Historical Data'!$AN$2:$AN$1068,MATCH($A31,'Historical Data'!$BE$2:$BE$1068,0)),"")</f>
        <v>35</v>
      </c>
      <c r="T31" s="106" t="n">
        <f aca="false">IFERROR(INDEX('Historical Data'!$AC$2:$AC$1068,MATCH($A31,'Historical Data'!$BE$2:$BE$1068,0)),"")</f>
        <v>0</v>
      </c>
      <c r="U31" s="106" t="n">
        <f aca="false">IFERROR(INDEX('Historical Data'!$AE$2:$AE$1068,MATCH($A31,'Historical Data'!$BE$2:$BE$1068,0)),"")</f>
        <v>0</v>
      </c>
      <c r="V31" s="106" t="n">
        <f aca="false">IFERROR(INDEX('Historical Data'!$AH$2:$AH$1068,MATCH($A31,'Historical Data'!$BE$2:$BE$1068,0)),"")</f>
        <v>1</v>
      </c>
      <c r="W31" s="106" t="n">
        <f aca="false">IFERROR(INDEX('Historical Data'!$BC$2:$BC$1068,MATCH($A31,'Historical Data'!$BE$2:$BE$1068,0)),"")</f>
        <v>1</v>
      </c>
      <c r="X31" s="105" t="str">
        <f aca="false">IF(B31="","",IF(W31=1,"NR + industry + position",IF(W31=2,"NR + ISO + position",IF(W31=3,"NR + industry",IF(W31=4,"NR + ISO",IF(W31=5,"NR + position",IF(W31=6,"NR only","book baseline"))))))&amp;"  ["&amp;IF(T31=1,"seasoned","unseasoned")&amp;IF(U31=1,", defaulted","")&amp;IF(V31=1,", open","")&amp;"]")</f>
        <v>NR + industry + position  [unseasoned, open]</v>
      </c>
    </row>
    <row r="32" customFormat="false" ht="15" hidden="false" customHeight="false" outlineLevel="0" collapsed="false">
      <c r="A32" s="105" t="n">
        <v>28</v>
      </c>
      <c r="B32" s="106" t="str">
        <f aca="false">IFERROR(INDEX('Historical Data'!$A$2:$A$1068,MATCH($A32,'Historical Data'!$BE$2:$BE$1068,0)),"")</f>
        <v/>
      </c>
      <c r="C32" s="106" t="str">
        <f aca="false">IFERROR(INDEX('Historical Data'!$B$2:$B$1068,MATCH($A32,'Historical Data'!$BE$2:$BE$1068,0)),"")</f>
        <v/>
      </c>
      <c r="D32" s="106" t="str">
        <f aca="false">IFERROR(INDEX('Historical Data'!$D$2:$D$1068,MATCH($A32,'Historical Data'!$BE$2:$BE$1068,0)),"")</f>
        <v/>
      </c>
      <c r="E32" s="107" t="str">
        <f aca="false">IFERROR(INDEX('Historical Data'!$E$2:$E$1068,MATCH($A32,'Historical Data'!$BE$2:$BE$1068,0)),"")</f>
        <v/>
      </c>
      <c r="F32" s="106" t="str">
        <f aca="false">IFERROR(INDEX('Historical Data'!$G$2:$G$1068,MATCH($A32,'Historical Data'!$BE$2:$BE$1068,0)),"")</f>
        <v/>
      </c>
      <c r="G32" s="106" t="str">
        <f aca="false">IFERROR(INDEX('Historical Data'!$Y$2:$Y$1068,MATCH($A32,'Historical Data'!$BE$2:$BE$1068,0)),"")</f>
        <v/>
      </c>
      <c r="H32" s="106" t="str">
        <f aca="false">IFERROR(INDEX('Historical Data'!$K$2:$K$1068,MATCH($A32,'Historical Data'!$BE$2:$BE$1068,0)),"")</f>
        <v/>
      </c>
      <c r="I32" s="106" t="str">
        <f aca="false">IFERROR(INDEX('Historical Data'!$J$2:$J$1068,MATCH($A32,'Historical Data'!$BE$2:$BE$1068,0)),"")</f>
        <v/>
      </c>
      <c r="J32" s="106" t="str">
        <f aca="false">IFERROR(INDEX('Historical Data'!$L$2:$L$1068,MATCH($A32,'Historical Data'!$BE$2:$BE$1068,0)),"")</f>
        <v/>
      </c>
      <c r="K32" s="108" t="str">
        <f aca="false">IFERROR(INDEX('Historical Data'!$M$2:$M$1068,MATCH($A32,'Historical Data'!$BE$2:$BE$1068,0)),"")</f>
        <v/>
      </c>
      <c r="L32" s="109" t="str">
        <f aca="false">IFERROR(INDEX('Historical Data'!$N$2:$N$1068,MATCH($A32,'Historical Data'!$BE$2:$BE$1068,0)),"")</f>
        <v/>
      </c>
      <c r="M32" s="109" t="str">
        <f aca="false">IFERROR(INDEX('Historical Data'!$Q$2:$Q$1068,MATCH($A32,'Historical Data'!$BE$2:$BE$1068,0)),"")</f>
        <v/>
      </c>
      <c r="N32" s="110" t="str">
        <f aca="false">IFERROR(INDEX('Historical Data'!$S$2:$S$1068,MATCH($A32,'Historical Data'!$BE$2:$BE$1068,0)),"")</f>
        <v/>
      </c>
      <c r="O32" s="109" t="str">
        <f aca="false">IFERROR(INDEX('Historical Data'!$AJ$2:$AJ$1068,MATCH($A32,'Historical Data'!$BE$2:$BE$1068,0)),"")</f>
        <v/>
      </c>
      <c r="P32" s="109" t="str">
        <f aca="false">IFERROR(INDEX('Historical Data'!$AK$2:$AK$1068,MATCH($A32,'Historical Data'!$BE$2:$BE$1068,0)),"")</f>
        <v/>
      </c>
      <c r="Q32" s="106" t="str">
        <f aca="false">IFERROR(INDEX('Historical Data'!$AA$2:$AA$1068,MATCH($A32,'Historical Data'!$BE$2:$BE$1068,0)),"")</f>
        <v/>
      </c>
      <c r="R32" s="106" t="str">
        <f aca="false">IFERROR(INDEX('Historical Data'!$AB$2:$AB$1068,MATCH($A32,'Historical Data'!$BE$2:$BE$1068,0)),"")</f>
        <v/>
      </c>
      <c r="S32" s="106" t="str">
        <f aca="false">IFERROR(INDEX('Historical Data'!$AN$2:$AN$1068,MATCH($A32,'Historical Data'!$BE$2:$BE$1068,0)),"")</f>
        <v/>
      </c>
      <c r="T32" s="106" t="str">
        <f aca="false">IFERROR(INDEX('Historical Data'!$AC$2:$AC$1068,MATCH($A32,'Historical Data'!$BE$2:$BE$1068,0)),"")</f>
        <v/>
      </c>
      <c r="U32" s="106" t="str">
        <f aca="false">IFERROR(INDEX('Historical Data'!$AE$2:$AE$1068,MATCH($A32,'Historical Data'!$BE$2:$BE$1068,0)),"")</f>
        <v/>
      </c>
      <c r="V32" s="106" t="str">
        <f aca="false">IFERROR(INDEX('Historical Data'!$AH$2:$AH$1068,MATCH($A32,'Historical Data'!$BE$2:$BE$1068,0)),"")</f>
        <v/>
      </c>
      <c r="W32" s="106" t="str">
        <f aca="false">IFERROR(INDEX('Historical Data'!$BC$2:$BC$1068,MATCH($A32,'Historical Data'!$BE$2:$BE$1068,0)),"")</f>
        <v/>
      </c>
      <c r="X32" s="105" t="str">
        <f aca="false">IF(B32="","",IF(W32=1,"NR + industry + position",IF(W32=2,"NR + ISO + position",IF(W32=3,"NR + industry",IF(W32=4,"NR + ISO",IF(W32=5,"NR + position",IF(W32=6,"NR only","book baseline"))))))&amp;"  ["&amp;IF(T32=1,"seasoned","unseasoned")&amp;IF(U32=1,", defaulted","")&amp;IF(V32=1,", open","")&amp;"]")</f>
        <v/>
      </c>
    </row>
    <row r="33" customFormat="false" ht="15" hidden="false" customHeight="false" outlineLevel="0" collapsed="false">
      <c r="A33" s="105" t="n">
        <v>29</v>
      </c>
      <c r="B33" s="106" t="str">
        <f aca="false">IFERROR(INDEX('Historical Data'!$A$2:$A$1068,MATCH($A33,'Historical Data'!$BE$2:$BE$1068,0)),"")</f>
        <v/>
      </c>
      <c r="C33" s="106" t="str">
        <f aca="false">IFERROR(INDEX('Historical Data'!$B$2:$B$1068,MATCH($A33,'Historical Data'!$BE$2:$BE$1068,0)),"")</f>
        <v/>
      </c>
      <c r="D33" s="106" t="str">
        <f aca="false">IFERROR(INDEX('Historical Data'!$D$2:$D$1068,MATCH($A33,'Historical Data'!$BE$2:$BE$1068,0)),"")</f>
        <v/>
      </c>
      <c r="E33" s="107" t="str">
        <f aca="false">IFERROR(INDEX('Historical Data'!$E$2:$E$1068,MATCH($A33,'Historical Data'!$BE$2:$BE$1068,0)),"")</f>
        <v/>
      </c>
      <c r="F33" s="106" t="str">
        <f aca="false">IFERROR(INDEX('Historical Data'!$G$2:$G$1068,MATCH($A33,'Historical Data'!$BE$2:$BE$1068,0)),"")</f>
        <v/>
      </c>
      <c r="G33" s="106" t="str">
        <f aca="false">IFERROR(INDEX('Historical Data'!$Y$2:$Y$1068,MATCH($A33,'Historical Data'!$BE$2:$BE$1068,0)),"")</f>
        <v/>
      </c>
      <c r="H33" s="106" t="str">
        <f aca="false">IFERROR(INDEX('Historical Data'!$K$2:$K$1068,MATCH($A33,'Historical Data'!$BE$2:$BE$1068,0)),"")</f>
        <v/>
      </c>
      <c r="I33" s="106" t="str">
        <f aca="false">IFERROR(INDEX('Historical Data'!$J$2:$J$1068,MATCH($A33,'Historical Data'!$BE$2:$BE$1068,0)),"")</f>
        <v/>
      </c>
      <c r="J33" s="106" t="str">
        <f aca="false">IFERROR(INDEX('Historical Data'!$L$2:$L$1068,MATCH($A33,'Historical Data'!$BE$2:$BE$1068,0)),"")</f>
        <v/>
      </c>
      <c r="K33" s="108" t="str">
        <f aca="false">IFERROR(INDEX('Historical Data'!$M$2:$M$1068,MATCH($A33,'Historical Data'!$BE$2:$BE$1068,0)),"")</f>
        <v/>
      </c>
      <c r="L33" s="109" t="str">
        <f aca="false">IFERROR(INDEX('Historical Data'!$N$2:$N$1068,MATCH($A33,'Historical Data'!$BE$2:$BE$1068,0)),"")</f>
        <v/>
      </c>
      <c r="M33" s="109" t="str">
        <f aca="false">IFERROR(INDEX('Historical Data'!$Q$2:$Q$1068,MATCH($A33,'Historical Data'!$BE$2:$BE$1068,0)),"")</f>
        <v/>
      </c>
      <c r="N33" s="110" t="str">
        <f aca="false">IFERROR(INDEX('Historical Data'!$S$2:$S$1068,MATCH($A33,'Historical Data'!$BE$2:$BE$1068,0)),"")</f>
        <v/>
      </c>
      <c r="O33" s="109" t="str">
        <f aca="false">IFERROR(INDEX('Historical Data'!$AJ$2:$AJ$1068,MATCH($A33,'Historical Data'!$BE$2:$BE$1068,0)),"")</f>
        <v/>
      </c>
      <c r="P33" s="109" t="str">
        <f aca="false">IFERROR(INDEX('Historical Data'!$AK$2:$AK$1068,MATCH($A33,'Historical Data'!$BE$2:$BE$1068,0)),"")</f>
        <v/>
      </c>
      <c r="Q33" s="106" t="str">
        <f aca="false">IFERROR(INDEX('Historical Data'!$AA$2:$AA$1068,MATCH($A33,'Historical Data'!$BE$2:$BE$1068,0)),"")</f>
        <v/>
      </c>
      <c r="R33" s="106" t="str">
        <f aca="false">IFERROR(INDEX('Historical Data'!$AB$2:$AB$1068,MATCH($A33,'Historical Data'!$BE$2:$BE$1068,0)),"")</f>
        <v/>
      </c>
      <c r="S33" s="106" t="str">
        <f aca="false">IFERROR(INDEX('Historical Data'!$AN$2:$AN$1068,MATCH($A33,'Historical Data'!$BE$2:$BE$1068,0)),"")</f>
        <v/>
      </c>
      <c r="T33" s="106" t="str">
        <f aca="false">IFERROR(INDEX('Historical Data'!$AC$2:$AC$1068,MATCH($A33,'Historical Data'!$BE$2:$BE$1068,0)),"")</f>
        <v/>
      </c>
      <c r="U33" s="106" t="str">
        <f aca="false">IFERROR(INDEX('Historical Data'!$AE$2:$AE$1068,MATCH($A33,'Historical Data'!$BE$2:$BE$1068,0)),"")</f>
        <v/>
      </c>
      <c r="V33" s="106" t="str">
        <f aca="false">IFERROR(INDEX('Historical Data'!$AH$2:$AH$1068,MATCH($A33,'Historical Data'!$BE$2:$BE$1068,0)),"")</f>
        <v/>
      </c>
      <c r="W33" s="106" t="str">
        <f aca="false">IFERROR(INDEX('Historical Data'!$BC$2:$BC$1068,MATCH($A33,'Historical Data'!$BE$2:$BE$1068,0)),"")</f>
        <v/>
      </c>
      <c r="X33" s="105" t="str">
        <f aca="false">IF(B33="","",IF(W33=1,"NR + industry + position",IF(W33=2,"NR + ISO + position",IF(W33=3,"NR + industry",IF(W33=4,"NR + ISO",IF(W33=5,"NR + position",IF(W33=6,"NR only","book baseline"))))))&amp;"  ["&amp;IF(T33=1,"seasoned","unseasoned")&amp;IF(U33=1,", defaulted","")&amp;IF(V33=1,", open","")&amp;"]")</f>
        <v/>
      </c>
    </row>
    <row r="34" customFormat="false" ht="15" hidden="false" customHeight="false" outlineLevel="0" collapsed="false">
      <c r="A34" s="105" t="n">
        <v>30</v>
      </c>
      <c r="B34" s="106" t="str">
        <f aca="false">IFERROR(INDEX('Historical Data'!$A$2:$A$1068,MATCH($A34,'Historical Data'!$BE$2:$BE$1068,0)),"")</f>
        <v/>
      </c>
      <c r="C34" s="106" t="str">
        <f aca="false">IFERROR(INDEX('Historical Data'!$B$2:$B$1068,MATCH($A34,'Historical Data'!$BE$2:$BE$1068,0)),"")</f>
        <v/>
      </c>
      <c r="D34" s="106" t="str">
        <f aca="false">IFERROR(INDEX('Historical Data'!$D$2:$D$1068,MATCH($A34,'Historical Data'!$BE$2:$BE$1068,0)),"")</f>
        <v/>
      </c>
      <c r="E34" s="107" t="str">
        <f aca="false">IFERROR(INDEX('Historical Data'!$E$2:$E$1068,MATCH($A34,'Historical Data'!$BE$2:$BE$1068,0)),"")</f>
        <v/>
      </c>
      <c r="F34" s="106" t="str">
        <f aca="false">IFERROR(INDEX('Historical Data'!$G$2:$G$1068,MATCH($A34,'Historical Data'!$BE$2:$BE$1068,0)),"")</f>
        <v/>
      </c>
      <c r="G34" s="106" t="str">
        <f aca="false">IFERROR(INDEX('Historical Data'!$Y$2:$Y$1068,MATCH($A34,'Historical Data'!$BE$2:$BE$1068,0)),"")</f>
        <v/>
      </c>
      <c r="H34" s="106" t="str">
        <f aca="false">IFERROR(INDEX('Historical Data'!$K$2:$K$1068,MATCH($A34,'Historical Data'!$BE$2:$BE$1068,0)),"")</f>
        <v/>
      </c>
      <c r="I34" s="106" t="str">
        <f aca="false">IFERROR(INDEX('Historical Data'!$J$2:$J$1068,MATCH($A34,'Historical Data'!$BE$2:$BE$1068,0)),"")</f>
        <v/>
      </c>
      <c r="J34" s="106" t="str">
        <f aca="false">IFERROR(INDEX('Historical Data'!$L$2:$L$1068,MATCH($A34,'Historical Data'!$BE$2:$BE$1068,0)),"")</f>
        <v/>
      </c>
      <c r="K34" s="108" t="str">
        <f aca="false">IFERROR(INDEX('Historical Data'!$M$2:$M$1068,MATCH($A34,'Historical Data'!$BE$2:$BE$1068,0)),"")</f>
        <v/>
      </c>
      <c r="L34" s="109" t="str">
        <f aca="false">IFERROR(INDEX('Historical Data'!$N$2:$N$1068,MATCH($A34,'Historical Data'!$BE$2:$BE$1068,0)),"")</f>
        <v/>
      </c>
      <c r="M34" s="109" t="str">
        <f aca="false">IFERROR(INDEX('Historical Data'!$Q$2:$Q$1068,MATCH($A34,'Historical Data'!$BE$2:$BE$1068,0)),"")</f>
        <v/>
      </c>
      <c r="N34" s="110" t="str">
        <f aca="false">IFERROR(INDEX('Historical Data'!$S$2:$S$1068,MATCH($A34,'Historical Data'!$BE$2:$BE$1068,0)),"")</f>
        <v/>
      </c>
      <c r="O34" s="109" t="str">
        <f aca="false">IFERROR(INDEX('Historical Data'!$AJ$2:$AJ$1068,MATCH($A34,'Historical Data'!$BE$2:$BE$1068,0)),"")</f>
        <v/>
      </c>
      <c r="P34" s="109" t="str">
        <f aca="false">IFERROR(INDEX('Historical Data'!$AK$2:$AK$1068,MATCH($A34,'Historical Data'!$BE$2:$BE$1068,0)),"")</f>
        <v/>
      </c>
      <c r="Q34" s="106" t="str">
        <f aca="false">IFERROR(INDEX('Historical Data'!$AA$2:$AA$1068,MATCH($A34,'Historical Data'!$BE$2:$BE$1068,0)),"")</f>
        <v/>
      </c>
      <c r="R34" s="106" t="str">
        <f aca="false">IFERROR(INDEX('Historical Data'!$AB$2:$AB$1068,MATCH($A34,'Historical Data'!$BE$2:$BE$1068,0)),"")</f>
        <v/>
      </c>
      <c r="S34" s="106" t="str">
        <f aca="false">IFERROR(INDEX('Historical Data'!$AN$2:$AN$1068,MATCH($A34,'Historical Data'!$BE$2:$BE$1068,0)),"")</f>
        <v/>
      </c>
      <c r="T34" s="106" t="str">
        <f aca="false">IFERROR(INDEX('Historical Data'!$AC$2:$AC$1068,MATCH($A34,'Historical Data'!$BE$2:$BE$1068,0)),"")</f>
        <v/>
      </c>
      <c r="U34" s="106" t="str">
        <f aca="false">IFERROR(INDEX('Historical Data'!$AE$2:$AE$1068,MATCH($A34,'Historical Data'!$BE$2:$BE$1068,0)),"")</f>
        <v/>
      </c>
      <c r="V34" s="106" t="str">
        <f aca="false">IFERROR(INDEX('Historical Data'!$AH$2:$AH$1068,MATCH($A34,'Historical Data'!$BE$2:$BE$1068,0)),"")</f>
        <v/>
      </c>
      <c r="W34" s="106" t="str">
        <f aca="false">IFERROR(INDEX('Historical Data'!$BC$2:$BC$1068,MATCH($A34,'Historical Data'!$BE$2:$BE$1068,0)),"")</f>
        <v/>
      </c>
      <c r="X34" s="105" t="str">
        <f aca="false">IF(B34="","",IF(W34=1,"NR + industry + position",IF(W34=2,"NR + ISO + position",IF(W34=3,"NR + industry",IF(W34=4,"NR + ISO",IF(W34=5,"NR + position",IF(W34=6,"NR only","book baseline"))))))&amp;"  ["&amp;IF(T34=1,"seasoned","unseasoned")&amp;IF(U34=1,", defaulted","")&amp;IF(V34=1,", open","")&amp;"]")</f>
        <v/>
      </c>
    </row>
    <row r="35" customFormat="false" ht="15" hidden="false" customHeight="false" outlineLevel="0" collapsed="false">
      <c r="A35" s="105" t="n">
        <v>31</v>
      </c>
      <c r="B35" s="106" t="str">
        <f aca="false">IFERROR(INDEX('Historical Data'!$A$2:$A$1068,MATCH($A35,'Historical Data'!$BE$2:$BE$1068,0)),"")</f>
        <v/>
      </c>
      <c r="C35" s="106" t="str">
        <f aca="false">IFERROR(INDEX('Historical Data'!$B$2:$B$1068,MATCH($A35,'Historical Data'!$BE$2:$BE$1068,0)),"")</f>
        <v/>
      </c>
      <c r="D35" s="106" t="str">
        <f aca="false">IFERROR(INDEX('Historical Data'!$D$2:$D$1068,MATCH($A35,'Historical Data'!$BE$2:$BE$1068,0)),"")</f>
        <v/>
      </c>
      <c r="E35" s="107" t="str">
        <f aca="false">IFERROR(INDEX('Historical Data'!$E$2:$E$1068,MATCH($A35,'Historical Data'!$BE$2:$BE$1068,0)),"")</f>
        <v/>
      </c>
      <c r="F35" s="106" t="str">
        <f aca="false">IFERROR(INDEX('Historical Data'!$G$2:$G$1068,MATCH($A35,'Historical Data'!$BE$2:$BE$1068,0)),"")</f>
        <v/>
      </c>
      <c r="G35" s="106" t="str">
        <f aca="false">IFERROR(INDEX('Historical Data'!$Y$2:$Y$1068,MATCH($A35,'Historical Data'!$BE$2:$BE$1068,0)),"")</f>
        <v/>
      </c>
      <c r="H35" s="106" t="str">
        <f aca="false">IFERROR(INDEX('Historical Data'!$K$2:$K$1068,MATCH($A35,'Historical Data'!$BE$2:$BE$1068,0)),"")</f>
        <v/>
      </c>
      <c r="I35" s="106" t="str">
        <f aca="false">IFERROR(INDEX('Historical Data'!$J$2:$J$1068,MATCH($A35,'Historical Data'!$BE$2:$BE$1068,0)),"")</f>
        <v/>
      </c>
      <c r="J35" s="106" t="str">
        <f aca="false">IFERROR(INDEX('Historical Data'!$L$2:$L$1068,MATCH($A35,'Historical Data'!$BE$2:$BE$1068,0)),"")</f>
        <v/>
      </c>
      <c r="K35" s="108" t="str">
        <f aca="false">IFERROR(INDEX('Historical Data'!$M$2:$M$1068,MATCH($A35,'Historical Data'!$BE$2:$BE$1068,0)),"")</f>
        <v/>
      </c>
      <c r="L35" s="109" t="str">
        <f aca="false">IFERROR(INDEX('Historical Data'!$N$2:$N$1068,MATCH($A35,'Historical Data'!$BE$2:$BE$1068,0)),"")</f>
        <v/>
      </c>
      <c r="M35" s="109" t="str">
        <f aca="false">IFERROR(INDEX('Historical Data'!$Q$2:$Q$1068,MATCH($A35,'Historical Data'!$BE$2:$BE$1068,0)),"")</f>
        <v/>
      </c>
      <c r="N35" s="110" t="str">
        <f aca="false">IFERROR(INDEX('Historical Data'!$S$2:$S$1068,MATCH($A35,'Historical Data'!$BE$2:$BE$1068,0)),"")</f>
        <v/>
      </c>
      <c r="O35" s="109" t="str">
        <f aca="false">IFERROR(INDEX('Historical Data'!$AJ$2:$AJ$1068,MATCH($A35,'Historical Data'!$BE$2:$BE$1068,0)),"")</f>
        <v/>
      </c>
      <c r="P35" s="109" t="str">
        <f aca="false">IFERROR(INDEX('Historical Data'!$AK$2:$AK$1068,MATCH($A35,'Historical Data'!$BE$2:$BE$1068,0)),"")</f>
        <v/>
      </c>
      <c r="Q35" s="106" t="str">
        <f aca="false">IFERROR(INDEX('Historical Data'!$AA$2:$AA$1068,MATCH($A35,'Historical Data'!$BE$2:$BE$1068,0)),"")</f>
        <v/>
      </c>
      <c r="R35" s="106" t="str">
        <f aca="false">IFERROR(INDEX('Historical Data'!$AB$2:$AB$1068,MATCH($A35,'Historical Data'!$BE$2:$BE$1068,0)),"")</f>
        <v/>
      </c>
      <c r="S35" s="106" t="str">
        <f aca="false">IFERROR(INDEX('Historical Data'!$AN$2:$AN$1068,MATCH($A35,'Historical Data'!$BE$2:$BE$1068,0)),"")</f>
        <v/>
      </c>
      <c r="T35" s="106" t="str">
        <f aca="false">IFERROR(INDEX('Historical Data'!$AC$2:$AC$1068,MATCH($A35,'Historical Data'!$BE$2:$BE$1068,0)),"")</f>
        <v/>
      </c>
      <c r="U35" s="106" t="str">
        <f aca="false">IFERROR(INDEX('Historical Data'!$AE$2:$AE$1068,MATCH($A35,'Historical Data'!$BE$2:$BE$1068,0)),"")</f>
        <v/>
      </c>
      <c r="V35" s="106" t="str">
        <f aca="false">IFERROR(INDEX('Historical Data'!$AH$2:$AH$1068,MATCH($A35,'Historical Data'!$BE$2:$BE$1068,0)),"")</f>
        <v/>
      </c>
      <c r="W35" s="106" t="str">
        <f aca="false">IFERROR(INDEX('Historical Data'!$BC$2:$BC$1068,MATCH($A35,'Historical Data'!$BE$2:$BE$1068,0)),"")</f>
        <v/>
      </c>
      <c r="X35" s="105" t="str">
        <f aca="false">IF(B35="","",IF(W35=1,"NR + industry + position",IF(W35=2,"NR + ISO + position",IF(W35=3,"NR + industry",IF(W35=4,"NR + ISO",IF(W35=5,"NR + position",IF(W35=6,"NR only","book baseline"))))))&amp;"  ["&amp;IF(T35=1,"seasoned","unseasoned")&amp;IF(U35=1,", defaulted","")&amp;IF(V35=1,", open","")&amp;"]")</f>
        <v/>
      </c>
    </row>
    <row r="36" customFormat="false" ht="15" hidden="false" customHeight="false" outlineLevel="0" collapsed="false">
      <c r="A36" s="105" t="n">
        <v>32</v>
      </c>
      <c r="B36" s="106" t="str">
        <f aca="false">IFERROR(INDEX('Historical Data'!$A$2:$A$1068,MATCH($A36,'Historical Data'!$BE$2:$BE$1068,0)),"")</f>
        <v/>
      </c>
      <c r="C36" s="106" t="str">
        <f aca="false">IFERROR(INDEX('Historical Data'!$B$2:$B$1068,MATCH($A36,'Historical Data'!$BE$2:$BE$1068,0)),"")</f>
        <v/>
      </c>
      <c r="D36" s="106" t="str">
        <f aca="false">IFERROR(INDEX('Historical Data'!$D$2:$D$1068,MATCH($A36,'Historical Data'!$BE$2:$BE$1068,0)),"")</f>
        <v/>
      </c>
      <c r="E36" s="107" t="str">
        <f aca="false">IFERROR(INDEX('Historical Data'!$E$2:$E$1068,MATCH($A36,'Historical Data'!$BE$2:$BE$1068,0)),"")</f>
        <v/>
      </c>
      <c r="F36" s="106" t="str">
        <f aca="false">IFERROR(INDEX('Historical Data'!$G$2:$G$1068,MATCH($A36,'Historical Data'!$BE$2:$BE$1068,0)),"")</f>
        <v/>
      </c>
      <c r="G36" s="106" t="str">
        <f aca="false">IFERROR(INDEX('Historical Data'!$Y$2:$Y$1068,MATCH($A36,'Historical Data'!$BE$2:$BE$1068,0)),"")</f>
        <v/>
      </c>
      <c r="H36" s="106" t="str">
        <f aca="false">IFERROR(INDEX('Historical Data'!$K$2:$K$1068,MATCH($A36,'Historical Data'!$BE$2:$BE$1068,0)),"")</f>
        <v/>
      </c>
      <c r="I36" s="106" t="str">
        <f aca="false">IFERROR(INDEX('Historical Data'!$J$2:$J$1068,MATCH($A36,'Historical Data'!$BE$2:$BE$1068,0)),"")</f>
        <v/>
      </c>
      <c r="J36" s="106" t="str">
        <f aca="false">IFERROR(INDEX('Historical Data'!$L$2:$L$1068,MATCH($A36,'Historical Data'!$BE$2:$BE$1068,0)),"")</f>
        <v/>
      </c>
      <c r="K36" s="108" t="str">
        <f aca="false">IFERROR(INDEX('Historical Data'!$M$2:$M$1068,MATCH($A36,'Historical Data'!$BE$2:$BE$1068,0)),"")</f>
        <v/>
      </c>
      <c r="L36" s="109" t="str">
        <f aca="false">IFERROR(INDEX('Historical Data'!$N$2:$N$1068,MATCH($A36,'Historical Data'!$BE$2:$BE$1068,0)),"")</f>
        <v/>
      </c>
      <c r="M36" s="109" t="str">
        <f aca="false">IFERROR(INDEX('Historical Data'!$Q$2:$Q$1068,MATCH($A36,'Historical Data'!$BE$2:$BE$1068,0)),"")</f>
        <v/>
      </c>
      <c r="N36" s="110" t="str">
        <f aca="false">IFERROR(INDEX('Historical Data'!$S$2:$S$1068,MATCH($A36,'Historical Data'!$BE$2:$BE$1068,0)),"")</f>
        <v/>
      </c>
      <c r="O36" s="109" t="str">
        <f aca="false">IFERROR(INDEX('Historical Data'!$AJ$2:$AJ$1068,MATCH($A36,'Historical Data'!$BE$2:$BE$1068,0)),"")</f>
        <v/>
      </c>
      <c r="P36" s="109" t="str">
        <f aca="false">IFERROR(INDEX('Historical Data'!$AK$2:$AK$1068,MATCH($A36,'Historical Data'!$BE$2:$BE$1068,0)),"")</f>
        <v/>
      </c>
      <c r="Q36" s="106" t="str">
        <f aca="false">IFERROR(INDEX('Historical Data'!$AA$2:$AA$1068,MATCH($A36,'Historical Data'!$BE$2:$BE$1068,0)),"")</f>
        <v/>
      </c>
      <c r="R36" s="106" t="str">
        <f aca="false">IFERROR(INDEX('Historical Data'!$AB$2:$AB$1068,MATCH($A36,'Historical Data'!$BE$2:$BE$1068,0)),"")</f>
        <v/>
      </c>
      <c r="S36" s="106" t="str">
        <f aca="false">IFERROR(INDEX('Historical Data'!$AN$2:$AN$1068,MATCH($A36,'Historical Data'!$BE$2:$BE$1068,0)),"")</f>
        <v/>
      </c>
      <c r="T36" s="106" t="str">
        <f aca="false">IFERROR(INDEX('Historical Data'!$AC$2:$AC$1068,MATCH($A36,'Historical Data'!$BE$2:$BE$1068,0)),"")</f>
        <v/>
      </c>
      <c r="U36" s="106" t="str">
        <f aca="false">IFERROR(INDEX('Historical Data'!$AE$2:$AE$1068,MATCH($A36,'Historical Data'!$BE$2:$BE$1068,0)),"")</f>
        <v/>
      </c>
      <c r="V36" s="106" t="str">
        <f aca="false">IFERROR(INDEX('Historical Data'!$AH$2:$AH$1068,MATCH($A36,'Historical Data'!$BE$2:$BE$1068,0)),"")</f>
        <v/>
      </c>
      <c r="W36" s="106" t="str">
        <f aca="false">IFERROR(INDEX('Historical Data'!$BC$2:$BC$1068,MATCH($A36,'Historical Data'!$BE$2:$BE$1068,0)),"")</f>
        <v/>
      </c>
      <c r="X36" s="105" t="str">
        <f aca="false">IF(B36="","",IF(W36=1,"NR + industry + position",IF(W36=2,"NR + ISO + position",IF(W36=3,"NR + industry",IF(W36=4,"NR + ISO",IF(W36=5,"NR + position",IF(W36=6,"NR only","book baseline"))))))&amp;"  ["&amp;IF(T36=1,"seasoned","unseasoned")&amp;IF(U36=1,", defaulted","")&amp;IF(V36=1,", open","")&amp;"]")</f>
        <v/>
      </c>
    </row>
    <row r="37" customFormat="false" ht="15" hidden="false" customHeight="false" outlineLevel="0" collapsed="false">
      <c r="A37" s="105" t="n">
        <v>33</v>
      </c>
      <c r="B37" s="106" t="str">
        <f aca="false">IFERROR(INDEX('Historical Data'!$A$2:$A$1068,MATCH($A37,'Historical Data'!$BE$2:$BE$1068,0)),"")</f>
        <v/>
      </c>
      <c r="C37" s="106" t="str">
        <f aca="false">IFERROR(INDEX('Historical Data'!$B$2:$B$1068,MATCH($A37,'Historical Data'!$BE$2:$BE$1068,0)),"")</f>
        <v/>
      </c>
      <c r="D37" s="106" t="str">
        <f aca="false">IFERROR(INDEX('Historical Data'!$D$2:$D$1068,MATCH($A37,'Historical Data'!$BE$2:$BE$1068,0)),"")</f>
        <v/>
      </c>
      <c r="E37" s="107" t="str">
        <f aca="false">IFERROR(INDEX('Historical Data'!$E$2:$E$1068,MATCH($A37,'Historical Data'!$BE$2:$BE$1068,0)),"")</f>
        <v/>
      </c>
      <c r="F37" s="106" t="str">
        <f aca="false">IFERROR(INDEX('Historical Data'!$G$2:$G$1068,MATCH($A37,'Historical Data'!$BE$2:$BE$1068,0)),"")</f>
        <v/>
      </c>
      <c r="G37" s="106" t="str">
        <f aca="false">IFERROR(INDEX('Historical Data'!$Y$2:$Y$1068,MATCH($A37,'Historical Data'!$BE$2:$BE$1068,0)),"")</f>
        <v/>
      </c>
      <c r="H37" s="106" t="str">
        <f aca="false">IFERROR(INDEX('Historical Data'!$K$2:$K$1068,MATCH($A37,'Historical Data'!$BE$2:$BE$1068,0)),"")</f>
        <v/>
      </c>
      <c r="I37" s="106" t="str">
        <f aca="false">IFERROR(INDEX('Historical Data'!$J$2:$J$1068,MATCH($A37,'Historical Data'!$BE$2:$BE$1068,0)),"")</f>
        <v/>
      </c>
      <c r="J37" s="106" t="str">
        <f aca="false">IFERROR(INDEX('Historical Data'!$L$2:$L$1068,MATCH($A37,'Historical Data'!$BE$2:$BE$1068,0)),"")</f>
        <v/>
      </c>
      <c r="K37" s="108" t="str">
        <f aca="false">IFERROR(INDEX('Historical Data'!$M$2:$M$1068,MATCH($A37,'Historical Data'!$BE$2:$BE$1068,0)),"")</f>
        <v/>
      </c>
      <c r="L37" s="109" t="str">
        <f aca="false">IFERROR(INDEX('Historical Data'!$N$2:$N$1068,MATCH($A37,'Historical Data'!$BE$2:$BE$1068,0)),"")</f>
        <v/>
      </c>
      <c r="M37" s="109" t="str">
        <f aca="false">IFERROR(INDEX('Historical Data'!$Q$2:$Q$1068,MATCH($A37,'Historical Data'!$BE$2:$BE$1068,0)),"")</f>
        <v/>
      </c>
      <c r="N37" s="110" t="str">
        <f aca="false">IFERROR(INDEX('Historical Data'!$S$2:$S$1068,MATCH($A37,'Historical Data'!$BE$2:$BE$1068,0)),"")</f>
        <v/>
      </c>
      <c r="O37" s="109" t="str">
        <f aca="false">IFERROR(INDEX('Historical Data'!$AJ$2:$AJ$1068,MATCH($A37,'Historical Data'!$BE$2:$BE$1068,0)),"")</f>
        <v/>
      </c>
      <c r="P37" s="109" t="str">
        <f aca="false">IFERROR(INDEX('Historical Data'!$AK$2:$AK$1068,MATCH($A37,'Historical Data'!$BE$2:$BE$1068,0)),"")</f>
        <v/>
      </c>
      <c r="Q37" s="106" t="str">
        <f aca="false">IFERROR(INDEX('Historical Data'!$AA$2:$AA$1068,MATCH($A37,'Historical Data'!$BE$2:$BE$1068,0)),"")</f>
        <v/>
      </c>
      <c r="R37" s="106" t="str">
        <f aca="false">IFERROR(INDEX('Historical Data'!$AB$2:$AB$1068,MATCH($A37,'Historical Data'!$BE$2:$BE$1068,0)),"")</f>
        <v/>
      </c>
      <c r="S37" s="106" t="str">
        <f aca="false">IFERROR(INDEX('Historical Data'!$AN$2:$AN$1068,MATCH($A37,'Historical Data'!$BE$2:$BE$1068,0)),"")</f>
        <v/>
      </c>
      <c r="T37" s="106" t="str">
        <f aca="false">IFERROR(INDEX('Historical Data'!$AC$2:$AC$1068,MATCH($A37,'Historical Data'!$BE$2:$BE$1068,0)),"")</f>
        <v/>
      </c>
      <c r="U37" s="106" t="str">
        <f aca="false">IFERROR(INDEX('Historical Data'!$AE$2:$AE$1068,MATCH($A37,'Historical Data'!$BE$2:$BE$1068,0)),"")</f>
        <v/>
      </c>
      <c r="V37" s="106" t="str">
        <f aca="false">IFERROR(INDEX('Historical Data'!$AH$2:$AH$1068,MATCH($A37,'Historical Data'!$BE$2:$BE$1068,0)),"")</f>
        <v/>
      </c>
      <c r="W37" s="106" t="str">
        <f aca="false">IFERROR(INDEX('Historical Data'!$BC$2:$BC$1068,MATCH($A37,'Historical Data'!$BE$2:$BE$1068,0)),"")</f>
        <v/>
      </c>
      <c r="X37" s="105" t="str">
        <f aca="false">IF(B37="","",IF(W37=1,"NR + industry + position",IF(W37=2,"NR + ISO + position",IF(W37=3,"NR + industry",IF(W37=4,"NR + ISO",IF(W37=5,"NR + position",IF(W37=6,"NR only","book baseline"))))))&amp;"  ["&amp;IF(T37=1,"seasoned","unseasoned")&amp;IF(U37=1,", defaulted","")&amp;IF(V37=1,", open","")&amp;"]")</f>
        <v/>
      </c>
    </row>
    <row r="38" customFormat="false" ht="15" hidden="false" customHeight="false" outlineLevel="0" collapsed="false">
      <c r="A38" s="105" t="n">
        <v>34</v>
      </c>
      <c r="B38" s="106" t="str">
        <f aca="false">IFERROR(INDEX('Historical Data'!$A$2:$A$1068,MATCH($A38,'Historical Data'!$BE$2:$BE$1068,0)),"")</f>
        <v/>
      </c>
      <c r="C38" s="106" t="str">
        <f aca="false">IFERROR(INDEX('Historical Data'!$B$2:$B$1068,MATCH($A38,'Historical Data'!$BE$2:$BE$1068,0)),"")</f>
        <v/>
      </c>
      <c r="D38" s="106" t="str">
        <f aca="false">IFERROR(INDEX('Historical Data'!$D$2:$D$1068,MATCH($A38,'Historical Data'!$BE$2:$BE$1068,0)),"")</f>
        <v/>
      </c>
      <c r="E38" s="107" t="str">
        <f aca="false">IFERROR(INDEX('Historical Data'!$E$2:$E$1068,MATCH($A38,'Historical Data'!$BE$2:$BE$1068,0)),"")</f>
        <v/>
      </c>
      <c r="F38" s="106" t="str">
        <f aca="false">IFERROR(INDEX('Historical Data'!$G$2:$G$1068,MATCH($A38,'Historical Data'!$BE$2:$BE$1068,0)),"")</f>
        <v/>
      </c>
      <c r="G38" s="106" t="str">
        <f aca="false">IFERROR(INDEX('Historical Data'!$Y$2:$Y$1068,MATCH($A38,'Historical Data'!$BE$2:$BE$1068,0)),"")</f>
        <v/>
      </c>
      <c r="H38" s="106" t="str">
        <f aca="false">IFERROR(INDEX('Historical Data'!$K$2:$K$1068,MATCH($A38,'Historical Data'!$BE$2:$BE$1068,0)),"")</f>
        <v/>
      </c>
      <c r="I38" s="106" t="str">
        <f aca="false">IFERROR(INDEX('Historical Data'!$J$2:$J$1068,MATCH($A38,'Historical Data'!$BE$2:$BE$1068,0)),"")</f>
        <v/>
      </c>
      <c r="J38" s="106" t="str">
        <f aca="false">IFERROR(INDEX('Historical Data'!$L$2:$L$1068,MATCH($A38,'Historical Data'!$BE$2:$BE$1068,0)),"")</f>
        <v/>
      </c>
      <c r="K38" s="108" t="str">
        <f aca="false">IFERROR(INDEX('Historical Data'!$M$2:$M$1068,MATCH($A38,'Historical Data'!$BE$2:$BE$1068,0)),"")</f>
        <v/>
      </c>
      <c r="L38" s="109" t="str">
        <f aca="false">IFERROR(INDEX('Historical Data'!$N$2:$N$1068,MATCH($A38,'Historical Data'!$BE$2:$BE$1068,0)),"")</f>
        <v/>
      </c>
      <c r="M38" s="109" t="str">
        <f aca="false">IFERROR(INDEX('Historical Data'!$Q$2:$Q$1068,MATCH($A38,'Historical Data'!$BE$2:$BE$1068,0)),"")</f>
        <v/>
      </c>
      <c r="N38" s="110" t="str">
        <f aca="false">IFERROR(INDEX('Historical Data'!$S$2:$S$1068,MATCH($A38,'Historical Data'!$BE$2:$BE$1068,0)),"")</f>
        <v/>
      </c>
      <c r="O38" s="109" t="str">
        <f aca="false">IFERROR(INDEX('Historical Data'!$AJ$2:$AJ$1068,MATCH($A38,'Historical Data'!$BE$2:$BE$1068,0)),"")</f>
        <v/>
      </c>
      <c r="P38" s="109" t="str">
        <f aca="false">IFERROR(INDEX('Historical Data'!$AK$2:$AK$1068,MATCH($A38,'Historical Data'!$BE$2:$BE$1068,0)),"")</f>
        <v/>
      </c>
      <c r="Q38" s="106" t="str">
        <f aca="false">IFERROR(INDEX('Historical Data'!$AA$2:$AA$1068,MATCH($A38,'Historical Data'!$BE$2:$BE$1068,0)),"")</f>
        <v/>
      </c>
      <c r="R38" s="106" t="str">
        <f aca="false">IFERROR(INDEX('Historical Data'!$AB$2:$AB$1068,MATCH($A38,'Historical Data'!$BE$2:$BE$1068,0)),"")</f>
        <v/>
      </c>
      <c r="S38" s="106" t="str">
        <f aca="false">IFERROR(INDEX('Historical Data'!$AN$2:$AN$1068,MATCH($A38,'Historical Data'!$BE$2:$BE$1068,0)),"")</f>
        <v/>
      </c>
      <c r="T38" s="106" t="str">
        <f aca="false">IFERROR(INDEX('Historical Data'!$AC$2:$AC$1068,MATCH($A38,'Historical Data'!$BE$2:$BE$1068,0)),"")</f>
        <v/>
      </c>
      <c r="U38" s="106" t="str">
        <f aca="false">IFERROR(INDEX('Historical Data'!$AE$2:$AE$1068,MATCH($A38,'Historical Data'!$BE$2:$BE$1068,0)),"")</f>
        <v/>
      </c>
      <c r="V38" s="106" t="str">
        <f aca="false">IFERROR(INDEX('Historical Data'!$AH$2:$AH$1068,MATCH($A38,'Historical Data'!$BE$2:$BE$1068,0)),"")</f>
        <v/>
      </c>
      <c r="W38" s="106" t="str">
        <f aca="false">IFERROR(INDEX('Historical Data'!$BC$2:$BC$1068,MATCH($A38,'Historical Data'!$BE$2:$BE$1068,0)),"")</f>
        <v/>
      </c>
      <c r="X38" s="105" t="str">
        <f aca="false">IF(B38="","",IF(W38=1,"NR + industry + position",IF(W38=2,"NR + ISO + position",IF(W38=3,"NR + industry",IF(W38=4,"NR + ISO",IF(W38=5,"NR + position",IF(W38=6,"NR only","book baseline"))))))&amp;"  ["&amp;IF(T38=1,"seasoned","unseasoned")&amp;IF(U38=1,", defaulted","")&amp;IF(V38=1,", open","")&amp;"]")</f>
        <v/>
      </c>
    </row>
    <row r="39" customFormat="false" ht="15" hidden="false" customHeight="false" outlineLevel="0" collapsed="false">
      <c r="A39" s="105" t="n">
        <v>35</v>
      </c>
      <c r="B39" s="106" t="str">
        <f aca="false">IFERROR(INDEX('Historical Data'!$A$2:$A$1068,MATCH($A39,'Historical Data'!$BE$2:$BE$1068,0)),"")</f>
        <v/>
      </c>
      <c r="C39" s="106" t="str">
        <f aca="false">IFERROR(INDEX('Historical Data'!$B$2:$B$1068,MATCH($A39,'Historical Data'!$BE$2:$BE$1068,0)),"")</f>
        <v/>
      </c>
      <c r="D39" s="106" t="str">
        <f aca="false">IFERROR(INDEX('Historical Data'!$D$2:$D$1068,MATCH($A39,'Historical Data'!$BE$2:$BE$1068,0)),"")</f>
        <v/>
      </c>
      <c r="E39" s="107" t="str">
        <f aca="false">IFERROR(INDEX('Historical Data'!$E$2:$E$1068,MATCH($A39,'Historical Data'!$BE$2:$BE$1068,0)),"")</f>
        <v/>
      </c>
      <c r="F39" s="106" t="str">
        <f aca="false">IFERROR(INDEX('Historical Data'!$G$2:$G$1068,MATCH($A39,'Historical Data'!$BE$2:$BE$1068,0)),"")</f>
        <v/>
      </c>
      <c r="G39" s="106" t="str">
        <f aca="false">IFERROR(INDEX('Historical Data'!$Y$2:$Y$1068,MATCH($A39,'Historical Data'!$BE$2:$BE$1068,0)),"")</f>
        <v/>
      </c>
      <c r="H39" s="106" t="str">
        <f aca="false">IFERROR(INDEX('Historical Data'!$K$2:$K$1068,MATCH($A39,'Historical Data'!$BE$2:$BE$1068,0)),"")</f>
        <v/>
      </c>
      <c r="I39" s="106" t="str">
        <f aca="false">IFERROR(INDEX('Historical Data'!$J$2:$J$1068,MATCH($A39,'Historical Data'!$BE$2:$BE$1068,0)),"")</f>
        <v/>
      </c>
      <c r="J39" s="106" t="str">
        <f aca="false">IFERROR(INDEX('Historical Data'!$L$2:$L$1068,MATCH($A39,'Historical Data'!$BE$2:$BE$1068,0)),"")</f>
        <v/>
      </c>
      <c r="K39" s="108" t="str">
        <f aca="false">IFERROR(INDEX('Historical Data'!$M$2:$M$1068,MATCH($A39,'Historical Data'!$BE$2:$BE$1068,0)),"")</f>
        <v/>
      </c>
      <c r="L39" s="109" t="str">
        <f aca="false">IFERROR(INDEX('Historical Data'!$N$2:$N$1068,MATCH($A39,'Historical Data'!$BE$2:$BE$1068,0)),"")</f>
        <v/>
      </c>
      <c r="M39" s="109" t="str">
        <f aca="false">IFERROR(INDEX('Historical Data'!$Q$2:$Q$1068,MATCH($A39,'Historical Data'!$BE$2:$BE$1068,0)),"")</f>
        <v/>
      </c>
      <c r="N39" s="110" t="str">
        <f aca="false">IFERROR(INDEX('Historical Data'!$S$2:$S$1068,MATCH($A39,'Historical Data'!$BE$2:$BE$1068,0)),"")</f>
        <v/>
      </c>
      <c r="O39" s="109" t="str">
        <f aca="false">IFERROR(INDEX('Historical Data'!$AJ$2:$AJ$1068,MATCH($A39,'Historical Data'!$BE$2:$BE$1068,0)),"")</f>
        <v/>
      </c>
      <c r="P39" s="109" t="str">
        <f aca="false">IFERROR(INDEX('Historical Data'!$AK$2:$AK$1068,MATCH($A39,'Historical Data'!$BE$2:$BE$1068,0)),"")</f>
        <v/>
      </c>
      <c r="Q39" s="106" t="str">
        <f aca="false">IFERROR(INDEX('Historical Data'!$AA$2:$AA$1068,MATCH($A39,'Historical Data'!$BE$2:$BE$1068,0)),"")</f>
        <v/>
      </c>
      <c r="R39" s="106" t="str">
        <f aca="false">IFERROR(INDEX('Historical Data'!$AB$2:$AB$1068,MATCH($A39,'Historical Data'!$BE$2:$BE$1068,0)),"")</f>
        <v/>
      </c>
      <c r="S39" s="106" t="str">
        <f aca="false">IFERROR(INDEX('Historical Data'!$AN$2:$AN$1068,MATCH($A39,'Historical Data'!$BE$2:$BE$1068,0)),"")</f>
        <v/>
      </c>
      <c r="T39" s="106" t="str">
        <f aca="false">IFERROR(INDEX('Historical Data'!$AC$2:$AC$1068,MATCH($A39,'Historical Data'!$BE$2:$BE$1068,0)),"")</f>
        <v/>
      </c>
      <c r="U39" s="106" t="str">
        <f aca="false">IFERROR(INDEX('Historical Data'!$AE$2:$AE$1068,MATCH($A39,'Historical Data'!$BE$2:$BE$1068,0)),"")</f>
        <v/>
      </c>
      <c r="V39" s="106" t="str">
        <f aca="false">IFERROR(INDEX('Historical Data'!$AH$2:$AH$1068,MATCH($A39,'Historical Data'!$BE$2:$BE$1068,0)),"")</f>
        <v/>
      </c>
      <c r="W39" s="106" t="str">
        <f aca="false">IFERROR(INDEX('Historical Data'!$BC$2:$BC$1068,MATCH($A39,'Historical Data'!$BE$2:$BE$1068,0)),"")</f>
        <v/>
      </c>
      <c r="X39" s="105" t="str">
        <f aca="false">IF(B39="","",IF(W39=1,"NR + industry + position",IF(W39=2,"NR + ISO + position",IF(W39=3,"NR + industry",IF(W39=4,"NR + ISO",IF(W39=5,"NR + position",IF(W39=6,"NR only","book baseline"))))))&amp;"  ["&amp;IF(T39=1,"seasoned","unseasoned")&amp;IF(U39=1,", defaulted","")&amp;IF(V39=1,", open","")&amp;"]")</f>
        <v/>
      </c>
    </row>
    <row r="40" customFormat="false" ht="15" hidden="false" customHeight="false" outlineLevel="0" collapsed="false">
      <c r="A40" s="105" t="n">
        <v>36</v>
      </c>
      <c r="B40" s="106" t="str">
        <f aca="false">IFERROR(INDEX('Historical Data'!$A$2:$A$1068,MATCH($A40,'Historical Data'!$BE$2:$BE$1068,0)),"")</f>
        <v/>
      </c>
      <c r="C40" s="106" t="str">
        <f aca="false">IFERROR(INDEX('Historical Data'!$B$2:$B$1068,MATCH($A40,'Historical Data'!$BE$2:$BE$1068,0)),"")</f>
        <v/>
      </c>
      <c r="D40" s="106" t="str">
        <f aca="false">IFERROR(INDEX('Historical Data'!$D$2:$D$1068,MATCH($A40,'Historical Data'!$BE$2:$BE$1068,0)),"")</f>
        <v/>
      </c>
      <c r="E40" s="107" t="str">
        <f aca="false">IFERROR(INDEX('Historical Data'!$E$2:$E$1068,MATCH($A40,'Historical Data'!$BE$2:$BE$1068,0)),"")</f>
        <v/>
      </c>
      <c r="F40" s="106" t="str">
        <f aca="false">IFERROR(INDEX('Historical Data'!$G$2:$G$1068,MATCH($A40,'Historical Data'!$BE$2:$BE$1068,0)),"")</f>
        <v/>
      </c>
      <c r="G40" s="106" t="str">
        <f aca="false">IFERROR(INDEX('Historical Data'!$Y$2:$Y$1068,MATCH($A40,'Historical Data'!$BE$2:$BE$1068,0)),"")</f>
        <v/>
      </c>
      <c r="H40" s="106" t="str">
        <f aca="false">IFERROR(INDEX('Historical Data'!$K$2:$K$1068,MATCH($A40,'Historical Data'!$BE$2:$BE$1068,0)),"")</f>
        <v/>
      </c>
      <c r="I40" s="106" t="str">
        <f aca="false">IFERROR(INDEX('Historical Data'!$J$2:$J$1068,MATCH($A40,'Historical Data'!$BE$2:$BE$1068,0)),"")</f>
        <v/>
      </c>
      <c r="J40" s="106" t="str">
        <f aca="false">IFERROR(INDEX('Historical Data'!$L$2:$L$1068,MATCH($A40,'Historical Data'!$BE$2:$BE$1068,0)),"")</f>
        <v/>
      </c>
      <c r="K40" s="108" t="str">
        <f aca="false">IFERROR(INDEX('Historical Data'!$M$2:$M$1068,MATCH($A40,'Historical Data'!$BE$2:$BE$1068,0)),"")</f>
        <v/>
      </c>
      <c r="L40" s="109" t="str">
        <f aca="false">IFERROR(INDEX('Historical Data'!$N$2:$N$1068,MATCH($A40,'Historical Data'!$BE$2:$BE$1068,0)),"")</f>
        <v/>
      </c>
      <c r="M40" s="109" t="str">
        <f aca="false">IFERROR(INDEX('Historical Data'!$Q$2:$Q$1068,MATCH($A40,'Historical Data'!$BE$2:$BE$1068,0)),"")</f>
        <v/>
      </c>
      <c r="N40" s="110" t="str">
        <f aca="false">IFERROR(INDEX('Historical Data'!$S$2:$S$1068,MATCH($A40,'Historical Data'!$BE$2:$BE$1068,0)),"")</f>
        <v/>
      </c>
      <c r="O40" s="109" t="str">
        <f aca="false">IFERROR(INDEX('Historical Data'!$AJ$2:$AJ$1068,MATCH($A40,'Historical Data'!$BE$2:$BE$1068,0)),"")</f>
        <v/>
      </c>
      <c r="P40" s="109" t="str">
        <f aca="false">IFERROR(INDEX('Historical Data'!$AK$2:$AK$1068,MATCH($A40,'Historical Data'!$BE$2:$BE$1068,0)),"")</f>
        <v/>
      </c>
      <c r="Q40" s="106" t="str">
        <f aca="false">IFERROR(INDEX('Historical Data'!$AA$2:$AA$1068,MATCH($A40,'Historical Data'!$BE$2:$BE$1068,0)),"")</f>
        <v/>
      </c>
      <c r="R40" s="106" t="str">
        <f aca="false">IFERROR(INDEX('Historical Data'!$AB$2:$AB$1068,MATCH($A40,'Historical Data'!$BE$2:$BE$1068,0)),"")</f>
        <v/>
      </c>
      <c r="S40" s="106" t="str">
        <f aca="false">IFERROR(INDEX('Historical Data'!$AN$2:$AN$1068,MATCH($A40,'Historical Data'!$BE$2:$BE$1068,0)),"")</f>
        <v/>
      </c>
      <c r="T40" s="106" t="str">
        <f aca="false">IFERROR(INDEX('Historical Data'!$AC$2:$AC$1068,MATCH($A40,'Historical Data'!$BE$2:$BE$1068,0)),"")</f>
        <v/>
      </c>
      <c r="U40" s="106" t="str">
        <f aca="false">IFERROR(INDEX('Historical Data'!$AE$2:$AE$1068,MATCH($A40,'Historical Data'!$BE$2:$BE$1068,0)),"")</f>
        <v/>
      </c>
      <c r="V40" s="106" t="str">
        <f aca="false">IFERROR(INDEX('Historical Data'!$AH$2:$AH$1068,MATCH($A40,'Historical Data'!$BE$2:$BE$1068,0)),"")</f>
        <v/>
      </c>
      <c r="W40" s="106" t="str">
        <f aca="false">IFERROR(INDEX('Historical Data'!$BC$2:$BC$1068,MATCH($A40,'Historical Data'!$BE$2:$BE$1068,0)),"")</f>
        <v/>
      </c>
      <c r="X40" s="105" t="str">
        <f aca="false">IF(B40="","",IF(W40=1,"NR + industry + position",IF(W40=2,"NR + ISO + position",IF(W40=3,"NR + industry",IF(W40=4,"NR + ISO",IF(W40=5,"NR + position",IF(W40=6,"NR only","book baseline"))))))&amp;"  ["&amp;IF(T40=1,"seasoned","unseasoned")&amp;IF(U40=1,", defaulted","")&amp;IF(V40=1,", open","")&amp;"]")</f>
        <v/>
      </c>
    </row>
    <row r="41" customFormat="false" ht="15" hidden="false" customHeight="false" outlineLevel="0" collapsed="false">
      <c r="A41" s="105" t="n">
        <v>37</v>
      </c>
      <c r="B41" s="106" t="str">
        <f aca="false">IFERROR(INDEX('Historical Data'!$A$2:$A$1068,MATCH($A41,'Historical Data'!$BE$2:$BE$1068,0)),"")</f>
        <v/>
      </c>
      <c r="C41" s="106" t="str">
        <f aca="false">IFERROR(INDEX('Historical Data'!$B$2:$B$1068,MATCH($A41,'Historical Data'!$BE$2:$BE$1068,0)),"")</f>
        <v/>
      </c>
      <c r="D41" s="106" t="str">
        <f aca="false">IFERROR(INDEX('Historical Data'!$D$2:$D$1068,MATCH($A41,'Historical Data'!$BE$2:$BE$1068,0)),"")</f>
        <v/>
      </c>
      <c r="E41" s="107" t="str">
        <f aca="false">IFERROR(INDEX('Historical Data'!$E$2:$E$1068,MATCH($A41,'Historical Data'!$BE$2:$BE$1068,0)),"")</f>
        <v/>
      </c>
      <c r="F41" s="106" t="str">
        <f aca="false">IFERROR(INDEX('Historical Data'!$G$2:$G$1068,MATCH($A41,'Historical Data'!$BE$2:$BE$1068,0)),"")</f>
        <v/>
      </c>
      <c r="G41" s="106" t="str">
        <f aca="false">IFERROR(INDEX('Historical Data'!$Y$2:$Y$1068,MATCH($A41,'Historical Data'!$BE$2:$BE$1068,0)),"")</f>
        <v/>
      </c>
      <c r="H41" s="106" t="str">
        <f aca="false">IFERROR(INDEX('Historical Data'!$K$2:$K$1068,MATCH($A41,'Historical Data'!$BE$2:$BE$1068,0)),"")</f>
        <v/>
      </c>
      <c r="I41" s="106" t="str">
        <f aca="false">IFERROR(INDEX('Historical Data'!$J$2:$J$1068,MATCH($A41,'Historical Data'!$BE$2:$BE$1068,0)),"")</f>
        <v/>
      </c>
      <c r="J41" s="106" t="str">
        <f aca="false">IFERROR(INDEX('Historical Data'!$L$2:$L$1068,MATCH($A41,'Historical Data'!$BE$2:$BE$1068,0)),"")</f>
        <v/>
      </c>
      <c r="K41" s="108" t="str">
        <f aca="false">IFERROR(INDEX('Historical Data'!$M$2:$M$1068,MATCH($A41,'Historical Data'!$BE$2:$BE$1068,0)),"")</f>
        <v/>
      </c>
      <c r="L41" s="109" t="str">
        <f aca="false">IFERROR(INDEX('Historical Data'!$N$2:$N$1068,MATCH($A41,'Historical Data'!$BE$2:$BE$1068,0)),"")</f>
        <v/>
      </c>
      <c r="M41" s="109" t="str">
        <f aca="false">IFERROR(INDEX('Historical Data'!$Q$2:$Q$1068,MATCH($A41,'Historical Data'!$BE$2:$BE$1068,0)),"")</f>
        <v/>
      </c>
      <c r="N41" s="110" t="str">
        <f aca="false">IFERROR(INDEX('Historical Data'!$S$2:$S$1068,MATCH($A41,'Historical Data'!$BE$2:$BE$1068,0)),"")</f>
        <v/>
      </c>
      <c r="O41" s="109" t="str">
        <f aca="false">IFERROR(INDEX('Historical Data'!$AJ$2:$AJ$1068,MATCH($A41,'Historical Data'!$BE$2:$BE$1068,0)),"")</f>
        <v/>
      </c>
      <c r="P41" s="109" t="str">
        <f aca="false">IFERROR(INDEX('Historical Data'!$AK$2:$AK$1068,MATCH($A41,'Historical Data'!$BE$2:$BE$1068,0)),"")</f>
        <v/>
      </c>
      <c r="Q41" s="106" t="str">
        <f aca="false">IFERROR(INDEX('Historical Data'!$AA$2:$AA$1068,MATCH($A41,'Historical Data'!$BE$2:$BE$1068,0)),"")</f>
        <v/>
      </c>
      <c r="R41" s="106" t="str">
        <f aca="false">IFERROR(INDEX('Historical Data'!$AB$2:$AB$1068,MATCH($A41,'Historical Data'!$BE$2:$BE$1068,0)),"")</f>
        <v/>
      </c>
      <c r="S41" s="106" t="str">
        <f aca="false">IFERROR(INDEX('Historical Data'!$AN$2:$AN$1068,MATCH($A41,'Historical Data'!$BE$2:$BE$1068,0)),"")</f>
        <v/>
      </c>
      <c r="T41" s="106" t="str">
        <f aca="false">IFERROR(INDEX('Historical Data'!$AC$2:$AC$1068,MATCH($A41,'Historical Data'!$BE$2:$BE$1068,0)),"")</f>
        <v/>
      </c>
      <c r="U41" s="106" t="str">
        <f aca="false">IFERROR(INDEX('Historical Data'!$AE$2:$AE$1068,MATCH($A41,'Historical Data'!$BE$2:$BE$1068,0)),"")</f>
        <v/>
      </c>
      <c r="V41" s="106" t="str">
        <f aca="false">IFERROR(INDEX('Historical Data'!$AH$2:$AH$1068,MATCH($A41,'Historical Data'!$BE$2:$BE$1068,0)),"")</f>
        <v/>
      </c>
      <c r="W41" s="106" t="str">
        <f aca="false">IFERROR(INDEX('Historical Data'!$BC$2:$BC$1068,MATCH($A41,'Historical Data'!$BE$2:$BE$1068,0)),"")</f>
        <v/>
      </c>
      <c r="X41" s="105" t="str">
        <f aca="false">IF(B41="","",IF(W41=1,"NR + industry + position",IF(W41=2,"NR + ISO + position",IF(W41=3,"NR + industry",IF(W41=4,"NR + ISO",IF(W41=5,"NR + position",IF(W41=6,"NR only","book baseline"))))))&amp;"  ["&amp;IF(T41=1,"seasoned","unseasoned")&amp;IF(U41=1,", defaulted","")&amp;IF(V41=1,", open","")&amp;"]")</f>
        <v/>
      </c>
    </row>
    <row r="42" customFormat="false" ht="15" hidden="false" customHeight="false" outlineLevel="0" collapsed="false">
      <c r="A42" s="105" t="n">
        <v>38</v>
      </c>
      <c r="B42" s="106" t="str">
        <f aca="false">IFERROR(INDEX('Historical Data'!$A$2:$A$1068,MATCH($A42,'Historical Data'!$BE$2:$BE$1068,0)),"")</f>
        <v/>
      </c>
      <c r="C42" s="106" t="str">
        <f aca="false">IFERROR(INDEX('Historical Data'!$B$2:$B$1068,MATCH($A42,'Historical Data'!$BE$2:$BE$1068,0)),"")</f>
        <v/>
      </c>
      <c r="D42" s="106" t="str">
        <f aca="false">IFERROR(INDEX('Historical Data'!$D$2:$D$1068,MATCH($A42,'Historical Data'!$BE$2:$BE$1068,0)),"")</f>
        <v/>
      </c>
      <c r="E42" s="107" t="str">
        <f aca="false">IFERROR(INDEX('Historical Data'!$E$2:$E$1068,MATCH($A42,'Historical Data'!$BE$2:$BE$1068,0)),"")</f>
        <v/>
      </c>
      <c r="F42" s="106" t="str">
        <f aca="false">IFERROR(INDEX('Historical Data'!$G$2:$G$1068,MATCH($A42,'Historical Data'!$BE$2:$BE$1068,0)),"")</f>
        <v/>
      </c>
      <c r="G42" s="106" t="str">
        <f aca="false">IFERROR(INDEX('Historical Data'!$Y$2:$Y$1068,MATCH($A42,'Historical Data'!$BE$2:$BE$1068,0)),"")</f>
        <v/>
      </c>
      <c r="H42" s="106" t="str">
        <f aca="false">IFERROR(INDEX('Historical Data'!$K$2:$K$1068,MATCH($A42,'Historical Data'!$BE$2:$BE$1068,0)),"")</f>
        <v/>
      </c>
      <c r="I42" s="106" t="str">
        <f aca="false">IFERROR(INDEX('Historical Data'!$J$2:$J$1068,MATCH($A42,'Historical Data'!$BE$2:$BE$1068,0)),"")</f>
        <v/>
      </c>
      <c r="J42" s="106" t="str">
        <f aca="false">IFERROR(INDEX('Historical Data'!$L$2:$L$1068,MATCH($A42,'Historical Data'!$BE$2:$BE$1068,0)),"")</f>
        <v/>
      </c>
      <c r="K42" s="108" t="str">
        <f aca="false">IFERROR(INDEX('Historical Data'!$M$2:$M$1068,MATCH($A42,'Historical Data'!$BE$2:$BE$1068,0)),"")</f>
        <v/>
      </c>
      <c r="L42" s="109" t="str">
        <f aca="false">IFERROR(INDEX('Historical Data'!$N$2:$N$1068,MATCH($A42,'Historical Data'!$BE$2:$BE$1068,0)),"")</f>
        <v/>
      </c>
      <c r="M42" s="109" t="str">
        <f aca="false">IFERROR(INDEX('Historical Data'!$Q$2:$Q$1068,MATCH($A42,'Historical Data'!$BE$2:$BE$1068,0)),"")</f>
        <v/>
      </c>
      <c r="N42" s="110" t="str">
        <f aca="false">IFERROR(INDEX('Historical Data'!$S$2:$S$1068,MATCH($A42,'Historical Data'!$BE$2:$BE$1068,0)),"")</f>
        <v/>
      </c>
      <c r="O42" s="109" t="str">
        <f aca="false">IFERROR(INDEX('Historical Data'!$AJ$2:$AJ$1068,MATCH($A42,'Historical Data'!$BE$2:$BE$1068,0)),"")</f>
        <v/>
      </c>
      <c r="P42" s="109" t="str">
        <f aca="false">IFERROR(INDEX('Historical Data'!$AK$2:$AK$1068,MATCH($A42,'Historical Data'!$BE$2:$BE$1068,0)),"")</f>
        <v/>
      </c>
      <c r="Q42" s="106" t="str">
        <f aca="false">IFERROR(INDEX('Historical Data'!$AA$2:$AA$1068,MATCH($A42,'Historical Data'!$BE$2:$BE$1068,0)),"")</f>
        <v/>
      </c>
      <c r="R42" s="106" t="str">
        <f aca="false">IFERROR(INDEX('Historical Data'!$AB$2:$AB$1068,MATCH($A42,'Historical Data'!$BE$2:$BE$1068,0)),"")</f>
        <v/>
      </c>
      <c r="S42" s="106" t="str">
        <f aca="false">IFERROR(INDEX('Historical Data'!$AN$2:$AN$1068,MATCH($A42,'Historical Data'!$BE$2:$BE$1068,0)),"")</f>
        <v/>
      </c>
      <c r="T42" s="106" t="str">
        <f aca="false">IFERROR(INDEX('Historical Data'!$AC$2:$AC$1068,MATCH($A42,'Historical Data'!$BE$2:$BE$1068,0)),"")</f>
        <v/>
      </c>
      <c r="U42" s="106" t="str">
        <f aca="false">IFERROR(INDEX('Historical Data'!$AE$2:$AE$1068,MATCH($A42,'Historical Data'!$BE$2:$BE$1068,0)),"")</f>
        <v/>
      </c>
      <c r="V42" s="106" t="str">
        <f aca="false">IFERROR(INDEX('Historical Data'!$AH$2:$AH$1068,MATCH($A42,'Historical Data'!$BE$2:$BE$1068,0)),"")</f>
        <v/>
      </c>
      <c r="W42" s="106" t="str">
        <f aca="false">IFERROR(INDEX('Historical Data'!$BC$2:$BC$1068,MATCH($A42,'Historical Data'!$BE$2:$BE$1068,0)),"")</f>
        <v/>
      </c>
      <c r="X42" s="105" t="str">
        <f aca="false">IF(B42="","",IF(W42=1,"NR + industry + position",IF(W42=2,"NR + ISO + position",IF(W42=3,"NR + industry",IF(W42=4,"NR + ISO",IF(W42=5,"NR + position",IF(W42=6,"NR only","book baseline"))))))&amp;"  ["&amp;IF(T42=1,"seasoned","unseasoned")&amp;IF(U42=1,", defaulted","")&amp;IF(V42=1,", open","")&amp;"]")</f>
        <v/>
      </c>
    </row>
    <row r="43" customFormat="false" ht="15" hidden="false" customHeight="false" outlineLevel="0" collapsed="false">
      <c r="A43" s="105" t="n">
        <v>39</v>
      </c>
      <c r="B43" s="106" t="str">
        <f aca="false">IFERROR(INDEX('Historical Data'!$A$2:$A$1068,MATCH($A43,'Historical Data'!$BE$2:$BE$1068,0)),"")</f>
        <v/>
      </c>
      <c r="C43" s="106" t="str">
        <f aca="false">IFERROR(INDEX('Historical Data'!$B$2:$B$1068,MATCH($A43,'Historical Data'!$BE$2:$BE$1068,0)),"")</f>
        <v/>
      </c>
      <c r="D43" s="106" t="str">
        <f aca="false">IFERROR(INDEX('Historical Data'!$D$2:$D$1068,MATCH($A43,'Historical Data'!$BE$2:$BE$1068,0)),"")</f>
        <v/>
      </c>
      <c r="E43" s="107" t="str">
        <f aca="false">IFERROR(INDEX('Historical Data'!$E$2:$E$1068,MATCH($A43,'Historical Data'!$BE$2:$BE$1068,0)),"")</f>
        <v/>
      </c>
      <c r="F43" s="106" t="str">
        <f aca="false">IFERROR(INDEX('Historical Data'!$G$2:$G$1068,MATCH($A43,'Historical Data'!$BE$2:$BE$1068,0)),"")</f>
        <v/>
      </c>
      <c r="G43" s="106" t="str">
        <f aca="false">IFERROR(INDEX('Historical Data'!$Y$2:$Y$1068,MATCH($A43,'Historical Data'!$BE$2:$BE$1068,0)),"")</f>
        <v/>
      </c>
      <c r="H43" s="106" t="str">
        <f aca="false">IFERROR(INDEX('Historical Data'!$K$2:$K$1068,MATCH($A43,'Historical Data'!$BE$2:$BE$1068,0)),"")</f>
        <v/>
      </c>
      <c r="I43" s="106" t="str">
        <f aca="false">IFERROR(INDEX('Historical Data'!$J$2:$J$1068,MATCH($A43,'Historical Data'!$BE$2:$BE$1068,0)),"")</f>
        <v/>
      </c>
      <c r="J43" s="106" t="str">
        <f aca="false">IFERROR(INDEX('Historical Data'!$L$2:$L$1068,MATCH($A43,'Historical Data'!$BE$2:$BE$1068,0)),"")</f>
        <v/>
      </c>
      <c r="K43" s="108" t="str">
        <f aca="false">IFERROR(INDEX('Historical Data'!$M$2:$M$1068,MATCH($A43,'Historical Data'!$BE$2:$BE$1068,0)),"")</f>
        <v/>
      </c>
      <c r="L43" s="109" t="str">
        <f aca="false">IFERROR(INDEX('Historical Data'!$N$2:$N$1068,MATCH($A43,'Historical Data'!$BE$2:$BE$1068,0)),"")</f>
        <v/>
      </c>
      <c r="M43" s="109" t="str">
        <f aca="false">IFERROR(INDEX('Historical Data'!$Q$2:$Q$1068,MATCH($A43,'Historical Data'!$BE$2:$BE$1068,0)),"")</f>
        <v/>
      </c>
      <c r="N43" s="110" t="str">
        <f aca="false">IFERROR(INDEX('Historical Data'!$S$2:$S$1068,MATCH($A43,'Historical Data'!$BE$2:$BE$1068,0)),"")</f>
        <v/>
      </c>
      <c r="O43" s="109" t="str">
        <f aca="false">IFERROR(INDEX('Historical Data'!$AJ$2:$AJ$1068,MATCH($A43,'Historical Data'!$BE$2:$BE$1068,0)),"")</f>
        <v/>
      </c>
      <c r="P43" s="109" t="str">
        <f aca="false">IFERROR(INDEX('Historical Data'!$AK$2:$AK$1068,MATCH($A43,'Historical Data'!$BE$2:$BE$1068,0)),"")</f>
        <v/>
      </c>
      <c r="Q43" s="106" t="str">
        <f aca="false">IFERROR(INDEX('Historical Data'!$AA$2:$AA$1068,MATCH($A43,'Historical Data'!$BE$2:$BE$1068,0)),"")</f>
        <v/>
      </c>
      <c r="R43" s="106" t="str">
        <f aca="false">IFERROR(INDEX('Historical Data'!$AB$2:$AB$1068,MATCH($A43,'Historical Data'!$BE$2:$BE$1068,0)),"")</f>
        <v/>
      </c>
      <c r="S43" s="106" t="str">
        <f aca="false">IFERROR(INDEX('Historical Data'!$AN$2:$AN$1068,MATCH($A43,'Historical Data'!$BE$2:$BE$1068,0)),"")</f>
        <v/>
      </c>
      <c r="T43" s="106" t="str">
        <f aca="false">IFERROR(INDEX('Historical Data'!$AC$2:$AC$1068,MATCH($A43,'Historical Data'!$BE$2:$BE$1068,0)),"")</f>
        <v/>
      </c>
      <c r="U43" s="106" t="str">
        <f aca="false">IFERROR(INDEX('Historical Data'!$AE$2:$AE$1068,MATCH($A43,'Historical Data'!$BE$2:$BE$1068,0)),"")</f>
        <v/>
      </c>
      <c r="V43" s="106" t="str">
        <f aca="false">IFERROR(INDEX('Historical Data'!$AH$2:$AH$1068,MATCH($A43,'Historical Data'!$BE$2:$BE$1068,0)),"")</f>
        <v/>
      </c>
      <c r="W43" s="106" t="str">
        <f aca="false">IFERROR(INDEX('Historical Data'!$BC$2:$BC$1068,MATCH($A43,'Historical Data'!$BE$2:$BE$1068,0)),"")</f>
        <v/>
      </c>
      <c r="X43" s="105" t="str">
        <f aca="false">IF(B43="","",IF(W43=1,"NR + industry + position",IF(W43=2,"NR + ISO + position",IF(W43=3,"NR + industry",IF(W43=4,"NR + ISO",IF(W43=5,"NR + position",IF(W43=6,"NR only","book baseline"))))))&amp;"  ["&amp;IF(T43=1,"seasoned","unseasoned")&amp;IF(U43=1,", defaulted","")&amp;IF(V43=1,", open","")&amp;"]")</f>
        <v/>
      </c>
    </row>
    <row r="44" customFormat="false" ht="15" hidden="false" customHeight="false" outlineLevel="0" collapsed="false">
      <c r="A44" s="105" t="n">
        <v>40</v>
      </c>
      <c r="B44" s="106" t="str">
        <f aca="false">IFERROR(INDEX('Historical Data'!$A$2:$A$1068,MATCH($A44,'Historical Data'!$BE$2:$BE$1068,0)),"")</f>
        <v/>
      </c>
      <c r="C44" s="106" t="str">
        <f aca="false">IFERROR(INDEX('Historical Data'!$B$2:$B$1068,MATCH($A44,'Historical Data'!$BE$2:$BE$1068,0)),"")</f>
        <v/>
      </c>
      <c r="D44" s="106" t="str">
        <f aca="false">IFERROR(INDEX('Historical Data'!$D$2:$D$1068,MATCH($A44,'Historical Data'!$BE$2:$BE$1068,0)),"")</f>
        <v/>
      </c>
      <c r="E44" s="107" t="str">
        <f aca="false">IFERROR(INDEX('Historical Data'!$E$2:$E$1068,MATCH($A44,'Historical Data'!$BE$2:$BE$1068,0)),"")</f>
        <v/>
      </c>
      <c r="F44" s="106" t="str">
        <f aca="false">IFERROR(INDEX('Historical Data'!$G$2:$G$1068,MATCH($A44,'Historical Data'!$BE$2:$BE$1068,0)),"")</f>
        <v/>
      </c>
      <c r="G44" s="106" t="str">
        <f aca="false">IFERROR(INDEX('Historical Data'!$Y$2:$Y$1068,MATCH($A44,'Historical Data'!$BE$2:$BE$1068,0)),"")</f>
        <v/>
      </c>
      <c r="H44" s="106" t="str">
        <f aca="false">IFERROR(INDEX('Historical Data'!$K$2:$K$1068,MATCH($A44,'Historical Data'!$BE$2:$BE$1068,0)),"")</f>
        <v/>
      </c>
      <c r="I44" s="106" t="str">
        <f aca="false">IFERROR(INDEX('Historical Data'!$J$2:$J$1068,MATCH($A44,'Historical Data'!$BE$2:$BE$1068,0)),"")</f>
        <v/>
      </c>
      <c r="J44" s="106" t="str">
        <f aca="false">IFERROR(INDEX('Historical Data'!$L$2:$L$1068,MATCH($A44,'Historical Data'!$BE$2:$BE$1068,0)),"")</f>
        <v/>
      </c>
      <c r="K44" s="108" t="str">
        <f aca="false">IFERROR(INDEX('Historical Data'!$M$2:$M$1068,MATCH($A44,'Historical Data'!$BE$2:$BE$1068,0)),"")</f>
        <v/>
      </c>
      <c r="L44" s="109" t="str">
        <f aca="false">IFERROR(INDEX('Historical Data'!$N$2:$N$1068,MATCH($A44,'Historical Data'!$BE$2:$BE$1068,0)),"")</f>
        <v/>
      </c>
      <c r="M44" s="109" t="str">
        <f aca="false">IFERROR(INDEX('Historical Data'!$Q$2:$Q$1068,MATCH($A44,'Historical Data'!$BE$2:$BE$1068,0)),"")</f>
        <v/>
      </c>
      <c r="N44" s="110" t="str">
        <f aca="false">IFERROR(INDEX('Historical Data'!$S$2:$S$1068,MATCH($A44,'Historical Data'!$BE$2:$BE$1068,0)),"")</f>
        <v/>
      </c>
      <c r="O44" s="109" t="str">
        <f aca="false">IFERROR(INDEX('Historical Data'!$AJ$2:$AJ$1068,MATCH($A44,'Historical Data'!$BE$2:$BE$1068,0)),"")</f>
        <v/>
      </c>
      <c r="P44" s="109" t="str">
        <f aca="false">IFERROR(INDEX('Historical Data'!$AK$2:$AK$1068,MATCH($A44,'Historical Data'!$BE$2:$BE$1068,0)),"")</f>
        <v/>
      </c>
      <c r="Q44" s="106" t="str">
        <f aca="false">IFERROR(INDEX('Historical Data'!$AA$2:$AA$1068,MATCH($A44,'Historical Data'!$BE$2:$BE$1068,0)),"")</f>
        <v/>
      </c>
      <c r="R44" s="106" t="str">
        <f aca="false">IFERROR(INDEX('Historical Data'!$AB$2:$AB$1068,MATCH($A44,'Historical Data'!$BE$2:$BE$1068,0)),"")</f>
        <v/>
      </c>
      <c r="S44" s="106" t="str">
        <f aca="false">IFERROR(INDEX('Historical Data'!$AN$2:$AN$1068,MATCH($A44,'Historical Data'!$BE$2:$BE$1068,0)),"")</f>
        <v/>
      </c>
      <c r="T44" s="106" t="str">
        <f aca="false">IFERROR(INDEX('Historical Data'!$AC$2:$AC$1068,MATCH($A44,'Historical Data'!$BE$2:$BE$1068,0)),"")</f>
        <v/>
      </c>
      <c r="U44" s="106" t="str">
        <f aca="false">IFERROR(INDEX('Historical Data'!$AE$2:$AE$1068,MATCH($A44,'Historical Data'!$BE$2:$BE$1068,0)),"")</f>
        <v/>
      </c>
      <c r="V44" s="106" t="str">
        <f aca="false">IFERROR(INDEX('Historical Data'!$AH$2:$AH$1068,MATCH($A44,'Historical Data'!$BE$2:$BE$1068,0)),"")</f>
        <v/>
      </c>
      <c r="W44" s="106" t="str">
        <f aca="false">IFERROR(INDEX('Historical Data'!$BC$2:$BC$1068,MATCH($A44,'Historical Data'!$BE$2:$BE$1068,0)),"")</f>
        <v/>
      </c>
      <c r="X44" s="105" t="str">
        <f aca="false">IF(B44="","",IF(W44=1,"NR + industry + position",IF(W44=2,"NR + ISO + position",IF(W44=3,"NR + industry",IF(W44=4,"NR + ISO",IF(W44=5,"NR + position",IF(W44=6,"NR only","book baseline"))))))&amp;"  ["&amp;IF(T44=1,"seasoned","unseasoned")&amp;IF(U44=1,", defaulted","")&amp;IF(V44=1,", open","")&amp;"]")</f>
        <v/>
      </c>
    </row>
    <row r="45" customFormat="false" ht="15" hidden="false" customHeight="false" outlineLevel="0" collapsed="false">
      <c r="A45" s="105" t="n">
        <v>41</v>
      </c>
      <c r="B45" s="106" t="str">
        <f aca="false">IFERROR(INDEX('Historical Data'!$A$2:$A$1068,MATCH($A45,'Historical Data'!$BE$2:$BE$1068,0)),"")</f>
        <v/>
      </c>
      <c r="C45" s="106" t="str">
        <f aca="false">IFERROR(INDEX('Historical Data'!$B$2:$B$1068,MATCH($A45,'Historical Data'!$BE$2:$BE$1068,0)),"")</f>
        <v/>
      </c>
      <c r="D45" s="106" t="str">
        <f aca="false">IFERROR(INDEX('Historical Data'!$D$2:$D$1068,MATCH($A45,'Historical Data'!$BE$2:$BE$1068,0)),"")</f>
        <v/>
      </c>
      <c r="E45" s="107" t="str">
        <f aca="false">IFERROR(INDEX('Historical Data'!$E$2:$E$1068,MATCH($A45,'Historical Data'!$BE$2:$BE$1068,0)),"")</f>
        <v/>
      </c>
      <c r="F45" s="106" t="str">
        <f aca="false">IFERROR(INDEX('Historical Data'!$G$2:$G$1068,MATCH($A45,'Historical Data'!$BE$2:$BE$1068,0)),"")</f>
        <v/>
      </c>
      <c r="G45" s="106" t="str">
        <f aca="false">IFERROR(INDEX('Historical Data'!$Y$2:$Y$1068,MATCH($A45,'Historical Data'!$BE$2:$BE$1068,0)),"")</f>
        <v/>
      </c>
      <c r="H45" s="106" t="str">
        <f aca="false">IFERROR(INDEX('Historical Data'!$K$2:$K$1068,MATCH($A45,'Historical Data'!$BE$2:$BE$1068,0)),"")</f>
        <v/>
      </c>
      <c r="I45" s="106" t="str">
        <f aca="false">IFERROR(INDEX('Historical Data'!$J$2:$J$1068,MATCH($A45,'Historical Data'!$BE$2:$BE$1068,0)),"")</f>
        <v/>
      </c>
      <c r="J45" s="106" t="str">
        <f aca="false">IFERROR(INDEX('Historical Data'!$L$2:$L$1068,MATCH($A45,'Historical Data'!$BE$2:$BE$1068,0)),"")</f>
        <v/>
      </c>
      <c r="K45" s="108" t="str">
        <f aca="false">IFERROR(INDEX('Historical Data'!$M$2:$M$1068,MATCH($A45,'Historical Data'!$BE$2:$BE$1068,0)),"")</f>
        <v/>
      </c>
      <c r="L45" s="109" t="str">
        <f aca="false">IFERROR(INDEX('Historical Data'!$N$2:$N$1068,MATCH($A45,'Historical Data'!$BE$2:$BE$1068,0)),"")</f>
        <v/>
      </c>
      <c r="M45" s="109" t="str">
        <f aca="false">IFERROR(INDEX('Historical Data'!$Q$2:$Q$1068,MATCH($A45,'Historical Data'!$BE$2:$BE$1068,0)),"")</f>
        <v/>
      </c>
      <c r="N45" s="110" t="str">
        <f aca="false">IFERROR(INDEX('Historical Data'!$S$2:$S$1068,MATCH($A45,'Historical Data'!$BE$2:$BE$1068,0)),"")</f>
        <v/>
      </c>
      <c r="O45" s="109" t="str">
        <f aca="false">IFERROR(INDEX('Historical Data'!$AJ$2:$AJ$1068,MATCH($A45,'Historical Data'!$BE$2:$BE$1068,0)),"")</f>
        <v/>
      </c>
      <c r="P45" s="109" t="str">
        <f aca="false">IFERROR(INDEX('Historical Data'!$AK$2:$AK$1068,MATCH($A45,'Historical Data'!$BE$2:$BE$1068,0)),"")</f>
        <v/>
      </c>
      <c r="Q45" s="106" t="str">
        <f aca="false">IFERROR(INDEX('Historical Data'!$AA$2:$AA$1068,MATCH($A45,'Historical Data'!$BE$2:$BE$1068,0)),"")</f>
        <v/>
      </c>
      <c r="R45" s="106" t="str">
        <f aca="false">IFERROR(INDEX('Historical Data'!$AB$2:$AB$1068,MATCH($A45,'Historical Data'!$BE$2:$BE$1068,0)),"")</f>
        <v/>
      </c>
      <c r="S45" s="106" t="str">
        <f aca="false">IFERROR(INDEX('Historical Data'!$AN$2:$AN$1068,MATCH($A45,'Historical Data'!$BE$2:$BE$1068,0)),"")</f>
        <v/>
      </c>
      <c r="T45" s="106" t="str">
        <f aca="false">IFERROR(INDEX('Historical Data'!$AC$2:$AC$1068,MATCH($A45,'Historical Data'!$BE$2:$BE$1068,0)),"")</f>
        <v/>
      </c>
      <c r="U45" s="106" t="str">
        <f aca="false">IFERROR(INDEX('Historical Data'!$AE$2:$AE$1068,MATCH($A45,'Historical Data'!$BE$2:$BE$1068,0)),"")</f>
        <v/>
      </c>
      <c r="V45" s="106" t="str">
        <f aca="false">IFERROR(INDEX('Historical Data'!$AH$2:$AH$1068,MATCH($A45,'Historical Data'!$BE$2:$BE$1068,0)),"")</f>
        <v/>
      </c>
      <c r="W45" s="106" t="str">
        <f aca="false">IFERROR(INDEX('Historical Data'!$BC$2:$BC$1068,MATCH($A45,'Historical Data'!$BE$2:$BE$1068,0)),"")</f>
        <v/>
      </c>
      <c r="X45" s="105" t="str">
        <f aca="false">IF(B45="","",IF(W45=1,"NR + industry + position",IF(W45=2,"NR + ISO + position",IF(W45=3,"NR + industry",IF(W45=4,"NR + ISO",IF(W45=5,"NR + position",IF(W45=6,"NR only","book baseline"))))))&amp;"  ["&amp;IF(T45=1,"seasoned","unseasoned")&amp;IF(U45=1,", defaulted","")&amp;IF(V45=1,", open","")&amp;"]")</f>
        <v/>
      </c>
    </row>
    <row r="46" customFormat="false" ht="15" hidden="false" customHeight="false" outlineLevel="0" collapsed="false">
      <c r="A46" s="105" t="n">
        <v>42</v>
      </c>
      <c r="B46" s="106" t="str">
        <f aca="false">IFERROR(INDEX('Historical Data'!$A$2:$A$1068,MATCH($A46,'Historical Data'!$BE$2:$BE$1068,0)),"")</f>
        <v/>
      </c>
      <c r="C46" s="106" t="str">
        <f aca="false">IFERROR(INDEX('Historical Data'!$B$2:$B$1068,MATCH($A46,'Historical Data'!$BE$2:$BE$1068,0)),"")</f>
        <v/>
      </c>
      <c r="D46" s="106" t="str">
        <f aca="false">IFERROR(INDEX('Historical Data'!$D$2:$D$1068,MATCH($A46,'Historical Data'!$BE$2:$BE$1068,0)),"")</f>
        <v/>
      </c>
      <c r="E46" s="107" t="str">
        <f aca="false">IFERROR(INDEX('Historical Data'!$E$2:$E$1068,MATCH($A46,'Historical Data'!$BE$2:$BE$1068,0)),"")</f>
        <v/>
      </c>
      <c r="F46" s="106" t="str">
        <f aca="false">IFERROR(INDEX('Historical Data'!$G$2:$G$1068,MATCH($A46,'Historical Data'!$BE$2:$BE$1068,0)),"")</f>
        <v/>
      </c>
      <c r="G46" s="106" t="str">
        <f aca="false">IFERROR(INDEX('Historical Data'!$Y$2:$Y$1068,MATCH($A46,'Historical Data'!$BE$2:$BE$1068,0)),"")</f>
        <v/>
      </c>
      <c r="H46" s="106" t="str">
        <f aca="false">IFERROR(INDEX('Historical Data'!$K$2:$K$1068,MATCH($A46,'Historical Data'!$BE$2:$BE$1068,0)),"")</f>
        <v/>
      </c>
      <c r="I46" s="106" t="str">
        <f aca="false">IFERROR(INDEX('Historical Data'!$J$2:$J$1068,MATCH($A46,'Historical Data'!$BE$2:$BE$1068,0)),"")</f>
        <v/>
      </c>
      <c r="J46" s="106" t="str">
        <f aca="false">IFERROR(INDEX('Historical Data'!$L$2:$L$1068,MATCH($A46,'Historical Data'!$BE$2:$BE$1068,0)),"")</f>
        <v/>
      </c>
      <c r="K46" s="108" t="str">
        <f aca="false">IFERROR(INDEX('Historical Data'!$M$2:$M$1068,MATCH($A46,'Historical Data'!$BE$2:$BE$1068,0)),"")</f>
        <v/>
      </c>
      <c r="L46" s="109" t="str">
        <f aca="false">IFERROR(INDEX('Historical Data'!$N$2:$N$1068,MATCH($A46,'Historical Data'!$BE$2:$BE$1068,0)),"")</f>
        <v/>
      </c>
      <c r="M46" s="109" t="str">
        <f aca="false">IFERROR(INDEX('Historical Data'!$Q$2:$Q$1068,MATCH($A46,'Historical Data'!$BE$2:$BE$1068,0)),"")</f>
        <v/>
      </c>
      <c r="N46" s="110" t="str">
        <f aca="false">IFERROR(INDEX('Historical Data'!$S$2:$S$1068,MATCH($A46,'Historical Data'!$BE$2:$BE$1068,0)),"")</f>
        <v/>
      </c>
      <c r="O46" s="109" t="str">
        <f aca="false">IFERROR(INDEX('Historical Data'!$AJ$2:$AJ$1068,MATCH($A46,'Historical Data'!$BE$2:$BE$1068,0)),"")</f>
        <v/>
      </c>
      <c r="P46" s="109" t="str">
        <f aca="false">IFERROR(INDEX('Historical Data'!$AK$2:$AK$1068,MATCH($A46,'Historical Data'!$BE$2:$BE$1068,0)),"")</f>
        <v/>
      </c>
      <c r="Q46" s="106" t="str">
        <f aca="false">IFERROR(INDEX('Historical Data'!$AA$2:$AA$1068,MATCH($A46,'Historical Data'!$BE$2:$BE$1068,0)),"")</f>
        <v/>
      </c>
      <c r="R46" s="106" t="str">
        <f aca="false">IFERROR(INDEX('Historical Data'!$AB$2:$AB$1068,MATCH($A46,'Historical Data'!$BE$2:$BE$1068,0)),"")</f>
        <v/>
      </c>
      <c r="S46" s="106" t="str">
        <f aca="false">IFERROR(INDEX('Historical Data'!$AN$2:$AN$1068,MATCH($A46,'Historical Data'!$BE$2:$BE$1068,0)),"")</f>
        <v/>
      </c>
      <c r="T46" s="106" t="str">
        <f aca="false">IFERROR(INDEX('Historical Data'!$AC$2:$AC$1068,MATCH($A46,'Historical Data'!$BE$2:$BE$1068,0)),"")</f>
        <v/>
      </c>
      <c r="U46" s="106" t="str">
        <f aca="false">IFERROR(INDEX('Historical Data'!$AE$2:$AE$1068,MATCH($A46,'Historical Data'!$BE$2:$BE$1068,0)),"")</f>
        <v/>
      </c>
      <c r="V46" s="106" t="str">
        <f aca="false">IFERROR(INDEX('Historical Data'!$AH$2:$AH$1068,MATCH($A46,'Historical Data'!$BE$2:$BE$1068,0)),"")</f>
        <v/>
      </c>
      <c r="W46" s="106" t="str">
        <f aca="false">IFERROR(INDEX('Historical Data'!$BC$2:$BC$1068,MATCH($A46,'Historical Data'!$BE$2:$BE$1068,0)),"")</f>
        <v/>
      </c>
      <c r="X46" s="105" t="str">
        <f aca="false">IF(B46="","",IF(W46=1,"NR + industry + position",IF(W46=2,"NR + ISO + position",IF(W46=3,"NR + industry",IF(W46=4,"NR + ISO",IF(W46=5,"NR + position",IF(W46=6,"NR only","book baseline"))))))&amp;"  ["&amp;IF(T46=1,"seasoned","unseasoned")&amp;IF(U46=1,", defaulted","")&amp;IF(V46=1,", open","")&amp;"]")</f>
        <v/>
      </c>
    </row>
    <row r="47" customFormat="false" ht="15" hidden="false" customHeight="false" outlineLevel="0" collapsed="false">
      <c r="A47" s="105" t="n">
        <v>43</v>
      </c>
      <c r="B47" s="106" t="str">
        <f aca="false">IFERROR(INDEX('Historical Data'!$A$2:$A$1068,MATCH($A47,'Historical Data'!$BE$2:$BE$1068,0)),"")</f>
        <v/>
      </c>
      <c r="C47" s="106" t="str">
        <f aca="false">IFERROR(INDEX('Historical Data'!$B$2:$B$1068,MATCH($A47,'Historical Data'!$BE$2:$BE$1068,0)),"")</f>
        <v/>
      </c>
      <c r="D47" s="106" t="str">
        <f aca="false">IFERROR(INDEX('Historical Data'!$D$2:$D$1068,MATCH($A47,'Historical Data'!$BE$2:$BE$1068,0)),"")</f>
        <v/>
      </c>
      <c r="E47" s="107" t="str">
        <f aca="false">IFERROR(INDEX('Historical Data'!$E$2:$E$1068,MATCH($A47,'Historical Data'!$BE$2:$BE$1068,0)),"")</f>
        <v/>
      </c>
      <c r="F47" s="106" t="str">
        <f aca="false">IFERROR(INDEX('Historical Data'!$G$2:$G$1068,MATCH($A47,'Historical Data'!$BE$2:$BE$1068,0)),"")</f>
        <v/>
      </c>
      <c r="G47" s="106" t="str">
        <f aca="false">IFERROR(INDEX('Historical Data'!$Y$2:$Y$1068,MATCH($A47,'Historical Data'!$BE$2:$BE$1068,0)),"")</f>
        <v/>
      </c>
      <c r="H47" s="106" t="str">
        <f aca="false">IFERROR(INDEX('Historical Data'!$K$2:$K$1068,MATCH($A47,'Historical Data'!$BE$2:$BE$1068,0)),"")</f>
        <v/>
      </c>
      <c r="I47" s="106" t="str">
        <f aca="false">IFERROR(INDEX('Historical Data'!$J$2:$J$1068,MATCH($A47,'Historical Data'!$BE$2:$BE$1068,0)),"")</f>
        <v/>
      </c>
      <c r="J47" s="106" t="str">
        <f aca="false">IFERROR(INDEX('Historical Data'!$L$2:$L$1068,MATCH($A47,'Historical Data'!$BE$2:$BE$1068,0)),"")</f>
        <v/>
      </c>
      <c r="K47" s="108" t="str">
        <f aca="false">IFERROR(INDEX('Historical Data'!$M$2:$M$1068,MATCH($A47,'Historical Data'!$BE$2:$BE$1068,0)),"")</f>
        <v/>
      </c>
      <c r="L47" s="109" t="str">
        <f aca="false">IFERROR(INDEX('Historical Data'!$N$2:$N$1068,MATCH($A47,'Historical Data'!$BE$2:$BE$1068,0)),"")</f>
        <v/>
      </c>
      <c r="M47" s="109" t="str">
        <f aca="false">IFERROR(INDEX('Historical Data'!$Q$2:$Q$1068,MATCH($A47,'Historical Data'!$BE$2:$BE$1068,0)),"")</f>
        <v/>
      </c>
      <c r="N47" s="110" t="str">
        <f aca="false">IFERROR(INDEX('Historical Data'!$S$2:$S$1068,MATCH($A47,'Historical Data'!$BE$2:$BE$1068,0)),"")</f>
        <v/>
      </c>
      <c r="O47" s="109" t="str">
        <f aca="false">IFERROR(INDEX('Historical Data'!$AJ$2:$AJ$1068,MATCH($A47,'Historical Data'!$BE$2:$BE$1068,0)),"")</f>
        <v/>
      </c>
      <c r="P47" s="109" t="str">
        <f aca="false">IFERROR(INDEX('Historical Data'!$AK$2:$AK$1068,MATCH($A47,'Historical Data'!$BE$2:$BE$1068,0)),"")</f>
        <v/>
      </c>
      <c r="Q47" s="106" t="str">
        <f aca="false">IFERROR(INDEX('Historical Data'!$AA$2:$AA$1068,MATCH($A47,'Historical Data'!$BE$2:$BE$1068,0)),"")</f>
        <v/>
      </c>
      <c r="R47" s="106" t="str">
        <f aca="false">IFERROR(INDEX('Historical Data'!$AB$2:$AB$1068,MATCH($A47,'Historical Data'!$BE$2:$BE$1068,0)),"")</f>
        <v/>
      </c>
      <c r="S47" s="106" t="str">
        <f aca="false">IFERROR(INDEX('Historical Data'!$AN$2:$AN$1068,MATCH($A47,'Historical Data'!$BE$2:$BE$1068,0)),"")</f>
        <v/>
      </c>
      <c r="T47" s="106" t="str">
        <f aca="false">IFERROR(INDEX('Historical Data'!$AC$2:$AC$1068,MATCH($A47,'Historical Data'!$BE$2:$BE$1068,0)),"")</f>
        <v/>
      </c>
      <c r="U47" s="106" t="str">
        <f aca="false">IFERROR(INDEX('Historical Data'!$AE$2:$AE$1068,MATCH($A47,'Historical Data'!$BE$2:$BE$1068,0)),"")</f>
        <v/>
      </c>
      <c r="V47" s="106" t="str">
        <f aca="false">IFERROR(INDEX('Historical Data'!$AH$2:$AH$1068,MATCH($A47,'Historical Data'!$BE$2:$BE$1068,0)),"")</f>
        <v/>
      </c>
      <c r="W47" s="106" t="str">
        <f aca="false">IFERROR(INDEX('Historical Data'!$BC$2:$BC$1068,MATCH($A47,'Historical Data'!$BE$2:$BE$1068,0)),"")</f>
        <v/>
      </c>
      <c r="X47" s="105" t="str">
        <f aca="false">IF(B47="","",IF(W47=1,"NR + industry + position",IF(W47=2,"NR + ISO + position",IF(W47=3,"NR + industry",IF(W47=4,"NR + ISO",IF(W47=5,"NR + position",IF(W47=6,"NR only","book baseline"))))))&amp;"  ["&amp;IF(T47=1,"seasoned","unseasoned")&amp;IF(U47=1,", defaulted","")&amp;IF(V47=1,", open","")&amp;"]")</f>
        <v/>
      </c>
    </row>
    <row r="48" customFormat="false" ht="15" hidden="false" customHeight="false" outlineLevel="0" collapsed="false">
      <c r="A48" s="105" t="n">
        <v>44</v>
      </c>
      <c r="B48" s="106" t="str">
        <f aca="false">IFERROR(INDEX('Historical Data'!$A$2:$A$1068,MATCH($A48,'Historical Data'!$BE$2:$BE$1068,0)),"")</f>
        <v/>
      </c>
      <c r="C48" s="106" t="str">
        <f aca="false">IFERROR(INDEX('Historical Data'!$B$2:$B$1068,MATCH($A48,'Historical Data'!$BE$2:$BE$1068,0)),"")</f>
        <v/>
      </c>
      <c r="D48" s="106" t="str">
        <f aca="false">IFERROR(INDEX('Historical Data'!$D$2:$D$1068,MATCH($A48,'Historical Data'!$BE$2:$BE$1068,0)),"")</f>
        <v/>
      </c>
      <c r="E48" s="107" t="str">
        <f aca="false">IFERROR(INDEX('Historical Data'!$E$2:$E$1068,MATCH($A48,'Historical Data'!$BE$2:$BE$1068,0)),"")</f>
        <v/>
      </c>
      <c r="F48" s="106" t="str">
        <f aca="false">IFERROR(INDEX('Historical Data'!$G$2:$G$1068,MATCH($A48,'Historical Data'!$BE$2:$BE$1068,0)),"")</f>
        <v/>
      </c>
      <c r="G48" s="106" t="str">
        <f aca="false">IFERROR(INDEX('Historical Data'!$Y$2:$Y$1068,MATCH($A48,'Historical Data'!$BE$2:$BE$1068,0)),"")</f>
        <v/>
      </c>
      <c r="H48" s="106" t="str">
        <f aca="false">IFERROR(INDEX('Historical Data'!$K$2:$K$1068,MATCH($A48,'Historical Data'!$BE$2:$BE$1068,0)),"")</f>
        <v/>
      </c>
      <c r="I48" s="106" t="str">
        <f aca="false">IFERROR(INDEX('Historical Data'!$J$2:$J$1068,MATCH($A48,'Historical Data'!$BE$2:$BE$1068,0)),"")</f>
        <v/>
      </c>
      <c r="J48" s="106" t="str">
        <f aca="false">IFERROR(INDEX('Historical Data'!$L$2:$L$1068,MATCH($A48,'Historical Data'!$BE$2:$BE$1068,0)),"")</f>
        <v/>
      </c>
      <c r="K48" s="108" t="str">
        <f aca="false">IFERROR(INDEX('Historical Data'!$M$2:$M$1068,MATCH($A48,'Historical Data'!$BE$2:$BE$1068,0)),"")</f>
        <v/>
      </c>
      <c r="L48" s="109" t="str">
        <f aca="false">IFERROR(INDEX('Historical Data'!$N$2:$N$1068,MATCH($A48,'Historical Data'!$BE$2:$BE$1068,0)),"")</f>
        <v/>
      </c>
      <c r="M48" s="109" t="str">
        <f aca="false">IFERROR(INDEX('Historical Data'!$Q$2:$Q$1068,MATCH($A48,'Historical Data'!$BE$2:$BE$1068,0)),"")</f>
        <v/>
      </c>
      <c r="N48" s="110" t="str">
        <f aca="false">IFERROR(INDEX('Historical Data'!$S$2:$S$1068,MATCH($A48,'Historical Data'!$BE$2:$BE$1068,0)),"")</f>
        <v/>
      </c>
      <c r="O48" s="109" t="str">
        <f aca="false">IFERROR(INDEX('Historical Data'!$AJ$2:$AJ$1068,MATCH($A48,'Historical Data'!$BE$2:$BE$1068,0)),"")</f>
        <v/>
      </c>
      <c r="P48" s="109" t="str">
        <f aca="false">IFERROR(INDEX('Historical Data'!$AK$2:$AK$1068,MATCH($A48,'Historical Data'!$BE$2:$BE$1068,0)),"")</f>
        <v/>
      </c>
      <c r="Q48" s="106" t="str">
        <f aca="false">IFERROR(INDEX('Historical Data'!$AA$2:$AA$1068,MATCH($A48,'Historical Data'!$BE$2:$BE$1068,0)),"")</f>
        <v/>
      </c>
      <c r="R48" s="106" t="str">
        <f aca="false">IFERROR(INDEX('Historical Data'!$AB$2:$AB$1068,MATCH($A48,'Historical Data'!$BE$2:$BE$1068,0)),"")</f>
        <v/>
      </c>
      <c r="S48" s="106" t="str">
        <f aca="false">IFERROR(INDEX('Historical Data'!$AN$2:$AN$1068,MATCH($A48,'Historical Data'!$BE$2:$BE$1068,0)),"")</f>
        <v/>
      </c>
      <c r="T48" s="106" t="str">
        <f aca="false">IFERROR(INDEX('Historical Data'!$AC$2:$AC$1068,MATCH($A48,'Historical Data'!$BE$2:$BE$1068,0)),"")</f>
        <v/>
      </c>
      <c r="U48" s="106" t="str">
        <f aca="false">IFERROR(INDEX('Historical Data'!$AE$2:$AE$1068,MATCH($A48,'Historical Data'!$BE$2:$BE$1068,0)),"")</f>
        <v/>
      </c>
      <c r="V48" s="106" t="str">
        <f aca="false">IFERROR(INDEX('Historical Data'!$AH$2:$AH$1068,MATCH($A48,'Historical Data'!$BE$2:$BE$1068,0)),"")</f>
        <v/>
      </c>
      <c r="W48" s="106" t="str">
        <f aca="false">IFERROR(INDEX('Historical Data'!$BC$2:$BC$1068,MATCH($A48,'Historical Data'!$BE$2:$BE$1068,0)),"")</f>
        <v/>
      </c>
      <c r="X48" s="105" t="str">
        <f aca="false">IF(B48="","",IF(W48=1,"NR + industry + position",IF(W48=2,"NR + ISO + position",IF(W48=3,"NR + industry",IF(W48=4,"NR + ISO",IF(W48=5,"NR + position",IF(W48=6,"NR only","book baseline"))))))&amp;"  ["&amp;IF(T48=1,"seasoned","unseasoned")&amp;IF(U48=1,", defaulted","")&amp;IF(V48=1,", open","")&amp;"]")</f>
        <v/>
      </c>
    </row>
    <row r="49" customFormat="false" ht="15" hidden="false" customHeight="false" outlineLevel="0" collapsed="false">
      <c r="A49" s="105" t="n">
        <v>45</v>
      </c>
      <c r="B49" s="106" t="str">
        <f aca="false">IFERROR(INDEX('Historical Data'!$A$2:$A$1068,MATCH($A49,'Historical Data'!$BE$2:$BE$1068,0)),"")</f>
        <v/>
      </c>
      <c r="C49" s="106" t="str">
        <f aca="false">IFERROR(INDEX('Historical Data'!$B$2:$B$1068,MATCH($A49,'Historical Data'!$BE$2:$BE$1068,0)),"")</f>
        <v/>
      </c>
      <c r="D49" s="106" t="str">
        <f aca="false">IFERROR(INDEX('Historical Data'!$D$2:$D$1068,MATCH($A49,'Historical Data'!$BE$2:$BE$1068,0)),"")</f>
        <v/>
      </c>
      <c r="E49" s="107" t="str">
        <f aca="false">IFERROR(INDEX('Historical Data'!$E$2:$E$1068,MATCH($A49,'Historical Data'!$BE$2:$BE$1068,0)),"")</f>
        <v/>
      </c>
      <c r="F49" s="106" t="str">
        <f aca="false">IFERROR(INDEX('Historical Data'!$G$2:$G$1068,MATCH($A49,'Historical Data'!$BE$2:$BE$1068,0)),"")</f>
        <v/>
      </c>
      <c r="G49" s="106" t="str">
        <f aca="false">IFERROR(INDEX('Historical Data'!$Y$2:$Y$1068,MATCH($A49,'Historical Data'!$BE$2:$BE$1068,0)),"")</f>
        <v/>
      </c>
      <c r="H49" s="106" t="str">
        <f aca="false">IFERROR(INDEX('Historical Data'!$K$2:$K$1068,MATCH($A49,'Historical Data'!$BE$2:$BE$1068,0)),"")</f>
        <v/>
      </c>
      <c r="I49" s="106" t="str">
        <f aca="false">IFERROR(INDEX('Historical Data'!$J$2:$J$1068,MATCH($A49,'Historical Data'!$BE$2:$BE$1068,0)),"")</f>
        <v/>
      </c>
      <c r="J49" s="106" t="str">
        <f aca="false">IFERROR(INDEX('Historical Data'!$L$2:$L$1068,MATCH($A49,'Historical Data'!$BE$2:$BE$1068,0)),"")</f>
        <v/>
      </c>
      <c r="K49" s="108" t="str">
        <f aca="false">IFERROR(INDEX('Historical Data'!$M$2:$M$1068,MATCH($A49,'Historical Data'!$BE$2:$BE$1068,0)),"")</f>
        <v/>
      </c>
      <c r="L49" s="109" t="str">
        <f aca="false">IFERROR(INDEX('Historical Data'!$N$2:$N$1068,MATCH($A49,'Historical Data'!$BE$2:$BE$1068,0)),"")</f>
        <v/>
      </c>
      <c r="M49" s="109" t="str">
        <f aca="false">IFERROR(INDEX('Historical Data'!$Q$2:$Q$1068,MATCH($A49,'Historical Data'!$BE$2:$BE$1068,0)),"")</f>
        <v/>
      </c>
      <c r="N49" s="110" t="str">
        <f aca="false">IFERROR(INDEX('Historical Data'!$S$2:$S$1068,MATCH($A49,'Historical Data'!$BE$2:$BE$1068,0)),"")</f>
        <v/>
      </c>
      <c r="O49" s="109" t="str">
        <f aca="false">IFERROR(INDEX('Historical Data'!$AJ$2:$AJ$1068,MATCH($A49,'Historical Data'!$BE$2:$BE$1068,0)),"")</f>
        <v/>
      </c>
      <c r="P49" s="109" t="str">
        <f aca="false">IFERROR(INDEX('Historical Data'!$AK$2:$AK$1068,MATCH($A49,'Historical Data'!$BE$2:$BE$1068,0)),"")</f>
        <v/>
      </c>
      <c r="Q49" s="106" t="str">
        <f aca="false">IFERROR(INDEX('Historical Data'!$AA$2:$AA$1068,MATCH($A49,'Historical Data'!$BE$2:$BE$1068,0)),"")</f>
        <v/>
      </c>
      <c r="R49" s="106" t="str">
        <f aca="false">IFERROR(INDEX('Historical Data'!$AB$2:$AB$1068,MATCH($A49,'Historical Data'!$BE$2:$BE$1068,0)),"")</f>
        <v/>
      </c>
      <c r="S49" s="106" t="str">
        <f aca="false">IFERROR(INDEX('Historical Data'!$AN$2:$AN$1068,MATCH($A49,'Historical Data'!$BE$2:$BE$1068,0)),"")</f>
        <v/>
      </c>
      <c r="T49" s="106" t="str">
        <f aca="false">IFERROR(INDEX('Historical Data'!$AC$2:$AC$1068,MATCH($A49,'Historical Data'!$BE$2:$BE$1068,0)),"")</f>
        <v/>
      </c>
      <c r="U49" s="106" t="str">
        <f aca="false">IFERROR(INDEX('Historical Data'!$AE$2:$AE$1068,MATCH($A49,'Historical Data'!$BE$2:$BE$1068,0)),"")</f>
        <v/>
      </c>
      <c r="V49" s="106" t="str">
        <f aca="false">IFERROR(INDEX('Historical Data'!$AH$2:$AH$1068,MATCH($A49,'Historical Data'!$BE$2:$BE$1068,0)),"")</f>
        <v/>
      </c>
      <c r="W49" s="106" t="str">
        <f aca="false">IFERROR(INDEX('Historical Data'!$BC$2:$BC$1068,MATCH($A49,'Historical Data'!$BE$2:$BE$1068,0)),"")</f>
        <v/>
      </c>
      <c r="X49" s="105" t="str">
        <f aca="false">IF(B49="","",IF(W49=1,"NR + industry + position",IF(W49=2,"NR + ISO + position",IF(W49=3,"NR + industry",IF(W49=4,"NR + ISO",IF(W49=5,"NR + position",IF(W49=6,"NR only","book baseline"))))))&amp;"  ["&amp;IF(T49=1,"seasoned","unseasoned")&amp;IF(U49=1,", defaulted","")&amp;IF(V49=1,", open","")&amp;"]")</f>
        <v/>
      </c>
    </row>
    <row r="50" customFormat="false" ht="15" hidden="false" customHeight="false" outlineLevel="0" collapsed="false">
      <c r="A50" s="105" t="n">
        <v>46</v>
      </c>
      <c r="B50" s="106" t="str">
        <f aca="false">IFERROR(INDEX('Historical Data'!$A$2:$A$1068,MATCH($A50,'Historical Data'!$BE$2:$BE$1068,0)),"")</f>
        <v/>
      </c>
      <c r="C50" s="106" t="str">
        <f aca="false">IFERROR(INDEX('Historical Data'!$B$2:$B$1068,MATCH($A50,'Historical Data'!$BE$2:$BE$1068,0)),"")</f>
        <v/>
      </c>
      <c r="D50" s="106" t="str">
        <f aca="false">IFERROR(INDEX('Historical Data'!$D$2:$D$1068,MATCH($A50,'Historical Data'!$BE$2:$BE$1068,0)),"")</f>
        <v/>
      </c>
      <c r="E50" s="107" t="str">
        <f aca="false">IFERROR(INDEX('Historical Data'!$E$2:$E$1068,MATCH($A50,'Historical Data'!$BE$2:$BE$1068,0)),"")</f>
        <v/>
      </c>
      <c r="F50" s="106" t="str">
        <f aca="false">IFERROR(INDEX('Historical Data'!$G$2:$G$1068,MATCH($A50,'Historical Data'!$BE$2:$BE$1068,0)),"")</f>
        <v/>
      </c>
      <c r="G50" s="106" t="str">
        <f aca="false">IFERROR(INDEX('Historical Data'!$Y$2:$Y$1068,MATCH($A50,'Historical Data'!$BE$2:$BE$1068,0)),"")</f>
        <v/>
      </c>
      <c r="H50" s="106" t="str">
        <f aca="false">IFERROR(INDEX('Historical Data'!$K$2:$K$1068,MATCH($A50,'Historical Data'!$BE$2:$BE$1068,0)),"")</f>
        <v/>
      </c>
      <c r="I50" s="106" t="str">
        <f aca="false">IFERROR(INDEX('Historical Data'!$J$2:$J$1068,MATCH($A50,'Historical Data'!$BE$2:$BE$1068,0)),"")</f>
        <v/>
      </c>
      <c r="J50" s="106" t="str">
        <f aca="false">IFERROR(INDEX('Historical Data'!$L$2:$L$1068,MATCH($A50,'Historical Data'!$BE$2:$BE$1068,0)),"")</f>
        <v/>
      </c>
      <c r="K50" s="108" t="str">
        <f aca="false">IFERROR(INDEX('Historical Data'!$M$2:$M$1068,MATCH($A50,'Historical Data'!$BE$2:$BE$1068,0)),"")</f>
        <v/>
      </c>
      <c r="L50" s="109" t="str">
        <f aca="false">IFERROR(INDEX('Historical Data'!$N$2:$N$1068,MATCH($A50,'Historical Data'!$BE$2:$BE$1068,0)),"")</f>
        <v/>
      </c>
      <c r="M50" s="109" t="str">
        <f aca="false">IFERROR(INDEX('Historical Data'!$Q$2:$Q$1068,MATCH($A50,'Historical Data'!$BE$2:$BE$1068,0)),"")</f>
        <v/>
      </c>
      <c r="N50" s="110" t="str">
        <f aca="false">IFERROR(INDEX('Historical Data'!$S$2:$S$1068,MATCH($A50,'Historical Data'!$BE$2:$BE$1068,0)),"")</f>
        <v/>
      </c>
      <c r="O50" s="109" t="str">
        <f aca="false">IFERROR(INDEX('Historical Data'!$AJ$2:$AJ$1068,MATCH($A50,'Historical Data'!$BE$2:$BE$1068,0)),"")</f>
        <v/>
      </c>
      <c r="P50" s="109" t="str">
        <f aca="false">IFERROR(INDEX('Historical Data'!$AK$2:$AK$1068,MATCH($A50,'Historical Data'!$BE$2:$BE$1068,0)),"")</f>
        <v/>
      </c>
      <c r="Q50" s="106" t="str">
        <f aca="false">IFERROR(INDEX('Historical Data'!$AA$2:$AA$1068,MATCH($A50,'Historical Data'!$BE$2:$BE$1068,0)),"")</f>
        <v/>
      </c>
      <c r="R50" s="106" t="str">
        <f aca="false">IFERROR(INDEX('Historical Data'!$AB$2:$AB$1068,MATCH($A50,'Historical Data'!$BE$2:$BE$1068,0)),"")</f>
        <v/>
      </c>
      <c r="S50" s="106" t="str">
        <f aca="false">IFERROR(INDEX('Historical Data'!$AN$2:$AN$1068,MATCH($A50,'Historical Data'!$BE$2:$BE$1068,0)),"")</f>
        <v/>
      </c>
      <c r="T50" s="106" t="str">
        <f aca="false">IFERROR(INDEX('Historical Data'!$AC$2:$AC$1068,MATCH($A50,'Historical Data'!$BE$2:$BE$1068,0)),"")</f>
        <v/>
      </c>
      <c r="U50" s="106" t="str">
        <f aca="false">IFERROR(INDEX('Historical Data'!$AE$2:$AE$1068,MATCH($A50,'Historical Data'!$BE$2:$BE$1068,0)),"")</f>
        <v/>
      </c>
      <c r="V50" s="106" t="str">
        <f aca="false">IFERROR(INDEX('Historical Data'!$AH$2:$AH$1068,MATCH($A50,'Historical Data'!$BE$2:$BE$1068,0)),"")</f>
        <v/>
      </c>
      <c r="W50" s="106" t="str">
        <f aca="false">IFERROR(INDEX('Historical Data'!$BC$2:$BC$1068,MATCH($A50,'Historical Data'!$BE$2:$BE$1068,0)),"")</f>
        <v/>
      </c>
      <c r="X50" s="105" t="str">
        <f aca="false">IF(B50="","",IF(W50=1,"NR + industry + position",IF(W50=2,"NR + ISO + position",IF(W50=3,"NR + industry",IF(W50=4,"NR + ISO",IF(W50=5,"NR + position",IF(W50=6,"NR only","book baseline"))))))&amp;"  ["&amp;IF(T50=1,"seasoned","unseasoned")&amp;IF(U50=1,", defaulted","")&amp;IF(V50=1,", open","")&amp;"]")</f>
        <v/>
      </c>
    </row>
    <row r="51" customFormat="false" ht="15" hidden="false" customHeight="false" outlineLevel="0" collapsed="false">
      <c r="A51" s="105" t="n">
        <v>47</v>
      </c>
      <c r="B51" s="106" t="str">
        <f aca="false">IFERROR(INDEX('Historical Data'!$A$2:$A$1068,MATCH($A51,'Historical Data'!$BE$2:$BE$1068,0)),"")</f>
        <v/>
      </c>
      <c r="C51" s="106" t="str">
        <f aca="false">IFERROR(INDEX('Historical Data'!$B$2:$B$1068,MATCH($A51,'Historical Data'!$BE$2:$BE$1068,0)),"")</f>
        <v/>
      </c>
      <c r="D51" s="106" t="str">
        <f aca="false">IFERROR(INDEX('Historical Data'!$D$2:$D$1068,MATCH($A51,'Historical Data'!$BE$2:$BE$1068,0)),"")</f>
        <v/>
      </c>
      <c r="E51" s="107" t="str">
        <f aca="false">IFERROR(INDEX('Historical Data'!$E$2:$E$1068,MATCH($A51,'Historical Data'!$BE$2:$BE$1068,0)),"")</f>
        <v/>
      </c>
      <c r="F51" s="106" t="str">
        <f aca="false">IFERROR(INDEX('Historical Data'!$G$2:$G$1068,MATCH($A51,'Historical Data'!$BE$2:$BE$1068,0)),"")</f>
        <v/>
      </c>
      <c r="G51" s="106" t="str">
        <f aca="false">IFERROR(INDEX('Historical Data'!$Y$2:$Y$1068,MATCH($A51,'Historical Data'!$BE$2:$BE$1068,0)),"")</f>
        <v/>
      </c>
      <c r="H51" s="106" t="str">
        <f aca="false">IFERROR(INDEX('Historical Data'!$K$2:$K$1068,MATCH($A51,'Historical Data'!$BE$2:$BE$1068,0)),"")</f>
        <v/>
      </c>
      <c r="I51" s="106" t="str">
        <f aca="false">IFERROR(INDEX('Historical Data'!$J$2:$J$1068,MATCH($A51,'Historical Data'!$BE$2:$BE$1068,0)),"")</f>
        <v/>
      </c>
      <c r="J51" s="106" t="str">
        <f aca="false">IFERROR(INDEX('Historical Data'!$L$2:$L$1068,MATCH($A51,'Historical Data'!$BE$2:$BE$1068,0)),"")</f>
        <v/>
      </c>
      <c r="K51" s="108" t="str">
        <f aca="false">IFERROR(INDEX('Historical Data'!$M$2:$M$1068,MATCH($A51,'Historical Data'!$BE$2:$BE$1068,0)),"")</f>
        <v/>
      </c>
      <c r="L51" s="109" t="str">
        <f aca="false">IFERROR(INDEX('Historical Data'!$N$2:$N$1068,MATCH($A51,'Historical Data'!$BE$2:$BE$1068,0)),"")</f>
        <v/>
      </c>
      <c r="M51" s="109" t="str">
        <f aca="false">IFERROR(INDEX('Historical Data'!$Q$2:$Q$1068,MATCH($A51,'Historical Data'!$BE$2:$BE$1068,0)),"")</f>
        <v/>
      </c>
      <c r="N51" s="110" t="str">
        <f aca="false">IFERROR(INDEX('Historical Data'!$S$2:$S$1068,MATCH($A51,'Historical Data'!$BE$2:$BE$1068,0)),"")</f>
        <v/>
      </c>
      <c r="O51" s="109" t="str">
        <f aca="false">IFERROR(INDEX('Historical Data'!$AJ$2:$AJ$1068,MATCH($A51,'Historical Data'!$BE$2:$BE$1068,0)),"")</f>
        <v/>
      </c>
      <c r="P51" s="109" t="str">
        <f aca="false">IFERROR(INDEX('Historical Data'!$AK$2:$AK$1068,MATCH($A51,'Historical Data'!$BE$2:$BE$1068,0)),"")</f>
        <v/>
      </c>
      <c r="Q51" s="106" t="str">
        <f aca="false">IFERROR(INDEX('Historical Data'!$AA$2:$AA$1068,MATCH($A51,'Historical Data'!$BE$2:$BE$1068,0)),"")</f>
        <v/>
      </c>
      <c r="R51" s="106" t="str">
        <f aca="false">IFERROR(INDEX('Historical Data'!$AB$2:$AB$1068,MATCH($A51,'Historical Data'!$BE$2:$BE$1068,0)),"")</f>
        <v/>
      </c>
      <c r="S51" s="106" t="str">
        <f aca="false">IFERROR(INDEX('Historical Data'!$AN$2:$AN$1068,MATCH($A51,'Historical Data'!$BE$2:$BE$1068,0)),"")</f>
        <v/>
      </c>
      <c r="T51" s="106" t="str">
        <f aca="false">IFERROR(INDEX('Historical Data'!$AC$2:$AC$1068,MATCH($A51,'Historical Data'!$BE$2:$BE$1068,0)),"")</f>
        <v/>
      </c>
      <c r="U51" s="106" t="str">
        <f aca="false">IFERROR(INDEX('Historical Data'!$AE$2:$AE$1068,MATCH($A51,'Historical Data'!$BE$2:$BE$1068,0)),"")</f>
        <v/>
      </c>
      <c r="V51" s="106" t="str">
        <f aca="false">IFERROR(INDEX('Historical Data'!$AH$2:$AH$1068,MATCH($A51,'Historical Data'!$BE$2:$BE$1068,0)),"")</f>
        <v/>
      </c>
      <c r="W51" s="106" t="str">
        <f aca="false">IFERROR(INDEX('Historical Data'!$BC$2:$BC$1068,MATCH($A51,'Historical Data'!$BE$2:$BE$1068,0)),"")</f>
        <v/>
      </c>
      <c r="X51" s="105" t="str">
        <f aca="false">IF(B51="","",IF(W51=1,"NR + industry + position",IF(W51=2,"NR + ISO + position",IF(W51=3,"NR + industry",IF(W51=4,"NR + ISO",IF(W51=5,"NR + position",IF(W51=6,"NR only","book baseline"))))))&amp;"  ["&amp;IF(T51=1,"seasoned","unseasoned")&amp;IF(U51=1,", defaulted","")&amp;IF(V51=1,", open","")&amp;"]")</f>
        <v/>
      </c>
    </row>
    <row r="52" customFormat="false" ht="15" hidden="false" customHeight="false" outlineLevel="0" collapsed="false">
      <c r="A52" s="105" t="n">
        <v>48</v>
      </c>
      <c r="B52" s="106" t="str">
        <f aca="false">IFERROR(INDEX('Historical Data'!$A$2:$A$1068,MATCH($A52,'Historical Data'!$BE$2:$BE$1068,0)),"")</f>
        <v/>
      </c>
      <c r="C52" s="106" t="str">
        <f aca="false">IFERROR(INDEX('Historical Data'!$B$2:$B$1068,MATCH($A52,'Historical Data'!$BE$2:$BE$1068,0)),"")</f>
        <v/>
      </c>
      <c r="D52" s="106" t="str">
        <f aca="false">IFERROR(INDEX('Historical Data'!$D$2:$D$1068,MATCH($A52,'Historical Data'!$BE$2:$BE$1068,0)),"")</f>
        <v/>
      </c>
      <c r="E52" s="107" t="str">
        <f aca="false">IFERROR(INDEX('Historical Data'!$E$2:$E$1068,MATCH($A52,'Historical Data'!$BE$2:$BE$1068,0)),"")</f>
        <v/>
      </c>
      <c r="F52" s="106" t="str">
        <f aca="false">IFERROR(INDEX('Historical Data'!$G$2:$G$1068,MATCH($A52,'Historical Data'!$BE$2:$BE$1068,0)),"")</f>
        <v/>
      </c>
      <c r="G52" s="106" t="str">
        <f aca="false">IFERROR(INDEX('Historical Data'!$Y$2:$Y$1068,MATCH($A52,'Historical Data'!$BE$2:$BE$1068,0)),"")</f>
        <v/>
      </c>
      <c r="H52" s="106" t="str">
        <f aca="false">IFERROR(INDEX('Historical Data'!$K$2:$K$1068,MATCH($A52,'Historical Data'!$BE$2:$BE$1068,0)),"")</f>
        <v/>
      </c>
      <c r="I52" s="106" t="str">
        <f aca="false">IFERROR(INDEX('Historical Data'!$J$2:$J$1068,MATCH($A52,'Historical Data'!$BE$2:$BE$1068,0)),"")</f>
        <v/>
      </c>
      <c r="J52" s="106" t="str">
        <f aca="false">IFERROR(INDEX('Historical Data'!$L$2:$L$1068,MATCH($A52,'Historical Data'!$BE$2:$BE$1068,0)),"")</f>
        <v/>
      </c>
      <c r="K52" s="108" t="str">
        <f aca="false">IFERROR(INDEX('Historical Data'!$M$2:$M$1068,MATCH($A52,'Historical Data'!$BE$2:$BE$1068,0)),"")</f>
        <v/>
      </c>
      <c r="L52" s="109" t="str">
        <f aca="false">IFERROR(INDEX('Historical Data'!$N$2:$N$1068,MATCH($A52,'Historical Data'!$BE$2:$BE$1068,0)),"")</f>
        <v/>
      </c>
      <c r="M52" s="109" t="str">
        <f aca="false">IFERROR(INDEX('Historical Data'!$Q$2:$Q$1068,MATCH($A52,'Historical Data'!$BE$2:$BE$1068,0)),"")</f>
        <v/>
      </c>
      <c r="N52" s="110" t="str">
        <f aca="false">IFERROR(INDEX('Historical Data'!$S$2:$S$1068,MATCH($A52,'Historical Data'!$BE$2:$BE$1068,0)),"")</f>
        <v/>
      </c>
      <c r="O52" s="109" t="str">
        <f aca="false">IFERROR(INDEX('Historical Data'!$AJ$2:$AJ$1068,MATCH($A52,'Historical Data'!$BE$2:$BE$1068,0)),"")</f>
        <v/>
      </c>
      <c r="P52" s="109" t="str">
        <f aca="false">IFERROR(INDEX('Historical Data'!$AK$2:$AK$1068,MATCH($A52,'Historical Data'!$BE$2:$BE$1068,0)),"")</f>
        <v/>
      </c>
      <c r="Q52" s="106" t="str">
        <f aca="false">IFERROR(INDEX('Historical Data'!$AA$2:$AA$1068,MATCH($A52,'Historical Data'!$BE$2:$BE$1068,0)),"")</f>
        <v/>
      </c>
      <c r="R52" s="106" t="str">
        <f aca="false">IFERROR(INDEX('Historical Data'!$AB$2:$AB$1068,MATCH($A52,'Historical Data'!$BE$2:$BE$1068,0)),"")</f>
        <v/>
      </c>
      <c r="S52" s="106" t="str">
        <f aca="false">IFERROR(INDEX('Historical Data'!$AN$2:$AN$1068,MATCH($A52,'Historical Data'!$BE$2:$BE$1068,0)),"")</f>
        <v/>
      </c>
      <c r="T52" s="106" t="str">
        <f aca="false">IFERROR(INDEX('Historical Data'!$AC$2:$AC$1068,MATCH($A52,'Historical Data'!$BE$2:$BE$1068,0)),"")</f>
        <v/>
      </c>
      <c r="U52" s="106" t="str">
        <f aca="false">IFERROR(INDEX('Historical Data'!$AE$2:$AE$1068,MATCH($A52,'Historical Data'!$BE$2:$BE$1068,0)),"")</f>
        <v/>
      </c>
      <c r="V52" s="106" t="str">
        <f aca="false">IFERROR(INDEX('Historical Data'!$AH$2:$AH$1068,MATCH($A52,'Historical Data'!$BE$2:$BE$1068,0)),"")</f>
        <v/>
      </c>
      <c r="W52" s="106" t="str">
        <f aca="false">IFERROR(INDEX('Historical Data'!$BC$2:$BC$1068,MATCH($A52,'Historical Data'!$BE$2:$BE$1068,0)),"")</f>
        <v/>
      </c>
      <c r="X52" s="105" t="str">
        <f aca="false">IF(B52="","",IF(W52=1,"NR + industry + position",IF(W52=2,"NR + ISO + position",IF(W52=3,"NR + industry",IF(W52=4,"NR + ISO",IF(W52=5,"NR + position",IF(W52=6,"NR only","book baseline"))))))&amp;"  ["&amp;IF(T52=1,"seasoned","unseasoned")&amp;IF(U52=1,", defaulted","")&amp;IF(V52=1,", open","")&amp;"]")</f>
        <v/>
      </c>
    </row>
    <row r="53" customFormat="false" ht="15" hidden="false" customHeight="false" outlineLevel="0" collapsed="false">
      <c r="A53" s="105" t="n">
        <v>49</v>
      </c>
      <c r="B53" s="106" t="str">
        <f aca="false">IFERROR(INDEX('Historical Data'!$A$2:$A$1068,MATCH($A53,'Historical Data'!$BE$2:$BE$1068,0)),"")</f>
        <v/>
      </c>
      <c r="C53" s="106" t="str">
        <f aca="false">IFERROR(INDEX('Historical Data'!$B$2:$B$1068,MATCH($A53,'Historical Data'!$BE$2:$BE$1068,0)),"")</f>
        <v/>
      </c>
      <c r="D53" s="106" t="str">
        <f aca="false">IFERROR(INDEX('Historical Data'!$D$2:$D$1068,MATCH($A53,'Historical Data'!$BE$2:$BE$1068,0)),"")</f>
        <v/>
      </c>
      <c r="E53" s="107" t="str">
        <f aca="false">IFERROR(INDEX('Historical Data'!$E$2:$E$1068,MATCH($A53,'Historical Data'!$BE$2:$BE$1068,0)),"")</f>
        <v/>
      </c>
      <c r="F53" s="106" t="str">
        <f aca="false">IFERROR(INDEX('Historical Data'!$G$2:$G$1068,MATCH($A53,'Historical Data'!$BE$2:$BE$1068,0)),"")</f>
        <v/>
      </c>
      <c r="G53" s="106" t="str">
        <f aca="false">IFERROR(INDEX('Historical Data'!$Y$2:$Y$1068,MATCH($A53,'Historical Data'!$BE$2:$BE$1068,0)),"")</f>
        <v/>
      </c>
      <c r="H53" s="106" t="str">
        <f aca="false">IFERROR(INDEX('Historical Data'!$K$2:$K$1068,MATCH($A53,'Historical Data'!$BE$2:$BE$1068,0)),"")</f>
        <v/>
      </c>
      <c r="I53" s="106" t="str">
        <f aca="false">IFERROR(INDEX('Historical Data'!$J$2:$J$1068,MATCH($A53,'Historical Data'!$BE$2:$BE$1068,0)),"")</f>
        <v/>
      </c>
      <c r="J53" s="106" t="str">
        <f aca="false">IFERROR(INDEX('Historical Data'!$L$2:$L$1068,MATCH($A53,'Historical Data'!$BE$2:$BE$1068,0)),"")</f>
        <v/>
      </c>
      <c r="K53" s="108" t="str">
        <f aca="false">IFERROR(INDEX('Historical Data'!$M$2:$M$1068,MATCH($A53,'Historical Data'!$BE$2:$BE$1068,0)),"")</f>
        <v/>
      </c>
      <c r="L53" s="109" t="str">
        <f aca="false">IFERROR(INDEX('Historical Data'!$N$2:$N$1068,MATCH($A53,'Historical Data'!$BE$2:$BE$1068,0)),"")</f>
        <v/>
      </c>
      <c r="M53" s="109" t="str">
        <f aca="false">IFERROR(INDEX('Historical Data'!$Q$2:$Q$1068,MATCH($A53,'Historical Data'!$BE$2:$BE$1068,0)),"")</f>
        <v/>
      </c>
      <c r="N53" s="110" t="str">
        <f aca="false">IFERROR(INDEX('Historical Data'!$S$2:$S$1068,MATCH($A53,'Historical Data'!$BE$2:$BE$1068,0)),"")</f>
        <v/>
      </c>
      <c r="O53" s="109" t="str">
        <f aca="false">IFERROR(INDEX('Historical Data'!$AJ$2:$AJ$1068,MATCH($A53,'Historical Data'!$BE$2:$BE$1068,0)),"")</f>
        <v/>
      </c>
      <c r="P53" s="109" t="str">
        <f aca="false">IFERROR(INDEX('Historical Data'!$AK$2:$AK$1068,MATCH($A53,'Historical Data'!$BE$2:$BE$1068,0)),"")</f>
        <v/>
      </c>
      <c r="Q53" s="106" t="str">
        <f aca="false">IFERROR(INDEX('Historical Data'!$AA$2:$AA$1068,MATCH($A53,'Historical Data'!$BE$2:$BE$1068,0)),"")</f>
        <v/>
      </c>
      <c r="R53" s="106" t="str">
        <f aca="false">IFERROR(INDEX('Historical Data'!$AB$2:$AB$1068,MATCH($A53,'Historical Data'!$BE$2:$BE$1068,0)),"")</f>
        <v/>
      </c>
      <c r="S53" s="106" t="str">
        <f aca="false">IFERROR(INDEX('Historical Data'!$AN$2:$AN$1068,MATCH($A53,'Historical Data'!$BE$2:$BE$1068,0)),"")</f>
        <v/>
      </c>
      <c r="T53" s="106" t="str">
        <f aca="false">IFERROR(INDEX('Historical Data'!$AC$2:$AC$1068,MATCH($A53,'Historical Data'!$BE$2:$BE$1068,0)),"")</f>
        <v/>
      </c>
      <c r="U53" s="106" t="str">
        <f aca="false">IFERROR(INDEX('Historical Data'!$AE$2:$AE$1068,MATCH($A53,'Historical Data'!$BE$2:$BE$1068,0)),"")</f>
        <v/>
      </c>
      <c r="V53" s="106" t="str">
        <f aca="false">IFERROR(INDEX('Historical Data'!$AH$2:$AH$1068,MATCH($A53,'Historical Data'!$BE$2:$BE$1068,0)),"")</f>
        <v/>
      </c>
      <c r="W53" s="106" t="str">
        <f aca="false">IFERROR(INDEX('Historical Data'!$BC$2:$BC$1068,MATCH($A53,'Historical Data'!$BE$2:$BE$1068,0)),"")</f>
        <v/>
      </c>
      <c r="X53" s="105" t="str">
        <f aca="false">IF(B53="","",IF(W53=1,"NR + industry + position",IF(W53=2,"NR + ISO + position",IF(W53=3,"NR + industry",IF(W53=4,"NR + ISO",IF(W53=5,"NR + position",IF(W53=6,"NR only","book baseline"))))))&amp;"  ["&amp;IF(T53=1,"seasoned","unseasoned")&amp;IF(U53=1,", defaulted","")&amp;IF(V53=1,", open","")&amp;"]")</f>
        <v/>
      </c>
    </row>
    <row r="54" customFormat="false" ht="15" hidden="false" customHeight="false" outlineLevel="0" collapsed="false">
      <c r="A54" s="105" t="n">
        <v>50</v>
      </c>
      <c r="B54" s="106" t="str">
        <f aca="false">IFERROR(INDEX('Historical Data'!$A$2:$A$1068,MATCH($A54,'Historical Data'!$BE$2:$BE$1068,0)),"")</f>
        <v/>
      </c>
      <c r="C54" s="106" t="str">
        <f aca="false">IFERROR(INDEX('Historical Data'!$B$2:$B$1068,MATCH($A54,'Historical Data'!$BE$2:$BE$1068,0)),"")</f>
        <v/>
      </c>
      <c r="D54" s="106" t="str">
        <f aca="false">IFERROR(INDEX('Historical Data'!$D$2:$D$1068,MATCH($A54,'Historical Data'!$BE$2:$BE$1068,0)),"")</f>
        <v/>
      </c>
      <c r="E54" s="107" t="str">
        <f aca="false">IFERROR(INDEX('Historical Data'!$E$2:$E$1068,MATCH($A54,'Historical Data'!$BE$2:$BE$1068,0)),"")</f>
        <v/>
      </c>
      <c r="F54" s="106" t="str">
        <f aca="false">IFERROR(INDEX('Historical Data'!$G$2:$G$1068,MATCH($A54,'Historical Data'!$BE$2:$BE$1068,0)),"")</f>
        <v/>
      </c>
      <c r="G54" s="106" t="str">
        <f aca="false">IFERROR(INDEX('Historical Data'!$Y$2:$Y$1068,MATCH($A54,'Historical Data'!$BE$2:$BE$1068,0)),"")</f>
        <v/>
      </c>
      <c r="H54" s="106" t="str">
        <f aca="false">IFERROR(INDEX('Historical Data'!$K$2:$K$1068,MATCH($A54,'Historical Data'!$BE$2:$BE$1068,0)),"")</f>
        <v/>
      </c>
      <c r="I54" s="106" t="str">
        <f aca="false">IFERROR(INDEX('Historical Data'!$J$2:$J$1068,MATCH($A54,'Historical Data'!$BE$2:$BE$1068,0)),"")</f>
        <v/>
      </c>
      <c r="J54" s="106" t="str">
        <f aca="false">IFERROR(INDEX('Historical Data'!$L$2:$L$1068,MATCH($A54,'Historical Data'!$BE$2:$BE$1068,0)),"")</f>
        <v/>
      </c>
      <c r="K54" s="108" t="str">
        <f aca="false">IFERROR(INDEX('Historical Data'!$M$2:$M$1068,MATCH($A54,'Historical Data'!$BE$2:$BE$1068,0)),"")</f>
        <v/>
      </c>
      <c r="L54" s="109" t="str">
        <f aca="false">IFERROR(INDEX('Historical Data'!$N$2:$N$1068,MATCH($A54,'Historical Data'!$BE$2:$BE$1068,0)),"")</f>
        <v/>
      </c>
      <c r="M54" s="109" t="str">
        <f aca="false">IFERROR(INDEX('Historical Data'!$Q$2:$Q$1068,MATCH($A54,'Historical Data'!$BE$2:$BE$1068,0)),"")</f>
        <v/>
      </c>
      <c r="N54" s="110" t="str">
        <f aca="false">IFERROR(INDEX('Historical Data'!$S$2:$S$1068,MATCH($A54,'Historical Data'!$BE$2:$BE$1068,0)),"")</f>
        <v/>
      </c>
      <c r="O54" s="109" t="str">
        <f aca="false">IFERROR(INDEX('Historical Data'!$AJ$2:$AJ$1068,MATCH($A54,'Historical Data'!$BE$2:$BE$1068,0)),"")</f>
        <v/>
      </c>
      <c r="P54" s="109" t="str">
        <f aca="false">IFERROR(INDEX('Historical Data'!$AK$2:$AK$1068,MATCH($A54,'Historical Data'!$BE$2:$BE$1068,0)),"")</f>
        <v/>
      </c>
      <c r="Q54" s="106" t="str">
        <f aca="false">IFERROR(INDEX('Historical Data'!$AA$2:$AA$1068,MATCH($A54,'Historical Data'!$BE$2:$BE$1068,0)),"")</f>
        <v/>
      </c>
      <c r="R54" s="106" t="str">
        <f aca="false">IFERROR(INDEX('Historical Data'!$AB$2:$AB$1068,MATCH($A54,'Historical Data'!$BE$2:$BE$1068,0)),"")</f>
        <v/>
      </c>
      <c r="S54" s="106" t="str">
        <f aca="false">IFERROR(INDEX('Historical Data'!$AN$2:$AN$1068,MATCH($A54,'Historical Data'!$BE$2:$BE$1068,0)),"")</f>
        <v/>
      </c>
      <c r="T54" s="106" t="str">
        <f aca="false">IFERROR(INDEX('Historical Data'!$AC$2:$AC$1068,MATCH($A54,'Historical Data'!$BE$2:$BE$1068,0)),"")</f>
        <v/>
      </c>
      <c r="U54" s="106" t="str">
        <f aca="false">IFERROR(INDEX('Historical Data'!$AE$2:$AE$1068,MATCH($A54,'Historical Data'!$BE$2:$BE$1068,0)),"")</f>
        <v/>
      </c>
      <c r="V54" s="106" t="str">
        <f aca="false">IFERROR(INDEX('Historical Data'!$AH$2:$AH$1068,MATCH($A54,'Historical Data'!$BE$2:$BE$1068,0)),"")</f>
        <v/>
      </c>
      <c r="W54" s="106" t="str">
        <f aca="false">IFERROR(INDEX('Historical Data'!$BC$2:$BC$1068,MATCH($A54,'Historical Data'!$BE$2:$BE$1068,0)),"")</f>
        <v/>
      </c>
      <c r="X54" s="105" t="str">
        <f aca="false">IF(B54="","",IF(W54=1,"NR + industry + position",IF(W54=2,"NR + ISO + position",IF(W54=3,"NR + industry",IF(W54=4,"NR + ISO",IF(W54=5,"NR + position",IF(W54=6,"NR only","book baseline"))))))&amp;"  ["&amp;IF(T54=1,"seasoned","unseasoned")&amp;IF(U54=1,", defaulted","")&amp;IF(V54=1,", open","")&amp;"]")</f>
        <v/>
      </c>
    </row>
    <row r="55" customFormat="false" ht="15" hidden="false" customHeight="false" outlineLevel="0" collapsed="false">
      <c r="A55" s="105" t="n">
        <v>51</v>
      </c>
      <c r="B55" s="106" t="str">
        <f aca="false">IFERROR(INDEX('Historical Data'!$A$2:$A$1068,MATCH($A55,'Historical Data'!$BE$2:$BE$1068,0)),"")</f>
        <v/>
      </c>
      <c r="C55" s="106" t="str">
        <f aca="false">IFERROR(INDEX('Historical Data'!$B$2:$B$1068,MATCH($A55,'Historical Data'!$BE$2:$BE$1068,0)),"")</f>
        <v/>
      </c>
      <c r="D55" s="106" t="str">
        <f aca="false">IFERROR(INDEX('Historical Data'!$D$2:$D$1068,MATCH($A55,'Historical Data'!$BE$2:$BE$1068,0)),"")</f>
        <v/>
      </c>
      <c r="E55" s="107" t="str">
        <f aca="false">IFERROR(INDEX('Historical Data'!$E$2:$E$1068,MATCH($A55,'Historical Data'!$BE$2:$BE$1068,0)),"")</f>
        <v/>
      </c>
      <c r="F55" s="106" t="str">
        <f aca="false">IFERROR(INDEX('Historical Data'!$G$2:$G$1068,MATCH($A55,'Historical Data'!$BE$2:$BE$1068,0)),"")</f>
        <v/>
      </c>
      <c r="G55" s="106" t="str">
        <f aca="false">IFERROR(INDEX('Historical Data'!$Y$2:$Y$1068,MATCH($A55,'Historical Data'!$BE$2:$BE$1068,0)),"")</f>
        <v/>
      </c>
      <c r="H55" s="106" t="str">
        <f aca="false">IFERROR(INDEX('Historical Data'!$K$2:$K$1068,MATCH($A55,'Historical Data'!$BE$2:$BE$1068,0)),"")</f>
        <v/>
      </c>
      <c r="I55" s="106" t="str">
        <f aca="false">IFERROR(INDEX('Historical Data'!$J$2:$J$1068,MATCH($A55,'Historical Data'!$BE$2:$BE$1068,0)),"")</f>
        <v/>
      </c>
      <c r="J55" s="106" t="str">
        <f aca="false">IFERROR(INDEX('Historical Data'!$L$2:$L$1068,MATCH($A55,'Historical Data'!$BE$2:$BE$1068,0)),"")</f>
        <v/>
      </c>
      <c r="K55" s="108" t="str">
        <f aca="false">IFERROR(INDEX('Historical Data'!$M$2:$M$1068,MATCH($A55,'Historical Data'!$BE$2:$BE$1068,0)),"")</f>
        <v/>
      </c>
      <c r="L55" s="109" t="str">
        <f aca="false">IFERROR(INDEX('Historical Data'!$N$2:$N$1068,MATCH($A55,'Historical Data'!$BE$2:$BE$1068,0)),"")</f>
        <v/>
      </c>
      <c r="M55" s="109" t="str">
        <f aca="false">IFERROR(INDEX('Historical Data'!$Q$2:$Q$1068,MATCH($A55,'Historical Data'!$BE$2:$BE$1068,0)),"")</f>
        <v/>
      </c>
      <c r="N55" s="110" t="str">
        <f aca="false">IFERROR(INDEX('Historical Data'!$S$2:$S$1068,MATCH($A55,'Historical Data'!$BE$2:$BE$1068,0)),"")</f>
        <v/>
      </c>
      <c r="O55" s="109" t="str">
        <f aca="false">IFERROR(INDEX('Historical Data'!$AJ$2:$AJ$1068,MATCH($A55,'Historical Data'!$BE$2:$BE$1068,0)),"")</f>
        <v/>
      </c>
      <c r="P55" s="109" t="str">
        <f aca="false">IFERROR(INDEX('Historical Data'!$AK$2:$AK$1068,MATCH($A55,'Historical Data'!$BE$2:$BE$1068,0)),"")</f>
        <v/>
      </c>
      <c r="Q55" s="106" t="str">
        <f aca="false">IFERROR(INDEX('Historical Data'!$AA$2:$AA$1068,MATCH($A55,'Historical Data'!$BE$2:$BE$1068,0)),"")</f>
        <v/>
      </c>
      <c r="R55" s="106" t="str">
        <f aca="false">IFERROR(INDEX('Historical Data'!$AB$2:$AB$1068,MATCH($A55,'Historical Data'!$BE$2:$BE$1068,0)),"")</f>
        <v/>
      </c>
      <c r="S55" s="106" t="str">
        <f aca="false">IFERROR(INDEX('Historical Data'!$AN$2:$AN$1068,MATCH($A55,'Historical Data'!$BE$2:$BE$1068,0)),"")</f>
        <v/>
      </c>
      <c r="T55" s="106" t="str">
        <f aca="false">IFERROR(INDEX('Historical Data'!$AC$2:$AC$1068,MATCH($A55,'Historical Data'!$BE$2:$BE$1068,0)),"")</f>
        <v/>
      </c>
      <c r="U55" s="106" t="str">
        <f aca="false">IFERROR(INDEX('Historical Data'!$AE$2:$AE$1068,MATCH($A55,'Historical Data'!$BE$2:$BE$1068,0)),"")</f>
        <v/>
      </c>
      <c r="V55" s="106" t="str">
        <f aca="false">IFERROR(INDEX('Historical Data'!$AH$2:$AH$1068,MATCH($A55,'Historical Data'!$BE$2:$BE$1068,0)),"")</f>
        <v/>
      </c>
      <c r="W55" s="106" t="str">
        <f aca="false">IFERROR(INDEX('Historical Data'!$BC$2:$BC$1068,MATCH($A55,'Historical Data'!$BE$2:$BE$1068,0)),"")</f>
        <v/>
      </c>
      <c r="X55" s="105" t="str">
        <f aca="false">IF(B55="","",IF(W55=1,"NR + industry + position",IF(W55=2,"NR + ISO + position",IF(W55=3,"NR + industry",IF(W55=4,"NR + ISO",IF(W55=5,"NR + position",IF(W55=6,"NR only","book baseline"))))))&amp;"  ["&amp;IF(T55=1,"seasoned","unseasoned")&amp;IF(U55=1,", defaulted","")&amp;IF(V55=1,", open","")&amp;"]")</f>
        <v/>
      </c>
    </row>
    <row r="56" customFormat="false" ht="15" hidden="false" customHeight="false" outlineLevel="0" collapsed="false">
      <c r="A56" s="105" t="n">
        <v>52</v>
      </c>
      <c r="B56" s="106" t="str">
        <f aca="false">IFERROR(INDEX('Historical Data'!$A$2:$A$1068,MATCH($A56,'Historical Data'!$BE$2:$BE$1068,0)),"")</f>
        <v/>
      </c>
      <c r="C56" s="106" t="str">
        <f aca="false">IFERROR(INDEX('Historical Data'!$B$2:$B$1068,MATCH($A56,'Historical Data'!$BE$2:$BE$1068,0)),"")</f>
        <v/>
      </c>
      <c r="D56" s="106" t="str">
        <f aca="false">IFERROR(INDEX('Historical Data'!$D$2:$D$1068,MATCH($A56,'Historical Data'!$BE$2:$BE$1068,0)),"")</f>
        <v/>
      </c>
      <c r="E56" s="107" t="str">
        <f aca="false">IFERROR(INDEX('Historical Data'!$E$2:$E$1068,MATCH($A56,'Historical Data'!$BE$2:$BE$1068,0)),"")</f>
        <v/>
      </c>
      <c r="F56" s="106" t="str">
        <f aca="false">IFERROR(INDEX('Historical Data'!$G$2:$G$1068,MATCH($A56,'Historical Data'!$BE$2:$BE$1068,0)),"")</f>
        <v/>
      </c>
      <c r="G56" s="106" t="str">
        <f aca="false">IFERROR(INDEX('Historical Data'!$Y$2:$Y$1068,MATCH($A56,'Historical Data'!$BE$2:$BE$1068,0)),"")</f>
        <v/>
      </c>
      <c r="H56" s="106" t="str">
        <f aca="false">IFERROR(INDEX('Historical Data'!$K$2:$K$1068,MATCH($A56,'Historical Data'!$BE$2:$BE$1068,0)),"")</f>
        <v/>
      </c>
      <c r="I56" s="106" t="str">
        <f aca="false">IFERROR(INDEX('Historical Data'!$J$2:$J$1068,MATCH($A56,'Historical Data'!$BE$2:$BE$1068,0)),"")</f>
        <v/>
      </c>
      <c r="J56" s="106" t="str">
        <f aca="false">IFERROR(INDEX('Historical Data'!$L$2:$L$1068,MATCH($A56,'Historical Data'!$BE$2:$BE$1068,0)),"")</f>
        <v/>
      </c>
      <c r="K56" s="108" t="str">
        <f aca="false">IFERROR(INDEX('Historical Data'!$M$2:$M$1068,MATCH($A56,'Historical Data'!$BE$2:$BE$1068,0)),"")</f>
        <v/>
      </c>
      <c r="L56" s="109" t="str">
        <f aca="false">IFERROR(INDEX('Historical Data'!$N$2:$N$1068,MATCH($A56,'Historical Data'!$BE$2:$BE$1068,0)),"")</f>
        <v/>
      </c>
      <c r="M56" s="109" t="str">
        <f aca="false">IFERROR(INDEX('Historical Data'!$Q$2:$Q$1068,MATCH($A56,'Historical Data'!$BE$2:$BE$1068,0)),"")</f>
        <v/>
      </c>
      <c r="N56" s="110" t="str">
        <f aca="false">IFERROR(INDEX('Historical Data'!$S$2:$S$1068,MATCH($A56,'Historical Data'!$BE$2:$BE$1068,0)),"")</f>
        <v/>
      </c>
      <c r="O56" s="109" t="str">
        <f aca="false">IFERROR(INDEX('Historical Data'!$AJ$2:$AJ$1068,MATCH($A56,'Historical Data'!$BE$2:$BE$1068,0)),"")</f>
        <v/>
      </c>
      <c r="P56" s="109" t="str">
        <f aca="false">IFERROR(INDEX('Historical Data'!$AK$2:$AK$1068,MATCH($A56,'Historical Data'!$BE$2:$BE$1068,0)),"")</f>
        <v/>
      </c>
      <c r="Q56" s="106" t="str">
        <f aca="false">IFERROR(INDEX('Historical Data'!$AA$2:$AA$1068,MATCH($A56,'Historical Data'!$BE$2:$BE$1068,0)),"")</f>
        <v/>
      </c>
      <c r="R56" s="106" t="str">
        <f aca="false">IFERROR(INDEX('Historical Data'!$AB$2:$AB$1068,MATCH($A56,'Historical Data'!$BE$2:$BE$1068,0)),"")</f>
        <v/>
      </c>
      <c r="S56" s="106" t="str">
        <f aca="false">IFERROR(INDEX('Historical Data'!$AN$2:$AN$1068,MATCH($A56,'Historical Data'!$BE$2:$BE$1068,0)),"")</f>
        <v/>
      </c>
      <c r="T56" s="106" t="str">
        <f aca="false">IFERROR(INDEX('Historical Data'!$AC$2:$AC$1068,MATCH($A56,'Historical Data'!$BE$2:$BE$1068,0)),"")</f>
        <v/>
      </c>
      <c r="U56" s="106" t="str">
        <f aca="false">IFERROR(INDEX('Historical Data'!$AE$2:$AE$1068,MATCH($A56,'Historical Data'!$BE$2:$BE$1068,0)),"")</f>
        <v/>
      </c>
      <c r="V56" s="106" t="str">
        <f aca="false">IFERROR(INDEX('Historical Data'!$AH$2:$AH$1068,MATCH($A56,'Historical Data'!$BE$2:$BE$1068,0)),"")</f>
        <v/>
      </c>
      <c r="W56" s="106" t="str">
        <f aca="false">IFERROR(INDEX('Historical Data'!$BC$2:$BC$1068,MATCH($A56,'Historical Data'!$BE$2:$BE$1068,0)),"")</f>
        <v/>
      </c>
      <c r="X56" s="105" t="str">
        <f aca="false">IF(B56="","",IF(W56=1,"NR + industry + position",IF(W56=2,"NR + ISO + position",IF(W56=3,"NR + industry",IF(W56=4,"NR + ISO",IF(W56=5,"NR + position",IF(W56=6,"NR only","book baseline"))))))&amp;"  ["&amp;IF(T56=1,"seasoned","unseasoned")&amp;IF(U56=1,", defaulted","")&amp;IF(V56=1,", open","")&amp;"]")</f>
        <v/>
      </c>
    </row>
    <row r="57" customFormat="false" ht="15" hidden="false" customHeight="false" outlineLevel="0" collapsed="false">
      <c r="A57" s="105" t="n">
        <v>53</v>
      </c>
      <c r="B57" s="106" t="str">
        <f aca="false">IFERROR(INDEX('Historical Data'!$A$2:$A$1068,MATCH($A57,'Historical Data'!$BE$2:$BE$1068,0)),"")</f>
        <v/>
      </c>
      <c r="C57" s="106" t="str">
        <f aca="false">IFERROR(INDEX('Historical Data'!$B$2:$B$1068,MATCH($A57,'Historical Data'!$BE$2:$BE$1068,0)),"")</f>
        <v/>
      </c>
      <c r="D57" s="106" t="str">
        <f aca="false">IFERROR(INDEX('Historical Data'!$D$2:$D$1068,MATCH($A57,'Historical Data'!$BE$2:$BE$1068,0)),"")</f>
        <v/>
      </c>
      <c r="E57" s="107" t="str">
        <f aca="false">IFERROR(INDEX('Historical Data'!$E$2:$E$1068,MATCH($A57,'Historical Data'!$BE$2:$BE$1068,0)),"")</f>
        <v/>
      </c>
      <c r="F57" s="106" t="str">
        <f aca="false">IFERROR(INDEX('Historical Data'!$G$2:$G$1068,MATCH($A57,'Historical Data'!$BE$2:$BE$1068,0)),"")</f>
        <v/>
      </c>
      <c r="G57" s="106" t="str">
        <f aca="false">IFERROR(INDEX('Historical Data'!$Y$2:$Y$1068,MATCH($A57,'Historical Data'!$BE$2:$BE$1068,0)),"")</f>
        <v/>
      </c>
      <c r="H57" s="106" t="str">
        <f aca="false">IFERROR(INDEX('Historical Data'!$K$2:$K$1068,MATCH($A57,'Historical Data'!$BE$2:$BE$1068,0)),"")</f>
        <v/>
      </c>
      <c r="I57" s="106" t="str">
        <f aca="false">IFERROR(INDEX('Historical Data'!$J$2:$J$1068,MATCH($A57,'Historical Data'!$BE$2:$BE$1068,0)),"")</f>
        <v/>
      </c>
      <c r="J57" s="106" t="str">
        <f aca="false">IFERROR(INDEX('Historical Data'!$L$2:$L$1068,MATCH($A57,'Historical Data'!$BE$2:$BE$1068,0)),"")</f>
        <v/>
      </c>
      <c r="K57" s="108" t="str">
        <f aca="false">IFERROR(INDEX('Historical Data'!$M$2:$M$1068,MATCH($A57,'Historical Data'!$BE$2:$BE$1068,0)),"")</f>
        <v/>
      </c>
      <c r="L57" s="109" t="str">
        <f aca="false">IFERROR(INDEX('Historical Data'!$N$2:$N$1068,MATCH($A57,'Historical Data'!$BE$2:$BE$1068,0)),"")</f>
        <v/>
      </c>
      <c r="M57" s="109" t="str">
        <f aca="false">IFERROR(INDEX('Historical Data'!$Q$2:$Q$1068,MATCH($A57,'Historical Data'!$BE$2:$BE$1068,0)),"")</f>
        <v/>
      </c>
      <c r="N57" s="110" t="str">
        <f aca="false">IFERROR(INDEX('Historical Data'!$S$2:$S$1068,MATCH($A57,'Historical Data'!$BE$2:$BE$1068,0)),"")</f>
        <v/>
      </c>
      <c r="O57" s="109" t="str">
        <f aca="false">IFERROR(INDEX('Historical Data'!$AJ$2:$AJ$1068,MATCH($A57,'Historical Data'!$BE$2:$BE$1068,0)),"")</f>
        <v/>
      </c>
      <c r="P57" s="109" t="str">
        <f aca="false">IFERROR(INDEX('Historical Data'!$AK$2:$AK$1068,MATCH($A57,'Historical Data'!$BE$2:$BE$1068,0)),"")</f>
        <v/>
      </c>
      <c r="Q57" s="106" t="str">
        <f aca="false">IFERROR(INDEX('Historical Data'!$AA$2:$AA$1068,MATCH($A57,'Historical Data'!$BE$2:$BE$1068,0)),"")</f>
        <v/>
      </c>
      <c r="R57" s="106" t="str">
        <f aca="false">IFERROR(INDEX('Historical Data'!$AB$2:$AB$1068,MATCH($A57,'Historical Data'!$BE$2:$BE$1068,0)),"")</f>
        <v/>
      </c>
      <c r="S57" s="106" t="str">
        <f aca="false">IFERROR(INDEX('Historical Data'!$AN$2:$AN$1068,MATCH($A57,'Historical Data'!$BE$2:$BE$1068,0)),"")</f>
        <v/>
      </c>
      <c r="T57" s="106" t="str">
        <f aca="false">IFERROR(INDEX('Historical Data'!$AC$2:$AC$1068,MATCH($A57,'Historical Data'!$BE$2:$BE$1068,0)),"")</f>
        <v/>
      </c>
      <c r="U57" s="106" t="str">
        <f aca="false">IFERROR(INDEX('Historical Data'!$AE$2:$AE$1068,MATCH($A57,'Historical Data'!$BE$2:$BE$1068,0)),"")</f>
        <v/>
      </c>
      <c r="V57" s="106" t="str">
        <f aca="false">IFERROR(INDEX('Historical Data'!$AH$2:$AH$1068,MATCH($A57,'Historical Data'!$BE$2:$BE$1068,0)),"")</f>
        <v/>
      </c>
      <c r="W57" s="106" t="str">
        <f aca="false">IFERROR(INDEX('Historical Data'!$BC$2:$BC$1068,MATCH($A57,'Historical Data'!$BE$2:$BE$1068,0)),"")</f>
        <v/>
      </c>
      <c r="X57" s="105" t="str">
        <f aca="false">IF(B57="","",IF(W57=1,"NR + industry + position",IF(W57=2,"NR + ISO + position",IF(W57=3,"NR + industry",IF(W57=4,"NR + ISO",IF(W57=5,"NR + position",IF(W57=6,"NR only","book baseline"))))))&amp;"  ["&amp;IF(T57=1,"seasoned","unseasoned")&amp;IF(U57=1,", defaulted","")&amp;IF(V57=1,", open","")&amp;"]")</f>
        <v/>
      </c>
    </row>
    <row r="58" customFormat="false" ht="15" hidden="false" customHeight="false" outlineLevel="0" collapsed="false">
      <c r="A58" s="105" t="n">
        <v>54</v>
      </c>
      <c r="B58" s="106" t="str">
        <f aca="false">IFERROR(INDEX('Historical Data'!$A$2:$A$1068,MATCH($A58,'Historical Data'!$BE$2:$BE$1068,0)),"")</f>
        <v/>
      </c>
      <c r="C58" s="106" t="str">
        <f aca="false">IFERROR(INDEX('Historical Data'!$B$2:$B$1068,MATCH($A58,'Historical Data'!$BE$2:$BE$1068,0)),"")</f>
        <v/>
      </c>
      <c r="D58" s="106" t="str">
        <f aca="false">IFERROR(INDEX('Historical Data'!$D$2:$D$1068,MATCH($A58,'Historical Data'!$BE$2:$BE$1068,0)),"")</f>
        <v/>
      </c>
      <c r="E58" s="107" t="str">
        <f aca="false">IFERROR(INDEX('Historical Data'!$E$2:$E$1068,MATCH($A58,'Historical Data'!$BE$2:$BE$1068,0)),"")</f>
        <v/>
      </c>
      <c r="F58" s="106" t="str">
        <f aca="false">IFERROR(INDEX('Historical Data'!$G$2:$G$1068,MATCH($A58,'Historical Data'!$BE$2:$BE$1068,0)),"")</f>
        <v/>
      </c>
      <c r="G58" s="106" t="str">
        <f aca="false">IFERROR(INDEX('Historical Data'!$Y$2:$Y$1068,MATCH($A58,'Historical Data'!$BE$2:$BE$1068,0)),"")</f>
        <v/>
      </c>
      <c r="H58" s="106" t="str">
        <f aca="false">IFERROR(INDEX('Historical Data'!$K$2:$K$1068,MATCH($A58,'Historical Data'!$BE$2:$BE$1068,0)),"")</f>
        <v/>
      </c>
      <c r="I58" s="106" t="str">
        <f aca="false">IFERROR(INDEX('Historical Data'!$J$2:$J$1068,MATCH($A58,'Historical Data'!$BE$2:$BE$1068,0)),"")</f>
        <v/>
      </c>
      <c r="J58" s="106" t="str">
        <f aca="false">IFERROR(INDEX('Historical Data'!$L$2:$L$1068,MATCH($A58,'Historical Data'!$BE$2:$BE$1068,0)),"")</f>
        <v/>
      </c>
      <c r="K58" s="108" t="str">
        <f aca="false">IFERROR(INDEX('Historical Data'!$M$2:$M$1068,MATCH($A58,'Historical Data'!$BE$2:$BE$1068,0)),"")</f>
        <v/>
      </c>
      <c r="L58" s="109" t="str">
        <f aca="false">IFERROR(INDEX('Historical Data'!$N$2:$N$1068,MATCH($A58,'Historical Data'!$BE$2:$BE$1068,0)),"")</f>
        <v/>
      </c>
      <c r="M58" s="109" t="str">
        <f aca="false">IFERROR(INDEX('Historical Data'!$Q$2:$Q$1068,MATCH($A58,'Historical Data'!$BE$2:$BE$1068,0)),"")</f>
        <v/>
      </c>
      <c r="N58" s="110" t="str">
        <f aca="false">IFERROR(INDEX('Historical Data'!$S$2:$S$1068,MATCH($A58,'Historical Data'!$BE$2:$BE$1068,0)),"")</f>
        <v/>
      </c>
      <c r="O58" s="109" t="str">
        <f aca="false">IFERROR(INDEX('Historical Data'!$AJ$2:$AJ$1068,MATCH($A58,'Historical Data'!$BE$2:$BE$1068,0)),"")</f>
        <v/>
      </c>
      <c r="P58" s="109" t="str">
        <f aca="false">IFERROR(INDEX('Historical Data'!$AK$2:$AK$1068,MATCH($A58,'Historical Data'!$BE$2:$BE$1068,0)),"")</f>
        <v/>
      </c>
      <c r="Q58" s="106" t="str">
        <f aca="false">IFERROR(INDEX('Historical Data'!$AA$2:$AA$1068,MATCH($A58,'Historical Data'!$BE$2:$BE$1068,0)),"")</f>
        <v/>
      </c>
      <c r="R58" s="106" t="str">
        <f aca="false">IFERROR(INDEX('Historical Data'!$AB$2:$AB$1068,MATCH($A58,'Historical Data'!$BE$2:$BE$1068,0)),"")</f>
        <v/>
      </c>
      <c r="S58" s="106" t="str">
        <f aca="false">IFERROR(INDEX('Historical Data'!$AN$2:$AN$1068,MATCH($A58,'Historical Data'!$BE$2:$BE$1068,0)),"")</f>
        <v/>
      </c>
      <c r="T58" s="106" t="str">
        <f aca="false">IFERROR(INDEX('Historical Data'!$AC$2:$AC$1068,MATCH($A58,'Historical Data'!$BE$2:$BE$1068,0)),"")</f>
        <v/>
      </c>
      <c r="U58" s="106" t="str">
        <f aca="false">IFERROR(INDEX('Historical Data'!$AE$2:$AE$1068,MATCH($A58,'Historical Data'!$BE$2:$BE$1068,0)),"")</f>
        <v/>
      </c>
      <c r="V58" s="106" t="str">
        <f aca="false">IFERROR(INDEX('Historical Data'!$AH$2:$AH$1068,MATCH($A58,'Historical Data'!$BE$2:$BE$1068,0)),"")</f>
        <v/>
      </c>
      <c r="W58" s="106" t="str">
        <f aca="false">IFERROR(INDEX('Historical Data'!$BC$2:$BC$1068,MATCH($A58,'Historical Data'!$BE$2:$BE$1068,0)),"")</f>
        <v/>
      </c>
      <c r="X58" s="105" t="str">
        <f aca="false">IF(B58="","",IF(W58=1,"NR + industry + position",IF(W58=2,"NR + ISO + position",IF(W58=3,"NR + industry",IF(W58=4,"NR + ISO",IF(W58=5,"NR + position",IF(W58=6,"NR only","book baseline"))))))&amp;"  ["&amp;IF(T58=1,"seasoned","unseasoned")&amp;IF(U58=1,", defaulted","")&amp;IF(V58=1,", open","")&amp;"]")</f>
        <v/>
      </c>
    </row>
    <row r="59" customFormat="false" ht="15" hidden="false" customHeight="false" outlineLevel="0" collapsed="false">
      <c r="A59" s="105" t="n">
        <v>55</v>
      </c>
      <c r="B59" s="106" t="str">
        <f aca="false">IFERROR(INDEX('Historical Data'!$A$2:$A$1068,MATCH($A59,'Historical Data'!$BE$2:$BE$1068,0)),"")</f>
        <v/>
      </c>
      <c r="C59" s="106" t="str">
        <f aca="false">IFERROR(INDEX('Historical Data'!$B$2:$B$1068,MATCH($A59,'Historical Data'!$BE$2:$BE$1068,0)),"")</f>
        <v/>
      </c>
      <c r="D59" s="106" t="str">
        <f aca="false">IFERROR(INDEX('Historical Data'!$D$2:$D$1068,MATCH($A59,'Historical Data'!$BE$2:$BE$1068,0)),"")</f>
        <v/>
      </c>
      <c r="E59" s="107" t="str">
        <f aca="false">IFERROR(INDEX('Historical Data'!$E$2:$E$1068,MATCH($A59,'Historical Data'!$BE$2:$BE$1068,0)),"")</f>
        <v/>
      </c>
      <c r="F59" s="106" t="str">
        <f aca="false">IFERROR(INDEX('Historical Data'!$G$2:$G$1068,MATCH($A59,'Historical Data'!$BE$2:$BE$1068,0)),"")</f>
        <v/>
      </c>
      <c r="G59" s="106" t="str">
        <f aca="false">IFERROR(INDEX('Historical Data'!$Y$2:$Y$1068,MATCH($A59,'Historical Data'!$BE$2:$BE$1068,0)),"")</f>
        <v/>
      </c>
      <c r="H59" s="106" t="str">
        <f aca="false">IFERROR(INDEX('Historical Data'!$K$2:$K$1068,MATCH($A59,'Historical Data'!$BE$2:$BE$1068,0)),"")</f>
        <v/>
      </c>
      <c r="I59" s="106" t="str">
        <f aca="false">IFERROR(INDEX('Historical Data'!$J$2:$J$1068,MATCH($A59,'Historical Data'!$BE$2:$BE$1068,0)),"")</f>
        <v/>
      </c>
      <c r="J59" s="106" t="str">
        <f aca="false">IFERROR(INDEX('Historical Data'!$L$2:$L$1068,MATCH($A59,'Historical Data'!$BE$2:$BE$1068,0)),"")</f>
        <v/>
      </c>
      <c r="K59" s="108" t="str">
        <f aca="false">IFERROR(INDEX('Historical Data'!$M$2:$M$1068,MATCH($A59,'Historical Data'!$BE$2:$BE$1068,0)),"")</f>
        <v/>
      </c>
      <c r="L59" s="109" t="str">
        <f aca="false">IFERROR(INDEX('Historical Data'!$N$2:$N$1068,MATCH($A59,'Historical Data'!$BE$2:$BE$1068,0)),"")</f>
        <v/>
      </c>
      <c r="M59" s="109" t="str">
        <f aca="false">IFERROR(INDEX('Historical Data'!$Q$2:$Q$1068,MATCH($A59,'Historical Data'!$BE$2:$BE$1068,0)),"")</f>
        <v/>
      </c>
      <c r="N59" s="110" t="str">
        <f aca="false">IFERROR(INDEX('Historical Data'!$S$2:$S$1068,MATCH($A59,'Historical Data'!$BE$2:$BE$1068,0)),"")</f>
        <v/>
      </c>
      <c r="O59" s="109" t="str">
        <f aca="false">IFERROR(INDEX('Historical Data'!$AJ$2:$AJ$1068,MATCH($A59,'Historical Data'!$BE$2:$BE$1068,0)),"")</f>
        <v/>
      </c>
      <c r="P59" s="109" t="str">
        <f aca="false">IFERROR(INDEX('Historical Data'!$AK$2:$AK$1068,MATCH($A59,'Historical Data'!$BE$2:$BE$1068,0)),"")</f>
        <v/>
      </c>
      <c r="Q59" s="106" t="str">
        <f aca="false">IFERROR(INDEX('Historical Data'!$AA$2:$AA$1068,MATCH($A59,'Historical Data'!$BE$2:$BE$1068,0)),"")</f>
        <v/>
      </c>
      <c r="R59" s="106" t="str">
        <f aca="false">IFERROR(INDEX('Historical Data'!$AB$2:$AB$1068,MATCH($A59,'Historical Data'!$BE$2:$BE$1068,0)),"")</f>
        <v/>
      </c>
      <c r="S59" s="106" t="str">
        <f aca="false">IFERROR(INDEX('Historical Data'!$AN$2:$AN$1068,MATCH($A59,'Historical Data'!$BE$2:$BE$1068,0)),"")</f>
        <v/>
      </c>
      <c r="T59" s="106" t="str">
        <f aca="false">IFERROR(INDEX('Historical Data'!$AC$2:$AC$1068,MATCH($A59,'Historical Data'!$BE$2:$BE$1068,0)),"")</f>
        <v/>
      </c>
      <c r="U59" s="106" t="str">
        <f aca="false">IFERROR(INDEX('Historical Data'!$AE$2:$AE$1068,MATCH($A59,'Historical Data'!$BE$2:$BE$1068,0)),"")</f>
        <v/>
      </c>
      <c r="V59" s="106" t="str">
        <f aca="false">IFERROR(INDEX('Historical Data'!$AH$2:$AH$1068,MATCH($A59,'Historical Data'!$BE$2:$BE$1068,0)),"")</f>
        <v/>
      </c>
      <c r="W59" s="106" t="str">
        <f aca="false">IFERROR(INDEX('Historical Data'!$BC$2:$BC$1068,MATCH($A59,'Historical Data'!$BE$2:$BE$1068,0)),"")</f>
        <v/>
      </c>
      <c r="X59" s="105" t="str">
        <f aca="false">IF(B59="","",IF(W59=1,"NR + industry + position",IF(W59=2,"NR + ISO + position",IF(W59=3,"NR + industry",IF(W59=4,"NR + ISO",IF(W59=5,"NR + position",IF(W59=6,"NR only","book baseline"))))))&amp;"  ["&amp;IF(T59=1,"seasoned","unseasoned")&amp;IF(U59=1,", defaulted","")&amp;IF(V59=1,", open","")&amp;"]")</f>
        <v/>
      </c>
    </row>
    <row r="60" customFormat="false" ht="15" hidden="false" customHeight="false" outlineLevel="0" collapsed="false">
      <c r="A60" s="105" t="n">
        <v>56</v>
      </c>
      <c r="B60" s="106" t="str">
        <f aca="false">IFERROR(INDEX('Historical Data'!$A$2:$A$1068,MATCH($A60,'Historical Data'!$BE$2:$BE$1068,0)),"")</f>
        <v/>
      </c>
      <c r="C60" s="106" t="str">
        <f aca="false">IFERROR(INDEX('Historical Data'!$B$2:$B$1068,MATCH($A60,'Historical Data'!$BE$2:$BE$1068,0)),"")</f>
        <v/>
      </c>
      <c r="D60" s="106" t="str">
        <f aca="false">IFERROR(INDEX('Historical Data'!$D$2:$D$1068,MATCH($A60,'Historical Data'!$BE$2:$BE$1068,0)),"")</f>
        <v/>
      </c>
      <c r="E60" s="107" t="str">
        <f aca="false">IFERROR(INDEX('Historical Data'!$E$2:$E$1068,MATCH($A60,'Historical Data'!$BE$2:$BE$1068,0)),"")</f>
        <v/>
      </c>
      <c r="F60" s="106" t="str">
        <f aca="false">IFERROR(INDEX('Historical Data'!$G$2:$G$1068,MATCH($A60,'Historical Data'!$BE$2:$BE$1068,0)),"")</f>
        <v/>
      </c>
      <c r="G60" s="106" t="str">
        <f aca="false">IFERROR(INDEX('Historical Data'!$Y$2:$Y$1068,MATCH($A60,'Historical Data'!$BE$2:$BE$1068,0)),"")</f>
        <v/>
      </c>
      <c r="H60" s="106" t="str">
        <f aca="false">IFERROR(INDEX('Historical Data'!$K$2:$K$1068,MATCH($A60,'Historical Data'!$BE$2:$BE$1068,0)),"")</f>
        <v/>
      </c>
      <c r="I60" s="106" t="str">
        <f aca="false">IFERROR(INDEX('Historical Data'!$J$2:$J$1068,MATCH($A60,'Historical Data'!$BE$2:$BE$1068,0)),"")</f>
        <v/>
      </c>
      <c r="J60" s="106" t="str">
        <f aca="false">IFERROR(INDEX('Historical Data'!$L$2:$L$1068,MATCH($A60,'Historical Data'!$BE$2:$BE$1068,0)),"")</f>
        <v/>
      </c>
      <c r="K60" s="108" t="str">
        <f aca="false">IFERROR(INDEX('Historical Data'!$M$2:$M$1068,MATCH($A60,'Historical Data'!$BE$2:$BE$1068,0)),"")</f>
        <v/>
      </c>
      <c r="L60" s="109" t="str">
        <f aca="false">IFERROR(INDEX('Historical Data'!$N$2:$N$1068,MATCH($A60,'Historical Data'!$BE$2:$BE$1068,0)),"")</f>
        <v/>
      </c>
      <c r="M60" s="109" t="str">
        <f aca="false">IFERROR(INDEX('Historical Data'!$Q$2:$Q$1068,MATCH($A60,'Historical Data'!$BE$2:$BE$1068,0)),"")</f>
        <v/>
      </c>
      <c r="N60" s="110" t="str">
        <f aca="false">IFERROR(INDEX('Historical Data'!$S$2:$S$1068,MATCH($A60,'Historical Data'!$BE$2:$BE$1068,0)),"")</f>
        <v/>
      </c>
      <c r="O60" s="109" t="str">
        <f aca="false">IFERROR(INDEX('Historical Data'!$AJ$2:$AJ$1068,MATCH($A60,'Historical Data'!$BE$2:$BE$1068,0)),"")</f>
        <v/>
      </c>
      <c r="P60" s="109" t="str">
        <f aca="false">IFERROR(INDEX('Historical Data'!$AK$2:$AK$1068,MATCH($A60,'Historical Data'!$BE$2:$BE$1068,0)),"")</f>
        <v/>
      </c>
      <c r="Q60" s="106" t="str">
        <f aca="false">IFERROR(INDEX('Historical Data'!$AA$2:$AA$1068,MATCH($A60,'Historical Data'!$BE$2:$BE$1068,0)),"")</f>
        <v/>
      </c>
      <c r="R60" s="106" t="str">
        <f aca="false">IFERROR(INDEX('Historical Data'!$AB$2:$AB$1068,MATCH($A60,'Historical Data'!$BE$2:$BE$1068,0)),"")</f>
        <v/>
      </c>
      <c r="S60" s="106" t="str">
        <f aca="false">IFERROR(INDEX('Historical Data'!$AN$2:$AN$1068,MATCH($A60,'Historical Data'!$BE$2:$BE$1068,0)),"")</f>
        <v/>
      </c>
      <c r="T60" s="106" t="str">
        <f aca="false">IFERROR(INDEX('Historical Data'!$AC$2:$AC$1068,MATCH($A60,'Historical Data'!$BE$2:$BE$1068,0)),"")</f>
        <v/>
      </c>
      <c r="U60" s="106" t="str">
        <f aca="false">IFERROR(INDEX('Historical Data'!$AE$2:$AE$1068,MATCH($A60,'Historical Data'!$BE$2:$BE$1068,0)),"")</f>
        <v/>
      </c>
      <c r="V60" s="106" t="str">
        <f aca="false">IFERROR(INDEX('Historical Data'!$AH$2:$AH$1068,MATCH($A60,'Historical Data'!$BE$2:$BE$1068,0)),"")</f>
        <v/>
      </c>
      <c r="W60" s="106" t="str">
        <f aca="false">IFERROR(INDEX('Historical Data'!$BC$2:$BC$1068,MATCH($A60,'Historical Data'!$BE$2:$BE$1068,0)),"")</f>
        <v/>
      </c>
      <c r="X60" s="105" t="str">
        <f aca="false">IF(B60="","",IF(W60=1,"NR + industry + position",IF(W60=2,"NR + ISO + position",IF(W60=3,"NR + industry",IF(W60=4,"NR + ISO",IF(W60=5,"NR + position",IF(W60=6,"NR only","book baseline"))))))&amp;"  ["&amp;IF(T60=1,"seasoned","unseasoned")&amp;IF(U60=1,", defaulted","")&amp;IF(V60=1,", open","")&amp;"]")</f>
        <v/>
      </c>
    </row>
    <row r="61" customFormat="false" ht="15" hidden="false" customHeight="false" outlineLevel="0" collapsed="false">
      <c r="A61" s="105" t="n">
        <v>57</v>
      </c>
      <c r="B61" s="106" t="str">
        <f aca="false">IFERROR(INDEX('Historical Data'!$A$2:$A$1068,MATCH($A61,'Historical Data'!$BE$2:$BE$1068,0)),"")</f>
        <v/>
      </c>
      <c r="C61" s="106" t="str">
        <f aca="false">IFERROR(INDEX('Historical Data'!$B$2:$B$1068,MATCH($A61,'Historical Data'!$BE$2:$BE$1068,0)),"")</f>
        <v/>
      </c>
      <c r="D61" s="106" t="str">
        <f aca="false">IFERROR(INDEX('Historical Data'!$D$2:$D$1068,MATCH($A61,'Historical Data'!$BE$2:$BE$1068,0)),"")</f>
        <v/>
      </c>
      <c r="E61" s="107" t="str">
        <f aca="false">IFERROR(INDEX('Historical Data'!$E$2:$E$1068,MATCH($A61,'Historical Data'!$BE$2:$BE$1068,0)),"")</f>
        <v/>
      </c>
      <c r="F61" s="106" t="str">
        <f aca="false">IFERROR(INDEX('Historical Data'!$G$2:$G$1068,MATCH($A61,'Historical Data'!$BE$2:$BE$1068,0)),"")</f>
        <v/>
      </c>
      <c r="G61" s="106" t="str">
        <f aca="false">IFERROR(INDEX('Historical Data'!$Y$2:$Y$1068,MATCH($A61,'Historical Data'!$BE$2:$BE$1068,0)),"")</f>
        <v/>
      </c>
      <c r="H61" s="106" t="str">
        <f aca="false">IFERROR(INDEX('Historical Data'!$K$2:$K$1068,MATCH($A61,'Historical Data'!$BE$2:$BE$1068,0)),"")</f>
        <v/>
      </c>
      <c r="I61" s="106" t="str">
        <f aca="false">IFERROR(INDEX('Historical Data'!$J$2:$J$1068,MATCH($A61,'Historical Data'!$BE$2:$BE$1068,0)),"")</f>
        <v/>
      </c>
      <c r="J61" s="106" t="str">
        <f aca="false">IFERROR(INDEX('Historical Data'!$L$2:$L$1068,MATCH($A61,'Historical Data'!$BE$2:$BE$1068,0)),"")</f>
        <v/>
      </c>
      <c r="K61" s="108" t="str">
        <f aca="false">IFERROR(INDEX('Historical Data'!$M$2:$M$1068,MATCH($A61,'Historical Data'!$BE$2:$BE$1068,0)),"")</f>
        <v/>
      </c>
      <c r="L61" s="109" t="str">
        <f aca="false">IFERROR(INDEX('Historical Data'!$N$2:$N$1068,MATCH($A61,'Historical Data'!$BE$2:$BE$1068,0)),"")</f>
        <v/>
      </c>
      <c r="M61" s="109" t="str">
        <f aca="false">IFERROR(INDEX('Historical Data'!$Q$2:$Q$1068,MATCH($A61,'Historical Data'!$BE$2:$BE$1068,0)),"")</f>
        <v/>
      </c>
      <c r="N61" s="110" t="str">
        <f aca="false">IFERROR(INDEX('Historical Data'!$S$2:$S$1068,MATCH($A61,'Historical Data'!$BE$2:$BE$1068,0)),"")</f>
        <v/>
      </c>
      <c r="O61" s="109" t="str">
        <f aca="false">IFERROR(INDEX('Historical Data'!$AJ$2:$AJ$1068,MATCH($A61,'Historical Data'!$BE$2:$BE$1068,0)),"")</f>
        <v/>
      </c>
      <c r="P61" s="109" t="str">
        <f aca="false">IFERROR(INDEX('Historical Data'!$AK$2:$AK$1068,MATCH($A61,'Historical Data'!$BE$2:$BE$1068,0)),"")</f>
        <v/>
      </c>
      <c r="Q61" s="106" t="str">
        <f aca="false">IFERROR(INDEX('Historical Data'!$AA$2:$AA$1068,MATCH($A61,'Historical Data'!$BE$2:$BE$1068,0)),"")</f>
        <v/>
      </c>
      <c r="R61" s="106" t="str">
        <f aca="false">IFERROR(INDEX('Historical Data'!$AB$2:$AB$1068,MATCH($A61,'Historical Data'!$BE$2:$BE$1068,0)),"")</f>
        <v/>
      </c>
      <c r="S61" s="106" t="str">
        <f aca="false">IFERROR(INDEX('Historical Data'!$AN$2:$AN$1068,MATCH($A61,'Historical Data'!$BE$2:$BE$1068,0)),"")</f>
        <v/>
      </c>
      <c r="T61" s="106" t="str">
        <f aca="false">IFERROR(INDEX('Historical Data'!$AC$2:$AC$1068,MATCH($A61,'Historical Data'!$BE$2:$BE$1068,0)),"")</f>
        <v/>
      </c>
      <c r="U61" s="106" t="str">
        <f aca="false">IFERROR(INDEX('Historical Data'!$AE$2:$AE$1068,MATCH($A61,'Historical Data'!$BE$2:$BE$1068,0)),"")</f>
        <v/>
      </c>
      <c r="V61" s="106" t="str">
        <f aca="false">IFERROR(INDEX('Historical Data'!$AH$2:$AH$1068,MATCH($A61,'Historical Data'!$BE$2:$BE$1068,0)),"")</f>
        <v/>
      </c>
      <c r="W61" s="106" t="str">
        <f aca="false">IFERROR(INDEX('Historical Data'!$BC$2:$BC$1068,MATCH($A61,'Historical Data'!$BE$2:$BE$1068,0)),"")</f>
        <v/>
      </c>
      <c r="X61" s="105" t="str">
        <f aca="false">IF(B61="","",IF(W61=1,"NR + industry + position",IF(W61=2,"NR + ISO + position",IF(W61=3,"NR + industry",IF(W61=4,"NR + ISO",IF(W61=5,"NR + position",IF(W61=6,"NR only","book baseline"))))))&amp;"  ["&amp;IF(T61=1,"seasoned","unseasoned")&amp;IF(U61=1,", defaulted","")&amp;IF(V61=1,", open","")&amp;"]")</f>
        <v/>
      </c>
    </row>
    <row r="62" customFormat="false" ht="15" hidden="false" customHeight="false" outlineLevel="0" collapsed="false">
      <c r="A62" s="105" t="n">
        <v>58</v>
      </c>
      <c r="B62" s="106" t="str">
        <f aca="false">IFERROR(INDEX('Historical Data'!$A$2:$A$1068,MATCH($A62,'Historical Data'!$BE$2:$BE$1068,0)),"")</f>
        <v/>
      </c>
      <c r="C62" s="106" t="str">
        <f aca="false">IFERROR(INDEX('Historical Data'!$B$2:$B$1068,MATCH($A62,'Historical Data'!$BE$2:$BE$1068,0)),"")</f>
        <v/>
      </c>
      <c r="D62" s="106" t="str">
        <f aca="false">IFERROR(INDEX('Historical Data'!$D$2:$D$1068,MATCH($A62,'Historical Data'!$BE$2:$BE$1068,0)),"")</f>
        <v/>
      </c>
      <c r="E62" s="107" t="str">
        <f aca="false">IFERROR(INDEX('Historical Data'!$E$2:$E$1068,MATCH($A62,'Historical Data'!$BE$2:$BE$1068,0)),"")</f>
        <v/>
      </c>
      <c r="F62" s="106" t="str">
        <f aca="false">IFERROR(INDEX('Historical Data'!$G$2:$G$1068,MATCH($A62,'Historical Data'!$BE$2:$BE$1068,0)),"")</f>
        <v/>
      </c>
      <c r="G62" s="106" t="str">
        <f aca="false">IFERROR(INDEX('Historical Data'!$Y$2:$Y$1068,MATCH($A62,'Historical Data'!$BE$2:$BE$1068,0)),"")</f>
        <v/>
      </c>
      <c r="H62" s="106" t="str">
        <f aca="false">IFERROR(INDEX('Historical Data'!$K$2:$K$1068,MATCH($A62,'Historical Data'!$BE$2:$BE$1068,0)),"")</f>
        <v/>
      </c>
      <c r="I62" s="106" t="str">
        <f aca="false">IFERROR(INDEX('Historical Data'!$J$2:$J$1068,MATCH($A62,'Historical Data'!$BE$2:$BE$1068,0)),"")</f>
        <v/>
      </c>
      <c r="J62" s="106" t="str">
        <f aca="false">IFERROR(INDEX('Historical Data'!$L$2:$L$1068,MATCH($A62,'Historical Data'!$BE$2:$BE$1068,0)),"")</f>
        <v/>
      </c>
      <c r="K62" s="108" t="str">
        <f aca="false">IFERROR(INDEX('Historical Data'!$M$2:$M$1068,MATCH($A62,'Historical Data'!$BE$2:$BE$1068,0)),"")</f>
        <v/>
      </c>
      <c r="L62" s="109" t="str">
        <f aca="false">IFERROR(INDEX('Historical Data'!$N$2:$N$1068,MATCH($A62,'Historical Data'!$BE$2:$BE$1068,0)),"")</f>
        <v/>
      </c>
      <c r="M62" s="109" t="str">
        <f aca="false">IFERROR(INDEX('Historical Data'!$Q$2:$Q$1068,MATCH($A62,'Historical Data'!$BE$2:$BE$1068,0)),"")</f>
        <v/>
      </c>
      <c r="N62" s="110" t="str">
        <f aca="false">IFERROR(INDEX('Historical Data'!$S$2:$S$1068,MATCH($A62,'Historical Data'!$BE$2:$BE$1068,0)),"")</f>
        <v/>
      </c>
      <c r="O62" s="109" t="str">
        <f aca="false">IFERROR(INDEX('Historical Data'!$AJ$2:$AJ$1068,MATCH($A62,'Historical Data'!$BE$2:$BE$1068,0)),"")</f>
        <v/>
      </c>
      <c r="P62" s="109" t="str">
        <f aca="false">IFERROR(INDEX('Historical Data'!$AK$2:$AK$1068,MATCH($A62,'Historical Data'!$BE$2:$BE$1068,0)),"")</f>
        <v/>
      </c>
      <c r="Q62" s="106" t="str">
        <f aca="false">IFERROR(INDEX('Historical Data'!$AA$2:$AA$1068,MATCH($A62,'Historical Data'!$BE$2:$BE$1068,0)),"")</f>
        <v/>
      </c>
      <c r="R62" s="106" t="str">
        <f aca="false">IFERROR(INDEX('Historical Data'!$AB$2:$AB$1068,MATCH($A62,'Historical Data'!$BE$2:$BE$1068,0)),"")</f>
        <v/>
      </c>
      <c r="S62" s="106" t="str">
        <f aca="false">IFERROR(INDEX('Historical Data'!$AN$2:$AN$1068,MATCH($A62,'Historical Data'!$BE$2:$BE$1068,0)),"")</f>
        <v/>
      </c>
      <c r="T62" s="106" t="str">
        <f aca="false">IFERROR(INDEX('Historical Data'!$AC$2:$AC$1068,MATCH($A62,'Historical Data'!$BE$2:$BE$1068,0)),"")</f>
        <v/>
      </c>
      <c r="U62" s="106" t="str">
        <f aca="false">IFERROR(INDEX('Historical Data'!$AE$2:$AE$1068,MATCH($A62,'Historical Data'!$BE$2:$BE$1068,0)),"")</f>
        <v/>
      </c>
      <c r="V62" s="106" t="str">
        <f aca="false">IFERROR(INDEX('Historical Data'!$AH$2:$AH$1068,MATCH($A62,'Historical Data'!$BE$2:$BE$1068,0)),"")</f>
        <v/>
      </c>
      <c r="W62" s="106" t="str">
        <f aca="false">IFERROR(INDEX('Historical Data'!$BC$2:$BC$1068,MATCH($A62,'Historical Data'!$BE$2:$BE$1068,0)),"")</f>
        <v/>
      </c>
      <c r="X62" s="105" t="str">
        <f aca="false">IF(B62="","",IF(W62=1,"NR + industry + position",IF(W62=2,"NR + ISO + position",IF(W62=3,"NR + industry",IF(W62=4,"NR + ISO",IF(W62=5,"NR + position",IF(W62=6,"NR only","book baseline"))))))&amp;"  ["&amp;IF(T62=1,"seasoned","unseasoned")&amp;IF(U62=1,", defaulted","")&amp;IF(V62=1,", open","")&amp;"]")</f>
        <v/>
      </c>
    </row>
    <row r="63" customFormat="false" ht="15" hidden="false" customHeight="false" outlineLevel="0" collapsed="false">
      <c r="A63" s="105" t="n">
        <v>59</v>
      </c>
      <c r="B63" s="106" t="str">
        <f aca="false">IFERROR(INDEX('Historical Data'!$A$2:$A$1068,MATCH($A63,'Historical Data'!$BE$2:$BE$1068,0)),"")</f>
        <v/>
      </c>
      <c r="C63" s="106" t="str">
        <f aca="false">IFERROR(INDEX('Historical Data'!$B$2:$B$1068,MATCH($A63,'Historical Data'!$BE$2:$BE$1068,0)),"")</f>
        <v/>
      </c>
      <c r="D63" s="106" t="str">
        <f aca="false">IFERROR(INDEX('Historical Data'!$D$2:$D$1068,MATCH($A63,'Historical Data'!$BE$2:$BE$1068,0)),"")</f>
        <v/>
      </c>
      <c r="E63" s="107" t="str">
        <f aca="false">IFERROR(INDEX('Historical Data'!$E$2:$E$1068,MATCH($A63,'Historical Data'!$BE$2:$BE$1068,0)),"")</f>
        <v/>
      </c>
      <c r="F63" s="106" t="str">
        <f aca="false">IFERROR(INDEX('Historical Data'!$G$2:$G$1068,MATCH($A63,'Historical Data'!$BE$2:$BE$1068,0)),"")</f>
        <v/>
      </c>
      <c r="G63" s="106" t="str">
        <f aca="false">IFERROR(INDEX('Historical Data'!$Y$2:$Y$1068,MATCH($A63,'Historical Data'!$BE$2:$BE$1068,0)),"")</f>
        <v/>
      </c>
      <c r="H63" s="106" t="str">
        <f aca="false">IFERROR(INDEX('Historical Data'!$K$2:$K$1068,MATCH($A63,'Historical Data'!$BE$2:$BE$1068,0)),"")</f>
        <v/>
      </c>
      <c r="I63" s="106" t="str">
        <f aca="false">IFERROR(INDEX('Historical Data'!$J$2:$J$1068,MATCH($A63,'Historical Data'!$BE$2:$BE$1068,0)),"")</f>
        <v/>
      </c>
      <c r="J63" s="106" t="str">
        <f aca="false">IFERROR(INDEX('Historical Data'!$L$2:$L$1068,MATCH($A63,'Historical Data'!$BE$2:$BE$1068,0)),"")</f>
        <v/>
      </c>
      <c r="K63" s="108" t="str">
        <f aca="false">IFERROR(INDEX('Historical Data'!$M$2:$M$1068,MATCH($A63,'Historical Data'!$BE$2:$BE$1068,0)),"")</f>
        <v/>
      </c>
      <c r="L63" s="109" t="str">
        <f aca="false">IFERROR(INDEX('Historical Data'!$N$2:$N$1068,MATCH($A63,'Historical Data'!$BE$2:$BE$1068,0)),"")</f>
        <v/>
      </c>
      <c r="M63" s="109" t="str">
        <f aca="false">IFERROR(INDEX('Historical Data'!$Q$2:$Q$1068,MATCH($A63,'Historical Data'!$BE$2:$BE$1068,0)),"")</f>
        <v/>
      </c>
      <c r="N63" s="110" t="str">
        <f aca="false">IFERROR(INDEX('Historical Data'!$S$2:$S$1068,MATCH($A63,'Historical Data'!$BE$2:$BE$1068,0)),"")</f>
        <v/>
      </c>
      <c r="O63" s="109" t="str">
        <f aca="false">IFERROR(INDEX('Historical Data'!$AJ$2:$AJ$1068,MATCH($A63,'Historical Data'!$BE$2:$BE$1068,0)),"")</f>
        <v/>
      </c>
      <c r="P63" s="109" t="str">
        <f aca="false">IFERROR(INDEX('Historical Data'!$AK$2:$AK$1068,MATCH($A63,'Historical Data'!$BE$2:$BE$1068,0)),"")</f>
        <v/>
      </c>
      <c r="Q63" s="106" t="str">
        <f aca="false">IFERROR(INDEX('Historical Data'!$AA$2:$AA$1068,MATCH($A63,'Historical Data'!$BE$2:$BE$1068,0)),"")</f>
        <v/>
      </c>
      <c r="R63" s="106" t="str">
        <f aca="false">IFERROR(INDEX('Historical Data'!$AB$2:$AB$1068,MATCH($A63,'Historical Data'!$BE$2:$BE$1068,0)),"")</f>
        <v/>
      </c>
      <c r="S63" s="106" t="str">
        <f aca="false">IFERROR(INDEX('Historical Data'!$AN$2:$AN$1068,MATCH($A63,'Historical Data'!$BE$2:$BE$1068,0)),"")</f>
        <v/>
      </c>
      <c r="T63" s="106" t="str">
        <f aca="false">IFERROR(INDEX('Historical Data'!$AC$2:$AC$1068,MATCH($A63,'Historical Data'!$BE$2:$BE$1068,0)),"")</f>
        <v/>
      </c>
      <c r="U63" s="106" t="str">
        <f aca="false">IFERROR(INDEX('Historical Data'!$AE$2:$AE$1068,MATCH($A63,'Historical Data'!$BE$2:$BE$1068,0)),"")</f>
        <v/>
      </c>
      <c r="V63" s="106" t="str">
        <f aca="false">IFERROR(INDEX('Historical Data'!$AH$2:$AH$1068,MATCH($A63,'Historical Data'!$BE$2:$BE$1068,0)),"")</f>
        <v/>
      </c>
      <c r="W63" s="106" t="str">
        <f aca="false">IFERROR(INDEX('Historical Data'!$BC$2:$BC$1068,MATCH($A63,'Historical Data'!$BE$2:$BE$1068,0)),"")</f>
        <v/>
      </c>
      <c r="X63" s="105" t="str">
        <f aca="false">IF(B63="","",IF(W63=1,"NR + industry + position",IF(W63=2,"NR + ISO + position",IF(W63=3,"NR + industry",IF(W63=4,"NR + ISO",IF(W63=5,"NR + position",IF(W63=6,"NR only","book baseline"))))))&amp;"  ["&amp;IF(T63=1,"seasoned","unseasoned")&amp;IF(U63=1,", defaulted","")&amp;IF(V63=1,", open","")&amp;"]")</f>
        <v/>
      </c>
    </row>
    <row r="64" customFormat="false" ht="15" hidden="false" customHeight="false" outlineLevel="0" collapsed="false">
      <c r="A64" s="105" t="n">
        <v>60</v>
      </c>
      <c r="B64" s="106" t="str">
        <f aca="false">IFERROR(INDEX('Historical Data'!$A$2:$A$1068,MATCH($A64,'Historical Data'!$BE$2:$BE$1068,0)),"")</f>
        <v/>
      </c>
      <c r="C64" s="106" t="str">
        <f aca="false">IFERROR(INDEX('Historical Data'!$B$2:$B$1068,MATCH($A64,'Historical Data'!$BE$2:$BE$1068,0)),"")</f>
        <v/>
      </c>
      <c r="D64" s="106" t="str">
        <f aca="false">IFERROR(INDEX('Historical Data'!$D$2:$D$1068,MATCH($A64,'Historical Data'!$BE$2:$BE$1068,0)),"")</f>
        <v/>
      </c>
      <c r="E64" s="107" t="str">
        <f aca="false">IFERROR(INDEX('Historical Data'!$E$2:$E$1068,MATCH($A64,'Historical Data'!$BE$2:$BE$1068,0)),"")</f>
        <v/>
      </c>
      <c r="F64" s="106" t="str">
        <f aca="false">IFERROR(INDEX('Historical Data'!$G$2:$G$1068,MATCH($A64,'Historical Data'!$BE$2:$BE$1068,0)),"")</f>
        <v/>
      </c>
      <c r="G64" s="106" t="str">
        <f aca="false">IFERROR(INDEX('Historical Data'!$Y$2:$Y$1068,MATCH($A64,'Historical Data'!$BE$2:$BE$1068,0)),"")</f>
        <v/>
      </c>
      <c r="H64" s="106" t="str">
        <f aca="false">IFERROR(INDEX('Historical Data'!$K$2:$K$1068,MATCH($A64,'Historical Data'!$BE$2:$BE$1068,0)),"")</f>
        <v/>
      </c>
      <c r="I64" s="106" t="str">
        <f aca="false">IFERROR(INDEX('Historical Data'!$J$2:$J$1068,MATCH($A64,'Historical Data'!$BE$2:$BE$1068,0)),"")</f>
        <v/>
      </c>
      <c r="J64" s="106" t="str">
        <f aca="false">IFERROR(INDEX('Historical Data'!$L$2:$L$1068,MATCH($A64,'Historical Data'!$BE$2:$BE$1068,0)),"")</f>
        <v/>
      </c>
      <c r="K64" s="108" t="str">
        <f aca="false">IFERROR(INDEX('Historical Data'!$M$2:$M$1068,MATCH($A64,'Historical Data'!$BE$2:$BE$1068,0)),"")</f>
        <v/>
      </c>
      <c r="L64" s="109" t="str">
        <f aca="false">IFERROR(INDEX('Historical Data'!$N$2:$N$1068,MATCH($A64,'Historical Data'!$BE$2:$BE$1068,0)),"")</f>
        <v/>
      </c>
      <c r="M64" s="109" t="str">
        <f aca="false">IFERROR(INDEX('Historical Data'!$Q$2:$Q$1068,MATCH($A64,'Historical Data'!$BE$2:$BE$1068,0)),"")</f>
        <v/>
      </c>
      <c r="N64" s="110" t="str">
        <f aca="false">IFERROR(INDEX('Historical Data'!$S$2:$S$1068,MATCH($A64,'Historical Data'!$BE$2:$BE$1068,0)),"")</f>
        <v/>
      </c>
      <c r="O64" s="109" t="str">
        <f aca="false">IFERROR(INDEX('Historical Data'!$AJ$2:$AJ$1068,MATCH($A64,'Historical Data'!$BE$2:$BE$1068,0)),"")</f>
        <v/>
      </c>
      <c r="P64" s="109" t="str">
        <f aca="false">IFERROR(INDEX('Historical Data'!$AK$2:$AK$1068,MATCH($A64,'Historical Data'!$BE$2:$BE$1068,0)),"")</f>
        <v/>
      </c>
      <c r="Q64" s="106" t="str">
        <f aca="false">IFERROR(INDEX('Historical Data'!$AA$2:$AA$1068,MATCH($A64,'Historical Data'!$BE$2:$BE$1068,0)),"")</f>
        <v/>
      </c>
      <c r="R64" s="106" t="str">
        <f aca="false">IFERROR(INDEX('Historical Data'!$AB$2:$AB$1068,MATCH($A64,'Historical Data'!$BE$2:$BE$1068,0)),"")</f>
        <v/>
      </c>
      <c r="S64" s="106" t="str">
        <f aca="false">IFERROR(INDEX('Historical Data'!$AN$2:$AN$1068,MATCH($A64,'Historical Data'!$BE$2:$BE$1068,0)),"")</f>
        <v/>
      </c>
      <c r="T64" s="106" t="str">
        <f aca="false">IFERROR(INDEX('Historical Data'!$AC$2:$AC$1068,MATCH($A64,'Historical Data'!$BE$2:$BE$1068,0)),"")</f>
        <v/>
      </c>
      <c r="U64" s="106" t="str">
        <f aca="false">IFERROR(INDEX('Historical Data'!$AE$2:$AE$1068,MATCH($A64,'Historical Data'!$BE$2:$BE$1068,0)),"")</f>
        <v/>
      </c>
      <c r="V64" s="106" t="str">
        <f aca="false">IFERROR(INDEX('Historical Data'!$AH$2:$AH$1068,MATCH($A64,'Historical Data'!$BE$2:$BE$1068,0)),"")</f>
        <v/>
      </c>
      <c r="W64" s="106" t="str">
        <f aca="false">IFERROR(INDEX('Historical Data'!$BC$2:$BC$1068,MATCH($A64,'Historical Data'!$BE$2:$BE$1068,0)),"")</f>
        <v/>
      </c>
      <c r="X64" s="105" t="str">
        <f aca="false">IF(B64="","",IF(W64=1,"NR + industry + position",IF(W64=2,"NR + ISO + position",IF(W64=3,"NR + industry",IF(W64=4,"NR + ISO",IF(W64=5,"NR + position",IF(W64=6,"NR only","book baseline"))))))&amp;"  ["&amp;IF(T64=1,"seasoned","unseasoned")&amp;IF(U64=1,", defaulted","")&amp;IF(V64=1,", open","")&amp;"]")</f>
        <v/>
      </c>
    </row>
    <row r="65" customFormat="false" ht="15" hidden="false" customHeight="false" outlineLevel="0" collapsed="false">
      <c r="A65" s="105" t="n">
        <v>61</v>
      </c>
      <c r="B65" s="106" t="str">
        <f aca="false">IFERROR(INDEX('Historical Data'!$A$2:$A$1068,MATCH($A65,'Historical Data'!$BE$2:$BE$1068,0)),"")</f>
        <v/>
      </c>
      <c r="C65" s="106" t="str">
        <f aca="false">IFERROR(INDEX('Historical Data'!$B$2:$B$1068,MATCH($A65,'Historical Data'!$BE$2:$BE$1068,0)),"")</f>
        <v/>
      </c>
      <c r="D65" s="106" t="str">
        <f aca="false">IFERROR(INDEX('Historical Data'!$D$2:$D$1068,MATCH($A65,'Historical Data'!$BE$2:$BE$1068,0)),"")</f>
        <v/>
      </c>
      <c r="E65" s="107" t="str">
        <f aca="false">IFERROR(INDEX('Historical Data'!$E$2:$E$1068,MATCH($A65,'Historical Data'!$BE$2:$BE$1068,0)),"")</f>
        <v/>
      </c>
      <c r="F65" s="106" t="str">
        <f aca="false">IFERROR(INDEX('Historical Data'!$G$2:$G$1068,MATCH($A65,'Historical Data'!$BE$2:$BE$1068,0)),"")</f>
        <v/>
      </c>
      <c r="G65" s="106" t="str">
        <f aca="false">IFERROR(INDEX('Historical Data'!$Y$2:$Y$1068,MATCH($A65,'Historical Data'!$BE$2:$BE$1068,0)),"")</f>
        <v/>
      </c>
      <c r="H65" s="106" t="str">
        <f aca="false">IFERROR(INDEX('Historical Data'!$K$2:$K$1068,MATCH($A65,'Historical Data'!$BE$2:$BE$1068,0)),"")</f>
        <v/>
      </c>
      <c r="I65" s="106" t="str">
        <f aca="false">IFERROR(INDEX('Historical Data'!$J$2:$J$1068,MATCH($A65,'Historical Data'!$BE$2:$BE$1068,0)),"")</f>
        <v/>
      </c>
      <c r="J65" s="106" t="str">
        <f aca="false">IFERROR(INDEX('Historical Data'!$L$2:$L$1068,MATCH($A65,'Historical Data'!$BE$2:$BE$1068,0)),"")</f>
        <v/>
      </c>
      <c r="K65" s="108" t="str">
        <f aca="false">IFERROR(INDEX('Historical Data'!$M$2:$M$1068,MATCH($A65,'Historical Data'!$BE$2:$BE$1068,0)),"")</f>
        <v/>
      </c>
      <c r="L65" s="109" t="str">
        <f aca="false">IFERROR(INDEX('Historical Data'!$N$2:$N$1068,MATCH($A65,'Historical Data'!$BE$2:$BE$1068,0)),"")</f>
        <v/>
      </c>
      <c r="M65" s="109" t="str">
        <f aca="false">IFERROR(INDEX('Historical Data'!$Q$2:$Q$1068,MATCH($A65,'Historical Data'!$BE$2:$BE$1068,0)),"")</f>
        <v/>
      </c>
      <c r="N65" s="110" t="str">
        <f aca="false">IFERROR(INDEX('Historical Data'!$S$2:$S$1068,MATCH($A65,'Historical Data'!$BE$2:$BE$1068,0)),"")</f>
        <v/>
      </c>
      <c r="O65" s="109" t="str">
        <f aca="false">IFERROR(INDEX('Historical Data'!$AJ$2:$AJ$1068,MATCH($A65,'Historical Data'!$BE$2:$BE$1068,0)),"")</f>
        <v/>
      </c>
      <c r="P65" s="109" t="str">
        <f aca="false">IFERROR(INDEX('Historical Data'!$AK$2:$AK$1068,MATCH($A65,'Historical Data'!$BE$2:$BE$1068,0)),"")</f>
        <v/>
      </c>
      <c r="Q65" s="106" t="str">
        <f aca="false">IFERROR(INDEX('Historical Data'!$AA$2:$AA$1068,MATCH($A65,'Historical Data'!$BE$2:$BE$1068,0)),"")</f>
        <v/>
      </c>
      <c r="R65" s="106" t="str">
        <f aca="false">IFERROR(INDEX('Historical Data'!$AB$2:$AB$1068,MATCH($A65,'Historical Data'!$BE$2:$BE$1068,0)),"")</f>
        <v/>
      </c>
      <c r="S65" s="106" t="str">
        <f aca="false">IFERROR(INDEX('Historical Data'!$AN$2:$AN$1068,MATCH($A65,'Historical Data'!$BE$2:$BE$1068,0)),"")</f>
        <v/>
      </c>
      <c r="T65" s="106" t="str">
        <f aca="false">IFERROR(INDEX('Historical Data'!$AC$2:$AC$1068,MATCH($A65,'Historical Data'!$BE$2:$BE$1068,0)),"")</f>
        <v/>
      </c>
      <c r="U65" s="106" t="str">
        <f aca="false">IFERROR(INDEX('Historical Data'!$AE$2:$AE$1068,MATCH($A65,'Historical Data'!$BE$2:$BE$1068,0)),"")</f>
        <v/>
      </c>
      <c r="V65" s="106" t="str">
        <f aca="false">IFERROR(INDEX('Historical Data'!$AH$2:$AH$1068,MATCH($A65,'Historical Data'!$BE$2:$BE$1068,0)),"")</f>
        <v/>
      </c>
      <c r="W65" s="106" t="str">
        <f aca="false">IFERROR(INDEX('Historical Data'!$BC$2:$BC$1068,MATCH($A65,'Historical Data'!$BE$2:$BE$1068,0)),"")</f>
        <v/>
      </c>
      <c r="X65" s="105" t="str">
        <f aca="false">IF(B65="","",IF(W65=1,"NR + industry + position",IF(W65=2,"NR + ISO + position",IF(W65=3,"NR + industry",IF(W65=4,"NR + ISO",IF(W65=5,"NR + position",IF(W65=6,"NR only","book baseline"))))))&amp;"  ["&amp;IF(T65=1,"seasoned","unseasoned")&amp;IF(U65=1,", defaulted","")&amp;IF(V65=1,", open","")&amp;"]")</f>
        <v/>
      </c>
    </row>
    <row r="66" customFormat="false" ht="15" hidden="false" customHeight="false" outlineLevel="0" collapsed="false">
      <c r="A66" s="105" t="n">
        <v>62</v>
      </c>
      <c r="B66" s="106" t="str">
        <f aca="false">IFERROR(INDEX('Historical Data'!$A$2:$A$1068,MATCH($A66,'Historical Data'!$BE$2:$BE$1068,0)),"")</f>
        <v/>
      </c>
      <c r="C66" s="106" t="str">
        <f aca="false">IFERROR(INDEX('Historical Data'!$B$2:$B$1068,MATCH($A66,'Historical Data'!$BE$2:$BE$1068,0)),"")</f>
        <v/>
      </c>
      <c r="D66" s="106" t="str">
        <f aca="false">IFERROR(INDEX('Historical Data'!$D$2:$D$1068,MATCH($A66,'Historical Data'!$BE$2:$BE$1068,0)),"")</f>
        <v/>
      </c>
      <c r="E66" s="107" t="str">
        <f aca="false">IFERROR(INDEX('Historical Data'!$E$2:$E$1068,MATCH($A66,'Historical Data'!$BE$2:$BE$1068,0)),"")</f>
        <v/>
      </c>
      <c r="F66" s="106" t="str">
        <f aca="false">IFERROR(INDEX('Historical Data'!$G$2:$G$1068,MATCH($A66,'Historical Data'!$BE$2:$BE$1068,0)),"")</f>
        <v/>
      </c>
      <c r="G66" s="106" t="str">
        <f aca="false">IFERROR(INDEX('Historical Data'!$Y$2:$Y$1068,MATCH($A66,'Historical Data'!$BE$2:$BE$1068,0)),"")</f>
        <v/>
      </c>
      <c r="H66" s="106" t="str">
        <f aca="false">IFERROR(INDEX('Historical Data'!$K$2:$K$1068,MATCH($A66,'Historical Data'!$BE$2:$BE$1068,0)),"")</f>
        <v/>
      </c>
      <c r="I66" s="106" t="str">
        <f aca="false">IFERROR(INDEX('Historical Data'!$J$2:$J$1068,MATCH($A66,'Historical Data'!$BE$2:$BE$1068,0)),"")</f>
        <v/>
      </c>
      <c r="J66" s="106" t="str">
        <f aca="false">IFERROR(INDEX('Historical Data'!$L$2:$L$1068,MATCH($A66,'Historical Data'!$BE$2:$BE$1068,0)),"")</f>
        <v/>
      </c>
      <c r="K66" s="108" t="str">
        <f aca="false">IFERROR(INDEX('Historical Data'!$M$2:$M$1068,MATCH($A66,'Historical Data'!$BE$2:$BE$1068,0)),"")</f>
        <v/>
      </c>
      <c r="L66" s="109" t="str">
        <f aca="false">IFERROR(INDEX('Historical Data'!$N$2:$N$1068,MATCH($A66,'Historical Data'!$BE$2:$BE$1068,0)),"")</f>
        <v/>
      </c>
      <c r="M66" s="109" t="str">
        <f aca="false">IFERROR(INDEX('Historical Data'!$Q$2:$Q$1068,MATCH($A66,'Historical Data'!$BE$2:$BE$1068,0)),"")</f>
        <v/>
      </c>
      <c r="N66" s="110" t="str">
        <f aca="false">IFERROR(INDEX('Historical Data'!$S$2:$S$1068,MATCH($A66,'Historical Data'!$BE$2:$BE$1068,0)),"")</f>
        <v/>
      </c>
      <c r="O66" s="109" t="str">
        <f aca="false">IFERROR(INDEX('Historical Data'!$AJ$2:$AJ$1068,MATCH($A66,'Historical Data'!$BE$2:$BE$1068,0)),"")</f>
        <v/>
      </c>
      <c r="P66" s="109" t="str">
        <f aca="false">IFERROR(INDEX('Historical Data'!$AK$2:$AK$1068,MATCH($A66,'Historical Data'!$BE$2:$BE$1068,0)),"")</f>
        <v/>
      </c>
      <c r="Q66" s="106" t="str">
        <f aca="false">IFERROR(INDEX('Historical Data'!$AA$2:$AA$1068,MATCH($A66,'Historical Data'!$BE$2:$BE$1068,0)),"")</f>
        <v/>
      </c>
      <c r="R66" s="106" t="str">
        <f aca="false">IFERROR(INDEX('Historical Data'!$AB$2:$AB$1068,MATCH($A66,'Historical Data'!$BE$2:$BE$1068,0)),"")</f>
        <v/>
      </c>
      <c r="S66" s="106" t="str">
        <f aca="false">IFERROR(INDEX('Historical Data'!$AN$2:$AN$1068,MATCH($A66,'Historical Data'!$BE$2:$BE$1068,0)),"")</f>
        <v/>
      </c>
      <c r="T66" s="106" t="str">
        <f aca="false">IFERROR(INDEX('Historical Data'!$AC$2:$AC$1068,MATCH($A66,'Historical Data'!$BE$2:$BE$1068,0)),"")</f>
        <v/>
      </c>
      <c r="U66" s="106" t="str">
        <f aca="false">IFERROR(INDEX('Historical Data'!$AE$2:$AE$1068,MATCH($A66,'Historical Data'!$BE$2:$BE$1068,0)),"")</f>
        <v/>
      </c>
      <c r="V66" s="106" t="str">
        <f aca="false">IFERROR(INDEX('Historical Data'!$AH$2:$AH$1068,MATCH($A66,'Historical Data'!$BE$2:$BE$1068,0)),"")</f>
        <v/>
      </c>
      <c r="W66" s="106" t="str">
        <f aca="false">IFERROR(INDEX('Historical Data'!$BC$2:$BC$1068,MATCH($A66,'Historical Data'!$BE$2:$BE$1068,0)),"")</f>
        <v/>
      </c>
      <c r="X66" s="105" t="str">
        <f aca="false">IF(B66="","",IF(W66=1,"NR + industry + position",IF(W66=2,"NR + ISO + position",IF(W66=3,"NR + industry",IF(W66=4,"NR + ISO",IF(W66=5,"NR + position",IF(W66=6,"NR only","book baseline"))))))&amp;"  ["&amp;IF(T66=1,"seasoned","unseasoned")&amp;IF(U66=1,", defaulted","")&amp;IF(V66=1,", open","")&amp;"]")</f>
        <v/>
      </c>
    </row>
    <row r="67" customFormat="false" ht="15" hidden="false" customHeight="false" outlineLevel="0" collapsed="false">
      <c r="A67" s="105" t="n">
        <v>63</v>
      </c>
      <c r="B67" s="106" t="str">
        <f aca="false">IFERROR(INDEX('Historical Data'!$A$2:$A$1068,MATCH($A67,'Historical Data'!$BE$2:$BE$1068,0)),"")</f>
        <v/>
      </c>
      <c r="C67" s="106" t="str">
        <f aca="false">IFERROR(INDEX('Historical Data'!$B$2:$B$1068,MATCH($A67,'Historical Data'!$BE$2:$BE$1068,0)),"")</f>
        <v/>
      </c>
      <c r="D67" s="106" t="str">
        <f aca="false">IFERROR(INDEX('Historical Data'!$D$2:$D$1068,MATCH($A67,'Historical Data'!$BE$2:$BE$1068,0)),"")</f>
        <v/>
      </c>
      <c r="E67" s="107" t="str">
        <f aca="false">IFERROR(INDEX('Historical Data'!$E$2:$E$1068,MATCH($A67,'Historical Data'!$BE$2:$BE$1068,0)),"")</f>
        <v/>
      </c>
      <c r="F67" s="106" t="str">
        <f aca="false">IFERROR(INDEX('Historical Data'!$G$2:$G$1068,MATCH($A67,'Historical Data'!$BE$2:$BE$1068,0)),"")</f>
        <v/>
      </c>
      <c r="G67" s="106" t="str">
        <f aca="false">IFERROR(INDEX('Historical Data'!$Y$2:$Y$1068,MATCH($A67,'Historical Data'!$BE$2:$BE$1068,0)),"")</f>
        <v/>
      </c>
      <c r="H67" s="106" t="str">
        <f aca="false">IFERROR(INDEX('Historical Data'!$K$2:$K$1068,MATCH($A67,'Historical Data'!$BE$2:$BE$1068,0)),"")</f>
        <v/>
      </c>
      <c r="I67" s="106" t="str">
        <f aca="false">IFERROR(INDEX('Historical Data'!$J$2:$J$1068,MATCH($A67,'Historical Data'!$BE$2:$BE$1068,0)),"")</f>
        <v/>
      </c>
      <c r="J67" s="106" t="str">
        <f aca="false">IFERROR(INDEX('Historical Data'!$L$2:$L$1068,MATCH($A67,'Historical Data'!$BE$2:$BE$1068,0)),"")</f>
        <v/>
      </c>
      <c r="K67" s="108" t="str">
        <f aca="false">IFERROR(INDEX('Historical Data'!$M$2:$M$1068,MATCH($A67,'Historical Data'!$BE$2:$BE$1068,0)),"")</f>
        <v/>
      </c>
      <c r="L67" s="109" t="str">
        <f aca="false">IFERROR(INDEX('Historical Data'!$N$2:$N$1068,MATCH($A67,'Historical Data'!$BE$2:$BE$1068,0)),"")</f>
        <v/>
      </c>
      <c r="M67" s="109" t="str">
        <f aca="false">IFERROR(INDEX('Historical Data'!$Q$2:$Q$1068,MATCH($A67,'Historical Data'!$BE$2:$BE$1068,0)),"")</f>
        <v/>
      </c>
      <c r="N67" s="110" t="str">
        <f aca="false">IFERROR(INDEX('Historical Data'!$S$2:$S$1068,MATCH($A67,'Historical Data'!$BE$2:$BE$1068,0)),"")</f>
        <v/>
      </c>
      <c r="O67" s="109" t="str">
        <f aca="false">IFERROR(INDEX('Historical Data'!$AJ$2:$AJ$1068,MATCH($A67,'Historical Data'!$BE$2:$BE$1068,0)),"")</f>
        <v/>
      </c>
      <c r="P67" s="109" t="str">
        <f aca="false">IFERROR(INDEX('Historical Data'!$AK$2:$AK$1068,MATCH($A67,'Historical Data'!$BE$2:$BE$1068,0)),"")</f>
        <v/>
      </c>
      <c r="Q67" s="106" t="str">
        <f aca="false">IFERROR(INDEX('Historical Data'!$AA$2:$AA$1068,MATCH($A67,'Historical Data'!$BE$2:$BE$1068,0)),"")</f>
        <v/>
      </c>
      <c r="R67" s="106" t="str">
        <f aca="false">IFERROR(INDEX('Historical Data'!$AB$2:$AB$1068,MATCH($A67,'Historical Data'!$BE$2:$BE$1068,0)),"")</f>
        <v/>
      </c>
      <c r="S67" s="106" t="str">
        <f aca="false">IFERROR(INDEX('Historical Data'!$AN$2:$AN$1068,MATCH($A67,'Historical Data'!$BE$2:$BE$1068,0)),"")</f>
        <v/>
      </c>
      <c r="T67" s="106" t="str">
        <f aca="false">IFERROR(INDEX('Historical Data'!$AC$2:$AC$1068,MATCH($A67,'Historical Data'!$BE$2:$BE$1068,0)),"")</f>
        <v/>
      </c>
      <c r="U67" s="106" t="str">
        <f aca="false">IFERROR(INDEX('Historical Data'!$AE$2:$AE$1068,MATCH($A67,'Historical Data'!$BE$2:$BE$1068,0)),"")</f>
        <v/>
      </c>
      <c r="V67" s="106" t="str">
        <f aca="false">IFERROR(INDEX('Historical Data'!$AH$2:$AH$1068,MATCH($A67,'Historical Data'!$BE$2:$BE$1068,0)),"")</f>
        <v/>
      </c>
      <c r="W67" s="106" t="str">
        <f aca="false">IFERROR(INDEX('Historical Data'!$BC$2:$BC$1068,MATCH($A67,'Historical Data'!$BE$2:$BE$1068,0)),"")</f>
        <v/>
      </c>
      <c r="X67" s="105" t="str">
        <f aca="false">IF(B67="","",IF(W67=1,"NR + industry + position",IF(W67=2,"NR + ISO + position",IF(W67=3,"NR + industry",IF(W67=4,"NR + ISO",IF(W67=5,"NR + position",IF(W67=6,"NR only","book baseline"))))))&amp;"  ["&amp;IF(T67=1,"seasoned","unseasoned")&amp;IF(U67=1,", defaulted","")&amp;IF(V67=1,", open","")&amp;"]")</f>
        <v/>
      </c>
    </row>
    <row r="68" customFormat="false" ht="15" hidden="false" customHeight="false" outlineLevel="0" collapsed="false">
      <c r="A68" s="105" t="n">
        <v>64</v>
      </c>
      <c r="B68" s="106" t="str">
        <f aca="false">IFERROR(INDEX('Historical Data'!$A$2:$A$1068,MATCH($A68,'Historical Data'!$BE$2:$BE$1068,0)),"")</f>
        <v/>
      </c>
      <c r="C68" s="106" t="str">
        <f aca="false">IFERROR(INDEX('Historical Data'!$B$2:$B$1068,MATCH($A68,'Historical Data'!$BE$2:$BE$1068,0)),"")</f>
        <v/>
      </c>
      <c r="D68" s="106" t="str">
        <f aca="false">IFERROR(INDEX('Historical Data'!$D$2:$D$1068,MATCH($A68,'Historical Data'!$BE$2:$BE$1068,0)),"")</f>
        <v/>
      </c>
      <c r="E68" s="107" t="str">
        <f aca="false">IFERROR(INDEX('Historical Data'!$E$2:$E$1068,MATCH($A68,'Historical Data'!$BE$2:$BE$1068,0)),"")</f>
        <v/>
      </c>
      <c r="F68" s="106" t="str">
        <f aca="false">IFERROR(INDEX('Historical Data'!$G$2:$G$1068,MATCH($A68,'Historical Data'!$BE$2:$BE$1068,0)),"")</f>
        <v/>
      </c>
      <c r="G68" s="106" t="str">
        <f aca="false">IFERROR(INDEX('Historical Data'!$Y$2:$Y$1068,MATCH($A68,'Historical Data'!$BE$2:$BE$1068,0)),"")</f>
        <v/>
      </c>
      <c r="H68" s="106" t="str">
        <f aca="false">IFERROR(INDEX('Historical Data'!$K$2:$K$1068,MATCH($A68,'Historical Data'!$BE$2:$BE$1068,0)),"")</f>
        <v/>
      </c>
      <c r="I68" s="106" t="str">
        <f aca="false">IFERROR(INDEX('Historical Data'!$J$2:$J$1068,MATCH($A68,'Historical Data'!$BE$2:$BE$1068,0)),"")</f>
        <v/>
      </c>
      <c r="J68" s="106" t="str">
        <f aca="false">IFERROR(INDEX('Historical Data'!$L$2:$L$1068,MATCH($A68,'Historical Data'!$BE$2:$BE$1068,0)),"")</f>
        <v/>
      </c>
      <c r="K68" s="108" t="str">
        <f aca="false">IFERROR(INDEX('Historical Data'!$M$2:$M$1068,MATCH($A68,'Historical Data'!$BE$2:$BE$1068,0)),"")</f>
        <v/>
      </c>
      <c r="L68" s="109" t="str">
        <f aca="false">IFERROR(INDEX('Historical Data'!$N$2:$N$1068,MATCH($A68,'Historical Data'!$BE$2:$BE$1068,0)),"")</f>
        <v/>
      </c>
      <c r="M68" s="109" t="str">
        <f aca="false">IFERROR(INDEX('Historical Data'!$Q$2:$Q$1068,MATCH($A68,'Historical Data'!$BE$2:$BE$1068,0)),"")</f>
        <v/>
      </c>
      <c r="N68" s="110" t="str">
        <f aca="false">IFERROR(INDEX('Historical Data'!$S$2:$S$1068,MATCH($A68,'Historical Data'!$BE$2:$BE$1068,0)),"")</f>
        <v/>
      </c>
      <c r="O68" s="109" t="str">
        <f aca="false">IFERROR(INDEX('Historical Data'!$AJ$2:$AJ$1068,MATCH($A68,'Historical Data'!$BE$2:$BE$1068,0)),"")</f>
        <v/>
      </c>
      <c r="P68" s="109" t="str">
        <f aca="false">IFERROR(INDEX('Historical Data'!$AK$2:$AK$1068,MATCH($A68,'Historical Data'!$BE$2:$BE$1068,0)),"")</f>
        <v/>
      </c>
      <c r="Q68" s="106" t="str">
        <f aca="false">IFERROR(INDEX('Historical Data'!$AA$2:$AA$1068,MATCH($A68,'Historical Data'!$BE$2:$BE$1068,0)),"")</f>
        <v/>
      </c>
      <c r="R68" s="106" t="str">
        <f aca="false">IFERROR(INDEX('Historical Data'!$AB$2:$AB$1068,MATCH($A68,'Historical Data'!$BE$2:$BE$1068,0)),"")</f>
        <v/>
      </c>
      <c r="S68" s="106" t="str">
        <f aca="false">IFERROR(INDEX('Historical Data'!$AN$2:$AN$1068,MATCH($A68,'Historical Data'!$BE$2:$BE$1068,0)),"")</f>
        <v/>
      </c>
      <c r="T68" s="106" t="str">
        <f aca="false">IFERROR(INDEX('Historical Data'!$AC$2:$AC$1068,MATCH($A68,'Historical Data'!$BE$2:$BE$1068,0)),"")</f>
        <v/>
      </c>
      <c r="U68" s="106" t="str">
        <f aca="false">IFERROR(INDEX('Historical Data'!$AE$2:$AE$1068,MATCH($A68,'Historical Data'!$BE$2:$BE$1068,0)),"")</f>
        <v/>
      </c>
      <c r="V68" s="106" t="str">
        <f aca="false">IFERROR(INDEX('Historical Data'!$AH$2:$AH$1068,MATCH($A68,'Historical Data'!$BE$2:$BE$1068,0)),"")</f>
        <v/>
      </c>
      <c r="W68" s="106" t="str">
        <f aca="false">IFERROR(INDEX('Historical Data'!$BC$2:$BC$1068,MATCH($A68,'Historical Data'!$BE$2:$BE$1068,0)),"")</f>
        <v/>
      </c>
      <c r="X68" s="105" t="str">
        <f aca="false">IF(B68="","",IF(W68=1,"NR + industry + position",IF(W68=2,"NR + ISO + position",IF(W68=3,"NR + industry",IF(W68=4,"NR + ISO",IF(W68=5,"NR + position",IF(W68=6,"NR only","book baseline"))))))&amp;"  ["&amp;IF(T68=1,"seasoned","unseasoned")&amp;IF(U68=1,", defaulted","")&amp;IF(V68=1,", open","")&amp;"]")</f>
        <v/>
      </c>
    </row>
    <row r="69" customFormat="false" ht="15" hidden="false" customHeight="false" outlineLevel="0" collapsed="false">
      <c r="A69" s="105" t="n">
        <v>65</v>
      </c>
      <c r="B69" s="106" t="str">
        <f aca="false">IFERROR(INDEX('Historical Data'!$A$2:$A$1068,MATCH($A69,'Historical Data'!$BE$2:$BE$1068,0)),"")</f>
        <v/>
      </c>
      <c r="C69" s="106" t="str">
        <f aca="false">IFERROR(INDEX('Historical Data'!$B$2:$B$1068,MATCH($A69,'Historical Data'!$BE$2:$BE$1068,0)),"")</f>
        <v/>
      </c>
      <c r="D69" s="106" t="str">
        <f aca="false">IFERROR(INDEX('Historical Data'!$D$2:$D$1068,MATCH($A69,'Historical Data'!$BE$2:$BE$1068,0)),"")</f>
        <v/>
      </c>
      <c r="E69" s="107" t="str">
        <f aca="false">IFERROR(INDEX('Historical Data'!$E$2:$E$1068,MATCH($A69,'Historical Data'!$BE$2:$BE$1068,0)),"")</f>
        <v/>
      </c>
      <c r="F69" s="106" t="str">
        <f aca="false">IFERROR(INDEX('Historical Data'!$G$2:$G$1068,MATCH($A69,'Historical Data'!$BE$2:$BE$1068,0)),"")</f>
        <v/>
      </c>
      <c r="G69" s="106" t="str">
        <f aca="false">IFERROR(INDEX('Historical Data'!$Y$2:$Y$1068,MATCH($A69,'Historical Data'!$BE$2:$BE$1068,0)),"")</f>
        <v/>
      </c>
      <c r="H69" s="106" t="str">
        <f aca="false">IFERROR(INDEX('Historical Data'!$K$2:$K$1068,MATCH($A69,'Historical Data'!$BE$2:$BE$1068,0)),"")</f>
        <v/>
      </c>
      <c r="I69" s="106" t="str">
        <f aca="false">IFERROR(INDEX('Historical Data'!$J$2:$J$1068,MATCH($A69,'Historical Data'!$BE$2:$BE$1068,0)),"")</f>
        <v/>
      </c>
      <c r="J69" s="106" t="str">
        <f aca="false">IFERROR(INDEX('Historical Data'!$L$2:$L$1068,MATCH($A69,'Historical Data'!$BE$2:$BE$1068,0)),"")</f>
        <v/>
      </c>
      <c r="K69" s="108" t="str">
        <f aca="false">IFERROR(INDEX('Historical Data'!$M$2:$M$1068,MATCH($A69,'Historical Data'!$BE$2:$BE$1068,0)),"")</f>
        <v/>
      </c>
      <c r="L69" s="109" t="str">
        <f aca="false">IFERROR(INDEX('Historical Data'!$N$2:$N$1068,MATCH($A69,'Historical Data'!$BE$2:$BE$1068,0)),"")</f>
        <v/>
      </c>
      <c r="M69" s="109" t="str">
        <f aca="false">IFERROR(INDEX('Historical Data'!$Q$2:$Q$1068,MATCH($A69,'Historical Data'!$BE$2:$BE$1068,0)),"")</f>
        <v/>
      </c>
      <c r="N69" s="110" t="str">
        <f aca="false">IFERROR(INDEX('Historical Data'!$S$2:$S$1068,MATCH($A69,'Historical Data'!$BE$2:$BE$1068,0)),"")</f>
        <v/>
      </c>
      <c r="O69" s="109" t="str">
        <f aca="false">IFERROR(INDEX('Historical Data'!$AJ$2:$AJ$1068,MATCH($A69,'Historical Data'!$BE$2:$BE$1068,0)),"")</f>
        <v/>
      </c>
      <c r="P69" s="109" t="str">
        <f aca="false">IFERROR(INDEX('Historical Data'!$AK$2:$AK$1068,MATCH($A69,'Historical Data'!$BE$2:$BE$1068,0)),"")</f>
        <v/>
      </c>
      <c r="Q69" s="106" t="str">
        <f aca="false">IFERROR(INDEX('Historical Data'!$AA$2:$AA$1068,MATCH($A69,'Historical Data'!$BE$2:$BE$1068,0)),"")</f>
        <v/>
      </c>
      <c r="R69" s="106" t="str">
        <f aca="false">IFERROR(INDEX('Historical Data'!$AB$2:$AB$1068,MATCH($A69,'Historical Data'!$BE$2:$BE$1068,0)),"")</f>
        <v/>
      </c>
      <c r="S69" s="106" t="str">
        <f aca="false">IFERROR(INDEX('Historical Data'!$AN$2:$AN$1068,MATCH($A69,'Historical Data'!$BE$2:$BE$1068,0)),"")</f>
        <v/>
      </c>
      <c r="T69" s="106" t="str">
        <f aca="false">IFERROR(INDEX('Historical Data'!$AC$2:$AC$1068,MATCH($A69,'Historical Data'!$BE$2:$BE$1068,0)),"")</f>
        <v/>
      </c>
      <c r="U69" s="106" t="str">
        <f aca="false">IFERROR(INDEX('Historical Data'!$AE$2:$AE$1068,MATCH($A69,'Historical Data'!$BE$2:$BE$1068,0)),"")</f>
        <v/>
      </c>
      <c r="V69" s="106" t="str">
        <f aca="false">IFERROR(INDEX('Historical Data'!$AH$2:$AH$1068,MATCH($A69,'Historical Data'!$BE$2:$BE$1068,0)),"")</f>
        <v/>
      </c>
      <c r="W69" s="106" t="str">
        <f aca="false">IFERROR(INDEX('Historical Data'!$BC$2:$BC$1068,MATCH($A69,'Historical Data'!$BE$2:$BE$1068,0)),"")</f>
        <v/>
      </c>
      <c r="X69" s="105" t="str">
        <f aca="false">IF(B69="","",IF(W69=1,"NR + industry + position",IF(W69=2,"NR + ISO + position",IF(W69=3,"NR + industry",IF(W69=4,"NR + ISO",IF(W69=5,"NR + position",IF(W69=6,"NR only","book baseline"))))))&amp;"  ["&amp;IF(T69=1,"seasoned","unseasoned")&amp;IF(U69=1,", defaulted","")&amp;IF(V69=1,", open","")&amp;"]")</f>
        <v/>
      </c>
    </row>
    <row r="70" customFormat="false" ht="15" hidden="false" customHeight="false" outlineLevel="0" collapsed="false">
      <c r="A70" s="105" t="n">
        <v>66</v>
      </c>
      <c r="B70" s="106" t="str">
        <f aca="false">IFERROR(INDEX('Historical Data'!$A$2:$A$1068,MATCH($A70,'Historical Data'!$BE$2:$BE$1068,0)),"")</f>
        <v/>
      </c>
      <c r="C70" s="106" t="str">
        <f aca="false">IFERROR(INDEX('Historical Data'!$B$2:$B$1068,MATCH($A70,'Historical Data'!$BE$2:$BE$1068,0)),"")</f>
        <v/>
      </c>
      <c r="D70" s="106" t="str">
        <f aca="false">IFERROR(INDEX('Historical Data'!$D$2:$D$1068,MATCH($A70,'Historical Data'!$BE$2:$BE$1068,0)),"")</f>
        <v/>
      </c>
      <c r="E70" s="107" t="str">
        <f aca="false">IFERROR(INDEX('Historical Data'!$E$2:$E$1068,MATCH($A70,'Historical Data'!$BE$2:$BE$1068,0)),"")</f>
        <v/>
      </c>
      <c r="F70" s="106" t="str">
        <f aca="false">IFERROR(INDEX('Historical Data'!$G$2:$G$1068,MATCH($A70,'Historical Data'!$BE$2:$BE$1068,0)),"")</f>
        <v/>
      </c>
      <c r="G70" s="106" t="str">
        <f aca="false">IFERROR(INDEX('Historical Data'!$Y$2:$Y$1068,MATCH($A70,'Historical Data'!$BE$2:$BE$1068,0)),"")</f>
        <v/>
      </c>
      <c r="H70" s="106" t="str">
        <f aca="false">IFERROR(INDEX('Historical Data'!$K$2:$K$1068,MATCH($A70,'Historical Data'!$BE$2:$BE$1068,0)),"")</f>
        <v/>
      </c>
      <c r="I70" s="106" t="str">
        <f aca="false">IFERROR(INDEX('Historical Data'!$J$2:$J$1068,MATCH($A70,'Historical Data'!$BE$2:$BE$1068,0)),"")</f>
        <v/>
      </c>
      <c r="J70" s="106" t="str">
        <f aca="false">IFERROR(INDEX('Historical Data'!$L$2:$L$1068,MATCH($A70,'Historical Data'!$BE$2:$BE$1068,0)),"")</f>
        <v/>
      </c>
      <c r="K70" s="108" t="str">
        <f aca="false">IFERROR(INDEX('Historical Data'!$M$2:$M$1068,MATCH($A70,'Historical Data'!$BE$2:$BE$1068,0)),"")</f>
        <v/>
      </c>
      <c r="L70" s="109" t="str">
        <f aca="false">IFERROR(INDEX('Historical Data'!$N$2:$N$1068,MATCH($A70,'Historical Data'!$BE$2:$BE$1068,0)),"")</f>
        <v/>
      </c>
      <c r="M70" s="109" t="str">
        <f aca="false">IFERROR(INDEX('Historical Data'!$Q$2:$Q$1068,MATCH($A70,'Historical Data'!$BE$2:$BE$1068,0)),"")</f>
        <v/>
      </c>
      <c r="N70" s="110" t="str">
        <f aca="false">IFERROR(INDEX('Historical Data'!$S$2:$S$1068,MATCH($A70,'Historical Data'!$BE$2:$BE$1068,0)),"")</f>
        <v/>
      </c>
      <c r="O70" s="109" t="str">
        <f aca="false">IFERROR(INDEX('Historical Data'!$AJ$2:$AJ$1068,MATCH($A70,'Historical Data'!$BE$2:$BE$1068,0)),"")</f>
        <v/>
      </c>
      <c r="P70" s="109" t="str">
        <f aca="false">IFERROR(INDEX('Historical Data'!$AK$2:$AK$1068,MATCH($A70,'Historical Data'!$BE$2:$BE$1068,0)),"")</f>
        <v/>
      </c>
      <c r="Q70" s="106" t="str">
        <f aca="false">IFERROR(INDEX('Historical Data'!$AA$2:$AA$1068,MATCH($A70,'Historical Data'!$BE$2:$BE$1068,0)),"")</f>
        <v/>
      </c>
      <c r="R70" s="106" t="str">
        <f aca="false">IFERROR(INDEX('Historical Data'!$AB$2:$AB$1068,MATCH($A70,'Historical Data'!$BE$2:$BE$1068,0)),"")</f>
        <v/>
      </c>
      <c r="S70" s="106" t="str">
        <f aca="false">IFERROR(INDEX('Historical Data'!$AN$2:$AN$1068,MATCH($A70,'Historical Data'!$BE$2:$BE$1068,0)),"")</f>
        <v/>
      </c>
      <c r="T70" s="106" t="str">
        <f aca="false">IFERROR(INDEX('Historical Data'!$AC$2:$AC$1068,MATCH($A70,'Historical Data'!$BE$2:$BE$1068,0)),"")</f>
        <v/>
      </c>
      <c r="U70" s="106" t="str">
        <f aca="false">IFERROR(INDEX('Historical Data'!$AE$2:$AE$1068,MATCH($A70,'Historical Data'!$BE$2:$BE$1068,0)),"")</f>
        <v/>
      </c>
      <c r="V70" s="106" t="str">
        <f aca="false">IFERROR(INDEX('Historical Data'!$AH$2:$AH$1068,MATCH($A70,'Historical Data'!$BE$2:$BE$1068,0)),"")</f>
        <v/>
      </c>
      <c r="W70" s="106" t="str">
        <f aca="false">IFERROR(INDEX('Historical Data'!$BC$2:$BC$1068,MATCH($A70,'Historical Data'!$BE$2:$BE$1068,0)),"")</f>
        <v/>
      </c>
      <c r="X70" s="105" t="str">
        <f aca="false">IF(B70="","",IF(W70=1,"NR + industry + position",IF(W70=2,"NR + ISO + position",IF(W70=3,"NR + industry",IF(W70=4,"NR + ISO",IF(W70=5,"NR + position",IF(W70=6,"NR only","book baseline"))))))&amp;"  ["&amp;IF(T70=1,"seasoned","unseasoned")&amp;IF(U70=1,", defaulted","")&amp;IF(V70=1,", open","")&amp;"]")</f>
        <v/>
      </c>
    </row>
    <row r="71" customFormat="false" ht="15" hidden="false" customHeight="false" outlineLevel="0" collapsed="false">
      <c r="A71" s="105" t="n">
        <v>67</v>
      </c>
      <c r="B71" s="106" t="str">
        <f aca="false">IFERROR(INDEX('Historical Data'!$A$2:$A$1068,MATCH($A71,'Historical Data'!$BE$2:$BE$1068,0)),"")</f>
        <v/>
      </c>
      <c r="C71" s="106" t="str">
        <f aca="false">IFERROR(INDEX('Historical Data'!$B$2:$B$1068,MATCH($A71,'Historical Data'!$BE$2:$BE$1068,0)),"")</f>
        <v/>
      </c>
      <c r="D71" s="106" t="str">
        <f aca="false">IFERROR(INDEX('Historical Data'!$D$2:$D$1068,MATCH($A71,'Historical Data'!$BE$2:$BE$1068,0)),"")</f>
        <v/>
      </c>
      <c r="E71" s="107" t="str">
        <f aca="false">IFERROR(INDEX('Historical Data'!$E$2:$E$1068,MATCH($A71,'Historical Data'!$BE$2:$BE$1068,0)),"")</f>
        <v/>
      </c>
      <c r="F71" s="106" t="str">
        <f aca="false">IFERROR(INDEX('Historical Data'!$G$2:$G$1068,MATCH($A71,'Historical Data'!$BE$2:$BE$1068,0)),"")</f>
        <v/>
      </c>
      <c r="G71" s="106" t="str">
        <f aca="false">IFERROR(INDEX('Historical Data'!$Y$2:$Y$1068,MATCH($A71,'Historical Data'!$BE$2:$BE$1068,0)),"")</f>
        <v/>
      </c>
      <c r="H71" s="106" t="str">
        <f aca="false">IFERROR(INDEX('Historical Data'!$K$2:$K$1068,MATCH($A71,'Historical Data'!$BE$2:$BE$1068,0)),"")</f>
        <v/>
      </c>
      <c r="I71" s="106" t="str">
        <f aca="false">IFERROR(INDEX('Historical Data'!$J$2:$J$1068,MATCH($A71,'Historical Data'!$BE$2:$BE$1068,0)),"")</f>
        <v/>
      </c>
      <c r="J71" s="106" t="str">
        <f aca="false">IFERROR(INDEX('Historical Data'!$L$2:$L$1068,MATCH($A71,'Historical Data'!$BE$2:$BE$1068,0)),"")</f>
        <v/>
      </c>
      <c r="K71" s="108" t="str">
        <f aca="false">IFERROR(INDEX('Historical Data'!$M$2:$M$1068,MATCH($A71,'Historical Data'!$BE$2:$BE$1068,0)),"")</f>
        <v/>
      </c>
      <c r="L71" s="109" t="str">
        <f aca="false">IFERROR(INDEX('Historical Data'!$N$2:$N$1068,MATCH($A71,'Historical Data'!$BE$2:$BE$1068,0)),"")</f>
        <v/>
      </c>
      <c r="M71" s="109" t="str">
        <f aca="false">IFERROR(INDEX('Historical Data'!$Q$2:$Q$1068,MATCH($A71,'Historical Data'!$BE$2:$BE$1068,0)),"")</f>
        <v/>
      </c>
      <c r="N71" s="110" t="str">
        <f aca="false">IFERROR(INDEX('Historical Data'!$S$2:$S$1068,MATCH($A71,'Historical Data'!$BE$2:$BE$1068,0)),"")</f>
        <v/>
      </c>
      <c r="O71" s="109" t="str">
        <f aca="false">IFERROR(INDEX('Historical Data'!$AJ$2:$AJ$1068,MATCH($A71,'Historical Data'!$BE$2:$BE$1068,0)),"")</f>
        <v/>
      </c>
      <c r="P71" s="109" t="str">
        <f aca="false">IFERROR(INDEX('Historical Data'!$AK$2:$AK$1068,MATCH($A71,'Historical Data'!$BE$2:$BE$1068,0)),"")</f>
        <v/>
      </c>
      <c r="Q71" s="106" t="str">
        <f aca="false">IFERROR(INDEX('Historical Data'!$AA$2:$AA$1068,MATCH($A71,'Historical Data'!$BE$2:$BE$1068,0)),"")</f>
        <v/>
      </c>
      <c r="R71" s="106" t="str">
        <f aca="false">IFERROR(INDEX('Historical Data'!$AB$2:$AB$1068,MATCH($A71,'Historical Data'!$BE$2:$BE$1068,0)),"")</f>
        <v/>
      </c>
      <c r="S71" s="106" t="str">
        <f aca="false">IFERROR(INDEX('Historical Data'!$AN$2:$AN$1068,MATCH($A71,'Historical Data'!$BE$2:$BE$1068,0)),"")</f>
        <v/>
      </c>
      <c r="T71" s="106" t="str">
        <f aca="false">IFERROR(INDEX('Historical Data'!$AC$2:$AC$1068,MATCH($A71,'Historical Data'!$BE$2:$BE$1068,0)),"")</f>
        <v/>
      </c>
      <c r="U71" s="106" t="str">
        <f aca="false">IFERROR(INDEX('Historical Data'!$AE$2:$AE$1068,MATCH($A71,'Historical Data'!$BE$2:$BE$1068,0)),"")</f>
        <v/>
      </c>
      <c r="V71" s="106" t="str">
        <f aca="false">IFERROR(INDEX('Historical Data'!$AH$2:$AH$1068,MATCH($A71,'Historical Data'!$BE$2:$BE$1068,0)),"")</f>
        <v/>
      </c>
      <c r="W71" s="106" t="str">
        <f aca="false">IFERROR(INDEX('Historical Data'!$BC$2:$BC$1068,MATCH($A71,'Historical Data'!$BE$2:$BE$1068,0)),"")</f>
        <v/>
      </c>
      <c r="X71" s="105" t="str">
        <f aca="false">IF(B71="","",IF(W71=1,"NR + industry + position",IF(W71=2,"NR + ISO + position",IF(W71=3,"NR + industry",IF(W71=4,"NR + ISO",IF(W71=5,"NR + position",IF(W71=6,"NR only","book baseline"))))))&amp;"  ["&amp;IF(T71=1,"seasoned","unseasoned")&amp;IF(U71=1,", defaulted","")&amp;IF(V71=1,", open","")&amp;"]")</f>
        <v/>
      </c>
    </row>
    <row r="72" customFormat="false" ht="15" hidden="false" customHeight="false" outlineLevel="0" collapsed="false">
      <c r="A72" s="105" t="n">
        <v>68</v>
      </c>
      <c r="B72" s="106" t="str">
        <f aca="false">IFERROR(INDEX('Historical Data'!$A$2:$A$1068,MATCH($A72,'Historical Data'!$BE$2:$BE$1068,0)),"")</f>
        <v/>
      </c>
      <c r="C72" s="106" t="str">
        <f aca="false">IFERROR(INDEX('Historical Data'!$B$2:$B$1068,MATCH($A72,'Historical Data'!$BE$2:$BE$1068,0)),"")</f>
        <v/>
      </c>
      <c r="D72" s="106" t="str">
        <f aca="false">IFERROR(INDEX('Historical Data'!$D$2:$D$1068,MATCH($A72,'Historical Data'!$BE$2:$BE$1068,0)),"")</f>
        <v/>
      </c>
      <c r="E72" s="107" t="str">
        <f aca="false">IFERROR(INDEX('Historical Data'!$E$2:$E$1068,MATCH($A72,'Historical Data'!$BE$2:$BE$1068,0)),"")</f>
        <v/>
      </c>
      <c r="F72" s="106" t="str">
        <f aca="false">IFERROR(INDEX('Historical Data'!$G$2:$G$1068,MATCH($A72,'Historical Data'!$BE$2:$BE$1068,0)),"")</f>
        <v/>
      </c>
      <c r="G72" s="106" t="str">
        <f aca="false">IFERROR(INDEX('Historical Data'!$Y$2:$Y$1068,MATCH($A72,'Historical Data'!$BE$2:$BE$1068,0)),"")</f>
        <v/>
      </c>
      <c r="H72" s="106" t="str">
        <f aca="false">IFERROR(INDEX('Historical Data'!$K$2:$K$1068,MATCH($A72,'Historical Data'!$BE$2:$BE$1068,0)),"")</f>
        <v/>
      </c>
      <c r="I72" s="106" t="str">
        <f aca="false">IFERROR(INDEX('Historical Data'!$J$2:$J$1068,MATCH($A72,'Historical Data'!$BE$2:$BE$1068,0)),"")</f>
        <v/>
      </c>
      <c r="J72" s="106" t="str">
        <f aca="false">IFERROR(INDEX('Historical Data'!$L$2:$L$1068,MATCH($A72,'Historical Data'!$BE$2:$BE$1068,0)),"")</f>
        <v/>
      </c>
      <c r="K72" s="108" t="str">
        <f aca="false">IFERROR(INDEX('Historical Data'!$M$2:$M$1068,MATCH($A72,'Historical Data'!$BE$2:$BE$1068,0)),"")</f>
        <v/>
      </c>
      <c r="L72" s="109" t="str">
        <f aca="false">IFERROR(INDEX('Historical Data'!$N$2:$N$1068,MATCH($A72,'Historical Data'!$BE$2:$BE$1068,0)),"")</f>
        <v/>
      </c>
      <c r="M72" s="109" t="str">
        <f aca="false">IFERROR(INDEX('Historical Data'!$Q$2:$Q$1068,MATCH($A72,'Historical Data'!$BE$2:$BE$1068,0)),"")</f>
        <v/>
      </c>
      <c r="N72" s="110" t="str">
        <f aca="false">IFERROR(INDEX('Historical Data'!$S$2:$S$1068,MATCH($A72,'Historical Data'!$BE$2:$BE$1068,0)),"")</f>
        <v/>
      </c>
      <c r="O72" s="109" t="str">
        <f aca="false">IFERROR(INDEX('Historical Data'!$AJ$2:$AJ$1068,MATCH($A72,'Historical Data'!$BE$2:$BE$1068,0)),"")</f>
        <v/>
      </c>
      <c r="P72" s="109" t="str">
        <f aca="false">IFERROR(INDEX('Historical Data'!$AK$2:$AK$1068,MATCH($A72,'Historical Data'!$BE$2:$BE$1068,0)),"")</f>
        <v/>
      </c>
      <c r="Q72" s="106" t="str">
        <f aca="false">IFERROR(INDEX('Historical Data'!$AA$2:$AA$1068,MATCH($A72,'Historical Data'!$BE$2:$BE$1068,0)),"")</f>
        <v/>
      </c>
      <c r="R72" s="106" t="str">
        <f aca="false">IFERROR(INDEX('Historical Data'!$AB$2:$AB$1068,MATCH($A72,'Historical Data'!$BE$2:$BE$1068,0)),"")</f>
        <v/>
      </c>
      <c r="S72" s="106" t="str">
        <f aca="false">IFERROR(INDEX('Historical Data'!$AN$2:$AN$1068,MATCH($A72,'Historical Data'!$BE$2:$BE$1068,0)),"")</f>
        <v/>
      </c>
      <c r="T72" s="106" t="str">
        <f aca="false">IFERROR(INDEX('Historical Data'!$AC$2:$AC$1068,MATCH($A72,'Historical Data'!$BE$2:$BE$1068,0)),"")</f>
        <v/>
      </c>
      <c r="U72" s="106" t="str">
        <f aca="false">IFERROR(INDEX('Historical Data'!$AE$2:$AE$1068,MATCH($A72,'Historical Data'!$BE$2:$BE$1068,0)),"")</f>
        <v/>
      </c>
      <c r="V72" s="106" t="str">
        <f aca="false">IFERROR(INDEX('Historical Data'!$AH$2:$AH$1068,MATCH($A72,'Historical Data'!$BE$2:$BE$1068,0)),"")</f>
        <v/>
      </c>
      <c r="W72" s="106" t="str">
        <f aca="false">IFERROR(INDEX('Historical Data'!$BC$2:$BC$1068,MATCH($A72,'Historical Data'!$BE$2:$BE$1068,0)),"")</f>
        <v/>
      </c>
      <c r="X72" s="105" t="str">
        <f aca="false">IF(B72="","",IF(W72=1,"NR + industry + position",IF(W72=2,"NR + ISO + position",IF(W72=3,"NR + industry",IF(W72=4,"NR + ISO",IF(W72=5,"NR + position",IF(W72=6,"NR only","book baseline"))))))&amp;"  ["&amp;IF(T72=1,"seasoned","unseasoned")&amp;IF(U72=1,", defaulted","")&amp;IF(V72=1,", open","")&amp;"]")</f>
        <v/>
      </c>
    </row>
    <row r="73" customFormat="false" ht="15" hidden="false" customHeight="false" outlineLevel="0" collapsed="false">
      <c r="A73" s="105" t="n">
        <v>69</v>
      </c>
      <c r="B73" s="106" t="str">
        <f aca="false">IFERROR(INDEX('Historical Data'!$A$2:$A$1068,MATCH($A73,'Historical Data'!$BE$2:$BE$1068,0)),"")</f>
        <v/>
      </c>
      <c r="C73" s="106" t="str">
        <f aca="false">IFERROR(INDEX('Historical Data'!$B$2:$B$1068,MATCH($A73,'Historical Data'!$BE$2:$BE$1068,0)),"")</f>
        <v/>
      </c>
      <c r="D73" s="106" t="str">
        <f aca="false">IFERROR(INDEX('Historical Data'!$D$2:$D$1068,MATCH($A73,'Historical Data'!$BE$2:$BE$1068,0)),"")</f>
        <v/>
      </c>
      <c r="E73" s="107" t="str">
        <f aca="false">IFERROR(INDEX('Historical Data'!$E$2:$E$1068,MATCH($A73,'Historical Data'!$BE$2:$BE$1068,0)),"")</f>
        <v/>
      </c>
      <c r="F73" s="106" t="str">
        <f aca="false">IFERROR(INDEX('Historical Data'!$G$2:$G$1068,MATCH($A73,'Historical Data'!$BE$2:$BE$1068,0)),"")</f>
        <v/>
      </c>
      <c r="G73" s="106" t="str">
        <f aca="false">IFERROR(INDEX('Historical Data'!$Y$2:$Y$1068,MATCH($A73,'Historical Data'!$BE$2:$BE$1068,0)),"")</f>
        <v/>
      </c>
      <c r="H73" s="106" t="str">
        <f aca="false">IFERROR(INDEX('Historical Data'!$K$2:$K$1068,MATCH($A73,'Historical Data'!$BE$2:$BE$1068,0)),"")</f>
        <v/>
      </c>
      <c r="I73" s="106" t="str">
        <f aca="false">IFERROR(INDEX('Historical Data'!$J$2:$J$1068,MATCH($A73,'Historical Data'!$BE$2:$BE$1068,0)),"")</f>
        <v/>
      </c>
      <c r="J73" s="106" t="str">
        <f aca="false">IFERROR(INDEX('Historical Data'!$L$2:$L$1068,MATCH($A73,'Historical Data'!$BE$2:$BE$1068,0)),"")</f>
        <v/>
      </c>
      <c r="K73" s="108" t="str">
        <f aca="false">IFERROR(INDEX('Historical Data'!$M$2:$M$1068,MATCH($A73,'Historical Data'!$BE$2:$BE$1068,0)),"")</f>
        <v/>
      </c>
      <c r="L73" s="109" t="str">
        <f aca="false">IFERROR(INDEX('Historical Data'!$N$2:$N$1068,MATCH($A73,'Historical Data'!$BE$2:$BE$1068,0)),"")</f>
        <v/>
      </c>
      <c r="M73" s="109" t="str">
        <f aca="false">IFERROR(INDEX('Historical Data'!$Q$2:$Q$1068,MATCH($A73,'Historical Data'!$BE$2:$BE$1068,0)),"")</f>
        <v/>
      </c>
      <c r="N73" s="110" t="str">
        <f aca="false">IFERROR(INDEX('Historical Data'!$S$2:$S$1068,MATCH($A73,'Historical Data'!$BE$2:$BE$1068,0)),"")</f>
        <v/>
      </c>
      <c r="O73" s="109" t="str">
        <f aca="false">IFERROR(INDEX('Historical Data'!$AJ$2:$AJ$1068,MATCH($A73,'Historical Data'!$BE$2:$BE$1068,0)),"")</f>
        <v/>
      </c>
      <c r="P73" s="109" t="str">
        <f aca="false">IFERROR(INDEX('Historical Data'!$AK$2:$AK$1068,MATCH($A73,'Historical Data'!$BE$2:$BE$1068,0)),"")</f>
        <v/>
      </c>
      <c r="Q73" s="106" t="str">
        <f aca="false">IFERROR(INDEX('Historical Data'!$AA$2:$AA$1068,MATCH($A73,'Historical Data'!$BE$2:$BE$1068,0)),"")</f>
        <v/>
      </c>
      <c r="R73" s="106" t="str">
        <f aca="false">IFERROR(INDEX('Historical Data'!$AB$2:$AB$1068,MATCH($A73,'Historical Data'!$BE$2:$BE$1068,0)),"")</f>
        <v/>
      </c>
      <c r="S73" s="106" t="str">
        <f aca="false">IFERROR(INDEX('Historical Data'!$AN$2:$AN$1068,MATCH($A73,'Historical Data'!$BE$2:$BE$1068,0)),"")</f>
        <v/>
      </c>
      <c r="T73" s="106" t="str">
        <f aca="false">IFERROR(INDEX('Historical Data'!$AC$2:$AC$1068,MATCH($A73,'Historical Data'!$BE$2:$BE$1068,0)),"")</f>
        <v/>
      </c>
      <c r="U73" s="106" t="str">
        <f aca="false">IFERROR(INDEX('Historical Data'!$AE$2:$AE$1068,MATCH($A73,'Historical Data'!$BE$2:$BE$1068,0)),"")</f>
        <v/>
      </c>
      <c r="V73" s="106" t="str">
        <f aca="false">IFERROR(INDEX('Historical Data'!$AH$2:$AH$1068,MATCH($A73,'Historical Data'!$BE$2:$BE$1068,0)),"")</f>
        <v/>
      </c>
      <c r="W73" s="106" t="str">
        <f aca="false">IFERROR(INDEX('Historical Data'!$BC$2:$BC$1068,MATCH($A73,'Historical Data'!$BE$2:$BE$1068,0)),"")</f>
        <v/>
      </c>
      <c r="X73" s="105" t="str">
        <f aca="false">IF(B73="","",IF(W73=1,"NR + industry + position",IF(W73=2,"NR + ISO + position",IF(W73=3,"NR + industry",IF(W73=4,"NR + ISO",IF(W73=5,"NR + position",IF(W73=6,"NR only","book baseline"))))))&amp;"  ["&amp;IF(T73=1,"seasoned","unseasoned")&amp;IF(U73=1,", defaulted","")&amp;IF(V73=1,", open","")&amp;"]")</f>
        <v/>
      </c>
    </row>
    <row r="74" customFormat="false" ht="15" hidden="false" customHeight="false" outlineLevel="0" collapsed="false">
      <c r="A74" s="105" t="n">
        <v>70</v>
      </c>
      <c r="B74" s="106" t="str">
        <f aca="false">IFERROR(INDEX('Historical Data'!$A$2:$A$1068,MATCH($A74,'Historical Data'!$BE$2:$BE$1068,0)),"")</f>
        <v/>
      </c>
      <c r="C74" s="106" t="str">
        <f aca="false">IFERROR(INDEX('Historical Data'!$B$2:$B$1068,MATCH($A74,'Historical Data'!$BE$2:$BE$1068,0)),"")</f>
        <v/>
      </c>
      <c r="D74" s="106" t="str">
        <f aca="false">IFERROR(INDEX('Historical Data'!$D$2:$D$1068,MATCH($A74,'Historical Data'!$BE$2:$BE$1068,0)),"")</f>
        <v/>
      </c>
      <c r="E74" s="107" t="str">
        <f aca="false">IFERROR(INDEX('Historical Data'!$E$2:$E$1068,MATCH($A74,'Historical Data'!$BE$2:$BE$1068,0)),"")</f>
        <v/>
      </c>
      <c r="F74" s="106" t="str">
        <f aca="false">IFERROR(INDEX('Historical Data'!$G$2:$G$1068,MATCH($A74,'Historical Data'!$BE$2:$BE$1068,0)),"")</f>
        <v/>
      </c>
      <c r="G74" s="106" t="str">
        <f aca="false">IFERROR(INDEX('Historical Data'!$Y$2:$Y$1068,MATCH($A74,'Historical Data'!$BE$2:$BE$1068,0)),"")</f>
        <v/>
      </c>
      <c r="H74" s="106" t="str">
        <f aca="false">IFERROR(INDEX('Historical Data'!$K$2:$K$1068,MATCH($A74,'Historical Data'!$BE$2:$BE$1068,0)),"")</f>
        <v/>
      </c>
      <c r="I74" s="106" t="str">
        <f aca="false">IFERROR(INDEX('Historical Data'!$J$2:$J$1068,MATCH($A74,'Historical Data'!$BE$2:$BE$1068,0)),"")</f>
        <v/>
      </c>
      <c r="J74" s="106" t="str">
        <f aca="false">IFERROR(INDEX('Historical Data'!$L$2:$L$1068,MATCH($A74,'Historical Data'!$BE$2:$BE$1068,0)),"")</f>
        <v/>
      </c>
      <c r="K74" s="108" t="str">
        <f aca="false">IFERROR(INDEX('Historical Data'!$M$2:$M$1068,MATCH($A74,'Historical Data'!$BE$2:$BE$1068,0)),"")</f>
        <v/>
      </c>
      <c r="L74" s="109" t="str">
        <f aca="false">IFERROR(INDEX('Historical Data'!$N$2:$N$1068,MATCH($A74,'Historical Data'!$BE$2:$BE$1068,0)),"")</f>
        <v/>
      </c>
      <c r="M74" s="109" t="str">
        <f aca="false">IFERROR(INDEX('Historical Data'!$Q$2:$Q$1068,MATCH($A74,'Historical Data'!$BE$2:$BE$1068,0)),"")</f>
        <v/>
      </c>
      <c r="N74" s="110" t="str">
        <f aca="false">IFERROR(INDEX('Historical Data'!$S$2:$S$1068,MATCH($A74,'Historical Data'!$BE$2:$BE$1068,0)),"")</f>
        <v/>
      </c>
      <c r="O74" s="109" t="str">
        <f aca="false">IFERROR(INDEX('Historical Data'!$AJ$2:$AJ$1068,MATCH($A74,'Historical Data'!$BE$2:$BE$1068,0)),"")</f>
        <v/>
      </c>
      <c r="P74" s="109" t="str">
        <f aca="false">IFERROR(INDEX('Historical Data'!$AK$2:$AK$1068,MATCH($A74,'Historical Data'!$BE$2:$BE$1068,0)),"")</f>
        <v/>
      </c>
      <c r="Q74" s="106" t="str">
        <f aca="false">IFERROR(INDEX('Historical Data'!$AA$2:$AA$1068,MATCH($A74,'Historical Data'!$BE$2:$BE$1068,0)),"")</f>
        <v/>
      </c>
      <c r="R74" s="106" t="str">
        <f aca="false">IFERROR(INDEX('Historical Data'!$AB$2:$AB$1068,MATCH($A74,'Historical Data'!$BE$2:$BE$1068,0)),"")</f>
        <v/>
      </c>
      <c r="S74" s="106" t="str">
        <f aca="false">IFERROR(INDEX('Historical Data'!$AN$2:$AN$1068,MATCH($A74,'Historical Data'!$BE$2:$BE$1068,0)),"")</f>
        <v/>
      </c>
      <c r="T74" s="106" t="str">
        <f aca="false">IFERROR(INDEX('Historical Data'!$AC$2:$AC$1068,MATCH($A74,'Historical Data'!$BE$2:$BE$1068,0)),"")</f>
        <v/>
      </c>
      <c r="U74" s="106" t="str">
        <f aca="false">IFERROR(INDEX('Historical Data'!$AE$2:$AE$1068,MATCH($A74,'Historical Data'!$BE$2:$BE$1068,0)),"")</f>
        <v/>
      </c>
      <c r="V74" s="106" t="str">
        <f aca="false">IFERROR(INDEX('Historical Data'!$AH$2:$AH$1068,MATCH($A74,'Historical Data'!$BE$2:$BE$1068,0)),"")</f>
        <v/>
      </c>
      <c r="W74" s="106" t="str">
        <f aca="false">IFERROR(INDEX('Historical Data'!$BC$2:$BC$1068,MATCH($A74,'Historical Data'!$BE$2:$BE$1068,0)),"")</f>
        <v/>
      </c>
      <c r="X74" s="105" t="str">
        <f aca="false">IF(B74="","",IF(W74=1,"NR + industry + position",IF(W74=2,"NR + ISO + position",IF(W74=3,"NR + industry",IF(W74=4,"NR + ISO",IF(W74=5,"NR + position",IF(W74=6,"NR only","book baseline"))))))&amp;"  ["&amp;IF(T74=1,"seasoned","unseasoned")&amp;IF(U74=1,", defaulted","")&amp;IF(V74=1,", open","")&amp;"]")</f>
        <v/>
      </c>
    </row>
    <row r="75" customFormat="false" ht="15" hidden="false" customHeight="false" outlineLevel="0" collapsed="false">
      <c r="A75" s="105" t="n">
        <v>71</v>
      </c>
      <c r="B75" s="106" t="str">
        <f aca="false">IFERROR(INDEX('Historical Data'!$A$2:$A$1068,MATCH($A75,'Historical Data'!$BE$2:$BE$1068,0)),"")</f>
        <v/>
      </c>
      <c r="C75" s="106" t="str">
        <f aca="false">IFERROR(INDEX('Historical Data'!$B$2:$B$1068,MATCH($A75,'Historical Data'!$BE$2:$BE$1068,0)),"")</f>
        <v/>
      </c>
      <c r="D75" s="106" t="str">
        <f aca="false">IFERROR(INDEX('Historical Data'!$D$2:$D$1068,MATCH($A75,'Historical Data'!$BE$2:$BE$1068,0)),"")</f>
        <v/>
      </c>
      <c r="E75" s="107" t="str">
        <f aca="false">IFERROR(INDEX('Historical Data'!$E$2:$E$1068,MATCH($A75,'Historical Data'!$BE$2:$BE$1068,0)),"")</f>
        <v/>
      </c>
      <c r="F75" s="106" t="str">
        <f aca="false">IFERROR(INDEX('Historical Data'!$G$2:$G$1068,MATCH($A75,'Historical Data'!$BE$2:$BE$1068,0)),"")</f>
        <v/>
      </c>
      <c r="G75" s="106" t="str">
        <f aca="false">IFERROR(INDEX('Historical Data'!$Y$2:$Y$1068,MATCH($A75,'Historical Data'!$BE$2:$BE$1068,0)),"")</f>
        <v/>
      </c>
      <c r="H75" s="106" t="str">
        <f aca="false">IFERROR(INDEX('Historical Data'!$K$2:$K$1068,MATCH($A75,'Historical Data'!$BE$2:$BE$1068,0)),"")</f>
        <v/>
      </c>
      <c r="I75" s="106" t="str">
        <f aca="false">IFERROR(INDEX('Historical Data'!$J$2:$J$1068,MATCH($A75,'Historical Data'!$BE$2:$BE$1068,0)),"")</f>
        <v/>
      </c>
      <c r="J75" s="106" t="str">
        <f aca="false">IFERROR(INDEX('Historical Data'!$L$2:$L$1068,MATCH($A75,'Historical Data'!$BE$2:$BE$1068,0)),"")</f>
        <v/>
      </c>
      <c r="K75" s="108" t="str">
        <f aca="false">IFERROR(INDEX('Historical Data'!$M$2:$M$1068,MATCH($A75,'Historical Data'!$BE$2:$BE$1068,0)),"")</f>
        <v/>
      </c>
      <c r="L75" s="109" t="str">
        <f aca="false">IFERROR(INDEX('Historical Data'!$N$2:$N$1068,MATCH($A75,'Historical Data'!$BE$2:$BE$1068,0)),"")</f>
        <v/>
      </c>
      <c r="M75" s="109" t="str">
        <f aca="false">IFERROR(INDEX('Historical Data'!$Q$2:$Q$1068,MATCH($A75,'Historical Data'!$BE$2:$BE$1068,0)),"")</f>
        <v/>
      </c>
      <c r="N75" s="110" t="str">
        <f aca="false">IFERROR(INDEX('Historical Data'!$S$2:$S$1068,MATCH($A75,'Historical Data'!$BE$2:$BE$1068,0)),"")</f>
        <v/>
      </c>
      <c r="O75" s="109" t="str">
        <f aca="false">IFERROR(INDEX('Historical Data'!$AJ$2:$AJ$1068,MATCH($A75,'Historical Data'!$BE$2:$BE$1068,0)),"")</f>
        <v/>
      </c>
      <c r="P75" s="109" t="str">
        <f aca="false">IFERROR(INDEX('Historical Data'!$AK$2:$AK$1068,MATCH($A75,'Historical Data'!$BE$2:$BE$1068,0)),"")</f>
        <v/>
      </c>
      <c r="Q75" s="106" t="str">
        <f aca="false">IFERROR(INDEX('Historical Data'!$AA$2:$AA$1068,MATCH($A75,'Historical Data'!$BE$2:$BE$1068,0)),"")</f>
        <v/>
      </c>
      <c r="R75" s="106" t="str">
        <f aca="false">IFERROR(INDEX('Historical Data'!$AB$2:$AB$1068,MATCH($A75,'Historical Data'!$BE$2:$BE$1068,0)),"")</f>
        <v/>
      </c>
      <c r="S75" s="106" t="str">
        <f aca="false">IFERROR(INDEX('Historical Data'!$AN$2:$AN$1068,MATCH($A75,'Historical Data'!$BE$2:$BE$1068,0)),"")</f>
        <v/>
      </c>
      <c r="T75" s="106" t="str">
        <f aca="false">IFERROR(INDEX('Historical Data'!$AC$2:$AC$1068,MATCH($A75,'Historical Data'!$BE$2:$BE$1068,0)),"")</f>
        <v/>
      </c>
      <c r="U75" s="106" t="str">
        <f aca="false">IFERROR(INDEX('Historical Data'!$AE$2:$AE$1068,MATCH($A75,'Historical Data'!$BE$2:$BE$1068,0)),"")</f>
        <v/>
      </c>
      <c r="V75" s="106" t="str">
        <f aca="false">IFERROR(INDEX('Historical Data'!$AH$2:$AH$1068,MATCH($A75,'Historical Data'!$BE$2:$BE$1068,0)),"")</f>
        <v/>
      </c>
      <c r="W75" s="106" t="str">
        <f aca="false">IFERROR(INDEX('Historical Data'!$BC$2:$BC$1068,MATCH($A75,'Historical Data'!$BE$2:$BE$1068,0)),"")</f>
        <v/>
      </c>
      <c r="X75" s="105" t="str">
        <f aca="false">IF(B75="","",IF(W75=1,"NR + industry + position",IF(W75=2,"NR + ISO + position",IF(W75=3,"NR + industry",IF(W75=4,"NR + ISO",IF(W75=5,"NR + position",IF(W75=6,"NR only","book baseline"))))))&amp;"  ["&amp;IF(T75=1,"seasoned","unseasoned")&amp;IF(U75=1,", defaulted","")&amp;IF(V75=1,", open","")&amp;"]")</f>
        <v/>
      </c>
    </row>
    <row r="76" customFormat="false" ht="15" hidden="false" customHeight="false" outlineLevel="0" collapsed="false">
      <c r="A76" s="105" t="n">
        <v>72</v>
      </c>
      <c r="B76" s="106" t="str">
        <f aca="false">IFERROR(INDEX('Historical Data'!$A$2:$A$1068,MATCH($A76,'Historical Data'!$BE$2:$BE$1068,0)),"")</f>
        <v/>
      </c>
      <c r="C76" s="106" t="str">
        <f aca="false">IFERROR(INDEX('Historical Data'!$B$2:$B$1068,MATCH($A76,'Historical Data'!$BE$2:$BE$1068,0)),"")</f>
        <v/>
      </c>
      <c r="D76" s="106" t="str">
        <f aca="false">IFERROR(INDEX('Historical Data'!$D$2:$D$1068,MATCH($A76,'Historical Data'!$BE$2:$BE$1068,0)),"")</f>
        <v/>
      </c>
      <c r="E76" s="107" t="str">
        <f aca="false">IFERROR(INDEX('Historical Data'!$E$2:$E$1068,MATCH($A76,'Historical Data'!$BE$2:$BE$1068,0)),"")</f>
        <v/>
      </c>
      <c r="F76" s="106" t="str">
        <f aca="false">IFERROR(INDEX('Historical Data'!$G$2:$G$1068,MATCH($A76,'Historical Data'!$BE$2:$BE$1068,0)),"")</f>
        <v/>
      </c>
      <c r="G76" s="106" t="str">
        <f aca="false">IFERROR(INDEX('Historical Data'!$Y$2:$Y$1068,MATCH($A76,'Historical Data'!$BE$2:$BE$1068,0)),"")</f>
        <v/>
      </c>
      <c r="H76" s="106" t="str">
        <f aca="false">IFERROR(INDEX('Historical Data'!$K$2:$K$1068,MATCH($A76,'Historical Data'!$BE$2:$BE$1068,0)),"")</f>
        <v/>
      </c>
      <c r="I76" s="106" t="str">
        <f aca="false">IFERROR(INDEX('Historical Data'!$J$2:$J$1068,MATCH($A76,'Historical Data'!$BE$2:$BE$1068,0)),"")</f>
        <v/>
      </c>
      <c r="J76" s="106" t="str">
        <f aca="false">IFERROR(INDEX('Historical Data'!$L$2:$L$1068,MATCH($A76,'Historical Data'!$BE$2:$BE$1068,0)),"")</f>
        <v/>
      </c>
      <c r="K76" s="108" t="str">
        <f aca="false">IFERROR(INDEX('Historical Data'!$M$2:$M$1068,MATCH($A76,'Historical Data'!$BE$2:$BE$1068,0)),"")</f>
        <v/>
      </c>
      <c r="L76" s="109" t="str">
        <f aca="false">IFERROR(INDEX('Historical Data'!$N$2:$N$1068,MATCH($A76,'Historical Data'!$BE$2:$BE$1068,0)),"")</f>
        <v/>
      </c>
      <c r="M76" s="109" t="str">
        <f aca="false">IFERROR(INDEX('Historical Data'!$Q$2:$Q$1068,MATCH($A76,'Historical Data'!$BE$2:$BE$1068,0)),"")</f>
        <v/>
      </c>
      <c r="N76" s="110" t="str">
        <f aca="false">IFERROR(INDEX('Historical Data'!$S$2:$S$1068,MATCH($A76,'Historical Data'!$BE$2:$BE$1068,0)),"")</f>
        <v/>
      </c>
      <c r="O76" s="109" t="str">
        <f aca="false">IFERROR(INDEX('Historical Data'!$AJ$2:$AJ$1068,MATCH($A76,'Historical Data'!$BE$2:$BE$1068,0)),"")</f>
        <v/>
      </c>
      <c r="P76" s="109" t="str">
        <f aca="false">IFERROR(INDEX('Historical Data'!$AK$2:$AK$1068,MATCH($A76,'Historical Data'!$BE$2:$BE$1068,0)),"")</f>
        <v/>
      </c>
      <c r="Q76" s="106" t="str">
        <f aca="false">IFERROR(INDEX('Historical Data'!$AA$2:$AA$1068,MATCH($A76,'Historical Data'!$BE$2:$BE$1068,0)),"")</f>
        <v/>
      </c>
      <c r="R76" s="106" t="str">
        <f aca="false">IFERROR(INDEX('Historical Data'!$AB$2:$AB$1068,MATCH($A76,'Historical Data'!$BE$2:$BE$1068,0)),"")</f>
        <v/>
      </c>
      <c r="S76" s="106" t="str">
        <f aca="false">IFERROR(INDEX('Historical Data'!$AN$2:$AN$1068,MATCH($A76,'Historical Data'!$BE$2:$BE$1068,0)),"")</f>
        <v/>
      </c>
      <c r="T76" s="106" t="str">
        <f aca="false">IFERROR(INDEX('Historical Data'!$AC$2:$AC$1068,MATCH($A76,'Historical Data'!$BE$2:$BE$1068,0)),"")</f>
        <v/>
      </c>
      <c r="U76" s="106" t="str">
        <f aca="false">IFERROR(INDEX('Historical Data'!$AE$2:$AE$1068,MATCH($A76,'Historical Data'!$BE$2:$BE$1068,0)),"")</f>
        <v/>
      </c>
      <c r="V76" s="106" t="str">
        <f aca="false">IFERROR(INDEX('Historical Data'!$AH$2:$AH$1068,MATCH($A76,'Historical Data'!$BE$2:$BE$1068,0)),"")</f>
        <v/>
      </c>
      <c r="W76" s="106" t="str">
        <f aca="false">IFERROR(INDEX('Historical Data'!$BC$2:$BC$1068,MATCH($A76,'Historical Data'!$BE$2:$BE$1068,0)),"")</f>
        <v/>
      </c>
      <c r="X76" s="105" t="str">
        <f aca="false">IF(B76="","",IF(W76=1,"NR + industry + position",IF(W76=2,"NR + ISO + position",IF(W76=3,"NR + industry",IF(W76=4,"NR + ISO",IF(W76=5,"NR + position",IF(W76=6,"NR only","book baseline"))))))&amp;"  ["&amp;IF(T76=1,"seasoned","unseasoned")&amp;IF(U76=1,", defaulted","")&amp;IF(V76=1,", open","")&amp;"]")</f>
        <v/>
      </c>
    </row>
    <row r="77" customFormat="false" ht="15" hidden="false" customHeight="false" outlineLevel="0" collapsed="false">
      <c r="A77" s="105" t="n">
        <v>73</v>
      </c>
      <c r="B77" s="106" t="str">
        <f aca="false">IFERROR(INDEX('Historical Data'!$A$2:$A$1068,MATCH($A77,'Historical Data'!$BE$2:$BE$1068,0)),"")</f>
        <v/>
      </c>
      <c r="C77" s="106" t="str">
        <f aca="false">IFERROR(INDEX('Historical Data'!$B$2:$B$1068,MATCH($A77,'Historical Data'!$BE$2:$BE$1068,0)),"")</f>
        <v/>
      </c>
      <c r="D77" s="106" t="str">
        <f aca="false">IFERROR(INDEX('Historical Data'!$D$2:$D$1068,MATCH($A77,'Historical Data'!$BE$2:$BE$1068,0)),"")</f>
        <v/>
      </c>
      <c r="E77" s="107" t="str">
        <f aca="false">IFERROR(INDEX('Historical Data'!$E$2:$E$1068,MATCH($A77,'Historical Data'!$BE$2:$BE$1068,0)),"")</f>
        <v/>
      </c>
      <c r="F77" s="106" t="str">
        <f aca="false">IFERROR(INDEX('Historical Data'!$G$2:$G$1068,MATCH($A77,'Historical Data'!$BE$2:$BE$1068,0)),"")</f>
        <v/>
      </c>
      <c r="G77" s="106" t="str">
        <f aca="false">IFERROR(INDEX('Historical Data'!$Y$2:$Y$1068,MATCH($A77,'Historical Data'!$BE$2:$BE$1068,0)),"")</f>
        <v/>
      </c>
      <c r="H77" s="106" t="str">
        <f aca="false">IFERROR(INDEX('Historical Data'!$K$2:$K$1068,MATCH($A77,'Historical Data'!$BE$2:$BE$1068,0)),"")</f>
        <v/>
      </c>
      <c r="I77" s="106" t="str">
        <f aca="false">IFERROR(INDEX('Historical Data'!$J$2:$J$1068,MATCH($A77,'Historical Data'!$BE$2:$BE$1068,0)),"")</f>
        <v/>
      </c>
      <c r="J77" s="106" t="str">
        <f aca="false">IFERROR(INDEX('Historical Data'!$L$2:$L$1068,MATCH($A77,'Historical Data'!$BE$2:$BE$1068,0)),"")</f>
        <v/>
      </c>
      <c r="K77" s="108" t="str">
        <f aca="false">IFERROR(INDEX('Historical Data'!$M$2:$M$1068,MATCH($A77,'Historical Data'!$BE$2:$BE$1068,0)),"")</f>
        <v/>
      </c>
      <c r="L77" s="109" t="str">
        <f aca="false">IFERROR(INDEX('Historical Data'!$N$2:$N$1068,MATCH($A77,'Historical Data'!$BE$2:$BE$1068,0)),"")</f>
        <v/>
      </c>
      <c r="M77" s="109" t="str">
        <f aca="false">IFERROR(INDEX('Historical Data'!$Q$2:$Q$1068,MATCH($A77,'Historical Data'!$BE$2:$BE$1068,0)),"")</f>
        <v/>
      </c>
      <c r="N77" s="110" t="str">
        <f aca="false">IFERROR(INDEX('Historical Data'!$S$2:$S$1068,MATCH($A77,'Historical Data'!$BE$2:$BE$1068,0)),"")</f>
        <v/>
      </c>
      <c r="O77" s="109" t="str">
        <f aca="false">IFERROR(INDEX('Historical Data'!$AJ$2:$AJ$1068,MATCH($A77,'Historical Data'!$BE$2:$BE$1068,0)),"")</f>
        <v/>
      </c>
      <c r="P77" s="109" t="str">
        <f aca="false">IFERROR(INDEX('Historical Data'!$AK$2:$AK$1068,MATCH($A77,'Historical Data'!$BE$2:$BE$1068,0)),"")</f>
        <v/>
      </c>
      <c r="Q77" s="106" t="str">
        <f aca="false">IFERROR(INDEX('Historical Data'!$AA$2:$AA$1068,MATCH($A77,'Historical Data'!$BE$2:$BE$1068,0)),"")</f>
        <v/>
      </c>
      <c r="R77" s="106" t="str">
        <f aca="false">IFERROR(INDEX('Historical Data'!$AB$2:$AB$1068,MATCH($A77,'Historical Data'!$BE$2:$BE$1068,0)),"")</f>
        <v/>
      </c>
      <c r="S77" s="106" t="str">
        <f aca="false">IFERROR(INDEX('Historical Data'!$AN$2:$AN$1068,MATCH($A77,'Historical Data'!$BE$2:$BE$1068,0)),"")</f>
        <v/>
      </c>
      <c r="T77" s="106" t="str">
        <f aca="false">IFERROR(INDEX('Historical Data'!$AC$2:$AC$1068,MATCH($A77,'Historical Data'!$BE$2:$BE$1068,0)),"")</f>
        <v/>
      </c>
      <c r="U77" s="106" t="str">
        <f aca="false">IFERROR(INDEX('Historical Data'!$AE$2:$AE$1068,MATCH($A77,'Historical Data'!$BE$2:$BE$1068,0)),"")</f>
        <v/>
      </c>
      <c r="V77" s="106" t="str">
        <f aca="false">IFERROR(INDEX('Historical Data'!$AH$2:$AH$1068,MATCH($A77,'Historical Data'!$BE$2:$BE$1068,0)),"")</f>
        <v/>
      </c>
      <c r="W77" s="106" t="str">
        <f aca="false">IFERROR(INDEX('Historical Data'!$BC$2:$BC$1068,MATCH($A77,'Historical Data'!$BE$2:$BE$1068,0)),"")</f>
        <v/>
      </c>
      <c r="X77" s="105" t="str">
        <f aca="false">IF(B77="","",IF(W77=1,"NR + industry + position",IF(W77=2,"NR + ISO + position",IF(W77=3,"NR + industry",IF(W77=4,"NR + ISO",IF(W77=5,"NR + position",IF(W77=6,"NR only","book baseline"))))))&amp;"  ["&amp;IF(T77=1,"seasoned","unseasoned")&amp;IF(U77=1,", defaulted","")&amp;IF(V77=1,", open","")&amp;"]")</f>
        <v/>
      </c>
    </row>
    <row r="78" customFormat="false" ht="15" hidden="false" customHeight="false" outlineLevel="0" collapsed="false">
      <c r="A78" s="105" t="n">
        <v>74</v>
      </c>
      <c r="B78" s="106" t="str">
        <f aca="false">IFERROR(INDEX('Historical Data'!$A$2:$A$1068,MATCH($A78,'Historical Data'!$BE$2:$BE$1068,0)),"")</f>
        <v/>
      </c>
      <c r="C78" s="106" t="str">
        <f aca="false">IFERROR(INDEX('Historical Data'!$B$2:$B$1068,MATCH($A78,'Historical Data'!$BE$2:$BE$1068,0)),"")</f>
        <v/>
      </c>
      <c r="D78" s="106" t="str">
        <f aca="false">IFERROR(INDEX('Historical Data'!$D$2:$D$1068,MATCH($A78,'Historical Data'!$BE$2:$BE$1068,0)),"")</f>
        <v/>
      </c>
      <c r="E78" s="107" t="str">
        <f aca="false">IFERROR(INDEX('Historical Data'!$E$2:$E$1068,MATCH($A78,'Historical Data'!$BE$2:$BE$1068,0)),"")</f>
        <v/>
      </c>
      <c r="F78" s="106" t="str">
        <f aca="false">IFERROR(INDEX('Historical Data'!$G$2:$G$1068,MATCH($A78,'Historical Data'!$BE$2:$BE$1068,0)),"")</f>
        <v/>
      </c>
      <c r="G78" s="106" t="str">
        <f aca="false">IFERROR(INDEX('Historical Data'!$Y$2:$Y$1068,MATCH($A78,'Historical Data'!$BE$2:$BE$1068,0)),"")</f>
        <v/>
      </c>
      <c r="H78" s="106" t="str">
        <f aca="false">IFERROR(INDEX('Historical Data'!$K$2:$K$1068,MATCH($A78,'Historical Data'!$BE$2:$BE$1068,0)),"")</f>
        <v/>
      </c>
      <c r="I78" s="106" t="str">
        <f aca="false">IFERROR(INDEX('Historical Data'!$J$2:$J$1068,MATCH($A78,'Historical Data'!$BE$2:$BE$1068,0)),"")</f>
        <v/>
      </c>
      <c r="J78" s="106" t="str">
        <f aca="false">IFERROR(INDEX('Historical Data'!$L$2:$L$1068,MATCH($A78,'Historical Data'!$BE$2:$BE$1068,0)),"")</f>
        <v/>
      </c>
      <c r="K78" s="108" t="str">
        <f aca="false">IFERROR(INDEX('Historical Data'!$M$2:$M$1068,MATCH($A78,'Historical Data'!$BE$2:$BE$1068,0)),"")</f>
        <v/>
      </c>
      <c r="L78" s="109" t="str">
        <f aca="false">IFERROR(INDEX('Historical Data'!$N$2:$N$1068,MATCH($A78,'Historical Data'!$BE$2:$BE$1068,0)),"")</f>
        <v/>
      </c>
      <c r="M78" s="109" t="str">
        <f aca="false">IFERROR(INDEX('Historical Data'!$Q$2:$Q$1068,MATCH($A78,'Historical Data'!$BE$2:$BE$1068,0)),"")</f>
        <v/>
      </c>
      <c r="N78" s="110" t="str">
        <f aca="false">IFERROR(INDEX('Historical Data'!$S$2:$S$1068,MATCH($A78,'Historical Data'!$BE$2:$BE$1068,0)),"")</f>
        <v/>
      </c>
      <c r="O78" s="109" t="str">
        <f aca="false">IFERROR(INDEX('Historical Data'!$AJ$2:$AJ$1068,MATCH($A78,'Historical Data'!$BE$2:$BE$1068,0)),"")</f>
        <v/>
      </c>
      <c r="P78" s="109" t="str">
        <f aca="false">IFERROR(INDEX('Historical Data'!$AK$2:$AK$1068,MATCH($A78,'Historical Data'!$BE$2:$BE$1068,0)),"")</f>
        <v/>
      </c>
      <c r="Q78" s="106" t="str">
        <f aca="false">IFERROR(INDEX('Historical Data'!$AA$2:$AA$1068,MATCH($A78,'Historical Data'!$BE$2:$BE$1068,0)),"")</f>
        <v/>
      </c>
      <c r="R78" s="106" t="str">
        <f aca="false">IFERROR(INDEX('Historical Data'!$AB$2:$AB$1068,MATCH($A78,'Historical Data'!$BE$2:$BE$1068,0)),"")</f>
        <v/>
      </c>
      <c r="S78" s="106" t="str">
        <f aca="false">IFERROR(INDEX('Historical Data'!$AN$2:$AN$1068,MATCH($A78,'Historical Data'!$BE$2:$BE$1068,0)),"")</f>
        <v/>
      </c>
      <c r="T78" s="106" t="str">
        <f aca="false">IFERROR(INDEX('Historical Data'!$AC$2:$AC$1068,MATCH($A78,'Historical Data'!$BE$2:$BE$1068,0)),"")</f>
        <v/>
      </c>
      <c r="U78" s="106" t="str">
        <f aca="false">IFERROR(INDEX('Historical Data'!$AE$2:$AE$1068,MATCH($A78,'Historical Data'!$BE$2:$BE$1068,0)),"")</f>
        <v/>
      </c>
      <c r="V78" s="106" t="str">
        <f aca="false">IFERROR(INDEX('Historical Data'!$AH$2:$AH$1068,MATCH($A78,'Historical Data'!$BE$2:$BE$1068,0)),"")</f>
        <v/>
      </c>
      <c r="W78" s="106" t="str">
        <f aca="false">IFERROR(INDEX('Historical Data'!$BC$2:$BC$1068,MATCH($A78,'Historical Data'!$BE$2:$BE$1068,0)),"")</f>
        <v/>
      </c>
      <c r="X78" s="105" t="str">
        <f aca="false">IF(B78="","",IF(W78=1,"NR + industry + position",IF(W78=2,"NR + ISO + position",IF(W78=3,"NR + industry",IF(W78=4,"NR + ISO",IF(W78=5,"NR + position",IF(W78=6,"NR only","book baseline"))))))&amp;"  ["&amp;IF(T78=1,"seasoned","unseasoned")&amp;IF(U78=1,", defaulted","")&amp;IF(V78=1,", open","")&amp;"]")</f>
        <v/>
      </c>
    </row>
    <row r="79" customFormat="false" ht="15" hidden="false" customHeight="false" outlineLevel="0" collapsed="false">
      <c r="A79" s="105" t="n">
        <v>75</v>
      </c>
      <c r="B79" s="106" t="str">
        <f aca="false">IFERROR(INDEX('Historical Data'!$A$2:$A$1068,MATCH($A79,'Historical Data'!$BE$2:$BE$1068,0)),"")</f>
        <v/>
      </c>
      <c r="C79" s="106" t="str">
        <f aca="false">IFERROR(INDEX('Historical Data'!$B$2:$B$1068,MATCH($A79,'Historical Data'!$BE$2:$BE$1068,0)),"")</f>
        <v/>
      </c>
      <c r="D79" s="106" t="str">
        <f aca="false">IFERROR(INDEX('Historical Data'!$D$2:$D$1068,MATCH($A79,'Historical Data'!$BE$2:$BE$1068,0)),"")</f>
        <v/>
      </c>
      <c r="E79" s="107" t="str">
        <f aca="false">IFERROR(INDEX('Historical Data'!$E$2:$E$1068,MATCH($A79,'Historical Data'!$BE$2:$BE$1068,0)),"")</f>
        <v/>
      </c>
      <c r="F79" s="106" t="str">
        <f aca="false">IFERROR(INDEX('Historical Data'!$G$2:$G$1068,MATCH($A79,'Historical Data'!$BE$2:$BE$1068,0)),"")</f>
        <v/>
      </c>
      <c r="G79" s="106" t="str">
        <f aca="false">IFERROR(INDEX('Historical Data'!$Y$2:$Y$1068,MATCH($A79,'Historical Data'!$BE$2:$BE$1068,0)),"")</f>
        <v/>
      </c>
      <c r="H79" s="106" t="str">
        <f aca="false">IFERROR(INDEX('Historical Data'!$K$2:$K$1068,MATCH($A79,'Historical Data'!$BE$2:$BE$1068,0)),"")</f>
        <v/>
      </c>
      <c r="I79" s="106" t="str">
        <f aca="false">IFERROR(INDEX('Historical Data'!$J$2:$J$1068,MATCH($A79,'Historical Data'!$BE$2:$BE$1068,0)),"")</f>
        <v/>
      </c>
      <c r="J79" s="106" t="str">
        <f aca="false">IFERROR(INDEX('Historical Data'!$L$2:$L$1068,MATCH($A79,'Historical Data'!$BE$2:$BE$1068,0)),"")</f>
        <v/>
      </c>
      <c r="K79" s="108" t="str">
        <f aca="false">IFERROR(INDEX('Historical Data'!$M$2:$M$1068,MATCH($A79,'Historical Data'!$BE$2:$BE$1068,0)),"")</f>
        <v/>
      </c>
      <c r="L79" s="109" t="str">
        <f aca="false">IFERROR(INDEX('Historical Data'!$N$2:$N$1068,MATCH($A79,'Historical Data'!$BE$2:$BE$1068,0)),"")</f>
        <v/>
      </c>
      <c r="M79" s="109" t="str">
        <f aca="false">IFERROR(INDEX('Historical Data'!$Q$2:$Q$1068,MATCH($A79,'Historical Data'!$BE$2:$BE$1068,0)),"")</f>
        <v/>
      </c>
      <c r="N79" s="110" t="str">
        <f aca="false">IFERROR(INDEX('Historical Data'!$S$2:$S$1068,MATCH($A79,'Historical Data'!$BE$2:$BE$1068,0)),"")</f>
        <v/>
      </c>
      <c r="O79" s="109" t="str">
        <f aca="false">IFERROR(INDEX('Historical Data'!$AJ$2:$AJ$1068,MATCH($A79,'Historical Data'!$BE$2:$BE$1068,0)),"")</f>
        <v/>
      </c>
      <c r="P79" s="109" t="str">
        <f aca="false">IFERROR(INDEX('Historical Data'!$AK$2:$AK$1068,MATCH($A79,'Historical Data'!$BE$2:$BE$1068,0)),"")</f>
        <v/>
      </c>
      <c r="Q79" s="106" t="str">
        <f aca="false">IFERROR(INDEX('Historical Data'!$AA$2:$AA$1068,MATCH($A79,'Historical Data'!$BE$2:$BE$1068,0)),"")</f>
        <v/>
      </c>
      <c r="R79" s="106" t="str">
        <f aca="false">IFERROR(INDEX('Historical Data'!$AB$2:$AB$1068,MATCH($A79,'Historical Data'!$BE$2:$BE$1068,0)),"")</f>
        <v/>
      </c>
      <c r="S79" s="106" t="str">
        <f aca="false">IFERROR(INDEX('Historical Data'!$AN$2:$AN$1068,MATCH($A79,'Historical Data'!$BE$2:$BE$1068,0)),"")</f>
        <v/>
      </c>
      <c r="T79" s="106" t="str">
        <f aca="false">IFERROR(INDEX('Historical Data'!$AC$2:$AC$1068,MATCH($A79,'Historical Data'!$BE$2:$BE$1068,0)),"")</f>
        <v/>
      </c>
      <c r="U79" s="106" t="str">
        <f aca="false">IFERROR(INDEX('Historical Data'!$AE$2:$AE$1068,MATCH($A79,'Historical Data'!$BE$2:$BE$1068,0)),"")</f>
        <v/>
      </c>
      <c r="V79" s="106" t="str">
        <f aca="false">IFERROR(INDEX('Historical Data'!$AH$2:$AH$1068,MATCH($A79,'Historical Data'!$BE$2:$BE$1068,0)),"")</f>
        <v/>
      </c>
      <c r="W79" s="106" t="str">
        <f aca="false">IFERROR(INDEX('Historical Data'!$BC$2:$BC$1068,MATCH($A79,'Historical Data'!$BE$2:$BE$1068,0)),"")</f>
        <v/>
      </c>
      <c r="X79" s="105" t="str">
        <f aca="false">IF(B79="","",IF(W79=1,"NR + industry + position",IF(W79=2,"NR + ISO + position",IF(W79=3,"NR + industry",IF(W79=4,"NR + ISO",IF(W79=5,"NR + position",IF(W79=6,"NR only","book baseline"))))))&amp;"  ["&amp;IF(T79=1,"seasoned","unseasoned")&amp;IF(U79=1,", defaulted","")&amp;IF(V79=1,", open","")&amp;"]")</f>
        <v/>
      </c>
    </row>
    <row r="80" customFormat="false" ht="15" hidden="false" customHeight="false" outlineLevel="0" collapsed="false">
      <c r="A80" s="105" t="n">
        <v>76</v>
      </c>
      <c r="B80" s="106" t="str">
        <f aca="false">IFERROR(INDEX('Historical Data'!$A$2:$A$1068,MATCH($A80,'Historical Data'!$BE$2:$BE$1068,0)),"")</f>
        <v/>
      </c>
      <c r="C80" s="106" t="str">
        <f aca="false">IFERROR(INDEX('Historical Data'!$B$2:$B$1068,MATCH($A80,'Historical Data'!$BE$2:$BE$1068,0)),"")</f>
        <v/>
      </c>
      <c r="D80" s="106" t="str">
        <f aca="false">IFERROR(INDEX('Historical Data'!$D$2:$D$1068,MATCH($A80,'Historical Data'!$BE$2:$BE$1068,0)),"")</f>
        <v/>
      </c>
      <c r="E80" s="107" t="str">
        <f aca="false">IFERROR(INDEX('Historical Data'!$E$2:$E$1068,MATCH($A80,'Historical Data'!$BE$2:$BE$1068,0)),"")</f>
        <v/>
      </c>
      <c r="F80" s="106" t="str">
        <f aca="false">IFERROR(INDEX('Historical Data'!$G$2:$G$1068,MATCH($A80,'Historical Data'!$BE$2:$BE$1068,0)),"")</f>
        <v/>
      </c>
      <c r="G80" s="106" t="str">
        <f aca="false">IFERROR(INDEX('Historical Data'!$Y$2:$Y$1068,MATCH($A80,'Historical Data'!$BE$2:$BE$1068,0)),"")</f>
        <v/>
      </c>
      <c r="H80" s="106" t="str">
        <f aca="false">IFERROR(INDEX('Historical Data'!$K$2:$K$1068,MATCH($A80,'Historical Data'!$BE$2:$BE$1068,0)),"")</f>
        <v/>
      </c>
      <c r="I80" s="106" t="str">
        <f aca="false">IFERROR(INDEX('Historical Data'!$J$2:$J$1068,MATCH($A80,'Historical Data'!$BE$2:$BE$1068,0)),"")</f>
        <v/>
      </c>
      <c r="J80" s="106" t="str">
        <f aca="false">IFERROR(INDEX('Historical Data'!$L$2:$L$1068,MATCH($A80,'Historical Data'!$BE$2:$BE$1068,0)),"")</f>
        <v/>
      </c>
      <c r="K80" s="108" t="str">
        <f aca="false">IFERROR(INDEX('Historical Data'!$M$2:$M$1068,MATCH($A80,'Historical Data'!$BE$2:$BE$1068,0)),"")</f>
        <v/>
      </c>
      <c r="L80" s="109" t="str">
        <f aca="false">IFERROR(INDEX('Historical Data'!$N$2:$N$1068,MATCH($A80,'Historical Data'!$BE$2:$BE$1068,0)),"")</f>
        <v/>
      </c>
      <c r="M80" s="109" t="str">
        <f aca="false">IFERROR(INDEX('Historical Data'!$Q$2:$Q$1068,MATCH($A80,'Historical Data'!$BE$2:$BE$1068,0)),"")</f>
        <v/>
      </c>
      <c r="N80" s="110" t="str">
        <f aca="false">IFERROR(INDEX('Historical Data'!$S$2:$S$1068,MATCH($A80,'Historical Data'!$BE$2:$BE$1068,0)),"")</f>
        <v/>
      </c>
      <c r="O80" s="109" t="str">
        <f aca="false">IFERROR(INDEX('Historical Data'!$AJ$2:$AJ$1068,MATCH($A80,'Historical Data'!$BE$2:$BE$1068,0)),"")</f>
        <v/>
      </c>
      <c r="P80" s="109" t="str">
        <f aca="false">IFERROR(INDEX('Historical Data'!$AK$2:$AK$1068,MATCH($A80,'Historical Data'!$BE$2:$BE$1068,0)),"")</f>
        <v/>
      </c>
      <c r="Q80" s="106" t="str">
        <f aca="false">IFERROR(INDEX('Historical Data'!$AA$2:$AA$1068,MATCH($A80,'Historical Data'!$BE$2:$BE$1068,0)),"")</f>
        <v/>
      </c>
      <c r="R80" s="106" t="str">
        <f aca="false">IFERROR(INDEX('Historical Data'!$AB$2:$AB$1068,MATCH($A80,'Historical Data'!$BE$2:$BE$1068,0)),"")</f>
        <v/>
      </c>
      <c r="S80" s="106" t="str">
        <f aca="false">IFERROR(INDEX('Historical Data'!$AN$2:$AN$1068,MATCH($A80,'Historical Data'!$BE$2:$BE$1068,0)),"")</f>
        <v/>
      </c>
      <c r="T80" s="106" t="str">
        <f aca="false">IFERROR(INDEX('Historical Data'!$AC$2:$AC$1068,MATCH($A80,'Historical Data'!$BE$2:$BE$1068,0)),"")</f>
        <v/>
      </c>
      <c r="U80" s="106" t="str">
        <f aca="false">IFERROR(INDEX('Historical Data'!$AE$2:$AE$1068,MATCH($A80,'Historical Data'!$BE$2:$BE$1068,0)),"")</f>
        <v/>
      </c>
      <c r="V80" s="106" t="str">
        <f aca="false">IFERROR(INDEX('Historical Data'!$AH$2:$AH$1068,MATCH($A80,'Historical Data'!$BE$2:$BE$1068,0)),"")</f>
        <v/>
      </c>
      <c r="W80" s="106" t="str">
        <f aca="false">IFERROR(INDEX('Historical Data'!$BC$2:$BC$1068,MATCH($A80,'Historical Data'!$BE$2:$BE$1068,0)),"")</f>
        <v/>
      </c>
      <c r="X80" s="105" t="str">
        <f aca="false">IF(B80="","",IF(W80=1,"NR + industry + position",IF(W80=2,"NR + ISO + position",IF(W80=3,"NR + industry",IF(W80=4,"NR + ISO",IF(W80=5,"NR + position",IF(W80=6,"NR only","book baseline"))))))&amp;"  ["&amp;IF(T80=1,"seasoned","unseasoned")&amp;IF(U80=1,", defaulted","")&amp;IF(V80=1,", open","")&amp;"]")</f>
        <v/>
      </c>
    </row>
    <row r="81" customFormat="false" ht="15" hidden="false" customHeight="false" outlineLevel="0" collapsed="false">
      <c r="A81" s="105" t="n">
        <v>77</v>
      </c>
      <c r="B81" s="106" t="str">
        <f aca="false">IFERROR(INDEX('Historical Data'!$A$2:$A$1068,MATCH($A81,'Historical Data'!$BE$2:$BE$1068,0)),"")</f>
        <v/>
      </c>
      <c r="C81" s="106" t="str">
        <f aca="false">IFERROR(INDEX('Historical Data'!$B$2:$B$1068,MATCH($A81,'Historical Data'!$BE$2:$BE$1068,0)),"")</f>
        <v/>
      </c>
      <c r="D81" s="106" t="str">
        <f aca="false">IFERROR(INDEX('Historical Data'!$D$2:$D$1068,MATCH($A81,'Historical Data'!$BE$2:$BE$1068,0)),"")</f>
        <v/>
      </c>
      <c r="E81" s="107" t="str">
        <f aca="false">IFERROR(INDEX('Historical Data'!$E$2:$E$1068,MATCH($A81,'Historical Data'!$BE$2:$BE$1068,0)),"")</f>
        <v/>
      </c>
      <c r="F81" s="106" t="str">
        <f aca="false">IFERROR(INDEX('Historical Data'!$G$2:$G$1068,MATCH($A81,'Historical Data'!$BE$2:$BE$1068,0)),"")</f>
        <v/>
      </c>
      <c r="G81" s="106" t="str">
        <f aca="false">IFERROR(INDEX('Historical Data'!$Y$2:$Y$1068,MATCH($A81,'Historical Data'!$BE$2:$BE$1068,0)),"")</f>
        <v/>
      </c>
      <c r="H81" s="106" t="str">
        <f aca="false">IFERROR(INDEX('Historical Data'!$K$2:$K$1068,MATCH($A81,'Historical Data'!$BE$2:$BE$1068,0)),"")</f>
        <v/>
      </c>
      <c r="I81" s="106" t="str">
        <f aca="false">IFERROR(INDEX('Historical Data'!$J$2:$J$1068,MATCH($A81,'Historical Data'!$BE$2:$BE$1068,0)),"")</f>
        <v/>
      </c>
      <c r="J81" s="106" t="str">
        <f aca="false">IFERROR(INDEX('Historical Data'!$L$2:$L$1068,MATCH($A81,'Historical Data'!$BE$2:$BE$1068,0)),"")</f>
        <v/>
      </c>
      <c r="K81" s="108" t="str">
        <f aca="false">IFERROR(INDEX('Historical Data'!$M$2:$M$1068,MATCH($A81,'Historical Data'!$BE$2:$BE$1068,0)),"")</f>
        <v/>
      </c>
      <c r="L81" s="109" t="str">
        <f aca="false">IFERROR(INDEX('Historical Data'!$N$2:$N$1068,MATCH($A81,'Historical Data'!$BE$2:$BE$1068,0)),"")</f>
        <v/>
      </c>
      <c r="M81" s="109" t="str">
        <f aca="false">IFERROR(INDEX('Historical Data'!$Q$2:$Q$1068,MATCH($A81,'Historical Data'!$BE$2:$BE$1068,0)),"")</f>
        <v/>
      </c>
      <c r="N81" s="110" t="str">
        <f aca="false">IFERROR(INDEX('Historical Data'!$S$2:$S$1068,MATCH($A81,'Historical Data'!$BE$2:$BE$1068,0)),"")</f>
        <v/>
      </c>
      <c r="O81" s="109" t="str">
        <f aca="false">IFERROR(INDEX('Historical Data'!$AJ$2:$AJ$1068,MATCH($A81,'Historical Data'!$BE$2:$BE$1068,0)),"")</f>
        <v/>
      </c>
      <c r="P81" s="109" t="str">
        <f aca="false">IFERROR(INDEX('Historical Data'!$AK$2:$AK$1068,MATCH($A81,'Historical Data'!$BE$2:$BE$1068,0)),"")</f>
        <v/>
      </c>
      <c r="Q81" s="106" t="str">
        <f aca="false">IFERROR(INDEX('Historical Data'!$AA$2:$AA$1068,MATCH($A81,'Historical Data'!$BE$2:$BE$1068,0)),"")</f>
        <v/>
      </c>
      <c r="R81" s="106" t="str">
        <f aca="false">IFERROR(INDEX('Historical Data'!$AB$2:$AB$1068,MATCH($A81,'Historical Data'!$BE$2:$BE$1068,0)),"")</f>
        <v/>
      </c>
      <c r="S81" s="106" t="str">
        <f aca="false">IFERROR(INDEX('Historical Data'!$AN$2:$AN$1068,MATCH($A81,'Historical Data'!$BE$2:$BE$1068,0)),"")</f>
        <v/>
      </c>
      <c r="T81" s="106" t="str">
        <f aca="false">IFERROR(INDEX('Historical Data'!$AC$2:$AC$1068,MATCH($A81,'Historical Data'!$BE$2:$BE$1068,0)),"")</f>
        <v/>
      </c>
      <c r="U81" s="106" t="str">
        <f aca="false">IFERROR(INDEX('Historical Data'!$AE$2:$AE$1068,MATCH($A81,'Historical Data'!$BE$2:$BE$1068,0)),"")</f>
        <v/>
      </c>
      <c r="V81" s="106" t="str">
        <f aca="false">IFERROR(INDEX('Historical Data'!$AH$2:$AH$1068,MATCH($A81,'Historical Data'!$BE$2:$BE$1068,0)),"")</f>
        <v/>
      </c>
      <c r="W81" s="106" t="str">
        <f aca="false">IFERROR(INDEX('Historical Data'!$BC$2:$BC$1068,MATCH($A81,'Historical Data'!$BE$2:$BE$1068,0)),"")</f>
        <v/>
      </c>
      <c r="X81" s="105" t="str">
        <f aca="false">IF(B81="","",IF(W81=1,"NR + industry + position",IF(W81=2,"NR + ISO + position",IF(W81=3,"NR + industry",IF(W81=4,"NR + ISO",IF(W81=5,"NR + position",IF(W81=6,"NR only","book baseline"))))))&amp;"  ["&amp;IF(T81=1,"seasoned","unseasoned")&amp;IF(U81=1,", defaulted","")&amp;IF(V81=1,", open","")&amp;"]")</f>
        <v/>
      </c>
    </row>
    <row r="82" customFormat="false" ht="15" hidden="false" customHeight="false" outlineLevel="0" collapsed="false">
      <c r="A82" s="105" t="n">
        <v>78</v>
      </c>
      <c r="B82" s="106" t="str">
        <f aca="false">IFERROR(INDEX('Historical Data'!$A$2:$A$1068,MATCH($A82,'Historical Data'!$BE$2:$BE$1068,0)),"")</f>
        <v/>
      </c>
      <c r="C82" s="106" t="str">
        <f aca="false">IFERROR(INDEX('Historical Data'!$B$2:$B$1068,MATCH($A82,'Historical Data'!$BE$2:$BE$1068,0)),"")</f>
        <v/>
      </c>
      <c r="D82" s="106" t="str">
        <f aca="false">IFERROR(INDEX('Historical Data'!$D$2:$D$1068,MATCH($A82,'Historical Data'!$BE$2:$BE$1068,0)),"")</f>
        <v/>
      </c>
      <c r="E82" s="107" t="str">
        <f aca="false">IFERROR(INDEX('Historical Data'!$E$2:$E$1068,MATCH($A82,'Historical Data'!$BE$2:$BE$1068,0)),"")</f>
        <v/>
      </c>
      <c r="F82" s="106" t="str">
        <f aca="false">IFERROR(INDEX('Historical Data'!$G$2:$G$1068,MATCH($A82,'Historical Data'!$BE$2:$BE$1068,0)),"")</f>
        <v/>
      </c>
      <c r="G82" s="106" t="str">
        <f aca="false">IFERROR(INDEX('Historical Data'!$Y$2:$Y$1068,MATCH($A82,'Historical Data'!$BE$2:$BE$1068,0)),"")</f>
        <v/>
      </c>
      <c r="H82" s="106" t="str">
        <f aca="false">IFERROR(INDEX('Historical Data'!$K$2:$K$1068,MATCH($A82,'Historical Data'!$BE$2:$BE$1068,0)),"")</f>
        <v/>
      </c>
      <c r="I82" s="106" t="str">
        <f aca="false">IFERROR(INDEX('Historical Data'!$J$2:$J$1068,MATCH($A82,'Historical Data'!$BE$2:$BE$1068,0)),"")</f>
        <v/>
      </c>
      <c r="J82" s="106" t="str">
        <f aca="false">IFERROR(INDEX('Historical Data'!$L$2:$L$1068,MATCH($A82,'Historical Data'!$BE$2:$BE$1068,0)),"")</f>
        <v/>
      </c>
      <c r="K82" s="108" t="str">
        <f aca="false">IFERROR(INDEX('Historical Data'!$M$2:$M$1068,MATCH($A82,'Historical Data'!$BE$2:$BE$1068,0)),"")</f>
        <v/>
      </c>
      <c r="L82" s="109" t="str">
        <f aca="false">IFERROR(INDEX('Historical Data'!$N$2:$N$1068,MATCH($A82,'Historical Data'!$BE$2:$BE$1068,0)),"")</f>
        <v/>
      </c>
      <c r="M82" s="109" t="str">
        <f aca="false">IFERROR(INDEX('Historical Data'!$Q$2:$Q$1068,MATCH($A82,'Historical Data'!$BE$2:$BE$1068,0)),"")</f>
        <v/>
      </c>
      <c r="N82" s="110" t="str">
        <f aca="false">IFERROR(INDEX('Historical Data'!$S$2:$S$1068,MATCH($A82,'Historical Data'!$BE$2:$BE$1068,0)),"")</f>
        <v/>
      </c>
      <c r="O82" s="109" t="str">
        <f aca="false">IFERROR(INDEX('Historical Data'!$AJ$2:$AJ$1068,MATCH($A82,'Historical Data'!$BE$2:$BE$1068,0)),"")</f>
        <v/>
      </c>
      <c r="P82" s="109" t="str">
        <f aca="false">IFERROR(INDEX('Historical Data'!$AK$2:$AK$1068,MATCH($A82,'Historical Data'!$BE$2:$BE$1068,0)),"")</f>
        <v/>
      </c>
      <c r="Q82" s="106" t="str">
        <f aca="false">IFERROR(INDEX('Historical Data'!$AA$2:$AA$1068,MATCH($A82,'Historical Data'!$BE$2:$BE$1068,0)),"")</f>
        <v/>
      </c>
      <c r="R82" s="106" t="str">
        <f aca="false">IFERROR(INDEX('Historical Data'!$AB$2:$AB$1068,MATCH($A82,'Historical Data'!$BE$2:$BE$1068,0)),"")</f>
        <v/>
      </c>
      <c r="S82" s="106" t="str">
        <f aca="false">IFERROR(INDEX('Historical Data'!$AN$2:$AN$1068,MATCH($A82,'Historical Data'!$BE$2:$BE$1068,0)),"")</f>
        <v/>
      </c>
      <c r="T82" s="106" t="str">
        <f aca="false">IFERROR(INDEX('Historical Data'!$AC$2:$AC$1068,MATCH($A82,'Historical Data'!$BE$2:$BE$1068,0)),"")</f>
        <v/>
      </c>
      <c r="U82" s="106" t="str">
        <f aca="false">IFERROR(INDEX('Historical Data'!$AE$2:$AE$1068,MATCH($A82,'Historical Data'!$BE$2:$BE$1068,0)),"")</f>
        <v/>
      </c>
      <c r="V82" s="106" t="str">
        <f aca="false">IFERROR(INDEX('Historical Data'!$AH$2:$AH$1068,MATCH($A82,'Historical Data'!$BE$2:$BE$1068,0)),"")</f>
        <v/>
      </c>
      <c r="W82" s="106" t="str">
        <f aca="false">IFERROR(INDEX('Historical Data'!$BC$2:$BC$1068,MATCH($A82,'Historical Data'!$BE$2:$BE$1068,0)),"")</f>
        <v/>
      </c>
      <c r="X82" s="105" t="str">
        <f aca="false">IF(B82="","",IF(W82=1,"NR + industry + position",IF(W82=2,"NR + ISO + position",IF(W82=3,"NR + industry",IF(W82=4,"NR + ISO",IF(W82=5,"NR + position",IF(W82=6,"NR only","book baseline"))))))&amp;"  ["&amp;IF(T82=1,"seasoned","unseasoned")&amp;IF(U82=1,", defaulted","")&amp;IF(V82=1,", open","")&amp;"]")</f>
        <v/>
      </c>
    </row>
    <row r="83" customFormat="false" ht="15" hidden="false" customHeight="false" outlineLevel="0" collapsed="false">
      <c r="A83" s="105" t="n">
        <v>79</v>
      </c>
      <c r="B83" s="106" t="str">
        <f aca="false">IFERROR(INDEX('Historical Data'!$A$2:$A$1068,MATCH($A83,'Historical Data'!$BE$2:$BE$1068,0)),"")</f>
        <v/>
      </c>
      <c r="C83" s="106" t="str">
        <f aca="false">IFERROR(INDEX('Historical Data'!$B$2:$B$1068,MATCH($A83,'Historical Data'!$BE$2:$BE$1068,0)),"")</f>
        <v/>
      </c>
      <c r="D83" s="106" t="str">
        <f aca="false">IFERROR(INDEX('Historical Data'!$D$2:$D$1068,MATCH($A83,'Historical Data'!$BE$2:$BE$1068,0)),"")</f>
        <v/>
      </c>
      <c r="E83" s="107" t="str">
        <f aca="false">IFERROR(INDEX('Historical Data'!$E$2:$E$1068,MATCH($A83,'Historical Data'!$BE$2:$BE$1068,0)),"")</f>
        <v/>
      </c>
      <c r="F83" s="106" t="str">
        <f aca="false">IFERROR(INDEX('Historical Data'!$G$2:$G$1068,MATCH($A83,'Historical Data'!$BE$2:$BE$1068,0)),"")</f>
        <v/>
      </c>
      <c r="G83" s="106" t="str">
        <f aca="false">IFERROR(INDEX('Historical Data'!$Y$2:$Y$1068,MATCH($A83,'Historical Data'!$BE$2:$BE$1068,0)),"")</f>
        <v/>
      </c>
      <c r="H83" s="106" t="str">
        <f aca="false">IFERROR(INDEX('Historical Data'!$K$2:$K$1068,MATCH($A83,'Historical Data'!$BE$2:$BE$1068,0)),"")</f>
        <v/>
      </c>
      <c r="I83" s="106" t="str">
        <f aca="false">IFERROR(INDEX('Historical Data'!$J$2:$J$1068,MATCH($A83,'Historical Data'!$BE$2:$BE$1068,0)),"")</f>
        <v/>
      </c>
      <c r="J83" s="106" t="str">
        <f aca="false">IFERROR(INDEX('Historical Data'!$L$2:$L$1068,MATCH($A83,'Historical Data'!$BE$2:$BE$1068,0)),"")</f>
        <v/>
      </c>
      <c r="K83" s="108" t="str">
        <f aca="false">IFERROR(INDEX('Historical Data'!$M$2:$M$1068,MATCH($A83,'Historical Data'!$BE$2:$BE$1068,0)),"")</f>
        <v/>
      </c>
      <c r="L83" s="109" t="str">
        <f aca="false">IFERROR(INDEX('Historical Data'!$N$2:$N$1068,MATCH($A83,'Historical Data'!$BE$2:$BE$1068,0)),"")</f>
        <v/>
      </c>
      <c r="M83" s="109" t="str">
        <f aca="false">IFERROR(INDEX('Historical Data'!$Q$2:$Q$1068,MATCH($A83,'Historical Data'!$BE$2:$BE$1068,0)),"")</f>
        <v/>
      </c>
      <c r="N83" s="110" t="str">
        <f aca="false">IFERROR(INDEX('Historical Data'!$S$2:$S$1068,MATCH($A83,'Historical Data'!$BE$2:$BE$1068,0)),"")</f>
        <v/>
      </c>
      <c r="O83" s="109" t="str">
        <f aca="false">IFERROR(INDEX('Historical Data'!$AJ$2:$AJ$1068,MATCH($A83,'Historical Data'!$BE$2:$BE$1068,0)),"")</f>
        <v/>
      </c>
      <c r="P83" s="109" t="str">
        <f aca="false">IFERROR(INDEX('Historical Data'!$AK$2:$AK$1068,MATCH($A83,'Historical Data'!$BE$2:$BE$1068,0)),"")</f>
        <v/>
      </c>
      <c r="Q83" s="106" t="str">
        <f aca="false">IFERROR(INDEX('Historical Data'!$AA$2:$AA$1068,MATCH($A83,'Historical Data'!$BE$2:$BE$1068,0)),"")</f>
        <v/>
      </c>
      <c r="R83" s="106" t="str">
        <f aca="false">IFERROR(INDEX('Historical Data'!$AB$2:$AB$1068,MATCH($A83,'Historical Data'!$BE$2:$BE$1068,0)),"")</f>
        <v/>
      </c>
      <c r="S83" s="106" t="str">
        <f aca="false">IFERROR(INDEX('Historical Data'!$AN$2:$AN$1068,MATCH($A83,'Historical Data'!$BE$2:$BE$1068,0)),"")</f>
        <v/>
      </c>
      <c r="T83" s="106" t="str">
        <f aca="false">IFERROR(INDEX('Historical Data'!$AC$2:$AC$1068,MATCH($A83,'Historical Data'!$BE$2:$BE$1068,0)),"")</f>
        <v/>
      </c>
      <c r="U83" s="106" t="str">
        <f aca="false">IFERROR(INDEX('Historical Data'!$AE$2:$AE$1068,MATCH($A83,'Historical Data'!$BE$2:$BE$1068,0)),"")</f>
        <v/>
      </c>
      <c r="V83" s="106" t="str">
        <f aca="false">IFERROR(INDEX('Historical Data'!$AH$2:$AH$1068,MATCH($A83,'Historical Data'!$BE$2:$BE$1068,0)),"")</f>
        <v/>
      </c>
      <c r="W83" s="106" t="str">
        <f aca="false">IFERROR(INDEX('Historical Data'!$BC$2:$BC$1068,MATCH($A83,'Historical Data'!$BE$2:$BE$1068,0)),"")</f>
        <v/>
      </c>
      <c r="X83" s="105" t="str">
        <f aca="false">IF(B83="","",IF(W83=1,"NR + industry + position",IF(W83=2,"NR + ISO + position",IF(W83=3,"NR + industry",IF(W83=4,"NR + ISO",IF(W83=5,"NR + position",IF(W83=6,"NR only","book baseline"))))))&amp;"  ["&amp;IF(T83=1,"seasoned","unseasoned")&amp;IF(U83=1,", defaulted","")&amp;IF(V83=1,", open","")&amp;"]")</f>
        <v/>
      </c>
    </row>
    <row r="84" customFormat="false" ht="15" hidden="false" customHeight="false" outlineLevel="0" collapsed="false">
      <c r="A84" s="105" t="n">
        <v>80</v>
      </c>
      <c r="B84" s="106" t="str">
        <f aca="false">IFERROR(INDEX('Historical Data'!$A$2:$A$1068,MATCH($A84,'Historical Data'!$BE$2:$BE$1068,0)),"")</f>
        <v/>
      </c>
      <c r="C84" s="106" t="str">
        <f aca="false">IFERROR(INDEX('Historical Data'!$B$2:$B$1068,MATCH($A84,'Historical Data'!$BE$2:$BE$1068,0)),"")</f>
        <v/>
      </c>
      <c r="D84" s="106" t="str">
        <f aca="false">IFERROR(INDEX('Historical Data'!$D$2:$D$1068,MATCH($A84,'Historical Data'!$BE$2:$BE$1068,0)),"")</f>
        <v/>
      </c>
      <c r="E84" s="107" t="str">
        <f aca="false">IFERROR(INDEX('Historical Data'!$E$2:$E$1068,MATCH($A84,'Historical Data'!$BE$2:$BE$1068,0)),"")</f>
        <v/>
      </c>
      <c r="F84" s="106" t="str">
        <f aca="false">IFERROR(INDEX('Historical Data'!$G$2:$G$1068,MATCH($A84,'Historical Data'!$BE$2:$BE$1068,0)),"")</f>
        <v/>
      </c>
      <c r="G84" s="106" t="str">
        <f aca="false">IFERROR(INDEX('Historical Data'!$Y$2:$Y$1068,MATCH($A84,'Historical Data'!$BE$2:$BE$1068,0)),"")</f>
        <v/>
      </c>
      <c r="H84" s="106" t="str">
        <f aca="false">IFERROR(INDEX('Historical Data'!$K$2:$K$1068,MATCH($A84,'Historical Data'!$BE$2:$BE$1068,0)),"")</f>
        <v/>
      </c>
      <c r="I84" s="106" t="str">
        <f aca="false">IFERROR(INDEX('Historical Data'!$J$2:$J$1068,MATCH($A84,'Historical Data'!$BE$2:$BE$1068,0)),"")</f>
        <v/>
      </c>
      <c r="J84" s="106" t="str">
        <f aca="false">IFERROR(INDEX('Historical Data'!$L$2:$L$1068,MATCH($A84,'Historical Data'!$BE$2:$BE$1068,0)),"")</f>
        <v/>
      </c>
      <c r="K84" s="108" t="str">
        <f aca="false">IFERROR(INDEX('Historical Data'!$M$2:$M$1068,MATCH($A84,'Historical Data'!$BE$2:$BE$1068,0)),"")</f>
        <v/>
      </c>
      <c r="L84" s="109" t="str">
        <f aca="false">IFERROR(INDEX('Historical Data'!$N$2:$N$1068,MATCH($A84,'Historical Data'!$BE$2:$BE$1068,0)),"")</f>
        <v/>
      </c>
      <c r="M84" s="109" t="str">
        <f aca="false">IFERROR(INDEX('Historical Data'!$Q$2:$Q$1068,MATCH($A84,'Historical Data'!$BE$2:$BE$1068,0)),"")</f>
        <v/>
      </c>
      <c r="N84" s="110" t="str">
        <f aca="false">IFERROR(INDEX('Historical Data'!$S$2:$S$1068,MATCH($A84,'Historical Data'!$BE$2:$BE$1068,0)),"")</f>
        <v/>
      </c>
      <c r="O84" s="109" t="str">
        <f aca="false">IFERROR(INDEX('Historical Data'!$AJ$2:$AJ$1068,MATCH($A84,'Historical Data'!$BE$2:$BE$1068,0)),"")</f>
        <v/>
      </c>
      <c r="P84" s="109" t="str">
        <f aca="false">IFERROR(INDEX('Historical Data'!$AK$2:$AK$1068,MATCH($A84,'Historical Data'!$BE$2:$BE$1068,0)),"")</f>
        <v/>
      </c>
      <c r="Q84" s="106" t="str">
        <f aca="false">IFERROR(INDEX('Historical Data'!$AA$2:$AA$1068,MATCH($A84,'Historical Data'!$BE$2:$BE$1068,0)),"")</f>
        <v/>
      </c>
      <c r="R84" s="106" t="str">
        <f aca="false">IFERROR(INDEX('Historical Data'!$AB$2:$AB$1068,MATCH($A84,'Historical Data'!$BE$2:$BE$1068,0)),"")</f>
        <v/>
      </c>
      <c r="S84" s="106" t="str">
        <f aca="false">IFERROR(INDEX('Historical Data'!$AN$2:$AN$1068,MATCH($A84,'Historical Data'!$BE$2:$BE$1068,0)),"")</f>
        <v/>
      </c>
      <c r="T84" s="106" t="str">
        <f aca="false">IFERROR(INDEX('Historical Data'!$AC$2:$AC$1068,MATCH($A84,'Historical Data'!$BE$2:$BE$1068,0)),"")</f>
        <v/>
      </c>
      <c r="U84" s="106" t="str">
        <f aca="false">IFERROR(INDEX('Historical Data'!$AE$2:$AE$1068,MATCH($A84,'Historical Data'!$BE$2:$BE$1068,0)),"")</f>
        <v/>
      </c>
      <c r="V84" s="106" t="str">
        <f aca="false">IFERROR(INDEX('Historical Data'!$AH$2:$AH$1068,MATCH($A84,'Historical Data'!$BE$2:$BE$1068,0)),"")</f>
        <v/>
      </c>
      <c r="W84" s="106" t="str">
        <f aca="false">IFERROR(INDEX('Historical Data'!$BC$2:$BC$1068,MATCH($A84,'Historical Data'!$BE$2:$BE$1068,0)),"")</f>
        <v/>
      </c>
      <c r="X84" s="105" t="str">
        <f aca="false">IF(B84="","",IF(W84=1,"NR + industry + position",IF(W84=2,"NR + ISO + position",IF(W84=3,"NR + industry",IF(W84=4,"NR + ISO",IF(W84=5,"NR + position",IF(W84=6,"NR only","book baseline"))))))&amp;"  ["&amp;IF(T84=1,"seasoned","unseasoned")&amp;IF(U84=1,", defaulted","")&amp;IF(V84=1,", open","")&amp;"]")</f>
        <v/>
      </c>
    </row>
    <row r="85" customFormat="false" ht="15" hidden="false" customHeight="false" outlineLevel="0" collapsed="false">
      <c r="A85" s="105" t="n">
        <v>81</v>
      </c>
      <c r="B85" s="106" t="str">
        <f aca="false">IFERROR(INDEX('Historical Data'!$A$2:$A$1068,MATCH($A85,'Historical Data'!$BE$2:$BE$1068,0)),"")</f>
        <v/>
      </c>
      <c r="C85" s="106" t="str">
        <f aca="false">IFERROR(INDEX('Historical Data'!$B$2:$B$1068,MATCH($A85,'Historical Data'!$BE$2:$BE$1068,0)),"")</f>
        <v/>
      </c>
      <c r="D85" s="106" t="str">
        <f aca="false">IFERROR(INDEX('Historical Data'!$D$2:$D$1068,MATCH($A85,'Historical Data'!$BE$2:$BE$1068,0)),"")</f>
        <v/>
      </c>
      <c r="E85" s="107" t="str">
        <f aca="false">IFERROR(INDEX('Historical Data'!$E$2:$E$1068,MATCH($A85,'Historical Data'!$BE$2:$BE$1068,0)),"")</f>
        <v/>
      </c>
      <c r="F85" s="106" t="str">
        <f aca="false">IFERROR(INDEX('Historical Data'!$G$2:$G$1068,MATCH($A85,'Historical Data'!$BE$2:$BE$1068,0)),"")</f>
        <v/>
      </c>
      <c r="G85" s="106" t="str">
        <f aca="false">IFERROR(INDEX('Historical Data'!$Y$2:$Y$1068,MATCH($A85,'Historical Data'!$BE$2:$BE$1068,0)),"")</f>
        <v/>
      </c>
      <c r="H85" s="106" t="str">
        <f aca="false">IFERROR(INDEX('Historical Data'!$K$2:$K$1068,MATCH($A85,'Historical Data'!$BE$2:$BE$1068,0)),"")</f>
        <v/>
      </c>
      <c r="I85" s="106" t="str">
        <f aca="false">IFERROR(INDEX('Historical Data'!$J$2:$J$1068,MATCH($A85,'Historical Data'!$BE$2:$BE$1068,0)),"")</f>
        <v/>
      </c>
      <c r="J85" s="106" t="str">
        <f aca="false">IFERROR(INDEX('Historical Data'!$L$2:$L$1068,MATCH($A85,'Historical Data'!$BE$2:$BE$1068,0)),"")</f>
        <v/>
      </c>
      <c r="K85" s="108" t="str">
        <f aca="false">IFERROR(INDEX('Historical Data'!$M$2:$M$1068,MATCH($A85,'Historical Data'!$BE$2:$BE$1068,0)),"")</f>
        <v/>
      </c>
      <c r="L85" s="109" t="str">
        <f aca="false">IFERROR(INDEX('Historical Data'!$N$2:$N$1068,MATCH($A85,'Historical Data'!$BE$2:$BE$1068,0)),"")</f>
        <v/>
      </c>
      <c r="M85" s="109" t="str">
        <f aca="false">IFERROR(INDEX('Historical Data'!$Q$2:$Q$1068,MATCH($A85,'Historical Data'!$BE$2:$BE$1068,0)),"")</f>
        <v/>
      </c>
      <c r="N85" s="110" t="str">
        <f aca="false">IFERROR(INDEX('Historical Data'!$S$2:$S$1068,MATCH($A85,'Historical Data'!$BE$2:$BE$1068,0)),"")</f>
        <v/>
      </c>
      <c r="O85" s="109" t="str">
        <f aca="false">IFERROR(INDEX('Historical Data'!$AJ$2:$AJ$1068,MATCH($A85,'Historical Data'!$BE$2:$BE$1068,0)),"")</f>
        <v/>
      </c>
      <c r="P85" s="109" t="str">
        <f aca="false">IFERROR(INDEX('Historical Data'!$AK$2:$AK$1068,MATCH($A85,'Historical Data'!$BE$2:$BE$1068,0)),"")</f>
        <v/>
      </c>
      <c r="Q85" s="106" t="str">
        <f aca="false">IFERROR(INDEX('Historical Data'!$AA$2:$AA$1068,MATCH($A85,'Historical Data'!$BE$2:$BE$1068,0)),"")</f>
        <v/>
      </c>
      <c r="R85" s="106" t="str">
        <f aca="false">IFERROR(INDEX('Historical Data'!$AB$2:$AB$1068,MATCH($A85,'Historical Data'!$BE$2:$BE$1068,0)),"")</f>
        <v/>
      </c>
      <c r="S85" s="106" t="str">
        <f aca="false">IFERROR(INDEX('Historical Data'!$AN$2:$AN$1068,MATCH($A85,'Historical Data'!$BE$2:$BE$1068,0)),"")</f>
        <v/>
      </c>
      <c r="T85" s="106" t="str">
        <f aca="false">IFERROR(INDEX('Historical Data'!$AC$2:$AC$1068,MATCH($A85,'Historical Data'!$BE$2:$BE$1068,0)),"")</f>
        <v/>
      </c>
      <c r="U85" s="106" t="str">
        <f aca="false">IFERROR(INDEX('Historical Data'!$AE$2:$AE$1068,MATCH($A85,'Historical Data'!$BE$2:$BE$1068,0)),"")</f>
        <v/>
      </c>
      <c r="V85" s="106" t="str">
        <f aca="false">IFERROR(INDEX('Historical Data'!$AH$2:$AH$1068,MATCH($A85,'Historical Data'!$BE$2:$BE$1068,0)),"")</f>
        <v/>
      </c>
      <c r="W85" s="106" t="str">
        <f aca="false">IFERROR(INDEX('Historical Data'!$BC$2:$BC$1068,MATCH($A85,'Historical Data'!$BE$2:$BE$1068,0)),"")</f>
        <v/>
      </c>
      <c r="X85" s="105" t="str">
        <f aca="false">IF(B85="","",IF(W85=1,"NR + industry + position",IF(W85=2,"NR + ISO + position",IF(W85=3,"NR + industry",IF(W85=4,"NR + ISO",IF(W85=5,"NR + position",IF(W85=6,"NR only","book baseline"))))))&amp;"  ["&amp;IF(T85=1,"seasoned","unseasoned")&amp;IF(U85=1,", defaulted","")&amp;IF(V85=1,", open","")&amp;"]")</f>
        <v/>
      </c>
    </row>
    <row r="86" customFormat="false" ht="15" hidden="false" customHeight="false" outlineLevel="0" collapsed="false">
      <c r="A86" s="105" t="n">
        <v>82</v>
      </c>
      <c r="B86" s="106" t="str">
        <f aca="false">IFERROR(INDEX('Historical Data'!$A$2:$A$1068,MATCH($A86,'Historical Data'!$BE$2:$BE$1068,0)),"")</f>
        <v/>
      </c>
      <c r="C86" s="106" t="str">
        <f aca="false">IFERROR(INDEX('Historical Data'!$B$2:$B$1068,MATCH($A86,'Historical Data'!$BE$2:$BE$1068,0)),"")</f>
        <v/>
      </c>
      <c r="D86" s="106" t="str">
        <f aca="false">IFERROR(INDEX('Historical Data'!$D$2:$D$1068,MATCH($A86,'Historical Data'!$BE$2:$BE$1068,0)),"")</f>
        <v/>
      </c>
      <c r="E86" s="107" t="str">
        <f aca="false">IFERROR(INDEX('Historical Data'!$E$2:$E$1068,MATCH($A86,'Historical Data'!$BE$2:$BE$1068,0)),"")</f>
        <v/>
      </c>
      <c r="F86" s="106" t="str">
        <f aca="false">IFERROR(INDEX('Historical Data'!$G$2:$G$1068,MATCH($A86,'Historical Data'!$BE$2:$BE$1068,0)),"")</f>
        <v/>
      </c>
      <c r="G86" s="106" t="str">
        <f aca="false">IFERROR(INDEX('Historical Data'!$Y$2:$Y$1068,MATCH($A86,'Historical Data'!$BE$2:$BE$1068,0)),"")</f>
        <v/>
      </c>
      <c r="H86" s="106" t="str">
        <f aca="false">IFERROR(INDEX('Historical Data'!$K$2:$K$1068,MATCH($A86,'Historical Data'!$BE$2:$BE$1068,0)),"")</f>
        <v/>
      </c>
      <c r="I86" s="106" t="str">
        <f aca="false">IFERROR(INDEX('Historical Data'!$J$2:$J$1068,MATCH($A86,'Historical Data'!$BE$2:$BE$1068,0)),"")</f>
        <v/>
      </c>
      <c r="J86" s="106" t="str">
        <f aca="false">IFERROR(INDEX('Historical Data'!$L$2:$L$1068,MATCH($A86,'Historical Data'!$BE$2:$BE$1068,0)),"")</f>
        <v/>
      </c>
      <c r="K86" s="108" t="str">
        <f aca="false">IFERROR(INDEX('Historical Data'!$M$2:$M$1068,MATCH($A86,'Historical Data'!$BE$2:$BE$1068,0)),"")</f>
        <v/>
      </c>
      <c r="L86" s="109" t="str">
        <f aca="false">IFERROR(INDEX('Historical Data'!$N$2:$N$1068,MATCH($A86,'Historical Data'!$BE$2:$BE$1068,0)),"")</f>
        <v/>
      </c>
      <c r="M86" s="109" t="str">
        <f aca="false">IFERROR(INDEX('Historical Data'!$Q$2:$Q$1068,MATCH($A86,'Historical Data'!$BE$2:$BE$1068,0)),"")</f>
        <v/>
      </c>
      <c r="N86" s="110" t="str">
        <f aca="false">IFERROR(INDEX('Historical Data'!$S$2:$S$1068,MATCH($A86,'Historical Data'!$BE$2:$BE$1068,0)),"")</f>
        <v/>
      </c>
      <c r="O86" s="109" t="str">
        <f aca="false">IFERROR(INDEX('Historical Data'!$AJ$2:$AJ$1068,MATCH($A86,'Historical Data'!$BE$2:$BE$1068,0)),"")</f>
        <v/>
      </c>
      <c r="P86" s="109" t="str">
        <f aca="false">IFERROR(INDEX('Historical Data'!$AK$2:$AK$1068,MATCH($A86,'Historical Data'!$BE$2:$BE$1068,0)),"")</f>
        <v/>
      </c>
      <c r="Q86" s="106" t="str">
        <f aca="false">IFERROR(INDEX('Historical Data'!$AA$2:$AA$1068,MATCH($A86,'Historical Data'!$BE$2:$BE$1068,0)),"")</f>
        <v/>
      </c>
      <c r="R86" s="106" t="str">
        <f aca="false">IFERROR(INDEX('Historical Data'!$AB$2:$AB$1068,MATCH($A86,'Historical Data'!$BE$2:$BE$1068,0)),"")</f>
        <v/>
      </c>
      <c r="S86" s="106" t="str">
        <f aca="false">IFERROR(INDEX('Historical Data'!$AN$2:$AN$1068,MATCH($A86,'Historical Data'!$BE$2:$BE$1068,0)),"")</f>
        <v/>
      </c>
      <c r="T86" s="106" t="str">
        <f aca="false">IFERROR(INDEX('Historical Data'!$AC$2:$AC$1068,MATCH($A86,'Historical Data'!$BE$2:$BE$1068,0)),"")</f>
        <v/>
      </c>
      <c r="U86" s="106" t="str">
        <f aca="false">IFERROR(INDEX('Historical Data'!$AE$2:$AE$1068,MATCH($A86,'Historical Data'!$BE$2:$BE$1068,0)),"")</f>
        <v/>
      </c>
      <c r="V86" s="106" t="str">
        <f aca="false">IFERROR(INDEX('Historical Data'!$AH$2:$AH$1068,MATCH($A86,'Historical Data'!$BE$2:$BE$1068,0)),"")</f>
        <v/>
      </c>
      <c r="W86" s="106" t="str">
        <f aca="false">IFERROR(INDEX('Historical Data'!$BC$2:$BC$1068,MATCH($A86,'Historical Data'!$BE$2:$BE$1068,0)),"")</f>
        <v/>
      </c>
      <c r="X86" s="105" t="str">
        <f aca="false">IF(B86="","",IF(W86=1,"NR + industry + position",IF(W86=2,"NR + ISO + position",IF(W86=3,"NR + industry",IF(W86=4,"NR + ISO",IF(W86=5,"NR + position",IF(W86=6,"NR only","book baseline"))))))&amp;"  ["&amp;IF(T86=1,"seasoned","unseasoned")&amp;IF(U86=1,", defaulted","")&amp;IF(V86=1,", open","")&amp;"]")</f>
        <v/>
      </c>
    </row>
    <row r="87" customFormat="false" ht="15" hidden="false" customHeight="false" outlineLevel="0" collapsed="false">
      <c r="A87" s="105" t="n">
        <v>83</v>
      </c>
      <c r="B87" s="106" t="str">
        <f aca="false">IFERROR(INDEX('Historical Data'!$A$2:$A$1068,MATCH($A87,'Historical Data'!$BE$2:$BE$1068,0)),"")</f>
        <v/>
      </c>
      <c r="C87" s="106" t="str">
        <f aca="false">IFERROR(INDEX('Historical Data'!$B$2:$B$1068,MATCH($A87,'Historical Data'!$BE$2:$BE$1068,0)),"")</f>
        <v/>
      </c>
      <c r="D87" s="106" t="str">
        <f aca="false">IFERROR(INDEX('Historical Data'!$D$2:$D$1068,MATCH($A87,'Historical Data'!$BE$2:$BE$1068,0)),"")</f>
        <v/>
      </c>
      <c r="E87" s="107" t="str">
        <f aca="false">IFERROR(INDEX('Historical Data'!$E$2:$E$1068,MATCH($A87,'Historical Data'!$BE$2:$BE$1068,0)),"")</f>
        <v/>
      </c>
      <c r="F87" s="106" t="str">
        <f aca="false">IFERROR(INDEX('Historical Data'!$G$2:$G$1068,MATCH($A87,'Historical Data'!$BE$2:$BE$1068,0)),"")</f>
        <v/>
      </c>
      <c r="G87" s="106" t="str">
        <f aca="false">IFERROR(INDEX('Historical Data'!$Y$2:$Y$1068,MATCH($A87,'Historical Data'!$BE$2:$BE$1068,0)),"")</f>
        <v/>
      </c>
      <c r="H87" s="106" t="str">
        <f aca="false">IFERROR(INDEX('Historical Data'!$K$2:$K$1068,MATCH($A87,'Historical Data'!$BE$2:$BE$1068,0)),"")</f>
        <v/>
      </c>
      <c r="I87" s="106" t="str">
        <f aca="false">IFERROR(INDEX('Historical Data'!$J$2:$J$1068,MATCH($A87,'Historical Data'!$BE$2:$BE$1068,0)),"")</f>
        <v/>
      </c>
      <c r="J87" s="106" t="str">
        <f aca="false">IFERROR(INDEX('Historical Data'!$L$2:$L$1068,MATCH($A87,'Historical Data'!$BE$2:$BE$1068,0)),"")</f>
        <v/>
      </c>
      <c r="K87" s="108" t="str">
        <f aca="false">IFERROR(INDEX('Historical Data'!$M$2:$M$1068,MATCH($A87,'Historical Data'!$BE$2:$BE$1068,0)),"")</f>
        <v/>
      </c>
      <c r="L87" s="109" t="str">
        <f aca="false">IFERROR(INDEX('Historical Data'!$N$2:$N$1068,MATCH($A87,'Historical Data'!$BE$2:$BE$1068,0)),"")</f>
        <v/>
      </c>
      <c r="M87" s="109" t="str">
        <f aca="false">IFERROR(INDEX('Historical Data'!$Q$2:$Q$1068,MATCH($A87,'Historical Data'!$BE$2:$BE$1068,0)),"")</f>
        <v/>
      </c>
      <c r="N87" s="110" t="str">
        <f aca="false">IFERROR(INDEX('Historical Data'!$S$2:$S$1068,MATCH($A87,'Historical Data'!$BE$2:$BE$1068,0)),"")</f>
        <v/>
      </c>
      <c r="O87" s="109" t="str">
        <f aca="false">IFERROR(INDEX('Historical Data'!$AJ$2:$AJ$1068,MATCH($A87,'Historical Data'!$BE$2:$BE$1068,0)),"")</f>
        <v/>
      </c>
      <c r="P87" s="109" t="str">
        <f aca="false">IFERROR(INDEX('Historical Data'!$AK$2:$AK$1068,MATCH($A87,'Historical Data'!$BE$2:$BE$1068,0)),"")</f>
        <v/>
      </c>
      <c r="Q87" s="106" t="str">
        <f aca="false">IFERROR(INDEX('Historical Data'!$AA$2:$AA$1068,MATCH($A87,'Historical Data'!$BE$2:$BE$1068,0)),"")</f>
        <v/>
      </c>
      <c r="R87" s="106" t="str">
        <f aca="false">IFERROR(INDEX('Historical Data'!$AB$2:$AB$1068,MATCH($A87,'Historical Data'!$BE$2:$BE$1068,0)),"")</f>
        <v/>
      </c>
      <c r="S87" s="106" t="str">
        <f aca="false">IFERROR(INDEX('Historical Data'!$AN$2:$AN$1068,MATCH($A87,'Historical Data'!$BE$2:$BE$1068,0)),"")</f>
        <v/>
      </c>
      <c r="T87" s="106" t="str">
        <f aca="false">IFERROR(INDEX('Historical Data'!$AC$2:$AC$1068,MATCH($A87,'Historical Data'!$BE$2:$BE$1068,0)),"")</f>
        <v/>
      </c>
      <c r="U87" s="106" t="str">
        <f aca="false">IFERROR(INDEX('Historical Data'!$AE$2:$AE$1068,MATCH($A87,'Historical Data'!$BE$2:$BE$1068,0)),"")</f>
        <v/>
      </c>
      <c r="V87" s="106" t="str">
        <f aca="false">IFERROR(INDEX('Historical Data'!$AH$2:$AH$1068,MATCH($A87,'Historical Data'!$BE$2:$BE$1068,0)),"")</f>
        <v/>
      </c>
      <c r="W87" s="106" t="str">
        <f aca="false">IFERROR(INDEX('Historical Data'!$BC$2:$BC$1068,MATCH($A87,'Historical Data'!$BE$2:$BE$1068,0)),"")</f>
        <v/>
      </c>
      <c r="X87" s="105" t="str">
        <f aca="false">IF(B87="","",IF(W87=1,"NR + industry + position",IF(W87=2,"NR + ISO + position",IF(W87=3,"NR + industry",IF(W87=4,"NR + ISO",IF(W87=5,"NR + position",IF(W87=6,"NR only","book baseline"))))))&amp;"  ["&amp;IF(T87=1,"seasoned","unseasoned")&amp;IF(U87=1,", defaulted","")&amp;IF(V87=1,", open","")&amp;"]")</f>
        <v/>
      </c>
    </row>
    <row r="88" customFormat="false" ht="15" hidden="false" customHeight="false" outlineLevel="0" collapsed="false">
      <c r="A88" s="105" t="n">
        <v>84</v>
      </c>
      <c r="B88" s="106" t="str">
        <f aca="false">IFERROR(INDEX('Historical Data'!$A$2:$A$1068,MATCH($A88,'Historical Data'!$BE$2:$BE$1068,0)),"")</f>
        <v/>
      </c>
      <c r="C88" s="106" t="str">
        <f aca="false">IFERROR(INDEX('Historical Data'!$B$2:$B$1068,MATCH($A88,'Historical Data'!$BE$2:$BE$1068,0)),"")</f>
        <v/>
      </c>
      <c r="D88" s="106" t="str">
        <f aca="false">IFERROR(INDEX('Historical Data'!$D$2:$D$1068,MATCH($A88,'Historical Data'!$BE$2:$BE$1068,0)),"")</f>
        <v/>
      </c>
      <c r="E88" s="107" t="str">
        <f aca="false">IFERROR(INDEX('Historical Data'!$E$2:$E$1068,MATCH($A88,'Historical Data'!$BE$2:$BE$1068,0)),"")</f>
        <v/>
      </c>
      <c r="F88" s="106" t="str">
        <f aca="false">IFERROR(INDEX('Historical Data'!$G$2:$G$1068,MATCH($A88,'Historical Data'!$BE$2:$BE$1068,0)),"")</f>
        <v/>
      </c>
      <c r="G88" s="106" t="str">
        <f aca="false">IFERROR(INDEX('Historical Data'!$Y$2:$Y$1068,MATCH($A88,'Historical Data'!$BE$2:$BE$1068,0)),"")</f>
        <v/>
      </c>
      <c r="H88" s="106" t="str">
        <f aca="false">IFERROR(INDEX('Historical Data'!$K$2:$K$1068,MATCH($A88,'Historical Data'!$BE$2:$BE$1068,0)),"")</f>
        <v/>
      </c>
      <c r="I88" s="106" t="str">
        <f aca="false">IFERROR(INDEX('Historical Data'!$J$2:$J$1068,MATCH($A88,'Historical Data'!$BE$2:$BE$1068,0)),"")</f>
        <v/>
      </c>
      <c r="J88" s="106" t="str">
        <f aca="false">IFERROR(INDEX('Historical Data'!$L$2:$L$1068,MATCH($A88,'Historical Data'!$BE$2:$BE$1068,0)),"")</f>
        <v/>
      </c>
      <c r="K88" s="108" t="str">
        <f aca="false">IFERROR(INDEX('Historical Data'!$M$2:$M$1068,MATCH($A88,'Historical Data'!$BE$2:$BE$1068,0)),"")</f>
        <v/>
      </c>
      <c r="L88" s="109" t="str">
        <f aca="false">IFERROR(INDEX('Historical Data'!$N$2:$N$1068,MATCH($A88,'Historical Data'!$BE$2:$BE$1068,0)),"")</f>
        <v/>
      </c>
      <c r="M88" s="109" t="str">
        <f aca="false">IFERROR(INDEX('Historical Data'!$Q$2:$Q$1068,MATCH($A88,'Historical Data'!$BE$2:$BE$1068,0)),"")</f>
        <v/>
      </c>
      <c r="N88" s="110" t="str">
        <f aca="false">IFERROR(INDEX('Historical Data'!$S$2:$S$1068,MATCH($A88,'Historical Data'!$BE$2:$BE$1068,0)),"")</f>
        <v/>
      </c>
      <c r="O88" s="109" t="str">
        <f aca="false">IFERROR(INDEX('Historical Data'!$AJ$2:$AJ$1068,MATCH($A88,'Historical Data'!$BE$2:$BE$1068,0)),"")</f>
        <v/>
      </c>
      <c r="P88" s="109" t="str">
        <f aca="false">IFERROR(INDEX('Historical Data'!$AK$2:$AK$1068,MATCH($A88,'Historical Data'!$BE$2:$BE$1068,0)),"")</f>
        <v/>
      </c>
      <c r="Q88" s="106" t="str">
        <f aca="false">IFERROR(INDEX('Historical Data'!$AA$2:$AA$1068,MATCH($A88,'Historical Data'!$BE$2:$BE$1068,0)),"")</f>
        <v/>
      </c>
      <c r="R88" s="106" t="str">
        <f aca="false">IFERROR(INDEX('Historical Data'!$AB$2:$AB$1068,MATCH($A88,'Historical Data'!$BE$2:$BE$1068,0)),"")</f>
        <v/>
      </c>
      <c r="S88" s="106" t="str">
        <f aca="false">IFERROR(INDEX('Historical Data'!$AN$2:$AN$1068,MATCH($A88,'Historical Data'!$BE$2:$BE$1068,0)),"")</f>
        <v/>
      </c>
      <c r="T88" s="106" t="str">
        <f aca="false">IFERROR(INDEX('Historical Data'!$AC$2:$AC$1068,MATCH($A88,'Historical Data'!$BE$2:$BE$1068,0)),"")</f>
        <v/>
      </c>
      <c r="U88" s="106" t="str">
        <f aca="false">IFERROR(INDEX('Historical Data'!$AE$2:$AE$1068,MATCH($A88,'Historical Data'!$BE$2:$BE$1068,0)),"")</f>
        <v/>
      </c>
      <c r="V88" s="106" t="str">
        <f aca="false">IFERROR(INDEX('Historical Data'!$AH$2:$AH$1068,MATCH($A88,'Historical Data'!$BE$2:$BE$1068,0)),"")</f>
        <v/>
      </c>
      <c r="W88" s="106" t="str">
        <f aca="false">IFERROR(INDEX('Historical Data'!$BC$2:$BC$1068,MATCH($A88,'Historical Data'!$BE$2:$BE$1068,0)),"")</f>
        <v/>
      </c>
      <c r="X88" s="105" t="str">
        <f aca="false">IF(B88="","",IF(W88=1,"NR + industry + position",IF(W88=2,"NR + ISO + position",IF(W88=3,"NR + industry",IF(W88=4,"NR + ISO",IF(W88=5,"NR + position",IF(W88=6,"NR only","book baseline"))))))&amp;"  ["&amp;IF(T88=1,"seasoned","unseasoned")&amp;IF(U88=1,", defaulted","")&amp;IF(V88=1,", open","")&amp;"]")</f>
        <v/>
      </c>
    </row>
    <row r="89" customFormat="false" ht="15" hidden="false" customHeight="false" outlineLevel="0" collapsed="false">
      <c r="A89" s="105" t="n">
        <v>85</v>
      </c>
      <c r="B89" s="106" t="str">
        <f aca="false">IFERROR(INDEX('Historical Data'!$A$2:$A$1068,MATCH($A89,'Historical Data'!$BE$2:$BE$1068,0)),"")</f>
        <v/>
      </c>
      <c r="C89" s="106" t="str">
        <f aca="false">IFERROR(INDEX('Historical Data'!$B$2:$B$1068,MATCH($A89,'Historical Data'!$BE$2:$BE$1068,0)),"")</f>
        <v/>
      </c>
      <c r="D89" s="106" t="str">
        <f aca="false">IFERROR(INDEX('Historical Data'!$D$2:$D$1068,MATCH($A89,'Historical Data'!$BE$2:$BE$1068,0)),"")</f>
        <v/>
      </c>
      <c r="E89" s="107" t="str">
        <f aca="false">IFERROR(INDEX('Historical Data'!$E$2:$E$1068,MATCH($A89,'Historical Data'!$BE$2:$BE$1068,0)),"")</f>
        <v/>
      </c>
      <c r="F89" s="106" t="str">
        <f aca="false">IFERROR(INDEX('Historical Data'!$G$2:$G$1068,MATCH($A89,'Historical Data'!$BE$2:$BE$1068,0)),"")</f>
        <v/>
      </c>
      <c r="G89" s="106" t="str">
        <f aca="false">IFERROR(INDEX('Historical Data'!$Y$2:$Y$1068,MATCH($A89,'Historical Data'!$BE$2:$BE$1068,0)),"")</f>
        <v/>
      </c>
      <c r="H89" s="106" t="str">
        <f aca="false">IFERROR(INDEX('Historical Data'!$K$2:$K$1068,MATCH($A89,'Historical Data'!$BE$2:$BE$1068,0)),"")</f>
        <v/>
      </c>
      <c r="I89" s="106" t="str">
        <f aca="false">IFERROR(INDEX('Historical Data'!$J$2:$J$1068,MATCH($A89,'Historical Data'!$BE$2:$BE$1068,0)),"")</f>
        <v/>
      </c>
      <c r="J89" s="106" t="str">
        <f aca="false">IFERROR(INDEX('Historical Data'!$L$2:$L$1068,MATCH($A89,'Historical Data'!$BE$2:$BE$1068,0)),"")</f>
        <v/>
      </c>
      <c r="K89" s="108" t="str">
        <f aca="false">IFERROR(INDEX('Historical Data'!$M$2:$M$1068,MATCH($A89,'Historical Data'!$BE$2:$BE$1068,0)),"")</f>
        <v/>
      </c>
      <c r="L89" s="109" t="str">
        <f aca="false">IFERROR(INDEX('Historical Data'!$N$2:$N$1068,MATCH($A89,'Historical Data'!$BE$2:$BE$1068,0)),"")</f>
        <v/>
      </c>
      <c r="M89" s="109" t="str">
        <f aca="false">IFERROR(INDEX('Historical Data'!$Q$2:$Q$1068,MATCH($A89,'Historical Data'!$BE$2:$BE$1068,0)),"")</f>
        <v/>
      </c>
      <c r="N89" s="110" t="str">
        <f aca="false">IFERROR(INDEX('Historical Data'!$S$2:$S$1068,MATCH($A89,'Historical Data'!$BE$2:$BE$1068,0)),"")</f>
        <v/>
      </c>
      <c r="O89" s="109" t="str">
        <f aca="false">IFERROR(INDEX('Historical Data'!$AJ$2:$AJ$1068,MATCH($A89,'Historical Data'!$BE$2:$BE$1068,0)),"")</f>
        <v/>
      </c>
      <c r="P89" s="109" t="str">
        <f aca="false">IFERROR(INDEX('Historical Data'!$AK$2:$AK$1068,MATCH($A89,'Historical Data'!$BE$2:$BE$1068,0)),"")</f>
        <v/>
      </c>
      <c r="Q89" s="106" t="str">
        <f aca="false">IFERROR(INDEX('Historical Data'!$AA$2:$AA$1068,MATCH($A89,'Historical Data'!$BE$2:$BE$1068,0)),"")</f>
        <v/>
      </c>
      <c r="R89" s="106" t="str">
        <f aca="false">IFERROR(INDEX('Historical Data'!$AB$2:$AB$1068,MATCH($A89,'Historical Data'!$BE$2:$BE$1068,0)),"")</f>
        <v/>
      </c>
      <c r="S89" s="106" t="str">
        <f aca="false">IFERROR(INDEX('Historical Data'!$AN$2:$AN$1068,MATCH($A89,'Historical Data'!$BE$2:$BE$1068,0)),"")</f>
        <v/>
      </c>
      <c r="T89" s="106" t="str">
        <f aca="false">IFERROR(INDEX('Historical Data'!$AC$2:$AC$1068,MATCH($A89,'Historical Data'!$BE$2:$BE$1068,0)),"")</f>
        <v/>
      </c>
      <c r="U89" s="106" t="str">
        <f aca="false">IFERROR(INDEX('Historical Data'!$AE$2:$AE$1068,MATCH($A89,'Historical Data'!$BE$2:$BE$1068,0)),"")</f>
        <v/>
      </c>
      <c r="V89" s="106" t="str">
        <f aca="false">IFERROR(INDEX('Historical Data'!$AH$2:$AH$1068,MATCH($A89,'Historical Data'!$BE$2:$BE$1068,0)),"")</f>
        <v/>
      </c>
      <c r="W89" s="106" t="str">
        <f aca="false">IFERROR(INDEX('Historical Data'!$BC$2:$BC$1068,MATCH($A89,'Historical Data'!$BE$2:$BE$1068,0)),"")</f>
        <v/>
      </c>
      <c r="X89" s="105" t="str">
        <f aca="false">IF(B89="","",IF(W89=1,"NR + industry + position",IF(W89=2,"NR + ISO + position",IF(W89=3,"NR + industry",IF(W89=4,"NR + ISO",IF(W89=5,"NR + position",IF(W89=6,"NR only","book baseline"))))))&amp;"  ["&amp;IF(T89=1,"seasoned","unseasoned")&amp;IF(U89=1,", defaulted","")&amp;IF(V89=1,", open","")&amp;"]")</f>
        <v/>
      </c>
    </row>
    <row r="90" customFormat="false" ht="15" hidden="false" customHeight="false" outlineLevel="0" collapsed="false">
      <c r="A90" s="105" t="n">
        <v>86</v>
      </c>
      <c r="B90" s="106" t="str">
        <f aca="false">IFERROR(INDEX('Historical Data'!$A$2:$A$1068,MATCH($A90,'Historical Data'!$BE$2:$BE$1068,0)),"")</f>
        <v/>
      </c>
      <c r="C90" s="106" t="str">
        <f aca="false">IFERROR(INDEX('Historical Data'!$B$2:$B$1068,MATCH($A90,'Historical Data'!$BE$2:$BE$1068,0)),"")</f>
        <v/>
      </c>
      <c r="D90" s="106" t="str">
        <f aca="false">IFERROR(INDEX('Historical Data'!$D$2:$D$1068,MATCH($A90,'Historical Data'!$BE$2:$BE$1068,0)),"")</f>
        <v/>
      </c>
      <c r="E90" s="107" t="str">
        <f aca="false">IFERROR(INDEX('Historical Data'!$E$2:$E$1068,MATCH($A90,'Historical Data'!$BE$2:$BE$1068,0)),"")</f>
        <v/>
      </c>
      <c r="F90" s="106" t="str">
        <f aca="false">IFERROR(INDEX('Historical Data'!$G$2:$G$1068,MATCH($A90,'Historical Data'!$BE$2:$BE$1068,0)),"")</f>
        <v/>
      </c>
      <c r="G90" s="106" t="str">
        <f aca="false">IFERROR(INDEX('Historical Data'!$Y$2:$Y$1068,MATCH($A90,'Historical Data'!$BE$2:$BE$1068,0)),"")</f>
        <v/>
      </c>
      <c r="H90" s="106" t="str">
        <f aca="false">IFERROR(INDEX('Historical Data'!$K$2:$K$1068,MATCH($A90,'Historical Data'!$BE$2:$BE$1068,0)),"")</f>
        <v/>
      </c>
      <c r="I90" s="106" t="str">
        <f aca="false">IFERROR(INDEX('Historical Data'!$J$2:$J$1068,MATCH($A90,'Historical Data'!$BE$2:$BE$1068,0)),"")</f>
        <v/>
      </c>
      <c r="J90" s="106" t="str">
        <f aca="false">IFERROR(INDEX('Historical Data'!$L$2:$L$1068,MATCH($A90,'Historical Data'!$BE$2:$BE$1068,0)),"")</f>
        <v/>
      </c>
      <c r="K90" s="108" t="str">
        <f aca="false">IFERROR(INDEX('Historical Data'!$M$2:$M$1068,MATCH($A90,'Historical Data'!$BE$2:$BE$1068,0)),"")</f>
        <v/>
      </c>
      <c r="L90" s="109" t="str">
        <f aca="false">IFERROR(INDEX('Historical Data'!$N$2:$N$1068,MATCH($A90,'Historical Data'!$BE$2:$BE$1068,0)),"")</f>
        <v/>
      </c>
      <c r="M90" s="109" t="str">
        <f aca="false">IFERROR(INDEX('Historical Data'!$Q$2:$Q$1068,MATCH($A90,'Historical Data'!$BE$2:$BE$1068,0)),"")</f>
        <v/>
      </c>
      <c r="N90" s="110" t="str">
        <f aca="false">IFERROR(INDEX('Historical Data'!$S$2:$S$1068,MATCH($A90,'Historical Data'!$BE$2:$BE$1068,0)),"")</f>
        <v/>
      </c>
      <c r="O90" s="109" t="str">
        <f aca="false">IFERROR(INDEX('Historical Data'!$AJ$2:$AJ$1068,MATCH($A90,'Historical Data'!$BE$2:$BE$1068,0)),"")</f>
        <v/>
      </c>
      <c r="P90" s="109" t="str">
        <f aca="false">IFERROR(INDEX('Historical Data'!$AK$2:$AK$1068,MATCH($A90,'Historical Data'!$BE$2:$BE$1068,0)),"")</f>
        <v/>
      </c>
      <c r="Q90" s="106" t="str">
        <f aca="false">IFERROR(INDEX('Historical Data'!$AA$2:$AA$1068,MATCH($A90,'Historical Data'!$BE$2:$BE$1068,0)),"")</f>
        <v/>
      </c>
      <c r="R90" s="106" t="str">
        <f aca="false">IFERROR(INDEX('Historical Data'!$AB$2:$AB$1068,MATCH($A90,'Historical Data'!$BE$2:$BE$1068,0)),"")</f>
        <v/>
      </c>
      <c r="S90" s="106" t="str">
        <f aca="false">IFERROR(INDEX('Historical Data'!$AN$2:$AN$1068,MATCH($A90,'Historical Data'!$BE$2:$BE$1068,0)),"")</f>
        <v/>
      </c>
      <c r="T90" s="106" t="str">
        <f aca="false">IFERROR(INDEX('Historical Data'!$AC$2:$AC$1068,MATCH($A90,'Historical Data'!$BE$2:$BE$1068,0)),"")</f>
        <v/>
      </c>
      <c r="U90" s="106" t="str">
        <f aca="false">IFERROR(INDEX('Historical Data'!$AE$2:$AE$1068,MATCH($A90,'Historical Data'!$BE$2:$BE$1068,0)),"")</f>
        <v/>
      </c>
      <c r="V90" s="106" t="str">
        <f aca="false">IFERROR(INDEX('Historical Data'!$AH$2:$AH$1068,MATCH($A90,'Historical Data'!$BE$2:$BE$1068,0)),"")</f>
        <v/>
      </c>
      <c r="W90" s="106" t="str">
        <f aca="false">IFERROR(INDEX('Historical Data'!$BC$2:$BC$1068,MATCH($A90,'Historical Data'!$BE$2:$BE$1068,0)),"")</f>
        <v/>
      </c>
      <c r="X90" s="105" t="str">
        <f aca="false">IF(B90="","",IF(W90=1,"NR + industry + position",IF(W90=2,"NR + ISO + position",IF(W90=3,"NR + industry",IF(W90=4,"NR + ISO",IF(W90=5,"NR + position",IF(W90=6,"NR only","book baseline"))))))&amp;"  ["&amp;IF(T90=1,"seasoned","unseasoned")&amp;IF(U90=1,", defaulted","")&amp;IF(V90=1,", open","")&amp;"]")</f>
        <v/>
      </c>
    </row>
    <row r="91" customFormat="false" ht="15" hidden="false" customHeight="false" outlineLevel="0" collapsed="false">
      <c r="A91" s="105" t="n">
        <v>87</v>
      </c>
      <c r="B91" s="106" t="str">
        <f aca="false">IFERROR(INDEX('Historical Data'!$A$2:$A$1068,MATCH($A91,'Historical Data'!$BE$2:$BE$1068,0)),"")</f>
        <v/>
      </c>
      <c r="C91" s="106" t="str">
        <f aca="false">IFERROR(INDEX('Historical Data'!$B$2:$B$1068,MATCH($A91,'Historical Data'!$BE$2:$BE$1068,0)),"")</f>
        <v/>
      </c>
      <c r="D91" s="106" t="str">
        <f aca="false">IFERROR(INDEX('Historical Data'!$D$2:$D$1068,MATCH($A91,'Historical Data'!$BE$2:$BE$1068,0)),"")</f>
        <v/>
      </c>
      <c r="E91" s="107" t="str">
        <f aca="false">IFERROR(INDEX('Historical Data'!$E$2:$E$1068,MATCH($A91,'Historical Data'!$BE$2:$BE$1068,0)),"")</f>
        <v/>
      </c>
      <c r="F91" s="106" t="str">
        <f aca="false">IFERROR(INDEX('Historical Data'!$G$2:$G$1068,MATCH($A91,'Historical Data'!$BE$2:$BE$1068,0)),"")</f>
        <v/>
      </c>
      <c r="G91" s="106" t="str">
        <f aca="false">IFERROR(INDEX('Historical Data'!$Y$2:$Y$1068,MATCH($A91,'Historical Data'!$BE$2:$BE$1068,0)),"")</f>
        <v/>
      </c>
      <c r="H91" s="106" t="str">
        <f aca="false">IFERROR(INDEX('Historical Data'!$K$2:$K$1068,MATCH($A91,'Historical Data'!$BE$2:$BE$1068,0)),"")</f>
        <v/>
      </c>
      <c r="I91" s="106" t="str">
        <f aca="false">IFERROR(INDEX('Historical Data'!$J$2:$J$1068,MATCH($A91,'Historical Data'!$BE$2:$BE$1068,0)),"")</f>
        <v/>
      </c>
      <c r="J91" s="106" t="str">
        <f aca="false">IFERROR(INDEX('Historical Data'!$L$2:$L$1068,MATCH($A91,'Historical Data'!$BE$2:$BE$1068,0)),"")</f>
        <v/>
      </c>
      <c r="K91" s="108" t="str">
        <f aca="false">IFERROR(INDEX('Historical Data'!$M$2:$M$1068,MATCH($A91,'Historical Data'!$BE$2:$BE$1068,0)),"")</f>
        <v/>
      </c>
      <c r="L91" s="109" t="str">
        <f aca="false">IFERROR(INDEX('Historical Data'!$N$2:$N$1068,MATCH($A91,'Historical Data'!$BE$2:$BE$1068,0)),"")</f>
        <v/>
      </c>
      <c r="M91" s="109" t="str">
        <f aca="false">IFERROR(INDEX('Historical Data'!$Q$2:$Q$1068,MATCH($A91,'Historical Data'!$BE$2:$BE$1068,0)),"")</f>
        <v/>
      </c>
      <c r="N91" s="110" t="str">
        <f aca="false">IFERROR(INDEX('Historical Data'!$S$2:$S$1068,MATCH($A91,'Historical Data'!$BE$2:$BE$1068,0)),"")</f>
        <v/>
      </c>
      <c r="O91" s="109" t="str">
        <f aca="false">IFERROR(INDEX('Historical Data'!$AJ$2:$AJ$1068,MATCH($A91,'Historical Data'!$BE$2:$BE$1068,0)),"")</f>
        <v/>
      </c>
      <c r="P91" s="109" t="str">
        <f aca="false">IFERROR(INDEX('Historical Data'!$AK$2:$AK$1068,MATCH($A91,'Historical Data'!$BE$2:$BE$1068,0)),"")</f>
        <v/>
      </c>
      <c r="Q91" s="106" t="str">
        <f aca="false">IFERROR(INDEX('Historical Data'!$AA$2:$AA$1068,MATCH($A91,'Historical Data'!$BE$2:$BE$1068,0)),"")</f>
        <v/>
      </c>
      <c r="R91" s="106" t="str">
        <f aca="false">IFERROR(INDEX('Historical Data'!$AB$2:$AB$1068,MATCH($A91,'Historical Data'!$BE$2:$BE$1068,0)),"")</f>
        <v/>
      </c>
      <c r="S91" s="106" t="str">
        <f aca="false">IFERROR(INDEX('Historical Data'!$AN$2:$AN$1068,MATCH($A91,'Historical Data'!$BE$2:$BE$1068,0)),"")</f>
        <v/>
      </c>
      <c r="T91" s="106" t="str">
        <f aca="false">IFERROR(INDEX('Historical Data'!$AC$2:$AC$1068,MATCH($A91,'Historical Data'!$BE$2:$BE$1068,0)),"")</f>
        <v/>
      </c>
      <c r="U91" s="106" t="str">
        <f aca="false">IFERROR(INDEX('Historical Data'!$AE$2:$AE$1068,MATCH($A91,'Historical Data'!$BE$2:$BE$1068,0)),"")</f>
        <v/>
      </c>
      <c r="V91" s="106" t="str">
        <f aca="false">IFERROR(INDEX('Historical Data'!$AH$2:$AH$1068,MATCH($A91,'Historical Data'!$BE$2:$BE$1068,0)),"")</f>
        <v/>
      </c>
      <c r="W91" s="106" t="str">
        <f aca="false">IFERROR(INDEX('Historical Data'!$BC$2:$BC$1068,MATCH($A91,'Historical Data'!$BE$2:$BE$1068,0)),"")</f>
        <v/>
      </c>
      <c r="X91" s="105" t="str">
        <f aca="false">IF(B91="","",IF(W91=1,"NR + industry + position",IF(W91=2,"NR + ISO + position",IF(W91=3,"NR + industry",IF(W91=4,"NR + ISO",IF(W91=5,"NR + position",IF(W91=6,"NR only","book baseline"))))))&amp;"  ["&amp;IF(T91=1,"seasoned","unseasoned")&amp;IF(U91=1,", defaulted","")&amp;IF(V91=1,", open","")&amp;"]")</f>
        <v/>
      </c>
    </row>
    <row r="92" customFormat="false" ht="15" hidden="false" customHeight="false" outlineLevel="0" collapsed="false">
      <c r="A92" s="105" t="n">
        <v>88</v>
      </c>
      <c r="B92" s="106" t="str">
        <f aca="false">IFERROR(INDEX('Historical Data'!$A$2:$A$1068,MATCH($A92,'Historical Data'!$BE$2:$BE$1068,0)),"")</f>
        <v/>
      </c>
      <c r="C92" s="106" t="str">
        <f aca="false">IFERROR(INDEX('Historical Data'!$B$2:$B$1068,MATCH($A92,'Historical Data'!$BE$2:$BE$1068,0)),"")</f>
        <v/>
      </c>
      <c r="D92" s="106" t="str">
        <f aca="false">IFERROR(INDEX('Historical Data'!$D$2:$D$1068,MATCH($A92,'Historical Data'!$BE$2:$BE$1068,0)),"")</f>
        <v/>
      </c>
      <c r="E92" s="107" t="str">
        <f aca="false">IFERROR(INDEX('Historical Data'!$E$2:$E$1068,MATCH($A92,'Historical Data'!$BE$2:$BE$1068,0)),"")</f>
        <v/>
      </c>
      <c r="F92" s="106" t="str">
        <f aca="false">IFERROR(INDEX('Historical Data'!$G$2:$G$1068,MATCH($A92,'Historical Data'!$BE$2:$BE$1068,0)),"")</f>
        <v/>
      </c>
      <c r="G92" s="106" t="str">
        <f aca="false">IFERROR(INDEX('Historical Data'!$Y$2:$Y$1068,MATCH($A92,'Historical Data'!$BE$2:$BE$1068,0)),"")</f>
        <v/>
      </c>
      <c r="H92" s="106" t="str">
        <f aca="false">IFERROR(INDEX('Historical Data'!$K$2:$K$1068,MATCH($A92,'Historical Data'!$BE$2:$BE$1068,0)),"")</f>
        <v/>
      </c>
      <c r="I92" s="106" t="str">
        <f aca="false">IFERROR(INDEX('Historical Data'!$J$2:$J$1068,MATCH($A92,'Historical Data'!$BE$2:$BE$1068,0)),"")</f>
        <v/>
      </c>
      <c r="J92" s="106" t="str">
        <f aca="false">IFERROR(INDEX('Historical Data'!$L$2:$L$1068,MATCH($A92,'Historical Data'!$BE$2:$BE$1068,0)),"")</f>
        <v/>
      </c>
      <c r="K92" s="108" t="str">
        <f aca="false">IFERROR(INDEX('Historical Data'!$M$2:$M$1068,MATCH($A92,'Historical Data'!$BE$2:$BE$1068,0)),"")</f>
        <v/>
      </c>
      <c r="L92" s="109" t="str">
        <f aca="false">IFERROR(INDEX('Historical Data'!$N$2:$N$1068,MATCH($A92,'Historical Data'!$BE$2:$BE$1068,0)),"")</f>
        <v/>
      </c>
      <c r="M92" s="109" t="str">
        <f aca="false">IFERROR(INDEX('Historical Data'!$Q$2:$Q$1068,MATCH($A92,'Historical Data'!$BE$2:$BE$1068,0)),"")</f>
        <v/>
      </c>
      <c r="N92" s="110" t="str">
        <f aca="false">IFERROR(INDEX('Historical Data'!$S$2:$S$1068,MATCH($A92,'Historical Data'!$BE$2:$BE$1068,0)),"")</f>
        <v/>
      </c>
      <c r="O92" s="109" t="str">
        <f aca="false">IFERROR(INDEX('Historical Data'!$AJ$2:$AJ$1068,MATCH($A92,'Historical Data'!$BE$2:$BE$1068,0)),"")</f>
        <v/>
      </c>
      <c r="P92" s="109" t="str">
        <f aca="false">IFERROR(INDEX('Historical Data'!$AK$2:$AK$1068,MATCH($A92,'Historical Data'!$BE$2:$BE$1068,0)),"")</f>
        <v/>
      </c>
      <c r="Q92" s="106" t="str">
        <f aca="false">IFERROR(INDEX('Historical Data'!$AA$2:$AA$1068,MATCH($A92,'Historical Data'!$BE$2:$BE$1068,0)),"")</f>
        <v/>
      </c>
      <c r="R92" s="106" t="str">
        <f aca="false">IFERROR(INDEX('Historical Data'!$AB$2:$AB$1068,MATCH($A92,'Historical Data'!$BE$2:$BE$1068,0)),"")</f>
        <v/>
      </c>
      <c r="S92" s="106" t="str">
        <f aca="false">IFERROR(INDEX('Historical Data'!$AN$2:$AN$1068,MATCH($A92,'Historical Data'!$BE$2:$BE$1068,0)),"")</f>
        <v/>
      </c>
      <c r="T92" s="106" t="str">
        <f aca="false">IFERROR(INDEX('Historical Data'!$AC$2:$AC$1068,MATCH($A92,'Historical Data'!$BE$2:$BE$1068,0)),"")</f>
        <v/>
      </c>
      <c r="U92" s="106" t="str">
        <f aca="false">IFERROR(INDEX('Historical Data'!$AE$2:$AE$1068,MATCH($A92,'Historical Data'!$BE$2:$BE$1068,0)),"")</f>
        <v/>
      </c>
      <c r="V92" s="106" t="str">
        <f aca="false">IFERROR(INDEX('Historical Data'!$AH$2:$AH$1068,MATCH($A92,'Historical Data'!$BE$2:$BE$1068,0)),"")</f>
        <v/>
      </c>
      <c r="W92" s="106" t="str">
        <f aca="false">IFERROR(INDEX('Historical Data'!$BC$2:$BC$1068,MATCH($A92,'Historical Data'!$BE$2:$BE$1068,0)),"")</f>
        <v/>
      </c>
      <c r="X92" s="105" t="str">
        <f aca="false">IF(B92="","",IF(W92=1,"NR + industry + position",IF(W92=2,"NR + ISO + position",IF(W92=3,"NR + industry",IF(W92=4,"NR + ISO",IF(W92=5,"NR + position",IF(W92=6,"NR only","book baseline"))))))&amp;"  ["&amp;IF(T92=1,"seasoned","unseasoned")&amp;IF(U92=1,", defaulted","")&amp;IF(V92=1,", open","")&amp;"]")</f>
        <v/>
      </c>
    </row>
    <row r="93" customFormat="false" ht="15" hidden="false" customHeight="false" outlineLevel="0" collapsed="false">
      <c r="A93" s="105" t="n">
        <v>89</v>
      </c>
      <c r="B93" s="106" t="str">
        <f aca="false">IFERROR(INDEX('Historical Data'!$A$2:$A$1068,MATCH($A93,'Historical Data'!$BE$2:$BE$1068,0)),"")</f>
        <v/>
      </c>
      <c r="C93" s="106" t="str">
        <f aca="false">IFERROR(INDEX('Historical Data'!$B$2:$B$1068,MATCH($A93,'Historical Data'!$BE$2:$BE$1068,0)),"")</f>
        <v/>
      </c>
      <c r="D93" s="106" t="str">
        <f aca="false">IFERROR(INDEX('Historical Data'!$D$2:$D$1068,MATCH($A93,'Historical Data'!$BE$2:$BE$1068,0)),"")</f>
        <v/>
      </c>
      <c r="E93" s="107" t="str">
        <f aca="false">IFERROR(INDEX('Historical Data'!$E$2:$E$1068,MATCH($A93,'Historical Data'!$BE$2:$BE$1068,0)),"")</f>
        <v/>
      </c>
      <c r="F93" s="106" t="str">
        <f aca="false">IFERROR(INDEX('Historical Data'!$G$2:$G$1068,MATCH($A93,'Historical Data'!$BE$2:$BE$1068,0)),"")</f>
        <v/>
      </c>
      <c r="G93" s="106" t="str">
        <f aca="false">IFERROR(INDEX('Historical Data'!$Y$2:$Y$1068,MATCH($A93,'Historical Data'!$BE$2:$BE$1068,0)),"")</f>
        <v/>
      </c>
      <c r="H93" s="106" t="str">
        <f aca="false">IFERROR(INDEX('Historical Data'!$K$2:$K$1068,MATCH($A93,'Historical Data'!$BE$2:$BE$1068,0)),"")</f>
        <v/>
      </c>
      <c r="I93" s="106" t="str">
        <f aca="false">IFERROR(INDEX('Historical Data'!$J$2:$J$1068,MATCH($A93,'Historical Data'!$BE$2:$BE$1068,0)),"")</f>
        <v/>
      </c>
      <c r="J93" s="106" t="str">
        <f aca="false">IFERROR(INDEX('Historical Data'!$L$2:$L$1068,MATCH($A93,'Historical Data'!$BE$2:$BE$1068,0)),"")</f>
        <v/>
      </c>
      <c r="K93" s="108" t="str">
        <f aca="false">IFERROR(INDEX('Historical Data'!$M$2:$M$1068,MATCH($A93,'Historical Data'!$BE$2:$BE$1068,0)),"")</f>
        <v/>
      </c>
      <c r="L93" s="109" t="str">
        <f aca="false">IFERROR(INDEX('Historical Data'!$N$2:$N$1068,MATCH($A93,'Historical Data'!$BE$2:$BE$1068,0)),"")</f>
        <v/>
      </c>
      <c r="M93" s="109" t="str">
        <f aca="false">IFERROR(INDEX('Historical Data'!$Q$2:$Q$1068,MATCH($A93,'Historical Data'!$BE$2:$BE$1068,0)),"")</f>
        <v/>
      </c>
      <c r="N93" s="110" t="str">
        <f aca="false">IFERROR(INDEX('Historical Data'!$S$2:$S$1068,MATCH($A93,'Historical Data'!$BE$2:$BE$1068,0)),"")</f>
        <v/>
      </c>
      <c r="O93" s="109" t="str">
        <f aca="false">IFERROR(INDEX('Historical Data'!$AJ$2:$AJ$1068,MATCH($A93,'Historical Data'!$BE$2:$BE$1068,0)),"")</f>
        <v/>
      </c>
      <c r="P93" s="109" t="str">
        <f aca="false">IFERROR(INDEX('Historical Data'!$AK$2:$AK$1068,MATCH($A93,'Historical Data'!$BE$2:$BE$1068,0)),"")</f>
        <v/>
      </c>
      <c r="Q93" s="106" t="str">
        <f aca="false">IFERROR(INDEX('Historical Data'!$AA$2:$AA$1068,MATCH($A93,'Historical Data'!$BE$2:$BE$1068,0)),"")</f>
        <v/>
      </c>
      <c r="R93" s="106" t="str">
        <f aca="false">IFERROR(INDEX('Historical Data'!$AB$2:$AB$1068,MATCH($A93,'Historical Data'!$BE$2:$BE$1068,0)),"")</f>
        <v/>
      </c>
      <c r="S93" s="106" t="str">
        <f aca="false">IFERROR(INDEX('Historical Data'!$AN$2:$AN$1068,MATCH($A93,'Historical Data'!$BE$2:$BE$1068,0)),"")</f>
        <v/>
      </c>
      <c r="T93" s="106" t="str">
        <f aca="false">IFERROR(INDEX('Historical Data'!$AC$2:$AC$1068,MATCH($A93,'Historical Data'!$BE$2:$BE$1068,0)),"")</f>
        <v/>
      </c>
      <c r="U93" s="106" t="str">
        <f aca="false">IFERROR(INDEX('Historical Data'!$AE$2:$AE$1068,MATCH($A93,'Historical Data'!$BE$2:$BE$1068,0)),"")</f>
        <v/>
      </c>
      <c r="V93" s="106" t="str">
        <f aca="false">IFERROR(INDEX('Historical Data'!$AH$2:$AH$1068,MATCH($A93,'Historical Data'!$BE$2:$BE$1068,0)),"")</f>
        <v/>
      </c>
      <c r="W93" s="106" t="str">
        <f aca="false">IFERROR(INDEX('Historical Data'!$BC$2:$BC$1068,MATCH($A93,'Historical Data'!$BE$2:$BE$1068,0)),"")</f>
        <v/>
      </c>
      <c r="X93" s="105" t="str">
        <f aca="false">IF(B93="","",IF(W93=1,"NR + industry + position",IF(W93=2,"NR + ISO + position",IF(W93=3,"NR + industry",IF(W93=4,"NR + ISO",IF(W93=5,"NR + position",IF(W93=6,"NR only","book baseline"))))))&amp;"  ["&amp;IF(T93=1,"seasoned","unseasoned")&amp;IF(U93=1,", defaulted","")&amp;IF(V93=1,", open","")&amp;"]")</f>
        <v/>
      </c>
    </row>
    <row r="94" customFormat="false" ht="15" hidden="false" customHeight="false" outlineLevel="0" collapsed="false">
      <c r="A94" s="105" t="n">
        <v>90</v>
      </c>
      <c r="B94" s="106" t="str">
        <f aca="false">IFERROR(INDEX('Historical Data'!$A$2:$A$1068,MATCH($A94,'Historical Data'!$BE$2:$BE$1068,0)),"")</f>
        <v/>
      </c>
      <c r="C94" s="106" t="str">
        <f aca="false">IFERROR(INDEX('Historical Data'!$B$2:$B$1068,MATCH($A94,'Historical Data'!$BE$2:$BE$1068,0)),"")</f>
        <v/>
      </c>
      <c r="D94" s="106" t="str">
        <f aca="false">IFERROR(INDEX('Historical Data'!$D$2:$D$1068,MATCH($A94,'Historical Data'!$BE$2:$BE$1068,0)),"")</f>
        <v/>
      </c>
      <c r="E94" s="107" t="str">
        <f aca="false">IFERROR(INDEX('Historical Data'!$E$2:$E$1068,MATCH($A94,'Historical Data'!$BE$2:$BE$1068,0)),"")</f>
        <v/>
      </c>
      <c r="F94" s="106" t="str">
        <f aca="false">IFERROR(INDEX('Historical Data'!$G$2:$G$1068,MATCH($A94,'Historical Data'!$BE$2:$BE$1068,0)),"")</f>
        <v/>
      </c>
      <c r="G94" s="106" t="str">
        <f aca="false">IFERROR(INDEX('Historical Data'!$Y$2:$Y$1068,MATCH($A94,'Historical Data'!$BE$2:$BE$1068,0)),"")</f>
        <v/>
      </c>
      <c r="H94" s="106" t="str">
        <f aca="false">IFERROR(INDEX('Historical Data'!$K$2:$K$1068,MATCH($A94,'Historical Data'!$BE$2:$BE$1068,0)),"")</f>
        <v/>
      </c>
      <c r="I94" s="106" t="str">
        <f aca="false">IFERROR(INDEX('Historical Data'!$J$2:$J$1068,MATCH($A94,'Historical Data'!$BE$2:$BE$1068,0)),"")</f>
        <v/>
      </c>
      <c r="J94" s="106" t="str">
        <f aca="false">IFERROR(INDEX('Historical Data'!$L$2:$L$1068,MATCH($A94,'Historical Data'!$BE$2:$BE$1068,0)),"")</f>
        <v/>
      </c>
      <c r="K94" s="108" t="str">
        <f aca="false">IFERROR(INDEX('Historical Data'!$M$2:$M$1068,MATCH($A94,'Historical Data'!$BE$2:$BE$1068,0)),"")</f>
        <v/>
      </c>
      <c r="L94" s="109" t="str">
        <f aca="false">IFERROR(INDEX('Historical Data'!$N$2:$N$1068,MATCH($A94,'Historical Data'!$BE$2:$BE$1068,0)),"")</f>
        <v/>
      </c>
      <c r="M94" s="109" t="str">
        <f aca="false">IFERROR(INDEX('Historical Data'!$Q$2:$Q$1068,MATCH($A94,'Historical Data'!$BE$2:$BE$1068,0)),"")</f>
        <v/>
      </c>
      <c r="N94" s="110" t="str">
        <f aca="false">IFERROR(INDEX('Historical Data'!$S$2:$S$1068,MATCH($A94,'Historical Data'!$BE$2:$BE$1068,0)),"")</f>
        <v/>
      </c>
      <c r="O94" s="109" t="str">
        <f aca="false">IFERROR(INDEX('Historical Data'!$AJ$2:$AJ$1068,MATCH($A94,'Historical Data'!$BE$2:$BE$1068,0)),"")</f>
        <v/>
      </c>
      <c r="P94" s="109" t="str">
        <f aca="false">IFERROR(INDEX('Historical Data'!$AK$2:$AK$1068,MATCH($A94,'Historical Data'!$BE$2:$BE$1068,0)),"")</f>
        <v/>
      </c>
      <c r="Q94" s="106" t="str">
        <f aca="false">IFERROR(INDEX('Historical Data'!$AA$2:$AA$1068,MATCH($A94,'Historical Data'!$BE$2:$BE$1068,0)),"")</f>
        <v/>
      </c>
      <c r="R94" s="106" t="str">
        <f aca="false">IFERROR(INDEX('Historical Data'!$AB$2:$AB$1068,MATCH($A94,'Historical Data'!$BE$2:$BE$1068,0)),"")</f>
        <v/>
      </c>
      <c r="S94" s="106" t="str">
        <f aca="false">IFERROR(INDEX('Historical Data'!$AN$2:$AN$1068,MATCH($A94,'Historical Data'!$BE$2:$BE$1068,0)),"")</f>
        <v/>
      </c>
      <c r="T94" s="106" t="str">
        <f aca="false">IFERROR(INDEX('Historical Data'!$AC$2:$AC$1068,MATCH($A94,'Historical Data'!$BE$2:$BE$1068,0)),"")</f>
        <v/>
      </c>
      <c r="U94" s="106" t="str">
        <f aca="false">IFERROR(INDEX('Historical Data'!$AE$2:$AE$1068,MATCH($A94,'Historical Data'!$BE$2:$BE$1068,0)),"")</f>
        <v/>
      </c>
      <c r="V94" s="106" t="str">
        <f aca="false">IFERROR(INDEX('Historical Data'!$AH$2:$AH$1068,MATCH($A94,'Historical Data'!$BE$2:$BE$1068,0)),"")</f>
        <v/>
      </c>
      <c r="W94" s="106" t="str">
        <f aca="false">IFERROR(INDEX('Historical Data'!$BC$2:$BC$1068,MATCH($A94,'Historical Data'!$BE$2:$BE$1068,0)),"")</f>
        <v/>
      </c>
      <c r="X94" s="105" t="str">
        <f aca="false">IF(B94="","",IF(W94=1,"NR + industry + position",IF(W94=2,"NR + ISO + position",IF(W94=3,"NR + industry",IF(W94=4,"NR + ISO",IF(W94=5,"NR + position",IF(W94=6,"NR only","book baseline"))))))&amp;"  ["&amp;IF(T94=1,"seasoned","unseasoned")&amp;IF(U94=1,", defaulted","")&amp;IF(V94=1,", open","")&amp;"]")</f>
        <v/>
      </c>
    </row>
    <row r="95" customFormat="false" ht="15" hidden="false" customHeight="false" outlineLevel="0" collapsed="false">
      <c r="A95" s="105" t="n">
        <v>91</v>
      </c>
      <c r="B95" s="106" t="str">
        <f aca="false">IFERROR(INDEX('Historical Data'!$A$2:$A$1068,MATCH($A95,'Historical Data'!$BE$2:$BE$1068,0)),"")</f>
        <v/>
      </c>
      <c r="C95" s="106" t="str">
        <f aca="false">IFERROR(INDEX('Historical Data'!$B$2:$B$1068,MATCH($A95,'Historical Data'!$BE$2:$BE$1068,0)),"")</f>
        <v/>
      </c>
      <c r="D95" s="106" t="str">
        <f aca="false">IFERROR(INDEX('Historical Data'!$D$2:$D$1068,MATCH($A95,'Historical Data'!$BE$2:$BE$1068,0)),"")</f>
        <v/>
      </c>
      <c r="E95" s="107" t="str">
        <f aca="false">IFERROR(INDEX('Historical Data'!$E$2:$E$1068,MATCH($A95,'Historical Data'!$BE$2:$BE$1068,0)),"")</f>
        <v/>
      </c>
      <c r="F95" s="106" t="str">
        <f aca="false">IFERROR(INDEX('Historical Data'!$G$2:$G$1068,MATCH($A95,'Historical Data'!$BE$2:$BE$1068,0)),"")</f>
        <v/>
      </c>
      <c r="G95" s="106" t="str">
        <f aca="false">IFERROR(INDEX('Historical Data'!$Y$2:$Y$1068,MATCH($A95,'Historical Data'!$BE$2:$BE$1068,0)),"")</f>
        <v/>
      </c>
      <c r="H95" s="106" t="str">
        <f aca="false">IFERROR(INDEX('Historical Data'!$K$2:$K$1068,MATCH($A95,'Historical Data'!$BE$2:$BE$1068,0)),"")</f>
        <v/>
      </c>
      <c r="I95" s="106" t="str">
        <f aca="false">IFERROR(INDEX('Historical Data'!$J$2:$J$1068,MATCH($A95,'Historical Data'!$BE$2:$BE$1068,0)),"")</f>
        <v/>
      </c>
      <c r="J95" s="106" t="str">
        <f aca="false">IFERROR(INDEX('Historical Data'!$L$2:$L$1068,MATCH($A95,'Historical Data'!$BE$2:$BE$1068,0)),"")</f>
        <v/>
      </c>
      <c r="K95" s="108" t="str">
        <f aca="false">IFERROR(INDEX('Historical Data'!$M$2:$M$1068,MATCH($A95,'Historical Data'!$BE$2:$BE$1068,0)),"")</f>
        <v/>
      </c>
      <c r="L95" s="109" t="str">
        <f aca="false">IFERROR(INDEX('Historical Data'!$N$2:$N$1068,MATCH($A95,'Historical Data'!$BE$2:$BE$1068,0)),"")</f>
        <v/>
      </c>
      <c r="M95" s="109" t="str">
        <f aca="false">IFERROR(INDEX('Historical Data'!$Q$2:$Q$1068,MATCH($A95,'Historical Data'!$BE$2:$BE$1068,0)),"")</f>
        <v/>
      </c>
      <c r="N95" s="110" t="str">
        <f aca="false">IFERROR(INDEX('Historical Data'!$S$2:$S$1068,MATCH($A95,'Historical Data'!$BE$2:$BE$1068,0)),"")</f>
        <v/>
      </c>
      <c r="O95" s="109" t="str">
        <f aca="false">IFERROR(INDEX('Historical Data'!$AJ$2:$AJ$1068,MATCH($A95,'Historical Data'!$BE$2:$BE$1068,0)),"")</f>
        <v/>
      </c>
      <c r="P95" s="109" t="str">
        <f aca="false">IFERROR(INDEX('Historical Data'!$AK$2:$AK$1068,MATCH($A95,'Historical Data'!$BE$2:$BE$1068,0)),"")</f>
        <v/>
      </c>
      <c r="Q95" s="106" t="str">
        <f aca="false">IFERROR(INDEX('Historical Data'!$AA$2:$AA$1068,MATCH($A95,'Historical Data'!$BE$2:$BE$1068,0)),"")</f>
        <v/>
      </c>
      <c r="R95" s="106" t="str">
        <f aca="false">IFERROR(INDEX('Historical Data'!$AB$2:$AB$1068,MATCH($A95,'Historical Data'!$BE$2:$BE$1068,0)),"")</f>
        <v/>
      </c>
      <c r="S95" s="106" t="str">
        <f aca="false">IFERROR(INDEX('Historical Data'!$AN$2:$AN$1068,MATCH($A95,'Historical Data'!$BE$2:$BE$1068,0)),"")</f>
        <v/>
      </c>
      <c r="T95" s="106" t="str">
        <f aca="false">IFERROR(INDEX('Historical Data'!$AC$2:$AC$1068,MATCH($A95,'Historical Data'!$BE$2:$BE$1068,0)),"")</f>
        <v/>
      </c>
      <c r="U95" s="106" t="str">
        <f aca="false">IFERROR(INDEX('Historical Data'!$AE$2:$AE$1068,MATCH($A95,'Historical Data'!$BE$2:$BE$1068,0)),"")</f>
        <v/>
      </c>
      <c r="V95" s="106" t="str">
        <f aca="false">IFERROR(INDEX('Historical Data'!$AH$2:$AH$1068,MATCH($A95,'Historical Data'!$BE$2:$BE$1068,0)),"")</f>
        <v/>
      </c>
      <c r="W95" s="106" t="str">
        <f aca="false">IFERROR(INDEX('Historical Data'!$BC$2:$BC$1068,MATCH($A95,'Historical Data'!$BE$2:$BE$1068,0)),"")</f>
        <v/>
      </c>
      <c r="X95" s="105" t="str">
        <f aca="false">IF(B95="","",IF(W95=1,"NR + industry + position",IF(W95=2,"NR + ISO + position",IF(W95=3,"NR + industry",IF(W95=4,"NR + ISO",IF(W95=5,"NR + position",IF(W95=6,"NR only","book baseline"))))))&amp;"  ["&amp;IF(T95=1,"seasoned","unseasoned")&amp;IF(U95=1,", defaulted","")&amp;IF(V95=1,", open","")&amp;"]")</f>
        <v/>
      </c>
    </row>
    <row r="96" customFormat="false" ht="15" hidden="false" customHeight="false" outlineLevel="0" collapsed="false">
      <c r="A96" s="105" t="n">
        <v>92</v>
      </c>
      <c r="B96" s="106" t="str">
        <f aca="false">IFERROR(INDEX('Historical Data'!$A$2:$A$1068,MATCH($A96,'Historical Data'!$BE$2:$BE$1068,0)),"")</f>
        <v/>
      </c>
      <c r="C96" s="106" t="str">
        <f aca="false">IFERROR(INDEX('Historical Data'!$B$2:$B$1068,MATCH($A96,'Historical Data'!$BE$2:$BE$1068,0)),"")</f>
        <v/>
      </c>
      <c r="D96" s="106" t="str">
        <f aca="false">IFERROR(INDEX('Historical Data'!$D$2:$D$1068,MATCH($A96,'Historical Data'!$BE$2:$BE$1068,0)),"")</f>
        <v/>
      </c>
      <c r="E96" s="107" t="str">
        <f aca="false">IFERROR(INDEX('Historical Data'!$E$2:$E$1068,MATCH($A96,'Historical Data'!$BE$2:$BE$1068,0)),"")</f>
        <v/>
      </c>
      <c r="F96" s="106" t="str">
        <f aca="false">IFERROR(INDEX('Historical Data'!$G$2:$G$1068,MATCH($A96,'Historical Data'!$BE$2:$BE$1068,0)),"")</f>
        <v/>
      </c>
      <c r="G96" s="106" t="str">
        <f aca="false">IFERROR(INDEX('Historical Data'!$Y$2:$Y$1068,MATCH($A96,'Historical Data'!$BE$2:$BE$1068,0)),"")</f>
        <v/>
      </c>
      <c r="H96" s="106" t="str">
        <f aca="false">IFERROR(INDEX('Historical Data'!$K$2:$K$1068,MATCH($A96,'Historical Data'!$BE$2:$BE$1068,0)),"")</f>
        <v/>
      </c>
      <c r="I96" s="106" t="str">
        <f aca="false">IFERROR(INDEX('Historical Data'!$J$2:$J$1068,MATCH($A96,'Historical Data'!$BE$2:$BE$1068,0)),"")</f>
        <v/>
      </c>
      <c r="J96" s="106" t="str">
        <f aca="false">IFERROR(INDEX('Historical Data'!$L$2:$L$1068,MATCH($A96,'Historical Data'!$BE$2:$BE$1068,0)),"")</f>
        <v/>
      </c>
      <c r="K96" s="108" t="str">
        <f aca="false">IFERROR(INDEX('Historical Data'!$M$2:$M$1068,MATCH($A96,'Historical Data'!$BE$2:$BE$1068,0)),"")</f>
        <v/>
      </c>
      <c r="L96" s="109" t="str">
        <f aca="false">IFERROR(INDEX('Historical Data'!$N$2:$N$1068,MATCH($A96,'Historical Data'!$BE$2:$BE$1068,0)),"")</f>
        <v/>
      </c>
      <c r="M96" s="109" t="str">
        <f aca="false">IFERROR(INDEX('Historical Data'!$Q$2:$Q$1068,MATCH($A96,'Historical Data'!$BE$2:$BE$1068,0)),"")</f>
        <v/>
      </c>
      <c r="N96" s="110" t="str">
        <f aca="false">IFERROR(INDEX('Historical Data'!$S$2:$S$1068,MATCH($A96,'Historical Data'!$BE$2:$BE$1068,0)),"")</f>
        <v/>
      </c>
      <c r="O96" s="109" t="str">
        <f aca="false">IFERROR(INDEX('Historical Data'!$AJ$2:$AJ$1068,MATCH($A96,'Historical Data'!$BE$2:$BE$1068,0)),"")</f>
        <v/>
      </c>
      <c r="P96" s="109" t="str">
        <f aca="false">IFERROR(INDEX('Historical Data'!$AK$2:$AK$1068,MATCH($A96,'Historical Data'!$BE$2:$BE$1068,0)),"")</f>
        <v/>
      </c>
      <c r="Q96" s="106" t="str">
        <f aca="false">IFERROR(INDEX('Historical Data'!$AA$2:$AA$1068,MATCH($A96,'Historical Data'!$BE$2:$BE$1068,0)),"")</f>
        <v/>
      </c>
      <c r="R96" s="106" t="str">
        <f aca="false">IFERROR(INDEX('Historical Data'!$AB$2:$AB$1068,MATCH($A96,'Historical Data'!$BE$2:$BE$1068,0)),"")</f>
        <v/>
      </c>
      <c r="S96" s="106" t="str">
        <f aca="false">IFERROR(INDEX('Historical Data'!$AN$2:$AN$1068,MATCH($A96,'Historical Data'!$BE$2:$BE$1068,0)),"")</f>
        <v/>
      </c>
      <c r="T96" s="106" t="str">
        <f aca="false">IFERROR(INDEX('Historical Data'!$AC$2:$AC$1068,MATCH($A96,'Historical Data'!$BE$2:$BE$1068,0)),"")</f>
        <v/>
      </c>
      <c r="U96" s="106" t="str">
        <f aca="false">IFERROR(INDEX('Historical Data'!$AE$2:$AE$1068,MATCH($A96,'Historical Data'!$BE$2:$BE$1068,0)),"")</f>
        <v/>
      </c>
      <c r="V96" s="106" t="str">
        <f aca="false">IFERROR(INDEX('Historical Data'!$AH$2:$AH$1068,MATCH($A96,'Historical Data'!$BE$2:$BE$1068,0)),"")</f>
        <v/>
      </c>
      <c r="W96" s="106" t="str">
        <f aca="false">IFERROR(INDEX('Historical Data'!$BC$2:$BC$1068,MATCH($A96,'Historical Data'!$BE$2:$BE$1068,0)),"")</f>
        <v/>
      </c>
      <c r="X96" s="105" t="str">
        <f aca="false">IF(B96="","",IF(W96=1,"NR + industry + position",IF(W96=2,"NR + ISO + position",IF(W96=3,"NR + industry",IF(W96=4,"NR + ISO",IF(W96=5,"NR + position",IF(W96=6,"NR only","book baseline"))))))&amp;"  ["&amp;IF(T96=1,"seasoned","unseasoned")&amp;IF(U96=1,", defaulted","")&amp;IF(V96=1,", open","")&amp;"]")</f>
        <v/>
      </c>
    </row>
    <row r="97" customFormat="false" ht="15" hidden="false" customHeight="false" outlineLevel="0" collapsed="false">
      <c r="A97" s="105" t="n">
        <v>93</v>
      </c>
      <c r="B97" s="106" t="str">
        <f aca="false">IFERROR(INDEX('Historical Data'!$A$2:$A$1068,MATCH($A97,'Historical Data'!$BE$2:$BE$1068,0)),"")</f>
        <v/>
      </c>
      <c r="C97" s="106" t="str">
        <f aca="false">IFERROR(INDEX('Historical Data'!$B$2:$B$1068,MATCH($A97,'Historical Data'!$BE$2:$BE$1068,0)),"")</f>
        <v/>
      </c>
      <c r="D97" s="106" t="str">
        <f aca="false">IFERROR(INDEX('Historical Data'!$D$2:$D$1068,MATCH($A97,'Historical Data'!$BE$2:$BE$1068,0)),"")</f>
        <v/>
      </c>
      <c r="E97" s="107" t="str">
        <f aca="false">IFERROR(INDEX('Historical Data'!$E$2:$E$1068,MATCH($A97,'Historical Data'!$BE$2:$BE$1068,0)),"")</f>
        <v/>
      </c>
      <c r="F97" s="106" t="str">
        <f aca="false">IFERROR(INDEX('Historical Data'!$G$2:$G$1068,MATCH($A97,'Historical Data'!$BE$2:$BE$1068,0)),"")</f>
        <v/>
      </c>
      <c r="G97" s="106" t="str">
        <f aca="false">IFERROR(INDEX('Historical Data'!$Y$2:$Y$1068,MATCH($A97,'Historical Data'!$BE$2:$BE$1068,0)),"")</f>
        <v/>
      </c>
      <c r="H97" s="106" t="str">
        <f aca="false">IFERROR(INDEX('Historical Data'!$K$2:$K$1068,MATCH($A97,'Historical Data'!$BE$2:$BE$1068,0)),"")</f>
        <v/>
      </c>
      <c r="I97" s="106" t="str">
        <f aca="false">IFERROR(INDEX('Historical Data'!$J$2:$J$1068,MATCH($A97,'Historical Data'!$BE$2:$BE$1068,0)),"")</f>
        <v/>
      </c>
      <c r="J97" s="106" t="str">
        <f aca="false">IFERROR(INDEX('Historical Data'!$L$2:$L$1068,MATCH($A97,'Historical Data'!$BE$2:$BE$1068,0)),"")</f>
        <v/>
      </c>
      <c r="K97" s="108" t="str">
        <f aca="false">IFERROR(INDEX('Historical Data'!$M$2:$M$1068,MATCH($A97,'Historical Data'!$BE$2:$BE$1068,0)),"")</f>
        <v/>
      </c>
      <c r="L97" s="109" t="str">
        <f aca="false">IFERROR(INDEX('Historical Data'!$N$2:$N$1068,MATCH($A97,'Historical Data'!$BE$2:$BE$1068,0)),"")</f>
        <v/>
      </c>
      <c r="M97" s="109" t="str">
        <f aca="false">IFERROR(INDEX('Historical Data'!$Q$2:$Q$1068,MATCH($A97,'Historical Data'!$BE$2:$BE$1068,0)),"")</f>
        <v/>
      </c>
      <c r="N97" s="110" t="str">
        <f aca="false">IFERROR(INDEX('Historical Data'!$S$2:$S$1068,MATCH($A97,'Historical Data'!$BE$2:$BE$1068,0)),"")</f>
        <v/>
      </c>
      <c r="O97" s="109" t="str">
        <f aca="false">IFERROR(INDEX('Historical Data'!$AJ$2:$AJ$1068,MATCH($A97,'Historical Data'!$BE$2:$BE$1068,0)),"")</f>
        <v/>
      </c>
      <c r="P97" s="109" t="str">
        <f aca="false">IFERROR(INDEX('Historical Data'!$AK$2:$AK$1068,MATCH($A97,'Historical Data'!$BE$2:$BE$1068,0)),"")</f>
        <v/>
      </c>
      <c r="Q97" s="106" t="str">
        <f aca="false">IFERROR(INDEX('Historical Data'!$AA$2:$AA$1068,MATCH($A97,'Historical Data'!$BE$2:$BE$1068,0)),"")</f>
        <v/>
      </c>
      <c r="R97" s="106" t="str">
        <f aca="false">IFERROR(INDEX('Historical Data'!$AB$2:$AB$1068,MATCH($A97,'Historical Data'!$BE$2:$BE$1068,0)),"")</f>
        <v/>
      </c>
      <c r="S97" s="106" t="str">
        <f aca="false">IFERROR(INDEX('Historical Data'!$AN$2:$AN$1068,MATCH($A97,'Historical Data'!$BE$2:$BE$1068,0)),"")</f>
        <v/>
      </c>
      <c r="T97" s="106" t="str">
        <f aca="false">IFERROR(INDEX('Historical Data'!$AC$2:$AC$1068,MATCH($A97,'Historical Data'!$BE$2:$BE$1068,0)),"")</f>
        <v/>
      </c>
      <c r="U97" s="106" t="str">
        <f aca="false">IFERROR(INDEX('Historical Data'!$AE$2:$AE$1068,MATCH($A97,'Historical Data'!$BE$2:$BE$1068,0)),"")</f>
        <v/>
      </c>
      <c r="V97" s="106" t="str">
        <f aca="false">IFERROR(INDEX('Historical Data'!$AH$2:$AH$1068,MATCH($A97,'Historical Data'!$BE$2:$BE$1068,0)),"")</f>
        <v/>
      </c>
      <c r="W97" s="106" t="str">
        <f aca="false">IFERROR(INDEX('Historical Data'!$BC$2:$BC$1068,MATCH($A97,'Historical Data'!$BE$2:$BE$1068,0)),"")</f>
        <v/>
      </c>
      <c r="X97" s="105" t="str">
        <f aca="false">IF(B97="","",IF(W97=1,"NR + industry + position",IF(W97=2,"NR + ISO + position",IF(W97=3,"NR + industry",IF(W97=4,"NR + ISO",IF(W97=5,"NR + position",IF(W97=6,"NR only","book baseline"))))))&amp;"  ["&amp;IF(T97=1,"seasoned","unseasoned")&amp;IF(U97=1,", defaulted","")&amp;IF(V97=1,", open","")&amp;"]")</f>
        <v/>
      </c>
    </row>
    <row r="98" customFormat="false" ht="15" hidden="false" customHeight="false" outlineLevel="0" collapsed="false">
      <c r="A98" s="105" t="n">
        <v>94</v>
      </c>
      <c r="B98" s="106" t="str">
        <f aca="false">IFERROR(INDEX('Historical Data'!$A$2:$A$1068,MATCH($A98,'Historical Data'!$BE$2:$BE$1068,0)),"")</f>
        <v/>
      </c>
      <c r="C98" s="106" t="str">
        <f aca="false">IFERROR(INDEX('Historical Data'!$B$2:$B$1068,MATCH($A98,'Historical Data'!$BE$2:$BE$1068,0)),"")</f>
        <v/>
      </c>
      <c r="D98" s="106" t="str">
        <f aca="false">IFERROR(INDEX('Historical Data'!$D$2:$D$1068,MATCH($A98,'Historical Data'!$BE$2:$BE$1068,0)),"")</f>
        <v/>
      </c>
      <c r="E98" s="107" t="str">
        <f aca="false">IFERROR(INDEX('Historical Data'!$E$2:$E$1068,MATCH($A98,'Historical Data'!$BE$2:$BE$1068,0)),"")</f>
        <v/>
      </c>
      <c r="F98" s="106" t="str">
        <f aca="false">IFERROR(INDEX('Historical Data'!$G$2:$G$1068,MATCH($A98,'Historical Data'!$BE$2:$BE$1068,0)),"")</f>
        <v/>
      </c>
      <c r="G98" s="106" t="str">
        <f aca="false">IFERROR(INDEX('Historical Data'!$Y$2:$Y$1068,MATCH($A98,'Historical Data'!$BE$2:$BE$1068,0)),"")</f>
        <v/>
      </c>
      <c r="H98" s="106" t="str">
        <f aca="false">IFERROR(INDEX('Historical Data'!$K$2:$K$1068,MATCH($A98,'Historical Data'!$BE$2:$BE$1068,0)),"")</f>
        <v/>
      </c>
      <c r="I98" s="106" t="str">
        <f aca="false">IFERROR(INDEX('Historical Data'!$J$2:$J$1068,MATCH($A98,'Historical Data'!$BE$2:$BE$1068,0)),"")</f>
        <v/>
      </c>
      <c r="J98" s="106" t="str">
        <f aca="false">IFERROR(INDEX('Historical Data'!$L$2:$L$1068,MATCH($A98,'Historical Data'!$BE$2:$BE$1068,0)),"")</f>
        <v/>
      </c>
      <c r="K98" s="108" t="str">
        <f aca="false">IFERROR(INDEX('Historical Data'!$M$2:$M$1068,MATCH($A98,'Historical Data'!$BE$2:$BE$1068,0)),"")</f>
        <v/>
      </c>
      <c r="L98" s="109" t="str">
        <f aca="false">IFERROR(INDEX('Historical Data'!$N$2:$N$1068,MATCH($A98,'Historical Data'!$BE$2:$BE$1068,0)),"")</f>
        <v/>
      </c>
      <c r="M98" s="109" t="str">
        <f aca="false">IFERROR(INDEX('Historical Data'!$Q$2:$Q$1068,MATCH($A98,'Historical Data'!$BE$2:$BE$1068,0)),"")</f>
        <v/>
      </c>
      <c r="N98" s="110" t="str">
        <f aca="false">IFERROR(INDEX('Historical Data'!$S$2:$S$1068,MATCH($A98,'Historical Data'!$BE$2:$BE$1068,0)),"")</f>
        <v/>
      </c>
      <c r="O98" s="109" t="str">
        <f aca="false">IFERROR(INDEX('Historical Data'!$AJ$2:$AJ$1068,MATCH($A98,'Historical Data'!$BE$2:$BE$1068,0)),"")</f>
        <v/>
      </c>
      <c r="P98" s="109" t="str">
        <f aca="false">IFERROR(INDEX('Historical Data'!$AK$2:$AK$1068,MATCH($A98,'Historical Data'!$BE$2:$BE$1068,0)),"")</f>
        <v/>
      </c>
      <c r="Q98" s="106" t="str">
        <f aca="false">IFERROR(INDEX('Historical Data'!$AA$2:$AA$1068,MATCH($A98,'Historical Data'!$BE$2:$BE$1068,0)),"")</f>
        <v/>
      </c>
      <c r="R98" s="106" t="str">
        <f aca="false">IFERROR(INDEX('Historical Data'!$AB$2:$AB$1068,MATCH($A98,'Historical Data'!$BE$2:$BE$1068,0)),"")</f>
        <v/>
      </c>
      <c r="S98" s="106" t="str">
        <f aca="false">IFERROR(INDEX('Historical Data'!$AN$2:$AN$1068,MATCH($A98,'Historical Data'!$BE$2:$BE$1068,0)),"")</f>
        <v/>
      </c>
      <c r="T98" s="106" t="str">
        <f aca="false">IFERROR(INDEX('Historical Data'!$AC$2:$AC$1068,MATCH($A98,'Historical Data'!$BE$2:$BE$1068,0)),"")</f>
        <v/>
      </c>
      <c r="U98" s="106" t="str">
        <f aca="false">IFERROR(INDEX('Historical Data'!$AE$2:$AE$1068,MATCH($A98,'Historical Data'!$BE$2:$BE$1068,0)),"")</f>
        <v/>
      </c>
      <c r="V98" s="106" t="str">
        <f aca="false">IFERROR(INDEX('Historical Data'!$AH$2:$AH$1068,MATCH($A98,'Historical Data'!$BE$2:$BE$1068,0)),"")</f>
        <v/>
      </c>
      <c r="W98" s="106" t="str">
        <f aca="false">IFERROR(INDEX('Historical Data'!$BC$2:$BC$1068,MATCH($A98,'Historical Data'!$BE$2:$BE$1068,0)),"")</f>
        <v/>
      </c>
      <c r="X98" s="105" t="str">
        <f aca="false">IF(B98="","",IF(W98=1,"NR + industry + position",IF(W98=2,"NR + ISO + position",IF(W98=3,"NR + industry",IF(W98=4,"NR + ISO",IF(W98=5,"NR + position",IF(W98=6,"NR only","book baseline"))))))&amp;"  ["&amp;IF(T98=1,"seasoned","unseasoned")&amp;IF(U98=1,", defaulted","")&amp;IF(V98=1,", open","")&amp;"]")</f>
        <v/>
      </c>
    </row>
    <row r="99" customFormat="false" ht="15" hidden="false" customHeight="false" outlineLevel="0" collapsed="false">
      <c r="A99" s="105" t="n">
        <v>95</v>
      </c>
      <c r="B99" s="106" t="str">
        <f aca="false">IFERROR(INDEX('Historical Data'!$A$2:$A$1068,MATCH($A99,'Historical Data'!$BE$2:$BE$1068,0)),"")</f>
        <v/>
      </c>
      <c r="C99" s="106" t="str">
        <f aca="false">IFERROR(INDEX('Historical Data'!$B$2:$B$1068,MATCH($A99,'Historical Data'!$BE$2:$BE$1068,0)),"")</f>
        <v/>
      </c>
      <c r="D99" s="106" t="str">
        <f aca="false">IFERROR(INDEX('Historical Data'!$D$2:$D$1068,MATCH($A99,'Historical Data'!$BE$2:$BE$1068,0)),"")</f>
        <v/>
      </c>
      <c r="E99" s="107" t="str">
        <f aca="false">IFERROR(INDEX('Historical Data'!$E$2:$E$1068,MATCH($A99,'Historical Data'!$BE$2:$BE$1068,0)),"")</f>
        <v/>
      </c>
      <c r="F99" s="106" t="str">
        <f aca="false">IFERROR(INDEX('Historical Data'!$G$2:$G$1068,MATCH($A99,'Historical Data'!$BE$2:$BE$1068,0)),"")</f>
        <v/>
      </c>
      <c r="G99" s="106" t="str">
        <f aca="false">IFERROR(INDEX('Historical Data'!$Y$2:$Y$1068,MATCH($A99,'Historical Data'!$BE$2:$BE$1068,0)),"")</f>
        <v/>
      </c>
      <c r="H99" s="106" t="str">
        <f aca="false">IFERROR(INDEX('Historical Data'!$K$2:$K$1068,MATCH($A99,'Historical Data'!$BE$2:$BE$1068,0)),"")</f>
        <v/>
      </c>
      <c r="I99" s="106" t="str">
        <f aca="false">IFERROR(INDEX('Historical Data'!$J$2:$J$1068,MATCH($A99,'Historical Data'!$BE$2:$BE$1068,0)),"")</f>
        <v/>
      </c>
      <c r="J99" s="106" t="str">
        <f aca="false">IFERROR(INDEX('Historical Data'!$L$2:$L$1068,MATCH($A99,'Historical Data'!$BE$2:$BE$1068,0)),"")</f>
        <v/>
      </c>
      <c r="K99" s="108" t="str">
        <f aca="false">IFERROR(INDEX('Historical Data'!$M$2:$M$1068,MATCH($A99,'Historical Data'!$BE$2:$BE$1068,0)),"")</f>
        <v/>
      </c>
      <c r="L99" s="109" t="str">
        <f aca="false">IFERROR(INDEX('Historical Data'!$N$2:$N$1068,MATCH($A99,'Historical Data'!$BE$2:$BE$1068,0)),"")</f>
        <v/>
      </c>
      <c r="M99" s="109" t="str">
        <f aca="false">IFERROR(INDEX('Historical Data'!$Q$2:$Q$1068,MATCH($A99,'Historical Data'!$BE$2:$BE$1068,0)),"")</f>
        <v/>
      </c>
      <c r="N99" s="110" t="str">
        <f aca="false">IFERROR(INDEX('Historical Data'!$S$2:$S$1068,MATCH($A99,'Historical Data'!$BE$2:$BE$1068,0)),"")</f>
        <v/>
      </c>
      <c r="O99" s="109" t="str">
        <f aca="false">IFERROR(INDEX('Historical Data'!$AJ$2:$AJ$1068,MATCH($A99,'Historical Data'!$BE$2:$BE$1068,0)),"")</f>
        <v/>
      </c>
      <c r="P99" s="109" t="str">
        <f aca="false">IFERROR(INDEX('Historical Data'!$AK$2:$AK$1068,MATCH($A99,'Historical Data'!$BE$2:$BE$1068,0)),"")</f>
        <v/>
      </c>
      <c r="Q99" s="106" t="str">
        <f aca="false">IFERROR(INDEX('Historical Data'!$AA$2:$AA$1068,MATCH($A99,'Historical Data'!$BE$2:$BE$1068,0)),"")</f>
        <v/>
      </c>
      <c r="R99" s="106" t="str">
        <f aca="false">IFERROR(INDEX('Historical Data'!$AB$2:$AB$1068,MATCH($A99,'Historical Data'!$BE$2:$BE$1068,0)),"")</f>
        <v/>
      </c>
      <c r="S99" s="106" t="str">
        <f aca="false">IFERROR(INDEX('Historical Data'!$AN$2:$AN$1068,MATCH($A99,'Historical Data'!$BE$2:$BE$1068,0)),"")</f>
        <v/>
      </c>
      <c r="T99" s="106" t="str">
        <f aca="false">IFERROR(INDEX('Historical Data'!$AC$2:$AC$1068,MATCH($A99,'Historical Data'!$BE$2:$BE$1068,0)),"")</f>
        <v/>
      </c>
      <c r="U99" s="106" t="str">
        <f aca="false">IFERROR(INDEX('Historical Data'!$AE$2:$AE$1068,MATCH($A99,'Historical Data'!$BE$2:$BE$1068,0)),"")</f>
        <v/>
      </c>
      <c r="V99" s="106" t="str">
        <f aca="false">IFERROR(INDEX('Historical Data'!$AH$2:$AH$1068,MATCH($A99,'Historical Data'!$BE$2:$BE$1068,0)),"")</f>
        <v/>
      </c>
      <c r="W99" s="106" t="str">
        <f aca="false">IFERROR(INDEX('Historical Data'!$BC$2:$BC$1068,MATCH($A99,'Historical Data'!$BE$2:$BE$1068,0)),"")</f>
        <v/>
      </c>
      <c r="X99" s="105" t="str">
        <f aca="false">IF(B99="","",IF(W99=1,"NR + industry + position",IF(W99=2,"NR + ISO + position",IF(W99=3,"NR + industry",IF(W99=4,"NR + ISO",IF(W99=5,"NR + position",IF(W99=6,"NR only","book baseline"))))))&amp;"  ["&amp;IF(T99=1,"seasoned","unseasoned")&amp;IF(U99=1,", defaulted","")&amp;IF(V99=1,", open","")&amp;"]")</f>
        <v/>
      </c>
    </row>
    <row r="100" customFormat="false" ht="15" hidden="false" customHeight="false" outlineLevel="0" collapsed="false">
      <c r="A100" s="105" t="n">
        <v>96</v>
      </c>
      <c r="B100" s="106" t="str">
        <f aca="false">IFERROR(INDEX('Historical Data'!$A$2:$A$1068,MATCH($A100,'Historical Data'!$BE$2:$BE$1068,0)),"")</f>
        <v/>
      </c>
      <c r="C100" s="106" t="str">
        <f aca="false">IFERROR(INDEX('Historical Data'!$B$2:$B$1068,MATCH($A100,'Historical Data'!$BE$2:$BE$1068,0)),"")</f>
        <v/>
      </c>
      <c r="D100" s="106" t="str">
        <f aca="false">IFERROR(INDEX('Historical Data'!$D$2:$D$1068,MATCH($A100,'Historical Data'!$BE$2:$BE$1068,0)),"")</f>
        <v/>
      </c>
      <c r="E100" s="107" t="str">
        <f aca="false">IFERROR(INDEX('Historical Data'!$E$2:$E$1068,MATCH($A100,'Historical Data'!$BE$2:$BE$1068,0)),"")</f>
        <v/>
      </c>
      <c r="F100" s="106" t="str">
        <f aca="false">IFERROR(INDEX('Historical Data'!$G$2:$G$1068,MATCH($A100,'Historical Data'!$BE$2:$BE$1068,0)),"")</f>
        <v/>
      </c>
      <c r="G100" s="106" t="str">
        <f aca="false">IFERROR(INDEX('Historical Data'!$Y$2:$Y$1068,MATCH($A100,'Historical Data'!$BE$2:$BE$1068,0)),"")</f>
        <v/>
      </c>
      <c r="H100" s="106" t="str">
        <f aca="false">IFERROR(INDEX('Historical Data'!$K$2:$K$1068,MATCH($A100,'Historical Data'!$BE$2:$BE$1068,0)),"")</f>
        <v/>
      </c>
      <c r="I100" s="106" t="str">
        <f aca="false">IFERROR(INDEX('Historical Data'!$J$2:$J$1068,MATCH($A100,'Historical Data'!$BE$2:$BE$1068,0)),"")</f>
        <v/>
      </c>
      <c r="J100" s="106" t="str">
        <f aca="false">IFERROR(INDEX('Historical Data'!$L$2:$L$1068,MATCH($A100,'Historical Data'!$BE$2:$BE$1068,0)),"")</f>
        <v/>
      </c>
      <c r="K100" s="108" t="str">
        <f aca="false">IFERROR(INDEX('Historical Data'!$M$2:$M$1068,MATCH($A100,'Historical Data'!$BE$2:$BE$1068,0)),"")</f>
        <v/>
      </c>
      <c r="L100" s="109" t="str">
        <f aca="false">IFERROR(INDEX('Historical Data'!$N$2:$N$1068,MATCH($A100,'Historical Data'!$BE$2:$BE$1068,0)),"")</f>
        <v/>
      </c>
      <c r="M100" s="109" t="str">
        <f aca="false">IFERROR(INDEX('Historical Data'!$Q$2:$Q$1068,MATCH($A100,'Historical Data'!$BE$2:$BE$1068,0)),"")</f>
        <v/>
      </c>
      <c r="N100" s="110" t="str">
        <f aca="false">IFERROR(INDEX('Historical Data'!$S$2:$S$1068,MATCH($A100,'Historical Data'!$BE$2:$BE$1068,0)),"")</f>
        <v/>
      </c>
      <c r="O100" s="109" t="str">
        <f aca="false">IFERROR(INDEX('Historical Data'!$AJ$2:$AJ$1068,MATCH($A100,'Historical Data'!$BE$2:$BE$1068,0)),"")</f>
        <v/>
      </c>
      <c r="P100" s="109" t="str">
        <f aca="false">IFERROR(INDEX('Historical Data'!$AK$2:$AK$1068,MATCH($A100,'Historical Data'!$BE$2:$BE$1068,0)),"")</f>
        <v/>
      </c>
      <c r="Q100" s="106" t="str">
        <f aca="false">IFERROR(INDEX('Historical Data'!$AA$2:$AA$1068,MATCH($A100,'Historical Data'!$BE$2:$BE$1068,0)),"")</f>
        <v/>
      </c>
      <c r="R100" s="106" t="str">
        <f aca="false">IFERROR(INDEX('Historical Data'!$AB$2:$AB$1068,MATCH($A100,'Historical Data'!$BE$2:$BE$1068,0)),"")</f>
        <v/>
      </c>
      <c r="S100" s="106" t="str">
        <f aca="false">IFERROR(INDEX('Historical Data'!$AN$2:$AN$1068,MATCH($A100,'Historical Data'!$BE$2:$BE$1068,0)),"")</f>
        <v/>
      </c>
      <c r="T100" s="106" t="str">
        <f aca="false">IFERROR(INDEX('Historical Data'!$AC$2:$AC$1068,MATCH($A100,'Historical Data'!$BE$2:$BE$1068,0)),"")</f>
        <v/>
      </c>
      <c r="U100" s="106" t="str">
        <f aca="false">IFERROR(INDEX('Historical Data'!$AE$2:$AE$1068,MATCH($A100,'Historical Data'!$BE$2:$BE$1068,0)),"")</f>
        <v/>
      </c>
      <c r="V100" s="106" t="str">
        <f aca="false">IFERROR(INDEX('Historical Data'!$AH$2:$AH$1068,MATCH($A100,'Historical Data'!$BE$2:$BE$1068,0)),"")</f>
        <v/>
      </c>
      <c r="W100" s="106" t="str">
        <f aca="false">IFERROR(INDEX('Historical Data'!$BC$2:$BC$1068,MATCH($A100,'Historical Data'!$BE$2:$BE$1068,0)),"")</f>
        <v/>
      </c>
      <c r="X100" s="105" t="str">
        <f aca="false">IF(B100="","",IF(W100=1,"NR + industry + position",IF(W100=2,"NR + ISO + position",IF(W100=3,"NR + industry",IF(W100=4,"NR + ISO",IF(W100=5,"NR + position",IF(W100=6,"NR only","book baseline"))))))&amp;"  ["&amp;IF(T100=1,"seasoned","unseasoned")&amp;IF(U100=1,", defaulted","")&amp;IF(V100=1,", open","")&amp;"]")</f>
        <v/>
      </c>
    </row>
    <row r="101" customFormat="false" ht="15" hidden="false" customHeight="false" outlineLevel="0" collapsed="false">
      <c r="A101" s="105" t="n">
        <v>97</v>
      </c>
      <c r="B101" s="106" t="str">
        <f aca="false">IFERROR(INDEX('Historical Data'!$A$2:$A$1068,MATCH($A101,'Historical Data'!$BE$2:$BE$1068,0)),"")</f>
        <v/>
      </c>
      <c r="C101" s="106" t="str">
        <f aca="false">IFERROR(INDEX('Historical Data'!$B$2:$B$1068,MATCH($A101,'Historical Data'!$BE$2:$BE$1068,0)),"")</f>
        <v/>
      </c>
      <c r="D101" s="106" t="str">
        <f aca="false">IFERROR(INDEX('Historical Data'!$D$2:$D$1068,MATCH($A101,'Historical Data'!$BE$2:$BE$1068,0)),"")</f>
        <v/>
      </c>
      <c r="E101" s="107" t="str">
        <f aca="false">IFERROR(INDEX('Historical Data'!$E$2:$E$1068,MATCH($A101,'Historical Data'!$BE$2:$BE$1068,0)),"")</f>
        <v/>
      </c>
      <c r="F101" s="106" t="str">
        <f aca="false">IFERROR(INDEX('Historical Data'!$G$2:$G$1068,MATCH($A101,'Historical Data'!$BE$2:$BE$1068,0)),"")</f>
        <v/>
      </c>
      <c r="G101" s="106" t="str">
        <f aca="false">IFERROR(INDEX('Historical Data'!$Y$2:$Y$1068,MATCH($A101,'Historical Data'!$BE$2:$BE$1068,0)),"")</f>
        <v/>
      </c>
      <c r="H101" s="106" t="str">
        <f aca="false">IFERROR(INDEX('Historical Data'!$K$2:$K$1068,MATCH($A101,'Historical Data'!$BE$2:$BE$1068,0)),"")</f>
        <v/>
      </c>
      <c r="I101" s="106" t="str">
        <f aca="false">IFERROR(INDEX('Historical Data'!$J$2:$J$1068,MATCH($A101,'Historical Data'!$BE$2:$BE$1068,0)),"")</f>
        <v/>
      </c>
      <c r="J101" s="106" t="str">
        <f aca="false">IFERROR(INDEX('Historical Data'!$L$2:$L$1068,MATCH($A101,'Historical Data'!$BE$2:$BE$1068,0)),"")</f>
        <v/>
      </c>
      <c r="K101" s="108" t="str">
        <f aca="false">IFERROR(INDEX('Historical Data'!$M$2:$M$1068,MATCH($A101,'Historical Data'!$BE$2:$BE$1068,0)),"")</f>
        <v/>
      </c>
      <c r="L101" s="109" t="str">
        <f aca="false">IFERROR(INDEX('Historical Data'!$N$2:$N$1068,MATCH($A101,'Historical Data'!$BE$2:$BE$1068,0)),"")</f>
        <v/>
      </c>
      <c r="M101" s="109" t="str">
        <f aca="false">IFERROR(INDEX('Historical Data'!$Q$2:$Q$1068,MATCH($A101,'Historical Data'!$BE$2:$BE$1068,0)),"")</f>
        <v/>
      </c>
      <c r="N101" s="110" t="str">
        <f aca="false">IFERROR(INDEX('Historical Data'!$S$2:$S$1068,MATCH($A101,'Historical Data'!$BE$2:$BE$1068,0)),"")</f>
        <v/>
      </c>
      <c r="O101" s="109" t="str">
        <f aca="false">IFERROR(INDEX('Historical Data'!$AJ$2:$AJ$1068,MATCH($A101,'Historical Data'!$BE$2:$BE$1068,0)),"")</f>
        <v/>
      </c>
      <c r="P101" s="109" t="str">
        <f aca="false">IFERROR(INDEX('Historical Data'!$AK$2:$AK$1068,MATCH($A101,'Historical Data'!$BE$2:$BE$1068,0)),"")</f>
        <v/>
      </c>
      <c r="Q101" s="106" t="str">
        <f aca="false">IFERROR(INDEX('Historical Data'!$AA$2:$AA$1068,MATCH($A101,'Historical Data'!$BE$2:$BE$1068,0)),"")</f>
        <v/>
      </c>
      <c r="R101" s="106" t="str">
        <f aca="false">IFERROR(INDEX('Historical Data'!$AB$2:$AB$1068,MATCH($A101,'Historical Data'!$BE$2:$BE$1068,0)),"")</f>
        <v/>
      </c>
      <c r="S101" s="106" t="str">
        <f aca="false">IFERROR(INDEX('Historical Data'!$AN$2:$AN$1068,MATCH($A101,'Historical Data'!$BE$2:$BE$1068,0)),"")</f>
        <v/>
      </c>
      <c r="T101" s="106" t="str">
        <f aca="false">IFERROR(INDEX('Historical Data'!$AC$2:$AC$1068,MATCH($A101,'Historical Data'!$BE$2:$BE$1068,0)),"")</f>
        <v/>
      </c>
      <c r="U101" s="106" t="str">
        <f aca="false">IFERROR(INDEX('Historical Data'!$AE$2:$AE$1068,MATCH($A101,'Historical Data'!$BE$2:$BE$1068,0)),"")</f>
        <v/>
      </c>
      <c r="V101" s="106" t="str">
        <f aca="false">IFERROR(INDEX('Historical Data'!$AH$2:$AH$1068,MATCH($A101,'Historical Data'!$BE$2:$BE$1068,0)),"")</f>
        <v/>
      </c>
      <c r="W101" s="106" t="str">
        <f aca="false">IFERROR(INDEX('Historical Data'!$BC$2:$BC$1068,MATCH($A101,'Historical Data'!$BE$2:$BE$1068,0)),"")</f>
        <v/>
      </c>
      <c r="X101" s="105" t="str">
        <f aca="false">IF(B101="","",IF(W101=1,"NR + industry + position",IF(W101=2,"NR + ISO + position",IF(W101=3,"NR + industry",IF(W101=4,"NR + ISO",IF(W101=5,"NR + position",IF(W101=6,"NR only","book baseline"))))))&amp;"  ["&amp;IF(T101=1,"seasoned","unseasoned")&amp;IF(U101=1,", defaulted","")&amp;IF(V101=1,", open","")&amp;"]")</f>
        <v/>
      </c>
    </row>
    <row r="102" customFormat="false" ht="15" hidden="false" customHeight="false" outlineLevel="0" collapsed="false">
      <c r="A102" s="105" t="n">
        <v>98</v>
      </c>
      <c r="B102" s="106" t="str">
        <f aca="false">IFERROR(INDEX('Historical Data'!$A$2:$A$1068,MATCH($A102,'Historical Data'!$BE$2:$BE$1068,0)),"")</f>
        <v/>
      </c>
      <c r="C102" s="106" t="str">
        <f aca="false">IFERROR(INDEX('Historical Data'!$B$2:$B$1068,MATCH($A102,'Historical Data'!$BE$2:$BE$1068,0)),"")</f>
        <v/>
      </c>
      <c r="D102" s="106" t="str">
        <f aca="false">IFERROR(INDEX('Historical Data'!$D$2:$D$1068,MATCH($A102,'Historical Data'!$BE$2:$BE$1068,0)),"")</f>
        <v/>
      </c>
      <c r="E102" s="107" t="str">
        <f aca="false">IFERROR(INDEX('Historical Data'!$E$2:$E$1068,MATCH($A102,'Historical Data'!$BE$2:$BE$1068,0)),"")</f>
        <v/>
      </c>
      <c r="F102" s="106" t="str">
        <f aca="false">IFERROR(INDEX('Historical Data'!$G$2:$G$1068,MATCH($A102,'Historical Data'!$BE$2:$BE$1068,0)),"")</f>
        <v/>
      </c>
      <c r="G102" s="106" t="str">
        <f aca="false">IFERROR(INDEX('Historical Data'!$Y$2:$Y$1068,MATCH($A102,'Historical Data'!$BE$2:$BE$1068,0)),"")</f>
        <v/>
      </c>
      <c r="H102" s="106" t="str">
        <f aca="false">IFERROR(INDEX('Historical Data'!$K$2:$K$1068,MATCH($A102,'Historical Data'!$BE$2:$BE$1068,0)),"")</f>
        <v/>
      </c>
      <c r="I102" s="106" t="str">
        <f aca="false">IFERROR(INDEX('Historical Data'!$J$2:$J$1068,MATCH($A102,'Historical Data'!$BE$2:$BE$1068,0)),"")</f>
        <v/>
      </c>
      <c r="J102" s="106" t="str">
        <f aca="false">IFERROR(INDEX('Historical Data'!$L$2:$L$1068,MATCH($A102,'Historical Data'!$BE$2:$BE$1068,0)),"")</f>
        <v/>
      </c>
      <c r="K102" s="108" t="str">
        <f aca="false">IFERROR(INDEX('Historical Data'!$M$2:$M$1068,MATCH($A102,'Historical Data'!$BE$2:$BE$1068,0)),"")</f>
        <v/>
      </c>
      <c r="L102" s="109" t="str">
        <f aca="false">IFERROR(INDEX('Historical Data'!$N$2:$N$1068,MATCH($A102,'Historical Data'!$BE$2:$BE$1068,0)),"")</f>
        <v/>
      </c>
      <c r="M102" s="109" t="str">
        <f aca="false">IFERROR(INDEX('Historical Data'!$Q$2:$Q$1068,MATCH($A102,'Historical Data'!$BE$2:$BE$1068,0)),"")</f>
        <v/>
      </c>
      <c r="N102" s="110" t="str">
        <f aca="false">IFERROR(INDEX('Historical Data'!$S$2:$S$1068,MATCH($A102,'Historical Data'!$BE$2:$BE$1068,0)),"")</f>
        <v/>
      </c>
      <c r="O102" s="109" t="str">
        <f aca="false">IFERROR(INDEX('Historical Data'!$AJ$2:$AJ$1068,MATCH($A102,'Historical Data'!$BE$2:$BE$1068,0)),"")</f>
        <v/>
      </c>
      <c r="P102" s="109" t="str">
        <f aca="false">IFERROR(INDEX('Historical Data'!$AK$2:$AK$1068,MATCH($A102,'Historical Data'!$BE$2:$BE$1068,0)),"")</f>
        <v/>
      </c>
      <c r="Q102" s="106" t="str">
        <f aca="false">IFERROR(INDEX('Historical Data'!$AA$2:$AA$1068,MATCH($A102,'Historical Data'!$BE$2:$BE$1068,0)),"")</f>
        <v/>
      </c>
      <c r="R102" s="106" t="str">
        <f aca="false">IFERROR(INDEX('Historical Data'!$AB$2:$AB$1068,MATCH($A102,'Historical Data'!$BE$2:$BE$1068,0)),"")</f>
        <v/>
      </c>
      <c r="S102" s="106" t="str">
        <f aca="false">IFERROR(INDEX('Historical Data'!$AN$2:$AN$1068,MATCH($A102,'Historical Data'!$BE$2:$BE$1068,0)),"")</f>
        <v/>
      </c>
      <c r="T102" s="106" t="str">
        <f aca="false">IFERROR(INDEX('Historical Data'!$AC$2:$AC$1068,MATCH($A102,'Historical Data'!$BE$2:$BE$1068,0)),"")</f>
        <v/>
      </c>
      <c r="U102" s="106" t="str">
        <f aca="false">IFERROR(INDEX('Historical Data'!$AE$2:$AE$1068,MATCH($A102,'Historical Data'!$BE$2:$BE$1068,0)),"")</f>
        <v/>
      </c>
      <c r="V102" s="106" t="str">
        <f aca="false">IFERROR(INDEX('Historical Data'!$AH$2:$AH$1068,MATCH($A102,'Historical Data'!$BE$2:$BE$1068,0)),"")</f>
        <v/>
      </c>
      <c r="W102" s="106" t="str">
        <f aca="false">IFERROR(INDEX('Historical Data'!$BC$2:$BC$1068,MATCH($A102,'Historical Data'!$BE$2:$BE$1068,0)),"")</f>
        <v/>
      </c>
      <c r="X102" s="105" t="str">
        <f aca="false">IF(B102="","",IF(W102=1,"NR + industry + position",IF(W102=2,"NR + ISO + position",IF(W102=3,"NR + industry",IF(W102=4,"NR + ISO",IF(W102=5,"NR + position",IF(W102=6,"NR only","book baseline"))))))&amp;"  ["&amp;IF(T102=1,"seasoned","unseasoned")&amp;IF(U102=1,", defaulted","")&amp;IF(V102=1,", open","")&amp;"]")</f>
        <v/>
      </c>
    </row>
    <row r="103" customFormat="false" ht="15" hidden="false" customHeight="false" outlineLevel="0" collapsed="false">
      <c r="A103" s="105" t="n">
        <v>99</v>
      </c>
      <c r="B103" s="106" t="str">
        <f aca="false">IFERROR(INDEX('Historical Data'!$A$2:$A$1068,MATCH($A103,'Historical Data'!$BE$2:$BE$1068,0)),"")</f>
        <v/>
      </c>
      <c r="C103" s="106" t="str">
        <f aca="false">IFERROR(INDEX('Historical Data'!$B$2:$B$1068,MATCH($A103,'Historical Data'!$BE$2:$BE$1068,0)),"")</f>
        <v/>
      </c>
      <c r="D103" s="106" t="str">
        <f aca="false">IFERROR(INDEX('Historical Data'!$D$2:$D$1068,MATCH($A103,'Historical Data'!$BE$2:$BE$1068,0)),"")</f>
        <v/>
      </c>
      <c r="E103" s="107" t="str">
        <f aca="false">IFERROR(INDEX('Historical Data'!$E$2:$E$1068,MATCH($A103,'Historical Data'!$BE$2:$BE$1068,0)),"")</f>
        <v/>
      </c>
      <c r="F103" s="106" t="str">
        <f aca="false">IFERROR(INDEX('Historical Data'!$G$2:$G$1068,MATCH($A103,'Historical Data'!$BE$2:$BE$1068,0)),"")</f>
        <v/>
      </c>
      <c r="G103" s="106" t="str">
        <f aca="false">IFERROR(INDEX('Historical Data'!$Y$2:$Y$1068,MATCH($A103,'Historical Data'!$BE$2:$BE$1068,0)),"")</f>
        <v/>
      </c>
      <c r="H103" s="106" t="str">
        <f aca="false">IFERROR(INDEX('Historical Data'!$K$2:$K$1068,MATCH($A103,'Historical Data'!$BE$2:$BE$1068,0)),"")</f>
        <v/>
      </c>
      <c r="I103" s="106" t="str">
        <f aca="false">IFERROR(INDEX('Historical Data'!$J$2:$J$1068,MATCH($A103,'Historical Data'!$BE$2:$BE$1068,0)),"")</f>
        <v/>
      </c>
      <c r="J103" s="106" t="str">
        <f aca="false">IFERROR(INDEX('Historical Data'!$L$2:$L$1068,MATCH($A103,'Historical Data'!$BE$2:$BE$1068,0)),"")</f>
        <v/>
      </c>
      <c r="K103" s="108" t="str">
        <f aca="false">IFERROR(INDEX('Historical Data'!$M$2:$M$1068,MATCH($A103,'Historical Data'!$BE$2:$BE$1068,0)),"")</f>
        <v/>
      </c>
      <c r="L103" s="109" t="str">
        <f aca="false">IFERROR(INDEX('Historical Data'!$N$2:$N$1068,MATCH($A103,'Historical Data'!$BE$2:$BE$1068,0)),"")</f>
        <v/>
      </c>
      <c r="M103" s="109" t="str">
        <f aca="false">IFERROR(INDEX('Historical Data'!$Q$2:$Q$1068,MATCH($A103,'Historical Data'!$BE$2:$BE$1068,0)),"")</f>
        <v/>
      </c>
      <c r="N103" s="110" t="str">
        <f aca="false">IFERROR(INDEX('Historical Data'!$S$2:$S$1068,MATCH($A103,'Historical Data'!$BE$2:$BE$1068,0)),"")</f>
        <v/>
      </c>
      <c r="O103" s="109" t="str">
        <f aca="false">IFERROR(INDEX('Historical Data'!$AJ$2:$AJ$1068,MATCH($A103,'Historical Data'!$BE$2:$BE$1068,0)),"")</f>
        <v/>
      </c>
      <c r="P103" s="109" t="str">
        <f aca="false">IFERROR(INDEX('Historical Data'!$AK$2:$AK$1068,MATCH($A103,'Historical Data'!$BE$2:$BE$1068,0)),"")</f>
        <v/>
      </c>
      <c r="Q103" s="106" t="str">
        <f aca="false">IFERROR(INDEX('Historical Data'!$AA$2:$AA$1068,MATCH($A103,'Historical Data'!$BE$2:$BE$1068,0)),"")</f>
        <v/>
      </c>
      <c r="R103" s="106" t="str">
        <f aca="false">IFERROR(INDEX('Historical Data'!$AB$2:$AB$1068,MATCH($A103,'Historical Data'!$BE$2:$BE$1068,0)),"")</f>
        <v/>
      </c>
      <c r="S103" s="106" t="str">
        <f aca="false">IFERROR(INDEX('Historical Data'!$AN$2:$AN$1068,MATCH($A103,'Historical Data'!$BE$2:$BE$1068,0)),"")</f>
        <v/>
      </c>
      <c r="T103" s="106" t="str">
        <f aca="false">IFERROR(INDEX('Historical Data'!$AC$2:$AC$1068,MATCH($A103,'Historical Data'!$BE$2:$BE$1068,0)),"")</f>
        <v/>
      </c>
      <c r="U103" s="106" t="str">
        <f aca="false">IFERROR(INDEX('Historical Data'!$AE$2:$AE$1068,MATCH($A103,'Historical Data'!$BE$2:$BE$1068,0)),"")</f>
        <v/>
      </c>
      <c r="V103" s="106" t="str">
        <f aca="false">IFERROR(INDEX('Historical Data'!$AH$2:$AH$1068,MATCH($A103,'Historical Data'!$BE$2:$BE$1068,0)),"")</f>
        <v/>
      </c>
      <c r="W103" s="106" t="str">
        <f aca="false">IFERROR(INDEX('Historical Data'!$BC$2:$BC$1068,MATCH($A103,'Historical Data'!$BE$2:$BE$1068,0)),"")</f>
        <v/>
      </c>
      <c r="X103" s="105" t="str">
        <f aca="false">IF(B103="","",IF(W103=1,"NR + industry + position",IF(W103=2,"NR + ISO + position",IF(W103=3,"NR + industry",IF(W103=4,"NR + ISO",IF(W103=5,"NR + position",IF(W103=6,"NR only","book baseline"))))))&amp;"  ["&amp;IF(T103=1,"seasoned","unseasoned")&amp;IF(U103=1,", defaulted","")&amp;IF(V103=1,", open","")&amp;"]")</f>
        <v/>
      </c>
    </row>
    <row r="104" customFormat="false" ht="15" hidden="false" customHeight="false" outlineLevel="0" collapsed="false">
      <c r="A104" s="105" t="n">
        <v>100</v>
      </c>
      <c r="B104" s="106" t="str">
        <f aca="false">IFERROR(INDEX('Historical Data'!$A$2:$A$1068,MATCH($A104,'Historical Data'!$BE$2:$BE$1068,0)),"")</f>
        <v/>
      </c>
      <c r="C104" s="106" t="str">
        <f aca="false">IFERROR(INDEX('Historical Data'!$B$2:$B$1068,MATCH($A104,'Historical Data'!$BE$2:$BE$1068,0)),"")</f>
        <v/>
      </c>
      <c r="D104" s="106" t="str">
        <f aca="false">IFERROR(INDEX('Historical Data'!$D$2:$D$1068,MATCH($A104,'Historical Data'!$BE$2:$BE$1068,0)),"")</f>
        <v/>
      </c>
      <c r="E104" s="107" t="str">
        <f aca="false">IFERROR(INDEX('Historical Data'!$E$2:$E$1068,MATCH($A104,'Historical Data'!$BE$2:$BE$1068,0)),"")</f>
        <v/>
      </c>
      <c r="F104" s="106" t="str">
        <f aca="false">IFERROR(INDEX('Historical Data'!$G$2:$G$1068,MATCH($A104,'Historical Data'!$BE$2:$BE$1068,0)),"")</f>
        <v/>
      </c>
      <c r="G104" s="106" t="str">
        <f aca="false">IFERROR(INDEX('Historical Data'!$Y$2:$Y$1068,MATCH($A104,'Historical Data'!$BE$2:$BE$1068,0)),"")</f>
        <v/>
      </c>
      <c r="H104" s="106" t="str">
        <f aca="false">IFERROR(INDEX('Historical Data'!$K$2:$K$1068,MATCH($A104,'Historical Data'!$BE$2:$BE$1068,0)),"")</f>
        <v/>
      </c>
      <c r="I104" s="106" t="str">
        <f aca="false">IFERROR(INDEX('Historical Data'!$J$2:$J$1068,MATCH($A104,'Historical Data'!$BE$2:$BE$1068,0)),"")</f>
        <v/>
      </c>
      <c r="J104" s="106" t="str">
        <f aca="false">IFERROR(INDEX('Historical Data'!$L$2:$L$1068,MATCH($A104,'Historical Data'!$BE$2:$BE$1068,0)),"")</f>
        <v/>
      </c>
      <c r="K104" s="108" t="str">
        <f aca="false">IFERROR(INDEX('Historical Data'!$M$2:$M$1068,MATCH($A104,'Historical Data'!$BE$2:$BE$1068,0)),"")</f>
        <v/>
      </c>
      <c r="L104" s="109" t="str">
        <f aca="false">IFERROR(INDEX('Historical Data'!$N$2:$N$1068,MATCH($A104,'Historical Data'!$BE$2:$BE$1068,0)),"")</f>
        <v/>
      </c>
      <c r="M104" s="109" t="str">
        <f aca="false">IFERROR(INDEX('Historical Data'!$Q$2:$Q$1068,MATCH($A104,'Historical Data'!$BE$2:$BE$1068,0)),"")</f>
        <v/>
      </c>
      <c r="N104" s="110" t="str">
        <f aca="false">IFERROR(INDEX('Historical Data'!$S$2:$S$1068,MATCH($A104,'Historical Data'!$BE$2:$BE$1068,0)),"")</f>
        <v/>
      </c>
      <c r="O104" s="109" t="str">
        <f aca="false">IFERROR(INDEX('Historical Data'!$AJ$2:$AJ$1068,MATCH($A104,'Historical Data'!$BE$2:$BE$1068,0)),"")</f>
        <v/>
      </c>
      <c r="P104" s="109" t="str">
        <f aca="false">IFERROR(INDEX('Historical Data'!$AK$2:$AK$1068,MATCH($A104,'Historical Data'!$BE$2:$BE$1068,0)),"")</f>
        <v/>
      </c>
      <c r="Q104" s="106" t="str">
        <f aca="false">IFERROR(INDEX('Historical Data'!$AA$2:$AA$1068,MATCH($A104,'Historical Data'!$BE$2:$BE$1068,0)),"")</f>
        <v/>
      </c>
      <c r="R104" s="106" t="str">
        <f aca="false">IFERROR(INDEX('Historical Data'!$AB$2:$AB$1068,MATCH($A104,'Historical Data'!$BE$2:$BE$1068,0)),"")</f>
        <v/>
      </c>
      <c r="S104" s="106" t="str">
        <f aca="false">IFERROR(INDEX('Historical Data'!$AN$2:$AN$1068,MATCH($A104,'Historical Data'!$BE$2:$BE$1068,0)),"")</f>
        <v/>
      </c>
      <c r="T104" s="106" t="str">
        <f aca="false">IFERROR(INDEX('Historical Data'!$AC$2:$AC$1068,MATCH($A104,'Historical Data'!$BE$2:$BE$1068,0)),"")</f>
        <v/>
      </c>
      <c r="U104" s="106" t="str">
        <f aca="false">IFERROR(INDEX('Historical Data'!$AE$2:$AE$1068,MATCH($A104,'Historical Data'!$BE$2:$BE$1068,0)),"")</f>
        <v/>
      </c>
      <c r="V104" s="106" t="str">
        <f aca="false">IFERROR(INDEX('Historical Data'!$AH$2:$AH$1068,MATCH($A104,'Historical Data'!$BE$2:$BE$1068,0)),"")</f>
        <v/>
      </c>
      <c r="W104" s="106" t="str">
        <f aca="false">IFERROR(INDEX('Historical Data'!$BC$2:$BC$1068,MATCH($A104,'Historical Data'!$BE$2:$BE$1068,0)),"")</f>
        <v/>
      </c>
      <c r="X104" s="105" t="str">
        <f aca="false">IF(B104="","",IF(W104=1,"NR + industry + position",IF(W104=2,"NR + ISO + position",IF(W104=3,"NR + industry",IF(W104=4,"NR + ISO",IF(W104=5,"NR + position",IF(W104=6,"NR only","book baseline"))))))&amp;"  ["&amp;IF(T104=1,"seasoned","unseasoned")&amp;IF(U104=1,", defaulted","")&amp;IF(V104=1,", open","")&amp;"]")</f>
        <v/>
      </c>
    </row>
    <row r="105" customFormat="false" ht="15" hidden="false" customHeight="false" outlineLevel="0" collapsed="false">
      <c r="A105" s="105" t="n">
        <v>101</v>
      </c>
      <c r="B105" s="106" t="str">
        <f aca="false">IFERROR(INDEX('Historical Data'!$A$2:$A$1068,MATCH($A105,'Historical Data'!$BE$2:$BE$1068,0)),"")</f>
        <v/>
      </c>
      <c r="C105" s="106" t="str">
        <f aca="false">IFERROR(INDEX('Historical Data'!$B$2:$B$1068,MATCH($A105,'Historical Data'!$BE$2:$BE$1068,0)),"")</f>
        <v/>
      </c>
      <c r="D105" s="106" t="str">
        <f aca="false">IFERROR(INDEX('Historical Data'!$D$2:$D$1068,MATCH($A105,'Historical Data'!$BE$2:$BE$1068,0)),"")</f>
        <v/>
      </c>
      <c r="E105" s="107" t="str">
        <f aca="false">IFERROR(INDEX('Historical Data'!$E$2:$E$1068,MATCH($A105,'Historical Data'!$BE$2:$BE$1068,0)),"")</f>
        <v/>
      </c>
      <c r="F105" s="106" t="str">
        <f aca="false">IFERROR(INDEX('Historical Data'!$G$2:$G$1068,MATCH($A105,'Historical Data'!$BE$2:$BE$1068,0)),"")</f>
        <v/>
      </c>
      <c r="G105" s="106" t="str">
        <f aca="false">IFERROR(INDEX('Historical Data'!$Y$2:$Y$1068,MATCH($A105,'Historical Data'!$BE$2:$BE$1068,0)),"")</f>
        <v/>
      </c>
      <c r="H105" s="106" t="str">
        <f aca="false">IFERROR(INDEX('Historical Data'!$K$2:$K$1068,MATCH($A105,'Historical Data'!$BE$2:$BE$1068,0)),"")</f>
        <v/>
      </c>
      <c r="I105" s="106" t="str">
        <f aca="false">IFERROR(INDEX('Historical Data'!$J$2:$J$1068,MATCH($A105,'Historical Data'!$BE$2:$BE$1068,0)),"")</f>
        <v/>
      </c>
      <c r="J105" s="106" t="str">
        <f aca="false">IFERROR(INDEX('Historical Data'!$L$2:$L$1068,MATCH($A105,'Historical Data'!$BE$2:$BE$1068,0)),"")</f>
        <v/>
      </c>
      <c r="K105" s="108" t="str">
        <f aca="false">IFERROR(INDEX('Historical Data'!$M$2:$M$1068,MATCH($A105,'Historical Data'!$BE$2:$BE$1068,0)),"")</f>
        <v/>
      </c>
      <c r="L105" s="109" t="str">
        <f aca="false">IFERROR(INDEX('Historical Data'!$N$2:$N$1068,MATCH($A105,'Historical Data'!$BE$2:$BE$1068,0)),"")</f>
        <v/>
      </c>
      <c r="M105" s="109" t="str">
        <f aca="false">IFERROR(INDEX('Historical Data'!$Q$2:$Q$1068,MATCH($A105,'Historical Data'!$BE$2:$BE$1068,0)),"")</f>
        <v/>
      </c>
      <c r="N105" s="110" t="str">
        <f aca="false">IFERROR(INDEX('Historical Data'!$S$2:$S$1068,MATCH($A105,'Historical Data'!$BE$2:$BE$1068,0)),"")</f>
        <v/>
      </c>
      <c r="O105" s="109" t="str">
        <f aca="false">IFERROR(INDEX('Historical Data'!$AJ$2:$AJ$1068,MATCH($A105,'Historical Data'!$BE$2:$BE$1068,0)),"")</f>
        <v/>
      </c>
      <c r="P105" s="109" t="str">
        <f aca="false">IFERROR(INDEX('Historical Data'!$AK$2:$AK$1068,MATCH($A105,'Historical Data'!$BE$2:$BE$1068,0)),"")</f>
        <v/>
      </c>
      <c r="Q105" s="106" t="str">
        <f aca="false">IFERROR(INDEX('Historical Data'!$AA$2:$AA$1068,MATCH($A105,'Historical Data'!$BE$2:$BE$1068,0)),"")</f>
        <v/>
      </c>
      <c r="R105" s="106" t="str">
        <f aca="false">IFERROR(INDEX('Historical Data'!$AB$2:$AB$1068,MATCH($A105,'Historical Data'!$BE$2:$BE$1068,0)),"")</f>
        <v/>
      </c>
      <c r="S105" s="106" t="str">
        <f aca="false">IFERROR(INDEX('Historical Data'!$AN$2:$AN$1068,MATCH($A105,'Historical Data'!$BE$2:$BE$1068,0)),"")</f>
        <v/>
      </c>
      <c r="T105" s="106" t="str">
        <f aca="false">IFERROR(INDEX('Historical Data'!$AC$2:$AC$1068,MATCH($A105,'Historical Data'!$BE$2:$BE$1068,0)),"")</f>
        <v/>
      </c>
      <c r="U105" s="106" t="str">
        <f aca="false">IFERROR(INDEX('Historical Data'!$AE$2:$AE$1068,MATCH($A105,'Historical Data'!$BE$2:$BE$1068,0)),"")</f>
        <v/>
      </c>
      <c r="V105" s="106" t="str">
        <f aca="false">IFERROR(INDEX('Historical Data'!$AH$2:$AH$1068,MATCH($A105,'Historical Data'!$BE$2:$BE$1068,0)),"")</f>
        <v/>
      </c>
      <c r="W105" s="106" t="str">
        <f aca="false">IFERROR(INDEX('Historical Data'!$BC$2:$BC$1068,MATCH($A105,'Historical Data'!$BE$2:$BE$1068,0)),"")</f>
        <v/>
      </c>
      <c r="X105" s="105" t="str">
        <f aca="false">IF(B105="","",IF(W105=1,"NR + industry + position",IF(W105=2,"NR + ISO + position",IF(W105=3,"NR + industry",IF(W105=4,"NR + ISO",IF(W105=5,"NR + position",IF(W105=6,"NR only","book baseline"))))))&amp;"  ["&amp;IF(T105=1,"seasoned","unseasoned")&amp;IF(U105=1,", defaulted","")&amp;IF(V105=1,", open","")&amp;"]")</f>
        <v/>
      </c>
    </row>
    <row r="106" customFormat="false" ht="15" hidden="false" customHeight="false" outlineLevel="0" collapsed="false">
      <c r="A106" s="105" t="n">
        <v>102</v>
      </c>
      <c r="B106" s="106" t="str">
        <f aca="false">IFERROR(INDEX('Historical Data'!$A$2:$A$1068,MATCH($A106,'Historical Data'!$BE$2:$BE$1068,0)),"")</f>
        <v/>
      </c>
      <c r="C106" s="106" t="str">
        <f aca="false">IFERROR(INDEX('Historical Data'!$B$2:$B$1068,MATCH($A106,'Historical Data'!$BE$2:$BE$1068,0)),"")</f>
        <v/>
      </c>
      <c r="D106" s="106" t="str">
        <f aca="false">IFERROR(INDEX('Historical Data'!$D$2:$D$1068,MATCH($A106,'Historical Data'!$BE$2:$BE$1068,0)),"")</f>
        <v/>
      </c>
      <c r="E106" s="107" t="str">
        <f aca="false">IFERROR(INDEX('Historical Data'!$E$2:$E$1068,MATCH($A106,'Historical Data'!$BE$2:$BE$1068,0)),"")</f>
        <v/>
      </c>
      <c r="F106" s="106" t="str">
        <f aca="false">IFERROR(INDEX('Historical Data'!$G$2:$G$1068,MATCH($A106,'Historical Data'!$BE$2:$BE$1068,0)),"")</f>
        <v/>
      </c>
      <c r="G106" s="106" t="str">
        <f aca="false">IFERROR(INDEX('Historical Data'!$Y$2:$Y$1068,MATCH($A106,'Historical Data'!$BE$2:$BE$1068,0)),"")</f>
        <v/>
      </c>
      <c r="H106" s="106" t="str">
        <f aca="false">IFERROR(INDEX('Historical Data'!$K$2:$K$1068,MATCH($A106,'Historical Data'!$BE$2:$BE$1068,0)),"")</f>
        <v/>
      </c>
      <c r="I106" s="106" t="str">
        <f aca="false">IFERROR(INDEX('Historical Data'!$J$2:$J$1068,MATCH($A106,'Historical Data'!$BE$2:$BE$1068,0)),"")</f>
        <v/>
      </c>
      <c r="J106" s="106" t="str">
        <f aca="false">IFERROR(INDEX('Historical Data'!$L$2:$L$1068,MATCH($A106,'Historical Data'!$BE$2:$BE$1068,0)),"")</f>
        <v/>
      </c>
      <c r="K106" s="108" t="str">
        <f aca="false">IFERROR(INDEX('Historical Data'!$M$2:$M$1068,MATCH($A106,'Historical Data'!$BE$2:$BE$1068,0)),"")</f>
        <v/>
      </c>
      <c r="L106" s="109" t="str">
        <f aca="false">IFERROR(INDEX('Historical Data'!$N$2:$N$1068,MATCH($A106,'Historical Data'!$BE$2:$BE$1068,0)),"")</f>
        <v/>
      </c>
      <c r="M106" s="109" t="str">
        <f aca="false">IFERROR(INDEX('Historical Data'!$Q$2:$Q$1068,MATCH($A106,'Historical Data'!$BE$2:$BE$1068,0)),"")</f>
        <v/>
      </c>
      <c r="N106" s="110" t="str">
        <f aca="false">IFERROR(INDEX('Historical Data'!$S$2:$S$1068,MATCH($A106,'Historical Data'!$BE$2:$BE$1068,0)),"")</f>
        <v/>
      </c>
      <c r="O106" s="109" t="str">
        <f aca="false">IFERROR(INDEX('Historical Data'!$AJ$2:$AJ$1068,MATCH($A106,'Historical Data'!$BE$2:$BE$1068,0)),"")</f>
        <v/>
      </c>
      <c r="P106" s="109" t="str">
        <f aca="false">IFERROR(INDEX('Historical Data'!$AK$2:$AK$1068,MATCH($A106,'Historical Data'!$BE$2:$BE$1068,0)),"")</f>
        <v/>
      </c>
      <c r="Q106" s="106" t="str">
        <f aca="false">IFERROR(INDEX('Historical Data'!$AA$2:$AA$1068,MATCH($A106,'Historical Data'!$BE$2:$BE$1068,0)),"")</f>
        <v/>
      </c>
      <c r="R106" s="106" t="str">
        <f aca="false">IFERROR(INDEX('Historical Data'!$AB$2:$AB$1068,MATCH($A106,'Historical Data'!$BE$2:$BE$1068,0)),"")</f>
        <v/>
      </c>
      <c r="S106" s="106" t="str">
        <f aca="false">IFERROR(INDEX('Historical Data'!$AN$2:$AN$1068,MATCH($A106,'Historical Data'!$BE$2:$BE$1068,0)),"")</f>
        <v/>
      </c>
      <c r="T106" s="106" t="str">
        <f aca="false">IFERROR(INDEX('Historical Data'!$AC$2:$AC$1068,MATCH($A106,'Historical Data'!$BE$2:$BE$1068,0)),"")</f>
        <v/>
      </c>
      <c r="U106" s="106" t="str">
        <f aca="false">IFERROR(INDEX('Historical Data'!$AE$2:$AE$1068,MATCH($A106,'Historical Data'!$BE$2:$BE$1068,0)),"")</f>
        <v/>
      </c>
      <c r="V106" s="106" t="str">
        <f aca="false">IFERROR(INDEX('Historical Data'!$AH$2:$AH$1068,MATCH($A106,'Historical Data'!$BE$2:$BE$1068,0)),"")</f>
        <v/>
      </c>
      <c r="W106" s="106" t="str">
        <f aca="false">IFERROR(INDEX('Historical Data'!$BC$2:$BC$1068,MATCH($A106,'Historical Data'!$BE$2:$BE$1068,0)),"")</f>
        <v/>
      </c>
      <c r="X106" s="105" t="str">
        <f aca="false">IF(B106="","",IF(W106=1,"NR + industry + position",IF(W106=2,"NR + ISO + position",IF(W106=3,"NR + industry",IF(W106=4,"NR + ISO",IF(W106=5,"NR + position",IF(W106=6,"NR only","book baseline"))))))&amp;"  ["&amp;IF(T106=1,"seasoned","unseasoned")&amp;IF(U106=1,", defaulted","")&amp;IF(V106=1,", open","")&amp;"]")</f>
        <v/>
      </c>
    </row>
    <row r="107" customFormat="false" ht="15" hidden="false" customHeight="false" outlineLevel="0" collapsed="false">
      <c r="A107" s="105" t="n">
        <v>103</v>
      </c>
      <c r="B107" s="106" t="str">
        <f aca="false">IFERROR(INDEX('Historical Data'!$A$2:$A$1068,MATCH($A107,'Historical Data'!$BE$2:$BE$1068,0)),"")</f>
        <v/>
      </c>
      <c r="C107" s="106" t="str">
        <f aca="false">IFERROR(INDEX('Historical Data'!$B$2:$B$1068,MATCH($A107,'Historical Data'!$BE$2:$BE$1068,0)),"")</f>
        <v/>
      </c>
      <c r="D107" s="106" t="str">
        <f aca="false">IFERROR(INDEX('Historical Data'!$D$2:$D$1068,MATCH($A107,'Historical Data'!$BE$2:$BE$1068,0)),"")</f>
        <v/>
      </c>
      <c r="E107" s="107" t="str">
        <f aca="false">IFERROR(INDEX('Historical Data'!$E$2:$E$1068,MATCH($A107,'Historical Data'!$BE$2:$BE$1068,0)),"")</f>
        <v/>
      </c>
      <c r="F107" s="106" t="str">
        <f aca="false">IFERROR(INDEX('Historical Data'!$G$2:$G$1068,MATCH($A107,'Historical Data'!$BE$2:$BE$1068,0)),"")</f>
        <v/>
      </c>
      <c r="G107" s="106" t="str">
        <f aca="false">IFERROR(INDEX('Historical Data'!$Y$2:$Y$1068,MATCH($A107,'Historical Data'!$BE$2:$BE$1068,0)),"")</f>
        <v/>
      </c>
      <c r="H107" s="106" t="str">
        <f aca="false">IFERROR(INDEX('Historical Data'!$K$2:$K$1068,MATCH($A107,'Historical Data'!$BE$2:$BE$1068,0)),"")</f>
        <v/>
      </c>
      <c r="I107" s="106" t="str">
        <f aca="false">IFERROR(INDEX('Historical Data'!$J$2:$J$1068,MATCH($A107,'Historical Data'!$BE$2:$BE$1068,0)),"")</f>
        <v/>
      </c>
      <c r="J107" s="106" t="str">
        <f aca="false">IFERROR(INDEX('Historical Data'!$L$2:$L$1068,MATCH($A107,'Historical Data'!$BE$2:$BE$1068,0)),"")</f>
        <v/>
      </c>
      <c r="K107" s="108" t="str">
        <f aca="false">IFERROR(INDEX('Historical Data'!$M$2:$M$1068,MATCH($A107,'Historical Data'!$BE$2:$BE$1068,0)),"")</f>
        <v/>
      </c>
      <c r="L107" s="109" t="str">
        <f aca="false">IFERROR(INDEX('Historical Data'!$N$2:$N$1068,MATCH($A107,'Historical Data'!$BE$2:$BE$1068,0)),"")</f>
        <v/>
      </c>
      <c r="M107" s="109" t="str">
        <f aca="false">IFERROR(INDEX('Historical Data'!$Q$2:$Q$1068,MATCH($A107,'Historical Data'!$BE$2:$BE$1068,0)),"")</f>
        <v/>
      </c>
      <c r="N107" s="110" t="str">
        <f aca="false">IFERROR(INDEX('Historical Data'!$S$2:$S$1068,MATCH($A107,'Historical Data'!$BE$2:$BE$1068,0)),"")</f>
        <v/>
      </c>
      <c r="O107" s="109" t="str">
        <f aca="false">IFERROR(INDEX('Historical Data'!$AJ$2:$AJ$1068,MATCH($A107,'Historical Data'!$BE$2:$BE$1068,0)),"")</f>
        <v/>
      </c>
      <c r="P107" s="109" t="str">
        <f aca="false">IFERROR(INDEX('Historical Data'!$AK$2:$AK$1068,MATCH($A107,'Historical Data'!$BE$2:$BE$1068,0)),"")</f>
        <v/>
      </c>
      <c r="Q107" s="106" t="str">
        <f aca="false">IFERROR(INDEX('Historical Data'!$AA$2:$AA$1068,MATCH($A107,'Historical Data'!$BE$2:$BE$1068,0)),"")</f>
        <v/>
      </c>
      <c r="R107" s="106" t="str">
        <f aca="false">IFERROR(INDEX('Historical Data'!$AB$2:$AB$1068,MATCH($A107,'Historical Data'!$BE$2:$BE$1068,0)),"")</f>
        <v/>
      </c>
      <c r="S107" s="106" t="str">
        <f aca="false">IFERROR(INDEX('Historical Data'!$AN$2:$AN$1068,MATCH($A107,'Historical Data'!$BE$2:$BE$1068,0)),"")</f>
        <v/>
      </c>
      <c r="T107" s="106" t="str">
        <f aca="false">IFERROR(INDEX('Historical Data'!$AC$2:$AC$1068,MATCH($A107,'Historical Data'!$BE$2:$BE$1068,0)),"")</f>
        <v/>
      </c>
      <c r="U107" s="106" t="str">
        <f aca="false">IFERROR(INDEX('Historical Data'!$AE$2:$AE$1068,MATCH($A107,'Historical Data'!$BE$2:$BE$1068,0)),"")</f>
        <v/>
      </c>
      <c r="V107" s="106" t="str">
        <f aca="false">IFERROR(INDEX('Historical Data'!$AH$2:$AH$1068,MATCH($A107,'Historical Data'!$BE$2:$BE$1068,0)),"")</f>
        <v/>
      </c>
      <c r="W107" s="106" t="str">
        <f aca="false">IFERROR(INDEX('Historical Data'!$BC$2:$BC$1068,MATCH($A107,'Historical Data'!$BE$2:$BE$1068,0)),"")</f>
        <v/>
      </c>
      <c r="X107" s="105" t="str">
        <f aca="false">IF(B107="","",IF(W107=1,"NR + industry + position",IF(W107=2,"NR + ISO + position",IF(W107=3,"NR + industry",IF(W107=4,"NR + ISO",IF(W107=5,"NR + position",IF(W107=6,"NR only","book baseline"))))))&amp;"  ["&amp;IF(T107=1,"seasoned","unseasoned")&amp;IF(U107=1,", defaulted","")&amp;IF(V107=1,", open","")&amp;"]")</f>
        <v/>
      </c>
    </row>
    <row r="108" customFormat="false" ht="15" hidden="false" customHeight="false" outlineLevel="0" collapsed="false">
      <c r="A108" s="105" t="n">
        <v>104</v>
      </c>
      <c r="B108" s="106" t="str">
        <f aca="false">IFERROR(INDEX('Historical Data'!$A$2:$A$1068,MATCH($A108,'Historical Data'!$BE$2:$BE$1068,0)),"")</f>
        <v/>
      </c>
      <c r="C108" s="106" t="str">
        <f aca="false">IFERROR(INDEX('Historical Data'!$B$2:$B$1068,MATCH($A108,'Historical Data'!$BE$2:$BE$1068,0)),"")</f>
        <v/>
      </c>
      <c r="D108" s="106" t="str">
        <f aca="false">IFERROR(INDEX('Historical Data'!$D$2:$D$1068,MATCH($A108,'Historical Data'!$BE$2:$BE$1068,0)),"")</f>
        <v/>
      </c>
      <c r="E108" s="107" t="str">
        <f aca="false">IFERROR(INDEX('Historical Data'!$E$2:$E$1068,MATCH($A108,'Historical Data'!$BE$2:$BE$1068,0)),"")</f>
        <v/>
      </c>
      <c r="F108" s="106" t="str">
        <f aca="false">IFERROR(INDEX('Historical Data'!$G$2:$G$1068,MATCH($A108,'Historical Data'!$BE$2:$BE$1068,0)),"")</f>
        <v/>
      </c>
      <c r="G108" s="106" t="str">
        <f aca="false">IFERROR(INDEX('Historical Data'!$Y$2:$Y$1068,MATCH($A108,'Historical Data'!$BE$2:$BE$1068,0)),"")</f>
        <v/>
      </c>
      <c r="H108" s="106" t="str">
        <f aca="false">IFERROR(INDEX('Historical Data'!$K$2:$K$1068,MATCH($A108,'Historical Data'!$BE$2:$BE$1068,0)),"")</f>
        <v/>
      </c>
      <c r="I108" s="106" t="str">
        <f aca="false">IFERROR(INDEX('Historical Data'!$J$2:$J$1068,MATCH($A108,'Historical Data'!$BE$2:$BE$1068,0)),"")</f>
        <v/>
      </c>
      <c r="J108" s="106" t="str">
        <f aca="false">IFERROR(INDEX('Historical Data'!$L$2:$L$1068,MATCH($A108,'Historical Data'!$BE$2:$BE$1068,0)),"")</f>
        <v/>
      </c>
      <c r="K108" s="108" t="str">
        <f aca="false">IFERROR(INDEX('Historical Data'!$M$2:$M$1068,MATCH($A108,'Historical Data'!$BE$2:$BE$1068,0)),"")</f>
        <v/>
      </c>
      <c r="L108" s="109" t="str">
        <f aca="false">IFERROR(INDEX('Historical Data'!$N$2:$N$1068,MATCH($A108,'Historical Data'!$BE$2:$BE$1068,0)),"")</f>
        <v/>
      </c>
      <c r="M108" s="109" t="str">
        <f aca="false">IFERROR(INDEX('Historical Data'!$Q$2:$Q$1068,MATCH($A108,'Historical Data'!$BE$2:$BE$1068,0)),"")</f>
        <v/>
      </c>
      <c r="N108" s="110" t="str">
        <f aca="false">IFERROR(INDEX('Historical Data'!$S$2:$S$1068,MATCH($A108,'Historical Data'!$BE$2:$BE$1068,0)),"")</f>
        <v/>
      </c>
      <c r="O108" s="109" t="str">
        <f aca="false">IFERROR(INDEX('Historical Data'!$AJ$2:$AJ$1068,MATCH($A108,'Historical Data'!$BE$2:$BE$1068,0)),"")</f>
        <v/>
      </c>
      <c r="P108" s="109" t="str">
        <f aca="false">IFERROR(INDEX('Historical Data'!$AK$2:$AK$1068,MATCH($A108,'Historical Data'!$BE$2:$BE$1068,0)),"")</f>
        <v/>
      </c>
      <c r="Q108" s="106" t="str">
        <f aca="false">IFERROR(INDEX('Historical Data'!$AA$2:$AA$1068,MATCH($A108,'Historical Data'!$BE$2:$BE$1068,0)),"")</f>
        <v/>
      </c>
      <c r="R108" s="106" t="str">
        <f aca="false">IFERROR(INDEX('Historical Data'!$AB$2:$AB$1068,MATCH($A108,'Historical Data'!$BE$2:$BE$1068,0)),"")</f>
        <v/>
      </c>
      <c r="S108" s="106" t="str">
        <f aca="false">IFERROR(INDEX('Historical Data'!$AN$2:$AN$1068,MATCH($A108,'Historical Data'!$BE$2:$BE$1068,0)),"")</f>
        <v/>
      </c>
      <c r="T108" s="106" t="str">
        <f aca="false">IFERROR(INDEX('Historical Data'!$AC$2:$AC$1068,MATCH($A108,'Historical Data'!$BE$2:$BE$1068,0)),"")</f>
        <v/>
      </c>
      <c r="U108" s="106" t="str">
        <f aca="false">IFERROR(INDEX('Historical Data'!$AE$2:$AE$1068,MATCH($A108,'Historical Data'!$BE$2:$BE$1068,0)),"")</f>
        <v/>
      </c>
      <c r="V108" s="106" t="str">
        <f aca="false">IFERROR(INDEX('Historical Data'!$AH$2:$AH$1068,MATCH($A108,'Historical Data'!$BE$2:$BE$1068,0)),"")</f>
        <v/>
      </c>
      <c r="W108" s="106" t="str">
        <f aca="false">IFERROR(INDEX('Historical Data'!$BC$2:$BC$1068,MATCH($A108,'Historical Data'!$BE$2:$BE$1068,0)),"")</f>
        <v/>
      </c>
      <c r="X108" s="105" t="str">
        <f aca="false">IF(B108="","",IF(W108=1,"NR + industry + position",IF(W108=2,"NR + ISO + position",IF(W108=3,"NR + industry",IF(W108=4,"NR + ISO",IF(W108=5,"NR + position",IF(W108=6,"NR only","book baseline"))))))&amp;"  ["&amp;IF(T108=1,"seasoned","unseasoned")&amp;IF(U108=1,", defaulted","")&amp;IF(V108=1,", open","")&amp;"]")</f>
        <v/>
      </c>
    </row>
    <row r="109" customFormat="false" ht="15" hidden="false" customHeight="false" outlineLevel="0" collapsed="false">
      <c r="A109" s="105" t="n">
        <v>105</v>
      </c>
      <c r="B109" s="106" t="str">
        <f aca="false">IFERROR(INDEX('Historical Data'!$A$2:$A$1068,MATCH($A109,'Historical Data'!$BE$2:$BE$1068,0)),"")</f>
        <v/>
      </c>
      <c r="C109" s="106" t="str">
        <f aca="false">IFERROR(INDEX('Historical Data'!$B$2:$B$1068,MATCH($A109,'Historical Data'!$BE$2:$BE$1068,0)),"")</f>
        <v/>
      </c>
      <c r="D109" s="106" t="str">
        <f aca="false">IFERROR(INDEX('Historical Data'!$D$2:$D$1068,MATCH($A109,'Historical Data'!$BE$2:$BE$1068,0)),"")</f>
        <v/>
      </c>
      <c r="E109" s="107" t="str">
        <f aca="false">IFERROR(INDEX('Historical Data'!$E$2:$E$1068,MATCH($A109,'Historical Data'!$BE$2:$BE$1068,0)),"")</f>
        <v/>
      </c>
      <c r="F109" s="106" t="str">
        <f aca="false">IFERROR(INDEX('Historical Data'!$G$2:$G$1068,MATCH($A109,'Historical Data'!$BE$2:$BE$1068,0)),"")</f>
        <v/>
      </c>
      <c r="G109" s="106" t="str">
        <f aca="false">IFERROR(INDEX('Historical Data'!$Y$2:$Y$1068,MATCH($A109,'Historical Data'!$BE$2:$BE$1068,0)),"")</f>
        <v/>
      </c>
      <c r="H109" s="106" t="str">
        <f aca="false">IFERROR(INDEX('Historical Data'!$K$2:$K$1068,MATCH($A109,'Historical Data'!$BE$2:$BE$1068,0)),"")</f>
        <v/>
      </c>
      <c r="I109" s="106" t="str">
        <f aca="false">IFERROR(INDEX('Historical Data'!$J$2:$J$1068,MATCH($A109,'Historical Data'!$BE$2:$BE$1068,0)),"")</f>
        <v/>
      </c>
      <c r="J109" s="106" t="str">
        <f aca="false">IFERROR(INDEX('Historical Data'!$L$2:$L$1068,MATCH($A109,'Historical Data'!$BE$2:$BE$1068,0)),"")</f>
        <v/>
      </c>
      <c r="K109" s="108" t="str">
        <f aca="false">IFERROR(INDEX('Historical Data'!$M$2:$M$1068,MATCH($A109,'Historical Data'!$BE$2:$BE$1068,0)),"")</f>
        <v/>
      </c>
      <c r="L109" s="109" t="str">
        <f aca="false">IFERROR(INDEX('Historical Data'!$N$2:$N$1068,MATCH($A109,'Historical Data'!$BE$2:$BE$1068,0)),"")</f>
        <v/>
      </c>
      <c r="M109" s="109" t="str">
        <f aca="false">IFERROR(INDEX('Historical Data'!$Q$2:$Q$1068,MATCH($A109,'Historical Data'!$BE$2:$BE$1068,0)),"")</f>
        <v/>
      </c>
      <c r="N109" s="110" t="str">
        <f aca="false">IFERROR(INDEX('Historical Data'!$S$2:$S$1068,MATCH($A109,'Historical Data'!$BE$2:$BE$1068,0)),"")</f>
        <v/>
      </c>
      <c r="O109" s="109" t="str">
        <f aca="false">IFERROR(INDEX('Historical Data'!$AJ$2:$AJ$1068,MATCH($A109,'Historical Data'!$BE$2:$BE$1068,0)),"")</f>
        <v/>
      </c>
      <c r="P109" s="109" t="str">
        <f aca="false">IFERROR(INDEX('Historical Data'!$AK$2:$AK$1068,MATCH($A109,'Historical Data'!$BE$2:$BE$1068,0)),"")</f>
        <v/>
      </c>
      <c r="Q109" s="106" t="str">
        <f aca="false">IFERROR(INDEX('Historical Data'!$AA$2:$AA$1068,MATCH($A109,'Historical Data'!$BE$2:$BE$1068,0)),"")</f>
        <v/>
      </c>
      <c r="R109" s="106" t="str">
        <f aca="false">IFERROR(INDEX('Historical Data'!$AB$2:$AB$1068,MATCH($A109,'Historical Data'!$BE$2:$BE$1068,0)),"")</f>
        <v/>
      </c>
      <c r="S109" s="106" t="str">
        <f aca="false">IFERROR(INDEX('Historical Data'!$AN$2:$AN$1068,MATCH($A109,'Historical Data'!$BE$2:$BE$1068,0)),"")</f>
        <v/>
      </c>
      <c r="T109" s="106" t="str">
        <f aca="false">IFERROR(INDEX('Historical Data'!$AC$2:$AC$1068,MATCH($A109,'Historical Data'!$BE$2:$BE$1068,0)),"")</f>
        <v/>
      </c>
      <c r="U109" s="106" t="str">
        <f aca="false">IFERROR(INDEX('Historical Data'!$AE$2:$AE$1068,MATCH($A109,'Historical Data'!$BE$2:$BE$1068,0)),"")</f>
        <v/>
      </c>
      <c r="V109" s="106" t="str">
        <f aca="false">IFERROR(INDEX('Historical Data'!$AH$2:$AH$1068,MATCH($A109,'Historical Data'!$BE$2:$BE$1068,0)),"")</f>
        <v/>
      </c>
      <c r="W109" s="106" t="str">
        <f aca="false">IFERROR(INDEX('Historical Data'!$BC$2:$BC$1068,MATCH($A109,'Historical Data'!$BE$2:$BE$1068,0)),"")</f>
        <v/>
      </c>
      <c r="X109" s="105" t="str">
        <f aca="false">IF(B109="","",IF(W109=1,"NR + industry + position",IF(W109=2,"NR + ISO + position",IF(W109=3,"NR + industry",IF(W109=4,"NR + ISO",IF(W109=5,"NR + position",IF(W109=6,"NR only","book baseline"))))))&amp;"  ["&amp;IF(T109=1,"seasoned","unseasoned")&amp;IF(U109=1,", defaulted","")&amp;IF(V109=1,", open","")&amp;"]")</f>
        <v/>
      </c>
    </row>
    <row r="110" customFormat="false" ht="15" hidden="false" customHeight="false" outlineLevel="0" collapsed="false">
      <c r="A110" s="105" t="n">
        <v>106</v>
      </c>
      <c r="B110" s="106" t="str">
        <f aca="false">IFERROR(INDEX('Historical Data'!$A$2:$A$1068,MATCH($A110,'Historical Data'!$BE$2:$BE$1068,0)),"")</f>
        <v/>
      </c>
      <c r="C110" s="106" t="str">
        <f aca="false">IFERROR(INDEX('Historical Data'!$B$2:$B$1068,MATCH($A110,'Historical Data'!$BE$2:$BE$1068,0)),"")</f>
        <v/>
      </c>
      <c r="D110" s="106" t="str">
        <f aca="false">IFERROR(INDEX('Historical Data'!$D$2:$D$1068,MATCH($A110,'Historical Data'!$BE$2:$BE$1068,0)),"")</f>
        <v/>
      </c>
      <c r="E110" s="107" t="str">
        <f aca="false">IFERROR(INDEX('Historical Data'!$E$2:$E$1068,MATCH($A110,'Historical Data'!$BE$2:$BE$1068,0)),"")</f>
        <v/>
      </c>
      <c r="F110" s="106" t="str">
        <f aca="false">IFERROR(INDEX('Historical Data'!$G$2:$G$1068,MATCH($A110,'Historical Data'!$BE$2:$BE$1068,0)),"")</f>
        <v/>
      </c>
      <c r="G110" s="106" t="str">
        <f aca="false">IFERROR(INDEX('Historical Data'!$Y$2:$Y$1068,MATCH($A110,'Historical Data'!$BE$2:$BE$1068,0)),"")</f>
        <v/>
      </c>
      <c r="H110" s="106" t="str">
        <f aca="false">IFERROR(INDEX('Historical Data'!$K$2:$K$1068,MATCH($A110,'Historical Data'!$BE$2:$BE$1068,0)),"")</f>
        <v/>
      </c>
      <c r="I110" s="106" t="str">
        <f aca="false">IFERROR(INDEX('Historical Data'!$J$2:$J$1068,MATCH($A110,'Historical Data'!$BE$2:$BE$1068,0)),"")</f>
        <v/>
      </c>
      <c r="J110" s="106" t="str">
        <f aca="false">IFERROR(INDEX('Historical Data'!$L$2:$L$1068,MATCH($A110,'Historical Data'!$BE$2:$BE$1068,0)),"")</f>
        <v/>
      </c>
      <c r="K110" s="108" t="str">
        <f aca="false">IFERROR(INDEX('Historical Data'!$M$2:$M$1068,MATCH($A110,'Historical Data'!$BE$2:$BE$1068,0)),"")</f>
        <v/>
      </c>
      <c r="L110" s="109" t="str">
        <f aca="false">IFERROR(INDEX('Historical Data'!$N$2:$N$1068,MATCH($A110,'Historical Data'!$BE$2:$BE$1068,0)),"")</f>
        <v/>
      </c>
      <c r="M110" s="109" t="str">
        <f aca="false">IFERROR(INDEX('Historical Data'!$Q$2:$Q$1068,MATCH($A110,'Historical Data'!$BE$2:$BE$1068,0)),"")</f>
        <v/>
      </c>
      <c r="N110" s="110" t="str">
        <f aca="false">IFERROR(INDEX('Historical Data'!$S$2:$S$1068,MATCH($A110,'Historical Data'!$BE$2:$BE$1068,0)),"")</f>
        <v/>
      </c>
      <c r="O110" s="109" t="str">
        <f aca="false">IFERROR(INDEX('Historical Data'!$AJ$2:$AJ$1068,MATCH($A110,'Historical Data'!$BE$2:$BE$1068,0)),"")</f>
        <v/>
      </c>
      <c r="P110" s="109" t="str">
        <f aca="false">IFERROR(INDEX('Historical Data'!$AK$2:$AK$1068,MATCH($A110,'Historical Data'!$BE$2:$BE$1068,0)),"")</f>
        <v/>
      </c>
      <c r="Q110" s="106" t="str">
        <f aca="false">IFERROR(INDEX('Historical Data'!$AA$2:$AA$1068,MATCH($A110,'Historical Data'!$BE$2:$BE$1068,0)),"")</f>
        <v/>
      </c>
      <c r="R110" s="106" t="str">
        <f aca="false">IFERROR(INDEX('Historical Data'!$AB$2:$AB$1068,MATCH($A110,'Historical Data'!$BE$2:$BE$1068,0)),"")</f>
        <v/>
      </c>
      <c r="S110" s="106" t="str">
        <f aca="false">IFERROR(INDEX('Historical Data'!$AN$2:$AN$1068,MATCH($A110,'Historical Data'!$BE$2:$BE$1068,0)),"")</f>
        <v/>
      </c>
      <c r="T110" s="106" t="str">
        <f aca="false">IFERROR(INDEX('Historical Data'!$AC$2:$AC$1068,MATCH($A110,'Historical Data'!$BE$2:$BE$1068,0)),"")</f>
        <v/>
      </c>
      <c r="U110" s="106" t="str">
        <f aca="false">IFERROR(INDEX('Historical Data'!$AE$2:$AE$1068,MATCH($A110,'Historical Data'!$BE$2:$BE$1068,0)),"")</f>
        <v/>
      </c>
      <c r="V110" s="106" t="str">
        <f aca="false">IFERROR(INDEX('Historical Data'!$AH$2:$AH$1068,MATCH($A110,'Historical Data'!$BE$2:$BE$1068,0)),"")</f>
        <v/>
      </c>
      <c r="W110" s="106" t="str">
        <f aca="false">IFERROR(INDEX('Historical Data'!$BC$2:$BC$1068,MATCH($A110,'Historical Data'!$BE$2:$BE$1068,0)),"")</f>
        <v/>
      </c>
      <c r="X110" s="105" t="str">
        <f aca="false">IF(B110="","",IF(W110=1,"NR + industry + position",IF(W110=2,"NR + ISO + position",IF(W110=3,"NR + industry",IF(W110=4,"NR + ISO",IF(W110=5,"NR + position",IF(W110=6,"NR only","book baseline"))))))&amp;"  ["&amp;IF(T110=1,"seasoned","unseasoned")&amp;IF(U110=1,", defaulted","")&amp;IF(V110=1,", open","")&amp;"]")</f>
        <v/>
      </c>
    </row>
    <row r="111" customFormat="false" ht="15" hidden="false" customHeight="false" outlineLevel="0" collapsed="false">
      <c r="A111" s="105" t="n">
        <v>107</v>
      </c>
      <c r="B111" s="106" t="str">
        <f aca="false">IFERROR(INDEX('Historical Data'!$A$2:$A$1068,MATCH($A111,'Historical Data'!$BE$2:$BE$1068,0)),"")</f>
        <v/>
      </c>
      <c r="C111" s="106" t="str">
        <f aca="false">IFERROR(INDEX('Historical Data'!$B$2:$B$1068,MATCH($A111,'Historical Data'!$BE$2:$BE$1068,0)),"")</f>
        <v/>
      </c>
      <c r="D111" s="106" t="str">
        <f aca="false">IFERROR(INDEX('Historical Data'!$D$2:$D$1068,MATCH($A111,'Historical Data'!$BE$2:$BE$1068,0)),"")</f>
        <v/>
      </c>
      <c r="E111" s="107" t="str">
        <f aca="false">IFERROR(INDEX('Historical Data'!$E$2:$E$1068,MATCH($A111,'Historical Data'!$BE$2:$BE$1068,0)),"")</f>
        <v/>
      </c>
      <c r="F111" s="106" t="str">
        <f aca="false">IFERROR(INDEX('Historical Data'!$G$2:$G$1068,MATCH($A111,'Historical Data'!$BE$2:$BE$1068,0)),"")</f>
        <v/>
      </c>
      <c r="G111" s="106" t="str">
        <f aca="false">IFERROR(INDEX('Historical Data'!$Y$2:$Y$1068,MATCH($A111,'Historical Data'!$BE$2:$BE$1068,0)),"")</f>
        <v/>
      </c>
      <c r="H111" s="106" t="str">
        <f aca="false">IFERROR(INDEX('Historical Data'!$K$2:$K$1068,MATCH($A111,'Historical Data'!$BE$2:$BE$1068,0)),"")</f>
        <v/>
      </c>
      <c r="I111" s="106" t="str">
        <f aca="false">IFERROR(INDEX('Historical Data'!$J$2:$J$1068,MATCH($A111,'Historical Data'!$BE$2:$BE$1068,0)),"")</f>
        <v/>
      </c>
      <c r="J111" s="106" t="str">
        <f aca="false">IFERROR(INDEX('Historical Data'!$L$2:$L$1068,MATCH($A111,'Historical Data'!$BE$2:$BE$1068,0)),"")</f>
        <v/>
      </c>
      <c r="K111" s="108" t="str">
        <f aca="false">IFERROR(INDEX('Historical Data'!$M$2:$M$1068,MATCH($A111,'Historical Data'!$BE$2:$BE$1068,0)),"")</f>
        <v/>
      </c>
      <c r="L111" s="109" t="str">
        <f aca="false">IFERROR(INDEX('Historical Data'!$N$2:$N$1068,MATCH($A111,'Historical Data'!$BE$2:$BE$1068,0)),"")</f>
        <v/>
      </c>
      <c r="M111" s="109" t="str">
        <f aca="false">IFERROR(INDEX('Historical Data'!$Q$2:$Q$1068,MATCH($A111,'Historical Data'!$BE$2:$BE$1068,0)),"")</f>
        <v/>
      </c>
      <c r="N111" s="110" t="str">
        <f aca="false">IFERROR(INDEX('Historical Data'!$S$2:$S$1068,MATCH($A111,'Historical Data'!$BE$2:$BE$1068,0)),"")</f>
        <v/>
      </c>
      <c r="O111" s="109" t="str">
        <f aca="false">IFERROR(INDEX('Historical Data'!$AJ$2:$AJ$1068,MATCH($A111,'Historical Data'!$BE$2:$BE$1068,0)),"")</f>
        <v/>
      </c>
      <c r="P111" s="109" t="str">
        <f aca="false">IFERROR(INDEX('Historical Data'!$AK$2:$AK$1068,MATCH($A111,'Historical Data'!$BE$2:$BE$1068,0)),"")</f>
        <v/>
      </c>
      <c r="Q111" s="106" t="str">
        <f aca="false">IFERROR(INDEX('Historical Data'!$AA$2:$AA$1068,MATCH($A111,'Historical Data'!$BE$2:$BE$1068,0)),"")</f>
        <v/>
      </c>
      <c r="R111" s="106" t="str">
        <f aca="false">IFERROR(INDEX('Historical Data'!$AB$2:$AB$1068,MATCH($A111,'Historical Data'!$BE$2:$BE$1068,0)),"")</f>
        <v/>
      </c>
      <c r="S111" s="106" t="str">
        <f aca="false">IFERROR(INDEX('Historical Data'!$AN$2:$AN$1068,MATCH($A111,'Historical Data'!$BE$2:$BE$1068,0)),"")</f>
        <v/>
      </c>
      <c r="T111" s="106" t="str">
        <f aca="false">IFERROR(INDEX('Historical Data'!$AC$2:$AC$1068,MATCH($A111,'Historical Data'!$BE$2:$BE$1068,0)),"")</f>
        <v/>
      </c>
      <c r="U111" s="106" t="str">
        <f aca="false">IFERROR(INDEX('Historical Data'!$AE$2:$AE$1068,MATCH($A111,'Historical Data'!$BE$2:$BE$1068,0)),"")</f>
        <v/>
      </c>
      <c r="V111" s="106" t="str">
        <f aca="false">IFERROR(INDEX('Historical Data'!$AH$2:$AH$1068,MATCH($A111,'Historical Data'!$BE$2:$BE$1068,0)),"")</f>
        <v/>
      </c>
      <c r="W111" s="106" t="str">
        <f aca="false">IFERROR(INDEX('Historical Data'!$BC$2:$BC$1068,MATCH($A111,'Historical Data'!$BE$2:$BE$1068,0)),"")</f>
        <v/>
      </c>
      <c r="X111" s="105" t="str">
        <f aca="false">IF(B111="","",IF(W111=1,"NR + industry + position",IF(W111=2,"NR + ISO + position",IF(W111=3,"NR + industry",IF(W111=4,"NR + ISO",IF(W111=5,"NR + position",IF(W111=6,"NR only","book baseline"))))))&amp;"  ["&amp;IF(T111=1,"seasoned","unseasoned")&amp;IF(U111=1,", defaulted","")&amp;IF(V111=1,", open","")&amp;"]")</f>
        <v/>
      </c>
    </row>
    <row r="112" customFormat="false" ht="15" hidden="false" customHeight="false" outlineLevel="0" collapsed="false">
      <c r="A112" s="105" t="n">
        <v>108</v>
      </c>
      <c r="B112" s="106" t="str">
        <f aca="false">IFERROR(INDEX('Historical Data'!$A$2:$A$1068,MATCH($A112,'Historical Data'!$BE$2:$BE$1068,0)),"")</f>
        <v/>
      </c>
      <c r="C112" s="106" t="str">
        <f aca="false">IFERROR(INDEX('Historical Data'!$B$2:$B$1068,MATCH($A112,'Historical Data'!$BE$2:$BE$1068,0)),"")</f>
        <v/>
      </c>
      <c r="D112" s="106" t="str">
        <f aca="false">IFERROR(INDEX('Historical Data'!$D$2:$D$1068,MATCH($A112,'Historical Data'!$BE$2:$BE$1068,0)),"")</f>
        <v/>
      </c>
      <c r="E112" s="107" t="str">
        <f aca="false">IFERROR(INDEX('Historical Data'!$E$2:$E$1068,MATCH($A112,'Historical Data'!$BE$2:$BE$1068,0)),"")</f>
        <v/>
      </c>
      <c r="F112" s="106" t="str">
        <f aca="false">IFERROR(INDEX('Historical Data'!$G$2:$G$1068,MATCH($A112,'Historical Data'!$BE$2:$BE$1068,0)),"")</f>
        <v/>
      </c>
      <c r="G112" s="106" t="str">
        <f aca="false">IFERROR(INDEX('Historical Data'!$Y$2:$Y$1068,MATCH($A112,'Historical Data'!$BE$2:$BE$1068,0)),"")</f>
        <v/>
      </c>
      <c r="H112" s="106" t="str">
        <f aca="false">IFERROR(INDEX('Historical Data'!$K$2:$K$1068,MATCH($A112,'Historical Data'!$BE$2:$BE$1068,0)),"")</f>
        <v/>
      </c>
      <c r="I112" s="106" t="str">
        <f aca="false">IFERROR(INDEX('Historical Data'!$J$2:$J$1068,MATCH($A112,'Historical Data'!$BE$2:$BE$1068,0)),"")</f>
        <v/>
      </c>
      <c r="J112" s="106" t="str">
        <f aca="false">IFERROR(INDEX('Historical Data'!$L$2:$L$1068,MATCH($A112,'Historical Data'!$BE$2:$BE$1068,0)),"")</f>
        <v/>
      </c>
      <c r="K112" s="108" t="str">
        <f aca="false">IFERROR(INDEX('Historical Data'!$M$2:$M$1068,MATCH($A112,'Historical Data'!$BE$2:$BE$1068,0)),"")</f>
        <v/>
      </c>
      <c r="L112" s="109" t="str">
        <f aca="false">IFERROR(INDEX('Historical Data'!$N$2:$N$1068,MATCH($A112,'Historical Data'!$BE$2:$BE$1068,0)),"")</f>
        <v/>
      </c>
      <c r="M112" s="109" t="str">
        <f aca="false">IFERROR(INDEX('Historical Data'!$Q$2:$Q$1068,MATCH($A112,'Historical Data'!$BE$2:$BE$1068,0)),"")</f>
        <v/>
      </c>
      <c r="N112" s="110" t="str">
        <f aca="false">IFERROR(INDEX('Historical Data'!$S$2:$S$1068,MATCH($A112,'Historical Data'!$BE$2:$BE$1068,0)),"")</f>
        <v/>
      </c>
      <c r="O112" s="109" t="str">
        <f aca="false">IFERROR(INDEX('Historical Data'!$AJ$2:$AJ$1068,MATCH($A112,'Historical Data'!$BE$2:$BE$1068,0)),"")</f>
        <v/>
      </c>
      <c r="P112" s="109" t="str">
        <f aca="false">IFERROR(INDEX('Historical Data'!$AK$2:$AK$1068,MATCH($A112,'Historical Data'!$BE$2:$BE$1068,0)),"")</f>
        <v/>
      </c>
      <c r="Q112" s="106" t="str">
        <f aca="false">IFERROR(INDEX('Historical Data'!$AA$2:$AA$1068,MATCH($A112,'Historical Data'!$BE$2:$BE$1068,0)),"")</f>
        <v/>
      </c>
      <c r="R112" s="106" t="str">
        <f aca="false">IFERROR(INDEX('Historical Data'!$AB$2:$AB$1068,MATCH($A112,'Historical Data'!$BE$2:$BE$1068,0)),"")</f>
        <v/>
      </c>
      <c r="S112" s="106" t="str">
        <f aca="false">IFERROR(INDEX('Historical Data'!$AN$2:$AN$1068,MATCH($A112,'Historical Data'!$BE$2:$BE$1068,0)),"")</f>
        <v/>
      </c>
      <c r="T112" s="106" t="str">
        <f aca="false">IFERROR(INDEX('Historical Data'!$AC$2:$AC$1068,MATCH($A112,'Historical Data'!$BE$2:$BE$1068,0)),"")</f>
        <v/>
      </c>
      <c r="U112" s="106" t="str">
        <f aca="false">IFERROR(INDEX('Historical Data'!$AE$2:$AE$1068,MATCH($A112,'Historical Data'!$BE$2:$BE$1068,0)),"")</f>
        <v/>
      </c>
      <c r="V112" s="106" t="str">
        <f aca="false">IFERROR(INDEX('Historical Data'!$AH$2:$AH$1068,MATCH($A112,'Historical Data'!$BE$2:$BE$1068,0)),"")</f>
        <v/>
      </c>
      <c r="W112" s="106" t="str">
        <f aca="false">IFERROR(INDEX('Historical Data'!$BC$2:$BC$1068,MATCH($A112,'Historical Data'!$BE$2:$BE$1068,0)),"")</f>
        <v/>
      </c>
      <c r="X112" s="105" t="str">
        <f aca="false">IF(B112="","",IF(W112=1,"NR + industry + position",IF(W112=2,"NR + ISO + position",IF(W112=3,"NR + industry",IF(W112=4,"NR + ISO",IF(W112=5,"NR + position",IF(W112=6,"NR only","book baseline"))))))&amp;"  ["&amp;IF(T112=1,"seasoned","unseasoned")&amp;IF(U112=1,", defaulted","")&amp;IF(V112=1,", open","")&amp;"]")</f>
        <v/>
      </c>
    </row>
    <row r="113" customFormat="false" ht="15" hidden="false" customHeight="false" outlineLevel="0" collapsed="false">
      <c r="A113" s="105" t="n">
        <v>109</v>
      </c>
      <c r="B113" s="106" t="str">
        <f aca="false">IFERROR(INDEX('Historical Data'!$A$2:$A$1068,MATCH($A113,'Historical Data'!$BE$2:$BE$1068,0)),"")</f>
        <v/>
      </c>
      <c r="C113" s="106" t="str">
        <f aca="false">IFERROR(INDEX('Historical Data'!$B$2:$B$1068,MATCH($A113,'Historical Data'!$BE$2:$BE$1068,0)),"")</f>
        <v/>
      </c>
      <c r="D113" s="106" t="str">
        <f aca="false">IFERROR(INDEX('Historical Data'!$D$2:$D$1068,MATCH($A113,'Historical Data'!$BE$2:$BE$1068,0)),"")</f>
        <v/>
      </c>
      <c r="E113" s="107" t="str">
        <f aca="false">IFERROR(INDEX('Historical Data'!$E$2:$E$1068,MATCH($A113,'Historical Data'!$BE$2:$BE$1068,0)),"")</f>
        <v/>
      </c>
      <c r="F113" s="106" t="str">
        <f aca="false">IFERROR(INDEX('Historical Data'!$G$2:$G$1068,MATCH($A113,'Historical Data'!$BE$2:$BE$1068,0)),"")</f>
        <v/>
      </c>
      <c r="G113" s="106" t="str">
        <f aca="false">IFERROR(INDEX('Historical Data'!$Y$2:$Y$1068,MATCH($A113,'Historical Data'!$BE$2:$BE$1068,0)),"")</f>
        <v/>
      </c>
      <c r="H113" s="106" t="str">
        <f aca="false">IFERROR(INDEX('Historical Data'!$K$2:$K$1068,MATCH($A113,'Historical Data'!$BE$2:$BE$1068,0)),"")</f>
        <v/>
      </c>
      <c r="I113" s="106" t="str">
        <f aca="false">IFERROR(INDEX('Historical Data'!$J$2:$J$1068,MATCH($A113,'Historical Data'!$BE$2:$BE$1068,0)),"")</f>
        <v/>
      </c>
      <c r="J113" s="106" t="str">
        <f aca="false">IFERROR(INDEX('Historical Data'!$L$2:$L$1068,MATCH($A113,'Historical Data'!$BE$2:$BE$1068,0)),"")</f>
        <v/>
      </c>
      <c r="K113" s="108" t="str">
        <f aca="false">IFERROR(INDEX('Historical Data'!$M$2:$M$1068,MATCH($A113,'Historical Data'!$BE$2:$BE$1068,0)),"")</f>
        <v/>
      </c>
      <c r="L113" s="109" t="str">
        <f aca="false">IFERROR(INDEX('Historical Data'!$N$2:$N$1068,MATCH($A113,'Historical Data'!$BE$2:$BE$1068,0)),"")</f>
        <v/>
      </c>
      <c r="M113" s="109" t="str">
        <f aca="false">IFERROR(INDEX('Historical Data'!$Q$2:$Q$1068,MATCH($A113,'Historical Data'!$BE$2:$BE$1068,0)),"")</f>
        <v/>
      </c>
      <c r="N113" s="110" t="str">
        <f aca="false">IFERROR(INDEX('Historical Data'!$S$2:$S$1068,MATCH($A113,'Historical Data'!$BE$2:$BE$1068,0)),"")</f>
        <v/>
      </c>
      <c r="O113" s="109" t="str">
        <f aca="false">IFERROR(INDEX('Historical Data'!$AJ$2:$AJ$1068,MATCH($A113,'Historical Data'!$BE$2:$BE$1068,0)),"")</f>
        <v/>
      </c>
      <c r="P113" s="109" t="str">
        <f aca="false">IFERROR(INDEX('Historical Data'!$AK$2:$AK$1068,MATCH($A113,'Historical Data'!$BE$2:$BE$1068,0)),"")</f>
        <v/>
      </c>
      <c r="Q113" s="106" t="str">
        <f aca="false">IFERROR(INDEX('Historical Data'!$AA$2:$AA$1068,MATCH($A113,'Historical Data'!$BE$2:$BE$1068,0)),"")</f>
        <v/>
      </c>
      <c r="R113" s="106" t="str">
        <f aca="false">IFERROR(INDEX('Historical Data'!$AB$2:$AB$1068,MATCH($A113,'Historical Data'!$BE$2:$BE$1068,0)),"")</f>
        <v/>
      </c>
      <c r="S113" s="106" t="str">
        <f aca="false">IFERROR(INDEX('Historical Data'!$AN$2:$AN$1068,MATCH($A113,'Historical Data'!$BE$2:$BE$1068,0)),"")</f>
        <v/>
      </c>
      <c r="T113" s="106" t="str">
        <f aca="false">IFERROR(INDEX('Historical Data'!$AC$2:$AC$1068,MATCH($A113,'Historical Data'!$BE$2:$BE$1068,0)),"")</f>
        <v/>
      </c>
      <c r="U113" s="106" t="str">
        <f aca="false">IFERROR(INDEX('Historical Data'!$AE$2:$AE$1068,MATCH($A113,'Historical Data'!$BE$2:$BE$1068,0)),"")</f>
        <v/>
      </c>
      <c r="V113" s="106" t="str">
        <f aca="false">IFERROR(INDEX('Historical Data'!$AH$2:$AH$1068,MATCH($A113,'Historical Data'!$BE$2:$BE$1068,0)),"")</f>
        <v/>
      </c>
      <c r="W113" s="106" t="str">
        <f aca="false">IFERROR(INDEX('Historical Data'!$BC$2:$BC$1068,MATCH($A113,'Historical Data'!$BE$2:$BE$1068,0)),"")</f>
        <v/>
      </c>
      <c r="X113" s="105" t="str">
        <f aca="false">IF(B113="","",IF(W113=1,"NR + industry + position",IF(W113=2,"NR + ISO + position",IF(W113=3,"NR + industry",IF(W113=4,"NR + ISO",IF(W113=5,"NR + position",IF(W113=6,"NR only","book baseline"))))))&amp;"  ["&amp;IF(T113=1,"seasoned","unseasoned")&amp;IF(U113=1,", defaulted","")&amp;IF(V113=1,", open","")&amp;"]")</f>
        <v/>
      </c>
    </row>
    <row r="114" customFormat="false" ht="15" hidden="false" customHeight="false" outlineLevel="0" collapsed="false">
      <c r="A114" s="105" t="n">
        <v>110</v>
      </c>
      <c r="B114" s="106" t="str">
        <f aca="false">IFERROR(INDEX('Historical Data'!$A$2:$A$1068,MATCH($A114,'Historical Data'!$BE$2:$BE$1068,0)),"")</f>
        <v/>
      </c>
      <c r="C114" s="106" t="str">
        <f aca="false">IFERROR(INDEX('Historical Data'!$B$2:$B$1068,MATCH($A114,'Historical Data'!$BE$2:$BE$1068,0)),"")</f>
        <v/>
      </c>
      <c r="D114" s="106" t="str">
        <f aca="false">IFERROR(INDEX('Historical Data'!$D$2:$D$1068,MATCH($A114,'Historical Data'!$BE$2:$BE$1068,0)),"")</f>
        <v/>
      </c>
      <c r="E114" s="107" t="str">
        <f aca="false">IFERROR(INDEX('Historical Data'!$E$2:$E$1068,MATCH($A114,'Historical Data'!$BE$2:$BE$1068,0)),"")</f>
        <v/>
      </c>
      <c r="F114" s="106" t="str">
        <f aca="false">IFERROR(INDEX('Historical Data'!$G$2:$G$1068,MATCH($A114,'Historical Data'!$BE$2:$BE$1068,0)),"")</f>
        <v/>
      </c>
      <c r="G114" s="106" t="str">
        <f aca="false">IFERROR(INDEX('Historical Data'!$Y$2:$Y$1068,MATCH($A114,'Historical Data'!$BE$2:$BE$1068,0)),"")</f>
        <v/>
      </c>
      <c r="H114" s="106" t="str">
        <f aca="false">IFERROR(INDEX('Historical Data'!$K$2:$K$1068,MATCH($A114,'Historical Data'!$BE$2:$BE$1068,0)),"")</f>
        <v/>
      </c>
      <c r="I114" s="106" t="str">
        <f aca="false">IFERROR(INDEX('Historical Data'!$J$2:$J$1068,MATCH($A114,'Historical Data'!$BE$2:$BE$1068,0)),"")</f>
        <v/>
      </c>
      <c r="J114" s="106" t="str">
        <f aca="false">IFERROR(INDEX('Historical Data'!$L$2:$L$1068,MATCH($A114,'Historical Data'!$BE$2:$BE$1068,0)),"")</f>
        <v/>
      </c>
      <c r="K114" s="108" t="str">
        <f aca="false">IFERROR(INDEX('Historical Data'!$M$2:$M$1068,MATCH($A114,'Historical Data'!$BE$2:$BE$1068,0)),"")</f>
        <v/>
      </c>
      <c r="L114" s="109" t="str">
        <f aca="false">IFERROR(INDEX('Historical Data'!$N$2:$N$1068,MATCH($A114,'Historical Data'!$BE$2:$BE$1068,0)),"")</f>
        <v/>
      </c>
      <c r="M114" s="109" t="str">
        <f aca="false">IFERROR(INDEX('Historical Data'!$Q$2:$Q$1068,MATCH($A114,'Historical Data'!$BE$2:$BE$1068,0)),"")</f>
        <v/>
      </c>
      <c r="N114" s="110" t="str">
        <f aca="false">IFERROR(INDEX('Historical Data'!$S$2:$S$1068,MATCH($A114,'Historical Data'!$BE$2:$BE$1068,0)),"")</f>
        <v/>
      </c>
      <c r="O114" s="109" t="str">
        <f aca="false">IFERROR(INDEX('Historical Data'!$AJ$2:$AJ$1068,MATCH($A114,'Historical Data'!$BE$2:$BE$1068,0)),"")</f>
        <v/>
      </c>
      <c r="P114" s="109" t="str">
        <f aca="false">IFERROR(INDEX('Historical Data'!$AK$2:$AK$1068,MATCH($A114,'Historical Data'!$BE$2:$BE$1068,0)),"")</f>
        <v/>
      </c>
      <c r="Q114" s="106" t="str">
        <f aca="false">IFERROR(INDEX('Historical Data'!$AA$2:$AA$1068,MATCH($A114,'Historical Data'!$BE$2:$BE$1068,0)),"")</f>
        <v/>
      </c>
      <c r="R114" s="106" t="str">
        <f aca="false">IFERROR(INDEX('Historical Data'!$AB$2:$AB$1068,MATCH($A114,'Historical Data'!$BE$2:$BE$1068,0)),"")</f>
        <v/>
      </c>
      <c r="S114" s="106" t="str">
        <f aca="false">IFERROR(INDEX('Historical Data'!$AN$2:$AN$1068,MATCH($A114,'Historical Data'!$BE$2:$BE$1068,0)),"")</f>
        <v/>
      </c>
      <c r="T114" s="106" t="str">
        <f aca="false">IFERROR(INDEX('Historical Data'!$AC$2:$AC$1068,MATCH($A114,'Historical Data'!$BE$2:$BE$1068,0)),"")</f>
        <v/>
      </c>
      <c r="U114" s="106" t="str">
        <f aca="false">IFERROR(INDEX('Historical Data'!$AE$2:$AE$1068,MATCH($A114,'Historical Data'!$BE$2:$BE$1068,0)),"")</f>
        <v/>
      </c>
      <c r="V114" s="106" t="str">
        <f aca="false">IFERROR(INDEX('Historical Data'!$AH$2:$AH$1068,MATCH($A114,'Historical Data'!$BE$2:$BE$1068,0)),"")</f>
        <v/>
      </c>
      <c r="W114" s="106" t="str">
        <f aca="false">IFERROR(INDEX('Historical Data'!$BC$2:$BC$1068,MATCH($A114,'Historical Data'!$BE$2:$BE$1068,0)),"")</f>
        <v/>
      </c>
      <c r="X114" s="105" t="str">
        <f aca="false">IF(B114="","",IF(W114=1,"NR + industry + position",IF(W114=2,"NR + ISO + position",IF(W114=3,"NR + industry",IF(W114=4,"NR + ISO",IF(W114=5,"NR + position",IF(W114=6,"NR only","book baseline"))))))&amp;"  ["&amp;IF(T114=1,"seasoned","unseasoned")&amp;IF(U114=1,", defaulted","")&amp;IF(V114=1,", open","")&amp;"]")</f>
        <v/>
      </c>
    </row>
    <row r="115" customFormat="false" ht="15" hidden="false" customHeight="false" outlineLevel="0" collapsed="false">
      <c r="A115" s="105" t="n">
        <v>111</v>
      </c>
      <c r="B115" s="106" t="str">
        <f aca="false">IFERROR(INDEX('Historical Data'!$A$2:$A$1068,MATCH($A115,'Historical Data'!$BE$2:$BE$1068,0)),"")</f>
        <v/>
      </c>
      <c r="C115" s="106" t="str">
        <f aca="false">IFERROR(INDEX('Historical Data'!$B$2:$B$1068,MATCH($A115,'Historical Data'!$BE$2:$BE$1068,0)),"")</f>
        <v/>
      </c>
      <c r="D115" s="106" t="str">
        <f aca="false">IFERROR(INDEX('Historical Data'!$D$2:$D$1068,MATCH($A115,'Historical Data'!$BE$2:$BE$1068,0)),"")</f>
        <v/>
      </c>
      <c r="E115" s="107" t="str">
        <f aca="false">IFERROR(INDEX('Historical Data'!$E$2:$E$1068,MATCH($A115,'Historical Data'!$BE$2:$BE$1068,0)),"")</f>
        <v/>
      </c>
      <c r="F115" s="106" t="str">
        <f aca="false">IFERROR(INDEX('Historical Data'!$G$2:$G$1068,MATCH($A115,'Historical Data'!$BE$2:$BE$1068,0)),"")</f>
        <v/>
      </c>
      <c r="G115" s="106" t="str">
        <f aca="false">IFERROR(INDEX('Historical Data'!$Y$2:$Y$1068,MATCH($A115,'Historical Data'!$BE$2:$BE$1068,0)),"")</f>
        <v/>
      </c>
      <c r="H115" s="106" t="str">
        <f aca="false">IFERROR(INDEX('Historical Data'!$K$2:$K$1068,MATCH($A115,'Historical Data'!$BE$2:$BE$1068,0)),"")</f>
        <v/>
      </c>
      <c r="I115" s="106" t="str">
        <f aca="false">IFERROR(INDEX('Historical Data'!$J$2:$J$1068,MATCH($A115,'Historical Data'!$BE$2:$BE$1068,0)),"")</f>
        <v/>
      </c>
      <c r="J115" s="106" t="str">
        <f aca="false">IFERROR(INDEX('Historical Data'!$L$2:$L$1068,MATCH($A115,'Historical Data'!$BE$2:$BE$1068,0)),"")</f>
        <v/>
      </c>
      <c r="K115" s="108" t="str">
        <f aca="false">IFERROR(INDEX('Historical Data'!$M$2:$M$1068,MATCH($A115,'Historical Data'!$BE$2:$BE$1068,0)),"")</f>
        <v/>
      </c>
      <c r="L115" s="109" t="str">
        <f aca="false">IFERROR(INDEX('Historical Data'!$N$2:$N$1068,MATCH($A115,'Historical Data'!$BE$2:$BE$1068,0)),"")</f>
        <v/>
      </c>
      <c r="M115" s="109" t="str">
        <f aca="false">IFERROR(INDEX('Historical Data'!$Q$2:$Q$1068,MATCH($A115,'Historical Data'!$BE$2:$BE$1068,0)),"")</f>
        <v/>
      </c>
      <c r="N115" s="110" t="str">
        <f aca="false">IFERROR(INDEX('Historical Data'!$S$2:$S$1068,MATCH($A115,'Historical Data'!$BE$2:$BE$1068,0)),"")</f>
        <v/>
      </c>
      <c r="O115" s="109" t="str">
        <f aca="false">IFERROR(INDEX('Historical Data'!$AJ$2:$AJ$1068,MATCH($A115,'Historical Data'!$BE$2:$BE$1068,0)),"")</f>
        <v/>
      </c>
      <c r="P115" s="109" t="str">
        <f aca="false">IFERROR(INDEX('Historical Data'!$AK$2:$AK$1068,MATCH($A115,'Historical Data'!$BE$2:$BE$1068,0)),"")</f>
        <v/>
      </c>
      <c r="Q115" s="106" t="str">
        <f aca="false">IFERROR(INDEX('Historical Data'!$AA$2:$AA$1068,MATCH($A115,'Historical Data'!$BE$2:$BE$1068,0)),"")</f>
        <v/>
      </c>
      <c r="R115" s="106" t="str">
        <f aca="false">IFERROR(INDEX('Historical Data'!$AB$2:$AB$1068,MATCH($A115,'Historical Data'!$BE$2:$BE$1068,0)),"")</f>
        <v/>
      </c>
      <c r="S115" s="106" t="str">
        <f aca="false">IFERROR(INDEX('Historical Data'!$AN$2:$AN$1068,MATCH($A115,'Historical Data'!$BE$2:$BE$1068,0)),"")</f>
        <v/>
      </c>
      <c r="T115" s="106" t="str">
        <f aca="false">IFERROR(INDEX('Historical Data'!$AC$2:$AC$1068,MATCH($A115,'Historical Data'!$BE$2:$BE$1068,0)),"")</f>
        <v/>
      </c>
      <c r="U115" s="106" t="str">
        <f aca="false">IFERROR(INDEX('Historical Data'!$AE$2:$AE$1068,MATCH($A115,'Historical Data'!$BE$2:$BE$1068,0)),"")</f>
        <v/>
      </c>
      <c r="V115" s="106" t="str">
        <f aca="false">IFERROR(INDEX('Historical Data'!$AH$2:$AH$1068,MATCH($A115,'Historical Data'!$BE$2:$BE$1068,0)),"")</f>
        <v/>
      </c>
      <c r="W115" s="106" t="str">
        <f aca="false">IFERROR(INDEX('Historical Data'!$BC$2:$BC$1068,MATCH($A115,'Historical Data'!$BE$2:$BE$1068,0)),"")</f>
        <v/>
      </c>
      <c r="X115" s="105" t="str">
        <f aca="false">IF(B115="","",IF(W115=1,"NR + industry + position",IF(W115=2,"NR + ISO + position",IF(W115=3,"NR + industry",IF(W115=4,"NR + ISO",IF(W115=5,"NR + position",IF(W115=6,"NR only","book baseline"))))))&amp;"  ["&amp;IF(T115=1,"seasoned","unseasoned")&amp;IF(U115=1,", defaulted","")&amp;IF(V115=1,", open","")&amp;"]")</f>
        <v/>
      </c>
    </row>
    <row r="116" customFormat="false" ht="15" hidden="false" customHeight="false" outlineLevel="0" collapsed="false">
      <c r="A116" s="105" t="n">
        <v>112</v>
      </c>
      <c r="B116" s="106" t="str">
        <f aca="false">IFERROR(INDEX('Historical Data'!$A$2:$A$1068,MATCH($A116,'Historical Data'!$BE$2:$BE$1068,0)),"")</f>
        <v/>
      </c>
      <c r="C116" s="106" t="str">
        <f aca="false">IFERROR(INDEX('Historical Data'!$B$2:$B$1068,MATCH($A116,'Historical Data'!$BE$2:$BE$1068,0)),"")</f>
        <v/>
      </c>
      <c r="D116" s="106" t="str">
        <f aca="false">IFERROR(INDEX('Historical Data'!$D$2:$D$1068,MATCH($A116,'Historical Data'!$BE$2:$BE$1068,0)),"")</f>
        <v/>
      </c>
      <c r="E116" s="107" t="str">
        <f aca="false">IFERROR(INDEX('Historical Data'!$E$2:$E$1068,MATCH($A116,'Historical Data'!$BE$2:$BE$1068,0)),"")</f>
        <v/>
      </c>
      <c r="F116" s="106" t="str">
        <f aca="false">IFERROR(INDEX('Historical Data'!$G$2:$G$1068,MATCH($A116,'Historical Data'!$BE$2:$BE$1068,0)),"")</f>
        <v/>
      </c>
      <c r="G116" s="106" t="str">
        <f aca="false">IFERROR(INDEX('Historical Data'!$Y$2:$Y$1068,MATCH($A116,'Historical Data'!$BE$2:$BE$1068,0)),"")</f>
        <v/>
      </c>
      <c r="H116" s="106" t="str">
        <f aca="false">IFERROR(INDEX('Historical Data'!$K$2:$K$1068,MATCH($A116,'Historical Data'!$BE$2:$BE$1068,0)),"")</f>
        <v/>
      </c>
      <c r="I116" s="106" t="str">
        <f aca="false">IFERROR(INDEX('Historical Data'!$J$2:$J$1068,MATCH($A116,'Historical Data'!$BE$2:$BE$1068,0)),"")</f>
        <v/>
      </c>
      <c r="J116" s="106" t="str">
        <f aca="false">IFERROR(INDEX('Historical Data'!$L$2:$L$1068,MATCH($A116,'Historical Data'!$BE$2:$BE$1068,0)),"")</f>
        <v/>
      </c>
      <c r="K116" s="108" t="str">
        <f aca="false">IFERROR(INDEX('Historical Data'!$M$2:$M$1068,MATCH($A116,'Historical Data'!$BE$2:$BE$1068,0)),"")</f>
        <v/>
      </c>
      <c r="L116" s="109" t="str">
        <f aca="false">IFERROR(INDEX('Historical Data'!$N$2:$N$1068,MATCH($A116,'Historical Data'!$BE$2:$BE$1068,0)),"")</f>
        <v/>
      </c>
      <c r="M116" s="109" t="str">
        <f aca="false">IFERROR(INDEX('Historical Data'!$Q$2:$Q$1068,MATCH($A116,'Historical Data'!$BE$2:$BE$1068,0)),"")</f>
        <v/>
      </c>
      <c r="N116" s="110" t="str">
        <f aca="false">IFERROR(INDEX('Historical Data'!$S$2:$S$1068,MATCH($A116,'Historical Data'!$BE$2:$BE$1068,0)),"")</f>
        <v/>
      </c>
      <c r="O116" s="109" t="str">
        <f aca="false">IFERROR(INDEX('Historical Data'!$AJ$2:$AJ$1068,MATCH($A116,'Historical Data'!$BE$2:$BE$1068,0)),"")</f>
        <v/>
      </c>
      <c r="P116" s="109" t="str">
        <f aca="false">IFERROR(INDEX('Historical Data'!$AK$2:$AK$1068,MATCH($A116,'Historical Data'!$BE$2:$BE$1068,0)),"")</f>
        <v/>
      </c>
      <c r="Q116" s="106" t="str">
        <f aca="false">IFERROR(INDEX('Historical Data'!$AA$2:$AA$1068,MATCH($A116,'Historical Data'!$BE$2:$BE$1068,0)),"")</f>
        <v/>
      </c>
      <c r="R116" s="106" t="str">
        <f aca="false">IFERROR(INDEX('Historical Data'!$AB$2:$AB$1068,MATCH($A116,'Historical Data'!$BE$2:$BE$1068,0)),"")</f>
        <v/>
      </c>
      <c r="S116" s="106" t="str">
        <f aca="false">IFERROR(INDEX('Historical Data'!$AN$2:$AN$1068,MATCH($A116,'Historical Data'!$BE$2:$BE$1068,0)),"")</f>
        <v/>
      </c>
      <c r="T116" s="106" t="str">
        <f aca="false">IFERROR(INDEX('Historical Data'!$AC$2:$AC$1068,MATCH($A116,'Historical Data'!$BE$2:$BE$1068,0)),"")</f>
        <v/>
      </c>
      <c r="U116" s="106" t="str">
        <f aca="false">IFERROR(INDEX('Historical Data'!$AE$2:$AE$1068,MATCH($A116,'Historical Data'!$BE$2:$BE$1068,0)),"")</f>
        <v/>
      </c>
      <c r="V116" s="106" t="str">
        <f aca="false">IFERROR(INDEX('Historical Data'!$AH$2:$AH$1068,MATCH($A116,'Historical Data'!$BE$2:$BE$1068,0)),"")</f>
        <v/>
      </c>
      <c r="W116" s="106" t="str">
        <f aca="false">IFERROR(INDEX('Historical Data'!$BC$2:$BC$1068,MATCH($A116,'Historical Data'!$BE$2:$BE$1068,0)),"")</f>
        <v/>
      </c>
      <c r="X116" s="105" t="str">
        <f aca="false">IF(B116="","",IF(W116=1,"NR + industry + position",IF(W116=2,"NR + ISO + position",IF(W116=3,"NR + industry",IF(W116=4,"NR + ISO",IF(W116=5,"NR + position",IF(W116=6,"NR only","book baseline"))))))&amp;"  ["&amp;IF(T116=1,"seasoned","unseasoned")&amp;IF(U116=1,", defaulted","")&amp;IF(V116=1,", open","")&amp;"]")</f>
        <v/>
      </c>
    </row>
    <row r="117" customFormat="false" ht="15" hidden="false" customHeight="false" outlineLevel="0" collapsed="false">
      <c r="A117" s="105" t="n">
        <v>113</v>
      </c>
      <c r="B117" s="106" t="str">
        <f aca="false">IFERROR(INDEX('Historical Data'!$A$2:$A$1068,MATCH($A117,'Historical Data'!$BE$2:$BE$1068,0)),"")</f>
        <v/>
      </c>
      <c r="C117" s="106" t="str">
        <f aca="false">IFERROR(INDEX('Historical Data'!$B$2:$B$1068,MATCH($A117,'Historical Data'!$BE$2:$BE$1068,0)),"")</f>
        <v/>
      </c>
      <c r="D117" s="106" t="str">
        <f aca="false">IFERROR(INDEX('Historical Data'!$D$2:$D$1068,MATCH($A117,'Historical Data'!$BE$2:$BE$1068,0)),"")</f>
        <v/>
      </c>
      <c r="E117" s="107" t="str">
        <f aca="false">IFERROR(INDEX('Historical Data'!$E$2:$E$1068,MATCH($A117,'Historical Data'!$BE$2:$BE$1068,0)),"")</f>
        <v/>
      </c>
      <c r="F117" s="106" t="str">
        <f aca="false">IFERROR(INDEX('Historical Data'!$G$2:$G$1068,MATCH($A117,'Historical Data'!$BE$2:$BE$1068,0)),"")</f>
        <v/>
      </c>
      <c r="G117" s="106" t="str">
        <f aca="false">IFERROR(INDEX('Historical Data'!$Y$2:$Y$1068,MATCH($A117,'Historical Data'!$BE$2:$BE$1068,0)),"")</f>
        <v/>
      </c>
      <c r="H117" s="106" t="str">
        <f aca="false">IFERROR(INDEX('Historical Data'!$K$2:$K$1068,MATCH($A117,'Historical Data'!$BE$2:$BE$1068,0)),"")</f>
        <v/>
      </c>
      <c r="I117" s="106" t="str">
        <f aca="false">IFERROR(INDEX('Historical Data'!$J$2:$J$1068,MATCH($A117,'Historical Data'!$BE$2:$BE$1068,0)),"")</f>
        <v/>
      </c>
      <c r="J117" s="106" t="str">
        <f aca="false">IFERROR(INDEX('Historical Data'!$L$2:$L$1068,MATCH($A117,'Historical Data'!$BE$2:$BE$1068,0)),"")</f>
        <v/>
      </c>
      <c r="K117" s="108" t="str">
        <f aca="false">IFERROR(INDEX('Historical Data'!$M$2:$M$1068,MATCH($A117,'Historical Data'!$BE$2:$BE$1068,0)),"")</f>
        <v/>
      </c>
      <c r="L117" s="109" t="str">
        <f aca="false">IFERROR(INDEX('Historical Data'!$N$2:$N$1068,MATCH($A117,'Historical Data'!$BE$2:$BE$1068,0)),"")</f>
        <v/>
      </c>
      <c r="M117" s="109" t="str">
        <f aca="false">IFERROR(INDEX('Historical Data'!$Q$2:$Q$1068,MATCH($A117,'Historical Data'!$BE$2:$BE$1068,0)),"")</f>
        <v/>
      </c>
      <c r="N117" s="110" t="str">
        <f aca="false">IFERROR(INDEX('Historical Data'!$S$2:$S$1068,MATCH($A117,'Historical Data'!$BE$2:$BE$1068,0)),"")</f>
        <v/>
      </c>
      <c r="O117" s="109" t="str">
        <f aca="false">IFERROR(INDEX('Historical Data'!$AJ$2:$AJ$1068,MATCH($A117,'Historical Data'!$BE$2:$BE$1068,0)),"")</f>
        <v/>
      </c>
      <c r="P117" s="109" t="str">
        <f aca="false">IFERROR(INDEX('Historical Data'!$AK$2:$AK$1068,MATCH($A117,'Historical Data'!$BE$2:$BE$1068,0)),"")</f>
        <v/>
      </c>
      <c r="Q117" s="106" t="str">
        <f aca="false">IFERROR(INDEX('Historical Data'!$AA$2:$AA$1068,MATCH($A117,'Historical Data'!$BE$2:$BE$1068,0)),"")</f>
        <v/>
      </c>
      <c r="R117" s="106" t="str">
        <f aca="false">IFERROR(INDEX('Historical Data'!$AB$2:$AB$1068,MATCH($A117,'Historical Data'!$BE$2:$BE$1068,0)),"")</f>
        <v/>
      </c>
      <c r="S117" s="106" t="str">
        <f aca="false">IFERROR(INDEX('Historical Data'!$AN$2:$AN$1068,MATCH($A117,'Historical Data'!$BE$2:$BE$1068,0)),"")</f>
        <v/>
      </c>
      <c r="T117" s="106" t="str">
        <f aca="false">IFERROR(INDEX('Historical Data'!$AC$2:$AC$1068,MATCH($A117,'Historical Data'!$BE$2:$BE$1068,0)),"")</f>
        <v/>
      </c>
      <c r="U117" s="106" t="str">
        <f aca="false">IFERROR(INDEX('Historical Data'!$AE$2:$AE$1068,MATCH($A117,'Historical Data'!$BE$2:$BE$1068,0)),"")</f>
        <v/>
      </c>
      <c r="V117" s="106" t="str">
        <f aca="false">IFERROR(INDEX('Historical Data'!$AH$2:$AH$1068,MATCH($A117,'Historical Data'!$BE$2:$BE$1068,0)),"")</f>
        <v/>
      </c>
      <c r="W117" s="106" t="str">
        <f aca="false">IFERROR(INDEX('Historical Data'!$BC$2:$BC$1068,MATCH($A117,'Historical Data'!$BE$2:$BE$1068,0)),"")</f>
        <v/>
      </c>
      <c r="X117" s="105" t="str">
        <f aca="false">IF(B117="","",IF(W117=1,"NR + industry + position",IF(W117=2,"NR + ISO + position",IF(W117=3,"NR + industry",IF(W117=4,"NR + ISO",IF(W117=5,"NR + position",IF(W117=6,"NR only","book baseline"))))))&amp;"  ["&amp;IF(T117=1,"seasoned","unseasoned")&amp;IF(U117=1,", defaulted","")&amp;IF(V117=1,", open","")&amp;"]")</f>
        <v/>
      </c>
    </row>
    <row r="118" customFormat="false" ht="15" hidden="false" customHeight="false" outlineLevel="0" collapsed="false">
      <c r="A118" s="105" t="n">
        <v>114</v>
      </c>
      <c r="B118" s="106" t="str">
        <f aca="false">IFERROR(INDEX('Historical Data'!$A$2:$A$1068,MATCH($A118,'Historical Data'!$BE$2:$BE$1068,0)),"")</f>
        <v/>
      </c>
      <c r="C118" s="106" t="str">
        <f aca="false">IFERROR(INDEX('Historical Data'!$B$2:$B$1068,MATCH($A118,'Historical Data'!$BE$2:$BE$1068,0)),"")</f>
        <v/>
      </c>
      <c r="D118" s="106" t="str">
        <f aca="false">IFERROR(INDEX('Historical Data'!$D$2:$D$1068,MATCH($A118,'Historical Data'!$BE$2:$BE$1068,0)),"")</f>
        <v/>
      </c>
      <c r="E118" s="107" t="str">
        <f aca="false">IFERROR(INDEX('Historical Data'!$E$2:$E$1068,MATCH($A118,'Historical Data'!$BE$2:$BE$1068,0)),"")</f>
        <v/>
      </c>
      <c r="F118" s="106" t="str">
        <f aca="false">IFERROR(INDEX('Historical Data'!$G$2:$G$1068,MATCH($A118,'Historical Data'!$BE$2:$BE$1068,0)),"")</f>
        <v/>
      </c>
      <c r="G118" s="106" t="str">
        <f aca="false">IFERROR(INDEX('Historical Data'!$Y$2:$Y$1068,MATCH($A118,'Historical Data'!$BE$2:$BE$1068,0)),"")</f>
        <v/>
      </c>
      <c r="H118" s="106" t="str">
        <f aca="false">IFERROR(INDEX('Historical Data'!$K$2:$K$1068,MATCH($A118,'Historical Data'!$BE$2:$BE$1068,0)),"")</f>
        <v/>
      </c>
      <c r="I118" s="106" t="str">
        <f aca="false">IFERROR(INDEX('Historical Data'!$J$2:$J$1068,MATCH($A118,'Historical Data'!$BE$2:$BE$1068,0)),"")</f>
        <v/>
      </c>
      <c r="J118" s="106" t="str">
        <f aca="false">IFERROR(INDEX('Historical Data'!$L$2:$L$1068,MATCH($A118,'Historical Data'!$BE$2:$BE$1068,0)),"")</f>
        <v/>
      </c>
      <c r="K118" s="108" t="str">
        <f aca="false">IFERROR(INDEX('Historical Data'!$M$2:$M$1068,MATCH($A118,'Historical Data'!$BE$2:$BE$1068,0)),"")</f>
        <v/>
      </c>
      <c r="L118" s="109" t="str">
        <f aca="false">IFERROR(INDEX('Historical Data'!$N$2:$N$1068,MATCH($A118,'Historical Data'!$BE$2:$BE$1068,0)),"")</f>
        <v/>
      </c>
      <c r="M118" s="109" t="str">
        <f aca="false">IFERROR(INDEX('Historical Data'!$Q$2:$Q$1068,MATCH($A118,'Historical Data'!$BE$2:$BE$1068,0)),"")</f>
        <v/>
      </c>
      <c r="N118" s="110" t="str">
        <f aca="false">IFERROR(INDEX('Historical Data'!$S$2:$S$1068,MATCH($A118,'Historical Data'!$BE$2:$BE$1068,0)),"")</f>
        <v/>
      </c>
      <c r="O118" s="109" t="str">
        <f aca="false">IFERROR(INDEX('Historical Data'!$AJ$2:$AJ$1068,MATCH($A118,'Historical Data'!$BE$2:$BE$1068,0)),"")</f>
        <v/>
      </c>
      <c r="P118" s="109" t="str">
        <f aca="false">IFERROR(INDEX('Historical Data'!$AK$2:$AK$1068,MATCH($A118,'Historical Data'!$BE$2:$BE$1068,0)),"")</f>
        <v/>
      </c>
      <c r="Q118" s="106" t="str">
        <f aca="false">IFERROR(INDEX('Historical Data'!$AA$2:$AA$1068,MATCH($A118,'Historical Data'!$BE$2:$BE$1068,0)),"")</f>
        <v/>
      </c>
      <c r="R118" s="106" t="str">
        <f aca="false">IFERROR(INDEX('Historical Data'!$AB$2:$AB$1068,MATCH($A118,'Historical Data'!$BE$2:$BE$1068,0)),"")</f>
        <v/>
      </c>
      <c r="S118" s="106" t="str">
        <f aca="false">IFERROR(INDEX('Historical Data'!$AN$2:$AN$1068,MATCH($A118,'Historical Data'!$BE$2:$BE$1068,0)),"")</f>
        <v/>
      </c>
      <c r="T118" s="106" t="str">
        <f aca="false">IFERROR(INDEX('Historical Data'!$AC$2:$AC$1068,MATCH($A118,'Historical Data'!$BE$2:$BE$1068,0)),"")</f>
        <v/>
      </c>
      <c r="U118" s="106" t="str">
        <f aca="false">IFERROR(INDEX('Historical Data'!$AE$2:$AE$1068,MATCH($A118,'Historical Data'!$BE$2:$BE$1068,0)),"")</f>
        <v/>
      </c>
      <c r="V118" s="106" t="str">
        <f aca="false">IFERROR(INDEX('Historical Data'!$AH$2:$AH$1068,MATCH($A118,'Historical Data'!$BE$2:$BE$1068,0)),"")</f>
        <v/>
      </c>
      <c r="W118" s="106" t="str">
        <f aca="false">IFERROR(INDEX('Historical Data'!$BC$2:$BC$1068,MATCH($A118,'Historical Data'!$BE$2:$BE$1068,0)),"")</f>
        <v/>
      </c>
      <c r="X118" s="105" t="str">
        <f aca="false">IF(B118="","",IF(W118=1,"NR + industry + position",IF(W118=2,"NR + ISO + position",IF(W118=3,"NR + industry",IF(W118=4,"NR + ISO",IF(W118=5,"NR + position",IF(W118=6,"NR only","book baseline"))))))&amp;"  ["&amp;IF(T118=1,"seasoned","unseasoned")&amp;IF(U118=1,", defaulted","")&amp;IF(V118=1,", open","")&amp;"]")</f>
        <v/>
      </c>
    </row>
    <row r="119" customFormat="false" ht="15" hidden="false" customHeight="false" outlineLevel="0" collapsed="false">
      <c r="A119" s="105" t="n">
        <v>115</v>
      </c>
      <c r="B119" s="106" t="str">
        <f aca="false">IFERROR(INDEX('Historical Data'!$A$2:$A$1068,MATCH($A119,'Historical Data'!$BE$2:$BE$1068,0)),"")</f>
        <v/>
      </c>
      <c r="C119" s="106" t="str">
        <f aca="false">IFERROR(INDEX('Historical Data'!$B$2:$B$1068,MATCH($A119,'Historical Data'!$BE$2:$BE$1068,0)),"")</f>
        <v/>
      </c>
      <c r="D119" s="106" t="str">
        <f aca="false">IFERROR(INDEX('Historical Data'!$D$2:$D$1068,MATCH($A119,'Historical Data'!$BE$2:$BE$1068,0)),"")</f>
        <v/>
      </c>
      <c r="E119" s="107" t="str">
        <f aca="false">IFERROR(INDEX('Historical Data'!$E$2:$E$1068,MATCH($A119,'Historical Data'!$BE$2:$BE$1068,0)),"")</f>
        <v/>
      </c>
      <c r="F119" s="106" t="str">
        <f aca="false">IFERROR(INDEX('Historical Data'!$G$2:$G$1068,MATCH($A119,'Historical Data'!$BE$2:$BE$1068,0)),"")</f>
        <v/>
      </c>
      <c r="G119" s="106" t="str">
        <f aca="false">IFERROR(INDEX('Historical Data'!$Y$2:$Y$1068,MATCH($A119,'Historical Data'!$BE$2:$BE$1068,0)),"")</f>
        <v/>
      </c>
      <c r="H119" s="106" t="str">
        <f aca="false">IFERROR(INDEX('Historical Data'!$K$2:$K$1068,MATCH($A119,'Historical Data'!$BE$2:$BE$1068,0)),"")</f>
        <v/>
      </c>
      <c r="I119" s="106" t="str">
        <f aca="false">IFERROR(INDEX('Historical Data'!$J$2:$J$1068,MATCH($A119,'Historical Data'!$BE$2:$BE$1068,0)),"")</f>
        <v/>
      </c>
      <c r="J119" s="106" t="str">
        <f aca="false">IFERROR(INDEX('Historical Data'!$L$2:$L$1068,MATCH($A119,'Historical Data'!$BE$2:$BE$1068,0)),"")</f>
        <v/>
      </c>
      <c r="K119" s="108" t="str">
        <f aca="false">IFERROR(INDEX('Historical Data'!$M$2:$M$1068,MATCH($A119,'Historical Data'!$BE$2:$BE$1068,0)),"")</f>
        <v/>
      </c>
      <c r="L119" s="109" t="str">
        <f aca="false">IFERROR(INDEX('Historical Data'!$N$2:$N$1068,MATCH($A119,'Historical Data'!$BE$2:$BE$1068,0)),"")</f>
        <v/>
      </c>
      <c r="M119" s="109" t="str">
        <f aca="false">IFERROR(INDEX('Historical Data'!$Q$2:$Q$1068,MATCH($A119,'Historical Data'!$BE$2:$BE$1068,0)),"")</f>
        <v/>
      </c>
      <c r="N119" s="110" t="str">
        <f aca="false">IFERROR(INDEX('Historical Data'!$S$2:$S$1068,MATCH($A119,'Historical Data'!$BE$2:$BE$1068,0)),"")</f>
        <v/>
      </c>
      <c r="O119" s="109" t="str">
        <f aca="false">IFERROR(INDEX('Historical Data'!$AJ$2:$AJ$1068,MATCH($A119,'Historical Data'!$BE$2:$BE$1068,0)),"")</f>
        <v/>
      </c>
      <c r="P119" s="109" t="str">
        <f aca="false">IFERROR(INDEX('Historical Data'!$AK$2:$AK$1068,MATCH($A119,'Historical Data'!$BE$2:$BE$1068,0)),"")</f>
        <v/>
      </c>
      <c r="Q119" s="106" t="str">
        <f aca="false">IFERROR(INDEX('Historical Data'!$AA$2:$AA$1068,MATCH($A119,'Historical Data'!$BE$2:$BE$1068,0)),"")</f>
        <v/>
      </c>
      <c r="R119" s="106" t="str">
        <f aca="false">IFERROR(INDEX('Historical Data'!$AB$2:$AB$1068,MATCH($A119,'Historical Data'!$BE$2:$BE$1068,0)),"")</f>
        <v/>
      </c>
      <c r="S119" s="106" t="str">
        <f aca="false">IFERROR(INDEX('Historical Data'!$AN$2:$AN$1068,MATCH($A119,'Historical Data'!$BE$2:$BE$1068,0)),"")</f>
        <v/>
      </c>
      <c r="T119" s="106" t="str">
        <f aca="false">IFERROR(INDEX('Historical Data'!$AC$2:$AC$1068,MATCH($A119,'Historical Data'!$BE$2:$BE$1068,0)),"")</f>
        <v/>
      </c>
      <c r="U119" s="106" t="str">
        <f aca="false">IFERROR(INDEX('Historical Data'!$AE$2:$AE$1068,MATCH($A119,'Historical Data'!$BE$2:$BE$1068,0)),"")</f>
        <v/>
      </c>
      <c r="V119" s="106" t="str">
        <f aca="false">IFERROR(INDEX('Historical Data'!$AH$2:$AH$1068,MATCH($A119,'Historical Data'!$BE$2:$BE$1068,0)),"")</f>
        <v/>
      </c>
      <c r="W119" s="106" t="str">
        <f aca="false">IFERROR(INDEX('Historical Data'!$BC$2:$BC$1068,MATCH($A119,'Historical Data'!$BE$2:$BE$1068,0)),"")</f>
        <v/>
      </c>
      <c r="X119" s="105" t="str">
        <f aca="false">IF(B119="","",IF(W119=1,"NR + industry + position",IF(W119=2,"NR + ISO + position",IF(W119=3,"NR + industry",IF(W119=4,"NR + ISO",IF(W119=5,"NR + position",IF(W119=6,"NR only","book baseline"))))))&amp;"  ["&amp;IF(T119=1,"seasoned","unseasoned")&amp;IF(U119=1,", defaulted","")&amp;IF(V119=1,", open","")&amp;"]")</f>
        <v/>
      </c>
    </row>
    <row r="120" customFormat="false" ht="15" hidden="false" customHeight="false" outlineLevel="0" collapsed="false">
      <c r="A120" s="105" t="n">
        <v>116</v>
      </c>
      <c r="B120" s="106" t="str">
        <f aca="false">IFERROR(INDEX('Historical Data'!$A$2:$A$1068,MATCH($A120,'Historical Data'!$BE$2:$BE$1068,0)),"")</f>
        <v/>
      </c>
      <c r="C120" s="106" t="str">
        <f aca="false">IFERROR(INDEX('Historical Data'!$B$2:$B$1068,MATCH($A120,'Historical Data'!$BE$2:$BE$1068,0)),"")</f>
        <v/>
      </c>
      <c r="D120" s="106" t="str">
        <f aca="false">IFERROR(INDEX('Historical Data'!$D$2:$D$1068,MATCH($A120,'Historical Data'!$BE$2:$BE$1068,0)),"")</f>
        <v/>
      </c>
      <c r="E120" s="107" t="str">
        <f aca="false">IFERROR(INDEX('Historical Data'!$E$2:$E$1068,MATCH($A120,'Historical Data'!$BE$2:$BE$1068,0)),"")</f>
        <v/>
      </c>
      <c r="F120" s="106" t="str">
        <f aca="false">IFERROR(INDEX('Historical Data'!$G$2:$G$1068,MATCH($A120,'Historical Data'!$BE$2:$BE$1068,0)),"")</f>
        <v/>
      </c>
      <c r="G120" s="106" t="str">
        <f aca="false">IFERROR(INDEX('Historical Data'!$Y$2:$Y$1068,MATCH($A120,'Historical Data'!$BE$2:$BE$1068,0)),"")</f>
        <v/>
      </c>
      <c r="H120" s="106" t="str">
        <f aca="false">IFERROR(INDEX('Historical Data'!$K$2:$K$1068,MATCH($A120,'Historical Data'!$BE$2:$BE$1068,0)),"")</f>
        <v/>
      </c>
      <c r="I120" s="106" t="str">
        <f aca="false">IFERROR(INDEX('Historical Data'!$J$2:$J$1068,MATCH($A120,'Historical Data'!$BE$2:$BE$1068,0)),"")</f>
        <v/>
      </c>
      <c r="J120" s="106" t="str">
        <f aca="false">IFERROR(INDEX('Historical Data'!$L$2:$L$1068,MATCH($A120,'Historical Data'!$BE$2:$BE$1068,0)),"")</f>
        <v/>
      </c>
      <c r="K120" s="108" t="str">
        <f aca="false">IFERROR(INDEX('Historical Data'!$M$2:$M$1068,MATCH($A120,'Historical Data'!$BE$2:$BE$1068,0)),"")</f>
        <v/>
      </c>
      <c r="L120" s="109" t="str">
        <f aca="false">IFERROR(INDEX('Historical Data'!$N$2:$N$1068,MATCH($A120,'Historical Data'!$BE$2:$BE$1068,0)),"")</f>
        <v/>
      </c>
      <c r="M120" s="109" t="str">
        <f aca="false">IFERROR(INDEX('Historical Data'!$Q$2:$Q$1068,MATCH($A120,'Historical Data'!$BE$2:$BE$1068,0)),"")</f>
        <v/>
      </c>
      <c r="N120" s="110" t="str">
        <f aca="false">IFERROR(INDEX('Historical Data'!$S$2:$S$1068,MATCH($A120,'Historical Data'!$BE$2:$BE$1068,0)),"")</f>
        <v/>
      </c>
      <c r="O120" s="109" t="str">
        <f aca="false">IFERROR(INDEX('Historical Data'!$AJ$2:$AJ$1068,MATCH($A120,'Historical Data'!$BE$2:$BE$1068,0)),"")</f>
        <v/>
      </c>
      <c r="P120" s="109" t="str">
        <f aca="false">IFERROR(INDEX('Historical Data'!$AK$2:$AK$1068,MATCH($A120,'Historical Data'!$BE$2:$BE$1068,0)),"")</f>
        <v/>
      </c>
      <c r="Q120" s="106" t="str">
        <f aca="false">IFERROR(INDEX('Historical Data'!$AA$2:$AA$1068,MATCH($A120,'Historical Data'!$BE$2:$BE$1068,0)),"")</f>
        <v/>
      </c>
      <c r="R120" s="106" t="str">
        <f aca="false">IFERROR(INDEX('Historical Data'!$AB$2:$AB$1068,MATCH($A120,'Historical Data'!$BE$2:$BE$1068,0)),"")</f>
        <v/>
      </c>
      <c r="S120" s="106" t="str">
        <f aca="false">IFERROR(INDEX('Historical Data'!$AN$2:$AN$1068,MATCH($A120,'Historical Data'!$BE$2:$BE$1068,0)),"")</f>
        <v/>
      </c>
      <c r="T120" s="106" t="str">
        <f aca="false">IFERROR(INDEX('Historical Data'!$AC$2:$AC$1068,MATCH($A120,'Historical Data'!$BE$2:$BE$1068,0)),"")</f>
        <v/>
      </c>
      <c r="U120" s="106" t="str">
        <f aca="false">IFERROR(INDEX('Historical Data'!$AE$2:$AE$1068,MATCH($A120,'Historical Data'!$BE$2:$BE$1068,0)),"")</f>
        <v/>
      </c>
      <c r="V120" s="106" t="str">
        <f aca="false">IFERROR(INDEX('Historical Data'!$AH$2:$AH$1068,MATCH($A120,'Historical Data'!$BE$2:$BE$1068,0)),"")</f>
        <v/>
      </c>
      <c r="W120" s="106" t="str">
        <f aca="false">IFERROR(INDEX('Historical Data'!$BC$2:$BC$1068,MATCH($A120,'Historical Data'!$BE$2:$BE$1068,0)),"")</f>
        <v/>
      </c>
      <c r="X120" s="105" t="str">
        <f aca="false">IF(B120="","",IF(W120=1,"NR + industry + position",IF(W120=2,"NR + ISO + position",IF(W120=3,"NR + industry",IF(W120=4,"NR + ISO",IF(W120=5,"NR + position",IF(W120=6,"NR only","book baseline"))))))&amp;"  ["&amp;IF(T120=1,"seasoned","unseasoned")&amp;IF(U120=1,", defaulted","")&amp;IF(V120=1,", open","")&amp;"]")</f>
        <v/>
      </c>
    </row>
    <row r="121" customFormat="false" ht="15" hidden="false" customHeight="false" outlineLevel="0" collapsed="false">
      <c r="A121" s="105" t="n">
        <v>117</v>
      </c>
      <c r="B121" s="106" t="str">
        <f aca="false">IFERROR(INDEX('Historical Data'!$A$2:$A$1068,MATCH($A121,'Historical Data'!$BE$2:$BE$1068,0)),"")</f>
        <v/>
      </c>
      <c r="C121" s="106" t="str">
        <f aca="false">IFERROR(INDEX('Historical Data'!$B$2:$B$1068,MATCH($A121,'Historical Data'!$BE$2:$BE$1068,0)),"")</f>
        <v/>
      </c>
      <c r="D121" s="106" t="str">
        <f aca="false">IFERROR(INDEX('Historical Data'!$D$2:$D$1068,MATCH($A121,'Historical Data'!$BE$2:$BE$1068,0)),"")</f>
        <v/>
      </c>
      <c r="E121" s="107" t="str">
        <f aca="false">IFERROR(INDEX('Historical Data'!$E$2:$E$1068,MATCH($A121,'Historical Data'!$BE$2:$BE$1068,0)),"")</f>
        <v/>
      </c>
      <c r="F121" s="106" t="str">
        <f aca="false">IFERROR(INDEX('Historical Data'!$G$2:$G$1068,MATCH($A121,'Historical Data'!$BE$2:$BE$1068,0)),"")</f>
        <v/>
      </c>
      <c r="G121" s="106" t="str">
        <f aca="false">IFERROR(INDEX('Historical Data'!$Y$2:$Y$1068,MATCH($A121,'Historical Data'!$BE$2:$BE$1068,0)),"")</f>
        <v/>
      </c>
      <c r="H121" s="106" t="str">
        <f aca="false">IFERROR(INDEX('Historical Data'!$K$2:$K$1068,MATCH($A121,'Historical Data'!$BE$2:$BE$1068,0)),"")</f>
        <v/>
      </c>
      <c r="I121" s="106" t="str">
        <f aca="false">IFERROR(INDEX('Historical Data'!$J$2:$J$1068,MATCH($A121,'Historical Data'!$BE$2:$BE$1068,0)),"")</f>
        <v/>
      </c>
      <c r="J121" s="106" t="str">
        <f aca="false">IFERROR(INDEX('Historical Data'!$L$2:$L$1068,MATCH($A121,'Historical Data'!$BE$2:$BE$1068,0)),"")</f>
        <v/>
      </c>
      <c r="K121" s="108" t="str">
        <f aca="false">IFERROR(INDEX('Historical Data'!$M$2:$M$1068,MATCH($A121,'Historical Data'!$BE$2:$BE$1068,0)),"")</f>
        <v/>
      </c>
      <c r="L121" s="109" t="str">
        <f aca="false">IFERROR(INDEX('Historical Data'!$N$2:$N$1068,MATCH($A121,'Historical Data'!$BE$2:$BE$1068,0)),"")</f>
        <v/>
      </c>
      <c r="M121" s="109" t="str">
        <f aca="false">IFERROR(INDEX('Historical Data'!$Q$2:$Q$1068,MATCH($A121,'Historical Data'!$BE$2:$BE$1068,0)),"")</f>
        <v/>
      </c>
      <c r="N121" s="110" t="str">
        <f aca="false">IFERROR(INDEX('Historical Data'!$S$2:$S$1068,MATCH($A121,'Historical Data'!$BE$2:$BE$1068,0)),"")</f>
        <v/>
      </c>
      <c r="O121" s="109" t="str">
        <f aca="false">IFERROR(INDEX('Historical Data'!$AJ$2:$AJ$1068,MATCH($A121,'Historical Data'!$BE$2:$BE$1068,0)),"")</f>
        <v/>
      </c>
      <c r="P121" s="109" t="str">
        <f aca="false">IFERROR(INDEX('Historical Data'!$AK$2:$AK$1068,MATCH($A121,'Historical Data'!$BE$2:$BE$1068,0)),"")</f>
        <v/>
      </c>
      <c r="Q121" s="106" t="str">
        <f aca="false">IFERROR(INDEX('Historical Data'!$AA$2:$AA$1068,MATCH($A121,'Historical Data'!$BE$2:$BE$1068,0)),"")</f>
        <v/>
      </c>
      <c r="R121" s="106" t="str">
        <f aca="false">IFERROR(INDEX('Historical Data'!$AB$2:$AB$1068,MATCH($A121,'Historical Data'!$BE$2:$BE$1068,0)),"")</f>
        <v/>
      </c>
      <c r="S121" s="106" t="str">
        <f aca="false">IFERROR(INDEX('Historical Data'!$AN$2:$AN$1068,MATCH($A121,'Historical Data'!$BE$2:$BE$1068,0)),"")</f>
        <v/>
      </c>
      <c r="T121" s="106" t="str">
        <f aca="false">IFERROR(INDEX('Historical Data'!$AC$2:$AC$1068,MATCH($A121,'Historical Data'!$BE$2:$BE$1068,0)),"")</f>
        <v/>
      </c>
      <c r="U121" s="106" t="str">
        <f aca="false">IFERROR(INDEX('Historical Data'!$AE$2:$AE$1068,MATCH($A121,'Historical Data'!$BE$2:$BE$1068,0)),"")</f>
        <v/>
      </c>
      <c r="V121" s="106" t="str">
        <f aca="false">IFERROR(INDEX('Historical Data'!$AH$2:$AH$1068,MATCH($A121,'Historical Data'!$BE$2:$BE$1068,0)),"")</f>
        <v/>
      </c>
      <c r="W121" s="106" t="str">
        <f aca="false">IFERROR(INDEX('Historical Data'!$BC$2:$BC$1068,MATCH($A121,'Historical Data'!$BE$2:$BE$1068,0)),"")</f>
        <v/>
      </c>
      <c r="X121" s="105" t="str">
        <f aca="false">IF(B121="","",IF(W121=1,"NR + industry + position",IF(W121=2,"NR + ISO + position",IF(W121=3,"NR + industry",IF(W121=4,"NR + ISO",IF(W121=5,"NR + position",IF(W121=6,"NR only","book baseline"))))))&amp;"  ["&amp;IF(T121=1,"seasoned","unseasoned")&amp;IF(U121=1,", defaulted","")&amp;IF(V121=1,", open","")&amp;"]")</f>
        <v/>
      </c>
    </row>
    <row r="122" customFormat="false" ht="15" hidden="false" customHeight="false" outlineLevel="0" collapsed="false">
      <c r="A122" s="105" t="n">
        <v>118</v>
      </c>
      <c r="B122" s="106" t="str">
        <f aca="false">IFERROR(INDEX('Historical Data'!$A$2:$A$1068,MATCH($A122,'Historical Data'!$BE$2:$BE$1068,0)),"")</f>
        <v/>
      </c>
      <c r="C122" s="106" t="str">
        <f aca="false">IFERROR(INDEX('Historical Data'!$B$2:$B$1068,MATCH($A122,'Historical Data'!$BE$2:$BE$1068,0)),"")</f>
        <v/>
      </c>
      <c r="D122" s="106" t="str">
        <f aca="false">IFERROR(INDEX('Historical Data'!$D$2:$D$1068,MATCH($A122,'Historical Data'!$BE$2:$BE$1068,0)),"")</f>
        <v/>
      </c>
      <c r="E122" s="107" t="str">
        <f aca="false">IFERROR(INDEX('Historical Data'!$E$2:$E$1068,MATCH($A122,'Historical Data'!$BE$2:$BE$1068,0)),"")</f>
        <v/>
      </c>
      <c r="F122" s="106" t="str">
        <f aca="false">IFERROR(INDEX('Historical Data'!$G$2:$G$1068,MATCH($A122,'Historical Data'!$BE$2:$BE$1068,0)),"")</f>
        <v/>
      </c>
      <c r="G122" s="106" t="str">
        <f aca="false">IFERROR(INDEX('Historical Data'!$Y$2:$Y$1068,MATCH($A122,'Historical Data'!$BE$2:$BE$1068,0)),"")</f>
        <v/>
      </c>
      <c r="H122" s="106" t="str">
        <f aca="false">IFERROR(INDEX('Historical Data'!$K$2:$K$1068,MATCH($A122,'Historical Data'!$BE$2:$BE$1068,0)),"")</f>
        <v/>
      </c>
      <c r="I122" s="106" t="str">
        <f aca="false">IFERROR(INDEX('Historical Data'!$J$2:$J$1068,MATCH($A122,'Historical Data'!$BE$2:$BE$1068,0)),"")</f>
        <v/>
      </c>
      <c r="J122" s="106" t="str">
        <f aca="false">IFERROR(INDEX('Historical Data'!$L$2:$L$1068,MATCH($A122,'Historical Data'!$BE$2:$BE$1068,0)),"")</f>
        <v/>
      </c>
      <c r="K122" s="108" t="str">
        <f aca="false">IFERROR(INDEX('Historical Data'!$M$2:$M$1068,MATCH($A122,'Historical Data'!$BE$2:$BE$1068,0)),"")</f>
        <v/>
      </c>
      <c r="L122" s="109" t="str">
        <f aca="false">IFERROR(INDEX('Historical Data'!$N$2:$N$1068,MATCH($A122,'Historical Data'!$BE$2:$BE$1068,0)),"")</f>
        <v/>
      </c>
      <c r="M122" s="109" t="str">
        <f aca="false">IFERROR(INDEX('Historical Data'!$Q$2:$Q$1068,MATCH($A122,'Historical Data'!$BE$2:$BE$1068,0)),"")</f>
        <v/>
      </c>
      <c r="N122" s="110" t="str">
        <f aca="false">IFERROR(INDEX('Historical Data'!$S$2:$S$1068,MATCH($A122,'Historical Data'!$BE$2:$BE$1068,0)),"")</f>
        <v/>
      </c>
      <c r="O122" s="109" t="str">
        <f aca="false">IFERROR(INDEX('Historical Data'!$AJ$2:$AJ$1068,MATCH($A122,'Historical Data'!$BE$2:$BE$1068,0)),"")</f>
        <v/>
      </c>
      <c r="P122" s="109" t="str">
        <f aca="false">IFERROR(INDEX('Historical Data'!$AK$2:$AK$1068,MATCH($A122,'Historical Data'!$BE$2:$BE$1068,0)),"")</f>
        <v/>
      </c>
      <c r="Q122" s="106" t="str">
        <f aca="false">IFERROR(INDEX('Historical Data'!$AA$2:$AA$1068,MATCH($A122,'Historical Data'!$BE$2:$BE$1068,0)),"")</f>
        <v/>
      </c>
      <c r="R122" s="106" t="str">
        <f aca="false">IFERROR(INDEX('Historical Data'!$AB$2:$AB$1068,MATCH($A122,'Historical Data'!$BE$2:$BE$1068,0)),"")</f>
        <v/>
      </c>
      <c r="S122" s="106" t="str">
        <f aca="false">IFERROR(INDEX('Historical Data'!$AN$2:$AN$1068,MATCH($A122,'Historical Data'!$BE$2:$BE$1068,0)),"")</f>
        <v/>
      </c>
      <c r="T122" s="106" t="str">
        <f aca="false">IFERROR(INDEX('Historical Data'!$AC$2:$AC$1068,MATCH($A122,'Historical Data'!$BE$2:$BE$1068,0)),"")</f>
        <v/>
      </c>
      <c r="U122" s="106" t="str">
        <f aca="false">IFERROR(INDEX('Historical Data'!$AE$2:$AE$1068,MATCH($A122,'Historical Data'!$BE$2:$BE$1068,0)),"")</f>
        <v/>
      </c>
      <c r="V122" s="106" t="str">
        <f aca="false">IFERROR(INDEX('Historical Data'!$AH$2:$AH$1068,MATCH($A122,'Historical Data'!$BE$2:$BE$1068,0)),"")</f>
        <v/>
      </c>
      <c r="W122" s="106" t="str">
        <f aca="false">IFERROR(INDEX('Historical Data'!$BC$2:$BC$1068,MATCH($A122,'Historical Data'!$BE$2:$BE$1068,0)),"")</f>
        <v/>
      </c>
      <c r="X122" s="105" t="str">
        <f aca="false">IF(B122="","",IF(W122=1,"NR + industry + position",IF(W122=2,"NR + ISO + position",IF(W122=3,"NR + industry",IF(W122=4,"NR + ISO",IF(W122=5,"NR + position",IF(W122=6,"NR only","book baseline"))))))&amp;"  ["&amp;IF(T122=1,"seasoned","unseasoned")&amp;IF(U122=1,", defaulted","")&amp;IF(V122=1,", open","")&amp;"]")</f>
        <v/>
      </c>
    </row>
    <row r="123" customFormat="false" ht="15" hidden="false" customHeight="false" outlineLevel="0" collapsed="false">
      <c r="A123" s="105" t="n">
        <v>119</v>
      </c>
      <c r="B123" s="106" t="str">
        <f aca="false">IFERROR(INDEX('Historical Data'!$A$2:$A$1068,MATCH($A123,'Historical Data'!$BE$2:$BE$1068,0)),"")</f>
        <v/>
      </c>
      <c r="C123" s="106" t="str">
        <f aca="false">IFERROR(INDEX('Historical Data'!$B$2:$B$1068,MATCH($A123,'Historical Data'!$BE$2:$BE$1068,0)),"")</f>
        <v/>
      </c>
      <c r="D123" s="106" t="str">
        <f aca="false">IFERROR(INDEX('Historical Data'!$D$2:$D$1068,MATCH($A123,'Historical Data'!$BE$2:$BE$1068,0)),"")</f>
        <v/>
      </c>
      <c r="E123" s="107" t="str">
        <f aca="false">IFERROR(INDEX('Historical Data'!$E$2:$E$1068,MATCH($A123,'Historical Data'!$BE$2:$BE$1068,0)),"")</f>
        <v/>
      </c>
      <c r="F123" s="106" t="str">
        <f aca="false">IFERROR(INDEX('Historical Data'!$G$2:$G$1068,MATCH($A123,'Historical Data'!$BE$2:$BE$1068,0)),"")</f>
        <v/>
      </c>
      <c r="G123" s="106" t="str">
        <f aca="false">IFERROR(INDEX('Historical Data'!$Y$2:$Y$1068,MATCH($A123,'Historical Data'!$BE$2:$BE$1068,0)),"")</f>
        <v/>
      </c>
      <c r="H123" s="106" t="str">
        <f aca="false">IFERROR(INDEX('Historical Data'!$K$2:$K$1068,MATCH($A123,'Historical Data'!$BE$2:$BE$1068,0)),"")</f>
        <v/>
      </c>
      <c r="I123" s="106" t="str">
        <f aca="false">IFERROR(INDEX('Historical Data'!$J$2:$J$1068,MATCH($A123,'Historical Data'!$BE$2:$BE$1068,0)),"")</f>
        <v/>
      </c>
      <c r="J123" s="106" t="str">
        <f aca="false">IFERROR(INDEX('Historical Data'!$L$2:$L$1068,MATCH($A123,'Historical Data'!$BE$2:$BE$1068,0)),"")</f>
        <v/>
      </c>
      <c r="K123" s="108" t="str">
        <f aca="false">IFERROR(INDEX('Historical Data'!$M$2:$M$1068,MATCH($A123,'Historical Data'!$BE$2:$BE$1068,0)),"")</f>
        <v/>
      </c>
      <c r="L123" s="109" t="str">
        <f aca="false">IFERROR(INDEX('Historical Data'!$N$2:$N$1068,MATCH($A123,'Historical Data'!$BE$2:$BE$1068,0)),"")</f>
        <v/>
      </c>
      <c r="M123" s="109" t="str">
        <f aca="false">IFERROR(INDEX('Historical Data'!$Q$2:$Q$1068,MATCH($A123,'Historical Data'!$BE$2:$BE$1068,0)),"")</f>
        <v/>
      </c>
      <c r="N123" s="110" t="str">
        <f aca="false">IFERROR(INDEX('Historical Data'!$S$2:$S$1068,MATCH($A123,'Historical Data'!$BE$2:$BE$1068,0)),"")</f>
        <v/>
      </c>
      <c r="O123" s="109" t="str">
        <f aca="false">IFERROR(INDEX('Historical Data'!$AJ$2:$AJ$1068,MATCH($A123,'Historical Data'!$BE$2:$BE$1068,0)),"")</f>
        <v/>
      </c>
      <c r="P123" s="109" t="str">
        <f aca="false">IFERROR(INDEX('Historical Data'!$AK$2:$AK$1068,MATCH($A123,'Historical Data'!$BE$2:$BE$1068,0)),"")</f>
        <v/>
      </c>
      <c r="Q123" s="106" t="str">
        <f aca="false">IFERROR(INDEX('Historical Data'!$AA$2:$AA$1068,MATCH($A123,'Historical Data'!$BE$2:$BE$1068,0)),"")</f>
        <v/>
      </c>
      <c r="R123" s="106" t="str">
        <f aca="false">IFERROR(INDEX('Historical Data'!$AB$2:$AB$1068,MATCH($A123,'Historical Data'!$BE$2:$BE$1068,0)),"")</f>
        <v/>
      </c>
      <c r="S123" s="106" t="str">
        <f aca="false">IFERROR(INDEX('Historical Data'!$AN$2:$AN$1068,MATCH($A123,'Historical Data'!$BE$2:$BE$1068,0)),"")</f>
        <v/>
      </c>
      <c r="T123" s="106" t="str">
        <f aca="false">IFERROR(INDEX('Historical Data'!$AC$2:$AC$1068,MATCH($A123,'Historical Data'!$BE$2:$BE$1068,0)),"")</f>
        <v/>
      </c>
      <c r="U123" s="106" t="str">
        <f aca="false">IFERROR(INDEX('Historical Data'!$AE$2:$AE$1068,MATCH($A123,'Historical Data'!$BE$2:$BE$1068,0)),"")</f>
        <v/>
      </c>
      <c r="V123" s="106" t="str">
        <f aca="false">IFERROR(INDEX('Historical Data'!$AH$2:$AH$1068,MATCH($A123,'Historical Data'!$BE$2:$BE$1068,0)),"")</f>
        <v/>
      </c>
      <c r="W123" s="106" t="str">
        <f aca="false">IFERROR(INDEX('Historical Data'!$BC$2:$BC$1068,MATCH($A123,'Historical Data'!$BE$2:$BE$1068,0)),"")</f>
        <v/>
      </c>
      <c r="X123" s="105" t="str">
        <f aca="false">IF(B123="","",IF(W123=1,"NR + industry + position",IF(W123=2,"NR + ISO + position",IF(W123=3,"NR + industry",IF(W123=4,"NR + ISO",IF(W123=5,"NR + position",IF(W123=6,"NR only","book baseline"))))))&amp;"  ["&amp;IF(T123=1,"seasoned","unseasoned")&amp;IF(U123=1,", defaulted","")&amp;IF(V123=1,", open","")&amp;"]")</f>
        <v/>
      </c>
    </row>
    <row r="124" customFormat="false" ht="15" hidden="false" customHeight="false" outlineLevel="0" collapsed="false">
      <c r="A124" s="105" t="n">
        <v>120</v>
      </c>
      <c r="B124" s="106" t="str">
        <f aca="false">IFERROR(INDEX('Historical Data'!$A$2:$A$1068,MATCH($A124,'Historical Data'!$BE$2:$BE$1068,0)),"")</f>
        <v/>
      </c>
      <c r="C124" s="106" t="str">
        <f aca="false">IFERROR(INDEX('Historical Data'!$B$2:$B$1068,MATCH($A124,'Historical Data'!$BE$2:$BE$1068,0)),"")</f>
        <v/>
      </c>
      <c r="D124" s="106" t="str">
        <f aca="false">IFERROR(INDEX('Historical Data'!$D$2:$D$1068,MATCH($A124,'Historical Data'!$BE$2:$BE$1068,0)),"")</f>
        <v/>
      </c>
      <c r="E124" s="107" t="str">
        <f aca="false">IFERROR(INDEX('Historical Data'!$E$2:$E$1068,MATCH($A124,'Historical Data'!$BE$2:$BE$1068,0)),"")</f>
        <v/>
      </c>
      <c r="F124" s="106" t="str">
        <f aca="false">IFERROR(INDEX('Historical Data'!$G$2:$G$1068,MATCH($A124,'Historical Data'!$BE$2:$BE$1068,0)),"")</f>
        <v/>
      </c>
      <c r="G124" s="106" t="str">
        <f aca="false">IFERROR(INDEX('Historical Data'!$Y$2:$Y$1068,MATCH($A124,'Historical Data'!$BE$2:$BE$1068,0)),"")</f>
        <v/>
      </c>
      <c r="H124" s="106" t="str">
        <f aca="false">IFERROR(INDEX('Historical Data'!$K$2:$K$1068,MATCH($A124,'Historical Data'!$BE$2:$BE$1068,0)),"")</f>
        <v/>
      </c>
      <c r="I124" s="106" t="str">
        <f aca="false">IFERROR(INDEX('Historical Data'!$J$2:$J$1068,MATCH($A124,'Historical Data'!$BE$2:$BE$1068,0)),"")</f>
        <v/>
      </c>
      <c r="J124" s="106" t="str">
        <f aca="false">IFERROR(INDEX('Historical Data'!$L$2:$L$1068,MATCH($A124,'Historical Data'!$BE$2:$BE$1068,0)),"")</f>
        <v/>
      </c>
      <c r="K124" s="108" t="str">
        <f aca="false">IFERROR(INDEX('Historical Data'!$M$2:$M$1068,MATCH($A124,'Historical Data'!$BE$2:$BE$1068,0)),"")</f>
        <v/>
      </c>
      <c r="L124" s="109" t="str">
        <f aca="false">IFERROR(INDEX('Historical Data'!$N$2:$N$1068,MATCH($A124,'Historical Data'!$BE$2:$BE$1068,0)),"")</f>
        <v/>
      </c>
      <c r="M124" s="109" t="str">
        <f aca="false">IFERROR(INDEX('Historical Data'!$Q$2:$Q$1068,MATCH($A124,'Historical Data'!$BE$2:$BE$1068,0)),"")</f>
        <v/>
      </c>
      <c r="N124" s="110" t="str">
        <f aca="false">IFERROR(INDEX('Historical Data'!$S$2:$S$1068,MATCH($A124,'Historical Data'!$BE$2:$BE$1068,0)),"")</f>
        <v/>
      </c>
      <c r="O124" s="109" t="str">
        <f aca="false">IFERROR(INDEX('Historical Data'!$AJ$2:$AJ$1068,MATCH($A124,'Historical Data'!$BE$2:$BE$1068,0)),"")</f>
        <v/>
      </c>
      <c r="P124" s="109" t="str">
        <f aca="false">IFERROR(INDEX('Historical Data'!$AK$2:$AK$1068,MATCH($A124,'Historical Data'!$BE$2:$BE$1068,0)),"")</f>
        <v/>
      </c>
      <c r="Q124" s="106" t="str">
        <f aca="false">IFERROR(INDEX('Historical Data'!$AA$2:$AA$1068,MATCH($A124,'Historical Data'!$BE$2:$BE$1068,0)),"")</f>
        <v/>
      </c>
      <c r="R124" s="106" t="str">
        <f aca="false">IFERROR(INDEX('Historical Data'!$AB$2:$AB$1068,MATCH($A124,'Historical Data'!$BE$2:$BE$1068,0)),"")</f>
        <v/>
      </c>
      <c r="S124" s="106" t="str">
        <f aca="false">IFERROR(INDEX('Historical Data'!$AN$2:$AN$1068,MATCH($A124,'Historical Data'!$BE$2:$BE$1068,0)),"")</f>
        <v/>
      </c>
      <c r="T124" s="106" t="str">
        <f aca="false">IFERROR(INDEX('Historical Data'!$AC$2:$AC$1068,MATCH($A124,'Historical Data'!$BE$2:$BE$1068,0)),"")</f>
        <v/>
      </c>
      <c r="U124" s="106" t="str">
        <f aca="false">IFERROR(INDEX('Historical Data'!$AE$2:$AE$1068,MATCH($A124,'Historical Data'!$BE$2:$BE$1068,0)),"")</f>
        <v/>
      </c>
      <c r="V124" s="106" t="str">
        <f aca="false">IFERROR(INDEX('Historical Data'!$AH$2:$AH$1068,MATCH($A124,'Historical Data'!$BE$2:$BE$1068,0)),"")</f>
        <v/>
      </c>
      <c r="W124" s="106" t="str">
        <f aca="false">IFERROR(INDEX('Historical Data'!$BC$2:$BC$1068,MATCH($A124,'Historical Data'!$BE$2:$BE$1068,0)),"")</f>
        <v/>
      </c>
      <c r="X124" s="105" t="str">
        <f aca="false">IF(B124="","",IF(W124=1,"NR + industry + position",IF(W124=2,"NR + ISO + position",IF(W124=3,"NR + industry",IF(W124=4,"NR + ISO",IF(W124=5,"NR + position",IF(W124=6,"NR only","book baseline"))))))&amp;"  ["&amp;IF(T124=1,"seasoned","unseasoned")&amp;IF(U124=1,", defaulted","")&amp;IF(V124=1,", open","")&amp;"]")</f>
        <v/>
      </c>
    </row>
    <row r="125" customFormat="false" ht="15" hidden="false" customHeight="false" outlineLevel="0" collapsed="false">
      <c r="A125" s="105" t="n">
        <v>121</v>
      </c>
      <c r="B125" s="106" t="str">
        <f aca="false">IFERROR(INDEX('Historical Data'!$A$2:$A$1068,MATCH($A125,'Historical Data'!$BE$2:$BE$1068,0)),"")</f>
        <v/>
      </c>
      <c r="C125" s="106" t="str">
        <f aca="false">IFERROR(INDEX('Historical Data'!$B$2:$B$1068,MATCH($A125,'Historical Data'!$BE$2:$BE$1068,0)),"")</f>
        <v/>
      </c>
      <c r="D125" s="106" t="str">
        <f aca="false">IFERROR(INDEX('Historical Data'!$D$2:$D$1068,MATCH($A125,'Historical Data'!$BE$2:$BE$1068,0)),"")</f>
        <v/>
      </c>
      <c r="E125" s="107" t="str">
        <f aca="false">IFERROR(INDEX('Historical Data'!$E$2:$E$1068,MATCH($A125,'Historical Data'!$BE$2:$BE$1068,0)),"")</f>
        <v/>
      </c>
      <c r="F125" s="106" t="str">
        <f aca="false">IFERROR(INDEX('Historical Data'!$G$2:$G$1068,MATCH($A125,'Historical Data'!$BE$2:$BE$1068,0)),"")</f>
        <v/>
      </c>
      <c r="G125" s="106" t="str">
        <f aca="false">IFERROR(INDEX('Historical Data'!$Y$2:$Y$1068,MATCH($A125,'Historical Data'!$BE$2:$BE$1068,0)),"")</f>
        <v/>
      </c>
      <c r="H125" s="106" t="str">
        <f aca="false">IFERROR(INDEX('Historical Data'!$K$2:$K$1068,MATCH($A125,'Historical Data'!$BE$2:$BE$1068,0)),"")</f>
        <v/>
      </c>
      <c r="I125" s="106" t="str">
        <f aca="false">IFERROR(INDEX('Historical Data'!$J$2:$J$1068,MATCH($A125,'Historical Data'!$BE$2:$BE$1068,0)),"")</f>
        <v/>
      </c>
      <c r="J125" s="106" t="str">
        <f aca="false">IFERROR(INDEX('Historical Data'!$L$2:$L$1068,MATCH($A125,'Historical Data'!$BE$2:$BE$1068,0)),"")</f>
        <v/>
      </c>
      <c r="K125" s="108" t="str">
        <f aca="false">IFERROR(INDEX('Historical Data'!$M$2:$M$1068,MATCH($A125,'Historical Data'!$BE$2:$BE$1068,0)),"")</f>
        <v/>
      </c>
      <c r="L125" s="109" t="str">
        <f aca="false">IFERROR(INDEX('Historical Data'!$N$2:$N$1068,MATCH($A125,'Historical Data'!$BE$2:$BE$1068,0)),"")</f>
        <v/>
      </c>
      <c r="M125" s="109" t="str">
        <f aca="false">IFERROR(INDEX('Historical Data'!$Q$2:$Q$1068,MATCH($A125,'Historical Data'!$BE$2:$BE$1068,0)),"")</f>
        <v/>
      </c>
      <c r="N125" s="110" t="str">
        <f aca="false">IFERROR(INDEX('Historical Data'!$S$2:$S$1068,MATCH($A125,'Historical Data'!$BE$2:$BE$1068,0)),"")</f>
        <v/>
      </c>
      <c r="O125" s="109" t="str">
        <f aca="false">IFERROR(INDEX('Historical Data'!$AJ$2:$AJ$1068,MATCH($A125,'Historical Data'!$BE$2:$BE$1068,0)),"")</f>
        <v/>
      </c>
      <c r="P125" s="109" t="str">
        <f aca="false">IFERROR(INDEX('Historical Data'!$AK$2:$AK$1068,MATCH($A125,'Historical Data'!$BE$2:$BE$1068,0)),"")</f>
        <v/>
      </c>
      <c r="Q125" s="106" t="str">
        <f aca="false">IFERROR(INDEX('Historical Data'!$AA$2:$AA$1068,MATCH($A125,'Historical Data'!$BE$2:$BE$1068,0)),"")</f>
        <v/>
      </c>
      <c r="R125" s="106" t="str">
        <f aca="false">IFERROR(INDEX('Historical Data'!$AB$2:$AB$1068,MATCH($A125,'Historical Data'!$BE$2:$BE$1068,0)),"")</f>
        <v/>
      </c>
      <c r="S125" s="106" t="str">
        <f aca="false">IFERROR(INDEX('Historical Data'!$AN$2:$AN$1068,MATCH($A125,'Historical Data'!$BE$2:$BE$1068,0)),"")</f>
        <v/>
      </c>
      <c r="T125" s="106" t="str">
        <f aca="false">IFERROR(INDEX('Historical Data'!$AC$2:$AC$1068,MATCH($A125,'Historical Data'!$BE$2:$BE$1068,0)),"")</f>
        <v/>
      </c>
      <c r="U125" s="106" t="str">
        <f aca="false">IFERROR(INDEX('Historical Data'!$AE$2:$AE$1068,MATCH($A125,'Historical Data'!$BE$2:$BE$1068,0)),"")</f>
        <v/>
      </c>
      <c r="V125" s="106" t="str">
        <f aca="false">IFERROR(INDEX('Historical Data'!$AH$2:$AH$1068,MATCH($A125,'Historical Data'!$BE$2:$BE$1068,0)),"")</f>
        <v/>
      </c>
      <c r="W125" s="106" t="str">
        <f aca="false">IFERROR(INDEX('Historical Data'!$BC$2:$BC$1068,MATCH($A125,'Historical Data'!$BE$2:$BE$1068,0)),"")</f>
        <v/>
      </c>
      <c r="X125" s="105" t="str">
        <f aca="false">IF(B125="","",IF(W125=1,"NR + industry + position",IF(W125=2,"NR + ISO + position",IF(W125=3,"NR + industry",IF(W125=4,"NR + ISO",IF(W125=5,"NR + position",IF(W125=6,"NR only","book baseline"))))))&amp;"  ["&amp;IF(T125=1,"seasoned","unseasoned")&amp;IF(U125=1,", defaulted","")&amp;IF(V125=1,", open","")&amp;"]")</f>
        <v/>
      </c>
    </row>
    <row r="126" customFormat="false" ht="15" hidden="false" customHeight="false" outlineLevel="0" collapsed="false">
      <c r="A126" s="105" t="n">
        <v>122</v>
      </c>
      <c r="B126" s="106" t="str">
        <f aca="false">IFERROR(INDEX('Historical Data'!$A$2:$A$1068,MATCH($A126,'Historical Data'!$BE$2:$BE$1068,0)),"")</f>
        <v/>
      </c>
      <c r="C126" s="106" t="str">
        <f aca="false">IFERROR(INDEX('Historical Data'!$B$2:$B$1068,MATCH($A126,'Historical Data'!$BE$2:$BE$1068,0)),"")</f>
        <v/>
      </c>
      <c r="D126" s="106" t="str">
        <f aca="false">IFERROR(INDEX('Historical Data'!$D$2:$D$1068,MATCH($A126,'Historical Data'!$BE$2:$BE$1068,0)),"")</f>
        <v/>
      </c>
      <c r="E126" s="107" t="str">
        <f aca="false">IFERROR(INDEX('Historical Data'!$E$2:$E$1068,MATCH($A126,'Historical Data'!$BE$2:$BE$1068,0)),"")</f>
        <v/>
      </c>
      <c r="F126" s="106" t="str">
        <f aca="false">IFERROR(INDEX('Historical Data'!$G$2:$G$1068,MATCH($A126,'Historical Data'!$BE$2:$BE$1068,0)),"")</f>
        <v/>
      </c>
      <c r="G126" s="106" t="str">
        <f aca="false">IFERROR(INDEX('Historical Data'!$Y$2:$Y$1068,MATCH($A126,'Historical Data'!$BE$2:$BE$1068,0)),"")</f>
        <v/>
      </c>
      <c r="H126" s="106" t="str">
        <f aca="false">IFERROR(INDEX('Historical Data'!$K$2:$K$1068,MATCH($A126,'Historical Data'!$BE$2:$BE$1068,0)),"")</f>
        <v/>
      </c>
      <c r="I126" s="106" t="str">
        <f aca="false">IFERROR(INDEX('Historical Data'!$J$2:$J$1068,MATCH($A126,'Historical Data'!$BE$2:$BE$1068,0)),"")</f>
        <v/>
      </c>
      <c r="J126" s="106" t="str">
        <f aca="false">IFERROR(INDEX('Historical Data'!$L$2:$L$1068,MATCH($A126,'Historical Data'!$BE$2:$BE$1068,0)),"")</f>
        <v/>
      </c>
      <c r="K126" s="108" t="str">
        <f aca="false">IFERROR(INDEX('Historical Data'!$M$2:$M$1068,MATCH($A126,'Historical Data'!$BE$2:$BE$1068,0)),"")</f>
        <v/>
      </c>
      <c r="L126" s="109" t="str">
        <f aca="false">IFERROR(INDEX('Historical Data'!$N$2:$N$1068,MATCH($A126,'Historical Data'!$BE$2:$BE$1068,0)),"")</f>
        <v/>
      </c>
      <c r="M126" s="109" t="str">
        <f aca="false">IFERROR(INDEX('Historical Data'!$Q$2:$Q$1068,MATCH($A126,'Historical Data'!$BE$2:$BE$1068,0)),"")</f>
        <v/>
      </c>
      <c r="N126" s="110" t="str">
        <f aca="false">IFERROR(INDEX('Historical Data'!$S$2:$S$1068,MATCH($A126,'Historical Data'!$BE$2:$BE$1068,0)),"")</f>
        <v/>
      </c>
      <c r="O126" s="109" t="str">
        <f aca="false">IFERROR(INDEX('Historical Data'!$AJ$2:$AJ$1068,MATCH($A126,'Historical Data'!$BE$2:$BE$1068,0)),"")</f>
        <v/>
      </c>
      <c r="P126" s="109" t="str">
        <f aca="false">IFERROR(INDEX('Historical Data'!$AK$2:$AK$1068,MATCH($A126,'Historical Data'!$BE$2:$BE$1068,0)),"")</f>
        <v/>
      </c>
      <c r="Q126" s="106" t="str">
        <f aca="false">IFERROR(INDEX('Historical Data'!$AA$2:$AA$1068,MATCH($A126,'Historical Data'!$BE$2:$BE$1068,0)),"")</f>
        <v/>
      </c>
      <c r="R126" s="106" t="str">
        <f aca="false">IFERROR(INDEX('Historical Data'!$AB$2:$AB$1068,MATCH($A126,'Historical Data'!$BE$2:$BE$1068,0)),"")</f>
        <v/>
      </c>
      <c r="S126" s="106" t="str">
        <f aca="false">IFERROR(INDEX('Historical Data'!$AN$2:$AN$1068,MATCH($A126,'Historical Data'!$BE$2:$BE$1068,0)),"")</f>
        <v/>
      </c>
      <c r="T126" s="106" t="str">
        <f aca="false">IFERROR(INDEX('Historical Data'!$AC$2:$AC$1068,MATCH($A126,'Historical Data'!$BE$2:$BE$1068,0)),"")</f>
        <v/>
      </c>
      <c r="U126" s="106" t="str">
        <f aca="false">IFERROR(INDEX('Historical Data'!$AE$2:$AE$1068,MATCH($A126,'Historical Data'!$BE$2:$BE$1068,0)),"")</f>
        <v/>
      </c>
      <c r="V126" s="106" t="str">
        <f aca="false">IFERROR(INDEX('Historical Data'!$AH$2:$AH$1068,MATCH($A126,'Historical Data'!$BE$2:$BE$1068,0)),"")</f>
        <v/>
      </c>
      <c r="W126" s="106" t="str">
        <f aca="false">IFERROR(INDEX('Historical Data'!$BC$2:$BC$1068,MATCH($A126,'Historical Data'!$BE$2:$BE$1068,0)),"")</f>
        <v/>
      </c>
      <c r="X126" s="105" t="str">
        <f aca="false">IF(B126="","",IF(W126=1,"NR + industry + position",IF(W126=2,"NR + ISO + position",IF(W126=3,"NR + industry",IF(W126=4,"NR + ISO",IF(W126=5,"NR + position",IF(W126=6,"NR only","book baseline"))))))&amp;"  ["&amp;IF(T126=1,"seasoned","unseasoned")&amp;IF(U126=1,", defaulted","")&amp;IF(V126=1,", open","")&amp;"]")</f>
        <v/>
      </c>
    </row>
    <row r="127" customFormat="false" ht="15" hidden="false" customHeight="false" outlineLevel="0" collapsed="false">
      <c r="A127" s="105" t="n">
        <v>123</v>
      </c>
      <c r="B127" s="106" t="str">
        <f aca="false">IFERROR(INDEX('Historical Data'!$A$2:$A$1068,MATCH($A127,'Historical Data'!$BE$2:$BE$1068,0)),"")</f>
        <v/>
      </c>
      <c r="C127" s="106" t="str">
        <f aca="false">IFERROR(INDEX('Historical Data'!$B$2:$B$1068,MATCH($A127,'Historical Data'!$BE$2:$BE$1068,0)),"")</f>
        <v/>
      </c>
      <c r="D127" s="106" t="str">
        <f aca="false">IFERROR(INDEX('Historical Data'!$D$2:$D$1068,MATCH($A127,'Historical Data'!$BE$2:$BE$1068,0)),"")</f>
        <v/>
      </c>
      <c r="E127" s="107" t="str">
        <f aca="false">IFERROR(INDEX('Historical Data'!$E$2:$E$1068,MATCH($A127,'Historical Data'!$BE$2:$BE$1068,0)),"")</f>
        <v/>
      </c>
      <c r="F127" s="106" t="str">
        <f aca="false">IFERROR(INDEX('Historical Data'!$G$2:$G$1068,MATCH($A127,'Historical Data'!$BE$2:$BE$1068,0)),"")</f>
        <v/>
      </c>
      <c r="G127" s="106" t="str">
        <f aca="false">IFERROR(INDEX('Historical Data'!$Y$2:$Y$1068,MATCH($A127,'Historical Data'!$BE$2:$BE$1068,0)),"")</f>
        <v/>
      </c>
      <c r="H127" s="106" t="str">
        <f aca="false">IFERROR(INDEX('Historical Data'!$K$2:$K$1068,MATCH($A127,'Historical Data'!$BE$2:$BE$1068,0)),"")</f>
        <v/>
      </c>
      <c r="I127" s="106" t="str">
        <f aca="false">IFERROR(INDEX('Historical Data'!$J$2:$J$1068,MATCH($A127,'Historical Data'!$BE$2:$BE$1068,0)),"")</f>
        <v/>
      </c>
      <c r="J127" s="106" t="str">
        <f aca="false">IFERROR(INDEX('Historical Data'!$L$2:$L$1068,MATCH($A127,'Historical Data'!$BE$2:$BE$1068,0)),"")</f>
        <v/>
      </c>
      <c r="K127" s="108" t="str">
        <f aca="false">IFERROR(INDEX('Historical Data'!$M$2:$M$1068,MATCH($A127,'Historical Data'!$BE$2:$BE$1068,0)),"")</f>
        <v/>
      </c>
      <c r="L127" s="109" t="str">
        <f aca="false">IFERROR(INDEX('Historical Data'!$N$2:$N$1068,MATCH($A127,'Historical Data'!$BE$2:$BE$1068,0)),"")</f>
        <v/>
      </c>
      <c r="M127" s="109" t="str">
        <f aca="false">IFERROR(INDEX('Historical Data'!$Q$2:$Q$1068,MATCH($A127,'Historical Data'!$BE$2:$BE$1068,0)),"")</f>
        <v/>
      </c>
      <c r="N127" s="110" t="str">
        <f aca="false">IFERROR(INDEX('Historical Data'!$S$2:$S$1068,MATCH($A127,'Historical Data'!$BE$2:$BE$1068,0)),"")</f>
        <v/>
      </c>
      <c r="O127" s="109" t="str">
        <f aca="false">IFERROR(INDEX('Historical Data'!$AJ$2:$AJ$1068,MATCH($A127,'Historical Data'!$BE$2:$BE$1068,0)),"")</f>
        <v/>
      </c>
      <c r="P127" s="109" t="str">
        <f aca="false">IFERROR(INDEX('Historical Data'!$AK$2:$AK$1068,MATCH($A127,'Historical Data'!$BE$2:$BE$1068,0)),"")</f>
        <v/>
      </c>
      <c r="Q127" s="106" t="str">
        <f aca="false">IFERROR(INDEX('Historical Data'!$AA$2:$AA$1068,MATCH($A127,'Historical Data'!$BE$2:$BE$1068,0)),"")</f>
        <v/>
      </c>
      <c r="R127" s="106" t="str">
        <f aca="false">IFERROR(INDEX('Historical Data'!$AB$2:$AB$1068,MATCH($A127,'Historical Data'!$BE$2:$BE$1068,0)),"")</f>
        <v/>
      </c>
      <c r="S127" s="106" t="str">
        <f aca="false">IFERROR(INDEX('Historical Data'!$AN$2:$AN$1068,MATCH($A127,'Historical Data'!$BE$2:$BE$1068,0)),"")</f>
        <v/>
      </c>
      <c r="T127" s="106" t="str">
        <f aca="false">IFERROR(INDEX('Historical Data'!$AC$2:$AC$1068,MATCH($A127,'Historical Data'!$BE$2:$BE$1068,0)),"")</f>
        <v/>
      </c>
      <c r="U127" s="106" t="str">
        <f aca="false">IFERROR(INDEX('Historical Data'!$AE$2:$AE$1068,MATCH($A127,'Historical Data'!$BE$2:$BE$1068,0)),"")</f>
        <v/>
      </c>
      <c r="V127" s="106" t="str">
        <f aca="false">IFERROR(INDEX('Historical Data'!$AH$2:$AH$1068,MATCH($A127,'Historical Data'!$BE$2:$BE$1068,0)),"")</f>
        <v/>
      </c>
      <c r="W127" s="106" t="str">
        <f aca="false">IFERROR(INDEX('Historical Data'!$BC$2:$BC$1068,MATCH($A127,'Historical Data'!$BE$2:$BE$1068,0)),"")</f>
        <v/>
      </c>
      <c r="X127" s="105" t="str">
        <f aca="false">IF(B127="","",IF(W127=1,"NR + industry + position",IF(W127=2,"NR + ISO + position",IF(W127=3,"NR + industry",IF(W127=4,"NR + ISO",IF(W127=5,"NR + position",IF(W127=6,"NR only","book baseline"))))))&amp;"  ["&amp;IF(T127=1,"seasoned","unseasoned")&amp;IF(U127=1,", defaulted","")&amp;IF(V127=1,", open","")&amp;"]")</f>
        <v/>
      </c>
    </row>
    <row r="128" customFormat="false" ht="15" hidden="false" customHeight="false" outlineLevel="0" collapsed="false">
      <c r="A128" s="105" t="n">
        <v>124</v>
      </c>
      <c r="B128" s="106" t="str">
        <f aca="false">IFERROR(INDEX('Historical Data'!$A$2:$A$1068,MATCH($A128,'Historical Data'!$BE$2:$BE$1068,0)),"")</f>
        <v/>
      </c>
      <c r="C128" s="106" t="str">
        <f aca="false">IFERROR(INDEX('Historical Data'!$B$2:$B$1068,MATCH($A128,'Historical Data'!$BE$2:$BE$1068,0)),"")</f>
        <v/>
      </c>
      <c r="D128" s="106" t="str">
        <f aca="false">IFERROR(INDEX('Historical Data'!$D$2:$D$1068,MATCH($A128,'Historical Data'!$BE$2:$BE$1068,0)),"")</f>
        <v/>
      </c>
      <c r="E128" s="107" t="str">
        <f aca="false">IFERROR(INDEX('Historical Data'!$E$2:$E$1068,MATCH($A128,'Historical Data'!$BE$2:$BE$1068,0)),"")</f>
        <v/>
      </c>
      <c r="F128" s="106" t="str">
        <f aca="false">IFERROR(INDEX('Historical Data'!$G$2:$G$1068,MATCH($A128,'Historical Data'!$BE$2:$BE$1068,0)),"")</f>
        <v/>
      </c>
      <c r="G128" s="106" t="str">
        <f aca="false">IFERROR(INDEX('Historical Data'!$Y$2:$Y$1068,MATCH($A128,'Historical Data'!$BE$2:$BE$1068,0)),"")</f>
        <v/>
      </c>
      <c r="H128" s="106" t="str">
        <f aca="false">IFERROR(INDEX('Historical Data'!$K$2:$K$1068,MATCH($A128,'Historical Data'!$BE$2:$BE$1068,0)),"")</f>
        <v/>
      </c>
      <c r="I128" s="106" t="str">
        <f aca="false">IFERROR(INDEX('Historical Data'!$J$2:$J$1068,MATCH($A128,'Historical Data'!$BE$2:$BE$1068,0)),"")</f>
        <v/>
      </c>
      <c r="J128" s="106" t="str">
        <f aca="false">IFERROR(INDEX('Historical Data'!$L$2:$L$1068,MATCH($A128,'Historical Data'!$BE$2:$BE$1068,0)),"")</f>
        <v/>
      </c>
      <c r="K128" s="108" t="str">
        <f aca="false">IFERROR(INDEX('Historical Data'!$M$2:$M$1068,MATCH($A128,'Historical Data'!$BE$2:$BE$1068,0)),"")</f>
        <v/>
      </c>
      <c r="L128" s="109" t="str">
        <f aca="false">IFERROR(INDEX('Historical Data'!$N$2:$N$1068,MATCH($A128,'Historical Data'!$BE$2:$BE$1068,0)),"")</f>
        <v/>
      </c>
      <c r="M128" s="109" t="str">
        <f aca="false">IFERROR(INDEX('Historical Data'!$Q$2:$Q$1068,MATCH($A128,'Historical Data'!$BE$2:$BE$1068,0)),"")</f>
        <v/>
      </c>
      <c r="N128" s="110" t="str">
        <f aca="false">IFERROR(INDEX('Historical Data'!$S$2:$S$1068,MATCH($A128,'Historical Data'!$BE$2:$BE$1068,0)),"")</f>
        <v/>
      </c>
      <c r="O128" s="109" t="str">
        <f aca="false">IFERROR(INDEX('Historical Data'!$AJ$2:$AJ$1068,MATCH($A128,'Historical Data'!$BE$2:$BE$1068,0)),"")</f>
        <v/>
      </c>
      <c r="P128" s="109" t="str">
        <f aca="false">IFERROR(INDEX('Historical Data'!$AK$2:$AK$1068,MATCH($A128,'Historical Data'!$BE$2:$BE$1068,0)),"")</f>
        <v/>
      </c>
      <c r="Q128" s="106" t="str">
        <f aca="false">IFERROR(INDEX('Historical Data'!$AA$2:$AA$1068,MATCH($A128,'Historical Data'!$BE$2:$BE$1068,0)),"")</f>
        <v/>
      </c>
      <c r="R128" s="106" t="str">
        <f aca="false">IFERROR(INDEX('Historical Data'!$AB$2:$AB$1068,MATCH($A128,'Historical Data'!$BE$2:$BE$1068,0)),"")</f>
        <v/>
      </c>
      <c r="S128" s="106" t="str">
        <f aca="false">IFERROR(INDEX('Historical Data'!$AN$2:$AN$1068,MATCH($A128,'Historical Data'!$BE$2:$BE$1068,0)),"")</f>
        <v/>
      </c>
      <c r="T128" s="106" t="str">
        <f aca="false">IFERROR(INDEX('Historical Data'!$AC$2:$AC$1068,MATCH($A128,'Historical Data'!$BE$2:$BE$1068,0)),"")</f>
        <v/>
      </c>
      <c r="U128" s="106" t="str">
        <f aca="false">IFERROR(INDEX('Historical Data'!$AE$2:$AE$1068,MATCH($A128,'Historical Data'!$BE$2:$BE$1068,0)),"")</f>
        <v/>
      </c>
      <c r="V128" s="106" t="str">
        <f aca="false">IFERROR(INDEX('Historical Data'!$AH$2:$AH$1068,MATCH($A128,'Historical Data'!$BE$2:$BE$1068,0)),"")</f>
        <v/>
      </c>
      <c r="W128" s="106" t="str">
        <f aca="false">IFERROR(INDEX('Historical Data'!$BC$2:$BC$1068,MATCH($A128,'Historical Data'!$BE$2:$BE$1068,0)),"")</f>
        <v/>
      </c>
      <c r="X128" s="105" t="str">
        <f aca="false">IF(B128="","",IF(W128=1,"NR + industry + position",IF(W128=2,"NR + ISO + position",IF(W128=3,"NR + industry",IF(W128=4,"NR + ISO",IF(W128=5,"NR + position",IF(W128=6,"NR only","book baseline"))))))&amp;"  ["&amp;IF(T128=1,"seasoned","unseasoned")&amp;IF(U128=1,", defaulted","")&amp;IF(V128=1,", open","")&amp;"]")</f>
        <v/>
      </c>
    </row>
    <row r="129" customFormat="false" ht="15" hidden="false" customHeight="false" outlineLevel="0" collapsed="false">
      <c r="A129" s="105" t="n">
        <v>125</v>
      </c>
      <c r="B129" s="106" t="str">
        <f aca="false">IFERROR(INDEX('Historical Data'!$A$2:$A$1068,MATCH($A129,'Historical Data'!$BE$2:$BE$1068,0)),"")</f>
        <v/>
      </c>
      <c r="C129" s="106" t="str">
        <f aca="false">IFERROR(INDEX('Historical Data'!$B$2:$B$1068,MATCH($A129,'Historical Data'!$BE$2:$BE$1068,0)),"")</f>
        <v/>
      </c>
      <c r="D129" s="106" t="str">
        <f aca="false">IFERROR(INDEX('Historical Data'!$D$2:$D$1068,MATCH($A129,'Historical Data'!$BE$2:$BE$1068,0)),"")</f>
        <v/>
      </c>
      <c r="E129" s="107" t="str">
        <f aca="false">IFERROR(INDEX('Historical Data'!$E$2:$E$1068,MATCH($A129,'Historical Data'!$BE$2:$BE$1068,0)),"")</f>
        <v/>
      </c>
      <c r="F129" s="106" t="str">
        <f aca="false">IFERROR(INDEX('Historical Data'!$G$2:$G$1068,MATCH($A129,'Historical Data'!$BE$2:$BE$1068,0)),"")</f>
        <v/>
      </c>
      <c r="G129" s="106" t="str">
        <f aca="false">IFERROR(INDEX('Historical Data'!$Y$2:$Y$1068,MATCH($A129,'Historical Data'!$BE$2:$BE$1068,0)),"")</f>
        <v/>
      </c>
      <c r="H129" s="106" t="str">
        <f aca="false">IFERROR(INDEX('Historical Data'!$K$2:$K$1068,MATCH($A129,'Historical Data'!$BE$2:$BE$1068,0)),"")</f>
        <v/>
      </c>
      <c r="I129" s="106" t="str">
        <f aca="false">IFERROR(INDEX('Historical Data'!$J$2:$J$1068,MATCH($A129,'Historical Data'!$BE$2:$BE$1068,0)),"")</f>
        <v/>
      </c>
      <c r="J129" s="106" t="str">
        <f aca="false">IFERROR(INDEX('Historical Data'!$L$2:$L$1068,MATCH($A129,'Historical Data'!$BE$2:$BE$1068,0)),"")</f>
        <v/>
      </c>
      <c r="K129" s="108" t="str">
        <f aca="false">IFERROR(INDEX('Historical Data'!$M$2:$M$1068,MATCH($A129,'Historical Data'!$BE$2:$BE$1068,0)),"")</f>
        <v/>
      </c>
      <c r="L129" s="109" t="str">
        <f aca="false">IFERROR(INDEX('Historical Data'!$N$2:$N$1068,MATCH($A129,'Historical Data'!$BE$2:$BE$1068,0)),"")</f>
        <v/>
      </c>
      <c r="M129" s="109" t="str">
        <f aca="false">IFERROR(INDEX('Historical Data'!$Q$2:$Q$1068,MATCH($A129,'Historical Data'!$BE$2:$BE$1068,0)),"")</f>
        <v/>
      </c>
      <c r="N129" s="110" t="str">
        <f aca="false">IFERROR(INDEX('Historical Data'!$S$2:$S$1068,MATCH($A129,'Historical Data'!$BE$2:$BE$1068,0)),"")</f>
        <v/>
      </c>
      <c r="O129" s="109" t="str">
        <f aca="false">IFERROR(INDEX('Historical Data'!$AJ$2:$AJ$1068,MATCH($A129,'Historical Data'!$BE$2:$BE$1068,0)),"")</f>
        <v/>
      </c>
      <c r="P129" s="109" t="str">
        <f aca="false">IFERROR(INDEX('Historical Data'!$AK$2:$AK$1068,MATCH($A129,'Historical Data'!$BE$2:$BE$1068,0)),"")</f>
        <v/>
      </c>
      <c r="Q129" s="106" t="str">
        <f aca="false">IFERROR(INDEX('Historical Data'!$AA$2:$AA$1068,MATCH($A129,'Historical Data'!$BE$2:$BE$1068,0)),"")</f>
        <v/>
      </c>
      <c r="R129" s="106" t="str">
        <f aca="false">IFERROR(INDEX('Historical Data'!$AB$2:$AB$1068,MATCH($A129,'Historical Data'!$BE$2:$BE$1068,0)),"")</f>
        <v/>
      </c>
      <c r="S129" s="106" t="str">
        <f aca="false">IFERROR(INDEX('Historical Data'!$AN$2:$AN$1068,MATCH($A129,'Historical Data'!$BE$2:$BE$1068,0)),"")</f>
        <v/>
      </c>
      <c r="T129" s="106" t="str">
        <f aca="false">IFERROR(INDEX('Historical Data'!$AC$2:$AC$1068,MATCH($A129,'Historical Data'!$BE$2:$BE$1068,0)),"")</f>
        <v/>
      </c>
      <c r="U129" s="106" t="str">
        <f aca="false">IFERROR(INDEX('Historical Data'!$AE$2:$AE$1068,MATCH($A129,'Historical Data'!$BE$2:$BE$1068,0)),"")</f>
        <v/>
      </c>
      <c r="V129" s="106" t="str">
        <f aca="false">IFERROR(INDEX('Historical Data'!$AH$2:$AH$1068,MATCH($A129,'Historical Data'!$BE$2:$BE$1068,0)),"")</f>
        <v/>
      </c>
      <c r="W129" s="106" t="str">
        <f aca="false">IFERROR(INDEX('Historical Data'!$BC$2:$BC$1068,MATCH($A129,'Historical Data'!$BE$2:$BE$1068,0)),"")</f>
        <v/>
      </c>
      <c r="X129" s="105" t="str">
        <f aca="false">IF(B129="","",IF(W129=1,"NR + industry + position",IF(W129=2,"NR + ISO + position",IF(W129=3,"NR + industry",IF(W129=4,"NR + ISO",IF(W129=5,"NR + position",IF(W129=6,"NR only","book baseline"))))))&amp;"  ["&amp;IF(T129=1,"seasoned","unseasoned")&amp;IF(U129=1,", defaulted","")&amp;IF(V129=1,", open","")&amp;"]")</f>
        <v/>
      </c>
    </row>
    <row r="130" customFormat="false" ht="15" hidden="false" customHeight="false" outlineLevel="0" collapsed="false">
      <c r="A130" s="105" t="n">
        <v>126</v>
      </c>
      <c r="B130" s="106" t="str">
        <f aca="false">IFERROR(INDEX('Historical Data'!$A$2:$A$1068,MATCH($A130,'Historical Data'!$BE$2:$BE$1068,0)),"")</f>
        <v/>
      </c>
      <c r="C130" s="106" t="str">
        <f aca="false">IFERROR(INDEX('Historical Data'!$B$2:$B$1068,MATCH($A130,'Historical Data'!$BE$2:$BE$1068,0)),"")</f>
        <v/>
      </c>
      <c r="D130" s="106" t="str">
        <f aca="false">IFERROR(INDEX('Historical Data'!$D$2:$D$1068,MATCH($A130,'Historical Data'!$BE$2:$BE$1068,0)),"")</f>
        <v/>
      </c>
      <c r="E130" s="107" t="str">
        <f aca="false">IFERROR(INDEX('Historical Data'!$E$2:$E$1068,MATCH($A130,'Historical Data'!$BE$2:$BE$1068,0)),"")</f>
        <v/>
      </c>
      <c r="F130" s="106" t="str">
        <f aca="false">IFERROR(INDEX('Historical Data'!$G$2:$G$1068,MATCH($A130,'Historical Data'!$BE$2:$BE$1068,0)),"")</f>
        <v/>
      </c>
      <c r="G130" s="106" t="str">
        <f aca="false">IFERROR(INDEX('Historical Data'!$Y$2:$Y$1068,MATCH($A130,'Historical Data'!$BE$2:$BE$1068,0)),"")</f>
        <v/>
      </c>
      <c r="H130" s="106" t="str">
        <f aca="false">IFERROR(INDEX('Historical Data'!$K$2:$K$1068,MATCH($A130,'Historical Data'!$BE$2:$BE$1068,0)),"")</f>
        <v/>
      </c>
      <c r="I130" s="106" t="str">
        <f aca="false">IFERROR(INDEX('Historical Data'!$J$2:$J$1068,MATCH($A130,'Historical Data'!$BE$2:$BE$1068,0)),"")</f>
        <v/>
      </c>
      <c r="J130" s="106" t="str">
        <f aca="false">IFERROR(INDEX('Historical Data'!$L$2:$L$1068,MATCH($A130,'Historical Data'!$BE$2:$BE$1068,0)),"")</f>
        <v/>
      </c>
      <c r="K130" s="108" t="str">
        <f aca="false">IFERROR(INDEX('Historical Data'!$M$2:$M$1068,MATCH($A130,'Historical Data'!$BE$2:$BE$1068,0)),"")</f>
        <v/>
      </c>
      <c r="L130" s="109" t="str">
        <f aca="false">IFERROR(INDEX('Historical Data'!$N$2:$N$1068,MATCH($A130,'Historical Data'!$BE$2:$BE$1068,0)),"")</f>
        <v/>
      </c>
      <c r="M130" s="109" t="str">
        <f aca="false">IFERROR(INDEX('Historical Data'!$Q$2:$Q$1068,MATCH($A130,'Historical Data'!$BE$2:$BE$1068,0)),"")</f>
        <v/>
      </c>
      <c r="N130" s="110" t="str">
        <f aca="false">IFERROR(INDEX('Historical Data'!$S$2:$S$1068,MATCH($A130,'Historical Data'!$BE$2:$BE$1068,0)),"")</f>
        <v/>
      </c>
      <c r="O130" s="109" t="str">
        <f aca="false">IFERROR(INDEX('Historical Data'!$AJ$2:$AJ$1068,MATCH($A130,'Historical Data'!$BE$2:$BE$1068,0)),"")</f>
        <v/>
      </c>
      <c r="P130" s="109" t="str">
        <f aca="false">IFERROR(INDEX('Historical Data'!$AK$2:$AK$1068,MATCH($A130,'Historical Data'!$BE$2:$BE$1068,0)),"")</f>
        <v/>
      </c>
      <c r="Q130" s="106" t="str">
        <f aca="false">IFERROR(INDEX('Historical Data'!$AA$2:$AA$1068,MATCH($A130,'Historical Data'!$BE$2:$BE$1068,0)),"")</f>
        <v/>
      </c>
      <c r="R130" s="106" t="str">
        <f aca="false">IFERROR(INDEX('Historical Data'!$AB$2:$AB$1068,MATCH($A130,'Historical Data'!$BE$2:$BE$1068,0)),"")</f>
        <v/>
      </c>
      <c r="S130" s="106" t="str">
        <f aca="false">IFERROR(INDEX('Historical Data'!$AN$2:$AN$1068,MATCH($A130,'Historical Data'!$BE$2:$BE$1068,0)),"")</f>
        <v/>
      </c>
      <c r="T130" s="106" t="str">
        <f aca="false">IFERROR(INDEX('Historical Data'!$AC$2:$AC$1068,MATCH($A130,'Historical Data'!$BE$2:$BE$1068,0)),"")</f>
        <v/>
      </c>
      <c r="U130" s="106" t="str">
        <f aca="false">IFERROR(INDEX('Historical Data'!$AE$2:$AE$1068,MATCH($A130,'Historical Data'!$BE$2:$BE$1068,0)),"")</f>
        <v/>
      </c>
      <c r="V130" s="106" t="str">
        <f aca="false">IFERROR(INDEX('Historical Data'!$AH$2:$AH$1068,MATCH($A130,'Historical Data'!$BE$2:$BE$1068,0)),"")</f>
        <v/>
      </c>
      <c r="W130" s="106" t="str">
        <f aca="false">IFERROR(INDEX('Historical Data'!$BC$2:$BC$1068,MATCH($A130,'Historical Data'!$BE$2:$BE$1068,0)),"")</f>
        <v/>
      </c>
      <c r="X130" s="105" t="str">
        <f aca="false">IF(B130="","",IF(W130=1,"NR + industry + position",IF(W130=2,"NR + ISO + position",IF(W130=3,"NR + industry",IF(W130=4,"NR + ISO",IF(W130=5,"NR + position",IF(W130=6,"NR only","book baseline"))))))&amp;"  ["&amp;IF(T130=1,"seasoned","unseasoned")&amp;IF(U130=1,", defaulted","")&amp;IF(V130=1,", open","")&amp;"]")</f>
        <v/>
      </c>
    </row>
    <row r="131" customFormat="false" ht="15" hidden="false" customHeight="false" outlineLevel="0" collapsed="false">
      <c r="A131" s="105" t="n">
        <v>127</v>
      </c>
      <c r="B131" s="106" t="str">
        <f aca="false">IFERROR(INDEX('Historical Data'!$A$2:$A$1068,MATCH($A131,'Historical Data'!$BE$2:$BE$1068,0)),"")</f>
        <v/>
      </c>
      <c r="C131" s="106" t="str">
        <f aca="false">IFERROR(INDEX('Historical Data'!$B$2:$B$1068,MATCH($A131,'Historical Data'!$BE$2:$BE$1068,0)),"")</f>
        <v/>
      </c>
      <c r="D131" s="106" t="str">
        <f aca="false">IFERROR(INDEX('Historical Data'!$D$2:$D$1068,MATCH($A131,'Historical Data'!$BE$2:$BE$1068,0)),"")</f>
        <v/>
      </c>
      <c r="E131" s="107" t="str">
        <f aca="false">IFERROR(INDEX('Historical Data'!$E$2:$E$1068,MATCH($A131,'Historical Data'!$BE$2:$BE$1068,0)),"")</f>
        <v/>
      </c>
      <c r="F131" s="106" t="str">
        <f aca="false">IFERROR(INDEX('Historical Data'!$G$2:$G$1068,MATCH($A131,'Historical Data'!$BE$2:$BE$1068,0)),"")</f>
        <v/>
      </c>
      <c r="G131" s="106" t="str">
        <f aca="false">IFERROR(INDEX('Historical Data'!$Y$2:$Y$1068,MATCH($A131,'Historical Data'!$BE$2:$BE$1068,0)),"")</f>
        <v/>
      </c>
      <c r="H131" s="106" t="str">
        <f aca="false">IFERROR(INDEX('Historical Data'!$K$2:$K$1068,MATCH($A131,'Historical Data'!$BE$2:$BE$1068,0)),"")</f>
        <v/>
      </c>
      <c r="I131" s="106" t="str">
        <f aca="false">IFERROR(INDEX('Historical Data'!$J$2:$J$1068,MATCH($A131,'Historical Data'!$BE$2:$BE$1068,0)),"")</f>
        <v/>
      </c>
      <c r="J131" s="106" t="str">
        <f aca="false">IFERROR(INDEX('Historical Data'!$L$2:$L$1068,MATCH($A131,'Historical Data'!$BE$2:$BE$1068,0)),"")</f>
        <v/>
      </c>
      <c r="K131" s="108" t="str">
        <f aca="false">IFERROR(INDEX('Historical Data'!$M$2:$M$1068,MATCH($A131,'Historical Data'!$BE$2:$BE$1068,0)),"")</f>
        <v/>
      </c>
      <c r="L131" s="109" t="str">
        <f aca="false">IFERROR(INDEX('Historical Data'!$N$2:$N$1068,MATCH($A131,'Historical Data'!$BE$2:$BE$1068,0)),"")</f>
        <v/>
      </c>
      <c r="M131" s="109" t="str">
        <f aca="false">IFERROR(INDEX('Historical Data'!$Q$2:$Q$1068,MATCH($A131,'Historical Data'!$BE$2:$BE$1068,0)),"")</f>
        <v/>
      </c>
      <c r="N131" s="110" t="str">
        <f aca="false">IFERROR(INDEX('Historical Data'!$S$2:$S$1068,MATCH($A131,'Historical Data'!$BE$2:$BE$1068,0)),"")</f>
        <v/>
      </c>
      <c r="O131" s="109" t="str">
        <f aca="false">IFERROR(INDEX('Historical Data'!$AJ$2:$AJ$1068,MATCH($A131,'Historical Data'!$BE$2:$BE$1068,0)),"")</f>
        <v/>
      </c>
      <c r="P131" s="109" t="str">
        <f aca="false">IFERROR(INDEX('Historical Data'!$AK$2:$AK$1068,MATCH($A131,'Historical Data'!$BE$2:$BE$1068,0)),"")</f>
        <v/>
      </c>
      <c r="Q131" s="106" t="str">
        <f aca="false">IFERROR(INDEX('Historical Data'!$AA$2:$AA$1068,MATCH($A131,'Historical Data'!$BE$2:$BE$1068,0)),"")</f>
        <v/>
      </c>
      <c r="R131" s="106" t="str">
        <f aca="false">IFERROR(INDEX('Historical Data'!$AB$2:$AB$1068,MATCH($A131,'Historical Data'!$BE$2:$BE$1068,0)),"")</f>
        <v/>
      </c>
      <c r="S131" s="106" t="str">
        <f aca="false">IFERROR(INDEX('Historical Data'!$AN$2:$AN$1068,MATCH($A131,'Historical Data'!$BE$2:$BE$1068,0)),"")</f>
        <v/>
      </c>
      <c r="T131" s="106" t="str">
        <f aca="false">IFERROR(INDEX('Historical Data'!$AC$2:$AC$1068,MATCH($A131,'Historical Data'!$BE$2:$BE$1068,0)),"")</f>
        <v/>
      </c>
      <c r="U131" s="106" t="str">
        <f aca="false">IFERROR(INDEX('Historical Data'!$AE$2:$AE$1068,MATCH($A131,'Historical Data'!$BE$2:$BE$1068,0)),"")</f>
        <v/>
      </c>
      <c r="V131" s="106" t="str">
        <f aca="false">IFERROR(INDEX('Historical Data'!$AH$2:$AH$1068,MATCH($A131,'Historical Data'!$BE$2:$BE$1068,0)),"")</f>
        <v/>
      </c>
      <c r="W131" s="106" t="str">
        <f aca="false">IFERROR(INDEX('Historical Data'!$BC$2:$BC$1068,MATCH($A131,'Historical Data'!$BE$2:$BE$1068,0)),"")</f>
        <v/>
      </c>
      <c r="X131" s="105" t="str">
        <f aca="false">IF(B131="","",IF(W131=1,"NR + industry + position",IF(W131=2,"NR + ISO + position",IF(W131=3,"NR + industry",IF(W131=4,"NR + ISO",IF(W131=5,"NR + position",IF(W131=6,"NR only","book baseline"))))))&amp;"  ["&amp;IF(T131=1,"seasoned","unseasoned")&amp;IF(U131=1,", defaulted","")&amp;IF(V131=1,", open","")&amp;"]")</f>
        <v/>
      </c>
    </row>
    <row r="132" customFormat="false" ht="15" hidden="false" customHeight="false" outlineLevel="0" collapsed="false">
      <c r="A132" s="105" t="n">
        <v>128</v>
      </c>
      <c r="B132" s="106" t="str">
        <f aca="false">IFERROR(INDEX('Historical Data'!$A$2:$A$1068,MATCH($A132,'Historical Data'!$BE$2:$BE$1068,0)),"")</f>
        <v/>
      </c>
      <c r="C132" s="106" t="str">
        <f aca="false">IFERROR(INDEX('Historical Data'!$B$2:$B$1068,MATCH($A132,'Historical Data'!$BE$2:$BE$1068,0)),"")</f>
        <v/>
      </c>
      <c r="D132" s="106" t="str">
        <f aca="false">IFERROR(INDEX('Historical Data'!$D$2:$D$1068,MATCH($A132,'Historical Data'!$BE$2:$BE$1068,0)),"")</f>
        <v/>
      </c>
      <c r="E132" s="107" t="str">
        <f aca="false">IFERROR(INDEX('Historical Data'!$E$2:$E$1068,MATCH($A132,'Historical Data'!$BE$2:$BE$1068,0)),"")</f>
        <v/>
      </c>
      <c r="F132" s="106" t="str">
        <f aca="false">IFERROR(INDEX('Historical Data'!$G$2:$G$1068,MATCH($A132,'Historical Data'!$BE$2:$BE$1068,0)),"")</f>
        <v/>
      </c>
      <c r="G132" s="106" t="str">
        <f aca="false">IFERROR(INDEX('Historical Data'!$Y$2:$Y$1068,MATCH($A132,'Historical Data'!$BE$2:$BE$1068,0)),"")</f>
        <v/>
      </c>
      <c r="H132" s="106" t="str">
        <f aca="false">IFERROR(INDEX('Historical Data'!$K$2:$K$1068,MATCH($A132,'Historical Data'!$BE$2:$BE$1068,0)),"")</f>
        <v/>
      </c>
      <c r="I132" s="106" t="str">
        <f aca="false">IFERROR(INDEX('Historical Data'!$J$2:$J$1068,MATCH($A132,'Historical Data'!$BE$2:$BE$1068,0)),"")</f>
        <v/>
      </c>
      <c r="J132" s="106" t="str">
        <f aca="false">IFERROR(INDEX('Historical Data'!$L$2:$L$1068,MATCH($A132,'Historical Data'!$BE$2:$BE$1068,0)),"")</f>
        <v/>
      </c>
      <c r="K132" s="108" t="str">
        <f aca="false">IFERROR(INDEX('Historical Data'!$M$2:$M$1068,MATCH($A132,'Historical Data'!$BE$2:$BE$1068,0)),"")</f>
        <v/>
      </c>
      <c r="L132" s="109" t="str">
        <f aca="false">IFERROR(INDEX('Historical Data'!$N$2:$N$1068,MATCH($A132,'Historical Data'!$BE$2:$BE$1068,0)),"")</f>
        <v/>
      </c>
      <c r="M132" s="109" t="str">
        <f aca="false">IFERROR(INDEX('Historical Data'!$Q$2:$Q$1068,MATCH($A132,'Historical Data'!$BE$2:$BE$1068,0)),"")</f>
        <v/>
      </c>
      <c r="N132" s="110" t="str">
        <f aca="false">IFERROR(INDEX('Historical Data'!$S$2:$S$1068,MATCH($A132,'Historical Data'!$BE$2:$BE$1068,0)),"")</f>
        <v/>
      </c>
      <c r="O132" s="109" t="str">
        <f aca="false">IFERROR(INDEX('Historical Data'!$AJ$2:$AJ$1068,MATCH($A132,'Historical Data'!$BE$2:$BE$1068,0)),"")</f>
        <v/>
      </c>
      <c r="P132" s="109" t="str">
        <f aca="false">IFERROR(INDEX('Historical Data'!$AK$2:$AK$1068,MATCH($A132,'Historical Data'!$BE$2:$BE$1068,0)),"")</f>
        <v/>
      </c>
      <c r="Q132" s="106" t="str">
        <f aca="false">IFERROR(INDEX('Historical Data'!$AA$2:$AA$1068,MATCH($A132,'Historical Data'!$BE$2:$BE$1068,0)),"")</f>
        <v/>
      </c>
      <c r="R132" s="106" t="str">
        <f aca="false">IFERROR(INDEX('Historical Data'!$AB$2:$AB$1068,MATCH($A132,'Historical Data'!$BE$2:$BE$1068,0)),"")</f>
        <v/>
      </c>
      <c r="S132" s="106" t="str">
        <f aca="false">IFERROR(INDEX('Historical Data'!$AN$2:$AN$1068,MATCH($A132,'Historical Data'!$BE$2:$BE$1068,0)),"")</f>
        <v/>
      </c>
      <c r="T132" s="106" t="str">
        <f aca="false">IFERROR(INDEX('Historical Data'!$AC$2:$AC$1068,MATCH($A132,'Historical Data'!$BE$2:$BE$1068,0)),"")</f>
        <v/>
      </c>
      <c r="U132" s="106" t="str">
        <f aca="false">IFERROR(INDEX('Historical Data'!$AE$2:$AE$1068,MATCH($A132,'Historical Data'!$BE$2:$BE$1068,0)),"")</f>
        <v/>
      </c>
      <c r="V132" s="106" t="str">
        <f aca="false">IFERROR(INDEX('Historical Data'!$AH$2:$AH$1068,MATCH($A132,'Historical Data'!$BE$2:$BE$1068,0)),"")</f>
        <v/>
      </c>
      <c r="W132" s="106" t="str">
        <f aca="false">IFERROR(INDEX('Historical Data'!$BC$2:$BC$1068,MATCH($A132,'Historical Data'!$BE$2:$BE$1068,0)),"")</f>
        <v/>
      </c>
      <c r="X132" s="105" t="str">
        <f aca="false">IF(B132="","",IF(W132=1,"NR + industry + position",IF(W132=2,"NR + ISO + position",IF(W132=3,"NR + industry",IF(W132=4,"NR + ISO",IF(W132=5,"NR + position",IF(W132=6,"NR only","book baseline"))))))&amp;"  ["&amp;IF(T132=1,"seasoned","unseasoned")&amp;IF(U132=1,", defaulted","")&amp;IF(V132=1,", open","")&amp;"]")</f>
        <v/>
      </c>
    </row>
    <row r="133" customFormat="false" ht="15" hidden="false" customHeight="false" outlineLevel="0" collapsed="false">
      <c r="A133" s="105" t="n">
        <v>129</v>
      </c>
      <c r="B133" s="106" t="str">
        <f aca="false">IFERROR(INDEX('Historical Data'!$A$2:$A$1068,MATCH($A133,'Historical Data'!$BE$2:$BE$1068,0)),"")</f>
        <v/>
      </c>
      <c r="C133" s="106" t="str">
        <f aca="false">IFERROR(INDEX('Historical Data'!$B$2:$B$1068,MATCH($A133,'Historical Data'!$BE$2:$BE$1068,0)),"")</f>
        <v/>
      </c>
      <c r="D133" s="106" t="str">
        <f aca="false">IFERROR(INDEX('Historical Data'!$D$2:$D$1068,MATCH($A133,'Historical Data'!$BE$2:$BE$1068,0)),"")</f>
        <v/>
      </c>
      <c r="E133" s="107" t="str">
        <f aca="false">IFERROR(INDEX('Historical Data'!$E$2:$E$1068,MATCH($A133,'Historical Data'!$BE$2:$BE$1068,0)),"")</f>
        <v/>
      </c>
      <c r="F133" s="106" t="str">
        <f aca="false">IFERROR(INDEX('Historical Data'!$G$2:$G$1068,MATCH($A133,'Historical Data'!$BE$2:$BE$1068,0)),"")</f>
        <v/>
      </c>
      <c r="G133" s="106" t="str">
        <f aca="false">IFERROR(INDEX('Historical Data'!$Y$2:$Y$1068,MATCH($A133,'Historical Data'!$BE$2:$BE$1068,0)),"")</f>
        <v/>
      </c>
      <c r="H133" s="106" t="str">
        <f aca="false">IFERROR(INDEX('Historical Data'!$K$2:$K$1068,MATCH($A133,'Historical Data'!$BE$2:$BE$1068,0)),"")</f>
        <v/>
      </c>
      <c r="I133" s="106" t="str">
        <f aca="false">IFERROR(INDEX('Historical Data'!$J$2:$J$1068,MATCH($A133,'Historical Data'!$BE$2:$BE$1068,0)),"")</f>
        <v/>
      </c>
      <c r="J133" s="106" t="str">
        <f aca="false">IFERROR(INDEX('Historical Data'!$L$2:$L$1068,MATCH($A133,'Historical Data'!$BE$2:$BE$1068,0)),"")</f>
        <v/>
      </c>
      <c r="K133" s="108" t="str">
        <f aca="false">IFERROR(INDEX('Historical Data'!$M$2:$M$1068,MATCH($A133,'Historical Data'!$BE$2:$BE$1068,0)),"")</f>
        <v/>
      </c>
      <c r="L133" s="109" t="str">
        <f aca="false">IFERROR(INDEX('Historical Data'!$N$2:$N$1068,MATCH($A133,'Historical Data'!$BE$2:$BE$1068,0)),"")</f>
        <v/>
      </c>
      <c r="M133" s="109" t="str">
        <f aca="false">IFERROR(INDEX('Historical Data'!$Q$2:$Q$1068,MATCH($A133,'Historical Data'!$BE$2:$BE$1068,0)),"")</f>
        <v/>
      </c>
      <c r="N133" s="110" t="str">
        <f aca="false">IFERROR(INDEX('Historical Data'!$S$2:$S$1068,MATCH($A133,'Historical Data'!$BE$2:$BE$1068,0)),"")</f>
        <v/>
      </c>
      <c r="O133" s="109" t="str">
        <f aca="false">IFERROR(INDEX('Historical Data'!$AJ$2:$AJ$1068,MATCH($A133,'Historical Data'!$BE$2:$BE$1068,0)),"")</f>
        <v/>
      </c>
      <c r="P133" s="109" t="str">
        <f aca="false">IFERROR(INDEX('Historical Data'!$AK$2:$AK$1068,MATCH($A133,'Historical Data'!$BE$2:$BE$1068,0)),"")</f>
        <v/>
      </c>
      <c r="Q133" s="106" t="str">
        <f aca="false">IFERROR(INDEX('Historical Data'!$AA$2:$AA$1068,MATCH($A133,'Historical Data'!$BE$2:$BE$1068,0)),"")</f>
        <v/>
      </c>
      <c r="R133" s="106" t="str">
        <f aca="false">IFERROR(INDEX('Historical Data'!$AB$2:$AB$1068,MATCH($A133,'Historical Data'!$BE$2:$BE$1068,0)),"")</f>
        <v/>
      </c>
      <c r="S133" s="106" t="str">
        <f aca="false">IFERROR(INDEX('Historical Data'!$AN$2:$AN$1068,MATCH($A133,'Historical Data'!$BE$2:$BE$1068,0)),"")</f>
        <v/>
      </c>
      <c r="T133" s="106" t="str">
        <f aca="false">IFERROR(INDEX('Historical Data'!$AC$2:$AC$1068,MATCH($A133,'Historical Data'!$BE$2:$BE$1068,0)),"")</f>
        <v/>
      </c>
      <c r="U133" s="106" t="str">
        <f aca="false">IFERROR(INDEX('Historical Data'!$AE$2:$AE$1068,MATCH($A133,'Historical Data'!$BE$2:$BE$1068,0)),"")</f>
        <v/>
      </c>
      <c r="V133" s="106" t="str">
        <f aca="false">IFERROR(INDEX('Historical Data'!$AH$2:$AH$1068,MATCH($A133,'Historical Data'!$BE$2:$BE$1068,0)),"")</f>
        <v/>
      </c>
      <c r="W133" s="106" t="str">
        <f aca="false">IFERROR(INDEX('Historical Data'!$BC$2:$BC$1068,MATCH($A133,'Historical Data'!$BE$2:$BE$1068,0)),"")</f>
        <v/>
      </c>
      <c r="X133" s="105" t="str">
        <f aca="false">IF(B133="","",IF(W133=1,"NR + industry + position",IF(W133=2,"NR + ISO + position",IF(W133=3,"NR + industry",IF(W133=4,"NR + ISO",IF(W133=5,"NR + position",IF(W133=6,"NR only","book baseline"))))))&amp;"  ["&amp;IF(T133=1,"seasoned","unseasoned")&amp;IF(U133=1,", defaulted","")&amp;IF(V133=1,", open","")&amp;"]")</f>
        <v/>
      </c>
    </row>
    <row r="134" customFormat="false" ht="15" hidden="false" customHeight="false" outlineLevel="0" collapsed="false">
      <c r="A134" s="105" t="n">
        <v>130</v>
      </c>
      <c r="B134" s="106" t="str">
        <f aca="false">IFERROR(INDEX('Historical Data'!$A$2:$A$1068,MATCH($A134,'Historical Data'!$BE$2:$BE$1068,0)),"")</f>
        <v/>
      </c>
      <c r="C134" s="106" t="str">
        <f aca="false">IFERROR(INDEX('Historical Data'!$B$2:$B$1068,MATCH($A134,'Historical Data'!$BE$2:$BE$1068,0)),"")</f>
        <v/>
      </c>
      <c r="D134" s="106" t="str">
        <f aca="false">IFERROR(INDEX('Historical Data'!$D$2:$D$1068,MATCH($A134,'Historical Data'!$BE$2:$BE$1068,0)),"")</f>
        <v/>
      </c>
      <c r="E134" s="107" t="str">
        <f aca="false">IFERROR(INDEX('Historical Data'!$E$2:$E$1068,MATCH($A134,'Historical Data'!$BE$2:$BE$1068,0)),"")</f>
        <v/>
      </c>
      <c r="F134" s="106" t="str">
        <f aca="false">IFERROR(INDEX('Historical Data'!$G$2:$G$1068,MATCH($A134,'Historical Data'!$BE$2:$BE$1068,0)),"")</f>
        <v/>
      </c>
      <c r="G134" s="106" t="str">
        <f aca="false">IFERROR(INDEX('Historical Data'!$Y$2:$Y$1068,MATCH($A134,'Historical Data'!$BE$2:$BE$1068,0)),"")</f>
        <v/>
      </c>
      <c r="H134" s="106" t="str">
        <f aca="false">IFERROR(INDEX('Historical Data'!$K$2:$K$1068,MATCH($A134,'Historical Data'!$BE$2:$BE$1068,0)),"")</f>
        <v/>
      </c>
      <c r="I134" s="106" t="str">
        <f aca="false">IFERROR(INDEX('Historical Data'!$J$2:$J$1068,MATCH($A134,'Historical Data'!$BE$2:$BE$1068,0)),"")</f>
        <v/>
      </c>
      <c r="J134" s="106" t="str">
        <f aca="false">IFERROR(INDEX('Historical Data'!$L$2:$L$1068,MATCH($A134,'Historical Data'!$BE$2:$BE$1068,0)),"")</f>
        <v/>
      </c>
      <c r="K134" s="108" t="str">
        <f aca="false">IFERROR(INDEX('Historical Data'!$M$2:$M$1068,MATCH($A134,'Historical Data'!$BE$2:$BE$1068,0)),"")</f>
        <v/>
      </c>
      <c r="L134" s="109" t="str">
        <f aca="false">IFERROR(INDEX('Historical Data'!$N$2:$N$1068,MATCH($A134,'Historical Data'!$BE$2:$BE$1068,0)),"")</f>
        <v/>
      </c>
      <c r="M134" s="109" t="str">
        <f aca="false">IFERROR(INDEX('Historical Data'!$Q$2:$Q$1068,MATCH($A134,'Historical Data'!$BE$2:$BE$1068,0)),"")</f>
        <v/>
      </c>
      <c r="N134" s="110" t="str">
        <f aca="false">IFERROR(INDEX('Historical Data'!$S$2:$S$1068,MATCH($A134,'Historical Data'!$BE$2:$BE$1068,0)),"")</f>
        <v/>
      </c>
      <c r="O134" s="109" t="str">
        <f aca="false">IFERROR(INDEX('Historical Data'!$AJ$2:$AJ$1068,MATCH($A134,'Historical Data'!$BE$2:$BE$1068,0)),"")</f>
        <v/>
      </c>
      <c r="P134" s="109" t="str">
        <f aca="false">IFERROR(INDEX('Historical Data'!$AK$2:$AK$1068,MATCH($A134,'Historical Data'!$BE$2:$BE$1068,0)),"")</f>
        <v/>
      </c>
      <c r="Q134" s="106" t="str">
        <f aca="false">IFERROR(INDEX('Historical Data'!$AA$2:$AA$1068,MATCH($A134,'Historical Data'!$BE$2:$BE$1068,0)),"")</f>
        <v/>
      </c>
      <c r="R134" s="106" t="str">
        <f aca="false">IFERROR(INDEX('Historical Data'!$AB$2:$AB$1068,MATCH($A134,'Historical Data'!$BE$2:$BE$1068,0)),"")</f>
        <v/>
      </c>
      <c r="S134" s="106" t="str">
        <f aca="false">IFERROR(INDEX('Historical Data'!$AN$2:$AN$1068,MATCH($A134,'Historical Data'!$BE$2:$BE$1068,0)),"")</f>
        <v/>
      </c>
      <c r="T134" s="106" t="str">
        <f aca="false">IFERROR(INDEX('Historical Data'!$AC$2:$AC$1068,MATCH($A134,'Historical Data'!$BE$2:$BE$1068,0)),"")</f>
        <v/>
      </c>
      <c r="U134" s="106" t="str">
        <f aca="false">IFERROR(INDEX('Historical Data'!$AE$2:$AE$1068,MATCH($A134,'Historical Data'!$BE$2:$BE$1068,0)),"")</f>
        <v/>
      </c>
      <c r="V134" s="106" t="str">
        <f aca="false">IFERROR(INDEX('Historical Data'!$AH$2:$AH$1068,MATCH($A134,'Historical Data'!$BE$2:$BE$1068,0)),"")</f>
        <v/>
      </c>
      <c r="W134" s="106" t="str">
        <f aca="false">IFERROR(INDEX('Historical Data'!$BC$2:$BC$1068,MATCH($A134,'Historical Data'!$BE$2:$BE$1068,0)),"")</f>
        <v/>
      </c>
      <c r="X134" s="105" t="str">
        <f aca="false">IF(B134="","",IF(W134=1,"NR + industry + position",IF(W134=2,"NR + ISO + position",IF(W134=3,"NR + industry",IF(W134=4,"NR + ISO",IF(W134=5,"NR + position",IF(W134=6,"NR only","book baseline"))))))&amp;"  ["&amp;IF(T134=1,"seasoned","unseasoned")&amp;IF(U134=1,", defaulted","")&amp;IF(V134=1,", open","")&amp;"]")</f>
        <v/>
      </c>
    </row>
    <row r="135" customFormat="false" ht="15" hidden="false" customHeight="false" outlineLevel="0" collapsed="false">
      <c r="A135" s="105" t="n">
        <v>131</v>
      </c>
      <c r="B135" s="106" t="str">
        <f aca="false">IFERROR(INDEX('Historical Data'!$A$2:$A$1068,MATCH($A135,'Historical Data'!$BE$2:$BE$1068,0)),"")</f>
        <v/>
      </c>
      <c r="C135" s="106" t="str">
        <f aca="false">IFERROR(INDEX('Historical Data'!$B$2:$B$1068,MATCH($A135,'Historical Data'!$BE$2:$BE$1068,0)),"")</f>
        <v/>
      </c>
      <c r="D135" s="106" t="str">
        <f aca="false">IFERROR(INDEX('Historical Data'!$D$2:$D$1068,MATCH($A135,'Historical Data'!$BE$2:$BE$1068,0)),"")</f>
        <v/>
      </c>
      <c r="E135" s="107" t="str">
        <f aca="false">IFERROR(INDEX('Historical Data'!$E$2:$E$1068,MATCH($A135,'Historical Data'!$BE$2:$BE$1068,0)),"")</f>
        <v/>
      </c>
      <c r="F135" s="106" t="str">
        <f aca="false">IFERROR(INDEX('Historical Data'!$G$2:$G$1068,MATCH($A135,'Historical Data'!$BE$2:$BE$1068,0)),"")</f>
        <v/>
      </c>
      <c r="G135" s="106" t="str">
        <f aca="false">IFERROR(INDEX('Historical Data'!$Y$2:$Y$1068,MATCH($A135,'Historical Data'!$BE$2:$BE$1068,0)),"")</f>
        <v/>
      </c>
      <c r="H135" s="106" t="str">
        <f aca="false">IFERROR(INDEX('Historical Data'!$K$2:$K$1068,MATCH($A135,'Historical Data'!$BE$2:$BE$1068,0)),"")</f>
        <v/>
      </c>
      <c r="I135" s="106" t="str">
        <f aca="false">IFERROR(INDEX('Historical Data'!$J$2:$J$1068,MATCH($A135,'Historical Data'!$BE$2:$BE$1068,0)),"")</f>
        <v/>
      </c>
      <c r="J135" s="106" t="str">
        <f aca="false">IFERROR(INDEX('Historical Data'!$L$2:$L$1068,MATCH($A135,'Historical Data'!$BE$2:$BE$1068,0)),"")</f>
        <v/>
      </c>
      <c r="K135" s="108" t="str">
        <f aca="false">IFERROR(INDEX('Historical Data'!$M$2:$M$1068,MATCH($A135,'Historical Data'!$BE$2:$BE$1068,0)),"")</f>
        <v/>
      </c>
      <c r="L135" s="109" t="str">
        <f aca="false">IFERROR(INDEX('Historical Data'!$N$2:$N$1068,MATCH($A135,'Historical Data'!$BE$2:$BE$1068,0)),"")</f>
        <v/>
      </c>
      <c r="M135" s="109" t="str">
        <f aca="false">IFERROR(INDEX('Historical Data'!$Q$2:$Q$1068,MATCH($A135,'Historical Data'!$BE$2:$BE$1068,0)),"")</f>
        <v/>
      </c>
      <c r="N135" s="110" t="str">
        <f aca="false">IFERROR(INDEX('Historical Data'!$S$2:$S$1068,MATCH($A135,'Historical Data'!$BE$2:$BE$1068,0)),"")</f>
        <v/>
      </c>
      <c r="O135" s="109" t="str">
        <f aca="false">IFERROR(INDEX('Historical Data'!$AJ$2:$AJ$1068,MATCH($A135,'Historical Data'!$BE$2:$BE$1068,0)),"")</f>
        <v/>
      </c>
      <c r="P135" s="109" t="str">
        <f aca="false">IFERROR(INDEX('Historical Data'!$AK$2:$AK$1068,MATCH($A135,'Historical Data'!$BE$2:$BE$1068,0)),"")</f>
        <v/>
      </c>
      <c r="Q135" s="106" t="str">
        <f aca="false">IFERROR(INDEX('Historical Data'!$AA$2:$AA$1068,MATCH($A135,'Historical Data'!$BE$2:$BE$1068,0)),"")</f>
        <v/>
      </c>
      <c r="R135" s="106" t="str">
        <f aca="false">IFERROR(INDEX('Historical Data'!$AB$2:$AB$1068,MATCH($A135,'Historical Data'!$BE$2:$BE$1068,0)),"")</f>
        <v/>
      </c>
      <c r="S135" s="106" t="str">
        <f aca="false">IFERROR(INDEX('Historical Data'!$AN$2:$AN$1068,MATCH($A135,'Historical Data'!$BE$2:$BE$1068,0)),"")</f>
        <v/>
      </c>
      <c r="T135" s="106" t="str">
        <f aca="false">IFERROR(INDEX('Historical Data'!$AC$2:$AC$1068,MATCH($A135,'Historical Data'!$BE$2:$BE$1068,0)),"")</f>
        <v/>
      </c>
      <c r="U135" s="106" t="str">
        <f aca="false">IFERROR(INDEX('Historical Data'!$AE$2:$AE$1068,MATCH($A135,'Historical Data'!$BE$2:$BE$1068,0)),"")</f>
        <v/>
      </c>
      <c r="V135" s="106" t="str">
        <f aca="false">IFERROR(INDEX('Historical Data'!$AH$2:$AH$1068,MATCH($A135,'Historical Data'!$BE$2:$BE$1068,0)),"")</f>
        <v/>
      </c>
      <c r="W135" s="106" t="str">
        <f aca="false">IFERROR(INDEX('Historical Data'!$BC$2:$BC$1068,MATCH($A135,'Historical Data'!$BE$2:$BE$1068,0)),"")</f>
        <v/>
      </c>
      <c r="X135" s="105" t="str">
        <f aca="false">IF(B135="","",IF(W135=1,"NR + industry + position",IF(W135=2,"NR + ISO + position",IF(W135=3,"NR + industry",IF(W135=4,"NR + ISO",IF(W135=5,"NR + position",IF(W135=6,"NR only","book baseline"))))))&amp;"  ["&amp;IF(T135=1,"seasoned","unseasoned")&amp;IF(U135=1,", defaulted","")&amp;IF(V135=1,", open","")&amp;"]")</f>
        <v/>
      </c>
    </row>
    <row r="136" customFormat="false" ht="15" hidden="false" customHeight="false" outlineLevel="0" collapsed="false">
      <c r="A136" s="105" t="n">
        <v>132</v>
      </c>
      <c r="B136" s="106" t="str">
        <f aca="false">IFERROR(INDEX('Historical Data'!$A$2:$A$1068,MATCH($A136,'Historical Data'!$BE$2:$BE$1068,0)),"")</f>
        <v/>
      </c>
      <c r="C136" s="106" t="str">
        <f aca="false">IFERROR(INDEX('Historical Data'!$B$2:$B$1068,MATCH($A136,'Historical Data'!$BE$2:$BE$1068,0)),"")</f>
        <v/>
      </c>
      <c r="D136" s="106" t="str">
        <f aca="false">IFERROR(INDEX('Historical Data'!$D$2:$D$1068,MATCH($A136,'Historical Data'!$BE$2:$BE$1068,0)),"")</f>
        <v/>
      </c>
      <c r="E136" s="107" t="str">
        <f aca="false">IFERROR(INDEX('Historical Data'!$E$2:$E$1068,MATCH($A136,'Historical Data'!$BE$2:$BE$1068,0)),"")</f>
        <v/>
      </c>
      <c r="F136" s="106" t="str">
        <f aca="false">IFERROR(INDEX('Historical Data'!$G$2:$G$1068,MATCH($A136,'Historical Data'!$BE$2:$BE$1068,0)),"")</f>
        <v/>
      </c>
      <c r="G136" s="106" t="str">
        <f aca="false">IFERROR(INDEX('Historical Data'!$Y$2:$Y$1068,MATCH($A136,'Historical Data'!$BE$2:$BE$1068,0)),"")</f>
        <v/>
      </c>
      <c r="H136" s="106" t="str">
        <f aca="false">IFERROR(INDEX('Historical Data'!$K$2:$K$1068,MATCH($A136,'Historical Data'!$BE$2:$BE$1068,0)),"")</f>
        <v/>
      </c>
      <c r="I136" s="106" t="str">
        <f aca="false">IFERROR(INDEX('Historical Data'!$J$2:$J$1068,MATCH($A136,'Historical Data'!$BE$2:$BE$1068,0)),"")</f>
        <v/>
      </c>
      <c r="J136" s="106" t="str">
        <f aca="false">IFERROR(INDEX('Historical Data'!$L$2:$L$1068,MATCH($A136,'Historical Data'!$BE$2:$BE$1068,0)),"")</f>
        <v/>
      </c>
      <c r="K136" s="108" t="str">
        <f aca="false">IFERROR(INDEX('Historical Data'!$M$2:$M$1068,MATCH($A136,'Historical Data'!$BE$2:$BE$1068,0)),"")</f>
        <v/>
      </c>
      <c r="L136" s="109" t="str">
        <f aca="false">IFERROR(INDEX('Historical Data'!$N$2:$N$1068,MATCH($A136,'Historical Data'!$BE$2:$BE$1068,0)),"")</f>
        <v/>
      </c>
      <c r="M136" s="109" t="str">
        <f aca="false">IFERROR(INDEX('Historical Data'!$Q$2:$Q$1068,MATCH($A136,'Historical Data'!$BE$2:$BE$1068,0)),"")</f>
        <v/>
      </c>
      <c r="N136" s="110" t="str">
        <f aca="false">IFERROR(INDEX('Historical Data'!$S$2:$S$1068,MATCH($A136,'Historical Data'!$BE$2:$BE$1068,0)),"")</f>
        <v/>
      </c>
      <c r="O136" s="109" t="str">
        <f aca="false">IFERROR(INDEX('Historical Data'!$AJ$2:$AJ$1068,MATCH($A136,'Historical Data'!$BE$2:$BE$1068,0)),"")</f>
        <v/>
      </c>
      <c r="P136" s="109" t="str">
        <f aca="false">IFERROR(INDEX('Historical Data'!$AK$2:$AK$1068,MATCH($A136,'Historical Data'!$BE$2:$BE$1068,0)),"")</f>
        <v/>
      </c>
      <c r="Q136" s="106" t="str">
        <f aca="false">IFERROR(INDEX('Historical Data'!$AA$2:$AA$1068,MATCH($A136,'Historical Data'!$BE$2:$BE$1068,0)),"")</f>
        <v/>
      </c>
      <c r="R136" s="106" t="str">
        <f aca="false">IFERROR(INDEX('Historical Data'!$AB$2:$AB$1068,MATCH($A136,'Historical Data'!$BE$2:$BE$1068,0)),"")</f>
        <v/>
      </c>
      <c r="S136" s="106" t="str">
        <f aca="false">IFERROR(INDEX('Historical Data'!$AN$2:$AN$1068,MATCH($A136,'Historical Data'!$BE$2:$BE$1068,0)),"")</f>
        <v/>
      </c>
      <c r="T136" s="106" t="str">
        <f aca="false">IFERROR(INDEX('Historical Data'!$AC$2:$AC$1068,MATCH($A136,'Historical Data'!$BE$2:$BE$1068,0)),"")</f>
        <v/>
      </c>
      <c r="U136" s="106" t="str">
        <f aca="false">IFERROR(INDEX('Historical Data'!$AE$2:$AE$1068,MATCH($A136,'Historical Data'!$BE$2:$BE$1068,0)),"")</f>
        <v/>
      </c>
      <c r="V136" s="106" t="str">
        <f aca="false">IFERROR(INDEX('Historical Data'!$AH$2:$AH$1068,MATCH($A136,'Historical Data'!$BE$2:$BE$1068,0)),"")</f>
        <v/>
      </c>
      <c r="W136" s="106" t="str">
        <f aca="false">IFERROR(INDEX('Historical Data'!$BC$2:$BC$1068,MATCH($A136,'Historical Data'!$BE$2:$BE$1068,0)),"")</f>
        <v/>
      </c>
      <c r="X136" s="105" t="str">
        <f aca="false">IF(B136="","",IF(W136=1,"NR + industry + position",IF(W136=2,"NR + ISO + position",IF(W136=3,"NR + industry",IF(W136=4,"NR + ISO",IF(W136=5,"NR + position",IF(W136=6,"NR only","book baseline"))))))&amp;"  ["&amp;IF(T136=1,"seasoned","unseasoned")&amp;IF(U136=1,", defaulted","")&amp;IF(V136=1,", open","")&amp;"]")</f>
        <v/>
      </c>
    </row>
    <row r="137" customFormat="false" ht="15" hidden="false" customHeight="false" outlineLevel="0" collapsed="false">
      <c r="A137" s="105" t="n">
        <v>133</v>
      </c>
      <c r="B137" s="106" t="str">
        <f aca="false">IFERROR(INDEX('Historical Data'!$A$2:$A$1068,MATCH($A137,'Historical Data'!$BE$2:$BE$1068,0)),"")</f>
        <v/>
      </c>
      <c r="C137" s="106" t="str">
        <f aca="false">IFERROR(INDEX('Historical Data'!$B$2:$B$1068,MATCH($A137,'Historical Data'!$BE$2:$BE$1068,0)),"")</f>
        <v/>
      </c>
      <c r="D137" s="106" t="str">
        <f aca="false">IFERROR(INDEX('Historical Data'!$D$2:$D$1068,MATCH($A137,'Historical Data'!$BE$2:$BE$1068,0)),"")</f>
        <v/>
      </c>
      <c r="E137" s="107" t="str">
        <f aca="false">IFERROR(INDEX('Historical Data'!$E$2:$E$1068,MATCH($A137,'Historical Data'!$BE$2:$BE$1068,0)),"")</f>
        <v/>
      </c>
      <c r="F137" s="106" t="str">
        <f aca="false">IFERROR(INDEX('Historical Data'!$G$2:$G$1068,MATCH($A137,'Historical Data'!$BE$2:$BE$1068,0)),"")</f>
        <v/>
      </c>
      <c r="G137" s="106" t="str">
        <f aca="false">IFERROR(INDEX('Historical Data'!$Y$2:$Y$1068,MATCH($A137,'Historical Data'!$BE$2:$BE$1068,0)),"")</f>
        <v/>
      </c>
      <c r="H137" s="106" t="str">
        <f aca="false">IFERROR(INDEX('Historical Data'!$K$2:$K$1068,MATCH($A137,'Historical Data'!$BE$2:$BE$1068,0)),"")</f>
        <v/>
      </c>
      <c r="I137" s="106" t="str">
        <f aca="false">IFERROR(INDEX('Historical Data'!$J$2:$J$1068,MATCH($A137,'Historical Data'!$BE$2:$BE$1068,0)),"")</f>
        <v/>
      </c>
      <c r="J137" s="106" t="str">
        <f aca="false">IFERROR(INDEX('Historical Data'!$L$2:$L$1068,MATCH($A137,'Historical Data'!$BE$2:$BE$1068,0)),"")</f>
        <v/>
      </c>
      <c r="K137" s="108" t="str">
        <f aca="false">IFERROR(INDEX('Historical Data'!$M$2:$M$1068,MATCH($A137,'Historical Data'!$BE$2:$BE$1068,0)),"")</f>
        <v/>
      </c>
      <c r="L137" s="109" t="str">
        <f aca="false">IFERROR(INDEX('Historical Data'!$N$2:$N$1068,MATCH($A137,'Historical Data'!$BE$2:$BE$1068,0)),"")</f>
        <v/>
      </c>
      <c r="M137" s="109" t="str">
        <f aca="false">IFERROR(INDEX('Historical Data'!$Q$2:$Q$1068,MATCH($A137,'Historical Data'!$BE$2:$BE$1068,0)),"")</f>
        <v/>
      </c>
      <c r="N137" s="110" t="str">
        <f aca="false">IFERROR(INDEX('Historical Data'!$S$2:$S$1068,MATCH($A137,'Historical Data'!$BE$2:$BE$1068,0)),"")</f>
        <v/>
      </c>
      <c r="O137" s="109" t="str">
        <f aca="false">IFERROR(INDEX('Historical Data'!$AJ$2:$AJ$1068,MATCH($A137,'Historical Data'!$BE$2:$BE$1068,0)),"")</f>
        <v/>
      </c>
      <c r="P137" s="109" t="str">
        <f aca="false">IFERROR(INDEX('Historical Data'!$AK$2:$AK$1068,MATCH($A137,'Historical Data'!$BE$2:$BE$1068,0)),"")</f>
        <v/>
      </c>
      <c r="Q137" s="106" t="str">
        <f aca="false">IFERROR(INDEX('Historical Data'!$AA$2:$AA$1068,MATCH($A137,'Historical Data'!$BE$2:$BE$1068,0)),"")</f>
        <v/>
      </c>
      <c r="R137" s="106" t="str">
        <f aca="false">IFERROR(INDEX('Historical Data'!$AB$2:$AB$1068,MATCH($A137,'Historical Data'!$BE$2:$BE$1068,0)),"")</f>
        <v/>
      </c>
      <c r="S137" s="106" t="str">
        <f aca="false">IFERROR(INDEX('Historical Data'!$AN$2:$AN$1068,MATCH($A137,'Historical Data'!$BE$2:$BE$1068,0)),"")</f>
        <v/>
      </c>
      <c r="T137" s="106" t="str">
        <f aca="false">IFERROR(INDEX('Historical Data'!$AC$2:$AC$1068,MATCH($A137,'Historical Data'!$BE$2:$BE$1068,0)),"")</f>
        <v/>
      </c>
      <c r="U137" s="106" t="str">
        <f aca="false">IFERROR(INDEX('Historical Data'!$AE$2:$AE$1068,MATCH($A137,'Historical Data'!$BE$2:$BE$1068,0)),"")</f>
        <v/>
      </c>
      <c r="V137" s="106" t="str">
        <f aca="false">IFERROR(INDEX('Historical Data'!$AH$2:$AH$1068,MATCH($A137,'Historical Data'!$BE$2:$BE$1068,0)),"")</f>
        <v/>
      </c>
      <c r="W137" s="106" t="str">
        <f aca="false">IFERROR(INDEX('Historical Data'!$BC$2:$BC$1068,MATCH($A137,'Historical Data'!$BE$2:$BE$1068,0)),"")</f>
        <v/>
      </c>
      <c r="X137" s="105" t="str">
        <f aca="false">IF(B137="","",IF(W137=1,"NR + industry + position",IF(W137=2,"NR + ISO + position",IF(W137=3,"NR + industry",IF(W137=4,"NR + ISO",IF(W137=5,"NR + position",IF(W137=6,"NR only","book baseline"))))))&amp;"  ["&amp;IF(T137=1,"seasoned","unseasoned")&amp;IF(U137=1,", defaulted","")&amp;IF(V137=1,", open","")&amp;"]")</f>
        <v/>
      </c>
    </row>
    <row r="138" customFormat="false" ht="15" hidden="false" customHeight="false" outlineLevel="0" collapsed="false">
      <c r="A138" s="105" t="n">
        <v>134</v>
      </c>
      <c r="B138" s="106" t="str">
        <f aca="false">IFERROR(INDEX('Historical Data'!$A$2:$A$1068,MATCH($A138,'Historical Data'!$BE$2:$BE$1068,0)),"")</f>
        <v/>
      </c>
      <c r="C138" s="106" t="str">
        <f aca="false">IFERROR(INDEX('Historical Data'!$B$2:$B$1068,MATCH($A138,'Historical Data'!$BE$2:$BE$1068,0)),"")</f>
        <v/>
      </c>
      <c r="D138" s="106" t="str">
        <f aca="false">IFERROR(INDEX('Historical Data'!$D$2:$D$1068,MATCH($A138,'Historical Data'!$BE$2:$BE$1068,0)),"")</f>
        <v/>
      </c>
      <c r="E138" s="107" t="str">
        <f aca="false">IFERROR(INDEX('Historical Data'!$E$2:$E$1068,MATCH($A138,'Historical Data'!$BE$2:$BE$1068,0)),"")</f>
        <v/>
      </c>
      <c r="F138" s="106" t="str">
        <f aca="false">IFERROR(INDEX('Historical Data'!$G$2:$G$1068,MATCH($A138,'Historical Data'!$BE$2:$BE$1068,0)),"")</f>
        <v/>
      </c>
      <c r="G138" s="106" t="str">
        <f aca="false">IFERROR(INDEX('Historical Data'!$Y$2:$Y$1068,MATCH($A138,'Historical Data'!$BE$2:$BE$1068,0)),"")</f>
        <v/>
      </c>
      <c r="H138" s="106" t="str">
        <f aca="false">IFERROR(INDEX('Historical Data'!$K$2:$K$1068,MATCH($A138,'Historical Data'!$BE$2:$BE$1068,0)),"")</f>
        <v/>
      </c>
      <c r="I138" s="106" t="str">
        <f aca="false">IFERROR(INDEX('Historical Data'!$J$2:$J$1068,MATCH($A138,'Historical Data'!$BE$2:$BE$1068,0)),"")</f>
        <v/>
      </c>
      <c r="J138" s="106" t="str">
        <f aca="false">IFERROR(INDEX('Historical Data'!$L$2:$L$1068,MATCH($A138,'Historical Data'!$BE$2:$BE$1068,0)),"")</f>
        <v/>
      </c>
      <c r="K138" s="108" t="str">
        <f aca="false">IFERROR(INDEX('Historical Data'!$M$2:$M$1068,MATCH($A138,'Historical Data'!$BE$2:$BE$1068,0)),"")</f>
        <v/>
      </c>
      <c r="L138" s="109" t="str">
        <f aca="false">IFERROR(INDEX('Historical Data'!$N$2:$N$1068,MATCH($A138,'Historical Data'!$BE$2:$BE$1068,0)),"")</f>
        <v/>
      </c>
      <c r="M138" s="109" t="str">
        <f aca="false">IFERROR(INDEX('Historical Data'!$Q$2:$Q$1068,MATCH($A138,'Historical Data'!$BE$2:$BE$1068,0)),"")</f>
        <v/>
      </c>
      <c r="N138" s="110" t="str">
        <f aca="false">IFERROR(INDEX('Historical Data'!$S$2:$S$1068,MATCH($A138,'Historical Data'!$BE$2:$BE$1068,0)),"")</f>
        <v/>
      </c>
      <c r="O138" s="109" t="str">
        <f aca="false">IFERROR(INDEX('Historical Data'!$AJ$2:$AJ$1068,MATCH($A138,'Historical Data'!$BE$2:$BE$1068,0)),"")</f>
        <v/>
      </c>
      <c r="P138" s="109" t="str">
        <f aca="false">IFERROR(INDEX('Historical Data'!$AK$2:$AK$1068,MATCH($A138,'Historical Data'!$BE$2:$BE$1068,0)),"")</f>
        <v/>
      </c>
      <c r="Q138" s="106" t="str">
        <f aca="false">IFERROR(INDEX('Historical Data'!$AA$2:$AA$1068,MATCH($A138,'Historical Data'!$BE$2:$BE$1068,0)),"")</f>
        <v/>
      </c>
      <c r="R138" s="106" t="str">
        <f aca="false">IFERROR(INDEX('Historical Data'!$AB$2:$AB$1068,MATCH($A138,'Historical Data'!$BE$2:$BE$1068,0)),"")</f>
        <v/>
      </c>
      <c r="S138" s="106" t="str">
        <f aca="false">IFERROR(INDEX('Historical Data'!$AN$2:$AN$1068,MATCH($A138,'Historical Data'!$BE$2:$BE$1068,0)),"")</f>
        <v/>
      </c>
      <c r="T138" s="106" t="str">
        <f aca="false">IFERROR(INDEX('Historical Data'!$AC$2:$AC$1068,MATCH($A138,'Historical Data'!$BE$2:$BE$1068,0)),"")</f>
        <v/>
      </c>
      <c r="U138" s="106" t="str">
        <f aca="false">IFERROR(INDEX('Historical Data'!$AE$2:$AE$1068,MATCH($A138,'Historical Data'!$BE$2:$BE$1068,0)),"")</f>
        <v/>
      </c>
      <c r="V138" s="106" t="str">
        <f aca="false">IFERROR(INDEX('Historical Data'!$AH$2:$AH$1068,MATCH($A138,'Historical Data'!$BE$2:$BE$1068,0)),"")</f>
        <v/>
      </c>
      <c r="W138" s="106" t="str">
        <f aca="false">IFERROR(INDEX('Historical Data'!$BC$2:$BC$1068,MATCH($A138,'Historical Data'!$BE$2:$BE$1068,0)),"")</f>
        <v/>
      </c>
      <c r="X138" s="105" t="str">
        <f aca="false">IF(B138="","",IF(W138=1,"NR + industry + position",IF(W138=2,"NR + ISO + position",IF(W138=3,"NR + industry",IF(W138=4,"NR + ISO",IF(W138=5,"NR + position",IF(W138=6,"NR only","book baseline"))))))&amp;"  ["&amp;IF(T138=1,"seasoned","unseasoned")&amp;IF(U138=1,", defaulted","")&amp;IF(V138=1,", open","")&amp;"]")</f>
        <v/>
      </c>
    </row>
    <row r="139" customFormat="false" ht="15" hidden="false" customHeight="false" outlineLevel="0" collapsed="false">
      <c r="A139" s="105" t="n">
        <v>135</v>
      </c>
      <c r="B139" s="106" t="str">
        <f aca="false">IFERROR(INDEX('Historical Data'!$A$2:$A$1068,MATCH($A139,'Historical Data'!$BE$2:$BE$1068,0)),"")</f>
        <v/>
      </c>
      <c r="C139" s="106" t="str">
        <f aca="false">IFERROR(INDEX('Historical Data'!$B$2:$B$1068,MATCH($A139,'Historical Data'!$BE$2:$BE$1068,0)),"")</f>
        <v/>
      </c>
      <c r="D139" s="106" t="str">
        <f aca="false">IFERROR(INDEX('Historical Data'!$D$2:$D$1068,MATCH($A139,'Historical Data'!$BE$2:$BE$1068,0)),"")</f>
        <v/>
      </c>
      <c r="E139" s="107" t="str">
        <f aca="false">IFERROR(INDEX('Historical Data'!$E$2:$E$1068,MATCH($A139,'Historical Data'!$BE$2:$BE$1068,0)),"")</f>
        <v/>
      </c>
      <c r="F139" s="106" t="str">
        <f aca="false">IFERROR(INDEX('Historical Data'!$G$2:$G$1068,MATCH($A139,'Historical Data'!$BE$2:$BE$1068,0)),"")</f>
        <v/>
      </c>
      <c r="G139" s="106" t="str">
        <f aca="false">IFERROR(INDEX('Historical Data'!$Y$2:$Y$1068,MATCH($A139,'Historical Data'!$BE$2:$BE$1068,0)),"")</f>
        <v/>
      </c>
      <c r="H139" s="106" t="str">
        <f aca="false">IFERROR(INDEX('Historical Data'!$K$2:$K$1068,MATCH($A139,'Historical Data'!$BE$2:$BE$1068,0)),"")</f>
        <v/>
      </c>
      <c r="I139" s="106" t="str">
        <f aca="false">IFERROR(INDEX('Historical Data'!$J$2:$J$1068,MATCH($A139,'Historical Data'!$BE$2:$BE$1068,0)),"")</f>
        <v/>
      </c>
      <c r="J139" s="106" t="str">
        <f aca="false">IFERROR(INDEX('Historical Data'!$L$2:$L$1068,MATCH($A139,'Historical Data'!$BE$2:$BE$1068,0)),"")</f>
        <v/>
      </c>
      <c r="K139" s="108" t="str">
        <f aca="false">IFERROR(INDEX('Historical Data'!$M$2:$M$1068,MATCH($A139,'Historical Data'!$BE$2:$BE$1068,0)),"")</f>
        <v/>
      </c>
      <c r="L139" s="109" t="str">
        <f aca="false">IFERROR(INDEX('Historical Data'!$N$2:$N$1068,MATCH($A139,'Historical Data'!$BE$2:$BE$1068,0)),"")</f>
        <v/>
      </c>
      <c r="M139" s="109" t="str">
        <f aca="false">IFERROR(INDEX('Historical Data'!$Q$2:$Q$1068,MATCH($A139,'Historical Data'!$BE$2:$BE$1068,0)),"")</f>
        <v/>
      </c>
      <c r="N139" s="110" t="str">
        <f aca="false">IFERROR(INDEX('Historical Data'!$S$2:$S$1068,MATCH($A139,'Historical Data'!$BE$2:$BE$1068,0)),"")</f>
        <v/>
      </c>
      <c r="O139" s="109" t="str">
        <f aca="false">IFERROR(INDEX('Historical Data'!$AJ$2:$AJ$1068,MATCH($A139,'Historical Data'!$BE$2:$BE$1068,0)),"")</f>
        <v/>
      </c>
      <c r="P139" s="109" t="str">
        <f aca="false">IFERROR(INDEX('Historical Data'!$AK$2:$AK$1068,MATCH($A139,'Historical Data'!$BE$2:$BE$1068,0)),"")</f>
        <v/>
      </c>
      <c r="Q139" s="106" t="str">
        <f aca="false">IFERROR(INDEX('Historical Data'!$AA$2:$AA$1068,MATCH($A139,'Historical Data'!$BE$2:$BE$1068,0)),"")</f>
        <v/>
      </c>
      <c r="R139" s="106" t="str">
        <f aca="false">IFERROR(INDEX('Historical Data'!$AB$2:$AB$1068,MATCH($A139,'Historical Data'!$BE$2:$BE$1068,0)),"")</f>
        <v/>
      </c>
      <c r="S139" s="106" t="str">
        <f aca="false">IFERROR(INDEX('Historical Data'!$AN$2:$AN$1068,MATCH($A139,'Historical Data'!$BE$2:$BE$1068,0)),"")</f>
        <v/>
      </c>
      <c r="T139" s="106" t="str">
        <f aca="false">IFERROR(INDEX('Historical Data'!$AC$2:$AC$1068,MATCH($A139,'Historical Data'!$BE$2:$BE$1068,0)),"")</f>
        <v/>
      </c>
      <c r="U139" s="106" t="str">
        <f aca="false">IFERROR(INDEX('Historical Data'!$AE$2:$AE$1068,MATCH($A139,'Historical Data'!$BE$2:$BE$1068,0)),"")</f>
        <v/>
      </c>
      <c r="V139" s="106" t="str">
        <f aca="false">IFERROR(INDEX('Historical Data'!$AH$2:$AH$1068,MATCH($A139,'Historical Data'!$BE$2:$BE$1068,0)),"")</f>
        <v/>
      </c>
      <c r="W139" s="106" t="str">
        <f aca="false">IFERROR(INDEX('Historical Data'!$BC$2:$BC$1068,MATCH($A139,'Historical Data'!$BE$2:$BE$1068,0)),"")</f>
        <v/>
      </c>
      <c r="X139" s="105" t="str">
        <f aca="false">IF(B139="","",IF(W139=1,"NR + industry + position",IF(W139=2,"NR + ISO + position",IF(W139=3,"NR + industry",IF(W139=4,"NR + ISO",IF(W139=5,"NR + position",IF(W139=6,"NR only","book baseline"))))))&amp;"  ["&amp;IF(T139=1,"seasoned","unseasoned")&amp;IF(U139=1,", defaulted","")&amp;IF(V139=1,", open","")&amp;"]")</f>
        <v/>
      </c>
    </row>
    <row r="140" customFormat="false" ht="15" hidden="false" customHeight="false" outlineLevel="0" collapsed="false">
      <c r="A140" s="105" t="n">
        <v>136</v>
      </c>
      <c r="B140" s="106" t="str">
        <f aca="false">IFERROR(INDEX('Historical Data'!$A$2:$A$1068,MATCH($A140,'Historical Data'!$BE$2:$BE$1068,0)),"")</f>
        <v/>
      </c>
      <c r="C140" s="106" t="str">
        <f aca="false">IFERROR(INDEX('Historical Data'!$B$2:$B$1068,MATCH($A140,'Historical Data'!$BE$2:$BE$1068,0)),"")</f>
        <v/>
      </c>
      <c r="D140" s="106" t="str">
        <f aca="false">IFERROR(INDEX('Historical Data'!$D$2:$D$1068,MATCH($A140,'Historical Data'!$BE$2:$BE$1068,0)),"")</f>
        <v/>
      </c>
      <c r="E140" s="107" t="str">
        <f aca="false">IFERROR(INDEX('Historical Data'!$E$2:$E$1068,MATCH($A140,'Historical Data'!$BE$2:$BE$1068,0)),"")</f>
        <v/>
      </c>
      <c r="F140" s="106" t="str">
        <f aca="false">IFERROR(INDEX('Historical Data'!$G$2:$G$1068,MATCH($A140,'Historical Data'!$BE$2:$BE$1068,0)),"")</f>
        <v/>
      </c>
      <c r="G140" s="106" t="str">
        <f aca="false">IFERROR(INDEX('Historical Data'!$Y$2:$Y$1068,MATCH($A140,'Historical Data'!$BE$2:$BE$1068,0)),"")</f>
        <v/>
      </c>
      <c r="H140" s="106" t="str">
        <f aca="false">IFERROR(INDEX('Historical Data'!$K$2:$K$1068,MATCH($A140,'Historical Data'!$BE$2:$BE$1068,0)),"")</f>
        <v/>
      </c>
      <c r="I140" s="106" t="str">
        <f aca="false">IFERROR(INDEX('Historical Data'!$J$2:$J$1068,MATCH($A140,'Historical Data'!$BE$2:$BE$1068,0)),"")</f>
        <v/>
      </c>
      <c r="J140" s="106" t="str">
        <f aca="false">IFERROR(INDEX('Historical Data'!$L$2:$L$1068,MATCH($A140,'Historical Data'!$BE$2:$BE$1068,0)),"")</f>
        <v/>
      </c>
      <c r="K140" s="108" t="str">
        <f aca="false">IFERROR(INDEX('Historical Data'!$M$2:$M$1068,MATCH($A140,'Historical Data'!$BE$2:$BE$1068,0)),"")</f>
        <v/>
      </c>
      <c r="L140" s="109" t="str">
        <f aca="false">IFERROR(INDEX('Historical Data'!$N$2:$N$1068,MATCH($A140,'Historical Data'!$BE$2:$BE$1068,0)),"")</f>
        <v/>
      </c>
      <c r="M140" s="109" t="str">
        <f aca="false">IFERROR(INDEX('Historical Data'!$Q$2:$Q$1068,MATCH($A140,'Historical Data'!$BE$2:$BE$1068,0)),"")</f>
        <v/>
      </c>
      <c r="N140" s="110" t="str">
        <f aca="false">IFERROR(INDEX('Historical Data'!$S$2:$S$1068,MATCH($A140,'Historical Data'!$BE$2:$BE$1068,0)),"")</f>
        <v/>
      </c>
      <c r="O140" s="109" t="str">
        <f aca="false">IFERROR(INDEX('Historical Data'!$AJ$2:$AJ$1068,MATCH($A140,'Historical Data'!$BE$2:$BE$1068,0)),"")</f>
        <v/>
      </c>
      <c r="P140" s="109" t="str">
        <f aca="false">IFERROR(INDEX('Historical Data'!$AK$2:$AK$1068,MATCH($A140,'Historical Data'!$BE$2:$BE$1068,0)),"")</f>
        <v/>
      </c>
      <c r="Q140" s="106" t="str">
        <f aca="false">IFERROR(INDEX('Historical Data'!$AA$2:$AA$1068,MATCH($A140,'Historical Data'!$BE$2:$BE$1068,0)),"")</f>
        <v/>
      </c>
      <c r="R140" s="106" t="str">
        <f aca="false">IFERROR(INDEX('Historical Data'!$AB$2:$AB$1068,MATCH($A140,'Historical Data'!$BE$2:$BE$1068,0)),"")</f>
        <v/>
      </c>
      <c r="S140" s="106" t="str">
        <f aca="false">IFERROR(INDEX('Historical Data'!$AN$2:$AN$1068,MATCH($A140,'Historical Data'!$BE$2:$BE$1068,0)),"")</f>
        <v/>
      </c>
      <c r="T140" s="106" t="str">
        <f aca="false">IFERROR(INDEX('Historical Data'!$AC$2:$AC$1068,MATCH($A140,'Historical Data'!$BE$2:$BE$1068,0)),"")</f>
        <v/>
      </c>
      <c r="U140" s="106" t="str">
        <f aca="false">IFERROR(INDEX('Historical Data'!$AE$2:$AE$1068,MATCH($A140,'Historical Data'!$BE$2:$BE$1068,0)),"")</f>
        <v/>
      </c>
      <c r="V140" s="106" t="str">
        <f aca="false">IFERROR(INDEX('Historical Data'!$AH$2:$AH$1068,MATCH($A140,'Historical Data'!$BE$2:$BE$1068,0)),"")</f>
        <v/>
      </c>
      <c r="W140" s="106" t="str">
        <f aca="false">IFERROR(INDEX('Historical Data'!$BC$2:$BC$1068,MATCH($A140,'Historical Data'!$BE$2:$BE$1068,0)),"")</f>
        <v/>
      </c>
      <c r="X140" s="105" t="str">
        <f aca="false">IF(B140="","",IF(W140=1,"NR + industry + position",IF(W140=2,"NR + ISO + position",IF(W140=3,"NR + industry",IF(W140=4,"NR + ISO",IF(W140=5,"NR + position",IF(W140=6,"NR only","book baseline"))))))&amp;"  ["&amp;IF(T140=1,"seasoned","unseasoned")&amp;IF(U140=1,", defaulted","")&amp;IF(V140=1,", open","")&amp;"]")</f>
        <v/>
      </c>
    </row>
    <row r="141" customFormat="false" ht="15" hidden="false" customHeight="false" outlineLevel="0" collapsed="false">
      <c r="A141" s="105" t="n">
        <v>137</v>
      </c>
      <c r="B141" s="106" t="str">
        <f aca="false">IFERROR(INDEX('Historical Data'!$A$2:$A$1068,MATCH($A141,'Historical Data'!$BE$2:$BE$1068,0)),"")</f>
        <v/>
      </c>
      <c r="C141" s="106" t="str">
        <f aca="false">IFERROR(INDEX('Historical Data'!$B$2:$B$1068,MATCH($A141,'Historical Data'!$BE$2:$BE$1068,0)),"")</f>
        <v/>
      </c>
      <c r="D141" s="106" t="str">
        <f aca="false">IFERROR(INDEX('Historical Data'!$D$2:$D$1068,MATCH($A141,'Historical Data'!$BE$2:$BE$1068,0)),"")</f>
        <v/>
      </c>
      <c r="E141" s="107" t="str">
        <f aca="false">IFERROR(INDEX('Historical Data'!$E$2:$E$1068,MATCH($A141,'Historical Data'!$BE$2:$BE$1068,0)),"")</f>
        <v/>
      </c>
      <c r="F141" s="106" t="str">
        <f aca="false">IFERROR(INDEX('Historical Data'!$G$2:$G$1068,MATCH($A141,'Historical Data'!$BE$2:$BE$1068,0)),"")</f>
        <v/>
      </c>
      <c r="G141" s="106" t="str">
        <f aca="false">IFERROR(INDEX('Historical Data'!$Y$2:$Y$1068,MATCH($A141,'Historical Data'!$BE$2:$BE$1068,0)),"")</f>
        <v/>
      </c>
      <c r="H141" s="106" t="str">
        <f aca="false">IFERROR(INDEX('Historical Data'!$K$2:$K$1068,MATCH($A141,'Historical Data'!$BE$2:$BE$1068,0)),"")</f>
        <v/>
      </c>
      <c r="I141" s="106" t="str">
        <f aca="false">IFERROR(INDEX('Historical Data'!$J$2:$J$1068,MATCH($A141,'Historical Data'!$BE$2:$BE$1068,0)),"")</f>
        <v/>
      </c>
      <c r="J141" s="106" t="str">
        <f aca="false">IFERROR(INDEX('Historical Data'!$L$2:$L$1068,MATCH($A141,'Historical Data'!$BE$2:$BE$1068,0)),"")</f>
        <v/>
      </c>
      <c r="K141" s="108" t="str">
        <f aca="false">IFERROR(INDEX('Historical Data'!$M$2:$M$1068,MATCH($A141,'Historical Data'!$BE$2:$BE$1068,0)),"")</f>
        <v/>
      </c>
      <c r="L141" s="109" t="str">
        <f aca="false">IFERROR(INDEX('Historical Data'!$N$2:$N$1068,MATCH($A141,'Historical Data'!$BE$2:$BE$1068,0)),"")</f>
        <v/>
      </c>
      <c r="M141" s="109" t="str">
        <f aca="false">IFERROR(INDEX('Historical Data'!$Q$2:$Q$1068,MATCH($A141,'Historical Data'!$BE$2:$BE$1068,0)),"")</f>
        <v/>
      </c>
      <c r="N141" s="110" t="str">
        <f aca="false">IFERROR(INDEX('Historical Data'!$S$2:$S$1068,MATCH($A141,'Historical Data'!$BE$2:$BE$1068,0)),"")</f>
        <v/>
      </c>
      <c r="O141" s="109" t="str">
        <f aca="false">IFERROR(INDEX('Historical Data'!$AJ$2:$AJ$1068,MATCH($A141,'Historical Data'!$BE$2:$BE$1068,0)),"")</f>
        <v/>
      </c>
      <c r="P141" s="109" t="str">
        <f aca="false">IFERROR(INDEX('Historical Data'!$AK$2:$AK$1068,MATCH($A141,'Historical Data'!$BE$2:$BE$1068,0)),"")</f>
        <v/>
      </c>
      <c r="Q141" s="106" t="str">
        <f aca="false">IFERROR(INDEX('Historical Data'!$AA$2:$AA$1068,MATCH($A141,'Historical Data'!$BE$2:$BE$1068,0)),"")</f>
        <v/>
      </c>
      <c r="R141" s="106" t="str">
        <f aca="false">IFERROR(INDEX('Historical Data'!$AB$2:$AB$1068,MATCH($A141,'Historical Data'!$BE$2:$BE$1068,0)),"")</f>
        <v/>
      </c>
      <c r="S141" s="106" t="str">
        <f aca="false">IFERROR(INDEX('Historical Data'!$AN$2:$AN$1068,MATCH($A141,'Historical Data'!$BE$2:$BE$1068,0)),"")</f>
        <v/>
      </c>
      <c r="T141" s="106" t="str">
        <f aca="false">IFERROR(INDEX('Historical Data'!$AC$2:$AC$1068,MATCH($A141,'Historical Data'!$BE$2:$BE$1068,0)),"")</f>
        <v/>
      </c>
      <c r="U141" s="106" t="str">
        <f aca="false">IFERROR(INDEX('Historical Data'!$AE$2:$AE$1068,MATCH($A141,'Historical Data'!$BE$2:$BE$1068,0)),"")</f>
        <v/>
      </c>
      <c r="V141" s="106" t="str">
        <f aca="false">IFERROR(INDEX('Historical Data'!$AH$2:$AH$1068,MATCH($A141,'Historical Data'!$BE$2:$BE$1068,0)),"")</f>
        <v/>
      </c>
      <c r="W141" s="106" t="str">
        <f aca="false">IFERROR(INDEX('Historical Data'!$BC$2:$BC$1068,MATCH($A141,'Historical Data'!$BE$2:$BE$1068,0)),"")</f>
        <v/>
      </c>
      <c r="X141" s="105" t="str">
        <f aca="false">IF(B141="","",IF(W141=1,"NR + industry + position",IF(W141=2,"NR + ISO + position",IF(W141=3,"NR + industry",IF(W141=4,"NR + ISO",IF(W141=5,"NR + position",IF(W141=6,"NR only","book baseline"))))))&amp;"  ["&amp;IF(T141=1,"seasoned","unseasoned")&amp;IF(U141=1,", defaulted","")&amp;IF(V141=1,", open","")&amp;"]")</f>
        <v/>
      </c>
    </row>
    <row r="142" customFormat="false" ht="15" hidden="false" customHeight="false" outlineLevel="0" collapsed="false">
      <c r="A142" s="105" t="n">
        <v>138</v>
      </c>
      <c r="B142" s="106" t="str">
        <f aca="false">IFERROR(INDEX('Historical Data'!$A$2:$A$1068,MATCH($A142,'Historical Data'!$BE$2:$BE$1068,0)),"")</f>
        <v/>
      </c>
      <c r="C142" s="106" t="str">
        <f aca="false">IFERROR(INDEX('Historical Data'!$B$2:$B$1068,MATCH($A142,'Historical Data'!$BE$2:$BE$1068,0)),"")</f>
        <v/>
      </c>
      <c r="D142" s="106" t="str">
        <f aca="false">IFERROR(INDEX('Historical Data'!$D$2:$D$1068,MATCH($A142,'Historical Data'!$BE$2:$BE$1068,0)),"")</f>
        <v/>
      </c>
      <c r="E142" s="107" t="str">
        <f aca="false">IFERROR(INDEX('Historical Data'!$E$2:$E$1068,MATCH($A142,'Historical Data'!$BE$2:$BE$1068,0)),"")</f>
        <v/>
      </c>
      <c r="F142" s="106" t="str">
        <f aca="false">IFERROR(INDEX('Historical Data'!$G$2:$G$1068,MATCH($A142,'Historical Data'!$BE$2:$BE$1068,0)),"")</f>
        <v/>
      </c>
      <c r="G142" s="106" t="str">
        <f aca="false">IFERROR(INDEX('Historical Data'!$Y$2:$Y$1068,MATCH($A142,'Historical Data'!$BE$2:$BE$1068,0)),"")</f>
        <v/>
      </c>
      <c r="H142" s="106" t="str">
        <f aca="false">IFERROR(INDEX('Historical Data'!$K$2:$K$1068,MATCH($A142,'Historical Data'!$BE$2:$BE$1068,0)),"")</f>
        <v/>
      </c>
      <c r="I142" s="106" t="str">
        <f aca="false">IFERROR(INDEX('Historical Data'!$J$2:$J$1068,MATCH($A142,'Historical Data'!$BE$2:$BE$1068,0)),"")</f>
        <v/>
      </c>
      <c r="J142" s="106" t="str">
        <f aca="false">IFERROR(INDEX('Historical Data'!$L$2:$L$1068,MATCH($A142,'Historical Data'!$BE$2:$BE$1068,0)),"")</f>
        <v/>
      </c>
      <c r="K142" s="108" t="str">
        <f aca="false">IFERROR(INDEX('Historical Data'!$M$2:$M$1068,MATCH($A142,'Historical Data'!$BE$2:$BE$1068,0)),"")</f>
        <v/>
      </c>
      <c r="L142" s="109" t="str">
        <f aca="false">IFERROR(INDEX('Historical Data'!$N$2:$N$1068,MATCH($A142,'Historical Data'!$BE$2:$BE$1068,0)),"")</f>
        <v/>
      </c>
      <c r="M142" s="109" t="str">
        <f aca="false">IFERROR(INDEX('Historical Data'!$Q$2:$Q$1068,MATCH($A142,'Historical Data'!$BE$2:$BE$1068,0)),"")</f>
        <v/>
      </c>
      <c r="N142" s="110" t="str">
        <f aca="false">IFERROR(INDEX('Historical Data'!$S$2:$S$1068,MATCH($A142,'Historical Data'!$BE$2:$BE$1068,0)),"")</f>
        <v/>
      </c>
      <c r="O142" s="109" t="str">
        <f aca="false">IFERROR(INDEX('Historical Data'!$AJ$2:$AJ$1068,MATCH($A142,'Historical Data'!$BE$2:$BE$1068,0)),"")</f>
        <v/>
      </c>
      <c r="P142" s="109" t="str">
        <f aca="false">IFERROR(INDEX('Historical Data'!$AK$2:$AK$1068,MATCH($A142,'Historical Data'!$BE$2:$BE$1068,0)),"")</f>
        <v/>
      </c>
      <c r="Q142" s="106" t="str">
        <f aca="false">IFERROR(INDEX('Historical Data'!$AA$2:$AA$1068,MATCH($A142,'Historical Data'!$BE$2:$BE$1068,0)),"")</f>
        <v/>
      </c>
      <c r="R142" s="106" t="str">
        <f aca="false">IFERROR(INDEX('Historical Data'!$AB$2:$AB$1068,MATCH($A142,'Historical Data'!$BE$2:$BE$1068,0)),"")</f>
        <v/>
      </c>
      <c r="S142" s="106" t="str">
        <f aca="false">IFERROR(INDEX('Historical Data'!$AN$2:$AN$1068,MATCH($A142,'Historical Data'!$BE$2:$BE$1068,0)),"")</f>
        <v/>
      </c>
      <c r="T142" s="106" t="str">
        <f aca="false">IFERROR(INDEX('Historical Data'!$AC$2:$AC$1068,MATCH($A142,'Historical Data'!$BE$2:$BE$1068,0)),"")</f>
        <v/>
      </c>
      <c r="U142" s="106" t="str">
        <f aca="false">IFERROR(INDEX('Historical Data'!$AE$2:$AE$1068,MATCH($A142,'Historical Data'!$BE$2:$BE$1068,0)),"")</f>
        <v/>
      </c>
      <c r="V142" s="106" t="str">
        <f aca="false">IFERROR(INDEX('Historical Data'!$AH$2:$AH$1068,MATCH($A142,'Historical Data'!$BE$2:$BE$1068,0)),"")</f>
        <v/>
      </c>
      <c r="W142" s="106" t="str">
        <f aca="false">IFERROR(INDEX('Historical Data'!$BC$2:$BC$1068,MATCH($A142,'Historical Data'!$BE$2:$BE$1068,0)),"")</f>
        <v/>
      </c>
      <c r="X142" s="105" t="str">
        <f aca="false">IF(B142="","",IF(W142=1,"NR + industry + position",IF(W142=2,"NR + ISO + position",IF(W142=3,"NR + industry",IF(W142=4,"NR + ISO",IF(W142=5,"NR + position",IF(W142=6,"NR only","book baseline"))))))&amp;"  ["&amp;IF(T142=1,"seasoned","unseasoned")&amp;IF(U142=1,", defaulted","")&amp;IF(V142=1,", open","")&amp;"]")</f>
        <v/>
      </c>
    </row>
    <row r="143" customFormat="false" ht="15" hidden="false" customHeight="false" outlineLevel="0" collapsed="false">
      <c r="A143" s="105" t="n">
        <v>139</v>
      </c>
      <c r="B143" s="106" t="str">
        <f aca="false">IFERROR(INDEX('Historical Data'!$A$2:$A$1068,MATCH($A143,'Historical Data'!$BE$2:$BE$1068,0)),"")</f>
        <v/>
      </c>
      <c r="C143" s="106" t="str">
        <f aca="false">IFERROR(INDEX('Historical Data'!$B$2:$B$1068,MATCH($A143,'Historical Data'!$BE$2:$BE$1068,0)),"")</f>
        <v/>
      </c>
      <c r="D143" s="106" t="str">
        <f aca="false">IFERROR(INDEX('Historical Data'!$D$2:$D$1068,MATCH($A143,'Historical Data'!$BE$2:$BE$1068,0)),"")</f>
        <v/>
      </c>
      <c r="E143" s="107" t="str">
        <f aca="false">IFERROR(INDEX('Historical Data'!$E$2:$E$1068,MATCH($A143,'Historical Data'!$BE$2:$BE$1068,0)),"")</f>
        <v/>
      </c>
      <c r="F143" s="106" t="str">
        <f aca="false">IFERROR(INDEX('Historical Data'!$G$2:$G$1068,MATCH($A143,'Historical Data'!$BE$2:$BE$1068,0)),"")</f>
        <v/>
      </c>
      <c r="G143" s="106" t="str">
        <f aca="false">IFERROR(INDEX('Historical Data'!$Y$2:$Y$1068,MATCH($A143,'Historical Data'!$BE$2:$BE$1068,0)),"")</f>
        <v/>
      </c>
      <c r="H143" s="106" t="str">
        <f aca="false">IFERROR(INDEX('Historical Data'!$K$2:$K$1068,MATCH($A143,'Historical Data'!$BE$2:$BE$1068,0)),"")</f>
        <v/>
      </c>
      <c r="I143" s="106" t="str">
        <f aca="false">IFERROR(INDEX('Historical Data'!$J$2:$J$1068,MATCH($A143,'Historical Data'!$BE$2:$BE$1068,0)),"")</f>
        <v/>
      </c>
      <c r="J143" s="106" t="str">
        <f aca="false">IFERROR(INDEX('Historical Data'!$L$2:$L$1068,MATCH($A143,'Historical Data'!$BE$2:$BE$1068,0)),"")</f>
        <v/>
      </c>
      <c r="K143" s="108" t="str">
        <f aca="false">IFERROR(INDEX('Historical Data'!$M$2:$M$1068,MATCH($A143,'Historical Data'!$BE$2:$BE$1068,0)),"")</f>
        <v/>
      </c>
      <c r="L143" s="109" t="str">
        <f aca="false">IFERROR(INDEX('Historical Data'!$N$2:$N$1068,MATCH($A143,'Historical Data'!$BE$2:$BE$1068,0)),"")</f>
        <v/>
      </c>
      <c r="M143" s="109" t="str">
        <f aca="false">IFERROR(INDEX('Historical Data'!$Q$2:$Q$1068,MATCH($A143,'Historical Data'!$BE$2:$BE$1068,0)),"")</f>
        <v/>
      </c>
      <c r="N143" s="110" t="str">
        <f aca="false">IFERROR(INDEX('Historical Data'!$S$2:$S$1068,MATCH($A143,'Historical Data'!$BE$2:$BE$1068,0)),"")</f>
        <v/>
      </c>
      <c r="O143" s="109" t="str">
        <f aca="false">IFERROR(INDEX('Historical Data'!$AJ$2:$AJ$1068,MATCH($A143,'Historical Data'!$BE$2:$BE$1068,0)),"")</f>
        <v/>
      </c>
      <c r="P143" s="109" t="str">
        <f aca="false">IFERROR(INDEX('Historical Data'!$AK$2:$AK$1068,MATCH($A143,'Historical Data'!$BE$2:$BE$1068,0)),"")</f>
        <v/>
      </c>
      <c r="Q143" s="106" t="str">
        <f aca="false">IFERROR(INDEX('Historical Data'!$AA$2:$AA$1068,MATCH($A143,'Historical Data'!$BE$2:$BE$1068,0)),"")</f>
        <v/>
      </c>
      <c r="R143" s="106" t="str">
        <f aca="false">IFERROR(INDEX('Historical Data'!$AB$2:$AB$1068,MATCH($A143,'Historical Data'!$BE$2:$BE$1068,0)),"")</f>
        <v/>
      </c>
      <c r="S143" s="106" t="str">
        <f aca="false">IFERROR(INDEX('Historical Data'!$AN$2:$AN$1068,MATCH($A143,'Historical Data'!$BE$2:$BE$1068,0)),"")</f>
        <v/>
      </c>
      <c r="T143" s="106" t="str">
        <f aca="false">IFERROR(INDEX('Historical Data'!$AC$2:$AC$1068,MATCH($A143,'Historical Data'!$BE$2:$BE$1068,0)),"")</f>
        <v/>
      </c>
      <c r="U143" s="106" t="str">
        <f aca="false">IFERROR(INDEX('Historical Data'!$AE$2:$AE$1068,MATCH($A143,'Historical Data'!$BE$2:$BE$1068,0)),"")</f>
        <v/>
      </c>
      <c r="V143" s="106" t="str">
        <f aca="false">IFERROR(INDEX('Historical Data'!$AH$2:$AH$1068,MATCH($A143,'Historical Data'!$BE$2:$BE$1068,0)),"")</f>
        <v/>
      </c>
      <c r="W143" s="106" t="str">
        <f aca="false">IFERROR(INDEX('Historical Data'!$BC$2:$BC$1068,MATCH($A143,'Historical Data'!$BE$2:$BE$1068,0)),"")</f>
        <v/>
      </c>
      <c r="X143" s="105" t="str">
        <f aca="false">IF(B143="","",IF(W143=1,"NR + industry + position",IF(W143=2,"NR + ISO + position",IF(W143=3,"NR + industry",IF(W143=4,"NR + ISO",IF(W143=5,"NR + position",IF(W143=6,"NR only","book baseline"))))))&amp;"  ["&amp;IF(T143=1,"seasoned","unseasoned")&amp;IF(U143=1,", defaulted","")&amp;IF(V143=1,", open","")&amp;"]")</f>
        <v/>
      </c>
    </row>
    <row r="144" customFormat="false" ht="15" hidden="false" customHeight="false" outlineLevel="0" collapsed="false">
      <c r="A144" s="105" t="n">
        <v>140</v>
      </c>
      <c r="B144" s="106" t="str">
        <f aca="false">IFERROR(INDEX('Historical Data'!$A$2:$A$1068,MATCH($A144,'Historical Data'!$BE$2:$BE$1068,0)),"")</f>
        <v/>
      </c>
      <c r="C144" s="106" t="str">
        <f aca="false">IFERROR(INDEX('Historical Data'!$B$2:$B$1068,MATCH($A144,'Historical Data'!$BE$2:$BE$1068,0)),"")</f>
        <v/>
      </c>
      <c r="D144" s="106" t="str">
        <f aca="false">IFERROR(INDEX('Historical Data'!$D$2:$D$1068,MATCH($A144,'Historical Data'!$BE$2:$BE$1068,0)),"")</f>
        <v/>
      </c>
      <c r="E144" s="107" t="str">
        <f aca="false">IFERROR(INDEX('Historical Data'!$E$2:$E$1068,MATCH($A144,'Historical Data'!$BE$2:$BE$1068,0)),"")</f>
        <v/>
      </c>
      <c r="F144" s="106" t="str">
        <f aca="false">IFERROR(INDEX('Historical Data'!$G$2:$G$1068,MATCH($A144,'Historical Data'!$BE$2:$BE$1068,0)),"")</f>
        <v/>
      </c>
      <c r="G144" s="106" t="str">
        <f aca="false">IFERROR(INDEX('Historical Data'!$Y$2:$Y$1068,MATCH($A144,'Historical Data'!$BE$2:$BE$1068,0)),"")</f>
        <v/>
      </c>
      <c r="H144" s="106" t="str">
        <f aca="false">IFERROR(INDEX('Historical Data'!$K$2:$K$1068,MATCH($A144,'Historical Data'!$BE$2:$BE$1068,0)),"")</f>
        <v/>
      </c>
      <c r="I144" s="106" t="str">
        <f aca="false">IFERROR(INDEX('Historical Data'!$J$2:$J$1068,MATCH($A144,'Historical Data'!$BE$2:$BE$1068,0)),"")</f>
        <v/>
      </c>
      <c r="J144" s="106" t="str">
        <f aca="false">IFERROR(INDEX('Historical Data'!$L$2:$L$1068,MATCH($A144,'Historical Data'!$BE$2:$BE$1068,0)),"")</f>
        <v/>
      </c>
      <c r="K144" s="108" t="str">
        <f aca="false">IFERROR(INDEX('Historical Data'!$M$2:$M$1068,MATCH($A144,'Historical Data'!$BE$2:$BE$1068,0)),"")</f>
        <v/>
      </c>
      <c r="L144" s="109" t="str">
        <f aca="false">IFERROR(INDEX('Historical Data'!$N$2:$N$1068,MATCH($A144,'Historical Data'!$BE$2:$BE$1068,0)),"")</f>
        <v/>
      </c>
      <c r="M144" s="109" t="str">
        <f aca="false">IFERROR(INDEX('Historical Data'!$Q$2:$Q$1068,MATCH($A144,'Historical Data'!$BE$2:$BE$1068,0)),"")</f>
        <v/>
      </c>
      <c r="N144" s="110" t="str">
        <f aca="false">IFERROR(INDEX('Historical Data'!$S$2:$S$1068,MATCH($A144,'Historical Data'!$BE$2:$BE$1068,0)),"")</f>
        <v/>
      </c>
      <c r="O144" s="109" t="str">
        <f aca="false">IFERROR(INDEX('Historical Data'!$AJ$2:$AJ$1068,MATCH($A144,'Historical Data'!$BE$2:$BE$1068,0)),"")</f>
        <v/>
      </c>
      <c r="P144" s="109" t="str">
        <f aca="false">IFERROR(INDEX('Historical Data'!$AK$2:$AK$1068,MATCH($A144,'Historical Data'!$BE$2:$BE$1068,0)),"")</f>
        <v/>
      </c>
      <c r="Q144" s="106" t="str">
        <f aca="false">IFERROR(INDEX('Historical Data'!$AA$2:$AA$1068,MATCH($A144,'Historical Data'!$BE$2:$BE$1068,0)),"")</f>
        <v/>
      </c>
      <c r="R144" s="106" t="str">
        <f aca="false">IFERROR(INDEX('Historical Data'!$AB$2:$AB$1068,MATCH($A144,'Historical Data'!$BE$2:$BE$1068,0)),"")</f>
        <v/>
      </c>
      <c r="S144" s="106" t="str">
        <f aca="false">IFERROR(INDEX('Historical Data'!$AN$2:$AN$1068,MATCH($A144,'Historical Data'!$BE$2:$BE$1068,0)),"")</f>
        <v/>
      </c>
      <c r="T144" s="106" t="str">
        <f aca="false">IFERROR(INDEX('Historical Data'!$AC$2:$AC$1068,MATCH($A144,'Historical Data'!$BE$2:$BE$1068,0)),"")</f>
        <v/>
      </c>
      <c r="U144" s="106" t="str">
        <f aca="false">IFERROR(INDEX('Historical Data'!$AE$2:$AE$1068,MATCH($A144,'Historical Data'!$BE$2:$BE$1068,0)),"")</f>
        <v/>
      </c>
      <c r="V144" s="106" t="str">
        <f aca="false">IFERROR(INDEX('Historical Data'!$AH$2:$AH$1068,MATCH($A144,'Historical Data'!$BE$2:$BE$1068,0)),"")</f>
        <v/>
      </c>
      <c r="W144" s="106" t="str">
        <f aca="false">IFERROR(INDEX('Historical Data'!$BC$2:$BC$1068,MATCH($A144,'Historical Data'!$BE$2:$BE$1068,0)),"")</f>
        <v/>
      </c>
      <c r="X144" s="105" t="str">
        <f aca="false">IF(B144="","",IF(W144=1,"NR + industry + position",IF(W144=2,"NR + ISO + position",IF(W144=3,"NR + industry",IF(W144=4,"NR + ISO",IF(W144=5,"NR + position",IF(W144=6,"NR only","book baseline"))))))&amp;"  ["&amp;IF(T144=1,"seasoned","unseasoned")&amp;IF(U144=1,", defaulted","")&amp;IF(V144=1,", open","")&amp;"]")</f>
        <v/>
      </c>
    </row>
    <row r="145" customFormat="false" ht="15" hidden="false" customHeight="false" outlineLevel="0" collapsed="false">
      <c r="A145" s="105" t="n">
        <v>141</v>
      </c>
      <c r="B145" s="106" t="str">
        <f aca="false">IFERROR(INDEX('Historical Data'!$A$2:$A$1068,MATCH($A145,'Historical Data'!$BE$2:$BE$1068,0)),"")</f>
        <v/>
      </c>
      <c r="C145" s="106" t="str">
        <f aca="false">IFERROR(INDEX('Historical Data'!$B$2:$B$1068,MATCH($A145,'Historical Data'!$BE$2:$BE$1068,0)),"")</f>
        <v/>
      </c>
      <c r="D145" s="106" t="str">
        <f aca="false">IFERROR(INDEX('Historical Data'!$D$2:$D$1068,MATCH($A145,'Historical Data'!$BE$2:$BE$1068,0)),"")</f>
        <v/>
      </c>
      <c r="E145" s="107" t="str">
        <f aca="false">IFERROR(INDEX('Historical Data'!$E$2:$E$1068,MATCH($A145,'Historical Data'!$BE$2:$BE$1068,0)),"")</f>
        <v/>
      </c>
      <c r="F145" s="106" t="str">
        <f aca="false">IFERROR(INDEX('Historical Data'!$G$2:$G$1068,MATCH($A145,'Historical Data'!$BE$2:$BE$1068,0)),"")</f>
        <v/>
      </c>
      <c r="G145" s="106" t="str">
        <f aca="false">IFERROR(INDEX('Historical Data'!$Y$2:$Y$1068,MATCH($A145,'Historical Data'!$BE$2:$BE$1068,0)),"")</f>
        <v/>
      </c>
      <c r="H145" s="106" t="str">
        <f aca="false">IFERROR(INDEX('Historical Data'!$K$2:$K$1068,MATCH($A145,'Historical Data'!$BE$2:$BE$1068,0)),"")</f>
        <v/>
      </c>
      <c r="I145" s="106" t="str">
        <f aca="false">IFERROR(INDEX('Historical Data'!$J$2:$J$1068,MATCH($A145,'Historical Data'!$BE$2:$BE$1068,0)),"")</f>
        <v/>
      </c>
      <c r="J145" s="106" t="str">
        <f aca="false">IFERROR(INDEX('Historical Data'!$L$2:$L$1068,MATCH($A145,'Historical Data'!$BE$2:$BE$1068,0)),"")</f>
        <v/>
      </c>
      <c r="K145" s="108" t="str">
        <f aca="false">IFERROR(INDEX('Historical Data'!$M$2:$M$1068,MATCH($A145,'Historical Data'!$BE$2:$BE$1068,0)),"")</f>
        <v/>
      </c>
      <c r="L145" s="109" t="str">
        <f aca="false">IFERROR(INDEX('Historical Data'!$N$2:$N$1068,MATCH($A145,'Historical Data'!$BE$2:$BE$1068,0)),"")</f>
        <v/>
      </c>
      <c r="M145" s="109" t="str">
        <f aca="false">IFERROR(INDEX('Historical Data'!$Q$2:$Q$1068,MATCH($A145,'Historical Data'!$BE$2:$BE$1068,0)),"")</f>
        <v/>
      </c>
      <c r="N145" s="110" t="str">
        <f aca="false">IFERROR(INDEX('Historical Data'!$S$2:$S$1068,MATCH($A145,'Historical Data'!$BE$2:$BE$1068,0)),"")</f>
        <v/>
      </c>
      <c r="O145" s="109" t="str">
        <f aca="false">IFERROR(INDEX('Historical Data'!$AJ$2:$AJ$1068,MATCH($A145,'Historical Data'!$BE$2:$BE$1068,0)),"")</f>
        <v/>
      </c>
      <c r="P145" s="109" t="str">
        <f aca="false">IFERROR(INDEX('Historical Data'!$AK$2:$AK$1068,MATCH($A145,'Historical Data'!$BE$2:$BE$1068,0)),"")</f>
        <v/>
      </c>
      <c r="Q145" s="106" t="str">
        <f aca="false">IFERROR(INDEX('Historical Data'!$AA$2:$AA$1068,MATCH($A145,'Historical Data'!$BE$2:$BE$1068,0)),"")</f>
        <v/>
      </c>
      <c r="R145" s="106" t="str">
        <f aca="false">IFERROR(INDEX('Historical Data'!$AB$2:$AB$1068,MATCH($A145,'Historical Data'!$BE$2:$BE$1068,0)),"")</f>
        <v/>
      </c>
      <c r="S145" s="106" t="str">
        <f aca="false">IFERROR(INDEX('Historical Data'!$AN$2:$AN$1068,MATCH($A145,'Historical Data'!$BE$2:$BE$1068,0)),"")</f>
        <v/>
      </c>
      <c r="T145" s="106" t="str">
        <f aca="false">IFERROR(INDEX('Historical Data'!$AC$2:$AC$1068,MATCH($A145,'Historical Data'!$BE$2:$BE$1068,0)),"")</f>
        <v/>
      </c>
      <c r="U145" s="106" t="str">
        <f aca="false">IFERROR(INDEX('Historical Data'!$AE$2:$AE$1068,MATCH($A145,'Historical Data'!$BE$2:$BE$1068,0)),"")</f>
        <v/>
      </c>
      <c r="V145" s="106" t="str">
        <f aca="false">IFERROR(INDEX('Historical Data'!$AH$2:$AH$1068,MATCH($A145,'Historical Data'!$BE$2:$BE$1068,0)),"")</f>
        <v/>
      </c>
      <c r="W145" s="106" t="str">
        <f aca="false">IFERROR(INDEX('Historical Data'!$BC$2:$BC$1068,MATCH($A145,'Historical Data'!$BE$2:$BE$1068,0)),"")</f>
        <v/>
      </c>
      <c r="X145" s="105" t="str">
        <f aca="false">IF(B145="","",IF(W145=1,"NR + industry + position",IF(W145=2,"NR + ISO + position",IF(W145=3,"NR + industry",IF(W145=4,"NR + ISO",IF(W145=5,"NR + position",IF(W145=6,"NR only","book baseline"))))))&amp;"  ["&amp;IF(T145=1,"seasoned","unseasoned")&amp;IF(U145=1,", defaulted","")&amp;IF(V145=1,", open","")&amp;"]")</f>
        <v/>
      </c>
    </row>
    <row r="146" customFormat="false" ht="15" hidden="false" customHeight="false" outlineLevel="0" collapsed="false">
      <c r="A146" s="105" t="n">
        <v>142</v>
      </c>
      <c r="B146" s="106" t="str">
        <f aca="false">IFERROR(INDEX('Historical Data'!$A$2:$A$1068,MATCH($A146,'Historical Data'!$BE$2:$BE$1068,0)),"")</f>
        <v/>
      </c>
      <c r="C146" s="106" t="str">
        <f aca="false">IFERROR(INDEX('Historical Data'!$B$2:$B$1068,MATCH($A146,'Historical Data'!$BE$2:$BE$1068,0)),"")</f>
        <v/>
      </c>
      <c r="D146" s="106" t="str">
        <f aca="false">IFERROR(INDEX('Historical Data'!$D$2:$D$1068,MATCH($A146,'Historical Data'!$BE$2:$BE$1068,0)),"")</f>
        <v/>
      </c>
      <c r="E146" s="107" t="str">
        <f aca="false">IFERROR(INDEX('Historical Data'!$E$2:$E$1068,MATCH($A146,'Historical Data'!$BE$2:$BE$1068,0)),"")</f>
        <v/>
      </c>
      <c r="F146" s="106" t="str">
        <f aca="false">IFERROR(INDEX('Historical Data'!$G$2:$G$1068,MATCH($A146,'Historical Data'!$BE$2:$BE$1068,0)),"")</f>
        <v/>
      </c>
      <c r="G146" s="106" t="str">
        <f aca="false">IFERROR(INDEX('Historical Data'!$Y$2:$Y$1068,MATCH($A146,'Historical Data'!$BE$2:$BE$1068,0)),"")</f>
        <v/>
      </c>
      <c r="H146" s="106" t="str">
        <f aca="false">IFERROR(INDEX('Historical Data'!$K$2:$K$1068,MATCH($A146,'Historical Data'!$BE$2:$BE$1068,0)),"")</f>
        <v/>
      </c>
      <c r="I146" s="106" t="str">
        <f aca="false">IFERROR(INDEX('Historical Data'!$J$2:$J$1068,MATCH($A146,'Historical Data'!$BE$2:$BE$1068,0)),"")</f>
        <v/>
      </c>
      <c r="J146" s="106" t="str">
        <f aca="false">IFERROR(INDEX('Historical Data'!$L$2:$L$1068,MATCH($A146,'Historical Data'!$BE$2:$BE$1068,0)),"")</f>
        <v/>
      </c>
      <c r="K146" s="108" t="str">
        <f aca="false">IFERROR(INDEX('Historical Data'!$M$2:$M$1068,MATCH($A146,'Historical Data'!$BE$2:$BE$1068,0)),"")</f>
        <v/>
      </c>
      <c r="L146" s="109" t="str">
        <f aca="false">IFERROR(INDEX('Historical Data'!$N$2:$N$1068,MATCH($A146,'Historical Data'!$BE$2:$BE$1068,0)),"")</f>
        <v/>
      </c>
      <c r="M146" s="109" t="str">
        <f aca="false">IFERROR(INDEX('Historical Data'!$Q$2:$Q$1068,MATCH($A146,'Historical Data'!$BE$2:$BE$1068,0)),"")</f>
        <v/>
      </c>
      <c r="N146" s="110" t="str">
        <f aca="false">IFERROR(INDEX('Historical Data'!$S$2:$S$1068,MATCH($A146,'Historical Data'!$BE$2:$BE$1068,0)),"")</f>
        <v/>
      </c>
      <c r="O146" s="109" t="str">
        <f aca="false">IFERROR(INDEX('Historical Data'!$AJ$2:$AJ$1068,MATCH($A146,'Historical Data'!$BE$2:$BE$1068,0)),"")</f>
        <v/>
      </c>
      <c r="P146" s="109" t="str">
        <f aca="false">IFERROR(INDEX('Historical Data'!$AK$2:$AK$1068,MATCH($A146,'Historical Data'!$BE$2:$BE$1068,0)),"")</f>
        <v/>
      </c>
      <c r="Q146" s="106" t="str">
        <f aca="false">IFERROR(INDEX('Historical Data'!$AA$2:$AA$1068,MATCH($A146,'Historical Data'!$BE$2:$BE$1068,0)),"")</f>
        <v/>
      </c>
      <c r="R146" s="106" t="str">
        <f aca="false">IFERROR(INDEX('Historical Data'!$AB$2:$AB$1068,MATCH($A146,'Historical Data'!$BE$2:$BE$1068,0)),"")</f>
        <v/>
      </c>
      <c r="S146" s="106" t="str">
        <f aca="false">IFERROR(INDEX('Historical Data'!$AN$2:$AN$1068,MATCH($A146,'Historical Data'!$BE$2:$BE$1068,0)),"")</f>
        <v/>
      </c>
      <c r="T146" s="106" t="str">
        <f aca="false">IFERROR(INDEX('Historical Data'!$AC$2:$AC$1068,MATCH($A146,'Historical Data'!$BE$2:$BE$1068,0)),"")</f>
        <v/>
      </c>
      <c r="U146" s="106" t="str">
        <f aca="false">IFERROR(INDEX('Historical Data'!$AE$2:$AE$1068,MATCH($A146,'Historical Data'!$BE$2:$BE$1068,0)),"")</f>
        <v/>
      </c>
      <c r="V146" s="106" t="str">
        <f aca="false">IFERROR(INDEX('Historical Data'!$AH$2:$AH$1068,MATCH($A146,'Historical Data'!$BE$2:$BE$1068,0)),"")</f>
        <v/>
      </c>
      <c r="W146" s="106" t="str">
        <f aca="false">IFERROR(INDEX('Historical Data'!$BC$2:$BC$1068,MATCH($A146,'Historical Data'!$BE$2:$BE$1068,0)),"")</f>
        <v/>
      </c>
      <c r="X146" s="105" t="str">
        <f aca="false">IF(B146="","",IF(W146=1,"NR + industry + position",IF(W146=2,"NR + ISO + position",IF(W146=3,"NR + industry",IF(W146=4,"NR + ISO",IF(W146=5,"NR + position",IF(W146=6,"NR only","book baseline"))))))&amp;"  ["&amp;IF(T146=1,"seasoned","unseasoned")&amp;IF(U146=1,", defaulted","")&amp;IF(V146=1,", open","")&amp;"]")</f>
        <v/>
      </c>
    </row>
    <row r="147" customFormat="false" ht="15" hidden="false" customHeight="false" outlineLevel="0" collapsed="false">
      <c r="A147" s="105" t="n">
        <v>143</v>
      </c>
      <c r="B147" s="106" t="str">
        <f aca="false">IFERROR(INDEX('Historical Data'!$A$2:$A$1068,MATCH($A147,'Historical Data'!$BE$2:$BE$1068,0)),"")</f>
        <v/>
      </c>
      <c r="C147" s="106" t="str">
        <f aca="false">IFERROR(INDEX('Historical Data'!$B$2:$B$1068,MATCH($A147,'Historical Data'!$BE$2:$BE$1068,0)),"")</f>
        <v/>
      </c>
      <c r="D147" s="106" t="str">
        <f aca="false">IFERROR(INDEX('Historical Data'!$D$2:$D$1068,MATCH($A147,'Historical Data'!$BE$2:$BE$1068,0)),"")</f>
        <v/>
      </c>
      <c r="E147" s="107" t="str">
        <f aca="false">IFERROR(INDEX('Historical Data'!$E$2:$E$1068,MATCH($A147,'Historical Data'!$BE$2:$BE$1068,0)),"")</f>
        <v/>
      </c>
      <c r="F147" s="106" t="str">
        <f aca="false">IFERROR(INDEX('Historical Data'!$G$2:$G$1068,MATCH($A147,'Historical Data'!$BE$2:$BE$1068,0)),"")</f>
        <v/>
      </c>
      <c r="G147" s="106" t="str">
        <f aca="false">IFERROR(INDEX('Historical Data'!$Y$2:$Y$1068,MATCH($A147,'Historical Data'!$BE$2:$BE$1068,0)),"")</f>
        <v/>
      </c>
      <c r="H147" s="106" t="str">
        <f aca="false">IFERROR(INDEX('Historical Data'!$K$2:$K$1068,MATCH($A147,'Historical Data'!$BE$2:$BE$1068,0)),"")</f>
        <v/>
      </c>
      <c r="I147" s="106" t="str">
        <f aca="false">IFERROR(INDEX('Historical Data'!$J$2:$J$1068,MATCH($A147,'Historical Data'!$BE$2:$BE$1068,0)),"")</f>
        <v/>
      </c>
      <c r="J147" s="106" t="str">
        <f aca="false">IFERROR(INDEX('Historical Data'!$L$2:$L$1068,MATCH($A147,'Historical Data'!$BE$2:$BE$1068,0)),"")</f>
        <v/>
      </c>
      <c r="K147" s="108" t="str">
        <f aca="false">IFERROR(INDEX('Historical Data'!$M$2:$M$1068,MATCH($A147,'Historical Data'!$BE$2:$BE$1068,0)),"")</f>
        <v/>
      </c>
      <c r="L147" s="109" t="str">
        <f aca="false">IFERROR(INDEX('Historical Data'!$N$2:$N$1068,MATCH($A147,'Historical Data'!$BE$2:$BE$1068,0)),"")</f>
        <v/>
      </c>
      <c r="M147" s="109" t="str">
        <f aca="false">IFERROR(INDEX('Historical Data'!$Q$2:$Q$1068,MATCH($A147,'Historical Data'!$BE$2:$BE$1068,0)),"")</f>
        <v/>
      </c>
      <c r="N147" s="110" t="str">
        <f aca="false">IFERROR(INDEX('Historical Data'!$S$2:$S$1068,MATCH($A147,'Historical Data'!$BE$2:$BE$1068,0)),"")</f>
        <v/>
      </c>
      <c r="O147" s="109" t="str">
        <f aca="false">IFERROR(INDEX('Historical Data'!$AJ$2:$AJ$1068,MATCH($A147,'Historical Data'!$BE$2:$BE$1068,0)),"")</f>
        <v/>
      </c>
      <c r="P147" s="109" t="str">
        <f aca="false">IFERROR(INDEX('Historical Data'!$AK$2:$AK$1068,MATCH($A147,'Historical Data'!$BE$2:$BE$1068,0)),"")</f>
        <v/>
      </c>
      <c r="Q147" s="106" t="str">
        <f aca="false">IFERROR(INDEX('Historical Data'!$AA$2:$AA$1068,MATCH($A147,'Historical Data'!$BE$2:$BE$1068,0)),"")</f>
        <v/>
      </c>
      <c r="R147" s="106" t="str">
        <f aca="false">IFERROR(INDEX('Historical Data'!$AB$2:$AB$1068,MATCH($A147,'Historical Data'!$BE$2:$BE$1068,0)),"")</f>
        <v/>
      </c>
      <c r="S147" s="106" t="str">
        <f aca="false">IFERROR(INDEX('Historical Data'!$AN$2:$AN$1068,MATCH($A147,'Historical Data'!$BE$2:$BE$1068,0)),"")</f>
        <v/>
      </c>
      <c r="T147" s="106" t="str">
        <f aca="false">IFERROR(INDEX('Historical Data'!$AC$2:$AC$1068,MATCH($A147,'Historical Data'!$BE$2:$BE$1068,0)),"")</f>
        <v/>
      </c>
      <c r="U147" s="106" t="str">
        <f aca="false">IFERROR(INDEX('Historical Data'!$AE$2:$AE$1068,MATCH($A147,'Historical Data'!$BE$2:$BE$1068,0)),"")</f>
        <v/>
      </c>
      <c r="V147" s="106" t="str">
        <f aca="false">IFERROR(INDEX('Historical Data'!$AH$2:$AH$1068,MATCH($A147,'Historical Data'!$BE$2:$BE$1068,0)),"")</f>
        <v/>
      </c>
      <c r="W147" s="106" t="str">
        <f aca="false">IFERROR(INDEX('Historical Data'!$BC$2:$BC$1068,MATCH($A147,'Historical Data'!$BE$2:$BE$1068,0)),"")</f>
        <v/>
      </c>
      <c r="X147" s="105" t="str">
        <f aca="false">IF(B147="","",IF(W147=1,"NR + industry + position",IF(W147=2,"NR + ISO + position",IF(W147=3,"NR + industry",IF(W147=4,"NR + ISO",IF(W147=5,"NR + position",IF(W147=6,"NR only","book baseline"))))))&amp;"  ["&amp;IF(T147=1,"seasoned","unseasoned")&amp;IF(U147=1,", defaulted","")&amp;IF(V147=1,", open","")&amp;"]")</f>
        <v/>
      </c>
    </row>
    <row r="148" customFormat="false" ht="15" hidden="false" customHeight="false" outlineLevel="0" collapsed="false">
      <c r="A148" s="105" t="n">
        <v>144</v>
      </c>
      <c r="B148" s="106" t="str">
        <f aca="false">IFERROR(INDEX('Historical Data'!$A$2:$A$1068,MATCH($A148,'Historical Data'!$BE$2:$BE$1068,0)),"")</f>
        <v/>
      </c>
      <c r="C148" s="106" t="str">
        <f aca="false">IFERROR(INDEX('Historical Data'!$B$2:$B$1068,MATCH($A148,'Historical Data'!$BE$2:$BE$1068,0)),"")</f>
        <v/>
      </c>
      <c r="D148" s="106" t="str">
        <f aca="false">IFERROR(INDEX('Historical Data'!$D$2:$D$1068,MATCH($A148,'Historical Data'!$BE$2:$BE$1068,0)),"")</f>
        <v/>
      </c>
      <c r="E148" s="107" t="str">
        <f aca="false">IFERROR(INDEX('Historical Data'!$E$2:$E$1068,MATCH($A148,'Historical Data'!$BE$2:$BE$1068,0)),"")</f>
        <v/>
      </c>
      <c r="F148" s="106" t="str">
        <f aca="false">IFERROR(INDEX('Historical Data'!$G$2:$G$1068,MATCH($A148,'Historical Data'!$BE$2:$BE$1068,0)),"")</f>
        <v/>
      </c>
      <c r="G148" s="106" t="str">
        <f aca="false">IFERROR(INDEX('Historical Data'!$Y$2:$Y$1068,MATCH($A148,'Historical Data'!$BE$2:$BE$1068,0)),"")</f>
        <v/>
      </c>
      <c r="H148" s="106" t="str">
        <f aca="false">IFERROR(INDEX('Historical Data'!$K$2:$K$1068,MATCH($A148,'Historical Data'!$BE$2:$BE$1068,0)),"")</f>
        <v/>
      </c>
      <c r="I148" s="106" t="str">
        <f aca="false">IFERROR(INDEX('Historical Data'!$J$2:$J$1068,MATCH($A148,'Historical Data'!$BE$2:$BE$1068,0)),"")</f>
        <v/>
      </c>
      <c r="J148" s="106" t="str">
        <f aca="false">IFERROR(INDEX('Historical Data'!$L$2:$L$1068,MATCH($A148,'Historical Data'!$BE$2:$BE$1068,0)),"")</f>
        <v/>
      </c>
      <c r="K148" s="108" t="str">
        <f aca="false">IFERROR(INDEX('Historical Data'!$M$2:$M$1068,MATCH($A148,'Historical Data'!$BE$2:$BE$1068,0)),"")</f>
        <v/>
      </c>
      <c r="L148" s="109" t="str">
        <f aca="false">IFERROR(INDEX('Historical Data'!$N$2:$N$1068,MATCH($A148,'Historical Data'!$BE$2:$BE$1068,0)),"")</f>
        <v/>
      </c>
      <c r="M148" s="109" t="str">
        <f aca="false">IFERROR(INDEX('Historical Data'!$Q$2:$Q$1068,MATCH($A148,'Historical Data'!$BE$2:$BE$1068,0)),"")</f>
        <v/>
      </c>
      <c r="N148" s="110" t="str">
        <f aca="false">IFERROR(INDEX('Historical Data'!$S$2:$S$1068,MATCH($A148,'Historical Data'!$BE$2:$BE$1068,0)),"")</f>
        <v/>
      </c>
      <c r="O148" s="109" t="str">
        <f aca="false">IFERROR(INDEX('Historical Data'!$AJ$2:$AJ$1068,MATCH($A148,'Historical Data'!$BE$2:$BE$1068,0)),"")</f>
        <v/>
      </c>
      <c r="P148" s="109" t="str">
        <f aca="false">IFERROR(INDEX('Historical Data'!$AK$2:$AK$1068,MATCH($A148,'Historical Data'!$BE$2:$BE$1068,0)),"")</f>
        <v/>
      </c>
      <c r="Q148" s="106" t="str">
        <f aca="false">IFERROR(INDEX('Historical Data'!$AA$2:$AA$1068,MATCH($A148,'Historical Data'!$BE$2:$BE$1068,0)),"")</f>
        <v/>
      </c>
      <c r="R148" s="106" t="str">
        <f aca="false">IFERROR(INDEX('Historical Data'!$AB$2:$AB$1068,MATCH($A148,'Historical Data'!$BE$2:$BE$1068,0)),"")</f>
        <v/>
      </c>
      <c r="S148" s="106" t="str">
        <f aca="false">IFERROR(INDEX('Historical Data'!$AN$2:$AN$1068,MATCH($A148,'Historical Data'!$BE$2:$BE$1068,0)),"")</f>
        <v/>
      </c>
      <c r="T148" s="106" t="str">
        <f aca="false">IFERROR(INDEX('Historical Data'!$AC$2:$AC$1068,MATCH($A148,'Historical Data'!$BE$2:$BE$1068,0)),"")</f>
        <v/>
      </c>
      <c r="U148" s="106" t="str">
        <f aca="false">IFERROR(INDEX('Historical Data'!$AE$2:$AE$1068,MATCH($A148,'Historical Data'!$BE$2:$BE$1068,0)),"")</f>
        <v/>
      </c>
      <c r="V148" s="106" t="str">
        <f aca="false">IFERROR(INDEX('Historical Data'!$AH$2:$AH$1068,MATCH($A148,'Historical Data'!$BE$2:$BE$1068,0)),"")</f>
        <v/>
      </c>
      <c r="W148" s="106" t="str">
        <f aca="false">IFERROR(INDEX('Historical Data'!$BC$2:$BC$1068,MATCH($A148,'Historical Data'!$BE$2:$BE$1068,0)),"")</f>
        <v/>
      </c>
      <c r="X148" s="105" t="str">
        <f aca="false">IF(B148="","",IF(W148=1,"NR + industry + position",IF(W148=2,"NR + ISO + position",IF(W148=3,"NR + industry",IF(W148=4,"NR + ISO",IF(W148=5,"NR + position",IF(W148=6,"NR only","book baseline"))))))&amp;"  ["&amp;IF(T148=1,"seasoned","unseasoned")&amp;IF(U148=1,", defaulted","")&amp;IF(V148=1,", open","")&amp;"]")</f>
        <v/>
      </c>
    </row>
    <row r="149" customFormat="false" ht="15" hidden="false" customHeight="false" outlineLevel="0" collapsed="false">
      <c r="A149" s="105" t="n">
        <v>145</v>
      </c>
      <c r="B149" s="106" t="str">
        <f aca="false">IFERROR(INDEX('Historical Data'!$A$2:$A$1068,MATCH($A149,'Historical Data'!$BE$2:$BE$1068,0)),"")</f>
        <v/>
      </c>
      <c r="C149" s="106" t="str">
        <f aca="false">IFERROR(INDEX('Historical Data'!$B$2:$B$1068,MATCH($A149,'Historical Data'!$BE$2:$BE$1068,0)),"")</f>
        <v/>
      </c>
      <c r="D149" s="106" t="str">
        <f aca="false">IFERROR(INDEX('Historical Data'!$D$2:$D$1068,MATCH($A149,'Historical Data'!$BE$2:$BE$1068,0)),"")</f>
        <v/>
      </c>
      <c r="E149" s="107" t="str">
        <f aca="false">IFERROR(INDEX('Historical Data'!$E$2:$E$1068,MATCH($A149,'Historical Data'!$BE$2:$BE$1068,0)),"")</f>
        <v/>
      </c>
      <c r="F149" s="106" t="str">
        <f aca="false">IFERROR(INDEX('Historical Data'!$G$2:$G$1068,MATCH($A149,'Historical Data'!$BE$2:$BE$1068,0)),"")</f>
        <v/>
      </c>
      <c r="G149" s="106" t="str">
        <f aca="false">IFERROR(INDEX('Historical Data'!$Y$2:$Y$1068,MATCH($A149,'Historical Data'!$BE$2:$BE$1068,0)),"")</f>
        <v/>
      </c>
      <c r="H149" s="106" t="str">
        <f aca="false">IFERROR(INDEX('Historical Data'!$K$2:$K$1068,MATCH($A149,'Historical Data'!$BE$2:$BE$1068,0)),"")</f>
        <v/>
      </c>
      <c r="I149" s="106" t="str">
        <f aca="false">IFERROR(INDEX('Historical Data'!$J$2:$J$1068,MATCH($A149,'Historical Data'!$BE$2:$BE$1068,0)),"")</f>
        <v/>
      </c>
      <c r="J149" s="106" t="str">
        <f aca="false">IFERROR(INDEX('Historical Data'!$L$2:$L$1068,MATCH($A149,'Historical Data'!$BE$2:$BE$1068,0)),"")</f>
        <v/>
      </c>
      <c r="K149" s="108" t="str">
        <f aca="false">IFERROR(INDEX('Historical Data'!$M$2:$M$1068,MATCH($A149,'Historical Data'!$BE$2:$BE$1068,0)),"")</f>
        <v/>
      </c>
      <c r="L149" s="109" t="str">
        <f aca="false">IFERROR(INDEX('Historical Data'!$N$2:$N$1068,MATCH($A149,'Historical Data'!$BE$2:$BE$1068,0)),"")</f>
        <v/>
      </c>
      <c r="M149" s="109" t="str">
        <f aca="false">IFERROR(INDEX('Historical Data'!$Q$2:$Q$1068,MATCH($A149,'Historical Data'!$BE$2:$BE$1068,0)),"")</f>
        <v/>
      </c>
      <c r="N149" s="110" t="str">
        <f aca="false">IFERROR(INDEX('Historical Data'!$S$2:$S$1068,MATCH($A149,'Historical Data'!$BE$2:$BE$1068,0)),"")</f>
        <v/>
      </c>
      <c r="O149" s="109" t="str">
        <f aca="false">IFERROR(INDEX('Historical Data'!$AJ$2:$AJ$1068,MATCH($A149,'Historical Data'!$BE$2:$BE$1068,0)),"")</f>
        <v/>
      </c>
      <c r="P149" s="109" t="str">
        <f aca="false">IFERROR(INDEX('Historical Data'!$AK$2:$AK$1068,MATCH($A149,'Historical Data'!$BE$2:$BE$1068,0)),"")</f>
        <v/>
      </c>
      <c r="Q149" s="106" t="str">
        <f aca="false">IFERROR(INDEX('Historical Data'!$AA$2:$AA$1068,MATCH($A149,'Historical Data'!$BE$2:$BE$1068,0)),"")</f>
        <v/>
      </c>
      <c r="R149" s="106" t="str">
        <f aca="false">IFERROR(INDEX('Historical Data'!$AB$2:$AB$1068,MATCH($A149,'Historical Data'!$BE$2:$BE$1068,0)),"")</f>
        <v/>
      </c>
      <c r="S149" s="106" t="str">
        <f aca="false">IFERROR(INDEX('Historical Data'!$AN$2:$AN$1068,MATCH($A149,'Historical Data'!$BE$2:$BE$1068,0)),"")</f>
        <v/>
      </c>
      <c r="T149" s="106" t="str">
        <f aca="false">IFERROR(INDEX('Historical Data'!$AC$2:$AC$1068,MATCH($A149,'Historical Data'!$BE$2:$BE$1068,0)),"")</f>
        <v/>
      </c>
      <c r="U149" s="106" t="str">
        <f aca="false">IFERROR(INDEX('Historical Data'!$AE$2:$AE$1068,MATCH($A149,'Historical Data'!$BE$2:$BE$1068,0)),"")</f>
        <v/>
      </c>
      <c r="V149" s="106" t="str">
        <f aca="false">IFERROR(INDEX('Historical Data'!$AH$2:$AH$1068,MATCH($A149,'Historical Data'!$BE$2:$BE$1068,0)),"")</f>
        <v/>
      </c>
      <c r="W149" s="106" t="str">
        <f aca="false">IFERROR(INDEX('Historical Data'!$BC$2:$BC$1068,MATCH($A149,'Historical Data'!$BE$2:$BE$1068,0)),"")</f>
        <v/>
      </c>
      <c r="X149" s="105" t="str">
        <f aca="false">IF(B149="","",IF(W149=1,"NR + industry + position",IF(W149=2,"NR + ISO + position",IF(W149=3,"NR + industry",IF(W149=4,"NR + ISO",IF(W149=5,"NR + position",IF(W149=6,"NR only","book baseline"))))))&amp;"  ["&amp;IF(T149=1,"seasoned","unseasoned")&amp;IF(U149=1,", defaulted","")&amp;IF(V149=1,", open","")&amp;"]")</f>
        <v/>
      </c>
    </row>
    <row r="150" customFormat="false" ht="15" hidden="false" customHeight="false" outlineLevel="0" collapsed="false">
      <c r="A150" s="105" t="n">
        <v>146</v>
      </c>
      <c r="B150" s="106" t="str">
        <f aca="false">IFERROR(INDEX('Historical Data'!$A$2:$A$1068,MATCH($A150,'Historical Data'!$BE$2:$BE$1068,0)),"")</f>
        <v/>
      </c>
      <c r="C150" s="106" t="str">
        <f aca="false">IFERROR(INDEX('Historical Data'!$B$2:$B$1068,MATCH($A150,'Historical Data'!$BE$2:$BE$1068,0)),"")</f>
        <v/>
      </c>
      <c r="D150" s="106" t="str">
        <f aca="false">IFERROR(INDEX('Historical Data'!$D$2:$D$1068,MATCH($A150,'Historical Data'!$BE$2:$BE$1068,0)),"")</f>
        <v/>
      </c>
      <c r="E150" s="107" t="str">
        <f aca="false">IFERROR(INDEX('Historical Data'!$E$2:$E$1068,MATCH($A150,'Historical Data'!$BE$2:$BE$1068,0)),"")</f>
        <v/>
      </c>
      <c r="F150" s="106" t="str">
        <f aca="false">IFERROR(INDEX('Historical Data'!$G$2:$G$1068,MATCH($A150,'Historical Data'!$BE$2:$BE$1068,0)),"")</f>
        <v/>
      </c>
      <c r="G150" s="106" t="str">
        <f aca="false">IFERROR(INDEX('Historical Data'!$Y$2:$Y$1068,MATCH($A150,'Historical Data'!$BE$2:$BE$1068,0)),"")</f>
        <v/>
      </c>
      <c r="H150" s="106" t="str">
        <f aca="false">IFERROR(INDEX('Historical Data'!$K$2:$K$1068,MATCH($A150,'Historical Data'!$BE$2:$BE$1068,0)),"")</f>
        <v/>
      </c>
      <c r="I150" s="106" t="str">
        <f aca="false">IFERROR(INDEX('Historical Data'!$J$2:$J$1068,MATCH($A150,'Historical Data'!$BE$2:$BE$1068,0)),"")</f>
        <v/>
      </c>
      <c r="J150" s="106" t="str">
        <f aca="false">IFERROR(INDEX('Historical Data'!$L$2:$L$1068,MATCH($A150,'Historical Data'!$BE$2:$BE$1068,0)),"")</f>
        <v/>
      </c>
      <c r="K150" s="108" t="str">
        <f aca="false">IFERROR(INDEX('Historical Data'!$M$2:$M$1068,MATCH($A150,'Historical Data'!$BE$2:$BE$1068,0)),"")</f>
        <v/>
      </c>
      <c r="L150" s="109" t="str">
        <f aca="false">IFERROR(INDEX('Historical Data'!$N$2:$N$1068,MATCH($A150,'Historical Data'!$BE$2:$BE$1068,0)),"")</f>
        <v/>
      </c>
      <c r="M150" s="109" t="str">
        <f aca="false">IFERROR(INDEX('Historical Data'!$Q$2:$Q$1068,MATCH($A150,'Historical Data'!$BE$2:$BE$1068,0)),"")</f>
        <v/>
      </c>
      <c r="N150" s="110" t="str">
        <f aca="false">IFERROR(INDEX('Historical Data'!$S$2:$S$1068,MATCH($A150,'Historical Data'!$BE$2:$BE$1068,0)),"")</f>
        <v/>
      </c>
      <c r="O150" s="109" t="str">
        <f aca="false">IFERROR(INDEX('Historical Data'!$AJ$2:$AJ$1068,MATCH($A150,'Historical Data'!$BE$2:$BE$1068,0)),"")</f>
        <v/>
      </c>
      <c r="P150" s="109" t="str">
        <f aca="false">IFERROR(INDEX('Historical Data'!$AK$2:$AK$1068,MATCH($A150,'Historical Data'!$BE$2:$BE$1068,0)),"")</f>
        <v/>
      </c>
      <c r="Q150" s="106" t="str">
        <f aca="false">IFERROR(INDEX('Historical Data'!$AA$2:$AA$1068,MATCH($A150,'Historical Data'!$BE$2:$BE$1068,0)),"")</f>
        <v/>
      </c>
      <c r="R150" s="106" t="str">
        <f aca="false">IFERROR(INDEX('Historical Data'!$AB$2:$AB$1068,MATCH($A150,'Historical Data'!$BE$2:$BE$1068,0)),"")</f>
        <v/>
      </c>
      <c r="S150" s="106" t="str">
        <f aca="false">IFERROR(INDEX('Historical Data'!$AN$2:$AN$1068,MATCH($A150,'Historical Data'!$BE$2:$BE$1068,0)),"")</f>
        <v/>
      </c>
      <c r="T150" s="106" t="str">
        <f aca="false">IFERROR(INDEX('Historical Data'!$AC$2:$AC$1068,MATCH($A150,'Historical Data'!$BE$2:$BE$1068,0)),"")</f>
        <v/>
      </c>
      <c r="U150" s="106" t="str">
        <f aca="false">IFERROR(INDEX('Historical Data'!$AE$2:$AE$1068,MATCH($A150,'Historical Data'!$BE$2:$BE$1068,0)),"")</f>
        <v/>
      </c>
      <c r="V150" s="106" t="str">
        <f aca="false">IFERROR(INDEX('Historical Data'!$AH$2:$AH$1068,MATCH($A150,'Historical Data'!$BE$2:$BE$1068,0)),"")</f>
        <v/>
      </c>
      <c r="W150" s="106" t="str">
        <f aca="false">IFERROR(INDEX('Historical Data'!$BC$2:$BC$1068,MATCH($A150,'Historical Data'!$BE$2:$BE$1068,0)),"")</f>
        <v/>
      </c>
      <c r="X150" s="105" t="str">
        <f aca="false">IF(B150="","",IF(W150=1,"NR + industry + position",IF(W150=2,"NR + ISO + position",IF(W150=3,"NR + industry",IF(W150=4,"NR + ISO",IF(W150=5,"NR + position",IF(W150=6,"NR only","book baseline"))))))&amp;"  ["&amp;IF(T150=1,"seasoned","unseasoned")&amp;IF(U150=1,", defaulted","")&amp;IF(V150=1,", open","")&amp;"]")</f>
        <v/>
      </c>
    </row>
    <row r="151" customFormat="false" ht="15" hidden="false" customHeight="false" outlineLevel="0" collapsed="false">
      <c r="A151" s="105" t="n">
        <v>147</v>
      </c>
      <c r="B151" s="106" t="str">
        <f aca="false">IFERROR(INDEX('Historical Data'!$A$2:$A$1068,MATCH($A151,'Historical Data'!$BE$2:$BE$1068,0)),"")</f>
        <v/>
      </c>
      <c r="C151" s="106" t="str">
        <f aca="false">IFERROR(INDEX('Historical Data'!$B$2:$B$1068,MATCH($A151,'Historical Data'!$BE$2:$BE$1068,0)),"")</f>
        <v/>
      </c>
      <c r="D151" s="106" t="str">
        <f aca="false">IFERROR(INDEX('Historical Data'!$D$2:$D$1068,MATCH($A151,'Historical Data'!$BE$2:$BE$1068,0)),"")</f>
        <v/>
      </c>
      <c r="E151" s="107" t="str">
        <f aca="false">IFERROR(INDEX('Historical Data'!$E$2:$E$1068,MATCH($A151,'Historical Data'!$BE$2:$BE$1068,0)),"")</f>
        <v/>
      </c>
      <c r="F151" s="106" t="str">
        <f aca="false">IFERROR(INDEX('Historical Data'!$G$2:$G$1068,MATCH($A151,'Historical Data'!$BE$2:$BE$1068,0)),"")</f>
        <v/>
      </c>
      <c r="G151" s="106" t="str">
        <f aca="false">IFERROR(INDEX('Historical Data'!$Y$2:$Y$1068,MATCH($A151,'Historical Data'!$BE$2:$BE$1068,0)),"")</f>
        <v/>
      </c>
      <c r="H151" s="106" t="str">
        <f aca="false">IFERROR(INDEX('Historical Data'!$K$2:$K$1068,MATCH($A151,'Historical Data'!$BE$2:$BE$1068,0)),"")</f>
        <v/>
      </c>
      <c r="I151" s="106" t="str">
        <f aca="false">IFERROR(INDEX('Historical Data'!$J$2:$J$1068,MATCH($A151,'Historical Data'!$BE$2:$BE$1068,0)),"")</f>
        <v/>
      </c>
      <c r="J151" s="106" t="str">
        <f aca="false">IFERROR(INDEX('Historical Data'!$L$2:$L$1068,MATCH($A151,'Historical Data'!$BE$2:$BE$1068,0)),"")</f>
        <v/>
      </c>
      <c r="K151" s="108" t="str">
        <f aca="false">IFERROR(INDEX('Historical Data'!$M$2:$M$1068,MATCH($A151,'Historical Data'!$BE$2:$BE$1068,0)),"")</f>
        <v/>
      </c>
      <c r="L151" s="109" t="str">
        <f aca="false">IFERROR(INDEX('Historical Data'!$N$2:$N$1068,MATCH($A151,'Historical Data'!$BE$2:$BE$1068,0)),"")</f>
        <v/>
      </c>
      <c r="M151" s="109" t="str">
        <f aca="false">IFERROR(INDEX('Historical Data'!$Q$2:$Q$1068,MATCH($A151,'Historical Data'!$BE$2:$BE$1068,0)),"")</f>
        <v/>
      </c>
      <c r="N151" s="110" t="str">
        <f aca="false">IFERROR(INDEX('Historical Data'!$S$2:$S$1068,MATCH($A151,'Historical Data'!$BE$2:$BE$1068,0)),"")</f>
        <v/>
      </c>
      <c r="O151" s="109" t="str">
        <f aca="false">IFERROR(INDEX('Historical Data'!$AJ$2:$AJ$1068,MATCH($A151,'Historical Data'!$BE$2:$BE$1068,0)),"")</f>
        <v/>
      </c>
      <c r="P151" s="109" t="str">
        <f aca="false">IFERROR(INDEX('Historical Data'!$AK$2:$AK$1068,MATCH($A151,'Historical Data'!$BE$2:$BE$1068,0)),"")</f>
        <v/>
      </c>
      <c r="Q151" s="106" t="str">
        <f aca="false">IFERROR(INDEX('Historical Data'!$AA$2:$AA$1068,MATCH($A151,'Historical Data'!$BE$2:$BE$1068,0)),"")</f>
        <v/>
      </c>
      <c r="R151" s="106" t="str">
        <f aca="false">IFERROR(INDEX('Historical Data'!$AB$2:$AB$1068,MATCH($A151,'Historical Data'!$BE$2:$BE$1068,0)),"")</f>
        <v/>
      </c>
      <c r="S151" s="106" t="str">
        <f aca="false">IFERROR(INDEX('Historical Data'!$AN$2:$AN$1068,MATCH($A151,'Historical Data'!$BE$2:$BE$1068,0)),"")</f>
        <v/>
      </c>
      <c r="T151" s="106" t="str">
        <f aca="false">IFERROR(INDEX('Historical Data'!$AC$2:$AC$1068,MATCH($A151,'Historical Data'!$BE$2:$BE$1068,0)),"")</f>
        <v/>
      </c>
      <c r="U151" s="106" t="str">
        <f aca="false">IFERROR(INDEX('Historical Data'!$AE$2:$AE$1068,MATCH($A151,'Historical Data'!$BE$2:$BE$1068,0)),"")</f>
        <v/>
      </c>
      <c r="V151" s="106" t="str">
        <f aca="false">IFERROR(INDEX('Historical Data'!$AH$2:$AH$1068,MATCH($A151,'Historical Data'!$BE$2:$BE$1068,0)),"")</f>
        <v/>
      </c>
      <c r="W151" s="106" t="str">
        <f aca="false">IFERROR(INDEX('Historical Data'!$BC$2:$BC$1068,MATCH($A151,'Historical Data'!$BE$2:$BE$1068,0)),"")</f>
        <v/>
      </c>
      <c r="X151" s="105" t="str">
        <f aca="false">IF(B151="","",IF(W151=1,"NR + industry + position",IF(W151=2,"NR + ISO + position",IF(W151=3,"NR + industry",IF(W151=4,"NR + ISO",IF(W151=5,"NR + position",IF(W151=6,"NR only","book baseline"))))))&amp;"  ["&amp;IF(T151=1,"seasoned","unseasoned")&amp;IF(U151=1,", defaulted","")&amp;IF(V151=1,", open","")&amp;"]")</f>
        <v/>
      </c>
    </row>
    <row r="152" customFormat="false" ht="15" hidden="false" customHeight="false" outlineLevel="0" collapsed="false">
      <c r="A152" s="105" t="n">
        <v>148</v>
      </c>
      <c r="B152" s="106" t="str">
        <f aca="false">IFERROR(INDEX('Historical Data'!$A$2:$A$1068,MATCH($A152,'Historical Data'!$BE$2:$BE$1068,0)),"")</f>
        <v/>
      </c>
      <c r="C152" s="106" t="str">
        <f aca="false">IFERROR(INDEX('Historical Data'!$B$2:$B$1068,MATCH($A152,'Historical Data'!$BE$2:$BE$1068,0)),"")</f>
        <v/>
      </c>
      <c r="D152" s="106" t="str">
        <f aca="false">IFERROR(INDEX('Historical Data'!$D$2:$D$1068,MATCH($A152,'Historical Data'!$BE$2:$BE$1068,0)),"")</f>
        <v/>
      </c>
      <c r="E152" s="107" t="str">
        <f aca="false">IFERROR(INDEX('Historical Data'!$E$2:$E$1068,MATCH($A152,'Historical Data'!$BE$2:$BE$1068,0)),"")</f>
        <v/>
      </c>
      <c r="F152" s="106" t="str">
        <f aca="false">IFERROR(INDEX('Historical Data'!$G$2:$G$1068,MATCH($A152,'Historical Data'!$BE$2:$BE$1068,0)),"")</f>
        <v/>
      </c>
      <c r="G152" s="106" t="str">
        <f aca="false">IFERROR(INDEX('Historical Data'!$Y$2:$Y$1068,MATCH($A152,'Historical Data'!$BE$2:$BE$1068,0)),"")</f>
        <v/>
      </c>
      <c r="H152" s="106" t="str">
        <f aca="false">IFERROR(INDEX('Historical Data'!$K$2:$K$1068,MATCH($A152,'Historical Data'!$BE$2:$BE$1068,0)),"")</f>
        <v/>
      </c>
      <c r="I152" s="106" t="str">
        <f aca="false">IFERROR(INDEX('Historical Data'!$J$2:$J$1068,MATCH($A152,'Historical Data'!$BE$2:$BE$1068,0)),"")</f>
        <v/>
      </c>
      <c r="J152" s="106" t="str">
        <f aca="false">IFERROR(INDEX('Historical Data'!$L$2:$L$1068,MATCH($A152,'Historical Data'!$BE$2:$BE$1068,0)),"")</f>
        <v/>
      </c>
      <c r="K152" s="108" t="str">
        <f aca="false">IFERROR(INDEX('Historical Data'!$M$2:$M$1068,MATCH($A152,'Historical Data'!$BE$2:$BE$1068,0)),"")</f>
        <v/>
      </c>
      <c r="L152" s="109" t="str">
        <f aca="false">IFERROR(INDEX('Historical Data'!$N$2:$N$1068,MATCH($A152,'Historical Data'!$BE$2:$BE$1068,0)),"")</f>
        <v/>
      </c>
      <c r="M152" s="109" t="str">
        <f aca="false">IFERROR(INDEX('Historical Data'!$Q$2:$Q$1068,MATCH($A152,'Historical Data'!$BE$2:$BE$1068,0)),"")</f>
        <v/>
      </c>
      <c r="N152" s="110" t="str">
        <f aca="false">IFERROR(INDEX('Historical Data'!$S$2:$S$1068,MATCH($A152,'Historical Data'!$BE$2:$BE$1068,0)),"")</f>
        <v/>
      </c>
      <c r="O152" s="109" t="str">
        <f aca="false">IFERROR(INDEX('Historical Data'!$AJ$2:$AJ$1068,MATCH($A152,'Historical Data'!$BE$2:$BE$1068,0)),"")</f>
        <v/>
      </c>
      <c r="P152" s="109" t="str">
        <f aca="false">IFERROR(INDEX('Historical Data'!$AK$2:$AK$1068,MATCH($A152,'Historical Data'!$BE$2:$BE$1068,0)),"")</f>
        <v/>
      </c>
      <c r="Q152" s="106" t="str">
        <f aca="false">IFERROR(INDEX('Historical Data'!$AA$2:$AA$1068,MATCH($A152,'Historical Data'!$BE$2:$BE$1068,0)),"")</f>
        <v/>
      </c>
      <c r="R152" s="106" t="str">
        <f aca="false">IFERROR(INDEX('Historical Data'!$AB$2:$AB$1068,MATCH($A152,'Historical Data'!$BE$2:$BE$1068,0)),"")</f>
        <v/>
      </c>
      <c r="S152" s="106" t="str">
        <f aca="false">IFERROR(INDEX('Historical Data'!$AN$2:$AN$1068,MATCH($A152,'Historical Data'!$BE$2:$BE$1068,0)),"")</f>
        <v/>
      </c>
      <c r="T152" s="106" t="str">
        <f aca="false">IFERROR(INDEX('Historical Data'!$AC$2:$AC$1068,MATCH($A152,'Historical Data'!$BE$2:$BE$1068,0)),"")</f>
        <v/>
      </c>
      <c r="U152" s="106" t="str">
        <f aca="false">IFERROR(INDEX('Historical Data'!$AE$2:$AE$1068,MATCH($A152,'Historical Data'!$BE$2:$BE$1068,0)),"")</f>
        <v/>
      </c>
      <c r="V152" s="106" t="str">
        <f aca="false">IFERROR(INDEX('Historical Data'!$AH$2:$AH$1068,MATCH($A152,'Historical Data'!$BE$2:$BE$1068,0)),"")</f>
        <v/>
      </c>
      <c r="W152" s="106" t="str">
        <f aca="false">IFERROR(INDEX('Historical Data'!$BC$2:$BC$1068,MATCH($A152,'Historical Data'!$BE$2:$BE$1068,0)),"")</f>
        <v/>
      </c>
      <c r="X152" s="105" t="str">
        <f aca="false">IF(B152="","",IF(W152=1,"NR + industry + position",IF(W152=2,"NR + ISO + position",IF(W152=3,"NR + industry",IF(W152=4,"NR + ISO",IF(W152=5,"NR + position",IF(W152=6,"NR only","book baseline"))))))&amp;"  ["&amp;IF(T152=1,"seasoned","unseasoned")&amp;IF(U152=1,", defaulted","")&amp;IF(V152=1,", open","")&amp;"]")</f>
        <v/>
      </c>
    </row>
    <row r="153" customFormat="false" ht="15" hidden="false" customHeight="false" outlineLevel="0" collapsed="false">
      <c r="A153" s="105" t="n">
        <v>149</v>
      </c>
      <c r="B153" s="106" t="str">
        <f aca="false">IFERROR(INDEX('Historical Data'!$A$2:$A$1068,MATCH($A153,'Historical Data'!$BE$2:$BE$1068,0)),"")</f>
        <v/>
      </c>
      <c r="C153" s="106" t="str">
        <f aca="false">IFERROR(INDEX('Historical Data'!$B$2:$B$1068,MATCH($A153,'Historical Data'!$BE$2:$BE$1068,0)),"")</f>
        <v/>
      </c>
      <c r="D153" s="106" t="str">
        <f aca="false">IFERROR(INDEX('Historical Data'!$D$2:$D$1068,MATCH($A153,'Historical Data'!$BE$2:$BE$1068,0)),"")</f>
        <v/>
      </c>
      <c r="E153" s="107" t="str">
        <f aca="false">IFERROR(INDEX('Historical Data'!$E$2:$E$1068,MATCH($A153,'Historical Data'!$BE$2:$BE$1068,0)),"")</f>
        <v/>
      </c>
      <c r="F153" s="106" t="str">
        <f aca="false">IFERROR(INDEX('Historical Data'!$G$2:$G$1068,MATCH($A153,'Historical Data'!$BE$2:$BE$1068,0)),"")</f>
        <v/>
      </c>
      <c r="G153" s="106" t="str">
        <f aca="false">IFERROR(INDEX('Historical Data'!$Y$2:$Y$1068,MATCH($A153,'Historical Data'!$BE$2:$BE$1068,0)),"")</f>
        <v/>
      </c>
      <c r="H153" s="106" t="str">
        <f aca="false">IFERROR(INDEX('Historical Data'!$K$2:$K$1068,MATCH($A153,'Historical Data'!$BE$2:$BE$1068,0)),"")</f>
        <v/>
      </c>
      <c r="I153" s="106" t="str">
        <f aca="false">IFERROR(INDEX('Historical Data'!$J$2:$J$1068,MATCH($A153,'Historical Data'!$BE$2:$BE$1068,0)),"")</f>
        <v/>
      </c>
      <c r="J153" s="106" t="str">
        <f aca="false">IFERROR(INDEX('Historical Data'!$L$2:$L$1068,MATCH($A153,'Historical Data'!$BE$2:$BE$1068,0)),"")</f>
        <v/>
      </c>
      <c r="K153" s="108" t="str">
        <f aca="false">IFERROR(INDEX('Historical Data'!$M$2:$M$1068,MATCH($A153,'Historical Data'!$BE$2:$BE$1068,0)),"")</f>
        <v/>
      </c>
      <c r="L153" s="109" t="str">
        <f aca="false">IFERROR(INDEX('Historical Data'!$N$2:$N$1068,MATCH($A153,'Historical Data'!$BE$2:$BE$1068,0)),"")</f>
        <v/>
      </c>
      <c r="M153" s="109" t="str">
        <f aca="false">IFERROR(INDEX('Historical Data'!$Q$2:$Q$1068,MATCH($A153,'Historical Data'!$BE$2:$BE$1068,0)),"")</f>
        <v/>
      </c>
      <c r="N153" s="110" t="str">
        <f aca="false">IFERROR(INDEX('Historical Data'!$S$2:$S$1068,MATCH($A153,'Historical Data'!$BE$2:$BE$1068,0)),"")</f>
        <v/>
      </c>
      <c r="O153" s="109" t="str">
        <f aca="false">IFERROR(INDEX('Historical Data'!$AJ$2:$AJ$1068,MATCH($A153,'Historical Data'!$BE$2:$BE$1068,0)),"")</f>
        <v/>
      </c>
      <c r="P153" s="109" t="str">
        <f aca="false">IFERROR(INDEX('Historical Data'!$AK$2:$AK$1068,MATCH($A153,'Historical Data'!$BE$2:$BE$1068,0)),"")</f>
        <v/>
      </c>
      <c r="Q153" s="106" t="str">
        <f aca="false">IFERROR(INDEX('Historical Data'!$AA$2:$AA$1068,MATCH($A153,'Historical Data'!$BE$2:$BE$1068,0)),"")</f>
        <v/>
      </c>
      <c r="R153" s="106" t="str">
        <f aca="false">IFERROR(INDEX('Historical Data'!$AB$2:$AB$1068,MATCH($A153,'Historical Data'!$BE$2:$BE$1068,0)),"")</f>
        <v/>
      </c>
      <c r="S153" s="106" t="str">
        <f aca="false">IFERROR(INDEX('Historical Data'!$AN$2:$AN$1068,MATCH($A153,'Historical Data'!$BE$2:$BE$1068,0)),"")</f>
        <v/>
      </c>
      <c r="T153" s="106" t="str">
        <f aca="false">IFERROR(INDEX('Historical Data'!$AC$2:$AC$1068,MATCH($A153,'Historical Data'!$BE$2:$BE$1068,0)),"")</f>
        <v/>
      </c>
      <c r="U153" s="106" t="str">
        <f aca="false">IFERROR(INDEX('Historical Data'!$AE$2:$AE$1068,MATCH($A153,'Historical Data'!$BE$2:$BE$1068,0)),"")</f>
        <v/>
      </c>
      <c r="V153" s="106" t="str">
        <f aca="false">IFERROR(INDEX('Historical Data'!$AH$2:$AH$1068,MATCH($A153,'Historical Data'!$BE$2:$BE$1068,0)),"")</f>
        <v/>
      </c>
      <c r="W153" s="106" t="str">
        <f aca="false">IFERROR(INDEX('Historical Data'!$BC$2:$BC$1068,MATCH($A153,'Historical Data'!$BE$2:$BE$1068,0)),"")</f>
        <v/>
      </c>
      <c r="X153" s="105" t="str">
        <f aca="false">IF(B153="","",IF(W153=1,"NR + industry + position",IF(W153=2,"NR + ISO + position",IF(W153=3,"NR + industry",IF(W153=4,"NR + ISO",IF(W153=5,"NR + position",IF(W153=6,"NR only","book baseline"))))))&amp;"  ["&amp;IF(T153=1,"seasoned","unseasoned")&amp;IF(U153=1,", defaulted","")&amp;IF(V153=1,", open","")&amp;"]")</f>
        <v/>
      </c>
    </row>
    <row r="154" customFormat="false" ht="15" hidden="false" customHeight="false" outlineLevel="0" collapsed="false">
      <c r="A154" s="105" t="n">
        <v>150</v>
      </c>
      <c r="B154" s="106" t="str">
        <f aca="false">IFERROR(INDEX('Historical Data'!$A$2:$A$1068,MATCH($A154,'Historical Data'!$BE$2:$BE$1068,0)),"")</f>
        <v/>
      </c>
      <c r="C154" s="106" t="str">
        <f aca="false">IFERROR(INDEX('Historical Data'!$B$2:$B$1068,MATCH($A154,'Historical Data'!$BE$2:$BE$1068,0)),"")</f>
        <v/>
      </c>
      <c r="D154" s="106" t="str">
        <f aca="false">IFERROR(INDEX('Historical Data'!$D$2:$D$1068,MATCH($A154,'Historical Data'!$BE$2:$BE$1068,0)),"")</f>
        <v/>
      </c>
      <c r="E154" s="107" t="str">
        <f aca="false">IFERROR(INDEX('Historical Data'!$E$2:$E$1068,MATCH($A154,'Historical Data'!$BE$2:$BE$1068,0)),"")</f>
        <v/>
      </c>
      <c r="F154" s="106" t="str">
        <f aca="false">IFERROR(INDEX('Historical Data'!$G$2:$G$1068,MATCH($A154,'Historical Data'!$BE$2:$BE$1068,0)),"")</f>
        <v/>
      </c>
      <c r="G154" s="106" t="str">
        <f aca="false">IFERROR(INDEX('Historical Data'!$Y$2:$Y$1068,MATCH($A154,'Historical Data'!$BE$2:$BE$1068,0)),"")</f>
        <v/>
      </c>
      <c r="H154" s="106" t="str">
        <f aca="false">IFERROR(INDEX('Historical Data'!$K$2:$K$1068,MATCH($A154,'Historical Data'!$BE$2:$BE$1068,0)),"")</f>
        <v/>
      </c>
      <c r="I154" s="106" t="str">
        <f aca="false">IFERROR(INDEX('Historical Data'!$J$2:$J$1068,MATCH($A154,'Historical Data'!$BE$2:$BE$1068,0)),"")</f>
        <v/>
      </c>
      <c r="J154" s="106" t="str">
        <f aca="false">IFERROR(INDEX('Historical Data'!$L$2:$L$1068,MATCH($A154,'Historical Data'!$BE$2:$BE$1068,0)),"")</f>
        <v/>
      </c>
      <c r="K154" s="108" t="str">
        <f aca="false">IFERROR(INDEX('Historical Data'!$M$2:$M$1068,MATCH($A154,'Historical Data'!$BE$2:$BE$1068,0)),"")</f>
        <v/>
      </c>
      <c r="L154" s="109" t="str">
        <f aca="false">IFERROR(INDEX('Historical Data'!$N$2:$N$1068,MATCH($A154,'Historical Data'!$BE$2:$BE$1068,0)),"")</f>
        <v/>
      </c>
      <c r="M154" s="109" t="str">
        <f aca="false">IFERROR(INDEX('Historical Data'!$Q$2:$Q$1068,MATCH($A154,'Historical Data'!$BE$2:$BE$1068,0)),"")</f>
        <v/>
      </c>
      <c r="N154" s="110" t="str">
        <f aca="false">IFERROR(INDEX('Historical Data'!$S$2:$S$1068,MATCH($A154,'Historical Data'!$BE$2:$BE$1068,0)),"")</f>
        <v/>
      </c>
      <c r="O154" s="109" t="str">
        <f aca="false">IFERROR(INDEX('Historical Data'!$AJ$2:$AJ$1068,MATCH($A154,'Historical Data'!$BE$2:$BE$1068,0)),"")</f>
        <v/>
      </c>
      <c r="P154" s="109" t="str">
        <f aca="false">IFERROR(INDEX('Historical Data'!$AK$2:$AK$1068,MATCH($A154,'Historical Data'!$BE$2:$BE$1068,0)),"")</f>
        <v/>
      </c>
      <c r="Q154" s="106" t="str">
        <f aca="false">IFERROR(INDEX('Historical Data'!$AA$2:$AA$1068,MATCH($A154,'Historical Data'!$BE$2:$BE$1068,0)),"")</f>
        <v/>
      </c>
      <c r="R154" s="106" t="str">
        <f aca="false">IFERROR(INDEX('Historical Data'!$AB$2:$AB$1068,MATCH($A154,'Historical Data'!$BE$2:$BE$1068,0)),"")</f>
        <v/>
      </c>
      <c r="S154" s="106" t="str">
        <f aca="false">IFERROR(INDEX('Historical Data'!$AN$2:$AN$1068,MATCH($A154,'Historical Data'!$BE$2:$BE$1068,0)),"")</f>
        <v/>
      </c>
      <c r="T154" s="106" t="str">
        <f aca="false">IFERROR(INDEX('Historical Data'!$AC$2:$AC$1068,MATCH($A154,'Historical Data'!$BE$2:$BE$1068,0)),"")</f>
        <v/>
      </c>
      <c r="U154" s="106" t="str">
        <f aca="false">IFERROR(INDEX('Historical Data'!$AE$2:$AE$1068,MATCH($A154,'Historical Data'!$BE$2:$BE$1068,0)),"")</f>
        <v/>
      </c>
      <c r="V154" s="106" t="str">
        <f aca="false">IFERROR(INDEX('Historical Data'!$AH$2:$AH$1068,MATCH($A154,'Historical Data'!$BE$2:$BE$1068,0)),"")</f>
        <v/>
      </c>
      <c r="W154" s="106" t="str">
        <f aca="false">IFERROR(INDEX('Historical Data'!$BC$2:$BC$1068,MATCH($A154,'Historical Data'!$BE$2:$BE$1068,0)),"")</f>
        <v/>
      </c>
      <c r="X154" s="105" t="str">
        <f aca="false">IF(B154="","",IF(W154=1,"NR + industry + position",IF(W154=2,"NR + ISO + position",IF(W154=3,"NR + industry",IF(W154=4,"NR + ISO",IF(W154=5,"NR + position",IF(W154=6,"NR only","book baseline"))))))&amp;"  ["&amp;IF(T154=1,"seasoned","unseasoned")&amp;IF(U154=1,", defaulted","")&amp;IF(V154=1,", open","")&amp;"]")</f>
        <v/>
      </c>
    </row>
    <row r="155" customFormat="false" ht="15" hidden="false" customHeight="false" outlineLevel="0" collapsed="false">
      <c r="A155" s="105" t="n">
        <v>151</v>
      </c>
      <c r="B155" s="106" t="str">
        <f aca="false">IFERROR(INDEX('Historical Data'!$A$2:$A$1068,MATCH($A155,'Historical Data'!$BE$2:$BE$1068,0)),"")</f>
        <v/>
      </c>
      <c r="C155" s="106" t="str">
        <f aca="false">IFERROR(INDEX('Historical Data'!$B$2:$B$1068,MATCH($A155,'Historical Data'!$BE$2:$BE$1068,0)),"")</f>
        <v/>
      </c>
      <c r="D155" s="106" t="str">
        <f aca="false">IFERROR(INDEX('Historical Data'!$D$2:$D$1068,MATCH($A155,'Historical Data'!$BE$2:$BE$1068,0)),"")</f>
        <v/>
      </c>
      <c r="E155" s="107" t="str">
        <f aca="false">IFERROR(INDEX('Historical Data'!$E$2:$E$1068,MATCH($A155,'Historical Data'!$BE$2:$BE$1068,0)),"")</f>
        <v/>
      </c>
      <c r="F155" s="106" t="str">
        <f aca="false">IFERROR(INDEX('Historical Data'!$G$2:$G$1068,MATCH($A155,'Historical Data'!$BE$2:$BE$1068,0)),"")</f>
        <v/>
      </c>
      <c r="G155" s="106" t="str">
        <f aca="false">IFERROR(INDEX('Historical Data'!$Y$2:$Y$1068,MATCH($A155,'Historical Data'!$BE$2:$BE$1068,0)),"")</f>
        <v/>
      </c>
      <c r="H155" s="106" t="str">
        <f aca="false">IFERROR(INDEX('Historical Data'!$K$2:$K$1068,MATCH($A155,'Historical Data'!$BE$2:$BE$1068,0)),"")</f>
        <v/>
      </c>
      <c r="I155" s="106" t="str">
        <f aca="false">IFERROR(INDEX('Historical Data'!$J$2:$J$1068,MATCH($A155,'Historical Data'!$BE$2:$BE$1068,0)),"")</f>
        <v/>
      </c>
      <c r="J155" s="106" t="str">
        <f aca="false">IFERROR(INDEX('Historical Data'!$L$2:$L$1068,MATCH($A155,'Historical Data'!$BE$2:$BE$1068,0)),"")</f>
        <v/>
      </c>
      <c r="K155" s="108" t="str">
        <f aca="false">IFERROR(INDEX('Historical Data'!$M$2:$M$1068,MATCH($A155,'Historical Data'!$BE$2:$BE$1068,0)),"")</f>
        <v/>
      </c>
      <c r="L155" s="109" t="str">
        <f aca="false">IFERROR(INDEX('Historical Data'!$N$2:$N$1068,MATCH($A155,'Historical Data'!$BE$2:$BE$1068,0)),"")</f>
        <v/>
      </c>
      <c r="M155" s="109" t="str">
        <f aca="false">IFERROR(INDEX('Historical Data'!$Q$2:$Q$1068,MATCH($A155,'Historical Data'!$BE$2:$BE$1068,0)),"")</f>
        <v/>
      </c>
      <c r="N155" s="110" t="str">
        <f aca="false">IFERROR(INDEX('Historical Data'!$S$2:$S$1068,MATCH($A155,'Historical Data'!$BE$2:$BE$1068,0)),"")</f>
        <v/>
      </c>
      <c r="O155" s="109" t="str">
        <f aca="false">IFERROR(INDEX('Historical Data'!$AJ$2:$AJ$1068,MATCH($A155,'Historical Data'!$BE$2:$BE$1068,0)),"")</f>
        <v/>
      </c>
      <c r="P155" s="109" t="str">
        <f aca="false">IFERROR(INDEX('Historical Data'!$AK$2:$AK$1068,MATCH($A155,'Historical Data'!$BE$2:$BE$1068,0)),"")</f>
        <v/>
      </c>
      <c r="Q155" s="106" t="str">
        <f aca="false">IFERROR(INDEX('Historical Data'!$AA$2:$AA$1068,MATCH($A155,'Historical Data'!$BE$2:$BE$1068,0)),"")</f>
        <v/>
      </c>
      <c r="R155" s="106" t="str">
        <f aca="false">IFERROR(INDEX('Historical Data'!$AB$2:$AB$1068,MATCH($A155,'Historical Data'!$BE$2:$BE$1068,0)),"")</f>
        <v/>
      </c>
      <c r="S155" s="106" t="str">
        <f aca="false">IFERROR(INDEX('Historical Data'!$AN$2:$AN$1068,MATCH($A155,'Historical Data'!$BE$2:$BE$1068,0)),"")</f>
        <v/>
      </c>
      <c r="T155" s="106" t="str">
        <f aca="false">IFERROR(INDEX('Historical Data'!$AC$2:$AC$1068,MATCH($A155,'Historical Data'!$BE$2:$BE$1068,0)),"")</f>
        <v/>
      </c>
      <c r="U155" s="106" t="str">
        <f aca="false">IFERROR(INDEX('Historical Data'!$AE$2:$AE$1068,MATCH($A155,'Historical Data'!$BE$2:$BE$1068,0)),"")</f>
        <v/>
      </c>
      <c r="V155" s="106" t="str">
        <f aca="false">IFERROR(INDEX('Historical Data'!$AH$2:$AH$1068,MATCH($A155,'Historical Data'!$BE$2:$BE$1068,0)),"")</f>
        <v/>
      </c>
      <c r="W155" s="106" t="str">
        <f aca="false">IFERROR(INDEX('Historical Data'!$BC$2:$BC$1068,MATCH($A155,'Historical Data'!$BE$2:$BE$1068,0)),"")</f>
        <v/>
      </c>
      <c r="X155" s="105" t="str">
        <f aca="false">IF(B155="","",IF(W155=1,"NR + industry + position",IF(W155=2,"NR + ISO + position",IF(W155=3,"NR + industry",IF(W155=4,"NR + ISO",IF(W155=5,"NR + position",IF(W155=6,"NR only","book baseline"))))))&amp;"  ["&amp;IF(T155=1,"seasoned","unseasoned")&amp;IF(U155=1,", defaulted","")&amp;IF(V155=1,", open","")&amp;"]")</f>
        <v/>
      </c>
    </row>
    <row r="156" customFormat="false" ht="15" hidden="false" customHeight="false" outlineLevel="0" collapsed="false">
      <c r="A156" s="105" t="n">
        <v>152</v>
      </c>
      <c r="B156" s="106" t="str">
        <f aca="false">IFERROR(INDEX('Historical Data'!$A$2:$A$1068,MATCH($A156,'Historical Data'!$BE$2:$BE$1068,0)),"")</f>
        <v/>
      </c>
      <c r="C156" s="106" t="str">
        <f aca="false">IFERROR(INDEX('Historical Data'!$B$2:$B$1068,MATCH($A156,'Historical Data'!$BE$2:$BE$1068,0)),"")</f>
        <v/>
      </c>
      <c r="D156" s="106" t="str">
        <f aca="false">IFERROR(INDEX('Historical Data'!$D$2:$D$1068,MATCH($A156,'Historical Data'!$BE$2:$BE$1068,0)),"")</f>
        <v/>
      </c>
      <c r="E156" s="107" t="str">
        <f aca="false">IFERROR(INDEX('Historical Data'!$E$2:$E$1068,MATCH($A156,'Historical Data'!$BE$2:$BE$1068,0)),"")</f>
        <v/>
      </c>
      <c r="F156" s="106" t="str">
        <f aca="false">IFERROR(INDEX('Historical Data'!$G$2:$G$1068,MATCH($A156,'Historical Data'!$BE$2:$BE$1068,0)),"")</f>
        <v/>
      </c>
      <c r="G156" s="106" t="str">
        <f aca="false">IFERROR(INDEX('Historical Data'!$Y$2:$Y$1068,MATCH($A156,'Historical Data'!$BE$2:$BE$1068,0)),"")</f>
        <v/>
      </c>
      <c r="H156" s="106" t="str">
        <f aca="false">IFERROR(INDEX('Historical Data'!$K$2:$K$1068,MATCH($A156,'Historical Data'!$BE$2:$BE$1068,0)),"")</f>
        <v/>
      </c>
      <c r="I156" s="106" t="str">
        <f aca="false">IFERROR(INDEX('Historical Data'!$J$2:$J$1068,MATCH($A156,'Historical Data'!$BE$2:$BE$1068,0)),"")</f>
        <v/>
      </c>
      <c r="J156" s="106" t="str">
        <f aca="false">IFERROR(INDEX('Historical Data'!$L$2:$L$1068,MATCH($A156,'Historical Data'!$BE$2:$BE$1068,0)),"")</f>
        <v/>
      </c>
      <c r="K156" s="108" t="str">
        <f aca="false">IFERROR(INDEX('Historical Data'!$M$2:$M$1068,MATCH($A156,'Historical Data'!$BE$2:$BE$1068,0)),"")</f>
        <v/>
      </c>
      <c r="L156" s="109" t="str">
        <f aca="false">IFERROR(INDEX('Historical Data'!$N$2:$N$1068,MATCH($A156,'Historical Data'!$BE$2:$BE$1068,0)),"")</f>
        <v/>
      </c>
      <c r="M156" s="109" t="str">
        <f aca="false">IFERROR(INDEX('Historical Data'!$Q$2:$Q$1068,MATCH($A156,'Historical Data'!$BE$2:$BE$1068,0)),"")</f>
        <v/>
      </c>
      <c r="N156" s="110" t="str">
        <f aca="false">IFERROR(INDEX('Historical Data'!$S$2:$S$1068,MATCH($A156,'Historical Data'!$BE$2:$BE$1068,0)),"")</f>
        <v/>
      </c>
      <c r="O156" s="109" t="str">
        <f aca="false">IFERROR(INDEX('Historical Data'!$AJ$2:$AJ$1068,MATCH($A156,'Historical Data'!$BE$2:$BE$1068,0)),"")</f>
        <v/>
      </c>
      <c r="P156" s="109" t="str">
        <f aca="false">IFERROR(INDEX('Historical Data'!$AK$2:$AK$1068,MATCH($A156,'Historical Data'!$BE$2:$BE$1068,0)),"")</f>
        <v/>
      </c>
      <c r="Q156" s="106" t="str">
        <f aca="false">IFERROR(INDEX('Historical Data'!$AA$2:$AA$1068,MATCH($A156,'Historical Data'!$BE$2:$BE$1068,0)),"")</f>
        <v/>
      </c>
      <c r="R156" s="106" t="str">
        <f aca="false">IFERROR(INDEX('Historical Data'!$AB$2:$AB$1068,MATCH($A156,'Historical Data'!$BE$2:$BE$1068,0)),"")</f>
        <v/>
      </c>
      <c r="S156" s="106" t="str">
        <f aca="false">IFERROR(INDEX('Historical Data'!$AN$2:$AN$1068,MATCH($A156,'Historical Data'!$BE$2:$BE$1068,0)),"")</f>
        <v/>
      </c>
      <c r="T156" s="106" t="str">
        <f aca="false">IFERROR(INDEX('Historical Data'!$AC$2:$AC$1068,MATCH($A156,'Historical Data'!$BE$2:$BE$1068,0)),"")</f>
        <v/>
      </c>
      <c r="U156" s="106" t="str">
        <f aca="false">IFERROR(INDEX('Historical Data'!$AE$2:$AE$1068,MATCH($A156,'Historical Data'!$BE$2:$BE$1068,0)),"")</f>
        <v/>
      </c>
      <c r="V156" s="106" t="str">
        <f aca="false">IFERROR(INDEX('Historical Data'!$AH$2:$AH$1068,MATCH($A156,'Historical Data'!$BE$2:$BE$1068,0)),"")</f>
        <v/>
      </c>
      <c r="W156" s="106" t="str">
        <f aca="false">IFERROR(INDEX('Historical Data'!$BC$2:$BC$1068,MATCH($A156,'Historical Data'!$BE$2:$BE$1068,0)),"")</f>
        <v/>
      </c>
      <c r="X156" s="105" t="str">
        <f aca="false">IF(B156="","",IF(W156=1,"NR + industry + position",IF(W156=2,"NR + ISO + position",IF(W156=3,"NR + industry",IF(W156=4,"NR + ISO",IF(W156=5,"NR + position",IF(W156=6,"NR only","book baseline"))))))&amp;"  ["&amp;IF(T156=1,"seasoned","unseasoned")&amp;IF(U156=1,", defaulted","")&amp;IF(V156=1,", open","")&amp;"]")</f>
        <v/>
      </c>
    </row>
    <row r="157" customFormat="false" ht="15" hidden="false" customHeight="false" outlineLevel="0" collapsed="false">
      <c r="A157" s="105" t="n">
        <v>153</v>
      </c>
      <c r="B157" s="106" t="str">
        <f aca="false">IFERROR(INDEX('Historical Data'!$A$2:$A$1068,MATCH($A157,'Historical Data'!$BE$2:$BE$1068,0)),"")</f>
        <v/>
      </c>
      <c r="C157" s="106" t="str">
        <f aca="false">IFERROR(INDEX('Historical Data'!$B$2:$B$1068,MATCH($A157,'Historical Data'!$BE$2:$BE$1068,0)),"")</f>
        <v/>
      </c>
      <c r="D157" s="106" t="str">
        <f aca="false">IFERROR(INDEX('Historical Data'!$D$2:$D$1068,MATCH($A157,'Historical Data'!$BE$2:$BE$1068,0)),"")</f>
        <v/>
      </c>
      <c r="E157" s="107" t="str">
        <f aca="false">IFERROR(INDEX('Historical Data'!$E$2:$E$1068,MATCH($A157,'Historical Data'!$BE$2:$BE$1068,0)),"")</f>
        <v/>
      </c>
      <c r="F157" s="106" t="str">
        <f aca="false">IFERROR(INDEX('Historical Data'!$G$2:$G$1068,MATCH($A157,'Historical Data'!$BE$2:$BE$1068,0)),"")</f>
        <v/>
      </c>
      <c r="G157" s="106" t="str">
        <f aca="false">IFERROR(INDEX('Historical Data'!$Y$2:$Y$1068,MATCH($A157,'Historical Data'!$BE$2:$BE$1068,0)),"")</f>
        <v/>
      </c>
      <c r="H157" s="106" t="str">
        <f aca="false">IFERROR(INDEX('Historical Data'!$K$2:$K$1068,MATCH($A157,'Historical Data'!$BE$2:$BE$1068,0)),"")</f>
        <v/>
      </c>
      <c r="I157" s="106" t="str">
        <f aca="false">IFERROR(INDEX('Historical Data'!$J$2:$J$1068,MATCH($A157,'Historical Data'!$BE$2:$BE$1068,0)),"")</f>
        <v/>
      </c>
      <c r="J157" s="106" t="str">
        <f aca="false">IFERROR(INDEX('Historical Data'!$L$2:$L$1068,MATCH($A157,'Historical Data'!$BE$2:$BE$1068,0)),"")</f>
        <v/>
      </c>
      <c r="K157" s="108" t="str">
        <f aca="false">IFERROR(INDEX('Historical Data'!$M$2:$M$1068,MATCH($A157,'Historical Data'!$BE$2:$BE$1068,0)),"")</f>
        <v/>
      </c>
      <c r="L157" s="109" t="str">
        <f aca="false">IFERROR(INDEX('Historical Data'!$N$2:$N$1068,MATCH($A157,'Historical Data'!$BE$2:$BE$1068,0)),"")</f>
        <v/>
      </c>
      <c r="M157" s="109" t="str">
        <f aca="false">IFERROR(INDEX('Historical Data'!$Q$2:$Q$1068,MATCH($A157,'Historical Data'!$BE$2:$BE$1068,0)),"")</f>
        <v/>
      </c>
      <c r="N157" s="110" t="str">
        <f aca="false">IFERROR(INDEX('Historical Data'!$S$2:$S$1068,MATCH($A157,'Historical Data'!$BE$2:$BE$1068,0)),"")</f>
        <v/>
      </c>
      <c r="O157" s="109" t="str">
        <f aca="false">IFERROR(INDEX('Historical Data'!$AJ$2:$AJ$1068,MATCH($A157,'Historical Data'!$BE$2:$BE$1068,0)),"")</f>
        <v/>
      </c>
      <c r="P157" s="109" t="str">
        <f aca="false">IFERROR(INDEX('Historical Data'!$AK$2:$AK$1068,MATCH($A157,'Historical Data'!$BE$2:$BE$1068,0)),"")</f>
        <v/>
      </c>
      <c r="Q157" s="106" t="str">
        <f aca="false">IFERROR(INDEX('Historical Data'!$AA$2:$AA$1068,MATCH($A157,'Historical Data'!$BE$2:$BE$1068,0)),"")</f>
        <v/>
      </c>
      <c r="R157" s="106" t="str">
        <f aca="false">IFERROR(INDEX('Historical Data'!$AB$2:$AB$1068,MATCH($A157,'Historical Data'!$BE$2:$BE$1068,0)),"")</f>
        <v/>
      </c>
      <c r="S157" s="106" t="str">
        <f aca="false">IFERROR(INDEX('Historical Data'!$AN$2:$AN$1068,MATCH($A157,'Historical Data'!$BE$2:$BE$1068,0)),"")</f>
        <v/>
      </c>
      <c r="T157" s="106" t="str">
        <f aca="false">IFERROR(INDEX('Historical Data'!$AC$2:$AC$1068,MATCH($A157,'Historical Data'!$BE$2:$BE$1068,0)),"")</f>
        <v/>
      </c>
      <c r="U157" s="106" t="str">
        <f aca="false">IFERROR(INDEX('Historical Data'!$AE$2:$AE$1068,MATCH($A157,'Historical Data'!$BE$2:$BE$1068,0)),"")</f>
        <v/>
      </c>
      <c r="V157" s="106" t="str">
        <f aca="false">IFERROR(INDEX('Historical Data'!$AH$2:$AH$1068,MATCH($A157,'Historical Data'!$BE$2:$BE$1068,0)),"")</f>
        <v/>
      </c>
      <c r="W157" s="106" t="str">
        <f aca="false">IFERROR(INDEX('Historical Data'!$BC$2:$BC$1068,MATCH($A157,'Historical Data'!$BE$2:$BE$1068,0)),"")</f>
        <v/>
      </c>
      <c r="X157" s="105" t="str">
        <f aca="false">IF(B157="","",IF(W157=1,"NR + industry + position",IF(W157=2,"NR + ISO + position",IF(W157=3,"NR + industry",IF(W157=4,"NR + ISO",IF(W157=5,"NR + position",IF(W157=6,"NR only","book baseline"))))))&amp;"  ["&amp;IF(T157=1,"seasoned","unseasoned")&amp;IF(U157=1,", defaulted","")&amp;IF(V157=1,", open","")&amp;"]")</f>
        <v/>
      </c>
    </row>
    <row r="158" customFormat="false" ht="15" hidden="false" customHeight="false" outlineLevel="0" collapsed="false">
      <c r="A158" s="105" t="n">
        <v>154</v>
      </c>
      <c r="B158" s="106" t="str">
        <f aca="false">IFERROR(INDEX('Historical Data'!$A$2:$A$1068,MATCH($A158,'Historical Data'!$BE$2:$BE$1068,0)),"")</f>
        <v/>
      </c>
      <c r="C158" s="106" t="str">
        <f aca="false">IFERROR(INDEX('Historical Data'!$B$2:$B$1068,MATCH($A158,'Historical Data'!$BE$2:$BE$1068,0)),"")</f>
        <v/>
      </c>
      <c r="D158" s="106" t="str">
        <f aca="false">IFERROR(INDEX('Historical Data'!$D$2:$D$1068,MATCH($A158,'Historical Data'!$BE$2:$BE$1068,0)),"")</f>
        <v/>
      </c>
      <c r="E158" s="107" t="str">
        <f aca="false">IFERROR(INDEX('Historical Data'!$E$2:$E$1068,MATCH($A158,'Historical Data'!$BE$2:$BE$1068,0)),"")</f>
        <v/>
      </c>
      <c r="F158" s="106" t="str">
        <f aca="false">IFERROR(INDEX('Historical Data'!$G$2:$G$1068,MATCH($A158,'Historical Data'!$BE$2:$BE$1068,0)),"")</f>
        <v/>
      </c>
      <c r="G158" s="106" t="str">
        <f aca="false">IFERROR(INDEX('Historical Data'!$Y$2:$Y$1068,MATCH($A158,'Historical Data'!$BE$2:$BE$1068,0)),"")</f>
        <v/>
      </c>
      <c r="H158" s="106" t="str">
        <f aca="false">IFERROR(INDEX('Historical Data'!$K$2:$K$1068,MATCH($A158,'Historical Data'!$BE$2:$BE$1068,0)),"")</f>
        <v/>
      </c>
      <c r="I158" s="106" t="str">
        <f aca="false">IFERROR(INDEX('Historical Data'!$J$2:$J$1068,MATCH($A158,'Historical Data'!$BE$2:$BE$1068,0)),"")</f>
        <v/>
      </c>
      <c r="J158" s="106" t="str">
        <f aca="false">IFERROR(INDEX('Historical Data'!$L$2:$L$1068,MATCH($A158,'Historical Data'!$BE$2:$BE$1068,0)),"")</f>
        <v/>
      </c>
      <c r="K158" s="108" t="str">
        <f aca="false">IFERROR(INDEX('Historical Data'!$M$2:$M$1068,MATCH($A158,'Historical Data'!$BE$2:$BE$1068,0)),"")</f>
        <v/>
      </c>
      <c r="L158" s="109" t="str">
        <f aca="false">IFERROR(INDEX('Historical Data'!$N$2:$N$1068,MATCH($A158,'Historical Data'!$BE$2:$BE$1068,0)),"")</f>
        <v/>
      </c>
      <c r="M158" s="109" t="str">
        <f aca="false">IFERROR(INDEX('Historical Data'!$Q$2:$Q$1068,MATCH($A158,'Historical Data'!$BE$2:$BE$1068,0)),"")</f>
        <v/>
      </c>
      <c r="N158" s="110" t="str">
        <f aca="false">IFERROR(INDEX('Historical Data'!$S$2:$S$1068,MATCH($A158,'Historical Data'!$BE$2:$BE$1068,0)),"")</f>
        <v/>
      </c>
      <c r="O158" s="109" t="str">
        <f aca="false">IFERROR(INDEX('Historical Data'!$AJ$2:$AJ$1068,MATCH($A158,'Historical Data'!$BE$2:$BE$1068,0)),"")</f>
        <v/>
      </c>
      <c r="P158" s="109" t="str">
        <f aca="false">IFERROR(INDEX('Historical Data'!$AK$2:$AK$1068,MATCH($A158,'Historical Data'!$BE$2:$BE$1068,0)),"")</f>
        <v/>
      </c>
      <c r="Q158" s="106" t="str">
        <f aca="false">IFERROR(INDEX('Historical Data'!$AA$2:$AA$1068,MATCH($A158,'Historical Data'!$BE$2:$BE$1068,0)),"")</f>
        <v/>
      </c>
      <c r="R158" s="106" t="str">
        <f aca="false">IFERROR(INDEX('Historical Data'!$AB$2:$AB$1068,MATCH($A158,'Historical Data'!$BE$2:$BE$1068,0)),"")</f>
        <v/>
      </c>
      <c r="S158" s="106" t="str">
        <f aca="false">IFERROR(INDEX('Historical Data'!$AN$2:$AN$1068,MATCH($A158,'Historical Data'!$BE$2:$BE$1068,0)),"")</f>
        <v/>
      </c>
      <c r="T158" s="106" t="str">
        <f aca="false">IFERROR(INDEX('Historical Data'!$AC$2:$AC$1068,MATCH($A158,'Historical Data'!$BE$2:$BE$1068,0)),"")</f>
        <v/>
      </c>
      <c r="U158" s="106" t="str">
        <f aca="false">IFERROR(INDEX('Historical Data'!$AE$2:$AE$1068,MATCH($A158,'Historical Data'!$BE$2:$BE$1068,0)),"")</f>
        <v/>
      </c>
      <c r="V158" s="106" t="str">
        <f aca="false">IFERROR(INDEX('Historical Data'!$AH$2:$AH$1068,MATCH($A158,'Historical Data'!$BE$2:$BE$1068,0)),"")</f>
        <v/>
      </c>
      <c r="W158" s="106" t="str">
        <f aca="false">IFERROR(INDEX('Historical Data'!$BC$2:$BC$1068,MATCH($A158,'Historical Data'!$BE$2:$BE$1068,0)),"")</f>
        <v/>
      </c>
      <c r="X158" s="105" t="str">
        <f aca="false">IF(B158="","",IF(W158=1,"NR + industry + position",IF(W158=2,"NR + ISO + position",IF(W158=3,"NR + industry",IF(W158=4,"NR + ISO",IF(W158=5,"NR + position",IF(W158=6,"NR only","book baseline"))))))&amp;"  ["&amp;IF(T158=1,"seasoned","unseasoned")&amp;IF(U158=1,", defaulted","")&amp;IF(V158=1,", open","")&amp;"]")</f>
        <v/>
      </c>
    </row>
    <row r="159" customFormat="false" ht="15" hidden="false" customHeight="false" outlineLevel="0" collapsed="false">
      <c r="A159" s="105" t="n">
        <v>155</v>
      </c>
      <c r="B159" s="106" t="str">
        <f aca="false">IFERROR(INDEX('Historical Data'!$A$2:$A$1068,MATCH($A159,'Historical Data'!$BE$2:$BE$1068,0)),"")</f>
        <v/>
      </c>
      <c r="C159" s="106" t="str">
        <f aca="false">IFERROR(INDEX('Historical Data'!$B$2:$B$1068,MATCH($A159,'Historical Data'!$BE$2:$BE$1068,0)),"")</f>
        <v/>
      </c>
      <c r="D159" s="106" t="str">
        <f aca="false">IFERROR(INDEX('Historical Data'!$D$2:$D$1068,MATCH($A159,'Historical Data'!$BE$2:$BE$1068,0)),"")</f>
        <v/>
      </c>
      <c r="E159" s="107" t="str">
        <f aca="false">IFERROR(INDEX('Historical Data'!$E$2:$E$1068,MATCH($A159,'Historical Data'!$BE$2:$BE$1068,0)),"")</f>
        <v/>
      </c>
      <c r="F159" s="106" t="str">
        <f aca="false">IFERROR(INDEX('Historical Data'!$G$2:$G$1068,MATCH($A159,'Historical Data'!$BE$2:$BE$1068,0)),"")</f>
        <v/>
      </c>
      <c r="G159" s="106" t="str">
        <f aca="false">IFERROR(INDEX('Historical Data'!$Y$2:$Y$1068,MATCH($A159,'Historical Data'!$BE$2:$BE$1068,0)),"")</f>
        <v/>
      </c>
      <c r="H159" s="106" t="str">
        <f aca="false">IFERROR(INDEX('Historical Data'!$K$2:$K$1068,MATCH($A159,'Historical Data'!$BE$2:$BE$1068,0)),"")</f>
        <v/>
      </c>
      <c r="I159" s="106" t="str">
        <f aca="false">IFERROR(INDEX('Historical Data'!$J$2:$J$1068,MATCH($A159,'Historical Data'!$BE$2:$BE$1068,0)),"")</f>
        <v/>
      </c>
      <c r="J159" s="106" t="str">
        <f aca="false">IFERROR(INDEX('Historical Data'!$L$2:$L$1068,MATCH($A159,'Historical Data'!$BE$2:$BE$1068,0)),"")</f>
        <v/>
      </c>
      <c r="K159" s="108" t="str">
        <f aca="false">IFERROR(INDEX('Historical Data'!$M$2:$M$1068,MATCH($A159,'Historical Data'!$BE$2:$BE$1068,0)),"")</f>
        <v/>
      </c>
      <c r="L159" s="109" t="str">
        <f aca="false">IFERROR(INDEX('Historical Data'!$N$2:$N$1068,MATCH($A159,'Historical Data'!$BE$2:$BE$1068,0)),"")</f>
        <v/>
      </c>
      <c r="M159" s="109" t="str">
        <f aca="false">IFERROR(INDEX('Historical Data'!$Q$2:$Q$1068,MATCH($A159,'Historical Data'!$BE$2:$BE$1068,0)),"")</f>
        <v/>
      </c>
      <c r="N159" s="110" t="str">
        <f aca="false">IFERROR(INDEX('Historical Data'!$S$2:$S$1068,MATCH($A159,'Historical Data'!$BE$2:$BE$1068,0)),"")</f>
        <v/>
      </c>
      <c r="O159" s="109" t="str">
        <f aca="false">IFERROR(INDEX('Historical Data'!$AJ$2:$AJ$1068,MATCH($A159,'Historical Data'!$BE$2:$BE$1068,0)),"")</f>
        <v/>
      </c>
      <c r="P159" s="109" t="str">
        <f aca="false">IFERROR(INDEX('Historical Data'!$AK$2:$AK$1068,MATCH($A159,'Historical Data'!$BE$2:$BE$1068,0)),"")</f>
        <v/>
      </c>
      <c r="Q159" s="106" t="str">
        <f aca="false">IFERROR(INDEX('Historical Data'!$AA$2:$AA$1068,MATCH($A159,'Historical Data'!$BE$2:$BE$1068,0)),"")</f>
        <v/>
      </c>
      <c r="R159" s="106" t="str">
        <f aca="false">IFERROR(INDEX('Historical Data'!$AB$2:$AB$1068,MATCH($A159,'Historical Data'!$BE$2:$BE$1068,0)),"")</f>
        <v/>
      </c>
      <c r="S159" s="106" t="str">
        <f aca="false">IFERROR(INDEX('Historical Data'!$AN$2:$AN$1068,MATCH($A159,'Historical Data'!$BE$2:$BE$1068,0)),"")</f>
        <v/>
      </c>
      <c r="T159" s="106" t="str">
        <f aca="false">IFERROR(INDEX('Historical Data'!$AC$2:$AC$1068,MATCH($A159,'Historical Data'!$BE$2:$BE$1068,0)),"")</f>
        <v/>
      </c>
      <c r="U159" s="106" t="str">
        <f aca="false">IFERROR(INDEX('Historical Data'!$AE$2:$AE$1068,MATCH($A159,'Historical Data'!$BE$2:$BE$1068,0)),"")</f>
        <v/>
      </c>
      <c r="V159" s="106" t="str">
        <f aca="false">IFERROR(INDEX('Historical Data'!$AH$2:$AH$1068,MATCH($A159,'Historical Data'!$BE$2:$BE$1068,0)),"")</f>
        <v/>
      </c>
      <c r="W159" s="106" t="str">
        <f aca="false">IFERROR(INDEX('Historical Data'!$BC$2:$BC$1068,MATCH($A159,'Historical Data'!$BE$2:$BE$1068,0)),"")</f>
        <v/>
      </c>
      <c r="X159" s="105" t="str">
        <f aca="false">IF(B159="","",IF(W159=1,"NR + industry + position",IF(W159=2,"NR + ISO + position",IF(W159=3,"NR + industry",IF(W159=4,"NR + ISO",IF(W159=5,"NR + position",IF(W159=6,"NR only","book baseline"))))))&amp;"  ["&amp;IF(T159=1,"seasoned","unseasoned")&amp;IF(U159=1,", defaulted","")&amp;IF(V159=1,", open","")&amp;"]")</f>
        <v/>
      </c>
    </row>
    <row r="160" customFormat="false" ht="15" hidden="false" customHeight="false" outlineLevel="0" collapsed="false">
      <c r="A160" s="105" t="n">
        <v>156</v>
      </c>
      <c r="B160" s="106" t="str">
        <f aca="false">IFERROR(INDEX('Historical Data'!$A$2:$A$1068,MATCH($A160,'Historical Data'!$BE$2:$BE$1068,0)),"")</f>
        <v/>
      </c>
      <c r="C160" s="106" t="str">
        <f aca="false">IFERROR(INDEX('Historical Data'!$B$2:$B$1068,MATCH($A160,'Historical Data'!$BE$2:$BE$1068,0)),"")</f>
        <v/>
      </c>
      <c r="D160" s="106" t="str">
        <f aca="false">IFERROR(INDEX('Historical Data'!$D$2:$D$1068,MATCH($A160,'Historical Data'!$BE$2:$BE$1068,0)),"")</f>
        <v/>
      </c>
      <c r="E160" s="107" t="str">
        <f aca="false">IFERROR(INDEX('Historical Data'!$E$2:$E$1068,MATCH($A160,'Historical Data'!$BE$2:$BE$1068,0)),"")</f>
        <v/>
      </c>
      <c r="F160" s="106" t="str">
        <f aca="false">IFERROR(INDEX('Historical Data'!$G$2:$G$1068,MATCH($A160,'Historical Data'!$BE$2:$BE$1068,0)),"")</f>
        <v/>
      </c>
      <c r="G160" s="106" t="str">
        <f aca="false">IFERROR(INDEX('Historical Data'!$Y$2:$Y$1068,MATCH($A160,'Historical Data'!$BE$2:$BE$1068,0)),"")</f>
        <v/>
      </c>
      <c r="H160" s="106" t="str">
        <f aca="false">IFERROR(INDEX('Historical Data'!$K$2:$K$1068,MATCH($A160,'Historical Data'!$BE$2:$BE$1068,0)),"")</f>
        <v/>
      </c>
      <c r="I160" s="106" t="str">
        <f aca="false">IFERROR(INDEX('Historical Data'!$J$2:$J$1068,MATCH($A160,'Historical Data'!$BE$2:$BE$1068,0)),"")</f>
        <v/>
      </c>
      <c r="J160" s="106" t="str">
        <f aca="false">IFERROR(INDEX('Historical Data'!$L$2:$L$1068,MATCH($A160,'Historical Data'!$BE$2:$BE$1068,0)),"")</f>
        <v/>
      </c>
      <c r="K160" s="108" t="str">
        <f aca="false">IFERROR(INDEX('Historical Data'!$M$2:$M$1068,MATCH($A160,'Historical Data'!$BE$2:$BE$1068,0)),"")</f>
        <v/>
      </c>
      <c r="L160" s="109" t="str">
        <f aca="false">IFERROR(INDEX('Historical Data'!$N$2:$N$1068,MATCH($A160,'Historical Data'!$BE$2:$BE$1068,0)),"")</f>
        <v/>
      </c>
      <c r="M160" s="109" t="str">
        <f aca="false">IFERROR(INDEX('Historical Data'!$Q$2:$Q$1068,MATCH($A160,'Historical Data'!$BE$2:$BE$1068,0)),"")</f>
        <v/>
      </c>
      <c r="N160" s="110" t="str">
        <f aca="false">IFERROR(INDEX('Historical Data'!$S$2:$S$1068,MATCH($A160,'Historical Data'!$BE$2:$BE$1068,0)),"")</f>
        <v/>
      </c>
      <c r="O160" s="109" t="str">
        <f aca="false">IFERROR(INDEX('Historical Data'!$AJ$2:$AJ$1068,MATCH($A160,'Historical Data'!$BE$2:$BE$1068,0)),"")</f>
        <v/>
      </c>
      <c r="P160" s="109" t="str">
        <f aca="false">IFERROR(INDEX('Historical Data'!$AK$2:$AK$1068,MATCH($A160,'Historical Data'!$BE$2:$BE$1068,0)),"")</f>
        <v/>
      </c>
      <c r="Q160" s="106" t="str">
        <f aca="false">IFERROR(INDEX('Historical Data'!$AA$2:$AA$1068,MATCH($A160,'Historical Data'!$BE$2:$BE$1068,0)),"")</f>
        <v/>
      </c>
      <c r="R160" s="106" t="str">
        <f aca="false">IFERROR(INDEX('Historical Data'!$AB$2:$AB$1068,MATCH($A160,'Historical Data'!$BE$2:$BE$1068,0)),"")</f>
        <v/>
      </c>
      <c r="S160" s="106" t="str">
        <f aca="false">IFERROR(INDEX('Historical Data'!$AN$2:$AN$1068,MATCH($A160,'Historical Data'!$BE$2:$BE$1068,0)),"")</f>
        <v/>
      </c>
      <c r="T160" s="106" t="str">
        <f aca="false">IFERROR(INDEX('Historical Data'!$AC$2:$AC$1068,MATCH($A160,'Historical Data'!$BE$2:$BE$1068,0)),"")</f>
        <v/>
      </c>
      <c r="U160" s="106" t="str">
        <f aca="false">IFERROR(INDEX('Historical Data'!$AE$2:$AE$1068,MATCH($A160,'Historical Data'!$BE$2:$BE$1068,0)),"")</f>
        <v/>
      </c>
      <c r="V160" s="106" t="str">
        <f aca="false">IFERROR(INDEX('Historical Data'!$AH$2:$AH$1068,MATCH($A160,'Historical Data'!$BE$2:$BE$1068,0)),"")</f>
        <v/>
      </c>
      <c r="W160" s="106" t="str">
        <f aca="false">IFERROR(INDEX('Historical Data'!$BC$2:$BC$1068,MATCH($A160,'Historical Data'!$BE$2:$BE$1068,0)),"")</f>
        <v/>
      </c>
      <c r="X160" s="105" t="str">
        <f aca="false">IF(B160="","",IF(W160=1,"NR + industry + position",IF(W160=2,"NR + ISO + position",IF(W160=3,"NR + industry",IF(W160=4,"NR + ISO",IF(W160=5,"NR + position",IF(W160=6,"NR only","book baseline"))))))&amp;"  ["&amp;IF(T160=1,"seasoned","unseasoned")&amp;IF(U160=1,", defaulted","")&amp;IF(V160=1,", open","")&amp;"]")</f>
        <v/>
      </c>
    </row>
    <row r="161" customFormat="false" ht="15" hidden="false" customHeight="false" outlineLevel="0" collapsed="false">
      <c r="A161" s="105" t="n">
        <v>157</v>
      </c>
      <c r="B161" s="106" t="str">
        <f aca="false">IFERROR(INDEX('Historical Data'!$A$2:$A$1068,MATCH($A161,'Historical Data'!$BE$2:$BE$1068,0)),"")</f>
        <v/>
      </c>
      <c r="C161" s="106" t="str">
        <f aca="false">IFERROR(INDEX('Historical Data'!$B$2:$B$1068,MATCH($A161,'Historical Data'!$BE$2:$BE$1068,0)),"")</f>
        <v/>
      </c>
      <c r="D161" s="106" t="str">
        <f aca="false">IFERROR(INDEX('Historical Data'!$D$2:$D$1068,MATCH($A161,'Historical Data'!$BE$2:$BE$1068,0)),"")</f>
        <v/>
      </c>
      <c r="E161" s="107" t="str">
        <f aca="false">IFERROR(INDEX('Historical Data'!$E$2:$E$1068,MATCH($A161,'Historical Data'!$BE$2:$BE$1068,0)),"")</f>
        <v/>
      </c>
      <c r="F161" s="106" t="str">
        <f aca="false">IFERROR(INDEX('Historical Data'!$G$2:$G$1068,MATCH($A161,'Historical Data'!$BE$2:$BE$1068,0)),"")</f>
        <v/>
      </c>
      <c r="G161" s="106" t="str">
        <f aca="false">IFERROR(INDEX('Historical Data'!$Y$2:$Y$1068,MATCH($A161,'Historical Data'!$BE$2:$BE$1068,0)),"")</f>
        <v/>
      </c>
      <c r="H161" s="106" t="str">
        <f aca="false">IFERROR(INDEX('Historical Data'!$K$2:$K$1068,MATCH($A161,'Historical Data'!$BE$2:$BE$1068,0)),"")</f>
        <v/>
      </c>
      <c r="I161" s="106" t="str">
        <f aca="false">IFERROR(INDEX('Historical Data'!$J$2:$J$1068,MATCH($A161,'Historical Data'!$BE$2:$BE$1068,0)),"")</f>
        <v/>
      </c>
      <c r="J161" s="106" t="str">
        <f aca="false">IFERROR(INDEX('Historical Data'!$L$2:$L$1068,MATCH($A161,'Historical Data'!$BE$2:$BE$1068,0)),"")</f>
        <v/>
      </c>
      <c r="K161" s="108" t="str">
        <f aca="false">IFERROR(INDEX('Historical Data'!$M$2:$M$1068,MATCH($A161,'Historical Data'!$BE$2:$BE$1068,0)),"")</f>
        <v/>
      </c>
      <c r="L161" s="109" t="str">
        <f aca="false">IFERROR(INDEX('Historical Data'!$N$2:$N$1068,MATCH($A161,'Historical Data'!$BE$2:$BE$1068,0)),"")</f>
        <v/>
      </c>
      <c r="M161" s="109" t="str">
        <f aca="false">IFERROR(INDEX('Historical Data'!$Q$2:$Q$1068,MATCH($A161,'Historical Data'!$BE$2:$BE$1068,0)),"")</f>
        <v/>
      </c>
      <c r="N161" s="110" t="str">
        <f aca="false">IFERROR(INDEX('Historical Data'!$S$2:$S$1068,MATCH($A161,'Historical Data'!$BE$2:$BE$1068,0)),"")</f>
        <v/>
      </c>
      <c r="O161" s="109" t="str">
        <f aca="false">IFERROR(INDEX('Historical Data'!$AJ$2:$AJ$1068,MATCH($A161,'Historical Data'!$BE$2:$BE$1068,0)),"")</f>
        <v/>
      </c>
      <c r="P161" s="109" t="str">
        <f aca="false">IFERROR(INDEX('Historical Data'!$AK$2:$AK$1068,MATCH($A161,'Historical Data'!$BE$2:$BE$1068,0)),"")</f>
        <v/>
      </c>
      <c r="Q161" s="106" t="str">
        <f aca="false">IFERROR(INDEX('Historical Data'!$AA$2:$AA$1068,MATCH($A161,'Historical Data'!$BE$2:$BE$1068,0)),"")</f>
        <v/>
      </c>
      <c r="R161" s="106" t="str">
        <f aca="false">IFERROR(INDEX('Historical Data'!$AB$2:$AB$1068,MATCH($A161,'Historical Data'!$BE$2:$BE$1068,0)),"")</f>
        <v/>
      </c>
      <c r="S161" s="106" t="str">
        <f aca="false">IFERROR(INDEX('Historical Data'!$AN$2:$AN$1068,MATCH($A161,'Historical Data'!$BE$2:$BE$1068,0)),"")</f>
        <v/>
      </c>
      <c r="T161" s="106" t="str">
        <f aca="false">IFERROR(INDEX('Historical Data'!$AC$2:$AC$1068,MATCH($A161,'Historical Data'!$BE$2:$BE$1068,0)),"")</f>
        <v/>
      </c>
      <c r="U161" s="106" t="str">
        <f aca="false">IFERROR(INDEX('Historical Data'!$AE$2:$AE$1068,MATCH($A161,'Historical Data'!$BE$2:$BE$1068,0)),"")</f>
        <v/>
      </c>
      <c r="V161" s="106" t="str">
        <f aca="false">IFERROR(INDEX('Historical Data'!$AH$2:$AH$1068,MATCH($A161,'Historical Data'!$BE$2:$BE$1068,0)),"")</f>
        <v/>
      </c>
      <c r="W161" s="106" t="str">
        <f aca="false">IFERROR(INDEX('Historical Data'!$BC$2:$BC$1068,MATCH($A161,'Historical Data'!$BE$2:$BE$1068,0)),"")</f>
        <v/>
      </c>
      <c r="X161" s="105" t="str">
        <f aca="false">IF(B161="","",IF(W161=1,"NR + industry + position",IF(W161=2,"NR + ISO + position",IF(W161=3,"NR + industry",IF(W161=4,"NR + ISO",IF(W161=5,"NR + position",IF(W161=6,"NR only","book baseline"))))))&amp;"  ["&amp;IF(T161=1,"seasoned","unseasoned")&amp;IF(U161=1,", defaulted","")&amp;IF(V161=1,", open","")&amp;"]")</f>
        <v/>
      </c>
    </row>
    <row r="162" customFormat="false" ht="15" hidden="false" customHeight="false" outlineLevel="0" collapsed="false">
      <c r="A162" s="105" t="n">
        <v>158</v>
      </c>
      <c r="B162" s="106" t="str">
        <f aca="false">IFERROR(INDEX('Historical Data'!$A$2:$A$1068,MATCH($A162,'Historical Data'!$BE$2:$BE$1068,0)),"")</f>
        <v/>
      </c>
      <c r="C162" s="106" t="str">
        <f aca="false">IFERROR(INDEX('Historical Data'!$B$2:$B$1068,MATCH($A162,'Historical Data'!$BE$2:$BE$1068,0)),"")</f>
        <v/>
      </c>
      <c r="D162" s="106" t="str">
        <f aca="false">IFERROR(INDEX('Historical Data'!$D$2:$D$1068,MATCH($A162,'Historical Data'!$BE$2:$BE$1068,0)),"")</f>
        <v/>
      </c>
      <c r="E162" s="107" t="str">
        <f aca="false">IFERROR(INDEX('Historical Data'!$E$2:$E$1068,MATCH($A162,'Historical Data'!$BE$2:$BE$1068,0)),"")</f>
        <v/>
      </c>
      <c r="F162" s="106" t="str">
        <f aca="false">IFERROR(INDEX('Historical Data'!$G$2:$G$1068,MATCH($A162,'Historical Data'!$BE$2:$BE$1068,0)),"")</f>
        <v/>
      </c>
      <c r="G162" s="106" t="str">
        <f aca="false">IFERROR(INDEX('Historical Data'!$Y$2:$Y$1068,MATCH($A162,'Historical Data'!$BE$2:$BE$1068,0)),"")</f>
        <v/>
      </c>
      <c r="H162" s="106" t="str">
        <f aca="false">IFERROR(INDEX('Historical Data'!$K$2:$K$1068,MATCH($A162,'Historical Data'!$BE$2:$BE$1068,0)),"")</f>
        <v/>
      </c>
      <c r="I162" s="106" t="str">
        <f aca="false">IFERROR(INDEX('Historical Data'!$J$2:$J$1068,MATCH($A162,'Historical Data'!$BE$2:$BE$1068,0)),"")</f>
        <v/>
      </c>
      <c r="J162" s="106" t="str">
        <f aca="false">IFERROR(INDEX('Historical Data'!$L$2:$L$1068,MATCH($A162,'Historical Data'!$BE$2:$BE$1068,0)),"")</f>
        <v/>
      </c>
      <c r="K162" s="108" t="str">
        <f aca="false">IFERROR(INDEX('Historical Data'!$M$2:$M$1068,MATCH($A162,'Historical Data'!$BE$2:$BE$1068,0)),"")</f>
        <v/>
      </c>
      <c r="L162" s="109" t="str">
        <f aca="false">IFERROR(INDEX('Historical Data'!$N$2:$N$1068,MATCH($A162,'Historical Data'!$BE$2:$BE$1068,0)),"")</f>
        <v/>
      </c>
      <c r="M162" s="109" t="str">
        <f aca="false">IFERROR(INDEX('Historical Data'!$Q$2:$Q$1068,MATCH($A162,'Historical Data'!$BE$2:$BE$1068,0)),"")</f>
        <v/>
      </c>
      <c r="N162" s="110" t="str">
        <f aca="false">IFERROR(INDEX('Historical Data'!$S$2:$S$1068,MATCH($A162,'Historical Data'!$BE$2:$BE$1068,0)),"")</f>
        <v/>
      </c>
      <c r="O162" s="109" t="str">
        <f aca="false">IFERROR(INDEX('Historical Data'!$AJ$2:$AJ$1068,MATCH($A162,'Historical Data'!$BE$2:$BE$1068,0)),"")</f>
        <v/>
      </c>
      <c r="P162" s="109" t="str">
        <f aca="false">IFERROR(INDEX('Historical Data'!$AK$2:$AK$1068,MATCH($A162,'Historical Data'!$BE$2:$BE$1068,0)),"")</f>
        <v/>
      </c>
      <c r="Q162" s="106" t="str">
        <f aca="false">IFERROR(INDEX('Historical Data'!$AA$2:$AA$1068,MATCH($A162,'Historical Data'!$BE$2:$BE$1068,0)),"")</f>
        <v/>
      </c>
      <c r="R162" s="106" t="str">
        <f aca="false">IFERROR(INDEX('Historical Data'!$AB$2:$AB$1068,MATCH($A162,'Historical Data'!$BE$2:$BE$1068,0)),"")</f>
        <v/>
      </c>
      <c r="S162" s="106" t="str">
        <f aca="false">IFERROR(INDEX('Historical Data'!$AN$2:$AN$1068,MATCH($A162,'Historical Data'!$BE$2:$BE$1068,0)),"")</f>
        <v/>
      </c>
      <c r="T162" s="106" t="str">
        <f aca="false">IFERROR(INDEX('Historical Data'!$AC$2:$AC$1068,MATCH($A162,'Historical Data'!$BE$2:$BE$1068,0)),"")</f>
        <v/>
      </c>
      <c r="U162" s="106" t="str">
        <f aca="false">IFERROR(INDEX('Historical Data'!$AE$2:$AE$1068,MATCH($A162,'Historical Data'!$BE$2:$BE$1068,0)),"")</f>
        <v/>
      </c>
      <c r="V162" s="106" t="str">
        <f aca="false">IFERROR(INDEX('Historical Data'!$AH$2:$AH$1068,MATCH($A162,'Historical Data'!$BE$2:$BE$1068,0)),"")</f>
        <v/>
      </c>
      <c r="W162" s="106" t="str">
        <f aca="false">IFERROR(INDEX('Historical Data'!$BC$2:$BC$1068,MATCH($A162,'Historical Data'!$BE$2:$BE$1068,0)),"")</f>
        <v/>
      </c>
      <c r="X162" s="105" t="str">
        <f aca="false">IF(B162="","",IF(W162=1,"NR + industry + position",IF(W162=2,"NR + ISO + position",IF(W162=3,"NR + industry",IF(W162=4,"NR + ISO",IF(W162=5,"NR + position",IF(W162=6,"NR only","book baseline"))))))&amp;"  ["&amp;IF(T162=1,"seasoned","unseasoned")&amp;IF(U162=1,", defaulted","")&amp;IF(V162=1,", open","")&amp;"]")</f>
        <v/>
      </c>
    </row>
    <row r="163" customFormat="false" ht="15" hidden="false" customHeight="false" outlineLevel="0" collapsed="false">
      <c r="A163" s="105" t="n">
        <v>159</v>
      </c>
      <c r="B163" s="106" t="str">
        <f aca="false">IFERROR(INDEX('Historical Data'!$A$2:$A$1068,MATCH($A163,'Historical Data'!$BE$2:$BE$1068,0)),"")</f>
        <v/>
      </c>
      <c r="C163" s="106" t="str">
        <f aca="false">IFERROR(INDEX('Historical Data'!$B$2:$B$1068,MATCH($A163,'Historical Data'!$BE$2:$BE$1068,0)),"")</f>
        <v/>
      </c>
      <c r="D163" s="106" t="str">
        <f aca="false">IFERROR(INDEX('Historical Data'!$D$2:$D$1068,MATCH($A163,'Historical Data'!$BE$2:$BE$1068,0)),"")</f>
        <v/>
      </c>
      <c r="E163" s="107" t="str">
        <f aca="false">IFERROR(INDEX('Historical Data'!$E$2:$E$1068,MATCH($A163,'Historical Data'!$BE$2:$BE$1068,0)),"")</f>
        <v/>
      </c>
      <c r="F163" s="106" t="str">
        <f aca="false">IFERROR(INDEX('Historical Data'!$G$2:$G$1068,MATCH($A163,'Historical Data'!$BE$2:$BE$1068,0)),"")</f>
        <v/>
      </c>
      <c r="G163" s="106" t="str">
        <f aca="false">IFERROR(INDEX('Historical Data'!$Y$2:$Y$1068,MATCH($A163,'Historical Data'!$BE$2:$BE$1068,0)),"")</f>
        <v/>
      </c>
      <c r="H163" s="106" t="str">
        <f aca="false">IFERROR(INDEX('Historical Data'!$K$2:$K$1068,MATCH($A163,'Historical Data'!$BE$2:$BE$1068,0)),"")</f>
        <v/>
      </c>
      <c r="I163" s="106" t="str">
        <f aca="false">IFERROR(INDEX('Historical Data'!$J$2:$J$1068,MATCH($A163,'Historical Data'!$BE$2:$BE$1068,0)),"")</f>
        <v/>
      </c>
      <c r="J163" s="106" t="str">
        <f aca="false">IFERROR(INDEX('Historical Data'!$L$2:$L$1068,MATCH($A163,'Historical Data'!$BE$2:$BE$1068,0)),"")</f>
        <v/>
      </c>
      <c r="K163" s="108" t="str">
        <f aca="false">IFERROR(INDEX('Historical Data'!$M$2:$M$1068,MATCH($A163,'Historical Data'!$BE$2:$BE$1068,0)),"")</f>
        <v/>
      </c>
      <c r="L163" s="109" t="str">
        <f aca="false">IFERROR(INDEX('Historical Data'!$N$2:$N$1068,MATCH($A163,'Historical Data'!$BE$2:$BE$1068,0)),"")</f>
        <v/>
      </c>
      <c r="M163" s="109" t="str">
        <f aca="false">IFERROR(INDEX('Historical Data'!$Q$2:$Q$1068,MATCH($A163,'Historical Data'!$BE$2:$BE$1068,0)),"")</f>
        <v/>
      </c>
      <c r="N163" s="110" t="str">
        <f aca="false">IFERROR(INDEX('Historical Data'!$S$2:$S$1068,MATCH($A163,'Historical Data'!$BE$2:$BE$1068,0)),"")</f>
        <v/>
      </c>
      <c r="O163" s="109" t="str">
        <f aca="false">IFERROR(INDEX('Historical Data'!$AJ$2:$AJ$1068,MATCH($A163,'Historical Data'!$BE$2:$BE$1068,0)),"")</f>
        <v/>
      </c>
      <c r="P163" s="109" t="str">
        <f aca="false">IFERROR(INDEX('Historical Data'!$AK$2:$AK$1068,MATCH($A163,'Historical Data'!$BE$2:$BE$1068,0)),"")</f>
        <v/>
      </c>
      <c r="Q163" s="106" t="str">
        <f aca="false">IFERROR(INDEX('Historical Data'!$AA$2:$AA$1068,MATCH($A163,'Historical Data'!$BE$2:$BE$1068,0)),"")</f>
        <v/>
      </c>
      <c r="R163" s="106" t="str">
        <f aca="false">IFERROR(INDEX('Historical Data'!$AB$2:$AB$1068,MATCH($A163,'Historical Data'!$BE$2:$BE$1068,0)),"")</f>
        <v/>
      </c>
      <c r="S163" s="106" t="str">
        <f aca="false">IFERROR(INDEX('Historical Data'!$AN$2:$AN$1068,MATCH($A163,'Historical Data'!$BE$2:$BE$1068,0)),"")</f>
        <v/>
      </c>
      <c r="T163" s="106" t="str">
        <f aca="false">IFERROR(INDEX('Historical Data'!$AC$2:$AC$1068,MATCH($A163,'Historical Data'!$BE$2:$BE$1068,0)),"")</f>
        <v/>
      </c>
      <c r="U163" s="106" t="str">
        <f aca="false">IFERROR(INDEX('Historical Data'!$AE$2:$AE$1068,MATCH($A163,'Historical Data'!$BE$2:$BE$1068,0)),"")</f>
        <v/>
      </c>
      <c r="V163" s="106" t="str">
        <f aca="false">IFERROR(INDEX('Historical Data'!$AH$2:$AH$1068,MATCH($A163,'Historical Data'!$BE$2:$BE$1068,0)),"")</f>
        <v/>
      </c>
      <c r="W163" s="106" t="str">
        <f aca="false">IFERROR(INDEX('Historical Data'!$BC$2:$BC$1068,MATCH($A163,'Historical Data'!$BE$2:$BE$1068,0)),"")</f>
        <v/>
      </c>
      <c r="X163" s="105" t="str">
        <f aca="false">IF(B163="","",IF(W163=1,"NR + industry + position",IF(W163=2,"NR + ISO + position",IF(W163=3,"NR + industry",IF(W163=4,"NR + ISO",IF(W163=5,"NR + position",IF(W163=6,"NR only","book baseline"))))))&amp;"  ["&amp;IF(T163=1,"seasoned","unseasoned")&amp;IF(U163=1,", defaulted","")&amp;IF(V163=1,", open","")&amp;"]")</f>
        <v/>
      </c>
    </row>
    <row r="164" customFormat="false" ht="15" hidden="false" customHeight="false" outlineLevel="0" collapsed="false">
      <c r="A164" s="105" t="n">
        <v>160</v>
      </c>
      <c r="B164" s="106" t="str">
        <f aca="false">IFERROR(INDEX('Historical Data'!$A$2:$A$1068,MATCH($A164,'Historical Data'!$BE$2:$BE$1068,0)),"")</f>
        <v/>
      </c>
      <c r="C164" s="106" t="str">
        <f aca="false">IFERROR(INDEX('Historical Data'!$B$2:$B$1068,MATCH($A164,'Historical Data'!$BE$2:$BE$1068,0)),"")</f>
        <v/>
      </c>
      <c r="D164" s="106" t="str">
        <f aca="false">IFERROR(INDEX('Historical Data'!$D$2:$D$1068,MATCH($A164,'Historical Data'!$BE$2:$BE$1068,0)),"")</f>
        <v/>
      </c>
      <c r="E164" s="107" t="str">
        <f aca="false">IFERROR(INDEX('Historical Data'!$E$2:$E$1068,MATCH($A164,'Historical Data'!$BE$2:$BE$1068,0)),"")</f>
        <v/>
      </c>
      <c r="F164" s="106" t="str">
        <f aca="false">IFERROR(INDEX('Historical Data'!$G$2:$G$1068,MATCH($A164,'Historical Data'!$BE$2:$BE$1068,0)),"")</f>
        <v/>
      </c>
      <c r="G164" s="106" t="str">
        <f aca="false">IFERROR(INDEX('Historical Data'!$Y$2:$Y$1068,MATCH($A164,'Historical Data'!$BE$2:$BE$1068,0)),"")</f>
        <v/>
      </c>
      <c r="H164" s="106" t="str">
        <f aca="false">IFERROR(INDEX('Historical Data'!$K$2:$K$1068,MATCH($A164,'Historical Data'!$BE$2:$BE$1068,0)),"")</f>
        <v/>
      </c>
      <c r="I164" s="106" t="str">
        <f aca="false">IFERROR(INDEX('Historical Data'!$J$2:$J$1068,MATCH($A164,'Historical Data'!$BE$2:$BE$1068,0)),"")</f>
        <v/>
      </c>
      <c r="J164" s="106" t="str">
        <f aca="false">IFERROR(INDEX('Historical Data'!$L$2:$L$1068,MATCH($A164,'Historical Data'!$BE$2:$BE$1068,0)),"")</f>
        <v/>
      </c>
      <c r="K164" s="108" t="str">
        <f aca="false">IFERROR(INDEX('Historical Data'!$M$2:$M$1068,MATCH($A164,'Historical Data'!$BE$2:$BE$1068,0)),"")</f>
        <v/>
      </c>
      <c r="L164" s="109" t="str">
        <f aca="false">IFERROR(INDEX('Historical Data'!$N$2:$N$1068,MATCH($A164,'Historical Data'!$BE$2:$BE$1068,0)),"")</f>
        <v/>
      </c>
      <c r="M164" s="109" t="str">
        <f aca="false">IFERROR(INDEX('Historical Data'!$Q$2:$Q$1068,MATCH($A164,'Historical Data'!$BE$2:$BE$1068,0)),"")</f>
        <v/>
      </c>
      <c r="N164" s="110" t="str">
        <f aca="false">IFERROR(INDEX('Historical Data'!$S$2:$S$1068,MATCH($A164,'Historical Data'!$BE$2:$BE$1068,0)),"")</f>
        <v/>
      </c>
      <c r="O164" s="109" t="str">
        <f aca="false">IFERROR(INDEX('Historical Data'!$AJ$2:$AJ$1068,MATCH($A164,'Historical Data'!$BE$2:$BE$1068,0)),"")</f>
        <v/>
      </c>
      <c r="P164" s="109" t="str">
        <f aca="false">IFERROR(INDEX('Historical Data'!$AK$2:$AK$1068,MATCH($A164,'Historical Data'!$BE$2:$BE$1068,0)),"")</f>
        <v/>
      </c>
      <c r="Q164" s="106" t="str">
        <f aca="false">IFERROR(INDEX('Historical Data'!$AA$2:$AA$1068,MATCH($A164,'Historical Data'!$BE$2:$BE$1068,0)),"")</f>
        <v/>
      </c>
      <c r="R164" s="106" t="str">
        <f aca="false">IFERROR(INDEX('Historical Data'!$AB$2:$AB$1068,MATCH($A164,'Historical Data'!$BE$2:$BE$1068,0)),"")</f>
        <v/>
      </c>
      <c r="S164" s="106" t="str">
        <f aca="false">IFERROR(INDEX('Historical Data'!$AN$2:$AN$1068,MATCH($A164,'Historical Data'!$BE$2:$BE$1068,0)),"")</f>
        <v/>
      </c>
      <c r="T164" s="106" t="str">
        <f aca="false">IFERROR(INDEX('Historical Data'!$AC$2:$AC$1068,MATCH($A164,'Historical Data'!$BE$2:$BE$1068,0)),"")</f>
        <v/>
      </c>
      <c r="U164" s="106" t="str">
        <f aca="false">IFERROR(INDEX('Historical Data'!$AE$2:$AE$1068,MATCH($A164,'Historical Data'!$BE$2:$BE$1068,0)),"")</f>
        <v/>
      </c>
      <c r="V164" s="106" t="str">
        <f aca="false">IFERROR(INDEX('Historical Data'!$AH$2:$AH$1068,MATCH($A164,'Historical Data'!$BE$2:$BE$1068,0)),"")</f>
        <v/>
      </c>
      <c r="W164" s="106" t="str">
        <f aca="false">IFERROR(INDEX('Historical Data'!$BC$2:$BC$1068,MATCH($A164,'Historical Data'!$BE$2:$BE$1068,0)),"")</f>
        <v/>
      </c>
      <c r="X164" s="105" t="str">
        <f aca="false">IF(B164="","",IF(W164=1,"NR + industry + position",IF(W164=2,"NR + ISO + position",IF(W164=3,"NR + industry",IF(W164=4,"NR + ISO",IF(W164=5,"NR + position",IF(W164=6,"NR only","book baseline"))))))&amp;"  ["&amp;IF(T164=1,"seasoned","unseasoned")&amp;IF(U164=1,", defaulted","")&amp;IF(V164=1,", open","")&amp;"]")</f>
        <v/>
      </c>
    </row>
    <row r="165" customFormat="false" ht="15" hidden="false" customHeight="false" outlineLevel="0" collapsed="false">
      <c r="A165" s="105" t="n">
        <v>161</v>
      </c>
      <c r="B165" s="106" t="str">
        <f aca="false">IFERROR(INDEX('Historical Data'!$A$2:$A$1068,MATCH($A165,'Historical Data'!$BE$2:$BE$1068,0)),"")</f>
        <v/>
      </c>
      <c r="C165" s="106" t="str">
        <f aca="false">IFERROR(INDEX('Historical Data'!$B$2:$B$1068,MATCH($A165,'Historical Data'!$BE$2:$BE$1068,0)),"")</f>
        <v/>
      </c>
      <c r="D165" s="106" t="str">
        <f aca="false">IFERROR(INDEX('Historical Data'!$D$2:$D$1068,MATCH($A165,'Historical Data'!$BE$2:$BE$1068,0)),"")</f>
        <v/>
      </c>
      <c r="E165" s="107" t="str">
        <f aca="false">IFERROR(INDEX('Historical Data'!$E$2:$E$1068,MATCH($A165,'Historical Data'!$BE$2:$BE$1068,0)),"")</f>
        <v/>
      </c>
      <c r="F165" s="106" t="str">
        <f aca="false">IFERROR(INDEX('Historical Data'!$G$2:$G$1068,MATCH($A165,'Historical Data'!$BE$2:$BE$1068,0)),"")</f>
        <v/>
      </c>
      <c r="G165" s="106" t="str">
        <f aca="false">IFERROR(INDEX('Historical Data'!$Y$2:$Y$1068,MATCH($A165,'Historical Data'!$BE$2:$BE$1068,0)),"")</f>
        <v/>
      </c>
      <c r="H165" s="106" t="str">
        <f aca="false">IFERROR(INDEX('Historical Data'!$K$2:$K$1068,MATCH($A165,'Historical Data'!$BE$2:$BE$1068,0)),"")</f>
        <v/>
      </c>
      <c r="I165" s="106" t="str">
        <f aca="false">IFERROR(INDEX('Historical Data'!$J$2:$J$1068,MATCH($A165,'Historical Data'!$BE$2:$BE$1068,0)),"")</f>
        <v/>
      </c>
      <c r="J165" s="106" t="str">
        <f aca="false">IFERROR(INDEX('Historical Data'!$L$2:$L$1068,MATCH($A165,'Historical Data'!$BE$2:$BE$1068,0)),"")</f>
        <v/>
      </c>
      <c r="K165" s="108" t="str">
        <f aca="false">IFERROR(INDEX('Historical Data'!$M$2:$M$1068,MATCH($A165,'Historical Data'!$BE$2:$BE$1068,0)),"")</f>
        <v/>
      </c>
      <c r="L165" s="109" t="str">
        <f aca="false">IFERROR(INDEX('Historical Data'!$N$2:$N$1068,MATCH($A165,'Historical Data'!$BE$2:$BE$1068,0)),"")</f>
        <v/>
      </c>
      <c r="M165" s="109" t="str">
        <f aca="false">IFERROR(INDEX('Historical Data'!$Q$2:$Q$1068,MATCH($A165,'Historical Data'!$BE$2:$BE$1068,0)),"")</f>
        <v/>
      </c>
      <c r="N165" s="110" t="str">
        <f aca="false">IFERROR(INDEX('Historical Data'!$S$2:$S$1068,MATCH($A165,'Historical Data'!$BE$2:$BE$1068,0)),"")</f>
        <v/>
      </c>
      <c r="O165" s="109" t="str">
        <f aca="false">IFERROR(INDEX('Historical Data'!$AJ$2:$AJ$1068,MATCH($A165,'Historical Data'!$BE$2:$BE$1068,0)),"")</f>
        <v/>
      </c>
      <c r="P165" s="109" t="str">
        <f aca="false">IFERROR(INDEX('Historical Data'!$AK$2:$AK$1068,MATCH($A165,'Historical Data'!$BE$2:$BE$1068,0)),"")</f>
        <v/>
      </c>
      <c r="Q165" s="106" t="str">
        <f aca="false">IFERROR(INDEX('Historical Data'!$AA$2:$AA$1068,MATCH($A165,'Historical Data'!$BE$2:$BE$1068,0)),"")</f>
        <v/>
      </c>
      <c r="R165" s="106" t="str">
        <f aca="false">IFERROR(INDEX('Historical Data'!$AB$2:$AB$1068,MATCH($A165,'Historical Data'!$BE$2:$BE$1068,0)),"")</f>
        <v/>
      </c>
      <c r="S165" s="106" t="str">
        <f aca="false">IFERROR(INDEX('Historical Data'!$AN$2:$AN$1068,MATCH($A165,'Historical Data'!$BE$2:$BE$1068,0)),"")</f>
        <v/>
      </c>
      <c r="T165" s="106" t="str">
        <f aca="false">IFERROR(INDEX('Historical Data'!$AC$2:$AC$1068,MATCH($A165,'Historical Data'!$BE$2:$BE$1068,0)),"")</f>
        <v/>
      </c>
      <c r="U165" s="106" t="str">
        <f aca="false">IFERROR(INDEX('Historical Data'!$AE$2:$AE$1068,MATCH($A165,'Historical Data'!$BE$2:$BE$1068,0)),"")</f>
        <v/>
      </c>
      <c r="V165" s="106" t="str">
        <f aca="false">IFERROR(INDEX('Historical Data'!$AH$2:$AH$1068,MATCH($A165,'Historical Data'!$BE$2:$BE$1068,0)),"")</f>
        <v/>
      </c>
      <c r="W165" s="106" t="str">
        <f aca="false">IFERROR(INDEX('Historical Data'!$BC$2:$BC$1068,MATCH($A165,'Historical Data'!$BE$2:$BE$1068,0)),"")</f>
        <v/>
      </c>
      <c r="X165" s="105" t="str">
        <f aca="false">IF(B165="","",IF(W165=1,"NR + industry + position",IF(W165=2,"NR + ISO + position",IF(W165=3,"NR + industry",IF(W165=4,"NR + ISO",IF(W165=5,"NR + position",IF(W165=6,"NR only","book baseline"))))))&amp;"  ["&amp;IF(T165=1,"seasoned","unseasoned")&amp;IF(U165=1,", defaulted","")&amp;IF(V165=1,", open","")&amp;"]")</f>
        <v/>
      </c>
    </row>
    <row r="166" customFormat="false" ht="15" hidden="false" customHeight="false" outlineLevel="0" collapsed="false">
      <c r="A166" s="105" t="n">
        <v>162</v>
      </c>
      <c r="B166" s="106" t="str">
        <f aca="false">IFERROR(INDEX('Historical Data'!$A$2:$A$1068,MATCH($A166,'Historical Data'!$BE$2:$BE$1068,0)),"")</f>
        <v/>
      </c>
      <c r="C166" s="106" t="str">
        <f aca="false">IFERROR(INDEX('Historical Data'!$B$2:$B$1068,MATCH($A166,'Historical Data'!$BE$2:$BE$1068,0)),"")</f>
        <v/>
      </c>
      <c r="D166" s="106" t="str">
        <f aca="false">IFERROR(INDEX('Historical Data'!$D$2:$D$1068,MATCH($A166,'Historical Data'!$BE$2:$BE$1068,0)),"")</f>
        <v/>
      </c>
      <c r="E166" s="107" t="str">
        <f aca="false">IFERROR(INDEX('Historical Data'!$E$2:$E$1068,MATCH($A166,'Historical Data'!$BE$2:$BE$1068,0)),"")</f>
        <v/>
      </c>
      <c r="F166" s="106" t="str">
        <f aca="false">IFERROR(INDEX('Historical Data'!$G$2:$G$1068,MATCH($A166,'Historical Data'!$BE$2:$BE$1068,0)),"")</f>
        <v/>
      </c>
      <c r="G166" s="106" t="str">
        <f aca="false">IFERROR(INDEX('Historical Data'!$Y$2:$Y$1068,MATCH($A166,'Historical Data'!$BE$2:$BE$1068,0)),"")</f>
        <v/>
      </c>
      <c r="H166" s="106" t="str">
        <f aca="false">IFERROR(INDEX('Historical Data'!$K$2:$K$1068,MATCH($A166,'Historical Data'!$BE$2:$BE$1068,0)),"")</f>
        <v/>
      </c>
      <c r="I166" s="106" t="str">
        <f aca="false">IFERROR(INDEX('Historical Data'!$J$2:$J$1068,MATCH($A166,'Historical Data'!$BE$2:$BE$1068,0)),"")</f>
        <v/>
      </c>
      <c r="J166" s="106" t="str">
        <f aca="false">IFERROR(INDEX('Historical Data'!$L$2:$L$1068,MATCH($A166,'Historical Data'!$BE$2:$BE$1068,0)),"")</f>
        <v/>
      </c>
      <c r="K166" s="108" t="str">
        <f aca="false">IFERROR(INDEX('Historical Data'!$M$2:$M$1068,MATCH($A166,'Historical Data'!$BE$2:$BE$1068,0)),"")</f>
        <v/>
      </c>
      <c r="L166" s="109" t="str">
        <f aca="false">IFERROR(INDEX('Historical Data'!$N$2:$N$1068,MATCH($A166,'Historical Data'!$BE$2:$BE$1068,0)),"")</f>
        <v/>
      </c>
      <c r="M166" s="109" t="str">
        <f aca="false">IFERROR(INDEX('Historical Data'!$Q$2:$Q$1068,MATCH($A166,'Historical Data'!$BE$2:$BE$1068,0)),"")</f>
        <v/>
      </c>
      <c r="N166" s="110" t="str">
        <f aca="false">IFERROR(INDEX('Historical Data'!$S$2:$S$1068,MATCH($A166,'Historical Data'!$BE$2:$BE$1068,0)),"")</f>
        <v/>
      </c>
      <c r="O166" s="109" t="str">
        <f aca="false">IFERROR(INDEX('Historical Data'!$AJ$2:$AJ$1068,MATCH($A166,'Historical Data'!$BE$2:$BE$1068,0)),"")</f>
        <v/>
      </c>
      <c r="P166" s="109" t="str">
        <f aca="false">IFERROR(INDEX('Historical Data'!$AK$2:$AK$1068,MATCH($A166,'Historical Data'!$BE$2:$BE$1068,0)),"")</f>
        <v/>
      </c>
      <c r="Q166" s="106" t="str">
        <f aca="false">IFERROR(INDEX('Historical Data'!$AA$2:$AA$1068,MATCH($A166,'Historical Data'!$BE$2:$BE$1068,0)),"")</f>
        <v/>
      </c>
      <c r="R166" s="106" t="str">
        <f aca="false">IFERROR(INDEX('Historical Data'!$AB$2:$AB$1068,MATCH($A166,'Historical Data'!$BE$2:$BE$1068,0)),"")</f>
        <v/>
      </c>
      <c r="S166" s="106" t="str">
        <f aca="false">IFERROR(INDEX('Historical Data'!$AN$2:$AN$1068,MATCH($A166,'Historical Data'!$BE$2:$BE$1068,0)),"")</f>
        <v/>
      </c>
      <c r="T166" s="106" t="str">
        <f aca="false">IFERROR(INDEX('Historical Data'!$AC$2:$AC$1068,MATCH($A166,'Historical Data'!$BE$2:$BE$1068,0)),"")</f>
        <v/>
      </c>
      <c r="U166" s="106" t="str">
        <f aca="false">IFERROR(INDEX('Historical Data'!$AE$2:$AE$1068,MATCH($A166,'Historical Data'!$BE$2:$BE$1068,0)),"")</f>
        <v/>
      </c>
      <c r="V166" s="106" t="str">
        <f aca="false">IFERROR(INDEX('Historical Data'!$AH$2:$AH$1068,MATCH($A166,'Historical Data'!$BE$2:$BE$1068,0)),"")</f>
        <v/>
      </c>
      <c r="W166" s="106" t="str">
        <f aca="false">IFERROR(INDEX('Historical Data'!$BC$2:$BC$1068,MATCH($A166,'Historical Data'!$BE$2:$BE$1068,0)),"")</f>
        <v/>
      </c>
      <c r="X166" s="105" t="str">
        <f aca="false">IF(B166="","",IF(W166=1,"NR + industry + position",IF(W166=2,"NR + ISO + position",IF(W166=3,"NR + industry",IF(W166=4,"NR + ISO",IF(W166=5,"NR + position",IF(W166=6,"NR only","book baseline"))))))&amp;"  ["&amp;IF(T166=1,"seasoned","unseasoned")&amp;IF(U166=1,", defaulted","")&amp;IF(V166=1,", open","")&amp;"]")</f>
        <v/>
      </c>
    </row>
    <row r="167" customFormat="false" ht="15" hidden="false" customHeight="false" outlineLevel="0" collapsed="false">
      <c r="A167" s="105" t="n">
        <v>163</v>
      </c>
      <c r="B167" s="106" t="str">
        <f aca="false">IFERROR(INDEX('Historical Data'!$A$2:$A$1068,MATCH($A167,'Historical Data'!$BE$2:$BE$1068,0)),"")</f>
        <v/>
      </c>
      <c r="C167" s="106" t="str">
        <f aca="false">IFERROR(INDEX('Historical Data'!$B$2:$B$1068,MATCH($A167,'Historical Data'!$BE$2:$BE$1068,0)),"")</f>
        <v/>
      </c>
      <c r="D167" s="106" t="str">
        <f aca="false">IFERROR(INDEX('Historical Data'!$D$2:$D$1068,MATCH($A167,'Historical Data'!$BE$2:$BE$1068,0)),"")</f>
        <v/>
      </c>
      <c r="E167" s="107" t="str">
        <f aca="false">IFERROR(INDEX('Historical Data'!$E$2:$E$1068,MATCH($A167,'Historical Data'!$BE$2:$BE$1068,0)),"")</f>
        <v/>
      </c>
      <c r="F167" s="106" t="str">
        <f aca="false">IFERROR(INDEX('Historical Data'!$G$2:$G$1068,MATCH($A167,'Historical Data'!$BE$2:$BE$1068,0)),"")</f>
        <v/>
      </c>
      <c r="G167" s="106" t="str">
        <f aca="false">IFERROR(INDEX('Historical Data'!$Y$2:$Y$1068,MATCH($A167,'Historical Data'!$BE$2:$BE$1068,0)),"")</f>
        <v/>
      </c>
      <c r="H167" s="106" t="str">
        <f aca="false">IFERROR(INDEX('Historical Data'!$K$2:$K$1068,MATCH($A167,'Historical Data'!$BE$2:$BE$1068,0)),"")</f>
        <v/>
      </c>
      <c r="I167" s="106" t="str">
        <f aca="false">IFERROR(INDEX('Historical Data'!$J$2:$J$1068,MATCH($A167,'Historical Data'!$BE$2:$BE$1068,0)),"")</f>
        <v/>
      </c>
      <c r="J167" s="106" t="str">
        <f aca="false">IFERROR(INDEX('Historical Data'!$L$2:$L$1068,MATCH($A167,'Historical Data'!$BE$2:$BE$1068,0)),"")</f>
        <v/>
      </c>
      <c r="K167" s="108" t="str">
        <f aca="false">IFERROR(INDEX('Historical Data'!$M$2:$M$1068,MATCH($A167,'Historical Data'!$BE$2:$BE$1068,0)),"")</f>
        <v/>
      </c>
      <c r="L167" s="109" t="str">
        <f aca="false">IFERROR(INDEX('Historical Data'!$N$2:$N$1068,MATCH($A167,'Historical Data'!$BE$2:$BE$1068,0)),"")</f>
        <v/>
      </c>
      <c r="M167" s="109" t="str">
        <f aca="false">IFERROR(INDEX('Historical Data'!$Q$2:$Q$1068,MATCH($A167,'Historical Data'!$BE$2:$BE$1068,0)),"")</f>
        <v/>
      </c>
      <c r="N167" s="110" t="str">
        <f aca="false">IFERROR(INDEX('Historical Data'!$S$2:$S$1068,MATCH($A167,'Historical Data'!$BE$2:$BE$1068,0)),"")</f>
        <v/>
      </c>
      <c r="O167" s="109" t="str">
        <f aca="false">IFERROR(INDEX('Historical Data'!$AJ$2:$AJ$1068,MATCH($A167,'Historical Data'!$BE$2:$BE$1068,0)),"")</f>
        <v/>
      </c>
      <c r="P167" s="109" t="str">
        <f aca="false">IFERROR(INDEX('Historical Data'!$AK$2:$AK$1068,MATCH($A167,'Historical Data'!$BE$2:$BE$1068,0)),"")</f>
        <v/>
      </c>
      <c r="Q167" s="106" t="str">
        <f aca="false">IFERROR(INDEX('Historical Data'!$AA$2:$AA$1068,MATCH($A167,'Historical Data'!$BE$2:$BE$1068,0)),"")</f>
        <v/>
      </c>
      <c r="R167" s="106" t="str">
        <f aca="false">IFERROR(INDEX('Historical Data'!$AB$2:$AB$1068,MATCH($A167,'Historical Data'!$BE$2:$BE$1068,0)),"")</f>
        <v/>
      </c>
      <c r="S167" s="106" t="str">
        <f aca="false">IFERROR(INDEX('Historical Data'!$AN$2:$AN$1068,MATCH($A167,'Historical Data'!$BE$2:$BE$1068,0)),"")</f>
        <v/>
      </c>
      <c r="T167" s="106" t="str">
        <f aca="false">IFERROR(INDEX('Historical Data'!$AC$2:$AC$1068,MATCH($A167,'Historical Data'!$BE$2:$BE$1068,0)),"")</f>
        <v/>
      </c>
      <c r="U167" s="106" t="str">
        <f aca="false">IFERROR(INDEX('Historical Data'!$AE$2:$AE$1068,MATCH($A167,'Historical Data'!$BE$2:$BE$1068,0)),"")</f>
        <v/>
      </c>
      <c r="V167" s="106" t="str">
        <f aca="false">IFERROR(INDEX('Historical Data'!$AH$2:$AH$1068,MATCH($A167,'Historical Data'!$BE$2:$BE$1068,0)),"")</f>
        <v/>
      </c>
      <c r="W167" s="106" t="str">
        <f aca="false">IFERROR(INDEX('Historical Data'!$BC$2:$BC$1068,MATCH($A167,'Historical Data'!$BE$2:$BE$1068,0)),"")</f>
        <v/>
      </c>
      <c r="X167" s="105" t="str">
        <f aca="false">IF(B167="","",IF(W167=1,"NR + industry + position",IF(W167=2,"NR + ISO + position",IF(W167=3,"NR + industry",IF(W167=4,"NR + ISO",IF(W167=5,"NR + position",IF(W167=6,"NR only","book baseline"))))))&amp;"  ["&amp;IF(T167=1,"seasoned","unseasoned")&amp;IF(U167=1,", defaulted","")&amp;IF(V167=1,", open","")&amp;"]")</f>
        <v/>
      </c>
    </row>
    <row r="168" customFormat="false" ht="15" hidden="false" customHeight="false" outlineLevel="0" collapsed="false">
      <c r="A168" s="105" t="n">
        <v>164</v>
      </c>
      <c r="B168" s="106" t="str">
        <f aca="false">IFERROR(INDEX('Historical Data'!$A$2:$A$1068,MATCH($A168,'Historical Data'!$BE$2:$BE$1068,0)),"")</f>
        <v/>
      </c>
      <c r="C168" s="106" t="str">
        <f aca="false">IFERROR(INDEX('Historical Data'!$B$2:$B$1068,MATCH($A168,'Historical Data'!$BE$2:$BE$1068,0)),"")</f>
        <v/>
      </c>
      <c r="D168" s="106" t="str">
        <f aca="false">IFERROR(INDEX('Historical Data'!$D$2:$D$1068,MATCH($A168,'Historical Data'!$BE$2:$BE$1068,0)),"")</f>
        <v/>
      </c>
      <c r="E168" s="107" t="str">
        <f aca="false">IFERROR(INDEX('Historical Data'!$E$2:$E$1068,MATCH($A168,'Historical Data'!$BE$2:$BE$1068,0)),"")</f>
        <v/>
      </c>
      <c r="F168" s="106" t="str">
        <f aca="false">IFERROR(INDEX('Historical Data'!$G$2:$G$1068,MATCH($A168,'Historical Data'!$BE$2:$BE$1068,0)),"")</f>
        <v/>
      </c>
      <c r="G168" s="106" t="str">
        <f aca="false">IFERROR(INDEX('Historical Data'!$Y$2:$Y$1068,MATCH($A168,'Historical Data'!$BE$2:$BE$1068,0)),"")</f>
        <v/>
      </c>
      <c r="H168" s="106" t="str">
        <f aca="false">IFERROR(INDEX('Historical Data'!$K$2:$K$1068,MATCH($A168,'Historical Data'!$BE$2:$BE$1068,0)),"")</f>
        <v/>
      </c>
      <c r="I168" s="106" t="str">
        <f aca="false">IFERROR(INDEX('Historical Data'!$J$2:$J$1068,MATCH($A168,'Historical Data'!$BE$2:$BE$1068,0)),"")</f>
        <v/>
      </c>
      <c r="J168" s="106" t="str">
        <f aca="false">IFERROR(INDEX('Historical Data'!$L$2:$L$1068,MATCH($A168,'Historical Data'!$BE$2:$BE$1068,0)),"")</f>
        <v/>
      </c>
      <c r="K168" s="108" t="str">
        <f aca="false">IFERROR(INDEX('Historical Data'!$M$2:$M$1068,MATCH($A168,'Historical Data'!$BE$2:$BE$1068,0)),"")</f>
        <v/>
      </c>
      <c r="L168" s="109" t="str">
        <f aca="false">IFERROR(INDEX('Historical Data'!$N$2:$N$1068,MATCH($A168,'Historical Data'!$BE$2:$BE$1068,0)),"")</f>
        <v/>
      </c>
      <c r="M168" s="109" t="str">
        <f aca="false">IFERROR(INDEX('Historical Data'!$Q$2:$Q$1068,MATCH($A168,'Historical Data'!$BE$2:$BE$1068,0)),"")</f>
        <v/>
      </c>
      <c r="N168" s="110" t="str">
        <f aca="false">IFERROR(INDEX('Historical Data'!$S$2:$S$1068,MATCH($A168,'Historical Data'!$BE$2:$BE$1068,0)),"")</f>
        <v/>
      </c>
      <c r="O168" s="109" t="str">
        <f aca="false">IFERROR(INDEX('Historical Data'!$AJ$2:$AJ$1068,MATCH($A168,'Historical Data'!$BE$2:$BE$1068,0)),"")</f>
        <v/>
      </c>
      <c r="P168" s="109" t="str">
        <f aca="false">IFERROR(INDEX('Historical Data'!$AK$2:$AK$1068,MATCH($A168,'Historical Data'!$BE$2:$BE$1068,0)),"")</f>
        <v/>
      </c>
      <c r="Q168" s="106" t="str">
        <f aca="false">IFERROR(INDEX('Historical Data'!$AA$2:$AA$1068,MATCH($A168,'Historical Data'!$BE$2:$BE$1068,0)),"")</f>
        <v/>
      </c>
      <c r="R168" s="106" t="str">
        <f aca="false">IFERROR(INDEX('Historical Data'!$AB$2:$AB$1068,MATCH($A168,'Historical Data'!$BE$2:$BE$1068,0)),"")</f>
        <v/>
      </c>
      <c r="S168" s="106" t="str">
        <f aca="false">IFERROR(INDEX('Historical Data'!$AN$2:$AN$1068,MATCH($A168,'Historical Data'!$BE$2:$BE$1068,0)),"")</f>
        <v/>
      </c>
      <c r="T168" s="106" t="str">
        <f aca="false">IFERROR(INDEX('Historical Data'!$AC$2:$AC$1068,MATCH($A168,'Historical Data'!$BE$2:$BE$1068,0)),"")</f>
        <v/>
      </c>
      <c r="U168" s="106" t="str">
        <f aca="false">IFERROR(INDEX('Historical Data'!$AE$2:$AE$1068,MATCH($A168,'Historical Data'!$BE$2:$BE$1068,0)),"")</f>
        <v/>
      </c>
      <c r="V168" s="106" t="str">
        <f aca="false">IFERROR(INDEX('Historical Data'!$AH$2:$AH$1068,MATCH($A168,'Historical Data'!$BE$2:$BE$1068,0)),"")</f>
        <v/>
      </c>
      <c r="W168" s="106" t="str">
        <f aca="false">IFERROR(INDEX('Historical Data'!$BC$2:$BC$1068,MATCH($A168,'Historical Data'!$BE$2:$BE$1068,0)),"")</f>
        <v/>
      </c>
      <c r="X168" s="105" t="str">
        <f aca="false">IF(B168="","",IF(W168=1,"NR + industry + position",IF(W168=2,"NR + ISO + position",IF(W168=3,"NR + industry",IF(W168=4,"NR + ISO",IF(W168=5,"NR + position",IF(W168=6,"NR only","book baseline"))))))&amp;"  ["&amp;IF(T168=1,"seasoned","unseasoned")&amp;IF(U168=1,", defaulted","")&amp;IF(V168=1,", open","")&amp;"]")</f>
        <v/>
      </c>
    </row>
    <row r="169" customFormat="false" ht="15" hidden="false" customHeight="false" outlineLevel="0" collapsed="false">
      <c r="A169" s="105" t="n">
        <v>165</v>
      </c>
      <c r="B169" s="106" t="str">
        <f aca="false">IFERROR(INDEX('Historical Data'!$A$2:$A$1068,MATCH($A169,'Historical Data'!$BE$2:$BE$1068,0)),"")</f>
        <v/>
      </c>
      <c r="C169" s="106" t="str">
        <f aca="false">IFERROR(INDEX('Historical Data'!$B$2:$B$1068,MATCH($A169,'Historical Data'!$BE$2:$BE$1068,0)),"")</f>
        <v/>
      </c>
      <c r="D169" s="106" t="str">
        <f aca="false">IFERROR(INDEX('Historical Data'!$D$2:$D$1068,MATCH($A169,'Historical Data'!$BE$2:$BE$1068,0)),"")</f>
        <v/>
      </c>
      <c r="E169" s="107" t="str">
        <f aca="false">IFERROR(INDEX('Historical Data'!$E$2:$E$1068,MATCH($A169,'Historical Data'!$BE$2:$BE$1068,0)),"")</f>
        <v/>
      </c>
      <c r="F169" s="106" t="str">
        <f aca="false">IFERROR(INDEX('Historical Data'!$G$2:$G$1068,MATCH($A169,'Historical Data'!$BE$2:$BE$1068,0)),"")</f>
        <v/>
      </c>
      <c r="G169" s="106" t="str">
        <f aca="false">IFERROR(INDEX('Historical Data'!$Y$2:$Y$1068,MATCH($A169,'Historical Data'!$BE$2:$BE$1068,0)),"")</f>
        <v/>
      </c>
      <c r="H169" s="106" t="str">
        <f aca="false">IFERROR(INDEX('Historical Data'!$K$2:$K$1068,MATCH($A169,'Historical Data'!$BE$2:$BE$1068,0)),"")</f>
        <v/>
      </c>
      <c r="I169" s="106" t="str">
        <f aca="false">IFERROR(INDEX('Historical Data'!$J$2:$J$1068,MATCH($A169,'Historical Data'!$BE$2:$BE$1068,0)),"")</f>
        <v/>
      </c>
      <c r="J169" s="106" t="str">
        <f aca="false">IFERROR(INDEX('Historical Data'!$L$2:$L$1068,MATCH($A169,'Historical Data'!$BE$2:$BE$1068,0)),"")</f>
        <v/>
      </c>
      <c r="K169" s="108" t="str">
        <f aca="false">IFERROR(INDEX('Historical Data'!$M$2:$M$1068,MATCH($A169,'Historical Data'!$BE$2:$BE$1068,0)),"")</f>
        <v/>
      </c>
      <c r="L169" s="109" t="str">
        <f aca="false">IFERROR(INDEX('Historical Data'!$N$2:$N$1068,MATCH($A169,'Historical Data'!$BE$2:$BE$1068,0)),"")</f>
        <v/>
      </c>
      <c r="M169" s="109" t="str">
        <f aca="false">IFERROR(INDEX('Historical Data'!$Q$2:$Q$1068,MATCH($A169,'Historical Data'!$BE$2:$BE$1068,0)),"")</f>
        <v/>
      </c>
      <c r="N169" s="110" t="str">
        <f aca="false">IFERROR(INDEX('Historical Data'!$S$2:$S$1068,MATCH($A169,'Historical Data'!$BE$2:$BE$1068,0)),"")</f>
        <v/>
      </c>
      <c r="O169" s="109" t="str">
        <f aca="false">IFERROR(INDEX('Historical Data'!$AJ$2:$AJ$1068,MATCH($A169,'Historical Data'!$BE$2:$BE$1068,0)),"")</f>
        <v/>
      </c>
      <c r="P169" s="109" t="str">
        <f aca="false">IFERROR(INDEX('Historical Data'!$AK$2:$AK$1068,MATCH($A169,'Historical Data'!$BE$2:$BE$1068,0)),"")</f>
        <v/>
      </c>
      <c r="Q169" s="106" t="str">
        <f aca="false">IFERROR(INDEX('Historical Data'!$AA$2:$AA$1068,MATCH($A169,'Historical Data'!$BE$2:$BE$1068,0)),"")</f>
        <v/>
      </c>
      <c r="R169" s="106" t="str">
        <f aca="false">IFERROR(INDEX('Historical Data'!$AB$2:$AB$1068,MATCH($A169,'Historical Data'!$BE$2:$BE$1068,0)),"")</f>
        <v/>
      </c>
      <c r="S169" s="106" t="str">
        <f aca="false">IFERROR(INDEX('Historical Data'!$AN$2:$AN$1068,MATCH($A169,'Historical Data'!$BE$2:$BE$1068,0)),"")</f>
        <v/>
      </c>
      <c r="T169" s="106" t="str">
        <f aca="false">IFERROR(INDEX('Historical Data'!$AC$2:$AC$1068,MATCH($A169,'Historical Data'!$BE$2:$BE$1068,0)),"")</f>
        <v/>
      </c>
      <c r="U169" s="106" t="str">
        <f aca="false">IFERROR(INDEX('Historical Data'!$AE$2:$AE$1068,MATCH($A169,'Historical Data'!$BE$2:$BE$1068,0)),"")</f>
        <v/>
      </c>
      <c r="V169" s="106" t="str">
        <f aca="false">IFERROR(INDEX('Historical Data'!$AH$2:$AH$1068,MATCH($A169,'Historical Data'!$BE$2:$BE$1068,0)),"")</f>
        <v/>
      </c>
      <c r="W169" s="106" t="str">
        <f aca="false">IFERROR(INDEX('Historical Data'!$BC$2:$BC$1068,MATCH($A169,'Historical Data'!$BE$2:$BE$1068,0)),"")</f>
        <v/>
      </c>
      <c r="X169" s="105" t="str">
        <f aca="false">IF(B169="","",IF(W169=1,"NR + industry + position",IF(W169=2,"NR + ISO + position",IF(W169=3,"NR + industry",IF(W169=4,"NR + ISO",IF(W169=5,"NR + position",IF(W169=6,"NR only","book baseline"))))))&amp;"  ["&amp;IF(T169=1,"seasoned","unseasoned")&amp;IF(U169=1,", defaulted","")&amp;IF(V169=1,", open","")&amp;"]")</f>
        <v/>
      </c>
    </row>
    <row r="170" customFormat="false" ht="15" hidden="false" customHeight="false" outlineLevel="0" collapsed="false">
      <c r="A170" s="105" t="n">
        <v>166</v>
      </c>
      <c r="B170" s="106" t="str">
        <f aca="false">IFERROR(INDEX('Historical Data'!$A$2:$A$1068,MATCH($A170,'Historical Data'!$BE$2:$BE$1068,0)),"")</f>
        <v/>
      </c>
      <c r="C170" s="106" t="str">
        <f aca="false">IFERROR(INDEX('Historical Data'!$B$2:$B$1068,MATCH($A170,'Historical Data'!$BE$2:$BE$1068,0)),"")</f>
        <v/>
      </c>
      <c r="D170" s="106" t="str">
        <f aca="false">IFERROR(INDEX('Historical Data'!$D$2:$D$1068,MATCH($A170,'Historical Data'!$BE$2:$BE$1068,0)),"")</f>
        <v/>
      </c>
      <c r="E170" s="107" t="str">
        <f aca="false">IFERROR(INDEX('Historical Data'!$E$2:$E$1068,MATCH($A170,'Historical Data'!$BE$2:$BE$1068,0)),"")</f>
        <v/>
      </c>
      <c r="F170" s="106" t="str">
        <f aca="false">IFERROR(INDEX('Historical Data'!$G$2:$G$1068,MATCH($A170,'Historical Data'!$BE$2:$BE$1068,0)),"")</f>
        <v/>
      </c>
      <c r="G170" s="106" t="str">
        <f aca="false">IFERROR(INDEX('Historical Data'!$Y$2:$Y$1068,MATCH($A170,'Historical Data'!$BE$2:$BE$1068,0)),"")</f>
        <v/>
      </c>
      <c r="H170" s="106" t="str">
        <f aca="false">IFERROR(INDEX('Historical Data'!$K$2:$K$1068,MATCH($A170,'Historical Data'!$BE$2:$BE$1068,0)),"")</f>
        <v/>
      </c>
      <c r="I170" s="106" t="str">
        <f aca="false">IFERROR(INDEX('Historical Data'!$J$2:$J$1068,MATCH($A170,'Historical Data'!$BE$2:$BE$1068,0)),"")</f>
        <v/>
      </c>
      <c r="J170" s="106" t="str">
        <f aca="false">IFERROR(INDEX('Historical Data'!$L$2:$L$1068,MATCH($A170,'Historical Data'!$BE$2:$BE$1068,0)),"")</f>
        <v/>
      </c>
      <c r="K170" s="108" t="str">
        <f aca="false">IFERROR(INDEX('Historical Data'!$M$2:$M$1068,MATCH($A170,'Historical Data'!$BE$2:$BE$1068,0)),"")</f>
        <v/>
      </c>
      <c r="L170" s="109" t="str">
        <f aca="false">IFERROR(INDEX('Historical Data'!$N$2:$N$1068,MATCH($A170,'Historical Data'!$BE$2:$BE$1068,0)),"")</f>
        <v/>
      </c>
      <c r="M170" s="109" t="str">
        <f aca="false">IFERROR(INDEX('Historical Data'!$Q$2:$Q$1068,MATCH($A170,'Historical Data'!$BE$2:$BE$1068,0)),"")</f>
        <v/>
      </c>
      <c r="N170" s="110" t="str">
        <f aca="false">IFERROR(INDEX('Historical Data'!$S$2:$S$1068,MATCH($A170,'Historical Data'!$BE$2:$BE$1068,0)),"")</f>
        <v/>
      </c>
      <c r="O170" s="109" t="str">
        <f aca="false">IFERROR(INDEX('Historical Data'!$AJ$2:$AJ$1068,MATCH($A170,'Historical Data'!$BE$2:$BE$1068,0)),"")</f>
        <v/>
      </c>
      <c r="P170" s="109" t="str">
        <f aca="false">IFERROR(INDEX('Historical Data'!$AK$2:$AK$1068,MATCH($A170,'Historical Data'!$BE$2:$BE$1068,0)),"")</f>
        <v/>
      </c>
      <c r="Q170" s="106" t="str">
        <f aca="false">IFERROR(INDEX('Historical Data'!$AA$2:$AA$1068,MATCH($A170,'Historical Data'!$BE$2:$BE$1068,0)),"")</f>
        <v/>
      </c>
      <c r="R170" s="106" t="str">
        <f aca="false">IFERROR(INDEX('Historical Data'!$AB$2:$AB$1068,MATCH($A170,'Historical Data'!$BE$2:$BE$1068,0)),"")</f>
        <v/>
      </c>
      <c r="S170" s="106" t="str">
        <f aca="false">IFERROR(INDEX('Historical Data'!$AN$2:$AN$1068,MATCH($A170,'Historical Data'!$BE$2:$BE$1068,0)),"")</f>
        <v/>
      </c>
      <c r="T170" s="106" t="str">
        <f aca="false">IFERROR(INDEX('Historical Data'!$AC$2:$AC$1068,MATCH($A170,'Historical Data'!$BE$2:$BE$1068,0)),"")</f>
        <v/>
      </c>
      <c r="U170" s="106" t="str">
        <f aca="false">IFERROR(INDEX('Historical Data'!$AE$2:$AE$1068,MATCH($A170,'Historical Data'!$BE$2:$BE$1068,0)),"")</f>
        <v/>
      </c>
      <c r="V170" s="106" t="str">
        <f aca="false">IFERROR(INDEX('Historical Data'!$AH$2:$AH$1068,MATCH($A170,'Historical Data'!$BE$2:$BE$1068,0)),"")</f>
        <v/>
      </c>
      <c r="W170" s="106" t="str">
        <f aca="false">IFERROR(INDEX('Historical Data'!$BC$2:$BC$1068,MATCH($A170,'Historical Data'!$BE$2:$BE$1068,0)),"")</f>
        <v/>
      </c>
      <c r="X170" s="105" t="str">
        <f aca="false">IF(B170="","",IF(W170=1,"NR + industry + position",IF(W170=2,"NR + ISO + position",IF(W170=3,"NR + industry",IF(W170=4,"NR + ISO",IF(W170=5,"NR + position",IF(W170=6,"NR only","book baseline"))))))&amp;"  ["&amp;IF(T170=1,"seasoned","unseasoned")&amp;IF(U170=1,", defaulted","")&amp;IF(V170=1,", open","")&amp;"]")</f>
        <v/>
      </c>
    </row>
    <row r="171" customFormat="false" ht="15" hidden="false" customHeight="false" outlineLevel="0" collapsed="false">
      <c r="A171" s="105" t="n">
        <v>167</v>
      </c>
      <c r="B171" s="106" t="str">
        <f aca="false">IFERROR(INDEX('Historical Data'!$A$2:$A$1068,MATCH($A171,'Historical Data'!$BE$2:$BE$1068,0)),"")</f>
        <v/>
      </c>
      <c r="C171" s="106" t="str">
        <f aca="false">IFERROR(INDEX('Historical Data'!$B$2:$B$1068,MATCH($A171,'Historical Data'!$BE$2:$BE$1068,0)),"")</f>
        <v/>
      </c>
      <c r="D171" s="106" t="str">
        <f aca="false">IFERROR(INDEX('Historical Data'!$D$2:$D$1068,MATCH($A171,'Historical Data'!$BE$2:$BE$1068,0)),"")</f>
        <v/>
      </c>
      <c r="E171" s="107" t="str">
        <f aca="false">IFERROR(INDEX('Historical Data'!$E$2:$E$1068,MATCH($A171,'Historical Data'!$BE$2:$BE$1068,0)),"")</f>
        <v/>
      </c>
      <c r="F171" s="106" t="str">
        <f aca="false">IFERROR(INDEX('Historical Data'!$G$2:$G$1068,MATCH($A171,'Historical Data'!$BE$2:$BE$1068,0)),"")</f>
        <v/>
      </c>
      <c r="G171" s="106" t="str">
        <f aca="false">IFERROR(INDEX('Historical Data'!$Y$2:$Y$1068,MATCH($A171,'Historical Data'!$BE$2:$BE$1068,0)),"")</f>
        <v/>
      </c>
      <c r="H171" s="106" t="str">
        <f aca="false">IFERROR(INDEX('Historical Data'!$K$2:$K$1068,MATCH($A171,'Historical Data'!$BE$2:$BE$1068,0)),"")</f>
        <v/>
      </c>
      <c r="I171" s="106" t="str">
        <f aca="false">IFERROR(INDEX('Historical Data'!$J$2:$J$1068,MATCH($A171,'Historical Data'!$BE$2:$BE$1068,0)),"")</f>
        <v/>
      </c>
      <c r="J171" s="106" t="str">
        <f aca="false">IFERROR(INDEX('Historical Data'!$L$2:$L$1068,MATCH($A171,'Historical Data'!$BE$2:$BE$1068,0)),"")</f>
        <v/>
      </c>
      <c r="K171" s="108" t="str">
        <f aca="false">IFERROR(INDEX('Historical Data'!$M$2:$M$1068,MATCH($A171,'Historical Data'!$BE$2:$BE$1068,0)),"")</f>
        <v/>
      </c>
      <c r="L171" s="109" t="str">
        <f aca="false">IFERROR(INDEX('Historical Data'!$N$2:$N$1068,MATCH($A171,'Historical Data'!$BE$2:$BE$1068,0)),"")</f>
        <v/>
      </c>
      <c r="M171" s="109" t="str">
        <f aca="false">IFERROR(INDEX('Historical Data'!$Q$2:$Q$1068,MATCH($A171,'Historical Data'!$BE$2:$BE$1068,0)),"")</f>
        <v/>
      </c>
      <c r="N171" s="110" t="str">
        <f aca="false">IFERROR(INDEX('Historical Data'!$S$2:$S$1068,MATCH($A171,'Historical Data'!$BE$2:$BE$1068,0)),"")</f>
        <v/>
      </c>
      <c r="O171" s="109" t="str">
        <f aca="false">IFERROR(INDEX('Historical Data'!$AJ$2:$AJ$1068,MATCH($A171,'Historical Data'!$BE$2:$BE$1068,0)),"")</f>
        <v/>
      </c>
      <c r="P171" s="109" t="str">
        <f aca="false">IFERROR(INDEX('Historical Data'!$AK$2:$AK$1068,MATCH($A171,'Historical Data'!$BE$2:$BE$1068,0)),"")</f>
        <v/>
      </c>
      <c r="Q171" s="106" t="str">
        <f aca="false">IFERROR(INDEX('Historical Data'!$AA$2:$AA$1068,MATCH($A171,'Historical Data'!$BE$2:$BE$1068,0)),"")</f>
        <v/>
      </c>
      <c r="R171" s="106" t="str">
        <f aca="false">IFERROR(INDEX('Historical Data'!$AB$2:$AB$1068,MATCH($A171,'Historical Data'!$BE$2:$BE$1068,0)),"")</f>
        <v/>
      </c>
      <c r="S171" s="106" t="str">
        <f aca="false">IFERROR(INDEX('Historical Data'!$AN$2:$AN$1068,MATCH($A171,'Historical Data'!$BE$2:$BE$1068,0)),"")</f>
        <v/>
      </c>
      <c r="T171" s="106" t="str">
        <f aca="false">IFERROR(INDEX('Historical Data'!$AC$2:$AC$1068,MATCH($A171,'Historical Data'!$BE$2:$BE$1068,0)),"")</f>
        <v/>
      </c>
      <c r="U171" s="106" t="str">
        <f aca="false">IFERROR(INDEX('Historical Data'!$AE$2:$AE$1068,MATCH($A171,'Historical Data'!$BE$2:$BE$1068,0)),"")</f>
        <v/>
      </c>
      <c r="V171" s="106" t="str">
        <f aca="false">IFERROR(INDEX('Historical Data'!$AH$2:$AH$1068,MATCH($A171,'Historical Data'!$BE$2:$BE$1068,0)),"")</f>
        <v/>
      </c>
      <c r="W171" s="106" t="str">
        <f aca="false">IFERROR(INDEX('Historical Data'!$BC$2:$BC$1068,MATCH($A171,'Historical Data'!$BE$2:$BE$1068,0)),"")</f>
        <v/>
      </c>
      <c r="X171" s="105" t="str">
        <f aca="false">IF(B171="","",IF(W171=1,"NR + industry + position",IF(W171=2,"NR + ISO + position",IF(W171=3,"NR + industry",IF(W171=4,"NR + ISO",IF(W171=5,"NR + position",IF(W171=6,"NR only","book baseline"))))))&amp;"  ["&amp;IF(T171=1,"seasoned","unseasoned")&amp;IF(U171=1,", defaulted","")&amp;IF(V171=1,", open","")&amp;"]")</f>
        <v/>
      </c>
    </row>
    <row r="172" customFormat="false" ht="15" hidden="false" customHeight="false" outlineLevel="0" collapsed="false">
      <c r="A172" s="105" t="n">
        <v>168</v>
      </c>
      <c r="B172" s="106" t="str">
        <f aca="false">IFERROR(INDEX('Historical Data'!$A$2:$A$1068,MATCH($A172,'Historical Data'!$BE$2:$BE$1068,0)),"")</f>
        <v/>
      </c>
      <c r="C172" s="106" t="str">
        <f aca="false">IFERROR(INDEX('Historical Data'!$B$2:$B$1068,MATCH($A172,'Historical Data'!$BE$2:$BE$1068,0)),"")</f>
        <v/>
      </c>
      <c r="D172" s="106" t="str">
        <f aca="false">IFERROR(INDEX('Historical Data'!$D$2:$D$1068,MATCH($A172,'Historical Data'!$BE$2:$BE$1068,0)),"")</f>
        <v/>
      </c>
      <c r="E172" s="107" t="str">
        <f aca="false">IFERROR(INDEX('Historical Data'!$E$2:$E$1068,MATCH($A172,'Historical Data'!$BE$2:$BE$1068,0)),"")</f>
        <v/>
      </c>
      <c r="F172" s="106" t="str">
        <f aca="false">IFERROR(INDEX('Historical Data'!$G$2:$G$1068,MATCH($A172,'Historical Data'!$BE$2:$BE$1068,0)),"")</f>
        <v/>
      </c>
      <c r="G172" s="106" t="str">
        <f aca="false">IFERROR(INDEX('Historical Data'!$Y$2:$Y$1068,MATCH($A172,'Historical Data'!$BE$2:$BE$1068,0)),"")</f>
        <v/>
      </c>
      <c r="H172" s="106" t="str">
        <f aca="false">IFERROR(INDEX('Historical Data'!$K$2:$K$1068,MATCH($A172,'Historical Data'!$BE$2:$BE$1068,0)),"")</f>
        <v/>
      </c>
      <c r="I172" s="106" t="str">
        <f aca="false">IFERROR(INDEX('Historical Data'!$J$2:$J$1068,MATCH($A172,'Historical Data'!$BE$2:$BE$1068,0)),"")</f>
        <v/>
      </c>
      <c r="J172" s="106" t="str">
        <f aca="false">IFERROR(INDEX('Historical Data'!$L$2:$L$1068,MATCH($A172,'Historical Data'!$BE$2:$BE$1068,0)),"")</f>
        <v/>
      </c>
      <c r="K172" s="108" t="str">
        <f aca="false">IFERROR(INDEX('Historical Data'!$M$2:$M$1068,MATCH($A172,'Historical Data'!$BE$2:$BE$1068,0)),"")</f>
        <v/>
      </c>
      <c r="L172" s="109" t="str">
        <f aca="false">IFERROR(INDEX('Historical Data'!$N$2:$N$1068,MATCH($A172,'Historical Data'!$BE$2:$BE$1068,0)),"")</f>
        <v/>
      </c>
      <c r="M172" s="109" t="str">
        <f aca="false">IFERROR(INDEX('Historical Data'!$Q$2:$Q$1068,MATCH($A172,'Historical Data'!$BE$2:$BE$1068,0)),"")</f>
        <v/>
      </c>
      <c r="N172" s="110" t="str">
        <f aca="false">IFERROR(INDEX('Historical Data'!$S$2:$S$1068,MATCH($A172,'Historical Data'!$BE$2:$BE$1068,0)),"")</f>
        <v/>
      </c>
      <c r="O172" s="109" t="str">
        <f aca="false">IFERROR(INDEX('Historical Data'!$AJ$2:$AJ$1068,MATCH($A172,'Historical Data'!$BE$2:$BE$1068,0)),"")</f>
        <v/>
      </c>
      <c r="P172" s="109" t="str">
        <f aca="false">IFERROR(INDEX('Historical Data'!$AK$2:$AK$1068,MATCH($A172,'Historical Data'!$BE$2:$BE$1068,0)),"")</f>
        <v/>
      </c>
      <c r="Q172" s="106" t="str">
        <f aca="false">IFERROR(INDEX('Historical Data'!$AA$2:$AA$1068,MATCH($A172,'Historical Data'!$BE$2:$BE$1068,0)),"")</f>
        <v/>
      </c>
      <c r="R172" s="106" t="str">
        <f aca="false">IFERROR(INDEX('Historical Data'!$AB$2:$AB$1068,MATCH($A172,'Historical Data'!$BE$2:$BE$1068,0)),"")</f>
        <v/>
      </c>
      <c r="S172" s="106" t="str">
        <f aca="false">IFERROR(INDEX('Historical Data'!$AN$2:$AN$1068,MATCH($A172,'Historical Data'!$BE$2:$BE$1068,0)),"")</f>
        <v/>
      </c>
      <c r="T172" s="106" t="str">
        <f aca="false">IFERROR(INDEX('Historical Data'!$AC$2:$AC$1068,MATCH($A172,'Historical Data'!$BE$2:$BE$1068,0)),"")</f>
        <v/>
      </c>
      <c r="U172" s="106" t="str">
        <f aca="false">IFERROR(INDEX('Historical Data'!$AE$2:$AE$1068,MATCH($A172,'Historical Data'!$BE$2:$BE$1068,0)),"")</f>
        <v/>
      </c>
      <c r="V172" s="106" t="str">
        <f aca="false">IFERROR(INDEX('Historical Data'!$AH$2:$AH$1068,MATCH($A172,'Historical Data'!$BE$2:$BE$1068,0)),"")</f>
        <v/>
      </c>
      <c r="W172" s="106" t="str">
        <f aca="false">IFERROR(INDEX('Historical Data'!$BC$2:$BC$1068,MATCH($A172,'Historical Data'!$BE$2:$BE$1068,0)),"")</f>
        <v/>
      </c>
      <c r="X172" s="105" t="str">
        <f aca="false">IF(B172="","",IF(W172=1,"NR + industry + position",IF(W172=2,"NR + ISO + position",IF(W172=3,"NR + industry",IF(W172=4,"NR + ISO",IF(W172=5,"NR + position",IF(W172=6,"NR only","book baseline"))))))&amp;"  ["&amp;IF(T172=1,"seasoned","unseasoned")&amp;IF(U172=1,", defaulted","")&amp;IF(V172=1,", open","")&amp;"]")</f>
        <v/>
      </c>
    </row>
    <row r="173" customFormat="false" ht="15" hidden="false" customHeight="false" outlineLevel="0" collapsed="false">
      <c r="A173" s="105" t="n">
        <v>169</v>
      </c>
      <c r="B173" s="106" t="str">
        <f aca="false">IFERROR(INDEX('Historical Data'!$A$2:$A$1068,MATCH($A173,'Historical Data'!$BE$2:$BE$1068,0)),"")</f>
        <v/>
      </c>
      <c r="C173" s="106" t="str">
        <f aca="false">IFERROR(INDEX('Historical Data'!$B$2:$B$1068,MATCH($A173,'Historical Data'!$BE$2:$BE$1068,0)),"")</f>
        <v/>
      </c>
      <c r="D173" s="106" t="str">
        <f aca="false">IFERROR(INDEX('Historical Data'!$D$2:$D$1068,MATCH($A173,'Historical Data'!$BE$2:$BE$1068,0)),"")</f>
        <v/>
      </c>
      <c r="E173" s="107" t="str">
        <f aca="false">IFERROR(INDEX('Historical Data'!$E$2:$E$1068,MATCH($A173,'Historical Data'!$BE$2:$BE$1068,0)),"")</f>
        <v/>
      </c>
      <c r="F173" s="106" t="str">
        <f aca="false">IFERROR(INDEX('Historical Data'!$G$2:$G$1068,MATCH($A173,'Historical Data'!$BE$2:$BE$1068,0)),"")</f>
        <v/>
      </c>
      <c r="G173" s="106" t="str">
        <f aca="false">IFERROR(INDEX('Historical Data'!$Y$2:$Y$1068,MATCH($A173,'Historical Data'!$BE$2:$BE$1068,0)),"")</f>
        <v/>
      </c>
      <c r="H173" s="106" t="str">
        <f aca="false">IFERROR(INDEX('Historical Data'!$K$2:$K$1068,MATCH($A173,'Historical Data'!$BE$2:$BE$1068,0)),"")</f>
        <v/>
      </c>
      <c r="I173" s="106" t="str">
        <f aca="false">IFERROR(INDEX('Historical Data'!$J$2:$J$1068,MATCH($A173,'Historical Data'!$BE$2:$BE$1068,0)),"")</f>
        <v/>
      </c>
      <c r="J173" s="106" t="str">
        <f aca="false">IFERROR(INDEX('Historical Data'!$L$2:$L$1068,MATCH($A173,'Historical Data'!$BE$2:$BE$1068,0)),"")</f>
        <v/>
      </c>
      <c r="K173" s="108" t="str">
        <f aca="false">IFERROR(INDEX('Historical Data'!$M$2:$M$1068,MATCH($A173,'Historical Data'!$BE$2:$BE$1068,0)),"")</f>
        <v/>
      </c>
      <c r="L173" s="109" t="str">
        <f aca="false">IFERROR(INDEX('Historical Data'!$N$2:$N$1068,MATCH($A173,'Historical Data'!$BE$2:$BE$1068,0)),"")</f>
        <v/>
      </c>
      <c r="M173" s="109" t="str">
        <f aca="false">IFERROR(INDEX('Historical Data'!$Q$2:$Q$1068,MATCH($A173,'Historical Data'!$BE$2:$BE$1068,0)),"")</f>
        <v/>
      </c>
      <c r="N173" s="110" t="str">
        <f aca="false">IFERROR(INDEX('Historical Data'!$S$2:$S$1068,MATCH($A173,'Historical Data'!$BE$2:$BE$1068,0)),"")</f>
        <v/>
      </c>
      <c r="O173" s="109" t="str">
        <f aca="false">IFERROR(INDEX('Historical Data'!$AJ$2:$AJ$1068,MATCH($A173,'Historical Data'!$BE$2:$BE$1068,0)),"")</f>
        <v/>
      </c>
      <c r="P173" s="109" t="str">
        <f aca="false">IFERROR(INDEX('Historical Data'!$AK$2:$AK$1068,MATCH($A173,'Historical Data'!$BE$2:$BE$1068,0)),"")</f>
        <v/>
      </c>
      <c r="Q173" s="106" t="str">
        <f aca="false">IFERROR(INDEX('Historical Data'!$AA$2:$AA$1068,MATCH($A173,'Historical Data'!$BE$2:$BE$1068,0)),"")</f>
        <v/>
      </c>
      <c r="R173" s="106" t="str">
        <f aca="false">IFERROR(INDEX('Historical Data'!$AB$2:$AB$1068,MATCH($A173,'Historical Data'!$BE$2:$BE$1068,0)),"")</f>
        <v/>
      </c>
      <c r="S173" s="106" t="str">
        <f aca="false">IFERROR(INDEX('Historical Data'!$AN$2:$AN$1068,MATCH($A173,'Historical Data'!$BE$2:$BE$1068,0)),"")</f>
        <v/>
      </c>
      <c r="T173" s="106" t="str">
        <f aca="false">IFERROR(INDEX('Historical Data'!$AC$2:$AC$1068,MATCH($A173,'Historical Data'!$BE$2:$BE$1068,0)),"")</f>
        <v/>
      </c>
      <c r="U173" s="106" t="str">
        <f aca="false">IFERROR(INDEX('Historical Data'!$AE$2:$AE$1068,MATCH($A173,'Historical Data'!$BE$2:$BE$1068,0)),"")</f>
        <v/>
      </c>
      <c r="V173" s="106" t="str">
        <f aca="false">IFERROR(INDEX('Historical Data'!$AH$2:$AH$1068,MATCH($A173,'Historical Data'!$BE$2:$BE$1068,0)),"")</f>
        <v/>
      </c>
      <c r="W173" s="106" t="str">
        <f aca="false">IFERROR(INDEX('Historical Data'!$BC$2:$BC$1068,MATCH($A173,'Historical Data'!$BE$2:$BE$1068,0)),"")</f>
        <v/>
      </c>
      <c r="X173" s="105" t="str">
        <f aca="false">IF(B173="","",IF(W173=1,"NR + industry + position",IF(W173=2,"NR + ISO + position",IF(W173=3,"NR + industry",IF(W173=4,"NR + ISO",IF(W173=5,"NR + position",IF(W173=6,"NR only","book baseline"))))))&amp;"  ["&amp;IF(T173=1,"seasoned","unseasoned")&amp;IF(U173=1,", defaulted","")&amp;IF(V173=1,", open","")&amp;"]")</f>
        <v/>
      </c>
    </row>
    <row r="174" customFormat="false" ht="15" hidden="false" customHeight="false" outlineLevel="0" collapsed="false">
      <c r="A174" s="105" t="n">
        <v>170</v>
      </c>
      <c r="B174" s="106" t="str">
        <f aca="false">IFERROR(INDEX('Historical Data'!$A$2:$A$1068,MATCH($A174,'Historical Data'!$BE$2:$BE$1068,0)),"")</f>
        <v/>
      </c>
      <c r="C174" s="106" t="str">
        <f aca="false">IFERROR(INDEX('Historical Data'!$B$2:$B$1068,MATCH($A174,'Historical Data'!$BE$2:$BE$1068,0)),"")</f>
        <v/>
      </c>
      <c r="D174" s="106" t="str">
        <f aca="false">IFERROR(INDEX('Historical Data'!$D$2:$D$1068,MATCH($A174,'Historical Data'!$BE$2:$BE$1068,0)),"")</f>
        <v/>
      </c>
      <c r="E174" s="107" t="str">
        <f aca="false">IFERROR(INDEX('Historical Data'!$E$2:$E$1068,MATCH($A174,'Historical Data'!$BE$2:$BE$1068,0)),"")</f>
        <v/>
      </c>
      <c r="F174" s="106" t="str">
        <f aca="false">IFERROR(INDEX('Historical Data'!$G$2:$G$1068,MATCH($A174,'Historical Data'!$BE$2:$BE$1068,0)),"")</f>
        <v/>
      </c>
      <c r="G174" s="106" t="str">
        <f aca="false">IFERROR(INDEX('Historical Data'!$Y$2:$Y$1068,MATCH($A174,'Historical Data'!$BE$2:$BE$1068,0)),"")</f>
        <v/>
      </c>
      <c r="H174" s="106" t="str">
        <f aca="false">IFERROR(INDEX('Historical Data'!$K$2:$K$1068,MATCH($A174,'Historical Data'!$BE$2:$BE$1068,0)),"")</f>
        <v/>
      </c>
      <c r="I174" s="106" t="str">
        <f aca="false">IFERROR(INDEX('Historical Data'!$J$2:$J$1068,MATCH($A174,'Historical Data'!$BE$2:$BE$1068,0)),"")</f>
        <v/>
      </c>
      <c r="J174" s="106" t="str">
        <f aca="false">IFERROR(INDEX('Historical Data'!$L$2:$L$1068,MATCH($A174,'Historical Data'!$BE$2:$BE$1068,0)),"")</f>
        <v/>
      </c>
      <c r="K174" s="108" t="str">
        <f aca="false">IFERROR(INDEX('Historical Data'!$M$2:$M$1068,MATCH($A174,'Historical Data'!$BE$2:$BE$1068,0)),"")</f>
        <v/>
      </c>
      <c r="L174" s="109" t="str">
        <f aca="false">IFERROR(INDEX('Historical Data'!$N$2:$N$1068,MATCH($A174,'Historical Data'!$BE$2:$BE$1068,0)),"")</f>
        <v/>
      </c>
      <c r="M174" s="109" t="str">
        <f aca="false">IFERROR(INDEX('Historical Data'!$Q$2:$Q$1068,MATCH($A174,'Historical Data'!$BE$2:$BE$1068,0)),"")</f>
        <v/>
      </c>
      <c r="N174" s="110" t="str">
        <f aca="false">IFERROR(INDEX('Historical Data'!$S$2:$S$1068,MATCH($A174,'Historical Data'!$BE$2:$BE$1068,0)),"")</f>
        <v/>
      </c>
      <c r="O174" s="109" t="str">
        <f aca="false">IFERROR(INDEX('Historical Data'!$AJ$2:$AJ$1068,MATCH($A174,'Historical Data'!$BE$2:$BE$1068,0)),"")</f>
        <v/>
      </c>
      <c r="P174" s="109" t="str">
        <f aca="false">IFERROR(INDEX('Historical Data'!$AK$2:$AK$1068,MATCH($A174,'Historical Data'!$BE$2:$BE$1068,0)),"")</f>
        <v/>
      </c>
      <c r="Q174" s="106" t="str">
        <f aca="false">IFERROR(INDEX('Historical Data'!$AA$2:$AA$1068,MATCH($A174,'Historical Data'!$BE$2:$BE$1068,0)),"")</f>
        <v/>
      </c>
      <c r="R174" s="106" t="str">
        <f aca="false">IFERROR(INDEX('Historical Data'!$AB$2:$AB$1068,MATCH($A174,'Historical Data'!$BE$2:$BE$1068,0)),"")</f>
        <v/>
      </c>
      <c r="S174" s="106" t="str">
        <f aca="false">IFERROR(INDEX('Historical Data'!$AN$2:$AN$1068,MATCH($A174,'Historical Data'!$BE$2:$BE$1068,0)),"")</f>
        <v/>
      </c>
      <c r="T174" s="106" t="str">
        <f aca="false">IFERROR(INDEX('Historical Data'!$AC$2:$AC$1068,MATCH($A174,'Historical Data'!$BE$2:$BE$1068,0)),"")</f>
        <v/>
      </c>
      <c r="U174" s="106" t="str">
        <f aca="false">IFERROR(INDEX('Historical Data'!$AE$2:$AE$1068,MATCH($A174,'Historical Data'!$BE$2:$BE$1068,0)),"")</f>
        <v/>
      </c>
      <c r="V174" s="106" t="str">
        <f aca="false">IFERROR(INDEX('Historical Data'!$AH$2:$AH$1068,MATCH($A174,'Historical Data'!$BE$2:$BE$1068,0)),"")</f>
        <v/>
      </c>
      <c r="W174" s="106" t="str">
        <f aca="false">IFERROR(INDEX('Historical Data'!$BC$2:$BC$1068,MATCH($A174,'Historical Data'!$BE$2:$BE$1068,0)),"")</f>
        <v/>
      </c>
      <c r="X174" s="105" t="str">
        <f aca="false">IF(B174="","",IF(W174=1,"NR + industry + position",IF(W174=2,"NR + ISO + position",IF(W174=3,"NR + industry",IF(W174=4,"NR + ISO",IF(W174=5,"NR + position",IF(W174=6,"NR only","book baseline"))))))&amp;"  ["&amp;IF(T174=1,"seasoned","unseasoned")&amp;IF(U174=1,", defaulted","")&amp;IF(V174=1,", open","")&amp;"]")</f>
        <v/>
      </c>
    </row>
    <row r="175" customFormat="false" ht="15" hidden="false" customHeight="false" outlineLevel="0" collapsed="false">
      <c r="A175" s="105" t="n">
        <v>171</v>
      </c>
      <c r="B175" s="106" t="str">
        <f aca="false">IFERROR(INDEX('Historical Data'!$A$2:$A$1068,MATCH($A175,'Historical Data'!$BE$2:$BE$1068,0)),"")</f>
        <v/>
      </c>
      <c r="C175" s="106" t="str">
        <f aca="false">IFERROR(INDEX('Historical Data'!$B$2:$B$1068,MATCH($A175,'Historical Data'!$BE$2:$BE$1068,0)),"")</f>
        <v/>
      </c>
      <c r="D175" s="106" t="str">
        <f aca="false">IFERROR(INDEX('Historical Data'!$D$2:$D$1068,MATCH($A175,'Historical Data'!$BE$2:$BE$1068,0)),"")</f>
        <v/>
      </c>
      <c r="E175" s="107" t="str">
        <f aca="false">IFERROR(INDEX('Historical Data'!$E$2:$E$1068,MATCH($A175,'Historical Data'!$BE$2:$BE$1068,0)),"")</f>
        <v/>
      </c>
      <c r="F175" s="106" t="str">
        <f aca="false">IFERROR(INDEX('Historical Data'!$G$2:$G$1068,MATCH($A175,'Historical Data'!$BE$2:$BE$1068,0)),"")</f>
        <v/>
      </c>
      <c r="G175" s="106" t="str">
        <f aca="false">IFERROR(INDEX('Historical Data'!$Y$2:$Y$1068,MATCH($A175,'Historical Data'!$BE$2:$BE$1068,0)),"")</f>
        <v/>
      </c>
      <c r="H175" s="106" t="str">
        <f aca="false">IFERROR(INDEX('Historical Data'!$K$2:$K$1068,MATCH($A175,'Historical Data'!$BE$2:$BE$1068,0)),"")</f>
        <v/>
      </c>
      <c r="I175" s="106" t="str">
        <f aca="false">IFERROR(INDEX('Historical Data'!$J$2:$J$1068,MATCH($A175,'Historical Data'!$BE$2:$BE$1068,0)),"")</f>
        <v/>
      </c>
      <c r="J175" s="106" t="str">
        <f aca="false">IFERROR(INDEX('Historical Data'!$L$2:$L$1068,MATCH($A175,'Historical Data'!$BE$2:$BE$1068,0)),"")</f>
        <v/>
      </c>
      <c r="K175" s="108" t="str">
        <f aca="false">IFERROR(INDEX('Historical Data'!$M$2:$M$1068,MATCH($A175,'Historical Data'!$BE$2:$BE$1068,0)),"")</f>
        <v/>
      </c>
      <c r="L175" s="109" t="str">
        <f aca="false">IFERROR(INDEX('Historical Data'!$N$2:$N$1068,MATCH($A175,'Historical Data'!$BE$2:$BE$1068,0)),"")</f>
        <v/>
      </c>
      <c r="M175" s="109" t="str">
        <f aca="false">IFERROR(INDEX('Historical Data'!$Q$2:$Q$1068,MATCH($A175,'Historical Data'!$BE$2:$BE$1068,0)),"")</f>
        <v/>
      </c>
      <c r="N175" s="110" t="str">
        <f aca="false">IFERROR(INDEX('Historical Data'!$S$2:$S$1068,MATCH($A175,'Historical Data'!$BE$2:$BE$1068,0)),"")</f>
        <v/>
      </c>
      <c r="O175" s="109" t="str">
        <f aca="false">IFERROR(INDEX('Historical Data'!$AJ$2:$AJ$1068,MATCH($A175,'Historical Data'!$BE$2:$BE$1068,0)),"")</f>
        <v/>
      </c>
      <c r="P175" s="109" t="str">
        <f aca="false">IFERROR(INDEX('Historical Data'!$AK$2:$AK$1068,MATCH($A175,'Historical Data'!$BE$2:$BE$1068,0)),"")</f>
        <v/>
      </c>
      <c r="Q175" s="106" t="str">
        <f aca="false">IFERROR(INDEX('Historical Data'!$AA$2:$AA$1068,MATCH($A175,'Historical Data'!$BE$2:$BE$1068,0)),"")</f>
        <v/>
      </c>
      <c r="R175" s="106" t="str">
        <f aca="false">IFERROR(INDEX('Historical Data'!$AB$2:$AB$1068,MATCH($A175,'Historical Data'!$BE$2:$BE$1068,0)),"")</f>
        <v/>
      </c>
      <c r="S175" s="106" t="str">
        <f aca="false">IFERROR(INDEX('Historical Data'!$AN$2:$AN$1068,MATCH($A175,'Historical Data'!$BE$2:$BE$1068,0)),"")</f>
        <v/>
      </c>
      <c r="T175" s="106" t="str">
        <f aca="false">IFERROR(INDEX('Historical Data'!$AC$2:$AC$1068,MATCH($A175,'Historical Data'!$BE$2:$BE$1068,0)),"")</f>
        <v/>
      </c>
      <c r="U175" s="106" t="str">
        <f aca="false">IFERROR(INDEX('Historical Data'!$AE$2:$AE$1068,MATCH($A175,'Historical Data'!$BE$2:$BE$1068,0)),"")</f>
        <v/>
      </c>
      <c r="V175" s="106" t="str">
        <f aca="false">IFERROR(INDEX('Historical Data'!$AH$2:$AH$1068,MATCH($A175,'Historical Data'!$BE$2:$BE$1068,0)),"")</f>
        <v/>
      </c>
      <c r="W175" s="106" t="str">
        <f aca="false">IFERROR(INDEX('Historical Data'!$BC$2:$BC$1068,MATCH($A175,'Historical Data'!$BE$2:$BE$1068,0)),"")</f>
        <v/>
      </c>
      <c r="X175" s="105" t="str">
        <f aca="false">IF(B175="","",IF(W175=1,"NR + industry + position",IF(W175=2,"NR + ISO + position",IF(W175=3,"NR + industry",IF(W175=4,"NR + ISO",IF(W175=5,"NR + position",IF(W175=6,"NR only","book baseline"))))))&amp;"  ["&amp;IF(T175=1,"seasoned","unseasoned")&amp;IF(U175=1,", defaulted","")&amp;IF(V175=1,", open","")&amp;"]")</f>
        <v/>
      </c>
    </row>
    <row r="176" customFormat="false" ht="15" hidden="false" customHeight="false" outlineLevel="0" collapsed="false">
      <c r="A176" s="105" t="n">
        <v>172</v>
      </c>
      <c r="B176" s="106" t="str">
        <f aca="false">IFERROR(INDEX('Historical Data'!$A$2:$A$1068,MATCH($A176,'Historical Data'!$BE$2:$BE$1068,0)),"")</f>
        <v/>
      </c>
      <c r="C176" s="106" t="str">
        <f aca="false">IFERROR(INDEX('Historical Data'!$B$2:$B$1068,MATCH($A176,'Historical Data'!$BE$2:$BE$1068,0)),"")</f>
        <v/>
      </c>
      <c r="D176" s="106" t="str">
        <f aca="false">IFERROR(INDEX('Historical Data'!$D$2:$D$1068,MATCH($A176,'Historical Data'!$BE$2:$BE$1068,0)),"")</f>
        <v/>
      </c>
      <c r="E176" s="107" t="str">
        <f aca="false">IFERROR(INDEX('Historical Data'!$E$2:$E$1068,MATCH($A176,'Historical Data'!$BE$2:$BE$1068,0)),"")</f>
        <v/>
      </c>
      <c r="F176" s="106" t="str">
        <f aca="false">IFERROR(INDEX('Historical Data'!$G$2:$G$1068,MATCH($A176,'Historical Data'!$BE$2:$BE$1068,0)),"")</f>
        <v/>
      </c>
      <c r="G176" s="106" t="str">
        <f aca="false">IFERROR(INDEX('Historical Data'!$Y$2:$Y$1068,MATCH($A176,'Historical Data'!$BE$2:$BE$1068,0)),"")</f>
        <v/>
      </c>
      <c r="H176" s="106" t="str">
        <f aca="false">IFERROR(INDEX('Historical Data'!$K$2:$K$1068,MATCH($A176,'Historical Data'!$BE$2:$BE$1068,0)),"")</f>
        <v/>
      </c>
      <c r="I176" s="106" t="str">
        <f aca="false">IFERROR(INDEX('Historical Data'!$J$2:$J$1068,MATCH($A176,'Historical Data'!$BE$2:$BE$1068,0)),"")</f>
        <v/>
      </c>
      <c r="J176" s="106" t="str">
        <f aca="false">IFERROR(INDEX('Historical Data'!$L$2:$L$1068,MATCH($A176,'Historical Data'!$BE$2:$BE$1068,0)),"")</f>
        <v/>
      </c>
      <c r="K176" s="108" t="str">
        <f aca="false">IFERROR(INDEX('Historical Data'!$M$2:$M$1068,MATCH($A176,'Historical Data'!$BE$2:$BE$1068,0)),"")</f>
        <v/>
      </c>
      <c r="L176" s="109" t="str">
        <f aca="false">IFERROR(INDEX('Historical Data'!$N$2:$N$1068,MATCH($A176,'Historical Data'!$BE$2:$BE$1068,0)),"")</f>
        <v/>
      </c>
      <c r="M176" s="109" t="str">
        <f aca="false">IFERROR(INDEX('Historical Data'!$Q$2:$Q$1068,MATCH($A176,'Historical Data'!$BE$2:$BE$1068,0)),"")</f>
        <v/>
      </c>
      <c r="N176" s="110" t="str">
        <f aca="false">IFERROR(INDEX('Historical Data'!$S$2:$S$1068,MATCH($A176,'Historical Data'!$BE$2:$BE$1068,0)),"")</f>
        <v/>
      </c>
      <c r="O176" s="109" t="str">
        <f aca="false">IFERROR(INDEX('Historical Data'!$AJ$2:$AJ$1068,MATCH($A176,'Historical Data'!$BE$2:$BE$1068,0)),"")</f>
        <v/>
      </c>
      <c r="P176" s="109" t="str">
        <f aca="false">IFERROR(INDEX('Historical Data'!$AK$2:$AK$1068,MATCH($A176,'Historical Data'!$BE$2:$BE$1068,0)),"")</f>
        <v/>
      </c>
      <c r="Q176" s="106" t="str">
        <f aca="false">IFERROR(INDEX('Historical Data'!$AA$2:$AA$1068,MATCH($A176,'Historical Data'!$BE$2:$BE$1068,0)),"")</f>
        <v/>
      </c>
      <c r="R176" s="106" t="str">
        <f aca="false">IFERROR(INDEX('Historical Data'!$AB$2:$AB$1068,MATCH($A176,'Historical Data'!$BE$2:$BE$1068,0)),"")</f>
        <v/>
      </c>
      <c r="S176" s="106" t="str">
        <f aca="false">IFERROR(INDEX('Historical Data'!$AN$2:$AN$1068,MATCH($A176,'Historical Data'!$BE$2:$BE$1068,0)),"")</f>
        <v/>
      </c>
      <c r="T176" s="106" t="str">
        <f aca="false">IFERROR(INDEX('Historical Data'!$AC$2:$AC$1068,MATCH($A176,'Historical Data'!$BE$2:$BE$1068,0)),"")</f>
        <v/>
      </c>
      <c r="U176" s="106" t="str">
        <f aca="false">IFERROR(INDEX('Historical Data'!$AE$2:$AE$1068,MATCH($A176,'Historical Data'!$BE$2:$BE$1068,0)),"")</f>
        <v/>
      </c>
      <c r="V176" s="106" t="str">
        <f aca="false">IFERROR(INDEX('Historical Data'!$AH$2:$AH$1068,MATCH($A176,'Historical Data'!$BE$2:$BE$1068,0)),"")</f>
        <v/>
      </c>
      <c r="W176" s="106" t="str">
        <f aca="false">IFERROR(INDEX('Historical Data'!$BC$2:$BC$1068,MATCH($A176,'Historical Data'!$BE$2:$BE$1068,0)),"")</f>
        <v/>
      </c>
      <c r="X176" s="105" t="str">
        <f aca="false">IF(B176="","",IF(W176=1,"NR + industry + position",IF(W176=2,"NR + ISO + position",IF(W176=3,"NR + industry",IF(W176=4,"NR + ISO",IF(W176=5,"NR + position",IF(W176=6,"NR only","book baseline"))))))&amp;"  ["&amp;IF(T176=1,"seasoned","unseasoned")&amp;IF(U176=1,", defaulted","")&amp;IF(V176=1,", open","")&amp;"]")</f>
        <v/>
      </c>
    </row>
    <row r="177" customFormat="false" ht="15" hidden="false" customHeight="false" outlineLevel="0" collapsed="false">
      <c r="A177" s="105" t="n">
        <v>173</v>
      </c>
      <c r="B177" s="106" t="str">
        <f aca="false">IFERROR(INDEX('Historical Data'!$A$2:$A$1068,MATCH($A177,'Historical Data'!$BE$2:$BE$1068,0)),"")</f>
        <v/>
      </c>
      <c r="C177" s="106" t="str">
        <f aca="false">IFERROR(INDEX('Historical Data'!$B$2:$B$1068,MATCH($A177,'Historical Data'!$BE$2:$BE$1068,0)),"")</f>
        <v/>
      </c>
      <c r="D177" s="106" t="str">
        <f aca="false">IFERROR(INDEX('Historical Data'!$D$2:$D$1068,MATCH($A177,'Historical Data'!$BE$2:$BE$1068,0)),"")</f>
        <v/>
      </c>
      <c r="E177" s="107" t="str">
        <f aca="false">IFERROR(INDEX('Historical Data'!$E$2:$E$1068,MATCH($A177,'Historical Data'!$BE$2:$BE$1068,0)),"")</f>
        <v/>
      </c>
      <c r="F177" s="106" t="str">
        <f aca="false">IFERROR(INDEX('Historical Data'!$G$2:$G$1068,MATCH($A177,'Historical Data'!$BE$2:$BE$1068,0)),"")</f>
        <v/>
      </c>
      <c r="G177" s="106" t="str">
        <f aca="false">IFERROR(INDEX('Historical Data'!$Y$2:$Y$1068,MATCH($A177,'Historical Data'!$BE$2:$BE$1068,0)),"")</f>
        <v/>
      </c>
      <c r="H177" s="106" t="str">
        <f aca="false">IFERROR(INDEX('Historical Data'!$K$2:$K$1068,MATCH($A177,'Historical Data'!$BE$2:$BE$1068,0)),"")</f>
        <v/>
      </c>
      <c r="I177" s="106" t="str">
        <f aca="false">IFERROR(INDEX('Historical Data'!$J$2:$J$1068,MATCH($A177,'Historical Data'!$BE$2:$BE$1068,0)),"")</f>
        <v/>
      </c>
      <c r="J177" s="106" t="str">
        <f aca="false">IFERROR(INDEX('Historical Data'!$L$2:$L$1068,MATCH($A177,'Historical Data'!$BE$2:$BE$1068,0)),"")</f>
        <v/>
      </c>
      <c r="K177" s="108" t="str">
        <f aca="false">IFERROR(INDEX('Historical Data'!$M$2:$M$1068,MATCH($A177,'Historical Data'!$BE$2:$BE$1068,0)),"")</f>
        <v/>
      </c>
      <c r="L177" s="109" t="str">
        <f aca="false">IFERROR(INDEX('Historical Data'!$N$2:$N$1068,MATCH($A177,'Historical Data'!$BE$2:$BE$1068,0)),"")</f>
        <v/>
      </c>
      <c r="M177" s="109" t="str">
        <f aca="false">IFERROR(INDEX('Historical Data'!$Q$2:$Q$1068,MATCH($A177,'Historical Data'!$BE$2:$BE$1068,0)),"")</f>
        <v/>
      </c>
      <c r="N177" s="110" t="str">
        <f aca="false">IFERROR(INDEX('Historical Data'!$S$2:$S$1068,MATCH($A177,'Historical Data'!$BE$2:$BE$1068,0)),"")</f>
        <v/>
      </c>
      <c r="O177" s="109" t="str">
        <f aca="false">IFERROR(INDEX('Historical Data'!$AJ$2:$AJ$1068,MATCH($A177,'Historical Data'!$BE$2:$BE$1068,0)),"")</f>
        <v/>
      </c>
      <c r="P177" s="109" t="str">
        <f aca="false">IFERROR(INDEX('Historical Data'!$AK$2:$AK$1068,MATCH($A177,'Historical Data'!$BE$2:$BE$1068,0)),"")</f>
        <v/>
      </c>
      <c r="Q177" s="106" t="str">
        <f aca="false">IFERROR(INDEX('Historical Data'!$AA$2:$AA$1068,MATCH($A177,'Historical Data'!$BE$2:$BE$1068,0)),"")</f>
        <v/>
      </c>
      <c r="R177" s="106" t="str">
        <f aca="false">IFERROR(INDEX('Historical Data'!$AB$2:$AB$1068,MATCH($A177,'Historical Data'!$BE$2:$BE$1068,0)),"")</f>
        <v/>
      </c>
      <c r="S177" s="106" t="str">
        <f aca="false">IFERROR(INDEX('Historical Data'!$AN$2:$AN$1068,MATCH($A177,'Historical Data'!$BE$2:$BE$1068,0)),"")</f>
        <v/>
      </c>
      <c r="T177" s="106" t="str">
        <f aca="false">IFERROR(INDEX('Historical Data'!$AC$2:$AC$1068,MATCH($A177,'Historical Data'!$BE$2:$BE$1068,0)),"")</f>
        <v/>
      </c>
      <c r="U177" s="106" t="str">
        <f aca="false">IFERROR(INDEX('Historical Data'!$AE$2:$AE$1068,MATCH($A177,'Historical Data'!$BE$2:$BE$1068,0)),"")</f>
        <v/>
      </c>
      <c r="V177" s="106" t="str">
        <f aca="false">IFERROR(INDEX('Historical Data'!$AH$2:$AH$1068,MATCH($A177,'Historical Data'!$BE$2:$BE$1068,0)),"")</f>
        <v/>
      </c>
      <c r="W177" s="106" t="str">
        <f aca="false">IFERROR(INDEX('Historical Data'!$BC$2:$BC$1068,MATCH($A177,'Historical Data'!$BE$2:$BE$1068,0)),"")</f>
        <v/>
      </c>
      <c r="X177" s="105" t="str">
        <f aca="false">IF(B177="","",IF(W177=1,"NR + industry + position",IF(W177=2,"NR + ISO + position",IF(W177=3,"NR + industry",IF(W177=4,"NR + ISO",IF(W177=5,"NR + position",IF(W177=6,"NR only","book baseline"))))))&amp;"  ["&amp;IF(T177=1,"seasoned","unseasoned")&amp;IF(U177=1,", defaulted","")&amp;IF(V177=1,", open","")&amp;"]")</f>
        <v/>
      </c>
    </row>
    <row r="178" customFormat="false" ht="15" hidden="false" customHeight="false" outlineLevel="0" collapsed="false">
      <c r="A178" s="105" t="n">
        <v>174</v>
      </c>
      <c r="B178" s="106" t="str">
        <f aca="false">IFERROR(INDEX('Historical Data'!$A$2:$A$1068,MATCH($A178,'Historical Data'!$BE$2:$BE$1068,0)),"")</f>
        <v/>
      </c>
      <c r="C178" s="106" t="str">
        <f aca="false">IFERROR(INDEX('Historical Data'!$B$2:$B$1068,MATCH($A178,'Historical Data'!$BE$2:$BE$1068,0)),"")</f>
        <v/>
      </c>
      <c r="D178" s="106" t="str">
        <f aca="false">IFERROR(INDEX('Historical Data'!$D$2:$D$1068,MATCH($A178,'Historical Data'!$BE$2:$BE$1068,0)),"")</f>
        <v/>
      </c>
      <c r="E178" s="107" t="str">
        <f aca="false">IFERROR(INDEX('Historical Data'!$E$2:$E$1068,MATCH($A178,'Historical Data'!$BE$2:$BE$1068,0)),"")</f>
        <v/>
      </c>
      <c r="F178" s="106" t="str">
        <f aca="false">IFERROR(INDEX('Historical Data'!$G$2:$G$1068,MATCH($A178,'Historical Data'!$BE$2:$BE$1068,0)),"")</f>
        <v/>
      </c>
      <c r="G178" s="106" t="str">
        <f aca="false">IFERROR(INDEX('Historical Data'!$Y$2:$Y$1068,MATCH($A178,'Historical Data'!$BE$2:$BE$1068,0)),"")</f>
        <v/>
      </c>
      <c r="H178" s="106" t="str">
        <f aca="false">IFERROR(INDEX('Historical Data'!$K$2:$K$1068,MATCH($A178,'Historical Data'!$BE$2:$BE$1068,0)),"")</f>
        <v/>
      </c>
      <c r="I178" s="106" t="str">
        <f aca="false">IFERROR(INDEX('Historical Data'!$J$2:$J$1068,MATCH($A178,'Historical Data'!$BE$2:$BE$1068,0)),"")</f>
        <v/>
      </c>
      <c r="J178" s="106" t="str">
        <f aca="false">IFERROR(INDEX('Historical Data'!$L$2:$L$1068,MATCH($A178,'Historical Data'!$BE$2:$BE$1068,0)),"")</f>
        <v/>
      </c>
      <c r="K178" s="108" t="str">
        <f aca="false">IFERROR(INDEX('Historical Data'!$M$2:$M$1068,MATCH($A178,'Historical Data'!$BE$2:$BE$1068,0)),"")</f>
        <v/>
      </c>
      <c r="L178" s="109" t="str">
        <f aca="false">IFERROR(INDEX('Historical Data'!$N$2:$N$1068,MATCH($A178,'Historical Data'!$BE$2:$BE$1068,0)),"")</f>
        <v/>
      </c>
      <c r="M178" s="109" t="str">
        <f aca="false">IFERROR(INDEX('Historical Data'!$Q$2:$Q$1068,MATCH($A178,'Historical Data'!$BE$2:$BE$1068,0)),"")</f>
        <v/>
      </c>
      <c r="N178" s="110" t="str">
        <f aca="false">IFERROR(INDEX('Historical Data'!$S$2:$S$1068,MATCH($A178,'Historical Data'!$BE$2:$BE$1068,0)),"")</f>
        <v/>
      </c>
      <c r="O178" s="109" t="str">
        <f aca="false">IFERROR(INDEX('Historical Data'!$AJ$2:$AJ$1068,MATCH($A178,'Historical Data'!$BE$2:$BE$1068,0)),"")</f>
        <v/>
      </c>
      <c r="P178" s="109" t="str">
        <f aca="false">IFERROR(INDEX('Historical Data'!$AK$2:$AK$1068,MATCH($A178,'Historical Data'!$BE$2:$BE$1068,0)),"")</f>
        <v/>
      </c>
      <c r="Q178" s="106" t="str">
        <f aca="false">IFERROR(INDEX('Historical Data'!$AA$2:$AA$1068,MATCH($A178,'Historical Data'!$BE$2:$BE$1068,0)),"")</f>
        <v/>
      </c>
      <c r="R178" s="106" t="str">
        <f aca="false">IFERROR(INDEX('Historical Data'!$AB$2:$AB$1068,MATCH($A178,'Historical Data'!$BE$2:$BE$1068,0)),"")</f>
        <v/>
      </c>
      <c r="S178" s="106" t="str">
        <f aca="false">IFERROR(INDEX('Historical Data'!$AN$2:$AN$1068,MATCH($A178,'Historical Data'!$BE$2:$BE$1068,0)),"")</f>
        <v/>
      </c>
      <c r="T178" s="106" t="str">
        <f aca="false">IFERROR(INDEX('Historical Data'!$AC$2:$AC$1068,MATCH($A178,'Historical Data'!$BE$2:$BE$1068,0)),"")</f>
        <v/>
      </c>
      <c r="U178" s="106" t="str">
        <f aca="false">IFERROR(INDEX('Historical Data'!$AE$2:$AE$1068,MATCH($A178,'Historical Data'!$BE$2:$BE$1068,0)),"")</f>
        <v/>
      </c>
      <c r="V178" s="106" t="str">
        <f aca="false">IFERROR(INDEX('Historical Data'!$AH$2:$AH$1068,MATCH($A178,'Historical Data'!$BE$2:$BE$1068,0)),"")</f>
        <v/>
      </c>
      <c r="W178" s="106" t="str">
        <f aca="false">IFERROR(INDEX('Historical Data'!$BC$2:$BC$1068,MATCH($A178,'Historical Data'!$BE$2:$BE$1068,0)),"")</f>
        <v/>
      </c>
      <c r="X178" s="105" t="str">
        <f aca="false">IF(B178="","",IF(W178=1,"NR + industry + position",IF(W178=2,"NR + ISO + position",IF(W178=3,"NR + industry",IF(W178=4,"NR + ISO",IF(W178=5,"NR + position",IF(W178=6,"NR only","book baseline"))))))&amp;"  ["&amp;IF(T178=1,"seasoned","unseasoned")&amp;IF(U178=1,", defaulted","")&amp;IF(V178=1,", open","")&amp;"]")</f>
        <v/>
      </c>
    </row>
    <row r="179" customFormat="false" ht="15" hidden="false" customHeight="false" outlineLevel="0" collapsed="false">
      <c r="A179" s="105" t="n">
        <v>175</v>
      </c>
      <c r="B179" s="106" t="str">
        <f aca="false">IFERROR(INDEX('Historical Data'!$A$2:$A$1068,MATCH($A179,'Historical Data'!$BE$2:$BE$1068,0)),"")</f>
        <v/>
      </c>
      <c r="C179" s="106" t="str">
        <f aca="false">IFERROR(INDEX('Historical Data'!$B$2:$B$1068,MATCH($A179,'Historical Data'!$BE$2:$BE$1068,0)),"")</f>
        <v/>
      </c>
      <c r="D179" s="106" t="str">
        <f aca="false">IFERROR(INDEX('Historical Data'!$D$2:$D$1068,MATCH($A179,'Historical Data'!$BE$2:$BE$1068,0)),"")</f>
        <v/>
      </c>
      <c r="E179" s="107" t="str">
        <f aca="false">IFERROR(INDEX('Historical Data'!$E$2:$E$1068,MATCH($A179,'Historical Data'!$BE$2:$BE$1068,0)),"")</f>
        <v/>
      </c>
      <c r="F179" s="106" t="str">
        <f aca="false">IFERROR(INDEX('Historical Data'!$G$2:$G$1068,MATCH($A179,'Historical Data'!$BE$2:$BE$1068,0)),"")</f>
        <v/>
      </c>
      <c r="G179" s="106" t="str">
        <f aca="false">IFERROR(INDEX('Historical Data'!$Y$2:$Y$1068,MATCH($A179,'Historical Data'!$BE$2:$BE$1068,0)),"")</f>
        <v/>
      </c>
      <c r="H179" s="106" t="str">
        <f aca="false">IFERROR(INDEX('Historical Data'!$K$2:$K$1068,MATCH($A179,'Historical Data'!$BE$2:$BE$1068,0)),"")</f>
        <v/>
      </c>
      <c r="I179" s="106" t="str">
        <f aca="false">IFERROR(INDEX('Historical Data'!$J$2:$J$1068,MATCH($A179,'Historical Data'!$BE$2:$BE$1068,0)),"")</f>
        <v/>
      </c>
      <c r="J179" s="106" t="str">
        <f aca="false">IFERROR(INDEX('Historical Data'!$L$2:$L$1068,MATCH($A179,'Historical Data'!$BE$2:$BE$1068,0)),"")</f>
        <v/>
      </c>
      <c r="K179" s="108" t="str">
        <f aca="false">IFERROR(INDEX('Historical Data'!$M$2:$M$1068,MATCH($A179,'Historical Data'!$BE$2:$BE$1068,0)),"")</f>
        <v/>
      </c>
      <c r="L179" s="109" t="str">
        <f aca="false">IFERROR(INDEX('Historical Data'!$N$2:$N$1068,MATCH($A179,'Historical Data'!$BE$2:$BE$1068,0)),"")</f>
        <v/>
      </c>
      <c r="M179" s="109" t="str">
        <f aca="false">IFERROR(INDEX('Historical Data'!$Q$2:$Q$1068,MATCH($A179,'Historical Data'!$BE$2:$BE$1068,0)),"")</f>
        <v/>
      </c>
      <c r="N179" s="110" t="str">
        <f aca="false">IFERROR(INDEX('Historical Data'!$S$2:$S$1068,MATCH($A179,'Historical Data'!$BE$2:$BE$1068,0)),"")</f>
        <v/>
      </c>
      <c r="O179" s="109" t="str">
        <f aca="false">IFERROR(INDEX('Historical Data'!$AJ$2:$AJ$1068,MATCH($A179,'Historical Data'!$BE$2:$BE$1068,0)),"")</f>
        <v/>
      </c>
      <c r="P179" s="109" t="str">
        <f aca="false">IFERROR(INDEX('Historical Data'!$AK$2:$AK$1068,MATCH($A179,'Historical Data'!$BE$2:$BE$1068,0)),"")</f>
        <v/>
      </c>
      <c r="Q179" s="106" t="str">
        <f aca="false">IFERROR(INDEX('Historical Data'!$AA$2:$AA$1068,MATCH($A179,'Historical Data'!$BE$2:$BE$1068,0)),"")</f>
        <v/>
      </c>
      <c r="R179" s="106" t="str">
        <f aca="false">IFERROR(INDEX('Historical Data'!$AB$2:$AB$1068,MATCH($A179,'Historical Data'!$BE$2:$BE$1068,0)),"")</f>
        <v/>
      </c>
      <c r="S179" s="106" t="str">
        <f aca="false">IFERROR(INDEX('Historical Data'!$AN$2:$AN$1068,MATCH($A179,'Historical Data'!$BE$2:$BE$1068,0)),"")</f>
        <v/>
      </c>
      <c r="T179" s="106" t="str">
        <f aca="false">IFERROR(INDEX('Historical Data'!$AC$2:$AC$1068,MATCH($A179,'Historical Data'!$BE$2:$BE$1068,0)),"")</f>
        <v/>
      </c>
      <c r="U179" s="106" t="str">
        <f aca="false">IFERROR(INDEX('Historical Data'!$AE$2:$AE$1068,MATCH($A179,'Historical Data'!$BE$2:$BE$1068,0)),"")</f>
        <v/>
      </c>
      <c r="V179" s="106" t="str">
        <f aca="false">IFERROR(INDEX('Historical Data'!$AH$2:$AH$1068,MATCH($A179,'Historical Data'!$BE$2:$BE$1068,0)),"")</f>
        <v/>
      </c>
      <c r="W179" s="106" t="str">
        <f aca="false">IFERROR(INDEX('Historical Data'!$BC$2:$BC$1068,MATCH($A179,'Historical Data'!$BE$2:$BE$1068,0)),"")</f>
        <v/>
      </c>
      <c r="X179" s="105" t="str">
        <f aca="false">IF(B179="","",IF(W179=1,"NR + industry + position",IF(W179=2,"NR + ISO + position",IF(W179=3,"NR + industry",IF(W179=4,"NR + ISO",IF(W179=5,"NR + position",IF(W179=6,"NR only","book baseline"))))))&amp;"  ["&amp;IF(T179=1,"seasoned","unseasoned")&amp;IF(U179=1,", defaulted","")&amp;IF(V179=1,", open","")&amp;"]")</f>
        <v/>
      </c>
    </row>
    <row r="180" customFormat="false" ht="15" hidden="false" customHeight="false" outlineLevel="0" collapsed="false">
      <c r="A180" s="105" t="n">
        <v>176</v>
      </c>
      <c r="B180" s="106" t="str">
        <f aca="false">IFERROR(INDEX('Historical Data'!$A$2:$A$1068,MATCH($A180,'Historical Data'!$BE$2:$BE$1068,0)),"")</f>
        <v/>
      </c>
      <c r="C180" s="106" t="str">
        <f aca="false">IFERROR(INDEX('Historical Data'!$B$2:$B$1068,MATCH($A180,'Historical Data'!$BE$2:$BE$1068,0)),"")</f>
        <v/>
      </c>
      <c r="D180" s="106" t="str">
        <f aca="false">IFERROR(INDEX('Historical Data'!$D$2:$D$1068,MATCH($A180,'Historical Data'!$BE$2:$BE$1068,0)),"")</f>
        <v/>
      </c>
      <c r="E180" s="107" t="str">
        <f aca="false">IFERROR(INDEX('Historical Data'!$E$2:$E$1068,MATCH($A180,'Historical Data'!$BE$2:$BE$1068,0)),"")</f>
        <v/>
      </c>
      <c r="F180" s="106" t="str">
        <f aca="false">IFERROR(INDEX('Historical Data'!$G$2:$G$1068,MATCH($A180,'Historical Data'!$BE$2:$BE$1068,0)),"")</f>
        <v/>
      </c>
      <c r="G180" s="106" t="str">
        <f aca="false">IFERROR(INDEX('Historical Data'!$Y$2:$Y$1068,MATCH($A180,'Historical Data'!$BE$2:$BE$1068,0)),"")</f>
        <v/>
      </c>
      <c r="H180" s="106" t="str">
        <f aca="false">IFERROR(INDEX('Historical Data'!$K$2:$K$1068,MATCH($A180,'Historical Data'!$BE$2:$BE$1068,0)),"")</f>
        <v/>
      </c>
      <c r="I180" s="106" t="str">
        <f aca="false">IFERROR(INDEX('Historical Data'!$J$2:$J$1068,MATCH($A180,'Historical Data'!$BE$2:$BE$1068,0)),"")</f>
        <v/>
      </c>
      <c r="J180" s="106" t="str">
        <f aca="false">IFERROR(INDEX('Historical Data'!$L$2:$L$1068,MATCH($A180,'Historical Data'!$BE$2:$BE$1068,0)),"")</f>
        <v/>
      </c>
      <c r="K180" s="108" t="str">
        <f aca="false">IFERROR(INDEX('Historical Data'!$M$2:$M$1068,MATCH($A180,'Historical Data'!$BE$2:$BE$1068,0)),"")</f>
        <v/>
      </c>
      <c r="L180" s="109" t="str">
        <f aca="false">IFERROR(INDEX('Historical Data'!$N$2:$N$1068,MATCH($A180,'Historical Data'!$BE$2:$BE$1068,0)),"")</f>
        <v/>
      </c>
      <c r="M180" s="109" t="str">
        <f aca="false">IFERROR(INDEX('Historical Data'!$Q$2:$Q$1068,MATCH($A180,'Historical Data'!$BE$2:$BE$1068,0)),"")</f>
        <v/>
      </c>
      <c r="N180" s="110" t="str">
        <f aca="false">IFERROR(INDEX('Historical Data'!$S$2:$S$1068,MATCH($A180,'Historical Data'!$BE$2:$BE$1068,0)),"")</f>
        <v/>
      </c>
      <c r="O180" s="109" t="str">
        <f aca="false">IFERROR(INDEX('Historical Data'!$AJ$2:$AJ$1068,MATCH($A180,'Historical Data'!$BE$2:$BE$1068,0)),"")</f>
        <v/>
      </c>
      <c r="P180" s="109" t="str">
        <f aca="false">IFERROR(INDEX('Historical Data'!$AK$2:$AK$1068,MATCH($A180,'Historical Data'!$BE$2:$BE$1068,0)),"")</f>
        <v/>
      </c>
      <c r="Q180" s="106" t="str">
        <f aca="false">IFERROR(INDEX('Historical Data'!$AA$2:$AA$1068,MATCH($A180,'Historical Data'!$BE$2:$BE$1068,0)),"")</f>
        <v/>
      </c>
      <c r="R180" s="106" t="str">
        <f aca="false">IFERROR(INDEX('Historical Data'!$AB$2:$AB$1068,MATCH($A180,'Historical Data'!$BE$2:$BE$1068,0)),"")</f>
        <v/>
      </c>
      <c r="S180" s="106" t="str">
        <f aca="false">IFERROR(INDEX('Historical Data'!$AN$2:$AN$1068,MATCH($A180,'Historical Data'!$BE$2:$BE$1068,0)),"")</f>
        <v/>
      </c>
      <c r="T180" s="106" t="str">
        <f aca="false">IFERROR(INDEX('Historical Data'!$AC$2:$AC$1068,MATCH($A180,'Historical Data'!$BE$2:$BE$1068,0)),"")</f>
        <v/>
      </c>
      <c r="U180" s="106" t="str">
        <f aca="false">IFERROR(INDEX('Historical Data'!$AE$2:$AE$1068,MATCH($A180,'Historical Data'!$BE$2:$BE$1068,0)),"")</f>
        <v/>
      </c>
      <c r="V180" s="106" t="str">
        <f aca="false">IFERROR(INDEX('Historical Data'!$AH$2:$AH$1068,MATCH($A180,'Historical Data'!$BE$2:$BE$1068,0)),"")</f>
        <v/>
      </c>
      <c r="W180" s="106" t="str">
        <f aca="false">IFERROR(INDEX('Historical Data'!$BC$2:$BC$1068,MATCH($A180,'Historical Data'!$BE$2:$BE$1068,0)),"")</f>
        <v/>
      </c>
      <c r="X180" s="105" t="str">
        <f aca="false">IF(B180="","",IF(W180=1,"NR + industry + position",IF(W180=2,"NR + ISO + position",IF(W180=3,"NR + industry",IF(W180=4,"NR + ISO",IF(W180=5,"NR + position",IF(W180=6,"NR only","book baseline"))))))&amp;"  ["&amp;IF(T180=1,"seasoned","unseasoned")&amp;IF(U180=1,", defaulted","")&amp;IF(V180=1,", open","")&amp;"]")</f>
        <v/>
      </c>
    </row>
    <row r="181" customFormat="false" ht="15" hidden="false" customHeight="false" outlineLevel="0" collapsed="false">
      <c r="A181" s="105" t="n">
        <v>177</v>
      </c>
      <c r="B181" s="106" t="str">
        <f aca="false">IFERROR(INDEX('Historical Data'!$A$2:$A$1068,MATCH($A181,'Historical Data'!$BE$2:$BE$1068,0)),"")</f>
        <v/>
      </c>
      <c r="C181" s="106" t="str">
        <f aca="false">IFERROR(INDEX('Historical Data'!$B$2:$B$1068,MATCH($A181,'Historical Data'!$BE$2:$BE$1068,0)),"")</f>
        <v/>
      </c>
      <c r="D181" s="106" t="str">
        <f aca="false">IFERROR(INDEX('Historical Data'!$D$2:$D$1068,MATCH($A181,'Historical Data'!$BE$2:$BE$1068,0)),"")</f>
        <v/>
      </c>
      <c r="E181" s="107" t="str">
        <f aca="false">IFERROR(INDEX('Historical Data'!$E$2:$E$1068,MATCH($A181,'Historical Data'!$BE$2:$BE$1068,0)),"")</f>
        <v/>
      </c>
      <c r="F181" s="106" t="str">
        <f aca="false">IFERROR(INDEX('Historical Data'!$G$2:$G$1068,MATCH($A181,'Historical Data'!$BE$2:$BE$1068,0)),"")</f>
        <v/>
      </c>
      <c r="G181" s="106" t="str">
        <f aca="false">IFERROR(INDEX('Historical Data'!$Y$2:$Y$1068,MATCH($A181,'Historical Data'!$BE$2:$BE$1068,0)),"")</f>
        <v/>
      </c>
      <c r="H181" s="106" t="str">
        <f aca="false">IFERROR(INDEX('Historical Data'!$K$2:$K$1068,MATCH($A181,'Historical Data'!$BE$2:$BE$1068,0)),"")</f>
        <v/>
      </c>
      <c r="I181" s="106" t="str">
        <f aca="false">IFERROR(INDEX('Historical Data'!$J$2:$J$1068,MATCH($A181,'Historical Data'!$BE$2:$BE$1068,0)),"")</f>
        <v/>
      </c>
      <c r="J181" s="106" t="str">
        <f aca="false">IFERROR(INDEX('Historical Data'!$L$2:$L$1068,MATCH($A181,'Historical Data'!$BE$2:$BE$1068,0)),"")</f>
        <v/>
      </c>
      <c r="K181" s="108" t="str">
        <f aca="false">IFERROR(INDEX('Historical Data'!$M$2:$M$1068,MATCH($A181,'Historical Data'!$BE$2:$BE$1068,0)),"")</f>
        <v/>
      </c>
      <c r="L181" s="109" t="str">
        <f aca="false">IFERROR(INDEX('Historical Data'!$N$2:$N$1068,MATCH($A181,'Historical Data'!$BE$2:$BE$1068,0)),"")</f>
        <v/>
      </c>
      <c r="M181" s="109" t="str">
        <f aca="false">IFERROR(INDEX('Historical Data'!$Q$2:$Q$1068,MATCH($A181,'Historical Data'!$BE$2:$BE$1068,0)),"")</f>
        <v/>
      </c>
      <c r="N181" s="110" t="str">
        <f aca="false">IFERROR(INDEX('Historical Data'!$S$2:$S$1068,MATCH($A181,'Historical Data'!$BE$2:$BE$1068,0)),"")</f>
        <v/>
      </c>
      <c r="O181" s="109" t="str">
        <f aca="false">IFERROR(INDEX('Historical Data'!$AJ$2:$AJ$1068,MATCH($A181,'Historical Data'!$BE$2:$BE$1068,0)),"")</f>
        <v/>
      </c>
      <c r="P181" s="109" t="str">
        <f aca="false">IFERROR(INDEX('Historical Data'!$AK$2:$AK$1068,MATCH($A181,'Historical Data'!$BE$2:$BE$1068,0)),"")</f>
        <v/>
      </c>
      <c r="Q181" s="106" t="str">
        <f aca="false">IFERROR(INDEX('Historical Data'!$AA$2:$AA$1068,MATCH($A181,'Historical Data'!$BE$2:$BE$1068,0)),"")</f>
        <v/>
      </c>
      <c r="R181" s="106" t="str">
        <f aca="false">IFERROR(INDEX('Historical Data'!$AB$2:$AB$1068,MATCH($A181,'Historical Data'!$BE$2:$BE$1068,0)),"")</f>
        <v/>
      </c>
      <c r="S181" s="106" t="str">
        <f aca="false">IFERROR(INDEX('Historical Data'!$AN$2:$AN$1068,MATCH($A181,'Historical Data'!$BE$2:$BE$1068,0)),"")</f>
        <v/>
      </c>
      <c r="T181" s="106" t="str">
        <f aca="false">IFERROR(INDEX('Historical Data'!$AC$2:$AC$1068,MATCH($A181,'Historical Data'!$BE$2:$BE$1068,0)),"")</f>
        <v/>
      </c>
      <c r="U181" s="106" t="str">
        <f aca="false">IFERROR(INDEX('Historical Data'!$AE$2:$AE$1068,MATCH($A181,'Historical Data'!$BE$2:$BE$1068,0)),"")</f>
        <v/>
      </c>
      <c r="V181" s="106" t="str">
        <f aca="false">IFERROR(INDEX('Historical Data'!$AH$2:$AH$1068,MATCH($A181,'Historical Data'!$BE$2:$BE$1068,0)),"")</f>
        <v/>
      </c>
      <c r="W181" s="106" t="str">
        <f aca="false">IFERROR(INDEX('Historical Data'!$BC$2:$BC$1068,MATCH($A181,'Historical Data'!$BE$2:$BE$1068,0)),"")</f>
        <v/>
      </c>
      <c r="X181" s="105" t="str">
        <f aca="false">IF(B181="","",IF(W181=1,"NR + industry + position",IF(W181=2,"NR + ISO + position",IF(W181=3,"NR + industry",IF(W181=4,"NR + ISO",IF(W181=5,"NR + position",IF(W181=6,"NR only","book baseline"))))))&amp;"  ["&amp;IF(T181=1,"seasoned","unseasoned")&amp;IF(U181=1,", defaulted","")&amp;IF(V181=1,", open","")&amp;"]")</f>
        <v/>
      </c>
    </row>
    <row r="182" customFormat="false" ht="15" hidden="false" customHeight="false" outlineLevel="0" collapsed="false">
      <c r="A182" s="105" t="n">
        <v>178</v>
      </c>
      <c r="B182" s="106" t="str">
        <f aca="false">IFERROR(INDEX('Historical Data'!$A$2:$A$1068,MATCH($A182,'Historical Data'!$BE$2:$BE$1068,0)),"")</f>
        <v/>
      </c>
      <c r="C182" s="106" t="str">
        <f aca="false">IFERROR(INDEX('Historical Data'!$B$2:$B$1068,MATCH($A182,'Historical Data'!$BE$2:$BE$1068,0)),"")</f>
        <v/>
      </c>
      <c r="D182" s="106" t="str">
        <f aca="false">IFERROR(INDEX('Historical Data'!$D$2:$D$1068,MATCH($A182,'Historical Data'!$BE$2:$BE$1068,0)),"")</f>
        <v/>
      </c>
      <c r="E182" s="107" t="str">
        <f aca="false">IFERROR(INDEX('Historical Data'!$E$2:$E$1068,MATCH($A182,'Historical Data'!$BE$2:$BE$1068,0)),"")</f>
        <v/>
      </c>
      <c r="F182" s="106" t="str">
        <f aca="false">IFERROR(INDEX('Historical Data'!$G$2:$G$1068,MATCH($A182,'Historical Data'!$BE$2:$BE$1068,0)),"")</f>
        <v/>
      </c>
      <c r="G182" s="106" t="str">
        <f aca="false">IFERROR(INDEX('Historical Data'!$Y$2:$Y$1068,MATCH($A182,'Historical Data'!$BE$2:$BE$1068,0)),"")</f>
        <v/>
      </c>
      <c r="H182" s="106" t="str">
        <f aca="false">IFERROR(INDEX('Historical Data'!$K$2:$K$1068,MATCH($A182,'Historical Data'!$BE$2:$BE$1068,0)),"")</f>
        <v/>
      </c>
      <c r="I182" s="106" t="str">
        <f aca="false">IFERROR(INDEX('Historical Data'!$J$2:$J$1068,MATCH($A182,'Historical Data'!$BE$2:$BE$1068,0)),"")</f>
        <v/>
      </c>
      <c r="J182" s="106" t="str">
        <f aca="false">IFERROR(INDEX('Historical Data'!$L$2:$L$1068,MATCH($A182,'Historical Data'!$BE$2:$BE$1068,0)),"")</f>
        <v/>
      </c>
      <c r="K182" s="108" t="str">
        <f aca="false">IFERROR(INDEX('Historical Data'!$M$2:$M$1068,MATCH($A182,'Historical Data'!$BE$2:$BE$1068,0)),"")</f>
        <v/>
      </c>
      <c r="L182" s="109" t="str">
        <f aca="false">IFERROR(INDEX('Historical Data'!$N$2:$N$1068,MATCH($A182,'Historical Data'!$BE$2:$BE$1068,0)),"")</f>
        <v/>
      </c>
      <c r="M182" s="109" t="str">
        <f aca="false">IFERROR(INDEX('Historical Data'!$Q$2:$Q$1068,MATCH($A182,'Historical Data'!$BE$2:$BE$1068,0)),"")</f>
        <v/>
      </c>
      <c r="N182" s="110" t="str">
        <f aca="false">IFERROR(INDEX('Historical Data'!$S$2:$S$1068,MATCH($A182,'Historical Data'!$BE$2:$BE$1068,0)),"")</f>
        <v/>
      </c>
      <c r="O182" s="109" t="str">
        <f aca="false">IFERROR(INDEX('Historical Data'!$AJ$2:$AJ$1068,MATCH($A182,'Historical Data'!$BE$2:$BE$1068,0)),"")</f>
        <v/>
      </c>
      <c r="P182" s="109" t="str">
        <f aca="false">IFERROR(INDEX('Historical Data'!$AK$2:$AK$1068,MATCH($A182,'Historical Data'!$BE$2:$BE$1068,0)),"")</f>
        <v/>
      </c>
      <c r="Q182" s="106" t="str">
        <f aca="false">IFERROR(INDEX('Historical Data'!$AA$2:$AA$1068,MATCH($A182,'Historical Data'!$BE$2:$BE$1068,0)),"")</f>
        <v/>
      </c>
      <c r="R182" s="106" t="str">
        <f aca="false">IFERROR(INDEX('Historical Data'!$AB$2:$AB$1068,MATCH($A182,'Historical Data'!$BE$2:$BE$1068,0)),"")</f>
        <v/>
      </c>
      <c r="S182" s="106" t="str">
        <f aca="false">IFERROR(INDEX('Historical Data'!$AN$2:$AN$1068,MATCH($A182,'Historical Data'!$BE$2:$BE$1068,0)),"")</f>
        <v/>
      </c>
      <c r="T182" s="106" t="str">
        <f aca="false">IFERROR(INDEX('Historical Data'!$AC$2:$AC$1068,MATCH($A182,'Historical Data'!$BE$2:$BE$1068,0)),"")</f>
        <v/>
      </c>
      <c r="U182" s="106" t="str">
        <f aca="false">IFERROR(INDEX('Historical Data'!$AE$2:$AE$1068,MATCH($A182,'Historical Data'!$BE$2:$BE$1068,0)),"")</f>
        <v/>
      </c>
      <c r="V182" s="106" t="str">
        <f aca="false">IFERROR(INDEX('Historical Data'!$AH$2:$AH$1068,MATCH($A182,'Historical Data'!$BE$2:$BE$1068,0)),"")</f>
        <v/>
      </c>
      <c r="W182" s="106" t="str">
        <f aca="false">IFERROR(INDEX('Historical Data'!$BC$2:$BC$1068,MATCH($A182,'Historical Data'!$BE$2:$BE$1068,0)),"")</f>
        <v/>
      </c>
      <c r="X182" s="105" t="str">
        <f aca="false">IF(B182="","",IF(W182=1,"NR + industry + position",IF(W182=2,"NR + ISO + position",IF(W182=3,"NR + industry",IF(W182=4,"NR + ISO",IF(W182=5,"NR + position",IF(W182=6,"NR only","book baseline"))))))&amp;"  ["&amp;IF(T182=1,"seasoned","unseasoned")&amp;IF(U182=1,", defaulted","")&amp;IF(V182=1,", open","")&amp;"]")</f>
        <v/>
      </c>
    </row>
    <row r="183" customFormat="false" ht="15" hidden="false" customHeight="false" outlineLevel="0" collapsed="false">
      <c r="A183" s="105" t="n">
        <v>179</v>
      </c>
      <c r="B183" s="106" t="str">
        <f aca="false">IFERROR(INDEX('Historical Data'!$A$2:$A$1068,MATCH($A183,'Historical Data'!$BE$2:$BE$1068,0)),"")</f>
        <v/>
      </c>
      <c r="C183" s="106" t="str">
        <f aca="false">IFERROR(INDEX('Historical Data'!$B$2:$B$1068,MATCH($A183,'Historical Data'!$BE$2:$BE$1068,0)),"")</f>
        <v/>
      </c>
      <c r="D183" s="106" t="str">
        <f aca="false">IFERROR(INDEX('Historical Data'!$D$2:$D$1068,MATCH($A183,'Historical Data'!$BE$2:$BE$1068,0)),"")</f>
        <v/>
      </c>
      <c r="E183" s="107" t="str">
        <f aca="false">IFERROR(INDEX('Historical Data'!$E$2:$E$1068,MATCH($A183,'Historical Data'!$BE$2:$BE$1068,0)),"")</f>
        <v/>
      </c>
      <c r="F183" s="106" t="str">
        <f aca="false">IFERROR(INDEX('Historical Data'!$G$2:$G$1068,MATCH($A183,'Historical Data'!$BE$2:$BE$1068,0)),"")</f>
        <v/>
      </c>
      <c r="G183" s="106" t="str">
        <f aca="false">IFERROR(INDEX('Historical Data'!$Y$2:$Y$1068,MATCH($A183,'Historical Data'!$BE$2:$BE$1068,0)),"")</f>
        <v/>
      </c>
      <c r="H183" s="106" t="str">
        <f aca="false">IFERROR(INDEX('Historical Data'!$K$2:$K$1068,MATCH($A183,'Historical Data'!$BE$2:$BE$1068,0)),"")</f>
        <v/>
      </c>
      <c r="I183" s="106" t="str">
        <f aca="false">IFERROR(INDEX('Historical Data'!$J$2:$J$1068,MATCH($A183,'Historical Data'!$BE$2:$BE$1068,0)),"")</f>
        <v/>
      </c>
      <c r="J183" s="106" t="str">
        <f aca="false">IFERROR(INDEX('Historical Data'!$L$2:$L$1068,MATCH($A183,'Historical Data'!$BE$2:$BE$1068,0)),"")</f>
        <v/>
      </c>
      <c r="K183" s="108" t="str">
        <f aca="false">IFERROR(INDEX('Historical Data'!$M$2:$M$1068,MATCH($A183,'Historical Data'!$BE$2:$BE$1068,0)),"")</f>
        <v/>
      </c>
      <c r="L183" s="109" t="str">
        <f aca="false">IFERROR(INDEX('Historical Data'!$N$2:$N$1068,MATCH($A183,'Historical Data'!$BE$2:$BE$1068,0)),"")</f>
        <v/>
      </c>
      <c r="M183" s="109" t="str">
        <f aca="false">IFERROR(INDEX('Historical Data'!$Q$2:$Q$1068,MATCH($A183,'Historical Data'!$BE$2:$BE$1068,0)),"")</f>
        <v/>
      </c>
      <c r="N183" s="110" t="str">
        <f aca="false">IFERROR(INDEX('Historical Data'!$S$2:$S$1068,MATCH($A183,'Historical Data'!$BE$2:$BE$1068,0)),"")</f>
        <v/>
      </c>
      <c r="O183" s="109" t="str">
        <f aca="false">IFERROR(INDEX('Historical Data'!$AJ$2:$AJ$1068,MATCH($A183,'Historical Data'!$BE$2:$BE$1068,0)),"")</f>
        <v/>
      </c>
      <c r="P183" s="109" t="str">
        <f aca="false">IFERROR(INDEX('Historical Data'!$AK$2:$AK$1068,MATCH($A183,'Historical Data'!$BE$2:$BE$1068,0)),"")</f>
        <v/>
      </c>
      <c r="Q183" s="106" t="str">
        <f aca="false">IFERROR(INDEX('Historical Data'!$AA$2:$AA$1068,MATCH($A183,'Historical Data'!$BE$2:$BE$1068,0)),"")</f>
        <v/>
      </c>
      <c r="R183" s="106" t="str">
        <f aca="false">IFERROR(INDEX('Historical Data'!$AB$2:$AB$1068,MATCH($A183,'Historical Data'!$BE$2:$BE$1068,0)),"")</f>
        <v/>
      </c>
      <c r="S183" s="106" t="str">
        <f aca="false">IFERROR(INDEX('Historical Data'!$AN$2:$AN$1068,MATCH($A183,'Historical Data'!$BE$2:$BE$1068,0)),"")</f>
        <v/>
      </c>
      <c r="T183" s="106" t="str">
        <f aca="false">IFERROR(INDEX('Historical Data'!$AC$2:$AC$1068,MATCH($A183,'Historical Data'!$BE$2:$BE$1068,0)),"")</f>
        <v/>
      </c>
      <c r="U183" s="106" t="str">
        <f aca="false">IFERROR(INDEX('Historical Data'!$AE$2:$AE$1068,MATCH($A183,'Historical Data'!$BE$2:$BE$1068,0)),"")</f>
        <v/>
      </c>
      <c r="V183" s="106" t="str">
        <f aca="false">IFERROR(INDEX('Historical Data'!$AH$2:$AH$1068,MATCH($A183,'Historical Data'!$BE$2:$BE$1068,0)),"")</f>
        <v/>
      </c>
      <c r="W183" s="106" t="str">
        <f aca="false">IFERROR(INDEX('Historical Data'!$BC$2:$BC$1068,MATCH($A183,'Historical Data'!$BE$2:$BE$1068,0)),"")</f>
        <v/>
      </c>
      <c r="X183" s="105" t="str">
        <f aca="false">IF(B183="","",IF(W183=1,"NR + industry + position",IF(W183=2,"NR + ISO + position",IF(W183=3,"NR + industry",IF(W183=4,"NR + ISO",IF(W183=5,"NR + position",IF(W183=6,"NR only","book baseline"))))))&amp;"  ["&amp;IF(T183=1,"seasoned","unseasoned")&amp;IF(U183=1,", defaulted","")&amp;IF(V183=1,", open","")&amp;"]")</f>
        <v/>
      </c>
    </row>
    <row r="184" customFormat="false" ht="15" hidden="false" customHeight="false" outlineLevel="0" collapsed="false">
      <c r="A184" s="105" t="n">
        <v>180</v>
      </c>
      <c r="B184" s="106" t="str">
        <f aca="false">IFERROR(INDEX('Historical Data'!$A$2:$A$1068,MATCH($A184,'Historical Data'!$BE$2:$BE$1068,0)),"")</f>
        <v/>
      </c>
      <c r="C184" s="106" t="str">
        <f aca="false">IFERROR(INDEX('Historical Data'!$B$2:$B$1068,MATCH($A184,'Historical Data'!$BE$2:$BE$1068,0)),"")</f>
        <v/>
      </c>
      <c r="D184" s="106" t="str">
        <f aca="false">IFERROR(INDEX('Historical Data'!$D$2:$D$1068,MATCH($A184,'Historical Data'!$BE$2:$BE$1068,0)),"")</f>
        <v/>
      </c>
      <c r="E184" s="107" t="str">
        <f aca="false">IFERROR(INDEX('Historical Data'!$E$2:$E$1068,MATCH($A184,'Historical Data'!$BE$2:$BE$1068,0)),"")</f>
        <v/>
      </c>
      <c r="F184" s="106" t="str">
        <f aca="false">IFERROR(INDEX('Historical Data'!$G$2:$G$1068,MATCH($A184,'Historical Data'!$BE$2:$BE$1068,0)),"")</f>
        <v/>
      </c>
      <c r="G184" s="106" t="str">
        <f aca="false">IFERROR(INDEX('Historical Data'!$Y$2:$Y$1068,MATCH($A184,'Historical Data'!$BE$2:$BE$1068,0)),"")</f>
        <v/>
      </c>
      <c r="H184" s="106" t="str">
        <f aca="false">IFERROR(INDEX('Historical Data'!$K$2:$K$1068,MATCH($A184,'Historical Data'!$BE$2:$BE$1068,0)),"")</f>
        <v/>
      </c>
      <c r="I184" s="106" t="str">
        <f aca="false">IFERROR(INDEX('Historical Data'!$J$2:$J$1068,MATCH($A184,'Historical Data'!$BE$2:$BE$1068,0)),"")</f>
        <v/>
      </c>
      <c r="J184" s="106" t="str">
        <f aca="false">IFERROR(INDEX('Historical Data'!$L$2:$L$1068,MATCH($A184,'Historical Data'!$BE$2:$BE$1068,0)),"")</f>
        <v/>
      </c>
      <c r="K184" s="108" t="str">
        <f aca="false">IFERROR(INDEX('Historical Data'!$M$2:$M$1068,MATCH($A184,'Historical Data'!$BE$2:$BE$1068,0)),"")</f>
        <v/>
      </c>
      <c r="L184" s="109" t="str">
        <f aca="false">IFERROR(INDEX('Historical Data'!$N$2:$N$1068,MATCH($A184,'Historical Data'!$BE$2:$BE$1068,0)),"")</f>
        <v/>
      </c>
      <c r="M184" s="109" t="str">
        <f aca="false">IFERROR(INDEX('Historical Data'!$Q$2:$Q$1068,MATCH($A184,'Historical Data'!$BE$2:$BE$1068,0)),"")</f>
        <v/>
      </c>
      <c r="N184" s="110" t="str">
        <f aca="false">IFERROR(INDEX('Historical Data'!$S$2:$S$1068,MATCH($A184,'Historical Data'!$BE$2:$BE$1068,0)),"")</f>
        <v/>
      </c>
      <c r="O184" s="109" t="str">
        <f aca="false">IFERROR(INDEX('Historical Data'!$AJ$2:$AJ$1068,MATCH($A184,'Historical Data'!$BE$2:$BE$1068,0)),"")</f>
        <v/>
      </c>
      <c r="P184" s="109" t="str">
        <f aca="false">IFERROR(INDEX('Historical Data'!$AK$2:$AK$1068,MATCH($A184,'Historical Data'!$BE$2:$BE$1068,0)),"")</f>
        <v/>
      </c>
      <c r="Q184" s="106" t="str">
        <f aca="false">IFERROR(INDEX('Historical Data'!$AA$2:$AA$1068,MATCH($A184,'Historical Data'!$BE$2:$BE$1068,0)),"")</f>
        <v/>
      </c>
      <c r="R184" s="106" t="str">
        <f aca="false">IFERROR(INDEX('Historical Data'!$AB$2:$AB$1068,MATCH($A184,'Historical Data'!$BE$2:$BE$1068,0)),"")</f>
        <v/>
      </c>
      <c r="S184" s="106" t="str">
        <f aca="false">IFERROR(INDEX('Historical Data'!$AN$2:$AN$1068,MATCH($A184,'Historical Data'!$BE$2:$BE$1068,0)),"")</f>
        <v/>
      </c>
      <c r="T184" s="106" t="str">
        <f aca="false">IFERROR(INDEX('Historical Data'!$AC$2:$AC$1068,MATCH($A184,'Historical Data'!$BE$2:$BE$1068,0)),"")</f>
        <v/>
      </c>
      <c r="U184" s="106" t="str">
        <f aca="false">IFERROR(INDEX('Historical Data'!$AE$2:$AE$1068,MATCH($A184,'Historical Data'!$BE$2:$BE$1068,0)),"")</f>
        <v/>
      </c>
      <c r="V184" s="106" t="str">
        <f aca="false">IFERROR(INDEX('Historical Data'!$AH$2:$AH$1068,MATCH($A184,'Historical Data'!$BE$2:$BE$1068,0)),"")</f>
        <v/>
      </c>
      <c r="W184" s="106" t="str">
        <f aca="false">IFERROR(INDEX('Historical Data'!$BC$2:$BC$1068,MATCH($A184,'Historical Data'!$BE$2:$BE$1068,0)),"")</f>
        <v/>
      </c>
      <c r="X184" s="105" t="str">
        <f aca="false">IF(B184="","",IF(W184=1,"NR + industry + position",IF(W184=2,"NR + ISO + position",IF(W184=3,"NR + industry",IF(W184=4,"NR + ISO",IF(W184=5,"NR + position",IF(W184=6,"NR only","book baseline"))))))&amp;"  ["&amp;IF(T184=1,"seasoned","unseasoned")&amp;IF(U184=1,", defaulted","")&amp;IF(V184=1,", open","")&amp;"]")</f>
        <v/>
      </c>
    </row>
    <row r="185" customFormat="false" ht="15" hidden="false" customHeight="false" outlineLevel="0" collapsed="false">
      <c r="A185" s="105" t="n">
        <v>181</v>
      </c>
      <c r="B185" s="106" t="str">
        <f aca="false">IFERROR(INDEX('Historical Data'!$A$2:$A$1068,MATCH($A185,'Historical Data'!$BE$2:$BE$1068,0)),"")</f>
        <v/>
      </c>
      <c r="C185" s="106" t="str">
        <f aca="false">IFERROR(INDEX('Historical Data'!$B$2:$B$1068,MATCH($A185,'Historical Data'!$BE$2:$BE$1068,0)),"")</f>
        <v/>
      </c>
      <c r="D185" s="106" t="str">
        <f aca="false">IFERROR(INDEX('Historical Data'!$D$2:$D$1068,MATCH($A185,'Historical Data'!$BE$2:$BE$1068,0)),"")</f>
        <v/>
      </c>
      <c r="E185" s="107" t="str">
        <f aca="false">IFERROR(INDEX('Historical Data'!$E$2:$E$1068,MATCH($A185,'Historical Data'!$BE$2:$BE$1068,0)),"")</f>
        <v/>
      </c>
      <c r="F185" s="106" t="str">
        <f aca="false">IFERROR(INDEX('Historical Data'!$G$2:$G$1068,MATCH($A185,'Historical Data'!$BE$2:$BE$1068,0)),"")</f>
        <v/>
      </c>
      <c r="G185" s="106" t="str">
        <f aca="false">IFERROR(INDEX('Historical Data'!$Y$2:$Y$1068,MATCH($A185,'Historical Data'!$BE$2:$BE$1068,0)),"")</f>
        <v/>
      </c>
      <c r="H185" s="106" t="str">
        <f aca="false">IFERROR(INDEX('Historical Data'!$K$2:$K$1068,MATCH($A185,'Historical Data'!$BE$2:$BE$1068,0)),"")</f>
        <v/>
      </c>
      <c r="I185" s="106" t="str">
        <f aca="false">IFERROR(INDEX('Historical Data'!$J$2:$J$1068,MATCH($A185,'Historical Data'!$BE$2:$BE$1068,0)),"")</f>
        <v/>
      </c>
      <c r="J185" s="106" t="str">
        <f aca="false">IFERROR(INDEX('Historical Data'!$L$2:$L$1068,MATCH($A185,'Historical Data'!$BE$2:$BE$1068,0)),"")</f>
        <v/>
      </c>
      <c r="K185" s="108" t="str">
        <f aca="false">IFERROR(INDEX('Historical Data'!$M$2:$M$1068,MATCH($A185,'Historical Data'!$BE$2:$BE$1068,0)),"")</f>
        <v/>
      </c>
      <c r="L185" s="109" t="str">
        <f aca="false">IFERROR(INDEX('Historical Data'!$N$2:$N$1068,MATCH($A185,'Historical Data'!$BE$2:$BE$1068,0)),"")</f>
        <v/>
      </c>
      <c r="M185" s="109" t="str">
        <f aca="false">IFERROR(INDEX('Historical Data'!$Q$2:$Q$1068,MATCH($A185,'Historical Data'!$BE$2:$BE$1068,0)),"")</f>
        <v/>
      </c>
      <c r="N185" s="110" t="str">
        <f aca="false">IFERROR(INDEX('Historical Data'!$S$2:$S$1068,MATCH($A185,'Historical Data'!$BE$2:$BE$1068,0)),"")</f>
        <v/>
      </c>
      <c r="O185" s="109" t="str">
        <f aca="false">IFERROR(INDEX('Historical Data'!$AJ$2:$AJ$1068,MATCH($A185,'Historical Data'!$BE$2:$BE$1068,0)),"")</f>
        <v/>
      </c>
      <c r="P185" s="109" t="str">
        <f aca="false">IFERROR(INDEX('Historical Data'!$AK$2:$AK$1068,MATCH($A185,'Historical Data'!$BE$2:$BE$1068,0)),"")</f>
        <v/>
      </c>
      <c r="Q185" s="106" t="str">
        <f aca="false">IFERROR(INDEX('Historical Data'!$AA$2:$AA$1068,MATCH($A185,'Historical Data'!$BE$2:$BE$1068,0)),"")</f>
        <v/>
      </c>
      <c r="R185" s="106" t="str">
        <f aca="false">IFERROR(INDEX('Historical Data'!$AB$2:$AB$1068,MATCH($A185,'Historical Data'!$BE$2:$BE$1068,0)),"")</f>
        <v/>
      </c>
      <c r="S185" s="106" t="str">
        <f aca="false">IFERROR(INDEX('Historical Data'!$AN$2:$AN$1068,MATCH($A185,'Historical Data'!$BE$2:$BE$1068,0)),"")</f>
        <v/>
      </c>
      <c r="T185" s="106" t="str">
        <f aca="false">IFERROR(INDEX('Historical Data'!$AC$2:$AC$1068,MATCH($A185,'Historical Data'!$BE$2:$BE$1068,0)),"")</f>
        <v/>
      </c>
      <c r="U185" s="106" t="str">
        <f aca="false">IFERROR(INDEX('Historical Data'!$AE$2:$AE$1068,MATCH($A185,'Historical Data'!$BE$2:$BE$1068,0)),"")</f>
        <v/>
      </c>
      <c r="V185" s="106" t="str">
        <f aca="false">IFERROR(INDEX('Historical Data'!$AH$2:$AH$1068,MATCH($A185,'Historical Data'!$BE$2:$BE$1068,0)),"")</f>
        <v/>
      </c>
      <c r="W185" s="106" t="str">
        <f aca="false">IFERROR(INDEX('Historical Data'!$BC$2:$BC$1068,MATCH($A185,'Historical Data'!$BE$2:$BE$1068,0)),"")</f>
        <v/>
      </c>
      <c r="X185" s="105" t="str">
        <f aca="false">IF(B185="","",IF(W185=1,"NR + industry + position",IF(W185=2,"NR + ISO + position",IF(W185=3,"NR + industry",IF(W185=4,"NR + ISO",IF(W185=5,"NR + position",IF(W185=6,"NR only","book baseline"))))))&amp;"  ["&amp;IF(T185=1,"seasoned","unseasoned")&amp;IF(U185=1,", defaulted","")&amp;IF(V185=1,", open","")&amp;"]")</f>
        <v/>
      </c>
    </row>
    <row r="186" customFormat="false" ht="15" hidden="false" customHeight="false" outlineLevel="0" collapsed="false">
      <c r="A186" s="105" t="n">
        <v>182</v>
      </c>
      <c r="B186" s="106" t="str">
        <f aca="false">IFERROR(INDEX('Historical Data'!$A$2:$A$1068,MATCH($A186,'Historical Data'!$BE$2:$BE$1068,0)),"")</f>
        <v/>
      </c>
      <c r="C186" s="106" t="str">
        <f aca="false">IFERROR(INDEX('Historical Data'!$B$2:$B$1068,MATCH($A186,'Historical Data'!$BE$2:$BE$1068,0)),"")</f>
        <v/>
      </c>
      <c r="D186" s="106" t="str">
        <f aca="false">IFERROR(INDEX('Historical Data'!$D$2:$D$1068,MATCH($A186,'Historical Data'!$BE$2:$BE$1068,0)),"")</f>
        <v/>
      </c>
      <c r="E186" s="107" t="str">
        <f aca="false">IFERROR(INDEX('Historical Data'!$E$2:$E$1068,MATCH($A186,'Historical Data'!$BE$2:$BE$1068,0)),"")</f>
        <v/>
      </c>
      <c r="F186" s="106" t="str">
        <f aca="false">IFERROR(INDEX('Historical Data'!$G$2:$G$1068,MATCH($A186,'Historical Data'!$BE$2:$BE$1068,0)),"")</f>
        <v/>
      </c>
      <c r="G186" s="106" t="str">
        <f aca="false">IFERROR(INDEX('Historical Data'!$Y$2:$Y$1068,MATCH($A186,'Historical Data'!$BE$2:$BE$1068,0)),"")</f>
        <v/>
      </c>
      <c r="H186" s="106" t="str">
        <f aca="false">IFERROR(INDEX('Historical Data'!$K$2:$K$1068,MATCH($A186,'Historical Data'!$BE$2:$BE$1068,0)),"")</f>
        <v/>
      </c>
      <c r="I186" s="106" t="str">
        <f aca="false">IFERROR(INDEX('Historical Data'!$J$2:$J$1068,MATCH($A186,'Historical Data'!$BE$2:$BE$1068,0)),"")</f>
        <v/>
      </c>
      <c r="J186" s="106" t="str">
        <f aca="false">IFERROR(INDEX('Historical Data'!$L$2:$L$1068,MATCH($A186,'Historical Data'!$BE$2:$BE$1068,0)),"")</f>
        <v/>
      </c>
      <c r="K186" s="108" t="str">
        <f aca="false">IFERROR(INDEX('Historical Data'!$M$2:$M$1068,MATCH($A186,'Historical Data'!$BE$2:$BE$1068,0)),"")</f>
        <v/>
      </c>
      <c r="L186" s="109" t="str">
        <f aca="false">IFERROR(INDEX('Historical Data'!$N$2:$N$1068,MATCH($A186,'Historical Data'!$BE$2:$BE$1068,0)),"")</f>
        <v/>
      </c>
      <c r="M186" s="109" t="str">
        <f aca="false">IFERROR(INDEX('Historical Data'!$Q$2:$Q$1068,MATCH($A186,'Historical Data'!$BE$2:$BE$1068,0)),"")</f>
        <v/>
      </c>
      <c r="N186" s="110" t="str">
        <f aca="false">IFERROR(INDEX('Historical Data'!$S$2:$S$1068,MATCH($A186,'Historical Data'!$BE$2:$BE$1068,0)),"")</f>
        <v/>
      </c>
      <c r="O186" s="109" t="str">
        <f aca="false">IFERROR(INDEX('Historical Data'!$AJ$2:$AJ$1068,MATCH($A186,'Historical Data'!$BE$2:$BE$1068,0)),"")</f>
        <v/>
      </c>
      <c r="P186" s="109" t="str">
        <f aca="false">IFERROR(INDEX('Historical Data'!$AK$2:$AK$1068,MATCH($A186,'Historical Data'!$BE$2:$BE$1068,0)),"")</f>
        <v/>
      </c>
      <c r="Q186" s="106" t="str">
        <f aca="false">IFERROR(INDEX('Historical Data'!$AA$2:$AA$1068,MATCH($A186,'Historical Data'!$BE$2:$BE$1068,0)),"")</f>
        <v/>
      </c>
      <c r="R186" s="106" t="str">
        <f aca="false">IFERROR(INDEX('Historical Data'!$AB$2:$AB$1068,MATCH($A186,'Historical Data'!$BE$2:$BE$1068,0)),"")</f>
        <v/>
      </c>
      <c r="S186" s="106" t="str">
        <f aca="false">IFERROR(INDEX('Historical Data'!$AN$2:$AN$1068,MATCH($A186,'Historical Data'!$BE$2:$BE$1068,0)),"")</f>
        <v/>
      </c>
      <c r="T186" s="106" t="str">
        <f aca="false">IFERROR(INDEX('Historical Data'!$AC$2:$AC$1068,MATCH($A186,'Historical Data'!$BE$2:$BE$1068,0)),"")</f>
        <v/>
      </c>
      <c r="U186" s="106" t="str">
        <f aca="false">IFERROR(INDEX('Historical Data'!$AE$2:$AE$1068,MATCH($A186,'Historical Data'!$BE$2:$BE$1068,0)),"")</f>
        <v/>
      </c>
      <c r="V186" s="106" t="str">
        <f aca="false">IFERROR(INDEX('Historical Data'!$AH$2:$AH$1068,MATCH($A186,'Historical Data'!$BE$2:$BE$1068,0)),"")</f>
        <v/>
      </c>
      <c r="W186" s="106" t="str">
        <f aca="false">IFERROR(INDEX('Historical Data'!$BC$2:$BC$1068,MATCH($A186,'Historical Data'!$BE$2:$BE$1068,0)),"")</f>
        <v/>
      </c>
      <c r="X186" s="105" t="str">
        <f aca="false">IF(B186="","",IF(W186=1,"NR + industry + position",IF(W186=2,"NR + ISO + position",IF(W186=3,"NR + industry",IF(W186=4,"NR + ISO",IF(W186=5,"NR + position",IF(W186=6,"NR only","book baseline"))))))&amp;"  ["&amp;IF(T186=1,"seasoned","unseasoned")&amp;IF(U186=1,", defaulted","")&amp;IF(V186=1,", open","")&amp;"]")</f>
        <v/>
      </c>
    </row>
    <row r="187" customFormat="false" ht="15" hidden="false" customHeight="false" outlineLevel="0" collapsed="false">
      <c r="A187" s="105" t="n">
        <v>183</v>
      </c>
      <c r="B187" s="106" t="str">
        <f aca="false">IFERROR(INDEX('Historical Data'!$A$2:$A$1068,MATCH($A187,'Historical Data'!$BE$2:$BE$1068,0)),"")</f>
        <v/>
      </c>
      <c r="C187" s="106" t="str">
        <f aca="false">IFERROR(INDEX('Historical Data'!$B$2:$B$1068,MATCH($A187,'Historical Data'!$BE$2:$BE$1068,0)),"")</f>
        <v/>
      </c>
      <c r="D187" s="106" t="str">
        <f aca="false">IFERROR(INDEX('Historical Data'!$D$2:$D$1068,MATCH($A187,'Historical Data'!$BE$2:$BE$1068,0)),"")</f>
        <v/>
      </c>
      <c r="E187" s="107" t="str">
        <f aca="false">IFERROR(INDEX('Historical Data'!$E$2:$E$1068,MATCH($A187,'Historical Data'!$BE$2:$BE$1068,0)),"")</f>
        <v/>
      </c>
      <c r="F187" s="106" t="str">
        <f aca="false">IFERROR(INDEX('Historical Data'!$G$2:$G$1068,MATCH($A187,'Historical Data'!$BE$2:$BE$1068,0)),"")</f>
        <v/>
      </c>
      <c r="G187" s="106" t="str">
        <f aca="false">IFERROR(INDEX('Historical Data'!$Y$2:$Y$1068,MATCH($A187,'Historical Data'!$BE$2:$BE$1068,0)),"")</f>
        <v/>
      </c>
      <c r="H187" s="106" t="str">
        <f aca="false">IFERROR(INDEX('Historical Data'!$K$2:$K$1068,MATCH($A187,'Historical Data'!$BE$2:$BE$1068,0)),"")</f>
        <v/>
      </c>
      <c r="I187" s="106" t="str">
        <f aca="false">IFERROR(INDEX('Historical Data'!$J$2:$J$1068,MATCH($A187,'Historical Data'!$BE$2:$BE$1068,0)),"")</f>
        <v/>
      </c>
      <c r="J187" s="106" t="str">
        <f aca="false">IFERROR(INDEX('Historical Data'!$L$2:$L$1068,MATCH($A187,'Historical Data'!$BE$2:$BE$1068,0)),"")</f>
        <v/>
      </c>
      <c r="K187" s="108" t="str">
        <f aca="false">IFERROR(INDEX('Historical Data'!$M$2:$M$1068,MATCH($A187,'Historical Data'!$BE$2:$BE$1068,0)),"")</f>
        <v/>
      </c>
      <c r="L187" s="109" t="str">
        <f aca="false">IFERROR(INDEX('Historical Data'!$N$2:$N$1068,MATCH($A187,'Historical Data'!$BE$2:$BE$1068,0)),"")</f>
        <v/>
      </c>
      <c r="M187" s="109" t="str">
        <f aca="false">IFERROR(INDEX('Historical Data'!$Q$2:$Q$1068,MATCH($A187,'Historical Data'!$BE$2:$BE$1068,0)),"")</f>
        <v/>
      </c>
      <c r="N187" s="110" t="str">
        <f aca="false">IFERROR(INDEX('Historical Data'!$S$2:$S$1068,MATCH($A187,'Historical Data'!$BE$2:$BE$1068,0)),"")</f>
        <v/>
      </c>
      <c r="O187" s="109" t="str">
        <f aca="false">IFERROR(INDEX('Historical Data'!$AJ$2:$AJ$1068,MATCH($A187,'Historical Data'!$BE$2:$BE$1068,0)),"")</f>
        <v/>
      </c>
      <c r="P187" s="109" t="str">
        <f aca="false">IFERROR(INDEX('Historical Data'!$AK$2:$AK$1068,MATCH($A187,'Historical Data'!$BE$2:$BE$1068,0)),"")</f>
        <v/>
      </c>
      <c r="Q187" s="106" t="str">
        <f aca="false">IFERROR(INDEX('Historical Data'!$AA$2:$AA$1068,MATCH($A187,'Historical Data'!$BE$2:$BE$1068,0)),"")</f>
        <v/>
      </c>
      <c r="R187" s="106" t="str">
        <f aca="false">IFERROR(INDEX('Historical Data'!$AB$2:$AB$1068,MATCH($A187,'Historical Data'!$BE$2:$BE$1068,0)),"")</f>
        <v/>
      </c>
      <c r="S187" s="106" t="str">
        <f aca="false">IFERROR(INDEX('Historical Data'!$AN$2:$AN$1068,MATCH($A187,'Historical Data'!$BE$2:$BE$1068,0)),"")</f>
        <v/>
      </c>
      <c r="T187" s="106" t="str">
        <f aca="false">IFERROR(INDEX('Historical Data'!$AC$2:$AC$1068,MATCH($A187,'Historical Data'!$BE$2:$BE$1068,0)),"")</f>
        <v/>
      </c>
      <c r="U187" s="106" t="str">
        <f aca="false">IFERROR(INDEX('Historical Data'!$AE$2:$AE$1068,MATCH($A187,'Historical Data'!$BE$2:$BE$1068,0)),"")</f>
        <v/>
      </c>
      <c r="V187" s="106" t="str">
        <f aca="false">IFERROR(INDEX('Historical Data'!$AH$2:$AH$1068,MATCH($A187,'Historical Data'!$BE$2:$BE$1068,0)),"")</f>
        <v/>
      </c>
      <c r="W187" s="106" t="str">
        <f aca="false">IFERROR(INDEX('Historical Data'!$BC$2:$BC$1068,MATCH($A187,'Historical Data'!$BE$2:$BE$1068,0)),"")</f>
        <v/>
      </c>
      <c r="X187" s="105" t="str">
        <f aca="false">IF(B187="","",IF(W187=1,"NR + industry + position",IF(W187=2,"NR + ISO + position",IF(W187=3,"NR + industry",IF(W187=4,"NR + ISO",IF(W187=5,"NR + position",IF(W187=6,"NR only","book baseline"))))))&amp;"  ["&amp;IF(T187=1,"seasoned","unseasoned")&amp;IF(U187=1,", defaulted","")&amp;IF(V187=1,", open","")&amp;"]")</f>
        <v/>
      </c>
    </row>
    <row r="188" customFormat="false" ht="15" hidden="false" customHeight="false" outlineLevel="0" collapsed="false">
      <c r="A188" s="105" t="n">
        <v>184</v>
      </c>
      <c r="B188" s="106" t="str">
        <f aca="false">IFERROR(INDEX('Historical Data'!$A$2:$A$1068,MATCH($A188,'Historical Data'!$BE$2:$BE$1068,0)),"")</f>
        <v/>
      </c>
      <c r="C188" s="106" t="str">
        <f aca="false">IFERROR(INDEX('Historical Data'!$B$2:$B$1068,MATCH($A188,'Historical Data'!$BE$2:$BE$1068,0)),"")</f>
        <v/>
      </c>
      <c r="D188" s="106" t="str">
        <f aca="false">IFERROR(INDEX('Historical Data'!$D$2:$D$1068,MATCH($A188,'Historical Data'!$BE$2:$BE$1068,0)),"")</f>
        <v/>
      </c>
      <c r="E188" s="107" t="str">
        <f aca="false">IFERROR(INDEX('Historical Data'!$E$2:$E$1068,MATCH($A188,'Historical Data'!$BE$2:$BE$1068,0)),"")</f>
        <v/>
      </c>
      <c r="F188" s="106" t="str">
        <f aca="false">IFERROR(INDEX('Historical Data'!$G$2:$G$1068,MATCH($A188,'Historical Data'!$BE$2:$BE$1068,0)),"")</f>
        <v/>
      </c>
      <c r="G188" s="106" t="str">
        <f aca="false">IFERROR(INDEX('Historical Data'!$Y$2:$Y$1068,MATCH($A188,'Historical Data'!$BE$2:$BE$1068,0)),"")</f>
        <v/>
      </c>
      <c r="H188" s="106" t="str">
        <f aca="false">IFERROR(INDEX('Historical Data'!$K$2:$K$1068,MATCH($A188,'Historical Data'!$BE$2:$BE$1068,0)),"")</f>
        <v/>
      </c>
      <c r="I188" s="106" t="str">
        <f aca="false">IFERROR(INDEX('Historical Data'!$J$2:$J$1068,MATCH($A188,'Historical Data'!$BE$2:$BE$1068,0)),"")</f>
        <v/>
      </c>
      <c r="J188" s="106" t="str">
        <f aca="false">IFERROR(INDEX('Historical Data'!$L$2:$L$1068,MATCH($A188,'Historical Data'!$BE$2:$BE$1068,0)),"")</f>
        <v/>
      </c>
      <c r="K188" s="108" t="str">
        <f aca="false">IFERROR(INDEX('Historical Data'!$M$2:$M$1068,MATCH($A188,'Historical Data'!$BE$2:$BE$1068,0)),"")</f>
        <v/>
      </c>
      <c r="L188" s="109" t="str">
        <f aca="false">IFERROR(INDEX('Historical Data'!$N$2:$N$1068,MATCH($A188,'Historical Data'!$BE$2:$BE$1068,0)),"")</f>
        <v/>
      </c>
      <c r="M188" s="109" t="str">
        <f aca="false">IFERROR(INDEX('Historical Data'!$Q$2:$Q$1068,MATCH($A188,'Historical Data'!$BE$2:$BE$1068,0)),"")</f>
        <v/>
      </c>
      <c r="N188" s="110" t="str">
        <f aca="false">IFERROR(INDEX('Historical Data'!$S$2:$S$1068,MATCH($A188,'Historical Data'!$BE$2:$BE$1068,0)),"")</f>
        <v/>
      </c>
      <c r="O188" s="109" t="str">
        <f aca="false">IFERROR(INDEX('Historical Data'!$AJ$2:$AJ$1068,MATCH($A188,'Historical Data'!$BE$2:$BE$1068,0)),"")</f>
        <v/>
      </c>
      <c r="P188" s="109" t="str">
        <f aca="false">IFERROR(INDEX('Historical Data'!$AK$2:$AK$1068,MATCH($A188,'Historical Data'!$BE$2:$BE$1068,0)),"")</f>
        <v/>
      </c>
      <c r="Q188" s="106" t="str">
        <f aca="false">IFERROR(INDEX('Historical Data'!$AA$2:$AA$1068,MATCH($A188,'Historical Data'!$BE$2:$BE$1068,0)),"")</f>
        <v/>
      </c>
      <c r="R188" s="106" t="str">
        <f aca="false">IFERROR(INDEX('Historical Data'!$AB$2:$AB$1068,MATCH($A188,'Historical Data'!$BE$2:$BE$1068,0)),"")</f>
        <v/>
      </c>
      <c r="S188" s="106" t="str">
        <f aca="false">IFERROR(INDEX('Historical Data'!$AN$2:$AN$1068,MATCH($A188,'Historical Data'!$BE$2:$BE$1068,0)),"")</f>
        <v/>
      </c>
      <c r="T188" s="106" t="str">
        <f aca="false">IFERROR(INDEX('Historical Data'!$AC$2:$AC$1068,MATCH($A188,'Historical Data'!$BE$2:$BE$1068,0)),"")</f>
        <v/>
      </c>
      <c r="U188" s="106" t="str">
        <f aca="false">IFERROR(INDEX('Historical Data'!$AE$2:$AE$1068,MATCH($A188,'Historical Data'!$BE$2:$BE$1068,0)),"")</f>
        <v/>
      </c>
      <c r="V188" s="106" t="str">
        <f aca="false">IFERROR(INDEX('Historical Data'!$AH$2:$AH$1068,MATCH($A188,'Historical Data'!$BE$2:$BE$1068,0)),"")</f>
        <v/>
      </c>
      <c r="W188" s="106" t="str">
        <f aca="false">IFERROR(INDEX('Historical Data'!$BC$2:$BC$1068,MATCH($A188,'Historical Data'!$BE$2:$BE$1068,0)),"")</f>
        <v/>
      </c>
      <c r="X188" s="105" t="str">
        <f aca="false">IF(B188="","",IF(W188=1,"NR + industry + position",IF(W188=2,"NR + ISO + position",IF(W188=3,"NR + industry",IF(W188=4,"NR + ISO",IF(W188=5,"NR + position",IF(W188=6,"NR only","book baseline"))))))&amp;"  ["&amp;IF(T188=1,"seasoned","unseasoned")&amp;IF(U188=1,", defaulted","")&amp;IF(V188=1,", open","")&amp;"]")</f>
        <v/>
      </c>
    </row>
    <row r="189" customFormat="false" ht="15" hidden="false" customHeight="false" outlineLevel="0" collapsed="false">
      <c r="A189" s="105" t="n">
        <v>185</v>
      </c>
      <c r="B189" s="106" t="str">
        <f aca="false">IFERROR(INDEX('Historical Data'!$A$2:$A$1068,MATCH($A189,'Historical Data'!$BE$2:$BE$1068,0)),"")</f>
        <v/>
      </c>
      <c r="C189" s="106" t="str">
        <f aca="false">IFERROR(INDEX('Historical Data'!$B$2:$B$1068,MATCH($A189,'Historical Data'!$BE$2:$BE$1068,0)),"")</f>
        <v/>
      </c>
      <c r="D189" s="106" t="str">
        <f aca="false">IFERROR(INDEX('Historical Data'!$D$2:$D$1068,MATCH($A189,'Historical Data'!$BE$2:$BE$1068,0)),"")</f>
        <v/>
      </c>
      <c r="E189" s="107" t="str">
        <f aca="false">IFERROR(INDEX('Historical Data'!$E$2:$E$1068,MATCH($A189,'Historical Data'!$BE$2:$BE$1068,0)),"")</f>
        <v/>
      </c>
      <c r="F189" s="106" t="str">
        <f aca="false">IFERROR(INDEX('Historical Data'!$G$2:$G$1068,MATCH($A189,'Historical Data'!$BE$2:$BE$1068,0)),"")</f>
        <v/>
      </c>
      <c r="G189" s="106" t="str">
        <f aca="false">IFERROR(INDEX('Historical Data'!$Y$2:$Y$1068,MATCH($A189,'Historical Data'!$BE$2:$BE$1068,0)),"")</f>
        <v/>
      </c>
      <c r="H189" s="106" t="str">
        <f aca="false">IFERROR(INDEX('Historical Data'!$K$2:$K$1068,MATCH($A189,'Historical Data'!$BE$2:$BE$1068,0)),"")</f>
        <v/>
      </c>
      <c r="I189" s="106" t="str">
        <f aca="false">IFERROR(INDEX('Historical Data'!$J$2:$J$1068,MATCH($A189,'Historical Data'!$BE$2:$BE$1068,0)),"")</f>
        <v/>
      </c>
      <c r="J189" s="106" t="str">
        <f aca="false">IFERROR(INDEX('Historical Data'!$L$2:$L$1068,MATCH($A189,'Historical Data'!$BE$2:$BE$1068,0)),"")</f>
        <v/>
      </c>
      <c r="K189" s="108" t="str">
        <f aca="false">IFERROR(INDEX('Historical Data'!$M$2:$M$1068,MATCH($A189,'Historical Data'!$BE$2:$BE$1068,0)),"")</f>
        <v/>
      </c>
      <c r="L189" s="109" t="str">
        <f aca="false">IFERROR(INDEX('Historical Data'!$N$2:$N$1068,MATCH($A189,'Historical Data'!$BE$2:$BE$1068,0)),"")</f>
        <v/>
      </c>
      <c r="M189" s="109" t="str">
        <f aca="false">IFERROR(INDEX('Historical Data'!$Q$2:$Q$1068,MATCH($A189,'Historical Data'!$BE$2:$BE$1068,0)),"")</f>
        <v/>
      </c>
      <c r="N189" s="110" t="str">
        <f aca="false">IFERROR(INDEX('Historical Data'!$S$2:$S$1068,MATCH($A189,'Historical Data'!$BE$2:$BE$1068,0)),"")</f>
        <v/>
      </c>
      <c r="O189" s="109" t="str">
        <f aca="false">IFERROR(INDEX('Historical Data'!$AJ$2:$AJ$1068,MATCH($A189,'Historical Data'!$BE$2:$BE$1068,0)),"")</f>
        <v/>
      </c>
      <c r="P189" s="109" t="str">
        <f aca="false">IFERROR(INDEX('Historical Data'!$AK$2:$AK$1068,MATCH($A189,'Historical Data'!$BE$2:$BE$1068,0)),"")</f>
        <v/>
      </c>
      <c r="Q189" s="106" t="str">
        <f aca="false">IFERROR(INDEX('Historical Data'!$AA$2:$AA$1068,MATCH($A189,'Historical Data'!$BE$2:$BE$1068,0)),"")</f>
        <v/>
      </c>
      <c r="R189" s="106" t="str">
        <f aca="false">IFERROR(INDEX('Historical Data'!$AB$2:$AB$1068,MATCH($A189,'Historical Data'!$BE$2:$BE$1068,0)),"")</f>
        <v/>
      </c>
      <c r="S189" s="106" t="str">
        <f aca="false">IFERROR(INDEX('Historical Data'!$AN$2:$AN$1068,MATCH($A189,'Historical Data'!$BE$2:$BE$1068,0)),"")</f>
        <v/>
      </c>
      <c r="T189" s="106" t="str">
        <f aca="false">IFERROR(INDEX('Historical Data'!$AC$2:$AC$1068,MATCH($A189,'Historical Data'!$BE$2:$BE$1068,0)),"")</f>
        <v/>
      </c>
      <c r="U189" s="106" t="str">
        <f aca="false">IFERROR(INDEX('Historical Data'!$AE$2:$AE$1068,MATCH($A189,'Historical Data'!$BE$2:$BE$1068,0)),"")</f>
        <v/>
      </c>
      <c r="V189" s="106" t="str">
        <f aca="false">IFERROR(INDEX('Historical Data'!$AH$2:$AH$1068,MATCH($A189,'Historical Data'!$BE$2:$BE$1068,0)),"")</f>
        <v/>
      </c>
      <c r="W189" s="106" t="str">
        <f aca="false">IFERROR(INDEX('Historical Data'!$BC$2:$BC$1068,MATCH($A189,'Historical Data'!$BE$2:$BE$1068,0)),"")</f>
        <v/>
      </c>
      <c r="X189" s="105" t="str">
        <f aca="false">IF(B189="","",IF(W189=1,"NR + industry + position",IF(W189=2,"NR + ISO + position",IF(W189=3,"NR + industry",IF(W189=4,"NR + ISO",IF(W189=5,"NR + position",IF(W189=6,"NR only","book baseline"))))))&amp;"  ["&amp;IF(T189=1,"seasoned","unseasoned")&amp;IF(U189=1,", defaulted","")&amp;IF(V189=1,", open","")&amp;"]")</f>
        <v/>
      </c>
    </row>
    <row r="190" customFormat="false" ht="15" hidden="false" customHeight="false" outlineLevel="0" collapsed="false">
      <c r="A190" s="105" t="n">
        <v>186</v>
      </c>
      <c r="B190" s="106" t="str">
        <f aca="false">IFERROR(INDEX('Historical Data'!$A$2:$A$1068,MATCH($A190,'Historical Data'!$BE$2:$BE$1068,0)),"")</f>
        <v/>
      </c>
      <c r="C190" s="106" t="str">
        <f aca="false">IFERROR(INDEX('Historical Data'!$B$2:$B$1068,MATCH($A190,'Historical Data'!$BE$2:$BE$1068,0)),"")</f>
        <v/>
      </c>
      <c r="D190" s="106" t="str">
        <f aca="false">IFERROR(INDEX('Historical Data'!$D$2:$D$1068,MATCH($A190,'Historical Data'!$BE$2:$BE$1068,0)),"")</f>
        <v/>
      </c>
      <c r="E190" s="107" t="str">
        <f aca="false">IFERROR(INDEX('Historical Data'!$E$2:$E$1068,MATCH($A190,'Historical Data'!$BE$2:$BE$1068,0)),"")</f>
        <v/>
      </c>
      <c r="F190" s="106" t="str">
        <f aca="false">IFERROR(INDEX('Historical Data'!$G$2:$G$1068,MATCH($A190,'Historical Data'!$BE$2:$BE$1068,0)),"")</f>
        <v/>
      </c>
      <c r="G190" s="106" t="str">
        <f aca="false">IFERROR(INDEX('Historical Data'!$Y$2:$Y$1068,MATCH($A190,'Historical Data'!$BE$2:$BE$1068,0)),"")</f>
        <v/>
      </c>
      <c r="H190" s="106" t="str">
        <f aca="false">IFERROR(INDEX('Historical Data'!$K$2:$K$1068,MATCH($A190,'Historical Data'!$BE$2:$BE$1068,0)),"")</f>
        <v/>
      </c>
      <c r="I190" s="106" t="str">
        <f aca="false">IFERROR(INDEX('Historical Data'!$J$2:$J$1068,MATCH($A190,'Historical Data'!$BE$2:$BE$1068,0)),"")</f>
        <v/>
      </c>
      <c r="J190" s="106" t="str">
        <f aca="false">IFERROR(INDEX('Historical Data'!$L$2:$L$1068,MATCH($A190,'Historical Data'!$BE$2:$BE$1068,0)),"")</f>
        <v/>
      </c>
      <c r="K190" s="108" t="str">
        <f aca="false">IFERROR(INDEX('Historical Data'!$M$2:$M$1068,MATCH($A190,'Historical Data'!$BE$2:$BE$1068,0)),"")</f>
        <v/>
      </c>
      <c r="L190" s="109" t="str">
        <f aca="false">IFERROR(INDEX('Historical Data'!$N$2:$N$1068,MATCH($A190,'Historical Data'!$BE$2:$BE$1068,0)),"")</f>
        <v/>
      </c>
      <c r="M190" s="109" t="str">
        <f aca="false">IFERROR(INDEX('Historical Data'!$Q$2:$Q$1068,MATCH($A190,'Historical Data'!$BE$2:$BE$1068,0)),"")</f>
        <v/>
      </c>
      <c r="N190" s="110" t="str">
        <f aca="false">IFERROR(INDEX('Historical Data'!$S$2:$S$1068,MATCH($A190,'Historical Data'!$BE$2:$BE$1068,0)),"")</f>
        <v/>
      </c>
      <c r="O190" s="109" t="str">
        <f aca="false">IFERROR(INDEX('Historical Data'!$AJ$2:$AJ$1068,MATCH($A190,'Historical Data'!$BE$2:$BE$1068,0)),"")</f>
        <v/>
      </c>
      <c r="P190" s="109" t="str">
        <f aca="false">IFERROR(INDEX('Historical Data'!$AK$2:$AK$1068,MATCH($A190,'Historical Data'!$BE$2:$BE$1068,0)),"")</f>
        <v/>
      </c>
      <c r="Q190" s="106" t="str">
        <f aca="false">IFERROR(INDEX('Historical Data'!$AA$2:$AA$1068,MATCH($A190,'Historical Data'!$BE$2:$BE$1068,0)),"")</f>
        <v/>
      </c>
      <c r="R190" s="106" t="str">
        <f aca="false">IFERROR(INDEX('Historical Data'!$AB$2:$AB$1068,MATCH($A190,'Historical Data'!$BE$2:$BE$1068,0)),"")</f>
        <v/>
      </c>
      <c r="S190" s="106" t="str">
        <f aca="false">IFERROR(INDEX('Historical Data'!$AN$2:$AN$1068,MATCH($A190,'Historical Data'!$BE$2:$BE$1068,0)),"")</f>
        <v/>
      </c>
      <c r="T190" s="106" t="str">
        <f aca="false">IFERROR(INDEX('Historical Data'!$AC$2:$AC$1068,MATCH($A190,'Historical Data'!$BE$2:$BE$1068,0)),"")</f>
        <v/>
      </c>
      <c r="U190" s="106" t="str">
        <f aca="false">IFERROR(INDEX('Historical Data'!$AE$2:$AE$1068,MATCH($A190,'Historical Data'!$BE$2:$BE$1068,0)),"")</f>
        <v/>
      </c>
      <c r="V190" s="106" t="str">
        <f aca="false">IFERROR(INDEX('Historical Data'!$AH$2:$AH$1068,MATCH($A190,'Historical Data'!$BE$2:$BE$1068,0)),"")</f>
        <v/>
      </c>
      <c r="W190" s="106" t="str">
        <f aca="false">IFERROR(INDEX('Historical Data'!$BC$2:$BC$1068,MATCH($A190,'Historical Data'!$BE$2:$BE$1068,0)),"")</f>
        <v/>
      </c>
      <c r="X190" s="105" t="str">
        <f aca="false">IF(B190="","",IF(W190=1,"NR + industry + position",IF(W190=2,"NR + ISO + position",IF(W190=3,"NR + industry",IF(W190=4,"NR + ISO",IF(W190=5,"NR + position",IF(W190=6,"NR only","book baseline"))))))&amp;"  ["&amp;IF(T190=1,"seasoned","unseasoned")&amp;IF(U190=1,", defaulted","")&amp;IF(V190=1,", open","")&amp;"]")</f>
        <v/>
      </c>
    </row>
    <row r="191" customFormat="false" ht="15" hidden="false" customHeight="false" outlineLevel="0" collapsed="false">
      <c r="A191" s="105" t="n">
        <v>187</v>
      </c>
      <c r="B191" s="106" t="str">
        <f aca="false">IFERROR(INDEX('Historical Data'!$A$2:$A$1068,MATCH($A191,'Historical Data'!$BE$2:$BE$1068,0)),"")</f>
        <v/>
      </c>
      <c r="C191" s="106" t="str">
        <f aca="false">IFERROR(INDEX('Historical Data'!$B$2:$B$1068,MATCH($A191,'Historical Data'!$BE$2:$BE$1068,0)),"")</f>
        <v/>
      </c>
      <c r="D191" s="106" t="str">
        <f aca="false">IFERROR(INDEX('Historical Data'!$D$2:$D$1068,MATCH($A191,'Historical Data'!$BE$2:$BE$1068,0)),"")</f>
        <v/>
      </c>
      <c r="E191" s="107" t="str">
        <f aca="false">IFERROR(INDEX('Historical Data'!$E$2:$E$1068,MATCH($A191,'Historical Data'!$BE$2:$BE$1068,0)),"")</f>
        <v/>
      </c>
      <c r="F191" s="106" t="str">
        <f aca="false">IFERROR(INDEX('Historical Data'!$G$2:$G$1068,MATCH($A191,'Historical Data'!$BE$2:$BE$1068,0)),"")</f>
        <v/>
      </c>
      <c r="G191" s="106" t="str">
        <f aca="false">IFERROR(INDEX('Historical Data'!$Y$2:$Y$1068,MATCH($A191,'Historical Data'!$BE$2:$BE$1068,0)),"")</f>
        <v/>
      </c>
      <c r="H191" s="106" t="str">
        <f aca="false">IFERROR(INDEX('Historical Data'!$K$2:$K$1068,MATCH($A191,'Historical Data'!$BE$2:$BE$1068,0)),"")</f>
        <v/>
      </c>
      <c r="I191" s="106" t="str">
        <f aca="false">IFERROR(INDEX('Historical Data'!$J$2:$J$1068,MATCH($A191,'Historical Data'!$BE$2:$BE$1068,0)),"")</f>
        <v/>
      </c>
      <c r="J191" s="106" t="str">
        <f aca="false">IFERROR(INDEX('Historical Data'!$L$2:$L$1068,MATCH($A191,'Historical Data'!$BE$2:$BE$1068,0)),"")</f>
        <v/>
      </c>
      <c r="K191" s="108" t="str">
        <f aca="false">IFERROR(INDEX('Historical Data'!$M$2:$M$1068,MATCH($A191,'Historical Data'!$BE$2:$BE$1068,0)),"")</f>
        <v/>
      </c>
      <c r="L191" s="109" t="str">
        <f aca="false">IFERROR(INDEX('Historical Data'!$N$2:$N$1068,MATCH($A191,'Historical Data'!$BE$2:$BE$1068,0)),"")</f>
        <v/>
      </c>
      <c r="M191" s="109" t="str">
        <f aca="false">IFERROR(INDEX('Historical Data'!$Q$2:$Q$1068,MATCH($A191,'Historical Data'!$BE$2:$BE$1068,0)),"")</f>
        <v/>
      </c>
      <c r="N191" s="110" t="str">
        <f aca="false">IFERROR(INDEX('Historical Data'!$S$2:$S$1068,MATCH($A191,'Historical Data'!$BE$2:$BE$1068,0)),"")</f>
        <v/>
      </c>
      <c r="O191" s="109" t="str">
        <f aca="false">IFERROR(INDEX('Historical Data'!$AJ$2:$AJ$1068,MATCH($A191,'Historical Data'!$BE$2:$BE$1068,0)),"")</f>
        <v/>
      </c>
      <c r="P191" s="109" t="str">
        <f aca="false">IFERROR(INDEX('Historical Data'!$AK$2:$AK$1068,MATCH($A191,'Historical Data'!$BE$2:$BE$1068,0)),"")</f>
        <v/>
      </c>
      <c r="Q191" s="106" t="str">
        <f aca="false">IFERROR(INDEX('Historical Data'!$AA$2:$AA$1068,MATCH($A191,'Historical Data'!$BE$2:$BE$1068,0)),"")</f>
        <v/>
      </c>
      <c r="R191" s="106" t="str">
        <f aca="false">IFERROR(INDEX('Historical Data'!$AB$2:$AB$1068,MATCH($A191,'Historical Data'!$BE$2:$BE$1068,0)),"")</f>
        <v/>
      </c>
      <c r="S191" s="106" t="str">
        <f aca="false">IFERROR(INDEX('Historical Data'!$AN$2:$AN$1068,MATCH($A191,'Historical Data'!$BE$2:$BE$1068,0)),"")</f>
        <v/>
      </c>
      <c r="T191" s="106" t="str">
        <f aca="false">IFERROR(INDEX('Historical Data'!$AC$2:$AC$1068,MATCH($A191,'Historical Data'!$BE$2:$BE$1068,0)),"")</f>
        <v/>
      </c>
      <c r="U191" s="106" t="str">
        <f aca="false">IFERROR(INDEX('Historical Data'!$AE$2:$AE$1068,MATCH($A191,'Historical Data'!$BE$2:$BE$1068,0)),"")</f>
        <v/>
      </c>
      <c r="V191" s="106" t="str">
        <f aca="false">IFERROR(INDEX('Historical Data'!$AH$2:$AH$1068,MATCH($A191,'Historical Data'!$BE$2:$BE$1068,0)),"")</f>
        <v/>
      </c>
      <c r="W191" s="106" t="str">
        <f aca="false">IFERROR(INDEX('Historical Data'!$BC$2:$BC$1068,MATCH($A191,'Historical Data'!$BE$2:$BE$1068,0)),"")</f>
        <v/>
      </c>
      <c r="X191" s="105" t="str">
        <f aca="false">IF(B191="","",IF(W191=1,"NR + industry + position",IF(W191=2,"NR + ISO + position",IF(W191=3,"NR + industry",IF(W191=4,"NR + ISO",IF(W191=5,"NR + position",IF(W191=6,"NR only","book baseline"))))))&amp;"  ["&amp;IF(T191=1,"seasoned","unseasoned")&amp;IF(U191=1,", defaulted","")&amp;IF(V191=1,", open","")&amp;"]")</f>
        <v/>
      </c>
    </row>
    <row r="192" customFormat="false" ht="15" hidden="false" customHeight="false" outlineLevel="0" collapsed="false">
      <c r="A192" s="105" t="n">
        <v>188</v>
      </c>
      <c r="B192" s="106" t="str">
        <f aca="false">IFERROR(INDEX('Historical Data'!$A$2:$A$1068,MATCH($A192,'Historical Data'!$BE$2:$BE$1068,0)),"")</f>
        <v/>
      </c>
      <c r="C192" s="106" t="str">
        <f aca="false">IFERROR(INDEX('Historical Data'!$B$2:$B$1068,MATCH($A192,'Historical Data'!$BE$2:$BE$1068,0)),"")</f>
        <v/>
      </c>
      <c r="D192" s="106" t="str">
        <f aca="false">IFERROR(INDEX('Historical Data'!$D$2:$D$1068,MATCH($A192,'Historical Data'!$BE$2:$BE$1068,0)),"")</f>
        <v/>
      </c>
      <c r="E192" s="107" t="str">
        <f aca="false">IFERROR(INDEX('Historical Data'!$E$2:$E$1068,MATCH($A192,'Historical Data'!$BE$2:$BE$1068,0)),"")</f>
        <v/>
      </c>
      <c r="F192" s="106" t="str">
        <f aca="false">IFERROR(INDEX('Historical Data'!$G$2:$G$1068,MATCH($A192,'Historical Data'!$BE$2:$BE$1068,0)),"")</f>
        <v/>
      </c>
      <c r="G192" s="106" t="str">
        <f aca="false">IFERROR(INDEX('Historical Data'!$Y$2:$Y$1068,MATCH($A192,'Historical Data'!$BE$2:$BE$1068,0)),"")</f>
        <v/>
      </c>
      <c r="H192" s="106" t="str">
        <f aca="false">IFERROR(INDEX('Historical Data'!$K$2:$K$1068,MATCH($A192,'Historical Data'!$BE$2:$BE$1068,0)),"")</f>
        <v/>
      </c>
      <c r="I192" s="106" t="str">
        <f aca="false">IFERROR(INDEX('Historical Data'!$J$2:$J$1068,MATCH($A192,'Historical Data'!$BE$2:$BE$1068,0)),"")</f>
        <v/>
      </c>
      <c r="J192" s="106" t="str">
        <f aca="false">IFERROR(INDEX('Historical Data'!$L$2:$L$1068,MATCH($A192,'Historical Data'!$BE$2:$BE$1068,0)),"")</f>
        <v/>
      </c>
      <c r="K192" s="108" t="str">
        <f aca="false">IFERROR(INDEX('Historical Data'!$M$2:$M$1068,MATCH($A192,'Historical Data'!$BE$2:$BE$1068,0)),"")</f>
        <v/>
      </c>
      <c r="L192" s="109" t="str">
        <f aca="false">IFERROR(INDEX('Historical Data'!$N$2:$N$1068,MATCH($A192,'Historical Data'!$BE$2:$BE$1068,0)),"")</f>
        <v/>
      </c>
      <c r="M192" s="109" t="str">
        <f aca="false">IFERROR(INDEX('Historical Data'!$Q$2:$Q$1068,MATCH($A192,'Historical Data'!$BE$2:$BE$1068,0)),"")</f>
        <v/>
      </c>
      <c r="N192" s="110" t="str">
        <f aca="false">IFERROR(INDEX('Historical Data'!$S$2:$S$1068,MATCH($A192,'Historical Data'!$BE$2:$BE$1068,0)),"")</f>
        <v/>
      </c>
      <c r="O192" s="109" t="str">
        <f aca="false">IFERROR(INDEX('Historical Data'!$AJ$2:$AJ$1068,MATCH($A192,'Historical Data'!$BE$2:$BE$1068,0)),"")</f>
        <v/>
      </c>
      <c r="P192" s="109" t="str">
        <f aca="false">IFERROR(INDEX('Historical Data'!$AK$2:$AK$1068,MATCH($A192,'Historical Data'!$BE$2:$BE$1068,0)),"")</f>
        <v/>
      </c>
      <c r="Q192" s="106" t="str">
        <f aca="false">IFERROR(INDEX('Historical Data'!$AA$2:$AA$1068,MATCH($A192,'Historical Data'!$BE$2:$BE$1068,0)),"")</f>
        <v/>
      </c>
      <c r="R192" s="106" t="str">
        <f aca="false">IFERROR(INDEX('Historical Data'!$AB$2:$AB$1068,MATCH($A192,'Historical Data'!$BE$2:$BE$1068,0)),"")</f>
        <v/>
      </c>
      <c r="S192" s="106" t="str">
        <f aca="false">IFERROR(INDEX('Historical Data'!$AN$2:$AN$1068,MATCH($A192,'Historical Data'!$BE$2:$BE$1068,0)),"")</f>
        <v/>
      </c>
      <c r="T192" s="106" t="str">
        <f aca="false">IFERROR(INDEX('Historical Data'!$AC$2:$AC$1068,MATCH($A192,'Historical Data'!$BE$2:$BE$1068,0)),"")</f>
        <v/>
      </c>
      <c r="U192" s="106" t="str">
        <f aca="false">IFERROR(INDEX('Historical Data'!$AE$2:$AE$1068,MATCH($A192,'Historical Data'!$BE$2:$BE$1068,0)),"")</f>
        <v/>
      </c>
      <c r="V192" s="106" t="str">
        <f aca="false">IFERROR(INDEX('Historical Data'!$AH$2:$AH$1068,MATCH($A192,'Historical Data'!$BE$2:$BE$1068,0)),"")</f>
        <v/>
      </c>
      <c r="W192" s="106" t="str">
        <f aca="false">IFERROR(INDEX('Historical Data'!$BC$2:$BC$1068,MATCH($A192,'Historical Data'!$BE$2:$BE$1068,0)),"")</f>
        <v/>
      </c>
      <c r="X192" s="105" t="str">
        <f aca="false">IF(B192="","",IF(W192=1,"NR + industry + position",IF(W192=2,"NR + ISO + position",IF(W192=3,"NR + industry",IF(W192=4,"NR + ISO",IF(W192=5,"NR + position",IF(W192=6,"NR only","book baseline"))))))&amp;"  ["&amp;IF(T192=1,"seasoned","unseasoned")&amp;IF(U192=1,", defaulted","")&amp;IF(V192=1,", open","")&amp;"]")</f>
        <v/>
      </c>
    </row>
    <row r="193" customFormat="false" ht="15" hidden="false" customHeight="false" outlineLevel="0" collapsed="false">
      <c r="A193" s="105" t="n">
        <v>189</v>
      </c>
      <c r="B193" s="106" t="str">
        <f aca="false">IFERROR(INDEX('Historical Data'!$A$2:$A$1068,MATCH($A193,'Historical Data'!$BE$2:$BE$1068,0)),"")</f>
        <v/>
      </c>
      <c r="C193" s="106" t="str">
        <f aca="false">IFERROR(INDEX('Historical Data'!$B$2:$B$1068,MATCH($A193,'Historical Data'!$BE$2:$BE$1068,0)),"")</f>
        <v/>
      </c>
      <c r="D193" s="106" t="str">
        <f aca="false">IFERROR(INDEX('Historical Data'!$D$2:$D$1068,MATCH($A193,'Historical Data'!$BE$2:$BE$1068,0)),"")</f>
        <v/>
      </c>
      <c r="E193" s="107" t="str">
        <f aca="false">IFERROR(INDEX('Historical Data'!$E$2:$E$1068,MATCH($A193,'Historical Data'!$BE$2:$BE$1068,0)),"")</f>
        <v/>
      </c>
      <c r="F193" s="106" t="str">
        <f aca="false">IFERROR(INDEX('Historical Data'!$G$2:$G$1068,MATCH($A193,'Historical Data'!$BE$2:$BE$1068,0)),"")</f>
        <v/>
      </c>
      <c r="G193" s="106" t="str">
        <f aca="false">IFERROR(INDEX('Historical Data'!$Y$2:$Y$1068,MATCH($A193,'Historical Data'!$BE$2:$BE$1068,0)),"")</f>
        <v/>
      </c>
      <c r="H193" s="106" t="str">
        <f aca="false">IFERROR(INDEX('Historical Data'!$K$2:$K$1068,MATCH($A193,'Historical Data'!$BE$2:$BE$1068,0)),"")</f>
        <v/>
      </c>
      <c r="I193" s="106" t="str">
        <f aca="false">IFERROR(INDEX('Historical Data'!$J$2:$J$1068,MATCH($A193,'Historical Data'!$BE$2:$BE$1068,0)),"")</f>
        <v/>
      </c>
      <c r="J193" s="106" t="str">
        <f aca="false">IFERROR(INDEX('Historical Data'!$L$2:$L$1068,MATCH($A193,'Historical Data'!$BE$2:$BE$1068,0)),"")</f>
        <v/>
      </c>
      <c r="K193" s="108" t="str">
        <f aca="false">IFERROR(INDEX('Historical Data'!$M$2:$M$1068,MATCH($A193,'Historical Data'!$BE$2:$BE$1068,0)),"")</f>
        <v/>
      </c>
      <c r="L193" s="109" t="str">
        <f aca="false">IFERROR(INDEX('Historical Data'!$N$2:$N$1068,MATCH($A193,'Historical Data'!$BE$2:$BE$1068,0)),"")</f>
        <v/>
      </c>
      <c r="M193" s="109" t="str">
        <f aca="false">IFERROR(INDEX('Historical Data'!$Q$2:$Q$1068,MATCH($A193,'Historical Data'!$BE$2:$BE$1068,0)),"")</f>
        <v/>
      </c>
      <c r="N193" s="110" t="str">
        <f aca="false">IFERROR(INDEX('Historical Data'!$S$2:$S$1068,MATCH($A193,'Historical Data'!$BE$2:$BE$1068,0)),"")</f>
        <v/>
      </c>
      <c r="O193" s="109" t="str">
        <f aca="false">IFERROR(INDEX('Historical Data'!$AJ$2:$AJ$1068,MATCH($A193,'Historical Data'!$BE$2:$BE$1068,0)),"")</f>
        <v/>
      </c>
      <c r="P193" s="109" t="str">
        <f aca="false">IFERROR(INDEX('Historical Data'!$AK$2:$AK$1068,MATCH($A193,'Historical Data'!$BE$2:$BE$1068,0)),"")</f>
        <v/>
      </c>
      <c r="Q193" s="106" t="str">
        <f aca="false">IFERROR(INDEX('Historical Data'!$AA$2:$AA$1068,MATCH($A193,'Historical Data'!$BE$2:$BE$1068,0)),"")</f>
        <v/>
      </c>
      <c r="R193" s="106" t="str">
        <f aca="false">IFERROR(INDEX('Historical Data'!$AB$2:$AB$1068,MATCH($A193,'Historical Data'!$BE$2:$BE$1068,0)),"")</f>
        <v/>
      </c>
      <c r="S193" s="106" t="str">
        <f aca="false">IFERROR(INDEX('Historical Data'!$AN$2:$AN$1068,MATCH($A193,'Historical Data'!$BE$2:$BE$1068,0)),"")</f>
        <v/>
      </c>
      <c r="T193" s="106" t="str">
        <f aca="false">IFERROR(INDEX('Historical Data'!$AC$2:$AC$1068,MATCH($A193,'Historical Data'!$BE$2:$BE$1068,0)),"")</f>
        <v/>
      </c>
      <c r="U193" s="106" t="str">
        <f aca="false">IFERROR(INDEX('Historical Data'!$AE$2:$AE$1068,MATCH($A193,'Historical Data'!$BE$2:$BE$1068,0)),"")</f>
        <v/>
      </c>
      <c r="V193" s="106" t="str">
        <f aca="false">IFERROR(INDEX('Historical Data'!$AH$2:$AH$1068,MATCH($A193,'Historical Data'!$BE$2:$BE$1068,0)),"")</f>
        <v/>
      </c>
      <c r="W193" s="106" t="str">
        <f aca="false">IFERROR(INDEX('Historical Data'!$BC$2:$BC$1068,MATCH($A193,'Historical Data'!$BE$2:$BE$1068,0)),"")</f>
        <v/>
      </c>
      <c r="X193" s="105" t="str">
        <f aca="false">IF(B193="","",IF(W193=1,"NR + industry + position",IF(W193=2,"NR + ISO + position",IF(W193=3,"NR + industry",IF(W193=4,"NR + ISO",IF(W193=5,"NR + position",IF(W193=6,"NR only","book baseline"))))))&amp;"  ["&amp;IF(T193=1,"seasoned","unseasoned")&amp;IF(U193=1,", defaulted","")&amp;IF(V193=1,", open","")&amp;"]")</f>
        <v/>
      </c>
    </row>
    <row r="194" customFormat="false" ht="15" hidden="false" customHeight="false" outlineLevel="0" collapsed="false">
      <c r="A194" s="105" t="n">
        <v>190</v>
      </c>
      <c r="B194" s="106" t="str">
        <f aca="false">IFERROR(INDEX('Historical Data'!$A$2:$A$1068,MATCH($A194,'Historical Data'!$BE$2:$BE$1068,0)),"")</f>
        <v/>
      </c>
      <c r="C194" s="106" t="str">
        <f aca="false">IFERROR(INDEX('Historical Data'!$B$2:$B$1068,MATCH($A194,'Historical Data'!$BE$2:$BE$1068,0)),"")</f>
        <v/>
      </c>
      <c r="D194" s="106" t="str">
        <f aca="false">IFERROR(INDEX('Historical Data'!$D$2:$D$1068,MATCH($A194,'Historical Data'!$BE$2:$BE$1068,0)),"")</f>
        <v/>
      </c>
      <c r="E194" s="107" t="str">
        <f aca="false">IFERROR(INDEX('Historical Data'!$E$2:$E$1068,MATCH($A194,'Historical Data'!$BE$2:$BE$1068,0)),"")</f>
        <v/>
      </c>
      <c r="F194" s="106" t="str">
        <f aca="false">IFERROR(INDEX('Historical Data'!$G$2:$G$1068,MATCH($A194,'Historical Data'!$BE$2:$BE$1068,0)),"")</f>
        <v/>
      </c>
      <c r="G194" s="106" t="str">
        <f aca="false">IFERROR(INDEX('Historical Data'!$Y$2:$Y$1068,MATCH($A194,'Historical Data'!$BE$2:$BE$1068,0)),"")</f>
        <v/>
      </c>
      <c r="H194" s="106" t="str">
        <f aca="false">IFERROR(INDEX('Historical Data'!$K$2:$K$1068,MATCH($A194,'Historical Data'!$BE$2:$BE$1068,0)),"")</f>
        <v/>
      </c>
      <c r="I194" s="106" t="str">
        <f aca="false">IFERROR(INDEX('Historical Data'!$J$2:$J$1068,MATCH($A194,'Historical Data'!$BE$2:$BE$1068,0)),"")</f>
        <v/>
      </c>
      <c r="J194" s="106" t="str">
        <f aca="false">IFERROR(INDEX('Historical Data'!$L$2:$L$1068,MATCH($A194,'Historical Data'!$BE$2:$BE$1068,0)),"")</f>
        <v/>
      </c>
      <c r="K194" s="108" t="str">
        <f aca="false">IFERROR(INDEX('Historical Data'!$M$2:$M$1068,MATCH($A194,'Historical Data'!$BE$2:$BE$1068,0)),"")</f>
        <v/>
      </c>
      <c r="L194" s="109" t="str">
        <f aca="false">IFERROR(INDEX('Historical Data'!$N$2:$N$1068,MATCH($A194,'Historical Data'!$BE$2:$BE$1068,0)),"")</f>
        <v/>
      </c>
      <c r="M194" s="109" t="str">
        <f aca="false">IFERROR(INDEX('Historical Data'!$Q$2:$Q$1068,MATCH($A194,'Historical Data'!$BE$2:$BE$1068,0)),"")</f>
        <v/>
      </c>
      <c r="N194" s="110" t="str">
        <f aca="false">IFERROR(INDEX('Historical Data'!$S$2:$S$1068,MATCH($A194,'Historical Data'!$BE$2:$BE$1068,0)),"")</f>
        <v/>
      </c>
      <c r="O194" s="109" t="str">
        <f aca="false">IFERROR(INDEX('Historical Data'!$AJ$2:$AJ$1068,MATCH($A194,'Historical Data'!$BE$2:$BE$1068,0)),"")</f>
        <v/>
      </c>
      <c r="P194" s="109" t="str">
        <f aca="false">IFERROR(INDEX('Historical Data'!$AK$2:$AK$1068,MATCH($A194,'Historical Data'!$BE$2:$BE$1068,0)),"")</f>
        <v/>
      </c>
      <c r="Q194" s="106" t="str">
        <f aca="false">IFERROR(INDEX('Historical Data'!$AA$2:$AA$1068,MATCH($A194,'Historical Data'!$BE$2:$BE$1068,0)),"")</f>
        <v/>
      </c>
      <c r="R194" s="106" t="str">
        <f aca="false">IFERROR(INDEX('Historical Data'!$AB$2:$AB$1068,MATCH($A194,'Historical Data'!$BE$2:$BE$1068,0)),"")</f>
        <v/>
      </c>
      <c r="S194" s="106" t="str">
        <f aca="false">IFERROR(INDEX('Historical Data'!$AN$2:$AN$1068,MATCH($A194,'Historical Data'!$BE$2:$BE$1068,0)),"")</f>
        <v/>
      </c>
      <c r="T194" s="106" t="str">
        <f aca="false">IFERROR(INDEX('Historical Data'!$AC$2:$AC$1068,MATCH($A194,'Historical Data'!$BE$2:$BE$1068,0)),"")</f>
        <v/>
      </c>
      <c r="U194" s="106" t="str">
        <f aca="false">IFERROR(INDEX('Historical Data'!$AE$2:$AE$1068,MATCH($A194,'Historical Data'!$BE$2:$BE$1068,0)),"")</f>
        <v/>
      </c>
      <c r="V194" s="106" t="str">
        <f aca="false">IFERROR(INDEX('Historical Data'!$AH$2:$AH$1068,MATCH($A194,'Historical Data'!$BE$2:$BE$1068,0)),"")</f>
        <v/>
      </c>
      <c r="W194" s="106" t="str">
        <f aca="false">IFERROR(INDEX('Historical Data'!$BC$2:$BC$1068,MATCH($A194,'Historical Data'!$BE$2:$BE$1068,0)),"")</f>
        <v/>
      </c>
      <c r="X194" s="105" t="str">
        <f aca="false">IF(B194="","",IF(W194=1,"NR + industry + position",IF(W194=2,"NR + ISO + position",IF(W194=3,"NR + industry",IF(W194=4,"NR + ISO",IF(W194=5,"NR + position",IF(W194=6,"NR only","book baseline"))))))&amp;"  ["&amp;IF(T194=1,"seasoned","unseasoned")&amp;IF(U194=1,", defaulted","")&amp;IF(V194=1,", open","")&amp;"]")</f>
        <v/>
      </c>
    </row>
    <row r="195" customFormat="false" ht="15" hidden="false" customHeight="false" outlineLevel="0" collapsed="false">
      <c r="A195" s="105" t="n">
        <v>191</v>
      </c>
      <c r="B195" s="106" t="str">
        <f aca="false">IFERROR(INDEX('Historical Data'!$A$2:$A$1068,MATCH($A195,'Historical Data'!$BE$2:$BE$1068,0)),"")</f>
        <v/>
      </c>
      <c r="C195" s="106" t="str">
        <f aca="false">IFERROR(INDEX('Historical Data'!$B$2:$B$1068,MATCH($A195,'Historical Data'!$BE$2:$BE$1068,0)),"")</f>
        <v/>
      </c>
      <c r="D195" s="106" t="str">
        <f aca="false">IFERROR(INDEX('Historical Data'!$D$2:$D$1068,MATCH($A195,'Historical Data'!$BE$2:$BE$1068,0)),"")</f>
        <v/>
      </c>
      <c r="E195" s="107" t="str">
        <f aca="false">IFERROR(INDEX('Historical Data'!$E$2:$E$1068,MATCH($A195,'Historical Data'!$BE$2:$BE$1068,0)),"")</f>
        <v/>
      </c>
      <c r="F195" s="106" t="str">
        <f aca="false">IFERROR(INDEX('Historical Data'!$G$2:$G$1068,MATCH($A195,'Historical Data'!$BE$2:$BE$1068,0)),"")</f>
        <v/>
      </c>
      <c r="G195" s="106" t="str">
        <f aca="false">IFERROR(INDEX('Historical Data'!$Y$2:$Y$1068,MATCH($A195,'Historical Data'!$BE$2:$BE$1068,0)),"")</f>
        <v/>
      </c>
      <c r="H195" s="106" t="str">
        <f aca="false">IFERROR(INDEX('Historical Data'!$K$2:$K$1068,MATCH($A195,'Historical Data'!$BE$2:$BE$1068,0)),"")</f>
        <v/>
      </c>
      <c r="I195" s="106" t="str">
        <f aca="false">IFERROR(INDEX('Historical Data'!$J$2:$J$1068,MATCH($A195,'Historical Data'!$BE$2:$BE$1068,0)),"")</f>
        <v/>
      </c>
      <c r="J195" s="106" t="str">
        <f aca="false">IFERROR(INDEX('Historical Data'!$L$2:$L$1068,MATCH($A195,'Historical Data'!$BE$2:$BE$1068,0)),"")</f>
        <v/>
      </c>
      <c r="K195" s="108" t="str">
        <f aca="false">IFERROR(INDEX('Historical Data'!$M$2:$M$1068,MATCH($A195,'Historical Data'!$BE$2:$BE$1068,0)),"")</f>
        <v/>
      </c>
      <c r="L195" s="109" t="str">
        <f aca="false">IFERROR(INDEX('Historical Data'!$N$2:$N$1068,MATCH($A195,'Historical Data'!$BE$2:$BE$1068,0)),"")</f>
        <v/>
      </c>
      <c r="M195" s="109" t="str">
        <f aca="false">IFERROR(INDEX('Historical Data'!$Q$2:$Q$1068,MATCH($A195,'Historical Data'!$BE$2:$BE$1068,0)),"")</f>
        <v/>
      </c>
      <c r="N195" s="110" t="str">
        <f aca="false">IFERROR(INDEX('Historical Data'!$S$2:$S$1068,MATCH($A195,'Historical Data'!$BE$2:$BE$1068,0)),"")</f>
        <v/>
      </c>
      <c r="O195" s="109" t="str">
        <f aca="false">IFERROR(INDEX('Historical Data'!$AJ$2:$AJ$1068,MATCH($A195,'Historical Data'!$BE$2:$BE$1068,0)),"")</f>
        <v/>
      </c>
      <c r="P195" s="109" t="str">
        <f aca="false">IFERROR(INDEX('Historical Data'!$AK$2:$AK$1068,MATCH($A195,'Historical Data'!$BE$2:$BE$1068,0)),"")</f>
        <v/>
      </c>
      <c r="Q195" s="106" t="str">
        <f aca="false">IFERROR(INDEX('Historical Data'!$AA$2:$AA$1068,MATCH($A195,'Historical Data'!$BE$2:$BE$1068,0)),"")</f>
        <v/>
      </c>
      <c r="R195" s="106" t="str">
        <f aca="false">IFERROR(INDEX('Historical Data'!$AB$2:$AB$1068,MATCH($A195,'Historical Data'!$BE$2:$BE$1068,0)),"")</f>
        <v/>
      </c>
      <c r="S195" s="106" t="str">
        <f aca="false">IFERROR(INDEX('Historical Data'!$AN$2:$AN$1068,MATCH($A195,'Historical Data'!$BE$2:$BE$1068,0)),"")</f>
        <v/>
      </c>
      <c r="T195" s="106" t="str">
        <f aca="false">IFERROR(INDEX('Historical Data'!$AC$2:$AC$1068,MATCH($A195,'Historical Data'!$BE$2:$BE$1068,0)),"")</f>
        <v/>
      </c>
      <c r="U195" s="106" t="str">
        <f aca="false">IFERROR(INDEX('Historical Data'!$AE$2:$AE$1068,MATCH($A195,'Historical Data'!$BE$2:$BE$1068,0)),"")</f>
        <v/>
      </c>
      <c r="V195" s="106" t="str">
        <f aca="false">IFERROR(INDEX('Historical Data'!$AH$2:$AH$1068,MATCH($A195,'Historical Data'!$BE$2:$BE$1068,0)),"")</f>
        <v/>
      </c>
      <c r="W195" s="106" t="str">
        <f aca="false">IFERROR(INDEX('Historical Data'!$BC$2:$BC$1068,MATCH($A195,'Historical Data'!$BE$2:$BE$1068,0)),"")</f>
        <v/>
      </c>
      <c r="X195" s="105" t="str">
        <f aca="false">IF(B195="","",IF(W195=1,"NR + industry + position",IF(W195=2,"NR + ISO + position",IF(W195=3,"NR + industry",IF(W195=4,"NR + ISO",IF(W195=5,"NR + position",IF(W195=6,"NR only","book baseline"))))))&amp;"  ["&amp;IF(T195=1,"seasoned","unseasoned")&amp;IF(U195=1,", defaulted","")&amp;IF(V195=1,", open","")&amp;"]")</f>
        <v/>
      </c>
    </row>
    <row r="196" customFormat="false" ht="15" hidden="false" customHeight="false" outlineLevel="0" collapsed="false">
      <c r="A196" s="105" t="n">
        <v>192</v>
      </c>
      <c r="B196" s="106" t="str">
        <f aca="false">IFERROR(INDEX('Historical Data'!$A$2:$A$1068,MATCH($A196,'Historical Data'!$BE$2:$BE$1068,0)),"")</f>
        <v/>
      </c>
      <c r="C196" s="106" t="str">
        <f aca="false">IFERROR(INDEX('Historical Data'!$B$2:$B$1068,MATCH($A196,'Historical Data'!$BE$2:$BE$1068,0)),"")</f>
        <v/>
      </c>
      <c r="D196" s="106" t="str">
        <f aca="false">IFERROR(INDEX('Historical Data'!$D$2:$D$1068,MATCH($A196,'Historical Data'!$BE$2:$BE$1068,0)),"")</f>
        <v/>
      </c>
      <c r="E196" s="107" t="str">
        <f aca="false">IFERROR(INDEX('Historical Data'!$E$2:$E$1068,MATCH($A196,'Historical Data'!$BE$2:$BE$1068,0)),"")</f>
        <v/>
      </c>
      <c r="F196" s="106" t="str">
        <f aca="false">IFERROR(INDEX('Historical Data'!$G$2:$G$1068,MATCH($A196,'Historical Data'!$BE$2:$BE$1068,0)),"")</f>
        <v/>
      </c>
      <c r="G196" s="106" t="str">
        <f aca="false">IFERROR(INDEX('Historical Data'!$Y$2:$Y$1068,MATCH($A196,'Historical Data'!$BE$2:$BE$1068,0)),"")</f>
        <v/>
      </c>
      <c r="H196" s="106" t="str">
        <f aca="false">IFERROR(INDEX('Historical Data'!$K$2:$K$1068,MATCH($A196,'Historical Data'!$BE$2:$BE$1068,0)),"")</f>
        <v/>
      </c>
      <c r="I196" s="106" t="str">
        <f aca="false">IFERROR(INDEX('Historical Data'!$J$2:$J$1068,MATCH($A196,'Historical Data'!$BE$2:$BE$1068,0)),"")</f>
        <v/>
      </c>
      <c r="J196" s="106" t="str">
        <f aca="false">IFERROR(INDEX('Historical Data'!$L$2:$L$1068,MATCH($A196,'Historical Data'!$BE$2:$BE$1068,0)),"")</f>
        <v/>
      </c>
      <c r="K196" s="108" t="str">
        <f aca="false">IFERROR(INDEX('Historical Data'!$M$2:$M$1068,MATCH($A196,'Historical Data'!$BE$2:$BE$1068,0)),"")</f>
        <v/>
      </c>
      <c r="L196" s="109" t="str">
        <f aca="false">IFERROR(INDEX('Historical Data'!$N$2:$N$1068,MATCH($A196,'Historical Data'!$BE$2:$BE$1068,0)),"")</f>
        <v/>
      </c>
      <c r="M196" s="109" t="str">
        <f aca="false">IFERROR(INDEX('Historical Data'!$Q$2:$Q$1068,MATCH($A196,'Historical Data'!$BE$2:$BE$1068,0)),"")</f>
        <v/>
      </c>
      <c r="N196" s="110" t="str">
        <f aca="false">IFERROR(INDEX('Historical Data'!$S$2:$S$1068,MATCH($A196,'Historical Data'!$BE$2:$BE$1068,0)),"")</f>
        <v/>
      </c>
      <c r="O196" s="109" t="str">
        <f aca="false">IFERROR(INDEX('Historical Data'!$AJ$2:$AJ$1068,MATCH($A196,'Historical Data'!$BE$2:$BE$1068,0)),"")</f>
        <v/>
      </c>
      <c r="P196" s="109" t="str">
        <f aca="false">IFERROR(INDEX('Historical Data'!$AK$2:$AK$1068,MATCH($A196,'Historical Data'!$BE$2:$BE$1068,0)),"")</f>
        <v/>
      </c>
      <c r="Q196" s="106" t="str">
        <f aca="false">IFERROR(INDEX('Historical Data'!$AA$2:$AA$1068,MATCH($A196,'Historical Data'!$BE$2:$BE$1068,0)),"")</f>
        <v/>
      </c>
      <c r="R196" s="106" t="str">
        <f aca="false">IFERROR(INDEX('Historical Data'!$AB$2:$AB$1068,MATCH($A196,'Historical Data'!$BE$2:$BE$1068,0)),"")</f>
        <v/>
      </c>
      <c r="S196" s="106" t="str">
        <f aca="false">IFERROR(INDEX('Historical Data'!$AN$2:$AN$1068,MATCH($A196,'Historical Data'!$BE$2:$BE$1068,0)),"")</f>
        <v/>
      </c>
      <c r="T196" s="106" t="str">
        <f aca="false">IFERROR(INDEX('Historical Data'!$AC$2:$AC$1068,MATCH($A196,'Historical Data'!$BE$2:$BE$1068,0)),"")</f>
        <v/>
      </c>
      <c r="U196" s="106" t="str">
        <f aca="false">IFERROR(INDEX('Historical Data'!$AE$2:$AE$1068,MATCH($A196,'Historical Data'!$BE$2:$BE$1068,0)),"")</f>
        <v/>
      </c>
      <c r="V196" s="106" t="str">
        <f aca="false">IFERROR(INDEX('Historical Data'!$AH$2:$AH$1068,MATCH($A196,'Historical Data'!$BE$2:$BE$1068,0)),"")</f>
        <v/>
      </c>
      <c r="W196" s="106" t="str">
        <f aca="false">IFERROR(INDEX('Historical Data'!$BC$2:$BC$1068,MATCH($A196,'Historical Data'!$BE$2:$BE$1068,0)),"")</f>
        <v/>
      </c>
      <c r="X196" s="105" t="str">
        <f aca="false">IF(B196="","",IF(W196=1,"NR + industry + position",IF(W196=2,"NR + ISO + position",IF(W196=3,"NR + industry",IF(W196=4,"NR + ISO",IF(W196=5,"NR + position",IF(W196=6,"NR only","book baseline"))))))&amp;"  ["&amp;IF(T196=1,"seasoned","unseasoned")&amp;IF(U196=1,", defaulted","")&amp;IF(V196=1,", open","")&amp;"]")</f>
        <v/>
      </c>
    </row>
    <row r="197" customFormat="false" ht="15" hidden="false" customHeight="false" outlineLevel="0" collapsed="false">
      <c r="A197" s="105" t="n">
        <v>193</v>
      </c>
      <c r="B197" s="106" t="str">
        <f aca="false">IFERROR(INDEX('Historical Data'!$A$2:$A$1068,MATCH($A197,'Historical Data'!$BE$2:$BE$1068,0)),"")</f>
        <v/>
      </c>
      <c r="C197" s="106" t="str">
        <f aca="false">IFERROR(INDEX('Historical Data'!$B$2:$B$1068,MATCH($A197,'Historical Data'!$BE$2:$BE$1068,0)),"")</f>
        <v/>
      </c>
      <c r="D197" s="106" t="str">
        <f aca="false">IFERROR(INDEX('Historical Data'!$D$2:$D$1068,MATCH($A197,'Historical Data'!$BE$2:$BE$1068,0)),"")</f>
        <v/>
      </c>
      <c r="E197" s="107" t="str">
        <f aca="false">IFERROR(INDEX('Historical Data'!$E$2:$E$1068,MATCH($A197,'Historical Data'!$BE$2:$BE$1068,0)),"")</f>
        <v/>
      </c>
      <c r="F197" s="106" t="str">
        <f aca="false">IFERROR(INDEX('Historical Data'!$G$2:$G$1068,MATCH($A197,'Historical Data'!$BE$2:$BE$1068,0)),"")</f>
        <v/>
      </c>
      <c r="G197" s="106" t="str">
        <f aca="false">IFERROR(INDEX('Historical Data'!$Y$2:$Y$1068,MATCH($A197,'Historical Data'!$BE$2:$BE$1068,0)),"")</f>
        <v/>
      </c>
      <c r="H197" s="106" t="str">
        <f aca="false">IFERROR(INDEX('Historical Data'!$K$2:$K$1068,MATCH($A197,'Historical Data'!$BE$2:$BE$1068,0)),"")</f>
        <v/>
      </c>
      <c r="I197" s="106" t="str">
        <f aca="false">IFERROR(INDEX('Historical Data'!$J$2:$J$1068,MATCH($A197,'Historical Data'!$BE$2:$BE$1068,0)),"")</f>
        <v/>
      </c>
      <c r="J197" s="106" t="str">
        <f aca="false">IFERROR(INDEX('Historical Data'!$L$2:$L$1068,MATCH($A197,'Historical Data'!$BE$2:$BE$1068,0)),"")</f>
        <v/>
      </c>
      <c r="K197" s="108" t="str">
        <f aca="false">IFERROR(INDEX('Historical Data'!$M$2:$M$1068,MATCH($A197,'Historical Data'!$BE$2:$BE$1068,0)),"")</f>
        <v/>
      </c>
      <c r="L197" s="109" t="str">
        <f aca="false">IFERROR(INDEX('Historical Data'!$N$2:$N$1068,MATCH($A197,'Historical Data'!$BE$2:$BE$1068,0)),"")</f>
        <v/>
      </c>
      <c r="M197" s="109" t="str">
        <f aca="false">IFERROR(INDEX('Historical Data'!$Q$2:$Q$1068,MATCH($A197,'Historical Data'!$BE$2:$BE$1068,0)),"")</f>
        <v/>
      </c>
      <c r="N197" s="110" t="str">
        <f aca="false">IFERROR(INDEX('Historical Data'!$S$2:$S$1068,MATCH($A197,'Historical Data'!$BE$2:$BE$1068,0)),"")</f>
        <v/>
      </c>
      <c r="O197" s="109" t="str">
        <f aca="false">IFERROR(INDEX('Historical Data'!$AJ$2:$AJ$1068,MATCH($A197,'Historical Data'!$BE$2:$BE$1068,0)),"")</f>
        <v/>
      </c>
      <c r="P197" s="109" t="str">
        <f aca="false">IFERROR(INDEX('Historical Data'!$AK$2:$AK$1068,MATCH($A197,'Historical Data'!$BE$2:$BE$1068,0)),"")</f>
        <v/>
      </c>
      <c r="Q197" s="106" t="str">
        <f aca="false">IFERROR(INDEX('Historical Data'!$AA$2:$AA$1068,MATCH($A197,'Historical Data'!$BE$2:$BE$1068,0)),"")</f>
        <v/>
      </c>
      <c r="R197" s="106" t="str">
        <f aca="false">IFERROR(INDEX('Historical Data'!$AB$2:$AB$1068,MATCH($A197,'Historical Data'!$BE$2:$BE$1068,0)),"")</f>
        <v/>
      </c>
      <c r="S197" s="106" t="str">
        <f aca="false">IFERROR(INDEX('Historical Data'!$AN$2:$AN$1068,MATCH($A197,'Historical Data'!$BE$2:$BE$1068,0)),"")</f>
        <v/>
      </c>
      <c r="T197" s="106" t="str">
        <f aca="false">IFERROR(INDEX('Historical Data'!$AC$2:$AC$1068,MATCH($A197,'Historical Data'!$BE$2:$BE$1068,0)),"")</f>
        <v/>
      </c>
      <c r="U197" s="106" t="str">
        <f aca="false">IFERROR(INDEX('Historical Data'!$AE$2:$AE$1068,MATCH($A197,'Historical Data'!$BE$2:$BE$1068,0)),"")</f>
        <v/>
      </c>
      <c r="V197" s="106" t="str">
        <f aca="false">IFERROR(INDEX('Historical Data'!$AH$2:$AH$1068,MATCH($A197,'Historical Data'!$BE$2:$BE$1068,0)),"")</f>
        <v/>
      </c>
      <c r="W197" s="106" t="str">
        <f aca="false">IFERROR(INDEX('Historical Data'!$BC$2:$BC$1068,MATCH($A197,'Historical Data'!$BE$2:$BE$1068,0)),"")</f>
        <v/>
      </c>
      <c r="X197" s="105" t="str">
        <f aca="false">IF(B197="","",IF(W197=1,"NR + industry + position",IF(W197=2,"NR + ISO + position",IF(W197=3,"NR + industry",IF(W197=4,"NR + ISO",IF(W197=5,"NR + position",IF(W197=6,"NR only","book baseline"))))))&amp;"  ["&amp;IF(T197=1,"seasoned","unseasoned")&amp;IF(U197=1,", defaulted","")&amp;IF(V197=1,", open","")&amp;"]")</f>
        <v/>
      </c>
    </row>
    <row r="198" customFormat="false" ht="15" hidden="false" customHeight="false" outlineLevel="0" collapsed="false">
      <c r="A198" s="105" t="n">
        <v>194</v>
      </c>
      <c r="B198" s="106" t="str">
        <f aca="false">IFERROR(INDEX('Historical Data'!$A$2:$A$1068,MATCH($A198,'Historical Data'!$BE$2:$BE$1068,0)),"")</f>
        <v/>
      </c>
      <c r="C198" s="106" t="str">
        <f aca="false">IFERROR(INDEX('Historical Data'!$B$2:$B$1068,MATCH($A198,'Historical Data'!$BE$2:$BE$1068,0)),"")</f>
        <v/>
      </c>
      <c r="D198" s="106" t="str">
        <f aca="false">IFERROR(INDEX('Historical Data'!$D$2:$D$1068,MATCH($A198,'Historical Data'!$BE$2:$BE$1068,0)),"")</f>
        <v/>
      </c>
      <c r="E198" s="107" t="str">
        <f aca="false">IFERROR(INDEX('Historical Data'!$E$2:$E$1068,MATCH($A198,'Historical Data'!$BE$2:$BE$1068,0)),"")</f>
        <v/>
      </c>
      <c r="F198" s="106" t="str">
        <f aca="false">IFERROR(INDEX('Historical Data'!$G$2:$G$1068,MATCH($A198,'Historical Data'!$BE$2:$BE$1068,0)),"")</f>
        <v/>
      </c>
      <c r="G198" s="106" t="str">
        <f aca="false">IFERROR(INDEX('Historical Data'!$Y$2:$Y$1068,MATCH($A198,'Historical Data'!$BE$2:$BE$1068,0)),"")</f>
        <v/>
      </c>
      <c r="H198" s="106" t="str">
        <f aca="false">IFERROR(INDEX('Historical Data'!$K$2:$K$1068,MATCH($A198,'Historical Data'!$BE$2:$BE$1068,0)),"")</f>
        <v/>
      </c>
      <c r="I198" s="106" t="str">
        <f aca="false">IFERROR(INDEX('Historical Data'!$J$2:$J$1068,MATCH($A198,'Historical Data'!$BE$2:$BE$1068,0)),"")</f>
        <v/>
      </c>
      <c r="J198" s="106" t="str">
        <f aca="false">IFERROR(INDEX('Historical Data'!$L$2:$L$1068,MATCH($A198,'Historical Data'!$BE$2:$BE$1068,0)),"")</f>
        <v/>
      </c>
      <c r="K198" s="108" t="str">
        <f aca="false">IFERROR(INDEX('Historical Data'!$M$2:$M$1068,MATCH($A198,'Historical Data'!$BE$2:$BE$1068,0)),"")</f>
        <v/>
      </c>
      <c r="L198" s="109" t="str">
        <f aca="false">IFERROR(INDEX('Historical Data'!$N$2:$N$1068,MATCH($A198,'Historical Data'!$BE$2:$BE$1068,0)),"")</f>
        <v/>
      </c>
      <c r="M198" s="109" t="str">
        <f aca="false">IFERROR(INDEX('Historical Data'!$Q$2:$Q$1068,MATCH($A198,'Historical Data'!$BE$2:$BE$1068,0)),"")</f>
        <v/>
      </c>
      <c r="N198" s="110" t="str">
        <f aca="false">IFERROR(INDEX('Historical Data'!$S$2:$S$1068,MATCH($A198,'Historical Data'!$BE$2:$BE$1068,0)),"")</f>
        <v/>
      </c>
      <c r="O198" s="109" t="str">
        <f aca="false">IFERROR(INDEX('Historical Data'!$AJ$2:$AJ$1068,MATCH($A198,'Historical Data'!$BE$2:$BE$1068,0)),"")</f>
        <v/>
      </c>
      <c r="P198" s="109" t="str">
        <f aca="false">IFERROR(INDEX('Historical Data'!$AK$2:$AK$1068,MATCH($A198,'Historical Data'!$BE$2:$BE$1068,0)),"")</f>
        <v/>
      </c>
      <c r="Q198" s="106" t="str">
        <f aca="false">IFERROR(INDEX('Historical Data'!$AA$2:$AA$1068,MATCH($A198,'Historical Data'!$BE$2:$BE$1068,0)),"")</f>
        <v/>
      </c>
      <c r="R198" s="106" t="str">
        <f aca="false">IFERROR(INDEX('Historical Data'!$AB$2:$AB$1068,MATCH($A198,'Historical Data'!$BE$2:$BE$1068,0)),"")</f>
        <v/>
      </c>
      <c r="S198" s="106" t="str">
        <f aca="false">IFERROR(INDEX('Historical Data'!$AN$2:$AN$1068,MATCH($A198,'Historical Data'!$BE$2:$BE$1068,0)),"")</f>
        <v/>
      </c>
      <c r="T198" s="106" t="str">
        <f aca="false">IFERROR(INDEX('Historical Data'!$AC$2:$AC$1068,MATCH($A198,'Historical Data'!$BE$2:$BE$1068,0)),"")</f>
        <v/>
      </c>
      <c r="U198" s="106" t="str">
        <f aca="false">IFERROR(INDEX('Historical Data'!$AE$2:$AE$1068,MATCH($A198,'Historical Data'!$BE$2:$BE$1068,0)),"")</f>
        <v/>
      </c>
      <c r="V198" s="106" t="str">
        <f aca="false">IFERROR(INDEX('Historical Data'!$AH$2:$AH$1068,MATCH($A198,'Historical Data'!$BE$2:$BE$1068,0)),"")</f>
        <v/>
      </c>
      <c r="W198" s="106" t="str">
        <f aca="false">IFERROR(INDEX('Historical Data'!$BC$2:$BC$1068,MATCH($A198,'Historical Data'!$BE$2:$BE$1068,0)),"")</f>
        <v/>
      </c>
      <c r="X198" s="105" t="str">
        <f aca="false">IF(B198="","",IF(W198=1,"NR + industry + position",IF(W198=2,"NR + ISO + position",IF(W198=3,"NR + industry",IF(W198=4,"NR + ISO",IF(W198=5,"NR + position",IF(W198=6,"NR only","book baseline"))))))&amp;"  ["&amp;IF(T198=1,"seasoned","unseasoned")&amp;IF(U198=1,", defaulted","")&amp;IF(V198=1,", open","")&amp;"]")</f>
        <v/>
      </c>
    </row>
    <row r="199" customFormat="false" ht="15" hidden="false" customHeight="false" outlineLevel="0" collapsed="false">
      <c r="A199" s="105" t="n">
        <v>195</v>
      </c>
      <c r="B199" s="106" t="str">
        <f aca="false">IFERROR(INDEX('Historical Data'!$A$2:$A$1068,MATCH($A199,'Historical Data'!$BE$2:$BE$1068,0)),"")</f>
        <v/>
      </c>
      <c r="C199" s="106" t="str">
        <f aca="false">IFERROR(INDEX('Historical Data'!$B$2:$B$1068,MATCH($A199,'Historical Data'!$BE$2:$BE$1068,0)),"")</f>
        <v/>
      </c>
      <c r="D199" s="106" t="str">
        <f aca="false">IFERROR(INDEX('Historical Data'!$D$2:$D$1068,MATCH($A199,'Historical Data'!$BE$2:$BE$1068,0)),"")</f>
        <v/>
      </c>
      <c r="E199" s="107" t="str">
        <f aca="false">IFERROR(INDEX('Historical Data'!$E$2:$E$1068,MATCH($A199,'Historical Data'!$BE$2:$BE$1068,0)),"")</f>
        <v/>
      </c>
      <c r="F199" s="106" t="str">
        <f aca="false">IFERROR(INDEX('Historical Data'!$G$2:$G$1068,MATCH($A199,'Historical Data'!$BE$2:$BE$1068,0)),"")</f>
        <v/>
      </c>
      <c r="G199" s="106" t="str">
        <f aca="false">IFERROR(INDEX('Historical Data'!$Y$2:$Y$1068,MATCH($A199,'Historical Data'!$BE$2:$BE$1068,0)),"")</f>
        <v/>
      </c>
      <c r="H199" s="106" t="str">
        <f aca="false">IFERROR(INDEX('Historical Data'!$K$2:$K$1068,MATCH($A199,'Historical Data'!$BE$2:$BE$1068,0)),"")</f>
        <v/>
      </c>
      <c r="I199" s="106" t="str">
        <f aca="false">IFERROR(INDEX('Historical Data'!$J$2:$J$1068,MATCH($A199,'Historical Data'!$BE$2:$BE$1068,0)),"")</f>
        <v/>
      </c>
      <c r="J199" s="106" t="str">
        <f aca="false">IFERROR(INDEX('Historical Data'!$L$2:$L$1068,MATCH($A199,'Historical Data'!$BE$2:$BE$1068,0)),"")</f>
        <v/>
      </c>
      <c r="K199" s="108" t="str">
        <f aca="false">IFERROR(INDEX('Historical Data'!$M$2:$M$1068,MATCH($A199,'Historical Data'!$BE$2:$BE$1068,0)),"")</f>
        <v/>
      </c>
      <c r="L199" s="109" t="str">
        <f aca="false">IFERROR(INDEX('Historical Data'!$N$2:$N$1068,MATCH($A199,'Historical Data'!$BE$2:$BE$1068,0)),"")</f>
        <v/>
      </c>
      <c r="M199" s="109" t="str">
        <f aca="false">IFERROR(INDEX('Historical Data'!$Q$2:$Q$1068,MATCH($A199,'Historical Data'!$BE$2:$BE$1068,0)),"")</f>
        <v/>
      </c>
      <c r="N199" s="110" t="str">
        <f aca="false">IFERROR(INDEX('Historical Data'!$S$2:$S$1068,MATCH($A199,'Historical Data'!$BE$2:$BE$1068,0)),"")</f>
        <v/>
      </c>
      <c r="O199" s="109" t="str">
        <f aca="false">IFERROR(INDEX('Historical Data'!$AJ$2:$AJ$1068,MATCH($A199,'Historical Data'!$BE$2:$BE$1068,0)),"")</f>
        <v/>
      </c>
      <c r="P199" s="109" t="str">
        <f aca="false">IFERROR(INDEX('Historical Data'!$AK$2:$AK$1068,MATCH($A199,'Historical Data'!$BE$2:$BE$1068,0)),"")</f>
        <v/>
      </c>
      <c r="Q199" s="106" t="str">
        <f aca="false">IFERROR(INDEX('Historical Data'!$AA$2:$AA$1068,MATCH($A199,'Historical Data'!$BE$2:$BE$1068,0)),"")</f>
        <v/>
      </c>
      <c r="R199" s="106" t="str">
        <f aca="false">IFERROR(INDEX('Historical Data'!$AB$2:$AB$1068,MATCH($A199,'Historical Data'!$BE$2:$BE$1068,0)),"")</f>
        <v/>
      </c>
      <c r="S199" s="106" t="str">
        <f aca="false">IFERROR(INDEX('Historical Data'!$AN$2:$AN$1068,MATCH($A199,'Historical Data'!$BE$2:$BE$1068,0)),"")</f>
        <v/>
      </c>
      <c r="T199" s="106" t="str">
        <f aca="false">IFERROR(INDEX('Historical Data'!$AC$2:$AC$1068,MATCH($A199,'Historical Data'!$BE$2:$BE$1068,0)),"")</f>
        <v/>
      </c>
      <c r="U199" s="106" t="str">
        <f aca="false">IFERROR(INDEX('Historical Data'!$AE$2:$AE$1068,MATCH($A199,'Historical Data'!$BE$2:$BE$1068,0)),"")</f>
        <v/>
      </c>
      <c r="V199" s="106" t="str">
        <f aca="false">IFERROR(INDEX('Historical Data'!$AH$2:$AH$1068,MATCH($A199,'Historical Data'!$BE$2:$BE$1068,0)),"")</f>
        <v/>
      </c>
      <c r="W199" s="106" t="str">
        <f aca="false">IFERROR(INDEX('Historical Data'!$BC$2:$BC$1068,MATCH($A199,'Historical Data'!$BE$2:$BE$1068,0)),"")</f>
        <v/>
      </c>
      <c r="X199" s="105" t="str">
        <f aca="false">IF(B199="","",IF(W199=1,"NR + industry + position",IF(W199=2,"NR + ISO + position",IF(W199=3,"NR + industry",IF(W199=4,"NR + ISO",IF(W199=5,"NR + position",IF(W199=6,"NR only","book baseline"))))))&amp;"  ["&amp;IF(T199=1,"seasoned","unseasoned")&amp;IF(U199=1,", defaulted","")&amp;IF(V199=1,", open","")&amp;"]")</f>
        <v/>
      </c>
    </row>
    <row r="200" customFormat="false" ht="15" hidden="false" customHeight="false" outlineLevel="0" collapsed="false">
      <c r="A200" s="105" t="n">
        <v>196</v>
      </c>
      <c r="B200" s="106" t="str">
        <f aca="false">IFERROR(INDEX('Historical Data'!$A$2:$A$1068,MATCH($A200,'Historical Data'!$BE$2:$BE$1068,0)),"")</f>
        <v/>
      </c>
      <c r="C200" s="106" t="str">
        <f aca="false">IFERROR(INDEX('Historical Data'!$B$2:$B$1068,MATCH($A200,'Historical Data'!$BE$2:$BE$1068,0)),"")</f>
        <v/>
      </c>
      <c r="D200" s="106" t="str">
        <f aca="false">IFERROR(INDEX('Historical Data'!$D$2:$D$1068,MATCH($A200,'Historical Data'!$BE$2:$BE$1068,0)),"")</f>
        <v/>
      </c>
      <c r="E200" s="107" t="str">
        <f aca="false">IFERROR(INDEX('Historical Data'!$E$2:$E$1068,MATCH($A200,'Historical Data'!$BE$2:$BE$1068,0)),"")</f>
        <v/>
      </c>
      <c r="F200" s="106" t="str">
        <f aca="false">IFERROR(INDEX('Historical Data'!$G$2:$G$1068,MATCH($A200,'Historical Data'!$BE$2:$BE$1068,0)),"")</f>
        <v/>
      </c>
      <c r="G200" s="106" t="str">
        <f aca="false">IFERROR(INDEX('Historical Data'!$Y$2:$Y$1068,MATCH($A200,'Historical Data'!$BE$2:$BE$1068,0)),"")</f>
        <v/>
      </c>
      <c r="H200" s="106" t="str">
        <f aca="false">IFERROR(INDEX('Historical Data'!$K$2:$K$1068,MATCH($A200,'Historical Data'!$BE$2:$BE$1068,0)),"")</f>
        <v/>
      </c>
      <c r="I200" s="106" t="str">
        <f aca="false">IFERROR(INDEX('Historical Data'!$J$2:$J$1068,MATCH($A200,'Historical Data'!$BE$2:$BE$1068,0)),"")</f>
        <v/>
      </c>
      <c r="J200" s="106" t="str">
        <f aca="false">IFERROR(INDEX('Historical Data'!$L$2:$L$1068,MATCH($A200,'Historical Data'!$BE$2:$BE$1068,0)),"")</f>
        <v/>
      </c>
      <c r="K200" s="108" t="str">
        <f aca="false">IFERROR(INDEX('Historical Data'!$M$2:$M$1068,MATCH($A200,'Historical Data'!$BE$2:$BE$1068,0)),"")</f>
        <v/>
      </c>
      <c r="L200" s="109" t="str">
        <f aca="false">IFERROR(INDEX('Historical Data'!$N$2:$N$1068,MATCH($A200,'Historical Data'!$BE$2:$BE$1068,0)),"")</f>
        <v/>
      </c>
      <c r="M200" s="109" t="str">
        <f aca="false">IFERROR(INDEX('Historical Data'!$Q$2:$Q$1068,MATCH($A200,'Historical Data'!$BE$2:$BE$1068,0)),"")</f>
        <v/>
      </c>
      <c r="N200" s="110" t="str">
        <f aca="false">IFERROR(INDEX('Historical Data'!$S$2:$S$1068,MATCH($A200,'Historical Data'!$BE$2:$BE$1068,0)),"")</f>
        <v/>
      </c>
      <c r="O200" s="109" t="str">
        <f aca="false">IFERROR(INDEX('Historical Data'!$AJ$2:$AJ$1068,MATCH($A200,'Historical Data'!$BE$2:$BE$1068,0)),"")</f>
        <v/>
      </c>
      <c r="P200" s="109" t="str">
        <f aca="false">IFERROR(INDEX('Historical Data'!$AK$2:$AK$1068,MATCH($A200,'Historical Data'!$BE$2:$BE$1068,0)),"")</f>
        <v/>
      </c>
      <c r="Q200" s="106" t="str">
        <f aca="false">IFERROR(INDEX('Historical Data'!$AA$2:$AA$1068,MATCH($A200,'Historical Data'!$BE$2:$BE$1068,0)),"")</f>
        <v/>
      </c>
      <c r="R200" s="106" t="str">
        <f aca="false">IFERROR(INDEX('Historical Data'!$AB$2:$AB$1068,MATCH($A200,'Historical Data'!$BE$2:$BE$1068,0)),"")</f>
        <v/>
      </c>
      <c r="S200" s="106" t="str">
        <f aca="false">IFERROR(INDEX('Historical Data'!$AN$2:$AN$1068,MATCH($A200,'Historical Data'!$BE$2:$BE$1068,0)),"")</f>
        <v/>
      </c>
      <c r="T200" s="106" t="str">
        <f aca="false">IFERROR(INDEX('Historical Data'!$AC$2:$AC$1068,MATCH($A200,'Historical Data'!$BE$2:$BE$1068,0)),"")</f>
        <v/>
      </c>
      <c r="U200" s="106" t="str">
        <f aca="false">IFERROR(INDEX('Historical Data'!$AE$2:$AE$1068,MATCH($A200,'Historical Data'!$BE$2:$BE$1068,0)),"")</f>
        <v/>
      </c>
      <c r="V200" s="106" t="str">
        <f aca="false">IFERROR(INDEX('Historical Data'!$AH$2:$AH$1068,MATCH($A200,'Historical Data'!$BE$2:$BE$1068,0)),"")</f>
        <v/>
      </c>
      <c r="W200" s="106" t="str">
        <f aca="false">IFERROR(INDEX('Historical Data'!$BC$2:$BC$1068,MATCH($A200,'Historical Data'!$BE$2:$BE$1068,0)),"")</f>
        <v/>
      </c>
      <c r="X200" s="105" t="str">
        <f aca="false">IF(B200="","",IF(W200=1,"NR + industry + position",IF(W200=2,"NR + ISO + position",IF(W200=3,"NR + industry",IF(W200=4,"NR + ISO",IF(W200=5,"NR + position",IF(W200=6,"NR only","book baseline"))))))&amp;"  ["&amp;IF(T200=1,"seasoned","unseasoned")&amp;IF(U200=1,", defaulted","")&amp;IF(V200=1,", open","")&amp;"]")</f>
        <v/>
      </c>
    </row>
    <row r="201" customFormat="false" ht="15" hidden="false" customHeight="false" outlineLevel="0" collapsed="false">
      <c r="A201" s="105" t="n">
        <v>197</v>
      </c>
      <c r="B201" s="106" t="str">
        <f aca="false">IFERROR(INDEX('Historical Data'!$A$2:$A$1068,MATCH($A201,'Historical Data'!$BE$2:$BE$1068,0)),"")</f>
        <v/>
      </c>
      <c r="C201" s="106" t="str">
        <f aca="false">IFERROR(INDEX('Historical Data'!$B$2:$B$1068,MATCH($A201,'Historical Data'!$BE$2:$BE$1068,0)),"")</f>
        <v/>
      </c>
      <c r="D201" s="106" t="str">
        <f aca="false">IFERROR(INDEX('Historical Data'!$D$2:$D$1068,MATCH($A201,'Historical Data'!$BE$2:$BE$1068,0)),"")</f>
        <v/>
      </c>
      <c r="E201" s="107" t="str">
        <f aca="false">IFERROR(INDEX('Historical Data'!$E$2:$E$1068,MATCH($A201,'Historical Data'!$BE$2:$BE$1068,0)),"")</f>
        <v/>
      </c>
      <c r="F201" s="106" t="str">
        <f aca="false">IFERROR(INDEX('Historical Data'!$G$2:$G$1068,MATCH($A201,'Historical Data'!$BE$2:$BE$1068,0)),"")</f>
        <v/>
      </c>
      <c r="G201" s="106" t="str">
        <f aca="false">IFERROR(INDEX('Historical Data'!$Y$2:$Y$1068,MATCH($A201,'Historical Data'!$BE$2:$BE$1068,0)),"")</f>
        <v/>
      </c>
      <c r="H201" s="106" t="str">
        <f aca="false">IFERROR(INDEX('Historical Data'!$K$2:$K$1068,MATCH($A201,'Historical Data'!$BE$2:$BE$1068,0)),"")</f>
        <v/>
      </c>
      <c r="I201" s="106" t="str">
        <f aca="false">IFERROR(INDEX('Historical Data'!$J$2:$J$1068,MATCH($A201,'Historical Data'!$BE$2:$BE$1068,0)),"")</f>
        <v/>
      </c>
      <c r="J201" s="106" t="str">
        <f aca="false">IFERROR(INDEX('Historical Data'!$L$2:$L$1068,MATCH($A201,'Historical Data'!$BE$2:$BE$1068,0)),"")</f>
        <v/>
      </c>
      <c r="K201" s="108" t="str">
        <f aca="false">IFERROR(INDEX('Historical Data'!$M$2:$M$1068,MATCH($A201,'Historical Data'!$BE$2:$BE$1068,0)),"")</f>
        <v/>
      </c>
      <c r="L201" s="109" t="str">
        <f aca="false">IFERROR(INDEX('Historical Data'!$N$2:$N$1068,MATCH($A201,'Historical Data'!$BE$2:$BE$1068,0)),"")</f>
        <v/>
      </c>
      <c r="M201" s="109" t="str">
        <f aca="false">IFERROR(INDEX('Historical Data'!$Q$2:$Q$1068,MATCH($A201,'Historical Data'!$BE$2:$BE$1068,0)),"")</f>
        <v/>
      </c>
      <c r="N201" s="110" t="str">
        <f aca="false">IFERROR(INDEX('Historical Data'!$S$2:$S$1068,MATCH($A201,'Historical Data'!$BE$2:$BE$1068,0)),"")</f>
        <v/>
      </c>
      <c r="O201" s="109" t="str">
        <f aca="false">IFERROR(INDEX('Historical Data'!$AJ$2:$AJ$1068,MATCH($A201,'Historical Data'!$BE$2:$BE$1068,0)),"")</f>
        <v/>
      </c>
      <c r="P201" s="109" t="str">
        <f aca="false">IFERROR(INDEX('Historical Data'!$AK$2:$AK$1068,MATCH($A201,'Historical Data'!$BE$2:$BE$1068,0)),"")</f>
        <v/>
      </c>
      <c r="Q201" s="106" t="str">
        <f aca="false">IFERROR(INDEX('Historical Data'!$AA$2:$AA$1068,MATCH($A201,'Historical Data'!$BE$2:$BE$1068,0)),"")</f>
        <v/>
      </c>
      <c r="R201" s="106" t="str">
        <f aca="false">IFERROR(INDEX('Historical Data'!$AB$2:$AB$1068,MATCH($A201,'Historical Data'!$BE$2:$BE$1068,0)),"")</f>
        <v/>
      </c>
      <c r="S201" s="106" t="str">
        <f aca="false">IFERROR(INDEX('Historical Data'!$AN$2:$AN$1068,MATCH($A201,'Historical Data'!$BE$2:$BE$1068,0)),"")</f>
        <v/>
      </c>
      <c r="T201" s="106" t="str">
        <f aca="false">IFERROR(INDEX('Historical Data'!$AC$2:$AC$1068,MATCH($A201,'Historical Data'!$BE$2:$BE$1068,0)),"")</f>
        <v/>
      </c>
      <c r="U201" s="106" t="str">
        <f aca="false">IFERROR(INDEX('Historical Data'!$AE$2:$AE$1068,MATCH($A201,'Historical Data'!$BE$2:$BE$1068,0)),"")</f>
        <v/>
      </c>
      <c r="V201" s="106" t="str">
        <f aca="false">IFERROR(INDEX('Historical Data'!$AH$2:$AH$1068,MATCH($A201,'Historical Data'!$BE$2:$BE$1068,0)),"")</f>
        <v/>
      </c>
      <c r="W201" s="106" t="str">
        <f aca="false">IFERROR(INDEX('Historical Data'!$BC$2:$BC$1068,MATCH($A201,'Historical Data'!$BE$2:$BE$1068,0)),"")</f>
        <v/>
      </c>
      <c r="X201" s="105" t="str">
        <f aca="false">IF(B201="","",IF(W201=1,"NR + industry + position",IF(W201=2,"NR + ISO + position",IF(W201=3,"NR + industry",IF(W201=4,"NR + ISO",IF(W201=5,"NR + position",IF(W201=6,"NR only","book baseline"))))))&amp;"  ["&amp;IF(T201=1,"seasoned","unseasoned")&amp;IF(U201=1,", defaulted","")&amp;IF(V201=1,", open","")&amp;"]")</f>
        <v/>
      </c>
    </row>
    <row r="202" customFormat="false" ht="15" hidden="false" customHeight="false" outlineLevel="0" collapsed="false">
      <c r="A202" s="105" t="n">
        <v>198</v>
      </c>
      <c r="B202" s="106" t="str">
        <f aca="false">IFERROR(INDEX('Historical Data'!$A$2:$A$1068,MATCH($A202,'Historical Data'!$BE$2:$BE$1068,0)),"")</f>
        <v/>
      </c>
      <c r="C202" s="106" t="str">
        <f aca="false">IFERROR(INDEX('Historical Data'!$B$2:$B$1068,MATCH($A202,'Historical Data'!$BE$2:$BE$1068,0)),"")</f>
        <v/>
      </c>
      <c r="D202" s="106" t="str">
        <f aca="false">IFERROR(INDEX('Historical Data'!$D$2:$D$1068,MATCH($A202,'Historical Data'!$BE$2:$BE$1068,0)),"")</f>
        <v/>
      </c>
      <c r="E202" s="107" t="str">
        <f aca="false">IFERROR(INDEX('Historical Data'!$E$2:$E$1068,MATCH($A202,'Historical Data'!$BE$2:$BE$1068,0)),"")</f>
        <v/>
      </c>
      <c r="F202" s="106" t="str">
        <f aca="false">IFERROR(INDEX('Historical Data'!$G$2:$G$1068,MATCH($A202,'Historical Data'!$BE$2:$BE$1068,0)),"")</f>
        <v/>
      </c>
      <c r="G202" s="106" t="str">
        <f aca="false">IFERROR(INDEX('Historical Data'!$Y$2:$Y$1068,MATCH($A202,'Historical Data'!$BE$2:$BE$1068,0)),"")</f>
        <v/>
      </c>
      <c r="H202" s="106" t="str">
        <f aca="false">IFERROR(INDEX('Historical Data'!$K$2:$K$1068,MATCH($A202,'Historical Data'!$BE$2:$BE$1068,0)),"")</f>
        <v/>
      </c>
      <c r="I202" s="106" t="str">
        <f aca="false">IFERROR(INDEX('Historical Data'!$J$2:$J$1068,MATCH($A202,'Historical Data'!$BE$2:$BE$1068,0)),"")</f>
        <v/>
      </c>
      <c r="J202" s="106" t="str">
        <f aca="false">IFERROR(INDEX('Historical Data'!$L$2:$L$1068,MATCH($A202,'Historical Data'!$BE$2:$BE$1068,0)),"")</f>
        <v/>
      </c>
      <c r="K202" s="108" t="str">
        <f aca="false">IFERROR(INDEX('Historical Data'!$M$2:$M$1068,MATCH($A202,'Historical Data'!$BE$2:$BE$1068,0)),"")</f>
        <v/>
      </c>
      <c r="L202" s="109" t="str">
        <f aca="false">IFERROR(INDEX('Historical Data'!$N$2:$N$1068,MATCH($A202,'Historical Data'!$BE$2:$BE$1068,0)),"")</f>
        <v/>
      </c>
      <c r="M202" s="109" t="str">
        <f aca="false">IFERROR(INDEX('Historical Data'!$Q$2:$Q$1068,MATCH($A202,'Historical Data'!$BE$2:$BE$1068,0)),"")</f>
        <v/>
      </c>
      <c r="N202" s="110" t="str">
        <f aca="false">IFERROR(INDEX('Historical Data'!$S$2:$S$1068,MATCH($A202,'Historical Data'!$BE$2:$BE$1068,0)),"")</f>
        <v/>
      </c>
      <c r="O202" s="109" t="str">
        <f aca="false">IFERROR(INDEX('Historical Data'!$AJ$2:$AJ$1068,MATCH($A202,'Historical Data'!$BE$2:$BE$1068,0)),"")</f>
        <v/>
      </c>
      <c r="P202" s="109" t="str">
        <f aca="false">IFERROR(INDEX('Historical Data'!$AK$2:$AK$1068,MATCH($A202,'Historical Data'!$BE$2:$BE$1068,0)),"")</f>
        <v/>
      </c>
      <c r="Q202" s="106" t="str">
        <f aca="false">IFERROR(INDEX('Historical Data'!$AA$2:$AA$1068,MATCH($A202,'Historical Data'!$BE$2:$BE$1068,0)),"")</f>
        <v/>
      </c>
      <c r="R202" s="106" t="str">
        <f aca="false">IFERROR(INDEX('Historical Data'!$AB$2:$AB$1068,MATCH($A202,'Historical Data'!$BE$2:$BE$1068,0)),"")</f>
        <v/>
      </c>
      <c r="S202" s="106" t="str">
        <f aca="false">IFERROR(INDEX('Historical Data'!$AN$2:$AN$1068,MATCH($A202,'Historical Data'!$BE$2:$BE$1068,0)),"")</f>
        <v/>
      </c>
      <c r="T202" s="106" t="str">
        <f aca="false">IFERROR(INDEX('Historical Data'!$AC$2:$AC$1068,MATCH($A202,'Historical Data'!$BE$2:$BE$1068,0)),"")</f>
        <v/>
      </c>
      <c r="U202" s="106" t="str">
        <f aca="false">IFERROR(INDEX('Historical Data'!$AE$2:$AE$1068,MATCH($A202,'Historical Data'!$BE$2:$BE$1068,0)),"")</f>
        <v/>
      </c>
      <c r="V202" s="106" t="str">
        <f aca="false">IFERROR(INDEX('Historical Data'!$AH$2:$AH$1068,MATCH($A202,'Historical Data'!$BE$2:$BE$1068,0)),"")</f>
        <v/>
      </c>
      <c r="W202" s="106" t="str">
        <f aca="false">IFERROR(INDEX('Historical Data'!$BC$2:$BC$1068,MATCH($A202,'Historical Data'!$BE$2:$BE$1068,0)),"")</f>
        <v/>
      </c>
      <c r="X202" s="105" t="str">
        <f aca="false">IF(B202="","",IF(W202=1,"NR + industry + position",IF(W202=2,"NR + ISO + position",IF(W202=3,"NR + industry",IF(W202=4,"NR + ISO",IF(W202=5,"NR + position",IF(W202=6,"NR only","book baseline"))))))&amp;"  ["&amp;IF(T202=1,"seasoned","unseasoned")&amp;IF(U202=1,", defaulted","")&amp;IF(V202=1,", open","")&amp;"]")</f>
        <v/>
      </c>
    </row>
    <row r="203" customFormat="false" ht="15" hidden="false" customHeight="false" outlineLevel="0" collapsed="false">
      <c r="A203" s="105" t="n">
        <v>199</v>
      </c>
      <c r="B203" s="106" t="str">
        <f aca="false">IFERROR(INDEX('Historical Data'!$A$2:$A$1068,MATCH($A203,'Historical Data'!$BE$2:$BE$1068,0)),"")</f>
        <v/>
      </c>
      <c r="C203" s="106" t="str">
        <f aca="false">IFERROR(INDEX('Historical Data'!$B$2:$B$1068,MATCH($A203,'Historical Data'!$BE$2:$BE$1068,0)),"")</f>
        <v/>
      </c>
      <c r="D203" s="106" t="str">
        <f aca="false">IFERROR(INDEX('Historical Data'!$D$2:$D$1068,MATCH($A203,'Historical Data'!$BE$2:$BE$1068,0)),"")</f>
        <v/>
      </c>
      <c r="E203" s="107" t="str">
        <f aca="false">IFERROR(INDEX('Historical Data'!$E$2:$E$1068,MATCH($A203,'Historical Data'!$BE$2:$BE$1068,0)),"")</f>
        <v/>
      </c>
      <c r="F203" s="106" t="str">
        <f aca="false">IFERROR(INDEX('Historical Data'!$G$2:$G$1068,MATCH($A203,'Historical Data'!$BE$2:$BE$1068,0)),"")</f>
        <v/>
      </c>
      <c r="G203" s="106" t="str">
        <f aca="false">IFERROR(INDEX('Historical Data'!$Y$2:$Y$1068,MATCH($A203,'Historical Data'!$BE$2:$BE$1068,0)),"")</f>
        <v/>
      </c>
      <c r="H203" s="106" t="str">
        <f aca="false">IFERROR(INDEX('Historical Data'!$K$2:$K$1068,MATCH($A203,'Historical Data'!$BE$2:$BE$1068,0)),"")</f>
        <v/>
      </c>
      <c r="I203" s="106" t="str">
        <f aca="false">IFERROR(INDEX('Historical Data'!$J$2:$J$1068,MATCH($A203,'Historical Data'!$BE$2:$BE$1068,0)),"")</f>
        <v/>
      </c>
      <c r="J203" s="106" t="str">
        <f aca="false">IFERROR(INDEX('Historical Data'!$L$2:$L$1068,MATCH($A203,'Historical Data'!$BE$2:$BE$1068,0)),"")</f>
        <v/>
      </c>
      <c r="K203" s="108" t="str">
        <f aca="false">IFERROR(INDEX('Historical Data'!$M$2:$M$1068,MATCH($A203,'Historical Data'!$BE$2:$BE$1068,0)),"")</f>
        <v/>
      </c>
      <c r="L203" s="109" t="str">
        <f aca="false">IFERROR(INDEX('Historical Data'!$N$2:$N$1068,MATCH($A203,'Historical Data'!$BE$2:$BE$1068,0)),"")</f>
        <v/>
      </c>
      <c r="M203" s="109" t="str">
        <f aca="false">IFERROR(INDEX('Historical Data'!$Q$2:$Q$1068,MATCH($A203,'Historical Data'!$BE$2:$BE$1068,0)),"")</f>
        <v/>
      </c>
      <c r="N203" s="110" t="str">
        <f aca="false">IFERROR(INDEX('Historical Data'!$S$2:$S$1068,MATCH($A203,'Historical Data'!$BE$2:$BE$1068,0)),"")</f>
        <v/>
      </c>
      <c r="O203" s="109" t="str">
        <f aca="false">IFERROR(INDEX('Historical Data'!$AJ$2:$AJ$1068,MATCH($A203,'Historical Data'!$BE$2:$BE$1068,0)),"")</f>
        <v/>
      </c>
      <c r="P203" s="109" t="str">
        <f aca="false">IFERROR(INDEX('Historical Data'!$AK$2:$AK$1068,MATCH($A203,'Historical Data'!$BE$2:$BE$1068,0)),"")</f>
        <v/>
      </c>
      <c r="Q203" s="106" t="str">
        <f aca="false">IFERROR(INDEX('Historical Data'!$AA$2:$AA$1068,MATCH($A203,'Historical Data'!$BE$2:$BE$1068,0)),"")</f>
        <v/>
      </c>
      <c r="R203" s="106" t="str">
        <f aca="false">IFERROR(INDEX('Historical Data'!$AB$2:$AB$1068,MATCH($A203,'Historical Data'!$BE$2:$BE$1068,0)),"")</f>
        <v/>
      </c>
      <c r="S203" s="106" t="str">
        <f aca="false">IFERROR(INDEX('Historical Data'!$AN$2:$AN$1068,MATCH($A203,'Historical Data'!$BE$2:$BE$1068,0)),"")</f>
        <v/>
      </c>
      <c r="T203" s="106" t="str">
        <f aca="false">IFERROR(INDEX('Historical Data'!$AC$2:$AC$1068,MATCH($A203,'Historical Data'!$BE$2:$BE$1068,0)),"")</f>
        <v/>
      </c>
      <c r="U203" s="106" t="str">
        <f aca="false">IFERROR(INDEX('Historical Data'!$AE$2:$AE$1068,MATCH($A203,'Historical Data'!$BE$2:$BE$1068,0)),"")</f>
        <v/>
      </c>
      <c r="V203" s="106" t="str">
        <f aca="false">IFERROR(INDEX('Historical Data'!$AH$2:$AH$1068,MATCH($A203,'Historical Data'!$BE$2:$BE$1068,0)),"")</f>
        <v/>
      </c>
      <c r="W203" s="106" t="str">
        <f aca="false">IFERROR(INDEX('Historical Data'!$BC$2:$BC$1068,MATCH($A203,'Historical Data'!$BE$2:$BE$1068,0)),"")</f>
        <v/>
      </c>
      <c r="X203" s="105" t="str">
        <f aca="false">IF(B203="","",IF(W203=1,"NR + industry + position",IF(W203=2,"NR + ISO + position",IF(W203=3,"NR + industry",IF(W203=4,"NR + ISO",IF(W203=5,"NR + position",IF(W203=6,"NR only","book baseline"))))))&amp;"  ["&amp;IF(T203=1,"seasoned","unseasoned")&amp;IF(U203=1,", defaulted","")&amp;IF(V203=1,", open","")&amp;"]")</f>
        <v/>
      </c>
    </row>
    <row r="204" customFormat="false" ht="15" hidden="false" customHeight="false" outlineLevel="0" collapsed="false">
      <c r="A204" s="105" t="n">
        <v>200</v>
      </c>
      <c r="B204" s="106" t="str">
        <f aca="false">IFERROR(INDEX('Historical Data'!$A$2:$A$1068,MATCH($A204,'Historical Data'!$BE$2:$BE$1068,0)),"")</f>
        <v/>
      </c>
      <c r="C204" s="106" t="str">
        <f aca="false">IFERROR(INDEX('Historical Data'!$B$2:$B$1068,MATCH($A204,'Historical Data'!$BE$2:$BE$1068,0)),"")</f>
        <v/>
      </c>
      <c r="D204" s="106" t="str">
        <f aca="false">IFERROR(INDEX('Historical Data'!$D$2:$D$1068,MATCH($A204,'Historical Data'!$BE$2:$BE$1068,0)),"")</f>
        <v/>
      </c>
      <c r="E204" s="107" t="str">
        <f aca="false">IFERROR(INDEX('Historical Data'!$E$2:$E$1068,MATCH($A204,'Historical Data'!$BE$2:$BE$1068,0)),"")</f>
        <v/>
      </c>
      <c r="F204" s="106" t="str">
        <f aca="false">IFERROR(INDEX('Historical Data'!$G$2:$G$1068,MATCH($A204,'Historical Data'!$BE$2:$BE$1068,0)),"")</f>
        <v/>
      </c>
      <c r="G204" s="106" t="str">
        <f aca="false">IFERROR(INDEX('Historical Data'!$Y$2:$Y$1068,MATCH($A204,'Historical Data'!$BE$2:$BE$1068,0)),"")</f>
        <v/>
      </c>
      <c r="H204" s="106" t="str">
        <f aca="false">IFERROR(INDEX('Historical Data'!$K$2:$K$1068,MATCH($A204,'Historical Data'!$BE$2:$BE$1068,0)),"")</f>
        <v/>
      </c>
      <c r="I204" s="106" t="str">
        <f aca="false">IFERROR(INDEX('Historical Data'!$J$2:$J$1068,MATCH($A204,'Historical Data'!$BE$2:$BE$1068,0)),"")</f>
        <v/>
      </c>
      <c r="J204" s="106" t="str">
        <f aca="false">IFERROR(INDEX('Historical Data'!$L$2:$L$1068,MATCH($A204,'Historical Data'!$BE$2:$BE$1068,0)),"")</f>
        <v/>
      </c>
      <c r="K204" s="108" t="str">
        <f aca="false">IFERROR(INDEX('Historical Data'!$M$2:$M$1068,MATCH($A204,'Historical Data'!$BE$2:$BE$1068,0)),"")</f>
        <v/>
      </c>
      <c r="L204" s="109" t="str">
        <f aca="false">IFERROR(INDEX('Historical Data'!$N$2:$N$1068,MATCH($A204,'Historical Data'!$BE$2:$BE$1068,0)),"")</f>
        <v/>
      </c>
      <c r="M204" s="109" t="str">
        <f aca="false">IFERROR(INDEX('Historical Data'!$Q$2:$Q$1068,MATCH($A204,'Historical Data'!$BE$2:$BE$1068,0)),"")</f>
        <v/>
      </c>
      <c r="N204" s="110" t="str">
        <f aca="false">IFERROR(INDEX('Historical Data'!$S$2:$S$1068,MATCH($A204,'Historical Data'!$BE$2:$BE$1068,0)),"")</f>
        <v/>
      </c>
      <c r="O204" s="109" t="str">
        <f aca="false">IFERROR(INDEX('Historical Data'!$AJ$2:$AJ$1068,MATCH($A204,'Historical Data'!$BE$2:$BE$1068,0)),"")</f>
        <v/>
      </c>
      <c r="P204" s="109" t="str">
        <f aca="false">IFERROR(INDEX('Historical Data'!$AK$2:$AK$1068,MATCH($A204,'Historical Data'!$BE$2:$BE$1068,0)),"")</f>
        <v/>
      </c>
      <c r="Q204" s="106" t="str">
        <f aca="false">IFERROR(INDEX('Historical Data'!$AA$2:$AA$1068,MATCH($A204,'Historical Data'!$BE$2:$BE$1068,0)),"")</f>
        <v/>
      </c>
      <c r="R204" s="106" t="str">
        <f aca="false">IFERROR(INDEX('Historical Data'!$AB$2:$AB$1068,MATCH($A204,'Historical Data'!$BE$2:$BE$1068,0)),"")</f>
        <v/>
      </c>
      <c r="S204" s="106" t="str">
        <f aca="false">IFERROR(INDEX('Historical Data'!$AN$2:$AN$1068,MATCH($A204,'Historical Data'!$BE$2:$BE$1068,0)),"")</f>
        <v/>
      </c>
      <c r="T204" s="106" t="str">
        <f aca="false">IFERROR(INDEX('Historical Data'!$AC$2:$AC$1068,MATCH($A204,'Historical Data'!$BE$2:$BE$1068,0)),"")</f>
        <v/>
      </c>
      <c r="U204" s="106" t="str">
        <f aca="false">IFERROR(INDEX('Historical Data'!$AE$2:$AE$1068,MATCH($A204,'Historical Data'!$BE$2:$BE$1068,0)),"")</f>
        <v/>
      </c>
      <c r="V204" s="106" t="str">
        <f aca="false">IFERROR(INDEX('Historical Data'!$AH$2:$AH$1068,MATCH($A204,'Historical Data'!$BE$2:$BE$1068,0)),"")</f>
        <v/>
      </c>
      <c r="W204" s="106" t="str">
        <f aca="false">IFERROR(INDEX('Historical Data'!$BC$2:$BC$1068,MATCH($A204,'Historical Data'!$BE$2:$BE$1068,0)),"")</f>
        <v/>
      </c>
      <c r="X204" s="105" t="str">
        <f aca="false">IF(B204="","",IF(W204=1,"NR + industry + position",IF(W204=2,"NR + ISO + position",IF(W204=3,"NR + industry",IF(W204=4,"NR + ISO",IF(W204=5,"NR + position",IF(W204=6,"NR only","book baseline"))))))&amp;"  ["&amp;IF(T204=1,"seasoned","unseasoned")&amp;IF(U204=1,", defaulted","")&amp;IF(V204=1,", open","")&amp;"]")</f>
        <v/>
      </c>
    </row>
    <row r="205" customFormat="false" ht="15" hidden="false" customHeight="false" outlineLevel="0" collapsed="false">
      <c r="A205" s="105" t="n">
        <v>201</v>
      </c>
      <c r="B205" s="106" t="str">
        <f aca="false">IFERROR(INDEX('Historical Data'!$A$2:$A$1068,MATCH($A205,'Historical Data'!$BE$2:$BE$1068,0)),"")</f>
        <v/>
      </c>
      <c r="C205" s="106" t="str">
        <f aca="false">IFERROR(INDEX('Historical Data'!$B$2:$B$1068,MATCH($A205,'Historical Data'!$BE$2:$BE$1068,0)),"")</f>
        <v/>
      </c>
      <c r="D205" s="106" t="str">
        <f aca="false">IFERROR(INDEX('Historical Data'!$D$2:$D$1068,MATCH($A205,'Historical Data'!$BE$2:$BE$1068,0)),"")</f>
        <v/>
      </c>
      <c r="E205" s="107" t="str">
        <f aca="false">IFERROR(INDEX('Historical Data'!$E$2:$E$1068,MATCH($A205,'Historical Data'!$BE$2:$BE$1068,0)),"")</f>
        <v/>
      </c>
      <c r="F205" s="106" t="str">
        <f aca="false">IFERROR(INDEX('Historical Data'!$G$2:$G$1068,MATCH($A205,'Historical Data'!$BE$2:$BE$1068,0)),"")</f>
        <v/>
      </c>
      <c r="G205" s="106" t="str">
        <f aca="false">IFERROR(INDEX('Historical Data'!$Y$2:$Y$1068,MATCH($A205,'Historical Data'!$BE$2:$BE$1068,0)),"")</f>
        <v/>
      </c>
      <c r="H205" s="106" t="str">
        <f aca="false">IFERROR(INDEX('Historical Data'!$K$2:$K$1068,MATCH($A205,'Historical Data'!$BE$2:$BE$1068,0)),"")</f>
        <v/>
      </c>
      <c r="I205" s="106" t="str">
        <f aca="false">IFERROR(INDEX('Historical Data'!$J$2:$J$1068,MATCH($A205,'Historical Data'!$BE$2:$BE$1068,0)),"")</f>
        <v/>
      </c>
      <c r="J205" s="106" t="str">
        <f aca="false">IFERROR(INDEX('Historical Data'!$L$2:$L$1068,MATCH($A205,'Historical Data'!$BE$2:$BE$1068,0)),"")</f>
        <v/>
      </c>
      <c r="K205" s="108" t="str">
        <f aca="false">IFERROR(INDEX('Historical Data'!$M$2:$M$1068,MATCH($A205,'Historical Data'!$BE$2:$BE$1068,0)),"")</f>
        <v/>
      </c>
      <c r="L205" s="109" t="str">
        <f aca="false">IFERROR(INDEX('Historical Data'!$N$2:$N$1068,MATCH($A205,'Historical Data'!$BE$2:$BE$1068,0)),"")</f>
        <v/>
      </c>
      <c r="M205" s="109" t="str">
        <f aca="false">IFERROR(INDEX('Historical Data'!$Q$2:$Q$1068,MATCH($A205,'Historical Data'!$BE$2:$BE$1068,0)),"")</f>
        <v/>
      </c>
      <c r="N205" s="110" t="str">
        <f aca="false">IFERROR(INDEX('Historical Data'!$S$2:$S$1068,MATCH($A205,'Historical Data'!$BE$2:$BE$1068,0)),"")</f>
        <v/>
      </c>
      <c r="O205" s="109" t="str">
        <f aca="false">IFERROR(INDEX('Historical Data'!$AJ$2:$AJ$1068,MATCH($A205,'Historical Data'!$BE$2:$BE$1068,0)),"")</f>
        <v/>
      </c>
      <c r="P205" s="109" t="str">
        <f aca="false">IFERROR(INDEX('Historical Data'!$AK$2:$AK$1068,MATCH($A205,'Historical Data'!$BE$2:$BE$1068,0)),"")</f>
        <v/>
      </c>
      <c r="Q205" s="106" t="str">
        <f aca="false">IFERROR(INDEX('Historical Data'!$AA$2:$AA$1068,MATCH($A205,'Historical Data'!$BE$2:$BE$1068,0)),"")</f>
        <v/>
      </c>
      <c r="R205" s="106" t="str">
        <f aca="false">IFERROR(INDEX('Historical Data'!$AB$2:$AB$1068,MATCH($A205,'Historical Data'!$BE$2:$BE$1068,0)),"")</f>
        <v/>
      </c>
      <c r="S205" s="106" t="str">
        <f aca="false">IFERROR(INDEX('Historical Data'!$AN$2:$AN$1068,MATCH($A205,'Historical Data'!$BE$2:$BE$1068,0)),"")</f>
        <v/>
      </c>
      <c r="T205" s="106" t="str">
        <f aca="false">IFERROR(INDEX('Historical Data'!$AC$2:$AC$1068,MATCH($A205,'Historical Data'!$BE$2:$BE$1068,0)),"")</f>
        <v/>
      </c>
      <c r="U205" s="106" t="str">
        <f aca="false">IFERROR(INDEX('Historical Data'!$AE$2:$AE$1068,MATCH($A205,'Historical Data'!$BE$2:$BE$1068,0)),"")</f>
        <v/>
      </c>
      <c r="V205" s="106" t="str">
        <f aca="false">IFERROR(INDEX('Historical Data'!$AH$2:$AH$1068,MATCH($A205,'Historical Data'!$BE$2:$BE$1068,0)),"")</f>
        <v/>
      </c>
      <c r="W205" s="106" t="str">
        <f aca="false">IFERROR(INDEX('Historical Data'!$BC$2:$BC$1068,MATCH($A205,'Historical Data'!$BE$2:$BE$1068,0)),"")</f>
        <v/>
      </c>
      <c r="X205" s="105" t="str">
        <f aca="false">IF(B205="","",IF(W205=1,"NR + industry + position",IF(W205=2,"NR + ISO + position",IF(W205=3,"NR + industry",IF(W205=4,"NR + ISO",IF(W205=5,"NR + position",IF(W205=6,"NR only","book baseline"))))))&amp;"  ["&amp;IF(T205=1,"seasoned","unseasoned")&amp;IF(U205=1,", defaulted","")&amp;IF(V205=1,", open","")&amp;"]")</f>
        <v/>
      </c>
    </row>
    <row r="206" customFormat="false" ht="15" hidden="false" customHeight="false" outlineLevel="0" collapsed="false">
      <c r="A206" s="105" t="n">
        <v>202</v>
      </c>
      <c r="B206" s="106" t="str">
        <f aca="false">IFERROR(INDEX('Historical Data'!$A$2:$A$1068,MATCH($A206,'Historical Data'!$BE$2:$BE$1068,0)),"")</f>
        <v/>
      </c>
      <c r="C206" s="106" t="str">
        <f aca="false">IFERROR(INDEX('Historical Data'!$B$2:$B$1068,MATCH($A206,'Historical Data'!$BE$2:$BE$1068,0)),"")</f>
        <v/>
      </c>
      <c r="D206" s="106" t="str">
        <f aca="false">IFERROR(INDEX('Historical Data'!$D$2:$D$1068,MATCH($A206,'Historical Data'!$BE$2:$BE$1068,0)),"")</f>
        <v/>
      </c>
      <c r="E206" s="107" t="str">
        <f aca="false">IFERROR(INDEX('Historical Data'!$E$2:$E$1068,MATCH($A206,'Historical Data'!$BE$2:$BE$1068,0)),"")</f>
        <v/>
      </c>
      <c r="F206" s="106" t="str">
        <f aca="false">IFERROR(INDEX('Historical Data'!$G$2:$G$1068,MATCH($A206,'Historical Data'!$BE$2:$BE$1068,0)),"")</f>
        <v/>
      </c>
      <c r="G206" s="106" t="str">
        <f aca="false">IFERROR(INDEX('Historical Data'!$Y$2:$Y$1068,MATCH($A206,'Historical Data'!$BE$2:$BE$1068,0)),"")</f>
        <v/>
      </c>
      <c r="H206" s="106" t="str">
        <f aca="false">IFERROR(INDEX('Historical Data'!$K$2:$K$1068,MATCH($A206,'Historical Data'!$BE$2:$BE$1068,0)),"")</f>
        <v/>
      </c>
      <c r="I206" s="106" t="str">
        <f aca="false">IFERROR(INDEX('Historical Data'!$J$2:$J$1068,MATCH($A206,'Historical Data'!$BE$2:$BE$1068,0)),"")</f>
        <v/>
      </c>
      <c r="J206" s="106" t="str">
        <f aca="false">IFERROR(INDEX('Historical Data'!$L$2:$L$1068,MATCH($A206,'Historical Data'!$BE$2:$BE$1068,0)),"")</f>
        <v/>
      </c>
      <c r="K206" s="108" t="str">
        <f aca="false">IFERROR(INDEX('Historical Data'!$M$2:$M$1068,MATCH($A206,'Historical Data'!$BE$2:$BE$1068,0)),"")</f>
        <v/>
      </c>
      <c r="L206" s="109" t="str">
        <f aca="false">IFERROR(INDEX('Historical Data'!$N$2:$N$1068,MATCH($A206,'Historical Data'!$BE$2:$BE$1068,0)),"")</f>
        <v/>
      </c>
      <c r="M206" s="109" t="str">
        <f aca="false">IFERROR(INDEX('Historical Data'!$Q$2:$Q$1068,MATCH($A206,'Historical Data'!$BE$2:$BE$1068,0)),"")</f>
        <v/>
      </c>
      <c r="N206" s="110" t="str">
        <f aca="false">IFERROR(INDEX('Historical Data'!$S$2:$S$1068,MATCH($A206,'Historical Data'!$BE$2:$BE$1068,0)),"")</f>
        <v/>
      </c>
      <c r="O206" s="109" t="str">
        <f aca="false">IFERROR(INDEX('Historical Data'!$AJ$2:$AJ$1068,MATCH($A206,'Historical Data'!$BE$2:$BE$1068,0)),"")</f>
        <v/>
      </c>
      <c r="P206" s="109" t="str">
        <f aca="false">IFERROR(INDEX('Historical Data'!$AK$2:$AK$1068,MATCH($A206,'Historical Data'!$BE$2:$BE$1068,0)),"")</f>
        <v/>
      </c>
      <c r="Q206" s="106" t="str">
        <f aca="false">IFERROR(INDEX('Historical Data'!$AA$2:$AA$1068,MATCH($A206,'Historical Data'!$BE$2:$BE$1068,0)),"")</f>
        <v/>
      </c>
      <c r="R206" s="106" t="str">
        <f aca="false">IFERROR(INDEX('Historical Data'!$AB$2:$AB$1068,MATCH($A206,'Historical Data'!$BE$2:$BE$1068,0)),"")</f>
        <v/>
      </c>
      <c r="S206" s="106" t="str">
        <f aca="false">IFERROR(INDEX('Historical Data'!$AN$2:$AN$1068,MATCH($A206,'Historical Data'!$BE$2:$BE$1068,0)),"")</f>
        <v/>
      </c>
      <c r="T206" s="106" t="str">
        <f aca="false">IFERROR(INDEX('Historical Data'!$AC$2:$AC$1068,MATCH($A206,'Historical Data'!$BE$2:$BE$1068,0)),"")</f>
        <v/>
      </c>
      <c r="U206" s="106" t="str">
        <f aca="false">IFERROR(INDEX('Historical Data'!$AE$2:$AE$1068,MATCH($A206,'Historical Data'!$BE$2:$BE$1068,0)),"")</f>
        <v/>
      </c>
      <c r="V206" s="106" t="str">
        <f aca="false">IFERROR(INDEX('Historical Data'!$AH$2:$AH$1068,MATCH($A206,'Historical Data'!$BE$2:$BE$1068,0)),"")</f>
        <v/>
      </c>
      <c r="W206" s="106" t="str">
        <f aca="false">IFERROR(INDEX('Historical Data'!$BC$2:$BC$1068,MATCH($A206,'Historical Data'!$BE$2:$BE$1068,0)),"")</f>
        <v/>
      </c>
      <c r="X206" s="105" t="str">
        <f aca="false">IF(B206="","",IF(W206=1,"NR + industry + position",IF(W206=2,"NR + ISO + position",IF(W206=3,"NR + industry",IF(W206=4,"NR + ISO",IF(W206=5,"NR + position",IF(W206=6,"NR only","book baseline"))))))&amp;"  ["&amp;IF(T206=1,"seasoned","unseasoned")&amp;IF(U206=1,", defaulted","")&amp;IF(V206=1,", open","")&amp;"]")</f>
        <v/>
      </c>
    </row>
    <row r="207" customFormat="false" ht="15" hidden="false" customHeight="false" outlineLevel="0" collapsed="false">
      <c r="A207" s="105" t="n">
        <v>203</v>
      </c>
      <c r="B207" s="106" t="str">
        <f aca="false">IFERROR(INDEX('Historical Data'!$A$2:$A$1068,MATCH($A207,'Historical Data'!$BE$2:$BE$1068,0)),"")</f>
        <v/>
      </c>
      <c r="C207" s="106" t="str">
        <f aca="false">IFERROR(INDEX('Historical Data'!$B$2:$B$1068,MATCH($A207,'Historical Data'!$BE$2:$BE$1068,0)),"")</f>
        <v/>
      </c>
      <c r="D207" s="106" t="str">
        <f aca="false">IFERROR(INDEX('Historical Data'!$D$2:$D$1068,MATCH($A207,'Historical Data'!$BE$2:$BE$1068,0)),"")</f>
        <v/>
      </c>
      <c r="E207" s="107" t="str">
        <f aca="false">IFERROR(INDEX('Historical Data'!$E$2:$E$1068,MATCH($A207,'Historical Data'!$BE$2:$BE$1068,0)),"")</f>
        <v/>
      </c>
      <c r="F207" s="106" t="str">
        <f aca="false">IFERROR(INDEX('Historical Data'!$G$2:$G$1068,MATCH($A207,'Historical Data'!$BE$2:$BE$1068,0)),"")</f>
        <v/>
      </c>
      <c r="G207" s="106" t="str">
        <f aca="false">IFERROR(INDEX('Historical Data'!$Y$2:$Y$1068,MATCH($A207,'Historical Data'!$BE$2:$BE$1068,0)),"")</f>
        <v/>
      </c>
      <c r="H207" s="106" t="str">
        <f aca="false">IFERROR(INDEX('Historical Data'!$K$2:$K$1068,MATCH($A207,'Historical Data'!$BE$2:$BE$1068,0)),"")</f>
        <v/>
      </c>
      <c r="I207" s="106" t="str">
        <f aca="false">IFERROR(INDEX('Historical Data'!$J$2:$J$1068,MATCH($A207,'Historical Data'!$BE$2:$BE$1068,0)),"")</f>
        <v/>
      </c>
      <c r="J207" s="106" t="str">
        <f aca="false">IFERROR(INDEX('Historical Data'!$L$2:$L$1068,MATCH($A207,'Historical Data'!$BE$2:$BE$1068,0)),"")</f>
        <v/>
      </c>
      <c r="K207" s="108" t="str">
        <f aca="false">IFERROR(INDEX('Historical Data'!$M$2:$M$1068,MATCH($A207,'Historical Data'!$BE$2:$BE$1068,0)),"")</f>
        <v/>
      </c>
      <c r="L207" s="109" t="str">
        <f aca="false">IFERROR(INDEX('Historical Data'!$N$2:$N$1068,MATCH($A207,'Historical Data'!$BE$2:$BE$1068,0)),"")</f>
        <v/>
      </c>
      <c r="M207" s="109" t="str">
        <f aca="false">IFERROR(INDEX('Historical Data'!$Q$2:$Q$1068,MATCH($A207,'Historical Data'!$BE$2:$BE$1068,0)),"")</f>
        <v/>
      </c>
      <c r="N207" s="110" t="str">
        <f aca="false">IFERROR(INDEX('Historical Data'!$S$2:$S$1068,MATCH($A207,'Historical Data'!$BE$2:$BE$1068,0)),"")</f>
        <v/>
      </c>
      <c r="O207" s="109" t="str">
        <f aca="false">IFERROR(INDEX('Historical Data'!$AJ$2:$AJ$1068,MATCH($A207,'Historical Data'!$BE$2:$BE$1068,0)),"")</f>
        <v/>
      </c>
      <c r="P207" s="109" t="str">
        <f aca="false">IFERROR(INDEX('Historical Data'!$AK$2:$AK$1068,MATCH($A207,'Historical Data'!$BE$2:$BE$1068,0)),"")</f>
        <v/>
      </c>
      <c r="Q207" s="106" t="str">
        <f aca="false">IFERROR(INDEX('Historical Data'!$AA$2:$AA$1068,MATCH($A207,'Historical Data'!$BE$2:$BE$1068,0)),"")</f>
        <v/>
      </c>
      <c r="R207" s="106" t="str">
        <f aca="false">IFERROR(INDEX('Historical Data'!$AB$2:$AB$1068,MATCH($A207,'Historical Data'!$BE$2:$BE$1068,0)),"")</f>
        <v/>
      </c>
      <c r="S207" s="106" t="str">
        <f aca="false">IFERROR(INDEX('Historical Data'!$AN$2:$AN$1068,MATCH($A207,'Historical Data'!$BE$2:$BE$1068,0)),"")</f>
        <v/>
      </c>
      <c r="T207" s="106" t="str">
        <f aca="false">IFERROR(INDEX('Historical Data'!$AC$2:$AC$1068,MATCH($A207,'Historical Data'!$BE$2:$BE$1068,0)),"")</f>
        <v/>
      </c>
      <c r="U207" s="106" t="str">
        <f aca="false">IFERROR(INDEX('Historical Data'!$AE$2:$AE$1068,MATCH($A207,'Historical Data'!$BE$2:$BE$1068,0)),"")</f>
        <v/>
      </c>
      <c r="V207" s="106" t="str">
        <f aca="false">IFERROR(INDEX('Historical Data'!$AH$2:$AH$1068,MATCH($A207,'Historical Data'!$BE$2:$BE$1068,0)),"")</f>
        <v/>
      </c>
      <c r="W207" s="106" t="str">
        <f aca="false">IFERROR(INDEX('Historical Data'!$BC$2:$BC$1068,MATCH($A207,'Historical Data'!$BE$2:$BE$1068,0)),"")</f>
        <v/>
      </c>
      <c r="X207" s="105" t="str">
        <f aca="false">IF(B207="","",IF(W207=1,"NR + industry + position",IF(W207=2,"NR + ISO + position",IF(W207=3,"NR + industry",IF(W207=4,"NR + ISO",IF(W207=5,"NR + position",IF(W207=6,"NR only","book baseline"))))))&amp;"  ["&amp;IF(T207=1,"seasoned","unseasoned")&amp;IF(U207=1,", defaulted","")&amp;IF(V207=1,", open","")&amp;"]")</f>
        <v/>
      </c>
    </row>
    <row r="208" customFormat="false" ht="15" hidden="false" customHeight="false" outlineLevel="0" collapsed="false">
      <c r="A208" s="105" t="n">
        <v>204</v>
      </c>
      <c r="B208" s="106" t="str">
        <f aca="false">IFERROR(INDEX('Historical Data'!$A$2:$A$1068,MATCH($A208,'Historical Data'!$BE$2:$BE$1068,0)),"")</f>
        <v/>
      </c>
      <c r="C208" s="106" t="str">
        <f aca="false">IFERROR(INDEX('Historical Data'!$B$2:$B$1068,MATCH($A208,'Historical Data'!$BE$2:$BE$1068,0)),"")</f>
        <v/>
      </c>
      <c r="D208" s="106" t="str">
        <f aca="false">IFERROR(INDEX('Historical Data'!$D$2:$D$1068,MATCH($A208,'Historical Data'!$BE$2:$BE$1068,0)),"")</f>
        <v/>
      </c>
      <c r="E208" s="107" t="str">
        <f aca="false">IFERROR(INDEX('Historical Data'!$E$2:$E$1068,MATCH($A208,'Historical Data'!$BE$2:$BE$1068,0)),"")</f>
        <v/>
      </c>
      <c r="F208" s="106" t="str">
        <f aca="false">IFERROR(INDEX('Historical Data'!$G$2:$G$1068,MATCH($A208,'Historical Data'!$BE$2:$BE$1068,0)),"")</f>
        <v/>
      </c>
      <c r="G208" s="106" t="str">
        <f aca="false">IFERROR(INDEX('Historical Data'!$Y$2:$Y$1068,MATCH($A208,'Historical Data'!$BE$2:$BE$1068,0)),"")</f>
        <v/>
      </c>
      <c r="H208" s="106" t="str">
        <f aca="false">IFERROR(INDEX('Historical Data'!$K$2:$K$1068,MATCH($A208,'Historical Data'!$BE$2:$BE$1068,0)),"")</f>
        <v/>
      </c>
      <c r="I208" s="106" t="str">
        <f aca="false">IFERROR(INDEX('Historical Data'!$J$2:$J$1068,MATCH($A208,'Historical Data'!$BE$2:$BE$1068,0)),"")</f>
        <v/>
      </c>
      <c r="J208" s="106" t="str">
        <f aca="false">IFERROR(INDEX('Historical Data'!$L$2:$L$1068,MATCH($A208,'Historical Data'!$BE$2:$BE$1068,0)),"")</f>
        <v/>
      </c>
      <c r="K208" s="108" t="str">
        <f aca="false">IFERROR(INDEX('Historical Data'!$M$2:$M$1068,MATCH($A208,'Historical Data'!$BE$2:$BE$1068,0)),"")</f>
        <v/>
      </c>
      <c r="L208" s="109" t="str">
        <f aca="false">IFERROR(INDEX('Historical Data'!$N$2:$N$1068,MATCH($A208,'Historical Data'!$BE$2:$BE$1068,0)),"")</f>
        <v/>
      </c>
      <c r="M208" s="109" t="str">
        <f aca="false">IFERROR(INDEX('Historical Data'!$Q$2:$Q$1068,MATCH($A208,'Historical Data'!$BE$2:$BE$1068,0)),"")</f>
        <v/>
      </c>
      <c r="N208" s="110" t="str">
        <f aca="false">IFERROR(INDEX('Historical Data'!$S$2:$S$1068,MATCH($A208,'Historical Data'!$BE$2:$BE$1068,0)),"")</f>
        <v/>
      </c>
      <c r="O208" s="109" t="str">
        <f aca="false">IFERROR(INDEX('Historical Data'!$AJ$2:$AJ$1068,MATCH($A208,'Historical Data'!$BE$2:$BE$1068,0)),"")</f>
        <v/>
      </c>
      <c r="P208" s="109" t="str">
        <f aca="false">IFERROR(INDEX('Historical Data'!$AK$2:$AK$1068,MATCH($A208,'Historical Data'!$BE$2:$BE$1068,0)),"")</f>
        <v/>
      </c>
      <c r="Q208" s="106" t="str">
        <f aca="false">IFERROR(INDEX('Historical Data'!$AA$2:$AA$1068,MATCH($A208,'Historical Data'!$BE$2:$BE$1068,0)),"")</f>
        <v/>
      </c>
      <c r="R208" s="106" t="str">
        <f aca="false">IFERROR(INDEX('Historical Data'!$AB$2:$AB$1068,MATCH($A208,'Historical Data'!$BE$2:$BE$1068,0)),"")</f>
        <v/>
      </c>
      <c r="S208" s="106" t="str">
        <f aca="false">IFERROR(INDEX('Historical Data'!$AN$2:$AN$1068,MATCH($A208,'Historical Data'!$BE$2:$BE$1068,0)),"")</f>
        <v/>
      </c>
      <c r="T208" s="106" t="str">
        <f aca="false">IFERROR(INDEX('Historical Data'!$AC$2:$AC$1068,MATCH($A208,'Historical Data'!$BE$2:$BE$1068,0)),"")</f>
        <v/>
      </c>
      <c r="U208" s="106" t="str">
        <f aca="false">IFERROR(INDEX('Historical Data'!$AE$2:$AE$1068,MATCH($A208,'Historical Data'!$BE$2:$BE$1068,0)),"")</f>
        <v/>
      </c>
      <c r="V208" s="106" t="str">
        <f aca="false">IFERROR(INDEX('Historical Data'!$AH$2:$AH$1068,MATCH($A208,'Historical Data'!$BE$2:$BE$1068,0)),"")</f>
        <v/>
      </c>
      <c r="W208" s="106" t="str">
        <f aca="false">IFERROR(INDEX('Historical Data'!$BC$2:$BC$1068,MATCH($A208,'Historical Data'!$BE$2:$BE$1068,0)),"")</f>
        <v/>
      </c>
      <c r="X208" s="105" t="str">
        <f aca="false">IF(B208="","",IF(W208=1,"NR + industry + position",IF(W208=2,"NR + ISO + position",IF(W208=3,"NR + industry",IF(W208=4,"NR + ISO",IF(W208=5,"NR + position",IF(W208=6,"NR only","book baseline"))))))&amp;"  ["&amp;IF(T208=1,"seasoned","unseasoned")&amp;IF(U208=1,", defaulted","")&amp;IF(V208=1,", open","")&amp;"]")</f>
        <v/>
      </c>
    </row>
    <row r="209" customFormat="false" ht="15" hidden="false" customHeight="false" outlineLevel="0" collapsed="false">
      <c r="A209" s="105" t="n">
        <v>205</v>
      </c>
      <c r="B209" s="106" t="str">
        <f aca="false">IFERROR(INDEX('Historical Data'!$A$2:$A$1068,MATCH($A209,'Historical Data'!$BE$2:$BE$1068,0)),"")</f>
        <v/>
      </c>
      <c r="C209" s="106" t="str">
        <f aca="false">IFERROR(INDEX('Historical Data'!$B$2:$B$1068,MATCH($A209,'Historical Data'!$BE$2:$BE$1068,0)),"")</f>
        <v/>
      </c>
      <c r="D209" s="106" t="str">
        <f aca="false">IFERROR(INDEX('Historical Data'!$D$2:$D$1068,MATCH($A209,'Historical Data'!$BE$2:$BE$1068,0)),"")</f>
        <v/>
      </c>
      <c r="E209" s="107" t="str">
        <f aca="false">IFERROR(INDEX('Historical Data'!$E$2:$E$1068,MATCH($A209,'Historical Data'!$BE$2:$BE$1068,0)),"")</f>
        <v/>
      </c>
      <c r="F209" s="106" t="str">
        <f aca="false">IFERROR(INDEX('Historical Data'!$G$2:$G$1068,MATCH($A209,'Historical Data'!$BE$2:$BE$1068,0)),"")</f>
        <v/>
      </c>
      <c r="G209" s="106" t="str">
        <f aca="false">IFERROR(INDEX('Historical Data'!$Y$2:$Y$1068,MATCH($A209,'Historical Data'!$BE$2:$BE$1068,0)),"")</f>
        <v/>
      </c>
      <c r="H209" s="106" t="str">
        <f aca="false">IFERROR(INDEX('Historical Data'!$K$2:$K$1068,MATCH($A209,'Historical Data'!$BE$2:$BE$1068,0)),"")</f>
        <v/>
      </c>
      <c r="I209" s="106" t="str">
        <f aca="false">IFERROR(INDEX('Historical Data'!$J$2:$J$1068,MATCH($A209,'Historical Data'!$BE$2:$BE$1068,0)),"")</f>
        <v/>
      </c>
      <c r="J209" s="106" t="str">
        <f aca="false">IFERROR(INDEX('Historical Data'!$L$2:$L$1068,MATCH($A209,'Historical Data'!$BE$2:$BE$1068,0)),"")</f>
        <v/>
      </c>
      <c r="K209" s="108" t="str">
        <f aca="false">IFERROR(INDEX('Historical Data'!$M$2:$M$1068,MATCH($A209,'Historical Data'!$BE$2:$BE$1068,0)),"")</f>
        <v/>
      </c>
      <c r="L209" s="109" t="str">
        <f aca="false">IFERROR(INDEX('Historical Data'!$N$2:$N$1068,MATCH($A209,'Historical Data'!$BE$2:$BE$1068,0)),"")</f>
        <v/>
      </c>
      <c r="M209" s="109" t="str">
        <f aca="false">IFERROR(INDEX('Historical Data'!$Q$2:$Q$1068,MATCH($A209,'Historical Data'!$BE$2:$BE$1068,0)),"")</f>
        <v/>
      </c>
      <c r="N209" s="110" t="str">
        <f aca="false">IFERROR(INDEX('Historical Data'!$S$2:$S$1068,MATCH($A209,'Historical Data'!$BE$2:$BE$1068,0)),"")</f>
        <v/>
      </c>
      <c r="O209" s="109" t="str">
        <f aca="false">IFERROR(INDEX('Historical Data'!$AJ$2:$AJ$1068,MATCH($A209,'Historical Data'!$BE$2:$BE$1068,0)),"")</f>
        <v/>
      </c>
      <c r="P209" s="109" t="str">
        <f aca="false">IFERROR(INDEX('Historical Data'!$AK$2:$AK$1068,MATCH($A209,'Historical Data'!$BE$2:$BE$1068,0)),"")</f>
        <v/>
      </c>
      <c r="Q209" s="106" t="str">
        <f aca="false">IFERROR(INDEX('Historical Data'!$AA$2:$AA$1068,MATCH($A209,'Historical Data'!$BE$2:$BE$1068,0)),"")</f>
        <v/>
      </c>
      <c r="R209" s="106" t="str">
        <f aca="false">IFERROR(INDEX('Historical Data'!$AB$2:$AB$1068,MATCH($A209,'Historical Data'!$BE$2:$BE$1068,0)),"")</f>
        <v/>
      </c>
      <c r="S209" s="106" t="str">
        <f aca="false">IFERROR(INDEX('Historical Data'!$AN$2:$AN$1068,MATCH($A209,'Historical Data'!$BE$2:$BE$1068,0)),"")</f>
        <v/>
      </c>
      <c r="T209" s="106" t="str">
        <f aca="false">IFERROR(INDEX('Historical Data'!$AC$2:$AC$1068,MATCH($A209,'Historical Data'!$BE$2:$BE$1068,0)),"")</f>
        <v/>
      </c>
      <c r="U209" s="106" t="str">
        <f aca="false">IFERROR(INDEX('Historical Data'!$AE$2:$AE$1068,MATCH($A209,'Historical Data'!$BE$2:$BE$1068,0)),"")</f>
        <v/>
      </c>
      <c r="V209" s="106" t="str">
        <f aca="false">IFERROR(INDEX('Historical Data'!$AH$2:$AH$1068,MATCH($A209,'Historical Data'!$BE$2:$BE$1068,0)),"")</f>
        <v/>
      </c>
      <c r="W209" s="106" t="str">
        <f aca="false">IFERROR(INDEX('Historical Data'!$BC$2:$BC$1068,MATCH($A209,'Historical Data'!$BE$2:$BE$1068,0)),"")</f>
        <v/>
      </c>
      <c r="X209" s="105" t="str">
        <f aca="false">IF(B209="","",IF(W209=1,"NR + industry + position",IF(W209=2,"NR + ISO + position",IF(W209=3,"NR + industry",IF(W209=4,"NR + ISO",IF(W209=5,"NR + position",IF(W209=6,"NR only","book baseline"))))))&amp;"  ["&amp;IF(T209=1,"seasoned","unseasoned")&amp;IF(U209=1,", defaulted","")&amp;IF(V209=1,", open","")&amp;"]")</f>
        <v/>
      </c>
    </row>
    <row r="210" customFormat="false" ht="15" hidden="false" customHeight="false" outlineLevel="0" collapsed="false">
      <c r="A210" s="105" t="n">
        <v>206</v>
      </c>
      <c r="B210" s="106" t="str">
        <f aca="false">IFERROR(INDEX('Historical Data'!$A$2:$A$1068,MATCH($A210,'Historical Data'!$BE$2:$BE$1068,0)),"")</f>
        <v/>
      </c>
      <c r="C210" s="106" t="str">
        <f aca="false">IFERROR(INDEX('Historical Data'!$B$2:$B$1068,MATCH($A210,'Historical Data'!$BE$2:$BE$1068,0)),"")</f>
        <v/>
      </c>
      <c r="D210" s="106" t="str">
        <f aca="false">IFERROR(INDEX('Historical Data'!$D$2:$D$1068,MATCH($A210,'Historical Data'!$BE$2:$BE$1068,0)),"")</f>
        <v/>
      </c>
      <c r="E210" s="107" t="str">
        <f aca="false">IFERROR(INDEX('Historical Data'!$E$2:$E$1068,MATCH($A210,'Historical Data'!$BE$2:$BE$1068,0)),"")</f>
        <v/>
      </c>
      <c r="F210" s="106" t="str">
        <f aca="false">IFERROR(INDEX('Historical Data'!$G$2:$G$1068,MATCH($A210,'Historical Data'!$BE$2:$BE$1068,0)),"")</f>
        <v/>
      </c>
      <c r="G210" s="106" t="str">
        <f aca="false">IFERROR(INDEX('Historical Data'!$Y$2:$Y$1068,MATCH($A210,'Historical Data'!$BE$2:$BE$1068,0)),"")</f>
        <v/>
      </c>
      <c r="H210" s="106" t="str">
        <f aca="false">IFERROR(INDEX('Historical Data'!$K$2:$K$1068,MATCH($A210,'Historical Data'!$BE$2:$BE$1068,0)),"")</f>
        <v/>
      </c>
      <c r="I210" s="106" t="str">
        <f aca="false">IFERROR(INDEX('Historical Data'!$J$2:$J$1068,MATCH($A210,'Historical Data'!$BE$2:$BE$1068,0)),"")</f>
        <v/>
      </c>
      <c r="J210" s="106" t="str">
        <f aca="false">IFERROR(INDEX('Historical Data'!$L$2:$L$1068,MATCH($A210,'Historical Data'!$BE$2:$BE$1068,0)),"")</f>
        <v/>
      </c>
      <c r="K210" s="108" t="str">
        <f aca="false">IFERROR(INDEX('Historical Data'!$M$2:$M$1068,MATCH($A210,'Historical Data'!$BE$2:$BE$1068,0)),"")</f>
        <v/>
      </c>
      <c r="L210" s="109" t="str">
        <f aca="false">IFERROR(INDEX('Historical Data'!$N$2:$N$1068,MATCH($A210,'Historical Data'!$BE$2:$BE$1068,0)),"")</f>
        <v/>
      </c>
      <c r="M210" s="109" t="str">
        <f aca="false">IFERROR(INDEX('Historical Data'!$Q$2:$Q$1068,MATCH($A210,'Historical Data'!$BE$2:$BE$1068,0)),"")</f>
        <v/>
      </c>
      <c r="N210" s="110" t="str">
        <f aca="false">IFERROR(INDEX('Historical Data'!$S$2:$S$1068,MATCH($A210,'Historical Data'!$BE$2:$BE$1068,0)),"")</f>
        <v/>
      </c>
      <c r="O210" s="109" t="str">
        <f aca="false">IFERROR(INDEX('Historical Data'!$AJ$2:$AJ$1068,MATCH($A210,'Historical Data'!$BE$2:$BE$1068,0)),"")</f>
        <v/>
      </c>
      <c r="P210" s="109" t="str">
        <f aca="false">IFERROR(INDEX('Historical Data'!$AK$2:$AK$1068,MATCH($A210,'Historical Data'!$BE$2:$BE$1068,0)),"")</f>
        <v/>
      </c>
      <c r="Q210" s="106" t="str">
        <f aca="false">IFERROR(INDEX('Historical Data'!$AA$2:$AA$1068,MATCH($A210,'Historical Data'!$BE$2:$BE$1068,0)),"")</f>
        <v/>
      </c>
      <c r="R210" s="106" t="str">
        <f aca="false">IFERROR(INDEX('Historical Data'!$AB$2:$AB$1068,MATCH($A210,'Historical Data'!$BE$2:$BE$1068,0)),"")</f>
        <v/>
      </c>
      <c r="S210" s="106" t="str">
        <f aca="false">IFERROR(INDEX('Historical Data'!$AN$2:$AN$1068,MATCH($A210,'Historical Data'!$BE$2:$BE$1068,0)),"")</f>
        <v/>
      </c>
      <c r="T210" s="106" t="str">
        <f aca="false">IFERROR(INDEX('Historical Data'!$AC$2:$AC$1068,MATCH($A210,'Historical Data'!$BE$2:$BE$1068,0)),"")</f>
        <v/>
      </c>
      <c r="U210" s="106" t="str">
        <f aca="false">IFERROR(INDEX('Historical Data'!$AE$2:$AE$1068,MATCH($A210,'Historical Data'!$BE$2:$BE$1068,0)),"")</f>
        <v/>
      </c>
      <c r="V210" s="106" t="str">
        <f aca="false">IFERROR(INDEX('Historical Data'!$AH$2:$AH$1068,MATCH($A210,'Historical Data'!$BE$2:$BE$1068,0)),"")</f>
        <v/>
      </c>
      <c r="W210" s="106" t="str">
        <f aca="false">IFERROR(INDEX('Historical Data'!$BC$2:$BC$1068,MATCH($A210,'Historical Data'!$BE$2:$BE$1068,0)),"")</f>
        <v/>
      </c>
      <c r="X210" s="105" t="str">
        <f aca="false">IF(B210="","",IF(W210=1,"NR + industry + position",IF(W210=2,"NR + ISO + position",IF(W210=3,"NR + industry",IF(W210=4,"NR + ISO",IF(W210=5,"NR + position",IF(W210=6,"NR only","book baseline"))))))&amp;"  ["&amp;IF(T210=1,"seasoned","unseasoned")&amp;IF(U210=1,", defaulted","")&amp;IF(V210=1,", open","")&amp;"]")</f>
        <v/>
      </c>
    </row>
    <row r="211" customFormat="false" ht="15" hidden="false" customHeight="false" outlineLevel="0" collapsed="false">
      <c r="A211" s="105" t="n">
        <v>207</v>
      </c>
      <c r="B211" s="106" t="str">
        <f aca="false">IFERROR(INDEX('Historical Data'!$A$2:$A$1068,MATCH($A211,'Historical Data'!$BE$2:$BE$1068,0)),"")</f>
        <v/>
      </c>
      <c r="C211" s="106" t="str">
        <f aca="false">IFERROR(INDEX('Historical Data'!$B$2:$B$1068,MATCH($A211,'Historical Data'!$BE$2:$BE$1068,0)),"")</f>
        <v/>
      </c>
      <c r="D211" s="106" t="str">
        <f aca="false">IFERROR(INDEX('Historical Data'!$D$2:$D$1068,MATCH($A211,'Historical Data'!$BE$2:$BE$1068,0)),"")</f>
        <v/>
      </c>
      <c r="E211" s="107" t="str">
        <f aca="false">IFERROR(INDEX('Historical Data'!$E$2:$E$1068,MATCH($A211,'Historical Data'!$BE$2:$BE$1068,0)),"")</f>
        <v/>
      </c>
      <c r="F211" s="106" t="str">
        <f aca="false">IFERROR(INDEX('Historical Data'!$G$2:$G$1068,MATCH($A211,'Historical Data'!$BE$2:$BE$1068,0)),"")</f>
        <v/>
      </c>
      <c r="G211" s="106" t="str">
        <f aca="false">IFERROR(INDEX('Historical Data'!$Y$2:$Y$1068,MATCH($A211,'Historical Data'!$BE$2:$BE$1068,0)),"")</f>
        <v/>
      </c>
      <c r="H211" s="106" t="str">
        <f aca="false">IFERROR(INDEX('Historical Data'!$K$2:$K$1068,MATCH($A211,'Historical Data'!$BE$2:$BE$1068,0)),"")</f>
        <v/>
      </c>
      <c r="I211" s="106" t="str">
        <f aca="false">IFERROR(INDEX('Historical Data'!$J$2:$J$1068,MATCH($A211,'Historical Data'!$BE$2:$BE$1068,0)),"")</f>
        <v/>
      </c>
      <c r="J211" s="106" t="str">
        <f aca="false">IFERROR(INDEX('Historical Data'!$L$2:$L$1068,MATCH($A211,'Historical Data'!$BE$2:$BE$1068,0)),"")</f>
        <v/>
      </c>
      <c r="K211" s="108" t="str">
        <f aca="false">IFERROR(INDEX('Historical Data'!$M$2:$M$1068,MATCH($A211,'Historical Data'!$BE$2:$BE$1068,0)),"")</f>
        <v/>
      </c>
      <c r="L211" s="109" t="str">
        <f aca="false">IFERROR(INDEX('Historical Data'!$N$2:$N$1068,MATCH($A211,'Historical Data'!$BE$2:$BE$1068,0)),"")</f>
        <v/>
      </c>
      <c r="M211" s="109" t="str">
        <f aca="false">IFERROR(INDEX('Historical Data'!$Q$2:$Q$1068,MATCH($A211,'Historical Data'!$BE$2:$BE$1068,0)),"")</f>
        <v/>
      </c>
      <c r="N211" s="110" t="str">
        <f aca="false">IFERROR(INDEX('Historical Data'!$S$2:$S$1068,MATCH($A211,'Historical Data'!$BE$2:$BE$1068,0)),"")</f>
        <v/>
      </c>
      <c r="O211" s="109" t="str">
        <f aca="false">IFERROR(INDEX('Historical Data'!$AJ$2:$AJ$1068,MATCH($A211,'Historical Data'!$BE$2:$BE$1068,0)),"")</f>
        <v/>
      </c>
      <c r="P211" s="109" t="str">
        <f aca="false">IFERROR(INDEX('Historical Data'!$AK$2:$AK$1068,MATCH($A211,'Historical Data'!$BE$2:$BE$1068,0)),"")</f>
        <v/>
      </c>
      <c r="Q211" s="106" t="str">
        <f aca="false">IFERROR(INDEX('Historical Data'!$AA$2:$AA$1068,MATCH($A211,'Historical Data'!$BE$2:$BE$1068,0)),"")</f>
        <v/>
      </c>
      <c r="R211" s="106" t="str">
        <f aca="false">IFERROR(INDEX('Historical Data'!$AB$2:$AB$1068,MATCH($A211,'Historical Data'!$BE$2:$BE$1068,0)),"")</f>
        <v/>
      </c>
      <c r="S211" s="106" t="str">
        <f aca="false">IFERROR(INDEX('Historical Data'!$AN$2:$AN$1068,MATCH($A211,'Historical Data'!$BE$2:$BE$1068,0)),"")</f>
        <v/>
      </c>
      <c r="T211" s="106" t="str">
        <f aca="false">IFERROR(INDEX('Historical Data'!$AC$2:$AC$1068,MATCH($A211,'Historical Data'!$BE$2:$BE$1068,0)),"")</f>
        <v/>
      </c>
      <c r="U211" s="106" t="str">
        <f aca="false">IFERROR(INDEX('Historical Data'!$AE$2:$AE$1068,MATCH($A211,'Historical Data'!$BE$2:$BE$1068,0)),"")</f>
        <v/>
      </c>
      <c r="V211" s="106" t="str">
        <f aca="false">IFERROR(INDEX('Historical Data'!$AH$2:$AH$1068,MATCH($A211,'Historical Data'!$BE$2:$BE$1068,0)),"")</f>
        <v/>
      </c>
      <c r="W211" s="106" t="str">
        <f aca="false">IFERROR(INDEX('Historical Data'!$BC$2:$BC$1068,MATCH($A211,'Historical Data'!$BE$2:$BE$1068,0)),"")</f>
        <v/>
      </c>
      <c r="X211" s="105" t="str">
        <f aca="false">IF(B211="","",IF(W211=1,"NR + industry + position",IF(W211=2,"NR + ISO + position",IF(W211=3,"NR + industry",IF(W211=4,"NR + ISO",IF(W211=5,"NR + position",IF(W211=6,"NR only","book baseline"))))))&amp;"  ["&amp;IF(T211=1,"seasoned","unseasoned")&amp;IF(U211=1,", defaulted","")&amp;IF(V211=1,", open","")&amp;"]")</f>
        <v/>
      </c>
    </row>
    <row r="212" customFormat="false" ht="15" hidden="false" customHeight="false" outlineLevel="0" collapsed="false">
      <c r="A212" s="105" t="n">
        <v>208</v>
      </c>
      <c r="B212" s="106" t="str">
        <f aca="false">IFERROR(INDEX('Historical Data'!$A$2:$A$1068,MATCH($A212,'Historical Data'!$BE$2:$BE$1068,0)),"")</f>
        <v/>
      </c>
      <c r="C212" s="106" t="str">
        <f aca="false">IFERROR(INDEX('Historical Data'!$B$2:$B$1068,MATCH($A212,'Historical Data'!$BE$2:$BE$1068,0)),"")</f>
        <v/>
      </c>
      <c r="D212" s="106" t="str">
        <f aca="false">IFERROR(INDEX('Historical Data'!$D$2:$D$1068,MATCH($A212,'Historical Data'!$BE$2:$BE$1068,0)),"")</f>
        <v/>
      </c>
      <c r="E212" s="107" t="str">
        <f aca="false">IFERROR(INDEX('Historical Data'!$E$2:$E$1068,MATCH($A212,'Historical Data'!$BE$2:$BE$1068,0)),"")</f>
        <v/>
      </c>
      <c r="F212" s="106" t="str">
        <f aca="false">IFERROR(INDEX('Historical Data'!$G$2:$G$1068,MATCH($A212,'Historical Data'!$BE$2:$BE$1068,0)),"")</f>
        <v/>
      </c>
      <c r="G212" s="106" t="str">
        <f aca="false">IFERROR(INDEX('Historical Data'!$Y$2:$Y$1068,MATCH($A212,'Historical Data'!$BE$2:$BE$1068,0)),"")</f>
        <v/>
      </c>
      <c r="H212" s="106" t="str">
        <f aca="false">IFERROR(INDEX('Historical Data'!$K$2:$K$1068,MATCH($A212,'Historical Data'!$BE$2:$BE$1068,0)),"")</f>
        <v/>
      </c>
      <c r="I212" s="106" t="str">
        <f aca="false">IFERROR(INDEX('Historical Data'!$J$2:$J$1068,MATCH($A212,'Historical Data'!$BE$2:$BE$1068,0)),"")</f>
        <v/>
      </c>
      <c r="J212" s="106" t="str">
        <f aca="false">IFERROR(INDEX('Historical Data'!$L$2:$L$1068,MATCH($A212,'Historical Data'!$BE$2:$BE$1068,0)),"")</f>
        <v/>
      </c>
      <c r="K212" s="108" t="str">
        <f aca="false">IFERROR(INDEX('Historical Data'!$M$2:$M$1068,MATCH($A212,'Historical Data'!$BE$2:$BE$1068,0)),"")</f>
        <v/>
      </c>
      <c r="L212" s="109" t="str">
        <f aca="false">IFERROR(INDEX('Historical Data'!$N$2:$N$1068,MATCH($A212,'Historical Data'!$BE$2:$BE$1068,0)),"")</f>
        <v/>
      </c>
      <c r="M212" s="109" t="str">
        <f aca="false">IFERROR(INDEX('Historical Data'!$Q$2:$Q$1068,MATCH($A212,'Historical Data'!$BE$2:$BE$1068,0)),"")</f>
        <v/>
      </c>
      <c r="N212" s="110" t="str">
        <f aca="false">IFERROR(INDEX('Historical Data'!$S$2:$S$1068,MATCH($A212,'Historical Data'!$BE$2:$BE$1068,0)),"")</f>
        <v/>
      </c>
      <c r="O212" s="109" t="str">
        <f aca="false">IFERROR(INDEX('Historical Data'!$AJ$2:$AJ$1068,MATCH($A212,'Historical Data'!$BE$2:$BE$1068,0)),"")</f>
        <v/>
      </c>
      <c r="P212" s="109" t="str">
        <f aca="false">IFERROR(INDEX('Historical Data'!$AK$2:$AK$1068,MATCH($A212,'Historical Data'!$BE$2:$BE$1068,0)),"")</f>
        <v/>
      </c>
      <c r="Q212" s="106" t="str">
        <f aca="false">IFERROR(INDEX('Historical Data'!$AA$2:$AA$1068,MATCH($A212,'Historical Data'!$BE$2:$BE$1068,0)),"")</f>
        <v/>
      </c>
      <c r="R212" s="106" t="str">
        <f aca="false">IFERROR(INDEX('Historical Data'!$AB$2:$AB$1068,MATCH($A212,'Historical Data'!$BE$2:$BE$1068,0)),"")</f>
        <v/>
      </c>
      <c r="S212" s="106" t="str">
        <f aca="false">IFERROR(INDEX('Historical Data'!$AN$2:$AN$1068,MATCH($A212,'Historical Data'!$BE$2:$BE$1068,0)),"")</f>
        <v/>
      </c>
      <c r="T212" s="106" t="str">
        <f aca="false">IFERROR(INDEX('Historical Data'!$AC$2:$AC$1068,MATCH($A212,'Historical Data'!$BE$2:$BE$1068,0)),"")</f>
        <v/>
      </c>
      <c r="U212" s="106" t="str">
        <f aca="false">IFERROR(INDEX('Historical Data'!$AE$2:$AE$1068,MATCH($A212,'Historical Data'!$BE$2:$BE$1068,0)),"")</f>
        <v/>
      </c>
      <c r="V212" s="106" t="str">
        <f aca="false">IFERROR(INDEX('Historical Data'!$AH$2:$AH$1068,MATCH($A212,'Historical Data'!$BE$2:$BE$1068,0)),"")</f>
        <v/>
      </c>
      <c r="W212" s="106" t="str">
        <f aca="false">IFERROR(INDEX('Historical Data'!$BC$2:$BC$1068,MATCH($A212,'Historical Data'!$BE$2:$BE$1068,0)),"")</f>
        <v/>
      </c>
      <c r="X212" s="105" t="str">
        <f aca="false">IF(B212="","",IF(W212=1,"NR + industry + position",IF(W212=2,"NR + ISO + position",IF(W212=3,"NR + industry",IF(W212=4,"NR + ISO",IF(W212=5,"NR + position",IF(W212=6,"NR only","book baseline"))))))&amp;"  ["&amp;IF(T212=1,"seasoned","unseasoned")&amp;IF(U212=1,", defaulted","")&amp;IF(V212=1,", open","")&amp;"]")</f>
        <v/>
      </c>
    </row>
    <row r="213" customFormat="false" ht="15" hidden="false" customHeight="false" outlineLevel="0" collapsed="false">
      <c r="A213" s="105" t="n">
        <v>209</v>
      </c>
      <c r="B213" s="106" t="str">
        <f aca="false">IFERROR(INDEX('Historical Data'!$A$2:$A$1068,MATCH($A213,'Historical Data'!$BE$2:$BE$1068,0)),"")</f>
        <v/>
      </c>
      <c r="C213" s="106" t="str">
        <f aca="false">IFERROR(INDEX('Historical Data'!$B$2:$B$1068,MATCH($A213,'Historical Data'!$BE$2:$BE$1068,0)),"")</f>
        <v/>
      </c>
      <c r="D213" s="106" t="str">
        <f aca="false">IFERROR(INDEX('Historical Data'!$D$2:$D$1068,MATCH($A213,'Historical Data'!$BE$2:$BE$1068,0)),"")</f>
        <v/>
      </c>
      <c r="E213" s="107" t="str">
        <f aca="false">IFERROR(INDEX('Historical Data'!$E$2:$E$1068,MATCH($A213,'Historical Data'!$BE$2:$BE$1068,0)),"")</f>
        <v/>
      </c>
      <c r="F213" s="106" t="str">
        <f aca="false">IFERROR(INDEX('Historical Data'!$G$2:$G$1068,MATCH($A213,'Historical Data'!$BE$2:$BE$1068,0)),"")</f>
        <v/>
      </c>
      <c r="G213" s="106" t="str">
        <f aca="false">IFERROR(INDEX('Historical Data'!$Y$2:$Y$1068,MATCH($A213,'Historical Data'!$BE$2:$BE$1068,0)),"")</f>
        <v/>
      </c>
      <c r="H213" s="106" t="str">
        <f aca="false">IFERROR(INDEX('Historical Data'!$K$2:$K$1068,MATCH($A213,'Historical Data'!$BE$2:$BE$1068,0)),"")</f>
        <v/>
      </c>
      <c r="I213" s="106" t="str">
        <f aca="false">IFERROR(INDEX('Historical Data'!$J$2:$J$1068,MATCH($A213,'Historical Data'!$BE$2:$BE$1068,0)),"")</f>
        <v/>
      </c>
      <c r="J213" s="106" t="str">
        <f aca="false">IFERROR(INDEX('Historical Data'!$L$2:$L$1068,MATCH($A213,'Historical Data'!$BE$2:$BE$1068,0)),"")</f>
        <v/>
      </c>
      <c r="K213" s="108" t="str">
        <f aca="false">IFERROR(INDEX('Historical Data'!$M$2:$M$1068,MATCH($A213,'Historical Data'!$BE$2:$BE$1068,0)),"")</f>
        <v/>
      </c>
      <c r="L213" s="109" t="str">
        <f aca="false">IFERROR(INDEX('Historical Data'!$N$2:$N$1068,MATCH($A213,'Historical Data'!$BE$2:$BE$1068,0)),"")</f>
        <v/>
      </c>
      <c r="M213" s="109" t="str">
        <f aca="false">IFERROR(INDEX('Historical Data'!$Q$2:$Q$1068,MATCH($A213,'Historical Data'!$BE$2:$BE$1068,0)),"")</f>
        <v/>
      </c>
      <c r="N213" s="110" t="str">
        <f aca="false">IFERROR(INDEX('Historical Data'!$S$2:$S$1068,MATCH($A213,'Historical Data'!$BE$2:$BE$1068,0)),"")</f>
        <v/>
      </c>
      <c r="O213" s="109" t="str">
        <f aca="false">IFERROR(INDEX('Historical Data'!$AJ$2:$AJ$1068,MATCH($A213,'Historical Data'!$BE$2:$BE$1068,0)),"")</f>
        <v/>
      </c>
      <c r="P213" s="109" t="str">
        <f aca="false">IFERROR(INDEX('Historical Data'!$AK$2:$AK$1068,MATCH($A213,'Historical Data'!$BE$2:$BE$1068,0)),"")</f>
        <v/>
      </c>
      <c r="Q213" s="106" t="str">
        <f aca="false">IFERROR(INDEX('Historical Data'!$AA$2:$AA$1068,MATCH($A213,'Historical Data'!$BE$2:$BE$1068,0)),"")</f>
        <v/>
      </c>
      <c r="R213" s="106" t="str">
        <f aca="false">IFERROR(INDEX('Historical Data'!$AB$2:$AB$1068,MATCH($A213,'Historical Data'!$BE$2:$BE$1068,0)),"")</f>
        <v/>
      </c>
      <c r="S213" s="106" t="str">
        <f aca="false">IFERROR(INDEX('Historical Data'!$AN$2:$AN$1068,MATCH($A213,'Historical Data'!$BE$2:$BE$1068,0)),"")</f>
        <v/>
      </c>
      <c r="T213" s="106" t="str">
        <f aca="false">IFERROR(INDEX('Historical Data'!$AC$2:$AC$1068,MATCH($A213,'Historical Data'!$BE$2:$BE$1068,0)),"")</f>
        <v/>
      </c>
      <c r="U213" s="106" t="str">
        <f aca="false">IFERROR(INDEX('Historical Data'!$AE$2:$AE$1068,MATCH($A213,'Historical Data'!$BE$2:$BE$1068,0)),"")</f>
        <v/>
      </c>
      <c r="V213" s="106" t="str">
        <f aca="false">IFERROR(INDEX('Historical Data'!$AH$2:$AH$1068,MATCH($A213,'Historical Data'!$BE$2:$BE$1068,0)),"")</f>
        <v/>
      </c>
      <c r="W213" s="106" t="str">
        <f aca="false">IFERROR(INDEX('Historical Data'!$BC$2:$BC$1068,MATCH($A213,'Historical Data'!$BE$2:$BE$1068,0)),"")</f>
        <v/>
      </c>
      <c r="X213" s="105" t="str">
        <f aca="false">IF(B213="","",IF(W213=1,"NR + industry + position",IF(W213=2,"NR + ISO + position",IF(W213=3,"NR + industry",IF(W213=4,"NR + ISO",IF(W213=5,"NR + position",IF(W213=6,"NR only","book baseline"))))))&amp;"  ["&amp;IF(T213=1,"seasoned","unseasoned")&amp;IF(U213=1,", defaulted","")&amp;IF(V213=1,", open","")&amp;"]")</f>
        <v/>
      </c>
    </row>
    <row r="214" customFormat="false" ht="15" hidden="false" customHeight="false" outlineLevel="0" collapsed="false">
      <c r="A214" s="105" t="n">
        <v>210</v>
      </c>
      <c r="B214" s="106" t="str">
        <f aca="false">IFERROR(INDEX('Historical Data'!$A$2:$A$1068,MATCH($A214,'Historical Data'!$BE$2:$BE$1068,0)),"")</f>
        <v/>
      </c>
      <c r="C214" s="106" t="str">
        <f aca="false">IFERROR(INDEX('Historical Data'!$B$2:$B$1068,MATCH($A214,'Historical Data'!$BE$2:$BE$1068,0)),"")</f>
        <v/>
      </c>
      <c r="D214" s="106" t="str">
        <f aca="false">IFERROR(INDEX('Historical Data'!$D$2:$D$1068,MATCH($A214,'Historical Data'!$BE$2:$BE$1068,0)),"")</f>
        <v/>
      </c>
      <c r="E214" s="107" t="str">
        <f aca="false">IFERROR(INDEX('Historical Data'!$E$2:$E$1068,MATCH($A214,'Historical Data'!$BE$2:$BE$1068,0)),"")</f>
        <v/>
      </c>
      <c r="F214" s="106" t="str">
        <f aca="false">IFERROR(INDEX('Historical Data'!$G$2:$G$1068,MATCH($A214,'Historical Data'!$BE$2:$BE$1068,0)),"")</f>
        <v/>
      </c>
      <c r="G214" s="106" t="str">
        <f aca="false">IFERROR(INDEX('Historical Data'!$Y$2:$Y$1068,MATCH($A214,'Historical Data'!$BE$2:$BE$1068,0)),"")</f>
        <v/>
      </c>
      <c r="H214" s="106" t="str">
        <f aca="false">IFERROR(INDEX('Historical Data'!$K$2:$K$1068,MATCH($A214,'Historical Data'!$BE$2:$BE$1068,0)),"")</f>
        <v/>
      </c>
      <c r="I214" s="106" t="str">
        <f aca="false">IFERROR(INDEX('Historical Data'!$J$2:$J$1068,MATCH($A214,'Historical Data'!$BE$2:$BE$1068,0)),"")</f>
        <v/>
      </c>
      <c r="J214" s="106" t="str">
        <f aca="false">IFERROR(INDEX('Historical Data'!$L$2:$L$1068,MATCH($A214,'Historical Data'!$BE$2:$BE$1068,0)),"")</f>
        <v/>
      </c>
      <c r="K214" s="108" t="str">
        <f aca="false">IFERROR(INDEX('Historical Data'!$M$2:$M$1068,MATCH($A214,'Historical Data'!$BE$2:$BE$1068,0)),"")</f>
        <v/>
      </c>
      <c r="L214" s="109" t="str">
        <f aca="false">IFERROR(INDEX('Historical Data'!$N$2:$N$1068,MATCH($A214,'Historical Data'!$BE$2:$BE$1068,0)),"")</f>
        <v/>
      </c>
      <c r="M214" s="109" t="str">
        <f aca="false">IFERROR(INDEX('Historical Data'!$Q$2:$Q$1068,MATCH($A214,'Historical Data'!$BE$2:$BE$1068,0)),"")</f>
        <v/>
      </c>
      <c r="N214" s="110" t="str">
        <f aca="false">IFERROR(INDEX('Historical Data'!$S$2:$S$1068,MATCH($A214,'Historical Data'!$BE$2:$BE$1068,0)),"")</f>
        <v/>
      </c>
      <c r="O214" s="109" t="str">
        <f aca="false">IFERROR(INDEX('Historical Data'!$AJ$2:$AJ$1068,MATCH($A214,'Historical Data'!$BE$2:$BE$1068,0)),"")</f>
        <v/>
      </c>
      <c r="P214" s="109" t="str">
        <f aca="false">IFERROR(INDEX('Historical Data'!$AK$2:$AK$1068,MATCH($A214,'Historical Data'!$BE$2:$BE$1068,0)),"")</f>
        <v/>
      </c>
      <c r="Q214" s="106" t="str">
        <f aca="false">IFERROR(INDEX('Historical Data'!$AA$2:$AA$1068,MATCH($A214,'Historical Data'!$BE$2:$BE$1068,0)),"")</f>
        <v/>
      </c>
      <c r="R214" s="106" t="str">
        <f aca="false">IFERROR(INDEX('Historical Data'!$AB$2:$AB$1068,MATCH($A214,'Historical Data'!$BE$2:$BE$1068,0)),"")</f>
        <v/>
      </c>
      <c r="S214" s="106" t="str">
        <f aca="false">IFERROR(INDEX('Historical Data'!$AN$2:$AN$1068,MATCH($A214,'Historical Data'!$BE$2:$BE$1068,0)),"")</f>
        <v/>
      </c>
      <c r="T214" s="106" t="str">
        <f aca="false">IFERROR(INDEX('Historical Data'!$AC$2:$AC$1068,MATCH($A214,'Historical Data'!$BE$2:$BE$1068,0)),"")</f>
        <v/>
      </c>
      <c r="U214" s="106" t="str">
        <f aca="false">IFERROR(INDEX('Historical Data'!$AE$2:$AE$1068,MATCH($A214,'Historical Data'!$BE$2:$BE$1068,0)),"")</f>
        <v/>
      </c>
      <c r="V214" s="106" t="str">
        <f aca="false">IFERROR(INDEX('Historical Data'!$AH$2:$AH$1068,MATCH($A214,'Historical Data'!$BE$2:$BE$1068,0)),"")</f>
        <v/>
      </c>
      <c r="W214" s="106" t="str">
        <f aca="false">IFERROR(INDEX('Historical Data'!$BC$2:$BC$1068,MATCH($A214,'Historical Data'!$BE$2:$BE$1068,0)),"")</f>
        <v/>
      </c>
      <c r="X214" s="105" t="str">
        <f aca="false">IF(B214="","",IF(W214=1,"NR + industry + position",IF(W214=2,"NR + ISO + position",IF(W214=3,"NR + industry",IF(W214=4,"NR + ISO",IF(W214=5,"NR + position",IF(W214=6,"NR only","book baseline"))))))&amp;"  ["&amp;IF(T214=1,"seasoned","unseasoned")&amp;IF(U214=1,", defaulted","")&amp;IF(V214=1,", open","")&amp;"]")</f>
        <v/>
      </c>
    </row>
    <row r="215" customFormat="false" ht="15" hidden="false" customHeight="false" outlineLevel="0" collapsed="false">
      <c r="A215" s="105" t="n">
        <v>211</v>
      </c>
      <c r="B215" s="106" t="str">
        <f aca="false">IFERROR(INDEX('Historical Data'!$A$2:$A$1068,MATCH($A215,'Historical Data'!$BE$2:$BE$1068,0)),"")</f>
        <v/>
      </c>
      <c r="C215" s="106" t="str">
        <f aca="false">IFERROR(INDEX('Historical Data'!$B$2:$B$1068,MATCH($A215,'Historical Data'!$BE$2:$BE$1068,0)),"")</f>
        <v/>
      </c>
      <c r="D215" s="106" t="str">
        <f aca="false">IFERROR(INDEX('Historical Data'!$D$2:$D$1068,MATCH($A215,'Historical Data'!$BE$2:$BE$1068,0)),"")</f>
        <v/>
      </c>
      <c r="E215" s="107" t="str">
        <f aca="false">IFERROR(INDEX('Historical Data'!$E$2:$E$1068,MATCH($A215,'Historical Data'!$BE$2:$BE$1068,0)),"")</f>
        <v/>
      </c>
      <c r="F215" s="106" t="str">
        <f aca="false">IFERROR(INDEX('Historical Data'!$G$2:$G$1068,MATCH($A215,'Historical Data'!$BE$2:$BE$1068,0)),"")</f>
        <v/>
      </c>
      <c r="G215" s="106" t="str">
        <f aca="false">IFERROR(INDEX('Historical Data'!$Y$2:$Y$1068,MATCH($A215,'Historical Data'!$BE$2:$BE$1068,0)),"")</f>
        <v/>
      </c>
      <c r="H215" s="106" t="str">
        <f aca="false">IFERROR(INDEX('Historical Data'!$K$2:$K$1068,MATCH($A215,'Historical Data'!$BE$2:$BE$1068,0)),"")</f>
        <v/>
      </c>
      <c r="I215" s="106" t="str">
        <f aca="false">IFERROR(INDEX('Historical Data'!$J$2:$J$1068,MATCH($A215,'Historical Data'!$BE$2:$BE$1068,0)),"")</f>
        <v/>
      </c>
      <c r="J215" s="106" t="str">
        <f aca="false">IFERROR(INDEX('Historical Data'!$L$2:$L$1068,MATCH($A215,'Historical Data'!$BE$2:$BE$1068,0)),"")</f>
        <v/>
      </c>
      <c r="K215" s="108" t="str">
        <f aca="false">IFERROR(INDEX('Historical Data'!$M$2:$M$1068,MATCH($A215,'Historical Data'!$BE$2:$BE$1068,0)),"")</f>
        <v/>
      </c>
      <c r="L215" s="109" t="str">
        <f aca="false">IFERROR(INDEX('Historical Data'!$N$2:$N$1068,MATCH($A215,'Historical Data'!$BE$2:$BE$1068,0)),"")</f>
        <v/>
      </c>
      <c r="M215" s="109" t="str">
        <f aca="false">IFERROR(INDEX('Historical Data'!$Q$2:$Q$1068,MATCH($A215,'Historical Data'!$BE$2:$BE$1068,0)),"")</f>
        <v/>
      </c>
      <c r="N215" s="110" t="str">
        <f aca="false">IFERROR(INDEX('Historical Data'!$S$2:$S$1068,MATCH($A215,'Historical Data'!$BE$2:$BE$1068,0)),"")</f>
        <v/>
      </c>
      <c r="O215" s="109" t="str">
        <f aca="false">IFERROR(INDEX('Historical Data'!$AJ$2:$AJ$1068,MATCH($A215,'Historical Data'!$BE$2:$BE$1068,0)),"")</f>
        <v/>
      </c>
      <c r="P215" s="109" t="str">
        <f aca="false">IFERROR(INDEX('Historical Data'!$AK$2:$AK$1068,MATCH($A215,'Historical Data'!$BE$2:$BE$1068,0)),"")</f>
        <v/>
      </c>
      <c r="Q215" s="106" t="str">
        <f aca="false">IFERROR(INDEX('Historical Data'!$AA$2:$AA$1068,MATCH($A215,'Historical Data'!$BE$2:$BE$1068,0)),"")</f>
        <v/>
      </c>
      <c r="R215" s="106" t="str">
        <f aca="false">IFERROR(INDEX('Historical Data'!$AB$2:$AB$1068,MATCH($A215,'Historical Data'!$BE$2:$BE$1068,0)),"")</f>
        <v/>
      </c>
      <c r="S215" s="106" t="str">
        <f aca="false">IFERROR(INDEX('Historical Data'!$AN$2:$AN$1068,MATCH($A215,'Historical Data'!$BE$2:$BE$1068,0)),"")</f>
        <v/>
      </c>
      <c r="T215" s="106" t="str">
        <f aca="false">IFERROR(INDEX('Historical Data'!$AC$2:$AC$1068,MATCH($A215,'Historical Data'!$BE$2:$BE$1068,0)),"")</f>
        <v/>
      </c>
      <c r="U215" s="106" t="str">
        <f aca="false">IFERROR(INDEX('Historical Data'!$AE$2:$AE$1068,MATCH($A215,'Historical Data'!$BE$2:$BE$1068,0)),"")</f>
        <v/>
      </c>
      <c r="V215" s="106" t="str">
        <f aca="false">IFERROR(INDEX('Historical Data'!$AH$2:$AH$1068,MATCH($A215,'Historical Data'!$BE$2:$BE$1068,0)),"")</f>
        <v/>
      </c>
      <c r="W215" s="106" t="str">
        <f aca="false">IFERROR(INDEX('Historical Data'!$BC$2:$BC$1068,MATCH($A215,'Historical Data'!$BE$2:$BE$1068,0)),"")</f>
        <v/>
      </c>
      <c r="X215" s="105" t="str">
        <f aca="false">IF(B215="","",IF(W215=1,"NR + industry + position",IF(W215=2,"NR + ISO + position",IF(W215=3,"NR + industry",IF(W215=4,"NR + ISO",IF(W215=5,"NR + position",IF(W215=6,"NR only","book baseline"))))))&amp;"  ["&amp;IF(T215=1,"seasoned","unseasoned")&amp;IF(U215=1,", defaulted","")&amp;IF(V215=1,", open","")&amp;"]")</f>
        <v/>
      </c>
    </row>
    <row r="216" customFormat="false" ht="15" hidden="false" customHeight="false" outlineLevel="0" collapsed="false">
      <c r="A216" s="105" t="n">
        <v>212</v>
      </c>
      <c r="B216" s="106" t="str">
        <f aca="false">IFERROR(INDEX('Historical Data'!$A$2:$A$1068,MATCH($A216,'Historical Data'!$BE$2:$BE$1068,0)),"")</f>
        <v/>
      </c>
      <c r="C216" s="106" t="str">
        <f aca="false">IFERROR(INDEX('Historical Data'!$B$2:$B$1068,MATCH($A216,'Historical Data'!$BE$2:$BE$1068,0)),"")</f>
        <v/>
      </c>
      <c r="D216" s="106" t="str">
        <f aca="false">IFERROR(INDEX('Historical Data'!$D$2:$D$1068,MATCH($A216,'Historical Data'!$BE$2:$BE$1068,0)),"")</f>
        <v/>
      </c>
      <c r="E216" s="107" t="str">
        <f aca="false">IFERROR(INDEX('Historical Data'!$E$2:$E$1068,MATCH($A216,'Historical Data'!$BE$2:$BE$1068,0)),"")</f>
        <v/>
      </c>
      <c r="F216" s="106" t="str">
        <f aca="false">IFERROR(INDEX('Historical Data'!$G$2:$G$1068,MATCH($A216,'Historical Data'!$BE$2:$BE$1068,0)),"")</f>
        <v/>
      </c>
      <c r="G216" s="106" t="str">
        <f aca="false">IFERROR(INDEX('Historical Data'!$Y$2:$Y$1068,MATCH($A216,'Historical Data'!$BE$2:$BE$1068,0)),"")</f>
        <v/>
      </c>
      <c r="H216" s="106" t="str">
        <f aca="false">IFERROR(INDEX('Historical Data'!$K$2:$K$1068,MATCH($A216,'Historical Data'!$BE$2:$BE$1068,0)),"")</f>
        <v/>
      </c>
      <c r="I216" s="106" t="str">
        <f aca="false">IFERROR(INDEX('Historical Data'!$J$2:$J$1068,MATCH($A216,'Historical Data'!$BE$2:$BE$1068,0)),"")</f>
        <v/>
      </c>
      <c r="J216" s="106" t="str">
        <f aca="false">IFERROR(INDEX('Historical Data'!$L$2:$L$1068,MATCH($A216,'Historical Data'!$BE$2:$BE$1068,0)),"")</f>
        <v/>
      </c>
      <c r="K216" s="108" t="str">
        <f aca="false">IFERROR(INDEX('Historical Data'!$M$2:$M$1068,MATCH($A216,'Historical Data'!$BE$2:$BE$1068,0)),"")</f>
        <v/>
      </c>
      <c r="L216" s="109" t="str">
        <f aca="false">IFERROR(INDEX('Historical Data'!$N$2:$N$1068,MATCH($A216,'Historical Data'!$BE$2:$BE$1068,0)),"")</f>
        <v/>
      </c>
      <c r="M216" s="109" t="str">
        <f aca="false">IFERROR(INDEX('Historical Data'!$Q$2:$Q$1068,MATCH($A216,'Historical Data'!$BE$2:$BE$1068,0)),"")</f>
        <v/>
      </c>
      <c r="N216" s="110" t="str">
        <f aca="false">IFERROR(INDEX('Historical Data'!$S$2:$S$1068,MATCH($A216,'Historical Data'!$BE$2:$BE$1068,0)),"")</f>
        <v/>
      </c>
      <c r="O216" s="109" t="str">
        <f aca="false">IFERROR(INDEX('Historical Data'!$AJ$2:$AJ$1068,MATCH($A216,'Historical Data'!$BE$2:$BE$1068,0)),"")</f>
        <v/>
      </c>
      <c r="P216" s="109" t="str">
        <f aca="false">IFERROR(INDEX('Historical Data'!$AK$2:$AK$1068,MATCH($A216,'Historical Data'!$BE$2:$BE$1068,0)),"")</f>
        <v/>
      </c>
      <c r="Q216" s="106" t="str">
        <f aca="false">IFERROR(INDEX('Historical Data'!$AA$2:$AA$1068,MATCH($A216,'Historical Data'!$BE$2:$BE$1068,0)),"")</f>
        <v/>
      </c>
      <c r="R216" s="106" t="str">
        <f aca="false">IFERROR(INDEX('Historical Data'!$AB$2:$AB$1068,MATCH($A216,'Historical Data'!$BE$2:$BE$1068,0)),"")</f>
        <v/>
      </c>
      <c r="S216" s="106" t="str">
        <f aca="false">IFERROR(INDEX('Historical Data'!$AN$2:$AN$1068,MATCH($A216,'Historical Data'!$BE$2:$BE$1068,0)),"")</f>
        <v/>
      </c>
      <c r="T216" s="106" t="str">
        <f aca="false">IFERROR(INDEX('Historical Data'!$AC$2:$AC$1068,MATCH($A216,'Historical Data'!$BE$2:$BE$1068,0)),"")</f>
        <v/>
      </c>
      <c r="U216" s="106" t="str">
        <f aca="false">IFERROR(INDEX('Historical Data'!$AE$2:$AE$1068,MATCH($A216,'Historical Data'!$BE$2:$BE$1068,0)),"")</f>
        <v/>
      </c>
      <c r="V216" s="106" t="str">
        <f aca="false">IFERROR(INDEX('Historical Data'!$AH$2:$AH$1068,MATCH($A216,'Historical Data'!$BE$2:$BE$1068,0)),"")</f>
        <v/>
      </c>
      <c r="W216" s="106" t="str">
        <f aca="false">IFERROR(INDEX('Historical Data'!$BC$2:$BC$1068,MATCH($A216,'Historical Data'!$BE$2:$BE$1068,0)),"")</f>
        <v/>
      </c>
      <c r="X216" s="105" t="str">
        <f aca="false">IF(B216="","",IF(W216=1,"NR + industry + position",IF(W216=2,"NR + ISO + position",IF(W216=3,"NR + industry",IF(W216=4,"NR + ISO",IF(W216=5,"NR + position",IF(W216=6,"NR only","book baseline"))))))&amp;"  ["&amp;IF(T216=1,"seasoned","unseasoned")&amp;IF(U216=1,", defaulted","")&amp;IF(V216=1,", open","")&amp;"]")</f>
        <v/>
      </c>
    </row>
    <row r="217" customFormat="false" ht="15" hidden="false" customHeight="false" outlineLevel="0" collapsed="false">
      <c r="A217" s="105" t="n">
        <v>213</v>
      </c>
      <c r="B217" s="106" t="str">
        <f aca="false">IFERROR(INDEX('Historical Data'!$A$2:$A$1068,MATCH($A217,'Historical Data'!$BE$2:$BE$1068,0)),"")</f>
        <v/>
      </c>
      <c r="C217" s="106" t="str">
        <f aca="false">IFERROR(INDEX('Historical Data'!$B$2:$B$1068,MATCH($A217,'Historical Data'!$BE$2:$BE$1068,0)),"")</f>
        <v/>
      </c>
      <c r="D217" s="106" t="str">
        <f aca="false">IFERROR(INDEX('Historical Data'!$D$2:$D$1068,MATCH($A217,'Historical Data'!$BE$2:$BE$1068,0)),"")</f>
        <v/>
      </c>
      <c r="E217" s="107" t="str">
        <f aca="false">IFERROR(INDEX('Historical Data'!$E$2:$E$1068,MATCH($A217,'Historical Data'!$BE$2:$BE$1068,0)),"")</f>
        <v/>
      </c>
      <c r="F217" s="106" t="str">
        <f aca="false">IFERROR(INDEX('Historical Data'!$G$2:$G$1068,MATCH($A217,'Historical Data'!$BE$2:$BE$1068,0)),"")</f>
        <v/>
      </c>
      <c r="G217" s="106" t="str">
        <f aca="false">IFERROR(INDEX('Historical Data'!$Y$2:$Y$1068,MATCH($A217,'Historical Data'!$BE$2:$BE$1068,0)),"")</f>
        <v/>
      </c>
      <c r="H217" s="106" t="str">
        <f aca="false">IFERROR(INDEX('Historical Data'!$K$2:$K$1068,MATCH($A217,'Historical Data'!$BE$2:$BE$1068,0)),"")</f>
        <v/>
      </c>
      <c r="I217" s="106" t="str">
        <f aca="false">IFERROR(INDEX('Historical Data'!$J$2:$J$1068,MATCH($A217,'Historical Data'!$BE$2:$BE$1068,0)),"")</f>
        <v/>
      </c>
      <c r="J217" s="106" t="str">
        <f aca="false">IFERROR(INDEX('Historical Data'!$L$2:$L$1068,MATCH($A217,'Historical Data'!$BE$2:$BE$1068,0)),"")</f>
        <v/>
      </c>
      <c r="K217" s="108" t="str">
        <f aca="false">IFERROR(INDEX('Historical Data'!$M$2:$M$1068,MATCH($A217,'Historical Data'!$BE$2:$BE$1068,0)),"")</f>
        <v/>
      </c>
      <c r="L217" s="109" t="str">
        <f aca="false">IFERROR(INDEX('Historical Data'!$N$2:$N$1068,MATCH($A217,'Historical Data'!$BE$2:$BE$1068,0)),"")</f>
        <v/>
      </c>
      <c r="M217" s="109" t="str">
        <f aca="false">IFERROR(INDEX('Historical Data'!$Q$2:$Q$1068,MATCH($A217,'Historical Data'!$BE$2:$BE$1068,0)),"")</f>
        <v/>
      </c>
      <c r="N217" s="110" t="str">
        <f aca="false">IFERROR(INDEX('Historical Data'!$S$2:$S$1068,MATCH($A217,'Historical Data'!$BE$2:$BE$1068,0)),"")</f>
        <v/>
      </c>
      <c r="O217" s="109" t="str">
        <f aca="false">IFERROR(INDEX('Historical Data'!$AJ$2:$AJ$1068,MATCH($A217,'Historical Data'!$BE$2:$BE$1068,0)),"")</f>
        <v/>
      </c>
      <c r="P217" s="109" t="str">
        <f aca="false">IFERROR(INDEX('Historical Data'!$AK$2:$AK$1068,MATCH($A217,'Historical Data'!$BE$2:$BE$1068,0)),"")</f>
        <v/>
      </c>
      <c r="Q217" s="106" t="str">
        <f aca="false">IFERROR(INDEX('Historical Data'!$AA$2:$AA$1068,MATCH($A217,'Historical Data'!$BE$2:$BE$1068,0)),"")</f>
        <v/>
      </c>
      <c r="R217" s="106" t="str">
        <f aca="false">IFERROR(INDEX('Historical Data'!$AB$2:$AB$1068,MATCH($A217,'Historical Data'!$BE$2:$BE$1068,0)),"")</f>
        <v/>
      </c>
      <c r="S217" s="106" t="str">
        <f aca="false">IFERROR(INDEX('Historical Data'!$AN$2:$AN$1068,MATCH($A217,'Historical Data'!$BE$2:$BE$1068,0)),"")</f>
        <v/>
      </c>
      <c r="T217" s="106" t="str">
        <f aca="false">IFERROR(INDEX('Historical Data'!$AC$2:$AC$1068,MATCH($A217,'Historical Data'!$BE$2:$BE$1068,0)),"")</f>
        <v/>
      </c>
      <c r="U217" s="106" t="str">
        <f aca="false">IFERROR(INDEX('Historical Data'!$AE$2:$AE$1068,MATCH($A217,'Historical Data'!$BE$2:$BE$1068,0)),"")</f>
        <v/>
      </c>
      <c r="V217" s="106" t="str">
        <f aca="false">IFERROR(INDEX('Historical Data'!$AH$2:$AH$1068,MATCH($A217,'Historical Data'!$BE$2:$BE$1068,0)),"")</f>
        <v/>
      </c>
      <c r="W217" s="106" t="str">
        <f aca="false">IFERROR(INDEX('Historical Data'!$BC$2:$BC$1068,MATCH($A217,'Historical Data'!$BE$2:$BE$1068,0)),"")</f>
        <v/>
      </c>
      <c r="X217" s="105" t="str">
        <f aca="false">IF(B217="","",IF(W217=1,"NR + industry + position",IF(W217=2,"NR + ISO + position",IF(W217=3,"NR + industry",IF(W217=4,"NR + ISO",IF(W217=5,"NR + position",IF(W217=6,"NR only","book baseline"))))))&amp;"  ["&amp;IF(T217=1,"seasoned","unseasoned")&amp;IF(U217=1,", defaulted","")&amp;IF(V217=1,", open","")&amp;"]")</f>
        <v/>
      </c>
    </row>
    <row r="218" customFormat="false" ht="15" hidden="false" customHeight="false" outlineLevel="0" collapsed="false">
      <c r="A218" s="105" t="n">
        <v>214</v>
      </c>
      <c r="B218" s="106" t="str">
        <f aca="false">IFERROR(INDEX('Historical Data'!$A$2:$A$1068,MATCH($A218,'Historical Data'!$BE$2:$BE$1068,0)),"")</f>
        <v/>
      </c>
      <c r="C218" s="106" t="str">
        <f aca="false">IFERROR(INDEX('Historical Data'!$B$2:$B$1068,MATCH($A218,'Historical Data'!$BE$2:$BE$1068,0)),"")</f>
        <v/>
      </c>
      <c r="D218" s="106" t="str">
        <f aca="false">IFERROR(INDEX('Historical Data'!$D$2:$D$1068,MATCH($A218,'Historical Data'!$BE$2:$BE$1068,0)),"")</f>
        <v/>
      </c>
      <c r="E218" s="107" t="str">
        <f aca="false">IFERROR(INDEX('Historical Data'!$E$2:$E$1068,MATCH($A218,'Historical Data'!$BE$2:$BE$1068,0)),"")</f>
        <v/>
      </c>
      <c r="F218" s="106" t="str">
        <f aca="false">IFERROR(INDEX('Historical Data'!$G$2:$G$1068,MATCH($A218,'Historical Data'!$BE$2:$BE$1068,0)),"")</f>
        <v/>
      </c>
      <c r="G218" s="106" t="str">
        <f aca="false">IFERROR(INDEX('Historical Data'!$Y$2:$Y$1068,MATCH($A218,'Historical Data'!$BE$2:$BE$1068,0)),"")</f>
        <v/>
      </c>
      <c r="H218" s="106" t="str">
        <f aca="false">IFERROR(INDEX('Historical Data'!$K$2:$K$1068,MATCH($A218,'Historical Data'!$BE$2:$BE$1068,0)),"")</f>
        <v/>
      </c>
      <c r="I218" s="106" t="str">
        <f aca="false">IFERROR(INDEX('Historical Data'!$J$2:$J$1068,MATCH($A218,'Historical Data'!$BE$2:$BE$1068,0)),"")</f>
        <v/>
      </c>
      <c r="J218" s="106" t="str">
        <f aca="false">IFERROR(INDEX('Historical Data'!$L$2:$L$1068,MATCH($A218,'Historical Data'!$BE$2:$BE$1068,0)),"")</f>
        <v/>
      </c>
      <c r="K218" s="108" t="str">
        <f aca="false">IFERROR(INDEX('Historical Data'!$M$2:$M$1068,MATCH($A218,'Historical Data'!$BE$2:$BE$1068,0)),"")</f>
        <v/>
      </c>
      <c r="L218" s="109" t="str">
        <f aca="false">IFERROR(INDEX('Historical Data'!$N$2:$N$1068,MATCH($A218,'Historical Data'!$BE$2:$BE$1068,0)),"")</f>
        <v/>
      </c>
      <c r="M218" s="109" t="str">
        <f aca="false">IFERROR(INDEX('Historical Data'!$Q$2:$Q$1068,MATCH($A218,'Historical Data'!$BE$2:$BE$1068,0)),"")</f>
        <v/>
      </c>
      <c r="N218" s="110" t="str">
        <f aca="false">IFERROR(INDEX('Historical Data'!$S$2:$S$1068,MATCH($A218,'Historical Data'!$BE$2:$BE$1068,0)),"")</f>
        <v/>
      </c>
      <c r="O218" s="109" t="str">
        <f aca="false">IFERROR(INDEX('Historical Data'!$AJ$2:$AJ$1068,MATCH($A218,'Historical Data'!$BE$2:$BE$1068,0)),"")</f>
        <v/>
      </c>
      <c r="P218" s="109" t="str">
        <f aca="false">IFERROR(INDEX('Historical Data'!$AK$2:$AK$1068,MATCH($A218,'Historical Data'!$BE$2:$BE$1068,0)),"")</f>
        <v/>
      </c>
      <c r="Q218" s="106" t="str">
        <f aca="false">IFERROR(INDEX('Historical Data'!$AA$2:$AA$1068,MATCH($A218,'Historical Data'!$BE$2:$BE$1068,0)),"")</f>
        <v/>
      </c>
      <c r="R218" s="106" t="str">
        <f aca="false">IFERROR(INDEX('Historical Data'!$AB$2:$AB$1068,MATCH($A218,'Historical Data'!$BE$2:$BE$1068,0)),"")</f>
        <v/>
      </c>
      <c r="S218" s="106" t="str">
        <f aca="false">IFERROR(INDEX('Historical Data'!$AN$2:$AN$1068,MATCH($A218,'Historical Data'!$BE$2:$BE$1068,0)),"")</f>
        <v/>
      </c>
      <c r="T218" s="106" t="str">
        <f aca="false">IFERROR(INDEX('Historical Data'!$AC$2:$AC$1068,MATCH($A218,'Historical Data'!$BE$2:$BE$1068,0)),"")</f>
        <v/>
      </c>
      <c r="U218" s="106" t="str">
        <f aca="false">IFERROR(INDEX('Historical Data'!$AE$2:$AE$1068,MATCH($A218,'Historical Data'!$BE$2:$BE$1068,0)),"")</f>
        <v/>
      </c>
      <c r="V218" s="106" t="str">
        <f aca="false">IFERROR(INDEX('Historical Data'!$AH$2:$AH$1068,MATCH($A218,'Historical Data'!$BE$2:$BE$1068,0)),"")</f>
        <v/>
      </c>
      <c r="W218" s="106" t="str">
        <f aca="false">IFERROR(INDEX('Historical Data'!$BC$2:$BC$1068,MATCH($A218,'Historical Data'!$BE$2:$BE$1068,0)),"")</f>
        <v/>
      </c>
      <c r="X218" s="105" t="str">
        <f aca="false">IF(B218="","",IF(W218=1,"NR + industry + position",IF(W218=2,"NR + ISO + position",IF(W218=3,"NR + industry",IF(W218=4,"NR + ISO",IF(W218=5,"NR + position",IF(W218=6,"NR only","book baseline"))))))&amp;"  ["&amp;IF(T218=1,"seasoned","unseasoned")&amp;IF(U218=1,", defaulted","")&amp;IF(V218=1,", open","")&amp;"]")</f>
        <v/>
      </c>
    </row>
    <row r="219" customFormat="false" ht="15" hidden="false" customHeight="false" outlineLevel="0" collapsed="false">
      <c r="A219" s="105" t="n">
        <v>215</v>
      </c>
      <c r="B219" s="106" t="str">
        <f aca="false">IFERROR(INDEX('Historical Data'!$A$2:$A$1068,MATCH($A219,'Historical Data'!$BE$2:$BE$1068,0)),"")</f>
        <v/>
      </c>
      <c r="C219" s="106" t="str">
        <f aca="false">IFERROR(INDEX('Historical Data'!$B$2:$B$1068,MATCH($A219,'Historical Data'!$BE$2:$BE$1068,0)),"")</f>
        <v/>
      </c>
      <c r="D219" s="106" t="str">
        <f aca="false">IFERROR(INDEX('Historical Data'!$D$2:$D$1068,MATCH($A219,'Historical Data'!$BE$2:$BE$1068,0)),"")</f>
        <v/>
      </c>
      <c r="E219" s="107" t="str">
        <f aca="false">IFERROR(INDEX('Historical Data'!$E$2:$E$1068,MATCH($A219,'Historical Data'!$BE$2:$BE$1068,0)),"")</f>
        <v/>
      </c>
      <c r="F219" s="106" t="str">
        <f aca="false">IFERROR(INDEX('Historical Data'!$G$2:$G$1068,MATCH($A219,'Historical Data'!$BE$2:$BE$1068,0)),"")</f>
        <v/>
      </c>
      <c r="G219" s="106" t="str">
        <f aca="false">IFERROR(INDEX('Historical Data'!$Y$2:$Y$1068,MATCH($A219,'Historical Data'!$BE$2:$BE$1068,0)),"")</f>
        <v/>
      </c>
      <c r="H219" s="106" t="str">
        <f aca="false">IFERROR(INDEX('Historical Data'!$K$2:$K$1068,MATCH($A219,'Historical Data'!$BE$2:$BE$1068,0)),"")</f>
        <v/>
      </c>
      <c r="I219" s="106" t="str">
        <f aca="false">IFERROR(INDEX('Historical Data'!$J$2:$J$1068,MATCH($A219,'Historical Data'!$BE$2:$BE$1068,0)),"")</f>
        <v/>
      </c>
      <c r="J219" s="106" t="str">
        <f aca="false">IFERROR(INDEX('Historical Data'!$L$2:$L$1068,MATCH($A219,'Historical Data'!$BE$2:$BE$1068,0)),"")</f>
        <v/>
      </c>
      <c r="K219" s="108" t="str">
        <f aca="false">IFERROR(INDEX('Historical Data'!$M$2:$M$1068,MATCH($A219,'Historical Data'!$BE$2:$BE$1068,0)),"")</f>
        <v/>
      </c>
      <c r="L219" s="109" t="str">
        <f aca="false">IFERROR(INDEX('Historical Data'!$N$2:$N$1068,MATCH($A219,'Historical Data'!$BE$2:$BE$1068,0)),"")</f>
        <v/>
      </c>
      <c r="M219" s="109" t="str">
        <f aca="false">IFERROR(INDEX('Historical Data'!$Q$2:$Q$1068,MATCH($A219,'Historical Data'!$BE$2:$BE$1068,0)),"")</f>
        <v/>
      </c>
      <c r="N219" s="110" t="str">
        <f aca="false">IFERROR(INDEX('Historical Data'!$S$2:$S$1068,MATCH($A219,'Historical Data'!$BE$2:$BE$1068,0)),"")</f>
        <v/>
      </c>
      <c r="O219" s="109" t="str">
        <f aca="false">IFERROR(INDEX('Historical Data'!$AJ$2:$AJ$1068,MATCH($A219,'Historical Data'!$BE$2:$BE$1068,0)),"")</f>
        <v/>
      </c>
      <c r="P219" s="109" t="str">
        <f aca="false">IFERROR(INDEX('Historical Data'!$AK$2:$AK$1068,MATCH($A219,'Historical Data'!$BE$2:$BE$1068,0)),"")</f>
        <v/>
      </c>
      <c r="Q219" s="106" t="str">
        <f aca="false">IFERROR(INDEX('Historical Data'!$AA$2:$AA$1068,MATCH($A219,'Historical Data'!$BE$2:$BE$1068,0)),"")</f>
        <v/>
      </c>
      <c r="R219" s="106" t="str">
        <f aca="false">IFERROR(INDEX('Historical Data'!$AB$2:$AB$1068,MATCH($A219,'Historical Data'!$BE$2:$BE$1068,0)),"")</f>
        <v/>
      </c>
      <c r="S219" s="106" t="str">
        <f aca="false">IFERROR(INDEX('Historical Data'!$AN$2:$AN$1068,MATCH($A219,'Historical Data'!$BE$2:$BE$1068,0)),"")</f>
        <v/>
      </c>
      <c r="T219" s="106" t="str">
        <f aca="false">IFERROR(INDEX('Historical Data'!$AC$2:$AC$1068,MATCH($A219,'Historical Data'!$BE$2:$BE$1068,0)),"")</f>
        <v/>
      </c>
      <c r="U219" s="106" t="str">
        <f aca="false">IFERROR(INDEX('Historical Data'!$AE$2:$AE$1068,MATCH($A219,'Historical Data'!$BE$2:$BE$1068,0)),"")</f>
        <v/>
      </c>
      <c r="V219" s="106" t="str">
        <f aca="false">IFERROR(INDEX('Historical Data'!$AH$2:$AH$1068,MATCH($A219,'Historical Data'!$BE$2:$BE$1068,0)),"")</f>
        <v/>
      </c>
      <c r="W219" s="106" t="str">
        <f aca="false">IFERROR(INDEX('Historical Data'!$BC$2:$BC$1068,MATCH($A219,'Historical Data'!$BE$2:$BE$1068,0)),"")</f>
        <v/>
      </c>
      <c r="X219" s="105" t="str">
        <f aca="false">IF(B219="","",IF(W219=1,"NR + industry + position",IF(W219=2,"NR + ISO + position",IF(W219=3,"NR + industry",IF(W219=4,"NR + ISO",IF(W219=5,"NR + position",IF(W219=6,"NR only","book baseline"))))))&amp;"  ["&amp;IF(T219=1,"seasoned","unseasoned")&amp;IF(U219=1,", defaulted","")&amp;IF(V219=1,", open","")&amp;"]")</f>
        <v/>
      </c>
    </row>
    <row r="220" customFormat="false" ht="15" hidden="false" customHeight="false" outlineLevel="0" collapsed="false">
      <c r="A220" s="105" t="n">
        <v>216</v>
      </c>
      <c r="B220" s="106" t="str">
        <f aca="false">IFERROR(INDEX('Historical Data'!$A$2:$A$1068,MATCH($A220,'Historical Data'!$BE$2:$BE$1068,0)),"")</f>
        <v/>
      </c>
      <c r="C220" s="106" t="str">
        <f aca="false">IFERROR(INDEX('Historical Data'!$B$2:$B$1068,MATCH($A220,'Historical Data'!$BE$2:$BE$1068,0)),"")</f>
        <v/>
      </c>
      <c r="D220" s="106" t="str">
        <f aca="false">IFERROR(INDEX('Historical Data'!$D$2:$D$1068,MATCH($A220,'Historical Data'!$BE$2:$BE$1068,0)),"")</f>
        <v/>
      </c>
      <c r="E220" s="107" t="str">
        <f aca="false">IFERROR(INDEX('Historical Data'!$E$2:$E$1068,MATCH($A220,'Historical Data'!$BE$2:$BE$1068,0)),"")</f>
        <v/>
      </c>
      <c r="F220" s="106" t="str">
        <f aca="false">IFERROR(INDEX('Historical Data'!$G$2:$G$1068,MATCH($A220,'Historical Data'!$BE$2:$BE$1068,0)),"")</f>
        <v/>
      </c>
      <c r="G220" s="106" t="str">
        <f aca="false">IFERROR(INDEX('Historical Data'!$Y$2:$Y$1068,MATCH($A220,'Historical Data'!$BE$2:$BE$1068,0)),"")</f>
        <v/>
      </c>
      <c r="H220" s="106" t="str">
        <f aca="false">IFERROR(INDEX('Historical Data'!$K$2:$K$1068,MATCH($A220,'Historical Data'!$BE$2:$BE$1068,0)),"")</f>
        <v/>
      </c>
      <c r="I220" s="106" t="str">
        <f aca="false">IFERROR(INDEX('Historical Data'!$J$2:$J$1068,MATCH($A220,'Historical Data'!$BE$2:$BE$1068,0)),"")</f>
        <v/>
      </c>
      <c r="J220" s="106" t="str">
        <f aca="false">IFERROR(INDEX('Historical Data'!$L$2:$L$1068,MATCH($A220,'Historical Data'!$BE$2:$BE$1068,0)),"")</f>
        <v/>
      </c>
      <c r="K220" s="108" t="str">
        <f aca="false">IFERROR(INDEX('Historical Data'!$M$2:$M$1068,MATCH($A220,'Historical Data'!$BE$2:$BE$1068,0)),"")</f>
        <v/>
      </c>
      <c r="L220" s="109" t="str">
        <f aca="false">IFERROR(INDEX('Historical Data'!$N$2:$N$1068,MATCH($A220,'Historical Data'!$BE$2:$BE$1068,0)),"")</f>
        <v/>
      </c>
      <c r="M220" s="109" t="str">
        <f aca="false">IFERROR(INDEX('Historical Data'!$Q$2:$Q$1068,MATCH($A220,'Historical Data'!$BE$2:$BE$1068,0)),"")</f>
        <v/>
      </c>
      <c r="N220" s="110" t="str">
        <f aca="false">IFERROR(INDEX('Historical Data'!$S$2:$S$1068,MATCH($A220,'Historical Data'!$BE$2:$BE$1068,0)),"")</f>
        <v/>
      </c>
      <c r="O220" s="109" t="str">
        <f aca="false">IFERROR(INDEX('Historical Data'!$AJ$2:$AJ$1068,MATCH($A220,'Historical Data'!$BE$2:$BE$1068,0)),"")</f>
        <v/>
      </c>
      <c r="P220" s="109" t="str">
        <f aca="false">IFERROR(INDEX('Historical Data'!$AK$2:$AK$1068,MATCH($A220,'Historical Data'!$BE$2:$BE$1068,0)),"")</f>
        <v/>
      </c>
      <c r="Q220" s="106" t="str">
        <f aca="false">IFERROR(INDEX('Historical Data'!$AA$2:$AA$1068,MATCH($A220,'Historical Data'!$BE$2:$BE$1068,0)),"")</f>
        <v/>
      </c>
      <c r="R220" s="106" t="str">
        <f aca="false">IFERROR(INDEX('Historical Data'!$AB$2:$AB$1068,MATCH($A220,'Historical Data'!$BE$2:$BE$1068,0)),"")</f>
        <v/>
      </c>
      <c r="S220" s="106" t="str">
        <f aca="false">IFERROR(INDEX('Historical Data'!$AN$2:$AN$1068,MATCH($A220,'Historical Data'!$BE$2:$BE$1068,0)),"")</f>
        <v/>
      </c>
      <c r="T220" s="106" t="str">
        <f aca="false">IFERROR(INDEX('Historical Data'!$AC$2:$AC$1068,MATCH($A220,'Historical Data'!$BE$2:$BE$1068,0)),"")</f>
        <v/>
      </c>
      <c r="U220" s="106" t="str">
        <f aca="false">IFERROR(INDEX('Historical Data'!$AE$2:$AE$1068,MATCH($A220,'Historical Data'!$BE$2:$BE$1068,0)),"")</f>
        <v/>
      </c>
      <c r="V220" s="106" t="str">
        <f aca="false">IFERROR(INDEX('Historical Data'!$AH$2:$AH$1068,MATCH($A220,'Historical Data'!$BE$2:$BE$1068,0)),"")</f>
        <v/>
      </c>
      <c r="W220" s="106" t="str">
        <f aca="false">IFERROR(INDEX('Historical Data'!$BC$2:$BC$1068,MATCH($A220,'Historical Data'!$BE$2:$BE$1068,0)),"")</f>
        <v/>
      </c>
      <c r="X220" s="105" t="str">
        <f aca="false">IF(B220="","",IF(W220=1,"NR + industry + position",IF(W220=2,"NR + ISO + position",IF(W220=3,"NR + industry",IF(W220=4,"NR + ISO",IF(W220=5,"NR + position",IF(W220=6,"NR only","book baseline"))))))&amp;"  ["&amp;IF(T220=1,"seasoned","unseasoned")&amp;IF(U220=1,", defaulted","")&amp;IF(V220=1,", open","")&amp;"]")</f>
        <v/>
      </c>
    </row>
    <row r="221" customFormat="false" ht="15" hidden="false" customHeight="false" outlineLevel="0" collapsed="false">
      <c r="A221" s="105" t="n">
        <v>217</v>
      </c>
      <c r="B221" s="106" t="str">
        <f aca="false">IFERROR(INDEX('Historical Data'!$A$2:$A$1068,MATCH($A221,'Historical Data'!$BE$2:$BE$1068,0)),"")</f>
        <v/>
      </c>
      <c r="C221" s="106" t="str">
        <f aca="false">IFERROR(INDEX('Historical Data'!$B$2:$B$1068,MATCH($A221,'Historical Data'!$BE$2:$BE$1068,0)),"")</f>
        <v/>
      </c>
      <c r="D221" s="106" t="str">
        <f aca="false">IFERROR(INDEX('Historical Data'!$D$2:$D$1068,MATCH($A221,'Historical Data'!$BE$2:$BE$1068,0)),"")</f>
        <v/>
      </c>
      <c r="E221" s="107" t="str">
        <f aca="false">IFERROR(INDEX('Historical Data'!$E$2:$E$1068,MATCH($A221,'Historical Data'!$BE$2:$BE$1068,0)),"")</f>
        <v/>
      </c>
      <c r="F221" s="106" t="str">
        <f aca="false">IFERROR(INDEX('Historical Data'!$G$2:$G$1068,MATCH($A221,'Historical Data'!$BE$2:$BE$1068,0)),"")</f>
        <v/>
      </c>
      <c r="G221" s="106" t="str">
        <f aca="false">IFERROR(INDEX('Historical Data'!$Y$2:$Y$1068,MATCH($A221,'Historical Data'!$BE$2:$BE$1068,0)),"")</f>
        <v/>
      </c>
      <c r="H221" s="106" t="str">
        <f aca="false">IFERROR(INDEX('Historical Data'!$K$2:$K$1068,MATCH($A221,'Historical Data'!$BE$2:$BE$1068,0)),"")</f>
        <v/>
      </c>
      <c r="I221" s="106" t="str">
        <f aca="false">IFERROR(INDEX('Historical Data'!$J$2:$J$1068,MATCH($A221,'Historical Data'!$BE$2:$BE$1068,0)),"")</f>
        <v/>
      </c>
      <c r="J221" s="106" t="str">
        <f aca="false">IFERROR(INDEX('Historical Data'!$L$2:$L$1068,MATCH($A221,'Historical Data'!$BE$2:$BE$1068,0)),"")</f>
        <v/>
      </c>
      <c r="K221" s="108" t="str">
        <f aca="false">IFERROR(INDEX('Historical Data'!$M$2:$M$1068,MATCH($A221,'Historical Data'!$BE$2:$BE$1068,0)),"")</f>
        <v/>
      </c>
      <c r="L221" s="109" t="str">
        <f aca="false">IFERROR(INDEX('Historical Data'!$N$2:$N$1068,MATCH($A221,'Historical Data'!$BE$2:$BE$1068,0)),"")</f>
        <v/>
      </c>
      <c r="M221" s="109" t="str">
        <f aca="false">IFERROR(INDEX('Historical Data'!$Q$2:$Q$1068,MATCH($A221,'Historical Data'!$BE$2:$BE$1068,0)),"")</f>
        <v/>
      </c>
      <c r="N221" s="110" t="str">
        <f aca="false">IFERROR(INDEX('Historical Data'!$S$2:$S$1068,MATCH($A221,'Historical Data'!$BE$2:$BE$1068,0)),"")</f>
        <v/>
      </c>
      <c r="O221" s="109" t="str">
        <f aca="false">IFERROR(INDEX('Historical Data'!$AJ$2:$AJ$1068,MATCH($A221,'Historical Data'!$BE$2:$BE$1068,0)),"")</f>
        <v/>
      </c>
      <c r="P221" s="109" t="str">
        <f aca="false">IFERROR(INDEX('Historical Data'!$AK$2:$AK$1068,MATCH($A221,'Historical Data'!$BE$2:$BE$1068,0)),"")</f>
        <v/>
      </c>
      <c r="Q221" s="106" t="str">
        <f aca="false">IFERROR(INDEX('Historical Data'!$AA$2:$AA$1068,MATCH($A221,'Historical Data'!$BE$2:$BE$1068,0)),"")</f>
        <v/>
      </c>
      <c r="R221" s="106" t="str">
        <f aca="false">IFERROR(INDEX('Historical Data'!$AB$2:$AB$1068,MATCH($A221,'Historical Data'!$BE$2:$BE$1068,0)),"")</f>
        <v/>
      </c>
      <c r="S221" s="106" t="str">
        <f aca="false">IFERROR(INDEX('Historical Data'!$AN$2:$AN$1068,MATCH($A221,'Historical Data'!$BE$2:$BE$1068,0)),"")</f>
        <v/>
      </c>
      <c r="T221" s="106" t="str">
        <f aca="false">IFERROR(INDEX('Historical Data'!$AC$2:$AC$1068,MATCH($A221,'Historical Data'!$BE$2:$BE$1068,0)),"")</f>
        <v/>
      </c>
      <c r="U221" s="106" t="str">
        <f aca="false">IFERROR(INDEX('Historical Data'!$AE$2:$AE$1068,MATCH($A221,'Historical Data'!$BE$2:$BE$1068,0)),"")</f>
        <v/>
      </c>
      <c r="V221" s="106" t="str">
        <f aca="false">IFERROR(INDEX('Historical Data'!$AH$2:$AH$1068,MATCH($A221,'Historical Data'!$BE$2:$BE$1068,0)),"")</f>
        <v/>
      </c>
      <c r="W221" s="106" t="str">
        <f aca="false">IFERROR(INDEX('Historical Data'!$BC$2:$BC$1068,MATCH($A221,'Historical Data'!$BE$2:$BE$1068,0)),"")</f>
        <v/>
      </c>
      <c r="X221" s="105" t="str">
        <f aca="false">IF(B221="","",IF(W221=1,"NR + industry + position",IF(W221=2,"NR + ISO + position",IF(W221=3,"NR + industry",IF(W221=4,"NR + ISO",IF(W221=5,"NR + position",IF(W221=6,"NR only","book baseline"))))))&amp;"  ["&amp;IF(T221=1,"seasoned","unseasoned")&amp;IF(U221=1,", defaulted","")&amp;IF(V221=1,", open","")&amp;"]")</f>
        <v/>
      </c>
    </row>
    <row r="222" customFormat="false" ht="15" hidden="false" customHeight="false" outlineLevel="0" collapsed="false">
      <c r="A222" s="105" t="n">
        <v>218</v>
      </c>
      <c r="B222" s="106" t="str">
        <f aca="false">IFERROR(INDEX('Historical Data'!$A$2:$A$1068,MATCH($A222,'Historical Data'!$BE$2:$BE$1068,0)),"")</f>
        <v/>
      </c>
      <c r="C222" s="106" t="str">
        <f aca="false">IFERROR(INDEX('Historical Data'!$B$2:$B$1068,MATCH($A222,'Historical Data'!$BE$2:$BE$1068,0)),"")</f>
        <v/>
      </c>
      <c r="D222" s="106" t="str">
        <f aca="false">IFERROR(INDEX('Historical Data'!$D$2:$D$1068,MATCH($A222,'Historical Data'!$BE$2:$BE$1068,0)),"")</f>
        <v/>
      </c>
      <c r="E222" s="107" t="str">
        <f aca="false">IFERROR(INDEX('Historical Data'!$E$2:$E$1068,MATCH($A222,'Historical Data'!$BE$2:$BE$1068,0)),"")</f>
        <v/>
      </c>
      <c r="F222" s="106" t="str">
        <f aca="false">IFERROR(INDEX('Historical Data'!$G$2:$G$1068,MATCH($A222,'Historical Data'!$BE$2:$BE$1068,0)),"")</f>
        <v/>
      </c>
      <c r="G222" s="106" t="str">
        <f aca="false">IFERROR(INDEX('Historical Data'!$Y$2:$Y$1068,MATCH($A222,'Historical Data'!$BE$2:$BE$1068,0)),"")</f>
        <v/>
      </c>
      <c r="H222" s="106" t="str">
        <f aca="false">IFERROR(INDEX('Historical Data'!$K$2:$K$1068,MATCH($A222,'Historical Data'!$BE$2:$BE$1068,0)),"")</f>
        <v/>
      </c>
      <c r="I222" s="106" t="str">
        <f aca="false">IFERROR(INDEX('Historical Data'!$J$2:$J$1068,MATCH($A222,'Historical Data'!$BE$2:$BE$1068,0)),"")</f>
        <v/>
      </c>
      <c r="J222" s="106" t="str">
        <f aca="false">IFERROR(INDEX('Historical Data'!$L$2:$L$1068,MATCH($A222,'Historical Data'!$BE$2:$BE$1068,0)),"")</f>
        <v/>
      </c>
      <c r="K222" s="108" t="str">
        <f aca="false">IFERROR(INDEX('Historical Data'!$M$2:$M$1068,MATCH($A222,'Historical Data'!$BE$2:$BE$1068,0)),"")</f>
        <v/>
      </c>
      <c r="L222" s="109" t="str">
        <f aca="false">IFERROR(INDEX('Historical Data'!$N$2:$N$1068,MATCH($A222,'Historical Data'!$BE$2:$BE$1068,0)),"")</f>
        <v/>
      </c>
      <c r="M222" s="109" t="str">
        <f aca="false">IFERROR(INDEX('Historical Data'!$Q$2:$Q$1068,MATCH($A222,'Historical Data'!$BE$2:$BE$1068,0)),"")</f>
        <v/>
      </c>
      <c r="N222" s="110" t="str">
        <f aca="false">IFERROR(INDEX('Historical Data'!$S$2:$S$1068,MATCH($A222,'Historical Data'!$BE$2:$BE$1068,0)),"")</f>
        <v/>
      </c>
      <c r="O222" s="109" t="str">
        <f aca="false">IFERROR(INDEX('Historical Data'!$AJ$2:$AJ$1068,MATCH($A222,'Historical Data'!$BE$2:$BE$1068,0)),"")</f>
        <v/>
      </c>
      <c r="P222" s="109" t="str">
        <f aca="false">IFERROR(INDEX('Historical Data'!$AK$2:$AK$1068,MATCH($A222,'Historical Data'!$BE$2:$BE$1068,0)),"")</f>
        <v/>
      </c>
      <c r="Q222" s="106" t="str">
        <f aca="false">IFERROR(INDEX('Historical Data'!$AA$2:$AA$1068,MATCH($A222,'Historical Data'!$BE$2:$BE$1068,0)),"")</f>
        <v/>
      </c>
      <c r="R222" s="106" t="str">
        <f aca="false">IFERROR(INDEX('Historical Data'!$AB$2:$AB$1068,MATCH($A222,'Historical Data'!$BE$2:$BE$1068,0)),"")</f>
        <v/>
      </c>
      <c r="S222" s="106" t="str">
        <f aca="false">IFERROR(INDEX('Historical Data'!$AN$2:$AN$1068,MATCH($A222,'Historical Data'!$BE$2:$BE$1068,0)),"")</f>
        <v/>
      </c>
      <c r="T222" s="106" t="str">
        <f aca="false">IFERROR(INDEX('Historical Data'!$AC$2:$AC$1068,MATCH($A222,'Historical Data'!$BE$2:$BE$1068,0)),"")</f>
        <v/>
      </c>
      <c r="U222" s="106" t="str">
        <f aca="false">IFERROR(INDEX('Historical Data'!$AE$2:$AE$1068,MATCH($A222,'Historical Data'!$BE$2:$BE$1068,0)),"")</f>
        <v/>
      </c>
      <c r="V222" s="106" t="str">
        <f aca="false">IFERROR(INDEX('Historical Data'!$AH$2:$AH$1068,MATCH($A222,'Historical Data'!$BE$2:$BE$1068,0)),"")</f>
        <v/>
      </c>
      <c r="W222" s="106" t="str">
        <f aca="false">IFERROR(INDEX('Historical Data'!$BC$2:$BC$1068,MATCH($A222,'Historical Data'!$BE$2:$BE$1068,0)),"")</f>
        <v/>
      </c>
      <c r="X222" s="105" t="str">
        <f aca="false">IF(B222="","",IF(W222=1,"NR + industry + position",IF(W222=2,"NR + ISO + position",IF(W222=3,"NR + industry",IF(W222=4,"NR + ISO",IF(W222=5,"NR + position",IF(W222=6,"NR only","book baseline"))))))&amp;"  ["&amp;IF(T222=1,"seasoned","unseasoned")&amp;IF(U222=1,", defaulted","")&amp;IF(V222=1,", open","")&amp;"]")</f>
        <v/>
      </c>
    </row>
    <row r="223" customFormat="false" ht="15" hidden="false" customHeight="false" outlineLevel="0" collapsed="false">
      <c r="A223" s="105" t="n">
        <v>219</v>
      </c>
      <c r="B223" s="106" t="str">
        <f aca="false">IFERROR(INDEX('Historical Data'!$A$2:$A$1068,MATCH($A223,'Historical Data'!$BE$2:$BE$1068,0)),"")</f>
        <v/>
      </c>
      <c r="C223" s="106" t="str">
        <f aca="false">IFERROR(INDEX('Historical Data'!$B$2:$B$1068,MATCH($A223,'Historical Data'!$BE$2:$BE$1068,0)),"")</f>
        <v/>
      </c>
      <c r="D223" s="106" t="str">
        <f aca="false">IFERROR(INDEX('Historical Data'!$D$2:$D$1068,MATCH($A223,'Historical Data'!$BE$2:$BE$1068,0)),"")</f>
        <v/>
      </c>
      <c r="E223" s="107" t="str">
        <f aca="false">IFERROR(INDEX('Historical Data'!$E$2:$E$1068,MATCH($A223,'Historical Data'!$BE$2:$BE$1068,0)),"")</f>
        <v/>
      </c>
      <c r="F223" s="106" t="str">
        <f aca="false">IFERROR(INDEX('Historical Data'!$G$2:$G$1068,MATCH($A223,'Historical Data'!$BE$2:$BE$1068,0)),"")</f>
        <v/>
      </c>
      <c r="G223" s="106" t="str">
        <f aca="false">IFERROR(INDEX('Historical Data'!$Y$2:$Y$1068,MATCH($A223,'Historical Data'!$BE$2:$BE$1068,0)),"")</f>
        <v/>
      </c>
      <c r="H223" s="106" t="str">
        <f aca="false">IFERROR(INDEX('Historical Data'!$K$2:$K$1068,MATCH($A223,'Historical Data'!$BE$2:$BE$1068,0)),"")</f>
        <v/>
      </c>
      <c r="I223" s="106" t="str">
        <f aca="false">IFERROR(INDEX('Historical Data'!$J$2:$J$1068,MATCH($A223,'Historical Data'!$BE$2:$BE$1068,0)),"")</f>
        <v/>
      </c>
      <c r="J223" s="106" t="str">
        <f aca="false">IFERROR(INDEX('Historical Data'!$L$2:$L$1068,MATCH($A223,'Historical Data'!$BE$2:$BE$1068,0)),"")</f>
        <v/>
      </c>
      <c r="K223" s="108" t="str">
        <f aca="false">IFERROR(INDEX('Historical Data'!$M$2:$M$1068,MATCH($A223,'Historical Data'!$BE$2:$BE$1068,0)),"")</f>
        <v/>
      </c>
      <c r="L223" s="109" t="str">
        <f aca="false">IFERROR(INDEX('Historical Data'!$N$2:$N$1068,MATCH($A223,'Historical Data'!$BE$2:$BE$1068,0)),"")</f>
        <v/>
      </c>
      <c r="M223" s="109" t="str">
        <f aca="false">IFERROR(INDEX('Historical Data'!$Q$2:$Q$1068,MATCH($A223,'Historical Data'!$BE$2:$BE$1068,0)),"")</f>
        <v/>
      </c>
      <c r="N223" s="110" t="str">
        <f aca="false">IFERROR(INDEX('Historical Data'!$S$2:$S$1068,MATCH($A223,'Historical Data'!$BE$2:$BE$1068,0)),"")</f>
        <v/>
      </c>
      <c r="O223" s="109" t="str">
        <f aca="false">IFERROR(INDEX('Historical Data'!$AJ$2:$AJ$1068,MATCH($A223,'Historical Data'!$BE$2:$BE$1068,0)),"")</f>
        <v/>
      </c>
      <c r="P223" s="109" t="str">
        <f aca="false">IFERROR(INDEX('Historical Data'!$AK$2:$AK$1068,MATCH($A223,'Historical Data'!$BE$2:$BE$1068,0)),"")</f>
        <v/>
      </c>
      <c r="Q223" s="106" t="str">
        <f aca="false">IFERROR(INDEX('Historical Data'!$AA$2:$AA$1068,MATCH($A223,'Historical Data'!$BE$2:$BE$1068,0)),"")</f>
        <v/>
      </c>
      <c r="R223" s="106" t="str">
        <f aca="false">IFERROR(INDEX('Historical Data'!$AB$2:$AB$1068,MATCH($A223,'Historical Data'!$BE$2:$BE$1068,0)),"")</f>
        <v/>
      </c>
      <c r="S223" s="106" t="str">
        <f aca="false">IFERROR(INDEX('Historical Data'!$AN$2:$AN$1068,MATCH($A223,'Historical Data'!$BE$2:$BE$1068,0)),"")</f>
        <v/>
      </c>
      <c r="T223" s="106" t="str">
        <f aca="false">IFERROR(INDEX('Historical Data'!$AC$2:$AC$1068,MATCH($A223,'Historical Data'!$BE$2:$BE$1068,0)),"")</f>
        <v/>
      </c>
      <c r="U223" s="106" t="str">
        <f aca="false">IFERROR(INDEX('Historical Data'!$AE$2:$AE$1068,MATCH($A223,'Historical Data'!$BE$2:$BE$1068,0)),"")</f>
        <v/>
      </c>
      <c r="V223" s="106" t="str">
        <f aca="false">IFERROR(INDEX('Historical Data'!$AH$2:$AH$1068,MATCH($A223,'Historical Data'!$BE$2:$BE$1068,0)),"")</f>
        <v/>
      </c>
      <c r="W223" s="106" t="str">
        <f aca="false">IFERROR(INDEX('Historical Data'!$BC$2:$BC$1068,MATCH($A223,'Historical Data'!$BE$2:$BE$1068,0)),"")</f>
        <v/>
      </c>
      <c r="X223" s="105" t="str">
        <f aca="false">IF(B223="","",IF(W223=1,"NR + industry + position",IF(W223=2,"NR + ISO + position",IF(W223=3,"NR + industry",IF(W223=4,"NR + ISO",IF(W223=5,"NR + position",IF(W223=6,"NR only","book baseline"))))))&amp;"  ["&amp;IF(T223=1,"seasoned","unseasoned")&amp;IF(U223=1,", defaulted","")&amp;IF(V223=1,", open","")&amp;"]")</f>
        <v/>
      </c>
    </row>
    <row r="224" customFormat="false" ht="15" hidden="false" customHeight="false" outlineLevel="0" collapsed="false">
      <c r="A224" s="105" t="n">
        <v>220</v>
      </c>
      <c r="B224" s="106" t="str">
        <f aca="false">IFERROR(INDEX('Historical Data'!$A$2:$A$1068,MATCH($A224,'Historical Data'!$BE$2:$BE$1068,0)),"")</f>
        <v/>
      </c>
      <c r="C224" s="106" t="str">
        <f aca="false">IFERROR(INDEX('Historical Data'!$B$2:$B$1068,MATCH($A224,'Historical Data'!$BE$2:$BE$1068,0)),"")</f>
        <v/>
      </c>
      <c r="D224" s="106" t="str">
        <f aca="false">IFERROR(INDEX('Historical Data'!$D$2:$D$1068,MATCH($A224,'Historical Data'!$BE$2:$BE$1068,0)),"")</f>
        <v/>
      </c>
      <c r="E224" s="107" t="str">
        <f aca="false">IFERROR(INDEX('Historical Data'!$E$2:$E$1068,MATCH($A224,'Historical Data'!$BE$2:$BE$1068,0)),"")</f>
        <v/>
      </c>
      <c r="F224" s="106" t="str">
        <f aca="false">IFERROR(INDEX('Historical Data'!$G$2:$G$1068,MATCH($A224,'Historical Data'!$BE$2:$BE$1068,0)),"")</f>
        <v/>
      </c>
      <c r="G224" s="106" t="str">
        <f aca="false">IFERROR(INDEX('Historical Data'!$Y$2:$Y$1068,MATCH($A224,'Historical Data'!$BE$2:$BE$1068,0)),"")</f>
        <v/>
      </c>
      <c r="H224" s="106" t="str">
        <f aca="false">IFERROR(INDEX('Historical Data'!$K$2:$K$1068,MATCH($A224,'Historical Data'!$BE$2:$BE$1068,0)),"")</f>
        <v/>
      </c>
      <c r="I224" s="106" t="str">
        <f aca="false">IFERROR(INDEX('Historical Data'!$J$2:$J$1068,MATCH($A224,'Historical Data'!$BE$2:$BE$1068,0)),"")</f>
        <v/>
      </c>
      <c r="J224" s="106" t="str">
        <f aca="false">IFERROR(INDEX('Historical Data'!$L$2:$L$1068,MATCH($A224,'Historical Data'!$BE$2:$BE$1068,0)),"")</f>
        <v/>
      </c>
      <c r="K224" s="108" t="str">
        <f aca="false">IFERROR(INDEX('Historical Data'!$M$2:$M$1068,MATCH($A224,'Historical Data'!$BE$2:$BE$1068,0)),"")</f>
        <v/>
      </c>
      <c r="L224" s="109" t="str">
        <f aca="false">IFERROR(INDEX('Historical Data'!$N$2:$N$1068,MATCH($A224,'Historical Data'!$BE$2:$BE$1068,0)),"")</f>
        <v/>
      </c>
      <c r="M224" s="109" t="str">
        <f aca="false">IFERROR(INDEX('Historical Data'!$Q$2:$Q$1068,MATCH($A224,'Historical Data'!$BE$2:$BE$1068,0)),"")</f>
        <v/>
      </c>
      <c r="N224" s="110" t="str">
        <f aca="false">IFERROR(INDEX('Historical Data'!$S$2:$S$1068,MATCH($A224,'Historical Data'!$BE$2:$BE$1068,0)),"")</f>
        <v/>
      </c>
      <c r="O224" s="109" t="str">
        <f aca="false">IFERROR(INDEX('Historical Data'!$AJ$2:$AJ$1068,MATCH($A224,'Historical Data'!$BE$2:$BE$1068,0)),"")</f>
        <v/>
      </c>
      <c r="P224" s="109" t="str">
        <f aca="false">IFERROR(INDEX('Historical Data'!$AK$2:$AK$1068,MATCH($A224,'Historical Data'!$BE$2:$BE$1068,0)),"")</f>
        <v/>
      </c>
      <c r="Q224" s="106" t="str">
        <f aca="false">IFERROR(INDEX('Historical Data'!$AA$2:$AA$1068,MATCH($A224,'Historical Data'!$BE$2:$BE$1068,0)),"")</f>
        <v/>
      </c>
      <c r="R224" s="106" t="str">
        <f aca="false">IFERROR(INDEX('Historical Data'!$AB$2:$AB$1068,MATCH($A224,'Historical Data'!$BE$2:$BE$1068,0)),"")</f>
        <v/>
      </c>
      <c r="S224" s="106" t="str">
        <f aca="false">IFERROR(INDEX('Historical Data'!$AN$2:$AN$1068,MATCH($A224,'Historical Data'!$BE$2:$BE$1068,0)),"")</f>
        <v/>
      </c>
      <c r="T224" s="106" t="str">
        <f aca="false">IFERROR(INDEX('Historical Data'!$AC$2:$AC$1068,MATCH($A224,'Historical Data'!$BE$2:$BE$1068,0)),"")</f>
        <v/>
      </c>
      <c r="U224" s="106" t="str">
        <f aca="false">IFERROR(INDEX('Historical Data'!$AE$2:$AE$1068,MATCH($A224,'Historical Data'!$BE$2:$BE$1068,0)),"")</f>
        <v/>
      </c>
      <c r="V224" s="106" t="str">
        <f aca="false">IFERROR(INDEX('Historical Data'!$AH$2:$AH$1068,MATCH($A224,'Historical Data'!$BE$2:$BE$1068,0)),"")</f>
        <v/>
      </c>
      <c r="W224" s="106" t="str">
        <f aca="false">IFERROR(INDEX('Historical Data'!$BC$2:$BC$1068,MATCH($A224,'Historical Data'!$BE$2:$BE$1068,0)),"")</f>
        <v/>
      </c>
      <c r="X224" s="105" t="str">
        <f aca="false">IF(B224="","",IF(W224=1,"NR + industry + position",IF(W224=2,"NR + ISO + position",IF(W224=3,"NR + industry",IF(W224=4,"NR + ISO",IF(W224=5,"NR + position",IF(W224=6,"NR only","book baseline"))))))&amp;"  ["&amp;IF(T224=1,"seasoned","unseasoned")&amp;IF(U224=1,", defaulted","")&amp;IF(V224=1,", open","")&amp;"]")</f>
        <v/>
      </c>
    </row>
    <row r="225" customFormat="false" ht="15" hidden="false" customHeight="false" outlineLevel="0" collapsed="false">
      <c r="A225" s="105" t="n">
        <v>221</v>
      </c>
      <c r="B225" s="106" t="str">
        <f aca="false">IFERROR(INDEX('Historical Data'!$A$2:$A$1068,MATCH($A225,'Historical Data'!$BE$2:$BE$1068,0)),"")</f>
        <v/>
      </c>
      <c r="C225" s="106" t="str">
        <f aca="false">IFERROR(INDEX('Historical Data'!$B$2:$B$1068,MATCH($A225,'Historical Data'!$BE$2:$BE$1068,0)),"")</f>
        <v/>
      </c>
      <c r="D225" s="106" t="str">
        <f aca="false">IFERROR(INDEX('Historical Data'!$D$2:$D$1068,MATCH($A225,'Historical Data'!$BE$2:$BE$1068,0)),"")</f>
        <v/>
      </c>
      <c r="E225" s="107" t="str">
        <f aca="false">IFERROR(INDEX('Historical Data'!$E$2:$E$1068,MATCH($A225,'Historical Data'!$BE$2:$BE$1068,0)),"")</f>
        <v/>
      </c>
      <c r="F225" s="106" t="str">
        <f aca="false">IFERROR(INDEX('Historical Data'!$G$2:$G$1068,MATCH($A225,'Historical Data'!$BE$2:$BE$1068,0)),"")</f>
        <v/>
      </c>
      <c r="G225" s="106" t="str">
        <f aca="false">IFERROR(INDEX('Historical Data'!$Y$2:$Y$1068,MATCH($A225,'Historical Data'!$BE$2:$BE$1068,0)),"")</f>
        <v/>
      </c>
      <c r="H225" s="106" t="str">
        <f aca="false">IFERROR(INDEX('Historical Data'!$K$2:$K$1068,MATCH($A225,'Historical Data'!$BE$2:$BE$1068,0)),"")</f>
        <v/>
      </c>
      <c r="I225" s="106" t="str">
        <f aca="false">IFERROR(INDEX('Historical Data'!$J$2:$J$1068,MATCH($A225,'Historical Data'!$BE$2:$BE$1068,0)),"")</f>
        <v/>
      </c>
      <c r="J225" s="106" t="str">
        <f aca="false">IFERROR(INDEX('Historical Data'!$L$2:$L$1068,MATCH($A225,'Historical Data'!$BE$2:$BE$1068,0)),"")</f>
        <v/>
      </c>
      <c r="K225" s="108" t="str">
        <f aca="false">IFERROR(INDEX('Historical Data'!$M$2:$M$1068,MATCH($A225,'Historical Data'!$BE$2:$BE$1068,0)),"")</f>
        <v/>
      </c>
      <c r="L225" s="109" t="str">
        <f aca="false">IFERROR(INDEX('Historical Data'!$N$2:$N$1068,MATCH($A225,'Historical Data'!$BE$2:$BE$1068,0)),"")</f>
        <v/>
      </c>
      <c r="M225" s="109" t="str">
        <f aca="false">IFERROR(INDEX('Historical Data'!$Q$2:$Q$1068,MATCH($A225,'Historical Data'!$BE$2:$BE$1068,0)),"")</f>
        <v/>
      </c>
      <c r="N225" s="110" t="str">
        <f aca="false">IFERROR(INDEX('Historical Data'!$S$2:$S$1068,MATCH($A225,'Historical Data'!$BE$2:$BE$1068,0)),"")</f>
        <v/>
      </c>
      <c r="O225" s="109" t="str">
        <f aca="false">IFERROR(INDEX('Historical Data'!$AJ$2:$AJ$1068,MATCH($A225,'Historical Data'!$BE$2:$BE$1068,0)),"")</f>
        <v/>
      </c>
      <c r="P225" s="109" t="str">
        <f aca="false">IFERROR(INDEX('Historical Data'!$AK$2:$AK$1068,MATCH($A225,'Historical Data'!$BE$2:$BE$1068,0)),"")</f>
        <v/>
      </c>
      <c r="Q225" s="106" t="str">
        <f aca="false">IFERROR(INDEX('Historical Data'!$AA$2:$AA$1068,MATCH($A225,'Historical Data'!$BE$2:$BE$1068,0)),"")</f>
        <v/>
      </c>
      <c r="R225" s="106" t="str">
        <f aca="false">IFERROR(INDEX('Historical Data'!$AB$2:$AB$1068,MATCH($A225,'Historical Data'!$BE$2:$BE$1068,0)),"")</f>
        <v/>
      </c>
      <c r="S225" s="106" t="str">
        <f aca="false">IFERROR(INDEX('Historical Data'!$AN$2:$AN$1068,MATCH($A225,'Historical Data'!$BE$2:$BE$1068,0)),"")</f>
        <v/>
      </c>
      <c r="T225" s="106" t="str">
        <f aca="false">IFERROR(INDEX('Historical Data'!$AC$2:$AC$1068,MATCH($A225,'Historical Data'!$BE$2:$BE$1068,0)),"")</f>
        <v/>
      </c>
      <c r="U225" s="106" t="str">
        <f aca="false">IFERROR(INDEX('Historical Data'!$AE$2:$AE$1068,MATCH($A225,'Historical Data'!$BE$2:$BE$1068,0)),"")</f>
        <v/>
      </c>
      <c r="V225" s="106" t="str">
        <f aca="false">IFERROR(INDEX('Historical Data'!$AH$2:$AH$1068,MATCH($A225,'Historical Data'!$BE$2:$BE$1068,0)),"")</f>
        <v/>
      </c>
      <c r="W225" s="106" t="str">
        <f aca="false">IFERROR(INDEX('Historical Data'!$BC$2:$BC$1068,MATCH($A225,'Historical Data'!$BE$2:$BE$1068,0)),"")</f>
        <v/>
      </c>
      <c r="X225" s="105" t="str">
        <f aca="false">IF(B225="","",IF(W225=1,"NR + industry + position",IF(W225=2,"NR + ISO + position",IF(W225=3,"NR + industry",IF(W225=4,"NR + ISO",IF(W225=5,"NR + position",IF(W225=6,"NR only","book baseline"))))))&amp;"  ["&amp;IF(T225=1,"seasoned","unseasoned")&amp;IF(U225=1,", defaulted","")&amp;IF(V225=1,", open","")&amp;"]")</f>
        <v/>
      </c>
    </row>
    <row r="226" customFormat="false" ht="15" hidden="false" customHeight="false" outlineLevel="0" collapsed="false">
      <c r="A226" s="105" t="n">
        <v>222</v>
      </c>
      <c r="B226" s="106" t="str">
        <f aca="false">IFERROR(INDEX('Historical Data'!$A$2:$A$1068,MATCH($A226,'Historical Data'!$BE$2:$BE$1068,0)),"")</f>
        <v/>
      </c>
      <c r="C226" s="106" t="str">
        <f aca="false">IFERROR(INDEX('Historical Data'!$B$2:$B$1068,MATCH($A226,'Historical Data'!$BE$2:$BE$1068,0)),"")</f>
        <v/>
      </c>
      <c r="D226" s="106" t="str">
        <f aca="false">IFERROR(INDEX('Historical Data'!$D$2:$D$1068,MATCH($A226,'Historical Data'!$BE$2:$BE$1068,0)),"")</f>
        <v/>
      </c>
      <c r="E226" s="107" t="str">
        <f aca="false">IFERROR(INDEX('Historical Data'!$E$2:$E$1068,MATCH($A226,'Historical Data'!$BE$2:$BE$1068,0)),"")</f>
        <v/>
      </c>
      <c r="F226" s="106" t="str">
        <f aca="false">IFERROR(INDEX('Historical Data'!$G$2:$G$1068,MATCH($A226,'Historical Data'!$BE$2:$BE$1068,0)),"")</f>
        <v/>
      </c>
      <c r="G226" s="106" t="str">
        <f aca="false">IFERROR(INDEX('Historical Data'!$Y$2:$Y$1068,MATCH($A226,'Historical Data'!$BE$2:$BE$1068,0)),"")</f>
        <v/>
      </c>
      <c r="H226" s="106" t="str">
        <f aca="false">IFERROR(INDEX('Historical Data'!$K$2:$K$1068,MATCH($A226,'Historical Data'!$BE$2:$BE$1068,0)),"")</f>
        <v/>
      </c>
      <c r="I226" s="106" t="str">
        <f aca="false">IFERROR(INDEX('Historical Data'!$J$2:$J$1068,MATCH($A226,'Historical Data'!$BE$2:$BE$1068,0)),"")</f>
        <v/>
      </c>
      <c r="J226" s="106" t="str">
        <f aca="false">IFERROR(INDEX('Historical Data'!$L$2:$L$1068,MATCH($A226,'Historical Data'!$BE$2:$BE$1068,0)),"")</f>
        <v/>
      </c>
      <c r="K226" s="108" t="str">
        <f aca="false">IFERROR(INDEX('Historical Data'!$M$2:$M$1068,MATCH($A226,'Historical Data'!$BE$2:$BE$1068,0)),"")</f>
        <v/>
      </c>
      <c r="L226" s="109" t="str">
        <f aca="false">IFERROR(INDEX('Historical Data'!$N$2:$N$1068,MATCH($A226,'Historical Data'!$BE$2:$BE$1068,0)),"")</f>
        <v/>
      </c>
      <c r="M226" s="109" t="str">
        <f aca="false">IFERROR(INDEX('Historical Data'!$Q$2:$Q$1068,MATCH($A226,'Historical Data'!$BE$2:$BE$1068,0)),"")</f>
        <v/>
      </c>
      <c r="N226" s="110" t="str">
        <f aca="false">IFERROR(INDEX('Historical Data'!$S$2:$S$1068,MATCH($A226,'Historical Data'!$BE$2:$BE$1068,0)),"")</f>
        <v/>
      </c>
      <c r="O226" s="109" t="str">
        <f aca="false">IFERROR(INDEX('Historical Data'!$AJ$2:$AJ$1068,MATCH($A226,'Historical Data'!$BE$2:$BE$1068,0)),"")</f>
        <v/>
      </c>
      <c r="P226" s="109" t="str">
        <f aca="false">IFERROR(INDEX('Historical Data'!$AK$2:$AK$1068,MATCH($A226,'Historical Data'!$BE$2:$BE$1068,0)),"")</f>
        <v/>
      </c>
      <c r="Q226" s="106" t="str">
        <f aca="false">IFERROR(INDEX('Historical Data'!$AA$2:$AA$1068,MATCH($A226,'Historical Data'!$BE$2:$BE$1068,0)),"")</f>
        <v/>
      </c>
      <c r="R226" s="106" t="str">
        <f aca="false">IFERROR(INDEX('Historical Data'!$AB$2:$AB$1068,MATCH($A226,'Historical Data'!$BE$2:$BE$1068,0)),"")</f>
        <v/>
      </c>
      <c r="S226" s="106" t="str">
        <f aca="false">IFERROR(INDEX('Historical Data'!$AN$2:$AN$1068,MATCH($A226,'Historical Data'!$BE$2:$BE$1068,0)),"")</f>
        <v/>
      </c>
      <c r="T226" s="106" t="str">
        <f aca="false">IFERROR(INDEX('Historical Data'!$AC$2:$AC$1068,MATCH($A226,'Historical Data'!$BE$2:$BE$1068,0)),"")</f>
        <v/>
      </c>
      <c r="U226" s="106" t="str">
        <f aca="false">IFERROR(INDEX('Historical Data'!$AE$2:$AE$1068,MATCH($A226,'Historical Data'!$BE$2:$BE$1068,0)),"")</f>
        <v/>
      </c>
      <c r="V226" s="106" t="str">
        <f aca="false">IFERROR(INDEX('Historical Data'!$AH$2:$AH$1068,MATCH($A226,'Historical Data'!$BE$2:$BE$1068,0)),"")</f>
        <v/>
      </c>
      <c r="W226" s="106" t="str">
        <f aca="false">IFERROR(INDEX('Historical Data'!$BC$2:$BC$1068,MATCH($A226,'Historical Data'!$BE$2:$BE$1068,0)),"")</f>
        <v/>
      </c>
      <c r="X226" s="105" t="str">
        <f aca="false">IF(B226="","",IF(W226=1,"NR + industry + position",IF(W226=2,"NR + ISO + position",IF(W226=3,"NR + industry",IF(W226=4,"NR + ISO",IF(W226=5,"NR + position",IF(W226=6,"NR only","book baseline"))))))&amp;"  ["&amp;IF(T226=1,"seasoned","unseasoned")&amp;IF(U226=1,", defaulted","")&amp;IF(V226=1,", open","")&amp;"]")</f>
        <v/>
      </c>
    </row>
    <row r="227" customFormat="false" ht="15" hidden="false" customHeight="false" outlineLevel="0" collapsed="false">
      <c r="A227" s="105" t="n">
        <v>223</v>
      </c>
      <c r="B227" s="106" t="str">
        <f aca="false">IFERROR(INDEX('Historical Data'!$A$2:$A$1068,MATCH($A227,'Historical Data'!$BE$2:$BE$1068,0)),"")</f>
        <v/>
      </c>
      <c r="C227" s="106" t="str">
        <f aca="false">IFERROR(INDEX('Historical Data'!$B$2:$B$1068,MATCH($A227,'Historical Data'!$BE$2:$BE$1068,0)),"")</f>
        <v/>
      </c>
      <c r="D227" s="106" t="str">
        <f aca="false">IFERROR(INDEX('Historical Data'!$D$2:$D$1068,MATCH($A227,'Historical Data'!$BE$2:$BE$1068,0)),"")</f>
        <v/>
      </c>
      <c r="E227" s="107" t="str">
        <f aca="false">IFERROR(INDEX('Historical Data'!$E$2:$E$1068,MATCH($A227,'Historical Data'!$BE$2:$BE$1068,0)),"")</f>
        <v/>
      </c>
      <c r="F227" s="106" t="str">
        <f aca="false">IFERROR(INDEX('Historical Data'!$G$2:$G$1068,MATCH($A227,'Historical Data'!$BE$2:$BE$1068,0)),"")</f>
        <v/>
      </c>
      <c r="G227" s="106" t="str">
        <f aca="false">IFERROR(INDEX('Historical Data'!$Y$2:$Y$1068,MATCH($A227,'Historical Data'!$BE$2:$BE$1068,0)),"")</f>
        <v/>
      </c>
      <c r="H227" s="106" t="str">
        <f aca="false">IFERROR(INDEX('Historical Data'!$K$2:$K$1068,MATCH($A227,'Historical Data'!$BE$2:$BE$1068,0)),"")</f>
        <v/>
      </c>
      <c r="I227" s="106" t="str">
        <f aca="false">IFERROR(INDEX('Historical Data'!$J$2:$J$1068,MATCH($A227,'Historical Data'!$BE$2:$BE$1068,0)),"")</f>
        <v/>
      </c>
      <c r="J227" s="106" t="str">
        <f aca="false">IFERROR(INDEX('Historical Data'!$L$2:$L$1068,MATCH($A227,'Historical Data'!$BE$2:$BE$1068,0)),"")</f>
        <v/>
      </c>
      <c r="K227" s="108" t="str">
        <f aca="false">IFERROR(INDEX('Historical Data'!$M$2:$M$1068,MATCH($A227,'Historical Data'!$BE$2:$BE$1068,0)),"")</f>
        <v/>
      </c>
      <c r="L227" s="109" t="str">
        <f aca="false">IFERROR(INDEX('Historical Data'!$N$2:$N$1068,MATCH($A227,'Historical Data'!$BE$2:$BE$1068,0)),"")</f>
        <v/>
      </c>
      <c r="M227" s="109" t="str">
        <f aca="false">IFERROR(INDEX('Historical Data'!$Q$2:$Q$1068,MATCH($A227,'Historical Data'!$BE$2:$BE$1068,0)),"")</f>
        <v/>
      </c>
      <c r="N227" s="110" t="str">
        <f aca="false">IFERROR(INDEX('Historical Data'!$S$2:$S$1068,MATCH($A227,'Historical Data'!$BE$2:$BE$1068,0)),"")</f>
        <v/>
      </c>
      <c r="O227" s="109" t="str">
        <f aca="false">IFERROR(INDEX('Historical Data'!$AJ$2:$AJ$1068,MATCH($A227,'Historical Data'!$BE$2:$BE$1068,0)),"")</f>
        <v/>
      </c>
      <c r="P227" s="109" t="str">
        <f aca="false">IFERROR(INDEX('Historical Data'!$AK$2:$AK$1068,MATCH($A227,'Historical Data'!$BE$2:$BE$1068,0)),"")</f>
        <v/>
      </c>
      <c r="Q227" s="106" t="str">
        <f aca="false">IFERROR(INDEX('Historical Data'!$AA$2:$AA$1068,MATCH($A227,'Historical Data'!$BE$2:$BE$1068,0)),"")</f>
        <v/>
      </c>
      <c r="R227" s="106" t="str">
        <f aca="false">IFERROR(INDEX('Historical Data'!$AB$2:$AB$1068,MATCH($A227,'Historical Data'!$BE$2:$BE$1068,0)),"")</f>
        <v/>
      </c>
      <c r="S227" s="106" t="str">
        <f aca="false">IFERROR(INDEX('Historical Data'!$AN$2:$AN$1068,MATCH($A227,'Historical Data'!$BE$2:$BE$1068,0)),"")</f>
        <v/>
      </c>
      <c r="T227" s="106" t="str">
        <f aca="false">IFERROR(INDEX('Historical Data'!$AC$2:$AC$1068,MATCH($A227,'Historical Data'!$BE$2:$BE$1068,0)),"")</f>
        <v/>
      </c>
      <c r="U227" s="106" t="str">
        <f aca="false">IFERROR(INDEX('Historical Data'!$AE$2:$AE$1068,MATCH($A227,'Historical Data'!$BE$2:$BE$1068,0)),"")</f>
        <v/>
      </c>
      <c r="V227" s="106" t="str">
        <f aca="false">IFERROR(INDEX('Historical Data'!$AH$2:$AH$1068,MATCH($A227,'Historical Data'!$BE$2:$BE$1068,0)),"")</f>
        <v/>
      </c>
      <c r="W227" s="106" t="str">
        <f aca="false">IFERROR(INDEX('Historical Data'!$BC$2:$BC$1068,MATCH($A227,'Historical Data'!$BE$2:$BE$1068,0)),"")</f>
        <v/>
      </c>
      <c r="X227" s="105" t="str">
        <f aca="false">IF(B227="","",IF(W227=1,"NR + industry + position",IF(W227=2,"NR + ISO + position",IF(W227=3,"NR + industry",IF(W227=4,"NR + ISO",IF(W227=5,"NR + position",IF(W227=6,"NR only","book baseline"))))))&amp;"  ["&amp;IF(T227=1,"seasoned","unseasoned")&amp;IF(U227=1,", defaulted","")&amp;IF(V227=1,", open","")&amp;"]")</f>
        <v/>
      </c>
    </row>
    <row r="228" customFormat="false" ht="15" hidden="false" customHeight="false" outlineLevel="0" collapsed="false">
      <c r="A228" s="105" t="n">
        <v>224</v>
      </c>
      <c r="B228" s="106" t="str">
        <f aca="false">IFERROR(INDEX('Historical Data'!$A$2:$A$1068,MATCH($A228,'Historical Data'!$BE$2:$BE$1068,0)),"")</f>
        <v/>
      </c>
      <c r="C228" s="106" t="str">
        <f aca="false">IFERROR(INDEX('Historical Data'!$B$2:$B$1068,MATCH($A228,'Historical Data'!$BE$2:$BE$1068,0)),"")</f>
        <v/>
      </c>
      <c r="D228" s="106" t="str">
        <f aca="false">IFERROR(INDEX('Historical Data'!$D$2:$D$1068,MATCH($A228,'Historical Data'!$BE$2:$BE$1068,0)),"")</f>
        <v/>
      </c>
      <c r="E228" s="107" t="str">
        <f aca="false">IFERROR(INDEX('Historical Data'!$E$2:$E$1068,MATCH($A228,'Historical Data'!$BE$2:$BE$1068,0)),"")</f>
        <v/>
      </c>
      <c r="F228" s="106" t="str">
        <f aca="false">IFERROR(INDEX('Historical Data'!$G$2:$G$1068,MATCH($A228,'Historical Data'!$BE$2:$BE$1068,0)),"")</f>
        <v/>
      </c>
      <c r="G228" s="106" t="str">
        <f aca="false">IFERROR(INDEX('Historical Data'!$Y$2:$Y$1068,MATCH($A228,'Historical Data'!$BE$2:$BE$1068,0)),"")</f>
        <v/>
      </c>
      <c r="H228" s="106" t="str">
        <f aca="false">IFERROR(INDEX('Historical Data'!$K$2:$K$1068,MATCH($A228,'Historical Data'!$BE$2:$BE$1068,0)),"")</f>
        <v/>
      </c>
      <c r="I228" s="106" t="str">
        <f aca="false">IFERROR(INDEX('Historical Data'!$J$2:$J$1068,MATCH($A228,'Historical Data'!$BE$2:$BE$1068,0)),"")</f>
        <v/>
      </c>
      <c r="J228" s="106" t="str">
        <f aca="false">IFERROR(INDEX('Historical Data'!$L$2:$L$1068,MATCH($A228,'Historical Data'!$BE$2:$BE$1068,0)),"")</f>
        <v/>
      </c>
      <c r="K228" s="108" t="str">
        <f aca="false">IFERROR(INDEX('Historical Data'!$M$2:$M$1068,MATCH($A228,'Historical Data'!$BE$2:$BE$1068,0)),"")</f>
        <v/>
      </c>
      <c r="L228" s="109" t="str">
        <f aca="false">IFERROR(INDEX('Historical Data'!$N$2:$N$1068,MATCH($A228,'Historical Data'!$BE$2:$BE$1068,0)),"")</f>
        <v/>
      </c>
      <c r="M228" s="109" t="str">
        <f aca="false">IFERROR(INDEX('Historical Data'!$Q$2:$Q$1068,MATCH($A228,'Historical Data'!$BE$2:$BE$1068,0)),"")</f>
        <v/>
      </c>
      <c r="N228" s="110" t="str">
        <f aca="false">IFERROR(INDEX('Historical Data'!$S$2:$S$1068,MATCH($A228,'Historical Data'!$BE$2:$BE$1068,0)),"")</f>
        <v/>
      </c>
      <c r="O228" s="109" t="str">
        <f aca="false">IFERROR(INDEX('Historical Data'!$AJ$2:$AJ$1068,MATCH($A228,'Historical Data'!$BE$2:$BE$1068,0)),"")</f>
        <v/>
      </c>
      <c r="P228" s="109" t="str">
        <f aca="false">IFERROR(INDEX('Historical Data'!$AK$2:$AK$1068,MATCH($A228,'Historical Data'!$BE$2:$BE$1068,0)),"")</f>
        <v/>
      </c>
      <c r="Q228" s="106" t="str">
        <f aca="false">IFERROR(INDEX('Historical Data'!$AA$2:$AA$1068,MATCH($A228,'Historical Data'!$BE$2:$BE$1068,0)),"")</f>
        <v/>
      </c>
      <c r="R228" s="106" t="str">
        <f aca="false">IFERROR(INDEX('Historical Data'!$AB$2:$AB$1068,MATCH($A228,'Historical Data'!$BE$2:$BE$1068,0)),"")</f>
        <v/>
      </c>
      <c r="S228" s="106" t="str">
        <f aca="false">IFERROR(INDEX('Historical Data'!$AN$2:$AN$1068,MATCH($A228,'Historical Data'!$BE$2:$BE$1068,0)),"")</f>
        <v/>
      </c>
      <c r="T228" s="106" t="str">
        <f aca="false">IFERROR(INDEX('Historical Data'!$AC$2:$AC$1068,MATCH($A228,'Historical Data'!$BE$2:$BE$1068,0)),"")</f>
        <v/>
      </c>
      <c r="U228" s="106" t="str">
        <f aca="false">IFERROR(INDEX('Historical Data'!$AE$2:$AE$1068,MATCH($A228,'Historical Data'!$BE$2:$BE$1068,0)),"")</f>
        <v/>
      </c>
      <c r="V228" s="106" t="str">
        <f aca="false">IFERROR(INDEX('Historical Data'!$AH$2:$AH$1068,MATCH($A228,'Historical Data'!$BE$2:$BE$1068,0)),"")</f>
        <v/>
      </c>
      <c r="W228" s="106" t="str">
        <f aca="false">IFERROR(INDEX('Historical Data'!$BC$2:$BC$1068,MATCH($A228,'Historical Data'!$BE$2:$BE$1068,0)),"")</f>
        <v/>
      </c>
      <c r="X228" s="105" t="str">
        <f aca="false">IF(B228="","",IF(W228=1,"NR + industry + position",IF(W228=2,"NR + ISO + position",IF(W228=3,"NR + industry",IF(W228=4,"NR + ISO",IF(W228=5,"NR + position",IF(W228=6,"NR only","book baseline"))))))&amp;"  ["&amp;IF(T228=1,"seasoned","unseasoned")&amp;IF(U228=1,", defaulted","")&amp;IF(V228=1,", open","")&amp;"]")</f>
        <v/>
      </c>
    </row>
    <row r="229" customFormat="false" ht="15" hidden="false" customHeight="false" outlineLevel="0" collapsed="false">
      <c r="A229" s="105" t="n">
        <v>225</v>
      </c>
      <c r="B229" s="106" t="str">
        <f aca="false">IFERROR(INDEX('Historical Data'!$A$2:$A$1068,MATCH($A229,'Historical Data'!$BE$2:$BE$1068,0)),"")</f>
        <v/>
      </c>
      <c r="C229" s="106" t="str">
        <f aca="false">IFERROR(INDEX('Historical Data'!$B$2:$B$1068,MATCH($A229,'Historical Data'!$BE$2:$BE$1068,0)),"")</f>
        <v/>
      </c>
      <c r="D229" s="106" t="str">
        <f aca="false">IFERROR(INDEX('Historical Data'!$D$2:$D$1068,MATCH($A229,'Historical Data'!$BE$2:$BE$1068,0)),"")</f>
        <v/>
      </c>
      <c r="E229" s="107" t="str">
        <f aca="false">IFERROR(INDEX('Historical Data'!$E$2:$E$1068,MATCH($A229,'Historical Data'!$BE$2:$BE$1068,0)),"")</f>
        <v/>
      </c>
      <c r="F229" s="106" t="str">
        <f aca="false">IFERROR(INDEX('Historical Data'!$G$2:$G$1068,MATCH($A229,'Historical Data'!$BE$2:$BE$1068,0)),"")</f>
        <v/>
      </c>
      <c r="G229" s="106" t="str">
        <f aca="false">IFERROR(INDEX('Historical Data'!$Y$2:$Y$1068,MATCH($A229,'Historical Data'!$BE$2:$BE$1068,0)),"")</f>
        <v/>
      </c>
      <c r="H229" s="106" t="str">
        <f aca="false">IFERROR(INDEX('Historical Data'!$K$2:$K$1068,MATCH($A229,'Historical Data'!$BE$2:$BE$1068,0)),"")</f>
        <v/>
      </c>
      <c r="I229" s="106" t="str">
        <f aca="false">IFERROR(INDEX('Historical Data'!$J$2:$J$1068,MATCH($A229,'Historical Data'!$BE$2:$BE$1068,0)),"")</f>
        <v/>
      </c>
      <c r="J229" s="106" t="str">
        <f aca="false">IFERROR(INDEX('Historical Data'!$L$2:$L$1068,MATCH($A229,'Historical Data'!$BE$2:$BE$1068,0)),"")</f>
        <v/>
      </c>
      <c r="K229" s="108" t="str">
        <f aca="false">IFERROR(INDEX('Historical Data'!$M$2:$M$1068,MATCH($A229,'Historical Data'!$BE$2:$BE$1068,0)),"")</f>
        <v/>
      </c>
      <c r="L229" s="109" t="str">
        <f aca="false">IFERROR(INDEX('Historical Data'!$N$2:$N$1068,MATCH($A229,'Historical Data'!$BE$2:$BE$1068,0)),"")</f>
        <v/>
      </c>
      <c r="M229" s="109" t="str">
        <f aca="false">IFERROR(INDEX('Historical Data'!$Q$2:$Q$1068,MATCH($A229,'Historical Data'!$BE$2:$BE$1068,0)),"")</f>
        <v/>
      </c>
      <c r="N229" s="110" t="str">
        <f aca="false">IFERROR(INDEX('Historical Data'!$S$2:$S$1068,MATCH($A229,'Historical Data'!$BE$2:$BE$1068,0)),"")</f>
        <v/>
      </c>
      <c r="O229" s="109" t="str">
        <f aca="false">IFERROR(INDEX('Historical Data'!$AJ$2:$AJ$1068,MATCH($A229,'Historical Data'!$BE$2:$BE$1068,0)),"")</f>
        <v/>
      </c>
      <c r="P229" s="109" t="str">
        <f aca="false">IFERROR(INDEX('Historical Data'!$AK$2:$AK$1068,MATCH($A229,'Historical Data'!$BE$2:$BE$1068,0)),"")</f>
        <v/>
      </c>
      <c r="Q229" s="106" t="str">
        <f aca="false">IFERROR(INDEX('Historical Data'!$AA$2:$AA$1068,MATCH($A229,'Historical Data'!$BE$2:$BE$1068,0)),"")</f>
        <v/>
      </c>
      <c r="R229" s="106" t="str">
        <f aca="false">IFERROR(INDEX('Historical Data'!$AB$2:$AB$1068,MATCH($A229,'Historical Data'!$BE$2:$BE$1068,0)),"")</f>
        <v/>
      </c>
      <c r="S229" s="106" t="str">
        <f aca="false">IFERROR(INDEX('Historical Data'!$AN$2:$AN$1068,MATCH($A229,'Historical Data'!$BE$2:$BE$1068,0)),"")</f>
        <v/>
      </c>
      <c r="T229" s="106" t="str">
        <f aca="false">IFERROR(INDEX('Historical Data'!$AC$2:$AC$1068,MATCH($A229,'Historical Data'!$BE$2:$BE$1068,0)),"")</f>
        <v/>
      </c>
      <c r="U229" s="106" t="str">
        <f aca="false">IFERROR(INDEX('Historical Data'!$AE$2:$AE$1068,MATCH($A229,'Historical Data'!$BE$2:$BE$1068,0)),"")</f>
        <v/>
      </c>
      <c r="V229" s="106" t="str">
        <f aca="false">IFERROR(INDEX('Historical Data'!$AH$2:$AH$1068,MATCH($A229,'Historical Data'!$BE$2:$BE$1068,0)),"")</f>
        <v/>
      </c>
      <c r="W229" s="106" t="str">
        <f aca="false">IFERROR(INDEX('Historical Data'!$BC$2:$BC$1068,MATCH($A229,'Historical Data'!$BE$2:$BE$1068,0)),"")</f>
        <v/>
      </c>
      <c r="X229" s="105" t="str">
        <f aca="false">IF(B229="","",IF(W229=1,"NR + industry + position",IF(W229=2,"NR + ISO + position",IF(W229=3,"NR + industry",IF(W229=4,"NR + ISO",IF(W229=5,"NR + position",IF(W229=6,"NR only","book baseline"))))))&amp;"  ["&amp;IF(T229=1,"seasoned","unseasoned")&amp;IF(U229=1,", defaulted","")&amp;IF(V229=1,", open","")&amp;"]")</f>
        <v/>
      </c>
    </row>
    <row r="230" customFormat="false" ht="15" hidden="false" customHeight="false" outlineLevel="0" collapsed="false">
      <c r="A230" s="105" t="n">
        <v>226</v>
      </c>
      <c r="B230" s="106" t="str">
        <f aca="false">IFERROR(INDEX('Historical Data'!$A$2:$A$1068,MATCH($A230,'Historical Data'!$BE$2:$BE$1068,0)),"")</f>
        <v/>
      </c>
      <c r="C230" s="106" t="str">
        <f aca="false">IFERROR(INDEX('Historical Data'!$B$2:$B$1068,MATCH($A230,'Historical Data'!$BE$2:$BE$1068,0)),"")</f>
        <v/>
      </c>
      <c r="D230" s="106" t="str">
        <f aca="false">IFERROR(INDEX('Historical Data'!$D$2:$D$1068,MATCH($A230,'Historical Data'!$BE$2:$BE$1068,0)),"")</f>
        <v/>
      </c>
      <c r="E230" s="107" t="str">
        <f aca="false">IFERROR(INDEX('Historical Data'!$E$2:$E$1068,MATCH($A230,'Historical Data'!$BE$2:$BE$1068,0)),"")</f>
        <v/>
      </c>
      <c r="F230" s="106" t="str">
        <f aca="false">IFERROR(INDEX('Historical Data'!$G$2:$G$1068,MATCH($A230,'Historical Data'!$BE$2:$BE$1068,0)),"")</f>
        <v/>
      </c>
      <c r="G230" s="106" t="str">
        <f aca="false">IFERROR(INDEX('Historical Data'!$Y$2:$Y$1068,MATCH($A230,'Historical Data'!$BE$2:$BE$1068,0)),"")</f>
        <v/>
      </c>
      <c r="H230" s="106" t="str">
        <f aca="false">IFERROR(INDEX('Historical Data'!$K$2:$K$1068,MATCH($A230,'Historical Data'!$BE$2:$BE$1068,0)),"")</f>
        <v/>
      </c>
      <c r="I230" s="106" t="str">
        <f aca="false">IFERROR(INDEX('Historical Data'!$J$2:$J$1068,MATCH($A230,'Historical Data'!$BE$2:$BE$1068,0)),"")</f>
        <v/>
      </c>
      <c r="J230" s="106" t="str">
        <f aca="false">IFERROR(INDEX('Historical Data'!$L$2:$L$1068,MATCH($A230,'Historical Data'!$BE$2:$BE$1068,0)),"")</f>
        <v/>
      </c>
      <c r="K230" s="108" t="str">
        <f aca="false">IFERROR(INDEX('Historical Data'!$M$2:$M$1068,MATCH($A230,'Historical Data'!$BE$2:$BE$1068,0)),"")</f>
        <v/>
      </c>
      <c r="L230" s="109" t="str">
        <f aca="false">IFERROR(INDEX('Historical Data'!$N$2:$N$1068,MATCH($A230,'Historical Data'!$BE$2:$BE$1068,0)),"")</f>
        <v/>
      </c>
      <c r="M230" s="109" t="str">
        <f aca="false">IFERROR(INDEX('Historical Data'!$Q$2:$Q$1068,MATCH($A230,'Historical Data'!$BE$2:$BE$1068,0)),"")</f>
        <v/>
      </c>
      <c r="N230" s="110" t="str">
        <f aca="false">IFERROR(INDEX('Historical Data'!$S$2:$S$1068,MATCH($A230,'Historical Data'!$BE$2:$BE$1068,0)),"")</f>
        <v/>
      </c>
      <c r="O230" s="109" t="str">
        <f aca="false">IFERROR(INDEX('Historical Data'!$AJ$2:$AJ$1068,MATCH($A230,'Historical Data'!$BE$2:$BE$1068,0)),"")</f>
        <v/>
      </c>
      <c r="P230" s="109" t="str">
        <f aca="false">IFERROR(INDEX('Historical Data'!$AK$2:$AK$1068,MATCH($A230,'Historical Data'!$BE$2:$BE$1068,0)),"")</f>
        <v/>
      </c>
      <c r="Q230" s="106" t="str">
        <f aca="false">IFERROR(INDEX('Historical Data'!$AA$2:$AA$1068,MATCH($A230,'Historical Data'!$BE$2:$BE$1068,0)),"")</f>
        <v/>
      </c>
      <c r="R230" s="106" t="str">
        <f aca="false">IFERROR(INDEX('Historical Data'!$AB$2:$AB$1068,MATCH($A230,'Historical Data'!$BE$2:$BE$1068,0)),"")</f>
        <v/>
      </c>
      <c r="S230" s="106" t="str">
        <f aca="false">IFERROR(INDEX('Historical Data'!$AN$2:$AN$1068,MATCH($A230,'Historical Data'!$BE$2:$BE$1068,0)),"")</f>
        <v/>
      </c>
      <c r="T230" s="106" t="str">
        <f aca="false">IFERROR(INDEX('Historical Data'!$AC$2:$AC$1068,MATCH($A230,'Historical Data'!$BE$2:$BE$1068,0)),"")</f>
        <v/>
      </c>
      <c r="U230" s="106" t="str">
        <f aca="false">IFERROR(INDEX('Historical Data'!$AE$2:$AE$1068,MATCH($A230,'Historical Data'!$BE$2:$BE$1068,0)),"")</f>
        <v/>
      </c>
      <c r="V230" s="106" t="str">
        <f aca="false">IFERROR(INDEX('Historical Data'!$AH$2:$AH$1068,MATCH($A230,'Historical Data'!$BE$2:$BE$1068,0)),"")</f>
        <v/>
      </c>
      <c r="W230" s="106" t="str">
        <f aca="false">IFERROR(INDEX('Historical Data'!$BC$2:$BC$1068,MATCH($A230,'Historical Data'!$BE$2:$BE$1068,0)),"")</f>
        <v/>
      </c>
      <c r="X230" s="105" t="str">
        <f aca="false">IF(B230="","",IF(W230=1,"NR + industry + position",IF(W230=2,"NR + ISO + position",IF(W230=3,"NR + industry",IF(W230=4,"NR + ISO",IF(W230=5,"NR + position",IF(W230=6,"NR only","book baseline"))))))&amp;"  ["&amp;IF(T230=1,"seasoned","unseasoned")&amp;IF(U230=1,", defaulted","")&amp;IF(V230=1,", open","")&amp;"]")</f>
        <v/>
      </c>
    </row>
    <row r="231" customFormat="false" ht="15" hidden="false" customHeight="false" outlineLevel="0" collapsed="false">
      <c r="A231" s="105" t="n">
        <v>227</v>
      </c>
      <c r="B231" s="106" t="str">
        <f aca="false">IFERROR(INDEX('Historical Data'!$A$2:$A$1068,MATCH($A231,'Historical Data'!$BE$2:$BE$1068,0)),"")</f>
        <v/>
      </c>
      <c r="C231" s="106" t="str">
        <f aca="false">IFERROR(INDEX('Historical Data'!$B$2:$B$1068,MATCH($A231,'Historical Data'!$BE$2:$BE$1068,0)),"")</f>
        <v/>
      </c>
      <c r="D231" s="106" t="str">
        <f aca="false">IFERROR(INDEX('Historical Data'!$D$2:$D$1068,MATCH($A231,'Historical Data'!$BE$2:$BE$1068,0)),"")</f>
        <v/>
      </c>
      <c r="E231" s="107" t="str">
        <f aca="false">IFERROR(INDEX('Historical Data'!$E$2:$E$1068,MATCH($A231,'Historical Data'!$BE$2:$BE$1068,0)),"")</f>
        <v/>
      </c>
      <c r="F231" s="106" t="str">
        <f aca="false">IFERROR(INDEX('Historical Data'!$G$2:$G$1068,MATCH($A231,'Historical Data'!$BE$2:$BE$1068,0)),"")</f>
        <v/>
      </c>
      <c r="G231" s="106" t="str">
        <f aca="false">IFERROR(INDEX('Historical Data'!$Y$2:$Y$1068,MATCH($A231,'Historical Data'!$BE$2:$BE$1068,0)),"")</f>
        <v/>
      </c>
      <c r="H231" s="106" t="str">
        <f aca="false">IFERROR(INDEX('Historical Data'!$K$2:$K$1068,MATCH($A231,'Historical Data'!$BE$2:$BE$1068,0)),"")</f>
        <v/>
      </c>
      <c r="I231" s="106" t="str">
        <f aca="false">IFERROR(INDEX('Historical Data'!$J$2:$J$1068,MATCH($A231,'Historical Data'!$BE$2:$BE$1068,0)),"")</f>
        <v/>
      </c>
      <c r="J231" s="106" t="str">
        <f aca="false">IFERROR(INDEX('Historical Data'!$L$2:$L$1068,MATCH($A231,'Historical Data'!$BE$2:$BE$1068,0)),"")</f>
        <v/>
      </c>
      <c r="K231" s="108" t="str">
        <f aca="false">IFERROR(INDEX('Historical Data'!$M$2:$M$1068,MATCH($A231,'Historical Data'!$BE$2:$BE$1068,0)),"")</f>
        <v/>
      </c>
      <c r="L231" s="109" t="str">
        <f aca="false">IFERROR(INDEX('Historical Data'!$N$2:$N$1068,MATCH($A231,'Historical Data'!$BE$2:$BE$1068,0)),"")</f>
        <v/>
      </c>
      <c r="M231" s="109" t="str">
        <f aca="false">IFERROR(INDEX('Historical Data'!$Q$2:$Q$1068,MATCH($A231,'Historical Data'!$BE$2:$BE$1068,0)),"")</f>
        <v/>
      </c>
      <c r="N231" s="110" t="str">
        <f aca="false">IFERROR(INDEX('Historical Data'!$S$2:$S$1068,MATCH($A231,'Historical Data'!$BE$2:$BE$1068,0)),"")</f>
        <v/>
      </c>
      <c r="O231" s="109" t="str">
        <f aca="false">IFERROR(INDEX('Historical Data'!$AJ$2:$AJ$1068,MATCH($A231,'Historical Data'!$BE$2:$BE$1068,0)),"")</f>
        <v/>
      </c>
      <c r="P231" s="109" t="str">
        <f aca="false">IFERROR(INDEX('Historical Data'!$AK$2:$AK$1068,MATCH($A231,'Historical Data'!$BE$2:$BE$1068,0)),"")</f>
        <v/>
      </c>
      <c r="Q231" s="106" t="str">
        <f aca="false">IFERROR(INDEX('Historical Data'!$AA$2:$AA$1068,MATCH($A231,'Historical Data'!$BE$2:$BE$1068,0)),"")</f>
        <v/>
      </c>
      <c r="R231" s="106" t="str">
        <f aca="false">IFERROR(INDEX('Historical Data'!$AB$2:$AB$1068,MATCH($A231,'Historical Data'!$BE$2:$BE$1068,0)),"")</f>
        <v/>
      </c>
      <c r="S231" s="106" t="str">
        <f aca="false">IFERROR(INDEX('Historical Data'!$AN$2:$AN$1068,MATCH($A231,'Historical Data'!$BE$2:$BE$1068,0)),"")</f>
        <v/>
      </c>
      <c r="T231" s="106" t="str">
        <f aca="false">IFERROR(INDEX('Historical Data'!$AC$2:$AC$1068,MATCH($A231,'Historical Data'!$BE$2:$BE$1068,0)),"")</f>
        <v/>
      </c>
      <c r="U231" s="106" t="str">
        <f aca="false">IFERROR(INDEX('Historical Data'!$AE$2:$AE$1068,MATCH($A231,'Historical Data'!$BE$2:$BE$1068,0)),"")</f>
        <v/>
      </c>
      <c r="V231" s="106" t="str">
        <f aca="false">IFERROR(INDEX('Historical Data'!$AH$2:$AH$1068,MATCH($A231,'Historical Data'!$BE$2:$BE$1068,0)),"")</f>
        <v/>
      </c>
      <c r="W231" s="106" t="str">
        <f aca="false">IFERROR(INDEX('Historical Data'!$BC$2:$BC$1068,MATCH($A231,'Historical Data'!$BE$2:$BE$1068,0)),"")</f>
        <v/>
      </c>
      <c r="X231" s="105" t="str">
        <f aca="false">IF(B231="","",IF(W231=1,"NR + industry + position",IF(W231=2,"NR + ISO + position",IF(W231=3,"NR + industry",IF(W231=4,"NR + ISO",IF(W231=5,"NR + position",IF(W231=6,"NR only","book baseline"))))))&amp;"  ["&amp;IF(T231=1,"seasoned","unseasoned")&amp;IF(U231=1,", defaulted","")&amp;IF(V231=1,", open","")&amp;"]")</f>
        <v/>
      </c>
    </row>
    <row r="232" customFormat="false" ht="15" hidden="false" customHeight="false" outlineLevel="0" collapsed="false">
      <c r="A232" s="105" t="n">
        <v>228</v>
      </c>
      <c r="B232" s="106" t="str">
        <f aca="false">IFERROR(INDEX('Historical Data'!$A$2:$A$1068,MATCH($A232,'Historical Data'!$BE$2:$BE$1068,0)),"")</f>
        <v/>
      </c>
      <c r="C232" s="106" t="str">
        <f aca="false">IFERROR(INDEX('Historical Data'!$B$2:$B$1068,MATCH($A232,'Historical Data'!$BE$2:$BE$1068,0)),"")</f>
        <v/>
      </c>
      <c r="D232" s="106" t="str">
        <f aca="false">IFERROR(INDEX('Historical Data'!$D$2:$D$1068,MATCH($A232,'Historical Data'!$BE$2:$BE$1068,0)),"")</f>
        <v/>
      </c>
      <c r="E232" s="107" t="str">
        <f aca="false">IFERROR(INDEX('Historical Data'!$E$2:$E$1068,MATCH($A232,'Historical Data'!$BE$2:$BE$1068,0)),"")</f>
        <v/>
      </c>
      <c r="F232" s="106" t="str">
        <f aca="false">IFERROR(INDEX('Historical Data'!$G$2:$G$1068,MATCH($A232,'Historical Data'!$BE$2:$BE$1068,0)),"")</f>
        <v/>
      </c>
      <c r="G232" s="106" t="str">
        <f aca="false">IFERROR(INDEX('Historical Data'!$Y$2:$Y$1068,MATCH($A232,'Historical Data'!$BE$2:$BE$1068,0)),"")</f>
        <v/>
      </c>
      <c r="H232" s="106" t="str">
        <f aca="false">IFERROR(INDEX('Historical Data'!$K$2:$K$1068,MATCH($A232,'Historical Data'!$BE$2:$BE$1068,0)),"")</f>
        <v/>
      </c>
      <c r="I232" s="106" t="str">
        <f aca="false">IFERROR(INDEX('Historical Data'!$J$2:$J$1068,MATCH($A232,'Historical Data'!$BE$2:$BE$1068,0)),"")</f>
        <v/>
      </c>
      <c r="J232" s="106" t="str">
        <f aca="false">IFERROR(INDEX('Historical Data'!$L$2:$L$1068,MATCH($A232,'Historical Data'!$BE$2:$BE$1068,0)),"")</f>
        <v/>
      </c>
      <c r="K232" s="108" t="str">
        <f aca="false">IFERROR(INDEX('Historical Data'!$M$2:$M$1068,MATCH($A232,'Historical Data'!$BE$2:$BE$1068,0)),"")</f>
        <v/>
      </c>
      <c r="L232" s="109" t="str">
        <f aca="false">IFERROR(INDEX('Historical Data'!$N$2:$N$1068,MATCH($A232,'Historical Data'!$BE$2:$BE$1068,0)),"")</f>
        <v/>
      </c>
      <c r="M232" s="109" t="str">
        <f aca="false">IFERROR(INDEX('Historical Data'!$Q$2:$Q$1068,MATCH($A232,'Historical Data'!$BE$2:$BE$1068,0)),"")</f>
        <v/>
      </c>
      <c r="N232" s="110" t="str">
        <f aca="false">IFERROR(INDEX('Historical Data'!$S$2:$S$1068,MATCH($A232,'Historical Data'!$BE$2:$BE$1068,0)),"")</f>
        <v/>
      </c>
      <c r="O232" s="109" t="str">
        <f aca="false">IFERROR(INDEX('Historical Data'!$AJ$2:$AJ$1068,MATCH($A232,'Historical Data'!$BE$2:$BE$1068,0)),"")</f>
        <v/>
      </c>
      <c r="P232" s="109" t="str">
        <f aca="false">IFERROR(INDEX('Historical Data'!$AK$2:$AK$1068,MATCH($A232,'Historical Data'!$BE$2:$BE$1068,0)),"")</f>
        <v/>
      </c>
      <c r="Q232" s="106" t="str">
        <f aca="false">IFERROR(INDEX('Historical Data'!$AA$2:$AA$1068,MATCH($A232,'Historical Data'!$BE$2:$BE$1068,0)),"")</f>
        <v/>
      </c>
      <c r="R232" s="106" t="str">
        <f aca="false">IFERROR(INDEX('Historical Data'!$AB$2:$AB$1068,MATCH($A232,'Historical Data'!$BE$2:$BE$1068,0)),"")</f>
        <v/>
      </c>
      <c r="S232" s="106" t="str">
        <f aca="false">IFERROR(INDEX('Historical Data'!$AN$2:$AN$1068,MATCH($A232,'Historical Data'!$BE$2:$BE$1068,0)),"")</f>
        <v/>
      </c>
      <c r="T232" s="106" t="str">
        <f aca="false">IFERROR(INDEX('Historical Data'!$AC$2:$AC$1068,MATCH($A232,'Historical Data'!$BE$2:$BE$1068,0)),"")</f>
        <v/>
      </c>
      <c r="U232" s="106" t="str">
        <f aca="false">IFERROR(INDEX('Historical Data'!$AE$2:$AE$1068,MATCH($A232,'Historical Data'!$BE$2:$BE$1068,0)),"")</f>
        <v/>
      </c>
      <c r="V232" s="106" t="str">
        <f aca="false">IFERROR(INDEX('Historical Data'!$AH$2:$AH$1068,MATCH($A232,'Historical Data'!$BE$2:$BE$1068,0)),"")</f>
        <v/>
      </c>
      <c r="W232" s="106" t="str">
        <f aca="false">IFERROR(INDEX('Historical Data'!$BC$2:$BC$1068,MATCH($A232,'Historical Data'!$BE$2:$BE$1068,0)),"")</f>
        <v/>
      </c>
      <c r="X232" s="105" t="str">
        <f aca="false">IF(B232="","",IF(W232=1,"NR + industry + position",IF(W232=2,"NR + ISO + position",IF(W232=3,"NR + industry",IF(W232=4,"NR + ISO",IF(W232=5,"NR + position",IF(W232=6,"NR only","book baseline"))))))&amp;"  ["&amp;IF(T232=1,"seasoned","unseasoned")&amp;IF(U232=1,", defaulted","")&amp;IF(V232=1,", open","")&amp;"]")</f>
        <v/>
      </c>
    </row>
    <row r="233" customFormat="false" ht="15" hidden="false" customHeight="false" outlineLevel="0" collapsed="false">
      <c r="A233" s="105" t="n">
        <v>229</v>
      </c>
      <c r="B233" s="106" t="str">
        <f aca="false">IFERROR(INDEX('Historical Data'!$A$2:$A$1068,MATCH($A233,'Historical Data'!$BE$2:$BE$1068,0)),"")</f>
        <v/>
      </c>
      <c r="C233" s="106" t="str">
        <f aca="false">IFERROR(INDEX('Historical Data'!$B$2:$B$1068,MATCH($A233,'Historical Data'!$BE$2:$BE$1068,0)),"")</f>
        <v/>
      </c>
      <c r="D233" s="106" t="str">
        <f aca="false">IFERROR(INDEX('Historical Data'!$D$2:$D$1068,MATCH($A233,'Historical Data'!$BE$2:$BE$1068,0)),"")</f>
        <v/>
      </c>
      <c r="E233" s="107" t="str">
        <f aca="false">IFERROR(INDEX('Historical Data'!$E$2:$E$1068,MATCH($A233,'Historical Data'!$BE$2:$BE$1068,0)),"")</f>
        <v/>
      </c>
      <c r="F233" s="106" t="str">
        <f aca="false">IFERROR(INDEX('Historical Data'!$G$2:$G$1068,MATCH($A233,'Historical Data'!$BE$2:$BE$1068,0)),"")</f>
        <v/>
      </c>
      <c r="G233" s="106" t="str">
        <f aca="false">IFERROR(INDEX('Historical Data'!$Y$2:$Y$1068,MATCH($A233,'Historical Data'!$BE$2:$BE$1068,0)),"")</f>
        <v/>
      </c>
      <c r="H233" s="106" t="str">
        <f aca="false">IFERROR(INDEX('Historical Data'!$K$2:$K$1068,MATCH($A233,'Historical Data'!$BE$2:$BE$1068,0)),"")</f>
        <v/>
      </c>
      <c r="I233" s="106" t="str">
        <f aca="false">IFERROR(INDEX('Historical Data'!$J$2:$J$1068,MATCH($A233,'Historical Data'!$BE$2:$BE$1068,0)),"")</f>
        <v/>
      </c>
      <c r="J233" s="106" t="str">
        <f aca="false">IFERROR(INDEX('Historical Data'!$L$2:$L$1068,MATCH($A233,'Historical Data'!$BE$2:$BE$1068,0)),"")</f>
        <v/>
      </c>
      <c r="K233" s="108" t="str">
        <f aca="false">IFERROR(INDEX('Historical Data'!$M$2:$M$1068,MATCH($A233,'Historical Data'!$BE$2:$BE$1068,0)),"")</f>
        <v/>
      </c>
      <c r="L233" s="109" t="str">
        <f aca="false">IFERROR(INDEX('Historical Data'!$N$2:$N$1068,MATCH($A233,'Historical Data'!$BE$2:$BE$1068,0)),"")</f>
        <v/>
      </c>
      <c r="M233" s="109" t="str">
        <f aca="false">IFERROR(INDEX('Historical Data'!$Q$2:$Q$1068,MATCH($A233,'Historical Data'!$BE$2:$BE$1068,0)),"")</f>
        <v/>
      </c>
      <c r="N233" s="110" t="str">
        <f aca="false">IFERROR(INDEX('Historical Data'!$S$2:$S$1068,MATCH($A233,'Historical Data'!$BE$2:$BE$1068,0)),"")</f>
        <v/>
      </c>
      <c r="O233" s="109" t="str">
        <f aca="false">IFERROR(INDEX('Historical Data'!$AJ$2:$AJ$1068,MATCH($A233,'Historical Data'!$BE$2:$BE$1068,0)),"")</f>
        <v/>
      </c>
      <c r="P233" s="109" t="str">
        <f aca="false">IFERROR(INDEX('Historical Data'!$AK$2:$AK$1068,MATCH($A233,'Historical Data'!$BE$2:$BE$1068,0)),"")</f>
        <v/>
      </c>
      <c r="Q233" s="106" t="str">
        <f aca="false">IFERROR(INDEX('Historical Data'!$AA$2:$AA$1068,MATCH($A233,'Historical Data'!$BE$2:$BE$1068,0)),"")</f>
        <v/>
      </c>
      <c r="R233" s="106" t="str">
        <f aca="false">IFERROR(INDEX('Historical Data'!$AB$2:$AB$1068,MATCH($A233,'Historical Data'!$BE$2:$BE$1068,0)),"")</f>
        <v/>
      </c>
      <c r="S233" s="106" t="str">
        <f aca="false">IFERROR(INDEX('Historical Data'!$AN$2:$AN$1068,MATCH($A233,'Historical Data'!$BE$2:$BE$1068,0)),"")</f>
        <v/>
      </c>
      <c r="T233" s="106" t="str">
        <f aca="false">IFERROR(INDEX('Historical Data'!$AC$2:$AC$1068,MATCH($A233,'Historical Data'!$BE$2:$BE$1068,0)),"")</f>
        <v/>
      </c>
      <c r="U233" s="106" t="str">
        <f aca="false">IFERROR(INDEX('Historical Data'!$AE$2:$AE$1068,MATCH($A233,'Historical Data'!$BE$2:$BE$1068,0)),"")</f>
        <v/>
      </c>
      <c r="V233" s="106" t="str">
        <f aca="false">IFERROR(INDEX('Historical Data'!$AH$2:$AH$1068,MATCH($A233,'Historical Data'!$BE$2:$BE$1068,0)),"")</f>
        <v/>
      </c>
      <c r="W233" s="106" t="str">
        <f aca="false">IFERROR(INDEX('Historical Data'!$BC$2:$BC$1068,MATCH($A233,'Historical Data'!$BE$2:$BE$1068,0)),"")</f>
        <v/>
      </c>
      <c r="X233" s="105" t="str">
        <f aca="false">IF(B233="","",IF(W233=1,"NR + industry + position",IF(W233=2,"NR + ISO + position",IF(W233=3,"NR + industry",IF(W233=4,"NR + ISO",IF(W233=5,"NR + position",IF(W233=6,"NR only","book baseline"))))))&amp;"  ["&amp;IF(T233=1,"seasoned","unseasoned")&amp;IF(U233=1,", defaulted","")&amp;IF(V233=1,", open","")&amp;"]")</f>
        <v/>
      </c>
    </row>
    <row r="234" customFormat="false" ht="15" hidden="false" customHeight="false" outlineLevel="0" collapsed="false">
      <c r="A234" s="105" t="n">
        <v>230</v>
      </c>
      <c r="B234" s="106" t="str">
        <f aca="false">IFERROR(INDEX('Historical Data'!$A$2:$A$1068,MATCH($A234,'Historical Data'!$BE$2:$BE$1068,0)),"")</f>
        <v/>
      </c>
      <c r="C234" s="106" t="str">
        <f aca="false">IFERROR(INDEX('Historical Data'!$B$2:$B$1068,MATCH($A234,'Historical Data'!$BE$2:$BE$1068,0)),"")</f>
        <v/>
      </c>
      <c r="D234" s="106" t="str">
        <f aca="false">IFERROR(INDEX('Historical Data'!$D$2:$D$1068,MATCH($A234,'Historical Data'!$BE$2:$BE$1068,0)),"")</f>
        <v/>
      </c>
      <c r="E234" s="107" t="str">
        <f aca="false">IFERROR(INDEX('Historical Data'!$E$2:$E$1068,MATCH($A234,'Historical Data'!$BE$2:$BE$1068,0)),"")</f>
        <v/>
      </c>
      <c r="F234" s="106" t="str">
        <f aca="false">IFERROR(INDEX('Historical Data'!$G$2:$G$1068,MATCH($A234,'Historical Data'!$BE$2:$BE$1068,0)),"")</f>
        <v/>
      </c>
      <c r="G234" s="106" t="str">
        <f aca="false">IFERROR(INDEX('Historical Data'!$Y$2:$Y$1068,MATCH($A234,'Historical Data'!$BE$2:$BE$1068,0)),"")</f>
        <v/>
      </c>
      <c r="H234" s="106" t="str">
        <f aca="false">IFERROR(INDEX('Historical Data'!$K$2:$K$1068,MATCH($A234,'Historical Data'!$BE$2:$BE$1068,0)),"")</f>
        <v/>
      </c>
      <c r="I234" s="106" t="str">
        <f aca="false">IFERROR(INDEX('Historical Data'!$J$2:$J$1068,MATCH($A234,'Historical Data'!$BE$2:$BE$1068,0)),"")</f>
        <v/>
      </c>
      <c r="J234" s="106" t="str">
        <f aca="false">IFERROR(INDEX('Historical Data'!$L$2:$L$1068,MATCH($A234,'Historical Data'!$BE$2:$BE$1068,0)),"")</f>
        <v/>
      </c>
      <c r="K234" s="108" t="str">
        <f aca="false">IFERROR(INDEX('Historical Data'!$M$2:$M$1068,MATCH($A234,'Historical Data'!$BE$2:$BE$1068,0)),"")</f>
        <v/>
      </c>
      <c r="L234" s="109" t="str">
        <f aca="false">IFERROR(INDEX('Historical Data'!$N$2:$N$1068,MATCH($A234,'Historical Data'!$BE$2:$BE$1068,0)),"")</f>
        <v/>
      </c>
      <c r="M234" s="109" t="str">
        <f aca="false">IFERROR(INDEX('Historical Data'!$Q$2:$Q$1068,MATCH($A234,'Historical Data'!$BE$2:$BE$1068,0)),"")</f>
        <v/>
      </c>
      <c r="N234" s="110" t="str">
        <f aca="false">IFERROR(INDEX('Historical Data'!$S$2:$S$1068,MATCH($A234,'Historical Data'!$BE$2:$BE$1068,0)),"")</f>
        <v/>
      </c>
      <c r="O234" s="109" t="str">
        <f aca="false">IFERROR(INDEX('Historical Data'!$AJ$2:$AJ$1068,MATCH($A234,'Historical Data'!$BE$2:$BE$1068,0)),"")</f>
        <v/>
      </c>
      <c r="P234" s="109" t="str">
        <f aca="false">IFERROR(INDEX('Historical Data'!$AK$2:$AK$1068,MATCH($A234,'Historical Data'!$BE$2:$BE$1068,0)),"")</f>
        <v/>
      </c>
      <c r="Q234" s="106" t="str">
        <f aca="false">IFERROR(INDEX('Historical Data'!$AA$2:$AA$1068,MATCH($A234,'Historical Data'!$BE$2:$BE$1068,0)),"")</f>
        <v/>
      </c>
      <c r="R234" s="106" t="str">
        <f aca="false">IFERROR(INDEX('Historical Data'!$AB$2:$AB$1068,MATCH($A234,'Historical Data'!$BE$2:$BE$1068,0)),"")</f>
        <v/>
      </c>
      <c r="S234" s="106" t="str">
        <f aca="false">IFERROR(INDEX('Historical Data'!$AN$2:$AN$1068,MATCH($A234,'Historical Data'!$BE$2:$BE$1068,0)),"")</f>
        <v/>
      </c>
      <c r="T234" s="106" t="str">
        <f aca="false">IFERROR(INDEX('Historical Data'!$AC$2:$AC$1068,MATCH($A234,'Historical Data'!$BE$2:$BE$1068,0)),"")</f>
        <v/>
      </c>
      <c r="U234" s="106" t="str">
        <f aca="false">IFERROR(INDEX('Historical Data'!$AE$2:$AE$1068,MATCH($A234,'Historical Data'!$BE$2:$BE$1068,0)),"")</f>
        <v/>
      </c>
      <c r="V234" s="106" t="str">
        <f aca="false">IFERROR(INDEX('Historical Data'!$AH$2:$AH$1068,MATCH($A234,'Historical Data'!$BE$2:$BE$1068,0)),"")</f>
        <v/>
      </c>
      <c r="W234" s="106" t="str">
        <f aca="false">IFERROR(INDEX('Historical Data'!$BC$2:$BC$1068,MATCH($A234,'Historical Data'!$BE$2:$BE$1068,0)),"")</f>
        <v/>
      </c>
      <c r="X234" s="105" t="str">
        <f aca="false">IF(B234="","",IF(W234=1,"NR + industry + position",IF(W234=2,"NR + ISO + position",IF(W234=3,"NR + industry",IF(W234=4,"NR + ISO",IF(W234=5,"NR + position",IF(W234=6,"NR only","book baseline"))))))&amp;"  ["&amp;IF(T234=1,"seasoned","unseasoned")&amp;IF(U234=1,", defaulted","")&amp;IF(V234=1,", open","")&amp;"]")</f>
        <v/>
      </c>
    </row>
    <row r="235" customFormat="false" ht="15" hidden="false" customHeight="false" outlineLevel="0" collapsed="false">
      <c r="A235" s="105" t="n">
        <v>231</v>
      </c>
      <c r="B235" s="106" t="str">
        <f aca="false">IFERROR(INDEX('Historical Data'!$A$2:$A$1068,MATCH($A235,'Historical Data'!$BE$2:$BE$1068,0)),"")</f>
        <v/>
      </c>
      <c r="C235" s="106" t="str">
        <f aca="false">IFERROR(INDEX('Historical Data'!$B$2:$B$1068,MATCH($A235,'Historical Data'!$BE$2:$BE$1068,0)),"")</f>
        <v/>
      </c>
      <c r="D235" s="106" t="str">
        <f aca="false">IFERROR(INDEX('Historical Data'!$D$2:$D$1068,MATCH($A235,'Historical Data'!$BE$2:$BE$1068,0)),"")</f>
        <v/>
      </c>
      <c r="E235" s="107" t="str">
        <f aca="false">IFERROR(INDEX('Historical Data'!$E$2:$E$1068,MATCH($A235,'Historical Data'!$BE$2:$BE$1068,0)),"")</f>
        <v/>
      </c>
      <c r="F235" s="106" t="str">
        <f aca="false">IFERROR(INDEX('Historical Data'!$G$2:$G$1068,MATCH($A235,'Historical Data'!$BE$2:$BE$1068,0)),"")</f>
        <v/>
      </c>
      <c r="G235" s="106" t="str">
        <f aca="false">IFERROR(INDEX('Historical Data'!$Y$2:$Y$1068,MATCH($A235,'Historical Data'!$BE$2:$BE$1068,0)),"")</f>
        <v/>
      </c>
      <c r="H235" s="106" t="str">
        <f aca="false">IFERROR(INDEX('Historical Data'!$K$2:$K$1068,MATCH($A235,'Historical Data'!$BE$2:$BE$1068,0)),"")</f>
        <v/>
      </c>
      <c r="I235" s="106" t="str">
        <f aca="false">IFERROR(INDEX('Historical Data'!$J$2:$J$1068,MATCH($A235,'Historical Data'!$BE$2:$BE$1068,0)),"")</f>
        <v/>
      </c>
      <c r="J235" s="106" t="str">
        <f aca="false">IFERROR(INDEX('Historical Data'!$L$2:$L$1068,MATCH($A235,'Historical Data'!$BE$2:$BE$1068,0)),"")</f>
        <v/>
      </c>
      <c r="K235" s="108" t="str">
        <f aca="false">IFERROR(INDEX('Historical Data'!$M$2:$M$1068,MATCH($A235,'Historical Data'!$BE$2:$BE$1068,0)),"")</f>
        <v/>
      </c>
      <c r="L235" s="109" t="str">
        <f aca="false">IFERROR(INDEX('Historical Data'!$N$2:$N$1068,MATCH($A235,'Historical Data'!$BE$2:$BE$1068,0)),"")</f>
        <v/>
      </c>
      <c r="M235" s="109" t="str">
        <f aca="false">IFERROR(INDEX('Historical Data'!$Q$2:$Q$1068,MATCH($A235,'Historical Data'!$BE$2:$BE$1068,0)),"")</f>
        <v/>
      </c>
      <c r="N235" s="110" t="str">
        <f aca="false">IFERROR(INDEX('Historical Data'!$S$2:$S$1068,MATCH($A235,'Historical Data'!$BE$2:$BE$1068,0)),"")</f>
        <v/>
      </c>
      <c r="O235" s="109" t="str">
        <f aca="false">IFERROR(INDEX('Historical Data'!$AJ$2:$AJ$1068,MATCH($A235,'Historical Data'!$BE$2:$BE$1068,0)),"")</f>
        <v/>
      </c>
      <c r="P235" s="109" t="str">
        <f aca="false">IFERROR(INDEX('Historical Data'!$AK$2:$AK$1068,MATCH($A235,'Historical Data'!$BE$2:$BE$1068,0)),"")</f>
        <v/>
      </c>
      <c r="Q235" s="106" t="str">
        <f aca="false">IFERROR(INDEX('Historical Data'!$AA$2:$AA$1068,MATCH($A235,'Historical Data'!$BE$2:$BE$1068,0)),"")</f>
        <v/>
      </c>
      <c r="R235" s="106" t="str">
        <f aca="false">IFERROR(INDEX('Historical Data'!$AB$2:$AB$1068,MATCH($A235,'Historical Data'!$BE$2:$BE$1068,0)),"")</f>
        <v/>
      </c>
      <c r="S235" s="106" t="str">
        <f aca="false">IFERROR(INDEX('Historical Data'!$AN$2:$AN$1068,MATCH($A235,'Historical Data'!$BE$2:$BE$1068,0)),"")</f>
        <v/>
      </c>
      <c r="T235" s="106" t="str">
        <f aca="false">IFERROR(INDEX('Historical Data'!$AC$2:$AC$1068,MATCH($A235,'Historical Data'!$BE$2:$BE$1068,0)),"")</f>
        <v/>
      </c>
      <c r="U235" s="106" t="str">
        <f aca="false">IFERROR(INDEX('Historical Data'!$AE$2:$AE$1068,MATCH($A235,'Historical Data'!$BE$2:$BE$1068,0)),"")</f>
        <v/>
      </c>
      <c r="V235" s="106" t="str">
        <f aca="false">IFERROR(INDEX('Historical Data'!$AH$2:$AH$1068,MATCH($A235,'Historical Data'!$BE$2:$BE$1068,0)),"")</f>
        <v/>
      </c>
      <c r="W235" s="106" t="str">
        <f aca="false">IFERROR(INDEX('Historical Data'!$BC$2:$BC$1068,MATCH($A235,'Historical Data'!$BE$2:$BE$1068,0)),"")</f>
        <v/>
      </c>
      <c r="X235" s="105" t="str">
        <f aca="false">IF(B235="","",IF(W235=1,"NR + industry + position",IF(W235=2,"NR + ISO + position",IF(W235=3,"NR + industry",IF(W235=4,"NR + ISO",IF(W235=5,"NR + position",IF(W235=6,"NR only","book baseline"))))))&amp;"  ["&amp;IF(T235=1,"seasoned","unseasoned")&amp;IF(U235=1,", defaulted","")&amp;IF(V235=1,", open","")&amp;"]")</f>
        <v/>
      </c>
    </row>
    <row r="236" customFormat="false" ht="15" hidden="false" customHeight="false" outlineLevel="0" collapsed="false">
      <c r="A236" s="105" t="n">
        <v>232</v>
      </c>
      <c r="B236" s="106" t="str">
        <f aca="false">IFERROR(INDEX('Historical Data'!$A$2:$A$1068,MATCH($A236,'Historical Data'!$BE$2:$BE$1068,0)),"")</f>
        <v/>
      </c>
      <c r="C236" s="106" t="str">
        <f aca="false">IFERROR(INDEX('Historical Data'!$B$2:$B$1068,MATCH($A236,'Historical Data'!$BE$2:$BE$1068,0)),"")</f>
        <v/>
      </c>
      <c r="D236" s="106" t="str">
        <f aca="false">IFERROR(INDEX('Historical Data'!$D$2:$D$1068,MATCH($A236,'Historical Data'!$BE$2:$BE$1068,0)),"")</f>
        <v/>
      </c>
      <c r="E236" s="107" t="str">
        <f aca="false">IFERROR(INDEX('Historical Data'!$E$2:$E$1068,MATCH($A236,'Historical Data'!$BE$2:$BE$1068,0)),"")</f>
        <v/>
      </c>
      <c r="F236" s="106" t="str">
        <f aca="false">IFERROR(INDEX('Historical Data'!$G$2:$G$1068,MATCH($A236,'Historical Data'!$BE$2:$BE$1068,0)),"")</f>
        <v/>
      </c>
      <c r="G236" s="106" t="str">
        <f aca="false">IFERROR(INDEX('Historical Data'!$Y$2:$Y$1068,MATCH($A236,'Historical Data'!$BE$2:$BE$1068,0)),"")</f>
        <v/>
      </c>
      <c r="H236" s="106" t="str">
        <f aca="false">IFERROR(INDEX('Historical Data'!$K$2:$K$1068,MATCH($A236,'Historical Data'!$BE$2:$BE$1068,0)),"")</f>
        <v/>
      </c>
      <c r="I236" s="106" t="str">
        <f aca="false">IFERROR(INDEX('Historical Data'!$J$2:$J$1068,MATCH($A236,'Historical Data'!$BE$2:$BE$1068,0)),"")</f>
        <v/>
      </c>
      <c r="J236" s="106" t="str">
        <f aca="false">IFERROR(INDEX('Historical Data'!$L$2:$L$1068,MATCH($A236,'Historical Data'!$BE$2:$BE$1068,0)),"")</f>
        <v/>
      </c>
      <c r="K236" s="108" t="str">
        <f aca="false">IFERROR(INDEX('Historical Data'!$M$2:$M$1068,MATCH($A236,'Historical Data'!$BE$2:$BE$1068,0)),"")</f>
        <v/>
      </c>
      <c r="L236" s="109" t="str">
        <f aca="false">IFERROR(INDEX('Historical Data'!$N$2:$N$1068,MATCH($A236,'Historical Data'!$BE$2:$BE$1068,0)),"")</f>
        <v/>
      </c>
      <c r="M236" s="109" t="str">
        <f aca="false">IFERROR(INDEX('Historical Data'!$Q$2:$Q$1068,MATCH($A236,'Historical Data'!$BE$2:$BE$1068,0)),"")</f>
        <v/>
      </c>
      <c r="N236" s="110" t="str">
        <f aca="false">IFERROR(INDEX('Historical Data'!$S$2:$S$1068,MATCH($A236,'Historical Data'!$BE$2:$BE$1068,0)),"")</f>
        <v/>
      </c>
      <c r="O236" s="109" t="str">
        <f aca="false">IFERROR(INDEX('Historical Data'!$AJ$2:$AJ$1068,MATCH($A236,'Historical Data'!$BE$2:$BE$1068,0)),"")</f>
        <v/>
      </c>
      <c r="P236" s="109" t="str">
        <f aca="false">IFERROR(INDEX('Historical Data'!$AK$2:$AK$1068,MATCH($A236,'Historical Data'!$BE$2:$BE$1068,0)),"")</f>
        <v/>
      </c>
      <c r="Q236" s="106" t="str">
        <f aca="false">IFERROR(INDEX('Historical Data'!$AA$2:$AA$1068,MATCH($A236,'Historical Data'!$BE$2:$BE$1068,0)),"")</f>
        <v/>
      </c>
      <c r="R236" s="106" t="str">
        <f aca="false">IFERROR(INDEX('Historical Data'!$AB$2:$AB$1068,MATCH($A236,'Historical Data'!$BE$2:$BE$1068,0)),"")</f>
        <v/>
      </c>
      <c r="S236" s="106" t="str">
        <f aca="false">IFERROR(INDEX('Historical Data'!$AN$2:$AN$1068,MATCH($A236,'Historical Data'!$BE$2:$BE$1068,0)),"")</f>
        <v/>
      </c>
      <c r="T236" s="106" t="str">
        <f aca="false">IFERROR(INDEX('Historical Data'!$AC$2:$AC$1068,MATCH($A236,'Historical Data'!$BE$2:$BE$1068,0)),"")</f>
        <v/>
      </c>
      <c r="U236" s="106" t="str">
        <f aca="false">IFERROR(INDEX('Historical Data'!$AE$2:$AE$1068,MATCH($A236,'Historical Data'!$BE$2:$BE$1068,0)),"")</f>
        <v/>
      </c>
      <c r="V236" s="106" t="str">
        <f aca="false">IFERROR(INDEX('Historical Data'!$AH$2:$AH$1068,MATCH($A236,'Historical Data'!$BE$2:$BE$1068,0)),"")</f>
        <v/>
      </c>
      <c r="W236" s="106" t="str">
        <f aca="false">IFERROR(INDEX('Historical Data'!$BC$2:$BC$1068,MATCH($A236,'Historical Data'!$BE$2:$BE$1068,0)),"")</f>
        <v/>
      </c>
      <c r="X236" s="105" t="str">
        <f aca="false">IF(B236="","",IF(W236=1,"NR + industry + position",IF(W236=2,"NR + ISO + position",IF(W236=3,"NR + industry",IF(W236=4,"NR + ISO",IF(W236=5,"NR + position",IF(W236=6,"NR only","book baseline"))))))&amp;"  ["&amp;IF(T236=1,"seasoned","unseasoned")&amp;IF(U236=1,", defaulted","")&amp;IF(V236=1,", open","")&amp;"]")</f>
        <v/>
      </c>
    </row>
    <row r="237" customFormat="false" ht="15" hidden="false" customHeight="false" outlineLevel="0" collapsed="false">
      <c r="A237" s="105" t="n">
        <v>233</v>
      </c>
      <c r="B237" s="106" t="str">
        <f aca="false">IFERROR(INDEX('Historical Data'!$A$2:$A$1068,MATCH($A237,'Historical Data'!$BE$2:$BE$1068,0)),"")</f>
        <v/>
      </c>
      <c r="C237" s="106" t="str">
        <f aca="false">IFERROR(INDEX('Historical Data'!$B$2:$B$1068,MATCH($A237,'Historical Data'!$BE$2:$BE$1068,0)),"")</f>
        <v/>
      </c>
      <c r="D237" s="106" t="str">
        <f aca="false">IFERROR(INDEX('Historical Data'!$D$2:$D$1068,MATCH($A237,'Historical Data'!$BE$2:$BE$1068,0)),"")</f>
        <v/>
      </c>
      <c r="E237" s="107" t="str">
        <f aca="false">IFERROR(INDEX('Historical Data'!$E$2:$E$1068,MATCH($A237,'Historical Data'!$BE$2:$BE$1068,0)),"")</f>
        <v/>
      </c>
      <c r="F237" s="106" t="str">
        <f aca="false">IFERROR(INDEX('Historical Data'!$G$2:$G$1068,MATCH($A237,'Historical Data'!$BE$2:$BE$1068,0)),"")</f>
        <v/>
      </c>
      <c r="G237" s="106" t="str">
        <f aca="false">IFERROR(INDEX('Historical Data'!$Y$2:$Y$1068,MATCH($A237,'Historical Data'!$BE$2:$BE$1068,0)),"")</f>
        <v/>
      </c>
      <c r="H237" s="106" t="str">
        <f aca="false">IFERROR(INDEX('Historical Data'!$K$2:$K$1068,MATCH($A237,'Historical Data'!$BE$2:$BE$1068,0)),"")</f>
        <v/>
      </c>
      <c r="I237" s="106" t="str">
        <f aca="false">IFERROR(INDEX('Historical Data'!$J$2:$J$1068,MATCH($A237,'Historical Data'!$BE$2:$BE$1068,0)),"")</f>
        <v/>
      </c>
      <c r="J237" s="106" t="str">
        <f aca="false">IFERROR(INDEX('Historical Data'!$L$2:$L$1068,MATCH($A237,'Historical Data'!$BE$2:$BE$1068,0)),"")</f>
        <v/>
      </c>
      <c r="K237" s="108" t="str">
        <f aca="false">IFERROR(INDEX('Historical Data'!$M$2:$M$1068,MATCH($A237,'Historical Data'!$BE$2:$BE$1068,0)),"")</f>
        <v/>
      </c>
      <c r="L237" s="109" t="str">
        <f aca="false">IFERROR(INDEX('Historical Data'!$N$2:$N$1068,MATCH($A237,'Historical Data'!$BE$2:$BE$1068,0)),"")</f>
        <v/>
      </c>
      <c r="M237" s="109" t="str">
        <f aca="false">IFERROR(INDEX('Historical Data'!$Q$2:$Q$1068,MATCH($A237,'Historical Data'!$BE$2:$BE$1068,0)),"")</f>
        <v/>
      </c>
      <c r="N237" s="110" t="str">
        <f aca="false">IFERROR(INDEX('Historical Data'!$S$2:$S$1068,MATCH($A237,'Historical Data'!$BE$2:$BE$1068,0)),"")</f>
        <v/>
      </c>
      <c r="O237" s="109" t="str">
        <f aca="false">IFERROR(INDEX('Historical Data'!$AJ$2:$AJ$1068,MATCH($A237,'Historical Data'!$BE$2:$BE$1068,0)),"")</f>
        <v/>
      </c>
      <c r="P237" s="109" t="str">
        <f aca="false">IFERROR(INDEX('Historical Data'!$AK$2:$AK$1068,MATCH($A237,'Historical Data'!$BE$2:$BE$1068,0)),"")</f>
        <v/>
      </c>
      <c r="Q237" s="106" t="str">
        <f aca="false">IFERROR(INDEX('Historical Data'!$AA$2:$AA$1068,MATCH($A237,'Historical Data'!$BE$2:$BE$1068,0)),"")</f>
        <v/>
      </c>
      <c r="R237" s="106" t="str">
        <f aca="false">IFERROR(INDEX('Historical Data'!$AB$2:$AB$1068,MATCH($A237,'Historical Data'!$BE$2:$BE$1068,0)),"")</f>
        <v/>
      </c>
      <c r="S237" s="106" t="str">
        <f aca="false">IFERROR(INDEX('Historical Data'!$AN$2:$AN$1068,MATCH($A237,'Historical Data'!$BE$2:$BE$1068,0)),"")</f>
        <v/>
      </c>
      <c r="T237" s="106" t="str">
        <f aca="false">IFERROR(INDEX('Historical Data'!$AC$2:$AC$1068,MATCH($A237,'Historical Data'!$BE$2:$BE$1068,0)),"")</f>
        <v/>
      </c>
      <c r="U237" s="106" t="str">
        <f aca="false">IFERROR(INDEX('Historical Data'!$AE$2:$AE$1068,MATCH($A237,'Historical Data'!$BE$2:$BE$1068,0)),"")</f>
        <v/>
      </c>
      <c r="V237" s="106" t="str">
        <f aca="false">IFERROR(INDEX('Historical Data'!$AH$2:$AH$1068,MATCH($A237,'Historical Data'!$BE$2:$BE$1068,0)),"")</f>
        <v/>
      </c>
      <c r="W237" s="106" t="str">
        <f aca="false">IFERROR(INDEX('Historical Data'!$BC$2:$BC$1068,MATCH($A237,'Historical Data'!$BE$2:$BE$1068,0)),"")</f>
        <v/>
      </c>
      <c r="X237" s="105" t="str">
        <f aca="false">IF(B237="","",IF(W237=1,"NR + industry + position",IF(W237=2,"NR + ISO + position",IF(W237=3,"NR + industry",IF(W237=4,"NR + ISO",IF(W237=5,"NR + position",IF(W237=6,"NR only","book baseline"))))))&amp;"  ["&amp;IF(T237=1,"seasoned","unseasoned")&amp;IF(U237=1,", defaulted","")&amp;IF(V237=1,", open","")&amp;"]")</f>
        <v/>
      </c>
    </row>
    <row r="238" customFormat="false" ht="15" hidden="false" customHeight="false" outlineLevel="0" collapsed="false">
      <c r="A238" s="105" t="n">
        <v>234</v>
      </c>
      <c r="B238" s="106" t="str">
        <f aca="false">IFERROR(INDEX('Historical Data'!$A$2:$A$1068,MATCH($A238,'Historical Data'!$BE$2:$BE$1068,0)),"")</f>
        <v/>
      </c>
      <c r="C238" s="106" t="str">
        <f aca="false">IFERROR(INDEX('Historical Data'!$B$2:$B$1068,MATCH($A238,'Historical Data'!$BE$2:$BE$1068,0)),"")</f>
        <v/>
      </c>
      <c r="D238" s="106" t="str">
        <f aca="false">IFERROR(INDEX('Historical Data'!$D$2:$D$1068,MATCH($A238,'Historical Data'!$BE$2:$BE$1068,0)),"")</f>
        <v/>
      </c>
      <c r="E238" s="107" t="str">
        <f aca="false">IFERROR(INDEX('Historical Data'!$E$2:$E$1068,MATCH($A238,'Historical Data'!$BE$2:$BE$1068,0)),"")</f>
        <v/>
      </c>
      <c r="F238" s="106" t="str">
        <f aca="false">IFERROR(INDEX('Historical Data'!$G$2:$G$1068,MATCH($A238,'Historical Data'!$BE$2:$BE$1068,0)),"")</f>
        <v/>
      </c>
      <c r="G238" s="106" t="str">
        <f aca="false">IFERROR(INDEX('Historical Data'!$Y$2:$Y$1068,MATCH($A238,'Historical Data'!$BE$2:$BE$1068,0)),"")</f>
        <v/>
      </c>
      <c r="H238" s="106" t="str">
        <f aca="false">IFERROR(INDEX('Historical Data'!$K$2:$K$1068,MATCH($A238,'Historical Data'!$BE$2:$BE$1068,0)),"")</f>
        <v/>
      </c>
      <c r="I238" s="106" t="str">
        <f aca="false">IFERROR(INDEX('Historical Data'!$J$2:$J$1068,MATCH($A238,'Historical Data'!$BE$2:$BE$1068,0)),"")</f>
        <v/>
      </c>
      <c r="J238" s="106" t="str">
        <f aca="false">IFERROR(INDEX('Historical Data'!$L$2:$L$1068,MATCH($A238,'Historical Data'!$BE$2:$BE$1068,0)),"")</f>
        <v/>
      </c>
      <c r="K238" s="108" t="str">
        <f aca="false">IFERROR(INDEX('Historical Data'!$M$2:$M$1068,MATCH($A238,'Historical Data'!$BE$2:$BE$1068,0)),"")</f>
        <v/>
      </c>
      <c r="L238" s="109" t="str">
        <f aca="false">IFERROR(INDEX('Historical Data'!$N$2:$N$1068,MATCH($A238,'Historical Data'!$BE$2:$BE$1068,0)),"")</f>
        <v/>
      </c>
      <c r="M238" s="109" t="str">
        <f aca="false">IFERROR(INDEX('Historical Data'!$Q$2:$Q$1068,MATCH($A238,'Historical Data'!$BE$2:$BE$1068,0)),"")</f>
        <v/>
      </c>
      <c r="N238" s="110" t="str">
        <f aca="false">IFERROR(INDEX('Historical Data'!$S$2:$S$1068,MATCH($A238,'Historical Data'!$BE$2:$BE$1068,0)),"")</f>
        <v/>
      </c>
      <c r="O238" s="109" t="str">
        <f aca="false">IFERROR(INDEX('Historical Data'!$AJ$2:$AJ$1068,MATCH($A238,'Historical Data'!$BE$2:$BE$1068,0)),"")</f>
        <v/>
      </c>
      <c r="P238" s="109" t="str">
        <f aca="false">IFERROR(INDEX('Historical Data'!$AK$2:$AK$1068,MATCH($A238,'Historical Data'!$BE$2:$BE$1068,0)),"")</f>
        <v/>
      </c>
      <c r="Q238" s="106" t="str">
        <f aca="false">IFERROR(INDEX('Historical Data'!$AA$2:$AA$1068,MATCH($A238,'Historical Data'!$BE$2:$BE$1068,0)),"")</f>
        <v/>
      </c>
      <c r="R238" s="106" t="str">
        <f aca="false">IFERROR(INDEX('Historical Data'!$AB$2:$AB$1068,MATCH($A238,'Historical Data'!$BE$2:$BE$1068,0)),"")</f>
        <v/>
      </c>
      <c r="S238" s="106" t="str">
        <f aca="false">IFERROR(INDEX('Historical Data'!$AN$2:$AN$1068,MATCH($A238,'Historical Data'!$BE$2:$BE$1068,0)),"")</f>
        <v/>
      </c>
      <c r="T238" s="106" t="str">
        <f aca="false">IFERROR(INDEX('Historical Data'!$AC$2:$AC$1068,MATCH($A238,'Historical Data'!$BE$2:$BE$1068,0)),"")</f>
        <v/>
      </c>
      <c r="U238" s="106" t="str">
        <f aca="false">IFERROR(INDEX('Historical Data'!$AE$2:$AE$1068,MATCH($A238,'Historical Data'!$BE$2:$BE$1068,0)),"")</f>
        <v/>
      </c>
      <c r="V238" s="106" t="str">
        <f aca="false">IFERROR(INDEX('Historical Data'!$AH$2:$AH$1068,MATCH($A238,'Historical Data'!$BE$2:$BE$1068,0)),"")</f>
        <v/>
      </c>
      <c r="W238" s="106" t="str">
        <f aca="false">IFERROR(INDEX('Historical Data'!$BC$2:$BC$1068,MATCH($A238,'Historical Data'!$BE$2:$BE$1068,0)),"")</f>
        <v/>
      </c>
      <c r="X238" s="105" t="str">
        <f aca="false">IF(B238="","",IF(W238=1,"NR + industry + position",IF(W238=2,"NR + ISO + position",IF(W238=3,"NR + industry",IF(W238=4,"NR + ISO",IF(W238=5,"NR + position",IF(W238=6,"NR only","book baseline"))))))&amp;"  ["&amp;IF(T238=1,"seasoned","unseasoned")&amp;IF(U238=1,", defaulted","")&amp;IF(V238=1,", open","")&amp;"]")</f>
        <v/>
      </c>
    </row>
    <row r="239" customFormat="false" ht="15" hidden="false" customHeight="false" outlineLevel="0" collapsed="false">
      <c r="A239" s="105" t="n">
        <v>235</v>
      </c>
      <c r="B239" s="106" t="str">
        <f aca="false">IFERROR(INDEX('Historical Data'!$A$2:$A$1068,MATCH($A239,'Historical Data'!$BE$2:$BE$1068,0)),"")</f>
        <v/>
      </c>
      <c r="C239" s="106" t="str">
        <f aca="false">IFERROR(INDEX('Historical Data'!$B$2:$B$1068,MATCH($A239,'Historical Data'!$BE$2:$BE$1068,0)),"")</f>
        <v/>
      </c>
      <c r="D239" s="106" t="str">
        <f aca="false">IFERROR(INDEX('Historical Data'!$D$2:$D$1068,MATCH($A239,'Historical Data'!$BE$2:$BE$1068,0)),"")</f>
        <v/>
      </c>
      <c r="E239" s="107" t="str">
        <f aca="false">IFERROR(INDEX('Historical Data'!$E$2:$E$1068,MATCH($A239,'Historical Data'!$BE$2:$BE$1068,0)),"")</f>
        <v/>
      </c>
      <c r="F239" s="106" t="str">
        <f aca="false">IFERROR(INDEX('Historical Data'!$G$2:$G$1068,MATCH($A239,'Historical Data'!$BE$2:$BE$1068,0)),"")</f>
        <v/>
      </c>
      <c r="G239" s="106" t="str">
        <f aca="false">IFERROR(INDEX('Historical Data'!$Y$2:$Y$1068,MATCH($A239,'Historical Data'!$BE$2:$BE$1068,0)),"")</f>
        <v/>
      </c>
      <c r="H239" s="106" t="str">
        <f aca="false">IFERROR(INDEX('Historical Data'!$K$2:$K$1068,MATCH($A239,'Historical Data'!$BE$2:$BE$1068,0)),"")</f>
        <v/>
      </c>
      <c r="I239" s="106" t="str">
        <f aca="false">IFERROR(INDEX('Historical Data'!$J$2:$J$1068,MATCH($A239,'Historical Data'!$BE$2:$BE$1068,0)),"")</f>
        <v/>
      </c>
      <c r="J239" s="106" t="str">
        <f aca="false">IFERROR(INDEX('Historical Data'!$L$2:$L$1068,MATCH($A239,'Historical Data'!$BE$2:$BE$1068,0)),"")</f>
        <v/>
      </c>
      <c r="K239" s="108" t="str">
        <f aca="false">IFERROR(INDEX('Historical Data'!$M$2:$M$1068,MATCH($A239,'Historical Data'!$BE$2:$BE$1068,0)),"")</f>
        <v/>
      </c>
      <c r="L239" s="109" t="str">
        <f aca="false">IFERROR(INDEX('Historical Data'!$N$2:$N$1068,MATCH($A239,'Historical Data'!$BE$2:$BE$1068,0)),"")</f>
        <v/>
      </c>
      <c r="M239" s="109" t="str">
        <f aca="false">IFERROR(INDEX('Historical Data'!$Q$2:$Q$1068,MATCH($A239,'Historical Data'!$BE$2:$BE$1068,0)),"")</f>
        <v/>
      </c>
      <c r="N239" s="110" t="str">
        <f aca="false">IFERROR(INDEX('Historical Data'!$S$2:$S$1068,MATCH($A239,'Historical Data'!$BE$2:$BE$1068,0)),"")</f>
        <v/>
      </c>
      <c r="O239" s="109" t="str">
        <f aca="false">IFERROR(INDEX('Historical Data'!$AJ$2:$AJ$1068,MATCH($A239,'Historical Data'!$BE$2:$BE$1068,0)),"")</f>
        <v/>
      </c>
      <c r="P239" s="109" t="str">
        <f aca="false">IFERROR(INDEX('Historical Data'!$AK$2:$AK$1068,MATCH($A239,'Historical Data'!$BE$2:$BE$1068,0)),"")</f>
        <v/>
      </c>
      <c r="Q239" s="106" t="str">
        <f aca="false">IFERROR(INDEX('Historical Data'!$AA$2:$AA$1068,MATCH($A239,'Historical Data'!$BE$2:$BE$1068,0)),"")</f>
        <v/>
      </c>
      <c r="R239" s="106" t="str">
        <f aca="false">IFERROR(INDEX('Historical Data'!$AB$2:$AB$1068,MATCH($A239,'Historical Data'!$BE$2:$BE$1068,0)),"")</f>
        <v/>
      </c>
      <c r="S239" s="106" t="str">
        <f aca="false">IFERROR(INDEX('Historical Data'!$AN$2:$AN$1068,MATCH($A239,'Historical Data'!$BE$2:$BE$1068,0)),"")</f>
        <v/>
      </c>
      <c r="T239" s="106" t="str">
        <f aca="false">IFERROR(INDEX('Historical Data'!$AC$2:$AC$1068,MATCH($A239,'Historical Data'!$BE$2:$BE$1068,0)),"")</f>
        <v/>
      </c>
      <c r="U239" s="106" t="str">
        <f aca="false">IFERROR(INDEX('Historical Data'!$AE$2:$AE$1068,MATCH($A239,'Historical Data'!$BE$2:$BE$1068,0)),"")</f>
        <v/>
      </c>
      <c r="V239" s="106" t="str">
        <f aca="false">IFERROR(INDEX('Historical Data'!$AH$2:$AH$1068,MATCH($A239,'Historical Data'!$BE$2:$BE$1068,0)),"")</f>
        <v/>
      </c>
      <c r="W239" s="106" t="str">
        <f aca="false">IFERROR(INDEX('Historical Data'!$BC$2:$BC$1068,MATCH($A239,'Historical Data'!$BE$2:$BE$1068,0)),"")</f>
        <v/>
      </c>
      <c r="X239" s="105" t="str">
        <f aca="false">IF(B239="","",IF(W239=1,"NR + industry + position",IF(W239=2,"NR + ISO + position",IF(W239=3,"NR + industry",IF(W239=4,"NR + ISO",IF(W239=5,"NR + position",IF(W239=6,"NR only","book baseline"))))))&amp;"  ["&amp;IF(T239=1,"seasoned","unseasoned")&amp;IF(U239=1,", defaulted","")&amp;IF(V239=1,", open","")&amp;"]")</f>
        <v/>
      </c>
    </row>
    <row r="240" customFormat="false" ht="15" hidden="false" customHeight="false" outlineLevel="0" collapsed="false">
      <c r="A240" s="105" t="n">
        <v>236</v>
      </c>
      <c r="B240" s="106" t="str">
        <f aca="false">IFERROR(INDEX('Historical Data'!$A$2:$A$1068,MATCH($A240,'Historical Data'!$BE$2:$BE$1068,0)),"")</f>
        <v/>
      </c>
      <c r="C240" s="106" t="str">
        <f aca="false">IFERROR(INDEX('Historical Data'!$B$2:$B$1068,MATCH($A240,'Historical Data'!$BE$2:$BE$1068,0)),"")</f>
        <v/>
      </c>
      <c r="D240" s="106" t="str">
        <f aca="false">IFERROR(INDEX('Historical Data'!$D$2:$D$1068,MATCH($A240,'Historical Data'!$BE$2:$BE$1068,0)),"")</f>
        <v/>
      </c>
      <c r="E240" s="107" t="str">
        <f aca="false">IFERROR(INDEX('Historical Data'!$E$2:$E$1068,MATCH($A240,'Historical Data'!$BE$2:$BE$1068,0)),"")</f>
        <v/>
      </c>
      <c r="F240" s="106" t="str">
        <f aca="false">IFERROR(INDEX('Historical Data'!$G$2:$G$1068,MATCH($A240,'Historical Data'!$BE$2:$BE$1068,0)),"")</f>
        <v/>
      </c>
      <c r="G240" s="106" t="str">
        <f aca="false">IFERROR(INDEX('Historical Data'!$Y$2:$Y$1068,MATCH($A240,'Historical Data'!$BE$2:$BE$1068,0)),"")</f>
        <v/>
      </c>
      <c r="H240" s="106" t="str">
        <f aca="false">IFERROR(INDEX('Historical Data'!$K$2:$K$1068,MATCH($A240,'Historical Data'!$BE$2:$BE$1068,0)),"")</f>
        <v/>
      </c>
      <c r="I240" s="106" t="str">
        <f aca="false">IFERROR(INDEX('Historical Data'!$J$2:$J$1068,MATCH($A240,'Historical Data'!$BE$2:$BE$1068,0)),"")</f>
        <v/>
      </c>
      <c r="J240" s="106" t="str">
        <f aca="false">IFERROR(INDEX('Historical Data'!$L$2:$L$1068,MATCH($A240,'Historical Data'!$BE$2:$BE$1068,0)),"")</f>
        <v/>
      </c>
      <c r="K240" s="108" t="str">
        <f aca="false">IFERROR(INDEX('Historical Data'!$M$2:$M$1068,MATCH($A240,'Historical Data'!$BE$2:$BE$1068,0)),"")</f>
        <v/>
      </c>
      <c r="L240" s="109" t="str">
        <f aca="false">IFERROR(INDEX('Historical Data'!$N$2:$N$1068,MATCH($A240,'Historical Data'!$BE$2:$BE$1068,0)),"")</f>
        <v/>
      </c>
      <c r="M240" s="109" t="str">
        <f aca="false">IFERROR(INDEX('Historical Data'!$Q$2:$Q$1068,MATCH($A240,'Historical Data'!$BE$2:$BE$1068,0)),"")</f>
        <v/>
      </c>
      <c r="N240" s="110" t="str">
        <f aca="false">IFERROR(INDEX('Historical Data'!$S$2:$S$1068,MATCH($A240,'Historical Data'!$BE$2:$BE$1068,0)),"")</f>
        <v/>
      </c>
      <c r="O240" s="109" t="str">
        <f aca="false">IFERROR(INDEX('Historical Data'!$AJ$2:$AJ$1068,MATCH($A240,'Historical Data'!$BE$2:$BE$1068,0)),"")</f>
        <v/>
      </c>
      <c r="P240" s="109" t="str">
        <f aca="false">IFERROR(INDEX('Historical Data'!$AK$2:$AK$1068,MATCH($A240,'Historical Data'!$BE$2:$BE$1068,0)),"")</f>
        <v/>
      </c>
      <c r="Q240" s="106" t="str">
        <f aca="false">IFERROR(INDEX('Historical Data'!$AA$2:$AA$1068,MATCH($A240,'Historical Data'!$BE$2:$BE$1068,0)),"")</f>
        <v/>
      </c>
      <c r="R240" s="106" t="str">
        <f aca="false">IFERROR(INDEX('Historical Data'!$AB$2:$AB$1068,MATCH($A240,'Historical Data'!$BE$2:$BE$1068,0)),"")</f>
        <v/>
      </c>
      <c r="S240" s="106" t="str">
        <f aca="false">IFERROR(INDEX('Historical Data'!$AN$2:$AN$1068,MATCH($A240,'Historical Data'!$BE$2:$BE$1068,0)),"")</f>
        <v/>
      </c>
      <c r="T240" s="106" t="str">
        <f aca="false">IFERROR(INDEX('Historical Data'!$AC$2:$AC$1068,MATCH($A240,'Historical Data'!$BE$2:$BE$1068,0)),"")</f>
        <v/>
      </c>
      <c r="U240" s="106" t="str">
        <f aca="false">IFERROR(INDEX('Historical Data'!$AE$2:$AE$1068,MATCH($A240,'Historical Data'!$BE$2:$BE$1068,0)),"")</f>
        <v/>
      </c>
      <c r="V240" s="106" t="str">
        <f aca="false">IFERROR(INDEX('Historical Data'!$AH$2:$AH$1068,MATCH($A240,'Historical Data'!$BE$2:$BE$1068,0)),"")</f>
        <v/>
      </c>
      <c r="W240" s="106" t="str">
        <f aca="false">IFERROR(INDEX('Historical Data'!$BC$2:$BC$1068,MATCH($A240,'Historical Data'!$BE$2:$BE$1068,0)),"")</f>
        <v/>
      </c>
      <c r="X240" s="105" t="str">
        <f aca="false">IF(B240="","",IF(W240=1,"NR + industry + position",IF(W240=2,"NR + ISO + position",IF(W240=3,"NR + industry",IF(W240=4,"NR + ISO",IF(W240=5,"NR + position",IF(W240=6,"NR only","book baseline"))))))&amp;"  ["&amp;IF(T240=1,"seasoned","unseasoned")&amp;IF(U240=1,", defaulted","")&amp;IF(V240=1,", open","")&amp;"]")</f>
        <v/>
      </c>
    </row>
    <row r="241" customFormat="false" ht="15" hidden="false" customHeight="false" outlineLevel="0" collapsed="false">
      <c r="A241" s="105" t="n">
        <v>237</v>
      </c>
      <c r="B241" s="106" t="str">
        <f aca="false">IFERROR(INDEX('Historical Data'!$A$2:$A$1068,MATCH($A241,'Historical Data'!$BE$2:$BE$1068,0)),"")</f>
        <v/>
      </c>
      <c r="C241" s="106" t="str">
        <f aca="false">IFERROR(INDEX('Historical Data'!$B$2:$B$1068,MATCH($A241,'Historical Data'!$BE$2:$BE$1068,0)),"")</f>
        <v/>
      </c>
      <c r="D241" s="106" t="str">
        <f aca="false">IFERROR(INDEX('Historical Data'!$D$2:$D$1068,MATCH($A241,'Historical Data'!$BE$2:$BE$1068,0)),"")</f>
        <v/>
      </c>
      <c r="E241" s="107" t="str">
        <f aca="false">IFERROR(INDEX('Historical Data'!$E$2:$E$1068,MATCH($A241,'Historical Data'!$BE$2:$BE$1068,0)),"")</f>
        <v/>
      </c>
      <c r="F241" s="106" t="str">
        <f aca="false">IFERROR(INDEX('Historical Data'!$G$2:$G$1068,MATCH($A241,'Historical Data'!$BE$2:$BE$1068,0)),"")</f>
        <v/>
      </c>
      <c r="G241" s="106" t="str">
        <f aca="false">IFERROR(INDEX('Historical Data'!$Y$2:$Y$1068,MATCH($A241,'Historical Data'!$BE$2:$BE$1068,0)),"")</f>
        <v/>
      </c>
      <c r="H241" s="106" t="str">
        <f aca="false">IFERROR(INDEX('Historical Data'!$K$2:$K$1068,MATCH($A241,'Historical Data'!$BE$2:$BE$1068,0)),"")</f>
        <v/>
      </c>
      <c r="I241" s="106" t="str">
        <f aca="false">IFERROR(INDEX('Historical Data'!$J$2:$J$1068,MATCH($A241,'Historical Data'!$BE$2:$BE$1068,0)),"")</f>
        <v/>
      </c>
      <c r="J241" s="106" t="str">
        <f aca="false">IFERROR(INDEX('Historical Data'!$L$2:$L$1068,MATCH($A241,'Historical Data'!$BE$2:$BE$1068,0)),"")</f>
        <v/>
      </c>
      <c r="K241" s="108" t="str">
        <f aca="false">IFERROR(INDEX('Historical Data'!$M$2:$M$1068,MATCH($A241,'Historical Data'!$BE$2:$BE$1068,0)),"")</f>
        <v/>
      </c>
      <c r="L241" s="109" t="str">
        <f aca="false">IFERROR(INDEX('Historical Data'!$N$2:$N$1068,MATCH($A241,'Historical Data'!$BE$2:$BE$1068,0)),"")</f>
        <v/>
      </c>
      <c r="M241" s="109" t="str">
        <f aca="false">IFERROR(INDEX('Historical Data'!$Q$2:$Q$1068,MATCH($A241,'Historical Data'!$BE$2:$BE$1068,0)),"")</f>
        <v/>
      </c>
      <c r="N241" s="110" t="str">
        <f aca="false">IFERROR(INDEX('Historical Data'!$S$2:$S$1068,MATCH($A241,'Historical Data'!$BE$2:$BE$1068,0)),"")</f>
        <v/>
      </c>
      <c r="O241" s="109" t="str">
        <f aca="false">IFERROR(INDEX('Historical Data'!$AJ$2:$AJ$1068,MATCH($A241,'Historical Data'!$BE$2:$BE$1068,0)),"")</f>
        <v/>
      </c>
      <c r="P241" s="109" t="str">
        <f aca="false">IFERROR(INDEX('Historical Data'!$AK$2:$AK$1068,MATCH($A241,'Historical Data'!$BE$2:$BE$1068,0)),"")</f>
        <v/>
      </c>
      <c r="Q241" s="106" t="str">
        <f aca="false">IFERROR(INDEX('Historical Data'!$AA$2:$AA$1068,MATCH($A241,'Historical Data'!$BE$2:$BE$1068,0)),"")</f>
        <v/>
      </c>
      <c r="R241" s="106" t="str">
        <f aca="false">IFERROR(INDEX('Historical Data'!$AB$2:$AB$1068,MATCH($A241,'Historical Data'!$BE$2:$BE$1068,0)),"")</f>
        <v/>
      </c>
      <c r="S241" s="106" t="str">
        <f aca="false">IFERROR(INDEX('Historical Data'!$AN$2:$AN$1068,MATCH($A241,'Historical Data'!$BE$2:$BE$1068,0)),"")</f>
        <v/>
      </c>
      <c r="T241" s="106" t="str">
        <f aca="false">IFERROR(INDEX('Historical Data'!$AC$2:$AC$1068,MATCH($A241,'Historical Data'!$BE$2:$BE$1068,0)),"")</f>
        <v/>
      </c>
      <c r="U241" s="106" t="str">
        <f aca="false">IFERROR(INDEX('Historical Data'!$AE$2:$AE$1068,MATCH($A241,'Historical Data'!$BE$2:$BE$1068,0)),"")</f>
        <v/>
      </c>
      <c r="V241" s="106" t="str">
        <f aca="false">IFERROR(INDEX('Historical Data'!$AH$2:$AH$1068,MATCH($A241,'Historical Data'!$BE$2:$BE$1068,0)),"")</f>
        <v/>
      </c>
      <c r="W241" s="106" t="str">
        <f aca="false">IFERROR(INDEX('Historical Data'!$BC$2:$BC$1068,MATCH($A241,'Historical Data'!$BE$2:$BE$1068,0)),"")</f>
        <v/>
      </c>
      <c r="X241" s="105" t="str">
        <f aca="false">IF(B241="","",IF(W241=1,"NR + industry + position",IF(W241=2,"NR + ISO + position",IF(W241=3,"NR + industry",IF(W241=4,"NR + ISO",IF(W241=5,"NR + position",IF(W241=6,"NR only","book baseline"))))))&amp;"  ["&amp;IF(T241=1,"seasoned","unseasoned")&amp;IF(U241=1,", defaulted","")&amp;IF(V241=1,", open","")&amp;"]")</f>
        <v/>
      </c>
    </row>
    <row r="242" customFormat="false" ht="15" hidden="false" customHeight="false" outlineLevel="0" collapsed="false">
      <c r="A242" s="105" t="n">
        <v>238</v>
      </c>
      <c r="B242" s="106" t="str">
        <f aca="false">IFERROR(INDEX('Historical Data'!$A$2:$A$1068,MATCH($A242,'Historical Data'!$BE$2:$BE$1068,0)),"")</f>
        <v/>
      </c>
      <c r="C242" s="106" t="str">
        <f aca="false">IFERROR(INDEX('Historical Data'!$B$2:$B$1068,MATCH($A242,'Historical Data'!$BE$2:$BE$1068,0)),"")</f>
        <v/>
      </c>
      <c r="D242" s="106" t="str">
        <f aca="false">IFERROR(INDEX('Historical Data'!$D$2:$D$1068,MATCH($A242,'Historical Data'!$BE$2:$BE$1068,0)),"")</f>
        <v/>
      </c>
      <c r="E242" s="107" t="str">
        <f aca="false">IFERROR(INDEX('Historical Data'!$E$2:$E$1068,MATCH($A242,'Historical Data'!$BE$2:$BE$1068,0)),"")</f>
        <v/>
      </c>
      <c r="F242" s="106" t="str">
        <f aca="false">IFERROR(INDEX('Historical Data'!$G$2:$G$1068,MATCH($A242,'Historical Data'!$BE$2:$BE$1068,0)),"")</f>
        <v/>
      </c>
      <c r="G242" s="106" t="str">
        <f aca="false">IFERROR(INDEX('Historical Data'!$Y$2:$Y$1068,MATCH($A242,'Historical Data'!$BE$2:$BE$1068,0)),"")</f>
        <v/>
      </c>
      <c r="H242" s="106" t="str">
        <f aca="false">IFERROR(INDEX('Historical Data'!$K$2:$K$1068,MATCH($A242,'Historical Data'!$BE$2:$BE$1068,0)),"")</f>
        <v/>
      </c>
      <c r="I242" s="106" t="str">
        <f aca="false">IFERROR(INDEX('Historical Data'!$J$2:$J$1068,MATCH($A242,'Historical Data'!$BE$2:$BE$1068,0)),"")</f>
        <v/>
      </c>
      <c r="J242" s="106" t="str">
        <f aca="false">IFERROR(INDEX('Historical Data'!$L$2:$L$1068,MATCH($A242,'Historical Data'!$BE$2:$BE$1068,0)),"")</f>
        <v/>
      </c>
      <c r="K242" s="108" t="str">
        <f aca="false">IFERROR(INDEX('Historical Data'!$M$2:$M$1068,MATCH($A242,'Historical Data'!$BE$2:$BE$1068,0)),"")</f>
        <v/>
      </c>
      <c r="L242" s="109" t="str">
        <f aca="false">IFERROR(INDEX('Historical Data'!$N$2:$N$1068,MATCH($A242,'Historical Data'!$BE$2:$BE$1068,0)),"")</f>
        <v/>
      </c>
      <c r="M242" s="109" t="str">
        <f aca="false">IFERROR(INDEX('Historical Data'!$Q$2:$Q$1068,MATCH($A242,'Historical Data'!$BE$2:$BE$1068,0)),"")</f>
        <v/>
      </c>
      <c r="N242" s="110" t="str">
        <f aca="false">IFERROR(INDEX('Historical Data'!$S$2:$S$1068,MATCH($A242,'Historical Data'!$BE$2:$BE$1068,0)),"")</f>
        <v/>
      </c>
      <c r="O242" s="109" t="str">
        <f aca="false">IFERROR(INDEX('Historical Data'!$AJ$2:$AJ$1068,MATCH($A242,'Historical Data'!$BE$2:$BE$1068,0)),"")</f>
        <v/>
      </c>
      <c r="P242" s="109" t="str">
        <f aca="false">IFERROR(INDEX('Historical Data'!$AK$2:$AK$1068,MATCH($A242,'Historical Data'!$BE$2:$BE$1068,0)),"")</f>
        <v/>
      </c>
      <c r="Q242" s="106" t="str">
        <f aca="false">IFERROR(INDEX('Historical Data'!$AA$2:$AA$1068,MATCH($A242,'Historical Data'!$BE$2:$BE$1068,0)),"")</f>
        <v/>
      </c>
      <c r="R242" s="106" t="str">
        <f aca="false">IFERROR(INDEX('Historical Data'!$AB$2:$AB$1068,MATCH($A242,'Historical Data'!$BE$2:$BE$1068,0)),"")</f>
        <v/>
      </c>
      <c r="S242" s="106" t="str">
        <f aca="false">IFERROR(INDEX('Historical Data'!$AN$2:$AN$1068,MATCH($A242,'Historical Data'!$BE$2:$BE$1068,0)),"")</f>
        <v/>
      </c>
      <c r="T242" s="106" t="str">
        <f aca="false">IFERROR(INDEX('Historical Data'!$AC$2:$AC$1068,MATCH($A242,'Historical Data'!$BE$2:$BE$1068,0)),"")</f>
        <v/>
      </c>
      <c r="U242" s="106" t="str">
        <f aca="false">IFERROR(INDEX('Historical Data'!$AE$2:$AE$1068,MATCH($A242,'Historical Data'!$BE$2:$BE$1068,0)),"")</f>
        <v/>
      </c>
      <c r="V242" s="106" t="str">
        <f aca="false">IFERROR(INDEX('Historical Data'!$AH$2:$AH$1068,MATCH($A242,'Historical Data'!$BE$2:$BE$1068,0)),"")</f>
        <v/>
      </c>
      <c r="W242" s="106" t="str">
        <f aca="false">IFERROR(INDEX('Historical Data'!$BC$2:$BC$1068,MATCH($A242,'Historical Data'!$BE$2:$BE$1068,0)),"")</f>
        <v/>
      </c>
      <c r="X242" s="105" t="str">
        <f aca="false">IF(B242="","",IF(W242=1,"NR + industry + position",IF(W242=2,"NR + ISO + position",IF(W242=3,"NR + industry",IF(W242=4,"NR + ISO",IF(W242=5,"NR + position",IF(W242=6,"NR only","book baseline"))))))&amp;"  ["&amp;IF(T242=1,"seasoned","unseasoned")&amp;IF(U242=1,", defaulted","")&amp;IF(V242=1,", open","")&amp;"]")</f>
        <v/>
      </c>
    </row>
    <row r="243" customFormat="false" ht="15" hidden="false" customHeight="false" outlineLevel="0" collapsed="false">
      <c r="A243" s="105" t="n">
        <v>239</v>
      </c>
      <c r="B243" s="106" t="str">
        <f aca="false">IFERROR(INDEX('Historical Data'!$A$2:$A$1068,MATCH($A243,'Historical Data'!$BE$2:$BE$1068,0)),"")</f>
        <v/>
      </c>
      <c r="C243" s="106" t="str">
        <f aca="false">IFERROR(INDEX('Historical Data'!$B$2:$B$1068,MATCH($A243,'Historical Data'!$BE$2:$BE$1068,0)),"")</f>
        <v/>
      </c>
      <c r="D243" s="106" t="str">
        <f aca="false">IFERROR(INDEX('Historical Data'!$D$2:$D$1068,MATCH($A243,'Historical Data'!$BE$2:$BE$1068,0)),"")</f>
        <v/>
      </c>
      <c r="E243" s="107" t="str">
        <f aca="false">IFERROR(INDEX('Historical Data'!$E$2:$E$1068,MATCH($A243,'Historical Data'!$BE$2:$BE$1068,0)),"")</f>
        <v/>
      </c>
      <c r="F243" s="106" t="str">
        <f aca="false">IFERROR(INDEX('Historical Data'!$G$2:$G$1068,MATCH($A243,'Historical Data'!$BE$2:$BE$1068,0)),"")</f>
        <v/>
      </c>
      <c r="G243" s="106" t="str">
        <f aca="false">IFERROR(INDEX('Historical Data'!$Y$2:$Y$1068,MATCH($A243,'Historical Data'!$BE$2:$BE$1068,0)),"")</f>
        <v/>
      </c>
      <c r="H243" s="106" t="str">
        <f aca="false">IFERROR(INDEX('Historical Data'!$K$2:$K$1068,MATCH($A243,'Historical Data'!$BE$2:$BE$1068,0)),"")</f>
        <v/>
      </c>
      <c r="I243" s="106" t="str">
        <f aca="false">IFERROR(INDEX('Historical Data'!$J$2:$J$1068,MATCH($A243,'Historical Data'!$BE$2:$BE$1068,0)),"")</f>
        <v/>
      </c>
      <c r="J243" s="106" t="str">
        <f aca="false">IFERROR(INDEX('Historical Data'!$L$2:$L$1068,MATCH($A243,'Historical Data'!$BE$2:$BE$1068,0)),"")</f>
        <v/>
      </c>
      <c r="K243" s="108" t="str">
        <f aca="false">IFERROR(INDEX('Historical Data'!$M$2:$M$1068,MATCH($A243,'Historical Data'!$BE$2:$BE$1068,0)),"")</f>
        <v/>
      </c>
      <c r="L243" s="109" t="str">
        <f aca="false">IFERROR(INDEX('Historical Data'!$N$2:$N$1068,MATCH($A243,'Historical Data'!$BE$2:$BE$1068,0)),"")</f>
        <v/>
      </c>
      <c r="M243" s="109" t="str">
        <f aca="false">IFERROR(INDEX('Historical Data'!$Q$2:$Q$1068,MATCH($A243,'Historical Data'!$BE$2:$BE$1068,0)),"")</f>
        <v/>
      </c>
      <c r="N243" s="110" t="str">
        <f aca="false">IFERROR(INDEX('Historical Data'!$S$2:$S$1068,MATCH($A243,'Historical Data'!$BE$2:$BE$1068,0)),"")</f>
        <v/>
      </c>
      <c r="O243" s="109" t="str">
        <f aca="false">IFERROR(INDEX('Historical Data'!$AJ$2:$AJ$1068,MATCH($A243,'Historical Data'!$BE$2:$BE$1068,0)),"")</f>
        <v/>
      </c>
      <c r="P243" s="109" t="str">
        <f aca="false">IFERROR(INDEX('Historical Data'!$AK$2:$AK$1068,MATCH($A243,'Historical Data'!$BE$2:$BE$1068,0)),"")</f>
        <v/>
      </c>
      <c r="Q243" s="106" t="str">
        <f aca="false">IFERROR(INDEX('Historical Data'!$AA$2:$AA$1068,MATCH($A243,'Historical Data'!$BE$2:$BE$1068,0)),"")</f>
        <v/>
      </c>
      <c r="R243" s="106" t="str">
        <f aca="false">IFERROR(INDEX('Historical Data'!$AB$2:$AB$1068,MATCH($A243,'Historical Data'!$BE$2:$BE$1068,0)),"")</f>
        <v/>
      </c>
      <c r="S243" s="106" t="str">
        <f aca="false">IFERROR(INDEX('Historical Data'!$AN$2:$AN$1068,MATCH($A243,'Historical Data'!$BE$2:$BE$1068,0)),"")</f>
        <v/>
      </c>
      <c r="T243" s="106" t="str">
        <f aca="false">IFERROR(INDEX('Historical Data'!$AC$2:$AC$1068,MATCH($A243,'Historical Data'!$BE$2:$BE$1068,0)),"")</f>
        <v/>
      </c>
      <c r="U243" s="106" t="str">
        <f aca="false">IFERROR(INDEX('Historical Data'!$AE$2:$AE$1068,MATCH($A243,'Historical Data'!$BE$2:$BE$1068,0)),"")</f>
        <v/>
      </c>
      <c r="V243" s="106" t="str">
        <f aca="false">IFERROR(INDEX('Historical Data'!$AH$2:$AH$1068,MATCH($A243,'Historical Data'!$BE$2:$BE$1068,0)),"")</f>
        <v/>
      </c>
      <c r="W243" s="106" t="str">
        <f aca="false">IFERROR(INDEX('Historical Data'!$BC$2:$BC$1068,MATCH($A243,'Historical Data'!$BE$2:$BE$1068,0)),"")</f>
        <v/>
      </c>
      <c r="X243" s="105" t="str">
        <f aca="false">IF(B243="","",IF(W243=1,"NR + industry + position",IF(W243=2,"NR + ISO + position",IF(W243=3,"NR + industry",IF(W243=4,"NR + ISO",IF(W243=5,"NR + position",IF(W243=6,"NR only","book baseline"))))))&amp;"  ["&amp;IF(T243=1,"seasoned","unseasoned")&amp;IF(U243=1,", defaulted","")&amp;IF(V243=1,", open","")&amp;"]")</f>
        <v/>
      </c>
    </row>
    <row r="244" customFormat="false" ht="15" hidden="false" customHeight="false" outlineLevel="0" collapsed="false">
      <c r="A244" s="105" t="n">
        <v>240</v>
      </c>
      <c r="B244" s="106" t="str">
        <f aca="false">IFERROR(INDEX('Historical Data'!$A$2:$A$1068,MATCH($A244,'Historical Data'!$BE$2:$BE$1068,0)),"")</f>
        <v/>
      </c>
      <c r="C244" s="106" t="str">
        <f aca="false">IFERROR(INDEX('Historical Data'!$B$2:$B$1068,MATCH($A244,'Historical Data'!$BE$2:$BE$1068,0)),"")</f>
        <v/>
      </c>
      <c r="D244" s="106" t="str">
        <f aca="false">IFERROR(INDEX('Historical Data'!$D$2:$D$1068,MATCH($A244,'Historical Data'!$BE$2:$BE$1068,0)),"")</f>
        <v/>
      </c>
      <c r="E244" s="107" t="str">
        <f aca="false">IFERROR(INDEX('Historical Data'!$E$2:$E$1068,MATCH($A244,'Historical Data'!$BE$2:$BE$1068,0)),"")</f>
        <v/>
      </c>
      <c r="F244" s="106" t="str">
        <f aca="false">IFERROR(INDEX('Historical Data'!$G$2:$G$1068,MATCH($A244,'Historical Data'!$BE$2:$BE$1068,0)),"")</f>
        <v/>
      </c>
      <c r="G244" s="106" t="str">
        <f aca="false">IFERROR(INDEX('Historical Data'!$Y$2:$Y$1068,MATCH($A244,'Historical Data'!$BE$2:$BE$1068,0)),"")</f>
        <v/>
      </c>
      <c r="H244" s="106" t="str">
        <f aca="false">IFERROR(INDEX('Historical Data'!$K$2:$K$1068,MATCH($A244,'Historical Data'!$BE$2:$BE$1068,0)),"")</f>
        <v/>
      </c>
      <c r="I244" s="106" t="str">
        <f aca="false">IFERROR(INDEX('Historical Data'!$J$2:$J$1068,MATCH($A244,'Historical Data'!$BE$2:$BE$1068,0)),"")</f>
        <v/>
      </c>
      <c r="J244" s="106" t="str">
        <f aca="false">IFERROR(INDEX('Historical Data'!$L$2:$L$1068,MATCH($A244,'Historical Data'!$BE$2:$BE$1068,0)),"")</f>
        <v/>
      </c>
      <c r="K244" s="108" t="str">
        <f aca="false">IFERROR(INDEX('Historical Data'!$M$2:$M$1068,MATCH($A244,'Historical Data'!$BE$2:$BE$1068,0)),"")</f>
        <v/>
      </c>
      <c r="L244" s="109" t="str">
        <f aca="false">IFERROR(INDEX('Historical Data'!$N$2:$N$1068,MATCH($A244,'Historical Data'!$BE$2:$BE$1068,0)),"")</f>
        <v/>
      </c>
      <c r="M244" s="109" t="str">
        <f aca="false">IFERROR(INDEX('Historical Data'!$Q$2:$Q$1068,MATCH($A244,'Historical Data'!$BE$2:$BE$1068,0)),"")</f>
        <v/>
      </c>
      <c r="N244" s="110" t="str">
        <f aca="false">IFERROR(INDEX('Historical Data'!$S$2:$S$1068,MATCH($A244,'Historical Data'!$BE$2:$BE$1068,0)),"")</f>
        <v/>
      </c>
      <c r="O244" s="109" t="str">
        <f aca="false">IFERROR(INDEX('Historical Data'!$AJ$2:$AJ$1068,MATCH($A244,'Historical Data'!$BE$2:$BE$1068,0)),"")</f>
        <v/>
      </c>
      <c r="P244" s="109" t="str">
        <f aca="false">IFERROR(INDEX('Historical Data'!$AK$2:$AK$1068,MATCH($A244,'Historical Data'!$BE$2:$BE$1068,0)),"")</f>
        <v/>
      </c>
      <c r="Q244" s="106" t="str">
        <f aca="false">IFERROR(INDEX('Historical Data'!$AA$2:$AA$1068,MATCH($A244,'Historical Data'!$BE$2:$BE$1068,0)),"")</f>
        <v/>
      </c>
      <c r="R244" s="106" t="str">
        <f aca="false">IFERROR(INDEX('Historical Data'!$AB$2:$AB$1068,MATCH($A244,'Historical Data'!$BE$2:$BE$1068,0)),"")</f>
        <v/>
      </c>
      <c r="S244" s="106" t="str">
        <f aca="false">IFERROR(INDEX('Historical Data'!$AN$2:$AN$1068,MATCH($A244,'Historical Data'!$BE$2:$BE$1068,0)),"")</f>
        <v/>
      </c>
      <c r="T244" s="106" t="str">
        <f aca="false">IFERROR(INDEX('Historical Data'!$AC$2:$AC$1068,MATCH($A244,'Historical Data'!$BE$2:$BE$1068,0)),"")</f>
        <v/>
      </c>
      <c r="U244" s="106" t="str">
        <f aca="false">IFERROR(INDEX('Historical Data'!$AE$2:$AE$1068,MATCH($A244,'Historical Data'!$BE$2:$BE$1068,0)),"")</f>
        <v/>
      </c>
      <c r="V244" s="106" t="str">
        <f aca="false">IFERROR(INDEX('Historical Data'!$AH$2:$AH$1068,MATCH($A244,'Historical Data'!$BE$2:$BE$1068,0)),"")</f>
        <v/>
      </c>
      <c r="W244" s="106" t="str">
        <f aca="false">IFERROR(INDEX('Historical Data'!$BC$2:$BC$1068,MATCH($A244,'Historical Data'!$BE$2:$BE$1068,0)),"")</f>
        <v/>
      </c>
      <c r="X244" s="105" t="str">
        <f aca="false">IF(B244="","",IF(W244=1,"NR + industry + position",IF(W244=2,"NR + ISO + position",IF(W244=3,"NR + industry",IF(W244=4,"NR + ISO",IF(W244=5,"NR + position",IF(W244=6,"NR only","book baseline"))))))&amp;"  ["&amp;IF(T244=1,"seasoned","unseasoned")&amp;IF(U244=1,", defaulted","")&amp;IF(V244=1,", open","")&amp;"]")</f>
        <v/>
      </c>
    </row>
    <row r="245" customFormat="false" ht="15" hidden="false" customHeight="false" outlineLevel="0" collapsed="false">
      <c r="A245" s="105" t="n">
        <v>241</v>
      </c>
      <c r="B245" s="106" t="str">
        <f aca="false">IFERROR(INDEX('Historical Data'!$A$2:$A$1068,MATCH($A245,'Historical Data'!$BE$2:$BE$1068,0)),"")</f>
        <v/>
      </c>
      <c r="C245" s="106" t="str">
        <f aca="false">IFERROR(INDEX('Historical Data'!$B$2:$B$1068,MATCH($A245,'Historical Data'!$BE$2:$BE$1068,0)),"")</f>
        <v/>
      </c>
      <c r="D245" s="106" t="str">
        <f aca="false">IFERROR(INDEX('Historical Data'!$D$2:$D$1068,MATCH($A245,'Historical Data'!$BE$2:$BE$1068,0)),"")</f>
        <v/>
      </c>
      <c r="E245" s="107" t="str">
        <f aca="false">IFERROR(INDEX('Historical Data'!$E$2:$E$1068,MATCH($A245,'Historical Data'!$BE$2:$BE$1068,0)),"")</f>
        <v/>
      </c>
      <c r="F245" s="106" t="str">
        <f aca="false">IFERROR(INDEX('Historical Data'!$G$2:$G$1068,MATCH($A245,'Historical Data'!$BE$2:$BE$1068,0)),"")</f>
        <v/>
      </c>
      <c r="G245" s="106" t="str">
        <f aca="false">IFERROR(INDEX('Historical Data'!$Y$2:$Y$1068,MATCH($A245,'Historical Data'!$BE$2:$BE$1068,0)),"")</f>
        <v/>
      </c>
      <c r="H245" s="106" t="str">
        <f aca="false">IFERROR(INDEX('Historical Data'!$K$2:$K$1068,MATCH($A245,'Historical Data'!$BE$2:$BE$1068,0)),"")</f>
        <v/>
      </c>
      <c r="I245" s="106" t="str">
        <f aca="false">IFERROR(INDEX('Historical Data'!$J$2:$J$1068,MATCH($A245,'Historical Data'!$BE$2:$BE$1068,0)),"")</f>
        <v/>
      </c>
      <c r="J245" s="106" t="str">
        <f aca="false">IFERROR(INDEX('Historical Data'!$L$2:$L$1068,MATCH($A245,'Historical Data'!$BE$2:$BE$1068,0)),"")</f>
        <v/>
      </c>
      <c r="K245" s="108" t="str">
        <f aca="false">IFERROR(INDEX('Historical Data'!$M$2:$M$1068,MATCH($A245,'Historical Data'!$BE$2:$BE$1068,0)),"")</f>
        <v/>
      </c>
      <c r="L245" s="109" t="str">
        <f aca="false">IFERROR(INDEX('Historical Data'!$N$2:$N$1068,MATCH($A245,'Historical Data'!$BE$2:$BE$1068,0)),"")</f>
        <v/>
      </c>
      <c r="M245" s="109" t="str">
        <f aca="false">IFERROR(INDEX('Historical Data'!$Q$2:$Q$1068,MATCH($A245,'Historical Data'!$BE$2:$BE$1068,0)),"")</f>
        <v/>
      </c>
      <c r="N245" s="110" t="str">
        <f aca="false">IFERROR(INDEX('Historical Data'!$S$2:$S$1068,MATCH($A245,'Historical Data'!$BE$2:$BE$1068,0)),"")</f>
        <v/>
      </c>
      <c r="O245" s="109" t="str">
        <f aca="false">IFERROR(INDEX('Historical Data'!$AJ$2:$AJ$1068,MATCH($A245,'Historical Data'!$BE$2:$BE$1068,0)),"")</f>
        <v/>
      </c>
      <c r="P245" s="109" t="str">
        <f aca="false">IFERROR(INDEX('Historical Data'!$AK$2:$AK$1068,MATCH($A245,'Historical Data'!$BE$2:$BE$1068,0)),"")</f>
        <v/>
      </c>
      <c r="Q245" s="106" t="str">
        <f aca="false">IFERROR(INDEX('Historical Data'!$AA$2:$AA$1068,MATCH($A245,'Historical Data'!$BE$2:$BE$1068,0)),"")</f>
        <v/>
      </c>
      <c r="R245" s="106" t="str">
        <f aca="false">IFERROR(INDEX('Historical Data'!$AB$2:$AB$1068,MATCH($A245,'Historical Data'!$BE$2:$BE$1068,0)),"")</f>
        <v/>
      </c>
      <c r="S245" s="106" t="str">
        <f aca="false">IFERROR(INDEX('Historical Data'!$AN$2:$AN$1068,MATCH($A245,'Historical Data'!$BE$2:$BE$1068,0)),"")</f>
        <v/>
      </c>
      <c r="T245" s="106" t="str">
        <f aca="false">IFERROR(INDEX('Historical Data'!$AC$2:$AC$1068,MATCH($A245,'Historical Data'!$BE$2:$BE$1068,0)),"")</f>
        <v/>
      </c>
      <c r="U245" s="106" t="str">
        <f aca="false">IFERROR(INDEX('Historical Data'!$AE$2:$AE$1068,MATCH($A245,'Historical Data'!$BE$2:$BE$1068,0)),"")</f>
        <v/>
      </c>
      <c r="V245" s="106" t="str">
        <f aca="false">IFERROR(INDEX('Historical Data'!$AH$2:$AH$1068,MATCH($A245,'Historical Data'!$BE$2:$BE$1068,0)),"")</f>
        <v/>
      </c>
      <c r="W245" s="106" t="str">
        <f aca="false">IFERROR(INDEX('Historical Data'!$BC$2:$BC$1068,MATCH($A245,'Historical Data'!$BE$2:$BE$1068,0)),"")</f>
        <v/>
      </c>
      <c r="X245" s="105" t="str">
        <f aca="false">IF(B245="","",IF(W245=1,"NR + industry + position",IF(W245=2,"NR + ISO + position",IF(W245=3,"NR + industry",IF(W245=4,"NR + ISO",IF(W245=5,"NR + position",IF(W245=6,"NR only","book baseline"))))))&amp;"  ["&amp;IF(T245=1,"seasoned","unseasoned")&amp;IF(U245=1,", defaulted","")&amp;IF(V245=1,", open","")&amp;"]")</f>
        <v/>
      </c>
    </row>
    <row r="246" customFormat="false" ht="15" hidden="false" customHeight="false" outlineLevel="0" collapsed="false">
      <c r="A246" s="105" t="n">
        <v>242</v>
      </c>
      <c r="B246" s="106" t="str">
        <f aca="false">IFERROR(INDEX('Historical Data'!$A$2:$A$1068,MATCH($A246,'Historical Data'!$BE$2:$BE$1068,0)),"")</f>
        <v/>
      </c>
      <c r="C246" s="106" t="str">
        <f aca="false">IFERROR(INDEX('Historical Data'!$B$2:$B$1068,MATCH($A246,'Historical Data'!$BE$2:$BE$1068,0)),"")</f>
        <v/>
      </c>
      <c r="D246" s="106" t="str">
        <f aca="false">IFERROR(INDEX('Historical Data'!$D$2:$D$1068,MATCH($A246,'Historical Data'!$BE$2:$BE$1068,0)),"")</f>
        <v/>
      </c>
      <c r="E246" s="107" t="str">
        <f aca="false">IFERROR(INDEX('Historical Data'!$E$2:$E$1068,MATCH($A246,'Historical Data'!$BE$2:$BE$1068,0)),"")</f>
        <v/>
      </c>
      <c r="F246" s="106" t="str">
        <f aca="false">IFERROR(INDEX('Historical Data'!$G$2:$G$1068,MATCH($A246,'Historical Data'!$BE$2:$BE$1068,0)),"")</f>
        <v/>
      </c>
      <c r="G246" s="106" t="str">
        <f aca="false">IFERROR(INDEX('Historical Data'!$Y$2:$Y$1068,MATCH($A246,'Historical Data'!$BE$2:$BE$1068,0)),"")</f>
        <v/>
      </c>
      <c r="H246" s="106" t="str">
        <f aca="false">IFERROR(INDEX('Historical Data'!$K$2:$K$1068,MATCH($A246,'Historical Data'!$BE$2:$BE$1068,0)),"")</f>
        <v/>
      </c>
      <c r="I246" s="106" t="str">
        <f aca="false">IFERROR(INDEX('Historical Data'!$J$2:$J$1068,MATCH($A246,'Historical Data'!$BE$2:$BE$1068,0)),"")</f>
        <v/>
      </c>
      <c r="J246" s="106" t="str">
        <f aca="false">IFERROR(INDEX('Historical Data'!$L$2:$L$1068,MATCH($A246,'Historical Data'!$BE$2:$BE$1068,0)),"")</f>
        <v/>
      </c>
      <c r="K246" s="108" t="str">
        <f aca="false">IFERROR(INDEX('Historical Data'!$M$2:$M$1068,MATCH($A246,'Historical Data'!$BE$2:$BE$1068,0)),"")</f>
        <v/>
      </c>
      <c r="L246" s="109" t="str">
        <f aca="false">IFERROR(INDEX('Historical Data'!$N$2:$N$1068,MATCH($A246,'Historical Data'!$BE$2:$BE$1068,0)),"")</f>
        <v/>
      </c>
      <c r="M246" s="109" t="str">
        <f aca="false">IFERROR(INDEX('Historical Data'!$Q$2:$Q$1068,MATCH($A246,'Historical Data'!$BE$2:$BE$1068,0)),"")</f>
        <v/>
      </c>
      <c r="N246" s="110" t="str">
        <f aca="false">IFERROR(INDEX('Historical Data'!$S$2:$S$1068,MATCH($A246,'Historical Data'!$BE$2:$BE$1068,0)),"")</f>
        <v/>
      </c>
      <c r="O246" s="109" t="str">
        <f aca="false">IFERROR(INDEX('Historical Data'!$AJ$2:$AJ$1068,MATCH($A246,'Historical Data'!$BE$2:$BE$1068,0)),"")</f>
        <v/>
      </c>
      <c r="P246" s="109" t="str">
        <f aca="false">IFERROR(INDEX('Historical Data'!$AK$2:$AK$1068,MATCH($A246,'Historical Data'!$BE$2:$BE$1068,0)),"")</f>
        <v/>
      </c>
      <c r="Q246" s="106" t="str">
        <f aca="false">IFERROR(INDEX('Historical Data'!$AA$2:$AA$1068,MATCH($A246,'Historical Data'!$BE$2:$BE$1068,0)),"")</f>
        <v/>
      </c>
      <c r="R246" s="106" t="str">
        <f aca="false">IFERROR(INDEX('Historical Data'!$AB$2:$AB$1068,MATCH($A246,'Historical Data'!$BE$2:$BE$1068,0)),"")</f>
        <v/>
      </c>
      <c r="S246" s="106" t="str">
        <f aca="false">IFERROR(INDEX('Historical Data'!$AN$2:$AN$1068,MATCH($A246,'Historical Data'!$BE$2:$BE$1068,0)),"")</f>
        <v/>
      </c>
      <c r="T246" s="106" t="str">
        <f aca="false">IFERROR(INDEX('Historical Data'!$AC$2:$AC$1068,MATCH($A246,'Historical Data'!$BE$2:$BE$1068,0)),"")</f>
        <v/>
      </c>
      <c r="U246" s="106" t="str">
        <f aca="false">IFERROR(INDEX('Historical Data'!$AE$2:$AE$1068,MATCH($A246,'Historical Data'!$BE$2:$BE$1068,0)),"")</f>
        <v/>
      </c>
      <c r="V246" s="106" t="str">
        <f aca="false">IFERROR(INDEX('Historical Data'!$AH$2:$AH$1068,MATCH($A246,'Historical Data'!$BE$2:$BE$1068,0)),"")</f>
        <v/>
      </c>
      <c r="W246" s="106" t="str">
        <f aca="false">IFERROR(INDEX('Historical Data'!$BC$2:$BC$1068,MATCH($A246,'Historical Data'!$BE$2:$BE$1068,0)),"")</f>
        <v/>
      </c>
      <c r="X246" s="105" t="str">
        <f aca="false">IF(B246="","",IF(W246=1,"NR + industry + position",IF(W246=2,"NR + ISO + position",IF(W246=3,"NR + industry",IF(W246=4,"NR + ISO",IF(W246=5,"NR + position",IF(W246=6,"NR only","book baseline"))))))&amp;"  ["&amp;IF(T246=1,"seasoned","unseasoned")&amp;IF(U246=1,", defaulted","")&amp;IF(V246=1,", open","")&amp;"]")</f>
        <v/>
      </c>
    </row>
    <row r="247" customFormat="false" ht="15" hidden="false" customHeight="false" outlineLevel="0" collapsed="false">
      <c r="A247" s="105" t="n">
        <v>243</v>
      </c>
      <c r="B247" s="106" t="str">
        <f aca="false">IFERROR(INDEX('Historical Data'!$A$2:$A$1068,MATCH($A247,'Historical Data'!$BE$2:$BE$1068,0)),"")</f>
        <v/>
      </c>
      <c r="C247" s="106" t="str">
        <f aca="false">IFERROR(INDEX('Historical Data'!$B$2:$B$1068,MATCH($A247,'Historical Data'!$BE$2:$BE$1068,0)),"")</f>
        <v/>
      </c>
      <c r="D247" s="106" t="str">
        <f aca="false">IFERROR(INDEX('Historical Data'!$D$2:$D$1068,MATCH($A247,'Historical Data'!$BE$2:$BE$1068,0)),"")</f>
        <v/>
      </c>
      <c r="E247" s="107" t="str">
        <f aca="false">IFERROR(INDEX('Historical Data'!$E$2:$E$1068,MATCH($A247,'Historical Data'!$BE$2:$BE$1068,0)),"")</f>
        <v/>
      </c>
      <c r="F247" s="106" t="str">
        <f aca="false">IFERROR(INDEX('Historical Data'!$G$2:$G$1068,MATCH($A247,'Historical Data'!$BE$2:$BE$1068,0)),"")</f>
        <v/>
      </c>
      <c r="G247" s="106" t="str">
        <f aca="false">IFERROR(INDEX('Historical Data'!$Y$2:$Y$1068,MATCH($A247,'Historical Data'!$BE$2:$BE$1068,0)),"")</f>
        <v/>
      </c>
      <c r="H247" s="106" t="str">
        <f aca="false">IFERROR(INDEX('Historical Data'!$K$2:$K$1068,MATCH($A247,'Historical Data'!$BE$2:$BE$1068,0)),"")</f>
        <v/>
      </c>
      <c r="I247" s="106" t="str">
        <f aca="false">IFERROR(INDEX('Historical Data'!$J$2:$J$1068,MATCH($A247,'Historical Data'!$BE$2:$BE$1068,0)),"")</f>
        <v/>
      </c>
      <c r="J247" s="106" t="str">
        <f aca="false">IFERROR(INDEX('Historical Data'!$L$2:$L$1068,MATCH($A247,'Historical Data'!$BE$2:$BE$1068,0)),"")</f>
        <v/>
      </c>
      <c r="K247" s="108" t="str">
        <f aca="false">IFERROR(INDEX('Historical Data'!$M$2:$M$1068,MATCH($A247,'Historical Data'!$BE$2:$BE$1068,0)),"")</f>
        <v/>
      </c>
      <c r="L247" s="109" t="str">
        <f aca="false">IFERROR(INDEX('Historical Data'!$N$2:$N$1068,MATCH($A247,'Historical Data'!$BE$2:$BE$1068,0)),"")</f>
        <v/>
      </c>
      <c r="M247" s="109" t="str">
        <f aca="false">IFERROR(INDEX('Historical Data'!$Q$2:$Q$1068,MATCH($A247,'Historical Data'!$BE$2:$BE$1068,0)),"")</f>
        <v/>
      </c>
      <c r="N247" s="110" t="str">
        <f aca="false">IFERROR(INDEX('Historical Data'!$S$2:$S$1068,MATCH($A247,'Historical Data'!$BE$2:$BE$1068,0)),"")</f>
        <v/>
      </c>
      <c r="O247" s="109" t="str">
        <f aca="false">IFERROR(INDEX('Historical Data'!$AJ$2:$AJ$1068,MATCH($A247,'Historical Data'!$BE$2:$BE$1068,0)),"")</f>
        <v/>
      </c>
      <c r="P247" s="109" t="str">
        <f aca="false">IFERROR(INDEX('Historical Data'!$AK$2:$AK$1068,MATCH($A247,'Historical Data'!$BE$2:$BE$1068,0)),"")</f>
        <v/>
      </c>
      <c r="Q247" s="106" t="str">
        <f aca="false">IFERROR(INDEX('Historical Data'!$AA$2:$AA$1068,MATCH($A247,'Historical Data'!$BE$2:$BE$1068,0)),"")</f>
        <v/>
      </c>
      <c r="R247" s="106" t="str">
        <f aca="false">IFERROR(INDEX('Historical Data'!$AB$2:$AB$1068,MATCH($A247,'Historical Data'!$BE$2:$BE$1068,0)),"")</f>
        <v/>
      </c>
      <c r="S247" s="106" t="str">
        <f aca="false">IFERROR(INDEX('Historical Data'!$AN$2:$AN$1068,MATCH($A247,'Historical Data'!$BE$2:$BE$1068,0)),"")</f>
        <v/>
      </c>
      <c r="T247" s="106" t="str">
        <f aca="false">IFERROR(INDEX('Historical Data'!$AC$2:$AC$1068,MATCH($A247,'Historical Data'!$BE$2:$BE$1068,0)),"")</f>
        <v/>
      </c>
      <c r="U247" s="106" t="str">
        <f aca="false">IFERROR(INDEX('Historical Data'!$AE$2:$AE$1068,MATCH($A247,'Historical Data'!$BE$2:$BE$1068,0)),"")</f>
        <v/>
      </c>
      <c r="V247" s="106" t="str">
        <f aca="false">IFERROR(INDEX('Historical Data'!$AH$2:$AH$1068,MATCH($A247,'Historical Data'!$BE$2:$BE$1068,0)),"")</f>
        <v/>
      </c>
      <c r="W247" s="106" t="str">
        <f aca="false">IFERROR(INDEX('Historical Data'!$BC$2:$BC$1068,MATCH($A247,'Historical Data'!$BE$2:$BE$1068,0)),"")</f>
        <v/>
      </c>
      <c r="X247" s="105" t="str">
        <f aca="false">IF(B247="","",IF(W247=1,"NR + industry + position",IF(W247=2,"NR + ISO + position",IF(W247=3,"NR + industry",IF(W247=4,"NR + ISO",IF(W247=5,"NR + position",IF(W247=6,"NR only","book baseline"))))))&amp;"  ["&amp;IF(T247=1,"seasoned","unseasoned")&amp;IF(U247=1,", defaulted","")&amp;IF(V247=1,", open","")&amp;"]")</f>
        <v/>
      </c>
    </row>
    <row r="248" customFormat="false" ht="15" hidden="false" customHeight="false" outlineLevel="0" collapsed="false">
      <c r="A248" s="105" t="n">
        <v>244</v>
      </c>
      <c r="B248" s="106" t="str">
        <f aca="false">IFERROR(INDEX('Historical Data'!$A$2:$A$1068,MATCH($A248,'Historical Data'!$BE$2:$BE$1068,0)),"")</f>
        <v/>
      </c>
      <c r="C248" s="106" t="str">
        <f aca="false">IFERROR(INDEX('Historical Data'!$B$2:$B$1068,MATCH($A248,'Historical Data'!$BE$2:$BE$1068,0)),"")</f>
        <v/>
      </c>
      <c r="D248" s="106" t="str">
        <f aca="false">IFERROR(INDEX('Historical Data'!$D$2:$D$1068,MATCH($A248,'Historical Data'!$BE$2:$BE$1068,0)),"")</f>
        <v/>
      </c>
      <c r="E248" s="107" t="str">
        <f aca="false">IFERROR(INDEX('Historical Data'!$E$2:$E$1068,MATCH($A248,'Historical Data'!$BE$2:$BE$1068,0)),"")</f>
        <v/>
      </c>
      <c r="F248" s="106" t="str">
        <f aca="false">IFERROR(INDEX('Historical Data'!$G$2:$G$1068,MATCH($A248,'Historical Data'!$BE$2:$BE$1068,0)),"")</f>
        <v/>
      </c>
      <c r="G248" s="106" t="str">
        <f aca="false">IFERROR(INDEX('Historical Data'!$Y$2:$Y$1068,MATCH($A248,'Historical Data'!$BE$2:$BE$1068,0)),"")</f>
        <v/>
      </c>
      <c r="H248" s="106" t="str">
        <f aca="false">IFERROR(INDEX('Historical Data'!$K$2:$K$1068,MATCH($A248,'Historical Data'!$BE$2:$BE$1068,0)),"")</f>
        <v/>
      </c>
      <c r="I248" s="106" t="str">
        <f aca="false">IFERROR(INDEX('Historical Data'!$J$2:$J$1068,MATCH($A248,'Historical Data'!$BE$2:$BE$1068,0)),"")</f>
        <v/>
      </c>
      <c r="J248" s="106" t="str">
        <f aca="false">IFERROR(INDEX('Historical Data'!$L$2:$L$1068,MATCH($A248,'Historical Data'!$BE$2:$BE$1068,0)),"")</f>
        <v/>
      </c>
      <c r="K248" s="108" t="str">
        <f aca="false">IFERROR(INDEX('Historical Data'!$M$2:$M$1068,MATCH($A248,'Historical Data'!$BE$2:$BE$1068,0)),"")</f>
        <v/>
      </c>
      <c r="L248" s="109" t="str">
        <f aca="false">IFERROR(INDEX('Historical Data'!$N$2:$N$1068,MATCH($A248,'Historical Data'!$BE$2:$BE$1068,0)),"")</f>
        <v/>
      </c>
      <c r="M248" s="109" t="str">
        <f aca="false">IFERROR(INDEX('Historical Data'!$Q$2:$Q$1068,MATCH($A248,'Historical Data'!$BE$2:$BE$1068,0)),"")</f>
        <v/>
      </c>
      <c r="N248" s="110" t="str">
        <f aca="false">IFERROR(INDEX('Historical Data'!$S$2:$S$1068,MATCH($A248,'Historical Data'!$BE$2:$BE$1068,0)),"")</f>
        <v/>
      </c>
      <c r="O248" s="109" t="str">
        <f aca="false">IFERROR(INDEX('Historical Data'!$AJ$2:$AJ$1068,MATCH($A248,'Historical Data'!$BE$2:$BE$1068,0)),"")</f>
        <v/>
      </c>
      <c r="P248" s="109" t="str">
        <f aca="false">IFERROR(INDEX('Historical Data'!$AK$2:$AK$1068,MATCH($A248,'Historical Data'!$BE$2:$BE$1068,0)),"")</f>
        <v/>
      </c>
      <c r="Q248" s="106" t="str">
        <f aca="false">IFERROR(INDEX('Historical Data'!$AA$2:$AA$1068,MATCH($A248,'Historical Data'!$BE$2:$BE$1068,0)),"")</f>
        <v/>
      </c>
      <c r="R248" s="106" t="str">
        <f aca="false">IFERROR(INDEX('Historical Data'!$AB$2:$AB$1068,MATCH($A248,'Historical Data'!$BE$2:$BE$1068,0)),"")</f>
        <v/>
      </c>
      <c r="S248" s="106" t="str">
        <f aca="false">IFERROR(INDEX('Historical Data'!$AN$2:$AN$1068,MATCH($A248,'Historical Data'!$BE$2:$BE$1068,0)),"")</f>
        <v/>
      </c>
      <c r="T248" s="106" t="str">
        <f aca="false">IFERROR(INDEX('Historical Data'!$AC$2:$AC$1068,MATCH($A248,'Historical Data'!$BE$2:$BE$1068,0)),"")</f>
        <v/>
      </c>
      <c r="U248" s="106" t="str">
        <f aca="false">IFERROR(INDEX('Historical Data'!$AE$2:$AE$1068,MATCH($A248,'Historical Data'!$BE$2:$BE$1068,0)),"")</f>
        <v/>
      </c>
      <c r="V248" s="106" t="str">
        <f aca="false">IFERROR(INDEX('Historical Data'!$AH$2:$AH$1068,MATCH($A248,'Historical Data'!$BE$2:$BE$1068,0)),"")</f>
        <v/>
      </c>
      <c r="W248" s="106" t="str">
        <f aca="false">IFERROR(INDEX('Historical Data'!$BC$2:$BC$1068,MATCH($A248,'Historical Data'!$BE$2:$BE$1068,0)),"")</f>
        <v/>
      </c>
      <c r="X248" s="105" t="str">
        <f aca="false">IF(B248="","",IF(W248=1,"NR + industry + position",IF(W248=2,"NR + ISO + position",IF(W248=3,"NR + industry",IF(W248=4,"NR + ISO",IF(W248=5,"NR + position",IF(W248=6,"NR only","book baseline"))))))&amp;"  ["&amp;IF(T248=1,"seasoned","unseasoned")&amp;IF(U248=1,", defaulted","")&amp;IF(V248=1,", open","")&amp;"]")</f>
        <v/>
      </c>
    </row>
    <row r="249" customFormat="false" ht="15" hidden="false" customHeight="false" outlineLevel="0" collapsed="false">
      <c r="A249" s="105" t="n">
        <v>245</v>
      </c>
      <c r="B249" s="106" t="str">
        <f aca="false">IFERROR(INDEX('Historical Data'!$A$2:$A$1068,MATCH($A249,'Historical Data'!$BE$2:$BE$1068,0)),"")</f>
        <v/>
      </c>
      <c r="C249" s="106" t="str">
        <f aca="false">IFERROR(INDEX('Historical Data'!$B$2:$B$1068,MATCH($A249,'Historical Data'!$BE$2:$BE$1068,0)),"")</f>
        <v/>
      </c>
      <c r="D249" s="106" t="str">
        <f aca="false">IFERROR(INDEX('Historical Data'!$D$2:$D$1068,MATCH($A249,'Historical Data'!$BE$2:$BE$1068,0)),"")</f>
        <v/>
      </c>
      <c r="E249" s="107" t="str">
        <f aca="false">IFERROR(INDEX('Historical Data'!$E$2:$E$1068,MATCH($A249,'Historical Data'!$BE$2:$BE$1068,0)),"")</f>
        <v/>
      </c>
      <c r="F249" s="106" t="str">
        <f aca="false">IFERROR(INDEX('Historical Data'!$G$2:$G$1068,MATCH($A249,'Historical Data'!$BE$2:$BE$1068,0)),"")</f>
        <v/>
      </c>
      <c r="G249" s="106" t="str">
        <f aca="false">IFERROR(INDEX('Historical Data'!$Y$2:$Y$1068,MATCH($A249,'Historical Data'!$BE$2:$BE$1068,0)),"")</f>
        <v/>
      </c>
      <c r="H249" s="106" t="str">
        <f aca="false">IFERROR(INDEX('Historical Data'!$K$2:$K$1068,MATCH($A249,'Historical Data'!$BE$2:$BE$1068,0)),"")</f>
        <v/>
      </c>
      <c r="I249" s="106" t="str">
        <f aca="false">IFERROR(INDEX('Historical Data'!$J$2:$J$1068,MATCH($A249,'Historical Data'!$BE$2:$BE$1068,0)),"")</f>
        <v/>
      </c>
      <c r="J249" s="106" t="str">
        <f aca="false">IFERROR(INDEX('Historical Data'!$L$2:$L$1068,MATCH($A249,'Historical Data'!$BE$2:$BE$1068,0)),"")</f>
        <v/>
      </c>
      <c r="K249" s="108" t="str">
        <f aca="false">IFERROR(INDEX('Historical Data'!$M$2:$M$1068,MATCH($A249,'Historical Data'!$BE$2:$BE$1068,0)),"")</f>
        <v/>
      </c>
      <c r="L249" s="109" t="str">
        <f aca="false">IFERROR(INDEX('Historical Data'!$N$2:$N$1068,MATCH($A249,'Historical Data'!$BE$2:$BE$1068,0)),"")</f>
        <v/>
      </c>
      <c r="M249" s="109" t="str">
        <f aca="false">IFERROR(INDEX('Historical Data'!$Q$2:$Q$1068,MATCH($A249,'Historical Data'!$BE$2:$BE$1068,0)),"")</f>
        <v/>
      </c>
      <c r="N249" s="110" t="str">
        <f aca="false">IFERROR(INDEX('Historical Data'!$S$2:$S$1068,MATCH($A249,'Historical Data'!$BE$2:$BE$1068,0)),"")</f>
        <v/>
      </c>
      <c r="O249" s="109" t="str">
        <f aca="false">IFERROR(INDEX('Historical Data'!$AJ$2:$AJ$1068,MATCH($A249,'Historical Data'!$BE$2:$BE$1068,0)),"")</f>
        <v/>
      </c>
      <c r="P249" s="109" t="str">
        <f aca="false">IFERROR(INDEX('Historical Data'!$AK$2:$AK$1068,MATCH($A249,'Historical Data'!$BE$2:$BE$1068,0)),"")</f>
        <v/>
      </c>
      <c r="Q249" s="106" t="str">
        <f aca="false">IFERROR(INDEX('Historical Data'!$AA$2:$AA$1068,MATCH($A249,'Historical Data'!$BE$2:$BE$1068,0)),"")</f>
        <v/>
      </c>
      <c r="R249" s="106" t="str">
        <f aca="false">IFERROR(INDEX('Historical Data'!$AB$2:$AB$1068,MATCH($A249,'Historical Data'!$BE$2:$BE$1068,0)),"")</f>
        <v/>
      </c>
      <c r="S249" s="106" t="str">
        <f aca="false">IFERROR(INDEX('Historical Data'!$AN$2:$AN$1068,MATCH($A249,'Historical Data'!$BE$2:$BE$1068,0)),"")</f>
        <v/>
      </c>
      <c r="T249" s="106" t="str">
        <f aca="false">IFERROR(INDEX('Historical Data'!$AC$2:$AC$1068,MATCH($A249,'Historical Data'!$BE$2:$BE$1068,0)),"")</f>
        <v/>
      </c>
      <c r="U249" s="106" t="str">
        <f aca="false">IFERROR(INDEX('Historical Data'!$AE$2:$AE$1068,MATCH($A249,'Historical Data'!$BE$2:$BE$1068,0)),"")</f>
        <v/>
      </c>
      <c r="V249" s="106" t="str">
        <f aca="false">IFERROR(INDEX('Historical Data'!$AH$2:$AH$1068,MATCH($A249,'Historical Data'!$BE$2:$BE$1068,0)),"")</f>
        <v/>
      </c>
      <c r="W249" s="106" t="str">
        <f aca="false">IFERROR(INDEX('Historical Data'!$BC$2:$BC$1068,MATCH($A249,'Historical Data'!$BE$2:$BE$1068,0)),"")</f>
        <v/>
      </c>
      <c r="X249" s="105" t="str">
        <f aca="false">IF(B249="","",IF(W249=1,"NR + industry + position",IF(W249=2,"NR + ISO + position",IF(W249=3,"NR + industry",IF(W249=4,"NR + ISO",IF(W249=5,"NR + position",IF(W249=6,"NR only","book baseline"))))))&amp;"  ["&amp;IF(T249=1,"seasoned","unseasoned")&amp;IF(U249=1,", defaulted","")&amp;IF(V249=1,", open","")&amp;"]")</f>
        <v/>
      </c>
    </row>
    <row r="250" customFormat="false" ht="15" hidden="false" customHeight="false" outlineLevel="0" collapsed="false">
      <c r="A250" s="105" t="n">
        <v>246</v>
      </c>
      <c r="B250" s="106" t="str">
        <f aca="false">IFERROR(INDEX('Historical Data'!$A$2:$A$1068,MATCH($A250,'Historical Data'!$BE$2:$BE$1068,0)),"")</f>
        <v/>
      </c>
      <c r="C250" s="106" t="str">
        <f aca="false">IFERROR(INDEX('Historical Data'!$B$2:$B$1068,MATCH($A250,'Historical Data'!$BE$2:$BE$1068,0)),"")</f>
        <v/>
      </c>
      <c r="D250" s="106" t="str">
        <f aca="false">IFERROR(INDEX('Historical Data'!$D$2:$D$1068,MATCH($A250,'Historical Data'!$BE$2:$BE$1068,0)),"")</f>
        <v/>
      </c>
      <c r="E250" s="107" t="str">
        <f aca="false">IFERROR(INDEX('Historical Data'!$E$2:$E$1068,MATCH($A250,'Historical Data'!$BE$2:$BE$1068,0)),"")</f>
        <v/>
      </c>
      <c r="F250" s="106" t="str">
        <f aca="false">IFERROR(INDEX('Historical Data'!$G$2:$G$1068,MATCH($A250,'Historical Data'!$BE$2:$BE$1068,0)),"")</f>
        <v/>
      </c>
      <c r="G250" s="106" t="str">
        <f aca="false">IFERROR(INDEX('Historical Data'!$Y$2:$Y$1068,MATCH($A250,'Historical Data'!$BE$2:$BE$1068,0)),"")</f>
        <v/>
      </c>
      <c r="H250" s="106" t="str">
        <f aca="false">IFERROR(INDEX('Historical Data'!$K$2:$K$1068,MATCH($A250,'Historical Data'!$BE$2:$BE$1068,0)),"")</f>
        <v/>
      </c>
      <c r="I250" s="106" t="str">
        <f aca="false">IFERROR(INDEX('Historical Data'!$J$2:$J$1068,MATCH($A250,'Historical Data'!$BE$2:$BE$1068,0)),"")</f>
        <v/>
      </c>
      <c r="J250" s="106" t="str">
        <f aca="false">IFERROR(INDEX('Historical Data'!$L$2:$L$1068,MATCH($A250,'Historical Data'!$BE$2:$BE$1068,0)),"")</f>
        <v/>
      </c>
      <c r="K250" s="108" t="str">
        <f aca="false">IFERROR(INDEX('Historical Data'!$M$2:$M$1068,MATCH($A250,'Historical Data'!$BE$2:$BE$1068,0)),"")</f>
        <v/>
      </c>
      <c r="L250" s="109" t="str">
        <f aca="false">IFERROR(INDEX('Historical Data'!$N$2:$N$1068,MATCH($A250,'Historical Data'!$BE$2:$BE$1068,0)),"")</f>
        <v/>
      </c>
      <c r="M250" s="109" t="str">
        <f aca="false">IFERROR(INDEX('Historical Data'!$Q$2:$Q$1068,MATCH($A250,'Historical Data'!$BE$2:$BE$1068,0)),"")</f>
        <v/>
      </c>
      <c r="N250" s="110" t="str">
        <f aca="false">IFERROR(INDEX('Historical Data'!$S$2:$S$1068,MATCH($A250,'Historical Data'!$BE$2:$BE$1068,0)),"")</f>
        <v/>
      </c>
      <c r="O250" s="109" t="str">
        <f aca="false">IFERROR(INDEX('Historical Data'!$AJ$2:$AJ$1068,MATCH($A250,'Historical Data'!$BE$2:$BE$1068,0)),"")</f>
        <v/>
      </c>
      <c r="P250" s="109" t="str">
        <f aca="false">IFERROR(INDEX('Historical Data'!$AK$2:$AK$1068,MATCH($A250,'Historical Data'!$BE$2:$BE$1068,0)),"")</f>
        <v/>
      </c>
      <c r="Q250" s="106" t="str">
        <f aca="false">IFERROR(INDEX('Historical Data'!$AA$2:$AA$1068,MATCH($A250,'Historical Data'!$BE$2:$BE$1068,0)),"")</f>
        <v/>
      </c>
      <c r="R250" s="106" t="str">
        <f aca="false">IFERROR(INDEX('Historical Data'!$AB$2:$AB$1068,MATCH($A250,'Historical Data'!$BE$2:$BE$1068,0)),"")</f>
        <v/>
      </c>
      <c r="S250" s="106" t="str">
        <f aca="false">IFERROR(INDEX('Historical Data'!$AN$2:$AN$1068,MATCH($A250,'Historical Data'!$BE$2:$BE$1068,0)),"")</f>
        <v/>
      </c>
      <c r="T250" s="106" t="str">
        <f aca="false">IFERROR(INDEX('Historical Data'!$AC$2:$AC$1068,MATCH($A250,'Historical Data'!$BE$2:$BE$1068,0)),"")</f>
        <v/>
      </c>
      <c r="U250" s="106" t="str">
        <f aca="false">IFERROR(INDEX('Historical Data'!$AE$2:$AE$1068,MATCH($A250,'Historical Data'!$BE$2:$BE$1068,0)),"")</f>
        <v/>
      </c>
      <c r="V250" s="106" t="str">
        <f aca="false">IFERROR(INDEX('Historical Data'!$AH$2:$AH$1068,MATCH($A250,'Historical Data'!$BE$2:$BE$1068,0)),"")</f>
        <v/>
      </c>
      <c r="W250" s="106" t="str">
        <f aca="false">IFERROR(INDEX('Historical Data'!$BC$2:$BC$1068,MATCH($A250,'Historical Data'!$BE$2:$BE$1068,0)),"")</f>
        <v/>
      </c>
      <c r="X250" s="105" t="str">
        <f aca="false">IF(B250="","",IF(W250=1,"NR + industry + position",IF(W250=2,"NR + ISO + position",IF(W250=3,"NR + industry",IF(W250=4,"NR + ISO",IF(W250=5,"NR + position",IF(W250=6,"NR only","book baseline"))))))&amp;"  ["&amp;IF(T250=1,"seasoned","unseasoned")&amp;IF(U250=1,", defaulted","")&amp;IF(V250=1,", open","")&amp;"]")</f>
        <v/>
      </c>
    </row>
    <row r="251" customFormat="false" ht="15" hidden="false" customHeight="false" outlineLevel="0" collapsed="false">
      <c r="A251" s="105" t="n">
        <v>247</v>
      </c>
      <c r="B251" s="106" t="str">
        <f aca="false">IFERROR(INDEX('Historical Data'!$A$2:$A$1068,MATCH($A251,'Historical Data'!$BE$2:$BE$1068,0)),"")</f>
        <v/>
      </c>
      <c r="C251" s="106" t="str">
        <f aca="false">IFERROR(INDEX('Historical Data'!$B$2:$B$1068,MATCH($A251,'Historical Data'!$BE$2:$BE$1068,0)),"")</f>
        <v/>
      </c>
      <c r="D251" s="106" t="str">
        <f aca="false">IFERROR(INDEX('Historical Data'!$D$2:$D$1068,MATCH($A251,'Historical Data'!$BE$2:$BE$1068,0)),"")</f>
        <v/>
      </c>
      <c r="E251" s="107" t="str">
        <f aca="false">IFERROR(INDEX('Historical Data'!$E$2:$E$1068,MATCH($A251,'Historical Data'!$BE$2:$BE$1068,0)),"")</f>
        <v/>
      </c>
      <c r="F251" s="106" t="str">
        <f aca="false">IFERROR(INDEX('Historical Data'!$G$2:$G$1068,MATCH($A251,'Historical Data'!$BE$2:$BE$1068,0)),"")</f>
        <v/>
      </c>
      <c r="G251" s="106" t="str">
        <f aca="false">IFERROR(INDEX('Historical Data'!$Y$2:$Y$1068,MATCH($A251,'Historical Data'!$BE$2:$BE$1068,0)),"")</f>
        <v/>
      </c>
      <c r="H251" s="106" t="str">
        <f aca="false">IFERROR(INDEX('Historical Data'!$K$2:$K$1068,MATCH($A251,'Historical Data'!$BE$2:$BE$1068,0)),"")</f>
        <v/>
      </c>
      <c r="I251" s="106" t="str">
        <f aca="false">IFERROR(INDEX('Historical Data'!$J$2:$J$1068,MATCH($A251,'Historical Data'!$BE$2:$BE$1068,0)),"")</f>
        <v/>
      </c>
      <c r="J251" s="106" t="str">
        <f aca="false">IFERROR(INDEX('Historical Data'!$L$2:$L$1068,MATCH($A251,'Historical Data'!$BE$2:$BE$1068,0)),"")</f>
        <v/>
      </c>
      <c r="K251" s="108" t="str">
        <f aca="false">IFERROR(INDEX('Historical Data'!$M$2:$M$1068,MATCH($A251,'Historical Data'!$BE$2:$BE$1068,0)),"")</f>
        <v/>
      </c>
      <c r="L251" s="109" t="str">
        <f aca="false">IFERROR(INDEX('Historical Data'!$N$2:$N$1068,MATCH($A251,'Historical Data'!$BE$2:$BE$1068,0)),"")</f>
        <v/>
      </c>
      <c r="M251" s="109" t="str">
        <f aca="false">IFERROR(INDEX('Historical Data'!$Q$2:$Q$1068,MATCH($A251,'Historical Data'!$BE$2:$BE$1068,0)),"")</f>
        <v/>
      </c>
      <c r="N251" s="110" t="str">
        <f aca="false">IFERROR(INDEX('Historical Data'!$S$2:$S$1068,MATCH($A251,'Historical Data'!$BE$2:$BE$1068,0)),"")</f>
        <v/>
      </c>
      <c r="O251" s="109" t="str">
        <f aca="false">IFERROR(INDEX('Historical Data'!$AJ$2:$AJ$1068,MATCH($A251,'Historical Data'!$BE$2:$BE$1068,0)),"")</f>
        <v/>
      </c>
      <c r="P251" s="109" t="str">
        <f aca="false">IFERROR(INDEX('Historical Data'!$AK$2:$AK$1068,MATCH($A251,'Historical Data'!$BE$2:$BE$1068,0)),"")</f>
        <v/>
      </c>
      <c r="Q251" s="106" t="str">
        <f aca="false">IFERROR(INDEX('Historical Data'!$AA$2:$AA$1068,MATCH($A251,'Historical Data'!$BE$2:$BE$1068,0)),"")</f>
        <v/>
      </c>
      <c r="R251" s="106" t="str">
        <f aca="false">IFERROR(INDEX('Historical Data'!$AB$2:$AB$1068,MATCH($A251,'Historical Data'!$BE$2:$BE$1068,0)),"")</f>
        <v/>
      </c>
      <c r="S251" s="106" t="str">
        <f aca="false">IFERROR(INDEX('Historical Data'!$AN$2:$AN$1068,MATCH($A251,'Historical Data'!$BE$2:$BE$1068,0)),"")</f>
        <v/>
      </c>
      <c r="T251" s="106" t="str">
        <f aca="false">IFERROR(INDEX('Historical Data'!$AC$2:$AC$1068,MATCH($A251,'Historical Data'!$BE$2:$BE$1068,0)),"")</f>
        <v/>
      </c>
      <c r="U251" s="106" t="str">
        <f aca="false">IFERROR(INDEX('Historical Data'!$AE$2:$AE$1068,MATCH($A251,'Historical Data'!$BE$2:$BE$1068,0)),"")</f>
        <v/>
      </c>
      <c r="V251" s="106" t="str">
        <f aca="false">IFERROR(INDEX('Historical Data'!$AH$2:$AH$1068,MATCH($A251,'Historical Data'!$BE$2:$BE$1068,0)),"")</f>
        <v/>
      </c>
      <c r="W251" s="106" t="str">
        <f aca="false">IFERROR(INDEX('Historical Data'!$BC$2:$BC$1068,MATCH($A251,'Historical Data'!$BE$2:$BE$1068,0)),"")</f>
        <v/>
      </c>
      <c r="X251" s="105" t="str">
        <f aca="false">IF(B251="","",IF(W251=1,"NR + industry + position",IF(W251=2,"NR + ISO + position",IF(W251=3,"NR + industry",IF(W251=4,"NR + ISO",IF(W251=5,"NR + position",IF(W251=6,"NR only","book baseline"))))))&amp;"  ["&amp;IF(T251=1,"seasoned","unseasoned")&amp;IF(U251=1,", defaulted","")&amp;IF(V251=1,", open","")&amp;"]")</f>
        <v/>
      </c>
    </row>
    <row r="252" customFormat="false" ht="15" hidden="false" customHeight="false" outlineLevel="0" collapsed="false">
      <c r="A252" s="105" t="n">
        <v>248</v>
      </c>
      <c r="B252" s="106" t="str">
        <f aca="false">IFERROR(INDEX('Historical Data'!$A$2:$A$1068,MATCH($A252,'Historical Data'!$BE$2:$BE$1068,0)),"")</f>
        <v/>
      </c>
      <c r="C252" s="106" t="str">
        <f aca="false">IFERROR(INDEX('Historical Data'!$B$2:$B$1068,MATCH($A252,'Historical Data'!$BE$2:$BE$1068,0)),"")</f>
        <v/>
      </c>
      <c r="D252" s="106" t="str">
        <f aca="false">IFERROR(INDEX('Historical Data'!$D$2:$D$1068,MATCH($A252,'Historical Data'!$BE$2:$BE$1068,0)),"")</f>
        <v/>
      </c>
      <c r="E252" s="107" t="str">
        <f aca="false">IFERROR(INDEX('Historical Data'!$E$2:$E$1068,MATCH($A252,'Historical Data'!$BE$2:$BE$1068,0)),"")</f>
        <v/>
      </c>
      <c r="F252" s="106" t="str">
        <f aca="false">IFERROR(INDEX('Historical Data'!$G$2:$G$1068,MATCH($A252,'Historical Data'!$BE$2:$BE$1068,0)),"")</f>
        <v/>
      </c>
      <c r="G252" s="106" t="str">
        <f aca="false">IFERROR(INDEX('Historical Data'!$Y$2:$Y$1068,MATCH($A252,'Historical Data'!$BE$2:$BE$1068,0)),"")</f>
        <v/>
      </c>
      <c r="H252" s="106" t="str">
        <f aca="false">IFERROR(INDEX('Historical Data'!$K$2:$K$1068,MATCH($A252,'Historical Data'!$BE$2:$BE$1068,0)),"")</f>
        <v/>
      </c>
      <c r="I252" s="106" t="str">
        <f aca="false">IFERROR(INDEX('Historical Data'!$J$2:$J$1068,MATCH($A252,'Historical Data'!$BE$2:$BE$1068,0)),"")</f>
        <v/>
      </c>
      <c r="J252" s="106" t="str">
        <f aca="false">IFERROR(INDEX('Historical Data'!$L$2:$L$1068,MATCH($A252,'Historical Data'!$BE$2:$BE$1068,0)),"")</f>
        <v/>
      </c>
      <c r="K252" s="108" t="str">
        <f aca="false">IFERROR(INDEX('Historical Data'!$M$2:$M$1068,MATCH($A252,'Historical Data'!$BE$2:$BE$1068,0)),"")</f>
        <v/>
      </c>
      <c r="L252" s="109" t="str">
        <f aca="false">IFERROR(INDEX('Historical Data'!$N$2:$N$1068,MATCH($A252,'Historical Data'!$BE$2:$BE$1068,0)),"")</f>
        <v/>
      </c>
      <c r="M252" s="109" t="str">
        <f aca="false">IFERROR(INDEX('Historical Data'!$Q$2:$Q$1068,MATCH($A252,'Historical Data'!$BE$2:$BE$1068,0)),"")</f>
        <v/>
      </c>
      <c r="N252" s="110" t="str">
        <f aca="false">IFERROR(INDEX('Historical Data'!$S$2:$S$1068,MATCH($A252,'Historical Data'!$BE$2:$BE$1068,0)),"")</f>
        <v/>
      </c>
      <c r="O252" s="109" t="str">
        <f aca="false">IFERROR(INDEX('Historical Data'!$AJ$2:$AJ$1068,MATCH($A252,'Historical Data'!$BE$2:$BE$1068,0)),"")</f>
        <v/>
      </c>
      <c r="P252" s="109" t="str">
        <f aca="false">IFERROR(INDEX('Historical Data'!$AK$2:$AK$1068,MATCH($A252,'Historical Data'!$BE$2:$BE$1068,0)),"")</f>
        <v/>
      </c>
      <c r="Q252" s="106" t="str">
        <f aca="false">IFERROR(INDEX('Historical Data'!$AA$2:$AA$1068,MATCH($A252,'Historical Data'!$BE$2:$BE$1068,0)),"")</f>
        <v/>
      </c>
      <c r="R252" s="106" t="str">
        <f aca="false">IFERROR(INDEX('Historical Data'!$AB$2:$AB$1068,MATCH($A252,'Historical Data'!$BE$2:$BE$1068,0)),"")</f>
        <v/>
      </c>
      <c r="S252" s="106" t="str">
        <f aca="false">IFERROR(INDEX('Historical Data'!$AN$2:$AN$1068,MATCH($A252,'Historical Data'!$BE$2:$BE$1068,0)),"")</f>
        <v/>
      </c>
      <c r="T252" s="106" t="str">
        <f aca="false">IFERROR(INDEX('Historical Data'!$AC$2:$AC$1068,MATCH($A252,'Historical Data'!$BE$2:$BE$1068,0)),"")</f>
        <v/>
      </c>
      <c r="U252" s="106" t="str">
        <f aca="false">IFERROR(INDEX('Historical Data'!$AE$2:$AE$1068,MATCH($A252,'Historical Data'!$BE$2:$BE$1068,0)),"")</f>
        <v/>
      </c>
      <c r="V252" s="106" t="str">
        <f aca="false">IFERROR(INDEX('Historical Data'!$AH$2:$AH$1068,MATCH($A252,'Historical Data'!$BE$2:$BE$1068,0)),"")</f>
        <v/>
      </c>
      <c r="W252" s="106" t="str">
        <f aca="false">IFERROR(INDEX('Historical Data'!$BC$2:$BC$1068,MATCH($A252,'Historical Data'!$BE$2:$BE$1068,0)),"")</f>
        <v/>
      </c>
      <c r="X252" s="105" t="str">
        <f aca="false">IF(B252="","",IF(W252=1,"NR + industry + position",IF(W252=2,"NR + ISO + position",IF(W252=3,"NR + industry",IF(W252=4,"NR + ISO",IF(W252=5,"NR + position",IF(W252=6,"NR only","book baseline"))))))&amp;"  ["&amp;IF(T252=1,"seasoned","unseasoned")&amp;IF(U252=1,", defaulted","")&amp;IF(V252=1,", open","")&amp;"]")</f>
        <v/>
      </c>
    </row>
    <row r="253" customFormat="false" ht="15" hidden="false" customHeight="false" outlineLevel="0" collapsed="false">
      <c r="A253" s="105" t="n">
        <v>249</v>
      </c>
      <c r="B253" s="106" t="str">
        <f aca="false">IFERROR(INDEX('Historical Data'!$A$2:$A$1068,MATCH($A253,'Historical Data'!$BE$2:$BE$1068,0)),"")</f>
        <v/>
      </c>
      <c r="C253" s="106" t="str">
        <f aca="false">IFERROR(INDEX('Historical Data'!$B$2:$B$1068,MATCH($A253,'Historical Data'!$BE$2:$BE$1068,0)),"")</f>
        <v/>
      </c>
      <c r="D253" s="106" t="str">
        <f aca="false">IFERROR(INDEX('Historical Data'!$D$2:$D$1068,MATCH($A253,'Historical Data'!$BE$2:$BE$1068,0)),"")</f>
        <v/>
      </c>
      <c r="E253" s="107" t="str">
        <f aca="false">IFERROR(INDEX('Historical Data'!$E$2:$E$1068,MATCH($A253,'Historical Data'!$BE$2:$BE$1068,0)),"")</f>
        <v/>
      </c>
      <c r="F253" s="106" t="str">
        <f aca="false">IFERROR(INDEX('Historical Data'!$G$2:$G$1068,MATCH($A253,'Historical Data'!$BE$2:$BE$1068,0)),"")</f>
        <v/>
      </c>
      <c r="G253" s="106" t="str">
        <f aca="false">IFERROR(INDEX('Historical Data'!$Y$2:$Y$1068,MATCH($A253,'Historical Data'!$BE$2:$BE$1068,0)),"")</f>
        <v/>
      </c>
      <c r="H253" s="106" t="str">
        <f aca="false">IFERROR(INDEX('Historical Data'!$K$2:$K$1068,MATCH($A253,'Historical Data'!$BE$2:$BE$1068,0)),"")</f>
        <v/>
      </c>
      <c r="I253" s="106" t="str">
        <f aca="false">IFERROR(INDEX('Historical Data'!$J$2:$J$1068,MATCH($A253,'Historical Data'!$BE$2:$BE$1068,0)),"")</f>
        <v/>
      </c>
      <c r="J253" s="106" t="str">
        <f aca="false">IFERROR(INDEX('Historical Data'!$L$2:$L$1068,MATCH($A253,'Historical Data'!$BE$2:$BE$1068,0)),"")</f>
        <v/>
      </c>
      <c r="K253" s="108" t="str">
        <f aca="false">IFERROR(INDEX('Historical Data'!$M$2:$M$1068,MATCH($A253,'Historical Data'!$BE$2:$BE$1068,0)),"")</f>
        <v/>
      </c>
      <c r="L253" s="109" t="str">
        <f aca="false">IFERROR(INDEX('Historical Data'!$N$2:$N$1068,MATCH($A253,'Historical Data'!$BE$2:$BE$1068,0)),"")</f>
        <v/>
      </c>
      <c r="M253" s="109" t="str">
        <f aca="false">IFERROR(INDEX('Historical Data'!$Q$2:$Q$1068,MATCH($A253,'Historical Data'!$BE$2:$BE$1068,0)),"")</f>
        <v/>
      </c>
      <c r="N253" s="110" t="str">
        <f aca="false">IFERROR(INDEX('Historical Data'!$S$2:$S$1068,MATCH($A253,'Historical Data'!$BE$2:$BE$1068,0)),"")</f>
        <v/>
      </c>
      <c r="O253" s="109" t="str">
        <f aca="false">IFERROR(INDEX('Historical Data'!$AJ$2:$AJ$1068,MATCH($A253,'Historical Data'!$BE$2:$BE$1068,0)),"")</f>
        <v/>
      </c>
      <c r="P253" s="109" t="str">
        <f aca="false">IFERROR(INDEX('Historical Data'!$AK$2:$AK$1068,MATCH($A253,'Historical Data'!$BE$2:$BE$1068,0)),"")</f>
        <v/>
      </c>
      <c r="Q253" s="106" t="str">
        <f aca="false">IFERROR(INDEX('Historical Data'!$AA$2:$AA$1068,MATCH($A253,'Historical Data'!$BE$2:$BE$1068,0)),"")</f>
        <v/>
      </c>
      <c r="R253" s="106" t="str">
        <f aca="false">IFERROR(INDEX('Historical Data'!$AB$2:$AB$1068,MATCH($A253,'Historical Data'!$BE$2:$BE$1068,0)),"")</f>
        <v/>
      </c>
      <c r="S253" s="106" t="str">
        <f aca="false">IFERROR(INDEX('Historical Data'!$AN$2:$AN$1068,MATCH($A253,'Historical Data'!$BE$2:$BE$1068,0)),"")</f>
        <v/>
      </c>
      <c r="T253" s="106" t="str">
        <f aca="false">IFERROR(INDEX('Historical Data'!$AC$2:$AC$1068,MATCH($A253,'Historical Data'!$BE$2:$BE$1068,0)),"")</f>
        <v/>
      </c>
      <c r="U253" s="106" t="str">
        <f aca="false">IFERROR(INDEX('Historical Data'!$AE$2:$AE$1068,MATCH($A253,'Historical Data'!$BE$2:$BE$1068,0)),"")</f>
        <v/>
      </c>
      <c r="V253" s="106" t="str">
        <f aca="false">IFERROR(INDEX('Historical Data'!$AH$2:$AH$1068,MATCH($A253,'Historical Data'!$BE$2:$BE$1068,0)),"")</f>
        <v/>
      </c>
      <c r="W253" s="106" t="str">
        <f aca="false">IFERROR(INDEX('Historical Data'!$BC$2:$BC$1068,MATCH($A253,'Historical Data'!$BE$2:$BE$1068,0)),"")</f>
        <v/>
      </c>
      <c r="X253" s="105" t="str">
        <f aca="false">IF(B253="","",IF(W253=1,"NR + industry + position",IF(W253=2,"NR + ISO + position",IF(W253=3,"NR + industry",IF(W253=4,"NR + ISO",IF(W253=5,"NR + position",IF(W253=6,"NR only","book baseline"))))))&amp;"  ["&amp;IF(T253=1,"seasoned","unseasoned")&amp;IF(U253=1,", defaulted","")&amp;IF(V253=1,", open","")&amp;"]")</f>
        <v/>
      </c>
    </row>
    <row r="254" customFormat="false" ht="15" hidden="false" customHeight="false" outlineLevel="0" collapsed="false">
      <c r="A254" s="105" t="n">
        <v>250</v>
      </c>
      <c r="B254" s="106" t="str">
        <f aca="false">IFERROR(INDEX('Historical Data'!$A$2:$A$1068,MATCH($A254,'Historical Data'!$BE$2:$BE$1068,0)),"")</f>
        <v/>
      </c>
      <c r="C254" s="106" t="str">
        <f aca="false">IFERROR(INDEX('Historical Data'!$B$2:$B$1068,MATCH($A254,'Historical Data'!$BE$2:$BE$1068,0)),"")</f>
        <v/>
      </c>
      <c r="D254" s="106" t="str">
        <f aca="false">IFERROR(INDEX('Historical Data'!$D$2:$D$1068,MATCH($A254,'Historical Data'!$BE$2:$BE$1068,0)),"")</f>
        <v/>
      </c>
      <c r="E254" s="107" t="str">
        <f aca="false">IFERROR(INDEX('Historical Data'!$E$2:$E$1068,MATCH($A254,'Historical Data'!$BE$2:$BE$1068,0)),"")</f>
        <v/>
      </c>
      <c r="F254" s="106" t="str">
        <f aca="false">IFERROR(INDEX('Historical Data'!$G$2:$G$1068,MATCH($A254,'Historical Data'!$BE$2:$BE$1068,0)),"")</f>
        <v/>
      </c>
      <c r="G254" s="106" t="str">
        <f aca="false">IFERROR(INDEX('Historical Data'!$Y$2:$Y$1068,MATCH($A254,'Historical Data'!$BE$2:$BE$1068,0)),"")</f>
        <v/>
      </c>
      <c r="H254" s="106" t="str">
        <f aca="false">IFERROR(INDEX('Historical Data'!$K$2:$K$1068,MATCH($A254,'Historical Data'!$BE$2:$BE$1068,0)),"")</f>
        <v/>
      </c>
      <c r="I254" s="106" t="str">
        <f aca="false">IFERROR(INDEX('Historical Data'!$J$2:$J$1068,MATCH($A254,'Historical Data'!$BE$2:$BE$1068,0)),"")</f>
        <v/>
      </c>
      <c r="J254" s="106" t="str">
        <f aca="false">IFERROR(INDEX('Historical Data'!$L$2:$L$1068,MATCH($A254,'Historical Data'!$BE$2:$BE$1068,0)),"")</f>
        <v/>
      </c>
      <c r="K254" s="108" t="str">
        <f aca="false">IFERROR(INDEX('Historical Data'!$M$2:$M$1068,MATCH($A254,'Historical Data'!$BE$2:$BE$1068,0)),"")</f>
        <v/>
      </c>
      <c r="L254" s="109" t="str">
        <f aca="false">IFERROR(INDEX('Historical Data'!$N$2:$N$1068,MATCH($A254,'Historical Data'!$BE$2:$BE$1068,0)),"")</f>
        <v/>
      </c>
      <c r="M254" s="109" t="str">
        <f aca="false">IFERROR(INDEX('Historical Data'!$Q$2:$Q$1068,MATCH($A254,'Historical Data'!$BE$2:$BE$1068,0)),"")</f>
        <v/>
      </c>
      <c r="N254" s="110" t="str">
        <f aca="false">IFERROR(INDEX('Historical Data'!$S$2:$S$1068,MATCH($A254,'Historical Data'!$BE$2:$BE$1068,0)),"")</f>
        <v/>
      </c>
      <c r="O254" s="109" t="str">
        <f aca="false">IFERROR(INDEX('Historical Data'!$AJ$2:$AJ$1068,MATCH($A254,'Historical Data'!$BE$2:$BE$1068,0)),"")</f>
        <v/>
      </c>
      <c r="P254" s="109" t="str">
        <f aca="false">IFERROR(INDEX('Historical Data'!$AK$2:$AK$1068,MATCH($A254,'Historical Data'!$BE$2:$BE$1068,0)),"")</f>
        <v/>
      </c>
      <c r="Q254" s="106" t="str">
        <f aca="false">IFERROR(INDEX('Historical Data'!$AA$2:$AA$1068,MATCH($A254,'Historical Data'!$BE$2:$BE$1068,0)),"")</f>
        <v/>
      </c>
      <c r="R254" s="106" t="str">
        <f aca="false">IFERROR(INDEX('Historical Data'!$AB$2:$AB$1068,MATCH($A254,'Historical Data'!$BE$2:$BE$1068,0)),"")</f>
        <v/>
      </c>
      <c r="S254" s="106" t="str">
        <f aca="false">IFERROR(INDEX('Historical Data'!$AN$2:$AN$1068,MATCH($A254,'Historical Data'!$BE$2:$BE$1068,0)),"")</f>
        <v/>
      </c>
      <c r="T254" s="106" t="str">
        <f aca="false">IFERROR(INDEX('Historical Data'!$AC$2:$AC$1068,MATCH($A254,'Historical Data'!$BE$2:$BE$1068,0)),"")</f>
        <v/>
      </c>
      <c r="U254" s="106" t="str">
        <f aca="false">IFERROR(INDEX('Historical Data'!$AE$2:$AE$1068,MATCH($A254,'Historical Data'!$BE$2:$BE$1068,0)),"")</f>
        <v/>
      </c>
      <c r="V254" s="106" t="str">
        <f aca="false">IFERROR(INDEX('Historical Data'!$AH$2:$AH$1068,MATCH($A254,'Historical Data'!$BE$2:$BE$1068,0)),"")</f>
        <v/>
      </c>
      <c r="W254" s="106" t="str">
        <f aca="false">IFERROR(INDEX('Historical Data'!$BC$2:$BC$1068,MATCH($A254,'Historical Data'!$BE$2:$BE$1068,0)),"")</f>
        <v/>
      </c>
      <c r="X254" s="105" t="str">
        <f aca="false">IF(B254="","",IF(W254=1,"NR + industry + position",IF(W254=2,"NR + ISO + position",IF(W254=3,"NR + industry",IF(W254=4,"NR + ISO",IF(W254=5,"NR + position",IF(W254=6,"NR only","book baseline"))))))&amp;"  ["&amp;IF(T254=1,"seasoned","unseasoned")&amp;IF(U254=1,", defaulted","")&amp;IF(V254=1,", open","")&amp;"]")</f>
        <v/>
      </c>
    </row>
    <row r="255" customFormat="false" ht="15" hidden="false" customHeight="false" outlineLevel="0" collapsed="false">
      <c r="A255" s="105" t="n">
        <v>251</v>
      </c>
      <c r="B255" s="106" t="str">
        <f aca="false">IFERROR(INDEX('Historical Data'!$A$2:$A$1068,MATCH($A255,'Historical Data'!$BE$2:$BE$1068,0)),"")</f>
        <v/>
      </c>
      <c r="C255" s="106" t="str">
        <f aca="false">IFERROR(INDEX('Historical Data'!$B$2:$B$1068,MATCH($A255,'Historical Data'!$BE$2:$BE$1068,0)),"")</f>
        <v/>
      </c>
      <c r="D255" s="106" t="str">
        <f aca="false">IFERROR(INDEX('Historical Data'!$D$2:$D$1068,MATCH($A255,'Historical Data'!$BE$2:$BE$1068,0)),"")</f>
        <v/>
      </c>
      <c r="E255" s="107" t="str">
        <f aca="false">IFERROR(INDEX('Historical Data'!$E$2:$E$1068,MATCH($A255,'Historical Data'!$BE$2:$BE$1068,0)),"")</f>
        <v/>
      </c>
      <c r="F255" s="106" t="str">
        <f aca="false">IFERROR(INDEX('Historical Data'!$G$2:$G$1068,MATCH($A255,'Historical Data'!$BE$2:$BE$1068,0)),"")</f>
        <v/>
      </c>
      <c r="G255" s="106" t="str">
        <f aca="false">IFERROR(INDEX('Historical Data'!$Y$2:$Y$1068,MATCH($A255,'Historical Data'!$BE$2:$BE$1068,0)),"")</f>
        <v/>
      </c>
      <c r="H255" s="106" t="str">
        <f aca="false">IFERROR(INDEX('Historical Data'!$K$2:$K$1068,MATCH($A255,'Historical Data'!$BE$2:$BE$1068,0)),"")</f>
        <v/>
      </c>
      <c r="I255" s="106" t="str">
        <f aca="false">IFERROR(INDEX('Historical Data'!$J$2:$J$1068,MATCH($A255,'Historical Data'!$BE$2:$BE$1068,0)),"")</f>
        <v/>
      </c>
      <c r="J255" s="106" t="str">
        <f aca="false">IFERROR(INDEX('Historical Data'!$L$2:$L$1068,MATCH($A255,'Historical Data'!$BE$2:$BE$1068,0)),"")</f>
        <v/>
      </c>
      <c r="K255" s="108" t="str">
        <f aca="false">IFERROR(INDEX('Historical Data'!$M$2:$M$1068,MATCH($A255,'Historical Data'!$BE$2:$BE$1068,0)),"")</f>
        <v/>
      </c>
      <c r="L255" s="109" t="str">
        <f aca="false">IFERROR(INDEX('Historical Data'!$N$2:$N$1068,MATCH($A255,'Historical Data'!$BE$2:$BE$1068,0)),"")</f>
        <v/>
      </c>
      <c r="M255" s="109" t="str">
        <f aca="false">IFERROR(INDEX('Historical Data'!$Q$2:$Q$1068,MATCH($A255,'Historical Data'!$BE$2:$BE$1068,0)),"")</f>
        <v/>
      </c>
      <c r="N255" s="110" t="str">
        <f aca="false">IFERROR(INDEX('Historical Data'!$S$2:$S$1068,MATCH($A255,'Historical Data'!$BE$2:$BE$1068,0)),"")</f>
        <v/>
      </c>
      <c r="O255" s="109" t="str">
        <f aca="false">IFERROR(INDEX('Historical Data'!$AJ$2:$AJ$1068,MATCH($A255,'Historical Data'!$BE$2:$BE$1068,0)),"")</f>
        <v/>
      </c>
      <c r="P255" s="109" t="str">
        <f aca="false">IFERROR(INDEX('Historical Data'!$AK$2:$AK$1068,MATCH($A255,'Historical Data'!$BE$2:$BE$1068,0)),"")</f>
        <v/>
      </c>
      <c r="Q255" s="106" t="str">
        <f aca="false">IFERROR(INDEX('Historical Data'!$AA$2:$AA$1068,MATCH($A255,'Historical Data'!$BE$2:$BE$1068,0)),"")</f>
        <v/>
      </c>
      <c r="R255" s="106" t="str">
        <f aca="false">IFERROR(INDEX('Historical Data'!$AB$2:$AB$1068,MATCH($A255,'Historical Data'!$BE$2:$BE$1068,0)),"")</f>
        <v/>
      </c>
      <c r="S255" s="106" t="str">
        <f aca="false">IFERROR(INDEX('Historical Data'!$AN$2:$AN$1068,MATCH($A255,'Historical Data'!$BE$2:$BE$1068,0)),"")</f>
        <v/>
      </c>
      <c r="T255" s="106" t="str">
        <f aca="false">IFERROR(INDEX('Historical Data'!$AC$2:$AC$1068,MATCH($A255,'Historical Data'!$BE$2:$BE$1068,0)),"")</f>
        <v/>
      </c>
      <c r="U255" s="106" t="str">
        <f aca="false">IFERROR(INDEX('Historical Data'!$AE$2:$AE$1068,MATCH($A255,'Historical Data'!$BE$2:$BE$1068,0)),"")</f>
        <v/>
      </c>
      <c r="V255" s="106" t="str">
        <f aca="false">IFERROR(INDEX('Historical Data'!$AH$2:$AH$1068,MATCH($A255,'Historical Data'!$BE$2:$BE$1068,0)),"")</f>
        <v/>
      </c>
      <c r="W255" s="106" t="str">
        <f aca="false">IFERROR(INDEX('Historical Data'!$BC$2:$BC$1068,MATCH($A255,'Historical Data'!$BE$2:$BE$1068,0)),"")</f>
        <v/>
      </c>
      <c r="X255" s="105" t="str">
        <f aca="false">IF(B255="","",IF(W255=1,"NR + industry + position",IF(W255=2,"NR + ISO + position",IF(W255=3,"NR + industry",IF(W255=4,"NR + ISO",IF(W255=5,"NR + position",IF(W255=6,"NR only","book baseline"))))))&amp;"  ["&amp;IF(T255=1,"seasoned","unseasoned")&amp;IF(U255=1,", defaulted","")&amp;IF(V255=1,", open","")&amp;"]")</f>
        <v/>
      </c>
    </row>
    <row r="256" customFormat="false" ht="15" hidden="false" customHeight="false" outlineLevel="0" collapsed="false">
      <c r="A256" s="105" t="n">
        <v>252</v>
      </c>
      <c r="B256" s="106" t="str">
        <f aca="false">IFERROR(INDEX('Historical Data'!$A$2:$A$1068,MATCH($A256,'Historical Data'!$BE$2:$BE$1068,0)),"")</f>
        <v/>
      </c>
      <c r="C256" s="106" t="str">
        <f aca="false">IFERROR(INDEX('Historical Data'!$B$2:$B$1068,MATCH($A256,'Historical Data'!$BE$2:$BE$1068,0)),"")</f>
        <v/>
      </c>
      <c r="D256" s="106" t="str">
        <f aca="false">IFERROR(INDEX('Historical Data'!$D$2:$D$1068,MATCH($A256,'Historical Data'!$BE$2:$BE$1068,0)),"")</f>
        <v/>
      </c>
      <c r="E256" s="107" t="str">
        <f aca="false">IFERROR(INDEX('Historical Data'!$E$2:$E$1068,MATCH($A256,'Historical Data'!$BE$2:$BE$1068,0)),"")</f>
        <v/>
      </c>
      <c r="F256" s="106" t="str">
        <f aca="false">IFERROR(INDEX('Historical Data'!$G$2:$G$1068,MATCH($A256,'Historical Data'!$BE$2:$BE$1068,0)),"")</f>
        <v/>
      </c>
      <c r="G256" s="106" t="str">
        <f aca="false">IFERROR(INDEX('Historical Data'!$Y$2:$Y$1068,MATCH($A256,'Historical Data'!$BE$2:$BE$1068,0)),"")</f>
        <v/>
      </c>
      <c r="H256" s="106" t="str">
        <f aca="false">IFERROR(INDEX('Historical Data'!$K$2:$K$1068,MATCH($A256,'Historical Data'!$BE$2:$BE$1068,0)),"")</f>
        <v/>
      </c>
      <c r="I256" s="106" t="str">
        <f aca="false">IFERROR(INDEX('Historical Data'!$J$2:$J$1068,MATCH($A256,'Historical Data'!$BE$2:$BE$1068,0)),"")</f>
        <v/>
      </c>
      <c r="J256" s="106" t="str">
        <f aca="false">IFERROR(INDEX('Historical Data'!$L$2:$L$1068,MATCH($A256,'Historical Data'!$BE$2:$BE$1068,0)),"")</f>
        <v/>
      </c>
      <c r="K256" s="108" t="str">
        <f aca="false">IFERROR(INDEX('Historical Data'!$M$2:$M$1068,MATCH($A256,'Historical Data'!$BE$2:$BE$1068,0)),"")</f>
        <v/>
      </c>
      <c r="L256" s="109" t="str">
        <f aca="false">IFERROR(INDEX('Historical Data'!$N$2:$N$1068,MATCH($A256,'Historical Data'!$BE$2:$BE$1068,0)),"")</f>
        <v/>
      </c>
      <c r="M256" s="109" t="str">
        <f aca="false">IFERROR(INDEX('Historical Data'!$Q$2:$Q$1068,MATCH($A256,'Historical Data'!$BE$2:$BE$1068,0)),"")</f>
        <v/>
      </c>
      <c r="N256" s="110" t="str">
        <f aca="false">IFERROR(INDEX('Historical Data'!$S$2:$S$1068,MATCH($A256,'Historical Data'!$BE$2:$BE$1068,0)),"")</f>
        <v/>
      </c>
      <c r="O256" s="109" t="str">
        <f aca="false">IFERROR(INDEX('Historical Data'!$AJ$2:$AJ$1068,MATCH($A256,'Historical Data'!$BE$2:$BE$1068,0)),"")</f>
        <v/>
      </c>
      <c r="P256" s="109" t="str">
        <f aca="false">IFERROR(INDEX('Historical Data'!$AK$2:$AK$1068,MATCH($A256,'Historical Data'!$BE$2:$BE$1068,0)),"")</f>
        <v/>
      </c>
      <c r="Q256" s="106" t="str">
        <f aca="false">IFERROR(INDEX('Historical Data'!$AA$2:$AA$1068,MATCH($A256,'Historical Data'!$BE$2:$BE$1068,0)),"")</f>
        <v/>
      </c>
      <c r="R256" s="106" t="str">
        <f aca="false">IFERROR(INDEX('Historical Data'!$AB$2:$AB$1068,MATCH($A256,'Historical Data'!$BE$2:$BE$1068,0)),"")</f>
        <v/>
      </c>
      <c r="S256" s="106" t="str">
        <f aca="false">IFERROR(INDEX('Historical Data'!$AN$2:$AN$1068,MATCH($A256,'Historical Data'!$BE$2:$BE$1068,0)),"")</f>
        <v/>
      </c>
      <c r="T256" s="106" t="str">
        <f aca="false">IFERROR(INDEX('Historical Data'!$AC$2:$AC$1068,MATCH($A256,'Historical Data'!$BE$2:$BE$1068,0)),"")</f>
        <v/>
      </c>
      <c r="U256" s="106" t="str">
        <f aca="false">IFERROR(INDEX('Historical Data'!$AE$2:$AE$1068,MATCH($A256,'Historical Data'!$BE$2:$BE$1068,0)),"")</f>
        <v/>
      </c>
      <c r="V256" s="106" t="str">
        <f aca="false">IFERROR(INDEX('Historical Data'!$AH$2:$AH$1068,MATCH($A256,'Historical Data'!$BE$2:$BE$1068,0)),"")</f>
        <v/>
      </c>
      <c r="W256" s="106" t="str">
        <f aca="false">IFERROR(INDEX('Historical Data'!$BC$2:$BC$1068,MATCH($A256,'Historical Data'!$BE$2:$BE$1068,0)),"")</f>
        <v/>
      </c>
      <c r="X256" s="105" t="str">
        <f aca="false">IF(B256="","",IF(W256=1,"NR + industry + position",IF(W256=2,"NR + ISO + position",IF(W256=3,"NR + industry",IF(W256=4,"NR + ISO",IF(W256=5,"NR + position",IF(W256=6,"NR only","book baseline"))))))&amp;"  ["&amp;IF(T256=1,"seasoned","unseasoned")&amp;IF(U256=1,", defaulted","")&amp;IF(V256=1,", open","")&amp;"]")</f>
        <v/>
      </c>
    </row>
    <row r="257" customFormat="false" ht="15" hidden="false" customHeight="false" outlineLevel="0" collapsed="false">
      <c r="A257" s="105" t="n">
        <v>253</v>
      </c>
      <c r="B257" s="106" t="str">
        <f aca="false">IFERROR(INDEX('Historical Data'!$A$2:$A$1068,MATCH($A257,'Historical Data'!$BE$2:$BE$1068,0)),"")</f>
        <v/>
      </c>
      <c r="C257" s="106" t="str">
        <f aca="false">IFERROR(INDEX('Historical Data'!$B$2:$B$1068,MATCH($A257,'Historical Data'!$BE$2:$BE$1068,0)),"")</f>
        <v/>
      </c>
      <c r="D257" s="106" t="str">
        <f aca="false">IFERROR(INDEX('Historical Data'!$D$2:$D$1068,MATCH($A257,'Historical Data'!$BE$2:$BE$1068,0)),"")</f>
        <v/>
      </c>
      <c r="E257" s="107" t="str">
        <f aca="false">IFERROR(INDEX('Historical Data'!$E$2:$E$1068,MATCH($A257,'Historical Data'!$BE$2:$BE$1068,0)),"")</f>
        <v/>
      </c>
      <c r="F257" s="106" t="str">
        <f aca="false">IFERROR(INDEX('Historical Data'!$G$2:$G$1068,MATCH($A257,'Historical Data'!$BE$2:$BE$1068,0)),"")</f>
        <v/>
      </c>
      <c r="G257" s="106" t="str">
        <f aca="false">IFERROR(INDEX('Historical Data'!$Y$2:$Y$1068,MATCH($A257,'Historical Data'!$BE$2:$BE$1068,0)),"")</f>
        <v/>
      </c>
      <c r="H257" s="106" t="str">
        <f aca="false">IFERROR(INDEX('Historical Data'!$K$2:$K$1068,MATCH($A257,'Historical Data'!$BE$2:$BE$1068,0)),"")</f>
        <v/>
      </c>
      <c r="I257" s="106" t="str">
        <f aca="false">IFERROR(INDEX('Historical Data'!$J$2:$J$1068,MATCH($A257,'Historical Data'!$BE$2:$BE$1068,0)),"")</f>
        <v/>
      </c>
      <c r="J257" s="106" t="str">
        <f aca="false">IFERROR(INDEX('Historical Data'!$L$2:$L$1068,MATCH($A257,'Historical Data'!$BE$2:$BE$1068,0)),"")</f>
        <v/>
      </c>
      <c r="K257" s="108" t="str">
        <f aca="false">IFERROR(INDEX('Historical Data'!$M$2:$M$1068,MATCH($A257,'Historical Data'!$BE$2:$BE$1068,0)),"")</f>
        <v/>
      </c>
      <c r="L257" s="109" t="str">
        <f aca="false">IFERROR(INDEX('Historical Data'!$N$2:$N$1068,MATCH($A257,'Historical Data'!$BE$2:$BE$1068,0)),"")</f>
        <v/>
      </c>
      <c r="M257" s="109" t="str">
        <f aca="false">IFERROR(INDEX('Historical Data'!$Q$2:$Q$1068,MATCH($A257,'Historical Data'!$BE$2:$BE$1068,0)),"")</f>
        <v/>
      </c>
      <c r="N257" s="110" t="str">
        <f aca="false">IFERROR(INDEX('Historical Data'!$S$2:$S$1068,MATCH($A257,'Historical Data'!$BE$2:$BE$1068,0)),"")</f>
        <v/>
      </c>
      <c r="O257" s="109" t="str">
        <f aca="false">IFERROR(INDEX('Historical Data'!$AJ$2:$AJ$1068,MATCH($A257,'Historical Data'!$BE$2:$BE$1068,0)),"")</f>
        <v/>
      </c>
      <c r="P257" s="109" t="str">
        <f aca="false">IFERROR(INDEX('Historical Data'!$AK$2:$AK$1068,MATCH($A257,'Historical Data'!$BE$2:$BE$1068,0)),"")</f>
        <v/>
      </c>
      <c r="Q257" s="106" t="str">
        <f aca="false">IFERROR(INDEX('Historical Data'!$AA$2:$AA$1068,MATCH($A257,'Historical Data'!$BE$2:$BE$1068,0)),"")</f>
        <v/>
      </c>
      <c r="R257" s="106" t="str">
        <f aca="false">IFERROR(INDEX('Historical Data'!$AB$2:$AB$1068,MATCH($A257,'Historical Data'!$BE$2:$BE$1068,0)),"")</f>
        <v/>
      </c>
      <c r="S257" s="106" t="str">
        <f aca="false">IFERROR(INDEX('Historical Data'!$AN$2:$AN$1068,MATCH($A257,'Historical Data'!$BE$2:$BE$1068,0)),"")</f>
        <v/>
      </c>
      <c r="T257" s="106" t="str">
        <f aca="false">IFERROR(INDEX('Historical Data'!$AC$2:$AC$1068,MATCH($A257,'Historical Data'!$BE$2:$BE$1068,0)),"")</f>
        <v/>
      </c>
      <c r="U257" s="106" t="str">
        <f aca="false">IFERROR(INDEX('Historical Data'!$AE$2:$AE$1068,MATCH($A257,'Historical Data'!$BE$2:$BE$1068,0)),"")</f>
        <v/>
      </c>
      <c r="V257" s="106" t="str">
        <f aca="false">IFERROR(INDEX('Historical Data'!$AH$2:$AH$1068,MATCH($A257,'Historical Data'!$BE$2:$BE$1068,0)),"")</f>
        <v/>
      </c>
      <c r="W257" s="106" t="str">
        <f aca="false">IFERROR(INDEX('Historical Data'!$BC$2:$BC$1068,MATCH($A257,'Historical Data'!$BE$2:$BE$1068,0)),"")</f>
        <v/>
      </c>
      <c r="X257" s="105" t="str">
        <f aca="false">IF(B257="","",IF(W257=1,"NR + industry + position",IF(W257=2,"NR + ISO + position",IF(W257=3,"NR + industry",IF(W257=4,"NR + ISO",IF(W257=5,"NR + position",IF(W257=6,"NR only","book baseline"))))))&amp;"  ["&amp;IF(T257=1,"seasoned","unseasoned")&amp;IF(U257=1,", defaulted","")&amp;IF(V257=1,", open","")&amp;"]")</f>
        <v/>
      </c>
    </row>
    <row r="258" customFormat="false" ht="15" hidden="false" customHeight="false" outlineLevel="0" collapsed="false">
      <c r="A258" s="105" t="n">
        <v>254</v>
      </c>
      <c r="B258" s="106" t="str">
        <f aca="false">IFERROR(INDEX('Historical Data'!$A$2:$A$1068,MATCH($A258,'Historical Data'!$BE$2:$BE$1068,0)),"")</f>
        <v/>
      </c>
      <c r="C258" s="106" t="str">
        <f aca="false">IFERROR(INDEX('Historical Data'!$B$2:$B$1068,MATCH($A258,'Historical Data'!$BE$2:$BE$1068,0)),"")</f>
        <v/>
      </c>
      <c r="D258" s="106" t="str">
        <f aca="false">IFERROR(INDEX('Historical Data'!$D$2:$D$1068,MATCH($A258,'Historical Data'!$BE$2:$BE$1068,0)),"")</f>
        <v/>
      </c>
      <c r="E258" s="107" t="str">
        <f aca="false">IFERROR(INDEX('Historical Data'!$E$2:$E$1068,MATCH($A258,'Historical Data'!$BE$2:$BE$1068,0)),"")</f>
        <v/>
      </c>
      <c r="F258" s="106" t="str">
        <f aca="false">IFERROR(INDEX('Historical Data'!$G$2:$G$1068,MATCH($A258,'Historical Data'!$BE$2:$BE$1068,0)),"")</f>
        <v/>
      </c>
      <c r="G258" s="106" t="str">
        <f aca="false">IFERROR(INDEX('Historical Data'!$Y$2:$Y$1068,MATCH($A258,'Historical Data'!$BE$2:$BE$1068,0)),"")</f>
        <v/>
      </c>
      <c r="H258" s="106" t="str">
        <f aca="false">IFERROR(INDEX('Historical Data'!$K$2:$K$1068,MATCH($A258,'Historical Data'!$BE$2:$BE$1068,0)),"")</f>
        <v/>
      </c>
      <c r="I258" s="106" t="str">
        <f aca="false">IFERROR(INDEX('Historical Data'!$J$2:$J$1068,MATCH($A258,'Historical Data'!$BE$2:$BE$1068,0)),"")</f>
        <v/>
      </c>
      <c r="J258" s="106" t="str">
        <f aca="false">IFERROR(INDEX('Historical Data'!$L$2:$L$1068,MATCH($A258,'Historical Data'!$BE$2:$BE$1068,0)),"")</f>
        <v/>
      </c>
      <c r="K258" s="108" t="str">
        <f aca="false">IFERROR(INDEX('Historical Data'!$M$2:$M$1068,MATCH($A258,'Historical Data'!$BE$2:$BE$1068,0)),"")</f>
        <v/>
      </c>
      <c r="L258" s="109" t="str">
        <f aca="false">IFERROR(INDEX('Historical Data'!$N$2:$N$1068,MATCH($A258,'Historical Data'!$BE$2:$BE$1068,0)),"")</f>
        <v/>
      </c>
      <c r="M258" s="109" t="str">
        <f aca="false">IFERROR(INDEX('Historical Data'!$Q$2:$Q$1068,MATCH($A258,'Historical Data'!$BE$2:$BE$1068,0)),"")</f>
        <v/>
      </c>
      <c r="N258" s="110" t="str">
        <f aca="false">IFERROR(INDEX('Historical Data'!$S$2:$S$1068,MATCH($A258,'Historical Data'!$BE$2:$BE$1068,0)),"")</f>
        <v/>
      </c>
      <c r="O258" s="109" t="str">
        <f aca="false">IFERROR(INDEX('Historical Data'!$AJ$2:$AJ$1068,MATCH($A258,'Historical Data'!$BE$2:$BE$1068,0)),"")</f>
        <v/>
      </c>
      <c r="P258" s="109" t="str">
        <f aca="false">IFERROR(INDEX('Historical Data'!$AK$2:$AK$1068,MATCH($A258,'Historical Data'!$BE$2:$BE$1068,0)),"")</f>
        <v/>
      </c>
      <c r="Q258" s="106" t="str">
        <f aca="false">IFERROR(INDEX('Historical Data'!$AA$2:$AA$1068,MATCH($A258,'Historical Data'!$BE$2:$BE$1068,0)),"")</f>
        <v/>
      </c>
      <c r="R258" s="106" t="str">
        <f aca="false">IFERROR(INDEX('Historical Data'!$AB$2:$AB$1068,MATCH($A258,'Historical Data'!$BE$2:$BE$1068,0)),"")</f>
        <v/>
      </c>
      <c r="S258" s="106" t="str">
        <f aca="false">IFERROR(INDEX('Historical Data'!$AN$2:$AN$1068,MATCH($A258,'Historical Data'!$BE$2:$BE$1068,0)),"")</f>
        <v/>
      </c>
      <c r="T258" s="106" t="str">
        <f aca="false">IFERROR(INDEX('Historical Data'!$AC$2:$AC$1068,MATCH($A258,'Historical Data'!$BE$2:$BE$1068,0)),"")</f>
        <v/>
      </c>
      <c r="U258" s="106" t="str">
        <f aca="false">IFERROR(INDEX('Historical Data'!$AE$2:$AE$1068,MATCH($A258,'Historical Data'!$BE$2:$BE$1068,0)),"")</f>
        <v/>
      </c>
      <c r="V258" s="106" t="str">
        <f aca="false">IFERROR(INDEX('Historical Data'!$AH$2:$AH$1068,MATCH($A258,'Historical Data'!$BE$2:$BE$1068,0)),"")</f>
        <v/>
      </c>
      <c r="W258" s="106" t="str">
        <f aca="false">IFERROR(INDEX('Historical Data'!$BC$2:$BC$1068,MATCH($A258,'Historical Data'!$BE$2:$BE$1068,0)),"")</f>
        <v/>
      </c>
      <c r="X258" s="105" t="str">
        <f aca="false">IF(B258="","",IF(W258=1,"NR + industry + position",IF(W258=2,"NR + ISO + position",IF(W258=3,"NR + industry",IF(W258=4,"NR + ISO",IF(W258=5,"NR + position",IF(W258=6,"NR only","book baseline"))))))&amp;"  ["&amp;IF(T258=1,"seasoned","unseasoned")&amp;IF(U258=1,", defaulted","")&amp;IF(V258=1,", open","")&amp;"]")</f>
        <v/>
      </c>
    </row>
    <row r="259" customFormat="false" ht="15" hidden="false" customHeight="false" outlineLevel="0" collapsed="false">
      <c r="A259" s="105" t="n">
        <v>255</v>
      </c>
      <c r="B259" s="106" t="str">
        <f aca="false">IFERROR(INDEX('Historical Data'!$A$2:$A$1068,MATCH($A259,'Historical Data'!$BE$2:$BE$1068,0)),"")</f>
        <v/>
      </c>
      <c r="C259" s="106" t="str">
        <f aca="false">IFERROR(INDEX('Historical Data'!$B$2:$B$1068,MATCH($A259,'Historical Data'!$BE$2:$BE$1068,0)),"")</f>
        <v/>
      </c>
      <c r="D259" s="106" t="str">
        <f aca="false">IFERROR(INDEX('Historical Data'!$D$2:$D$1068,MATCH($A259,'Historical Data'!$BE$2:$BE$1068,0)),"")</f>
        <v/>
      </c>
      <c r="E259" s="107" t="str">
        <f aca="false">IFERROR(INDEX('Historical Data'!$E$2:$E$1068,MATCH($A259,'Historical Data'!$BE$2:$BE$1068,0)),"")</f>
        <v/>
      </c>
      <c r="F259" s="106" t="str">
        <f aca="false">IFERROR(INDEX('Historical Data'!$G$2:$G$1068,MATCH($A259,'Historical Data'!$BE$2:$BE$1068,0)),"")</f>
        <v/>
      </c>
      <c r="G259" s="106" t="str">
        <f aca="false">IFERROR(INDEX('Historical Data'!$Y$2:$Y$1068,MATCH($A259,'Historical Data'!$BE$2:$BE$1068,0)),"")</f>
        <v/>
      </c>
      <c r="H259" s="106" t="str">
        <f aca="false">IFERROR(INDEX('Historical Data'!$K$2:$K$1068,MATCH($A259,'Historical Data'!$BE$2:$BE$1068,0)),"")</f>
        <v/>
      </c>
      <c r="I259" s="106" t="str">
        <f aca="false">IFERROR(INDEX('Historical Data'!$J$2:$J$1068,MATCH($A259,'Historical Data'!$BE$2:$BE$1068,0)),"")</f>
        <v/>
      </c>
      <c r="J259" s="106" t="str">
        <f aca="false">IFERROR(INDEX('Historical Data'!$L$2:$L$1068,MATCH($A259,'Historical Data'!$BE$2:$BE$1068,0)),"")</f>
        <v/>
      </c>
      <c r="K259" s="108" t="str">
        <f aca="false">IFERROR(INDEX('Historical Data'!$M$2:$M$1068,MATCH($A259,'Historical Data'!$BE$2:$BE$1068,0)),"")</f>
        <v/>
      </c>
      <c r="L259" s="109" t="str">
        <f aca="false">IFERROR(INDEX('Historical Data'!$N$2:$N$1068,MATCH($A259,'Historical Data'!$BE$2:$BE$1068,0)),"")</f>
        <v/>
      </c>
      <c r="M259" s="109" t="str">
        <f aca="false">IFERROR(INDEX('Historical Data'!$Q$2:$Q$1068,MATCH($A259,'Historical Data'!$BE$2:$BE$1068,0)),"")</f>
        <v/>
      </c>
      <c r="N259" s="110" t="str">
        <f aca="false">IFERROR(INDEX('Historical Data'!$S$2:$S$1068,MATCH($A259,'Historical Data'!$BE$2:$BE$1068,0)),"")</f>
        <v/>
      </c>
      <c r="O259" s="109" t="str">
        <f aca="false">IFERROR(INDEX('Historical Data'!$AJ$2:$AJ$1068,MATCH($A259,'Historical Data'!$BE$2:$BE$1068,0)),"")</f>
        <v/>
      </c>
      <c r="P259" s="109" t="str">
        <f aca="false">IFERROR(INDEX('Historical Data'!$AK$2:$AK$1068,MATCH($A259,'Historical Data'!$BE$2:$BE$1068,0)),"")</f>
        <v/>
      </c>
      <c r="Q259" s="106" t="str">
        <f aca="false">IFERROR(INDEX('Historical Data'!$AA$2:$AA$1068,MATCH($A259,'Historical Data'!$BE$2:$BE$1068,0)),"")</f>
        <v/>
      </c>
      <c r="R259" s="106" t="str">
        <f aca="false">IFERROR(INDEX('Historical Data'!$AB$2:$AB$1068,MATCH($A259,'Historical Data'!$BE$2:$BE$1068,0)),"")</f>
        <v/>
      </c>
      <c r="S259" s="106" t="str">
        <f aca="false">IFERROR(INDEX('Historical Data'!$AN$2:$AN$1068,MATCH($A259,'Historical Data'!$BE$2:$BE$1068,0)),"")</f>
        <v/>
      </c>
      <c r="T259" s="106" t="str">
        <f aca="false">IFERROR(INDEX('Historical Data'!$AC$2:$AC$1068,MATCH($A259,'Historical Data'!$BE$2:$BE$1068,0)),"")</f>
        <v/>
      </c>
      <c r="U259" s="106" t="str">
        <f aca="false">IFERROR(INDEX('Historical Data'!$AE$2:$AE$1068,MATCH($A259,'Historical Data'!$BE$2:$BE$1068,0)),"")</f>
        <v/>
      </c>
      <c r="V259" s="106" t="str">
        <f aca="false">IFERROR(INDEX('Historical Data'!$AH$2:$AH$1068,MATCH($A259,'Historical Data'!$BE$2:$BE$1068,0)),"")</f>
        <v/>
      </c>
      <c r="W259" s="106" t="str">
        <f aca="false">IFERROR(INDEX('Historical Data'!$BC$2:$BC$1068,MATCH($A259,'Historical Data'!$BE$2:$BE$1068,0)),"")</f>
        <v/>
      </c>
      <c r="X259" s="105" t="str">
        <f aca="false">IF(B259="","",IF(W259=1,"NR + industry + position",IF(W259=2,"NR + ISO + position",IF(W259=3,"NR + industry",IF(W259=4,"NR + ISO",IF(W259=5,"NR + position",IF(W259=6,"NR only","book baseline"))))))&amp;"  ["&amp;IF(T259=1,"seasoned","unseasoned")&amp;IF(U259=1,", defaulted","")&amp;IF(V259=1,", open","")&amp;"]")</f>
        <v/>
      </c>
    </row>
    <row r="260" customFormat="false" ht="15" hidden="false" customHeight="false" outlineLevel="0" collapsed="false">
      <c r="A260" s="105" t="n">
        <v>256</v>
      </c>
      <c r="B260" s="106" t="str">
        <f aca="false">IFERROR(INDEX('Historical Data'!$A$2:$A$1068,MATCH($A260,'Historical Data'!$BE$2:$BE$1068,0)),"")</f>
        <v/>
      </c>
      <c r="C260" s="106" t="str">
        <f aca="false">IFERROR(INDEX('Historical Data'!$B$2:$B$1068,MATCH($A260,'Historical Data'!$BE$2:$BE$1068,0)),"")</f>
        <v/>
      </c>
      <c r="D260" s="106" t="str">
        <f aca="false">IFERROR(INDEX('Historical Data'!$D$2:$D$1068,MATCH($A260,'Historical Data'!$BE$2:$BE$1068,0)),"")</f>
        <v/>
      </c>
      <c r="E260" s="107" t="str">
        <f aca="false">IFERROR(INDEX('Historical Data'!$E$2:$E$1068,MATCH($A260,'Historical Data'!$BE$2:$BE$1068,0)),"")</f>
        <v/>
      </c>
      <c r="F260" s="106" t="str">
        <f aca="false">IFERROR(INDEX('Historical Data'!$G$2:$G$1068,MATCH($A260,'Historical Data'!$BE$2:$BE$1068,0)),"")</f>
        <v/>
      </c>
      <c r="G260" s="106" t="str">
        <f aca="false">IFERROR(INDEX('Historical Data'!$Y$2:$Y$1068,MATCH($A260,'Historical Data'!$BE$2:$BE$1068,0)),"")</f>
        <v/>
      </c>
      <c r="H260" s="106" t="str">
        <f aca="false">IFERROR(INDEX('Historical Data'!$K$2:$K$1068,MATCH($A260,'Historical Data'!$BE$2:$BE$1068,0)),"")</f>
        <v/>
      </c>
      <c r="I260" s="106" t="str">
        <f aca="false">IFERROR(INDEX('Historical Data'!$J$2:$J$1068,MATCH($A260,'Historical Data'!$BE$2:$BE$1068,0)),"")</f>
        <v/>
      </c>
      <c r="J260" s="106" t="str">
        <f aca="false">IFERROR(INDEX('Historical Data'!$L$2:$L$1068,MATCH($A260,'Historical Data'!$BE$2:$BE$1068,0)),"")</f>
        <v/>
      </c>
      <c r="K260" s="108" t="str">
        <f aca="false">IFERROR(INDEX('Historical Data'!$M$2:$M$1068,MATCH($A260,'Historical Data'!$BE$2:$BE$1068,0)),"")</f>
        <v/>
      </c>
      <c r="L260" s="109" t="str">
        <f aca="false">IFERROR(INDEX('Historical Data'!$N$2:$N$1068,MATCH($A260,'Historical Data'!$BE$2:$BE$1068,0)),"")</f>
        <v/>
      </c>
      <c r="M260" s="109" t="str">
        <f aca="false">IFERROR(INDEX('Historical Data'!$Q$2:$Q$1068,MATCH($A260,'Historical Data'!$BE$2:$BE$1068,0)),"")</f>
        <v/>
      </c>
      <c r="N260" s="110" t="str">
        <f aca="false">IFERROR(INDEX('Historical Data'!$S$2:$S$1068,MATCH($A260,'Historical Data'!$BE$2:$BE$1068,0)),"")</f>
        <v/>
      </c>
      <c r="O260" s="109" t="str">
        <f aca="false">IFERROR(INDEX('Historical Data'!$AJ$2:$AJ$1068,MATCH($A260,'Historical Data'!$BE$2:$BE$1068,0)),"")</f>
        <v/>
      </c>
      <c r="P260" s="109" t="str">
        <f aca="false">IFERROR(INDEX('Historical Data'!$AK$2:$AK$1068,MATCH($A260,'Historical Data'!$BE$2:$BE$1068,0)),"")</f>
        <v/>
      </c>
      <c r="Q260" s="106" t="str">
        <f aca="false">IFERROR(INDEX('Historical Data'!$AA$2:$AA$1068,MATCH($A260,'Historical Data'!$BE$2:$BE$1068,0)),"")</f>
        <v/>
      </c>
      <c r="R260" s="106" t="str">
        <f aca="false">IFERROR(INDEX('Historical Data'!$AB$2:$AB$1068,MATCH($A260,'Historical Data'!$BE$2:$BE$1068,0)),"")</f>
        <v/>
      </c>
      <c r="S260" s="106" t="str">
        <f aca="false">IFERROR(INDEX('Historical Data'!$AN$2:$AN$1068,MATCH($A260,'Historical Data'!$BE$2:$BE$1068,0)),"")</f>
        <v/>
      </c>
      <c r="T260" s="106" t="str">
        <f aca="false">IFERROR(INDEX('Historical Data'!$AC$2:$AC$1068,MATCH($A260,'Historical Data'!$BE$2:$BE$1068,0)),"")</f>
        <v/>
      </c>
      <c r="U260" s="106" t="str">
        <f aca="false">IFERROR(INDEX('Historical Data'!$AE$2:$AE$1068,MATCH($A260,'Historical Data'!$BE$2:$BE$1068,0)),"")</f>
        <v/>
      </c>
      <c r="V260" s="106" t="str">
        <f aca="false">IFERROR(INDEX('Historical Data'!$AH$2:$AH$1068,MATCH($A260,'Historical Data'!$BE$2:$BE$1068,0)),"")</f>
        <v/>
      </c>
      <c r="W260" s="106" t="str">
        <f aca="false">IFERROR(INDEX('Historical Data'!$BC$2:$BC$1068,MATCH($A260,'Historical Data'!$BE$2:$BE$1068,0)),"")</f>
        <v/>
      </c>
      <c r="X260" s="105" t="str">
        <f aca="false">IF(B260="","",IF(W260=1,"NR + industry + position",IF(W260=2,"NR + ISO + position",IF(W260=3,"NR + industry",IF(W260=4,"NR + ISO",IF(W260=5,"NR + position",IF(W260=6,"NR only","book baseline"))))))&amp;"  ["&amp;IF(T260=1,"seasoned","unseasoned")&amp;IF(U260=1,", defaulted","")&amp;IF(V260=1,", open","")&amp;"]")</f>
        <v/>
      </c>
    </row>
    <row r="261" customFormat="false" ht="15" hidden="false" customHeight="false" outlineLevel="0" collapsed="false">
      <c r="A261" s="105" t="n">
        <v>257</v>
      </c>
      <c r="B261" s="106" t="str">
        <f aca="false">IFERROR(INDEX('Historical Data'!$A$2:$A$1068,MATCH($A261,'Historical Data'!$BE$2:$BE$1068,0)),"")</f>
        <v/>
      </c>
      <c r="C261" s="106" t="str">
        <f aca="false">IFERROR(INDEX('Historical Data'!$B$2:$B$1068,MATCH($A261,'Historical Data'!$BE$2:$BE$1068,0)),"")</f>
        <v/>
      </c>
      <c r="D261" s="106" t="str">
        <f aca="false">IFERROR(INDEX('Historical Data'!$D$2:$D$1068,MATCH($A261,'Historical Data'!$BE$2:$BE$1068,0)),"")</f>
        <v/>
      </c>
      <c r="E261" s="107" t="str">
        <f aca="false">IFERROR(INDEX('Historical Data'!$E$2:$E$1068,MATCH($A261,'Historical Data'!$BE$2:$BE$1068,0)),"")</f>
        <v/>
      </c>
      <c r="F261" s="106" t="str">
        <f aca="false">IFERROR(INDEX('Historical Data'!$G$2:$G$1068,MATCH($A261,'Historical Data'!$BE$2:$BE$1068,0)),"")</f>
        <v/>
      </c>
      <c r="G261" s="106" t="str">
        <f aca="false">IFERROR(INDEX('Historical Data'!$Y$2:$Y$1068,MATCH($A261,'Historical Data'!$BE$2:$BE$1068,0)),"")</f>
        <v/>
      </c>
      <c r="H261" s="106" t="str">
        <f aca="false">IFERROR(INDEX('Historical Data'!$K$2:$K$1068,MATCH($A261,'Historical Data'!$BE$2:$BE$1068,0)),"")</f>
        <v/>
      </c>
      <c r="I261" s="106" t="str">
        <f aca="false">IFERROR(INDEX('Historical Data'!$J$2:$J$1068,MATCH($A261,'Historical Data'!$BE$2:$BE$1068,0)),"")</f>
        <v/>
      </c>
      <c r="J261" s="106" t="str">
        <f aca="false">IFERROR(INDEX('Historical Data'!$L$2:$L$1068,MATCH($A261,'Historical Data'!$BE$2:$BE$1068,0)),"")</f>
        <v/>
      </c>
      <c r="K261" s="108" t="str">
        <f aca="false">IFERROR(INDEX('Historical Data'!$M$2:$M$1068,MATCH($A261,'Historical Data'!$BE$2:$BE$1068,0)),"")</f>
        <v/>
      </c>
      <c r="L261" s="109" t="str">
        <f aca="false">IFERROR(INDEX('Historical Data'!$N$2:$N$1068,MATCH($A261,'Historical Data'!$BE$2:$BE$1068,0)),"")</f>
        <v/>
      </c>
      <c r="M261" s="109" t="str">
        <f aca="false">IFERROR(INDEX('Historical Data'!$Q$2:$Q$1068,MATCH($A261,'Historical Data'!$BE$2:$BE$1068,0)),"")</f>
        <v/>
      </c>
      <c r="N261" s="110" t="str">
        <f aca="false">IFERROR(INDEX('Historical Data'!$S$2:$S$1068,MATCH($A261,'Historical Data'!$BE$2:$BE$1068,0)),"")</f>
        <v/>
      </c>
      <c r="O261" s="109" t="str">
        <f aca="false">IFERROR(INDEX('Historical Data'!$AJ$2:$AJ$1068,MATCH($A261,'Historical Data'!$BE$2:$BE$1068,0)),"")</f>
        <v/>
      </c>
      <c r="P261" s="109" t="str">
        <f aca="false">IFERROR(INDEX('Historical Data'!$AK$2:$AK$1068,MATCH($A261,'Historical Data'!$BE$2:$BE$1068,0)),"")</f>
        <v/>
      </c>
      <c r="Q261" s="106" t="str">
        <f aca="false">IFERROR(INDEX('Historical Data'!$AA$2:$AA$1068,MATCH($A261,'Historical Data'!$BE$2:$BE$1068,0)),"")</f>
        <v/>
      </c>
      <c r="R261" s="106" t="str">
        <f aca="false">IFERROR(INDEX('Historical Data'!$AB$2:$AB$1068,MATCH($A261,'Historical Data'!$BE$2:$BE$1068,0)),"")</f>
        <v/>
      </c>
      <c r="S261" s="106" t="str">
        <f aca="false">IFERROR(INDEX('Historical Data'!$AN$2:$AN$1068,MATCH($A261,'Historical Data'!$BE$2:$BE$1068,0)),"")</f>
        <v/>
      </c>
      <c r="T261" s="106" t="str">
        <f aca="false">IFERROR(INDEX('Historical Data'!$AC$2:$AC$1068,MATCH($A261,'Historical Data'!$BE$2:$BE$1068,0)),"")</f>
        <v/>
      </c>
      <c r="U261" s="106" t="str">
        <f aca="false">IFERROR(INDEX('Historical Data'!$AE$2:$AE$1068,MATCH($A261,'Historical Data'!$BE$2:$BE$1068,0)),"")</f>
        <v/>
      </c>
      <c r="V261" s="106" t="str">
        <f aca="false">IFERROR(INDEX('Historical Data'!$AH$2:$AH$1068,MATCH($A261,'Historical Data'!$BE$2:$BE$1068,0)),"")</f>
        <v/>
      </c>
      <c r="W261" s="106" t="str">
        <f aca="false">IFERROR(INDEX('Historical Data'!$BC$2:$BC$1068,MATCH($A261,'Historical Data'!$BE$2:$BE$1068,0)),"")</f>
        <v/>
      </c>
      <c r="X261" s="105" t="str">
        <f aca="false">IF(B261="","",IF(W261=1,"NR + industry + position",IF(W261=2,"NR + ISO + position",IF(W261=3,"NR + industry",IF(W261=4,"NR + ISO",IF(W261=5,"NR + position",IF(W261=6,"NR only","book baseline"))))))&amp;"  ["&amp;IF(T261=1,"seasoned","unseasoned")&amp;IF(U261=1,", defaulted","")&amp;IF(V261=1,", open","")&amp;"]")</f>
        <v/>
      </c>
    </row>
    <row r="262" customFormat="false" ht="15" hidden="false" customHeight="false" outlineLevel="0" collapsed="false">
      <c r="A262" s="105" t="n">
        <v>258</v>
      </c>
      <c r="B262" s="106" t="str">
        <f aca="false">IFERROR(INDEX('Historical Data'!$A$2:$A$1068,MATCH($A262,'Historical Data'!$BE$2:$BE$1068,0)),"")</f>
        <v/>
      </c>
      <c r="C262" s="106" t="str">
        <f aca="false">IFERROR(INDEX('Historical Data'!$B$2:$B$1068,MATCH($A262,'Historical Data'!$BE$2:$BE$1068,0)),"")</f>
        <v/>
      </c>
      <c r="D262" s="106" t="str">
        <f aca="false">IFERROR(INDEX('Historical Data'!$D$2:$D$1068,MATCH($A262,'Historical Data'!$BE$2:$BE$1068,0)),"")</f>
        <v/>
      </c>
      <c r="E262" s="107" t="str">
        <f aca="false">IFERROR(INDEX('Historical Data'!$E$2:$E$1068,MATCH($A262,'Historical Data'!$BE$2:$BE$1068,0)),"")</f>
        <v/>
      </c>
      <c r="F262" s="106" t="str">
        <f aca="false">IFERROR(INDEX('Historical Data'!$G$2:$G$1068,MATCH($A262,'Historical Data'!$BE$2:$BE$1068,0)),"")</f>
        <v/>
      </c>
      <c r="G262" s="106" t="str">
        <f aca="false">IFERROR(INDEX('Historical Data'!$Y$2:$Y$1068,MATCH($A262,'Historical Data'!$BE$2:$BE$1068,0)),"")</f>
        <v/>
      </c>
      <c r="H262" s="106" t="str">
        <f aca="false">IFERROR(INDEX('Historical Data'!$K$2:$K$1068,MATCH($A262,'Historical Data'!$BE$2:$BE$1068,0)),"")</f>
        <v/>
      </c>
      <c r="I262" s="106" t="str">
        <f aca="false">IFERROR(INDEX('Historical Data'!$J$2:$J$1068,MATCH($A262,'Historical Data'!$BE$2:$BE$1068,0)),"")</f>
        <v/>
      </c>
      <c r="J262" s="106" t="str">
        <f aca="false">IFERROR(INDEX('Historical Data'!$L$2:$L$1068,MATCH($A262,'Historical Data'!$BE$2:$BE$1068,0)),"")</f>
        <v/>
      </c>
      <c r="K262" s="108" t="str">
        <f aca="false">IFERROR(INDEX('Historical Data'!$M$2:$M$1068,MATCH($A262,'Historical Data'!$BE$2:$BE$1068,0)),"")</f>
        <v/>
      </c>
      <c r="L262" s="109" t="str">
        <f aca="false">IFERROR(INDEX('Historical Data'!$N$2:$N$1068,MATCH($A262,'Historical Data'!$BE$2:$BE$1068,0)),"")</f>
        <v/>
      </c>
      <c r="M262" s="109" t="str">
        <f aca="false">IFERROR(INDEX('Historical Data'!$Q$2:$Q$1068,MATCH($A262,'Historical Data'!$BE$2:$BE$1068,0)),"")</f>
        <v/>
      </c>
      <c r="N262" s="110" t="str">
        <f aca="false">IFERROR(INDEX('Historical Data'!$S$2:$S$1068,MATCH($A262,'Historical Data'!$BE$2:$BE$1068,0)),"")</f>
        <v/>
      </c>
      <c r="O262" s="109" t="str">
        <f aca="false">IFERROR(INDEX('Historical Data'!$AJ$2:$AJ$1068,MATCH($A262,'Historical Data'!$BE$2:$BE$1068,0)),"")</f>
        <v/>
      </c>
      <c r="P262" s="109" t="str">
        <f aca="false">IFERROR(INDEX('Historical Data'!$AK$2:$AK$1068,MATCH($A262,'Historical Data'!$BE$2:$BE$1068,0)),"")</f>
        <v/>
      </c>
      <c r="Q262" s="106" t="str">
        <f aca="false">IFERROR(INDEX('Historical Data'!$AA$2:$AA$1068,MATCH($A262,'Historical Data'!$BE$2:$BE$1068,0)),"")</f>
        <v/>
      </c>
      <c r="R262" s="106" t="str">
        <f aca="false">IFERROR(INDEX('Historical Data'!$AB$2:$AB$1068,MATCH($A262,'Historical Data'!$BE$2:$BE$1068,0)),"")</f>
        <v/>
      </c>
      <c r="S262" s="106" t="str">
        <f aca="false">IFERROR(INDEX('Historical Data'!$AN$2:$AN$1068,MATCH($A262,'Historical Data'!$BE$2:$BE$1068,0)),"")</f>
        <v/>
      </c>
      <c r="T262" s="106" t="str">
        <f aca="false">IFERROR(INDEX('Historical Data'!$AC$2:$AC$1068,MATCH($A262,'Historical Data'!$BE$2:$BE$1068,0)),"")</f>
        <v/>
      </c>
      <c r="U262" s="106" t="str">
        <f aca="false">IFERROR(INDEX('Historical Data'!$AE$2:$AE$1068,MATCH($A262,'Historical Data'!$BE$2:$BE$1068,0)),"")</f>
        <v/>
      </c>
      <c r="V262" s="106" t="str">
        <f aca="false">IFERROR(INDEX('Historical Data'!$AH$2:$AH$1068,MATCH($A262,'Historical Data'!$BE$2:$BE$1068,0)),"")</f>
        <v/>
      </c>
      <c r="W262" s="106" t="str">
        <f aca="false">IFERROR(INDEX('Historical Data'!$BC$2:$BC$1068,MATCH($A262,'Historical Data'!$BE$2:$BE$1068,0)),"")</f>
        <v/>
      </c>
      <c r="X262" s="105" t="str">
        <f aca="false">IF(B262="","",IF(W262=1,"NR + industry + position",IF(W262=2,"NR + ISO + position",IF(W262=3,"NR + industry",IF(W262=4,"NR + ISO",IF(W262=5,"NR + position",IF(W262=6,"NR only","book baseline"))))))&amp;"  ["&amp;IF(T262=1,"seasoned","unseasoned")&amp;IF(U262=1,", defaulted","")&amp;IF(V262=1,", open","")&amp;"]")</f>
        <v/>
      </c>
    </row>
    <row r="263" customFormat="false" ht="15" hidden="false" customHeight="false" outlineLevel="0" collapsed="false">
      <c r="A263" s="105" t="n">
        <v>259</v>
      </c>
      <c r="B263" s="106" t="str">
        <f aca="false">IFERROR(INDEX('Historical Data'!$A$2:$A$1068,MATCH($A263,'Historical Data'!$BE$2:$BE$1068,0)),"")</f>
        <v/>
      </c>
      <c r="C263" s="106" t="str">
        <f aca="false">IFERROR(INDEX('Historical Data'!$B$2:$B$1068,MATCH($A263,'Historical Data'!$BE$2:$BE$1068,0)),"")</f>
        <v/>
      </c>
      <c r="D263" s="106" t="str">
        <f aca="false">IFERROR(INDEX('Historical Data'!$D$2:$D$1068,MATCH($A263,'Historical Data'!$BE$2:$BE$1068,0)),"")</f>
        <v/>
      </c>
      <c r="E263" s="107" t="str">
        <f aca="false">IFERROR(INDEX('Historical Data'!$E$2:$E$1068,MATCH($A263,'Historical Data'!$BE$2:$BE$1068,0)),"")</f>
        <v/>
      </c>
      <c r="F263" s="106" t="str">
        <f aca="false">IFERROR(INDEX('Historical Data'!$G$2:$G$1068,MATCH($A263,'Historical Data'!$BE$2:$BE$1068,0)),"")</f>
        <v/>
      </c>
      <c r="G263" s="106" t="str">
        <f aca="false">IFERROR(INDEX('Historical Data'!$Y$2:$Y$1068,MATCH($A263,'Historical Data'!$BE$2:$BE$1068,0)),"")</f>
        <v/>
      </c>
      <c r="H263" s="106" t="str">
        <f aca="false">IFERROR(INDEX('Historical Data'!$K$2:$K$1068,MATCH($A263,'Historical Data'!$BE$2:$BE$1068,0)),"")</f>
        <v/>
      </c>
      <c r="I263" s="106" t="str">
        <f aca="false">IFERROR(INDEX('Historical Data'!$J$2:$J$1068,MATCH($A263,'Historical Data'!$BE$2:$BE$1068,0)),"")</f>
        <v/>
      </c>
      <c r="J263" s="106" t="str">
        <f aca="false">IFERROR(INDEX('Historical Data'!$L$2:$L$1068,MATCH($A263,'Historical Data'!$BE$2:$BE$1068,0)),"")</f>
        <v/>
      </c>
      <c r="K263" s="108" t="str">
        <f aca="false">IFERROR(INDEX('Historical Data'!$M$2:$M$1068,MATCH($A263,'Historical Data'!$BE$2:$BE$1068,0)),"")</f>
        <v/>
      </c>
      <c r="L263" s="109" t="str">
        <f aca="false">IFERROR(INDEX('Historical Data'!$N$2:$N$1068,MATCH($A263,'Historical Data'!$BE$2:$BE$1068,0)),"")</f>
        <v/>
      </c>
      <c r="M263" s="109" t="str">
        <f aca="false">IFERROR(INDEX('Historical Data'!$Q$2:$Q$1068,MATCH($A263,'Historical Data'!$BE$2:$BE$1068,0)),"")</f>
        <v/>
      </c>
      <c r="N263" s="110" t="str">
        <f aca="false">IFERROR(INDEX('Historical Data'!$S$2:$S$1068,MATCH($A263,'Historical Data'!$BE$2:$BE$1068,0)),"")</f>
        <v/>
      </c>
      <c r="O263" s="109" t="str">
        <f aca="false">IFERROR(INDEX('Historical Data'!$AJ$2:$AJ$1068,MATCH($A263,'Historical Data'!$BE$2:$BE$1068,0)),"")</f>
        <v/>
      </c>
      <c r="P263" s="109" t="str">
        <f aca="false">IFERROR(INDEX('Historical Data'!$AK$2:$AK$1068,MATCH($A263,'Historical Data'!$BE$2:$BE$1068,0)),"")</f>
        <v/>
      </c>
      <c r="Q263" s="106" t="str">
        <f aca="false">IFERROR(INDEX('Historical Data'!$AA$2:$AA$1068,MATCH($A263,'Historical Data'!$BE$2:$BE$1068,0)),"")</f>
        <v/>
      </c>
      <c r="R263" s="106" t="str">
        <f aca="false">IFERROR(INDEX('Historical Data'!$AB$2:$AB$1068,MATCH($A263,'Historical Data'!$BE$2:$BE$1068,0)),"")</f>
        <v/>
      </c>
      <c r="S263" s="106" t="str">
        <f aca="false">IFERROR(INDEX('Historical Data'!$AN$2:$AN$1068,MATCH($A263,'Historical Data'!$BE$2:$BE$1068,0)),"")</f>
        <v/>
      </c>
      <c r="T263" s="106" t="str">
        <f aca="false">IFERROR(INDEX('Historical Data'!$AC$2:$AC$1068,MATCH($A263,'Historical Data'!$BE$2:$BE$1068,0)),"")</f>
        <v/>
      </c>
      <c r="U263" s="106" t="str">
        <f aca="false">IFERROR(INDEX('Historical Data'!$AE$2:$AE$1068,MATCH($A263,'Historical Data'!$BE$2:$BE$1068,0)),"")</f>
        <v/>
      </c>
      <c r="V263" s="106" t="str">
        <f aca="false">IFERROR(INDEX('Historical Data'!$AH$2:$AH$1068,MATCH($A263,'Historical Data'!$BE$2:$BE$1068,0)),"")</f>
        <v/>
      </c>
      <c r="W263" s="106" t="str">
        <f aca="false">IFERROR(INDEX('Historical Data'!$BC$2:$BC$1068,MATCH($A263,'Historical Data'!$BE$2:$BE$1068,0)),"")</f>
        <v/>
      </c>
      <c r="X263" s="105" t="str">
        <f aca="false">IF(B263="","",IF(W263=1,"NR + industry + position",IF(W263=2,"NR + ISO + position",IF(W263=3,"NR + industry",IF(W263=4,"NR + ISO",IF(W263=5,"NR + position",IF(W263=6,"NR only","book baseline"))))))&amp;"  ["&amp;IF(T263=1,"seasoned","unseasoned")&amp;IF(U263=1,", defaulted","")&amp;IF(V263=1,", open","")&amp;"]")</f>
        <v/>
      </c>
    </row>
    <row r="264" customFormat="false" ht="15" hidden="false" customHeight="false" outlineLevel="0" collapsed="false">
      <c r="A264" s="105" t="n">
        <v>260</v>
      </c>
      <c r="B264" s="106" t="str">
        <f aca="false">IFERROR(INDEX('Historical Data'!$A$2:$A$1068,MATCH($A264,'Historical Data'!$BE$2:$BE$1068,0)),"")</f>
        <v/>
      </c>
      <c r="C264" s="106" t="str">
        <f aca="false">IFERROR(INDEX('Historical Data'!$B$2:$B$1068,MATCH($A264,'Historical Data'!$BE$2:$BE$1068,0)),"")</f>
        <v/>
      </c>
      <c r="D264" s="106" t="str">
        <f aca="false">IFERROR(INDEX('Historical Data'!$D$2:$D$1068,MATCH($A264,'Historical Data'!$BE$2:$BE$1068,0)),"")</f>
        <v/>
      </c>
      <c r="E264" s="107" t="str">
        <f aca="false">IFERROR(INDEX('Historical Data'!$E$2:$E$1068,MATCH($A264,'Historical Data'!$BE$2:$BE$1068,0)),"")</f>
        <v/>
      </c>
      <c r="F264" s="106" t="str">
        <f aca="false">IFERROR(INDEX('Historical Data'!$G$2:$G$1068,MATCH($A264,'Historical Data'!$BE$2:$BE$1068,0)),"")</f>
        <v/>
      </c>
      <c r="G264" s="106" t="str">
        <f aca="false">IFERROR(INDEX('Historical Data'!$Y$2:$Y$1068,MATCH($A264,'Historical Data'!$BE$2:$BE$1068,0)),"")</f>
        <v/>
      </c>
      <c r="H264" s="106" t="str">
        <f aca="false">IFERROR(INDEX('Historical Data'!$K$2:$K$1068,MATCH($A264,'Historical Data'!$BE$2:$BE$1068,0)),"")</f>
        <v/>
      </c>
      <c r="I264" s="106" t="str">
        <f aca="false">IFERROR(INDEX('Historical Data'!$J$2:$J$1068,MATCH($A264,'Historical Data'!$BE$2:$BE$1068,0)),"")</f>
        <v/>
      </c>
      <c r="J264" s="106" t="str">
        <f aca="false">IFERROR(INDEX('Historical Data'!$L$2:$L$1068,MATCH($A264,'Historical Data'!$BE$2:$BE$1068,0)),"")</f>
        <v/>
      </c>
      <c r="K264" s="108" t="str">
        <f aca="false">IFERROR(INDEX('Historical Data'!$M$2:$M$1068,MATCH($A264,'Historical Data'!$BE$2:$BE$1068,0)),"")</f>
        <v/>
      </c>
      <c r="L264" s="109" t="str">
        <f aca="false">IFERROR(INDEX('Historical Data'!$N$2:$N$1068,MATCH($A264,'Historical Data'!$BE$2:$BE$1068,0)),"")</f>
        <v/>
      </c>
      <c r="M264" s="109" t="str">
        <f aca="false">IFERROR(INDEX('Historical Data'!$Q$2:$Q$1068,MATCH($A264,'Historical Data'!$BE$2:$BE$1068,0)),"")</f>
        <v/>
      </c>
      <c r="N264" s="110" t="str">
        <f aca="false">IFERROR(INDEX('Historical Data'!$S$2:$S$1068,MATCH($A264,'Historical Data'!$BE$2:$BE$1068,0)),"")</f>
        <v/>
      </c>
      <c r="O264" s="109" t="str">
        <f aca="false">IFERROR(INDEX('Historical Data'!$AJ$2:$AJ$1068,MATCH($A264,'Historical Data'!$BE$2:$BE$1068,0)),"")</f>
        <v/>
      </c>
      <c r="P264" s="109" t="str">
        <f aca="false">IFERROR(INDEX('Historical Data'!$AK$2:$AK$1068,MATCH($A264,'Historical Data'!$BE$2:$BE$1068,0)),"")</f>
        <v/>
      </c>
      <c r="Q264" s="106" t="str">
        <f aca="false">IFERROR(INDEX('Historical Data'!$AA$2:$AA$1068,MATCH($A264,'Historical Data'!$BE$2:$BE$1068,0)),"")</f>
        <v/>
      </c>
      <c r="R264" s="106" t="str">
        <f aca="false">IFERROR(INDEX('Historical Data'!$AB$2:$AB$1068,MATCH($A264,'Historical Data'!$BE$2:$BE$1068,0)),"")</f>
        <v/>
      </c>
      <c r="S264" s="106" t="str">
        <f aca="false">IFERROR(INDEX('Historical Data'!$AN$2:$AN$1068,MATCH($A264,'Historical Data'!$BE$2:$BE$1068,0)),"")</f>
        <v/>
      </c>
      <c r="T264" s="106" t="str">
        <f aca="false">IFERROR(INDEX('Historical Data'!$AC$2:$AC$1068,MATCH($A264,'Historical Data'!$BE$2:$BE$1068,0)),"")</f>
        <v/>
      </c>
      <c r="U264" s="106" t="str">
        <f aca="false">IFERROR(INDEX('Historical Data'!$AE$2:$AE$1068,MATCH($A264,'Historical Data'!$BE$2:$BE$1068,0)),"")</f>
        <v/>
      </c>
      <c r="V264" s="106" t="str">
        <f aca="false">IFERROR(INDEX('Historical Data'!$AH$2:$AH$1068,MATCH($A264,'Historical Data'!$BE$2:$BE$1068,0)),"")</f>
        <v/>
      </c>
      <c r="W264" s="106" t="str">
        <f aca="false">IFERROR(INDEX('Historical Data'!$BC$2:$BC$1068,MATCH($A264,'Historical Data'!$BE$2:$BE$1068,0)),"")</f>
        <v/>
      </c>
      <c r="X264" s="105" t="str">
        <f aca="false">IF(B264="","",IF(W264=1,"NR + industry + position",IF(W264=2,"NR + ISO + position",IF(W264=3,"NR + industry",IF(W264=4,"NR + ISO",IF(W264=5,"NR + position",IF(W264=6,"NR only","book baseline"))))))&amp;"  ["&amp;IF(T264=1,"seasoned","unseasoned")&amp;IF(U264=1,", defaulted","")&amp;IF(V264=1,", open","")&amp;"]")</f>
        <v/>
      </c>
    </row>
    <row r="265" customFormat="false" ht="15" hidden="false" customHeight="false" outlineLevel="0" collapsed="false">
      <c r="A265" s="105" t="n">
        <v>261</v>
      </c>
      <c r="B265" s="106" t="str">
        <f aca="false">IFERROR(INDEX('Historical Data'!$A$2:$A$1068,MATCH($A265,'Historical Data'!$BE$2:$BE$1068,0)),"")</f>
        <v/>
      </c>
      <c r="C265" s="106" t="str">
        <f aca="false">IFERROR(INDEX('Historical Data'!$B$2:$B$1068,MATCH($A265,'Historical Data'!$BE$2:$BE$1068,0)),"")</f>
        <v/>
      </c>
      <c r="D265" s="106" t="str">
        <f aca="false">IFERROR(INDEX('Historical Data'!$D$2:$D$1068,MATCH($A265,'Historical Data'!$BE$2:$BE$1068,0)),"")</f>
        <v/>
      </c>
      <c r="E265" s="107" t="str">
        <f aca="false">IFERROR(INDEX('Historical Data'!$E$2:$E$1068,MATCH($A265,'Historical Data'!$BE$2:$BE$1068,0)),"")</f>
        <v/>
      </c>
      <c r="F265" s="106" t="str">
        <f aca="false">IFERROR(INDEX('Historical Data'!$G$2:$G$1068,MATCH($A265,'Historical Data'!$BE$2:$BE$1068,0)),"")</f>
        <v/>
      </c>
      <c r="G265" s="106" t="str">
        <f aca="false">IFERROR(INDEX('Historical Data'!$Y$2:$Y$1068,MATCH($A265,'Historical Data'!$BE$2:$BE$1068,0)),"")</f>
        <v/>
      </c>
      <c r="H265" s="106" t="str">
        <f aca="false">IFERROR(INDEX('Historical Data'!$K$2:$K$1068,MATCH($A265,'Historical Data'!$BE$2:$BE$1068,0)),"")</f>
        <v/>
      </c>
      <c r="I265" s="106" t="str">
        <f aca="false">IFERROR(INDEX('Historical Data'!$J$2:$J$1068,MATCH($A265,'Historical Data'!$BE$2:$BE$1068,0)),"")</f>
        <v/>
      </c>
      <c r="J265" s="106" t="str">
        <f aca="false">IFERROR(INDEX('Historical Data'!$L$2:$L$1068,MATCH($A265,'Historical Data'!$BE$2:$BE$1068,0)),"")</f>
        <v/>
      </c>
      <c r="K265" s="108" t="str">
        <f aca="false">IFERROR(INDEX('Historical Data'!$M$2:$M$1068,MATCH($A265,'Historical Data'!$BE$2:$BE$1068,0)),"")</f>
        <v/>
      </c>
      <c r="L265" s="109" t="str">
        <f aca="false">IFERROR(INDEX('Historical Data'!$N$2:$N$1068,MATCH($A265,'Historical Data'!$BE$2:$BE$1068,0)),"")</f>
        <v/>
      </c>
      <c r="M265" s="109" t="str">
        <f aca="false">IFERROR(INDEX('Historical Data'!$Q$2:$Q$1068,MATCH($A265,'Historical Data'!$BE$2:$BE$1068,0)),"")</f>
        <v/>
      </c>
      <c r="N265" s="110" t="str">
        <f aca="false">IFERROR(INDEX('Historical Data'!$S$2:$S$1068,MATCH($A265,'Historical Data'!$BE$2:$BE$1068,0)),"")</f>
        <v/>
      </c>
      <c r="O265" s="109" t="str">
        <f aca="false">IFERROR(INDEX('Historical Data'!$AJ$2:$AJ$1068,MATCH($A265,'Historical Data'!$BE$2:$BE$1068,0)),"")</f>
        <v/>
      </c>
      <c r="P265" s="109" t="str">
        <f aca="false">IFERROR(INDEX('Historical Data'!$AK$2:$AK$1068,MATCH($A265,'Historical Data'!$BE$2:$BE$1068,0)),"")</f>
        <v/>
      </c>
      <c r="Q265" s="106" t="str">
        <f aca="false">IFERROR(INDEX('Historical Data'!$AA$2:$AA$1068,MATCH($A265,'Historical Data'!$BE$2:$BE$1068,0)),"")</f>
        <v/>
      </c>
      <c r="R265" s="106" t="str">
        <f aca="false">IFERROR(INDEX('Historical Data'!$AB$2:$AB$1068,MATCH($A265,'Historical Data'!$BE$2:$BE$1068,0)),"")</f>
        <v/>
      </c>
      <c r="S265" s="106" t="str">
        <f aca="false">IFERROR(INDEX('Historical Data'!$AN$2:$AN$1068,MATCH($A265,'Historical Data'!$BE$2:$BE$1068,0)),"")</f>
        <v/>
      </c>
      <c r="T265" s="106" t="str">
        <f aca="false">IFERROR(INDEX('Historical Data'!$AC$2:$AC$1068,MATCH($A265,'Historical Data'!$BE$2:$BE$1068,0)),"")</f>
        <v/>
      </c>
      <c r="U265" s="106" t="str">
        <f aca="false">IFERROR(INDEX('Historical Data'!$AE$2:$AE$1068,MATCH($A265,'Historical Data'!$BE$2:$BE$1068,0)),"")</f>
        <v/>
      </c>
      <c r="V265" s="106" t="str">
        <f aca="false">IFERROR(INDEX('Historical Data'!$AH$2:$AH$1068,MATCH($A265,'Historical Data'!$BE$2:$BE$1068,0)),"")</f>
        <v/>
      </c>
      <c r="W265" s="106" t="str">
        <f aca="false">IFERROR(INDEX('Historical Data'!$BC$2:$BC$1068,MATCH($A265,'Historical Data'!$BE$2:$BE$1068,0)),"")</f>
        <v/>
      </c>
      <c r="X265" s="105" t="str">
        <f aca="false">IF(B265="","",IF(W265=1,"NR + industry + position",IF(W265=2,"NR + ISO + position",IF(W265=3,"NR + industry",IF(W265=4,"NR + ISO",IF(W265=5,"NR + position",IF(W265=6,"NR only","book baseline"))))))&amp;"  ["&amp;IF(T265=1,"seasoned","unseasoned")&amp;IF(U265=1,", defaulted","")&amp;IF(V265=1,", open","")&amp;"]")</f>
        <v/>
      </c>
    </row>
    <row r="266" customFormat="false" ht="15" hidden="false" customHeight="false" outlineLevel="0" collapsed="false">
      <c r="A266" s="105" t="n">
        <v>262</v>
      </c>
      <c r="B266" s="106" t="str">
        <f aca="false">IFERROR(INDEX('Historical Data'!$A$2:$A$1068,MATCH($A266,'Historical Data'!$BE$2:$BE$1068,0)),"")</f>
        <v/>
      </c>
      <c r="C266" s="106" t="str">
        <f aca="false">IFERROR(INDEX('Historical Data'!$B$2:$B$1068,MATCH($A266,'Historical Data'!$BE$2:$BE$1068,0)),"")</f>
        <v/>
      </c>
      <c r="D266" s="106" t="str">
        <f aca="false">IFERROR(INDEX('Historical Data'!$D$2:$D$1068,MATCH($A266,'Historical Data'!$BE$2:$BE$1068,0)),"")</f>
        <v/>
      </c>
      <c r="E266" s="107" t="str">
        <f aca="false">IFERROR(INDEX('Historical Data'!$E$2:$E$1068,MATCH($A266,'Historical Data'!$BE$2:$BE$1068,0)),"")</f>
        <v/>
      </c>
      <c r="F266" s="106" t="str">
        <f aca="false">IFERROR(INDEX('Historical Data'!$G$2:$G$1068,MATCH($A266,'Historical Data'!$BE$2:$BE$1068,0)),"")</f>
        <v/>
      </c>
      <c r="G266" s="106" t="str">
        <f aca="false">IFERROR(INDEX('Historical Data'!$Y$2:$Y$1068,MATCH($A266,'Historical Data'!$BE$2:$BE$1068,0)),"")</f>
        <v/>
      </c>
      <c r="H266" s="106" t="str">
        <f aca="false">IFERROR(INDEX('Historical Data'!$K$2:$K$1068,MATCH($A266,'Historical Data'!$BE$2:$BE$1068,0)),"")</f>
        <v/>
      </c>
      <c r="I266" s="106" t="str">
        <f aca="false">IFERROR(INDEX('Historical Data'!$J$2:$J$1068,MATCH($A266,'Historical Data'!$BE$2:$BE$1068,0)),"")</f>
        <v/>
      </c>
      <c r="J266" s="106" t="str">
        <f aca="false">IFERROR(INDEX('Historical Data'!$L$2:$L$1068,MATCH($A266,'Historical Data'!$BE$2:$BE$1068,0)),"")</f>
        <v/>
      </c>
      <c r="K266" s="108" t="str">
        <f aca="false">IFERROR(INDEX('Historical Data'!$M$2:$M$1068,MATCH($A266,'Historical Data'!$BE$2:$BE$1068,0)),"")</f>
        <v/>
      </c>
      <c r="L266" s="109" t="str">
        <f aca="false">IFERROR(INDEX('Historical Data'!$N$2:$N$1068,MATCH($A266,'Historical Data'!$BE$2:$BE$1068,0)),"")</f>
        <v/>
      </c>
      <c r="M266" s="109" t="str">
        <f aca="false">IFERROR(INDEX('Historical Data'!$Q$2:$Q$1068,MATCH($A266,'Historical Data'!$BE$2:$BE$1068,0)),"")</f>
        <v/>
      </c>
      <c r="N266" s="110" t="str">
        <f aca="false">IFERROR(INDEX('Historical Data'!$S$2:$S$1068,MATCH($A266,'Historical Data'!$BE$2:$BE$1068,0)),"")</f>
        <v/>
      </c>
      <c r="O266" s="109" t="str">
        <f aca="false">IFERROR(INDEX('Historical Data'!$AJ$2:$AJ$1068,MATCH($A266,'Historical Data'!$BE$2:$BE$1068,0)),"")</f>
        <v/>
      </c>
      <c r="P266" s="109" t="str">
        <f aca="false">IFERROR(INDEX('Historical Data'!$AK$2:$AK$1068,MATCH($A266,'Historical Data'!$BE$2:$BE$1068,0)),"")</f>
        <v/>
      </c>
      <c r="Q266" s="106" t="str">
        <f aca="false">IFERROR(INDEX('Historical Data'!$AA$2:$AA$1068,MATCH($A266,'Historical Data'!$BE$2:$BE$1068,0)),"")</f>
        <v/>
      </c>
      <c r="R266" s="106" t="str">
        <f aca="false">IFERROR(INDEX('Historical Data'!$AB$2:$AB$1068,MATCH($A266,'Historical Data'!$BE$2:$BE$1068,0)),"")</f>
        <v/>
      </c>
      <c r="S266" s="106" t="str">
        <f aca="false">IFERROR(INDEX('Historical Data'!$AN$2:$AN$1068,MATCH($A266,'Historical Data'!$BE$2:$BE$1068,0)),"")</f>
        <v/>
      </c>
      <c r="T266" s="106" t="str">
        <f aca="false">IFERROR(INDEX('Historical Data'!$AC$2:$AC$1068,MATCH($A266,'Historical Data'!$BE$2:$BE$1068,0)),"")</f>
        <v/>
      </c>
      <c r="U266" s="106" t="str">
        <f aca="false">IFERROR(INDEX('Historical Data'!$AE$2:$AE$1068,MATCH($A266,'Historical Data'!$BE$2:$BE$1068,0)),"")</f>
        <v/>
      </c>
      <c r="V266" s="106" t="str">
        <f aca="false">IFERROR(INDEX('Historical Data'!$AH$2:$AH$1068,MATCH($A266,'Historical Data'!$BE$2:$BE$1068,0)),"")</f>
        <v/>
      </c>
      <c r="W266" s="106" t="str">
        <f aca="false">IFERROR(INDEX('Historical Data'!$BC$2:$BC$1068,MATCH($A266,'Historical Data'!$BE$2:$BE$1068,0)),"")</f>
        <v/>
      </c>
      <c r="X266" s="105" t="str">
        <f aca="false">IF(B266="","",IF(W266=1,"NR + industry + position",IF(W266=2,"NR + ISO + position",IF(W266=3,"NR + industry",IF(W266=4,"NR + ISO",IF(W266=5,"NR + position",IF(W266=6,"NR only","book baseline"))))))&amp;"  ["&amp;IF(T266=1,"seasoned","unseasoned")&amp;IF(U266=1,", defaulted","")&amp;IF(V266=1,", open","")&amp;"]")</f>
        <v/>
      </c>
    </row>
    <row r="267" customFormat="false" ht="15" hidden="false" customHeight="false" outlineLevel="0" collapsed="false">
      <c r="A267" s="105" t="n">
        <v>263</v>
      </c>
      <c r="B267" s="106" t="str">
        <f aca="false">IFERROR(INDEX('Historical Data'!$A$2:$A$1068,MATCH($A267,'Historical Data'!$BE$2:$BE$1068,0)),"")</f>
        <v/>
      </c>
      <c r="C267" s="106" t="str">
        <f aca="false">IFERROR(INDEX('Historical Data'!$B$2:$B$1068,MATCH($A267,'Historical Data'!$BE$2:$BE$1068,0)),"")</f>
        <v/>
      </c>
      <c r="D267" s="106" t="str">
        <f aca="false">IFERROR(INDEX('Historical Data'!$D$2:$D$1068,MATCH($A267,'Historical Data'!$BE$2:$BE$1068,0)),"")</f>
        <v/>
      </c>
      <c r="E267" s="107" t="str">
        <f aca="false">IFERROR(INDEX('Historical Data'!$E$2:$E$1068,MATCH($A267,'Historical Data'!$BE$2:$BE$1068,0)),"")</f>
        <v/>
      </c>
      <c r="F267" s="106" t="str">
        <f aca="false">IFERROR(INDEX('Historical Data'!$G$2:$G$1068,MATCH($A267,'Historical Data'!$BE$2:$BE$1068,0)),"")</f>
        <v/>
      </c>
      <c r="G267" s="106" t="str">
        <f aca="false">IFERROR(INDEX('Historical Data'!$Y$2:$Y$1068,MATCH($A267,'Historical Data'!$BE$2:$BE$1068,0)),"")</f>
        <v/>
      </c>
      <c r="H267" s="106" t="str">
        <f aca="false">IFERROR(INDEX('Historical Data'!$K$2:$K$1068,MATCH($A267,'Historical Data'!$BE$2:$BE$1068,0)),"")</f>
        <v/>
      </c>
      <c r="I267" s="106" t="str">
        <f aca="false">IFERROR(INDEX('Historical Data'!$J$2:$J$1068,MATCH($A267,'Historical Data'!$BE$2:$BE$1068,0)),"")</f>
        <v/>
      </c>
      <c r="J267" s="106" t="str">
        <f aca="false">IFERROR(INDEX('Historical Data'!$L$2:$L$1068,MATCH($A267,'Historical Data'!$BE$2:$BE$1068,0)),"")</f>
        <v/>
      </c>
      <c r="K267" s="108" t="str">
        <f aca="false">IFERROR(INDEX('Historical Data'!$M$2:$M$1068,MATCH($A267,'Historical Data'!$BE$2:$BE$1068,0)),"")</f>
        <v/>
      </c>
      <c r="L267" s="109" t="str">
        <f aca="false">IFERROR(INDEX('Historical Data'!$N$2:$N$1068,MATCH($A267,'Historical Data'!$BE$2:$BE$1068,0)),"")</f>
        <v/>
      </c>
      <c r="M267" s="109" t="str">
        <f aca="false">IFERROR(INDEX('Historical Data'!$Q$2:$Q$1068,MATCH($A267,'Historical Data'!$BE$2:$BE$1068,0)),"")</f>
        <v/>
      </c>
      <c r="N267" s="110" t="str">
        <f aca="false">IFERROR(INDEX('Historical Data'!$S$2:$S$1068,MATCH($A267,'Historical Data'!$BE$2:$BE$1068,0)),"")</f>
        <v/>
      </c>
      <c r="O267" s="109" t="str">
        <f aca="false">IFERROR(INDEX('Historical Data'!$AJ$2:$AJ$1068,MATCH($A267,'Historical Data'!$BE$2:$BE$1068,0)),"")</f>
        <v/>
      </c>
      <c r="P267" s="109" t="str">
        <f aca="false">IFERROR(INDEX('Historical Data'!$AK$2:$AK$1068,MATCH($A267,'Historical Data'!$BE$2:$BE$1068,0)),"")</f>
        <v/>
      </c>
      <c r="Q267" s="106" t="str">
        <f aca="false">IFERROR(INDEX('Historical Data'!$AA$2:$AA$1068,MATCH($A267,'Historical Data'!$BE$2:$BE$1068,0)),"")</f>
        <v/>
      </c>
      <c r="R267" s="106" t="str">
        <f aca="false">IFERROR(INDEX('Historical Data'!$AB$2:$AB$1068,MATCH($A267,'Historical Data'!$BE$2:$BE$1068,0)),"")</f>
        <v/>
      </c>
      <c r="S267" s="106" t="str">
        <f aca="false">IFERROR(INDEX('Historical Data'!$AN$2:$AN$1068,MATCH($A267,'Historical Data'!$BE$2:$BE$1068,0)),"")</f>
        <v/>
      </c>
      <c r="T267" s="106" t="str">
        <f aca="false">IFERROR(INDEX('Historical Data'!$AC$2:$AC$1068,MATCH($A267,'Historical Data'!$BE$2:$BE$1068,0)),"")</f>
        <v/>
      </c>
      <c r="U267" s="106" t="str">
        <f aca="false">IFERROR(INDEX('Historical Data'!$AE$2:$AE$1068,MATCH($A267,'Historical Data'!$BE$2:$BE$1068,0)),"")</f>
        <v/>
      </c>
      <c r="V267" s="106" t="str">
        <f aca="false">IFERROR(INDEX('Historical Data'!$AH$2:$AH$1068,MATCH($A267,'Historical Data'!$BE$2:$BE$1068,0)),"")</f>
        <v/>
      </c>
      <c r="W267" s="106" t="str">
        <f aca="false">IFERROR(INDEX('Historical Data'!$BC$2:$BC$1068,MATCH($A267,'Historical Data'!$BE$2:$BE$1068,0)),"")</f>
        <v/>
      </c>
      <c r="X267" s="105" t="str">
        <f aca="false">IF(B267="","",IF(W267=1,"NR + industry + position",IF(W267=2,"NR + ISO + position",IF(W267=3,"NR + industry",IF(W267=4,"NR + ISO",IF(W267=5,"NR + position",IF(W267=6,"NR only","book baseline"))))))&amp;"  ["&amp;IF(T267=1,"seasoned","unseasoned")&amp;IF(U267=1,", defaulted","")&amp;IF(V267=1,", open","")&amp;"]")</f>
        <v/>
      </c>
    </row>
    <row r="268" customFormat="false" ht="15" hidden="false" customHeight="false" outlineLevel="0" collapsed="false">
      <c r="A268" s="105" t="n">
        <v>264</v>
      </c>
      <c r="B268" s="106" t="str">
        <f aca="false">IFERROR(INDEX('Historical Data'!$A$2:$A$1068,MATCH($A268,'Historical Data'!$BE$2:$BE$1068,0)),"")</f>
        <v/>
      </c>
      <c r="C268" s="106" t="str">
        <f aca="false">IFERROR(INDEX('Historical Data'!$B$2:$B$1068,MATCH($A268,'Historical Data'!$BE$2:$BE$1068,0)),"")</f>
        <v/>
      </c>
      <c r="D268" s="106" t="str">
        <f aca="false">IFERROR(INDEX('Historical Data'!$D$2:$D$1068,MATCH($A268,'Historical Data'!$BE$2:$BE$1068,0)),"")</f>
        <v/>
      </c>
      <c r="E268" s="107" t="str">
        <f aca="false">IFERROR(INDEX('Historical Data'!$E$2:$E$1068,MATCH($A268,'Historical Data'!$BE$2:$BE$1068,0)),"")</f>
        <v/>
      </c>
      <c r="F268" s="106" t="str">
        <f aca="false">IFERROR(INDEX('Historical Data'!$G$2:$G$1068,MATCH($A268,'Historical Data'!$BE$2:$BE$1068,0)),"")</f>
        <v/>
      </c>
      <c r="G268" s="106" t="str">
        <f aca="false">IFERROR(INDEX('Historical Data'!$Y$2:$Y$1068,MATCH($A268,'Historical Data'!$BE$2:$BE$1068,0)),"")</f>
        <v/>
      </c>
      <c r="H268" s="106" t="str">
        <f aca="false">IFERROR(INDEX('Historical Data'!$K$2:$K$1068,MATCH($A268,'Historical Data'!$BE$2:$BE$1068,0)),"")</f>
        <v/>
      </c>
      <c r="I268" s="106" t="str">
        <f aca="false">IFERROR(INDEX('Historical Data'!$J$2:$J$1068,MATCH($A268,'Historical Data'!$BE$2:$BE$1068,0)),"")</f>
        <v/>
      </c>
      <c r="J268" s="106" t="str">
        <f aca="false">IFERROR(INDEX('Historical Data'!$L$2:$L$1068,MATCH($A268,'Historical Data'!$BE$2:$BE$1068,0)),"")</f>
        <v/>
      </c>
      <c r="K268" s="108" t="str">
        <f aca="false">IFERROR(INDEX('Historical Data'!$M$2:$M$1068,MATCH($A268,'Historical Data'!$BE$2:$BE$1068,0)),"")</f>
        <v/>
      </c>
      <c r="L268" s="109" t="str">
        <f aca="false">IFERROR(INDEX('Historical Data'!$N$2:$N$1068,MATCH($A268,'Historical Data'!$BE$2:$BE$1068,0)),"")</f>
        <v/>
      </c>
      <c r="M268" s="109" t="str">
        <f aca="false">IFERROR(INDEX('Historical Data'!$Q$2:$Q$1068,MATCH($A268,'Historical Data'!$BE$2:$BE$1068,0)),"")</f>
        <v/>
      </c>
      <c r="N268" s="110" t="str">
        <f aca="false">IFERROR(INDEX('Historical Data'!$S$2:$S$1068,MATCH($A268,'Historical Data'!$BE$2:$BE$1068,0)),"")</f>
        <v/>
      </c>
      <c r="O268" s="109" t="str">
        <f aca="false">IFERROR(INDEX('Historical Data'!$AJ$2:$AJ$1068,MATCH($A268,'Historical Data'!$BE$2:$BE$1068,0)),"")</f>
        <v/>
      </c>
      <c r="P268" s="109" t="str">
        <f aca="false">IFERROR(INDEX('Historical Data'!$AK$2:$AK$1068,MATCH($A268,'Historical Data'!$BE$2:$BE$1068,0)),"")</f>
        <v/>
      </c>
      <c r="Q268" s="106" t="str">
        <f aca="false">IFERROR(INDEX('Historical Data'!$AA$2:$AA$1068,MATCH($A268,'Historical Data'!$BE$2:$BE$1068,0)),"")</f>
        <v/>
      </c>
      <c r="R268" s="106" t="str">
        <f aca="false">IFERROR(INDEX('Historical Data'!$AB$2:$AB$1068,MATCH($A268,'Historical Data'!$BE$2:$BE$1068,0)),"")</f>
        <v/>
      </c>
      <c r="S268" s="106" t="str">
        <f aca="false">IFERROR(INDEX('Historical Data'!$AN$2:$AN$1068,MATCH($A268,'Historical Data'!$BE$2:$BE$1068,0)),"")</f>
        <v/>
      </c>
      <c r="T268" s="106" t="str">
        <f aca="false">IFERROR(INDEX('Historical Data'!$AC$2:$AC$1068,MATCH($A268,'Historical Data'!$BE$2:$BE$1068,0)),"")</f>
        <v/>
      </c>
      <c r="U268" s="106" t="str">
        <f aca="false">IFERROR(INDEX('Historical Data'!$AE$2:$AE$1068,MATCH($A268,'Historical Data'!$BE$2:$BE$1068,0)),"")</f>
        <v/>
      </c>
      <c r="V268" s="106" t="str">
        <f aca="false">IFERROR(INDEX('Historical Data'!$AH$2:$AH$1068,MATCH($A268,'Historical Data'!$BE$2:$BE$1068,0)),"")</f>
        <v/>
      </c>
      <c r="W268" s="106" t="str">
        <f aca="false">IFERROR(INDEX('Historical Data'!$BC$2:$BC$1068,MATCH($A268,'Historical Data'!$BE$2:$BE$1068,0)),"")</f>
        <v/>
      </c>
      <c r="X268" s="105" t="str">
        <f aca="false">IF(B268="","",IF(W268=1,"NR + industry + position",IF(W268=2,"NR + ISO + position",IF(W268=3,"NR + industry",IF(W268=4,"NR + ISO",IF(W268=5,"NR + position",IF(W268=6,"NR only","book baseline"))))))&amp;"  ["&amp;IF(T268=1,"seasoned","unseasoned")&amp;IF(U268=1,", defaulted","")&amp;IF(V268=1,", open","")&amp;"]")</f>
        <v/>
      </c>
    </row>
    <row r="269" customFormat="false" ht="15" hidden="false" customHeight="false" outlineLevel="0" collapsed="false">
      <c r="A269" s="105" t="n">
        <v>265</v>
      </c>
      <c r="B269" s="106" t="str">
        <f aca="false">IFERROR(INDEX('Historical Data'!$A$2:$A$1068,MATCH($A269,'Historical Data'!$BE$2:$BE$1068,0)),"")</f>
        <v/>
      </c>
      <c r="C269" s="106" t="str">
        <f aca="false">IFERROR(INDEX('Historical Data'!$B$2:$B$1068,MATCH($A269,'Historical Data'!$BE$2:$BE$1068,0)),"")</f>
        <v/>
      </c>
      <c r="D269" s="106" t="str">
        <f aca="false">IFERROR(INDEX('Historical Data'!$D$2:$D$1068,MATCH($A269,'Historical Data'!$BE$2:$BE$1068,0)),"")</f>
        <v/>
      </c>
      <c r="E269" s="107" t="str">
        <f aca="false">IFERROR(INDEX('Historical Data'!$E$2:$E$1068,MATCH($A269,'Historical Data'!$BE$2:$BE$1068,0)),"")</f>
        <v/>
      </c>
      <c r="F269" s="106" t="str">
        <f aca="false">IFERROR(INDEX('Historical Data'!$G$2:$G$1068,MATCH($A269,'Historical Data'!$BE$2:$BE$1068,0)),"")</f>
        <v/>
      </c>
      <c r="G269" s="106" t="str">
        <f aca="false">IFERROR(INDEX('Historical Data'!$Y$2:$Y$1068,MATCH($A269,'Historical Data'!$BE$2:$BE$1068,0)),"")</f>
        <v/>
      </c>
      <c r="H269" s="106" t="str">
        <f aca="false">IFERROR(INDEX('Historical Data'!$K$2:$K$1068,MATCH($A269,'Historical Data'!$BE$2:$BE$1068,0)),"")</f>
        <v/>
      </c>
      <c r="I269" s="106" t="str">
        <f aca="false">IFERROR(INDEX('Historical Data'!$J$2:$J$1068,MATCH($A269,'Historical Data'!$BE$2:$BE$1068,0)),"")</f>
        <v/>
      </c>
      <c r="J269" s="106" t="str">
        <f aca="false">IFERROR(INDEX('Historical Data'!$L$2:$L$1068,MATCH($A269,'Historical Data'!$BE$2:$BE$1068,0)),"")</f>
        <v/>
      </c>
      <c r="K269" s="108" t="str">
        <f aca="false">IFERROR(INDEX('Historical Data'!$M$2:$M$1068,MATCH($A269,'Historical Data'!$BE$2:$BE$1068,0)),"")</f>
        <v/>
      </c>
      <c r="L269" s="109" t="str">
        <f aca="false">IFERROR(INDEX('Historical Data'!$N$2:$N$1068,MATCH($A269,'Historical Data'!$BE$2:$BE$1068,0)),"")</f>
        <v/>
      </c>
      <c r="M269" s="109" t="str">
        <f aca="false">IFERROR(INDEX('Historical Data'!$Q$2:$Q$1068,MATCH($A269,'Historical Data'!$BE$2:$BE$1068,0)),"")</f>
        <v/>
      </c>
      <c r="N269" s="110" t="str">
        <f aca="false">IFERROR(INDEX('Historical Data'!$S$2:$S$1068,MATCH($A269,'Historical Data'!$BE$2:$BE$1068,0)),"")</f>
        <v/>
      </c>
      <c r="O269" s="109" t="str">
        <f aca="false">IFERROR(INDEX('Historical Data'!$AJ$2:$AJ$1068,MATCH($A269,'Historical Data'!$BE$2:$BE$1068,0)),"")</f>
        <v/>
      </c>
      <c r="P269" s="109" t="str">
        <f aca="false">IFERROR(INDEX('Historical Data'!$AK$2:$AK$1068,MATCH($A269,'Historical Data'!$BE$2:$BE$1068,0)),"")</f>
        <v/>
      </c>
      <c r="Q269" s="106" t="str">
        <f aca="false">IFERROR(INDEX('Historical Data'!$AA$2:$AA$1068,MATCH($A269,'Historical Data'!$BE$2:$BE$1068,0)),"")</f>
        <v/>
      </c>
      <c r="R269" s="106" t="str">
        <f aca="false">IFERROR(INDEX('Historical Data'!$AB$2:$AB$1068,MATCH($A269,'Historical Data'!$BE$2:$BE$1068,0)),"")</f>
        <v/>
      </c>
      <c r="S269" s="106" t="str">
        <f aca="false">IFERROR(INDEX('Historical Data'!$AN$2:$AN$1068,MATCH($A269,'Historical Data'!$BE$2:$BE$1068,0)),"")</f>
        <v/>
      </c>
      <c r="T269" s="106" t="str">
        <f aca="false">IFERROR(INDEX('Historical Data'!$AC$2:$AC$1068,MATCH($A269,'Historical Data'!$BE$2:$BE$1068,0)),"")</f>
        <v/>
      </c>
      <c r="U269" s="106" t="str">
        <f aca="false">IFERROR(INDEX('Historical Data'!$AE$2:$AE$1068,MATCH($A269,'Historical Data'!$BE$2:$BE$1068,0)),"")</f>
        <v/>
      </c>
      <c r="V269" s="106" t="str">
        <f aca="false">IFERROR(INDEX('Historical Data'!$AH$2:$AH$1068,MATCH($A269,'Historical Data'!$BE$2:$BE$1068,0)),"")</f>
        <v/>
      </c>
      <c r="W269" s="106" t="str">
        <f aca="false">IFERROR(INDEX('Historical Data'!$BC$2:$BC$1068,MATCH($A269,'Historical Data'!$BE$2:$BE$1068,0)),"")</f>
        <v/>
      </c>
      <c r="X269" s="105" t="str">
        <f aca="false">IF(B269="","",IF(W269=1,"NR + industry + position",IF(W269=2,"NR + ISO + position",IF(W269=3,"NR + industry",IF(W269=4,"NR + ISO",IF(W269=5,"NR + position",IF(W269=6,"NR only","book baseline"))))))&amp;"  ["&amp;IF(T269=1,"seasoned","unseasoned")&amp;IF(U269=1,", defaulted","")&amp;IF(V269=1,", open","")&amp;"]")</f>
        <v/>
      </c>
    </row>
    <row r="270" customFormat="false" ht="15" hidden="false" customHeight="false" outlineLevel="0" collapsed="false">
      <c r="A270" s="105" t="n">
        <v>266</v>
      </c>
      <c r="B270" s="106" t="str">
        <f aca="false">IFERROR(INDEX('Historical Data'!$A$2:$A$1068,MATCH($A270,'Historical Data'!$BE$2:$BE$1068,0)),"")</f>
        <v/>
      </c>
      <c r="C270" s="106" t="str">
        <f aca="false">IFERROR(INDEX('Historical Data'!$B$2:$B$1068,MATCH($A270,'Historical Data'!$BE$2:$BE$1068,0)),"")</f>
        <v/>
      </c>
      <c r="D270" s="106" t="str">
        <f aca="false">IFERROR(INDEX('Historical Data'!$D$2:$D$1068,MATCH($A270,'Historical Data'!$BE$2:$BE$1068,0)),"")</f>
        <v/>
      </c>
      <c r="E270" s="107" t="str">
        <f aca="false">IFERROR(INDEX('Historical Data'!$E$2:$E$1068,MATCH($A270,'Historical Data'!$BE$2:$BE$1068,0)),"")</f>
        <v/>
      </c>
      <c r="F270" s="106" t="str">
        <f aca="false">IFERROR(INDEX('Historical Data'!$G$2:$G$1068,MATCH($A270,'Historical Data'!$BE$2:$BE$1068,0)),"")</f>
        <v/>
      </c>
      <c r="G270" s="106" t="str">
        <f aca="false">IFERROR(INDEX('Historical Data'!$Y$2:$Y$1068,MATCH($A270,'Historical Data'!$BE$2:$BE$1068,0)),"")</f>
        <v/>
      </c>
      <c r="H270" s="106" t="str">
        <f aca="false">IFERROR(INDEX('Historical Data'!$K$2:$K$1068,MATCH($A270,'Historical Data'!$BE$2:$BE$1068,0)),"")</f>
        <v/>
      </c>
      <c r="I270" s="106" t="str">
        <f aca="false">IFERROR(INDEX('Historical Data'!$J$2:$J$1068,MATCH($A270,'Historical Data'!$BE$2:$BE$1068,0)),"")</f>
        <v/>
      </c>
      <c r="J270" s="106" t="str">
        <f aca="false">IFERROR(INDEX('Historical Data'!$L$2:$L$1068,MATCH($A270,'Historical Data'!$BE$2:$BE$1068,0)),"")</f>
        <v/>
      </c>
      <c r="K270" s="108" t="str">
        <f aca="false">IFERROR(INDEX('Historical Data'!$M$2:$M$1068,MATCH($A270,'Historical Data'!$BE$2:$BE$1068,0)),"")</f>
        <v/>
      </c>
      <c r="L270" s="109" t="str">
        <f aca="false">IFERROR(INDEX('Historical Data'!$N$2:$N$1068,MATCH($A270,'Historical Data'!$BE$2:$BE$1068,0)),"")</f>
        <v/>
      </c>
      <c r="M270" s="109" t="str">
        <f aca="false">IFERROR(INDEX('Historical Data'!$Q$2:$Q$1068,MATCH($A270,'Historical Data'!$BE$2:$BE$1068,0)),"")</f>
        <v/>
      </c>
      <c r="N270" s="110" t="str">
        <f aca="false">IFERROR(INDEX('Historical Data'!$S$2:$S$1068,MATCH($A270,'Historical Data'!$BE$2:$BE$1068,0)),"")</f>
        <v/>
      </c>
      <c r="O270" s="109" t="str">
        <f aca="false">IFERROR(INDEX('Historical Data'!$AJ$2:$AJ$1068,MATCH($A270,'Historical Data'!$BE$2:$BE$1068,0)),"")</f>
        <v/>
      </c>
      <c r="P270" s="109" t="str">
        <f aca="false">IFERROR(INDEX('Historical Data'!$AK$2:$AK$1068,MATCH($A270,'Historical Data'!$BE$2:$BE$1068,0)),"")</f>
        <v/>
      </c>
      <c r="Q270" s="106" t="str">
        <f aca="false">IFERROR(INDEX('Historical Data'!$AA$2:$AA$1068,MATCH($A270,'Historical Data'!$BE$2:$BE$1068,0)),"")</f>
        <v/>
      </c>
      <c r="R270" s="106" t="str">
        <f aca="false">IFERROR(INDEX('Historical Data'!$AB$2:$AB$1068,MATCH($A270,'Historical Data'!$BE$2:$BE$1068,0)),"")</f>
        <v/>
      </c>
      <c r="S270" s="106" t="str">
        <f aca="false">IFERROR(INDEX('Historical Data'!$AN$2:$AN$1068,MATCH($A270,'Historical Data'!$BE$2:$BE$1068,0)),"")</f>
        <v/>
      </c>
      <c r="T270" s="106" t="str">
        <f aca="false">IFERROR(INDEX('Historical Data'!$AC$2:$AC$1068,MATCH($A270,'Historical Data'!$BE$2:$BE$1068,0)),"")</f>
        <v/>
      </c>
      <c r="U270" s="106" t="str">
        <f aca="false">IFERROR(INDEX('Historical Data'!$AE$2:$AE$1068,MATCH($A270,'Historical Data'!$BE$2:$BE$1068,0)),"")</f>
        <v/>
      </c>
      <c r="V270" s="106" t="str">
        <f aca="false">IFERROR(INDEX('Historical Data'!$AH$2:$AH$1068,MATCH($A270,'Historical Data'!$BE$2:$BE$1068,0)),"")</f>
        <v/>
      </c>
      <c r="W270" s="106" t="str">
        <f aca="false">IFERROR(INDEX('Historical Data'!$BC$2:$BC$1068,MATCH($A270,'Historical Data'!$BE$2:$BE$1068,0)),"")</f>
        <v/>
      </c>
      <c r="X270" s="105" t="str">
        <f aca="false">IF(B270="","",IF(W270=1,"NR + industry + position",IF(W270=2,"NR + ISO + position",IF(W270=3,"NR + industry",IF(W270=4,"NR + ISO",IF(W270=5,"NR + position",IF(W270=6,"NR only","book baseline"))))))&amp;"  ["&amp;IF(T270=1,"seasoned","unseasoned")&amp;IF(U270=1,", defaulted","")&amp;IF(V270=1,", open","")&amp;"]")</f>
        <v/>
      </c>
    </row>
    <row r="271" customFormat="false" ht="15" hidden="false" customHeight="false" outlineLevel="0" collapsed="false">
      <c r="A271" s="105" t="n">
        <v>267</v>
      </c>
      <c r="B271" s="106" t="str">
        <f aca="false">IFERROR(INDEX('Historical Data'!$A$2:$A$1068,MATCH($A271,'Historical Data'!$BE$2:$BE$1068,0)),"")</f>
        <v/>
      </c>
      <c r="C271" s="106" t="str">
        <f aca="false">IFERROR(INDEX('Historical Data'!$B$2:$B$1068,MATCH($A271,'Historical Data'!$BE$2:$BE$1068,0)),"")</f>
        <v/>
      </c>
      <c r="D271" s="106" t="str">
        <f aca="false">IFERROR(INDEX('Historical Data'!$D$2:$D$1068,MATCH($A271,'Historical Data'!$BE$2:$BE$1068,0)),"")</f>
        <v/>
      </c>
      <c r="E271" s="107" t="str">
        <f aca="false">IFERROR(INDEX('Historical Data'!$E$2:$E$1068,MATCH($A271,'Historical Data'!$BE$2:$BE$1068,0)),"")</f>
        <v/>
      </c>
      <c r="F271" s="106" t="str">
        <f aca="false">IFERROR(INDEX('Historical Data'!$G$2:$G$1068,MATCH($A271,'Historical Data'!$BE$2:$BE$1068,0)),"")</f>
        <v/>
      </c>
      <c r="G271" s="106" t="str">
        <f aca="false">IFERROR(INDEX('Historical Data'!$Y$2:$Y$1068,MATCH($A271,'Historical Data'!$BE$2:$BE$1068,0)),"")</f>
        <v/>
      </c>
      <c r="H271" s="106" t="str">
        <f aca="false">IFERROR(INDEX('Historical Data'!$K$2:$K$1068,MATCH($A271,'Historical Data'!$BE$2:$BE$1068,0)),"")</f>
        <v/>
      </c>
      <c r="I271" s="106" t="str">
        <f aca="false">IFERROR(INDEX('Historical Data'!$J$2:$J$1068,MATCH($A271,'Historical Data'!$BE$2:$BE$1068,0)),"")</f>
        <v/>
      </c>
      <c r="J271" s="106" t="str">
        <f aca="false">IFERROR(INDEX('Historical Data'!$L$2:$L$1068,MATCH($A271,'Historical Data'!$BE$2:$BE$1068,0)),"")</f>
        <v/>
      </c>
      <c r="K271" s="108" t="str">
        <f aca="false">IFERROR(INDEX('Historical Data'!$M$2:$M$1068,MATCH($A271,'Historical Data'!$BE$2:$BE$1068,0)),"")</f>
        <v/>
      </c>
      <c r="L271" s="109" t="str">
        <f aca="false">IFERROR(INDEX('Historical Data'!$N$2:$N$1068,MATCH($A271,'Historical Data'!$BE$2:$BE$1068,0)),"")</f>
        <v/>
      </c>
      <c r="M271" s="109" t="str">
        <f aca="false">IFERROR(INDEX('Historical Data'!$Q$2:$Q$1068,MATCH($A271,'Historical Data'!$BE$2:$BE$1068,0)),"")</f>
        <v/>
      </c>
      <c r="N271" s="110" t="str">
        <f aca="false">IFERROR(INDEX('Historical Data'!$S$2:$S$1068,MATCH($A271,'Historical Data'!$BE$2:$BE$1068,0)),"")</f>
        <v/>
      </c>
      <c r="O271" s="109" t="str">
        <f aca="false">IFERROR(INDEX('Historical Data'!$AJ$2:$AJ$1068,MATCH($A271,'Historical Data'!$BE$2:$BE$1068,0)),"")</f>
        <v/>
      </c>
      <c r="P271" s="109" t="str">
        <f aca="false">IFERROR(INDEX('Historical Data'!$AK$2:$AK$1068,MATCH($A271,'Historical Data'!$BE$2:$BE$1068,0)),"")</f>
        <v/>
      </c>
      <c r="Q271" s="106" t="str">
        <f aca="false">IFERROR(INDEX('Historical Data'!$AA$2:$AA$1068,MATCH($A271,'Historical Data'!$BE$2:$BE$1068,0)),"")</f>
        <v/>
      </c>
      <c r="R271" s="106" t="str">
        <f aca="false">IFERROR(INDEX('Historical Data'!$AB$2:$AB$1068,MATCH($A271,'Historical Data'!$BE$2:$BE$1068,0)),"")</f>
        <v/>
      </c>
      <c r="S271" s="106" t="str">
        <f aca="false">IFERROR(INDEX('Historical Data'!$AN$2:$AN$1068,MATCH($A271,'Historical Data'!$BE$2:$BE$1068,0)),"")</f>
        <v/>
      </c>
      <c r="T271" s="106" t="str">
        <f aca="false">IFERROR(INDEX('Historical Data'!$AC$2:$AC$1068,MATCH($A271,'Historical Data'!$BE$2:$BE$1068,0)),"")</f>
        <v/>
      </c>
      <c r="U271" s="106" t="str">
        <f aca="false">IFERROR(INDEX('Historical Data'!$AE$2:$AE$1068,MATCH($A271,'Historical Data'!$BE$2:$BE$1068,0)),"")</f>
        <v/>
      </c>
      <c r="V271" s="106" t="str">
        <f aca="false">IFERROR(INDEX('Historical Data'!$AH$2:$AH$1068,MATCH($A271,'Historical Data'!$BE$2:$BE$1068,0)),"")</f>
        <v/>
      </c>
      <c r="W271" s="106" t="str">
        <f aca="false">IFERROR(INDEX('Historical Data'!$BC$2:$BC$1068,MATCH($A271,'Historical Data'!$BE$2:$BE$1068,0)),"")</f>
        <v/>
      </c>
      <c r="X271" s="105" t="str">
        <f aca="false">IF(B271="","",IF(W271=1,"NR + industry + position",IF(W271=2,"NR + ISO + position",IF(W271=3,"NR + industry",IF(W271=4,"NR + ISO",IF(W271=5,"NR + position",IF(W271=6,"NR only","book baseline"))))))&amp;"  ["&amp;IF(T271=1,"seasoned","unseasoned")&amp;IF(U271=1,", defaulted","")&amp;IF(V271=1,", open","")&amp;"]")</f>
        <v/>
      </c>
    </row>
    <row r="272" customFormat="false" ht="15" hidden="false" customHeight="false" outlineLevel="0" collapsed="false">
      <c r="A272" s="105" t="n">
        <v>268</v>
      </c>
      <c r="B272" s="106" t="str">
        <f aca="false">IFERROR(INDEX('Historical Data'!$A$2:$A$1068,MATCH($A272,'Historical Data'!$BE$2:$BE$1068,0)),"")</f>
        <v/>
      </c>
      <c r="C272" s="106" t="str">
        <f aca="false">IFERROR(INDEX('Historical Data'!$B$2:$B$1068,MATCH($A272,'Historical Data'!$BE$2:$BE$1068,0)),"")</f>
        <v/>
      </c>
      <c r="D272" s="106" t="str">
        <f aca="false">IFERROR(INDEX('Historical Data'!$D$2:$D$1068,MATCH($A272,'Historical Data'!$BE$2:$BE$1068,0)),"")</f>
        <v/>
      </c>
      <c r="E272" s="107" t="str">
        <f aca="false">IFERROR(INDEX('Historical Data'!$E$2:$E$1068,MATCH($A272,'Historical Data'!$BE$2:$BE$1068,0)),"")</f>
        <v/>
      </c>
      <c r="F272" s="106" t="str">
        <f aca="false">IFERROR(INDEX('Historical Data'!$G$2:$G$1068,MATCH($A272,'Historical Data'!$BE$2:$BE$1068,0)),"")</f>
        <v/>
      </c>
      <c r="G272" s="106" t="str">
        <f aca="false">IFERROR(INDEX('Historical Data'!$Y$2:$Y$1068,MATCH($A272,'Historical Data'!$BE$2:$BE$1068,0)),"")</f>
        <v/>
      </c>
      <c r="H272" s="106" t="str">
        <f aca="false">IFERROR(INDEX('Historical Data'!$K$2:$K$1068,MATCH($A272,'Historical Data'!$BE$2:$BE$1068,0)),"")</f>
        <v/>
      </c>
      <c r="I272" s="106" t="str">
        <f aca="false">IFERROR(INDEX('Historical Data'!$J$2:$J$1068,MATCH($A272,'Historical Data'!$BE$2:$BE$1068,0)),"")</f>
        <v/>
      </c>
      <c r="J272" s="106" t="str">
        <f aca="false">IFERROR(INDEX('Historical Data'!$L$2:$L$1068,MATCH($A272,'Historical Data'!$BE$2:$BE$1068,0)),"")</f>
        <v/>
      </c>
      <c r="K272" s="108" t="str">
        <f aca="false">IFERROR(INDEX('Historical Data'!$M$2:$M$1068,MATCH($A272,'Historical Data'!$BE$2:$BE$1068,0)),"")</f>
        <v/>
      </c>
      <c r="L272" s="109" t="str">
        <f aca="false">IFERROR(INDEX('Historical Data'!$N$2:$N$1068,MATCH($A272,'Historical Data'!$BE$2:$BE$1068,0)),"")</f>
        <v/>
      </c>
      <c r="M272" s="109" t="str">
        <f aca="false">IFERROR(INDEX('Historical Data'!$Q$2:$Q$1068,MATCH($A272,'Historical Data'!$BE$2:$BE$1068,0)),"")</f>
        <v/>
      </c>
      <c r="N272" s="110" t="str">
        <f aca="false">IFERROR(INDEX('Historical Data'!$S$2:$S$1068,MATCH($A272,'Historical Data'!$BE$2:$BE$1068,0)),"")</f>
        <v/>
      </c>
      <c r="O272" s="109" t="str">
        <f aca="false">IFERROR(INDEX('Historical Data'!$AJ$2:$AJ$1068,MATCH($A272,'Historical Data'!$BE$2:$BE$1068,0)),"")</f>
        <v/>
      </c>
      <c r="P272" s="109" t="str">
        <f aca="false">IFERROR(INDEX('Historical Data'!$AK$2:$AK$1068,MATCH($A272,'Historical Data'!$BE$2:$BE$1068,0)),"")</f>
        <v/>
      </c>
      <c r="Q272" s="106" t="str">
        <f aca="false">IFERROR(INDEX('Historical Data'!$AA$2:$AA$1068,MATCH($A272,'Historical Data'!$BE$2:$BE$1068,0)),"")</f>
        <v/>
      </c>
      <c r="R272" s="106" t="str">
        <f aca="false">IFERROR(INDEX('Historical Data'!$AB$2:$AB$1068,MATCH($A272,'Historical Data'!$BE$2:$BE$1068,0)),"")</f>
        <v/>
      </c>
      <c r="S272" s="106" t="str">
        <f aca="false">IFERROR(INDEX('Historical Data'!$AN$2:$AN$1068,MATCH($A272,'Historical Data'!$BE$2:$BE$1068,0)),"")</f>
        <v/>
      </c>
      <c r="T272" s="106" t="str">
        <f aca="false">IFERROR(INDEX('Historical Data'!$AC$2:$AC$1068,MATCH($A272,'Historical Data'!$BE$2:$BE$1068,0)),"")</f>
        <v/>
      </c>
      <c r="U272" s="106" t="str">
        <f aca="false">IFERROR(INDEX('Historical Data'!$AE$2:$AE$1068,MATCH($A272,'Historical Data'!$BE$2:$BE$1068,0)),"")</f>
        <v/>
      </c>
      <c r="V272" s="106" t="str">
        <f aca="false">IFERROR(INDEX('Historical Data'!$AH$2:$AH$1068,MATCH($A272,'Historical Data'!$BE$2:$BE$1068,0)),"")</f>
        <v/>
      </c>
      <c r="W272" s="106" t="str">
        <f aca="false">IFERROR(INDEX('Historical Data'!$BC$2:$BC$1068,MATCH($A272,'Historical Data'!$BE$2:$BE$1068,0)),"")</f>
        <v/>
      </c>
      <c r="X272" s="105" t="str">
        <f aca="false">IF(B272="","",IF(W272=1,"NR + industry + position",IF(W272=2,"NR + ISO + position",IF(W272=3,"NR + industry",IF(W272=4,"NR + ISO",IF(W272=5,"NR + position",IF(W272=6,"NR only","book baseline"))))))&amp;"  ["&amp;IF(T272=1,"seasoned","unseasoned")&amp;IF(U272=1,", defaulted","")&amp;IF(V272=1,", open","")&amp;"]")</f>
        <v/>
      </c>
    </row>
    <row r="273" customFormat="false" ht="15" hidden="false" customHeight="false" outlineLevel="0" collapsed="false">
      <c r="A273" s="105" t="n">
        <v>269</v>
      </c>
      <c r="B273" s="106" t="str">
        <f aca="false">IFERROR(INDEX('Historical Data'!$A$2:$A$1068,MATCH($A273,'Historical Data'!$BE$2:$BE$1068,0)),"")</f>
        <v/>
      </c>
      <c r="C273" s="106" t="str">
        <f aca="false">IFERROR(INDEX('Historical Data'!$B$2:$B$1068,MATCH($A273,'Historical Data'!$BE$2:$BE$1068,0)),"")</f>
        <v/>
      </c>
      <c r="D273" s="106" t="str">
        <f aca="false">IFERROR(INDEX('Historical Data'!$D$2:$D$1068,MATCH($A273,'Historical Data'!$BE$2:$BE$1068,0)),"")</f>
        <v/>
      </c>
      <c r="E273" s="107" t="str">
        <f aca="false">IFERROR(INDEX('Historical Data'!$E$2:$E$1068,MATCH($A273,'Historical Data'!$BE$2:$BE$1068,0)),"")</f>
        <v/>
      </c>
      <c r="F273" s="106" t="str">
        <f aca="false">IFERROR(INDEX('Historical Data'!$G$2:$G$1068,MATCH($A273,'Historical Data'!$BE$2:$BE$1068,0)),"")</f>
        <v/>
      </c>
      <c r="G273" s="106" t="str">
        <f aca="false">IFERROR(INDEX('Historical Data'!$Y$2:$Y$1068,MATCH($A273,'Historical Data'!$BE$2:$BE$1068,0)),"")</f>
        <v/>
      </c>
      <c r="H273" s="106" t="str">
        <f aca="false">IFERROR(INDEX('Historical Data'!$K$2:$K$1068,MATCH($A273,'Historical Data'!$BE$2:$BE$1068,0)),"")</f>
        <v/>
      </c>
      <c r="I273" s="106" t="str">
        <f aca="false">IFERROR(INDEX('Historical Data'!$J$2:$J$1068,MATCH($A273,'Historical Data'!$BE$2:$BE$1068,0)),"")</f>
        <v/>
      </c>
      <c r="J273" s="106" t="str">
        <f aca="false">IFERROR(INDEX('Historical Data'!$L$2:$L$1068,MATCH($A273,'Historical Data'!$BE$2:$BE$1068,0)),"")</f>
        <v/>
      </c>
      <c r="K273" s="108" t="str">
        <f aca="false">IFERROR(INDEX('Historical Data'!$M$2:$M$1068,MATCH($A273,'Historical Data'!$BE$2:$BE$1068,0)),"")</f>
        <v/>
      </c>
      <c r="L273" s="109" t="str">
        <f aca="false">IFERROR(INDEX('Historical Data'!$N$2:$N$1068,MATCH($A273,'Historical Data'!$BE$2:$BE$1068,0)),"")</f>
        <v/>
      </c>
      <c r="M273" s="109" t="str">
        <f aca="false">IFERROR(INDEX('Historical Data'!$Q$2:$Q$1068,MATCH($A273,'Historical Data'!$BE$2:$BE$1068,0)),"")</f>
        <v/>
      </c>
      <c r="N273" s="110" t="str">
        <f aca="false">IFERROR(INDEX('Historical Data'!$S$2:$S$1068,MATCH($A273,'Historical Data'!$BE$2:$BE$1068,0)),"")</f>
        <v/>
      </c>
      <c r="O273" s="109" t="str">
        <f aca="false">IFERROR(INDEX('Historical Data'!$AJ$2:$AJ$1068,MATCH($A273,'Historical Data'!$BE$2:$BE$1068,0)),"")</f>
        <v/>
      </c>
      <c r="P273" s="109" t="str">
        <f aca="false">IFERROR(INDEX('Historical Data'!$AK$2:$AK$1068,MATCH($A273,'Historical Data'!$BE$2:$BE$1068,0)),"")</f>
        <v/>
      </c>
      <c r="Q273" s="106" t="str">
        <f aca="false">IFERROR(INDEX('Historical Data'!$AA$2:$AA$1068,MATCH($A273,'Historical Data'!$BE$2:$BE$1068,0)),"")</f>
        <v/>
      </c>
      <c r="R273" s="106" t="str">
        <f aca="false">IFERROR(INDEX('Historical Data'!$AB$2:$AB$1068,MATCH($A273,'Historical Data'!$BE$2:$BE$1068,0)),"")</f>
        <v/>
      </c>
      <c r="S273" s="106" t="str">
        <f aca="false">IFERROR(INDEX('Historical Data'!$AN$2:$AN$1068,MATCH($A273,'Historical Data'!$BE$2:$BE$1068,0)),"")</f>
        <v/>
      </c>
      <c r="T273" s="106" t="str">
        <f aca="false">IFERROR(INDEX('Historical Data'!$AC$2:$AC$1068,MATCH($A273,'Historical Data'!$BE$2:$BE$1068,0)),"")</f>
        <v/>
      </c>
      <c r="U273" s="106" t="str">
        <f aca="false">IFERROR(INDEX('Historical Data'!$AE$2:$AE$1068,MATCH($A273,'Historical Data'!$BE$2:$BE$1068,0)),"")</f>
        <v/>
      </c>
      <c r="V273" s="106" t="str">
        <f aca="false">IFERROR(INDEX('Historical Data'!$AH$2:$AH$1068,MATCH($A273,'Historical Data'!$BE$2:$BE$1068,0)),"")</f>
        <v/>
      </c>
      <c r="W273" s="106" t="str">
        <f aca="false">IFERROR(INDEX('Historical Data'!$BC$2:$BC$1068,MATCH($A273,'Historical Data'!$BE$2:$BE$1068,0)),"")</f>
        <v/>
      </c>
      <c r="X273" s="105" t="str">
        <f aca="false">IF(B273="","",IF(W273=1,"NR + industry + position",IF(W273=2,"NR + ISO + position",IF(W273=3,"NR + industry",IF(W273=4,"NR + ISO",IF(W273=5,"NR + position",IF(W273=6,"NR only","book baseline"))))))&amp;"  ["&amp;IF(T273=1,"seasoned","unseasoned")&amp;IF(U273=1,", defaulted","")&amp;IF(V273=1,", open","")&amp;"]")</f>
        <v/>
      </c>
    </row>
    <row r="274" customFormat="false" ht="15" hidden="false" customHeight="false" outlineLevel="0" collapsed="false">
      <c r="A274" s="105" t="n">
        <v>270</v>
      </c>
      <c r="B274" s="106" t="str">
        <f aca="false">IFERROR(INDEX('Historical Data'!$A$2:$A$1068,MATCH($A274,'Historical Data'!$BE$2:$BE$1068,0)),"")</f>
        <v/>
      </c>
      <c r="C274" s="106" t="str">
        <f aca="false">IFERROR(INDEX('Historical Data'!$B$2:$B$1068,MATCH($A274,'Historical Data'!$BE$2:$BE$1068,0)),"")</f>
        <v/>
      </c>
      <c r="D274" s="106" t="str">
        <f aca="false">IFERROR(INDEX('Historical Data'!$D$2:$D$1068,MATCH($A274,'Historical Data'!$BE$2:$BE$1068,0)),"")</f>
        <v/>
      </c>
      <c r="E274" s="107" t="str">
        <f aca="false">IFERROR(INDEX('Historical Data'!$E$2:$E$1068,MATCH($A274,'Historical Data'!$BE$2:$BE$1068,0)),"")</f>
        <v/>
      </c>
      <c r="F274" s="106" t="str">
        <f aca="false">IFERROR(INDEX('Historical Data'!$G$2:$G$1068,MATCH($A274,'Historical Data'!$BE$2:$BE$1068,0)),"")</f>
        <v/>
      </c>
      <c r="G274" s="106" t="str">
        <f aca="false">IFERROR(INDEX('Historical Data'!$Y$2:$Y$1068,MATCH($A274,'Historical Data'!$BE$2:$BE$1068,0)),"")</f>
        <v/>
      </c>
      <c r="H274" s="106" t="str">
        <f aca="false">IFERROR(INDEX('Historical Data'!$K$2:$K$1068,MATCH($A274,'Historical Data'!$BE$2:$BE$1068,0)),"")</f>
        <v/>
      </c>
      <c r="I274" s="106" t="str">
        <f aca="false">IFERROR(INDEX('Historical Data'!$J$2:$J$1068,MATCH($A274,'Historical Data'!$BE$2:$BE$1068,0)),"")</f>
        <v/>
      </c>
      <c r="J274" s="106" t="str">
        <f aca="false">IFERROR(INDEX('Historical Data'!$L$2:$L$1068,MATCH($A274,'Historical Data'!$BE$2:$BE$1068,0)),"")</f>
        <v/>
      </c>
      <c r="K274" s="108" t="str">
        <f aca="false">IFERROR(INDEX('Historical Data'!$M$2:$M$1068,MATCH($A274,'Historical Data'!$BE$2:$BE$1068,0)),"")</f>
        <v/>
      </c>
      <c r="L274" s="109" t="str">
        <f aca="false">IFERROR(INDEX('Historical Data'!$N$2:$N$1068,MATCH($A274,'Historical Data'!$BE$2:$BE$1068,0)),"")</f>
        <v/>
      </c>
      <c r="M274" s="109" t="str">
        <f aca="false">IFERROR(INDEX('Historical Data'!$Q$2:$Q$1068,MATCH($A274,'Historical Data'!$BE$2:$BE$1068,0)),"")</f>
        <v/>
      </c>
      <c r="N274" s="110" t="str">
        <f aca="false">IFERROR(INDEX('Historical Data'!$S$2:$S$1068,MATCH($A274,'Historical Data'!$BE$2:$BE$1068,0)),"")</f>
        <v/>
      </c>
      <c r="O274" s="109" t="str">
        <f aca="false">IFERROR(INDEX('Historical Data'!$AJ$2:$AJ$1068,MATCH($A274,'Historical Data'!$BE$2:$BE$1068,0)),"")</f>
        <v/>
      </c>
      <c r="P274" s="109" t="str">
        <f aca="false">IFERROR(INDEX('Historical Data'!$AK$2:$AK$1068,MATCH($A274,'Historical Data'!$BE$2:$BE$1068,0)),"")</f>
        <v/>
      </c>
      <c r="Q274" s="106" t="str">
        <f aca="false">IFERROR(INDEX('Historical Data'!$AA$2:$AA$1068,MATCH($A274,'Historical Data'!$BE$2:$BE$1068,0)),"")</f>
        <v/>
      </c>
      <c r="R274" s="106" t="str">
        <f aca="false">IFERROR(INDEX('Historical Data'!$AB$2:$AB$1068,MATCH($A274,'Historical Data'!$BE$2:$BE$1068,0)),"")</f>
        <v/>
      </c>
      <c r="S274" s="106" t="str">
        <f aca="false">IFERROR(INDEX('Historical Data'!$AN$2:$AN$1068,MATCH($A274,'Historical Data'!$BE$2:$BE$1068,0)),"")</f>
        <v/>
      </c>
      <c r="T274" s="106" t="str">
        <f aca="false">IFERROR(INDEX('Historical Data'!$AC$2:$AC$1068,MATCH($A274,'Historical Data'!$BE$2:$BE$1068,0)),"")</f>
        <v/>
      </c>
      <c r="U274" s="106" t="str">
        <f aca="false">IFERROR(INDEX('Historical Data'!$AE$2:$AE$1068,MATCH($A274,'Historical Data'!$BE$2:$BE$1068,0)),"")</f>
        <v/>
      </c>
      <c r="V274" s="106" t="str">
        <f aca="false">IFERROR(INDEX('Historical Data'!$AH$2:$AH$1068,MATCH($A274,'Historical Data'!$BE$2:$BE$1068,0)),"")</f>
        <v/>
      </c>
      <c r="W274" s="106" t="str">
        <f aca="false">IFERROR(INDEX('Historical Data'!$BC$2:$BC$1068,MATCH($A274,'Historical Data'!$BE$2:$BE$1068,0)),"")</f>
        <v/>
      </c>
      <c r="X274" s="105" t="str">
        <f aca="false">IF(B274="","",IF(W274=1,"NR + industry + position",IF(W274=2,"NR + ISO + position",IF(W274=3,"NR + industry",IF(W274=4,"NR + ISO",IF(W274=5,"NR + position",IF(W274=6,"NR only","book baseline"))))))&amp;"  ["&amp;IF(T274=1,"seasoned","unseasoned")&amp;IF(U274=1,", defaulted","")&amp;IF(V274=1,", open","")&amp;"]")</f>
        <v/>
      </c>
    </row>
    <row r="275" customFormat="false" ht="15" hidden="false" customHeight="false" outlineLevel="0" collapsed="false">
      <c r="A275" s="105" t="n">
        <v>271</v>
      </c>
      <c r="B275" s="106" t="str">
        <f aca="false">IFERROR(INDEX('Historical Data'!$A$2:$A$1068,MATCH($A275,'Historical Data'!$BE$2:$BE$1068,0)),"")</f>
        <v/>
      </c>
      <c r="C275" s="106" t="str">
        <f aca="false">IFERROR(INDEX('Historical Data'!$B$2:$B$1068,MATCH($A275,'Historical Data'!$BE$2:$BE$1068,0)),"")</f>
        <v/>
      </c>
      <c r="D275" s="106" t="str">
        <f aca="false">IFERROR(INDEX('Historical Data'!$D$2:$D$1068,MATCH($A275,'Historical Data'!$BE$2:$BE$1068,0)),"")</f>
        <v/>
      </c>
      <c r="E275" s="107" t="str">
        <f aca="false">IFERROR(INDEX('Historical Data'!$E$2:$E$1068,MATCH($A275,'Historical Data'!$BE$2:$BE$1068,0)),"")</f>
        <v/>
      </c>
      <c r="F275" s="106" t="str">
        <f aca="false">IFERROR(INDEX('Historical Data'!$G$2:$G$1068,MATCH($A275,'Historical Data'!$BE$2:$BE$1068,0)),"")</f>
        <v/>
      </c>
      <c r="G275" s="106" t="str">
        <f aca="false">IFERROR(INDEX('Historical Data'!$Y$2:$Y$1068,MATCH($A275,'Historical Data'!$BE$2:$BE$1068,0)),"")</f>
        <v/>
      </c>
      <c r="H275" s="106" t="str">
        <f aca="false">IFERROR(INDEX('Historical Data'!$K$2:$K$1068,MATCH($A275,'Historical Data'!$BE$2:$BE$1068,0)),"")</f>
        <v/>
      </c>
      <c r="I275" s="106" t="str">
        <f aca="false">IFERROR(INDEX('Historical Data'!$J$2:$J$1068,MATCH($A275,'Historical Data'!$BE$2:$BE$1068,0)),"")</f>
        <v/>
      </c>
      <c r="J275" s="106" t="str">
        <f aca="false">IFERROR(INDEX('Historical Data'!$L$2:$L$1068,MATCH($A275,'Historical Data'!$BE$2:$BE$1068,0)),"")</f>
        <v/>
      </c>
      <c r="K275" s="108" t="str">
        <f aca="false">IFERROR(INDEX('Historical Data'!$M$2:$M$1068,MATCH($A275,'Historical Data'!$BE$2:$BE$1068,0)),"")</f>
        <v/>
      </c>
      <c r="L275" s="109" t="str">
        <f aca="false">IFERROR(INDEX('Historical Data'!$N$2:$N$1068,MATCH($A275,'Historical Data'!$BE$2:$BE$1068,0)),"")</f>
        <v/>
      </c>
      <c r="M275" s="109" t="str">
        <f aca="false">IFERROR(INDEX('Historical Data'!$Q$2:$Q$1068,MATCH($A275,'Historical Data'!$BE$2:$BE$1068,0)),"")</f>
        <v/>
      </c>
      <c r="N275" s="110" t="str">
        <f aca="false">IFERROR(INDEX('Historical Data'!$S$2:$S$1068,MATCH($A275,'Historical Data'!$BE$2:$BE$1068,0)),"")</f>
        <v/>
      </c>
      <c r="O275" s="109" t="str">
        <f aca="false">IFERROR(INDEX('Historical Data'!$AJ$2:$AJ$1068,MATCH($A275,'Historical Data'!$BE$2:$BE$1068,0)),"")</f>
        <v/>
      </c>
      <c r="P275" s="109" t="str">
        <f aca="false">IFERROR(INDEX('Historical Data'!$AK$2:$AK$1068,MATCH($A275,'Historical Data'!$BE$2:$BE$1068,0)),"")</f>
        <v/>
      </c>
      <c r="Q275" s="106" t="str">
        <f aca="false">IFERROR(INDEX('Historical Data'!$AA$2:$AA$1068,MATCH($A275,'Historical Data'!$BE$2:$BE$1068,0)),"")</f>
        <v/>
      </c>
      <c r="R275" s="106" t="str">
        <f aca="false">IFERROR(INDEX('Historical Data'!$AB$2:$AB$1068,MATCH($A275,'Historical Data'!$BE$2:$BE$1068,0)),"")</f>
        <v/>
      </c>
      <c r="S275" s="106" t="str">
        <f aca="false">IFERROR(INDEX('Historical Data'!$AN$2:$AN$1068,MATCH($A275,'Historical Data'!$BE$2:$BE$1068,0)),"")</f>
        <v/>
      </c>
      <c r="T275" s="106" t="str">
        <f aca="false">IFERROR(INDEX('Historical Data'!$AC$2:$AC$1068,MATCH($A275,'Historical Data'!$BE$2:$BE$1068,0)),"")</f>
        <v/>
      </c>
      <c r="U275" s="106" t="str">
        <f aca="false">IFERROR(INDEX('Historical Data'!$AE$2:$AE$1068,MATCH($A275,'Historical Data'!$BE$2:$BE$1068,0)),"")</f>
        <v/>
      </c>
      <c r="V275" s="106" t="str">
        <f aca="false">IFERROR(INDEX('Historical Data'!$AH$2:$AH$1068,MATCH($A275,'Historical Data'!$BE$2:$BE$1068,0)),"")</f>
        <v/>
      </c>
      <c r="W275" s="106" t="str">
        <f aca="false">IFERROR(INDEX('Historical Data'!$BC$2:$BC$1068,MATCH($A275,'Historical Data'!$BE$2:$BE$1068,0)),"")</f>
        <v/>
      </c>
      <c r="X275" s="105" t="str">
        <f aca="false">IF(B275="","",IF(W275=1,"NR + industry + position",IF(W275=2,"NR + ISO + position",IF(W275=3,"NR + industry",IF(W275=4,"NR + ISO",IF(W275=5,"NR + position",IF(W275=6,"NR only","book baseline"))))))&amp;"  ["&amp;IF(T275=1,"seasoned","unseasoned")&amp;IF(U275=1,", defaulted","")&amp;IF(V275=1,", open","")&amp;"]")</f>
        <v/>
      </c>
    </row>
    <row r="276" customFormat="false" ht="15" hidden="false" customHeight="false" outlineLevel="0" collapsed="false">
      <c r="A276" s="105" t="n">
        <v>272</v>
      </c>
      <c r="B276" s="106" t="str">
        <f aca="false">IFERROR(INDEX('Historical Data'!$A$2:$A$1068,MATCH($A276,'Historical Data'!$BE$2:$BE$1068,0)),"")</f>
        <v/>
      </c>
      <c r="C276" s="106" t="str">
        <f aca="false">IFERROR(INDEX('Historical Data'!$B$2:$B$1068,MATCH($A276,'Historical Data'!$BE$2:$BE$1068,0)),"")</f>
        <v/>
      </c>
      <c r="D276" s="106" t="str">
        <f aca="false">IFERROR(INDEX('Historical Data'!$D$2:$D$1068,MATCH($A276,'Historical Data'!$BE$2:$BE$1068,0)),"")</f>
        <v/>
      </c>
      <c r="E276" s="107" t="str">
        <f aca="false">IFERROR(INDEX('Historical Data'!$E$2:$E$1068,MATCH($A276,'Historical Data'!$BE$2:$BE$1068,0)),"")</f>
        <v/>
      </c>
      <c r="F276" s="106" t="str">
        <f aca="false">IFERROR(INDEX('Historical Data'!$G$2:$G$1068,MATCH($A276,'Historical Data'!$BE$2:$BE$1068,0)),"")</f>
        <v/>
      </c>
      <c r="G276" s="106" t="str">
        <f aca="false">IFERROR(INDEX('Historical Data'!$Y$2:$Y$1068,MATCH($A276,'Historical Data'!$BE$2:$BE$1068,0)),"")</f>
        <v/>
      </c>
      <c r="H276" s="106" t="str">
        <f aca="false">IFERROR(INDEX('Historical Data'!$K$2:$K$1068,MATCH($A276,'Historical Data'!$BE$2:$BE$1068,0)),"")</f>
        <v/>
      </c>
      <c r="I276" s="106" t="str">
        <f aca="false">IFERROR(INDEX('Historical Data'!$J$2:$J$1068,MATCH($A276,'Historical Data'!$BE$2:$BE$1068,0)),"")</f>
        <v/>
      </c>
      <c r="J276" s="106" t="str">
        <f aca="false">IFERROR(INDEX('Historical Data'!$L$2:$L$1068,MATCH($A276,'Historical Data'!$BE$2:$BE$1068,0)),"")</f>
        <v/>
      </c>
      <c r="K276" s="108" t="str">
        <f aca="false">IFERROR(INDEX('Historical Data'!$M$2:$M$1068,MATCH($A276,'Historical Data'!$BE$2:$BE$1068,0)),"")</f>
        <v/>
      </c>
      <c r="L276" s="109" t="str">
        <f aca="false">IFERROR(INDEX('Historical Data'!$N$2:$N$1068,MATCH($A276,'Historical Data'!$BE$2:$BE$1068,0)),"")</f>
        <v/>
      </c>
      <c r="M276" s="109" t="str">
        <f aca="false">IFERROR(INDEX('Historical Data'!$Q$2:$Q$1068,MATCH($A276,'Historical Data'!$BE$2:$BE$1068,0)),"")</f>
        <v/>
      </c>
      <c r="N276" s="110" t="str">
        <f aca="false">IFERROR(INDEX('Historical Data'!$S$2:$S$1068,MATCH($A276,'Historical Data'!$BE$2:$BE$1068,0)),"")</f>
        <v/>
      </c>
      <c r="O276" s="109" t="str">
        <f aca="false">IFERROR(INDEX('Historical Data'!$AJ$2:$AJ$1068,MATCH($A276,'Historical Data'!$BE$2:$BE$1068,0)),"")</f>
        <v/>
      </c>
      <c r="P276" s="109" t="str">
        <f aca="false">IFERROR(INDEX('Historical Data'!$AK$2:$AK$1068,MATCH($A276,'Historical Data'!$BE$2:$BE$1068,0)),"")</f>
        <v/>
      </c>
      <c r="Q276" s="106" t="str">
        <f aca="false">IFERROR(INDEX('Historical Data'!$AA$2:$AA$1068,MATCH($A276,'Historical Data'!$BE$2:$BE$1068,0)),"")</f>
        <v/>
      </c>
      <c r="R276" s="106" t="str">
        <f aca="false">IFERROR(INDEX('Historical Data'!$AB$2:$AB$1068,MATCH($A276,'Historical Data'!$BE$2:$BE$1068,0)),"")</f>
        <v/>
      </c>
      <c r="S276" s="106" t="str">
        <f aca="false">IFERROR(INDEX('Historical Data'!$AN$2:$AN$1068,MATCH($A276,'Historical Data'!$BE$2:$BE$1068,0)),"")</f>
        <v/>
      </c>
      <c r="T276" s="106" t="str">
        <f aca="false">IFERROR(INDEX('Historical Data'!$AC$2:$AC$1068,MATCH($A276,'Historical Data'!$BE$2:$BE$1068,0)),"")</f>
        <v/>
      </c>
      <c r="U276" s="106" t="str">
        <f aca="false">IFERROR(INDEX('Historical Data'!$AE$2:$AE$1068,MATCH($A276,'Historical Data'!$BE$2:$BE$1068,0)),"")</f>
        <v/>
      </c>
      <c r="V276" s="106" t="str">
        <f aca="false">IFERROR(INDEX('Historical Data'!$AH$2:$AH$1068,MATCH($A276,'Historical Data'!$BE$2:$BE$1068,0)),"")</f>
        <v/>
      </c>
      <c r="W276" s="106" t="str">
        <f aca="false">IFERROR(INDEX('Historical Data'!$BC$2:$BC$1068,MATCH($A276,'Historical Data'!$BE$2:$BE$1068,0)),"")</f>
        <v/>
      </c>
      <c r="X276" s="105" t="str">
        <f aca="false">IF(B276="","",IF(W276=1,"NR + industry + position",IF(W276=2,"NR + ISO + position",IF(W276=3,"NR + industry",IF(W276=4,"NR + ISO",IF(W276=5,"NR + position",IF(W276=6,"NR only","book baseline"))))))&amp;"  ["&amp;IF(T276=1,"seasoned","unseasoned")&amp;IF(U276=1,", defaulted","")&amp;IF(V276=1,", open","")&amp;"]")</f>
        <v/>
      </c>
    </row>
    <row r="277" customFormat="false" ht="15" hidden="false" customHeight="false" outlineLevel="0" collapsed="false">
      <c r="A277" s="105" t="n">
        <v>273</v>
      </c>
      <c r="B277" s="106" t="str">
        <f aca="false">IFERROR(INDEX('Historical Data'!$A$2:$A$1068,MATCH($A277,'Historical Data'!$BE$2:$BE$1068,0)),"")</f>
        <v/>
      </c>
      <c r="C277" s="106" t="str">
        <f aca="false">IFERROR(INDEX('Historical Data'!$B$2:$B$1068,MATCH($A277,'Historical Data'!$BE$2:$BE$1068,0)),"")</f>
        <v/>
      </c>
      <c r="D277" s="106" t="str">
        <f aca="false">IFERROR(INDEX('Historical Data'!$D$2:$D$1068,MATCH($A277,'Historical Data'!$BE$2:$BE$1068,0)),"")</f>
        <v/>
      </c>
      <c r="E277" s="107" t="str">
        <f aca="false">IFERROR(INDEX('Historical Data'!$E$2:$E$1068,MATCH($A277,'Historical Data'!$BE$2:$BE$1068,0)),"")</f>
        <v/>
      </c>
      <c r="F277" s="106" t="str">
        <f aca="false">IFERROR(INDEX('Historical Data'!$G$2:$G$1068,MATCH($A277,'Historical Data'!$BE$2:$BE$1068,0)),"")</f>
        <v/>
      </c>
      <c r="G277" s="106" t="str">
        <f aca="false">IFERROR(INDEX('Historical Data'!$Y$2:$Y$1068,MATCH($A277,'Historical Data'!$BE$2:$BE$1068,0)),"")</f>
        <v/>
      </c>
      <c r="H277" s="106" t="str">
        <f aca="false">IFERROR(INDEX('Historical Data'!$K$2:$K$1068,MATCH($A277,'Historical Data'!$BE$2:$BE$1068,0)),"")</f>
        <v/>
      </c>
      <c r="I277" s="106" t="str">
        <f aca="false">IFERROR(INDEX('Historical Data'!$J$2:$J$1068,MATCH($A277,'Historical Data'!$BE$2:$BE$1068,0)),"")</f>
        <v/>
      </c>
      <c r="J277" s="106" t="str">
        <f aca="false">IFERROR(INDEX('Historical Data'!$L$2:$L$1068,MATCH($A277,'Historical Data'!$BE$2:$BE$1068,0)),"")</f>
        <v/>
      </c>
      <c r="K277" s="108" t="str">
        <f aca="false">IFERROR(INDEX('Historical Data'!$M$2:$M$1068,MATCH($A277,'Historical Data'!$BE$2:$BE$1068,0)),"")</f>
        <v/>
      </c>
      <c r="L277" s="109" t="str">
        <f aca="false">IFERROR(INDEX('Historical Data'!$N$2:$N$1068,MATCH($A277,'Historical Data'!$BE$2:$BE$1068,0)),"")</f>
        <v/>
      </c>
      <c r="M277" s="109" t="str">
        <f aca="false">IFERROR(INDEX('Historical Data'!$Q$2:$Q$1068,MATCH($A277,'Historical Data'!$BE$2:$BE$1068,0)),"")</f>
        <v/>
      </c>
      <c r="N277" s="110" t="str">
        <f aca="false">IFERROR(INDEX('Historical Data'!$S$2:$S$1068,MATCH($A277,'Historical Data'!$BE$2:$BE$1068,0)),"")</f>
        <v/>
      </c>
      <c r="O277" s="109" t="str">
        <f aca="false">IFERROR(INDEX('Historical Data'!$AJ$2:$AJ$1068,MATCH($A277,'Historical Data'!$BE$2:$BE$1068,0)),"")</f>
        <v/>
      </c>
      <c r="P277" s="109" t="str">
        <f aca="false">IFERROR(INDEX('Historical Data'!$AK$2:$AK$1068,MATCH($A277,'Historical Data'!$BE$2:$BE$1068,0)),"")</f>
        <v/>
      </c>
      <c r="Q277" s="106" t="str">
        <f aca="false">IFERROR(INDEX('Historical Data'!$AA$2:$AA$1068,MATCH($A277,'Historical Data'!$BE$2:$BE$1068,0)),"")</f>
        <v/>
      </c>
      <c r="R277" s="106" t="str">
        <f aca="false">IFERROR(INDEX('Historical Data'!$AB$2:$AB$1068,MATCH($A277,'Historical Data'!$BE$2:$BE$1068,0)),"")</f>
        <v/>
      </c>
      <c r="S277" s="106" t="str">
        <f aca="false">IFERROR(INDEX('Historical Data'!$AN$2:$AN$1068,MATCH($A277,'Historical Data'!$BE$2:$BE$1068,0)),"")</f>
        <v/>
      </c>
      <c r="T277" s="106" t="str">
        <f aca="false">IFERROR(INDEX('Historical Data'!$AC$2:$AC$1068,MATCH($A277,'Historical Data'!$BE$2:$BE$1068,0)),"")</f>
        <v/>
      </c>
      <c r="U277" s="106" t="str">
        <f aca="false">IFERROR(INDEX('Historical Data'!$AE$2:$AE$1068,MATCH($A277,'Historical Data'!$BE$2:$BE$1068,0)),"")</f>
        <v/>
      </c>
      <c r="V277" s="106" t="str">
        <f aca="false">IFERROR(INDEX('Historical Data'!$AH$2:$AH$1068,MATCH($A277,'Historical Data'!$BE$2:$BE$1068,0)),"")</f>
        <v/>
      </c>
      <c r="W277" s="106" t="str">
        <f aca="false">IFERROR(INDEX('Historical Data'!$BC$2:$BC$1068,MATCH($A277,'Historical Data'!$BE$2:$BE$1068,0)),"")</f>
        <v/>
      </c>
      <c r="X277" s="105" t="str">
        <f aca="false">IF(B277="","",IF(W277=1,"NR + industry + position",IF(W277=2,"NR + ISO + position",IF(W277=3,"NR + industry",IF(W277=4,"NR + ISO",IF(W277=5,"NR + position",IF(W277=6,"NR only","book baseline"))))))&amp;"  ["&amp;IF(T277=1,"seasoned","unseasoned")&amp;IF(U277=1,", defaulted","")&amp;IF(V277=1,", open","")&amp;"]")</f>
        <v/>
      </c>
    </row>
    <row r="278" customFormat="false" ht="15" hidden="false" customHeight="false" outlineLevel="0" collapsed="false">
      <c r="A278" s="105" t="n">
        <v>274</v>
      </c>
      <c r="B278" s="106" t="str">
        <f aca="false">IFERROR(INDEX('Historical Data'!$A$2:$A$1068,MATCH($A278,'Historical Data'!$BE$2:$BE$1068,0)),"")</f>
        <v/>
      </c>
      <c r="C278" s="106" t="str">
        <f aca="false">IFERROR(INDEX('Historical Data'!$B$2:$B$1068,MATCH($A278,'Historical Data'!$BE$2:$BE$1068,0)),"")</f>
        <v/>
      </c>
      <c r="D278" s="106" t="str">
        <f aca="false">IFERROR(INDEX('Historical Data'!$D$2:$D$1068,MATCH($A278,'Historical Data'!$BE$2:$BE$1068,0)),"")</f>
        <v/>
      </c>
      <c r="E278" s="107" t="str">
        <f aca="false">IFERROR(INDEX('Historical Data'!$E$2:$E$1068,MATCH($A278,'Historical Data'!$BE$2:$BE$1068,0)),"")</f>
        <v/>
      </c>
      <c r="F278" s="106" t="str">
        <f aca="false">IFERROR(INDEX('Historical Data'!$G$2:$G$1068,MATCH($A278,'Historical Data'!$BE$2:$BE$1068,0)),"")</f>
        <v/>
      </c>
      <c r="G278" s="106" t="str">
        <f aca="false">IFERROR(INDEX('Historical Data'!$Y$2:$Y$1068,MATCH($A278,'Historical Data'!$BE$2:$BE$1068,0)),"")</f>
        <v/>
      </c>
      <c r="H278" s="106" t="str">
        <f aca="false">IFERROR(INDEX('Historical Data'!$K$2:$K$1068,MATCH($A278,'Historical Data'!$BE$2:$BE$1068,0)),"")</f>
        <v/>
      </c>
      <c r="I278" s="106" t="str">
        <f aca="false">IFERROR(INDEX('Historical Data'!$J$2:$J$1068,MATCH($A278,'Historical Data'!$BE$2:$BE$1068,0)),"")</f>
        <v/>
      </c>
      <c r="J278" s="106" t="str">
        <f aca="false">IFERROR(INDEX('Historical Data'!$L$2:$L$1068,MATCH($A278,'Historical Data'!$BE$2:$BE$1068,0)),"")</f>
        <v/>
      </c>
      <c r="K278" s="108" t="str">
        <f aca="false">IFERROR(INDEX('Historical Data'!$M$2:$M$1068,MATCH($A278,'Historical Data'!$BE$2:$BE$1068,0)),"")</f>
        <v/>
      </c>
      <c r="L278" s="109" t="str">
        <f aca="false">IFERROR(INDEX('Historical Data'!$N$2:$N$1068,MATCH($A278,'Historical Data'!$BE$2:$BE$1068,0)),"")</f>
        <v/>
      </c>
      <c r="M278" s="109" t="str">
        <f aca="false">IFERROR(INDEX('Historical Data'!$Q$2:$Q$1068,MATCH($A278,'Historical Data'!$BE$2:$BE$1068,0)),"")</f>
        <v/>
      </c>
      <c r="N278" s="110" t="str">
        <f aca="false">IFERROR(INDEX('Historical Data'!$S$2:$S$1068,MATCH($A278,'Historical Data'!$BE$2:$BE$1068,0)),"")</f>
        <v/>
      </c>
      <c r="O278" s="109" t="str">
        <f aca="false">IFERROR(INDEX('Historical Data'!$AJ$2:$AJ$1068,MATCH($A278,'Historical Data'!$BE$2:$BE$1068,0)),"")</f>
        <v/>
      </c>
      <c r="P278" s="109" t="str">
        <f aca="false">IFERROR(INDEX('Historical Data'!$AK$2:$AK$1068,MATCH($A278,'Historical Data'!$BE$2:$BE$1068,0)),"")</f>
        <v/>
      </c>
      <c r="Q278" s="106" t="str">
        <f aca="false">IFERROR(INDEX('Historical Data'!$AA$2:$AA$1068,MATCH($A278,'Historical Data'!$BE$2:$BE$1068,0)),"")</f>
        <v/>
      </c>
      <c r="R278" s="106" t="str">
        <f aca="false">IFERROR(INDEX('Historical Data'!$AB$2:$AB$1068,MATCH($A278,'Historical Data'!$BE$2:$BE$1068,0)),"")</f>
        <v/>
      </c>
      <c r="S278" s="106" t="str">
        <f aca="false">IFERROR(INDEX('Historical Data'!$AN$2:$AN$1068,MATCH($A278,'Historical Data'!$BE$2:$BE$1068,0)),"")</f>
        <v/>
      </c>
      <c r="T278" s="106" t="str">
        <f aca="false">IFERROR(INDEX('Historical Data'!$AC$2:$AC$1068,MATCH($A278,'Historical Data'!$BE$2:$BE$1068,0)),"")</f>
        <v/>
      </c>
      <c r="U278" s="106" t="str">
        <f aca="false">IFERROR(INDEX('Historical Data'!$AE$2:$AE$1068,MATCH($A278,'Historical Data'!$BE$2:$BE$1068,0)),"")</f>
        <v/>
      </c>
      <c r="V278" s="106" t="str">
        <f aca="false">IFERROR(INDEX('Historical Data'!$AH$2:$AH$1068,MATCH($A278,'Historical Data'!$BE$2:$BE$1068,0)),"")</f>
        <v/>
      </c>
      <c r="W278" s="106" t="str">
        <f aca="false">IFERROR(INDEX('Historical Data'!$BC$2:$BC$1068,MATCH($A278,'Historical Data'!$BE$2:$BE$1068,0)),"")</f>
        <v/>
      </c>
      <c r="X278" s="105" t="str">
        <f aca="false">IF(B278="","",IF(W278=1,"NR + industry + position",IF(W278=2,"NR + ISO + position",IF(W278=3,"NR + industry",IF(W278=4,"NR + ISO",IF(W278=5,"NR + position",IF(W278=6,"NR only","book baseline"))))))&amp;"  ["&amp;IF(T278=1,"seasoned","unseasoned")&amp;IF(U278=1,", defaulted","")&amp;IF(V278=1,", open","")&amp;"]")</f>
        <v/>
      </c>
    </row>
    <row r="279" customFormat="false" ht="15" hidden="false" customHeight="false" outlineLevel="0" collapsed="false">
      <c r="A279" s="105" t="n">
        <v>275</v>
      </c>
      <c r="B279" s="106" t="str">
        <f aca="false">IFERROR(INDEX('Historical Data'!$A$2:$A$1068,MATCH($A279,'Historical Data'!$BE$2:$BE$1068,0)),"")</f>
        <v/>
      </c>
      <c r="C279" s="106" t="str">
        <f aca="false">IFERROR(INDEX('Historical Data'!$B$2:$B$1068,MATCH($A279,'Historical Data'!$BE$2:$BE$1068,0)),"")</f>
        <v/>
      </c>
      <c r="D279" s="106" t="str">
        <f aca="false">IFERROR(INDEX('Historical Data'!$D$2:$D$1068,MATCH($A279,'Historical Data'!$BE$2:$BE$1068,0)),"")</f>
        <v/>
      </c>
      <c r="E279" s="107" t="str">
        <f aca="false">IFERROR(INDEX('Historical Data'!$E$2:$E$1068,MATCH($A279,'Historical Data'!$BE$2:$BE$1068,0)),"")</f>
        <v/>
      </c>
      <c r="F279" s="106" t="str">
        <f aca="false">IFERROR(INDEX('Historical Data'!$G$2:$G$1068,MATCH($A279,'Historical Data'!$BE$2:$BE$1068,0)),"")</f>
        <v/>
      </c>
      <c r="G279" s="106" t="str">
        <f aca="false">IFERROR(INDEX('Historical Data'!$Y$2:$Y$1068,MATCH($A279,'Historical Data'!$BE$2:$BE$1068,0)),"")</f>
        <v/>
      </c>
      <c r="H279" s="106" t="str">
        <f aca="false">IFERROR(INDEX('Historical Data'!$K$2:$K$1068,MATCH($A279,'Historical Data'!$BE$2:$BE$1068,0)),"")</f>
        <v/>
      </c>
      <c r="I279" s="106" t="str">
        <f aca="false">IFERROR(INDEX('Historical Data'!$J$2:$J$1068,MATCH($A279,'Historical Data'!$BE$2:$BE$1068,0)),"")</f>
        <v/>
      </c>
      <c r="J279" s="106" t="str">
        <f aca="false">IFERROR(INDEX('Historical Data'!$L$2:$L$1068,MATCH($A279,'Historical Data'!$BE$2:$BE$1068,0)),"")</f>
        <v/>
      </c>
      <c r="K279" s="108" t="str">
        <f aca="false">IFERROR(INDEX('Historical Data'!$M$2:$M$1068,MATCH($A279,'Historical Data'!$BE$2:$BE$1068,0)),"")</f>
        <v/>
      </c>
      <c r="L279" s="109" t="str">
        <f aca="false">IFERROR(INDEX('Historical Data'!$N$2:$N$1068,MATCH($A279,'Historical Data'!$BE$2:$BE$1068,0)),"")</f>
        <v/>
      </c>
      <c r="M279" s="109" t="str">
        <f aca="false">IFERROR(INDEX('Historical Data'!$Q$2:$Q$1068,MATCH($A279,'Historical Data'!$BE$2:$BE$1068,0)),"")</f>
        <v/>
      </c>
      <c r="N279" s="110" t="str">
        <f aca="false">IFERROR(INDEX('Historical Data'!$S$2:$S$1068,MATCH($A279,'Historical Data'!$BE$2:$BE$1068,0)),"")</f>
        <v/>
      </c>
      <c r="O279" s="109" t="str">
        <f aca="false">IFERROR(INDEX('Historical Data'!$AJ$2:$AJ$1068,MATCH($A279,'Historical Data'!$BE$2:$BE$1068,0)),"")</f>
        <v/>
      </c>
      <c r="P279" s="109" t="str">
        <f aca="false">IFERROR(INDEX('Historical Data'!$AK$2:$AK$1068,MATCH($A279,'Historical Data'!$BE$2:$BE$1068,0)),"")</f>
        <v/>
      </c>
      <c r="Q279" s="106" t="str">
        <f aca="false">IFERROR(INDEX('Historical Data'!$AA$2:$AA$1068,MATCH($A279,'Historical Data'!$BE$2:$BE$1068,0)),"")</f>
        <v/>
      </c>
      <c r="R279" s="106" t="str">
        <f aca="false">IFERROR(INDEX('Historical Data'!$AB$2:$AB$1068,MATCH($A279,'Historical Data'!$BE$2:$BE$1068,0)),"")</f>
        <v/>
      </c>
      <c r="S279" s="106" t="str">
        <f aca="false">IFERROR(INDEX('Historical Data'!$AN$2:$AN$1068,MATCH($A279,'Historical Data'!$BE$2:$BE$1068,0)),"")</f>
        <v/>
      </c>
      <c r="T279" s="106" t="str">
        <f aca="false">IFERROR(INDEX('Historical Data'!$AC$2:$AC$1068,MATCH($A279,'Historical Data'!$BE$2:$BE$1068,0)),"")</f>
        <v/>
      </c>
      <c r="U279" s="106" t="str">
        <f aca="false">IFERROR(INDEX('Historical Data'!$AE$2:$AE$1068,MATCH($A279,'Historical Data'!$BE$2:$BE$1068,0)),"")</f>
        <v/>
      </c>
      <c r="V279" s="106" t="str">
        <f aca="false">IFERROR(INDEX('Historical Data'!$AH$2:$AH$1068,MATCH($A279,'Historical Data'!$BE$2:$BE$1068,0)),"")</f>
        <v/>
      </c>
      <c r="W279" s="106" t="str">
        <f aca="false">IFERROR(INDEX('Historical Data'!$BC$2:$BC$1068,MATCH($A279,'Historical Data'!$BE$2:$BE$1068,0)),"")</f>
        <v/>
      </c>
      <c r="X279" s="105" t="str">
        <f aca="false">IF(B279="","",IF(W279=1,"NR + industry + position",IF(W279=2,"NR + ISO + position",IF(W279=3,"NR + industry",IF(W279=4,"NR + ISO",IF(W279=5,"NR + position",IF(W279=6,"NR only","book baseline"))))))&amp;"  ["&amp;IF(T279=1,"seasoned","unseasoned")&amp;IF(U279=1,", defaulted","")&amp;IF(V279=1,", open","")&amp;"]")</f>
        <v/>
      </c>
    </row>
    <row r="280" customFormat="false" ht="15" hidden="false" customHeight="false" outlineLevel="0" collapsed="false">
      <c r="A280" s="105" t="n">
        <v>276</v>
      </c>
      <c r="B280" s="106" t="str">
        <f aca="false">IFERROR(INDEX('Historical Data'!$A$2:$A$1068,MATCH($A280,'Historical Data'!$BE$2:$BE$1068,0)),"")</f>
        <v/>
      </c>
      <c r="C280" s="106" t="str">
        <f aca="false">IFERROR(INDEX('Historical Data'!$B$2:$B$1068,MATCH($A280,'Historical Data'!$BE$2:$BE$1068,0)),"")</f>
        <v/>
      </c>
      <c r="D280" s="106" t="str">
        <f aca="false">IFERROR(INDEX('Historical Data'!$D$2:$D$1068,MATCH($A280,'Historical Data'!$BE$2:$BE$1068,0)),"")</f>
        <v/>
      </c>
      <c r="E280" s="107" t="str">
        <f aca="false">IFERROR(INDEX('Historical Data'!$E$2:$E$1068,MATCH($A280,'Historical Data'!$BE$2:$BE$1068,0)),"")</f>
        <v/>
      </c>
      <c r="F280" s="106" t="str">
        <f aca="false">IFERROR(INDEX('Historical Data'!$G$2:$G$1068,MATCH($A280,'Historical Data'!$BE$2:$BE$1068,0)),"")</f>
        <v/>
      </c>
      <c r="G280" s="106" t="str">
        <f aca="false">IFERROR(INDEX('Historical Data'!$Y$2:$Y$1068,MATCH($A280,'Historical Data'!$BE$2:$BE$1068,0)),"")</f>
        <v/>
      </c>
      <c r="H280" s="106" t="str">
        <f aca="false">IFERROR(INDEX('Historical Data'!$K$2:$K$1068,MATCH($A280,'Historical Data'!$BE$2:$BE$1068,0)),"")</f>
        <v/>
      </c>
      <c r="I280" s="106" t="str">
        <f aca="false">IFERROR(INDEX('Historical Data'!$J$2:$J$1068,MATCH($A280,'Historical Data'!$BE$2:$BE$1068,0)),"")</f>
        <v/>
      </c>
      <c r="J280" s="106" t="str">
        <f aca="false">IFERROR(INDEX('Historical Data'!$L$2:$L$1068,MATCH($A280,'Historical Data'!$BE$2:$BE$1068,0)),"")</f>
        <v/>
      </c>
      <c r="K280" s="108" t="str">
        <f aca="false">IFERROR(INDEX('Historical Data'!$M$2:$M$1068,MATCH($A280,'Historical Data'!$BE$2:$BE$1068,0)),"")</f>
        <v/>
      </c>
      <c r="L280" s="109" t="str">
        <f aca="false">IFERROR(INDEX('Historical Data'!$N$2:$N$1068,MATCH($A280,'Historical Data'!$BE$2:$BE$1068,0)),"")</f>
        <v/>
      </c>
      <c r="M280" s="109" t="str">
        <f aca="false">IFERROR(INDEX('Historical Data'!$Q$2:$Q$1068,MATCH($A280,'Historical Data'!$BE$2:$BE$1068,0)),"")</f>
        <v/>
      </c>
      <c r="N280" s="110" t="str">
        <f aca="false">IFERROR(INDEX('Historical Data'!$S$2:$S$1068,MATCH($A280,'Historical Data'!$BE$2:$BE$1068,0)),"")</f>
        <v/>
      </c>
      <c r="O280" s="109" t="str">
        <f aca="false">IFERROR(INDEX('Historical Data'!$AJ$2:$AJ$1068,MATCH($A280,'Historical Data'!$BE$2:$BE$1068,0)),"")</f>
        <v/>
      </c>
      <c r="P280" s="109" t="str">
        <f aca="false">IFERROR(INDEX('Historical Data'!$AK$2:$AK$1068,MATCH($A280,'Historical Data'!$BE$2:$BE$1068,0)),"")</f>
        <v/>
      </c>
      <c r="Q280" s="106" t="str">
        <f aca="false">IFERROR(INDEX('Historical Data'!$AA$2:$AA$1068,MATCH($A280,'Historical Data'!$BE$2:$BE$1068,0)),"")</f>
        <v/>
      </c>
      <c r="R280" s="106" t="str">
        <f aca="false">IFERROR(INDEX('Historical Data'!$AB$2:$AB$1068,MATCH($A280,'Historical Data'!$BE$2:$BE$1068,0)),"")</f>
        <v/>
      </c>
      <c r="S280" s="106" t="str">
        <f aca="false">IFERROR(INDEX('Historical Data'!$AN$2:$AN$1068,MATCH($A280,'Historical Data'!$BE$2:$BE$1068,0)),"")</f>
        <v/>
      </c>
      <c r="T280" s="106" t="str">
        <f aca="false">IFERROR(INDEX('Historical Data'!$AC$2:$AC$1068,MATCH($A280,'Historical Data'!$BE$2:$BE$1068,0)),"")</f>
        <v/>
      </c>
      <c r="U280" s="106" t="str">
        <f aca="false">IFERROR(INDEX('Historical Data'!$AE$2:$AE$1068,MATCH($A280,'Historical Data'!$BE$2:$BE$1068,0)),"")</f>
        <v/>
      </c>
      <c r="V280" s="106" t="str">
        <f aca="false">IFERROR(INDEX('Historical Data'!$AH$2:$AH$1068,MATCH($A280,'Historical Data'!$BE$2:$BE$1068,0)),"")</f>
        <v/>
      </c>
      <c r="W280" s="106" t="str">
        <f aca="false">IFERROR(INDEX('Historical Data'!$BC$2:$BC$1068,MATCH($A280,'Historical Data'!$BE$2:$BE$1068,0)),"")</f>
        <v/>
      </c>
      <c r="X280" s="105" t="str">
        <f aca="false">IF(B280="","",IF(W280=1,"NR + industry + position",IF(W280=2,"NR + ISO + position",IF(W280=3,"NR + industry",IF(W280=4,"NR + ISO",IF(W280=5,"NR + position",IF(W280=6,"NR only","book baseline"))))))&amp;"  ["&amp;IF(T280=1,"seasoned","unseasoned")&amp;IF(U280=1,", defaulted","")&amp;IF(V280=1,", open","")&amp;"]")</f>
        <v/>
      </c>
    </row>
    <row r="281" customFormat="false" ht="15" hidden="false" customHeight="false" outlineLevel="0" collapsed="false">
      <c r="A281" s="105" t="n">
        <v>277</v>
      </c>
      <c r="B281" s="106" t="str">
        <f aca="false">IFERROR(INDEX('Historical Data'!$A$2:$A$1068,MATCH($A281,'Historical Data'!$BE$2:$BE$1068,0)),"")</f>
        <v/>
      </c>
      <c r="C281" s="106" t="str">
        <f aca="false">IFERROR(INDEX('Historical Data'!$B$2:$B$1068,MATCH($A281,'Historical Data'!$BE$2:$BE$1068,0)),"")</f>
        <v/>
      </c>
      <c r="D281" s="106" t="str">
        <f aca="false">IFERROR(INDEX('Historical Data'!$D$2:$D$1068,MATCH($A281,'Historical Data'!$BE$2:$BE$1068,0)),"")</f>
        <v/>
      </c>
      <c r="E281" s="107" t="str">
        <f aca="false">IFERROR(INDEX('Historical Data'!$E$2:$E$1068,MATCH($A281,'Historical Data'!$BE$2:$BE$1068,0)),"")</f>
        <v/>
      </c>
      <c r="F281" s="106" t="str">
        <f aca="false">IFERROR(INDEX('Historical Data'!$G$2:$G$1068,MATCH($A281,'Historical Data'!$BE$2:$BE$1068,0)),"")</f>
        <v/>
      </c>
      <c r="G281" s="106" t="str">
        <f aca="false">IFERROR(INDEX('Historical Data'!$Y$2:$Y$1068,MATCH($A281,'Historical Data'!$BE$2:$BE$1068,0)),"")</f>
        <v/>
      </c>
      <c r="H281" s="106" t="str">
        <f aca="false">IFERROR(INDEX('Historical Data'!$K$2:$K$1068,MATCH($A281,'Historical Data'!$BE$2:$BE$1068,0)),"")</f>
        <v/>
      </c>
      <c r="I281" s="106" t="str">
        <f aca="false">IFERROR(INDEX('Historical Data'!$J$2:$J$1068,MATCH($A281,'Historical Data'!$BE$2:$BE$1068,0)),"")</f>
        <v/>
      </c>
      <c r="J281" s="106" t="str">
        <f aca="false">IFERROR(INDEX('Historical Data'!$L$2:$L$1068,MATCH($A281,'Historical Data'!$BE$2:$BE$1068,0)),"")</f>
        <v/>
      </c>
      <c r="K281" s="108" t="str">
        <f aca="false">IFERROR(INDEX('Historical Data'!$M$2:$M$1068,MATCH($A281,'Historical Data'!$BE$2:$BE$1068,0)),"")</f>
        <v/>
      </c>
      <c r="L281" s="109" t="str">
        <f aca="false">IFERROR(INDEX('Historical Data'!$N$2:$N$1068,MATCH($A281,'Historical Data'!$BE$2:$BE$1068,0)),"")</f>
        <v/>
      </c>
      <c r="M281" s="109" t="str">
        <f aca="false">IFERROR(INDEX('Historical Data'!$Q$2:$Q$1068,MATCH($A281,'Historical Data'!$BE$2:$BE$1068,0)),"")</f>
        <v/>
      </c>
      <c r="N281" s="110" t="str">
        <f aca="false">IFERROR(INDEX('Historical Data'!$S$2:$S$1068,MATCH($A281,'Historical Data'!$BE$2:$BE$1068,0)),"")</f>
        <v/>
      </c>
      <c r="O281" s="109" t="str">
        <f aca="false">IFERROR(INDEX('Historical Data'!$AJ$2:$AJ$1068,MATCH($A281,'Historical Data'!$BE$2:$BE$1068,0)),"")</f>
        <v/>
      </c>
      <c r="P281" s="109" t="str">
        <f aca="false">IFERROR(INDEX('Historical Data'!$AK$2:$AK$1068,MATCH($A281,'Historical Data'!$BE$2:$BE$1068,0)),"")</f>
        <v/>
      </c>
      <c r="Q281" s="106" t="str">
        <f aca="false">IFERROR(INDEX('Historical Data'!$AA$2:$AA$1068,MATCH($A281,'Historical Data'!$BE$2:$BE$1068,0)),"")</f>
        <v/>
      </c>
      <c r="R281" s="106" t="str">
        <f aca="false">IFERROR(INDEX('Historical Data'!$AB$2:$AB$1068,MATCH($A281,'Historical Data'!$BE$2:$BE$1068,0)),"")</f>
        <v/>
      </c>
      <c r="S281" s="106" t="str">
        <f aca="false">IFERROR(INDEX('Historical Data'!$AN$2:$AN$1068,MATCH($A281,'Historical Data'!$BE$2:$BE$1068,0)),"")</f>
        <v/>
      </c>
      <c r="T281" s="106" t="str">
        <f aca="false">IFERROR(INDEX('Historical Data'!$AC$2:$AC$1068,MATCH($A281,'Historical Data'!$BE$2:$BE$1068,0)),"")</f>
        <v/>
      </c>
      <c r="U281" s="106" t="str">
        <f aca="false">IFERROR(INDEX('Historical Data'!$AE$2:$AE$1068,MATCH($A281,'Historical Data'!$BE$2:$BE$1068,0)),"")</f>
        <v/>
      </c>
      <c r="V281" s="106" t="str">
        <f aca="false">IFERROR(INDEX('Historical Data'!$AH$2:$AH$1068,MATCH($A281,'Historical Data'!$BE$2:$BE$1068,0)),"")</f>
        <v/>
      </c>
      <c r="W281" s="106" t="str">
        <f aca="false">IFERROR(INDEX('Historical Data'!$BC$2:$BC$1068,MATCH($A281,'Historical Data'!$BE$2:$BE$1068,0)),"")</f>
        <v/>
      </c>
      <c r="X281" s="105" t="str">
        <f aca="false">IF(B281="","",IF(W281=1,"NR + industry + position",IF(W281=2,"NR + ISO + position",IF(W281=3,"NR + industry",IF(W281=4,"NR + ISO",IF(W281=5,"NR + position",IF(W281=6,"NR only","book baseline"))))))&amp;"  ["&amp;IF(T281=1,"seasoned","unseasoned")&amp;IF(U281=1,", defaulted","")&amp;IF(V281=1,", open","")&amp;"]")</f>
        <v/>
      </c>
    </row>
    <row r="282" customFormat="false" ht="15" hidden="false" customHeight="false" outlineLevel="0" collapsed="false">
      <c r="A282" s="105" t="n">
        <v>278</v>
      </c>
      <c r="B282" s="106" t="str">
        <f aca="false">IFERROR(INDEX('Historical Data'!$A$2:$A$1068,MATCH($A282,'Historical Data'!$BE$2:$BE$1068,0)),"")</f>
        <v/>
      </c>
      <c r="C282" s="106" t="str">
        <f aca="false">IFERROR(INDEX('Historical Data'!$B$2:$B$1068,MATCH($A282,'Historical Data'!$BE$2:$BE$1068,0)),"")</f>
        <v/>
      </c>
      <c r="D282" s="106" t="str">
        <f aca="false">IFERROR(INDEX('Historical Data'!$D$2:$D$1068,MATCH($A282,'Historical Data'!$BE$2:$BE$1068,0)),"")</f>
        <v/>
      </c>
      <c r="E282" s="107" t="str">
        <f aca="false">IFERROR(INDEX('Historical Data'!$E$2:$E$1068,MATCH($A282,'Historical Data'!$BE$2:$BE$1068,0)),"")</f>
        <v/>
      </c>
      <c r="F282" s="106" t="str">
        <f aca="false">IFERROR(INDEX('Historical Data'!$G$2:$G$1068,MATCH($A282,'Historical Data'!$BE$2:$BE$1068,0)),"")</f>
        <v/>
      </c>
      <c r="G282" s="106" t="str">
        <f aca="false">IFERROR(INDEX('Historical Data'!$Y$2:$Y$1068,MATCH($A282,'Historical Data'!$BE$2:$BE$1068,0)),"")</f>
        <v/>
      </c>
      <c r="H282" s="106" t="str">
        <f aca="false">IFERROR(INDEX('Historical Data'!$K$2:$K$1068,MATCH($A282,'Historical Data'!$BE$2:$BE$1068,0)),"")</f>
        <v/>
      </c>
      <c r="I282" s="106" t="str">
        <f aca="false">IFERROR(INDEX('Historical Data'!$J$2:$J$1068,MATCH($A282,'Historical Data'!$BE$2:$BE$1068,0)),"")</f>
        <v/>
      </c>
      <c r="J282" s="106" t="str">
        <f aca="false">IFERROR(INDEX('Historical Data'!$L$2:$L$1068,MATCH($A282,'Historical Data'!$BE$2:$BE$1068,0)),"")</f>
        <v/>
      </c>
      <c r="K282" s="108" t="str">
        <f aca="false">IFERROR(INDEX('Historical Data'!$M$2:$M$1068,MATCH($A282,'Historical Data'!$BE$2:$BE$1068,0)),"")</f>
        <v/>
      </c>
      <c r="L282" s="109" t="str">
        <f aca="false">IFERROR(INDEX('Historical Data'!$N$2:$N$1068,MATCH($A282,'Historical Data'!$BE$2:$BE$1068,0)),"")</f>
        <v/>
      </c>
      <c r="M282" s="109" t="str">
        <f aca="false">IFERROR(INDEX('Historical Data'!$Q$2:$Q$1068,MATCH($A282,'Historical Data'!$BE$2:$BE$1068,0)),"")</f>
        <v/>
      </c>
      <c r="N282" s="110" t="str">
        <f aca="false">IFERROR(INDEX('Historical Data'!$S$2:$S$1068,MATCH($A282,'Historical Data'!$BE$2:$BE$1068,0)),"")</f>
        <v/>
      </c>
      <c r="O282" s="109" t="str">
        <f aca="false">IFERROR(INDEX('Historical Data'!$AJ$2:$AJ$1068,MATCH($A282,'Historical Data'!$BE$2:$BE$1068,0)),"")</f>
        <v/>
      </c>
      <c r="P282" s="109" t="str">
        <f aca="false">IFERROR(INDEX('Historical Data'!$AK$2:$AK$1068,MATCH($A282,'Historical Data'!$BE$2:$BE$1068,0)),"")</f>
        <v/>
      </c>
      <c r="Q282" s="106" t="str">
        <f aca="false">IFERROR(INDEX('Historical Data'!$AA$2:$AA$1068,MATCH($A282,'Historical Data'!$BE$2:$BE$1068,0)),"")</f>
        <v/>
      </c>
      <c r="R282" s="106" t="str">
        <f aca="false">IFERROR(INDEX('Historical Data'!$AB$2:$AB$1068,MATCH($A282,'Historical Data'!$BE$2:$BE$1068,0)),"")</f>
        <v/>
      </c>
      <c r="S282" s="106" t="str">
        <f aca="false">IFERROR(INDEX('Historical Data'!$AN$2:$AN$1068,MATCH($A282,'Historical Data'!$BE$2:$BE$1068,0)),"")</f>
        <v/>
      </c>
      <c r="T282" s="106" t="str">
        <f aca="false">IFERROR(INDEX('Historical Data'!$AC$2:$AC$1068,MATCH($A282,'Historical Data'!$BE$2:$BE$1068,0)),"")</f>
        <v/>
      </c>
      <c r="U282" s="106" t="str">
        <f aca="false">IFERROR(INDEX('Historical Data'!$AE$2:$AE$1068,MATCH($A282,'Historical Data'!$BE$2:$BE$1068,0)),"")</f>
        <v/>
      </c>
      <c r="V282" s="106" t="str">
        <f aca="false">IFERROR(INDEX('Historical Data'!$AH$2:$AH$1068,MATCH($A282,'Historical Data'!$BE$2:$BE$1068,0)),"")</f>
        <v/>
      </c>
      <c r="W282" s="106" t="str">
        <f aca="false">IFERROR(INDEX('Historical Data'!$BC$2:$BC$1068,MATCH($A282,'Historical Data'!$BE$2:$BE$1068,0)),"")</f>
        <v/>
      </c>
      <c r="X282" s="105" t="str">
        <f aca="false">IF(B282="","",IF(W282=1,"NR + industry + position",IF(W282=2,"NR + ISO + position",IF(W282=3,"NR + industry",IF(W282=4,"NR + ISO",IF(W282=5,"NR + position",IF(W282=6,"NR only","book baseline"))))))&amp;"  ["&amp;IF(T282=1,"seasoned","unseasoned")&amp;IF(U282=1,", defaulted","")&amp;IF(V282=1,", open","")&amp;"]")</f>
        <v/>
      </c>
    </row>
    <row r="283" customFormat="false" ht="15" hidden="false" customHeight="false" outlineLevel="0" collapsed="false">
      <c r="A283" s="105" t="n">
        <v>279</v>
      </c>
      <c r="B283" s="106" t="str">
        <f aca="false">IFERROR(INDEX('Historical Data'!$A$2:$A$1068,MATCH($A283,'Historical Data'!$BE$2:$BE$1068,0)),"")</f>
        <v/>
      </c>
      <c r="C283" s="106" t="str">
        <f aca="false">IFERROR(INDEX('Historical Data'!$B$2:$B$1068,MATCH($A283,'Historical Data'!$BE$2:$BE$1068,0)),"")</f>
        <v/>
      </c>
      <c r="D283" s="106" t="str">
        <f aca="false">IFERROR(INDEX('Historical Data'!$D$2:$D$1068,MATCH($A283,'Historical Data'!$BE$2:$BE$1068,0)),"")</f>
        <v/>
      </c>
      <c r="E283" s="107" t="str">
        <f aca="false">IFERROR(INDEX('Historical Data'!$E$2:$E$1068,MATCH($A283,'Historical Data'!$BE$2:$BE$1068,0)),"")</f>
        <v/>
      </c>
      <c r="F283" s="106" t="str">
        <f aca="false">IFERROR(INDEX('Historical Data'!$G$2:$G$1068,MATCH($A283,'Historical Data'!$BE$2:$BE$1068,0)),"")</f>
        <v/>
      </c>
      <c r="G283" s="106" t="str">
        <f aca="false">IFERROR(INDEX('Historical Data'!$Y$2:$Y$1068,MATCH($A283,'Historical Data'!$BE$2:$BE$1068,0)),"")</f>
        <v/>
      </c>
      <c r="H283" s="106" t="str">
        <f aca="false">IFERROR(INDEX('Historical Data'!$K$2:$K$1068,MATCH($A283,'Historical Data'!$BE$2:$BE$1068,0)),"")</f>
        <v/>
      </c>
      <c r="I283" s="106" t="str">
        <f aca="false">IFERROR(INDEX('Historical Data'!$J$2:$J$1068,MATCH($A283,'Historical Data'!$BE$2:$BE$1068,0)),"")</f>
        <v/>
      </c>
      <c r="J283" s="106" t="str">
        <f aca="false">IFERROR(INDEX('Historical Data'!$L$2:$L$1068,MATCH($A283,'Historical Data'!$BE$2:$BE$1068,0)),"")</f>
        <v/>
      </c>
      <c r="K283" s="108" t="str">
        <f aca="false">IFERROR(INDEX('Historical Data'!$M$2:$M$1068,MATCH($A283,'Historical Data'!$BE$2:$BE$1068,0)),"")</f>
        <v/>
      </c>
      <c r="L283" s="109" t="str">
        <f aca="false">IFERROR(INDEX('Historical Data'!$N$2:$N$1068,MATCH($A283,'Historical Data'!$BE$2:$BE$1068,0)),"")</f>
        <v/>
      </c>
      <c r="M283" s="109" t="str">
        <f aca="false">IFERROR(INDEX('Historical Data'!$Q$2:$Q$1068,MATCH($A283,'Historical Data'!$BE$2:$BE$1068,0)),"")</f>
        <v/>
      </c>
      <c r="N283" s="110" t="str">
        <f aca="false">IFERROR(INDEX('Historical Data'!$S$2:$S$1068,MATCH($A283,'Historical Data'!$BE$2:$BE$1068,0)),"")</f>
        <v/>
      </c>
      <c r="O283" s="109" t="str">
        <f aca="false">IFERROR(INDEX('Historical Data'!$AJ$2:$AJ$1068,MATCH($A283,'Historical Data'!$BE$2:$BE$1068,0)),"")</f>
        <v/>
      </c>
      <c r="P283" s="109" t="str">
        <f aca="false">IFERROR(INDEX('Historical Data'!$AK$2:$AK$1068,MATCH($A283,'Historical Data'!$BE$2:$BE$1068,0)),"")</f>
        <v/>
      </c>
      <c r="Q283" s="106" t="str">
        <f aca="false">IFERROR(INDEX('Historical Data'!$AA$2:$AA$1068,MATCH($A283,'Historical Data'!$BE$2:$BE$1068,0)),"")</f>
        <v/>
      </c>
      <c r="R283" s="106" t="str">
        <f aca="false">IFERROR(INDEX('Historical Data'!$AB$2:$AB$1068,MATCH($A283,'Historical Data'!$BE$2:$BE$1068,0)),"")</f>
        <v/>
      </c>
      <c r="S283" s="106" t="str">
        <f aca="false">IFERROR(INDEX('Historical Data'!$AN$2:$AN$1068,MATCH($A283,'Historical Data'!$BE$2:$BE$1068,0)),"")</f>
        <v/>
      </c>
      <c r="T283" s="106" t="str">
        <f aca="false">IFERROR(INDEX('Historical Data'!$AC$2:$AC$1068,MATCH($A283,'Historical Data'!$BE$2:$BE$1068,0)),"")</f>
        <v/>
      </c>
      <c r="U283" s="106" t="str">
        <f aca="false">IFERROR(INDEX('Historical Data'!$AE$2:$AE$1068,MATCH($A283,'Historical Data'!$BE$2:$BE$1068,0)),"")</f>
        <v/>
      </c>
      <c r="V283" s="106" t="str">
        <f aca="false">IFERROR(INDEX('Historical Data'!$AH$2:$AH$1068,MATCH($A283,'Historical Data'!$BE$2:$BE$1068,0)),"")</f>
        <v/>
      </c>
      <c r="W283" s="106" t="str">
        <f aca="false">IFERROR(INDEX('Historical Data'!$BC$2:$BC$1068,MATCH($A283,'Historical Data'!$BE$2:$BE$1068,0)),"")</f>
        <v/>
      </c>
      <c r="X283" s="105" t="str">
        <f aca="false">IF(B283="","",IF(W283=1,"NR + industry + position",IF(W283=2,"NR + ISO + position",IF(W283=3,"NR + industry",IF(W283=4,"NR + ISO",IF(W283=5,"NR + position",IF(W283=6,"NR only","book baseline"))))))&amp;"  ["&amp;IF(T283=1,"seasoned","unseasoned")&amp;IF(U283=1,", defaulted","")&amp;IF(V283=1,", open","")&amp;"]")</f>
        <v/>
      </c>
    </row>
    <row r="284" customFormat="false" ht="15" hidden="false" customHeight="false" outlineLevel="0" collapsed="false">
      <c r="A284" s="105" t="n">
        <v>280</v>
      </c>
      <c r="B284" s="106" t="str">
        <f aca="false">IFERROR(INDEX('Historical Data'!$A$2:$A$1068,MATCH($A284,'Historical Data'!$BE$2:$BE$1068,0)),"")</f>
        <v/>
      </c>
      <c r="C284" s="106" t="str">
        <f aca="false">IFERROR(INDEX('Historical Data'!$B$2:$B$1068,MATCH($A284,'Historical Data'!$BE$2:$BE$1068,0)),"")</f>
        <v/>
      </c>
      <c r="D284" s="106" t="str">
        <f aca="false">IFERROR(INDEX('Historical Data'!$D$2:$D$1068,MATCH($A284,'Historical Data'!$BE$2:$BE$1068,0)),"")</f>
        <v/>
      </c>
      <c r="E284" s="107" t="str">
        <f aca="false">IFERROR(INDEX('Historical Data'!$E$2:$E$1068,MATCH($A284,'Historical Data'!$BE$2:$BE$1068,0)),"")</f>
        <v/>
      </c>
      <c r="F284" s="106" t="str">
        <f aca="false">IFERROR(INDEX('Historical Data'!$G$2:$G$1068,MATCH($A284,'Historical Data'!$BE$2:$BE$1068,0)),"")</f>
        <v/>
      </c>
      <c r="G284" s="106" t="str">
        <f aca="false">IFERROR(INDEX('Historical Data'!$Y$2:$Y$1068,MATCH($A284,'Historical Data'!$BE$2:$BE$1068,0)),"")</f>
        <v/>
      </c>
      <c r="H284" s="106" t="str">
        <f aca="false">IFERROR(INDEX('Historical Data'!$K$2:$K$1068,MATCH($A284,'Historical Data'!$BE$2:$BE$1068,0)),"")</f>
        <v/>
      </c>
      <c r="I284" s="106" t="str">
        <f aca="false">IFERROR(INDEX('Historical Data'!$J$2:$J$1068,MATCH($A284,'Historical Data'!$BE$2:$BE$1068,0)),"")</f>
        <v/>
      </c>
      <c r="J284" s="106" t="str">
        <f aca="false">IFERROR(INDEX('Historical Data'!$L$2:$L$1068,MATCH($A284,'Historical Data'!$BE$2:$BE$1068,0)),"")</f>
        <v/>
      </c>
      <c r="K284" s="108" t="str">
        <f aca="false">IFERROR(INDEX('Historical Data'!$M$2:$M$1068,MATCH($A284,'Historical Data'!$BE$2:$BE$1068,0)),"")</f>
        <v/>
      </c>
      <c r="L284" s="109" t="str">
        <f aca="false">IFERROR(INDEX('Historical Data'!$N$2:$N$1068,MATCH($A284,'Historical Data'!$BE$2:$BE$1068,0)),"")</f>
        <v/>
      </c>
      <c r="M284" s="109" t="str">
        <f aca="false">IFERROR(INDEX('Historical Data'!$Q$2:$Q$1068,MATCH($A284,'Historical Data'!$BE$2:$BE$1068,0)),"")</f>
        <v/>
      </c>
      <c r="N284" s="110" t="str">
        <f aca="false">IFERROR(INDEX('Historical Data'!$S$2:$S$1068,MATCH($A284,'Historical Data'!$BE$2:$BE$1068,0)),"")</f>
        <v/>
      </c>
      <c r="O284" s="109" t="str">
        <f aca="false">IFERROR(INDEX('Historical Data'!$AJ$2:$AJ$1068,MATCH($A284,'Historical Data'!$BE$2:$BE$1068,0)),"")</f>
        <v/>
      </c>
      <c r="P284" s="109" t="str">
        <f aca="false">IFERROR(INDEX('Historical Data'!$AK$2:$AK$1068,MATCH($A284,'Historical Data'!$BE$2:$BE$1068,0)),"")</f>
        <v/>
      </c>
      <c r="Q284" s="106" t="str">
        <f aca="false">IFERROR(INDEX('Historical Data'!$AA$2:$AA$1068,MATCH($A284,'Historical Data'!$BE$2:$BE$1068,0)),"")</f>
        <v/>
      </c>
      <c r="R284" s="106" t="str">
        <f aca="false">IFERROR(INDEX('Historical Data'!$AB$2:$AB$1068,MATCH($A284,'Historical Data'!$BE$2:$BE$1068,0)),"")</f>
        <v/>
      </c>
      <c r="S284" s="106" t="str">
        <f aca="false">IFERROR(INDEX('Historical Data'!$AN$2:$AN$1068,MATCH($A284,'Historical Data'!$BE$2:$BE$1068,0)),"")</f>
        <v/>
      </c>
      <c r="T284" s="106" t="str">
        <f aca="false">IFERROR(INDEX('Historical Data'!$AC$2:$AC$1068,MATCH($A284,'Historical Data'!$BE$2:$BE$1068,0)),"")</f>
        <v/>
      </c>
      <c r="U284" s="106" t="str">
        <f aca="false">IFERROR(INDEX('Historical Data'!$AE$2:$AE$1068,MATCH($A284,'Historical Data'!$BE$2:$BE$1068,0)),"")</f>
        <v/>
      </c>
      <c r="V284" s="106" t="str">
        <f aca="false">IFERROR(INDEX('Historical Data'!$AH$2:$AH$1068,MATCH($A284,'Historical Data'!$BE$2:$BE$1068,0)),"")</f>
        <v/>
      </c>
      <c r="W284" s="106" t="str">
        <f aca="false">IFERROR(INDEX('Historical Data'!$BC$2:$BC$1068,MATCH($A284,'Historical Data'!$BE$2:$BE$1068,0)),"")</f>
        <v/>
      </c>
      <c r="X284" s="105" t="str">
        <f aca="false">IF(B284="","",IF(W284=1,"NR + industry + position",IF(W284=2,"NR + ISO + position",IF(W284=3,"NR + industry",IF(W284=4,"NR + ISO",IF(W284=5,"NR + position",IF(W284=6,"NR only","book baseline"))))))&amp;"  ["&amp;IF(T284=1,"seasoned","unseasoned")&amp;IF(U284=1,", defaulted","")&amp;IF(V284=1,", open","")&amp;"]")</f>
        <v/>
      </c>
    </row>
    <row r="285" customFormat="false" ht="15" hidden="false" customHeight="false" outlineLevel="0" collapsed="false">
      <c r="A285" s="105" t="n">
        <v>281</v>
      </c>
      <c r="B285" s="106" t="str">
        <f aca="false">IFERROR(INDEX('Historical Data'!$A$2:$A$1068,MATCH($A285,'Historical Data'!$BE$2:$BE$1068,0)),"")</f>
        <v/>
      </c>
      <c r="C285" s="106" t="str">
        <f aca="false">IFERROR(INDEX('Historical Data'!$B$2:$B$1068,MATCH($A285,'Historical Data'!$BE$2:$BE$1068,0)),"")</f>
        <v/>
      </c>
      <c r="D285" s="106" t="str">
        <f aca="false">IFERROR(INDEX('Historical Data'!$D$2:$D$1068,MATCH($A285,'Historical Data'!$BE$2:$BE$1068,0)),"")</f>
        <v/>
      </c>
      <c r="E285" s="107" t="str">
        <f aca="false">IFERROR(INDEX('Historical Data'!$E$2:$E$1068,MATCH($A285,'Historical Data'!$BE$2:$BE$1068,0)),"")</f>
        <v/>
      </c>
      <c r="F285" s="106" t="str">
        <f aca="false">IFERROR(INDEX('Historical Data'!$G$2:$G$1068,MATCH($A285,'Historical Data'!$BE$2:$BE$1068,0)),"")</f>
        <v/>
      </c>
      <c r="G285" s="106" t="str">
        <f aca="false">IFERROR(INDEX('Historical Data'!$Y$2:$Y$1068,MATCH($A285,'Historical Data'!$BE$2:$BE$1068,0)),"")</f>
        <v/>
      </c>
      <c r="H285" s="106" t="str">
        <f aca="false">IFERROR(INDEX('Historical Data'!$K$2:$K$1068,MATCH($A285,'Historical Data'!$BE$2:$BE$1068,0)),"")</f>
        <v/>
      </c>
      <c r="I285" s="106" t="str">
        <f aca="false">IFERROR(INDEX('Historical Data'!$J$2:$J$1068,MATCH($A285,'Historical Data'!$BE$2:$BE$1068,0)),"")</f>
        <v/>
      </c>
      <c r="J285" s="106" t="str">
        <f aca="false">IFERROR(INDEX('Historical Data'!$L$2:$L$1068,MATCH($A285,'Historical Data'!$BE$2:$BE$1068,0)),"")</f>
        <v/>
      </c>
      <c r="K285" s="108" t="str">
        <f aca="false">IFERROR(INDEX('Historical Data'!$M$2:$M$1068,MATCH($A285,'Historical Data'!$BE$2:$BE$1068,0)),"")</f>
        <v/>
      </c>
      <c r="L285" s="109" t="str">
        <f aca="false">IFERROR(INDEX('Historical Data'!$N$2:$N$1068,MATCH($A285,'Historical Data'!$BE$2:$BE$1068,0)),"")</f>
        <v/>
      </c>
      <c r="M285" s="109" t="str">
        <f aca="false">IFERROR(INDEX('Historical Data'!$Q$2:$Q$1068,MATCH($A285,'Historical Data'!$BE$2:$BE$1068,0)),"")</f>
        <v/>
      </c>
      <c r="N285" s="110" t="str">
        <f aca="false">IFERROR(INDEX('Historical Data'!$S$2:$S$1068,MATCH($A285,'Historical Data'!$BE$2:$BE$1068,0)),"")</f>
        <v/>
      </c>
      <c r="O285" s="109" t="str">
        <f aca="false">IFERROR(INDEX('Historical Data'!$AJ$2:$AJ$1068,MATCH($A285,'Historical Data'!$BE$2:$BE$1068,0)),"")</f>
        <v/>
      </c>
      <c r="P285" s="109" t="str">
        <f aca="false">IFERROR(INDEX('Historical Data'!$AK$2:$AK$1068,MATCH($A285,'Historical Data'!$BE$2:$BE$1068,0)),"")</f>
        <v/>
      </c>
      <c r="Q285" s="106" t="str">
        <f aca="false">IFERROR(INDEX('Historical Data'!$AA$2:$AA$1068,MATCH($A285,'Historical Data'!$BE$2:$BE$1068,0)),"")</f>
        <v/>
      </c>
      <c r="R285" s="106" t="str">
        <f aca="false">IFERROR(INDEX('Historical Data'!$AB$2:$AB$1068,MATCH($A285,'Historical Data'!$BE$2:$BE$1068,0)),"")</f>
        <v/>
      </c>
      <c r="S285" s="106" t="str">
        <f aca="false">IFERROR(INDEX('Historical Data'!$AN$2:$AN$1068,MATCH($A285,'Historical Data'!$BE$2:$BE$1068,0)),"")</f>
        <v/>
      </c>
      <c r="T285" s="106" t="str">
        <f aca="false">IFERROR(INDEX('Historical Data'!$AC$2:$AC$1068,MATCH($A285,'Historical Data'!$BE$2:$BE$1068,0)),"")</f>
        <v/>
      </c>
      <c r="U285" s="106" t="str">
        <f aca="false">IFERROR(INDEX('Historical Data'!$AE$2:$AE$1068,MATCH($A285,'Historical Data'!$BE$2:$BE$1068,0)),"")</f>
        <v/>
      </c>
      <c r="V285" s="106" t="str">
        <f aca="false">IFERROR(INDEX('Historical Data'!$AH$2:$AH$1068,MATCH($A285,'Historical Data'!$BE$2:$BE$1068,0)),"")</f>
        <v/>
      </c>
      <c r="W285" s="106" t="str">
        <f aca="false">IFERROR(INDEX('Historical Data'!$BC$2:$BC$1068,MATCH($A285,'Historical Data'!$BE$2:$BE$1068,0)),"")</f>
        <v/>
      </c>
      <c r="X285" s="105" t="str">
        <f aca="false">IF(B285="","",IF(W285=1,"NR + industry + position",IF(W285=2,"NR + ISO + position",IF(W285=3,"NR + industry",IF(W285=4,"NR + ISO",IF(W285=5,"NR + position",IF(W285=6,"NR only","book baseline"))))))&amp;"  ["&amp;IF(T285=1,"seasoned","unseasoned")&amp;IF(U285=1,", defaulted","")&amp;IF(V285=1,", open","")&amp;"]")</f>
        <v/>
      </c>
    </row>
    <row r="286" customFormat="false" ht="15" hidden="false" customHeight="false" outlineLevel="0" collapsed="false">
      <c r="A286" s="105" t="n">
        <v>282</v>
      </c>
      <c r="B286" s="106" t="str">
        <f aca="false">IFERROR(INDEX('Historical Data'!$A$2:$A$1068,MATCH($A286,'Historical Data'!$BE$2:$BE$1068,0)),"")</f>
        <v/>
      </c>
      <c r="C286" s="106" t="str">
        <f aca="false">IFERROR(INDEX('Historical Data'!$B$2:$B$1068,MATCH($A286,'Historical Data'!$BE$2:$BE$1068,0)),"")</f>
        <v/>
      </c>
      <c r="D286" s="106" t="str">
        <f aca="false">IFERROR(INDEX('Historical Data'!$D$2:$D$1068,MATCH($A286,'Historical Data'!$BE$2:$BE$1068,0)),"")</f>
        <v/>
      </c>
      <c r="E286" s="107" t="str">
        <f aca="false">IFERROR(INDEX('Historical Data'!$E$2:$E$1068,MATCH($A286,'Historical Data'!$BE$2:$BE$1068,0)),"")</f>
        <v/>
      </c>
      <c r="F286" s="106" t="str">
        <f aca="false">IFERROR(INDEX('Historical Data'!$G$2:$G$1068,MATCH($A286,'Historical Data'!$BE$2:$BE$1068,0)),"")</f>
        <v/>
      </c>
      <c r="G286" s="106" t="str">
        <f aca="false">IFERROR(INDEX('Historical Data'!$Y$2:$Y$1068,MATCH($A286,'Historical Data'!$BE$2:$BE$1068,0)),"")</f>
        <v/>
      </c>
      <c r="H286" s="106" t="str">
        <f aca="false">IFERROR(INDEX('Historical Data'!$K$2:$K$1068,MATCH($A286,'Historical Data'!$BE$2:$BE$1068,0)),"")</f>
        <v/>
      </c>
      <c r="I286" s="106" t="str">
        <f aca="false">IFERROR(INDEX('Historical Data'!$J$2:$J$1068,MATCH($A286,'Historical Data'!$BE$2:$BE$1068,0)),"")</f>
        <v/>
      </c>
      <c r="J286" s="106" t="str">
        <f aca="false">IFERROR(INDEX('Historical Data'!$L$2:$L$1068,MATCH($A286,'Historical Data'!$BE$2:$BE$1068,0)),"")</f>
        <v/>
      </c>
      <c r="K286" s="108" t="str">
        <f aca="false">IFERROR(INDEX('Historical Data'!$M$2:$M$1068,MATCH($A286,'Historical Data'!$BE$2:$BE$1068,0)),"")</f>
        <v/>
      </c>
      <c r="L286" s="109" t="str">
        <f aca="false">IFERROR(INDEX('Historical Data'!$N$2:$N$1068,MATCH($A286,'Historical Data'!$BE$2:$BE$1068,0)),"")</f>
        <v/>
      </c>
      <c r="M286" s="109" t="str">
        <f aca="false">IFERROR(INDEX('Historical Data'!$Q$2:$Q$1068,MATCH($A286,'Historical Data'!$BE$2:$BE$1068,0)),"")</f>
        <v/>
      </c>
      <c r="N286" s="110" t="str">
        <f aca="false">IFERROR(INDEX('Historical Data'!$S$2:$S$1068,MATCH($A286,'Historical Data'!$BE$2:$BE$1068,0)),"")</f>
        <v/>
      </c>
      <c r="O286" s="109" t="str">
        <f aca="false">IFERROR(INDEX('Historical Data'!$AJ$2:$AJ$1068,MATCH($A286,'Historical Data'!$BE$2:$BE$1068,0)),"")</f>
        <v/>
      </c>
      <c r="P286" s="109" t="str">
        <f aca="false">IFERROR(INDEX('Historical Data'!$AK$2:$AK$1068,MATCH($A286,'Historical Data'!$BE$2:$BE$1068,0)),"")</f>
        <v/>
      </c>
      <c r="Q286" s="106" t="str">
        <f aca="false">IFERROR(INDEX('Historical Data'!$AA$2:$AA$1068,MATCH($A286,'Historical Data'!$BE$2:$BE$1068,0)),"")</f>
        <v/>
      </c>
      <c r="R286" s="106" t="str">
        <f aca="false">IFERROR(INDEX('Historical Data'!$AB$2:$AB$1068,MATCH($A286,'Historical Data'!$BE$2:$BE$1068,0)),"")</f>
        <v/>
      </c>
      <c r="S286" s="106" t="str">
        <f aca="false">IFERROR(INDEX('Historical Data'!$AN$2:$AN$1068,MATCH($A286,'Historical Data'!$BE$2:$BE$1068,0)),"")</f>
        <v/>
      </c>
      <c r="T286" s="106" t="str">
        <f aca="false">IFERROR(INDEX('Historical Data'!$AC$2:$AC$1068,MATCH($A286,'Historical Data'!$BE$2:$BE$1068,0)),"")</f>
        <v/>
      </c>
      <c r="U286" s="106" t="str">
        <f aca="false">IFERROR(INDEX('Historical Data'!$AE$2:$AE$1068,MATCH($A286,'Historical Data'!$BE$2:$BE$1068,0)),"")</f>
        <v/>
      </c>
      <c r="V286" s="106" t="str">
        <f aca="false">IFERROR(INDEX('Historical Data'!$AH$2:$AH$1068,MATCH($A286,'Historical Data'!$BE$2:$BE$1068,0)),"")</f>
        <v/>
      </c>
      <c r="W286" s="106" t="str">
        <f aca="false">IFERROR(INDEX('Historical Data'!$BC$2:$BC$1068,MATCH($A286,'Historical Data'!$BE$2:$BE$1068,0)),"")</f>
        <v/>
      </c>
      <c r="X286" s="105" t="str">
        <f aca="false">IF(B286="","",IF(W286=1,"NR + industry + position",IF(W286=2,"NR + ISO + position",IF(W286=3,"NR + industry",IF(W286=4,"NR + ISO",IF(W286=5,"NR + position",IF(W286=6,"NR only","book baseline"))))))&amp;"  ["&amp;IF(T286=1,"seasoned","unseasoned")&amp;IF(U286=1,", defaulted","")&amp;IF(V286=1,", open","")&amp;"]")</f>
        <v/>
      </c>
    </row>
    <row r="287" customFormat="false" ht="15" hidden="false" customHeight="false" outlineLevel="0" collapsed="false">
      <c r="A287" s="105" t="n">
        <v>283</v>
      </c>
      <c r="B287" s="106" t="str">
        <f aca="false">IFERROR(INDEX('Historical Data'!$A$2:$A$1068,MATCH($A287,'Historical Data'!$BE$2:$BE$1068,0)),"")</f>
        <v/>
      </c>
      <c r="C287" s="106" t="str">
        <f aca="false">IFERROR(INDEX('Historical Data'!$B$2:$B$1068,MATCH($A287,'Historical Data'!$BE$2:$BE$1068,0)),"")</f>
        <v/>
      </c>
      <c r="D287" s="106" t="str">
        <f aca="false">IFERROR(INDEX('Historical Data'!$D$2:$D$1068,MATCH($A287,'Historical Data'!$BE$2:$BE$1068,0)),"")</f>
        <v/>
      </c>
      <c r="E287" s="107" t="str">
        <f aca="false">IFERROR(INDEX('Historical Data'!$E$2:$E$1068,MATCH($A287,'Historical Data'!$BE$2:$BE$1068,0)),"")</f>
        <v/>
      </c>
      <c r="F287" s="106" t="str">
        <f aca="false">IFERROR(INDEX('Historical Data'!$G$2:$G$1068,MATCH($A287,'Historical Data'!$BE$2:$BE$1068,0)),"")</f>
        <v/>
      </c>
      <c r="G287" s="106" t="str">
        <f aca="false">IFERROR(INDEX('Historical Data'!$Y$2:$Y$1068,MATCH($A287,'Historical Data'!$BE$2:$BE$1068,0)),"")</f>
        <v/>
      </c>
      <c r="H287" s="106" t="str">
        <f aca="false">IFERROR(INDEX('Historical Data'!$K$2:$K$1068,MATCH($A287,'Historical Data'!$BE$2:$BE$1068,0)),"")</f>
        <v/>
      </c>
      <c r="I287" s="106" t="str">
        <f aca="false">IFERROR(INDEX('Historical Data'!$J$2:$J$1068,MATCH($A287,'Historical Data'!$BE$2:$BE$1068,0)),"")</f>
        <v/>
      </c>
      <c r="J287" s="106" t="str">
        <f aca="false">IFERROR(INDEX('Historical Data'!$L$2:$L$1068,MATCH($A287,'Historical Data'!$BE$2:$BE$1068,0)),"")</f>
        <v/>
      </c>
      <c r="K287" s="108" t="str">
        <f aca="false">IFERROR(INDEX('Historical Data'!$M$2:$M$1068,MATCH($A287,'Historical Data'!$BE$2:$BE$1068,0)),"")</f>
        <v/>
      </c>
      <c r="L287" s="109" t="str">
        <f aca="false">IFERROR(INDEX('Historical Data'!$N$2:$N$1068,MATCH($A287,'Historical Data'!$BE$2:$BE$1068,0)),"")</f>
        <v/>
      </c>
      <c r="M287" s="109" t="str">
        <f aca="false">IFERROR(INDEX('Historical Data'!$Q$2:$Q$1068,MATCH($A287,'Historical Data'!$BE$2:$BE$1068,0)),"")</f>
        <v/>
      </c>
      <c r="N287" s="110" t="str">
        <f aca="false">IFERROR(INDEX('Historical Data'!$S$2:$S$1068,MATCH($A287,'Historical Data'!$BE$2:$BE$1068,0)),"")</f>
        <v/>
      </c>
      <c r="O287" s="109" t="str">
        <f aca="false">IFERROR(INDEX('Historical Data'!$AJ$2:$AJ$1068,MATCH($A287,'Historical Data'!$BE$2:$BE$1068,0)),"")</f>
        <v/>
      </c>
      <c r="P287" s="109" t="str">
        <f aca="false">IFERROR(INDEX('Historical Data'!$AK$2:$AK$1068,MATCH($A287,'Historical Data'!$BE$2:$BE$1068,0)),"")</f>
        <v/>
      </c>
      <c r="Q287" s="106" t="str">
        <f aca="false">IFERROR(INDEX('Historical Data'!$AA$2:$AA$1068,MATCH($A287,'Historical Data'!$BE$2:$BE$1068,0)),"")</f>
        <v/>
      </c>
      <c r="R287" s="106" t="str">
        <f aca="false">IFERROR(INDEX('Historical Data'!$AB$2:$AB$1068,MATCH($A287,'Historical Data'!$BE$2:$BE$1068,0)),"")</f>
        <v/>
      </c>
      <c r="S287" s="106" t="str">
        <f aca="false">IFERROR(INDEX('Historical Data'!$AN$2:$AN$1068,MATCH($A287,'Historical Data'!$BE$2:$BE$1068,0)),"")</f>
        <v/>
      </c>
      <c r="T287" s="106" t="str">
        <f aca="false">IFERROR(INDEX('Historical Data'!$AC$2:$AC$1068,MATCH($A287,'Historical Data'!$BE$2:$BE$1068,0)),"")</f>
        <v/>
      </c>
      <c r="U287" s="106" t="str">
        <f aca="false">IFERROR(INDEX('Historical Data'!$AE$2:$AE$1068,MATCH($A287,'Historical Data'!$BE$2:$BE$1068,0)),"")</f>
        <v/>
      </c>
      <c r="V287" s="106" t="str">
        <f aca="false">IFERROR(INDEX('Historical Data'!$AH$2:$AH$1068,MATCH($A287,'Historical Data'!$BE$2:$BE$1068,0)),"")</f>
        <v/>
      </c>
      <c r="W287" s="106" t="str">
        <f aca="false">IFERROR(INDEX('Historical Data'!$BC$2:$BC$1068,MATCH($A287,'Historical Data'!$BE$2:$BE$1068,0)),"")</f>
        <v/>
      </c>
      <c r="X287" s="105" t="str">
        <f aca="false">IF(B287="","",IF(W287=1,"NR + industry + position",IF(W287=2,"NR + ISO + position",IF(W287=3,"NR + industry",IF(W287=4,"NR + ISO",IF(W287=5,"NR + position",IF(W287=6,"NR only","book baseline"))))))&amp;"  ["&amp;IF(T287=1,"seasoned","unseasoned")&amp;IF(U287=1,", defaulted","")&amp;IF(V287=1,", open","")&amp;"]")</f>
        <v/>
      </c>
    </row>
    <row r="288" customFormat="false" ht="15" hidden="false" customHeight="false" outlineLevel="0" collapsed="false">
      <c r="A288" s="105" t="n">
        <v>284</v>
      </c>
      <c r="B288" s="106" t="str">
        <f aca="false">IFERROR(INDEX('Historical Data'!$A$2:$A$1068,MATCH($A288,'Historical Data'!$BE$2:$BE$1068,0)),"")</f>
        <v/>
      </c>
      <c r="C288" s="106" t="str">
        <f aca="false">IFERROR(INDEX('Historical Data'!$B$2:$B$1068,MATCH($A288,'Historical Data'!$BE$2:$BE$1068,0)),"")</f>
        <v/>
      </c>
      <c r="D288" s="106" t="str">
        <f aca="false">IFERROR(INDEX('Historical Data'!$D$2:$D$1068,MATCH($A288,'Historical Data'!$BE$2:$BE$1068,0)),"")</f>
        <v/>
      </c>
      <c r="E288" s="107" t="str">
        <f aca="false">IFERROR(INDEX('Historical Data'!$E$2:$E$1068,MATCH($A288,'Historical Data'!$BE$2:$BE$1068,0)),"")</f>
        <v/>
      </c>
      <c r="F288" s="106" t="str">
        <f aca="false">IFERROR(INDEX('Historical Data'!$G$2:$G$1068,MATCH($A288,'Historical Data'!$BE$2:$BE$1068,0)),"")</f>
        <v/>
      </c>
      <c r="G288" s="106" t="str">
        <f aca="false">IFERROR(INDEX('Historical Data'!$Y$2:$Y$1068,MATCH($A288,'Historical Data'!$BE$2:$BE$1068,0)),"")</f>
        <v/>
      </c>
      <c r="H288" s="106" t="str">
        <f aca="false">IFERROR(INDEX('Historical Data'!$K$2:$K$1068,MATCH($A288,'Historical Data'!$BE$2:$BE$1068,0)),"")</f>
        <v/>
      </c>
      <c r="I288" s="106" t="str">
        <f aca="false">IFERROR(INDEX('Historical Data'!$J$2:$J$1068,MATCH($A288,'Historical Data'!$BE$2:$BE$1068,0)),"")</f>
        <v/>
      </c>
      <c r="J288" s="106" t="str">
        <f aca="false">IFERROR(INDEX('Historical Data'!$L$2:$L$1068,MATCH($A288,'Historical Data'!$BE$2:$BE$1068,0)),"")</f>
        <v/>
      </c>
      <c r="K288" s="108" t="str">
        <f aca="false">IFERROR(INDEX('Historical Data'!$M$2:$M$1068,MATCH($A288,'Historical Data'!$BE$2:$BE$1068,0)),"")</f>
        <v/>
      </c>
      <c r="L288" s="109" t="str">
        <f aca="false">IFERROR(INDEX('Historical Data'!$N$2:$N$1068,MATCH($A288,'Historical Data'!$BE$2:$BE$1068,0)),"")</f>
        <v/>
      </c>
      <c r="M288" s="109" t="str">
        <f aca="false">IFERROR(INDEX('Historical Data'!$Q$2:$Q$1068,MATCH($A288,'Historical Data'!$BE$2:$BE$1068,0)),"")</f>
        <v/>
      </c>
      <c r="N288" s="110" t="str">
        <f aca="false">IFERROR(INDEX('Historical Data'!$S$2:$S$1068,MATCH($A288,'Historical Data'!$BE$2:$BE$1068,0)),"")</f>
        <v/>
      </c>
      <c r="O288" s="109" t="str">
        <f aca="false">IFERROR(INDEX('Historical Data'!$AJ$2:$AJ$1068,MATCH($A288,'Historical Data'!$BE$2:$BE$1068,0)),"")</f>
        <v/>
      </c>
      <c r="P288" s="109" t="str">
        <f aca="false">IFERROR(INDEX('Historical Data'!$AK$2:$AK$1068,MATCH($A288,'Historical Data'!$BE$2:$BE$1068,0)),"")</f>
        <v/>
      </c>
      <c r="Q288" s="106" t="str">
        <f aca="false">IFERROR(INDEX('Historical Data'!$AA$2:$AA$1068,MATCH($A288,'Historical Data'!$BE$2:$BE$1068,0)),"")</f>
        <v/>
      </c>
      <c r="R288" s="106" t="str">
        <f aca="false">IFERROR(INDEX('Historical Data'!$AB$2:$AB$1068,MATCH($A288,'Historical Data'!$BE$2:$BE$1068,0)),"")</f>
        <v/>
      </c>
      <c r="S288" s="106" t="str">
        <f aca="false">IFERROR(INDEX('Historical Data'!$AN$2:$AN$1068,MATCH($A288,'Historical Data'!$BE$2:$BE$1068,0)),"")</f>
        <v/>
      </c>
      <c r="T288" s="106" t="str">
        <f aca="false">IFERROR(INDEX('Historical Data'!$AC$2:$AC$1068,MATCH($A288,'Historical Data'!$BE$2:$BE$1068,0)),"")</f>
        <v/>
      </c>
      <c r="U288" s="106" t="str">
        <f aca="false">IFERROR(INDEX('Historical Data'!$AE$2:$AE$1068,MATCH($A288,'Historical Data'!$BE$2:$BE$1068,0)),"")</f>
        <v/>
      </c>
      <c r="V288" s="106" t="str">
        <f aca="false">IFERROR(INDEX('Historical Data'!$AH$2:$AH$1068,MATCH($A288,'Historical Data'!$BE$2:$BE$1068,0)),"")</f>
        <v/>
      </c>
      <c r="W288" s="106" t="str">
        <f aca="false">IFERROR(INDEX('Historical Data'!$BC$2:$BC$1068,MATCH($A288,'Historical Data'!$BE$2:$BE$1068,0)),"")</f>
        <v/>
      </c>
      <c r="X288" s="105" t="str">
        <f aca="false">IF(B288="","",IF(W288=1,"NR + industry + position",IF(W288=2,"NR + ISO + position",IF(W288=3,"NR + industry",IF(W288=4,"NR + ISO",IF(W288=5,"NR + position",IF(W288=6,"NR only","book baseline"))))))&amp;"  ["&amp;IF(T288=1,"seasoned","unseasoned")&amp;IF(U288=1,", defaulted","")&amp;IF(V288=1,", open","")&amp;"]")</f>
        <v/>
      </c>
    </row>
    <row r="289" customFormat="false" ht="15" hidden="false" customHeight="false" outlineLevel="0" collapsed="false">
      <c r="A289" s="105" t="n">
        <v>285</v>
      </c>
      <c r="B289" s="106" t="str">
        <f aca="false">IFERROR(INDEX('Historical Data'!$A$2:$A$1068,MATCH($A289,'Historical Data'!$BE$2:$BE$1068,0)),"")</f>
        <v/>
      </c>
      <c r="C289" s="106" t="str">
        <f aca="false">IFERROR(INDEX('Historical Data'!$B$2:$B$1068,MATCH($A289,'Historical Data'!$BE$2:$BE$1068,0)),"")</f>
        <v/>
      </c>
      <c r="D289" s="106" t="str">
        <f aca="false">IFERROR(INDEX('Historical Data'!$D$2:$D$1068,MATCH($A289,'Historical Data'!$BE$2:$BE$1068,0)),"")</f>
        <v/>
      </c>
      <c r="E289" s="107" t="str">
        <f aca="false">IFERROR(INDEX('Historical Data'!$E$2:$E$1068,MATCH($A289,'Historical Data'!$BE$2:$BE$1068,0)),"")</f>
        <v/>
      </c>
      <c r="F289" s="106" t="str">
        <f aca="false">IFERROR(INDEX('Historical Data'!$G$2:$G$1068,MATCH($A289,'Historical Data'!$BE$2:$BE$1068,0)),"")</f>
        <v/>
      </c>
      <c r="G289" s="106" t="str">
        <f aca="false">IFERROR(INDEX('Historical Data'!$Y$2:$Y$1068,MATCH($A289,'Historical Data'!$BE$2:$BE$1068,0)),"")</f>
        <v/>
      </c>
      <c r="H289" s="106" t="str">
        <f aca="false">IFERROR(INDEX('Historical Data'!$K$2:$K$1068,MATCH($A289,'Historical Data'!$BE$2:$BE$1068,0)),"")</f>
        <v/>
      </c>
      <c r="I289" s="106" t="str">
        <f aca="false">IFERROR(INDEX('Historical Data'!$J$2:$J$1068,MATCH($A289,'Historical Data'!$BE$2:$BE$1068,0)),"")</f>
        <v/>
      </c>
      <c r="J289" s="106" t="str">
        <f aca="false">IFERROR(INDEX('Historical Data'!$L$2:$L$1068,MATCH($A289,'Historical Data'!$BE$2:$BE$1068,0)),"")</f>
        <v/>
      </c>
      <c r="K289" s="108" t="str">
        <f aca="false">IFERROR(INDEX('Historical Data'!$M$2:$M$1068,MATCH($A289,'Historical Data'!$BE$2:$BE$1068,0)),"")</f>
        <v/>
      </c>
      <c r="L289" s="109" t="str">
        <f aca="false">IFERROR(INDEX('Historical Data'!$N$2:$N$1068,MATCH($A289,'Historical Data'!$BE$2:$BE$1068,0)),"")</f>
        <v/>
      </c>
      <c r="M289" s="109" t="str">
        <f aca="false">IFERROR(INDEX('Historical Data'!$Q$2:$Q$1068,MATCH($A289,'Historical Data'!$BE$2:$BE$1068,0)),"")</f>
        <v/>
      </c>
      <c r="N289" s="110" t="str">
        <f aca="false">IFERROR(INDEX('Historical Data'!$S$2:$S$1068,MATCH($A289,'Historical Data'!$BE$2:$BE$1068,0)),"")</f>
        <v/>
      </c>
      <c r="O289" s="109" t="str">
        <f aca="false">IFERROR(INDEX('Historical Data'!$AJ$2:$AJ$1068,MATCH($A289,'Historical Data'!$BE$2:$BE$1068,0)),"")</f>
        <v/>
      </c>
      <c r="P289" s="109" t="str">
        <f aca="false">IFERROR(INDEX('Historical Data'!$AK$2:$AK$1068,MATCH($A289,'Historical Data'!$BE$2:$BE$1068,0)),"")</f>
        <v/>
      </c>
      <c r="Q289" s="106" t="str">
        <f aca="false">IFERROR(INDEX('Historical Data'!$AA$2:$AA$1068,MATCH($A289,'Historical Data'!$BE$2:$BE$1068,0)),"")</f>
        <v/>
      </c>
      <c r="R289" s="106" t="str">
        <f aca="false">IFERROR(INDEX('Historical Data'!$AB$2:$AB$1068,MATCH($A289,'Historical Data'!$BE$2:$BE$1068,0)),"")</f>
        <v/>
      </c>
      <c r="S289" s="106" t="str">
        <f aca="false">IFERROR(INDEX('Historical Data'!$AN$2:$AN$1068,MATCH($A289,'Historical Data'!$BE$2:$BE$1068,0)),"")</f>
        <v/>
      </c>
      <c r="T289" s="106" t="str">
        <f aca="false">IFERROR(INDEX('Historical Data'!$AC$2:$AC$1068,MATCH($A289,'Historical Data'!$BE$2:$BE$1068,0)),"")</f>
        <v/>
      </c>
      <c r="U289" s="106" t="str">
        <f aca="false">IFERROR(INDEX('Historical Data'!$AE$2:$AE$1068,MATCH($A289,'Historical Data'!$BE$2:$BE$1068,0)),"")</f>
        <v/>
      </c>
      <c r="V289" s="106" t="str">
        <f aca="false">IFERROR(INDEX('Historical Data'!$AH$2:$AH$1068,MATCH($A289,'Historical Data'!$BE$2:$BE$1068,0)),"")</f>
        <v/>
      </c>
      <c r="W289" s="106" t="str">
        <f aca="false">IFERROR(INDEX('Historical Data'!$BC$2:$BC$1068,MATCH($A289,'Historical Data'!$BE$2:$BE$1068,0)),"")</f>
        <v/>
      </c>
      <c r="X289" s="105" t="str">
        <f aca="false">IF(B289="","",IF(W289=1,"NR + industry + position",IF(W289=2,"NR + ISO + position",IF(W289=3,"NR + industry",IF(W289=4,"NR + ISO",IF(W289=5,"NR + position",IF(W289=6,"NR only","book baseline"))))))&amp;"  ["&amp;IF(T289=1,"seasoned","unseasoned")&amp;IF(U289=1,", defaulted","")&amp;IF(V289=1,", open","")&amp;"]")</f>
        <v/>
      </c>
    </row>
    <row r="290" customFormat="false" ht="15" hidden="false" customHeight="false" outlineLevel="0" collapsed="false">
      <c r="A290" s="105" t="n">
        <v>286</v>
      </c>
      <c r="B290" s="106" t="str">
        <f aca="false">IFERROR(INDEX('Historical Data'!$A$2:$A$1068,MATCH($A290,'Historical Data'!$BE$2:$BE$1068,0)),"")</f>
        <v/>
      </c>
      <c r="C290" s="106" t="str">
        <f aca="false">IFERROR(INDEX('Historical Data'!$B$2:$B$1068,MATCH($A290,'Historical Data'!$BE$2:$BE$1068,0)),"")</f>
        <v/>
      </c>
      <c r="D290" s="106" t="str">
        <f aca="false">IFERROR(INDEX('Historical Data'!$D$2:$D$1068,MATCH($A290,'Historical Data'!$BE$2:$BE$1068,0)),"")</f>
        <v/>
      </c>
      <c r="E290" s="107" t="str">
        <f aca="false">IFERROR(INDEX('Historical Data'!$E$2:$E$1068,MATCH($A290,'Historical Data'!$BE$2:$BE$1068,0)),"")</f>
        <v/>
      </c>
      <c r="F290" s="106" t="str">
        <f aca="false">IFERROR(INDEX('Historical Data'!$G$2:$G$1068,MATCH($A290,'Historical Data'!$BE$2:$BE$1068,0)),"")</f>
        <v/>
      </c>
      <c r="G290" s="106" t="str">
        <f aca="false">IFERROR(INDEX('Historical Data'!$Y$2:$Y$1068,MATCH($A290,'Historical Data'!$BE$2:$BE$1068,0)),"")</f>
        <v/>
      </c>
      <c r="H290" s="106" t="str">
        <f aca="false">IFERROR(INDEX('Historical Data'!$K$2:$K$1068,MATCH($A290,'Historical Data'!$BE$2:$BE$1068,0)),"")</f>
        <v/>
      </c>
      <c r="I290" s="106" t="str">
        <f aca="false">IFERROR(INDEX('Historical Data'!$J$2:$J$1068,MATCH($A290,'Historical Data'!$BE$2:$BE$1068,0)),"")</f>
        <v/>
      </c>
      <c r="J290" s="106" t="str">
        <f aca="false">IFERROR(INDEX('Historical Data'!$L$2:$L$1068,MATCH($A290,'Historical Data'!$BE$2:$BE$1068,0)),"")</f>
        <v/>
      </c>
      <c r="K290" s="108" t="str">
        <f aca="false">IFERROR(INDEX('Historical Data'!$M$2:$M$1068,MATCH($A290,'Historical Data'!$BE$2:$BE$1068,0)),"")</f>
        <v/>
      </c>
      <c r="L290" s="109" t="str">
        <f aca="false">IFERROR(INDEX('Historical Data'!$N$2:$N$1068,MATCH($A290,'Historical Data'!$BE$2:$BE$1068,0)),"")</f>
        <v/>
      </c>
      <c r="M290" s="109" t="str">
        <f aca="false">IFERROR(INDEX('Historical Data'!$Q$2:$Q$1068,MATCH($A290,'Historical Data'!$BE$2:$BE$1068,0)),"")</f>
        <v/>
      </c>
      <c r="N290" s="110" t="str">
        <f aca="false">IFERROR(INDEX('Historical Data'!$S$2:$S$1068,MATCH($A290,'Historical Data'!$BE$2:$BE$1068,0)),"")</f>
        <v/>
      </c>
      <c r="O290" s="109" t="str">
        <f aca="false">IFERROR(INDEX('Historical Data'!$AJ$2:$AJ$1068,MATCH($A290,'Historical Data'!$BE$2:$BE$1068,0)),"")</f>
        <v/>
      </c>
      <c r="P290" s="109" t="str">
        <f aca="false">IFERROR(INDEX('Historical Data'!$AK$2:$AK$1068,MATCH($A290,'Historical Data'!$BE$2:$BE$1068,0)),"")</f>
        <v/>
      </c>
      <c r="Q290" s="106" t="str">
        <f aca="false">IFERROR(INDEX('Historical Data'!$AA$2:$AA$1068,MATCH($A290,'Historical Data'!$BE$2:$BE$1068,0)),"")</f>
        <v/>
      </c>
      <c r="R290" s="106" t="str">
        <f aca="false">IFERROR(INDEX('Historical Data'!$AB$2:$AB$1068,MATCH($A290,'Historical Data'!$BE$2:$BE$1068,0)),"")</f>
        <v/>
      </c>
      <c r="S290" s="106" t="str">
        <f aca="false">IFERROR(INDEX('Historical Data'!$AN$2:$AN$1068,MATCH($A290,'Historical Data'!$BE$2:$BE$1068,0)),"")</f>
        <v/>
      </c>
      <c r="T290" s="106" t="str">
        <f aca="false">IFERROR(INDEX('Historical Data'!$AC$2:$AC$1068,MATCH($A290,'Historical Data'!$BE$2:$BE$1068,0)),"")</f>
        <v/>
      </c>
      <c r="U290" s="106" t="str">
        <f aca="false">IFERROR(INDEX('Historical Data'!$AE$2:$AE$1068,MATCH($A290,'Historical Data'!$BE$2:$BE$1068,0)),"")</f>
        <v/>
      </c>
      <c r="V290" s="106" t="str">
        <f aca="false">IFERROR(INDEX('Historical Data'!$AH$2:$AH$1068,MATCH($A290,'Historical Data'!$BE$2:$BE$1068,0)),"")</f>
        <v/>
      </c>
      <c r="W290" s="106" t="str">
        <f aca="false">IFERROR(INDEX('Historical Data'!$BC$2:$BC$1068,MATCH($A290,'Historical Data'!$BE$2:$BE$1068,0)),"")</f>
        <v/>
      </c>
      <c r="X290" s="105" t="str">
        <f aca="false">IF(B290="","",IF(W290=1,"NR + industry + position",IF(W290=2,"NR + ISO + position",IF(W290=3,"NR + industry",IF(W290=4,"NR + ISO",IF(W290=5,"NR + position",IF(W290=6,"NR only","book baseline"))))))&amp;"  ["&amp;IF(T290=1,"seasoned","unseasoned")&amp;IF(U290=1,", defaulted","")&amp;IF(V290=1,", open","")&amp;"]")</f>
        <v/>
      </c>
    </row>
    <row r="291" customFormat="false" ht="15" hidden="false" customHeight="false" outlineLevel="0" collapsed="false">
      <c r="A291" s="105" t="n">
        <v>287</v>
      </c>
      <c r="B291" s="106" t="str">
        <f aca="false">IFERROR(INDEX('Historical Data'!$A$2:$A$1068,MATCH($A291,'Historical Data'!$BE$2:$BE$1068,0)),"")</f>
        <v/>
      </c>
      <c r="C291" s="106" t="str">
        <f aca="false">IFERROR(INDEX('Historical Data'!$B$2:$B$1068,MATCH($A291,'Historical Data'!$BE$2:$BE$1068,0)),"")</f>
        <v/>
      </c>
      <c r="D291" s="106" t="str">
        <f aca="false">IFERROR(INDEX('Historical Data'!$D$2:$D$1068,MATCH($A291,'Historical Data'!$BE$2:$BE$1068,0)),"")</f>
        <v/>
      </c>
      <c r="E291" s="107" t="str">
        <f aca="false">IFERROR(INDEX('Historical Data'!$E$2:$E$1068,MATCH($A291,'Historical Data'!$BE$2:$BE$1068,0)),"")</f>
        <v/>
      </c>
      <c r="F291" s="106" t="str">
        <f aca="false">IFERROR(INDEX('Historical Data'!$G$2:$G$1068,MATCH($A291,'Historical Data'!$BE$2:$BE$1068,0)),"")</f>
        <v/>
      </c>
      <c r="G291" s="106" t="str">
        <f aca="false">IFERROR(INDEX('Historical Data'!$Y$2:$Y$1068,MATCH($A291,'Historical Data'!$BE$2:$BE$1068,0)),"")</f>
        <v/>
      </c>
      <c r="H291" s="106" t="str">
        <f aca="false">IFERROR(INDEX('Historical Data'!$K$2:$K$1068,MATCH($A291,'Historical Data'!$BE$2:$BE$1068,0)),"")</f>
        <v/>
      </c>
      <c r="I291" s="106" t="str">
        <f aca="false">IFERROR(INDEX('Historical Data'!$J$2:$J$1068,MATCH($A291,'Historical Data'!$BE$2:$BE$1068,0)),"")</f>
        <v/>
      </c>
      <c r="J291" s="106" t="str">
        <f aca="false">IFERROR(INDEX('Historical Data'!$L$2:$L$1068,MATCH($A291,'Historical Data'!$BE$2:$BE$1068,0)),"")</f>
        <v/>
      </c>
      <c r="K291" s="108" t="str">
        <f aca="false">IFERROR(INDEX('Historical Data'!$M$2:$M$1068,MATCH($A291,'Historical Data'!$BE$2:$BE$1068,0)),"")</f>
        <v/>
      </c>
      <c r="L291" s="109" t="str">
        <f aca="false">IFERROR(INDEX('Historical Data'!$N$2:$N$1068,MATCH($A291,'Historical Data'!$BE$2:$BE$1068,0)),"")</f>
        <v/>
      </c>
      <c r="M291" s="109" t="str">
        <f aca="false">IFERROR(INDEX('Historical Data'!$Q$2:$Q$1068,MATCH($A291,'Historical Data'!$BE$2:$BE$1068,0)),"")</f>
        <v/>
      </c>
      <c r="N291" s="110" t="str">
        <f aca="false">IFERROR(INDEX('Historical Data'!$S$2:$S$1068,MATCH($A291,'Historical Data'!$BE$2:$BE$1068,0)),"")</f>
        <v/>
      </c>
      <c r="O291" s="109" t="str">
        <f aca="false">IFERROR(INDEX('Historical Data'!$AJ$2:$AJ$1068,MATCH($A291,'Historical Data'!$BE$2:$BE$1068,0)),"")</f>
        <v/>
      </c>
      <c r="P291" s="109" t="str">
        <f aca="false">IFERROR(INDEX('Historical Data'!$AK$2:$AK$1068,MATCH($A291,'Historical Data'!$BE$2:$BE$1068,0)),"")</f>
        <v/>
      </c>
      <c r="Q291" s="106" t="str">
        <f aca="false">IFERROR(INDEX('Historical Data'!$AA$2:$AA$1068,MATCH($A291,'Historical Data'!$BE$2:$BE$1068,0)),"")</f>
        <v/>
      </c>
      <c r="R291" s="106" t="str">
        <f aca="false">IFERROR(INDEX('Historical Data'!$AB$2:$AB$1068,MATCH($A291,'Historical Data'!$BE$2:$BE$1068,0)),"")</f>
        <v/>
      </c>
      <c r="S291" s="106" t="str">
        <f aca="false">IFERROR(INDEX('Historical Data'!$AN$2:$AN$1068,MATCH($A291,'Historical Data'!$BE$2:$BE$1068,0)),"")</f>
        <v/>
      </c>
      <c r="T291" s="106" t="str">
        <f aca="false">IFERROR(INDEX('Historical Data'!$AC$2:$AC$1068,MATCH($A291,'Historical Data'!$BE$2:$BE$1068,0)),"")</f>
        <v/>
      </c>
      <c r="U291" s="106" t="str">
        <f aca="false">IFERROR(INDEX('Historical Data'!$AE$2:$AE$1068,MATCH($A291,'Historical Data'!$BE$2:$BE$1068,0)),"")</f>
        <v/>
      </c>
      <c r="V291" s="106" t="str">
        <f aca="false">IFERROR(INDEX('Historical Data'!$AH$2:$AH$1068,MATCH($A291,'Historical Data'!$BE$2:$BE$1068,0)),"")</f>
        <v/>
      </c>
      <c r="W291" s="106" t="str">
        <f aca="false">IFERROR(INDEX('Historical Data'!$BC$2:$BC$1068,MATCH($A291,'Historical Data'!$BE$2:$BE$1068,0)),"")</f>
        <v/>
      </c>
      <c r="X291" s="105" t="str">
        <f aca="false">IF(B291="","",IF(W291=1,"NR + industry + position",IF(W291=2,"NR + ISO + position",IF(W291=3,"NR + industry",IF(W291=4,"NR + ISO",IF(W291=5,"NR + position",IF(W291=6,"NR only","book baseline"))))))&amp;"  ["&amp;IF(T291=1,"seasoned","unseasoned")&amp;IF(U291=1,", defaulted","")&amp;IF(V291=1,", open","")&amp;"]")</f>
        <v/>
      </c>
    </row>
    <row r="292" customFormat="false" ht="15" hidden="false" customHeight="false" outlineLevel="0" collapsed="false">
      <c r="A292" s="105" t="n">
        <v>288</v>
      </c>
      <c r="B292" s="106" t="str">
        <f aca="false">IFERROR(INDEX('Historical Data'!$A$2:$A$1068,MATCH($A292,'Historical Data'!$BE$2:$BE$1068,0)),"")</f>
        <v/>
      </c>
      <c r="C292" s="106" t="str">
        <f aca="false">IFERROR(INDEX('Historical Data'!$B$2:$B$1068,MATCH($A292,'Historical Data'!$BE$2:$BE$1068,0)),"")</f>
        <v/>
      </c>
      <c r="D292" s="106" t="str">
        <f aca="false">IFERROR(INDEX('Historical Data'!$D$2:$D$1068,MATCH($A292,'Historical Data'!$BE$2:$BE$1068,0)),"")</f>
        <v/>
      </c>
      <c r="E292" s="107" t="str">
        <f aca="false">IFERROR(INDEX('Historical Data'!$E$2:$E$1068,MATCH($A292,'Historical Data'!$BE$2:$BE$1068,0)),"")</f>
        <v/>
      </c>
      <c r="F292" s="106" t="str">
        <f aca="false">IFERROR(INDEX('Historical Data'!$G$2:$G$1068,MATCH($A292,'Historical Data'!$BE$2:$BE$1068,0)),"")</f>
        <v/>
      </c>
      <c r="G292" s="106" t="str">
        <f aca="false">IFERROR(INDEX('Historical Data'!$Y$2:$Y$1068,MATCH($A292,'Historical Data'!$BE$2:$BE$1068,0)),"")</f>
        <v/>
      </c>
      <c r="H292" s="106" t="str">
        <f aca="false">IFERROR(INDEX('Historical Data'!$K$2:$K$1068,MATCH($A292,'Historical Data'!$BE$2:$BE$1068,0)),"")</f>
        <v/>
      </c>
      <c r="I292" s="106" t="str">
        <f aca="false">IFERROR(INDEX('Historical Data'!$J$2:$J$1068,MATCH($A292,'Historical Data'!$BE$2:$BE$1068,0)),"")</f>
        <v/>
      </c>
      <c r="J292" s="106" t="str">
        <f aca="false">IFERROR(INDEX('Historical Data'!$L$2:$L$1068,MATCH($A292,'Historical Data'!$BE$2:$BE$1068,0)),"")</f>
        <v/>
      </c>
      <c r="K292" s="108" t="str">
        <f aca="false">IFERROR(INDEX('Historical Data'!$M$2:$M$1068,MATCH($A292,'Historical Data'!$BE$2:$BE$1068,0)),"")</f>
        <v/>
      </c>
      <c r="L292" s="109" t="str">
        <f aca="false">IFERROR(INDEX('Historical Data'!$N$2:$N$1068,MATCH($A292,'Historical Data'!$BE$2:$BE$1068,0)),"")</f>
        <v/>
      </c>
      <c r="M292" s="109" t="str">
        <f aca="false">IFERROR(INDEX('Historical Data'!$Q$2:$Q$1068,MATCH($A292,'Historical Data'!$BE$2:$BE$1068,0)),"")</f>
        <v/>
      </c>
      <c r="N292" s="110" t="str">
        <f aca="false">IFERROR(INDEX('Historical Data'!$S$2:$S$1068,MATCH($A292,'Historical Data'!$BE$2:$BE$1068,0)),"")</f>
        <v/>
      </c>
      <c r="O292" s="109" t="str">
        <f aca="false">IFERROR(INDEX('Historical Data'!$AJ$2:$AJ$1068,MATCH($A292,'Historical Data'!$BE$2:$BE$1068,0)),"")</f>
        <v/>
      </c>
      <c r="P292" s="109" t="str">
        <f aca="false">IFERROR(INDEX('Historical Data'!$AK$2:$AK$1068,MATCH($A292,'Historical Data'!$BE$2:$BE$1068,0)),"")</f>
        <v/>
      </c>
      <c r="Q292" s="106" t="str">
        <f aca="false">IFERROR(INDEX('Historical Data'!$AA$2:$AA$1068,MATCH($A292,'Historical Data'!$BE$2:$BE$1068,0)),"")</f>
        <v/>
      </c>
      <c r="R292" s="106" t="str">
        <f aca="false">IFERROR(INDEX('Historical Data'!$AB$2:$AB$1068,MATCH($A292,'Historical Data'!$BE$2:$BE$1068,0)),"")</f>
        <v/>
      </c>
      <c r="S292" s="106" t="str">
        <f aca="false">IFERROR(INDEX('Historical Data'!$AN$2:$AN$1068,MATCH($A292,'Historical Data'!$BE$2:$BE$1068,0)),"")</f>
        <v/>
      </c>
      <c r="T292" s="106" t="str">
        <f aca="false">IFERROR(INDEX('Historical Data'!$AC$2:$AC$1068,MATCH($A292,'Historical Data'!$BE$2:$BE$1068,0)),"")</f>
        <v/>
      </c>
      <c r="U292" s="106" t="str">
        <f aca="false">IFERROR(INDEX('Historical Data'!$AE$2:$AE$1068,MATCH($A292,'Historical Data'!$BE$2:$BE$1068,0)),"")</f>
        <v/>
      </c>
      <c r="V292" s="106" t="str">
        <f aca="false">IFERROR(INDEX('Historical Data'!$AH$2:$AH$1068,MATCH($A292,'Historical Data'!$BE$2:$BE$1068,0)),"")</f>
        <v/>
      </c>
      <c r="W292" s="106" t="str">
        <f aca="false">IFERROR(INDEX('Historical Data'!$BC$2:$BC$1068,MATCH($A292,'Historical Data'!$BE$2:$BE$1068,0)),"")</f>
        <v/>
      </c>
      <c r="X292" s="105" t="str">
        <f aca="false">IF(B292="","",IF(W292=1,"NR + industry + position",IF(W292=2,"NR + ISO + position",IF(W292=3,"NR + industry",IF(W292=4,"NR + ISO",IF(W292=5,"NR + position",IF(W292=6,"NR only","book baseline"))))))&amp;"  ["&amp;IF(T292=1,"seasoned","unseasoned")&amp;IF(U292=1,", defaulted","")&amp;IF(V292=1,", open","")&amp;"]")</f>
        <v/>
      </c>
    </row>
    <row r="293" customFormat="false" ht="15" hidden="false" customHeight="false" outlineLevel="0" collapsed="false">
      <c r="A293" s="105" t="n">
        <v>289</v>
      </c>
      <c r="B293" s="106" t="str">
        <f aca="false">IFERROR(INDEX('Historical Data'!$A$2:$A$1068,MATCH($A293,'Historical Data'!$BE$2:$BE$1068,0)),"")</f>
        <v/>
      </c>
      <c r="C293" s="106" t="str">
        <f aca="false">IFERROR(INDEX('Historical Data'!$B$2:$B$1068,MATCH($A293,'Historical Data'!$BE$2:$BE$1068,0)),"")</f>
        <v/>
      </c>
      <c r="D293" s="106" t="str">
        <f aca="false">IFERROR(INDEX('Historical Data'!$D$2:$D$1068,MATCH($A293,'Historical Data'!$BE$2:$BE$1068,0)),"")</f>
        <v/>
      </c>
      <c r="E293" s="107" t="str">
        <f aca="false">IFERROR(INDEX('Historical Data'!$E$2:$E$1068,MATCH($A293,'Historical Data'!$BE$2:$BE$1068,0)),"")</f>
        <v/>
      </c>
      <c r="F293" s="106" t="str">
        <f aca="false">IFERROR(INDEX('Historical Data'!$G$2:$G$1068,MATCH($A293,'Historical Data'!$BE$2:$BE$1068,0)),"")</f>
        <v/>
      </c>
      <c r="G293" s="106" t="str">
        <f aca="false">IFERROR(INDEX('Historical Data'!$Y$2:$Y$1068,MATCH($A293,'Historical Data'!$BE$2:$BE$1068,0)),"")</f>
        <v/>
      </c>
      <c r="H293" s="106" t="str">
        <f aca="false">IFERROR(INDEX('Historical Data'!$K$2:$K$1068,MATCH($A293,'Historical Data'!$BE$2:$BE$1068,0)),"")</f>
        <v/>
      </c>
      <c r="I293" s="106" t="str">
        <f aca="false">IFERROR(INDEX('Historical Data'!$J$2:$J$1068,MATCH($A293,'Historical Data'!$BE$2:$BE$1068,0)),"")</f>
        <v/>
      </c>
      <c r="J293" s="106" t="str">
        <f aca="false">IFERROR(INDEX('Historical Data'!$L$2:$L$1068,MATCH($A293,'Historical Data'!$BE$2:$BE$1068,0)),"")</f>
        <v/>
      </c>
      <c r="K293" s="108" t="str">
        <f aca="false">IFERROR(INDEX('Historical Data'!$M$2:$M$1068,MATCH($A293,'Historical Data'!$BE$2:$BE$1068,0)),"")</f>
        <v/>
      </c>
      <c r="L293" s="109" t="str">
        <f aca="false">IFERROR(INDEX('Historical Data'!$N$2:$N$1068,MATCH($A293,'Historical Data'!$BE$2:$BE$1068,0)),"")</f>
        <v/>
      </c>
      <c r="M293" s="109" t="str">
        <f aca="false">IFERROR(INDEX('Historical Data'!$Q$2:$Q$1068,MATCH($A293,'Historical Data'!$BE$2:$BE$1068,0)),"")</f>
        <v/>
      </c>
      <c r="N293" s="110" t="str">
        <f aca="false">IFERROR(INDEX('Historical Data'!$S$2:$S$1068,MATCH($A293,'Historical Data'!$BE$2:$BE$1068,0)),"")</f>
        <v/>
      </c>
      <c r="O293" s="109" t="str">
        <f aca="false">IFERROR(INDEX('Historical Data'!$AJ$2:$AJ$1068,MATCH($A293,'Historical Data'!$BE$2:$BE$1068,0)),"")</f>
        <v/>
      </c>
      <c r="P293" s="109" t="str">
        <f aca="false">IFERROR(INDEX('Historical Data'!$AK$2:$AK$1068,MATCH($A293,'Historical Data'!$BE$2:$BE$1068,0)),"")</f>
        <v/>
      </c>
      <c r="Q293" s="106" t="str">
        <f aca="false">IFERROR(INDEX('Historical Data'!$AA$2:$AA$1068,MATCH($A293,'Historical Data'!$BE$2:$BE$1068,0)),"")</f>
        <v/>
      </c>
      <c r="R293" s="106" t="str">
        <f aca="false">IFERROR(INDEX('Historical Data'!$AB$2:$AB$1068,MATCH($A293,'Historical Data'!$BE$2:$BE$1068,0)),"")</f>
        <v/>
      </c>
      <c r="S293" s="106" t="str">
        <f aca="false">IFERROR(INDEX('Historical Data'!$AN$2:$AN$1068,MATCH($A293,'Historical Data'!$BE$2:$BE$1068,0)),"")</f>
        <v/>
      </c>
      <c r="T293" s="106" t="str">
        <f aca="false">IFERROR(INDEX('Historical Data'!$AC$2:$AC$1068,MATCH($A293,'Historical Data'!$BE$2:$BE$1068,0)),"")</f>
        <v/>
      </c>
      <c r="U293" s="106" t="str">
        <f aca="false">IFERROR(INDEX('Historical Data'!$AE$2:$AE$1068,MATCH($A293,'Historical Data'!$BE$2:$BE$1068,0)),"")</f>
        <v/>
      </c>
      <c r="V293" s="106" t="str">
        <f aca="false">IFERROR(INDEX('Historical Data'!$AH$2:$AH$1068,MATCH($A293,'Historical Data'!$BE$2:$BE$1068,0)),"")</f>
        <v/>
      </c>
      <c r="W293" s="106" t="str">
        <f aca="false">IFERROR(INDEX('Historical Data'!$BC$2:$BC$1068,MATCH($A293,'Historical Data'!$BE$2:$BE$1068,0)),"")</f>
        <v/>
      </c>
      <c r="X293" s="105" t="str">
        <f aca="false">IF(B293="","",IF(W293=1,"NR + industry + position",IF(W293=2,"NR + ISO + position",IF(W293=3,"NR + industry",IF(W293=4,"NR + ISO",IF(W293=5,"NR + position",IF(W293=6,"NR only","book baseline"))))))&amp;"  ["&amp;IF(T293=1,"seasoned","unseasoned")&amp;IF(U293=1,", defaulted","")&amp;IF(V293=1,", open","")&amp;"]")</f>
        <v/>
      </c>
    </row>
    <row r="294" customFormat="false" ht="15" hidden="false" customHeight="false" outlineLevel="0" collapsed="false">
      <c r="A294" s="105" t="n">
        <v>290</v>
      </c>
      <c r="B294" s="106" t="str">
        <f aca="false">IFERROR(INDEX('Historical Data'!$A$2:$A$1068,MATCH($A294,'Historical Data'!$BE$2:$BE$1068,0)),"")</f>
        <v/>
      </c>
      <c r="C294" s="106" t="str">
        <f aca="false">IFERROR(INDEX('Historical Data'!$B$2:$B$1068,MATCH($A294,'Historical Data'!$BE$2:$BE$1068,0)),"")</f>
        <v/>
      </c>
      <c r="D294" s="106" t="str">
        <f aca="false">IFERROR(INDEX('Historical Data'!$D$2:$D$1068,MATCH($A294,'Historical Data'!$BE$2:$BE$1068,0)),"")</f>
        <v/>
      </c>
      <c r="E294" s="107" t="str">
        <f aca="false">IFERROR(INDEX('Historical Data'!$E$2:$E$1068,MATCH($A294,'Historical Data'!$BE$2:$BE$1068,0)),"")</f>
        <v/>
      </c>
      <c r="F294" s="106" t="str">
        <f aca="false">IFERROR(INDEX('Historical Data'!$G$2:$G$1068,MATCH($A294,'Historical Data'!$BE$2:$BE$1068,0)),"")</f>
        <v/>
      </c>
      <c r="G294" s="106" t="str">
        <f aca="false">IFERROR(INDEX('Historical Data'!$Y$2:$Y$1068,MATCH($A294,'Historical Data'!$BE$2:$BE$1068,0)),"")</f>
        <v/>
      </c>
      <c r="H294" s="106" t="str">
        <f aca="false">IFERROR(INDEX('Historical Data'!$K$2:$K$1068,MATCH($A294,'Historical Data'!$BE$2:$BE$1068,0)),"")</f>
        <v/>
      </c>
      <c r="I294" s="106" t="str">
        <f aca="false">IFERROR(INDEX('Historical Data'!$J$2:$J$1068,MATCH($A294,'Historical Data'!$BE$2:$BE$1068,0)),"")</f>
        <v/>
      </c>
      <c r="J294" s="106" t="str">
        <f aca="false">IFERROR(INDEX('Historical Data'!$L$2:$L$1068,MATCH($A294,'Historical Data'!$BE$2:$BE$1068,0)),"")</f>
        <v/>
      </c>
      <c r="K294" s="108" t="str">
        <f aca="false">IFERROR(INDEX('Historical Data'!$M$2:$M$1068,MATCH($A294,'Historical Data'!$BE$2:$BE$1068,0)),"")</f>
        <v/>
      </c>
      <c r="L294" s="109" t="str">
        <f aca="false">IFERROR(INDEX('Historical Data'!$N$2:$N$1068,MATCH($A294,'Historical Data'!$BE$2:$BE$1068,0)),"")</f>
        <v/>
      </c>
      <c r="M294" s="109" t="str">
        <f aca="false">IFERROR(INDEX('Historical Data'!$Q$2:$Q$1068,MATCH($A294,'Historical Data'!$BE$2:$BE$1068,0)),"")</f>
        <v/>
      </c>
      <c r="N294" s="110" t="str">
        <f aca="false">IFERROR(INDEX('Historical Data'!$S$2:$S$1068,MATCH($A294,'Historical Data'!$BE$2:$BE$1068,0)),"")</f>
        <v/>
      </c>
      <c r="O294" s="109" t="str">
        <f aca="false">IFERROR(INDEX('Historical Data'!$AJ$2:$AJ$1068,MATCH($A294,'Historical Data'!$BE$2:$BE$1068,0)),"")</f>
        <v/>
      </c>
      <c r="P294" s="109" t="str">
        <f aca="false">IFERROR(INDEX('Historical Data'!$AK$2:$AK$1068,MATCH($A294,'Historical Data'!$BE$2:$BE$1068,0)),"")</f>
        <v/>
      </c>
      <c r="Q294" s="106" t="str">
        <f aca="false">IFERROR(INDEX('Historical Data'!$AA$2:$AA$1068,MATCH($A294,'Historical Data'!$BE$2:$BE$1068,0)),"")</f>
        <v/>
      </c>
      <c r="R294" s="106" t="str">
        <f aca="false">IFERROR(INDEX('Historical Data'!$AB$2:$AB$1068,MATCH($A294,'Historical Data'!$BE$2:$BE$1068,0)),"")</f>
        <v/>
      </c>
      <c r="S294" s="106" t="str">
        <f aca="false">IFERROR(INDEX('Historical Data'!$AN$2:$AN$1068,MATCH($A294,'Historical Data'!$BE$2:$BE$1068,0)),"")</f>
        <v/>
      </c>
      <c r="T294" s="106" t="str">
        <f aca="false">IFERROR(INDEX('Historical Data'!$AC$2:$AC$1068,MATCH($A294,'Historical Data'!$BE$2:$BE$1068,0)),"")</f>
        <v/>
      </c>
      <c r="U294" s="106" t="str">
        <f aca="false">IFERROR(INDEX('Historical Data'!$AE$2:$AE$1068,MATCH($A294,'Historical Data'!$BE$2:$BE$1068,0)),"")</f>
        <v/>
      </c>
      <c r="V294" s="106" t="str">
        <f aca="false">IFERROR(INDEX('Historical Data'!$AH$2:$AH$1068,MATCH($A294,'Historical Data'!$BE$2:$BE$1068,0)),"")</f>
        <v/>
      </c>
      <c r="W294" s="106" t="str">
        <f aca="false">IFERROR(INDEX('Historical Data'!$BC$2:$BC$1068,MATCH($A294,'Historical Data'!$BE$2:$BE$1068,0)),"")</f>
        <v/>
      </c>
      <c r="X294" s="105" t="str">
        <f aca="false">IF(B294="","",IF(W294=1,"NR + industry + position",IF(W294=2,"NR + ISO + position",IF(W294=3,"NR + industry",IF(W294=4,"NR + ISO",IF(W294=5,"NR + position",IF(W294=6,"NR only","book baseline"))))))&amp;"  ["&amp;IF(T294=1,"seasoned","unseasoned")&amp;IF(U294=1,", defaulted","")&amp;IF(V294=1,", open","")&amp;"]")</f>
        <v/>
      </c>
    </row>
    <row r="295" customFormat="false" ht="15" hidden="false" customHeight="false" outlineLevel="0" collapsed="false">
      <c r="A295" s="105" t="n">
        <v>291</v>
      </c>
      <c r="B295" s="106" t="str">
        <f aca="false">IFERROR(INDEX('Historical Data'!$A$2:$A$1068,MATCH($A295,'Historical Data'!$BE$2:$BE$1068,0)),"")</f>
        <v/>
      </c>
      <c r="C295" s="106" t="str">
        <f aca="false">IFERROR(INDEX('Historical Data'!$B$2:$B$1068,MATCH($A295,'Historical Data'!$BE$2:$BE$1068,0)),"")</f>
        <v/>
      </c>
      <c r="D295" s="106" t="str">
        <f aca="false">IFERROR(INDEX('Historical Data'!$D$2:$D$1068,MATCH($A295,'Historical Data'!$BE$2:$BE$1068,0)),"")</f>
        <v/>
      </c>
      <c r="E295" s="107" t="str">
        <f aca="false">IFERROR(INDEX('Historical Data'!$E$2:$E$1068,MATCH($A295,'Historical Data'!$BE$2:$BE$1068,0)),"")</f>
        <v/>
      </c>
      <c r="F295" s="106" t="str">
        <f aca="false">IFERROR(INDEX('Historical Data'!$G$2:$G$1068,MATCH($A295,'Historical Data'!$BE$2:$BE$1068,0)),"")</f>
        <v/>
      </c>
      <c r="G295" s="106" t="str">
        <f aca="false">IFERROR(INDEX('Historical Data'!$Y$2:$Y$1068,MATCH($A295,'Historical Data'!$BE$2:$BE$1068,0)),"")</f>
        <v/>
      </c>
      <c r="H295" s="106" t="str">
        <f aca="false">IFERROR(INDEX('Historical Data'!$K$2:$K$1068,MATCH($A295,'Historical Data'!$BE$2:$BE$1068,0)),"")</f>
        <v/>
      </c>
      <c r="I295" s="106" t="str">
        <f aca="false">IFERROR(INDEX('Historical Data'!$J$2:$J$1068,MATCH($A295,'Historical Data'!$BE$2:$BE$1068,0)),"")</f>
        <v/>
      </c>
      <c r="J295" s="106" t="str">
        <f aca="false">IFERROR(INDEX('Historical Data'!$L$2:$L$1068,MATCH($A295,'Historical Data'!$BE$2:$BE$1068,0)),"")</f>
        <v/>
      </c>
      <c r="K295" s="108" t="str">
        <f aca="false">IFERROR(INDEX('Historical Data'!$M$2:$M$1068,MATCH($A295,'Historical Data'!$BE$2:$BE$1068,0)),"")</f>
        <v/>
      </c>
      <c r="L295" s="109" t="str">
        <f aca="false">IFERROR(INDEX('Historical Data'!$N$2:$N$1068,MATCH($A295,'Historical Data'!$BE$2:$BE$1068,0)),"")</f>
        <v/>
      </c>
      <c r="M295" s="109" t="str">
        <f aca="false">IFERROR(INDEX('Historical Data'!$Q$2:$Q$1068,MATCH($A295,'Historical Data'!$BE$2:$BE$1068,0)),"")</f>
        <v/>
      </c>
      <c r="N295" s="110" t="str">
        <f aca="false">IFERROR(INDEX('Historical Data'!$S$2:$S$1068,MATCH($A295,'Historical Data'!$BE$2:$BE$1068,0)),"")</f>
        <v/>
      </c>
      <c r="O295" s="109" t="str">
        <f aca="false">IFERROR(INDEX('Historical Data'!$AJ$2:$AJ$1068,MATCH($A295,'Historical Data'!$BE$2:$BE$1068,0)),"")</f>
        <v/>
      </c>
      <c r="P295" s="109" t="str">
        <f aca="false">IFERROR(INDEX('Historical Data'!$AK$2:$AK$1068,MATCH($A295,'Historical Data'!$BE$2:$BE$1068,0)),"")</f>
        <v/>
      </c>
      <c r="Q295" s="106" t="str">
        <f aca="false">IFERROR(INDEX('Historical Data'!$AA$2:$AA$1068,MATCH($A295,'Historical Data'!$BE$2:$BE$1068,0)),"")</f>
        <v/>
      </c>
      <c r="R295" s="106" t="str">
        <f aca="false">IFERROR(INDEX('Historical Data'!$AB$2:$AB$1068,MATCH($A295,'Historical Data'!$BE$2:$BE$1068,0)),"")</f>
        <v/>
      </c>
      <c r="S295" s="106" t="str">
        <f aca="false">IFERROR(INDEX('Historical Data'!$AN$2:$AN$1068,MATCH($A295,'Historical Data'!$BE$2:$BE$1068,0)),"")</f>
        <v/>
      </c>
      <c r="T295" s="106" t="str">
        <f aca="false">IFERROR(INDEX('Historical Data'!$AC$2:$AC$1068,MATCH($A295,'Historical Data'!$BE$2:$BE$1068,0)),"")</f>
        <v/>
      </c>
      <c r="U295" s="106" t="str">
        <f aca="false">IFERROR(INDEX('Historical Data'!$AE$2:$AE$1068,MATCH($A295,'Historical Data'!$BE$2:$BE$1068,0)),"")</f>
        <v/>
      </c>
      <c r="V295" s="106" t="str">
        <f aca="false">IFERROR(INDEX('Historical Data'!$AH$2:$AH$1068,MATCH($A295,'Historical Data'!$BE$2:$BE$1068,0)),"")</f>
        <v/>
      </c>
      <c r="W295" s="106" t="str">
        <f aca="false">IFERROR(INDEX('Historical Data'!$BC$2:$BC$1068,MATCH($A295,'Historical Data'!$BE$2:$BE$1068,0)),"")</f>
        <v/>
      </c>
      <c r="X295" s="105" t="str">
        <f aca="false">IF(B295="","",IF(W295=1,"NR + industry + position",IF(W295=2,"NR + ISO + position",IF(W295=3,"NR + industry",IF(W295=4,"NR + ISO",IF(W295=5,"NR + position",IF(W295=6,"NR only","book baseline"))))))&amp;"  ["&amp;IF(T295=1,"seasoned","unseasoned")&amp;IF(U295=1,", defaulted","")&amp;IF(V295=1,", open","")&amp;"]")</f>
        <v/>
      </c>
    </row>
    <row r="296" customFormat="false" ht="15" hidden="false" customHeight="false" outlineLevel="0" collapsed="false">
      <c r="A296" s="105" t="n">
        <v>292</v>
      </c>
      <c r="B296" s="106" t="str">
        <f aca="false">IFERROR(INDEX('Historical Data'!$A$2:$A$1068,MATCH($A296,'Historical Data'!$BE$2:$BE$1068,0)),"")</f>
        <v/>
      </c>
      <c r="C296" s="106" t="str">
        <f aca="false">IFERROR(INDEX('Historical Data'!$B$2:$B$1068,MATCH($A296,'Historical Data'!$BE$2:$BE$1068,0)),"")</f>
        <v/>
      </c>
      <c r="D296" s="106" t="str">
        <f aca="false">IFERROR(INDEX('Historical Data'!$D$2:$D$1068,MATCH($A296,'Historical Data'!$BE$2:$BE$1068,0)),"")</f>
        <v/>
      </c>
      <c r="E296" s="107" t="str">
        <f aca="false">IFERROR(INDEX('Historical Data'!$E$2:$E$1068,MATCH($A296,'Historical Data'!$BE$2:$BE$1068,0)),"")</f>
        <v/>
      </c>
      <c r="F296" s="106" t="str">
        <f aca="false">IFERROR(INDEX('Historical Data'!$G$2:$G$1068,MATCH($A296,'Historical Data'!$BE$2:$BE$1068,0)),"")</f>
        <v/>
      </c>
      <c r="G296" s="106" t="str">
        <f aca="false">IFERROR(INDEX('Historical Data'!$Y$2:$Y$1068,MATCH($A296,'Historical Data'!$BE$2:$BE$1068,0)),"")</f>
        <v/>
      </c>
      <c r="H296" s="106" t="str">
        <f aca="false">IFERROR(INDEX('Historical Data'!$K$2:$K$1068,MATCH($A296,'Historical Data'!$BE$2:$BE$1068,0)),"")</f>
        <v/>
      </c>
      <c r="I296" s="106" t="str">
        <f aca="false">IFERROR(INDEX('Historical Data'!$J$2:$J$1068,MATCH($A296,'Historical Data'!$BE$2:$BE$1068,0)),"")</f>
        <v/>
      </c>
      <c r="J296" s="106" t="str">
        <f aca="false">IFERROR(INDEX('Historical Data'!$L$2:$L$1068,MATCH($A296,'Historical Data'!$BE$2:$BE$1068,0)),"")</f>
        <v/>
      </c>
      <c r="K296" s="108" t="str">
        <f aca="false">IFERROR(INDEX('Historical Data'!$M$2:$M$1068,MATCH($A296,'Historical Data'!$BE$2:$BE$1068,0)),"")</f>
        <v/>
      </c>
      <c r="L296" s="109" t="str">
        <f aca="false">IFERROR(INDEX('Historical Data'!$N$2:$N$1068,MATCH($A296,'Historical Data'!$BE$2:$BE$1068,0)),"")</f>
        <v/>
      </c>
      <c r="M296" s="109" t="str">
        <f aca="false">IFERROR(INDEX('Historical Data'!$Q$2:$Q$1068,MATCH($A296,'Historical Data'!$BE$2:$BE$1068,0)),"")</f>
        <v/>
      </c>
      <c r="N296" s="110" t="str">
        <f aca="false">IFERROR(INDEX('Historical Data'!$S$2:$S$1068,MATCH($A296,'Historical Data'!$BE$2:$BE$1068,0)),"")</f>
        <v/>
      </c>
      <c r="O296" s="109" t="str">
        <f aca="false">IFERROR(INDEX('Historical Data'!$AJ$2:$AJ$1068,MATCH($A296,'Historical Data'!$BE$2:$BE$1068,0)),"")</f>
        <v/>
      </c>
      <c r="P296" s="109" t="str">
        <f aca="false">IFERROR(INDEX('Historical Data'!$AK$2:$AK$1068,MATCH($A296,'Historical Data'!$BE$2:$BE$1068,0)),"")</f>
        <v/>
      </c>
      <c r="Q296" s="106" t="str">
        <f aca="false">IFERROR(INDEX('Historical Data'!$AA$2:$AA$1068,MATCH($A296,'Historical Data'!$BE$2:$BE$1068,0)),"")</f>
        <v/>
      </c>
      <c r="R296" s="106" t="str">
        <f aca="false">IFERROR(INDEX('Historical Data'!$AB$2:$AB$1068,MATCH($A296,'Historical Data'!$BE$2:$BE$1068,0)),"")</f>
        <v/>
      </c>
      <c r="S296" s="106" t="str">
        <f aca="false">IFERROR(INDEX('Historical Data'!$AN$2:$AN$1068,MATCH($A296,'Historical Data'!$BE$2:$BE$1068,0)),"")</f>
        <v/>
      </c>
      <c r="T296" s="106" t="str">
        <f aca="false">IFERROR(INDEX('Historical Data'!$AC$2:$AC$1068,MATCH($A296,'Historical Data'!$BE$2:$BE$1068,0)),"")</f>
        <v/>
      </c>
      <c r="U296" s="106" t="str">
        <f aca="false">IFERROR(INDEX('Historical Data'!$AE$2:$AE$1068,MATCH($A296,'Historical Data'!$BE$2:$BE$1068,0)),"")</f>
        <v/>
      </c>
      <c r="V296" s="106" t="str">
        <f aca="false">IFERROR(INDEX('Historical Data'!$AH$2:$AH$1068,MATCH($A296,'Historical Data'!$BE$2:$BE$1068,0)),"")</f>
        <v/>
      </c>
      <c r="W296" s="106" t="str">
        <f aca="false">IFERROR(INDEX('Historical Data'!$BC$2:$BC$1068,MATCH($A296,'Historical Data'!$BE$2:$BE$1068,0)),"")</f>
        <v/>
      </c>
      <c r="X296" s="105" t="str">
        <f aca="false">IF(B296="","",IF(W296=1,"NR + industry + position",IF(W296=2,"NR + ISO + position",IF(W296=3,"NR + industry",IF(W296=4,"NR + ISO",IF(W296=5,"NR + position",IF(W296=6,"NR only","book baseline"))))))&amp;"  ["&amp;IF(T296=1,"seasoned","unseasoned")&amp;IF(U296=1,", defaulted","")&amp;IF(V296=1,", open","")&amp;"]")</f>
        <v/>
      </c>
    </row>
    <row r="297" customFormat="false" ht="15" hidden="false" customHeight="false" outlineLevel="0" collapsed="false">
      <c r="A297" s="105" t="n">
        <v>293</v>
      </c>
      <c r="B297" s="106" t="str">
        <f aca="false">IFERROR(INDEX('Historical Data'!$A$2:$A$1068,MATCH($A297,'Historical Data'!$BE$2:$BE$1068,0)),"")</f>
        <v/>
      </c>
      <c r="C297" s="106" t="str">
        <f aca="false">IFERROR(INDEX('Historical Data'!$B$2:$B$1068,MATCH($A297,'Historical Data'!$BE$2:$BE$1068,0)),"")</f>
        <v/>
      </c>
      <c r="D297" s="106" t="str">
        <f aca="false">IFERROR(INDEX('Historical Data'!$D$2:$D$1068,MATCH($A297,'Historical Data'!$BE$2:$BE$1068,0)),"")</f>
        <v/>
      </c>
      <c r="E297" s="107" t="str">
        <f aca="false">IFERROR(INDEX('Historical Data'!$E$2:$E$1068,MATCH($A297,'Historical Data'!$BE$2:$BE$1068,0)),"")</f>
        <v/>
      </c>
      <c r="F297" s="106" t="str">
        <f aca="false">IFERROR(INDEX('Historical Data'!$G$2:$G$1068,MATCH($A297,'Historical Data'!$BE$2:$BE$1068,0)),"")</f>
        <v/>
      </c>
      <c r="G297" s="106" t="str">
        <f aca="false">IFERROR(INDEX('Historical Data'!$Y$2:$Y$1068,MATCH($A297,'Historical Data'!$BE$2:$BE$1068,0)),"")</f>
        <v/>
      </c>
      <c r="H297" s="106" t="str">
        <f aca="false">IFERROR(INDEX('Historical Data'!$K$2:$K$1068,MATCH($A297,'Historical Data'!$BE$2:$BE$1068,0)),"")</f>
        <v/>
      </c>
      <c r="I297" s="106" t="str">
        <f aca="false">IFERROR(INDEX('Historical Data'!$J$2:$J$1068,MATCH($A297,'Historical Data'!$BE$2:$BE$1068,0)),"")</f>
        <v/>
      </c>
      <c r="J297" s="106" t="str">
        <f aca="false">IFERROR(INDEX('Historical Data'!$L$2:$L$1068,MATCH($A297,'Historical Data'!$BE$2:$BE$1068,0)),"")</f>
        <v/>
      </c>
      <c r="K297" s="108" t="str">
        <f aca="false">IFERROR(INDEX('Historical Data'!$M$2:$M$1068,MATCH($A297,'Historical Data'!$BE$2:$BE$1068,0)),"")</f>
        <v/>
      </c>
      <c r="L297" s="109" t="str">
        <f aca="false">IFERROR(INDEX('Historical Data'!$N$2:$N$1068,MATCH($A297,'Historical Data'!$BE$2:$BE$1068,0)),"")</f>
        <v/>
      </c>
      <c r="M297" s="109" t="str">
        <f aca="false">IFERROR(INDEX('Historical Data'!$Q$2:$Q$1068,MATCH($A297,'Historical Data'!$BE$2:$BE$1068,0)),"")</f>
        <v/>
      </c>
      <c r="N297" s="110" t="str">
        <f aca="false">IFERROR(INDEX('Historical Data'!$S$2:$S$1068,MATCH($A297,'Historical Data'!$BE$2:$BE$1068,0)),"")</f>
        <v/>
      </c>
      <c r="O297" s="109" t="str">
        <f aca="false">IFERROR(INDEX('Historical Data'!$AJ$2:$AJ$1068,MATCH($A297,'Historical Data'!$BE$2:$BE$1068,0)),"")</f>
        <v/>
      </c>
      <c r="P297" s="109" t="str">
        <f aca="false">IFERROR(INDEX('Historical Data'!$AK$2:$AK$1068,MATCH($A297,'Historical Data'!$BE$2:$BE$1068,0)),"")</f>
        <v/>
      </c>
      <c r="Q297" s="106" t="str">
        <f aca="false">IFERROR(INDEX('Historical Data'!$AA$2:$AA$1068,MATCH($A297,'Historical Data'!$BE$2:$BE$1068,0)),"")</f>
        <v/>
      </c>
      <c r="R297" s="106" t="str">
        <f aca="false">IFERROR(INDEX('Historical Data'!$AB$2:$AB$1068,MATCH($A297,'Historical Data'!$BE$2:$BE$1068,0)),"")</f>
        <v/>
      </c>
      <c r="S297" s="106" t="str">
        <f aca="false">IFERROR(INDEX('Historical Data'!$AN$2:$AN$1068,MATCH($A297,'Historical Data'!$BE$2:$BE$1068,0)),"")</f>
        <v/>
      </c>
      <c r="T297" s="106" t="str">
        <f aca="false">IFERROR(INDEX('Historical Data'!$AC$2:$AC$1068,MATCH($A297,'Historical Data'!$BE$2:$BE$1068,0)),"")</f>
        <v/>
      </c>
      <c r="U297" s="106" t="str">
        <f aca="false">IFERROR(INDEX('Historical Data'!$AE$2:$AE$1068,MATCH($A297,'Historical Data'!$BE$2:$BE$1068,0)),"")</f>
        <v/>
      </c>
      <c r="V297" s="106" t="str">
        <f aca="false">IFERROR(INDEX('Historical Data'!$AH$2:$AH$1068,MATCH($A297,'Historical Data'!$BE$2:$BE$1068,0)),"")</f>
        <v/>
      </c>
      <c r="W297" s="106" t="str">
        <f aca="false">IFERROR(INDEX('Historical Data'!$BC$2:$BC$1068,MATCH($A297,'Historical Data'!$BE$2:$BE$1068,0)),"")</f>
        <v/>
      </c>
      <c r="X297" s="105" t="str">
        <f aca="false">IF(B297="","",IF(W297=1,"NR + industry + position",IF(W297=2,"NR + ISO + position",IF(W297=3,"NR + industry",IF(W297=4,"NR + ISO",IF(W297=5,"NR + position",IF(W297=6,"NR only","book baseline"))))))&amp;"  ["&amp;IF(T297=1,"seasoned","unseasoned")&amp;IF(U297=1,", defaulted","")&amp;IF(V297=1,", open","")&amp;"]")</f>
        <v/>
      </c>
    </row>
    <row r="298" customFormat="false" ht="15" hidden="false" customHeight="false" outlineLevel="0" collapsed="false">
      <c r="A298" s="105" t="n">
        <v>294</v>
      </c>
      <c r="B298" s="106" t="str">
        <f aca="false">IFERROR(INDEX('Historical Data'!$A$2:$A$1068,MATCH($A298,'Historical Data'!$BE$2:$BE$1068,0)),"")</f>
        <v/>
      </c>
      <c r="C298" s="106" t="str">
        <f aca="false">IFERROR(INDEX('Historical Data'!$B$2:$B$1068,MATCH($A298,'Historical Data'!$BE$2:$BE$1068,0)),"")</f>
        <v/>
      </c>
      <c r="D298" s="106" t="str">
        <f aca="false">IFERROR(INDEX('Historical Data'!$D$2:$D$1068,MATCH($A298,'Historical Data'!$BE$2:$BE$1068,0)),"")</f>
        <v/>
      </c>
      <c r="E298" s="107" t="str">
        <f aca="false">IFERROR(INDEX('Historical Data'!$E$2:$E$1068,MATCH($A298,'Historical Data'!$BE$2:$BE$1068,0)),"")</f>
        <v/>
      </c>
      <c r="F298" s="106" t="str">
        <f aca="false">IFERROR(INDEX('Historical Data'!$G$2:$G$1068,MATCH($A298,'Historical Data'!$BE$2:$BE$1068,0)),"")</f>
        <v/>
      </c>
      <c r="G298" s="106" t="str">
        <f aca="false">IFERROR(INDEX('Historical Data'!$Y$2:$Y$1068,MATCH($A298,'Historical Data'!$BE$2:$BE$1068,0)),"")</f>
        <v/>
      </c>
      <c r="H298" s="106" t="str">
        <f aca="false">IFERROR(INDEX('Historical Data'!$K$2:$K$1068,MATCH($A298,'Historical Data'!$BE$2:$BE$1068,0)),"")</f>
        <v/>
      </c>
      <c r="I298" s="106" t="str">
        <f aca="false">IFERROR(INDEX('Historical Data'!$J$2:$J$1068,MATCH($A298,'Historical Data'!$BE$2:$BE$1068,0)),"")</f>
        <v/>
      </c>
      <c r="J298" s="106" t="str">
        <f aca="false">IFERROR(INDEX('Historical Data'!$L$2:$L$1068,MATCH($A298,'Historical Data'!$BE$2:$BE$1068,0)),"")</f>
        <v/>
      </c>
      <c r="K298" s="108" t="str">
        <f aca="false">IFERROR(INDEX('Historical Data'!$M$2:$M$1068,MATCH($A298,'Historical Data'!$BE$2:$BE$1068,0)),"")</f>
        <v/>
      </c>
      <c r="L298" s="109" t="str">
        <f aca="false">IFERROR(INDEX('Historical Data'!$N$2:$N$1068,MATCH($A298,'Historical Data'!$BE$2:$BE$1068,0)),"")</f>
        <v/>
      </c>
      <c r="M298" s="109" t="str">
        <f aca="false">IFERROR(INDEX('Historical Data'!$Q$2:$Q$1068,MATCH($A298,'Historical Data'!$BE$2:$BE$1068,0)),"")</f>
        <v/>
      </c>
      <c r="N298" s="110" t="str">
        <f aca="false">IFERROR(INDEX('Historical Data'!$S$2:$S$1068,MATCH($A298,'Historical Data'!$BE$2:$BE$1068,0)),"")</f>
        <v/>
      </c>
      <c r="O298" s="109" t="str">
        <f aca="false">IFERROR(INDEX('Historical Data'!$AJ$2:$AJ$1068,MATCH($A298,'Historical Data'!$BE$2:$BE$1068,0)),"")</f>
        <v/>
      </c>
      <c r="P298" s="109" t="str">
        <f aca="false">IFERROR(INDEX('Historical Data'!$AK$2:$AK$1068,MATCH($A298,'Historical Data'!$BE$2:$BE$1068,0)),"")</f>
        <v/>
      </c>
      <c r="Q298" s="106" t="str">
        <f aca="false">IFERROR(INDEX('Historical Data'!$AA$2:$AA$1068,MATCH($A298,'Historical Data'!$BE$2:$BE$1068,0)),"")</f>
        <v/>
      </c>
      <c r="R298" s="106" t="str">
        <f aca="false">IFERROR(INDEX('Historical Data'!$AB$2:$AB$1068,MATCH($A298,'Historical Data'!$BE$2:$BE$1068,0)),"")</f>
        <v/>
      </c>
      <c r="S298" s="106" t="str">
        <f aca="false">IFERROR(INDEX('Historical Data'!$AN$2:$AN$1068,MATCH($A298,'Historical Data'!$BE$2:$BE$1068,0)),"")</f>
        <v/>
      </c>
      <c r="T298" s="106" t="str">
        <f aca="false">IFERROR(INDEX('Historical Data'!$AC$2:$AC$1068,MATCH($A298,'Historical Data'!$BE$2:$BE$1068,0)),"")</f>
        <v/>
      </c>
      <c r="U298" s="106" t="str">
        <f aca="false">IFERROR(INDEX('Historical Data'!$AE$2:$AE$1068,MATCH($A298,'Historical Data'!$BE$2:$BE$1068,0)),"")</f>
        <v/>
      </c>
      <c r="V298" s="106" t="str">
        <f aca="false">IFERROR(INDEX('Historical Data'!$AH$2:$AH$1068,MATCH($A298,'Historical Data'!$BE$2:$BE$1068,0)),"")</f>
        <v/>
      </c>
      <c r="W298" s="106" t="str">
        <f aca="false">IFERROR(INDEX('Historical Data'!$BC$2:$BC$1068,MATCH($A298,'Historical Data'!$BE$2:$BE$1068,0)),"")</f>
        <v/>
      </c>
      <c r="X298" s="105" t="str">
        <f aca="false">IF(B298="","",IF(W298=1,"NR + industry + position",IF(W298=2,"NR + ISO + position",IF(W298=3,"NR + industry",IF(W298=4,"NR + ISO",IF(W298=5,"NR + position",IF(W298=6,"NR only","book baseline"))))))&amp;"  ["&amp;IF(T298=1,"seasoned","unseasoned")&amp;IF(U298=1,", defaulted","")&amp;IF(V298=1,", open","")&amp;"]")</f>
        <v/>
      </c>
    </row>
    <row r="299" customFormat="false" ht="15" hidden="false" customHeight="false" outlineLevel="0" collapsed="false">
      <c r="A299" s="105" t="n">
        <v>295</v>
      </c>
      <c r="B299" s="106" t="str">
        <f aca="false">IFERROR(INDEX('Historical Data'!$A$2:$A$1068,MATCH($A299,'Historical Data'!$BE$2:$BE$1068,0)),"")</f>
        <v/>
      </c>
      <c r="C299" s="106" t="str">
        <f aca="false">IFERROR(INDEX('Historical Data'!$B$2:$B$1068,MATCH($A299,'Historical Data'!$BE$2:$BE$1068,0)),"")</f>
        <v/>
      </c>
      <c r="D299" s="106" t="str">
        <f aca="false">IFERROR(INDEX('Historical Data'!$D$2:$D$1068,MATCH($A299,'Historical Data'!$BE$2:$BE$1068,0)),"")</f>
        <v/>
      </c>
      <c r="E299" s="107" t="str">
        <f aca="false">IFERROR(INDEX('Historical Data'!$E$2:$E$1068,MATCH($A299,'Historical Data'!$BE$2:$BE$1068,0)),"")</f>
        <v/>
      </c>
      <c r="F299" s="106" t="str">
        <f aca="false">IFERROR(INDEX('Historical Data'!$G$2:$G$1068,MATCH($A299,'Historical Data'!$BE$2:$BE$1068,0)),"")</f>
        <v/>
      </c>
      <c r="G299" s="106" t="str">
        <f aca="false">IFERROR(INDEX('Historical Data'!$Y$2:$Y$1068,MATCH($A299,'Historical Data'!$BE$2:$BE$1068,0)),"")</f>
        <v/>
      </c>
      <c r="H299" s="106" t="str">
        <f aca="false">IFERROR(INDEX('Historical Data'!$K$2:$K$1068,MATCH($A299,'Historical Data'!$BE$2:$BE$1068,0)),"")</f>
        <v/>
      </c>
      <c r="I299" s="106" t="str">
        <f aca="false">IFERROR(INDEX('Historical Data'!$J$2:$J$1068,MATCH($A299,'Historical Data'!$BE$2:$BE$1068,0)),"")</f>
        <v/>
      </c>
      <c r="J299" s="106" t="str">
        <f aca="false">IFERROR(INDEX('Historical Data'!$L$2:$L$1068,MATCH($A299,'Historical Data'!$BE$2:$BE$1068,0)),"")</f>
        <v/>
      </c>
      <c r="K299" s="108" t="str">
        <f aca="false">IFERROR(INDEX('Historical Data'!$M$2:$M$1068,MATCH($A299,'Historical Data'!$BE$2:$BE$1068,0)),"")</f>
        <v/>
      </c>
      <c r="L299" s="109" t="str">
        <f aca="false">IFERROR(INDEX('Historical Data'!$N$2:$N$1068,MATCH($A299,'Historical Data'!$BE$2:$BE$1068,0)),"")</f>
        <v/>
      </c>
      <c r="M299" s="109" t="str">
        <f aca="false">IFERROR(INDEX('Historical Data'!$Q$2:$Q$1068,MATCH($A299,'Historical Data'!$BE$2:$BE$1068,0)),"")</f>
        <v/>
      </c>
      <c r="N299" s="110" t="str">
        <f aca="false">IFERROR(INDEX('Historical Data'!$S$2:$S$1068,MATCH($A299,'Historical Data'!$BE$2:$BE$1068,0)),"")</f>
        <v/>
      </c>
      <c r="O299" s="109" t="str">
        <f aca="false">IFERROR(INDEX('Historical Data'!$AJ$2:$AJ$1068,MATCH($A299,'Historical Data'!$BE$2:$BE$1068,0)),"")</f>
        <v/>
      </c>
      <c r="P299" s="109" t="str">
        <f aca="false">IFERROR(INDEX('Historical Data'!$AK$2:$AK$1068,MATCH($A299,'Historical Data'!$BE$2:$BE$1068,0)),"")</f>
        <v/>
      </c>
      <c r="Q299" s="106" t="str">
        <f aca="false">IFERROR(INDEX('Historical Data'!$AA$2:$AA$1068,MATCH($A299,'Historical Data'!$BE$2:$BE$1068,0)),"")</f>
        <v/>
      </c>
      <c r="R299" s="106" t="str">
        <f aca="false">IFERROR(INDEX('Historical Data'!$AB$2:$AB$1068,MATCH($A299,'Historical Data'!$BE$2:$BE$1068,0)),"")</f>
        <v/>
      </c>
      <c r="S299" s="106" t="str">
        <f aca="false">IFERROR(INDEX('Historical Data'!$AN$2:$AN$1068,MATCH($A299,'Historical Data'!$BE$2:$BE$1068,0)),"")</f>
        <v/>
      </c>
      <c r="T299" s="106" t="str">
        <f aca="false">IFERROR(INDEX('Historical Data'!$AC$2:$AC$1068,MATCH($A299,'Historical Data'!$BE$2:$BE$1068,0)),"")</f>
        <v/>
      </c>
      <c r="U299" s="106" t="str">
        <f aca="false">IFERROR(INDEX('Historical Data'!$AE$2:$AE$1068,MATCH($A299,'Historical Data'!$BE$2:$BE$1068,0)),"")</f>
        <v/>
      </c>
      <c r="V299" s="106" t="str">
        <f aca="false">IFERROR(INDEX('Historical Data'!$AH$2:$AH$1068,MATCH($A299,'Historical Data'!$BE$2:$BE$1068,0)),"")</f>
        <v/>
      </c>
      <c r="W299" s="106" t="str">
        <f aca="false">IFERROR(INDEX('Historical Data'!$BC$2:$BC$1068,MATCH($A299,'Historical Data'!$BE$2:$BE$1068,0)),"")</f>
        <v/>
      </c>
      <c r="X299" s="105" t="str">
        <f aca="false">IF(B299="","",IF(W299=1,"NR + industry + position",IF(W299=2,"NR + ISO + position",IF(W299=3,"NR + industry",IF(W299=4,"NR + ISO",IF(W299=5,"NR + position",IF(W299=6,"NR only","book baseline"))))))&amp;"  ["&amp;IF(T299=1,"seasoned","unseasoned")&amp;IF(U299=1,", defaulted","")&amp;IF(V299=1,", open","")&amp;"]")</f>
        <v/>
      </c>
    </row>
    <row r="300" customFormat="false" ht="15" hidden="false" customHeight="false" outlineLevel="0" collapsed="false">
      <c r="A300" s="105" t="n">
        <v>296</v>
      </c>
      <c r="B300" s="106" t="str">
        <f aca="false">IFERROR(INDEX('Historical Data'!$A$2:$A$1068,MATCH($A300,'Historical Data'!$BE$2:$BE$1068,0)),"")</f>
        <v/>
      </c>
      <c r="C300" s="106" t="str">
        <f aca="false">IFERROR(INDEX('Historical Data'!$B$2:$B$1068,MATCH($A300,'Historical Data'!$BE$2:$BE$1068,0)),"")</f>
        <v/>
      </c>
      <c r="D300" s="106" t="str">
        <f aca="false">IFERROR(INDEX('Historical Data'!$D$2:$D$1068,MATCH($A300,'Historical Data'!$BE$2:$BE$1068,0)),"")</f>
        <v/>
      </c>
      <c r="E300" s="107" t="str">
        <f aca="false">IFERROR(INDEX('Historical Data'!$E$2:$E$1068,MATCH($A300,'Historical Data'!$BE$2:$BE$1068,0)),"")</f>
        <v/>
      </c>
      <c r="F300" s="106" t="str">
        <f aca="false">IFERROR(INDEX('Historical Data'!$G$2:$G$1068,MATCH($A300,'Historical Data'!$BE$2:$BE$1068,0)),"")</f>
        <v/>
      </c>
      <c r="G300" s="106" t="str">
        <f aca="false">IFERROR(INDEX('Historical Data'!$Y$2:$Y$1068,MATCH($A300,'Historical Data'!$BE$2:$BE$1068,0)),"")</f>
        <v/>
      </c>
      <c r="H300" s="106" t="str">
        <f aca="false">IFERROR(INDEX('Historical Data'!$K$2:$K$1068,MATCH($A300,'Historical Data'!$BE$2:$BE$1068,0)),"")</f>
        <v/>
      </c>
      <c r="I300" s="106" t="str">
        <f aca="false">IFERROR(INDEX('Historical Data'!$J$2:$J$1068,MATCH($A300,'Historical Data'!$BE$2:$BE$1068,0)),"")</f>
        <v/>
      </c>
      <c r="J300" s="106" t="str">
        <f aca="false">IFERROR(INDEX('Historical Data'!$L$2:$L$1068,MATCH($A300,'Historical Data'!$BE$2:$BE$1068,0)),"")</f>
        <v/>
      </c>
      <c r="K300" s="108" t="str">
        <f aca="false">IFERROR(INDEX('Historical Data'!$M$2:$M$1068,MATCH($A300,'Historical Data'!$BE$2:$BE$1068,0)),"")</f>
        <v/>
      </c>
      <c r="L300" s="109" t="str">
        <f aca="false">IFERROR(INDEX('Historical Data'!$N$2:$N$1068,MATCH($A300,'Historical Data'!$BE$2:$BE$1068,0)),"")</f>
        <v/>
      </c>
      <c r="M300" s="109" t="str">
        <f aca="false">IFERROR(INDEX('Historical Data'!$Q$2:$Q$1068,MATCH($A300,'Historical Data'!$BE$2:$BE$1068,0)),"")</f>
        <v/>
      </c>
      <c r="N300" s="110" t="str">
        <f aca="false">IFERROR(INDEX('Historical Data'!$S$2:$S$1068,MATCH($A300,'Historical Data'!$BE$2:$BE$1068,0)),"")</f>
        <v/>
      </c>
      <c r="O300" s="109" t="str">
        <f aca="false">IFERROR(INDEX('Historical Data'!$AJ$2:$AJ$1068,MATCH($A300,'Historical Data'!$BE$2:$BE$1068,0)),"")</f>
        <v/>
      </c>
      <c r="P300" s="109" t="str">
        <f aca="false">IFERROR(INDEX('Historical Data'!$AK$2:$AK$1068,MATCH($A300,'Historical Data'!$BE$2:$BE$1068,0)),"")</f>
        <v/>
      </c>
      <c r="Q300" s="106" t="str">
        <f aca="false">IFERROR(INDEX('Historical Data'!$AA$2:$AA$1068,MATCH($A300,'Historical Data'!$BE$2:$BE$1068,0)),"")</f>
        <v/>
      </c>
      <c r="R300" s="106" t="str">
        <f aca="false">IFERROR(INDEX('Historical Data'!$AB$2:$AB$1068,MATCH($A300,'Historical Data'!$BE$2:$BE$1068,0)),"")</f>
        <v/>
      </c>
      <c r="S300" s="106" t="str">
        <f aca="false">IFERROR(INDEX('Historical Data'!$AN$2:$AN$1068,MATCH($A300,'Historical Data'!$BE$2:$BE$1068,0)),"")</f>
        <v/>
      </c>
      <c r="T300" s="106" t="str">
        <f aca="false">IFERROR(INDEX('Historical Data'!$AC$2:$AC$1068,MATCH($A300,'Historical Data'!$BE$2:$BE$1068,0)),"")</f>
        <v/>
      </c>
      <c r="U300" s="106" t="str">
        <f aca="false">IFERROR(INDEX('Historical Data'!$AE$2:$AE$1068,MATCH($A300,'Historical Data'!$BE$2:$BE$1068,0)),"")</f>
        <v/>
      </c>
      <c r="V300" s="106" t="str">
        <f aca="false">IFERROR(INDEX('Historical Data'!$AH$2:$AH$1068,MATCH($A300,'Historical Data'!$BE$2:$BE$1068,0)),"")</f>
        <v/>
      </c>
      <c r="W300" s="106" t="str">
        <f aca="false">IFERROR(INDEX('Historical Data'!$BC$2:$BC$1068,MATCH($A300,'Historical Data'!$BE$2:$BE$1068,0)),"")</f>
        <v/>
      </c>
      <c r="X300" s="105" t="str">
        <f aca="false">IF(B300="","",IF(W300=1,"NR + industry + position",IF(W300=2,"NR + ISO + position",IF(W300=3,"NR + industry",IF(W300=4,"NR + ISO",IF(W300=5,"NR + position",IF(W300=6,"NR only","book baseline"))))))&amp;"  ["&amp;IF(T300=1,"seasoned","unseasoned")&amp;IF(U300=1,", defaulted","")&amp;IF(V300=1,", open","")&amp;"]")</f>
        <v/>
      </c>
    </row>
    <row r="301" customFormat="false" ht="15" hidden="false" customHeight="false" outlineLevel="0" collapsed="false">
      <c r="A301" s="105" t="n">
        <v>297</v>
      </c>
      <c r="B301" s="106" t="str">
        <f aca="false">IFERROR(INDEX('Historical Data'!$A$2:$A$1068,MATCH($A301,'Historical Data'!$BE$2:$BE$1068,0)),"")</f>
        <v/>
      </c>
      <c r="C301" s="106" t="str">
        <f aca="false">IFERROR(INDEX('Historical Data'!$B$2:$B$1068,MATCH($A301,'Historical Data'!$BE$2:$BE$1068,0)),"")</f>
        <v/>
      </c>
      <c r="D301" s="106" t="str">
        <f aca="false">IFERROR(INDEX('Historical Data'!$D$2:$D$1068,MATCH($A301,'Historical Data'!$BE$2:$BE$1068,0)),"")</f>
        <v/>
      </c>
      <c r="E301" s="107" t="str">
        <f aca="false">IFERROR(INDEX('Historical Data'!$E$2:$E$1068,MATCH($A301,'Historical Data'!$BE$2:$BE$1068,0)),"")</f>
        <v/>
      </c>
      <c r="F301" s="106" t="str">
        <f aca="false">IFERROR(INDEX('Historical Data'!$G$2:$G$1068,MATCH($A301,'Historical Data'!$BE$2:$BE$1068,0)),"")</f>
        <v/>
      </c>
      <c r="G301" s="106" t="str">
        <f aca="false">IFERROR(INDEX('Historical Data'!$Y$2:$Y$1068,MATCH($A301,'Historical Data'!$BE$2:$BE$1068,0)),"")</f>
        <v/>
      </c>
      <c r="H301" s="106" t="str">
        <f aca="false">IFERROR(INDEX('Historical Data'!$K$2:$K$1068,MATCH($A301,'Historical Data'!$BE$2:$BE$1068,0)),"")</f>
        <v/>
      </c>
      <c r="I301" s="106" t="str">
        <f aca="false">IFERROR(INDEX('Historical Data'!$J$2:$J$1068,MATCH($A301,'Historical Data'!$BE$2:$BE$1068,0)),"")</f>
        <v/>
      </c>
      <c r="J301" s="106" t="str">
        <f aca="false">IFERROR(INDEX('Historical Data'!$L$2:$L$1068,MATCH($A301,'Historical Data'!$BE$2:$BE$1068,0)),"")</f>
        <v/>
      </c>
      <c r="K301" s="108" t="str">
        <f aca="false">IFERROR(INDEX('Historical Data'!$M$2:$M$1068,MATCH($A301,'Historical Data'!$BE$2:$BE$1068,0)),"")</f>
        <v/>
      </c>
      <c r="L301" s="109" t="str">
        <f aca="false">IFERROR(INDEX('Historical Data'!$N$2:$N$1068,MATCH($A301,'Historical Data'!$BE$2:$BE$1068,0)),"")</f>
        <v/>
      </c>
      <c r="M301" s="109" t="str">
        <f aca="false">IFERROR(INDEX('Historical Data'!$Q$2:$Q$1068,MATCH($A301,'Historical Data'!$BE$2:$BE$1068,0)),"")</f>
        <v/>
      </c>
      <c r="N301" s="110" t="str">
        <f aca="false">IFERROR(INDEX('Historical Data'!$S$2:$S$1068,MATCH($A301,'Historical Data'!$BE$2:$BE$1068,0)),"")</f>
        <v/>
      </c>
      <c r="O301" s="109" t="str">
        <f aca="false">IFERROR(INDEX('Historical Data'!$AJ$2:$AJ$1068,MATCH($A301,'Historical Data'!$BE$2:$BE$1068,0)),"")</f>
        <v/>
      </c>
      <c r="P301" s="109" t="str">
        <f aca="false">IFERROR(INDEX('Historical Data'!$AK$2:$AK$1068,MATCH($A301,'Historical Data'!$BE$2:$BE$1068,0)),"")</f>
        <v/>
      </c>
      <c r="Q301" s="106" t="str">
        <f aca="false">IFERROR(INDEX('Historical Data'!$AA$2:$AA$1068,MATCH($A301,'Historical Data'!$BE$2:$BE$1068,0)),"")</f>
        <v/>
      </c>
      <c r="R301" s="106" t="str">
        <f aca="false">IFERROR(INDEX('Historical Data'!$AB$2:$AB$1068,MATCH($A301,'Historical Data'!$BE$2:$BE$1068,0)),"")</f>
        <v/>
      </c>
      <c r="S301" s="106" t="str">
        <f aca="false">IFERROR(INDEX('Historical Data'!$AN$2:$AN$1068,MATCH($A301,'Historical Data'!$BE$2:$BE$1068,0)),"")</f>
        <v/>
      </c>
      <c r="T301" s="106" t="str">
        <f aca="false">IFERROR(INDEX('Historical Data'!$AC$2:$AC$1068,MATCH($A301,'Historical Data'!$BE$2:$BE$1068,0)),"")</f>
        <v/>
      </c>
      <c r="U301" s="106" t="str">
        <f aca="false">IFERROR(INDEX('Historical Data'!$AE$2:$AE$1068,MATCH($A301,'Historical Data'!$BE$2:$BE$1068,0)),"")</f>
        <v/>
      </c>
      <c r="V301" s="106" t="str">
        <f aca="false">IFERROR(INDEX('Historical Data'!$AH$2:$AH$1068,MATCH($A301,'Historical Data'!$BE$2:$BE$1068,0)),"")</f>
        <v/>
      </c>
      <c r="W301" s="106" t="str">
        <f aca="false">IFERROR(INDEX('Historical Data'!$BC$2:$BC$1068,MATCH($A301,'Historical Data'!$BE$2:$BE$1068,0)),"")</f>
        <v/>
      </c>
      <c r="X301" s="105" t="str">
        <f aca="false">IF(B301="","",IF(W301=1,"NR + industry + position",IF(W301=2,"NR + ISO + position",IF(W301=3,"NR + industry",IF(W301=4,"NR + ISO",IF(W301=5,"NR + position",IF(W301=6,"NR only","book baseline"))))))&amp;"  ["&amp;IF(T301=1,"seasoned","unseasoned")&amp;IF(U301=1,", defaulted","")&amp;IF(V301=1,", open","")&amp;"]")</f>
        <v/>
      </c>
    </row>
    <row r="302" customFormat="false" ht="15" hidden="false" customHeight="false" outlineLevel="0" collapsed="false">
      <c r="A302" s="105" t="n">
        <v>298</v>
      </c>
      <c r="B302" s="106" t="str">
        <f aca="false">IFERROR(INDEX('Historical Data'!$A$2:$A$1068,MATCH($A302,'Historical Data'!$BE$2:$BE$1068,0)),"")</f>
        <v/>
      </c>
      <c r="C302" s="106" t="str">
        <f aca="false">IFERROR(INDEX('Historical Data'!$B$2:$B$1068,MATCH($A302,'Historical Data'!$BE$2:$BE$1068,0)),"")</f>
        <v/>
      </c>
      <c r="D302" s="106" t="str">
        <f aca="false">IFERROR(INDEX('Historical Data'!$D$2:$D$1068,MATCH($A302,'Historical Data'!$BE$2:$BE$1068,0)),"")</f>
        <v/>
      </c>
      <c r="E302" s="107" t="str">
        <f aca="false">IFERROR(INDEX('Historical Data'!$E$2:$E$1068,MATCH($A302,'Historical Data'!$BE$2:$BE$1068,0)),"")</f>
        <v/>
      </c>
      <c r="F302" s="106" t="str">
        <f aca="false">IFERROR(INDEX('Historical Data'!$G$2:$G$1068,MATCH($A302,'Historical Data'!$BE$2:$BE$1068,0)),"")</f>
        <v/>
      </c>
      <c r="G302" s="106" t="str">
        <f aca="false">IFERROR(INDEX('Historical Data'!$Y$2:$Y$1068,MATCH($A302,'Historical Data'!$BE$2:$BE$1068,0)),"")</f>
        <v/>
      </c>
      <c r="H302" s="106" t="str">
        <f aca="false">IFERROR(INDEX('Historical Data'!$K$2:$K$1068,MATCH($A302,'Historical Data'!$BE$2:$BE$1068,0)),"")</f>
        <v/>
      </c>
      <c r="I302" s="106" t="str">
        <f aca="false">IFERROR(INDEX('Historical Data'!$J$2:$J$1068,MATCH($A302,'Historical Data'!$BE$2:$BE$1068,0)),"")</f>
        <v/>
      </c>
      <c r="J302" s="106" t="str">
        <f aca="false">IFERROR(INDEX('Historical Data'!$L$2:$L$1068,MATCH($A302,'Historical Data'!$BE$2:$BE$1068,0)),"")</f>
        <v/>
      </c>
      <c r="K302" s="108" t="str">
        <f aca="false">IFERROR(INDEX('Historical Data'!$M$2:$M$1068,MATCH($A302,'Historical Data'!$BE$2:$BE$1068,0)),"")</f>
        <v/>
      </c>
      <c r="L302" s="109" t="str">
        <f aca="false">IFERROR(INDEX('Historical Data'!$N$2:$N$1068,MATCH($A302,'Historical Data'!$BE$2:$BE$1068,0)),"")</f>
        <v/>
      </c>
      <c r="M302" s="109" t="str">
        <f aca="false">IFERROR(INDEX('Historical Data'!$Q$2:$Q$1068,MATCH($A302,'Historical Data'!$BE$2:$BE$1068,0)),"")</f>
        <v/>
      </c>
      <c r="N302" s="110" t="str">
        <f aca="false">IFERROR(INDEX('Historical Data'!$S$2:$S$1068,MATCH($A302,'Historical Data'!$BE$2:$BE$1068,0)),"")</f>
        <v/>
      </c>
      <c r="O302" s="109" t="str">
        <f aca="false">IFERROR(INDEX('Historical Data'!$AJ$2:$AJ$1068,MATCH($A302,'Historical Data'!$BE$2:$BE$1068,0)),"")</f>
        <v/>
      </c>
      <c r="P302" s="109" t="str">
        <f aca="false">IFERROR(INDEX('Historical Data'!$AK$2:$AK$1068,MATCH($A302,'Historical Data'!$BE$2:$BE$1068,0)),"")</f>
        <v/>
      </c>
      <c r="Q302" s="106" t="str">
        <f aca="false">IFERROR(INDEX('Historical Data'!$AA$2:$AA$1068,MATCH($A302,'Historical Data'!$BE$2:$BE$1068,0)),"")</f>
        <v/>
      </c>
      <c r="R302" s="106" t="str">
        <f aca="false">IFERROR(INDEX('Historical Data'!$AB$2:$AB$1068,MATCH($A302,'Historical Data'!$BE$2:$BE$1068,0)),"")</f>
        <v/>
      </c>
      <c r="S302" s="106" t="str">
        <f aca="false">IFERROR(INDEX('Historical Data'!$AN$2:$AN$1068,MATCH($A302,'Historical Data'!$BE$2:$BE$1068,0)),"")</f>
        <v/>
      </c>
      <c r="T302" s="106" t="str">
        <f aca="false">IFERROR(INDEX('Historical Data'!$AC$2:$AC$1068,MATCH($A302,'Historical Data'!$BE$2:$BE$1068,0)),"")</f>
        <v/>
      </c>
      <c r="U302" s="106" t="str">
        <f aca="false">IFERROR(INDEX('Historical Data'!$AE$2:$AE$1068,MATCH($A302,'Historical Data'!$BE$2:$BE$1068,0)),"")</f>
        <v/>
      </c>
      <c r="V302" s="106" t="str">
        <f aca="false">IFERROR(INDEX('Historical Data'!$AH$2:$AH$1068,MATCH($A302,'Historical Data'!$BE$2:$BE$1068,0)),"")</f>
        <v/>
      </c>
      <c r="W302" s="106" t="str">
        <f aca="false">IFERROR(INDEX('Historical Data'!$BC$2:$BC$1068,MATCH($A302,'Historical Data'!$BE$2:$BE$1068,0)),"")</f>
        <v/>
      </c>
      <c r="X302" s="105" t="str">
        <f aca="false">IF(B302="","",IF(W302=1,"NR + industry + position",IF(W302=2,"NR + ISO + position",IF(W302=3,"NR + industry",IF(W302=4,"NR + ISO",IF(W302=5,"NR + position",IF(W302=6,"NR only","book baseline"))))))&amp;"  ["&amp;IF(T302=1,"seasoned","unseasoned")&amp;IF(U302=1,", defaulted","")&amp;IF(V302=1,", open","")&amp;"]")</f>
        <v/>
      </c>
    </row>
    <row r="303" customFormat="false" ht="15" hidden="false" customHeight="false" outlineLevel="0" collapsed="false">
      <c r="A303" s="105" t="n">
        <v>299</v>
      </c>
      <c r="B303" s="106" t="str">
        <f aca="false">IFERROR(INDEX('Historical Data'!$A$2:$A$1068,MATCH($A303,'Historical Data'!$BE$2:$BE$1068,0)),"")</f>
        <v/>
      </c>
      <c r="C303" s="106" t="str">
        <f aca="false">IFERROR(INDEX('Historical Data'!$B$2:$B$1068,MATCH($A303,'Historical Data'!$BE$2:$BE$1068,0)),"")</f>
        <v/>
      </c>
      <c r="D303" s="106" t="str">
        <f aca="false">IFERROR(INDEX('Historical Data'!$D$2:$D$1068,MATCH($A303,'Historical Data'!$BE$2:$BE$1068,0)),"")</f>
        <v/>
      </c>
      <c r="E303" s="107" t="str">
        <f aca="false">IFERROR(INDEX('Historical Data'!$E$2:$E$1068,MATCH($A303,'Historical Data'!$BE$2:$BE$1068,0)),"")</f>
        <v/>
      </c>
      <c r="F303" s="106" t="str">
        <f aca="false">IFERROR(INDEX('Historical Data'!$G$2:$G$1068,MATCH($A303,'Historical Data'!$BE$2:$BE$1068,0)),"")</f>
        <v/>
      </c>
      <c r="G303" s="106" t="str">
        <f aca="false">IFERROR(INDEX('Historical Data'!$Y$2:$Y$1068,MATCH($A303,'Historical Data'!$BE$2:$BE$1068,0)),"")</f>
        <v/>
      </c>
      <c r="H303" s="106" t="str">
        <f aca="false">IFERROR(INDEX('Historical Data'!$K$2:$K$1068,MATCH($A303,'Historical Data'!$BE$2:$BE$1068,0)),"")</f>
        <v/>
      </c>
      <c r="I303" s="106" t="str">
        <f aca="false">IFERROR(INDEX('Historical Data'!$J$2:$J$1068,MATCH($A303,'Historical Data'!$BE$2:$BE$1068,0)),"")</f>
        <v/>
      </c>
      <c r="J303" s="106" t="str">
        <f aca="false">IFERROR(INDEX('Historical Data'!$L$2:$L$1068,MATCH($A303,'Historical Data'!$BE$2:$BE$1068,0)),"")</f>
        <v/>
      </c>
      <c r="K303" s="108" t="str">
        <f aca="false">IFERROR(INDEX('Historical Data'!$M$2:$M$1068,MATCH($A303,'Historical Data'!$BE$2:$BE$1068,0)),"")</f>
        <v/>
      </c>
      <c r="L303" s="109" t="str">
        <f aca="false">IFERROR(INDEX('Historical Data'!$N$2:$N$1068,MATCH($A303,'Historical Data'!$BE$2:$BE$1068,0)),"")</f>
        <v/>
      </c>
      <c r="M303" s="109" t="str">
        <f aca="false">IFERROR(INDEX('Historical Data'!$Q$2:$Q$1068,MATCH($A303,'Historical Data'!$BE$2:$BE$1068,0)),"")</f>
        <v/>
      </c>
      <c r="N303" s="110" t="str">
        <f aca="false">IFERROR(INDEX('Historical Data'!$S$2:$S$1068,MATCH($A303,'Historical Data'!$BE$2:$BE$1068,0)),"")</f>
        <v/>
      </c>
      <c r="O303" s="109" t="str">
        <f aca="false">IFERROR(INDEX('Historical Data'!$AJ$2:$AJ$1068,MATCH($A303,'Historical Data'!$BE$2:$BE$1068,0)),"")</f>
        <v/>
      </c>
      <c r="P303" s="109" t="str">
        <f aca="false">IFERROR(INDEX('Historical Data'!$AK$2:$AK$1068,MATCH($A303,'Historical Data'!$BE$2:$BE$1068,0)),"")</f>
        <v/>
      </c>
      <c r="Q303" s="106" t="str">
        <f aca="false">IFERROR(INDEX('Historical Data'!$AA$2:$AA$1068,MATCH($A303,'Historical Data'!$BE$2:$BE$1068,0)),"")</f>
        <v/>
      </c>
      <c r="R303" s="106" t="str">
        <f aca="false">IFERROR(INDEX('Historical Data'!$AB$2:$AB$1068,MATCH($A303,'Historical Data'!$BE$2:$BE$1068,0)),"")</f>
        <v/>
      </c>
      <c r="S303" s="106" t="str">
        <f aca="false">IFERROR(INDEX('Historical Data'!$AN$2:$AN$1068,MATCH($A303,'Historical Data'!$BE$2:$BE$1068,0)),"")</f>
        <v/>
      </c>
      <c r="T303" s="106" t="str">
        <f aca="false">IFERROR(INDEX('Historical Data'!$AC$2:$AC$1068,MATCH($A303,'Historical Data'!$BE$2:$BE$1068,0)),"")</f>
        <v/>
      </c>
      <c r="U303" s="106" t="str">
        <f aca="false">IFERROR(INDEX('Historical Data'!$AE$2:$AE$1068,MATCH($A303,'Historical Data'!$BE$2:$BE$1068,0)),"")</f>
        <v/>
      </c>
      <c r="V303" s="106" t="str">
        <f aca="false">IFERROR(INDEX('Historical Data'!$AH$2:$AH$1068,MATCH($A303,'Historical Data'!$BE$2:$BE$1068,0)),"")</f>
        <v/>
      </c>
      <c r="W303" s="106" t="str">
        <f aca="false">IFERROR(INDEX('Historical Data'!$BC$2:$BC$1068,MATCH($A303,'Historical Data'!$BE$2:$BE$1068,0)),"")</f>
        <v/>
      </c>
      <c r="X303" s="105" t="str">
        <f aca="false">IF(B303="","",IF(W303=1,"NR + industry + position",IF(W303=2,"NR + ISO + position",IF(W303=3,"NR + industry",IF(W303=4,"NR + ISO",IF(W303=5,"NR + position",IF(W303=6,"NR only","book baseline"))))))&amp;"  ["&amp;IF(T303=1,"seasoned","unseasoned")&amp;IF(U303=1,", defaulted","")&amp;IF(V303=1,", open","")&amp;"]")</f>
        <v/>
      </c>
    </row>
    <row r="304" customFormat="false" ht="15" hidden="false" customHeight="false" outlineLevel="0" collapsed="false">
      <c r="A304" s="105" t="n">
        <v>300</v>
      </c>
      <c r="B304" s="106" t="str">
        <f aca="false">IFERROR(INDEX('Historical Data'!$A$2:$A$1068,MATCH($A304,'Historical Data'!$BE$2:$BE$1068,0)),"")</f>
        <v/>
      </c>
      <c r="C304" s="106" t="str">
        <f aca="false">IFERROR(INDEX('Historical Data'!$B$2:$B$1068,MATCH($A304,'Historical Data'!$BE$2:$BE$1068,0)),"")</f>
        <v/>
      </c>
      <c r="D304" s="106" t="str">
        <f aca="false">IFERROR(INDEX('Historical Data'!$D$2:$D$1068,MATCH($A304,'Historical Data'!$BE$2:$BE$1068,0)),"")</f>
        <v/>
      </c>
      <c r="E304" s="107" t="str">
        <f aca="false">IFERROR(INDEX('Historical Data'!$E$2:$E$1068,MATCH($A304,'Historical Data'!$BE$2:$BE$1068,0)),"")</f>
        <v/>
      </c>
      <c r="F304" s="106" t="str">
        <f aca="false">IFERROR(INDEX('Historical Data'!$G$2:$G$1068,MATCH($A304,'Historical Data'!$BE$2:$BE$1068,0)),"")</f>
        <v/>
      </c>
      <c r="G304" s="106" t="str">
        <f aca="false">IFERROR(INDEX('Historical Data'!$Y$2:$Y$1068,MATCH($A304,'Historical Data'!$BE$2:$BE$1068,0)),"")</f>
        <v/>
      </c>
      <c r="H304" s="106" t="str">
        <f aca="false">IFERROR(INDEX('Historical Data'!$K$2:$K$1068,MATCH($A304,'Historical Data'!$BE$2:$BE$1068,0)),"")</f>
        <v/>
      </c>
      <c r="I304" s="106" t="str">
        <f aca="false">IFERROR(INDEX('Historical Data'!$J$2:$J$1068,MATCH($A304,'Historical Data'!$BE$2:$BE$1068,0)),"")</f>
        <v/>
      </c>
      <c r="J304" s="106" t="str">
        <f aca="false">IFERROR(INDEX('Historical Data'!$L$2:$L$1068,MATCH($A304,'Historical Data'!$BE$2:$BE$1068,0)),"")</f>
        <v/>
      </c>
      <c r="K304" s="108" t="str">
        <f aca="false">IFERROR(INDEX('Historical Data'!$M$2:$M$1068,MATCH($A304,'Historical Data'!$BE$2:$BE$1068,0)),"")</f>
        <v/>
      </c>
      <c r="L304" s="109" t="str">
        <f aca="false">IFERROR(INDEX('Historical Data'!$N$2:$N$1068,MATCH($A304,'Historical Data'!$BE$2:$BE$1068,0)),"")</f>
        <v/>
      </c>
      <c r="M304" s="109" t="str">
        <f aca="false">IFERROR(INDEX('Historical Data'!$Q$2:$Q$1068,MATCH($A304,'Historical Data'!$BE$2:$BE$1068,0)),"")</f>
        <v/>
      </c>
      <c r="N304" s="110" t="str">
        <f aca="false">IFERROR(INDEX('Historical Data'!$S$2:$S$1068,MATCH($A304,'Historical Data'!$BE$2:$BE$1068,0)),"")</f>
        <v/>
      </c>
      <c r="O304" s="109" t="str">
        <f aca="false">IFERROR(INDEX('Historical Data'!$AJ$2:$AJ$1068,MATCH($A304,'Historical Data'!$BE$2:$BE$1068,0)),"")</f>
        <v/>
      </c>
      <c r="P304" s="109" t="str">
        <f aca="false">IFERROR(INDEX('Historical Data'!$AK$2:$AK$1068,MATCH($A304,'Historical Data'!$BE$2:$BE$1068,0)),"")</f>
        <v/>
      </c>
      <c r="Q304" s="106" t="str">
        <f aca="false">IFERROR(INDEX('Historical Data'!$AA$2:$AA$1068,MATCH($A304,'Historical Data'!$BE$2:$BE$1068,0)),"")</f>
        <v/>
      </c>
      <c r="R304" s="106" t="str">
        <f aca="false">IFERROR(INDEX('Historical Data'!$AB$2:$AB$1068,MATCH($A304,'Historical Data'!$BE$2:$BE$1068,0)),"")</f>
        <v/>
      </c>
      <c r="S304" s="106" t="str">
        <f aca="false">IFERROR(INDEX('Historical Data'!$AN$2:$AN$1068,MATCH($A304,'Historical Data'!$BE$2:$BE$1068,0)),"")</f>
        <v/>
      </c>
      <c r="T304" s="106" t="str">
        <f aca="false">IFERROR(INDEX('Historical Data'!$AC$2:$AC$1068,MATCH($A304,'Historical Data'!$BE$2:$BE$1068,0)),"")</f>
        <v/>
      </c>
      <c r="U304" s="106" t="str">
        <f aca="false">IFERROR(INDEX('Historical Data'!$AE$2:$AE$1068,MATCH($A304,'Historical Data'!$BE$2:$BE$1068,0)),"")</f>
        <v/>
      </c>
      <c r="V304" s="106" t="str">
        <f aca="false">IFERROR(INDEX('Historical Data'!$AH$2:$AH$1068,MATCH($A304,'Historical Data'!$BE$2:$BE$1068,0)),"")</f>
        <v/>
      </c>
      <c r="W304" s="106" t="str">
        <f aca="false">IFERROR(INDEX('Historical Data'!$BC$2:$BC$1068,MATCH($A304,'Historical Data'!$BE$2:$BE$1068,0)),"")</f>
        <v/>
      </c>
      <c r="X304" s="105" t="str">
        <f aca="false">IF(B304="","",IF(W304=1,"NR + industry + position",IF(W304=2,"NR + ISO + position",IF(W304=3,"NR + industry",IF(W304=4,"NR + ISO",IF(W304=5,"NR + position",IF(W304=6,"NR only","book baseline"))))))&amp;"  ["&amp;IF(T304=1,"seasoned","unseasoned")&amp;IF(U304=1,", defaulted","")&amp;IF(V304=1,", open","")&amp;"]")</f>
        <v/>
      </c>
    </row>
    <row r="305" customFormat="false" ht="15" hidden="false" customHeight="false" outlineLevel="0" collapsed="false">
      <c r="A305" s="105" t="n">
        <v>301</v>
      </c>
      <c r="B305" s="106" t="str">
        <f aca="false">IFERROR(INDEX('Historical Data'!$A$2:$A$1068,MATCH($A305,'Historical Data'!$BE$2:$BE$1068,0)),"")</f>
        <v/>
      </c>
      <c r="C305" s="106" t="str">
        <f aca="false">IFERROR(INDEX('Historical Data'!$B$2:$B$1068,MATCH($A305,'Historical Data'!$BE$2:$BE$1068,0)),"")</f>
        <v/>
      </c>
      <c r="D305" s="106" t="str">
        <f aca="false">IFERROR(INDEX('Historical Data'!$D$2:$D$1068,MATCH($A305,'Historical Data'!$BE$2:$BE$1068,0)),"")</f>
        <v/>
      </c>
      <c r="E305" s="107" t="str">
        <f aca="false">IFERROR(INDEX('Historical Data'!$E$2:$E$1068,MATCH($A305,'Historical Data'!$BE$2:$BE$1068,0)),"")</f>
        <v/>
      </c>
      <c r="F305" s="106" t="str">
        <f aca="false">IFERROR(INDEX('Historical Data'!$G$2:$G$1068,MATCH($A305,'Historical Data'!$BE$2:$BE$1068,0)),"")</f>
        <v/>
      </c>
      <c r="G305" s="106" t="str">
        <f aca="false">IFERROR(INDEX('Historical Data'!$Y$2:$Y$1068,MATCH($A305,'Historical Data'!$BE$2:$BE$1068,0)),"")</f>
        <v/>
      </c>
      <c r="H305" s="106" t="str">
        <f aca="false">IFERROR(INDEX('Historical Data'!$K$2:$K$1068,MATCH($A305,'Historical Data'!$BE$2:$BE$1068,0)),"")</f>
        <v/>
      </c>
      <c r="I305" s="106" t="str">
        <f aca="false">IFERROR(INDEX('Historical Data'!$J$2:$J$1068,MATCH($A305,'Historical Data'!$BE$2:$BE$1068,0)),"")</f>
        <v/>
      </c>
      <c r="J305" s="106" t="str">
        <f aca="false">IFERROR(INDEX('Historical Data'!$L$2:$L$1068,MATCH($A305,'Historical Data'!$BE$2:$BE$1068,0)),"")</f>
        <v/>
      </c>
      <c r="K305" s="108" t="str">
        <f aca="false">IFERROR(INDEX('Historical Data'!$M$2:$M$1068,MATCH($A305,'Historical Data'!$BE$2:$BE$1068,0)),"")</f>
        <v/>
      </c>
      <c r="L305" s="109" t="str">
        <f aca="false">IFERROR(INDEX('Historical Data'!$N$2:$N$1068,MATCH($A305,'Historical Data'!$BE$2:$BE$1068,0)),"")</f>
        <v/>
      </c>
      <c r="M305" s="109" t="str">
        <f aca="false">IFERROR(INDEX('Historical Data'!$Q$2:$Q$1068,MATCH($A305,'Historical Data'!$BE$2:$BE$1068,0)),"")</f>
        <v/>
      </c>
      <c r="N305" s="110" t="str">
        <f aca="false">IFERROR(INDEX('Historical Data'!$S$2:$S$1068,MATCH($A305,'Historical Data'!$BE$2:$BE$1068,0)),"")</f>
        <v/>
      </c>
      <c r="O305" s="109" t="str">
        <f aca="false">IFERROR(INDEX('Historical Data'!$AJ$2:$AJ$1068,MATCH($A305,'Historical Data'!$BE$2:$BE$1068,0)),"")</f>
        <v/>
      </c>
      <c r="P305" s="109" t="str">
        <f aca="false">IFERROR(INDEX('Historical Data'!$AK$2:$AK$1068,MATCH($A305,'Historical Data'!$BE$2:$BE$1068,0)),"")</f>
        <v/>
      </c>
      <c r="Q305" s="106" t="str">
        <f aca="false">IFERROR(INDEX('Historical Data'!$AA$2:$AA$1068,MATCH($A305,'Historical Data'!$BE$2:$BE$1068,0)),"")</f>
        <v/>
      </c>
      <c r="R305" s="106" t="str">
        <f aca="false">IFERROR(INDEX('Historical Data'!$AB$2:$AB$1068,MATCH($A305,'Historical Data'!$BE$2:$BE$1068,0)),"")</f>
        <v/>
      </c>
      <c r="S305" s="106" t="str">
        <f aca="false">IFERROR(INDEX('Historical Data'!$AN$2:$AN$1068,MATCH($A305,'Historical Data'!$BE$2:$BE$1068,0)),"")</f>
        <v/>
      </c>
      <c r="T305" s="106" t="str">
        <f aca="false">IFERROR(INDEX('Historical Data'!$AC$2:$AC$1068,MATCH($A305,'Historical Data'!$BE$2:$BE$1068,0)),"")</f>
        <v/>
      </c>
      <c r="U305" s="106" t="str">
        <f aca="false">IFERROR(INDEX('Historical Data'!$AE$2:$AE$1068,MATCH($A305,'Historical Data'!$BE$2:$BE$1068,0)),"")</f>
        <v/>
      </c>
      <c r="V305" s="106" t="str">
        <f aca="false">IFERROR(INDEX('Historical Data'!$AH$2:$AH$1068,MATCH($A305,'Historical Data'!$BE$2:$BE$1068,0)),"")</f>
        <v/>
      </c>
      <c r="W305" s="106" t="str">
        <f aca="false">IFERROR(INDEX('Historical Data'!$BC$2:$BC$1068,MATCH($A305,'Historical Data'!$BE$2:$BE$1068,0)),"")</f>
        <v/>
      </c>
      <c r="X305" s="105" t="str">
        <f aca="false">IF(B305="","",IF(W305=1,"NR + industry + position",IF(W305=2,"NR + ISO + position",IF(W305=3,"NR + industry",IF(W305=4,"NR + ISO",IF(W305=5,"NR + position",IF(W305=6,"NR only","book baseline"))))))&amp;"  ["&amp;IF(T305=1,"seasoned","unseasoned")&amp;IF(U305=1,", defaulted","")&amp;IF(V305=1,", open","")&amp;"]")</f>
        <v/>
      </c>
    </row>
    <row r="306" customFormat="false" ht="15" hidden="false" customHeight="false" outlineLevel="0" collapsed="false">
      <c r="A306" s="105" t="n">
        <v>302</v>
      </c>
      <c r="B306" s="106" t="str">
        <f aca="false">IFERROR(INDEX('Historical Data'!$A$2:$A$1068,MATCH($A306,'Historical Data'!$BE$2:$BE$1068,0)),"")</f>
        <v/>
      </c>
      <c r="C306" s="106" t="str">
        <f aca="false">IFERROR(INDEX('Historical Data'!$B$2:$B$1068,MATCH($A306,'Historical Data'!$BE$2:$BE$1068,0)),"")</f>
        <v/>
      </c>
      <c r="D306" s="106" t="str">
        <f aca="false">IFERROR(INDEX('Historical Data'!$D$2:$D$1068,MATCH($A306,'Historical Data'!$BE$2:$BE$1068,0)),"")</f>
        <v/>
      </c>
      <c r="E306" s="107" t="str">
        <f aca="false">IFERROR(INDEX('Historical Data'!$E$2:$E$1068,MATCH($A306,'Historical Data'!$BE$2:$BE$1068,0)),"")</f>
        <v/>
      </c>
      <c r="F306" s="106" t="str">
        <f aca="false">IFERROR(INDEX('Historical Data'!$G$2:$G$1068,MATCH($A306,'Historical Data'!$BE$2:$BE$1068,0)),"")</f>
        <v/>
      </c>
      <c r="G306" s="106" t="str">
        <f aca="false">IFERROR(INDEX('Historical Data'!$Y$2:$Y$1068,MATCH($A306,'Historical Data'!$BE$2:$BE$1068,0)),"")</f>
        <v/>
      </c>
      <c r="H306" s="106" t="str">
        <f aca="false">IFERROR(INDEX('Historical Data'!$K$2:$K$1068,MATCH($A306,'Historical Data'!$BE$2:$BE$1068,0)),"")</f>
        <v/>
      </c>
      <c r="I306" s="106" t="str">
        <f aca="false">IFERROR(INDEX('Historical Data'!$J$2:$J$1068,MATCH($A306,'Historical Data'!$BE$2:$BE$1068,0)),"")</f>
        <v/>
      </c>
      <c r="J306" s="106" t="str">
        <f aca="false">IFERROR(INDEX('Historical Data'!$L$2:$L$1068,MATCH($A306,'Historical Data'!$BE$2:$BE$1068,0)),"")</f>
        <v/>
      </c>
      <c r="K306" s="108" t="str">
        <f aca="false">IFERROR(INDEX('Historical Data'!$M$2:$M$1068,MATCH($A306,'Historical Data'!$BE$2:$BE$1068,0)),"")</f>
        <v/>
      </c>
      <c r="L306" s="109" t="str">
        <f aca="false">IFERROR(INDEX('Historical Data'!$N$2:$N$1068,MATCH($A306,'Historical Data'!$BE$2:$BE$1068,0)),"")</f>
        <v/>
      </c>
      <c r="M306" s="109" t="str">
        <f aca="false">IFERROR(INDEX('Historical Data'!$Q$2:$Q$1068,MATCH($A306,'Historical Data'!$BE$2:$BE$1068,0)),"")</f>
        <v/>
      </c>
      <c r="N306" s="110" t="str">
        <f aca="false">IFERROR(INDEX('Historical Data'!$S$2:$S$1068,MATCH($A306,'Historical Data'!$BE$2:$BE$1068,0)),"")</f>
        <v/>
      </c>
      <c r="O306" s="109" t="str">
        <f aca="false">IFERROR(INDEX('Historical Data'!$AJ$2:$AJ$1068,MATCH($A306,'Historical Data'!$BE$2:$BE$1068,0)),"")</f>
        <v/>
      </c>
      <c r="P306" s="109" t="str">
        <f aca="false">IFERROR(INDEX('Historical Data'!$AK$2:$AK$1068,MATCH($A306,'Historical Data'!$BE$2:$BE$1068,0)),"")</f>
        <v/>
      </c>
      <c r="Q306" s="106" t="str">
        <f aca="false">IFERROR(INDEX('Historical Data'!$AA$2:$AA$1068,MATCH($A306,'Historical Data'!$BE$2:$BE$1068,0)),"")</f>
        <v/>
      </c>
      <c r="R306" s="106" t="str">
        <f aca="false">IFERROR(INDEX('Historical Data'!$AB$2:$AB$1068,MATCH($A306,'Historical Data'!$BE$2:$BE$1068,0)),"")</f>
        <v/>
      </c>
      <c r="S306" s="106" t="str">
        <f aca="false">IFERROR(INDEX('Historical Data'!$AN$2:$AN$1068,MATCH($A306,'Historical Data'!$BE$2:$BE$1068,0)),"")</f>
        <v/>
      </c>
      <c r="T306" s="106" t="str">
        <f aca="false">IFERROR(INDEX('Historical Data'!$AC$2:$AC$1068,MATCH($A306,'Historical Data'!$BE$2:$BE$1068,0)),"")</f>
        <v/>
      </c>
      <c r="U306" s="106" t="str">
        <f aca="false">IFERROR(INDEX('Historical Data'!$AE$2:$AE$1068,MATCH($A306,'Historical Data'!$BE$2:$BE$1068,0)),"")</f>
        <v/>
      </c>
      <c r="V306" s="106" t="str">
        <f aca="false">IFERROR(INDEX('Historical Data'!$AH$2:$AH$1068,MATCH($A306,'Historical Data'!$BE$2:$BE$1068,0)),"")</f>
        <v/>
      </c>
      <c r="W306" s="106" t="str">
        <f aca="false">IFERROR(INDEX('Historical Data'!$BC$2:$BC$1068,MATCH($A306,'Historical Data'!$BE$2:$BE$1068,0)),"")</f>
        <v/>
      </c>
      <c r="X306" s="105" t="str">
        <f aca="false">IF(B306="","",IF(W306=1,"NR + industry + position",IF(W306=2,"NR + ISO + position",IF(W306=3,"NR + industry",IF(W306=4,"NR + ISO",IF(W306=5,"NR + position",IF(W306=6,"NR only","book baseline"))))))&amp;"  ["&amp;IF(T306=1,"seasoned","unseasoned")&amp;IF(U306=1,", defaulted","")&amp;IF(V306=1,", open","")&amp;"]")</f>
        <v/>
      </c>
    </row>
    <row r="307" customFormat="false" ht="15" hidden="false" customHeight="false" outlineLevel="0" collapsed="false">
      <c r="A307" s="105" t="n">
        <v>303</v>
      </c>
      <c r="B307" s="106" t="str">
        <f aca="false">IFERROR(INDEX('Historical Data'!$A$2:$A$1068,MATCH($A307,'Historical Data'!$BE$2:$BE$1068,0)),"")</f>
        <v/>
      </c>
      <c r="C307" s="106" t="str">
        <f aca="false">IFERROR(INDEX('Historical Data'!$B$2:$B$1068,MATCH($A307,'Historical Data'!$BE$2:$BE$1068,0)),"")</f>
        <v/>
      </c>
      <c r="D307" s="106" t="str">
        <f aca="false">IFERROR(INDEX('Historical Data'!$D$2:$D$1068,MATCH($A307,'Historical Data'!$BE$2:$BE$1068,0)),"")</f>
        <v/>
      </c>
      <c r="E307" s="107" t="str">
        <f aca="false">IFERROR(INDEX('Historical Data'!$E$2:$E$1068,MATCH($A307,'Historical Data'!$BE$2:$BE$1068,0)),"")</f>
        <v/>
      </c>
      <c r="F307" s="106" t="str">
        <f aca="false">IFERROR(INDEX('Historical Data'!$G$2:$G$1068,MATCH($A307,'Historical Data'!$BE$2:$BE$1068,0)),"")</f>
        <v/>
      </c>
      <c r="G307" s="106" t="str">
        <f aca="false">IFERROR(INDEX('Historical Data'!$Y$2:$Y$1068,MATCH($A307,'Historical Data'!$BE$2:$BE$1068,0)),"")</f>
        <v/>
      </c>
      <c r="H307" s="106" t="str">
        <f aca="false">IFERROR(INDEX('Historical Data'!$K$2:$K$1068,MATCH($A307,'Historical Data'!$BE$2:$BE$1068,0)),"")</f>
        <v/>
      </c>
      <c r="I307" s="106" t="str">
        <f aca="false">IFERROR(INDEX('Historical Data'!$J$2:$J$1068,MATCH($A307,'Historical Data'!$BE$2:$BE$1068,0)),"")</f>
        <v/>
      </c>
      <c r="J307" s="106" t="str">
        <f aca="false">IFERROR(INDEX('Historical Data'!$L$2:$L$1068,MATCH($A307,'Historical Data'!$BE$2:$BE$1068,0)),"")</f>
        <v/>
      </c>
      <c r="K307" s="108" t="str">
        <f aca="false">IFERROR(INDEX('Historical Data'!$M$2:$M$1068,MATCH($A307,'Historical Data'!$BE$2:$BE$1068,0)),"")</f>
        <v/>
      </c>
      <c r="L307" s="109" t="str">
        <f aca="false">IFERROR(INDEX('Historical Data'!$N$2:$N$1068,MATCH($A307,'Historical Data'!$BE$2:$BE$1068,0)),"")</f>
        <v/>
      </c>
      <c r="M307" s="109" t="str">
        <f aca="false">IFERROR(INDEX('Historical Data'!$Q$2:$Q$1068,MATCH($A307,'Historical Data'!$BE$2:$BE$1068,0)),"")</f>
        <v/>
      </c>
      <c r="N307" s="110" t="str">
        <f aca="false">IFERROR(INDEX('Historical Data'!$S$2:$S$1068,MATCH($A307,'Historical Data'!$BE$2:$BE$1068,0)),"")</f>
        <v/>
      </c>
      <c r="O307" s="109" t="str">
        <f aca="false">IFERROR(INDEX('Historical Data'!$AJ$2:$AJ$1068,MATCH($A307,'Historical Data'!$BE$2:$BE$1068,0)),"")</f>
        <v/>
      </c>
      <c r="P307" s="109" t="str">
        <f aca="false">IFERROR(INDEX('Historical Data'!$AK$2:$AK$1068,MATCH($A307,'Historical Data'!$BE$2:$BE$1068,0)),"")</f>
        <v/>
      </c>
      <c r="Q307" s="106" t="str">
        <f aca="false">IFERROR(INDEX('Historical Data'!$AA$2:$AA$1068,MATCH($A307,'Historical Data'!$BE$2:$BE$1068,0)),"")</f>
        <v/>
      </c>
      <c r="R307" s="106" t="str">
        <f aca="false">IFERROR(INDEX('Historical Data'!$AB$2:$AB$1068,MATCH($A307,'Historical Data'!$BE$2:$BE$1068,0)),"")</f>
        <v/>
      </c>
      <c r="S307" s="106" t="str">
        <f aca="false">IFERROR(INDEX('Historical Data'!$AN$2:$AN$1068,MATCH($A307,'Historical Data'!$BE$2:$BE$1068,0)),"")</f>
        <v/>
      </c>
      <c r="T307" s="106" t="str">
        <f aca="false">IFERROR(INDEX('Historical Data'!$AC$2:$AC$1068,MATCH($A307,'Historical Data'!$BE$2:$BE$1068,0)),"")</f>
        <v/>
      </c>
      <c r="U307" s="106" t="str">
        <f aca="false">IFERROR(INDEX('Historical Data'!$AE$2:$AE$1068,MATCH($A307,'Historical Data'!$BE$2:$BE$1068,0)),"")</f>
        <v/>
      </c>
      <c r="V307" s="106" t="str">
        <f aca="false">IFERROR(INDEX('Historical Data'!$AH$2:$AH$1068,MATCH($A307,'Historical Data'!$BE$2:$BE$1068,0)),"")</f>
        <v/>
      </c>
      <c r="W307" s="106" t="str">
        <f aca="false">IFERROR(INDEX('Historical Data'!$BC$2:$BC$1068,MATCH($A307,'Historical Data'!$BE$2:$BE$1068,0)),"")</f>
        <v/>
      </c>
      <c r="X307" s="105" t="str">
        <f aca="false">IF(B307="","",IF(W307=1,"NR + industry + position",IF(W307=2,"NR + ISO + position",IF(W307=3,"NR + industry",IF(W307=4,"NR + ISO",IF(W307=5,"NR + position",IF(W307=6,"NR only","book baseline"))))))&amp;"  ["&amp;IF(T307=1,"seasoned","unseasoned")&amp;IF(U307=1,", defaulted","")&amp;IF(V307=1,", open","")&amp;"]")</f>
        <v/>
      </c>
    </row>
    <row r="308" customFormat="false" ht="15" hidden="false" customHeight="false" outlineLevel="0" collapsed="false">
      <c r="A308" s="105" t="n">
        <v>304</v>
      </c>
      <c r="B308" s="106" t="str">
        <f aca="false">IFERROR(INDEX('Historical Data'!$A$2:$A$1068,MATCH($A308,'Historical Data'!$BE$2:$BE$1068,0)),"")</f>
        <v/>
      </c>
      <c r="C308" s="106" t="str">
        <f aca="false">IFERROR(INDEX('Historical Data'!$B$2:$B$1068,MATCH($A308,'Historical Data'!$BE$2:$BE$1068,0)),"")</f>
        <v/>
      </c>
      <c r="D308" s="106" t="str">
        <f aca="false">IFERROR(INDEX('Historical Data'!$D$2:$D$1068,MATCH($A308,'Historical Data'!$BE$2:$BE$1068,0)),"")</f>
        <v/>
      </c>
      <c r="E308" s="107" t="str">
        <f aca="false">IFERROR(INDEX('Historical Data'!$E$2:$E$1068,MATCH($A308,'Historical Data'!$BE$2:$BE$1068,0)),"")</f>
        <v/>
      </c>
      <c r="F308" s="106" t="str">
        <f aca="false">IFERROR(INDEX('Historical Data'!$G$2:$G$1068,MATCH($A308,'Historical Data'!$BE$2:$BE$1068,0)),"")</f>
        <v/>
      </c>
      <c r="G308" s="106" t="str">
        <f aca="false">IFERROR(INDEX('Historical Data'!$Y$2:$Y$1068,MATCH($A308,'Historical Data'!$BE$2:$BE$1068,0)),"")</f>
        <v/>
      </c>
      <c r="H308" s="106" t="str">
        <f aca="false">IFERROR(INDEX('Historical Data'!$K$2:$K$1068,MATCH($A308,'Historical Data'!$BE$2:$BE$1068,0)),"")</f>
        <v/>
      </c>
      <c r="I308" s="106" t="str">
        <f aca="false">IFERROR(INDEX('Historical Data'!$J$2:$J$1068,MATCH($A308,'Historical Data'!$BE$2:$BE$1068,0)),"")</f>
        <v/>
      </c>
      <c r="J308" s="106" t="str">
        <f aca="false">IFERROR(INDEX('Historical Data'!$L$2:$L$1068,MATCH($A308,'Historical Data'!$BE$2:$BE$1068,0)),"")</f>
        <v/>
      </c>
      <c r="K308" s="108" t="str">
        <f aca="false">IFERROR(INDEX('Historical Data'!$M$2:$M$1068,MATCH($A308,'Historical Data'!$BE$2:$BE$1068,0)),"")</f>
        <v/>
      </c>
      <c r="L308" s="109" t="str">
        <f aca="false">IFERROR(INDEX('Historical Data'!$N$2:$N$1068,MATCH($A308,'Historical Data'!$BE$2:$BE$1068,0)),"")</f>
        <v/>
      </c>
      <c r="M308" s="109" t="str">
        <f aca="false">IFERROR(INDEX('Historical Data'!$Q$2:$Q$1068,MATCH($A308,'Historical Data'!$BE$2:$BE$1068,0)),"")</f>
        <v/>
      </c>
      <c r="N308" s="110" t="str">
        <f aca="false">IFERROR(INDEX('Historical Data'!$S$2:$S$1068,MATCH($A308,'Historical Data'!$BE$2:$BE$1068,0)),"")</f>
        <v/>
      </c>
      <c r="O308" s="109" t="str">
        <f aca="false">IFERROR(INDEX('Historical Data'!$AJ$2:$AJ$1068,MATCH($A308,'Historical Data'!$BE$2:$BE$1068,0)),"")</f>
        <v/>
      </c>
      <c r="P308" s="109" t="str">
        <f aca="false">IFERROR(INDEX('Historical Data'!$AK$2:$AK$1068,MATCH($A308,'Historical Data'!$BE$2:$BE$1068,0)),"")</f>
        <v/>
      </c>
      <c r="Q308" s="106" t="str">
        <f aca="false">IFERROR(INDEX('Historical Data'!$AA$2:$AA$1068,MATCH($A308,'Historical Data'!$BE$2:$BE$1068,0)),"")</f>
        <v/>
      </c>
      <c r="R308" s="106" t="str">
        <f aca="false">IFERROR(INDEX('Historical Data'!$AB$2:$AB$1068,MATCH($A308,'Historical Data'!$BE$2:$BE$1068,0)),"")</f>
        <v/>
      </c>
      <c r="S308" s="106" t="str">
        <f aca="false">IFERROR(INDEX('Historical Data'!$AN$2:$AN$1068,MATCH($A308,'Historical Data'!$BE$2:$BE$1068,0)),"")</f>
        <v/>
      </c>
      <c r="T308" s="106" t="str">
        <f aca="false">IFERROR(INDEX('Historical Data'!$AC$2:$AC$1068,MATCH($A308,'Historical Data'!$BE$2:$BE$1068,0)),"")</f>
        <v/>
      </c>
      <c r="U308" s="106" t="str">
        <f aca="false">IFERROR(INDEX('Historical Data'!$AE$2:$AE$1068,MATCH($A308,'Historical Data'!$BE$2:$BE$1068,0)),"")</f>
        <v/>
      </c>
      <c r="V308" s="106" t="str">
        <f aca="false">IFERROR(INDEX('Historical Data'!$AH$2:$AH$1068,MATCH($A308,'Historical Data'!$BE$2:$BE$1068,0)),"")</f>
        <v/>
      </c>
      <c r="W308" s="106" t="str">
        <f aca="false">IFERROR(INDEX('Historical Data'!$BC$2:$BC$1068,MATCH($A308,'Historical Data'!$BE$2:$BE$1068,0)),"")</f>
        <v/>
      </c>
      <c r="X308" s="105" t="str">
        <f aca="false">IF(B308="","",IF(W308=1,"NR + industry + position",IF(W308=2,"NR + ISO + position",IF(W308=3,"NR + industry",IF(W308=4,"NR + ISO",IF(W308=5,"NR + position",IF(W308=6,"NR only","book baseline"))))))&amp;"  ["&amp;IF(T308=1,"seasoned","unseasoned")&amp;IF(U308=1,", defaulted","")&amp;IF(V308=1,", open","")&amp;"]")</f>
        <v/>
      </c>
    </row>
    <row r="309" customFormat="false" ht="15" hidden="false" customHeight="false" outlineLevel="0" collapsed="false">
      <c r="A309" s="105" t="n">
        <v>305</v>
      </c>
      <c r="B309" s="106" t="str">
        <f aca="false">IFERROR(INDEX('Historical Data'!$A$2:$A$1068,MATCH($A309,'Historical Data'!$BE$2:$BE$1068,0)),"")</f>
        <v/>
      </c>
      <c r="C309" s="106" t="str">
        <f aca="false">IFERROR(INDEX('Historical Data'!$B$2:$B$1068,MATCH($A309,'Historical Data'!$BE$2:$BE$1068,0)),"")</f>
        <v/>
      </c>
      <c r="D309" s="106" t="str">
        <f aca="false">IFERROR(INDEX('Historical Data'!$D$2:$D$1068,MATCH($A309,'Historical Data'!$BE$2:$BE$1068,0)),"")</f>
        <v/>
      </c>
      <c r="E309" s="107" t="str">
        <f aca="false">IFERROR(INDEX('Historical Data'!$E$2:$E$1068,MATCH($A309,'Historical Data'!$BE$2:$BE$1068,0)),"")</f>
        <v/>
      </c>
      <c r="F309" s="106" t="str">
        <f aca="false">IFERROR(INDEX('Historical Data'!$G$2:$G$1068,MATCH($A309,'Historical Data'!$BE$2:$BE$1068,0)),"")</f>
        <v/>
      </c>
      <c r="G309" s="106" t="str">
        <f aca="false">IFERROR(INDEX('Historical Data'!$Y$2:$Y$1068,MATCH($A309,'Historical Data'!$BE$2:$BE$1068,0)),"")</f>
        <v/>
      </c>
      <c r="H309" s="106" t="str">
        <f aca="false">IFERROR(INDEX('Historical Data'!$K$2:$K$1068,MATCH($A309,'Historical Data'!$BE$2:$BE$1068,0)),"")</f>
        <v/>
      </c>
      <c r="I309" s="106" t="str">
        <f aca="false">IFERROR(INDEX('Historical Data'!$J$2:$J$1068,MATCH($A309,'Historical Data'!$BE$2:$BE$1068,0)),"")</f>
        <v/>
      </c>
      <c r="J309" s="106" t="str">
        <f aca="false">IFERROR(INDEX('Historical Data'!$L$2:$L$1068,MATCH($A309,'Historical Data'!$BE$2:$BE$1068,0)),"")</f>
        <v/>
      </c>
      <c r="K309" s="108" t="str">
        <f aca="false">IFERROR(INDEX('Historical Data'!$M$2:$M$1068,MATCH($A309,'Historical Data'!$BE$2:$BE$1068,0)),"")</f>
        <v/>
      </c>
      <c r="L309" s="109" t="str">
        <f aca="false">IFERROR(INDEX('Historical Data'!$N$2:$N$1068,MATCH($A309,'Historical Data'!$BE$2:$BE$1068,0)),"")</f>
        <v/>
      </c>
      <c r="M309" s="109" t="str">
        <f aca="false">IFERROR(INDEX('Historical Data'!$Q$2:$Q$1068,MATCH($A309,'Historical Data'!$BE$2:$BE$1068,0)),"")</f>
        <v/>
      </c>
      <c r="N309" s="110" t="str">
        <f aca="false">IFERROR(INDEX('Historical Data'!$S$2:$S$1068,MATCH($A309,'Historical Data'!$BE$2:$BE$1068,0)),"")</f>
        <v/>
      </c>
      <c r="O309" s="109" t="str">
        <f aca="false">IFERROR(INDEX('Historical Data'!$AJ$2:$AJ$1068,MATCH($A309,'Historical Data'!$BE$2:$BE$1068,0)),"")</f>
        <v/>
      </c>
      <c r="P309" s="109" t="str">
        <f aca="false">IFERROR(INDEX('Historical Data'!$AK$2:$AK$1068,MATCH($A309,'Historical Data'!$BE$2:$BE$1068,0)),"")</f>
        <v/>
      </c>
      <c r="Q309" s="106" t="str">
        <f aca="false">IFERROR(INDEX('Historical Data'!$AA$2:$AA$1068,MATCH($A309,'Historical Data'!$BE$2:$BE$1068,0)),"")</f>
        <v/>
      </c>
      <c r="R309" s="106" t="str">
        <f aca="false">IFERROR(INDEX('Historical Data'!$AB$2:$AB$1068,MATCH($A309,'Historical Data'!$BE$2:$BE$1068,0)),"")</f>
        <v/>
      </c>
      <c r="S309" s="106" t="str">
        <f aca="false">IFERROR(INDEX('Historical Data'!$AN$2:$AN$1068,MATCH($A309,'Historical Data'!$BE$2:$BE$1068,0)),"")</f>
        <v/>
      </c>
      <c r="T309" s="106" t="str">
        <f aca="false">IFERROR(INDEX('Historical Data'!$AC$2:$AC$1068,MATCH($A309,'Historical Data'!$BE$2:$BE$1068,0)),"")</f>
        <v/>
      </c>
      <c r="U309" s="106" t="str">
        <f aca="false">IFERROR(INDEX('Historical Data'!$AE$2:$AE$1068,MATCH($A309,'Historical Data'!$BE$2:$BE$1068,0)),"")</f>
        <v/>
      </c>
      <c r="V309" s="106" t="str">
        <f aca="false">IFERROR(INDEX('Historical Data'!$AH$2:$AH$1068,MATCH($A309,'Historical Data'!$BE$2:$BE$1068,0)),"")</f>
        <v/>
      </c>
      <c r="W309" s="106" t="str">
        <f aca="false">IFERROR(INDEX('Historical Data'!$BC$2:$BC$1068,MATCH($A309,'Historical Data'!$BE$2:$BE$1068,0)),"")</f>
        <v/>
      </c>
      <c r="X309" s="105" t="str">
        <f aca="false">IF(B309="","",IF(W309=1,"NR + industry + position",IF(W309=2,"NR + ISO + position",IF(W309=3,"NR + industry",IF(W309=4,"NR + ISO",IF(W309=5,"NR + position",IF(W309=6,"NR only","book baseline"))))))&amp;"  ["&amp;IF(T309=1,"seasoned","unseasoned")&amp;IF(U309=1,", defaulted","")&amp;IF(V309=1,", open","")&amp;"]")</f>
        <v/>
      </c>
    </row>
    <row r="310" customFormat="false" ht="15" hidden="false" customHeight="false" outlineLevel="0" collapsed="false">
      <c r="A310" s="105" t="n">
        <v>306</v>
      </c>
      <c r="B310" s="106" t="str">
        <f aca="false">IFERROR(INDEX('Historical Data'!$A$2:$A$1068,MATCH($A310,'Historical Data'!$BE$2:$BE$1068,0)),"")</f>
        <v/>
      </c>
      <c r="C310" s="106" t="str">
        <f aca="false">IFERROR(INDEX('Historical Data'!$B$2:$B$1068,MATCH($A310,'Historical Data'!$BE$2:$BE$1068,0)),"")</f>
        <v/>
      </c>
      <c r="D310" s="106" t="str">
        <f aca="false">IFERROR(INDEX('Historical Data'!$D$2:$D$1068,MATCH($A310,'Historical Data'!$BE$2:$BE$1068,0)),"")</f>
        <v/>
      </c>
      <c r="E310" s="107" t="str">
        <f aca="false">IFERROR(INDEX('Historical Data'!$E$2:$E$1068,MATCH($A310,'Historical Data'!$BE$2:$BE$1068,0)),"")</f>
        <v/>
      </c>
      <c r="F310" s="106" t="str">
        <f aca="false">IFERROR(INDEX('Historical Data'!$G$2:$G$1068,MATCH($A310,'Historical Data'!$BE$2:$BE$1068,0)),"")</f>
        <v/>
      </c>
      <c r="G310" s="106" t="str">
        <f aca="false">IFERROR(INDEX('Historical Data'!$Y$2:$Y$1068,MATCH($A310,'Historical Data'!$BE$2:$BE$1068,0)),"")</f>
        <v/>
      </c>
      <c r="H310" s="106" t="str">
        <f aca="false">IFERROR(INDEX('Historical Data'!$K$2:$K$1068,MATCH($A310,'Historical Data'!$BE$2:$BE$1068,0)),"")</f>
        <v/>
      </c>
      <c r="I310" s="106" t="str">
        <f aca="false">IFERROR(INDEX('Historical Data'!$J$2:$J$1068,MATCH($A310,'Historical Data'!$BE$2:$BE$1068,0)),"")</f>
        <v/>
      </c>
      <c r="J310" s="106" t="str">
        <f aca="false">IFERROR(INDEX('Historical Data'!$L$2:$L$1068,MATCH($A310,'Historical Data'!$BE$2:$BE$1068,0)),"")</f>
        <v/>
      </c>
      <c r="K310" s="108" t="str">
        <f aca="false">IFERROR(INDEX('Historical Data'!$M$2:$M$1068,MATCH($A310,'Historical Data'!$BE$2:$BE$1068,0)),"")</f>
        <v/>
      </c>
      <c r="L310" s="109" t="str">
        <f aca="false">IFERROR(INDEX('Historical Data'!$N$2:$N$1068,MATCH($A310,'Historical Data'!$BE$2:$BE$1068,0)),"")</f>
        <v/>
      </c>
      <c r="M310" s="109" t="str">
        <f aca="false">IFERROR(INDEX('Historical Data'!$Q$2:$Q$1068,MATCH($A310,'Historical Data'!$BE$2:$BE$1068,0)),"")</f>
        <v/>
      </c>
      <c r="N310" s="110" t="str">
        <f aca="false">IFERROR(INDEX('Historical Data'!$S$2:$S$1068,MATCH($A310,'Historical Data'!$BE$2:$BE$1068,0)),"")</f>
        <v/>
      </c>
      <c r="O310" s="109" t="str">
        <f aca="false">IFERROR(INDEX('Historical Data'!$AJ$2:$AJ$1068,MATCH($A310,'Historical Data'!$BE$2:$BE$1068,0)),"")</f>
        <v/>
      </c>
      <c r="P310" s="109" t="str">
        <f aca="false">IFERROR(INDEX('Historical Data'!$AK$2:$AK$1068,MATCH($A310,'Historical Data'!$BE$2:$BE$1068,0)),"")</f>
        <v/>
      </c>
      <c r="Q310" s="106" t="str">
        <f aca="false">IFERROR(INDEX('Historical Data'!$AA$2:$AA$1068,MATCH($A310,'Historical Data'!$BE$2:$BE$1068,0)),"")</f>
        <v/>
      </c>
      <c r="R310" s="106" t="str">
        <f aca="false">IFERROR(INDEX('Historical Data'!$AB$2:$AB$1068,MATCH($A310,'Historical Data'!$BE$2:$BE$1068,0)),"")</f>
        <v/>
      </c>
      <c r="S310" s="106" t="str">
        <f aca="false">IFERROR(INDEX('Historical Data'!$AN$2:$AN$1068,MATCH($A310,'Historical Data'!$BE$2:$BE$1068,0)),"")</f>
        <v/>
      </c>
      <c r="T310" s="106" t="str">
        <f aca="false">IFERROR(INDEX('Historical Data'!$AC$2:$AC$1068,MATCH($A310,'Historical Data'!$BE$2:$BE$1068,0)),"")</f>
        <v/>
      </c>
      <c r="U310" s="106" t="str">
        <f aca="false">IFERROR(INDEX('Historical Data'!$AE$2:$AE$1068,MATCH($A310,'Historical Data'!$BE$2:$BE$1068,0)),"")</f>
        <v/>
      </c>
      <c r="V310" s="106" t="str">
        <f aca="false">IFERROR(INDEX('Historical Data'!$AH$2:$AH$1068,MATCH($A310,'Historical Data'!$BE$2:$BE$1068,0)),"")</f>
        <v/>
      </c>
      <c r="W310" s="106" t="str">
        <f aca="false">IFERROR(INDEX('Historical Data'!$BC$2:$BC$1068,MATCH($A310,'Historical Data'!$BE$2:$BE$1068,0)),"")</f>
        <v/>
      </c>
      <c r="X310" s="105" t="str">
        <f aca="false">IF(B310="","",IF(W310=1,"NR + industry + position",IF(W310=2,"NR + ISO + position",IF(W310=3,"NR + industry",IF(W310=4,"NR + ISO",IF(W310=5,"NR + position",IF(W310=6,"NR only","book baseline"))))))&amp;"  ["&amp;IF(T310=1,"seasoned","unseasoned")&amp;IF(U310=1,", defaulted","")&amp;IF(V310=1,", open","")&amp;"]")</f>
        <v/>
      </c>
    </row>
    <row r="311" customFormat="false" ht="15" hidden="false" customHeight="false" outlineLevel="0" collapsed="false">
      <c r="A311" s="105" t="n">
        <v>307</v>
      </c>
      <c r="B311" s="106" t="str">
        <f aca="false">IFERROR(INDEX('Historical Data'!$A$2:$A$1068,MATCH($A311,'Historical Data'!$BE$2:$BE$1068,0)),"")</f>
        <v/>
      </c>
      <c r="C311" s="106" t="str">
        <f aca="false">IFERROR(INDEX('Historical Data'!$B$2:$B$1068,MATCH($A311,'Historical Data'!$BE$2:$BE$1068,0)),"")</f>
        <v/>
      </c>
      <c r="D311" s="106" t="str">
        <f aca="false">IFERROR(INDEX('Historical Data'!$D$2:$D$1068,MATCH($A311,'Historical Data'!$BE$2:$BE$1068,0)),"")</f>
        <v/>
      </c>
      <c r="E311" s="107" t="str">
        <f aca="false">IFERROR(INDEX('Historical Data'!$E$2:$E$1068,MATCH($A311,'Historical Data'!$BE$2:$BE$1068,0)),"")</f>
        <v/>
      </c>
      <c r="F311" s="106" t="str">
        <f aca="false">IFERROR(INDEX('Historical Data'!$G$2:$G$1068,MATCH($A311,'Historical Data'!$BE$2:$BE$1068,0)),"")</f>
        <v/>
      </c>
      <c r="G311" s="106" t="str">
        <f aca="false">IFERROR(INDEX('Historical Data'!$Y$2:$Y$1068,MATCH($A311,'Historical Data'!$BE$2:$BE$1068,0)),"")</f>
        <v/>
      </c>
      <c r="H311" s="106" t="str">
        <f aca="false">IFERROR(INDEX('Historical Data'!$K$2:$K$1068,MATCH($A311,'Historical Data'!$BE$2:$BE$1068,0)),"")</f>
        <v/>
      </c>
      <c r="I311" s="106" t="str">
        <f aca="false">IFERROR(INDEX('Historical Data'!$J$2:$J$1068,MATCH($A311,'Historical Data'!$BE$2:$BE$1068,0)),"")</f>
        <v/>
      </c>
      <c r="J311" s="106" t="str">
        <f aca="false">IFERROR(INDEX('Historical Data'!$L$2:$L$1068,MATCH($A311,'Historical Data'!$BE$2:$BE$1068,0)),"")</f>
        <v/>
      </c>
      <c r="K311" s="108" t="str">
        <f aca="false">IFERROR(INDEX('Historical Data'!$M$2:$M$1068,MATCH($A311,'Historical Data'!$BE$2:$BE$1068,0)),"")</f>
        <v/>
      </c>
      <c r="L311" s="109" t="str">
        <f aca="false">IFERROR(INDEX('Historical Data'!$N$2:$N$1068,MATCH($A311,'Historical Data'!$BE$2:$BE$1068,0)),"")</f>
        <v/>
      </c>
      <c r="M311" s="109" t="str">
        <f aca="false">IFERROR(INDEX('Historical Data'!$Q$2:$Q$1068,MATCH($A311,'Historical Data'!$BE$2:$BE$1068,0)),"")</f>
        <v/>
      </c>
      <c r="N311" s="110" t="str">
        <f aca="false">IFERROR(INDEX('Historical Data'!$S$2:$S$1068,MATCH($A311,'Historical Data'!$BE$2:$BE$1068,0)),"")</f>
        <v/>
      </c>
      <c r="O311" s="109" t="str">
        <f aca="false">IFERROR(INDEX('Historical Data'!$AJ$2:$AJ$1068,MATCH($A311,'Historical Data'!$BE$2:$BE$1068,0)),"")</f>
        <v/>
      </c>
      <c r="P311" s="109" t="str">
        <f aca="false">IFERROR(INDEX('Historical Data'!$AK$2:$AK$1068,MATCH($A311,'Historical Data'!$BE$2:$BE$1068,0)),"")</f>
        <v/>
      </c>
      <c r="Q311" s="106" t="str">
        <f aca="false">IFERROR(INDEX('Historical Data'!$AA$2:$AA$1068,MATCH($A311,'Historical Data'!$BE$2:$BE$1068,0)),"")</f>
        <v/>
      </c>
      <c r="R311" s="106" t="str">
        <f aca="false">IFERROR(INDEX('Historical Data'!$AB$2:$AB$1068,MATCH($A311,'Historical Data'!$BE$2:$BE$1068,0)),"")</f>
        <v/>
      </c>
      <c r="S311" s="106" t="str">
        <f aca="false">IFERROR(INDEX('Historical Data'!$AN$2:$AN$1068,MATCH($A311,'Historical Data'!$BE$2:$BE$1068,0)),"")</f>
        <v/>
      </c>
      <c r="T311" s="106" t="str">
        <f aca="false">IFERROR(INDEX('Historical Data'!$AC$2:$AC$1068,MATCH($A311,'Historical Data'!$BE$2:$BE$1068,0)),"")</f>
        <v/>
      </c>
      <c r="U311" s="106" t="str">
        <f aca="false">IFERROR(INDEX('Historical Data'!$AE$2:$AE$1068,MATCH($A311,'Historical Data'!$BE$2:$BE$1068,0)),"")</f>
        <v/>
      </c>
      <c r="V311" s="106" t="str">
        <f aca="false">IFERROR(INDEX('Historical Data'!$AH$2:$AH$1068,MATCH($A311,'Historical Data'!$BE$2:$BE$1068,0)),"")</f>
        <v/>
      </c>
      <c r="W311" s="106" t="str">
        <f aca="false">IFERROR(INDEX('Historical Data'!$BC$2:$BC$1068,MATCH($A311,'Historical Data'!$BE$2:$BE$1068,0)),"")</f>
        <v/>
      </c>
      <c r="X311" s="105" t="str">
        <f aca="false">IF(B311="","",IF(W311=1,"NR + industry + position",IF(W311=2,"NR + ISO + position",IF(W311=3,"NR + industry",IF(W311=4,"NR + ISO",IF(W311=5,"NR + position",IF(W311=6,"NR only","book baseline"))))))&amp;"  ["&amp;IF(T311=1,"seasoned","unseasoned")&amp;IF(U311=1,", defaulted","")&amp;IF(V311=1,", open","")&amp;"]")</f>
        <v/>
      </c>
    </row>
    <row r="312" customFormat="false" ht="15" hidden="false" customHeight="false" outlineLevel="0" collapsed="false">
      <c r="A312" s="105" t="n">
        <v>308</v>
      </c>
      <c r="B312" s="106" t="str">
        <f aca="false">IFERROR(INDEX('Historical Data'!$A$2:$A$1068,MATCH($A312,'Historical Data'!$BE$2:$BE$1068,0)),"")</f>
        <v/>
      </c>
      <c r="C312" s="106" t="str">
        <f aca="false">IFERROR(INDEX('Historical Data'!$B$2:$B$1068,MATCH($A312,'Historical Data'!$BE$2:$BE$1068,0)),"")</f>
        <v/>
      </c>
      <c r="D312" s="106" t="str">
        <f aca="false">IFERROR(INDEX('Historical Data'!$D$2:$D$1068,MATCH($A312,'Historical Data'!$BE$2:$BE$1068,0)),"")</f>
        <v/>
      </c>
      <c r="E312" s="107" t="str">
        <f aca="false">IFERROR(INDEX('Historical Data'!$E$2:$E$1068,MATCH($A312,'Historical Data'!$BE$2:$BE$1068,0)),"")</f>
        <v/>
      </c>
      <c r="F312" s="106" t="str">
        <f aca="false">IFERROR(INDEX('Historical Data'!$G$2:$G$1068,MATCH($A312,'Historical Data'!$BE$2:$BE$1068,0)),"")</f>
        <v/>
      </c>
      <c r="G312" s="106" t="str">
        <f aca="false">IFERROR(INDEX('Historical Data'!$Y$2:$Y$1068,MATCH($A312,'Historical Data'!$BE$2:$BE$1068,0)),"")</f>
        <v/>
      </c>
      <c r="H312" s="106" t="str">
        <f aca="false">IFERROR(INDEX('Historical Data'!$K$2:$K$1068,MATCH($A312,'Historical Data'!$BE$2:$BE$1068,0)),"")</f>
        <v/>
      </c>
      <c r="I312" s="106" t="str">
        <f aca="false">IFERROR(INDEX('Historical Data'!$J$2:$J$1068,MATCH($A312,'Historical Data'!$BE$2:$BE$1068,0)),"")</f>
        <v/>
      </c>
      <c r="J312" s="106" t="str">
        <f aca="false">IFERROR(INDEX('Historical Data'!$L$2:$L$1068,MATCH($A312,'Historical Data'!$BE$2:$BE$1068,0)),"")</f>
        <v/>
      </c>
      <c r="K312" s="108" t="str">
        <f aca="false">IFERROR(INDEX('Historical Data'!$M$2:$M$1068,MATCH($A312,'Historical Data'!$BE$2:$BE$1068,0)),"")</f>
        <v/>
      </c>
      <c r="L312" s="109" t="str">
        <f aca="false">IFERROR(INDEX('Historical Data'!$N$2:$N$1068,MATCH($A312,'Historical Data'!$BE$2:$BE$1068,0)),"")</f>
        <v/>
      </c>
      <c r="M312" s="109" t="str">
        <f aca="false">IFERROR(INDEX('Historical Data'!$Q$2:$Q$1068,MATCH($A312,'Historical Data'!$BE$2:$BE$1068,0)),"")</f>
        <v/>
      </c>
      <c r="N312" s="110" t="str">
        <f aca="false">IFERROR(INDEX('Historical Data'!$S$2:$S$1068,MATCH($A312,'Historical Data'!$BE$2:$BE$1068,0)),"")</f>
        <v/>
      </c>
      <c r="O312" s="109" t="str">
        <f aca="false">IFERROR(INDEX('Historical Data'!$AJ$2:$AJ$1068,MATCH($A312,'Historical Data'!$BE$2:$BE$1068,0)),"")</f>
        <v/>
      </c>
      <c r="P312" s="109" t="str">
        <f aca="false">IFERROR(INDEX('Historical Data'!$AK$2:$AK$1068,MATCH($A312,'Historical Data'!$BE$2:$BE$1068,0)),"")</f>
        <v/>
      </c>
      <c r="Q312" s="106" t="str">
        <f aca="false">IFERROR(INDEX('Historical Data'!$AA$2:$AA$1068,MATCH($A312,'Historical Data'!$BE$2:$BE$1068,0)),"")</f>
        <v/>
      </c>
      <c r="R312" s="106" t="str">
        <f aca="false">IFERROR(INDEX('Historical Data'!$AB$2:$AB$1068,MATCH($A312,'Historical Data'!$BE$2:$BE$1068,0)),"")</f>
        <v/>
      </c>
      <c r="S312" s="106" t="str">
        <f aca="false">IFERROR(INDEX('Historical Data'!$AN$2:$AN$1068,MATCH($A312,'Historical Data'!$BE$2:$BE$1068,0)),"")</f>
        <v/>
      </c>
      <c r="T312" s="106" t="str">
        <f aca="false">IFERROR(INDEX('Historical Data'!$AC$2:$AC$1068,MATCH($A312,'Historical Data'!$BE$2:$BE$1068,0)),"")</f>
        <v/>
      </c>
      <c r="U312" s="106" t="str">
        <f aca="false">IFERROR(INDEX('Historical Data'!$AE$2:$AE$1068,MATCH($A312,'Historical Data'!$BE$2:$BE$1068,0)),"")</f>
        <v/>
      </c>
      <c r="V312" s="106" t="str">
        <f aca="false">IFERROR(INDEX('Historical Data'!$AH$2:$AH$1068,MATCH($A312,'Historical Data'!$BE$2:$BE$1068,0)),"")</f>
        <v/>
      </c>
      <c r="W312" s="106" t="str">
        <f aca="false">IFERROR(INDEX('Historical Data'!$BC$2:$BC$1068,MATCH($A312,'Historical Data'!$BE$2:$BE$1068,0)),"")</f>
        <v/>
      </c>
      <c r="X312" s="105" t="str">
        <f aca="false">IF(B312="","",IF(W312=1,"NR + industry + position",IF(W312=2,"NR + ISO + position",IF(W312=3,"NR + industry",IF(W312=4,"NR + ISO",IF(W312=5,"NR + position",IF(W312=6,"NR only","book baseline"))))))&amp;"  ["&amp;IF(T312=1,"seasoned","unseasoned")&amp;IF(U312=1,", defaulted","")&amp;IF(V312=1,", open","")&amp;"]")</f>
        <v/>
      </c>
    </row>
    <row r="313" customFormat="false" ht="15" hidden="false" customHeight="false" outlineLevel="0" collapsed="false">
      <c r="A313" s="105" t="n">
        <v>309</v>
      </c>
      <c r="B313" s="106" t="str">
        <f aca="false">IFERROR(INDEX('Historical Data'!$A$2:$A$1068,MATCH($A313,'Historical Data'!$BE$2:$BE$1068,0)),"")</f>
        <v/>
      </c>
      <c r="C313" s="106" t="str">
        <f aca="false">IFERROR(INDEX('Historical Data'!$B$2:$B$1068,MATCH($A313,'Historical Data'!$BE$2:$BE$1068,0)),"")</f>
        <v/>
      </c>
      <c r="D313" s="106" t="str">
        <f aca="false">IFERROR(INDEX('Historical Data'!$D$2:$D$1068,MATCH($A313,'Historical Data'!$BE$2:$BE$1068,0)),"")</f>
        <v/>
      </c>
      <c r="E313" s="107" t="str">
        <f aca="false">IFERROR(INDEX('Historical Data'!$E$2:$E$1068,MATCH($A313,'Historical Data'!$BE$2:$BE$1068,0)),"")</f>
        <v/>
      </c>
      <c r="F313" s="106" t="str">
        <f aca="false">IFERROR(INDEX('Historical Data'!$G$2:$G$1068,MATCH($A313,'Historical Data'!$BE$2:$BE$1068,0)),"")</f>
        <v/>
      </c>
      <c r="G313" s="106" t="str">
        <f aca="false">IFERROR(INDEX('Historical Data'!$Y$2:$Y$1068,MATCH($A313,'Historical Data'!$BE$2:$BE$1068,0)),"")</f>
        <v/>
      </c>
      <c r="H313" s="106" t="str">
        <f aca="false">IFERROR(INDEX('Historical Data'!$K$2:$K$1068,MATCH($A313,'Historical Data'!$BE$2:$BE$1068,0)),"")</f>
        <v/>
      </c>
      <c r="I313" s="106" t="str">
        <f aca="false">IFERROR(INDEX('Historical Data'!$J$2:$J$1068,MATCH($A313,'Historical Data'!$BE$2:$BE$1068,0)),"")</f>
        <v/>
      </c>
      <c r="J313" s="106" t="str">
        <f aca="false">IFERROR(INDEX('Historical Data'!$L$2:$L$1068,MATCH($A313,'Historical Data'!$BE$2:$BE$1068,0)),"")</f>
        <v/>
      </c>
      <c r="K313" s="108" t="str">
        <f aca="false">IFERROR(INDEX('Historical Data'!$M$2:$M$1068,MATCH($A313,'Historical Data'!$BE$2:$BE$1068,0)),"")</f>
        <v/>
      </c>
      <c r="L313" s="109" t="str">
        <f aca="false">IFERROR(INDEX('Historical Data'!$N$2:$N$1068,MATCH($A313,'Historical Data'!$BE$2:$BE$1068,0)),"")</f>
        <v/>
      </c>
      <c r="M313" s="109" t="str">
        <f aca="false">IFERROR(INDEX('Historical Data'!$Q$2:$Q$1068,MATCH($A313,'Historical Data'!$BE$2:$BE$1068,0)),"")</f>
        <v/>
      </c>
      <c r="N313" s="110" t="str">
        <f aca="false">IFERROR(INDEX('Historical Data'!$S$2:$S$1068,MATCH($A313,'Historical Data'!$BE$2:$BE$1068,0)),"")</f>
        <v/>
      </c>
      <c r="O313" s="109" t="str">
        <f aca="false">IFERROR(INDEX('Historical Data'!$AJ$2:$AJ$1068,MATCH($A313,'Historical Data'!$BE$2:$BE$1068,0)),"")</f>
        <v/>
      </c>
      <c r="P313" s="109" t="str">
        <f aca="false">IFERROR(INDEX('Historical Data'!$AK$2:$AK$1068,MATCH($A313,'Historical Data'!$BE$2:$BE$1068,0)),"")</f>
        <v/>
      </c>
      <c r="Q313" s="106" t="str">
        <f aca="false">IFERROR(INDEX('Historical Data'!$AA$2:$AA$1068,MATCH($A313,'Historical Data'!$BE$2:$BE$1068,0)),"")</f>
        <v/>
      </c>
      <c r="R313" s="106" t="str">
        <f aca="false">IFERROR(INDEX('Historical Data'!$AB$2:$AB$1068,MATCH($A313,'Historical Data'!$BE$2:$BE$1068,0)),"")</f>
        <v/>
      </c>
      <c r="S313" s="106" t="str">
        <f aca="false">IFERROR(INDEX('Historical Data'!$AN$2:$AN$1068,MATCH($A313,'Historical Data'!$BE$2:$BE$1068,0)),"")</f>
        <v/>
      </c>
      <c r="T313" s="106" t="str">
        <f aca="false">IFERROR(INDEX('Historical Data'!$AC$2:$AC$1068,MATCH($A313,'Historical Data'!$BE$2:$BE$1068,0)),"")</f>
        <v/>
      </c>
      <c r="U313" s="106" t="str">
        <f aca="false">IFERROR(INDEX('Historical Data'!$AE$2:$AE$1068,MATCH($A313,'Historical Data'!$BE$2:$BE$1068,0)),"")</f>
        <v/>
      </c>
      <c r="V313" s="106" t="str">
        <f aca="false">IFERROR(INDEX('Historical Data'!$AH$2:$AH$1068,MATCH($A313,'Historical Data'!$BE$2:$BE$1068,0)),"")</f>
        <v/>
      </c>
      <c r="W313" s="106" t="str">
        <f aca="false">IFERROR(INDEX('Historical Data'!$BC$2:$BC$1068,MATCH($A313,'Historical Data'!$BE$2:$BE$1068,0)),"")</f>
        <v/>
      </c>
      <c r="X313" s="105" t="str">
        <f aca="false">IF(B313="","",IF(W313=1,"NR + industry + position",IF(W313=2,"NR + ISO + position",IF(W313=3,"NR + industry",IF(W313=4,"NR + ISO",IF(W313=5,"NR + position",IF(W313=6,"NR only","book baseline"))))))&amp;"  ["&amp;IF(T313=1,"seasoned","unseasoned")&amp;IF(U313=1,", defaulted","")&amp;IF(V313=1,", open","")&amp;"]")</f>
        <v/>
      </c>
    </row>
    <row r="314" customFormat="false" ht="15" hidden="false" customHeight="false" outlineLevel="0" collapsed="false">
      <c r="A314" s="105" t="n">
        <v>310</v>
      </c>
      <c r="B314" s="106" t="str">
        <f aca="false">IFERROR(INDEX('Historical Data'!$A$2:$A$1068,MATCH($A314,'Historical Data'!$BE$2:$BE$1068,0)),"")</f>
        <v/>
      </c>
      <c r="C314" s="106" t="str">
        <f aca="false">IFERROR(INDEX('Historical Data'!$B$2:$B$1068,MATCH($A314,'Historical Data'!$BE$2:$BE$1068,0)),"")</f>
        <v/>
      </c>
      <c r="D314" s="106" t="str">
        <f aca="false">IFERROR(INDEX('Historical Data'!$D$2:$D$1068,MATCH($A314,'Historical Data'!$BE$2:$BE$1068,0)),"")</f>
        <v/>
      </c>
      <c r="E314" s="107" t="str">
        <f aca="false">IFERROR(INDEX('Historical Data'!$E$2:$E$1068,MATCH($A314,'Historical Data'!$BE$2:$BE$1068,0)),"")</f>
        <v/>
      </c>
      <c r="F314" s="106" t="str">
        <f aca="false">IFERROR(INDEX('Historical Data'!$G$2:$G$1068,MATCH($A314,'Historical Data'!$BE$2:$BE$1068,0)),"")</f>
        <v/>
      </c>
      <c r="G314" s="106" t="str">
        <f aca="false">IFERROR(INDEX('Historical Data'!$Y$2:$Y$1068,MATCH($A314,'Historical Data'!$BE$2:$BE$1068,0)),"")</f>
        <v/>
      </c>
      <c r="H314" s="106" t="str">
        <f aca="false">IFERROR(INDEX('Historical Data'!$K$2:$K$1068,MATCH($A314,'Historical Data'!$BE$2:$BE$1068,0)),"")</f>
        <v/>
      </c>
      <c r="I314" s="106" t="str">
        <f aca="false">IFERROR(INDEX('Historical Data'!$J$2:$J$1068,MATCH($A314,'Historical Data'!$BE$2:$BE$1068,0)),"")</f>
        <v/>
      </c>
      <c r="J314" s="106" t="str">
        <f aca="false">IFERROR(INDEX('Historical Data'!$L$2:$L$1068,MATCH($A314,'Historical Data'!$BE$2:$BE$1068,0)),"")</f>
        <v/>
      </c>
      <c r="K314" s="108" t="str">
        <f aca="false">IFERROR(INDEX('Historical Data'!$M$2:$M$1068,MATCH($A314,'Historical Data'!$BE$2:$BE$1068,0)),"")</f>
        <v/>
      </c>
      <c r="L314" s="109" t="str">
        <f aca="false">IFERROR(INDEX('Historical Data'!$N$2:$N$1068,MATCH($A314,'Historical Data'!$BE$2:$BE$1068,0)),"")</f>
        <v/>
      </c>
      <c r="M314" s="109" t="str">
        <f aca="false">IFERROR(INDEX('Historical Data'!$Q$2:$Q$1068,MATCH($A314,'Historical Data'!$BE$2:$BE$1068,0)),"")</f>
        <v/>
      </c>
      <c r="N314" s="110" t="str">
        <f aca="false">IFERROR(INDEX('Historical Data'!$S$2:$S$1068,MATCH($A314,'Historical Data'!$BE$2:$BE$1068,0)),"")</f>
        <v/>
      </c>
      <c r="O314" s="109" t="str">
        <f aca="false">IFERROR(INDEX('Historical Data'!$AJ$2:$AJ$1068,MATCH($A314,'Historical Data'!$BE$2:$BE$1068,0)),"")</f>
        <v/>
      </c>
      <c r="P314" s="109" t="str">
        <f aca="false">IFERROR(INDEX('Historical Data'!$AK$2:$AK$1068,MATCH($A314,'Historical Data'!$BE$2:$BE$1068,0)),"")</f>
        <v/>
      </c>
      <c r="Q314" s="106" t="str">
        <f aca="false">IFERROR(INDEX('Historical Data'!$AA$2:$AA$1068,MATCH($A314,'Historical Data'!$BE$2:$BE$1068,0)),"")</f>
        <v/>
      </c>
      <c r="R314" s="106" t="str">
        <f aca="false">IFERROR(INDEX('Historical Data'!$AB$2:$AB$1068,MATCH($A314,'Historical Data'!$BE$2:$BE$1068,0)),"")</f>
        <v/>
      </c>
      <c r="S314" s="106" t="str">
        <f aca="false">IFERROR(INDEX('Historical Data'!$AN$2:$AN$1068,MATCH($A314,'Historical Data'!$BE$2:$BE$1068,0)),"")</f>
        <v/>
      </c>
      <c r="T314" s="106" t="str">
        <f aca="false">IFERROR(INDEX('Historical Data'!$AC$2:$AC$1068,MATCH($A314,'Historical Data'!$BE$2:$BE$1068,0)),"")</f>
        <v/>
      </c>
      <c r="U314" s="106" t="str">
        <f aca="false">IFERROR(INDEX('Historical Data'!$AE$2:$AE$1068,MATCH($A314,'Historical Data'!$BE$2:$BE$1068,0)),"")</f>
        <v/>
      </c>
      <c r="V314" s="106" t="str">
        <f aca="false">IFERROR(INDEX('Historical Data'!$AH$2:$AH$1068,MATCH($A314,'Historical Data'!$BE$2:$BE$1068,0)),"")</f>
        <v/>
      </c>
      <c r="W314" s="106" t="str">
        <f aca="false">IFERROR(INDEX('Historical Data'!$BC$2:$BC$1068,MATCH($A314,'Historical Data'!$BE$2:$BE$1068,0)),"")</f>
        <v/>
      </c>
      <c r="X314" s="105" t="str">
        <f aca="false">IF(B314="","",IF(W314=1,"NR + industry + position",IF(W314=2,"NR + ISO + position",IF(W314=3,"NR + industry",IF(W314=4,"NR + ISO",IF(W314=5,"NR + position",IF(W314=6,"NR only","book baseline"))))))&amp;"  ["&amp;IF(T314=1,"seasoned","unseasoned")&amp;IF(U314=1,", defaulted","")&amp;IF(V314=1,", open","")&amp;"]")</f>
        <v/>
      </c>
    </row>
    <row r="315" customFormat="false" ht="15" hidden="false" customHeight="false" outlineLevel="0" collapsed="false">
      <c r="A315" s="105" t="n">
        <v>311</v>
      </c>
      <c r="B315" s="106" t="str">
        <f aca="false">IFERROR(INDEX('Historical Data'!$A$2:$A$1068,MATCH($A315,'Historical Data'!$BE$2:$BE$1068,0)),"")</f>
        <v/>
      </c>
      <c r="C315" s="106" t="str">
        <f aca="false">IFERROR(INDEX('Historical Data'!$B$2:$B$1068,MATCH($A315,'Historical Data'!$BE$2:$BE$1068,0)),"")</f>
        <v/>
      </c>
      <c r="D315" s="106" t="str">
        <f aca="false">IFERROR(INDEX('Historical Data'!$D$2:$D$1068,MATCH($A315,'Historical Data'!$BE$2:$BE$1068,0)),"")</f>
        <v/>
      </c>
      <c r="E315" s="107" t="str">
        <f aca="false">IFERROR(INDEX('Historical Data'!$E$2:$E$1068,MATCH($A315,'Historical Data'!$BE$2:$BE$1068,0)),"")</f>
        <v/>
      </c>
      <c r="F315" s="106" t="str">
        <f aca="false">IFERROR(INDEX('Historical Data'!$G$2:$G$1068,MATCH($A315,'Historical Data'!$BE$2:$BE$1068,0)),"")</f>
        <v/>
      </c>
      <c r="G315" s="106" t="str">
        <f aca="false">IFERROR(INDEX('Historical Data'!$Y$2:$Y$1068,MATCH($A315,'Historical Data'!$BE$2:$BE$1068,0)),"")</f>
        <v/>
      </c>
      <c r="H315" s="106" t="str">
        <f aca="false">IFERROR(INDEX('Historical Data'!$K$2:$K$1068,MATCH($A315,'Historical Data'!$BE$2:$BE$1068,0)),"")</f>
        <v/>
      </c>
      <c r="I315" s="106" t="str">
        <f aca="false">IFERROR(INDEX('Historical Data'!$J$2:$J$1068,MATCH($A315,'Historical Data'!$BE$2:$BE$1068,0)),"")</f>
        <v/>
      </c>
      <c r="J315" s="106" t="str">
        <f aca="false">IFERROR(INDEX('Historical Data'!$L$2:$L$1068,MATCH($A315,'Historical Data'!$BE$2:$BE$1068,0)),"")</f>
        <v/>
      </c>
      <c r="K315" s="108" t="str">
        <f aca="false">IFERROR(INDEX('Historical Data'!$M$2:$M$1068,MATCH($A315,'Historical Data'!$BE$2:$BE$1068,0)),"")</f>
        <v/>
      </c>
      <c r="L315" s="109" t="str">
        <f aca="false">IFERROR(INDEX('Historical Data'!$N$2:$N$1068,MATCH($A315,'Historical Data'!$BE$2:$BE$1068,0)),"")</f>
        <v/>
      </c>
      <c r="M315" s="109" t="str">
        <f aca="false">IFERROR(INDEX('Historical Data'!$Q$2:$Q$1068,MATCH($A315,'Historical Data'!$BE$2:$BE$1068,0)),"")</f>
        <v/>
      </c>
      <c r="N315" s="110" t="str">
        <f aca="false">IFERROR(INDEX('Historical Data'!$S$2:$S$1068,MATCH($A315,'Historical Data'!$BE$2:$BE$1068,0)),"")</f>
        <v/>
      </c>
      <c r="O315" s="109" t="str">
        <f aca="false">IFERROR(INDEX('Historical Data'!$AJ$2:$AJ$1068,MATCH($A315,'Historical Data'!$BE$2:$BE$1068,0)),"")</f>
        <v/>
      </c>
      <c r="P315" s="109" t="str">
        <f aca="false">IFERROR(INDEX('Historical Data'!$AK$2:$AK$1068,MATCH($A315,'Historical Data'!$BE$2:$BE$1068,0)),"")</f>
        <v/>
      </c>
      <c r="Q315" s="106" t="str">
        <f aca="false">IFERROR(INDEX('Historical Data'!$AA$2:$AA$1068,MATCH($A315,'Historical Data'!$BE$2:$BE$1068,0)),"")</f>
        <v/>
      </c>
      <c r="R315" s="106" t="str">
        <f aca="false">IFERROR(INDEX('Historical Data'!$AB$2:$AB$1068,MATCH($A315,'Historical Data'!$BE$2:$BE$1068,0)),"")</f>
        <v/>
      </c>
      <c r="S315" s="106" t="str">
        <f aca="false">IFERROR(INDEX('Historical Data'!$AN$2:$AN$1068,MATCH($A315,'Historical Data'!$BE$2:$BE$1068,0)),"")</f>
        <v/>
      </c>
      <c r="T315" s="106" t="str">
        <f aca="false">IFERROR(INDEX('Historical Data'!$AC$2:$AC$1068,MATCH($A315,'Historical Data'!$BE$2:$BE$1068,0)),"")</f>
        <v/>
      </c>
      <c r="U315" s="106" t="str">
        <f aca="false">IFERROR(INDEX('Historical Data'!$AE$2:$AE$1068,MATCH($A315,'Historical Data'!$BE$2:$BE$1068,0)),"")</f>
        <v/>
      </c>
      <c r="V315" s="106" t="str">
        <f aca="false">IFERROR(INDEX('Historical Data'!$AH$2:$AH$1068,MATCH($A315,'Historical Data'!$BE$2:$BE$1068,0)),"")</f>
        <v/>
      </c>
      <c r="W315" s="106" t="str">
        <f aca="false">IFERROR(INDEX('Historical Data'!$BC$2:$BC$1068,MATCH($A315,'Historical Data'!$BE$2:$BE$1068,0)),"")</f>
        <v/>
      </c>
      <c r="X315" s="105" t="str">
        <f aca="false">IF(B315="","",IF(W315=1,"NR + industry + position",IF(W315=2,"NR + ISO + position",IF(W315=3,"NR + industry",IF(W315=4,"NR + ISO",IF(W315=5,"NR + position",IF(W315=6,"NR only","book baseline"))))))&amp;"  ["&amp;IF(T315=1,"seasoned","unseasoned")&amp;IF(U315=1,", defaulted","")&amp;IF(V315=1,", open","")&amp;"]")</f>
        <v/>
      </c>
    </row>
    <row r="316" customFormat="false" ht="15" hidden="false" customHeight="false" outlineLevel="0" collapsed="false">
      <c r="A316" s="105" t="n">
        <v>312</v>
      </c>
      <c r="B316" s="106" t="str">
        <f aca="false">IFERROR(INDEX('Historical Data'!$A$2:$A$1068,MATCH($A316,'Historical Data'!$BE$2:$BE$1068,0)),"")</f>
        <v/>
      </c>
      <c r="C316" s="106" t="str">
        <f aca="false">IFERROR(INDEX('Historical Data'!$B$2:$B$1068,MATCH($A316,'Historical Data'!$BE$2:$BE$1068,0)),"")</f>
        <v/>
      </c>
      <c r="D316" s="106" t="str">
        <f aca="false">IFERROR(INDEX('Historical Data'!$D$2:$D$1068,MATCH($A316,'Historical Data'!$BE$2:$BE$1068,0)),"")</f>
        <v/>
      </c>
      <c r="E316" s="107" t="str">
        <f aca="false">IFERROR(INDEX('Historical Data'!$E$2:$E$1068,MATCH($A316,'Historical Data'!$BE$2:$BE$1068,0)),"")</f>
        <v/>
      </c>
      <c r="F316" s="106" t="str">
        <f aca="false">IFERROR(INDEX('Historical Data'!$G$2:$G$1068,MATCH($A316,'Historical Data'!$BE$2:$BE$1068,0)),"")</f>
        <v/>
      </c>
      <c r="G316" s="106" t="str">
        <f aca="false">IFERROR(INDEX('Historical Data'!$Y$2:$Y$1068,MATCH($A316,'Historical Data'!$BE$2:$BE$1068,0)),"")</f>
        <v/>
      </c>
      <c r="H316" s="106" t="str">
        <f aca="false">IFERROR(INDEX('Historical Data'!$K$2:$K$1068,MATCH($A316,'Historical Data'!$BE$2:$BE$1068,0)),"")</f>
        <v/>
      </c>
      <c r="I316" s="106" t="str">
        <f aca="false">IFERROR(INDEX('Historical Data'!$J$2:$J$1068,MATCH($A316,'Historical Data'!$BE$2:$BE$1068,0)),"")</f>
        <v/>
      </c>
      <c r="J316" s="106" t="str">
        <f aca="false">IFERROR(INDEX('Historical Data'!$L$2:$L$1068,MATCH($A316,'Historical Data'!$BE$2:$BE$1068,0)),"")</f>
        <v/>
      </c>
      <c r="K316" s="108" t="str">
        <f aca="false">IFERROR(INDEX('Historical Data'!$M$2:$M$1068,MATCH($A316,'Historical Data'!$BE$2:$BE$1068,0)),"")</f>
        <v/>
      </c>
      <c r="L316" s="109" t="str">
        <f aca="false">IFERROR(INDEX('Historical Data'!$N$2:$N$1068,MATCH($A316,'Historical Data'!$BE$2:$BE$1068,0)),"")</f>
        <v/>
      </c>
      <c r="M316" s="109" t="str">
        <f aca="false">IFERROR(INDEX('Historical Data'!$Q$2:$Q$1068,MATCH($A316,'Historical Data'!$BE$2:$BE$1068,0)),"")</f>
        <v/>
      </c>
      <c r="N316" s="110" t="str">
        <f aca="false">IFERROR(INDEX('Historical Data'!$S$2:$S$1068,MATCH($A316,'Historical Data'!$BE$2:$BE$1068,0)),"")</f>
        <v/>
      </c>
      <c r="O316" s="109" t="str">
        <f aca="false">IFERROR(INDEX('Historical Data'!$AJ$2:$AJ$1068,MATCH($A316,'Historical Data'!$BE$2:$BE$1068,0)),"")</f>
        <v/>
      </c>
      <c r="P316" s="109" t="str">
        <f aca="false">IFERROR(INDEX('Historical Data'!$AK$2:$AK$1068,MATCH($A316,'Historical Data'!$BE$2:$BE$1068,0)),"")</f>
        <v/>
      </c>
      <c r="Q316" s="106" t="str">
        <f aca="false">IFERROR(INDEX('Historical Data'!$AA$2:$AA$1068,MATCH($A316,'Historical Data'!$BE$2:$BE$1068,0)),"")</f>
        <v/>
      </c>
      <c r="R316" s="106" t="str">
        <f aca="false">IFERROR(INDEX('Historical Data'!$AB$2:$AB$1068,MATCH($A316,'Historical Data'!$BE$2:$BE$1068,0)),"")</f>
        <v/>
      </c>
      <c r="S316" s="106" t="str">
        <f aca="false">IFERROR(INDEX('Historical Data'!$AN$2:$AN$1068,MATCH($A316,'Historical Data'!$BE$2:$BE$1068,0)),"")</f>
        <v/>
      </c>
      <c r="T316" s="106" t="str">
        <f aca="false">IFERROR(INDEX('Historical Data'!$AC$2:$AC$1068,MATCH($A316,'Historical Data'!$BE$2:$BE$1068,0)),"")</f>
        <v/>
      </c>
      <c r="U316" s="106" t="str">
        <f aca="false">IFERROR(INDEX('Historical Data'!$AE$2:$AE$1068,MATCH($A316,'Historical Data'!$BE$2:$BE$1068,0)),"")</f>
        <v/>
      </c>
      <c r="V316" s="106" t="str">
        <f aca="false">IFERROR(INDEX('Historical Data'!$AH$2:$AH$1068,MATCH($A316,'Historical Data'!$BE$2:$BE$1068,0)),"")</f>
        <v/>
      </c>
      <c r="W316" s="106" t="str">
        <f aca="false">IFERROR(INDEX('Historical Data'!$BC$2:$BC$1068,MATCH($A316,'Historical Data'!$BE$2:$BE$1068,0)),"")</f>
        <v/>
      </c>
      <c r="X316" s="105" t="str">
        <f aca="false">IF(B316="","",IF(W316=1,"NR + industry + position",IF(W316=2,"NR + ISO + position",IF(W316=3,"NR + industry",IF(W316=4,"NR + ISO",IF(W316=5,"NR + position",IF(W316=6,"NR only","book baseline"))))))&amp;"  ["&amp;IF(T316=1,"seasoned","unseasoned")&amp;IF(U316=1,", defaulted","")&amp;IF(V316=1,", open","")&amp;"]")</f>
        <v/>
      </c>
    </row>
    <row r="317" customFormat="false" ht="15" hidden="false" customHeight="false" outlineLevel="0" collapsed="false">
      <c r="A317" s="105" t="n">
        <v>313</v>
      </c>
      <c r="B317" s="106" t="str">
        <f aca="false">IFERROR(INDEX('Historical Data'!$A$2:$A$1068,MATCH($A317,'Historical Data'!$BE$2:$BE$1068,0)),"")</f>
        <v/>
      </c>
      <c r="C317" s="106" t="str">
        <f aca="false">IFERROR(INDEX('Historical Data'!$B$2:$B$1068,MATCH($A317,'Historical Data'!$BE$2:$BE$1068,0)),"")</f>
        <v/>
      </c>
      <c r="D317" s="106" t="str">
        <f aca="false">IFERROR(INDEX('Historical Data'!$D$2:$D$1068,MATCH($A317,'Historical Data'!$BE$2:$BE$1068,0)),"")</f>
        <v/>
      </c>
      <c r="E317" s="107" t="str">
        <f aca="false">IFERROR(INDEX('Historical Data'!$E$2:$E$1068,MATCH($A317,'Historical Data'!$BE$2:$BE$1068,0)),"")</f>
        <v/>
      </c>
      <c r="F317" s="106" t="str">
        <f aca="false">IFERROR(INDEX('Historical Data'!$G$2:$G$1068,MATCH($A317,'Historical Data'!$BE$2:$BE$1068,0)),"")</f>
        <v/>
      </c>
      <c r="G317" s="106" t="str">
        <f aca="false">IFERROR(INDEX('Historical Data'!$Y$2:$Y$1068,MATCH($A317,'Historical Data'!$BE$2:$BE$1068,0)),"")</f>
        <v/>
      </c>
      <c r="H317" s="106" t="str">
        <f aca="false">IFERROR(INDEX('Historical Data'!$K$2:$K$1068,MATCH($A317,'Historical Data'!$BE$2:$BE$1068,0)),"")</f>
        <v/>
      </c>
      <c r="I317" s="106" t="str">
        <f aca="false">IFERROR(INDEX('Historical Data'!$J$2:$J$1068,MATCH($A317,'Historical Data'!$BE$2:$BE$1068,0)),"")</f>
        <v/>
      </c>
      <c r="J317" s="106" t="str">
        <f aca="false">IFERROR(INDEX('Historical Data'!$L$2:$L$1068,MATCH($A317,'Historical Data'!$BE$2:$BE$1068,0)),"")</f>
        <v/>
      </c>
      <c r="K317" s="108" t="str">
        <f aca="false">IFERROR(INDEX('Historical Data'!$M$2:$M$1068,MATCH($A317,'Historical Data'!$BE$2:$BE$1068,0)),"")</f>
        <v/>
      </c>
      <c r="L317" s="109" t="str">
        <f aca="false">IFERROR(INDEX('Historical Data'!$N$2:$N$1068,MATCH($A317,'Historical Data'!$BE$2:$BE$1068,0)),"")</f>
        <v/>
      </c>
      <c r="M317" s="109" t="str">
        <f aca="false">IFERROR(INDEX('Historical Data'!$Q$2:$Q$1068,MATCH($A317,'Historical Data'!$BE$2:$BE$1068,0)),"")</f>
        <v/>
      </c>
      <c r="N317" s="110" t="str">
        <f aca="false">IFERROR(INDEX('Historical Data'!$S$2:$S$1068,MATCH($A317,'Historical Data'!$BE$2:$BE$1068,0)),"")</f>
        <v/>
      </c>
      <c r="O317" s="109" t="str">
        <f aca="false">IFERROR(INDEX('Historical Data'!$AJ$2:$AJ$1068,MATCH($A317,'Historical Data'!$BE$2:$BE$1068,0)),"")</f>
        <v/>
      </c>
      <c r="P317" s="109" t="str">
        <f aca="false">IFERROR(INDEX('Historical Data'!$AK$2:$AK$1068,MATCH($A317,'Historical Data'!$BE$2:$BE$1068,0)),"")</f>
        <v/>
      </c>
      <c r="Q317" s="106" t="str">
        <f aca="false">IFERROR(INDEX('Historical Data'!$AA$2:$AA$1068,MATCH($A317,'Historical Data'!$BE$2:$BE$1068,0)),"")</f>
        <v/>
      </c>
      <c r="R317" s="106" t="str">
        <f aca="false">IFERROR(INDEX('Historical Data'!$AB$2:$AB$1068,MATCH($A317,'Historical Data'!$BE$2:$BE$1068,0)),"")</f>
        <v/>
      </c>
      <c r="S317" s="106" t="str">
        <f aca="false">IFERROR(INDEX('Historical Data'!$AN$2:$AN$1068,MATCH($A317,'Historical Data'!$BE$2:$BE$1068,0)),"")</f>
        <v/>
      </c>
      <c r="T317" s="106" t="str">
        <f aca="false">IFERROR(INDEX('Historical Data'!$AC$2:$AC$1068,MATCH($A317,'Historical Data'!$BE$2:$BE$1068,0)),"")</f>
        <v/>
      </c>
      <c r="U317" s="106" t="str">
        <f aca="false">IFERROR(INDEX('Historical Data'!$AE$2:$AE$1068,MATCH($A317,'Historical Data'!$BE$2:$BE$1068,0)),"")</f>
        <v/>
      </c>
      <c r="V317" s="106" t="str">
        <f aca="false">IFERROR(INDEX('Historical Data'!$AH$2:$AH$1068,MATCH($A317,'Historical Data'!$BE$2:$BE$1068,0)),"")</f>
        <v/>
      </c>
      <c r="W317" s="106" t="str">
        <f aca="false">IFERROR(INDEX('Historical Data'!$BC$2:$BC$1068,MATCH($A317,'Historical Data'!$BE$2:$BE$1068,0)),"")</f>
        <v/>
      </c>
      <c r="X317" s="105" t="str">
        <f aca="false">IF(B317="","",IF(W317=1,"NR + industry + position",IF(W317=2,"NR + ISO + position",IF(W317=3,"NR + industry",IF(W317=4,"NR + ISO",IF(W317=5,"NR + position",IF(W317=6,"NR only","book baseline"))))))&amp;"  ["&amp;IF(T317=1,"seasoned","unseasoned")&amp;IF(U317=1,", defaulted","")&amp;IF(V317=1,", open","")&amp;"]")</f>
        <v/>
      </c>
    </row>
    <row r="318" customFormat="false" ht="15" hidden="false" customHeight="false" outlineLevel="0" collapsed="false">
      <c r="A318" s="105" t="n">
        <v>314</v>
      </c>
      <c r="B318" s="106" t="str">
        <f aca="false">IFERROR(INDEX('Historical Data'!$A$2:$A$1068,MATCH($A318,'Historical Data'!$BE$2:$BE$1068,0)),"")</f>
        <v/>
      </c>
      <c r="C318" s="106" t="str">
        <f aca="false">IFERROR(INDEX('Historical Data'!$B$2:$B$1068,MATCH($A318,'Historical Data'!$BE$2:$BE$1068,0)),"")</f>
        <v/>
      </c>
      <c r="D318" s="106" t="str">
        <f aca="false">IFERROR(INDEX('Historical Data'!$D$2:$D$1068,MATCH($A318,'Historical Data'!$BE$2:$BE$1068,0)),"")</f>
        <v/>
      </c>
      <c r="E318" s="107" t="str">
        <f aca="false">IFERROR(INDEX('Historical Data'!$E$2:$E$1068,MATCH($A318,'Historical Data'!$BE$2:$BE$1068,0)),"")</f>
        <v/>
      </c>
      <c r="F318" s="106" t="str">
        <f aca="false">IFERROR(INDEX('Historical Data'!$G$2:$G$1068,MATCH($A318,'Historical Data'!$BE$2:$BE$1068,0)),"")</f>
        <v/>
      </c>
      <c r="G318" s="106" t="str">
        <f aca="false">IFERROR(INDEX('Historical Data'!$Y$2:$Y$1068,MATCH($A318,'Historical Data'!$BE$2:$BE$1068,0)),"")</f>
        <v/>
      </c>
      <c r="H318" s="106" t="str">
        <f aca="false">IFERROR(INDEX('Historical Data'!$K$2:$K$1068,MATCH($A318,'Historical Data'!$BE$2:$BE$1068,0)),"")</f>
        <v/>
      </c>
      <c r="I318" s="106" t="str">
        <f aca="false">IFERROR(INDEX('Historical Data'!$J$2:$J$1068,MATCH($A318,'Historical Data'!$BE$2:$BE$1068,0)),"")</f>
        <v/>
      </c>
      <c r="J318" s="106" t="str">
        <f aca="false">IFERROR(INDEX('Historical Data'!$L$2:$L$1068,MATCH($A318,'Historical Data'!$BE$2:$BE$1068,0)),"")</f>
        <v/>
      </c>
      <c r="K318" s="108" t="str">
        <f aca="false">IFERROR(INDEX('Historical Data'!$M$2:$M$1068,MATCH($A318,'Historical Data'!$BE$2:$BE$1068,0)),"")</f>
        <v/>
      </c>
      <c r="L318" s="109" t="str">
        <f aca="false">IFERROR(INDEX('Historical Data'!$N$2:$N$1068,MATCH($A318,'Historical Data'!$BE$2:$BE$1068,0)),"")</f>
        <v/>
      </c>
      <c r="M318" s="109" t="str">
        <f aca="false">IFERROR(INDEX('Historical Data'!$Q$2:$Q$1068,MATCH($A318,'Historical Data'!$BE$2:$BE$1068,0)),"")</f>
        <v/>
      </c>
      <c r="N318" s="110" t="str">
        <f aca="false">IFERROR(INDEX('Historical Data'!$S$2:$S$1068,MATCH($A318,'Historical Data'!$BE$2:$BE$1068,0)),"")</f>
        <v/>
      </c>
      <c r="O318" s="109" t="str">
        <f aca="false">IFERROR(INDEX('Historical Data'!$AJ$2:$AJ$1068,MATCH($A318,'Historical Data'!$BE$2:$BE$1068,0)),"")</f>
        <v/>
      </c>
      <c r="P318" s="109" t="str">
        <f aca="false">IFERROR(INDEX('Historical Data'!$AK$2:$AK$1068,MATCH($A318,'Historical Data'!$BE$2:$BE$1068,0)),"")</f>
        <v/>
      </c>
      <c r="Q318" s="106" t="str">
        <f aca="false">IFERROR(INDEX('Historical Data'!$AA$2:$AA$1068,MATCH($A318,'Historical Data'!$BE$2:$BE$1068,0)),"")</f>
        <v/>
      </c>
      <c r="R318" s="106" t="str">
        <f aca="false">IFERROR(INDEX('Historical Data'!$AB$2:$AB$1068,MATCH($A318,'Historical Data'!$BE$2:$BE$1068,0)),"")</f>
        <v/>
      </c>
      <c r="S318" s="106" t="str">
        <f aca="false">IFERROR(INDEX('Historical Data'!$AN$2:$AN$1068,MATCH($A318,'Historical Data'!$BE$2:$BE$1068,0)),"")</f>
        <v/>
      </c>
      <c r="T318" s="106" t="str">
        <f aca="false">IFERROR(INDEX('Historical Data'!$AC$2:$AC$1068,MATCH($A318,'Historical Data'!$BE$2:$BE$1068,0)),"")</f>
        <v/>
      </c>
      <c r="U318" s="106" t="str">
        <f aca="false">IFERROR(INDEX('Historical Data'!$AE$2:$AE$1068,MATCH($A318,'Historical Data'!$BE$2:$BE$1068,0)),"")</f>
        <v/>
      </c>
      <c r="V318" s="106" t="str">
        <f aca="false">IFERROR(INDEX('Historical Data'!$AH$2:$AH$1068,MATCH($A318,'Historical Data'!$BE$2:$BE$1068,0)),"")</f>
        <v/>
      </c>
      <c r="W318" s="106" t="str">
        <f aca="false">IFERROR(INDEX('Historical Data'!$BC$2:$BC$1068,MATCH($A318,'Historical Data'!$BE$2:$BE$1068,0)),"")</f>
        <v/>
      </c>
      <c r="X318" s="105" t="str">
        <f aca="false">IF(B318="","",IF(W318=1,"NR + industry + position",IF(W318=2,"NR + ISO + position",IF(W318=3,"NR + industry",IF(W318=4,"NR + ISO",IF(W318=5,"NR + position",IF(W318=6,"NR only","book baseline"))))))&amp;"  ["&amp;IF(T318=1,"seasoned","unseasoned")&amp;IF(U318=1,", defaulted","")&amp;IF(V318=1,", open","")&amp;"]")</f>
        <v/>
      </c>
    </row>
    <row r="319" customFormat="false" ht="15" hidden="false" customHeight="false" outlineLevel="0" collapsed="false">
      <c r="A319" s="105" t="n">
        <v>315</v>
      </c>
      <c r="B319" s="106" t="str">
        <f aca="false">IFERROR(INDEX('Historical Data'!$A$2:$A$1068,MATCH($A319,'Historical Data'!$BE$2:$BE$1068,0)),"")</f>
        <v/>
      </c>
      <c r="C319" s="106" t="str">
        <f aca="false">IFERROR(INDEX('Historical Data'!$B$2:$B$1068,MATCH($A319,'Historical Data'!$BE$2:$BE$1068,0)),"")</f>
        <v/>
      </c>
      <c r="D319" s="106" t="str">
        <f aca="false">IFERROR(INDEX('Historical Data'!$D$2:$D$1068,MATCH($A319,'Historical Data'!$BE$2:$BE$1068,0)),"")</f>
        <v/>
      </c>
      <c r="E319" s="107" t="str">
        <f aca="false">IFERROR(INDEX('Historical Data'!$E$2:$E$1068,MATCH($A319,'Historical Data'!$BE$2:$BE$1068,0)),"")</f>
        <v/>
      </c>
      <c r="F319" s="106" t="str">
        <f aca="false">IFERROR(INDEX('Historical Data'!$G$2:$G$1068,MATCH($A319,'Historical Data'!$BE$2:$BE$1068,0)),"")</f>
        <v/>
      </c>
      <c r="G319" s="106" t="str">
        <f aca="false">IFERROR(INDEX('Historical Data'!$Y$2:$Y$1068,MATCH($A319,'Historical Data'!$BE$2:$BE$1068,0)),"")</f>
        <v/>
      </c>
      <c r="H319" s="106" t="str">
        <f aca="false">IFERROR(INDEX('Historical Data'!$K$2:$K$1068,MATCH($A319,'Historical Data'!$BE$2:$BE$1068,0)),"")</f>
        <v/>
      </c>
      <c r="I319" s="106" t="str">
        <f aca="false">IFERROR(INDEX('Historical Data'!$J$2:$J$1068,MATCH($A319,'Historical Data'!$BE$2:$BE$1068,0)),"")</f>
        <v/>
      </c>
      <c r="J319" s="106" t="str">
        <f aca="false">IFERROR(INDEX('Historical Data'!$L$2:$L$1068,MATCH($A319,'Historical Data'!$BE$2:$BE$1068,0)),"")</f>
        <v/>
      </c>
      <c r="K319" s="108" t="str">
        <f aca="false">IFERROR(INDEX('Historical Data'!$M$2:$M$1068,MATCH($A319,'Historical Data'!$BE$2:$BE$1068,0)),"")</f>
        <v/>
      </c>
      <c r="L319" s="109" t="str">
        <f aca="false">IFERROR(INDEX('Historical Data'!$N$2:$N$1068,MATCH($A319,'Historical Data'!$BE$2:$BE$1068,0)),"")</f>
        <v/>
      </c>
      <c r="M319" s="109" t="str">
        <f aca="false">IFERROR(INDEX('Historical Data'!$Q$2:$Q$1068,MATCH($A319,'Historical Data'!$BE$2:$BE$1068,0)),"")</f>
        <v/>
      </c>
      <c r="N319" s="110" t="str">
        <f aca="false">IFERROR(INDEX('Historical Data'!$S$2:$S$1068,MATCH($A319,'Historical Data'!$BE$2:$BE$1068,0)),"")</f>
        <v/>
      </c>
      <c r="O319" s="109" t="str">
        <f aca="false">IFERROR(INDEX('Historical Data'!$AJ$2:$AJ$1068,MATCH($A319,'Historical Data'!$BE$2:$BE$1068,0)),"")</f>
        <v/>
      </c>
      <c r="P319" s="109" t="str">
        <f aca="false">IFERROR(INDEX('Historical Data'!$AK$2:$AK$1068,MATCH($A319,'Historical Data'!$BE$2:$BE$1068,0)),"")</f>
        <v/>
      </c>
      <c r="Q319" s="106" t="str">
        <f aca="false">IFERROR(INDEX('Historical Data'!$AA$2:$AA$1068,MATCH($A319,'Historical Data'!$BE$2:$BE$1068,0)),"")</f>
        <v/>
      </c>
      <c r="R319" s="106" t="str">
        <f aca="false">IFERROR(INDEX('Historical Data'!$AB$2:$AB$1068,MATCH($A319,'Historical Data'!$BE$2:$BE$1068,0)),"")</f>
        <v/>
      </c>
      <c r="S319" s="106" t="str">
        <f aca="false">IFERROR(INDEX('Historical Data'!$AN$2:$AN$1068,MATCH($A319,'Historical Data'!$BE$2:$BE$1068,0)),"")</f>
        <v/>
      </c>
      <c r="T319" s="106" t="str">
        <f aca="false">IFERROR(INDEX('Historical Data'!$AC$2:$AC$1068,MATCH($A319,'Historical Data'!$BE$2:$BE$1068,0)),"")</f>
        <v/>
      </c>
      <c r="U319" s="106" t="str">
        <f aca="false">IFERROR(INDEX('Historical Data'!$AE$2:$AE$1068,MATCH($A319,'Historical Data'!$BE$2:$BE$1068,0)),"")</f>
        <v/>
      </c>
      <c r="V319" s="106" t="str">
        <f aca="false">IFERROR(INDEX('Historical Data'!$AH$2:$AH$1068,MATCH($A319,'Historical Data'!$BE$2:$BE$1068,0)),"")</f>
        <v/>
      </c>
      <c r="W319" s="106" t="str">
        <f aca="false">IFERROR(INDEX('Historical Data'!$BC$2:$BC$1068,MATCH($A319,'Historical Data'!$BE$2:$BE$1068,0)),"")</f>
        <v/>
      </c>
      <c r="X319" s="105" t="str">
        <f aca="false">IF(B319="","",IF(W319=1,"NR + industry + position",IF(W319=2,"NR + ISO + position",IF(W319=3,"NR + industry",IF(W319=4,"NR + ISO",IF(W319=5,"NR + position",IF(W319=6,"NR only","book baseline"))))))&amp;"  ["&amp;IF(T319=1,"seasoned","unseasoned")&amp;IF(U319=1,", defaulted","")&amp;IF(V319=1,", open","")&amp;"]")</f>
        <v/>
      </c>
    </row>
    <row r="320" customFormat="false" ht="15" hidden="false" customHeight="false" outlineLevel="0" collapsed="false">
      <c r="A320" s="105" t="n">
        <v>316</v>
      </c>
      <c r="B320" s="106" t="str">
        <f aca="false">IFERROR(INDEX('Historical Data'!$A$2:$A$1068,MATCH($A320,'Historical Data'!$BE$2:$BE$1068,0)),"")</f>
        <v/>
      </c>
      <c r="C320" s="106" t="str">
        <f aca="false">IFERROR(INDEX('Historical Data'!$B$2:$B$1068,MATCH($A320,'Historical Data'!$BE$2:$BE$1068,0)),"")</f>
        <v/>
      </c>
      <c r="D320" s="106" t="str">
        <f aca="false">IFERROR(INDEX('Historical Data'!$D$2:$D$1068,MATCH($A320,'Historical Data'!$BE$2:$BE$1068,0)),"")</f>
        <v/>
      </c>
      <c r="E320" s="107" t="str">
        <f aca="false">IFERROR(INDEX('Historical Data'!$E$2:$E$1068,MATCH($A320,'Historical Data'!$BE$2:$BE$1068,0)),"")</f>
        <v/>
      </c>
      <c r="F320" s="106" t="str">
        <f aca="false">IFERROR(INDEX('Historical Data'!$G$2:$G$1068,MATCH($A320,'Historical Data'!$BE$2:$BE$1068,0)),"")</f>
        <v/>
      </c>
      <c r="G320" s="106" t="str">
        <f aca="false">IFERROR(INDEX('Historical Data'!$Y$2:$Y$1068,MATCH($A320,'Historical Data'!$BE$2:$BE$1068,0)),"")</f>
        <v/>
      </c>
      <c r="H320" s="106" t="str">
        <f aca="false">IFERROR(INDEX('Historical Data'!$K$2:$K$1068,MATCH($A320,'Historical Data'!$BE$2:$BE$1068,0)),"")</f>
        <v/>
      </c>
      <c r="I320" s="106" t="str">
        <f aca="false">IFERROR(INDEX('Historical Data'!$J$2:$J$1068,MATCH($A320,'Historical Data'!$BE$2:$BE$1068,0)),"")</f>
        <v/>
      </c>
      <c r="J320" s="106" t="str">
        <f aca="false">IFERROR(INDEX('Historical Data'!$L$2:$L$1068,MATCH($A320,'Historical Data'!$BE$2:$BE$1068,0)),"")</f>
        <v/>
      </c>
      <c r="K320" s="108" t="str">
        <f aca="false">IFERROR(INDEX('Historical Data'!$M$2:$M$1068,MATCH($A320,'Historical Data'!$BE$2:$BE$1068,0)),"")</f>
        <v/>
      </c>
      <c r="L320" s="109" t="str">
        <f aca="false">IFERROR(INDEX('Historical Data'!$N$2:$N$1068,MATCH($A320,'Historical Data'!$BE$2:$BE$1068,0)),"")</f>
        <v/>
      </c>
      <c r="M320" s="109" t="str">
        <f aca="false">IFERROR(INDEX('Historical Data'!$Q$2:$Q$1068,MATCH($A320,'Historical Data'!$BE$2:$BE$1068,0)),"")</f>
        <v/>
      </c>
      <c r="N320" s="110" t="str">
        <f aca="false">IFERROR(INDEX('Historical Data'!$S$2:$S$1068,MATCH($A320,'Historical Data'!$BE$2:$BE$1068,0)),"")</f>
        <v/>
      </c>
      <c r="O320" s="109" t="str">
        <f aca="false">IFERROR(INDEX('Historical Data'!$AJ$2:$AJ$1068,MATCH($A320,'Historical Data'!$BE$2:$BE$1068,0)),"")</f>
        <v/>
      </c>
      <c r="P320" s="109" t="str">
        <f aca="false">IFERROR(INDEX('Historical Data'!$AK$2:$AK$1068,MATCH($A320,'Historical Data'!$BE$2:$BE$1068,0)),"")</f>
        <v/>
      </c>
      <c r="Q320" s="106" t="str">
        <f aca="false">IFERROR(INDEX('Historical Data'!$AA$2:$AA$1068,MATCH($A320,'Historical Data'!$BE$2:$BE$1068,0)),"")</f>
        <v/>
      </c>
      <c r="R320" s="106" t="str">
        <f aca="false">IFERROR(INDEX('Historical Data'!$AB$2:$AB$1068,MATCH($A320,'Historical Data'!$BE$2:$BE$1068,0)),"")</f>
        <v/>
      </c>
      <c r="S320" s="106" t="str">
        <f aca="false">IFERROR(INDEX('Historical Data'!$AN$2:$AN$1068,MATCH($A320,'Historical Data'!$BE$2:$BE$1068,0)),"")</f>
        <v/>
      </c>
      <c r="T320" s="106" t="str">
        <f aca="false">IFERROR(INDEX('Historical Data'!$AC$2:$AC$1068,MATCH($A320,'Historical Data'!$BE$2:$BE$1068,0)),"")</f>
        <v/>
      </c>
      <c r="U320" s="106" t="str">
        <f aca="false">IFERROR(INDEX('Historical Data'!$AE$2:$AE$1068,MATCH($A320,'Historical Data'!$BE$2:$BE$1068,0)),"")</f>
        <v/>
      </c>
      <c r="V320" s="106" t="str">
        <f aca="false">IFERROR(INDEX('Historical Data'!$AH$2:$AH$1068,MATCH($A320,'Historical Data'!$BE$2:$BE$1068,0)),"")</f>
        <v/>
      </c>
      <c r="W320" s="106" t="str">
        <f aca="false">IFERROR(INDEX('Historical Data'!$BC$2:$BC$1068,MATCH($A320,'Historical Data'!$BE$2:$BE$1068,0)),"")</f>
        <v/>
      </c>
      <c r="X320" s="105" t="str">
        <f aca="false">IF(B320="","",IF(W320=1,"NR + industry + position",IF(W320=2,"NR + ISO + position",IF(W320=3,"NR + industry",IF(W320=4,"NR + ISO",IF(W320=5,"NR + position",IF(W320=6,"NR only","book baseline"))))))&amp;"  ["&amp;IF(T320=1,"seasoned","unseasoned")&amp;IF(U320=1,", defaulted","")&amp;IF(V320=1,", open","")&amp;"]")</f>
        <v/>
      </c>
    </row>
    <row r="321" customFormat="false" ht="15" hidden="false" customHeight="false" outlineLevel="0" collapsed="false">
      <c r="A321" s="105" t="n">
        <v>317</v>
      </c>
      <c r="B321" s="106" t="str">
        <f aca="false">IFERROR(INDEX('Historical Data'!$A$2:$A$1068,MATCH($A321,'Historical Data'!$BE$2:$BE$1068,0)),"")</f>
        <v/>
      </c>
      <c r="C321" s="106" t="str">
        <f aca="false">IFERROR(INDEX('Historical Data'!$B$2:$B$1068,MATCH($A321,'Historical Data'!$BE$2:$BE$1068,0)),"")</f>
        <v/>
      </c>
      <c r="D321" s="106" t="str">
        <f aca="false">IFERROR(INDEX('Historical Data'!$D$2:$D$1068,MATCH($A321,'Historical Data'!$BE$2:$BE$1068,0)),"")</f>
        <v/>
      </c>
      <c r="E321" s="107" t="str">
        <f aca="false">IFERROR(INDEX('Historical Data'!$E$2:$E$1068,MATCH($A321,'Historical Data'!$BE$2:$BE$1068,0)),"")</f>
        <v/>
      </c>
      <c r="F321" s="106" t="str">
        <f aca="false">IFERROR(INDEX('Historical Data'!$G$2:$G$1068,MATCH($A321,'Historical Data'!$BE$2:$BE$1068,0)),"")</f>
        <v/>
      </c>
      <c r="G321" s="106" t="str">
        <f aca="false">IFERROR(INDEX('Historical Data'!$Y$2:$Y$1068,MATCH($A321,'Historical Data'!$BE$2:$BE$1068,0)),"")</f>
        <v/>
      </c>
      <c r="H321" s="106" t="str">
        <f aca="false">IFERROR(INDEX('Historical Data'!$K$2:$K$1068,MATCH($A321,'Historical Data'!$BE$2:$BE$1068,0)),"")</f>
        <v/>
      </c>
      <c r="I321" s="106" t="str">
        <f aca="false">IFERROR(INDEX('Historical Data'!$J$2:$J$1068,MATCH($A321,'Historical Data'!$BE$2:$BE$1068,0)),"")</f>
        <v/>
      </c>
      <c r="J321" s="106" t="str">
        <f aca="false">IFERROR(INDEX('Historical Data'!$L$2:$L$1068,MATCH($A321,'Historical Data'!$BE$2:$BE$1068,0)),"")</f>
        <v/>
      </c>
      <c r="K321" s="108" t="str">
        <f aca="false">IFERROR(INDEX('Historical Data'!$M$2:$M$1068,MATCH($A321,'Historical Data'!$BE$2:$BE$1068,0)),"")</f>
        <v/>
      </c>
      <c r="L321" s="109" t="str">
        <f aca="false">IFERROR(INDEX('Historical Data'!$N$2:$N$1068,MATCH($A321,'Historical Data'!$BE$2:$BE$1068,0)),"")</f>
        <v/>
      </c>
      <c r="M321" s="109" t="str">
        <f aca="false">IFERROR(INDEX('Historical Data'!$Q$2:$Q$1068,MATCH($A321,'Historical Data'!$BE$2:$BE$1068,0)),"")</f>
        <v/>
      </c>
      <c r="N321" s="110" t="str">
        <f aca="false">IFERROR(INDEX('Historical Data'!$S$2:$S$1068,MATCH($A321,'Historical Data'!$BE$2:$BE$1068,0)),"")</f>
        <v/>
      </c>
      <c r="O321" s="109" t="str">
        <f aca="false">IFERROR(INDEX('Historical Data'!$AJ$2:$AJ$1068,MATCH($A321,'Historical Data'!$BE$2:$BE$1068,0)),"")</f>
        <v/>
      </c>
      <c r="P321" s="109" t="str">
        <f aca="false">IFERROR(INDEX('Historical Data'!$AK$2:$AK$1068,MATCH($A321,'Historical Data'!$BE$2:$BE$1068,0)),"")</f>
        <v/>
      </c>
      <c r="Q321" s="106" t="str">
        <f aca="false">IFERROR(INDEX('Historical Data'!$AA$2:$AA$1068,MATCH($A321,'Historical Data'!$BE$2:$BE$1068,0)),"")</f>
        <v/>
      </c>
      <c r="R321" s="106" t="str">
        <f aca="false">IFERROR(INDEX('Historical Data'!$AB$2:$AB$1068,MATCH($A321,'Historical Data'!$BE$2:$BE$1068,0)),"")</f>
        <v/>
      </c>
      <c r="S321" s="106" t="str">
        <f aca="false">IFERROR(INDEX('Historical Data'!$AN$2:$AN$1068,MATCH($A321,'Historical Data'!$BE$2:$BE$1068,0)),"")</f>
        <v/>
      </c>
      <c r="T321" s="106" t="str">
        <f aca="false">IFERROR(INDEX('Historical Data'!$AC$2:$AC$1068,MATCH($A321,'Historical Data'!$BE$2:$BE$1068,0)),"")</f>
        <v/>
      </c>
      <c r="U321" s="106" t="str">
        <f aca="false">IFERROR(INDEX('Historical Data'!$AE$2:$AE$1068,MATCH($A321,'Historical Data'!$BE$2:$BE$1068,0)),"")</f>
        <v/>
      </c>
      <c r="V321" s="106" t="str">
        <f aca="false">IFERROR(INDEX('Historical Data'!$AH$2:$AH$1068,MATCH($A321,'Historical Data'!$BE$2:$BE$1068,0)),"")</f>
        <v/>
      </c>
      <c r="W321" s="106" t="str">
        <f aca="false">IFERROR(INDEX('Historical Data'!$BC$2:$BC$1068,MATCH($A321,'Historical Data'!$BE$2:$BE$1068,0)),"")</f>
        <v/>
      </c>
      <c r="X321" s="105" t="str">
        <f aca="false">IF(B321="","",IF(W321=1,"NR + industry + position",IF(W321=2,"NR + ISO + position",IF(W321=3,"NR + industry",IF(W321=4,"NR + ISO",IF(W321=5,"NR + position",IF(W321=6,"NR only","book baseline"))))))&amp;"  ["&amp;IF(T321=1,"seasoned","unseasoned")&amp;IF(U321=1,", defaulted","")&amp;IF(V321=1,", open","")&amp;"]")</f>
        <v/>
      </c>
    </row>
    <row r="322" customFormat="false" ht="15" hidden="false" customHeight="false" outlineLevel="0" collapsed="false">
      <c r="A322" s="105" t="n">
        <v>318</v>
      </c>
      <c r="B322" s="106" t="str">
        <f aca="false">IFERROR(INDEX('Historical Data'!$A$2:$A$1068,MATCH($A322,'Historical Data'!$BE$2:$BE$1068,0)),"")</f>
        <v/>
      </c>
      <c r="C322" s="106" t="str">
        <f aca="false">IFERROR(INDEX('Historical Data'!$B$2:$B$1068,MATCH($A322,'Historical Data'!$BE$2:$BE$1068,0)),"")</f>
        <v/>
      </c>
      <c r="D322" s="106" t="str">
        <f aca="false">IFERROR(INDEX('Historical Data'!$D$2:$D$1068,MATCH($A322,'Historical Data'!$BE$2:$BE$1068,0)),"")</f>
        <v/>
      </c>
      <c r="E322" s="107" t="str">
        <f aca="false">IFERROR(INDEX('Historical Data'!$E$2:$E$1068,MATCH($A322,'Historical Data'!$BE$2:$BE$1068,0)),"")</f>
        <v/>
      </c>
      <c r="F322" s="106" t="str">
        <f aca="false">IFERROR(INDEX('Historical Data'!$G$2:$G$1068,MATCH($A322,'Historical Data'!$BE$2:$BE$1068,0)),"")</f>
        <v/>
      </c>
      <c r="G322" s="106" t="str">
        <f aca="false">IFERROR(INDEX('Historical Data'!$Y$2:$Y$1068,MATCH($A322,'Historical Data'!$BE$2:$BE$1068,0)),"")</f>
        <v/>
      </c>
      <c r="H322" s="106" t="str">
        <f aca="false">IFERROR(INDEX('Historical Data'!$K$2:$K$1068,MATCH($A322,'Historical Data'!$BE$2:$BE$1068,0)),"")</f>
        <v/>
      </c>
      <c r="I322" s="106" t="str">
        <f aca="false">IFERROR(INDEX('Historical Data'!$J$2:$J$1068,MATCH($A322,'Historical Data'!$BE$2:$BE$1068,0)),"")</f>
        <v/>
      </c>
      <c r="J322" s="106" t="str">
        <f aca="false">IFERROR(INDEX('Historical Data'!$L$2:$L$1068,MATCH($A322,'Historical Data'!$BE$2:$BE$1068,0)),"")</f>
        <v/>
      </c>
      <c r="K322" s="108" t="str">
        <f aca="false">IFERROR(INDEX('Historical Data'!$M$2:$M$1068,MATCH($A322,'Historical Data'!$BE$2:$BE$1068,0)),"")</f>
        <v/>
      </c>
      <c r="L322" s="109" t="str">
        <f aca="false">IFERROR(INDEX('Historical Data'!$N$2:$N$1068,MATCH($A322,'Historical Data'!$BE$2:$BE$1068,0)),"")</f>
        <v/>
      </c>
      <c r="M322" s="109" t="str">
        <f aca="false">IFERROR(INDEX('Historical Data'!$Q$2:$Q$1068,MATCH($A322,'Historical Data'!$BE$2:$BE$1068,0)),"")</f>
        <v/>
      </c>
      <c r="N322" s="110" t="str">
        <f aca="false">IFERROR(INDEX('Historical Data'!$S$2:$S$1068,MATCH($A322,'Historical Data'!$BE$2:$BE$1068,0)),"")</f>
        <v/>
      </c>
      <c r="O322" s="109" t="str">
        <f aca="false">IFERROR(INDEX('Historical Data'!$AJ$2:$AJ$1068,MATCH($A322,'Historical Data'!$BE$2:$BE$1068,0)),"")</f>
        <v/>
      </c>
      <c r="P322" s="109" t="str">
        <f aca="false">IFERROR(INDEX('Historical Data'!$AK$2:$AK$1068,MATCH($A322,'Historical Data'!$BE$2:$BE$1068,0)),"")</f>
        <v/>
      </c>
      <c r="Q322" s="106" t="str">
        <f aca="false">IFERROR(INDEX('Historical Data'!$AA$2:$AA$1068,MATCH($A322,'Historical Data'!$BE$2:$BE$1068,0)),"")</f>
        <v/>
      </c>
      <c r="R322" s="106" t="str">
        <f aca="false">IFERROR(INDEX('Historical Data'!$AB$2:$AB$1068,MATCH($A322,'Historical Data'!$BE$2:$BE$1068,0)),"")</f>
        <v/>
      </c>
      <c r="S322" s="106" t="str">
        <f aca="false">IFERROR(INDEX('Historical Data'!$AN$2:$AN$1068,MATCH($A322,'Historical Data'!$BE$2:$BE$1068,0)),"")</f>
        <v/>
      </c>
      <c r="T322" s="106" t="str">
        <f aca="false">IFERROR(INDEX('Historical Data'!$AC$2:$AC$1068,MATCH($A322,'Historical Data'!$BE$2:$BE$1068,0)),"")</f>
        <v/>
      </c>
      <c r="U322" s="106" t="str">
        <f aca="false">IFERROR(INDEX('Historical Data'!$AE$2:$AE$1068,MATCH($A322,'Historical Data'!$BE$2:$BE$1068,0)),"")</f>
        <v/>
      </c>
      <c r="V322" s="106" t="str">
        <f aca="false">IFERROR(INDEX('Historical Data'!$AH$2:$AH$1068,MATCH($A322,'Historical Data'!$BE$2:$BE$1068,0)),"")</f>
        <v/>
      </c>
      <c r="W322" s="106" t="str">
        <f aca="false">IFERROR(INDEX('Historical Data'!$BC$2:$BC$1068,MATCH($A322,'Historical Data'!$BE$2:$BE$1068,0)),"")</f>
        <v/>
      </c>
      <c r="X322" s="105" t="str">
        <f aca="false">IF(B322="","",IF(W322=1,"NR + industry + position",IF(W322=2,"NR + ISO + position",IF(W322=3,"NR + industry",IF(W322=4,"NR + ISO",IF(W322=5,"NR + position",IF(W322=6,"NR only","book baseline"))))))&amp;"  ["&amp;IF(T322=1,"seasoned","unseasoned")&amp;IF(U322=1,", defaulted","")&amp;IF(V322=1,", open","")&amp;"]")</f>
        <v/>
      </c>
    </row>
    <row r="323" customFormat="false" ht="15" hidden="false" customHeight="false" outlineLevel="0" collapsed="false">
      <c r="A323" s="105" t="n">
        <v>319</v>
      </c>
      <c r="B323" s="106" t="str">
        <f aca="false">IFERROR(INDEX('Historical Data'!$A$2:$A$1068,MATCH($A323,'Historical Data'!$BE$2:$BE$1068,0)),"")</f>
        <v/>
      </c>
      <c r="C323" s="106" t="str">
        <f aca="false">IFERROR(INDEX('Historical Data'!$B$2:$B$1068,MATCH($A323,'Historical Data'!$BE$2:$BE$1068,0)),"")</f>
        <v/>
      </c>
      <c r="D323" s="106" t="str">
        <f aca="false">IFERROR(INDEX('Historical Data'!$D$2:$D$1068,MATCH($A323,'Historical Data'!$BE$2:$BE$1068,0)),"")</f>
        <v/>
      </c>
      <c r="E323" s="107" t="str">
        <f aca="false">IFERROR(INDEX('Historical Data'!$E$2:$E$1068,MATCH($A323,'Historical Data'!$BE$2:$BE$1068,0)),"")</f>
        <v/>
      </c>
      <c r="F323" s="106" t="str">
        <f aca="false">IFERROR(INDEX('Historical Data'!$G$2:$G$1068,MATCH($A323,'Historical Data'!$BE$2:$BE$1068,0)),"")</f>
        <v/>
      </c>
      <c r="G323" s="106" t="str">
        <f aca="false">IFERROR(INDEX('Historical Data'!$Y$2:$Y$1068,MATCH($A323,'Historical Data'!$BE$2:$BE$1068,0)),"")</f>
        <v/>
      </c>
      <c r="H323" s="106" t="str">
        <f aca="false">IFERROR(INDEX('Historical Data'!$K$2:$K$1068,MATCH($A323,'Historical Data'!$BE$2:$BE$1068,0)),"")</f>
        <v/>
      </c>
      <c r="I323" s="106" t="str">
        <f aca="false">IFERROR(INDEX('Historical Data'!$J$2:$J$1068,MATCH($A323,'Historical Data'!$BE$2:$BE$1068,0)),"")</f>
        <v/>
      </c>
      <c r="J323" s="106" t="str">
        <f aca="false">IFERROR(INDEX('Historical Data'!$L$2:$L$1068,MATCH($A323,'Historical Data'!$BE$2:$BE$1068,0)),"")</f>
        <v/>
      </c>
      <c r="K323" s="108" t="str">
        <f aca="false">IFERROR(INDEX('Historical Data'!$M$2:$M$1068,MATCH($A323,'Historical Data'!$BE$2:$BE$1068,0)),"")</f>
        <v/>
      </c>
      <c r="L323" s="109" t="str">
        <f aca="false">IFERROR(INDEX('Historical Data'!$N$2:$N$1068,MATCH($A323,'Historical Data'!$BE$2:$BE$1068,0)),"")</f>
        <v/>
      </c>
      <c r="M323" s="109" t="str">
        <f aca="false">IFERROR(INDEX('Historical Data'!$Q$2:$Q$1068,MATCH($A323,'Historical Data'!$BE$2:$BE$1068,0)),"")</f>
        <v/>
      </c>
      <c r="N323" s="110" t="str">
        <f aca="false">IFERROR(INDEX('Historical Data'!$S$2:$S$1068,MATCH($A323,'Historical Data'!$BE$2:$BE$1068,0)),"")</f>
        <v/>
      </c>
      <c r="O323" s="109" t="str">
        <f aca="false">IFERROR(INDEX('Historical Data'!$AJ$2:$AJ$1068,MATCH($A323,'Historical Data'!$BE$2:$BE$1068,0)),"")</f>
        <v/>
      </c>
      <c r="P323" s="109" t="str">
        <f aca="false">IFERROR(INDEX('Historical Data'!$AK$2:$AK$1068,MATCH($A323,'Historical Data'!$BE$2:$BE$1068,0)),"")</f>
        <v/>
      </c>
      <c r="Q323" s="106" t="str">
        <f aca="false">IFERROR(INDEX('Historical Data'!$AA$2:$AA$1068,MATCH($A323,'Historical Data'!$BE$2:$BE$1068,0)),"")</f>
        <v/>
      </c>
      <c r="R323" s="106" t="str">
        <f aca="false">IFERROR(INDEX('Historical Data'!$AB$2:$AB$1068,MATCH($A323,'Historical Data'!$BE$2:$BE$1068,0)),"")</f>
        <v/>
      </c>
      <c r="S323" s="106" t="str">
        <f aca="false">IFERROR(INDEX('Historical Data'!$AN$2:$AN$1068,MATCH($A323,'Historical Data'!$BE$2:$BE$1068,0)),"")</f>
        <v/>
      </c>
      <c r="T323" s="106" t="str">
        <f aca="false">IFERROR(INDEX('Historical Data'!$AC$2:$AC$1068,MATCH($A323,'Historical Data'!$BE$2:$BE$1068,0)),"")</f>
        <v/>
      </c>
      <c r="U323" s="106" t="str">
        <f aca="false">IFERROR(INDEX('Historical Data'!$AE$2:$AE$1068,MATCH($A323,'Historical Data'!$BE$2:$BE$1068,0)),"")</f>
        <v/>
      </c>
      <c r="V323" s="106" t="str">
        <f aca="false">IFERROR(INDEX('Historical Data'!$AH$2:$AH$1068,MATCH($A323,'Historical Data'!$BE$2:$BE$1068,0)),"")</f>
        <v/>
      </c>
      <c r="W323" s="106" t="str">
        <f aca="false">IFERROR(INDEX('Historical Data'!$BC$2:$BC$1068,MATCH($A323,'Historical Data'!$BE$2:$BE$1068,0)),"")</f>
        <v/>
      </c>
      <c r="X323" s="105" t="str">
        <f aca="false">IF(B323="","",IF(W323=1,"NR + industry + position",IF(W323=2,"NR + ISO + position",IF(W323=3,"NR + industry",IF(W323=4,"NR + ISO",IF(W323=5,"NR + position",IF(W323=6,"NR only","book baseline"))))))&amp;"  ["&amp;IF(T323=1,"seasoned","unseasoned")&amp;IF(U323=1,", defaulted","")&amp;IF(V323=1,", open","")&amp;"]")</f>
        <v/>
      </c>
    </row>
    <row r="324" customFormat="false" ht="15" hidden="false" customHeight="false" outlineLevel="0" collapsed="false">
      <c r="A324" s="105" t="n">
        <v>320</v>
      </c>
      <c r="B324" s="106" t="str">
        <f aca="false">IFERROR(INDEX('Historical Data'!$A$2:$A$1068,MATCH($A324,'Historical Data'!$BE$2:$BE$1068,0)),"")</f>
        <v/>
      </c>
      <c r="C324" s="106" t="str">
        <f aca="false">IFERROR(INDEX('Historical Data'!$B$2:$B$1068,MATCH($A324,'Historical Data'!$BE$2:$BE$1068,0)),"")</f>
        <v/>
      </c>
      <c r="D324" s="106" t="str">
        <f aca="false">IFERROR(INDEX('Historical Data'!$D$2:$D$1068,MATCH($A324,'Historical Data'!$BE$2:$BE$1068,0)),"")</f>
        <v/>
      </c>
      <c r="E324" s="107" t="str">
        <f aca="false">IFERROR(INDEX('Historical Data'!$E$2:$E$1068,MATCH($A324,'Historical Data'!$BE$2:$BE$1068,0)),"")</f>
        <v/>
      </c>
      <c r="F324" s="106" t="str">
        <f aca="false">IFERROR(INDEX('Historical Data'!$G$2:$G$1068,MATCH($A324,'Historical Data'!$BE$2:$BE$1068,0)),"")</f>
        <v/>
      </c>
      <c r="G324" s="106" t="str">
        <f aca="false">IFERROR(INDEX('Historical Data'!$Y$2:$Y$1068,MATCH($A324,'Historical Data'!$BE$2:$BE$1068,0)),"")</f>
        <v/>
      </c>
      <c r="H324" s="106" t="str">
        <f aca="false">IFERROR(INDEX('Historical Data'!$K$2:$K$1068,MATCH($A324,'Historical Data'!$BE$2:$BE$1068,0)),"")</f>
        <v/>
      </c>
      <c r="I324" s="106" t="str">
        <f aca="false">IFERROR(INDEX('Historical Data'!$J$2:$J$1068,MATCH($A324,'Historical Data'!$BE$2:$BE$1068,0)),"")</f>
        <v/>
      </c>
      <c r="J324" s="106" t="str">
        <f aca="false">IFERROR(INDEX('Historical Data'!$L$2:$L$1068,MATCH($A324,'Historical Data'!$BE$2:$BE$1068,0)),"")</f>
        <v/>
      </c>
      <c r="K324" s="108" t="str">
        <f aca="false">IFERROR(INDEX('Historical Data'!$M$2:$M$1068,MATCH($A324,'Historical Data'!$BE$2:$BE$1068,0)),"")</f>
        <v/>
      </c>
      <c r="L324" s="109" t="str">
        <f aca="false">IFERROR(INDEX('Historical Data'!$N$2:$N$1068,MATCH($A324,'Historical Data'!$BE$2:$BE$1068,0)),"")</f>
        <v/>
      </c>
      <c r="M324" s="109" t="str">
        <f aca="false">IFERROR(INDEX('Historical Data'!$Q$2:$Q$1068,MATCH($A324,'Historical Data'!$BE$2:$BE$1068,0)),"")</f>
        <v/>
      </c>
      <c r="N324" s="110" t="str">
        <f aca="false">IFERROR(INDEX('Historical Data'!$S$2:$S$1068,MATCH($A324,'Historical Data'!$BE$2:$BE$1068,0)),"")</f>
        <v/>
      </c>
      <c r="O324" s="109" t="str">
        <f aca="false">IFERROR(INDEX('Historical Data'!$AJ$2:$AJ$1068,MATCH($A324,'Historical Data'!$BE$2:$BE$1068,0)),"")</f>
        <v/>
      </c>
      <c r="P324" s="109" t="str">
        <f aca="false">IFERROR(INDEX('Historical Data'!$AK$2:$AK$1068,MATCH($A324,'Historical Data'!$BE$2:$BE$1068,0)),"")</f>
        <v/>
      </c>
      <c r="Q324" s="106" t="str">
        <f aca="false">IFERROR(INDEX('Historical Data'!$AA$2:$AA$1068,MATCH($A324,'Historical Data'!$BE$2:$BE$1068,0)),"")</f>
        <v/>
      </c>
      <c r="R324" s="106" t="str">
        <f aca="false">IFERROR(INDEX('Historical Data'!$AB$2:$AB$1068,MATCH($A324,'Historical Data'!$BE$2:$BE$1068,0)),"")</f>
        <v/>
      </c>
      <c r="S324" s="106" t="str">
        <f aca="false">IFERROR(INDEX('Historical Data'!$AN$2:$AN$1068,MATCH($A324,'Historical Data'!$BE$2:$BE$1068,0)),"")</f>
        <v/>
      </c>
      <c r="T324" s="106" t="str">
        <f aca="false">IFERROR(INDEX('Historical Data'!$AC$2:$AC$1068,MATCH($A324,'Historical Data'!$BE$2:$BE$1068,0)),"")</f>
        <v/>
      </c>
      <c r="U324" s="106" t="str">
        <f aca="false">IFERROR(INDEX('Historical Data'!$AE$2:$AE$1068,MATCH($A324,'Historical Data'!$BE$2:$BE$1068,0)),"")</f>
        <v/>
      </c>
      <c r="V324" s="106" t="str">
        <f aca="false">IFERROR(INDEX('Historical Data'!$AH$2:$AH$1068,MATCH($A324,'Historical Data'!$BE$2:$BE$1068,0)),"")</f>
        <v/>
      </c>
      <c r="W324" s="106" t="str">
        <f aca="false">IFERROR(INDEX('Historical Data'!$BC$2:$BC$1068,MATCH($A324,'Historical Data'!$BE$2:$BE$1068,0)),"")</f>
        <v/>
      </c>
      <c r="X324" s="105" t="str">
        <f aca="false">IF(B324="","",IF(W324=1,"NR + industry + position",IF(W324=2,"NR + ISO + position",IF(W324=3,"NR + industry",IF(W324=4,"NR + ISO",IF(W324=5,"NR + position",IF(W324=6,"NR only","book baseline"))))))&amp;"  ["&amp;IF(T324=1,"seasoned","unseasoned")&amp;IF(U324=1,", defaulted","")&amp;IF(V324=1,", open","")&amp;"]")</f>
        <v/>
      </c>
    </row>
    <row r="325" customFormat="false" ht="15" hidden="false" customHeight="false" outlineLevel="0" collapsed="false">
      <c r="A325" s="105" t="n">
        <v>321</v>
      </c>
      <c r="B325" s="106" t="str">
        <f aca="false">IFERROR(INDEX('Historical Data'!$A$2:$A$1068,MATCH($A325,'Historical Data'!$BE$2:$BE$1068,0)),"")</f>
        <v/>
      </c>
      <c r="C325" s="106" t="str">
        <f aca="false">IFERROR(INDEX('Historical Data'!$B$2:$B$1068,MATCH($A325,'Historical Data'!$BE$2:$BE$1068,0)),"")</f>
        <v/>
      </c>
      <c r="D325" s="106" t="str">
        <f aca="false">IFERROR(INDEX('Historical Data'!$D$2:$D$1068,MATCH($A325,'Historical Data'!$BE$2:$BE$1068,0)),"")</f>
        <v/>
      </c>
      <c r="E325" s="107" t="str">
        <f aca="false">IFERROR(INDEX('Historical Data'!$E$2:$E$1068,MATCH($A325,'Historical Data'!$BE$2:$BE$1068,0)),"")</f>
        <v/>
      </c>
      <c r="F325" s="106" t="str">
        <f aca="false">IFERROR(INDEX('Historical Data'!$G$2:$G$1068,MATCH($A325,'Historical Data'!$BE$2:$BE$1068,0)),"")</f>
        <v/>
      </c>
      <c r="G325" s="106" t="str">
        <f aca="false">IFERROR(INDEX('Historical Data'!$Y$2:$Y$1068,MATCH($A325,'Historical Data'!$BE$2:$BE$1068,0)),"")</f>
        <v/>
      </c>
      <c r="H325" s="106" t="str">
        <f aca="false">IFERROR(INDEX('Historical Data'!$K$2:$K$1068,MATCH($A325,'Historical Data'!$BE$2:$BE$1068,0)),"")</f>
        <v/>
      </c>
      <c r="I325" s="106" t="str">
        <f aca="false">IFERROR(INDEX('Historical Data'!$J$2:$J$1068,MATCH($A325,'Historical Data'!$BE$2:$BE$1068,0)),"")</f>
        <v/>
      </c>
      <c r="J325" s="106" t="str">
        <f aca="false">IFERROR(INDEX('Historical Data'!$L$2:$L$1068,MATCH($A325,'Historical Data'!$BE$2:$BE$1068,0)),"")</f>
        <v/>
      </c>
      <c r="K325" s="108" t="str">
        <f aca="false">IFERROR(INDEX('Historical Data'!$M$2:$M$1068,MATCH($A325,'Historical Data'!$BE$2:$BE$1068,0)),"")</f>
        <v/>
      </c>
      <c r="L325" s="109" t="str">
        <f aca="false">IFERROR(INDEX('Historical Data'!$N$2:$N$1068,MATCH($A325,'Historical Data'!$BE$2:$BE$1068,0)),"")</f>
        <v/>
      </c>
      <c r="M325" s="109" t="str">
        <f aca="false">IFERROR(INDEX('Historical Data'!$Q$2:$Q$1068,MATCH($A325,'Historical Data'!$BE$2:$BE$1068,0)),"")</f>
        <v/>
      </c>
      <c r="N325" s="110" t="str">
        <f aca="false">IFERROR(INDEX('Historical Data'!$S$2:$S$1068,MATCH($A325,'Historical Data'!$BE$2:$BE$1068,0)),"")</f>
        <v/>
      </c>
      <c r="O325" s="109" t="str">
        <f aca="false">IFERROR(INDEX('Historical Data'!$AJ$2:$AJ$1068,MATCH($A325,'Historical Data'!$BE$2:$BE$1068,0)),"")</f>
        <v/>
      </c>
      <c r="P325" s="109" t="str">
        <f aca="false">IFERROR(INDEX('Historical Data'!$AK$2:$AK$1068,MATCH($A325,'Historical Data'!$BE$2:$BE$1068,0)),"")</f>
        <v/>
      </c>
      <c r="Q325" s="106" t="str">
        <f aca="false">IFERROR(INDEX('Historical Data'!$AA$2:$AA$1068,MATCH($A325,'Historical Data'!$BE$2:$BE$1068,0)),"")</f>
        <v/>
      </c>
      <c r="R325" s="106" t="str">
        <f aca="false">IFERROR(INDEX('Historical Data'!$AB$2:$AB$1068,MATCH($A325,'Historical Data'!$BE$2:$BE$1068,0)),"")</f>
        <v/>
      </c>
      <c r="S325" s="106" t="str">
        <f aca="false">IFERROR(INDEX('Historical Data'!$AN$2:$AN$1068,MATCH($A325,'Historical Data'!$BE$2:$BE$1068,0)),"")</f>
        <v/>
      </c>
      <c r="T325" s="106" t="str">
        <f aca="false">IFERROR(INDEX('Historical Data'!$AC$2:$AC$1068,MATCH($A325,'Historical Data'!$BE$2:$BE$1068,0)),"")</f>
        <v/>
      </c>
      <c r="U325" s="106" t="str">
        <f aca="false">IFERROR(INDEX('Historical Data'!$AE$2:$AE$1068,MATCH($A325,'Historical Data'!$BE$2:$BE$1068,0)),"")</f>
        <v/>
      </c>
      <c r="V325" s="106" t="str">
        <f aca="false">IFERROR(INDEX('Historical Data'!$AH$2:$AH$1068,MATCH($A325,'Historical Data'!$BE$2:$BE$1068,0)),"")</f>
        <v/>
      </c>
      <c r="W325" s="106" t="str">
        <f aca="false">IFERROR(INDEX('Historical Data'!$BC$2:$BC$1068,MATCH($A325,'Historical Data'!$BE$2:$BE$1068,0)),"")</f>
        <v/>
      </c>
      <c r="X325" s="105" t="str">
        <f aca="false">IF(B325="","",IF(W325=1,"NR + industry + position",IF(W325=2,"NR + ISO + position",IF(W325=3,"NR + industry",IF(W325=4,"NR + ISO",IF(W325=5,"NR + position",IF(W325=6,"NR only","book baseline"))))))&amp;"  ["&amp;IF(T325=1,"seasoned","unseasoned")&amp;IF(U325=1,", defaulted","")&amp;IF(V325=1,", open","")&amp;"]")</f>
        <v/>
      </c>
    </row>
    <row r="326" customFormat="false" ht="15" hidden="false" customHeight="false" outlineLevel="0" collapsed="false">
      <c r="A326" s="105" t="n">
        <v>322</v>
      </c>
      <c r="B326" s="106" t="str">
        <f aca="false">IFERROR(INDEX('Historical Data'!$A$2:$A$1068,MATCH($A326,'Historical Data'!$BE$2:$BE$1068,0)),"")</f>
        <v/>
      </c>
      <c r="C326" s="106" t="str">
        <f aca="false">IFERROR(INDEX('Historical Data'!$B$2:$B$1068,MATCH($A326,'Historical Data'!$BE$2:$BE$1068,0)),"")</f>
        <v/>
      </c>
      <c r="D326" s="106" t="str">
        <f aca="false">IFERROR(INDEX('Historical Data'!$D$2:$D$1068,MATCH($A326,'Historical Data'!$BE$2:$BE$1068,0)),"")</f>
        <v/>
      </c>
      <c r="E326" s="107" t="str">
        <f aca="false">IFERROR(INDEX('Historical Data'!$E$2:$E$1068,MATCH($A326,'Historical Data'!$BE$2:$BE$1068,0)),"")</f>
        <v/>
      </c>
      <c r="F326" s="106" t="str">
        <f aca="false">IFERROR(INDEX('Historical Data'!$G$2:$G$1068,MATCH($A326,'Historical Data'!$BE$2:$BE$1068,0)),"")</f>
        <v/>
      </c>
      <c r="G326" s="106" t="str">
        <f aca="false">IFERROR(INDEX('Historical Data'!$Y$2:$Y$1068,MATCH($A326,'Historical Data'!$BE$2:$BE$1068,0)),"")</f>
        <v/>
      </c>
      <c r="H326" s="106" t="str">
        <f aca="false">IFERROR(INDEX('Historical Data'!$K$2:$K$1068,MATCH($A326,'Historical Data'!$BE$2:$BE$1068,0)),"")</f>
        <v/>
      </c>
      <c r="I326" s="106" t="str">
        <f aca="false">IFERROR(INDEX('Historical Data'!$J$2:$J$1068,MATCH($A326,'Historical Data'!$BE$2:$BE$1068,0)),"")</f>
        <v/>
      </c>
      <c r="J326" s="106" t="str">
        <f aca="false">IFERROR(INDEX('Historical Data'!$L$2:$L$1068,MATCH($A326,'Historical Data'!$BE$2:$BE$1068,0)),"")</f>
        <v/>
      </c>
      <c r="K326" s="108" t="str">
        <f aca="false">IFERROR(INDEX('Historical Data'!$M$2:$M$1068,MATCH($A326,'Historical Data'!$BE$2:$BE$1068,0)),"")</f>
        <v/>
      </c>
      <c r="L326" s="109" t="str">
        <f aca="false">IFERROR(INDEX('Historical Data'!$N$2:$N$1068,MATCH($A326,'Historical Data'!$BE$2:$BE$1068,0)),"")</f>
        <v/>
      </c>
      <c r="M326" s="109" t="str">
        <f aca="false">IFERROR(INDEX('Historical Data'!$Q$2:$Q$1068,MATCH($A326,'Historical Data'!$BE$2:$BE$1068,0)),"")</f>
        <v/>
      </c>
      <c r="N326" s="110" t="str">
        <f aca="false">IFERROR(INDEX('Historical Data'!$S$2:$S$1068,MATCH($A326,'Historical Data'!$BE$2:$BE$1068,0)),"")</f>
        <v/>
      </c>
      <c r="O326" s="109" t="str">
        <f aca="false">IFERROR(INDEX('Historical Data'!$AJ$2:$AJ$1068,MATCH($A326,'Historical Data'!$BE$2:$BE$1068,0)),"")</f>
        <v/>
      </c>
      <c r="P326" s="109" t="str">
        <f aca="false">IFERROR(INDEX('Historical Data'!$AK$2:$AK$1068,MATCH($A326,'Historical Data'!$BE$2:$BE$1068,0)),"")</f>
        <v/>
      </c>
      <c r="Q326" s="106" t="str">
        <f aca="false">IFERROR(INDEX('Historical Data'!$AA$2:$AA$1068,MATCH($A326,'Historical Data'!$BE$2:$BE$1068,0)),"")</f>
        <v/>
      </c>
      <c r="R326" s="106" t="str">
        <f aca="false">IFERROR(INDEX('Historical Data'!$AB$2:$AB$1068,MATCH($A326,'Historical Data'!$BE$2:$BE$1068,0)),"")</f>
        <v/>
      </c>
      <c r="S326" s="106" t="str">
        <f aca="false">IFERROR(INDEX('Historical Data'!$AN$2:$AN$1068,MATCH($A326,'Historical Data'!$BE$2:$BE$1068,0)),"")</f>
        <v/>
      </c>
      <c r="T326" s="106" t="str">
        <f aca="false">IFERROR(INDEX('Historical Data'!$AC$2:$AC$1068,MATCH($A326,'Historical Data'!$BE$2:$BE$1068,0)),"")</f>
        <v/>
      </c>
      <c r="U326" s="106" t="str">
        <f aca="false">IFERROR(INDEX('Historical Data'!$AE$2:$AE$1068,MATCH($A326,'Historical Data'!$BE$2:$BE$1068,0)),"")</f>
        <v/>
      </c>
      <c r="V326" s="106" t="str">
        <f aca="false">IFERROR(INDEX('Historical Data'!$AH$2:$AH$1068,MATCH($A326,'Historical Data'!$BE$2:$BE$1068,0)),"")</f>
        <v/>
      </c>
      <c r="W326" s="106" t="str">
        <f aca="false">IFERROR(INDEX('Historical Data'!$BC$2:$BC$1068,MATCH($A326,'Historical Data'!$BE$2:$BE$1068,0)),"")</f>
        <v/>
      </c>
      <c r="X326" s="105" t="str">
        <f aca="false">IF(B326="","",IF(W326=1,"NR + industry + position",IF(W326=2,"NR + ISO + position",IF(W326=3,"NR + industry",IF(W326=4,"NR + ISO",IF(W326=5,"NR + position",IF(W326=6,"NR only","book baseline"))))))&amp;"  ["&amp;IF(T326=1,"seasoned","unseasoned")&amp;IF(U326=1,", defaulted","")&amp;IF(V326=1,", open","")&amp;"]")</f>
        <v/>
      </c>
    </row>
    <row r="327" customFormat="false" ht="15" hidden="false" customHeight="false" outlineLevel="0" collapsed="false">
      <c r="A327" s="105" t="n">
        <v>323</v>
      </c>
      <c r="B327" s="106" t="str">
        <f aca="false">IFERROR(INDEX('Historical Data'!$A$2:$A$1068,MATCH($A327,'Historical Data'!$BE$2:$BE$1068,0)),"")</f>
        <v/>
      </c>
      <c r="C327" s="106" t="str">
        <f aca="false">IFERROR(INDEX('Historical Data'!$B$2:$B$1068,MATCH($A327,'Historical Data'!$BE$2:$BE$1068,0)),"")</f>
        <v/>
      </c>
      <c r="D327" s="106" t="str">
        <f aca="false">IFERROR(INDEX('Historical Data'!$D$2:$D$1068,MATCH($A327,'Historical Data'!$BE$2:$BE$1068,0)),"")</f>
        <v/>
      </c>
      <c r="E327" s="107" t="str">
        <f aca="false">IFERROR(INDEX('Historical Data'!$E$2:$E$1068,MATCH($A327,'Historical Data'!$BE$2:$BE$1068,0)),"")</f>
        <v/>
      </c>
      <c r="F327" s="106" t="str">
        <f aca="false">IFERROR(INDEX('Historical Data'!$G$2:$G$1068,MATCH($A327,'Historical Data'!$BE$2:$BE$1068,0)),"")</f>
        <v/>
      </c>
      <c r="G327" s="106" t="str">
        <f aca="false">IFERROR(INDEX('Historical Data'!$Y$2:$Y$1068,MATCH($A327,'Historical Data'!$BE$2:$BE$1068,0)),"")</f>
        <v/>
      </c>
      <c r="H327" s="106" t="str">
        <f aca="false">IFERROR(INDEX('Historical Data'!$K$2:$K$1068,MATCH($A327,'Historical Data'!$BE$2:$BE$1068,0)),"")</f>
        <v/>
      </c>
      <c r="I327" s="106" t="str">
        <f aca="false">IFERROR(INDEX('Historical Data'!$J$2:$J$1068,MATCH($A327,'Historical Data'!$BE$2:$BE$1068,0)),"")</f>
        <v/>
      </c>
      <c r="J327" s="106" t="str">
        <f aca="false">IFERROR(INDEX('Historical Data'!$L$2:$L$1068,MATCH($A327,'Historical Data'!$BE$2:$BE$1068,0)),"")</f>
        <v/>
      </c>
      <c r="K327" s="108" t="str">
        <f aca="false">IFERROR(INDEX('Historical Data'!$M$2:$M$1068,MATCH($A327,'Historical Data'!$BE$2:$BE$1068,0)),"")</f>
        <v/>
      </c>
      <c r="L327" s="109" t="str">
        <f aca="false">IFERROR(INDEX('Historical Data'!$N$2:$N$1068,MATCH($A327,'Historical Data'!$BE$2:$BE$1068,0)),"")</f>
        <v/>
      </c>
      <c r="M327" s="109" t="str">
        <f aca="false">IFERROR(INDEX('Historical Data'!$Q$2:$Q$1068,MATCH($A327,'Historical Data'!$BE$2:$BE$1068,0)),"")</f>
        <v/>
      </c>
      <c r="N327" s="110" t="str">
        <f aca="false">IFERROR(INDEX('Historical Data'!$S$2:$S$1068,MATCH($A327,'Historical Data'!$BE$2:$BE$1068,0)),"")</f>
        <v/>
      </c>
      <c r="O327" s="109" t="str">
        <f aca="false">IFERROR(INDEX('Historical Data'!$AJ$2:$AJ$1068,MATCH($A327,'Historical Data'!$BE$2:$BE$1068,0)),"")</f>
        <v/>
      </c>
      <c r="P327" s="109" t="str">
        <f aca="false">IFERROR(INDEX('Historical Data'!$AK$2:$AK$1068,MATCH($A327,'Historical Data'!$BE$2:$BE$1068,0)),"")</f>
        <v/>
      </c>
      <c r="Q327" s="106" t="str">
        <f aca="false">IFERROR(INDEX('Historical Data'!$AA$2:$AA$1068,MATCH($A327,'Historical Data'!$BE$2:$BE$1068,0)),"")</f>
        <v/>
      </c>
      <c r="R327" s="106" t="str">
        <f aca="false">IFERROR(INDEX('Historical Data'!$AB$2:$AB$1068,MATCH($A327,'Historical Data'!$BE$2:$BE$1068,0)),"")</f>
        <v/>
      </c>
      <c r="S327" s="106" t="str">
        <f aca="false">IFERROR(INDEX('Historical Data'!$AN$2:$AN$1068,MATCH($A327,'Historical Data'!$BE$2:$BE$1068,0)),"")</f>
        <v/>
      </c>
      <c r="T327" s="106" t="str">
        <f aca="false">IFERROR(INDEX('Historical Data'!$AC$2:$AC$1068,MATCH($A327,'Historical Data'!$BE$2:$BE$1068,0)),"")</f>
        <v/>
      </c>
      <c r="U327" s="106" t="str">
        <f aca="false">IFERROR(INDEX('Historical Data'!$AE$2:$AE$1068,MATCH($A327,'Historical Data'!$BE$2:$BE$1068,0)),"")</f>
        <v/>
      </c>
      <c r="V327" s="106" t="str">
        <f aca="false">IFERROR(INDEX('Historical Data'!$AH$2:$AH$1068,MATCH($A327,'Historical Data'!$BE$2:$BE$1068,0)),"")</f>
        <v/>
      </c>
      <c r="W327" s="106" t="str">
        <f aca="false">IFERROR(INDEX('Historical Data'!$BC$2:$BC$1068,MATCH($A327,'Historical Data'!$BE$2:$BE$1068,0)),"")</f>
        <v/>
      </c>
      <c r="X327" s="105" t="str">
        <f aca="false">IF(B327="","",IF(W327=1,"NR + industry + position",IF(W327=2,"NR + ISO + position",IF(W327=3,"NR + industry",IF(W327=4,"NR + ISO",IF(W327=5,"NR + position",IF(W327=6,"NR only","book baseline"))))))&amp;"  ["&amp;IF(T327=1,"seasoned","unseasoned")&amp;IF(U327=1,", defaulted","")&amp;IF(V327=1,", open","")&amp;"]")</f>
        <v/>
      </c>
    </row>
    <row r="328" customFormat="false" ht="15" hidden="false" customHeight="false" outlineLevel="0" collapsed="false">
      <c r="A328" s="105" t="n">
        <v>324</v>
      </c>
      <c r="B328" s="106" t="str">
        <f aca="false">IFERROR(INDEX('Historical Data'!$A$2:$A$1068,MATCH($A328,'Historical Data'!$BE$2:$BE$1068,0)),"")</f>
        <v/>
      </c>
      <c r="C328" s="106" t="str">
        <f aca="false">IFERROR(INDEX('Historical Data'!$B$2:$B$1068,MATCH($A328,'Historical Data'!$BE$2:$BE$1068,0)),"")</f>
        <v/>
      </c>
      <c r="D328" s="106" t="str">
        <f aca="false">IFERROR(INDEX('Historical Data'!$D$2:$D$1068,MATCH($A328,'Historical Data'!$BE$2:$BE$1068,0)),"")</f>
        <v/>
      </c>
      <c r="E328" s="107" t="str">
        <f aca="false">IFERROR(INDEX('Historical Data'!$E$2:$E$1068,MATCH($A328,'Historical Data'!$BE$2:$BE$1068,0)),"")</f>
        <v/>
      </c>
      <c r="F328" s="106" t="str">
        <f aca="false">IFERROR(INDEX('Historical Data'!$G$2:$G$1068,MATCH($A328,'Historical Data'!$BE$2:$BE$1068,0)),"")</f>
        <v/>
      </c>
      <c r="G328" s="106" t="str">
        <f aca="false">IFERROR(INDEX('Historical Data'!$Y$2:$Y$1068,MATCH($A328,'Historical Data'!$BE$2:$BE$1068,0)),"")</f>
        <v/>
      </c>
      <c r="H328" s="106" t="str">
        <f aca="false">IFERROR(INDEX('Historical Data'!$K$2:$K$1068,MATCH($A328,'Historical Data'!$BE$2:$BE$1068,0)),"")</f>
        <v/>
      </c>
      <c r="I328" s="106" t="str">
        <f aca="false">IFERROR(INDEX('Historical Data'!$J$2:$J$1068,MATCH($A328,'Historical Data'!$BE$2:$BE$1068,0)),"")</f>
        <v/>
      </c>
      <c r="J328" s="106" t="str">
        <f aca="false">IFERROR(INDEX('Historical Data'!$L$2:$L$1068,MATCH($A328,'Historical Data'!$BE$2:$BE$1068,0)),"")</f>
        <v/>
      </c>
      <c r="K328" s="108" t="str">
        <f aca="false">IFERROR(INDEX('Historical Data'!$M$2:$M$1068,MATCH($A328,'Historical Data'!$BE$2:$BE$1068,0)),"")</f>
        <v/>
      </c>
      <c r="L328" s="109" t="str">
        <f aca="false">IFERROR(INDEX('Historical Data'!$N$2:$N$1068,MATCH($A328,'Historical Data'!$BE$2:$BE$1068,0)),"")</f>
        <v/>
      </c>
      <c r="M328" s="109" t="str">
        <f aca="false">IFERROR(INDEX('Historical Data'!$Q$2:$Q$1068,MATCH($A328,'Historical Data'!$BE$2:$BE$1068,0)),"")</f>
        <v/>
      </c>
      <c r="N328" s="110" t="str">
        <f aca="false">IFERROR(INDEX('Historical Data'!$S$2:$S$1068,MATCH($A328,'Historical Data'!$BE$2:$BE$1068,0)),"")</f>
        <v/>
      </c>
      <c r="O328" s="109" t="str">
        <f aca="false">IFERROR(INDEX('Historical Data'!$AJ$2:$AJ$1068,MATCH($A328,'Historical Data'!$BE$2:$BE$1068,0)),"")</f>
        <v/>
      </c>
      <c r="P328" s="109" t="str">
        <f aca="false">IFERROR(INDEX('Historical Data'!$AK$2:$AK$1068,MATCH($A328,'Historical Data'!$BE$2:$BE$1068,0)),"")</f>
        <v/>
      </c>
      <c r="Q328" s="106" t="str">
        <f aca="false">IFERROR(INDEX('Historical Data'!$AA$2:$AA$1068,MATCH($A328,'Historical Data'!$BE$2:$BE$1068,0)),"")</f>
        <v/>
      </c>
      <c r="R328" s="106" t="str">
        <f aca="false">IFERROR(INDEX('Historical Data'!$AB$2:$AB$1068,MATCH($A328,'Historical Data'!$BE$2:$BE$1068,0)),"")</f>
        <v/>
      </c>
      <c r="S328" s="106" t="str">
        <f aca="false">IFERROR(INDEX('Historical Data'!$AN$2:$AN$1068,MATCH($A328,'Historical Data'!$BE$2:$BE$1068,0)),"")</f>
        <v/>
      </c>
      <c r="T328" s="106" t="str">
        <f aca="false">IFERROR(INDEX('Historical Data'!$AC$2:$AC$1068,MATCH($A328,'Historical Data'!$BE$2:$BE$1068,0)),"")</f>
        <v/>
      </c>
      <c r="U328" s="106" t="str">
        <f aca="false">IFERROR(INDEX('Historical Data'!$AE$2:$AE$1068,MATCH($A328,'Historical Data'!$BE$2:$BE$1068,0)),"")</f>
        <v/>
      </c>
      <c r="V328" s="106" t="str">
        <f aca="false">IFERROR(INDEX('Historical Data'!$AH$2:$AH$1068,MATCH($A328,'Historical Data'!$BE$2:$BE$1068,0)),"")</f>
        <v/>
      </c>
      <c r="W328" s="106" t="str">
        <f aca="false">IFERROR(INDEX('Historical Data'!$BC$2:$BC$1068,MATCH($A328,'Historical Data'!$BE$2:$BE$1068,0)),"")</f>
        <v/>
      </c>
      <c r="X328" s="105" t="str">
        <f aca="false">IF(B328="","",IF(W328=1,"NR + industry + position",IF(W328=2,"NR + ISO + position",IF(W328=3,"NR + industry",IF(W328=4,"NR + ISO",IF(W328=5,"NR + position",IF(W328=6,"NR only","book baseline"))))))&amp;"  ["&amp;IF(T328=1,"seasoned","unseasoned")&amp;IF(U328=1,", defaulted","")&amp;IF(V328=1,", open","")&amp;"]")</f>
        <v/>
      </c>
    </row>
    <row r="329" customFormat="false" ht="15" hidden="false" customHeight="false" outlineLevel="0" collapsed="false">
      <c r="A329" s="105" t="n">
        <v>325</v>
      </c>
      <c r="B329" s="106" t="str">
        <f aca="false">IFERROR(INDEX('Historical Data'!$A$2:$A$1068,MATCH($A329,'Historical Data'!$BE$2:$BE$1068,0)),"")</f>
        <v/>
      </c>
      <c r="C329" s="106" t="str">
        <f aca="false">IFERROR(INDEX('Historical Data'!$B$2:$B$1068,MATCH($A329,'Historical Data'!$BE$2:$BE$1068,0)),"")</f>
        <v/>
      </c>
      <c r="D329" s="106" t="str">
        <f aca="false">IFERROR(INDEX('Historical Data'!$D$2:$D$1068,MATCH($A329,'Historical Data'!$BE$2:$BE$1068,0)),"")</f>
        <v/>
      </c>
      <c r="E329" s="107" t="str">
        <f aca="false">IFERROR(INDEX('Historical Data'!$E$2:$E$1068,MATCH($A329,'Historical Data'!$BE$2:$BE$1068,0)),"")</f>
        <v/>
      </c>
      <c r="F329" s="106" t="str">
        <f aca="false">IFERROR(INDEX('Historical Data'!$G$2:$G$1068,MATCH($A329,'Historical Data'!$BE$2:$BE$1068,0)),"")</f>
        <v/>
      </c>
      <c r="G329" s="106" t="str">
        <f aca="false">IFERROR(INDEX('Historical Data'!$Y$2:$Y$1068,MATCH($A329,'Historical Data'!$BE$2:$BE$1068,0)),"")</f>
        <v/>
      </c>
      <c r="H329" s="106" t="str">
        <f aca="false">IFERROR(INDEX('Historical Data'!$K$2:$K$1068,MATCH($A329,'Historical Data'!$BE$2:$BE$1068,0)),"")</f>
        <v/>
      </c>
      <c r="I329" s="106" t="str">
        <f aca="false">IFERROR(INDEX('Historical Data'!$J$2:$J$1068,MATCH($A329,'Historical Data'!$BE$2:$BE$1068,0)),"")</f>
        <v/>
      </c>
      <c r="J329" s="106" t="str">
        <f aca="false">IFERROR(INDEX('Historical Data'!$L$2:$L$1068,MATCH($A329,'Historical Data'!$BE$2:$BE$1068,0)),"")</f>
        <v/>
      </c>
      <c r="K329" s="108" t="str">
        <f aca="false">IFERROR(INDEX('Historical Data'!$M$2:$M$1068,MATCH($A329,'Historical Data'!$BE$2:$BE$1068,0)),"")</f>
        <v/>
      </c>
      <c r="L329" s="109" t="str">
        <f aca="false">IFERROR(INDEX('Historical Data'!$N$2:$N$1068,MATCH($A329,'Historical Data'!$BE$2:$BE$1068,0)),"")</f>
        <v/>
      </c>
      <c r="M329" s="109" t="str">
        <f aca="false">IFERROR(INDEX('Historical Data'!$Q$2:$Q$1068,MATCH($A329,'Historical Data'!$BE$2:$BE$1068,0)),"")</f>
        <v/>
      </c>
      <c r="N329" s="110" t="str">
        <f aca="false">IFERROR(INDEX('Historical Data'!$S$2:$S$1068,MATCH($A329,'Historical Data'!$BE$2:$BE$1068,0)),"")</f>
        <v/>
      </c>
      <c r="O329" s="109" t="str">
        <f aca="false">IFERROR(INDEX('Historical Data'!$AJ$2:$AJ$1068,MATCH($A329,'Historical Data'!$BE$2:$BE$1068,0)),"")</f>
        <v/>
      </c>
      <c r="P329" s="109" t="str">
        <f aca="false">IFERROR(INDEX('Historical Data'!$AK$2:$AK$1068,MATCH($A329,'Historical Data'!$BE$2:$BE$1068,0)),"")</f>
        <v/>
      </c>
      <c r="Q329" s="106" t="str">
        <f aca="false">IFERROR(INDEX('Historical Data'!$AA$2:$AA$1068,MATCH($A329,'Historical Data'!$BE$2:$BE$1068,0)),"")</f>
        <v/>
      </c>
      <c r="R329" s="106" t="str">
        <f aca="false">IFERROR(INDEX('Historical Data'!$AB$2:$AB$1068,MATCH($A329,'Historical Data'!$BE$2:$BE$1068,0)),"")</f>
        <v/>
      </c>
      <c r="S329" s="106" t="str">
        <f aca="false">IFERROR(INDEX('Historical Data'!$AN$2:$AN$1068,MATCH($A329,'Historical Data'!$BE$2:$BE$1068,0)),"")</f>
        <v/>
      </c>
      <c r="T329" s="106" t="str">
        <f aca="false">IFERROR(INDEX('Historical Data'!$AC$2:$AC$1068,MATCH($A329,'Historical Data'!$BE$2:$BE$1068,0)),"")</f>
        <v/>
      </c>
      <c r="U329" s="106" t="str">
        <f aca="false">IFERROR(INDEX('Historical Data'!$AE$2:$AE$1068,MATCH($A329,'Historical Data'!$BE$2:$BE$1068,0)),"")</f>
        <v/>
      </c>
      <c r="V329" s="106" t="str">
        <f aca="false">IFERROR(INDEX('Historical Data'!$AH$2:$AH$1068,MATCH($A329,'Historical Data'!$BE$2:$BE$1068,0)),"")</f>
        <v/>
      </c>
      <c r="W329" s="106" t="str">
        <f aca="false">IFERROR(INDEX('Historical Data'!$BC$2:$BC$1068,MATCH($A329,'Historical Data'!$BE$2:$BE$1068,0)),"")</f>
        <v/>
      </c>
      <c r="X329" s="105" t="str">
        <f aca="false">IF(B329="","",IF(W329=1,"NR + industry + position",IF(W329=2,"NR + ISO + position",IF(W329=3,"NR + industry",IF(W329=4,"NR + ISO",IF(W329=5,"NR + position",IF(W329=6,"NR only","book baseline"))))))&amp;"  ["&amp;IF(T329=1,"seasoned","unseasoned")&amp;IF(U329=1,", defaulted","")&amp;IF(V329=1,", open","")&amp;"]")</f>
        <v/>
      </c>
    </row>
    <row r="330" customFormat="false" ht="15" hidden="false" customHeight="false" outlineLevel="0" collapsed="false">
      <c r="A330" s="105" t="n">
        <v>326</v>
      </c>
      <c r="B330" s="106" t="str">
        <f aca="false">IFERROR(INDEX('Historical Data'!$A$2:$A$1068,MATCH($A330,'Historical Data'!$BE$2:$BE$1068,0)),"")</f>
        <v/>
      </c>
      <c r="C330" s="106" t="str">
        <f aca="false">IFERROR(INDEX('Historical Data'!$B$2:$B$1068,MATCH($A330,'Historical Data'!$BE$2:$BE$1068,0)),"")</f>
        <v/>
      </c>
      <c r="D330" s="106" t="str">
        <f aca="false">IFERROR(INDEX('Historical Data'!$D$2:$D$1068,MATCH($A330,'Historical Data'!$BE$2:$BE$1068,0)),"")</f>
        <v/>
      </c>
      <c r="E330" s="107" t="str">
        <f aca="false">IFERROR(INDEX('Historical Data'!$E$2:$E$1068,MATCH($A330,'Historical Data'!$BE$2:$BE$1068,0)),"")</f>
        <v/>
      </c>
      <c r="F330" s="106" t="str">
        <f aca="false">IFERROR(INDEX('Historical Data'!$G$2:$G$1068,MATCH($A330,'Historical Data'!$BE$2:$BE$1068,0)),"")</f>
        <v/>
      </c>
      <c r="G330" s="106" t="str">
        <f aca="false">IFERROR(INDEX('Historical Data'!$Y$2:$Y$1068,MATCH($A330,'Historical Data'!$BE$2:$BE$1068,0)),"")</f>
        <v/>
      </c>
      <c r="H330" s="106" t="str">
        <f aca="false">IFERROR(INDEX('Historical Data'!$K$2:$K$1068,MATCH($A330,'Historical Data'!$BE$2:$BE$1068,0)),"")</f>
        <v/>
      </c>
      <c r="I330" s="106" t="str">
        <f aca="false">IFERROR(INDEX('Historical Data'!$J$2:$J$1068,MATCH($A330,'Historical Data'!$BE$2:$BE$1068,0)),"")</f>
        <v/>
      </c>
      <c r="J330" s="106" t="str">
        <f aca="false">IFERROR(INDEX('Historical Data'!$L$2:$L$1068,MATCH($A330,'Historical Data'!$BE$2:$BE$1068,0)),"")</f>
        <v/>
      </c>
      <c r="K330" s="108" t="str">
        <f aca="false">IFERROR(INDEX('Historical Data'!$M$2:$M$1068,MATCH($A330,'Historical Data'!$BE$2:$BE$1068,0)),"")</f>
        <v/>
      </c>
      <c r="L330" s="109" t="str">
        <f aca="false">IFERROR(INDEX('Historical Data'!$N$2:$N$1068,MATCH($A330,'Historical Data'!$BE$2:$BE$1068,0)),"")</f>
        <v/>
      </c>
      <c r="M330" s="109" t="str">
        <f aca="false">IFERROR(INDEX('Historical Data'!$Q$2:$Q$1068,MATCH($A330,'Historical Data'!$BE$2:$BE$1068,0)),"")</f>
        <v/>
      </c>
      <c r="N330" s="110" t="str">
        <f aca="false">IFERROR(INDEX('Historical Data'!$S$2:$S$1068,MATCH($A330,'Historical Data'!$BE$2:$BE$1068,0)),"")</f>
        <v/>
      </c>
      <c r="O330" s="109" t="str">
        <f aca="false">IFERROR(INDEX('Historical Data'!$AJ$2:$AJ$1068,MATCH($A330,'Historical Data'!$BE$2:$BE$1068,0)),"")</f>
        <v/>
      </c>
      <c r="P330" s="109" t="str">
        <f aca="false">IFERROR(INDEX('Historical Data'!$AK$2:$AK$1068,MATCH($A330,'Historical Data'!$BE$2:$BE$1068,0)),"")</f>
        <v/>
      </c>
      <c r="Q330" s="106" t="str">
        <f aca="false">IFERROR(INDEX('Historical Data'!$AA$2:$AA$1068,MATCH($A330,'Historical Data'!$BE$2:$BE$1068,0)),"")</f>
        <v/>
      </c>
      <c r="R330" s="106" t="str">
        <f aca="false">IFERROR(INDEX('Historical Data'!$AB$2:$AB$1068,MATCH($A330,'Historical Data'!$BE$2:$BE$1068,0)),"")</f>
        <v/>
      </c>
      <c r="S330" s="106" t="str">
        <f aca="false">IFERROR(INDEX('Historical Data'!$AN$2:$AN$1068,MATCH($A330,'Historical Data'!$BE$2:$BE$1068,0)),"")</f>
        <v/>
      </c>
      <c r="T330" s="106" t="str">
        <f aca="false">IFERROR(INDEX('Historical Data'!$AC$2:$AC$1068,MATCH($A330,'Historical Data'!$BE$2:$BE$1068,0)),"")</f>
        <v/>
      </c>
      <c r="U330" s="106" t="str">
        <f aca="false">IFERROR(INDEX('Historical Data'!$AE$2:$AE$1068,MATCH($A330,'Historical Data'!$BE$2:$BE$1068,0)),"")</f>
        <v/>
      </c>
      <c r="V330" s="106" t="str">
        <f aca="false">IFERROR(INDEX('Historical Data'!$AH$2:$AH$1068,MATCH($A330,'Historical Data'!$BE$2:$BE$1068,0)),"")</f>
        <v/>
      </c>
      <c r="W330" s="106" t="str">
        <f aca="false">IFERROR(INDEX('Historical Data'!$BC$2:$BC$1068,MATCH($A330,'Historical Data'!$BE$2:$BE$1068,0)),"")</f>
        <v/>
      </c>
      <c r="X330" s="105" t="str">
        <f aca="false">IF(B330="","",IF(W330=1,"NR + industry + position",IF(W330=2,"NR + ISO + position",IF(W330=3,"NR + industry",IF(W330=4,"NR + ISO",IF(W330=5,"NR + position",IF(W330=6,"NR only","book baseline"))))))&amp;"  ["&amp;IF(T330=1,"seasoned","unseasoned")&amp;IF(U330=1,", defaulted","")&amp;IF(V330=1,", open","")&amp;"]")</f>
        <v/>
      </c>
    </row>
    <row r="331" customFormat="false" ht="15" hidden="false" customHeight="false" outlineLevel="0" collapsed="false">
      <c r="A331" s="105" t="n">
        <v>327</v>
      </c>
      <c r="B331" s="106" t="str">
        <f aca="false">IFERROR(INDEX('Historical Data'!$A$2:$A$1068,MATCH($A331,'Historical Data'!$BE$2:$BE$1068,0)),"")</f>
        <v/>
      </c>
      <c r="C331" s="106" t="str">
        <f aca="false">IFERROR(INDEX('Historical Data'!$B$2:$B$1068,MATCH($A331,'Historical Data'!$BE$2:$BE$1068,0)),"")</f>
        <v/>
      </c>
      <c r="D331" s="106" t="str">
        <f aca="false">IFERROR(INDEX('Historical Data'!$D$2:$D$1068,MATCH($A331,'Historical Data'!$BE$2:$BE$1068,0)),"")</f>
        <v/>
      </c>
      <c r="E331" s="107" t="str">
        <f aca="false">IFERROR(INDEX('Historical Data'!$E$2:$E$1068,MATCH($A331,'Historical Data'!$BE$2:$BE$1068,0)),"")</f>
        <v/>
      </c>
      <c r="F331" s="106" t="str">
        <f aca="false">IFERROR(INDEX('Historical Data'!$G$2:$G$1068,MATCH($A331,'Historical Data'!$BE$2:$BE$1068,0)),"")</f>
        <v/>
      </c>
      <c r="G331" s="106" t="str">
        <f aca="false">IFERROR(INDEX('Historical Data'!$Y$2:$Y$1068,MATCH($A331,'Historical Data'!$BE$2:$BE$1068,0)),"")</f>
        <v/>
      </c>
      <c r="H331" s="106" t="str">
        <f aca="false">IFERROR(INDEX('Historical Data'!$K$2:$K$1068,MATCH($A331,'Historical Data'!$BE$2:$BE$1068,0)),"")</f>
        <v/>
      </c>
      <c r="I331" s="106" t="str">
        <f aca="false">IFERROR(INDEX('Historical Data'!$J$2:$J$1068,MATCH($A331,'Historical Data'!$BE$2:$BE$1068,0)),"")</f>
        <v/>
      </c>
      <c r="J331" s="106" t="str">
        <f aca="false">IFERROR(INDEX('Historical Data'!$L$2:$L$1068,MATCH($A331,'Historical Data'!$BE$2:$BE$1068,0)),"")</f>
        <v/>
      </c>
      <c r="K331" s="108" t="str">
        <f aca="false">IFERROR(INDEX('Historical Data'!$M$2:$M$1068,MATCH($A331,'Historical Data'!$BE$2:$BE$1068,0)),"")</f>
        <v/>
      </c>
      <c r="L331" s="109" t="str">
        <f aca="false">IFERROR(INDEX('Historical Data'!$N$2:$N$1068,MATCH($A331,'Historical Data'!$BE$2:$BE$1068,0)),"")</f>
        <v/>
      </c>
      <c r="M331" s="109" t="str">
        <f aca="false">IFERROR(INDEX('Historical Data'!$Q$2:$Q$1068,MATCH($A331,'Historical Data'!$BE$2:$BE$1068,0)),"")</f>
        <v/>
      </c>
      <c r="N331" s="110" t="str">
        <f aca="false">IFERROR(INDEX('Historical Data'!$S$2:$S$1068,MATCH($A331,'Historical Data'!$BE$2:$BE$1068,0)),"")</f>
        <v/>
      </c>
      <c r="O331" s="109" t="str">
        <f aca="false">IFERROR(INDEX('Historical Data'!$AJ$2:$AJ$1068,MATCH($A331,'Historical Data'!$BE$2:$BE$1068,0)),"")</f>
        <v/>
      </c>
      <c r="P331" s="109" t="str">
        <f aca="false">IFERROR(INDEX('Historical Data'!$AK$2:$AK$1068,MATCH($A331,'Historical Data'!$BE$2:$BE$1068,0)),"")</f>
        <v/>
      </c>
      <c r="Q331" s="106" t="str">
        <f aca="false">IFERROR(INDEX('Historical Data'!$AA$2:$AA$1068,MATCH($A331,'Historical Data'!$BE$2:$BE$1068,0)),"")</f>
        <v/>
      </c>
      <c r="R331" s="106" t="str">
        <f aca="false">IFERROR(INDEX('Historical Data'!$AB$2:$AB$1068,MATCH($A331,'Historical Data'!$BE$2:$BE$1068,0)),"")</f>
        <v/>
      </c>
      <c r="S331" s="106" t="str">
        <f aca="false">IFERROR(INDEX('Historical Data'!$AN$2:$AN$1068,MATCH($A331,'Historical Data'!$BE$2:$BE$1068,0)),"")</f>
        <v/>
      </c>
      <c r="T331" s="106" t="str">
        <f aca="false">IFERROR(INDEX('Historical Data'!$AC$2:$AC$1068,MATCH($A331,'Historical Data'!$BE$2:$BE$1068,0)),"")</f>
        <v/>
      </c>
      <c r="U331" s="106" t="str">
        <f aca="false">IFERROR(INDEX('Historical Data'!$AE$2:$AE$1068,MATCH($A331,'Historical Data'!$BE$2:$BE$1068,0)),"")</f>
        <v/>
      </c>
      <c r="V331" s="106" t="str">
        <f aca="false">IFERROR(INDEX('Historical Data'!$AH$2:$AH$1068,MATCH($A331,'Historical Data'!$BE$2:$BE$1068,0)),"")</f>
        <v/>
      </c>
      <c r="W331" s="106" t="str">
        <f aca="false">IFERROR(INDEX('Historical Data'!$BC$2:$BC$1068,MATCH($A331,'Historical Data'!$BE$2:$BE$1068,0)),"")</f>
        <v/>
      </c>
      <c r="X331" s="105" t="str">
        <f aca="false">IF(B331="","",IF(W331=1,"NR + industry + position",IF(W331=2,"NR + ISO + position",IF(W331=3,"NR + industry",IF(W331=4,"NR + ISO",IF(W331=5,"NR + position",IF(W331=6,"NR only","book baseline"))))))&amp;"  ["&amp;IF(T331=1,"seasoned","unseasoned")&amp;IF(U331=1,", defaulted","")&amp;IF(V331=1,", open","")&amp;"]")</f>
        <v/>
      </c>
    </row>
    <row r="332" customFormat="false" ht="15" hidden="false" customHeight="false" outlineLevel="0" collapsed="false">
      <c r="A332" s="105" t="n">
        <v>328</v>
      </c>
      <c r="B332" s="106" t="str">
        <f aca="false">IFERROR(INDEX('Historical Data'!$A$2:$A$1068,MATCH($A332,'Historical Data'!$BE$2:$BE$1068,0)),"")</f>
        <v/>
      </c>
      <c r="C332" s="106" t="str">
        <f aca="false">IFERROR(INDEX('Historical Data'!$B$2:$B$1068,MATCH($A332,'Historical Data'!$BE$2:$BE$1068,0)),"")</f>
        <v/>
      </c>
      <c r="D332" s="106" t="str">
        <f aca="false">IFERROR(INDEX('Historical Data'!$D$2:$D$1068,MATCH($A332,'Historical Data'!$BE$2:$BE$1068,0)),"")</f>
        <v/>
      </c>
      <c r="E332" s="107" t="str">
        <f aca="false">IFERROR(INDEX('Historical Data'!$E$2:$E$1068,MATCH($A332,'Historical Data'!$BE$2:$BE$1068,0)),"")</f>
        <v/>
      </c>
      <c r="F332" s="106" t="str">
        <f aca="false">IFERROR(INDEX('Historical Data'!$G$2:$G$1068,MATCH($A332,'Historical Data'!$BE$2:$BE$1068,0)),"")</f>
        <v/>
      </c>
      <c r="G332" s="106" t="str">
        <f aca="false">IFERROR(INDEX('Historical Data'!$Y$2:$Y$1068,MATCH($A332,'Historical Data'!$BE$2:$BE$1068,0)),"")</f>
        <v/>
      </c>
      <c r="H332" s="106" t="str">
        <f aca="false">IFERROR(INDEX('Historical Data'!$K$2:$K$1068,MATCH($A332,'Historical Data'!$BE$2:$BE$1068,0)),"")</f>
        <v/>
      </c>
      <c r="I332" s="106" t="str">
        <f aca="false">IFERROR(INDEX('Historical Data'!$J$2:$J$1068,MATCH($A332,'Historical Data'!$BE$2:$BE$1068,0)),"")</f>
        <v/>
      </c>
      <c r="J332" s="106" t="str">
        <f aca="false">IFERROR(INDEX('Historical Data'!$L$2:$L$1068,MATCH($A332,'Historical Data'!$BE$2:$BE$1068,0)),"")</f>
        <v/>
      </c>
      <c r="K332" s="108" t="str">
        <f aca="false">IFERROR(INDEX('Historical Data'!$M$2:$M$1068,MATCH($A332,'Historical Data'!$BE$2:$BE$1068,0)),"")</f>
        <v/>
      </c>
      <c r="L332" s="109" t="str">
        <f aca="false">IFERROR(INDEX('Historical Data'!$N$2:$N$1068,MATCH($A332,'Historical Data'!$BE$2:$BE$1068,0)),"")</f>
        <v/>
      </c>
      <c r="M332" s="109" t="str">
        <f aca="false">IFERROR(INDEX('Historical Data'!$Q$2:$Q$1068,MATCH($A332,'Historical Data'!$BE$2:$BE$1068,0)),"")</f>
        <v/>
      </c>
      <c r="N332" s="110" t="str">
        <f aca="false">IFERROR(INDEX('Historical Data'!$S$2:$S$1068,MATCH($A332,'Historical Data'!$BE$2:$BE$1068,0)),"")</f>
        <v/>
      </c>
      <c r="O332" s="109" t="str">
        <f aca="false">IFERROR(INDEX('Historical Data'!$AJ$2:$AJ$1068,MATCH($A332,'Historical Data'!$BE$2:$BE$1068,0)),"")</f>
        <v/>
      </c>
      <c r="P332" s="109" t="str">
        <f aca="false">IFERROR(INDEX('Historical Data'!$AK$2:$AK$1068,MATCH($A332,'Historical Data'!$BE$2:$BE$1068,0)),"")</f>
        <v/>
      </c>
      <c r="Q332" s="106" t="str">
        <f aca="false">IFERROR(INDEX('Historical Data'!$AA$2:$AA$1068,MATCH($A332,'Historical Data'!$BE$2:$BE$1068,0)),"")</f>
        <v/>
      </c>
      <c r="R332" s="106" t="str">
        <f aca="false">IFERROR(INDEX('Historical Data'!$AB$2:$AB$1068,MATCH($A332,'Historical Data'!$BE$2:$BE$1068,0)),"")</f>
        <v/>
      </c>
      <c r="S332" s="106" t="str">
        <f aca="false">IFERROR(INDEX('Historical Data'!$AN$2:$AN$1068,MATCH($A332,'Historical Data'!$BE$2:$BE$1068,0)),"")</f>
        <v/>
      </c>
      <c r="T332" s="106" t="str">
        <f aca="false">IFERROR(INDEX('Historical Data'!$AC$2:$AC$1068,MATCH($A332,'Historical Data'!$BE$2:$BE$1068,0)),"")</f>
        <v/>
      </c>
      <c r="U332" s="106" t="str">
        <f aca="false">IFERROR(INDEX('Historical Data'!$AE$2:$AE$1068,MATCH($A332,'Historical Data'!$BE$2:$BE$1068,0)),"")</f>
        <v/>
      </c>
      <c r="V332" s="106" t="str">
        <f aca="false">IFERROR(INDEX('Historical Data'!$AH$2:$AH$1068,MATCH($A332,'Historical Data'!$BE$2:$BE$1068,0)),"")</f>
        <v/>
      </c>
      <c r="W332" s="106" t="str">
        <f aca="false">IFERROR(INDEX('Historical Data'!$BC$2:$BC$1068,MATCH($A332,'Historical Data'!$BE$2:$BE$1068,0)),"")</f>
        <v/>
      </c>
      <c r="X332" s="105" t="str">
        <f aca="false">IF(B332="","",IF(W332=1,"NR + industry + position",IF(W332=2,"NR + ISO + position",IF(W332=3,"NR + industry",IF(W332=4,"NR + ISO",IF(W332=5,"NR + position",IF(W332=6,"NR only","book baseline"))))))&amp;"  ["&amp;IF(T332=1,"seasoned","unseasoned")&amp;IF(U332=1,", defaulted","")&amp;IF(V332=1,", open","")&amp;"]")</f>
        <v/>
      </c>
    </row>
    <row r="333" customFormat="false" ht="15" hidden="false" customHeight="false" outlineLevel="0" collapsed="false">
      <c r="A333" s="105" t="n">
        <v>329</v>
      </c>
      <c r="B333" s="106" t="str">
        <f aca="false">IFERROR(INDEX('Historical Data'!$A$2:$A$1068,MATCH($A333,'Historical Data'!$BE$2:$BE$1068,0)),"")</f>
        <v/>
      </c>
      <c r="C333" s="106" t="str">
        <f aca="false">IFERROR(INDEX('Historical Data'!$B$2:$B$1068,MATCH($A333,'Historical Data'!$BE$2:$BE$1068,0)),"")</f>
        <v/>
      </c>
      <c r="D333" s="106" t="str">
        <f aca="false">IFERROR(INDEX('Historical Data'!$D$2:$D$1068,MATCH($A333,'Historical Data'!$BE$2:$BE$1068,0)),"")</f>
        <v/>
      </c>
      <c r="E333" s="107" t="str">
        <f aca="false">IFERROR(INDEX('Historical Data'!$E$2:$E$1068,MATCH($A333,'Historical Data'!$BE$2:$BE$1068,0)),"")</f>
        <v/>
      </c>
      <c r="F333" s="106" t="str">
        <f aca="false">IFERROR(INDEX('Historical Data'!$G$2:$G$1068,MATCH($A333,'Historical Data'!$BE$2:$BE$1068,0)),"")</f>
        <v/>
      </c>
      <c r="G333" s="106" t="str">
        <f aca="false">IFERROR(INDEX('Historical Data'!$Y$2:$Y$1068,MATCH($A333,'Historical Data'!$BE$2:$BE$1068,0)),"")</f>
        <v/>
      </c>
      <c r="H333" s="106" t="str">
        <f aca="false">IFERROR(INDEX('Historical Data'!$K$2:$K$1068,MATCH($A333,'Historical Data'!$BE$2:$BE$1068,0)),"")</f>
        <v/>
      </c>
      <c r="I333" s="106" t="str">
        <f aca="false">IFERROR(INDEX('Historical Data'!$J$2:$J$1068,MATCH($A333,'Historical Data'!$BE$2:$BE$1068,0)),"")</f>
        <v/>
      </c>
      <c r="J333" s="106" t="str">
        <f aca="false">IFERROR(INDEX('Historical Data'!$L$2:$L$1068,MATCH($A333,'Historical Data'!$BE$2:$BE$1068,0)),"")</f>
        <v/>
      </c>
      <c r="K333" s="108" t="str">
        <f aca="false">IFERROR(INDEX('Historical Data'!$M$2:$M$1068,MATCH($A333,'Historical Data'!$BE$2:$BE$1068,0)),"")</f>
        <v/>
      </c>
      <c r="L333" s="109" t="str">
        <f aca="false">IFERROR(INDEX('Historical Data'!$N$2:$N$1068,MATCH($A333,'Historical Data'!$BE$2:$BE$1068,0)),"")</f>
        <v/>
      </c>
      <c r="M333" s="109" t="str">
        <f aca="false">IFERROR(INDEX('Historical Data'!$Q$2:$Q$1068,MATCH($A333,'Historical Data'!$BE$2:$BE$1068,0)),"")</f>
        <v/>
      </c>
      <c r="N333" s="110" t="str">
        <f aca="false">IFERROR(INDEX('Historical Data'!$S$2:$S$1068,MATCH($A333,'Historical Data'!$BE$2:$BE$1068,0)),"")</f>
        <v/>
      </c>
      <c r="O333" s="109" t="str">
        <f aca="false">IFERROR(INDEX('Historical Data'!$AJ$2:$AJ$1068,MATCH($A333,'Historical Data'!$BE$2:$BE$1068,0)),"")</f>
        <v/>
      </c>
      <c r="P333" s="109" t="str">
        <f aca="false">IFERROR(INDEX('Historical Data'!$AK$2:$AK$1068,MATCH($A333,'Historical Data'!$BE$2:$BE$1068,0)),"")</f>
        <v/>
      </c>
      <c r="Q333" s="106" t="str">
        <f aca="false">IFERROR(INDEX('Historical Data'!$AA$2:$AA$1068,MATCH($A333,'Historical Data'!$BE$2:$BE$1068,0)),"")</f>
        <v/>
      </c>
      <c r="R333" s="106" t="str">
        <f aca="false">IFERROR(INDEX('Historical Data'!$AB$2:$AB$1068,MATCH($A333,'Historical Data'!$BE$2:$BE$1068,0)),"")</f>
        <v/>
      </c>
      <c r="S333" s="106" t="str">
        <f aca="false">IFERROR(INDEX('Historical Data'!$AN$2:$AN$1068,MATCH($A333,'Historical Data'!$BE$2:$BE$1068,0)),"")</f>
        <v/>
      </c>
      <c r="T333" s="106" t="str">
        <f aca="false">IFERROR(INDEX('Historical Data'!$AC$2:$AC$1068,MATCH($A333,'Historical Data'!$BE$2:$BE$1068,0)),"")</f>
        <v/>
      </c>
      <c r="U333" s="106" t="str">
        <f aca="false">IFERROR(INDEX('Historical Data'!$AE$2:$AE$1068,MATCH($A333,'Historical Data'!$BE$2:$BE$1068,0)),"")</f>
        <v/>
      </c>
      <c r="V333" s="106" t="str">
        <f aca="false">IFERROR(INDEX('Historical Data'!$AH$2:$AH$1068,MATCH($A333,'Historical Data'!$BE$2:$BE$1068,0)),"")</f>
        <v/>
      </c>
      <c r="W333" s="106" t="str">
        <f aca="false">IFERROR(INDEX('Historical Data'!$BC$2:$BC$1068,MATCH($A333,'Historical Data'!$BE$2:$BE$1068,0)),"")</f>
        <v/>
      </c>
      <c r="X333" s="105" t="str">
        <f aca="false">IF(B333="","",IF(W333=1,"NR + industry + position",IF(W333=2,"NR + ISO + position",IF(W333=3,"NR + industry",IF(W333=4,"NR + ISO",IF(W333=5,"NR + position",IF(W333=6,"NR only","book baseline"))))))&amp;"  ["&amp;IF(T333=1,"seasoned","unseasoned")&amp;IF(U333=1,", defaulted","")&amp;IF(V333=1,", open","")&amp;"]")</f>
        <v/>
      </c>
    </row>
    <row r="334" customFormat="false" ht="15" hidden="false" customHeight="false" outlineLevel="0" collapsed="false">
      <c r="A334" s="105" t="n">
        <v>330</v>
      </c>
      <c r="B334" s="106" t="str">
        <f aca="false">IFERROR(INDEX('Historical Data'!$A$2:$A$1068,MATCH($A334,'Historical Data'!$BE$2:$BE$1068,0)),"")</f>
        <v/>
      </c>
      <c r="C334" s="106" t="str">
        <f aca="false">IFERROR(INDEX('Historical Data'!$B$2:$B$1068,MATCH($A334,'Historical Data'!$BE$2:$BE$1068,0)),"")</f>
        <v/>
      </c>
      <c r="D334" s="106" t="str">
        <f aca="false">IFERROR(INDEX('Historical Data'!$D$2:$D$1068,MATCH($A334,'Historical Data'!$BE$2:$BE$1068,0)),"")</f>
        <v/>
      </c>
      <c r="E334" s="107" t="str">
        <f aca="false">IFERROR(INDEX('Historical Data'!$E$2:$E$1068,MATCH($A334,'Historical Data'!$BE$2:$BE$1068,0)),"")</f>
        <v/>
      </c>
      <c r="F334" s="106" t="str">
        <f aca="false">IFERROR(INDEX('Historical Data'!$G$2:$G$1068,MATCH($A334,'Historical Data'!$BE$2:$BE$1068,0)),"")</f>
        <v/>
      </c>
      <c r="G334" s="106" t="str">
        <f aca="false">IFERROR(INDEX('Historical Data'!$Y$2:$Y$1068,MATCH($A334,'Historical Data'!$BE$2:$BE$1068,0)),"")</f>
        <v/>
      </c>
      <c r="H334" s="106" t="str">
        <f aca="false">IFERROR(INDEX('Historical Data'!$K$2:$K$1068,MATCH($A334,'Historical Data'!$BE$2:$BE$1068,0)),"")</f>
        <v/>
      </c>
      <c r="I334" s="106" t="str">
        <f aca="false">IFERROR(INDEX('Historical Data'!$J$2:$J$1068,MATCH($A334,'Historical Data'!$BE$2:$BE$1068,0)),"")</f>
        <v/>
      </c>
      <c r="J334" s="106" t="str">
        <f aca="false">IFERROR(INDEX('Historical Data'!$L$2:$L$1068,MATCH($A334,'Historical Data'!$BE$2:$BE$1068,0)),"")</f>
        <v/>
      </c>
      <c r="K334" s="108" t="str">
        <f aca="false">IFERROR(INDEX('Historical Data'!$M$2:$M$1068,MATCH($A334,'Historical Data'!$BE$2:$BE$1068,0)),"")</f>
        <v/>
      </c>
      <c r="L334" s="109" t="str">
        <f aca="false">IFERROR(INDEX('Historical Data'!$N$2:$N$1068,MATCH($A334,'Historical Data'!$BE$2:$BE$1068,0)),"")</f>
        <v/>
      </c>
      <c r="M334" s="109" t="str">
        <f aca="false">IFERROR(INDEX('Historical Data'!$Q$2:$Q$1068,MATCH($A334,'Historical Data'!$BE$2:$BE$1068,0)),"")</f>
        <v/>
      </c>
      <c r="N334" s="110" t="str">
        <f aca="false">IFERROR(INDEX('Historical Data'!$S$2:$S$1068,MATCH($A334,'Historical Data'!$BE$2:$BE$1068,0)),"")</f>
        <v/>
      </c>
      <c r="O334" s="109" t="str">
        <f aca="false">IFERROR(INDEX('Historical Data'!$AJ$2:$AJ$1068,MATCH($A334,'Historical Data'!$BE$2:$BE$1068,0)),"")</f>
        <v/>
      </c>
      <c r="P334" s="109" t="str">
        <f aca="false">IFERROR(INDEX('Historical Data'!$AK$2:$AK$1068,MATCH($A334,'Historical Data'!$BE$2:$BE$1068,0)),"")</f>
        <v/>
      </c>
      <c r="Q334" s="106" t="str">
        <f aca="false">IFERROR(INDEX('Historical Data'!$AA$2:$AA$1068,MATCH($A334,'Historical Data'!$BE$2:$BE$1068,0)),"")</f>
        <v/>
      </c>
      <c r="R334" s="106" t="str">
        <f aca="false">IFERROR(INDEX('Historical Data'!$AB$2:$AB$1068,MATCH($A334,'Historical Data'!$BE$2:$BE$1068,0)),"")</f>
        <v/>
      </c>
      <c r="S334" s="106" t="str">
        <f aca="false">IFERROR(INDEX('Historical Data'!$AN$2:$AN$1068,MATCH($A334,'Historical Data'!$BE$2:$BE$1068,0)),"")</f>
        <v/>
      </c>
      <c r="T334" s="106" t="str">
        <f aca="false">IFERROR(INDEX('Historical Data'!$AC$2:$AC$1068,MATCH($A334,'Historical Data'!$BE$2:$BE$1068,0)),"")</f>
        <v/>
      </c>
      <c r="U334" s="106" t="str">
        <f aca="false">IFERROR(INDEX('Historical Data'!$AE$2:$AE$1068,MATCH($A334,'Historical Data'!$BE$2:$BE$1068,0)),"")</f>
        <v/>
      </c>
      <c r="V334" s="106" t="str">
        <f aca="false">IFERROR(INDEX('Historical Data'!$AH$2:$AH$1068,MATCH($A334,'Historical Data'!$BE$2:$BE$1068,0)),"")</f>
        <v/>
      </c>
      <c r="W334" s="106" t="str">
        <f aca="false">IFERROR(INDEX('Historical Data'!$BC$2:$BC$1068,MATCH($A334,'Historical Data'!$BE$2:$BE$1068,0)),"")</f>
        <v/>
      </c>
      <c r="X334" s="105" t="str">
        <f aca="false">IF(B334="","",IF(W334=1,"NR + industry + position",IF(W334=2,"NR + ISO + position",IF(W334=3,"NR + industry",IF(W334=4,"NR + ISO",IF(W334=5,"NR + position",IF(W334=6,"NR only","book baseline"))))))&amp;"  ["&amp;IF(T334=1,"seasoned","unseasoned")&amp;IF(U334=1,", defaulted","")&amp;IF(V334=1,", open","")&amp;"]")</f>
        <v/>
      </c>
    </row>
    <row r="335" customFormat="false" ht="15" hidden="false" customHeight="false" outlineLevel="0" collapsed="false">
      <c r="A335" s="105" t="n">
        <v>331</v>
      </c>
      <c r="B335" s="106" t="str">
        <f aca="false">IFERROR(INDEX('Historical Data'!$A$2:$A$1068,MATCH($A335,'Historical Data'!$BE$2:$BE$1068,0)),"")</f>
        <v/>
      </c>
      <c r="C335" s="106" t="str">
        <f aca="false">IFERROR(INDEX('Historical Data'!$B$2:$B$1068,MATCH($A335,'Historical Data'!$BE$2:$BE$1068,0)),"")</f>
        <v/>
      </c>
      <c r="D335" s="106" t="str">
        <f aca="false">IFERROR(INDEX('Historical Data'!$D$2:$D$1068,MATCH($A335,'Historical Data'!$BE$2:$BE$1068,0)),"")</f>
        <v/>
      </c>
      <c r="E335" s="107" t="str">
        <f aca="false">IFERROR(INDEX('Historical Data'!$E$2:$E$1068,MATCH($A335,'Historical Data'!$BE$2:$BE$1068,0)),"")</f>
        <v/>
      </c>
      <c r="F335" s="106" t="str">
        <f aca="false">IFERROR(INDEX('Historical Data'!$G$2:$G$1068,MATCH($A335,'Historical Data'!$BE$2:$BE$1068,0)),"")</f>
        <v/>
      </c>
      <c r="G335" s="106" t="str">
        <f aca="false">IFERROR(INDEX('Historical Data'!$Y$2:$Y$1068,MATCH($A335,'Historical Data'!$BE$2:$BE$1068,0)),"")</f>
        <v/>
      </c>
      <c r="H335" s="106" t="str">
        <f aca="false">IFERROR(INDEX('Historical Data'!$K$2:$K$1068,MATCH($A335,'Historical Data'!$BE$2:$BE$1068,0)),"")</f>
        <v/>
      </c>
      <c r="I335" s="106" t="str">
        <f aca="false">IFERROR(INDEX('Historical Data'!$J$2:$J$1068,MATCH($A335,'Historical Data'!$BE$2:$BE$1068,0)),"")</f>
        <v/>
      </c>
      <c r="J335" s="106" t="str">
        <f aca="false">IFERROR(INDEX('Historical Data'!$L$2:$L$1068,MATCH($A335,'Historical Data'!$BE$2:$BE$1068,0)),"")</f>
        <v/>
      </c>
      <c r="K335" s="108" t="str">
        <f aca="false">IFERROR(INDEX('Historical Data'!$M$2:$M$1068,MATCH($A335,'Historical Data'!$BE$2:$BE$1068,0)),"")</f>
        <v/>
      </c>
      <c r="L335" s="109" t="str">
        <f aca="false">IFERROR(INDEX('Historical Data'!$N$2:$N$1068,MATCH($A335,'Historical Data'!$BE$2:$BE$1068,0)),"")</f>
        <v/>
      </c>
      <c r="M335" s="109" t="str">
        <f aca="false">IFERROR(INDEX('Historical Data'!$Q$2:$Q$1068,MATCH($A335,'Historical Data'!$BE$2:$BE$1068,0)),"")</f>
        <v/>
      </c>
      <c r="N335" s="110" t="str">
        <f aca="false">IFERROR(INDEX('Historical Data'!$S$2:$S$1068,MATCH($A335,'Historical Data'!$BE$2:$BE$1068,0)),"")</f>
        <v/>
      </c>
      <c r="O335" s="109" t="str">
        <f aca="false">IFERROR(INDEX('Historical Data'!$AJ$2:$AJ$1068,MATCH($A335,'Historical Data'!$BE$2:$BE$1068,0)),"")</f>
        <v/>
      </c>
      <c r="P335" s="109" t="str">
        <f aca="false">IFERROR(INDEX('Historical Data'!$AK$2:$AK$1068,MATCH($A335,'Historical Data'!$BE$2:$BE$1068,0)),"")</f>
        <v/>
      </c>
      <c r="Q335" s="106" t="str">
        <f aca="false">IFERROR(INDEX('Historical Data'!$AA$2:$AA$1068,MATCH($A335,'Historical Data'!$BE$2:$BE$1068,0)),"")</f>
        <v/>
      </c>
      <c r="R335" s="106" t="str">
        <f aca="false">IFERROR(INDEX('Historical Data'!$AB$2:$AB$1068,MATCH($A335,'Historical Data'!$BE$2:$BE$1068,0)),"")</f>
        <v/>
      </c>
      <c r="S335" s="106" t="str">
        <f aca="false">IFERROR(INDEX('Historical Data'!$AN$2:$AN$1068,MATCH($A335,'Historical Data'!$BE$2:$BE$1068,0)),"")</f>
        <v/>
      </c>
      <c r="T335" s="106" t="str">
        <f aca="false">IFERROR(INDEX('Historical Data'!$AC$2:$AC$1068,MATCH($A335,'Historical Data'!$BE$2:$BE$1068,0)),"")</f>
        <v/>
      </c>
      <c r="U335" s="106" t="str">
        <f aca="false">IFERROR(INDEX('Historical Data'!$AE$2:$AE$1068,MATCH($A335,'Historical Data'!$BE$2:$BE$1068,0)),"")</f>
        <v/>
      </c>
      <c r="V335" s="106" t="str">
        <f aca="false">IFERROR(INDEX('Historical Data'!$AH$2:$AH$1068,MATCH($A335,'Historical Data'!$BE$2:$BE$1068,0)),"")</f>
        <v/>
      </c>
      <c r="W335" s="106" t="str">
        <f aca="false">IFERROR(INDEX('Historical Data'!$BC$2:$BC$1068,MATCH($A335,'Historical Data'!$BE$2:$BE$1068,0)),"")</f>
        <v/>
      </c>
      <c r="X335" s="105" t="str">
        <f aca="false">IF(B335="","",IF(W335=1,"NR + industry + position",IF(W335=2,"NR + ISO + position",IF(W335=3,"NR + industry",IF(W335=4,"NR + ISO",IF(W335=5,"NR + position",IF(W335=6,"NR only","book baseline"))))))&amp;"  ["&amp;IF(T335=1,"seasoned","unseasoned")&amp;IF(U335=1,", defaulted","")&amp;IF(V335=1,", open","")&amp;"]")</f>
        <v/>
      </c>
    </row>
    <row r="336" customFormat="false" ht="15" hidden="false" customHeight="false" outlineLevel="0" collapsed="false">
      <c r="A336" s="105" t="n">
        <v>332</v>
      </c>
      <c r="B336" s="106" t="str">
        <f aca="false">IFERROR(INDEX('Historical Data'!$A$2:$A$1068,MATCH($A336,'Historical Data'!$BE$2:$BE$1068,0)),"")</f>
        <v/>
      </c>
      <c r="C336" s="106" t="str">
        <f aca="false">IFERROR(INDEX('Historical Data'!$B$2:$B$1068,MATCH($A336,'Historical Data'!$BE$2:$BE$1068,0)),"")</f>
        <v/>
      </c>
      <c r="D336" s="106" t="str">
        <f aca="false">IFERROR(INDEX('Historical Data'!$D$2:$D$1068,MATCH($A336,'Historical Data'!$BE$2:$BE$1068,0)),"")</f>
        <v/>
      </c>
      <c r="E336" s="107" t="str">
        <f aca="false">IFERROR(INDEX('Historical Data'!$E$2:$E$1068,MATCH($A336,'Historical Data'!$BE$2:$BE$1068,0)),"")</f>
        <v/>
      </c>
      <c r="F336" s="106" t="str">
        <f aca="false">IFERROR(INDEX('Historical Data'!$G$2:$G$1068,MATCH($A336,'Historical Data'!$BE$2:$BE$1068,0)),"")</f>
        <v/>
      </c>
      <c r="G336" s="106" t="str">
        <f aca="false">IFERROR(INDEX('Historical Data'!$Y$2:$Y$1068,MATCH($A336,'Historical Data'!$BE$2:$BE$1068,0)),"")</f>
        <v/>
      </c>
      <c r="H336" s="106" t="str">
        <f aca="false">IFERROR(INDEX('Historical Data'!$K$2:$K$1068,MATCH($A336,'Historical Data'!$BE$2:$BE$1068,0)),"")</f>
        <v/>
      </c>
      <c r="I336" s="106" t="str">
        <f aca="false">IFERROR(INDEX('Historical Data'!$J$2:$J$1068,MATCH($A336,'Historical Data'!$BE$2:$BE$1068,0)),"")</f>
        <v/>
      </c>
      <c r="J336" s="106" t="str">
        <f aca="false">IFERROR(INDEX('Historical Data'!$L$2:$L$1068,MATCH($A336,'Historical Data'!$BE$2:$BE$1068,0)),"")</f>
        <v/>
      </c>
      <c r="K336" s="108" t="str">
        <f aca="false">IFERROR(INDEX('Historical Data'!$M$2:$M$1068,MATCH($A336,'Historical Data'!$BE$2:$BE$1068,0)),"")</f>
        <v/>
      </c>
      <c r="L336" s="109" t="str">
        <f aca="false">IFERROR(INDEX('Historical Data'!$N$2:$N$1068,MATCH($A336,'Historical Data'!$BE$2:$BE$1068,0)),"")</f>
        <v/>
      </c>
      <c r="M336" s="109" t="str">
        <f aca="false">IFERROR(INDEX('Historical Data'!$Q$2:$Q$1068,MATCH($A336,'Historical Data'!$BE$2:$BE$1068,0)),"")</f>
        <v/>
      </c>
      <c r="N336" s="110" t="str">
        <f aca="false">IFERROR(INDEX('Historical Data'!$S$2:$S$1068,MATCH($A336,'Historical Data'!$BE$2:$BE$1068,0)),"")</f>
        <v/>
      </c>
      <c r="O336" s="109" t="str">
        <f aca="false">IFERROR(INDEX('Historical Data'!$AJ$2:$AJ$1068,MATCH($A336,'Historical Data'!$BE$2:$BE$1068,0)),"")</f>
        <v/>
      </c>
      <c r="P336" s="109" t="str">
        <f aca="false">IFERROR(INDEX('Historical Data'!$AK$2:$AK$1068,MATCH($A336,'Historical Data'!$BE$2:$BE$1068,0)),"")</f>
        <v/>
      </c>
      <c r="Q336" s="106" t="str">
        <f aca="false">IFERROR(INDEX('Historical Data'!$AA$2:$AA$1068,MATCH($A336,'Historical Data'!$BE$2:$BE$1068,0)),"")</f>
        <v/>
      </c>
      <c r="R336" s="106" t="str">
        <f aca="false">IFERROR(INDEX('Historical Data'!$AB$2:$AB$1068,MATCH($A336,'Historical Data'!$BE$2:$BE$1068,0)),"")</f>
        <v/>
      </c>
      <c r="S336" s="106" t="str">
        <f aca="false">IFERROR(INDEX('Historical Data'!$AN$2:$AN$1068,MATCH($A336,'Historical Data'!$BE$2:$BE$1068,0)),"")</f>
        <v/>
      </c>
      <c r="T336" s="106" t="str">
        <f aca="false">IFERROR(INDEX('Historical Data'!$AC$2:$AC$1068,MATCH($A336,'Historical Data'!$BE$2:$BE$1068,0)),"")</f>
        <v/>
      </c>
      <c r="U336" s="106" t="str">
        <f aca="false">IFERROR(INDEX('Historical Data'!$AE$2:$AE$1068,MATCH($A336,'Historical Data'!$BE$2:$BE$1068,0)),"")</f>
        <v/>
      </c>
      <c r="V336" s="106" t="str">
        <f aca="false">IFERROR(INDEX('Historical Data'!$AH$2:$AH$1068,MATCH($A336,'Historical Data'!$BE$2:$BE$1068,0)),"")</f>
        <v/>
      </c>
      <c r="W336" s="106" t="str">
        <f aca="false">IFERROR(INDEX('Historical Data'!$BC$2:$BC$1068,MATCH($A336,'Historical Data'!$BE$2:$BE$1068,0)),"")</f>
        <v/>
      </c>
      <c r="X336" s="105" t="str">
        <f aca="false">IF(B336="","",IF(W336=1,"NR + industry + position",IF(W336=2,"NR + ISO + position",IF(W336=3,"NR + industry",IF(W336=4,"NR + ISO",IF(W336=5,"NR + position",IF(W336=6,"NR only","book baseline"))))))&amp;"  ["&amp;IF(T336=1,"seasoned","unseasoned")&amp;IF(U336=1,", defaulted","")&amp;IF(V336=1,", open","")&amp;"]")</f>
        <v/>
      </c>
    </row>
    <row r="337" customFormat="false" ht="15" hidden="false" customHeight="false" outlineLevel="0" collapsed="false">
      <c r="A337" s="105" t="n">
        <v>333</v>
      </c>
      <c r="B337" s="106" t="str">
        <f aca="false">IFERROR(INDEX('Historical Data'!$A$2:$A$1068,MATCH($A337,'Historical Data'!$BE$2:$BE$1068,0)),"")</f>
        <v/>
      </c>
      <c r="C337" s="106" t="str">
        <f aca="false">IFERROR(INDEX('Historical Data'!$B$2:$B$1068,MATCH($A337,'Historical Data'!$BE$2:$BE$1068,0)),"")</f>
        <v/>
      </c>
      <c r="D337" s="106" t="str">
        <f aca="false">IFERROR(INDEX('Historical Data'!$D$2:$D$1068,MATCH($A337,'Historical Data'!$BE$2:$BE$1068,0)),"")</f>
        <v/>
      </c>
      <c r="E337" s="107" t="str">
        <f aca="false">IFERROR(INDEX('Historical Data'!$E$2:$E$1068,MATCH($A337,'Historical Data'!$BE$2:$BE$1068,0)),"")</f>
        <v/>
      </c>
      <c r="F337" s="106" t="str">
        <f aca="false">IFERROR(INDEX('Historical Data'!$G$2:$G$1068,MATCH($A337,'Historical Data'!$BE$2:$BE$1068,0)),"")</f>
        <v/>
      </c>
      <c r="G337" s="106" t="str">
        <f aca="false">IFERROR(INDEX('Historical Data'!$Y$2:$Y$1068,MATCH($A337,'Historical Data'!$BE$2:$BE$1068,0)),"")</f>
        <v/>
      </c>
      <c r="H337" s="106" t="str">
        <f aca="false">IFERROR(INDEX('Historical Data'!$K$2:$K$1068,MATCH($A337,'Historical Data'!$BE$2:$BE$1068,0)),"")</f>
        <v/>
      </c>
      <c r="I337" s="106" t="str">
        <f aca="false">IFERROR(INDEX('Historical Data'!$J$2:$J$1068,MATCH($A337,'Historical Data'!$BE$2:$BE$1068,0)),"")</f>
        <v/>
      </c>
      <c r="J337" s="106" t="str">
        <f aca="false">IFERROR(INDEX('Historical Data'!$L$2:$L$1068,MATCH($A337,'Historical Data'!$BE$2:$BE$1068,0)),"")</f>
        <v/>
      </c>
      <c r="K337" s="108" t="str">
        <f aca="false">IFERROR(INDEX('Historical Data'!$M$2:$M$1068,MATCH($A337,'Historical Data'!$BE$2:$BE$1068,0)),"")</f>
        <v/>
      </c>
      <c r="L337" s="109" t="str">
        <f aca="false">IFERROR(INDEX('Historical Data'!$N$2:$N$1068,MATCH($A337,'Historical Data'!$BE$2:$BE$1068,0)),"")</f>
        <v/>
      </c>
      <c r="M337" s="109" t="str">
        <f aca="false">IFERROR(INDEX('Historical Data'!$Q$2:$Q$1068,MATCH($A337,'Historical Data'!$BE$2:$BE$1068,0)),"")</f>
        <v/>
      </c>
      <c r="N337" s="110" t="str">
        <f aca="false">IFERROR(INDEX('Historical Data'!$S$2:$S$1068,MATCH($A337,'Historical Data'!$BE$2:$BE$1068,0)),"")</f>
        <v/>
      </c>
      <c r="O337" s="109" t="str">
        <f aca="false">IFERROR(INDEX('Historical Data'!$AJ$2:$AJ$1068,MATCH($A337,'Historical Data'!$BE$2:$BE$1068,0)),"")</f>
        <v/>
      </c>
      <c r="P337" s="109" t="str">
        <f aca="false">IFERROR(INDEX('Historical Data'!$AK$2:$AK$1068,MATCH($A337,'Historical Data'!$BE$2:$BE$1068,0)),"")</f>
        <v/>
      </c>
      <c r="Q337" s="106" t="str">
        <f aca="false">IFERROR(INDEX('Historical Data'!$AA$2:$AA$1068,MATCH($A337,'Historical Data'!$BE$2:$BE$1068,0)),"")</f>
        <v/>
      </c>
      <c r="R337" s="106" t="str">
        <f aca="false">IFERROR(INDEX('Historical Data'!$AB$2:$AB$1068,MATCH($A337,'Historical Data'!$BE$2:$BE$1068,0)),"")</f>
        <v/>
      </c>
      <c r="S337" s="106" t="str">
        <f aca="false">IFERROR(INDEX('Historical Data'!$AN$2:$AN$1068,MATCH($A337,'Historical Data'!$BE$2:$BE$1068,0)),"")</f>
        <v/>
      </c>
      <c r="T337" s="106" t="str">
        <f aca="false">IFERROR(INDEX('Historical Data'!$AC$2:$AC$1068,MATCH($A337,'Historical Data'!$BE$2:$BE$1068,0)),"")</f>
        <v/>
      </c>
      <c r="U337" s="106" t="str">
        <f aca="false">IFERROR(INDEX('Historical Data'!$AE$2:$AE$1068,MATCH($A337,'Historical Data'!$BE$2:$BE$1068,0)),"")</f>
        <v/>
      </c>
      <c r="V337" s="106" t="str">
        <f aca="false">IFERROR(INDEX('Historical Data'!$AH$2:$AH$1068,MATCH($A337,'Historical Data'!$BE$2:$BE$1068,0)),"")</f>
        <v/>
      </c>
      <c r="W337" s="106" t="str">
        <f aca="false">IFERROR(INDEX('Historical Data'!$BC$2:$BC$1068,MATCH($A337,'Historical Data'!$BE$2:$BE$1068,0)),"")</f>
        <v/>
      </c>
      <c r="X337" s="105" t="str">
        <f aca="false">IF(B337="","",IF(W337=1,"NR + industry + position",IF(W337=2,"NR + ISO + position",IF(W337=3,"NR + industry",IF(W337=4,"NR + ISO",IF(W337=5,"NR + position",IF(W337=6,"NR only","book baseline"))))))&amp;"  ["&amp;IF(T337=1,"seasoned","unseasoned")&amp;IF(U337=1,", defaulted","")&amp;IF(V337=1,", open","")&amp;"]")</f>
        <v/>
      </c>
    </row>
    <row r="338" customFormat="false" ht="15" hidden="false" customHeight="false" outlineLevel="0" collapsed="false">
      <c r="A338" s="105" t="n">
        <v>334</v>
      </c>
      <c r="B338" s="106" t="str">
        <f aca="false">IFERROR(INDEX('Historical Data'!$A$2:$A$1068,MATCH($A338,'Historical Data'!$BE$2:$BE$1068,0)),"")</f>
        <v/>
      </c>
      <c r="C338" s="106" t="str">
        <f aca="false">IFERROR(INDEX('Historical Data'!$B$2:$B$1068,MATCH($A338,'Historical Data'!$BE$2:$BE$1068,0)),"")</f>
        <v/>
      </c>
      <c r="D338" s="106" t="str">
        <f aca="false">IFERROR(INDEX('Historical Data'!$D$2:$D$1068,MATCH($A338,'Historical Data'!$BE$2:$BE$1068,0)),"")</f>
        <v/>
      </c>
      <c r="E338" s="107" t="str">
        <f aca="false">IFERROR(INDEX('Historical Data'!$E$2:$E$1068,MATCH($A338,'Historical Data'!$BE$2:$BE$1068,0)),"")</f>
        <v/>
      </c>
      <c r="F338" s="106" t="str">
        <f aca="false">IFERROR(INDEX('Historical Data'!$G$2:$G$1068,MATCH($A338,'Historical Data'!$BE$2:$BE$1068,0)),"")</f>
        <v/>
      </c>
      <c r="G338" s="106" t="str">
        <f aca="false">IFERROR(INDEX('Historical Data'!$Y$2:$Y$1068,MATCH($A338,'Historical Data'!$BE$2:$BE$1068,0)),"")</f>
        <v/>
      </c>
      <c r="H338" s="106" t="str">
        <f aca="false">IFERROR(INDEX('Historical Data'!$K$2:$K$1068,MATCH($A338,'Historical Data'!$BE$2:$BE$1068,0)),"")</f>
        <v/>
      </c>
      <c r="I338" s="106" t="str">
        <f aca="false">IFERROR(INDEX('Historical Data'!$J$2:$J$1068,MATCH($A338,'Historical Data'!$BE$2:$BE$1068,0)),"")</f>
        <v/>
      </c>
      <c r="J338" s="106" t="str">
        <f aca="false">IFERROR(INDEX('Historical Data'!$L$2:$L$1068,MATCH($A338,'Historical Data'!$BE$2:$BE$1068,0)),"")</f>
        <v/>
      </c>
      <c r="K338" s="108" t="str">
        <f aca="false">IFERROR(INDEX('Historical Data'!$M$2:$M$1068,MATCH($A338,'Historical Data'!$BE$2:$BE$1068,0)),"")</f>
        <v/>
      </c>
      <c r="L338" s="109" t="str">
        <f aca="false">IFERROR(INDEX('Historical Data'!$N$2:$N$1068,MATCH($A338,'Historical Data'!$BE$2:$BE$1068,0)),"")</f>
        <v/>
      </c>
      <c r="M338" s="109" t="str">
        <f aca="false">IFERROR(INDEX('Historical Data'!$Q$2:$Q$1068,MATCH($A338,'Historical Data'!$BE$2:$BE$1068,0)),"")</f>
        <v/>
      </c>
      <c r="N338" s="110" t="str">
        <f aca="false">IFERROR(INDEX('Historical Data'!$S$2:$S$1068,MATCH($A338,'Historical Data'!$BE$2:$BE$1068,0)),"")</f>
        <v/>
      </c>
      <c r="O338" s="109" t="str">
        <f aca="false">IFERROR(INDEX('Historical Data'!$AJ$2:$AJ$1068,MATCH($A338,'Historical Data'!$BE$2:$BE$1068,0)),"")</f>
        <v/>
      </c>
      <c r="P338" s="109" t="str">
        <f aca="false">IFERROR(INDEX('Historical Data'!$AK$2:$AK$1068,MATCH($A338,'Historical Data'!$BE$2:$BE$1068,0)),"")</f>
        <v/>
      </c>
      <c r="Q338" s="106" t="str">
        <f aca="false">IFERROR(INDEX('Historical Data'!$AA$2:$AA$1068,MATCH($A338,'Historical Data'!$BE$2:$BE$1068,0)),"")</f>
        <v/>
      </c>
      <c r="R338" s="106" t="str">
        <f aca="false">IFERROR(INDEX('Historical Data'!$AB$2:$AB$1068,MATCH($A338,'Historical Data'!$BE$2:$BE$1068,0)),"")</f>
        <v/>
      </c>
      <c r="S338" s="106" t="str">
        <f aca="false">IFERROR(INDEX('Historical Data'!$AN$2:$AN$1068,MATCH($A338,'Historical Data'!$BE$2:$BE$1068,0)),"")</f>
        <v/>
      </c>
      <c r="T338" s="106" t="str">
        <f aca="false">IFERROR(INDEX('Historical Data'!$AC$2:$AC$1068,MATCH($A338,'Historical Data'!$BE$2:$BE$1068,0)),"")</f>
        <v/>
      </c>
      <c r="U338" s="106" t="str">
        <f aca="false">IFERROR(INDEX('Historical Data'!$AE$2:$AE$1068,MATCH($A338,'Historical Data'!$BE$2:$BE$1068,0)),"")</f>
        <v/>
      </c>
      <c r="V338" s="106" t="str">
        <f aca="false">IFERROR(INDEX('Historical Data'!$AH$2:$AH$1068,MATCH($A338,'Historical Data'!$BE$2:$BE$1068,0)),"")</f>
        <v/>
      </c>
      <c r="W338" s="106" t="str">
        <f aca="false">IFERROR(INDEX('Historical Data'!$BC$2:$BC$1068,MATCH($A338,'Historical Data'!$BE$2:$BE$1068,0)),"")</f>
        <v/>
      </c>
      <c r="X338" s="105" t="str">
        <f aca="false">IF(B338="","",IF(W338=1,"NR + industry + position",IF(W338=2,"NR + ISO + position",IF(W338=3,"NR + industry",IF(W338=4,"NR + ISO",IF(W338=5,"NR + position",IF(W338=6,"NR only","book baseline"))))))&amp;"  ["&amp;IF(T338=1,"seasoned","unseasoned")&amp;IF(U338=1,", defaulted","")&amp;IF(V338=1,", open","")&amp;"]")</f>
        <v/>
      </c>
    </row>
    <row r="339" customFormat="false" ht="15" hidden="false" customHeight="false" outlineLevel="0" collapsed="false">
      <c r="A339" s="105" t="n">
        <v>335</v>
      </c>
      <c r="B339" s="106" t="str">
        <f aca="false">IFERROR(INDEX('Historical Data'!$A$2:$A$1068,MATCH($A339,'Historical Data'!$BE$2:$BE$1068,0)),"")</f>
        <v/>
      </c>
      <c r="C339" s="106" t="str">
        <f aca="false">IFERROR(INDEX('Historical Data'!$B$2:$B$1068,MATCH($A339,'Historical Data'!$BE$2:$BE$1068,0)),"")</f>
        <v/>
      </c>
      <c r="D339" s="106" t="str">
        <f aca="false">IFERROR(INDEX('Historical Data'!$D$2:$D$1068,MATCH($A339,'Historical Data'!$BE$2:$BE$1068,0)),"")</f>
        <v/>
      </c>
      <c r="E339" s="107" t="str">
        <f aca="false">IFERROR(INDEX('Historical Data'!$E$2:$E$1068,MATCH($A339,'Historical Data'!$BE$2:$BE$1068,0)),"")</f>
        <v/>
      </c>
      <c r="F339" s="106" t="str">
        <f aca="false">IFERROR(INDEX('Historical Data'!$G$2:$G$1068,MATCH($A339,'Historical Data'!$BE$2:$BE$1068,0)),"")</f>
        <v/>
      </c>
      <c r="G339" s="106" t="str">
        <f aca="false">IFERROR(INDEX('Historical Data'!$Y$2:$Y$1068,MATCH($A339,'Historical Data'!$BE$2:$BE$1068,0)),"")</f>
        <v/>
      </c>
      <c r="H339" s="106" t="str">
        <f aca="false">IFERROR(INDEX('Historical Data'!$K$2:$K$1068,MATCH($A339,'Historical Data'!$BE$2:$BE$1068,0)),"")</f>
        <v/>
      </c>
      <c r="I339" s="106" t="str">
        <f aca="false">IFERROR(INDEX('Historical Data'!$J$2:$J$1068,MATCH($A339,'Historical Data'!$BE$2:$BE$1068,0)),"")</f>
        <v/>
      </c>
      <c r="J339" s="106" t="str">
        <f aca="false">IFERROR(INDEX('Historical Data'!$L$2:$L$1068,MATCH($A339,'Historical Data'!$BE$2:$BE$1068,0)),"")</f>
        <v/>
      </c>
      <c r="K339" s="108" t="str">
        <f aca="false">IFERROR(INDEX('Historical Data'!$M$2:$M$1068,MATCH($A339,'Historical Data'!$BE$2:$BE$1068,0)),"")</f>
        <v/>
      </c>
      <c r="L339" s="109" t="str">
        <f aca="false">IFERROR(INDEX('Historical Data'!$N$2:$N$1068,MATCH($A339,'Historical Data'!$BE$2:$BE$1068,0)),"")</f>
        <v/>
      </c>
      <c r="M339" s="109" t="str">
        <f aca="false">IFERROR(INDEX('Historical Data'!$Q$2:$Q$1068,MATCH($A339,'Historical Data'!$BE$2:$BE$1068,0)),"")</f>
        <v/>
      </c>
      <c r="N339" s="110" t="str">
        <f aca="false">IFERROR(INDEX('Historical Data'!$S$2:$S$1068,MATCH($A339,'Historical Data'!$BE$2:$BE$1068,0)),"")</f>
        <v/>
      </c>
      <c r="O339" s="109" t="str">
        <f aca="false">IFERROR(INDEX('Historical Data'!$AJ$2:$AJ$1068,MATCH($A339,'Historical Data'!$BE$2:$BE$1068,0)),"")</f>
        <v/>
      </c>
      <c r="P339" s="109" t="str">
        <f aca="false">IFERROR(INDEX('Historical Data'!$AK$2:$AK$1068,MATCH($A339,'Historical Data'!$BE$2:$BE$1068,0)),"")</f>
        <v/>
      </c>
      <c r="Q339" s="106" t="str">
        <f aca="false">IFERROR(INDEX('Historical Data'!$AA$2:$AA$1068,MATCH($A339,'Historical Data'!$BE$2:$BE$1068,0)),"")</f>
        <v/>
      </c>
      <c r="R339" s="106" t="str">
        <f aca="false">IFERROR(INDEX('Historical Data'!$AB$2:$AB$1068,MATCH($A339,'Historical Data'!$BE$2:$BE$1068,0)),"")</f>
        <v/>
      </c>
      <c r="S339" s="106" t="str">
        <f aca="false">IFERROR(INDEX('Historical Data'!$AN$2:$AN$1068,MATCH($A339,'Historical Data'!$BE$2:$BE$1068,0)),"")</f>
        <v/>
      </c>
      <c r="T339" s="106" t="str">
        <f aca="false">IFERROR(INDEX('Historical Data'!$AC$2:$AC$1068,MATCH($A339,'Historical Data'!$BE$2:$BE$1068,0)),"")</f>
        <v/>
      </c>
      <c r="U339" s="106" t="str">
        <f aca="false">IFERROR(INDEX('Historical Data'!$AE$2:$AE$1068,MATCH($A339,'Historical Data'!$BE$2:$BE$1068,0)),"")</f>
        <v/>
      </c>
      <c r="V339" s="106" t="str">
        <f aca="false">IFERROR(INDEX('Historical Data'!$AH$2:$AH$1068,MATCH($A339,'Historical Data'!$BE$2:$BE$1068,0)),"")</f>
        <v/>
      </c>
      <c r="W339" s="106" t="str">
        <f aca="false">IFERROR(INDEX('Historical Data'!$BC$2:$BC$1068,MATCH($A339,'Historical Data'!$BE$2:$BE$1068,0)),"")</f>
        <v/>
      </c>
      <c r="X339" s="105" t="str">
        <f aca="false">IF(B339="","",IF(W339=1,"NR + industry + position",IF(W339=2,"NR + ISO + position",IF(W339=3,"NR + industry",IF(W339=4,"NR + ISO",IF(W339=5,"NR + position",IF(W339=6,"NR only","book baseline"))))))&amp;"  ["&amp;IF(T339=1,"seasoned","unseasoned")&amp;IF(U339=1,", defaulted","")&amp;IF(V339=1,", open","")&amp;"]")</f>
        <v/>
      </c>
    </row>
    <row r="340" customFormat="false" ht="15" hidden="false" customHeight="false" outlineLevel="0" collapsed="false">
      <c r="A340" s="105" t="n">
        <v>336</v>
      </c>
      <c r="B340" s="106" t="str">
        <f aca="false">IFERROR(INDEX('Historical Data'!$A$2:$A$1068,MATCH($A340,'Historical Data'!$BE$2:$BE$1068,0)),"")</f>
        <v/>
      </c>
      <c r="C340" s="106" t="str">
        <f aca="false">IFERROR(INDEX('Historical Data'!$B$2:$B$1068,MATCH($A340,'Historical Data'!$BE$2:$BE$1068,0)),"")</f>
        <v/>
      </c>
      <c r="D340" s="106" t="str">
        <f aca="false">IFERROR(INDEX('Historical Data'!$D$2:$D$1068,MATCH($A340,'Historical Data'!$BE$2:$BE$1068,0)),"")</f>
        <v/>
      </c>
      <c r="E340" s="107" t="str">
        <f aca="false">IFERROR(INDEX('Historical Data'!$E$2:$E$1068,MATCH($A340,'Historical Data'!$BE$2:$BE$1068,0)),"")</f>
        <v/>
      </c>
      <c r="F340" s="106" t="str">
        <f aca="false">IFERROR(INDEX('Historical Data'!$G$2:$G$1068,MATCH($A340,'Historical Data'!$BE$2:$BE$1068,0)),"")</f>
        <v/>
      </c>
      <c r="G340" s="106" t="str">
        <f aca="false">IFERROR(INDEX('Historical Data'!$Y$2:$Y$1068,MATCH($A340,'Historical Data'!$BE$2:$BE$1068,0)),"")</f>
        <v/>
      </c>
      <c r="H340" s="106" t="str">
        <f aca="false">IFERROR(INDEX('Historical Data'!$K$2:$K$1068,MATCH($A340,'Historical Data'!$BE$2:$BE$1068,0)),"")</f>
        <v/>
      </c>
      <c r="I340" s="106" t="str">
        <f aca="false">IFERROR(INDEX('Historical Data'!$J$2:$J$1068,MATCH($A340,'Historical Data'!$BE$2:$BE$1068,0)),"")</f>
        <v/>
      </c>
      <c r="J340" s="106" t="str">
        <f aca="false">IFERROR(INDEX('Historical Data'!$L$2:$L$1068,MATCH($A340,'Historical Data'!$BE$2:$BE$1068,0)),"")</f>
        <v/>
      </c>
      <c r="K340" s="108" t="str">
        <f aca="false">IFERROR(INDEX('Historical Data'!$M$2:$M$1068,MATCH($A340,'Historical Data'!$BE$2:$BE$1068,0)),"")</f>
        <v/>
      </c>
      <c r="L340" s="109" t="str">
        <f aca="false">IFERROR(INDEX('Historical Data'!$N$2:$N$1068,MATCH($A340,'Historical Data'!$BE$2:$BE$1068,0)),"")</f>
        <v/>
      </c>
      <c r="M340" s="109" t="str">
        <f aca="false">IFERROR(INDEX('Historical Data'!$Q$2:$Q$1068,MATCH($A340,'Historical Data'!$BE$2:$BE$1068,0)),"")</f>
        <v/>
      </c>
      <c r="N340" s="110" t="str">
        <f aca="false">IFERROR(INDEX('Historical Data'!$S$2:$S$1068,MATCH($A340,'Historical Data'!$BE$2:$BE$1068,0)),"")</f>
        <v/>
      </c>
      <c r="O340" s="109" t="str">
        <f aca="false">IFERROR(INDEX('Historical Data'!$AJ$2:$AJ$1068,MATCH($A340,'Historical Data'!$BE$2:$BE$1068,0)),"")</f>
        <v/>
      </c>
      <c r="P340" s="109" t="str">
        <f aca="false">IFERROR(INDEX('Historical Data'!$AK$2:$AK$1068,MATCH($A340,'Historical Data'!$BE$2:$BE$1068,0)),"")</f>
        <v/>
      </c>
      <c r="Q340" s="106" t="str">
        <f aca="false">IFERROR(INDEX('Historical Data'!$AA$2:$AA$1068,MATCH($A340,'Historical Data'!$BE$2:$BE$1068,0)),"")</f>
        <v/>
      </c>
      <c r="R340" s="106" t="str">
        <f aca="false">IFERROR(INDEX('Historical Data'!$AB$2:$AB$1068,MATCH($A340,'Historical Data'!$BE$2:$BE$1068,0)),"")</f>
        <v/>
      </c>
      <c r="S340" s="106" t="str">
        <f aca="false">IFERROR(INDEX('Historical Data'!$AN$2:$AN$1068,MATCH($A340,'Historical Data'!$BE$2:$BE$1068,0)),"")</f>
        <v/>
      </c>
      <c r="T340" s="106" t="str">
        <f aca="false">IFERROR(INDEX('Historical Data'!$AC$2:$AC$1068,MATCH($A340,'Historical Data'!$BE$2:$BE$1068,0)),"")</f>
        <v/>
      </c>
      <c r="U340" s="106" t="str">
        <f aca="false">IFERROR(INDEX('Historical Data'!$AE$2:$AE$1068,MATCH($A340,'Historical Data'!$BE$2:$BE$1068,0)),"")</f>
        <v/>
      </c>
      <c r="V340" s="106" t="str">
        <f aca="false">IFERROR(INDEX('Historical Data'!$AH$2:$AH$1068,MATCH($A340,'Historical Data'!$BE$2:$BE$1068,0)),"")</f>
        <v/>
      </c>
      <c r="W340" s="106" t="str">
        <f aca="false">IFERROR(INDEX('Historical Data'!$BC$2:$BC$1068,MATCH($A340,'Historical Data'!$BE$2:$BE$1068,0)),"")</f>
        <v/>
      </c>
      <c r="X340" s="105" t="str">
        <f aca="false">IF(B340="","",IF(W340=1,"NR + industry + position",IF(W340=2,"NR + ISO + position",IF(W340=3,"NR + industry",IF(W340=4,"NR + ISO",IF(W340=5,"NR + position",IF(W340=6,"NR only","book baseline"))))))&amp;"  ["&amp;IF(T340=1,"seasoned","unseasoned")&amp;IF(U340=1,", defaulted","")&amp;IF(V340=1,", open","")&amp;"]")</f>
        <v/>
      </c>
    </row>
    <row r="341" customFormat="false" ht="15" hidden="false" customHeight="false" outlineLevel="0" collapsed="false">
      <c r="A341" s="105" t="n">
        <v>337</v>
      </c>
      <c r="B341" s="106" t="str">
        <f aca="false">IFERROR(INDEX('Historical Data'!$A$2:$A$1068,MATCH($A341,'Historical Data'!$BE$2:$BE$1068,0)),"")</f>
        <v/>
      </c>
      <c r="C341" s="106" t="str">
        <f aca="false">IFERROR(INDEX('Historical Data'!$B$2:$B$1068,MATCH($A341,'Historical Data'!$BE$2:$BE$1068,0)),"")</f>
        <v/>
      </c>
      <c r="D341" s="106" t="str">
        <f aca="false">IFERROR(INDEX('Historical Data'!$D$2:$D$1068,MATCH($A341,'Historical Data'!$BE$2:$BE$1068,0)),"")</f>
        <v/>
      </c>
      <c r="E341" s="107" t="str">
        <f aca="false">IFERROR(INDEX('Historical Data'!$E$2:$E$1068,MATCH($A341,'Historical Data'!$BE$2:$BE$1068,0)),"")</f>
        <v/>
      </c>
      <c r="F341" s="106" t="str">
        <f aca="false">IFERROR(INDEX('Historical Data'!$G$2:$G$1068,MATCH($A341,'Historical Data'!$BE$2:$BE$1068,0)),"")</f>
        <v/>
      </c>
      <c r="G341" s="106" t="str">
        <f aca="false">IFERROR(INDEX('Historical Data'!$Y$2:$Y$1068,MATCH($A341,'Historical Data'!$BE$2:$BE$1068,0)),"")</f>
        <v/>
      </c>
      <c r="H341" s="106" t="str">
        <f aca="false">IFERROR(INDEX('Historical Data'!$K$2:$K$1068,MATCH($A341,'Historical Data'!$BE$2:$BE$1068,0)),"")</f>
        <v/>
      </c>
      <c r="I341" s="106" t="str">
        <f aca="false">IFERROR(INDEX('Historical Data'!$J$2:$J$1068,MATCH($A341,'Historical Data'!$BE$2:$BE$1068,0)),"")</f>
        <v/>
      </c>
      <c r="J341" s="106" t="str">
        <f aca="false">IFERROR(INDEX('Historical Data'!$L$2:$L$1068,MATCH($A341,'Historical Data'!$BE$2:$BE$1068,0)),"")</f>
        <v/>
      </c>
      <c r="K341" s="108" t="str">
        <f aca="false">IFERROR(INDEX('Historical Data'!$M$2:$M$1068,MATCH($A341,'Historical Data'!$BE$2:$BE$1068,0)),"")</f>
        <v/>
      </c>
      <c r="L341" s="109" t="str">
        <f aca="false">IFERROR(INDEX('Historical Data'!$N$2:$N$1068,MATCH($A341,'Historical Data'!$BE$2:$BE$1068,0)),"")</f>
        <v/>
      </c>
      <c r="M341" s="109" t="str">
        <f aca="false">IFERROR(INDEX('Historical Data'!$Q$2:$Q$1068,MATCH($A341,'Historical Data'!$BE$2:$BE$1068,0)),"")</f>
        <v/>
      </c>
      <c r="N341" s="110" t="str">
        <f aca="false">IFERROR(INDEX('Historical Data'!$S$2:$S$1068,MATCH($A341,'Historical Data'!$BE$2:$BE$1068,0)),"")</f>
        <v/>
      </c>
      <c r="O341" s="109" t="str">
        <f aca="false">IFERROR(INDEX('Historical Data'!$AJ$2:$AJ$1068,MATCH($A341,'Historical Data'!$BE$2:$BE$1068,0)),"")</f>
        <v/>
      </c>
      <c r="P341" s="109" t="str">
        <f aca="false">IFERROR(INDEX('Historical Data'!$AK$2:$AK$1068,MATCH($A341,'Historical Data'!$BE$2:$BE$1068,0)),"")</f>
        <v/>
      </c>
      <c r="Q341" s="106" t="str">
        <f aca="false">IFERROR(INDEX('Historical Data'!$AA$2:$AA$1068,MATCH($A341,'Historical Data'!$BE$2:$BE$1068,0)),"")</f>
        <v/>
      </c>
      <c r="R341" s="106" t="str">
        <f aca="false">IFERROR(INDEX('Historical Data'!$AB$2:$AB$1068,MATCH($A341,'Historical Data'!$BE$2:$BE$1068,0)),"")</f>
        <v/>
      </c>
      <c r="S341" s="106" t="str">
        <f aca="false">IFERROR(INDEX('Historical Data'!$AN$2:$AN$1068,MATCH($A341,'Historical Data'!$BE$2:$BE$1068,0)),"")</f>
        <v/>
      </c>
      <c r="T341" s="106" t="str">
        <f aca="false">IFERROR(INDEX('Historical Data'!$AC$2:$AC$1068,MATCH($A341,'Historical Data'!$BE$2:$BE$1068,0)),"")</f>
        <v/>
      </c>
      <c r="U341" s="106" t="str">
        <f aca="false">IFERROR(INDEX('Historical Data'!$AE$2:$AE$1068,MATCH($A341,'Historical Data'!$BE$2:$BE$1068,0)),"")</f>
        <v/>
      </c>
      <c r="V341" s="106" t="str">
        <f aca="false">IFERROR(INDEX('Historical Data'!$AH$2:$AH$1068,MATCH($A341,'Historical Data'!$BE$2:$BE$1068,0)),"")</f>
        <v/>
      </c>
      <c r="W341" s="106" t="str">
        <f aca="false">IFERROR(INDEX('Historical Data'!$BC$2:$BC$1068,MATCH($A341,'Historical Data'!$BE$2:$BE$1068,0)),"")</f>
        <v/>
      </c>
      <c r="X341" s="105" t="str">
        <f aca="false">IF(B341="","",IF(W341=1,"NR + industry + position",IF(W341=2,"NR + ISO + position",IF(W341=3,"NR + industry",IF(W341=4,"NR + ISO",IF(W341=5,"NR + position",IF(W341=6,"NR only","book baseline"))))))&amp;"  ["&amp;IF(T341=1,"seasoned","unseasoned")&amp;IF(U341=1,", defaulted","")&amp;IF(V341=1,", open","")&amp;"]")</f>
        <v/>
      </c>
    </row>
    <row r="342" customFormat="false" ht="15" hidden="false" customHeight="false" outlineLevel="0" collapsed="false">
      <c r="A342" s="105" t="n">
        <v>338</v>
      </c>
      <c r="B342" s="106" t="str">
        <f aca="false">IFERROR(INDEX('Historical Data'!$A$2:$A$1068,MATCH($A342,'Historical Data'!$BE$2:$BE$1068,0)),"")</f>
        <v/>
      </c>
      <c r="C342" s="106" t="str">
        <f aca="false">IFERROR(INDEX('Historical Data'!$B$2:$B$1068,MATCH($A342,'Historical Data'!$BE$2:$BE$1068,0)),"")</f>
        <v/>
      </c>
      <c r="D342" s="106" t="str">
        <f aca="false">IFERROR(INDEX('Historical Data'!$D$2:$D$1068,MATCH($A342,'Historical Data'!$BE$2:$BE$1068,0)),"")</f>
        <v/>
      </c>
      <c r="E342" s="107" t="str">
        <f aca="false">IFERROR(INDEX('Historical Data'!$E$2:$E$1068,MATCH($A342,'Historical Data'!$BE$2:$BE$1068,0)),"")</f>
        <v/>
      </c>
      <c r="F342" s="106" t="str">
        <f aca="false">IFERROR(INDEX('Historical Data'!$G$2:$G$1068,MATCH($A342,'Historical Data'!$BE$2:$BE$1068,0)),"")</f>
        <v/>
      </c>
      <c r="G342" s="106" t="str">
        <f aca="false">IFERROR(INDEX('Historical Data'!$Y$2:$Y$1068,MATCH($A342,'Historical Data'!$BE$2:$BE$1068,0)),"")</f>
        <v/>
      </c>
      <c r="H342" s="106" t="str">
        <f aca="false">IFERROR(INDEX('Historical Data'!$K$2:$K$1068,MATCH($A342,'Historical Data'!$BE$2:$BE$1068,0)),"")</f>
        <v/>
      </c>
      <c r="I342" s="106" t="str">
        <f aca="false">IFERROR(INDEX('Historical Data'!$J$2:$J$1068,MATCH($A342,'Historical Data'!$BE$2:$BE$1068,0)),"")</f>
        <v/>
      </c>
      <c r="J342" s="106" t="str">
        <f aca="false">IFERROR(INDEX('Historical Data'!$L$2:$L$1068,MATCH($A342,'Historical Data'!$BE$2:$BE$1068,0)),"")</f>
        <v/>
      </c>
      <c r="K342" s="108" t="str">
        <f aca="false">IFERROR(INDEX('Historical Data'!$M$2:$M$1068,MATCH($A342,'Historical Data'!$BE$2:$BE$1068,0)),"")</f>
        <v/>
      </c>
      <c r="L342" s="109" t="str">
        <f aca="false">IFERROR(INDEX('Historical Data'!$N$2:$N$1068,MATCH($A342,'Historical Data'!$BE$2:$BE$1068,0)),"")</f>
        <v/>
      </c>
      <c r="M342" s="109" t="str">
        <f aca="false">IFERROR(INDEX('Historical Data'!$Q$2:$Q$1068,MATCH($A342,'Historical Data'!$BE$2:$BE$1068,0)),"")</f>
        <v/>
      </c>
      <c r="N342" s="110" t="str">
        <f aca="false">IFERROR(INDEX('Historical Data'!$S$2:$S$1068,MATCH($A342,'Historical Data'!$BE$2:$BE$1068,0)),"")</f>
        <v/>
      </c>
      <c r="O342" s="109" t="str">
        <f aca="false">IFERROR(INDEX('Historical Data'!$AJ$2:$AJ$1068,MATCH($A342,'Historical Data'!$BE$2:$BE$1068,0)),"")</f>
        <v/>
      </c>
      <c r="P342" s="109" t="str">
        <f aca="false">IFERROR(INDEX('Historical Data'!$AK$2:$AK$1068,MATCH($A342,'Historical Data'!$BE$2:$BE$1068,0)),"")</f>
        <v/>
      </c>
      <c r="Q342" s="106" t="str">
        <f aca="false">IFERROR(INDEX('Historical Data'!$AA$2:$AA$1068,MATCH($A342,'Historical Data'!$BE$2:$BE$1068,0)),"")</f>
        <v/>
      </c>
      <c r="R342" s="106" t="str">
        <f aca="false">IFERROR(INDEX('Historical Data'!$AB$2:$AB$1068,MATCH($A342,'Historical Data'!$BE$2:$BE$1068,0)),"")</f>
        <v/>
      </c>
      <c r="S342" s="106" t="str">
        <f aca="false">IFERROR(INDEX('Historical Data'!$AN$2:$AN$1068,MATCH($A342,'Historical Data'!$BE$2:$BE$1068,0)),"")</f>
        <v/>
      </c>
      <c r="T342" s="106" t="str">
        <f aca="false">IFERROR(INDEX('Historical Data'!$AC$2:$AC$1068,MATCH($A342,'Historical Data'!$BE$2:$BE$1068,0)),"")</f>
        <v/>
      </c>
      <c r="U342" s="106" t="str">
        <f aca="false">IFERROR(INDEX('Historical Data'!$AE$2:$AE$1068,MATCH($A342,'Historical Data'!$BE$2:$BE$1068,0)),"")</f>
        <v/>
      </c>
      <c r="V342" s="106" t="str">
        <f aca="false">IFERROR(INDEX('Historical Data'!$AH$2:$AH$1068,MATCH($A342,'Historical Data'!$BE$2:$BE$1068,0)),"")</f>
        <v/>
      </c>
      <c r="W342" s="106" t="str">
        <f aca="false">IFERROR(INDEX('Historical Data'!$BC$2:$BC$1068,MATCH($A342,'Historical Data'!$BE$2:$BE$1068,0)),"")</f>
        <v/>
      </c>
      <c r="X342" s="105" t="str">
        <f aca="false">IF(B342="","",IF(W342=1,"NR + industry + position",IF(W342=2,"NR + ISO + position",IF(W342=3,"NR + industry",IF(W342=4,"NR + ISO",IF(W342=5,"NR + position",IF(W342=6,"NR only","book baseline"))))))&amp;"  ["&amp;IF(T342=1,"seasoned","unseasoned")&amp;IF(U342=1,", defaulted","")&amp;IF(V342=1,", open","")&amp;"]")</f>
        <v/>
      </c>
    </row>
    <row r="343" customFormat="false" ht="15" hidden="false" customHeight="false" outlineLevel="0" collapsed="false">
      <c r="A343" s="105" t="n">
        <v>339</v>
      </c>
      <c r="B343" s="106" t="str">
        <f aca="false">IFERROR(INDEX('Historical Data'!$A$2:$A$1068,MATCH($A343,'Historical Data'!$BE$2:$BE$1068,0)),"")</f>
        <v/>
      </c>
      <c r="C343" s="106" t="str">
        <f aca="false">IFERROR(INDEX('Historical Data'!$B$2:$B$1068,MATCH($A343,'Historical Data'!$BE$2:$BE$1068,0)),"")</f>
        <v/>
      </c>
      <c r="D343" s="106" t="str">
        <f aca="false">IFERROR(INDEX('Historical Data'!$D$2:$D$1068,MATCH($A343,'Historical Data'!$BE$2:$BE$1068,0)),"")</f>
        <v/>
      </c>
      <c r="E343" s="107" t="str">
        <f aca="false">IFERROR(INDEX('Historical Data'!$E$2:$E$1068,MATCH($A343,'Historical Data'!$BE$2:$BE$1068,0)),"")</f>
        <v/>
      </c>
      <c r="F343" s="106" t="str">
        <f aca="false">IFERROR(INDEX('Historical Data'!$G$2:$G$1068,MATCH($A343,'Historical Data'!$BE$2:$BE$1068,0)),"")</f>
        <v/>
      </c>
      <c r="G343" s="106" t="str">
        <f aca="false">IFERROR(INDEX('Historical Data'!$Y$2:$Y$1068,MATCH($A343,'Historical Data'!$BE$2:$BE$1068,0)),"")</f>
        <v/>
      </c>
      <c r="H343" s="106" t="str">
        <f aca="false">IFERROR(INDEX('Historical Data'!$K$2:$K$1068,MATCH($A343,'Historical Data'!$BE$2:$BE$1068,0)),"")</f>
        <v/>
      </c>
      <c r="I343" s="106" t="str">
        <f aca="false">IFERROR(INDEX('Historical Data'!$J$2:$J$1068,MATCH($A343,'Historical Data'!$BE$2:$BE$1068,0)),"")</f>
        <v/>
      </c>
      <c r="J343" s="106" t="str">
        <f aca="false">IFERROR(INDEX('Historical Data'!$L$2:$L$1068,MATCH($A343,'Historical Data'!$BE$2:$BE$1068,0)),"")</f>
        <v/>
      </c>
      <c r="K343" s="108" t="str">
        <f aca="false">IFERROR(INDEX('Historical Data'!$M$2:$M$1068,MATCH($A343,'Historical Data'!$BE$2:$BE$1068,0)),"")</f>
        <v/>
      </c>
      <c r="L343" s="109" t="str">
        <f aca="false">IFERROR(INDEX('Historical Data'!$N$2:$N$1068,MATCH($A343,'Historical Data'!$BE$2:$BE$1068,0)),"")</f>
        <v/>
      </c>
      <c r="M343" s="109" t="str">
        <f aca="false">IFERROR(INDEX('Historical Data'!$Q$2:$Q$1068,MATCH($A343,'Historical Data'!$BE$2:$BE$1068,0)),"")</f>
        <v/>
      </c>
      <c r="N343" s="110" t="str">
        <f aca="false">IFERROR(INDEX('Historical Data'!$S$2:$S$1068,MATCH($A343,'Historical Data'!$BE$2:$BE$1068,0)),"")</f>
        <v/>
      </c>
      <c r="O343" s="109" t="str">
        <f aca="false">IFERROR(INDEX('Historical Data'!$AJ$2:$AJ$1068,MATCH($A343,'Historical Data'!$BE$2:$BE$1068,0)),"")</f>
        <v/>
      </c>
      <c r="P343" s="109" t="str">
        <f aca="false">IFERROR(INDEX('Historical Data'!$AK$2:$AK$1068,MATCH($A343,'Historical Data'!$BE$2:$BE$1068,0)),"")</f>
        <v/>
      </c>
      <c r="Q343" s="106" t="str">
        <f aca="false">IFERROR(INDEX('Historical Data'!$AA$2:$AA$1068,MATCH($A343,'Historical Data'!$BE$2:$BE$1068,0)),"")</f>
        <v/>
      </c>
      <c r="R343" s="106" t="str">
        <f aca="false">IFERROR(INDEX('Historical Data'!$AB$2:$AB$1068,MATCH($A343,'Historical Data'!$BE$2:$BE$1068,0)),"")</f>
        <v/>
      </c>
      <c r="S343" s="106" t="str">
        <f aca="false">IFERROR(INDEX('Historical Data'!$AN$2:$AN$1068,MATCH($A343,'Historical Data'!$BE$2:$BE$1068,0)),"")</f>
        <v/>
      </c>
      <c r="T343" s="106" t="str">
        <f aca="false">IFERROR(INDEX('Historical Data'!$AC$2:$AC$1068,MATCH($A343,'Historical Data'!$BE$2:$BE$1068,0)),"")</f>
        <v/>
      </c>
      <c r="U343" s="106" t="str">
        <f aca="false">IFERROR(INDEX('Historical Data'!$AE$2:$AE$1068,MATCH($A343,'Historical Data'!$BE$2:$BE$1068,0)),"")</f>
        <v/>
      </c>
      <c r="V343" s="106" t="str">
        <f aca="false">IFERROR(INDEX('Historical Data'!$AH$2:$AH$1068,MATCH($A343,'Historical Data'!$BE$2:$BE$1068,0)),"")</f>
        <v/>
      </c>
      <c r="W343" s="106" t="str">
        <f aca="false">IFERROR(INDEX('Historical Data'!$BC$2:$BC$1068,MATCH($A343,'Historical Data'!$BE$2:$BE$1068,0)),"")</f>
        <v/>
      </c>
      <c r="X343" s="105" t="str">
        <f aca="false">IF(B343="","",IF(W343=1,"NR + industry + position",IF(W343=2,"NR + ISO + position",IF(W343=3,"NR + industry",IF(W343=4,"NR + ISO",IF(W343=5,"NR + position",IF(W343=6,"NR only","book baseline"))))))&amp;"  ["&amp;IF(T343=1,"seasoned","unseasoned")&amp;IF(U343=1,", defaulted","")&amp;IF(V343=1,", open","")&amp;"]")</f>
        <v/>
      </c>
    </row>
    <row r="344" customFormat="false" ht="15" hidden="false" customHeight="false" outlineLevel="0" collapsed="false">
      <c r="A344" s="105" t="n">
        <v>340</v>
      </c>
      <c r="B344" s="106" t="str">
        <f aca="false">IFERROR(INDEX('Historical Data'!$A$2:$A$1068,MATCH($A344,'Historical Data'!$BE$2:$BE$1068,0)),"")</f>
        <v/>
      </c>
      <c r="C344" s="106" t="str">
        <f aca="false">IFERROR(INDEX('Historical Data'!$B$2:$B$1068,MATCH($A344,'Historical Data'!$BE$2:$BE$1068,0)),"")</f>
        <v/>
      </c>
      <c r="D344" s="106" t="str">
        <f aca="false">IFERROR(INDEX('Historical Data'!$D$2:$D$1068,MATCH($A344,'Historical Data'!$BE$2:$BE$1068,0)),"")</f>
        <v/>
      </c>
      <c r="E344" s="107" t="str">
        <f aca="false">IFERROR(INDEX('Historical Data'!$E$2:$E$1068,MATCH($A344,'Historical Data'!$BE$2:$BE$1068,0)),"")</f>
        <v/>
      </c>
      <c r="F344" s="106" t="str">
        <f aca="false">IFERROR(INDEX('Historical Data'!$G$2:$G$1068,MATCH($A344,'Historical Data'!$BE$2:$BE$1068,0)),"")</f>
        <v/>
      </c>
      <c r="G344" s="106" t="str">
        <f aca="false">IFERROR(INDEX('Historical Data'!$Y$2:$Y$1068,MATCH($A344,'Historical Data'!$BE$2:$BE$1068,0)),"")</f>
        <v/>
      </c>
      <c r="H344" s="106" t="str">
        <f aca="false">IFERROR(INDEX('Historical Data'!$K$2:$K$1068,MATCH($A344,'Historical Data'!$BE$2:$BE$1068,0)),"")</f>
        <v/>
      </c>
      <c r="I344" s="106" t="str">
        <f aca="false">IFERROR(INDEX('Historical Data'!$J$2:$J$1068,MATCH($A344,'Historical Data'!$BE$2:$BE$1068,0)),"")</f>
        <v/>
      </c>
      <c r="J344" s="106" t="str">
        <f aca="false">IFERROR(INDEX('Historical Data'!$L$2:$L$1068,MATCH($A344,'Historical Data'!$BE$2:$BE$1068,0)),"")</f>
        <v/>
      </c>
      <c r="K344" s="108" t="str">
        <f aca="false">IFERROR(INDEX('Historical Data'!$M$2:$M$1068,MATCH($A344,'Historical Data'!$BE$2:$BE$1068,0)),"")</f>
        <v/>
      </c>
      <c r="L344" s="109" t="str">
        <f aca="false">IFERROR(INDEX('Historical Data'!$N$2:$N$1068,MATCH($A344,'Historical Data'!$BE$2:$BE$1068,0)),"")</f>
        <v/>
      </c>
      <c r="M344" s="109" t="str">
        <f aca="false">IFERROR(INDEX('Historical Data'!$Q$2:$Q$1068,MATCH($A344,'Historical Data'!$BE$2:$BE$1068,0)),"")</f>
        <v/>
      </c>
      <c r="N344" s="110" t="str">
        <f aca="false">IFERROR(INDEX('Historical Data'!$S$2:$S$1068,MATCH($A344,'Historical Data'!$BE$2:$BE$1068,0)),"")</f>
        <v/>
      </c>
      <c r="O344" s="109" t="str">
        <f aca="false">IFERROR(INDEX('Historical Data'!$AJ$2:$AJ$1068,MATCH($A344,'Historical Data'!$BE$2:$BE$1068,0)),"")</f>
        <v/>
      </c>
      <c r="P344" s="109" t="str">
        <f aca="false">IFERROR(INDEX('Historical Data'!$AK$2:$AK$1068,MATCH($A344,'Historical Data'!$BE$2:$BE$1068,0)),"")</f>
        <v/>
      </c>
      <c r="Q344" s="106" t="str">
        <f aca="false">IFERROR(INDEX('Historical Data'!$AA$2:$AA$1068,MATCH($A344,'Historical Data'!$BE$2:$BE$1068,0)),"")</f>
        <v/>
      </c>
      <c r="R344" s="106" t="str">
        <f aca="false">IFERROR(INDEX('Historical Data'!$AB$2:$AB$1068,MATCH($A344,'Historical Data'!$BE$2:$BE$1068,0)),"")</f>
        <v/>
      </c>
      <c r="S344" s="106" t="str">
        <f aca="false">IFERROR(INDEX('Historical Data'!$AN$2:$AN$1068,MATCH($A344,'Historical Data'!$BE$2:$BE$1068,0)),"")</f>
        <v/>
      </c>
      <c r="T344" s="106" t="str">
        <f aca="false">IFERROR(INDEX('Historical Data'!$AC$2:$AC$1068,MATCH($A344,'Historical Data'!$BE$2:$BE$1068,0)),"")</f>
        <v/>
      </c>
      <c r="U344" s="106" t="str">
        <f aca="false">IFERROR(INDEX('Historical Data'!$AE$2:$AE$1068,MATCH($A344,'Historical Data'!$BE$2:$BE$1068,0)),"")</f>
        <v/>
      </c>
      <c r="V344" s="106" t="str">
        <f aca="false">IFERROR(INDEX('Historical Data'!$AH$2:$AH$1068,MATCH($A344,'Historical Data'!$BE$2:$BE$1068,0)),"")</f>
        <v/>
      </c>
      <c r="W344" s="106" t="str">
        <f aca="false">IFERROR(INDEX('Historical Data'!$BC$2:$BC$1068,MATCH($A344,'Historical Data'!$BE$2:$BE$1068,0)),"")</f>
        <v/>
      </c>
      <c r="X344" s="105" t="str">
        <f aca="false">IF(B344="","",IF(W344=1,"NR + industry + position",IF(W344=2,"NR + ISO + position",IF(W344=3,"NR + industry",IF(W344=4,"NR + ISO",IF(W344=5,"NR + position",IF(W344=6,"NR only","book baseline"))))))&amp;"  ["&amp;IF(T344=1,"seasoned","unseasoned")&amp;IF(U344=1,", defaulted","")&amp;IF(V344=1,", open","")&amp;"]")</f>
        <v/>
      </c>
    </row>
    <row r="345" customFormat="false" ht="15" hidden="false" customHeight="false" outlineLevel="0" collapsed="false">
      <c r="A345" s="105" t="n">
        <v>341</v>
      </c>
      <c r="B345" s="106" t="str">
        <f aca="false">IFERROR(INDEX('Historical Data'!$A$2:$A$1068,MATCH($A345,'Historical Data'!$BE$2:$BE$1068,0)),"")</f>
        <v/>
      </c>
      <c r="C345" s="106" t="str">
        <f aca="false">IFERROR(INDEX('Historical Data'!$B$2:$B$1068,MATCH($A345,'Historical Data'!$BE$2:$BE$1068,0)),"")</f>
        <v/>
      </c>
      <c r="D345" s="106" t="str">
        <f aca="false">IFERROR(INDEX('Historical Data'!$D$2:$D$1068,MATCH($A345,'Historical Data'!$BE$2:$BE$1068,0)),"")</f>
        <v/>
      </c>
      <c r="E345" s="107" t="str">
        <f aca="false">IFERROR(INDEX('Historical Data'!$E$2:$E$1068,MATCH($A345,'Historical Data'!$BE$2:$BE$1068,0)),"")</f>
        <v/>
      </c>
      <c r="F345" s="106" t="str">
        <f aca="false">IFERROR(INDEX('Historical Data'!$G$2:$G$1068,MATCH($A345,'Historical Data'!$BE$2:$BE$1068,0)),"")</f>
        <v/>
      </c>
      <c r="G345" s="106" t="str">
        <f aca="false">IFERROR(INDEX('Historical Data'!$Y$2:$Y$1068,MATCH($A345,'Historical Data'!$BE$2:$BE$1068,0)),"")</f>
        <v/>
      </c>
      <c r="H345" s="106" t="str">
        <f aca="false">IFERROR(INDEX('Historical Data'!$K$2:$K$1068,MATCH($A345,'Historical Data'!$BE$2:$BE$1068,0)),"")</f>
        <v/>
      </c>
      <c r="I345" s="106" t="str">
        <f aca="false">IFERROR(INDEX('Historical Data'!$J$2:$J$1068,MATCH($A345,'Historical Data'!$BE$2:$BE$1068,0)),"")</f>
        <v/>
      </c>
      <c r="J345" s="106" t="str">
        <f aca="false">IFERROR(INDEX('Historical Data'!$L$2:$L$1068,MATCH($A345,'Historical Data'!$BE$2:$BE$1068,0)),"")</f>
        <v/>
      </c>
      <c r="K345" s="108" t="str">
        <f aca="false">IFERROR(INDEX('Historical Data'!$M$2:$M$1068,MATCH($A345,'Historical Data'!$BE$2:$BE$1068,0)),"")</f>
        <v/>
      </c>
      <c r="L345" s="109" t="str">
        <f aca="false">IFERROR(INDEX('Historical Data'!$N$2:$N$1068,MATCH($A345,'Historical Data'!$BE$2:$BE$1068,0)),"")</f>
        <v/>
      </c>
      <c r="M345" s="109" t="str">
        <f aca="false">IFERROR(INDEX('Historical Data'!$Q$2:$Q$1068,MATCH($A345,'Historical Data'!$BE$2:$BE$1068,0)),"")</f>
        <v/>
      </c>
      <c r="N345" s="110" t="str">
        <f aca="false">IFERROR(INDEX('Historical Data'!$S$2:$S$1068,MATCH($A345,'Historical Data'!$BE$2:$BE$1068,0)),"")</f>
        <v/>
      </c>
      <c r="O345" s="109" t="str">
        <f aca="false">IFERROR(INDEX('Historical Data'!$AJ$2:$AJ$1068,MATCH($A345,'Historical Data'!$BE$2:$BE$1068,0)),"")</f>
        <v/>
      </c>
      <c r="P345" s="109" t="str">
        <f aca="false">IFERROR(INDEX('Historical Data'!$AK$2:$AK$1068,MATCH($A345,'Historical Data'!$BE$2:$BE$1068,0)),"")</f>
        <v/>
      </c>
      <c r="Q345" s="106" t="str">
        <f aca="false">IFERROR(INDEX('Historical Data'!$AA$2:$AA$1068,MATCH($A345,'Historical Data'!$BE$2:$BE$1068,0)),"")</f>
        <v/>
      </c>
      <c r="R345" s="106" t="str">
        <f aca="false">IFERROR(INDEX('Historical Data'!$AB$2:$AB$1068,MATCH($A345,'Historical Data'!$BE$2:$BE$1068,0)),"")</f>
        <v/>
      </c>
      <c r="S345" s="106" t="str">
        <f aca="false">IFERROR(INDEX('Historical Data'!$AN$2:$AN$1068,MATCH($A345,'Historical Data'!$BE$2:$BE$1068,0)),"")</f>
        <v/>
      </c>
      <c r="T345" s="106" t="str">
        <f aca="false">IFERROR(INDEX('Historical Data'!$AC$2:$AC$1068,MATCH($A345,'Historical Data'!$BE$2:$BE$1068,0)),"")</f>
        <v/>
      </c>
      <c r="U345" s="106" t="str">
        <f aca="false">IFERROR(INDEX('Historical Data'!$AE$2:$AE$1068,MATCH($A345,'Historical Data'!$BE$2:$BE$1068,0)),"")</f>
        <v/>
      </c>
      <c r="V345" s="106" t="str">
        <f aca="false">IFERROR(INDEX('Historical Data'!$AH$2:$AH$1068,MATCH($A345,'Historical Data'!$BE$2:$BE$1068,0)),"")</f>
        <v/>
      </c>
      <c r="W345" s="106" t="str">
        <f aca="false">IFERROR(INDEX('Historical Data'!$BC$2:$BC$1068,MATCH($A345,'Historical Data'!$BE$2:$BE$1068,0)),"")</f>
        <v/>
      </c>
      <c r="X345" s="105" t="str">
        <f aca="false">IF(B345="","",IF(W345=1,"NR + industry + position",IF(W345=2,"NR + ISO + position",IF(W345=3,"NR + industry",IF(W345=4,"NR + ISO",IF(W345=5,"NR + position",IF(W345=6,"NR only","book baseline"))))))&amp;"  ["&amp;IF(T345=1,"seasoned","unseasoned")&amp;IF(U345=1,", defaulted","")&amp;IF(V345=1,", open","")&amp;"]")</f>
        <v/>
      </c>
    </row>
    <row r="346" customFormat="false" ht="15" hidden="false" customHeight="false" outlineLevel="0" collapsed="false">
      <c r="A346" s="105" t="n">
        <v>342</v>
      </c>
      <c r="B346" s="106" t="str">
        <f aca="false">IFERROR(INDEX('Historical Data'!$A$2:$A$1068,MATCH($A346,'Historical Data'!$BE$2:$BE$1068,0)),"")</f>
        <v/>
      </c>
      <c r="C346" s="106" t="str">
        <f aca="false">IFERROR(INDEX('Historical Data'!$B$2:$B$1068,MATCH($A346,'Historical Data'!$BE$2:$BE$1068,0)),"")</f>
        <v/>
      </c>
      <c r="D346" s="106" t="str">
        <f aca="false">IFERROR(INDEX('Historical Data'!$D$2:$D$1068,MATCH($A346,'Historical Data'!$BE$2:$BE$1068,0)),"")</f>
        <v/>
      </c>
      <c r="E346" s="107" t="str">
        <f aca="false">IFERROR(INDEX('Historical Data'!$E$2:$E$1068,MATCH($A346,'Historical Data'!$BE$2:$BE$1068,0)),"")</f>
        <v/>
      </c>
      <c r="F346" s="106" t="str">
        <f aca="false">IFERROR(INDEX('Historical Data'!$G$2:$G$1068,MATCH($A346,'Historical Data'!$BE$2:$BE$1068,0)),"")</f>
        <v/>
      </c>
      <c r="G346" s="106" t="str">
        <f aca="false">IFERROR(INDEX('Historical Data'!$Y$2:$Y$1068,MATCH($A346,'Historical Data'!$BE$2:$BE$1068,0)),"")</f>
        <v/>
      </c>
      <c r="H346" s="106" t="str">
        <f aca="false">IFERROR(INDEX('Historical Data'!$K$2:$K$1068,MATCH($A346,'Historical Data'!$BE$2:$BE$1068,0)),"")</f>
        <v/>
      </c>
      <c r="I346" s="106" t="str">
        <f aca="false">IFERROR(INDEX('Historical Data'!$J$2:$J$1068,MATCH($A346,'Historical Data'!$BE$2:$BE$1068,0)),"")</f>
        <v/>
      </c>
      <c r="J346" s="106" t="str">
        <f aca="false">IFERROR(INDEX('Historical Data'!$L$2:$L$1068,MATCH($A346,'Historical Data'!$BE$2:$BE$1068,0)),"")</f>
        <v/>
      </c>
      <c r="K346" s="108" t="str">
        <f aca="false">IFERROR(INDEX('Historical Data'!$M$2:$M$1068,MATCH($A346,'Historical Data'!$BE$2:$BE$1068,0)),"")</f>
        <v/>
      </c>
      <c r="L346" s="109" t="str">
        <f aca="false">IFERROR(INDEX('Historical Data'!$N$2:$N$1068,MATCH($A346,'Historical Data'!$BE$2:$BE$1068,0)),"")</f>
        <v/>
      </c>
      <c r="M346" s="109" t="str">
        <f aca="false">IFERROR(INDEX('Historical Data'!$Q$2:$Q$1068,MATCH($A346,'Historical Data'!$BE$2:$BE$1068,0)),"")</f>
        <v/>
      </c>
      <c r="N346" s="110" t="str">
        <f aca="false">IFERROR(INDEX('Historical Data'!$S$2:$S$1068,MATCH($A346,'Historical Data'!$BE$2:$BE$1068,0)),"")</f>
        <v/>
      </c>
      <c r="O346" s="109" t="str">
        <f aca="false">IFERROR(INDEX('Historical Data'!$AJ$2:$AJ$1068,MATCH($A346,'Historical Data'!$BE$2:$BE$1068,0)),"")</f>
        <v/>
      </c>
      <c r="P346" s="109" t="str">
        <f aca="false">IFERROR(INDEX('Historical Data'!$AK$2:$AK$1068,MATCH($A346,'Historical Data'!$BE$2:$BE$1068,0)),"")</f>
        <v/>
      </c>
      <c r="Q346" s="106" t="str">
        <f aca="false">IFERROR(INDEX('Historical Data'!$AA$2:$AA$1068,MATCH($A346,'Historical Data'!$BE$2:$BE$1068,0)),"")</f>
        <v/>
      </c>
      <c r="R346" s="106" t="str">
        <f aca="false">IFERROR(INDEX('Historical Data'!$AB$2:$AB$1068,MATCH($A346,'Historical Data'!$BE$2:$BE$1068,0)),"")</f>
        <v/>
      </c>
      <c r="S346" s="106" t="str">
        <f aca="false">IFERROR(INDEX('Historical Data'!$AN$2:$AN$1068,MATCH($A346,'Historical Data'!$BE$2:$BE$1068,0)),"")</f>
        <v/>
      </c>
      <c r="T346" s="106" t="str">
        <f aca="false">IFERROR(INDEX('Historical Data'!$AC$2:$AC$1068,MATCH($A346,'Historical Data'!$BE$2:$BE$1068,0)),"")</f>
        <v/>
      </c>
      <c r="U346" s="106" t="str">
        <f aca="false">IFERROR(INDEX('Historical Data'!$AE$2:$AE$1068,MATCH($A346,'Historical Data'!$BE$2:$BE$1068,0)),"")</f>
        <v/>
      </c>
      <c r="V346" s="106" t="str">
        <f aca="false">IFERROR(INDEX('Historical Data'!$AH$2:$AH$1068,MATCH($A346,'Historical Data'!$BE$2:$BE$1068,0)),"")</f>
        <v/>
      </c>
      <c r="W346" s="106" t="str">
        <f aca="false">IFERROR(INDEX('Historical Data'!$BC$2:$BC$1068,MATCH($A346,'Historical Data'!$BE$2:$BE$1068,0)),"")</f>
        <v/>
      </c>
      <c r="X346" s="105" t="str">
        <f aca="false">IF(B346="","",IF(W346=1,"NR + industry + position",IF(W346=2,"NR + ISO + position",IF(W346=3,"NR + industry",IF(W346=4,"NR + ISO",IF(W346=5,"NR + position",IF(W346=6,"NR only","book baseline"))))))&amp;"  ["&amp;IF(T346=1,"seasoned","unseasoned")&amp;IF(U346=1,", defaulted","")&amp;IF(V346=1,", open","")&amp;"]")</f>
        <v/>
      </c>
    </row>
    <row r="347" customFormat="false" ht="15" hidden="false" customHeight="false" outlineLevel="0" collapsed="false">
      <c r="A347" s="105" t="n">
        <v>343</v>
      </c>
      <c r="B347" s="106" t="str">
        <f aca="false">IFERROR(INDEX('Historical Data'!$A$2:$A$1068,MATCH($A347,'Historical Data'!$BE$2:$BE$1068,0)),"")</f>
        <v/>
      </c>
      <c r="C347" s="106" t="str">
        <f aca="false">IFERROR(INDEX('Historical Data'!$B$2:$B$1068,MATCH($A347,'Historical Data'!$BE$2:$BE$1068,0)),"")</f>
        <v/>
      </c>
      <c r="D347" s="106" t="str">
        <f aca="false">IFERROR(INDEX('Historical Data'!$D$2:$D$1068,MATCH($A347,'Historical Data'!$BE$2:$BE$1068,0)),"")</f>
        <v/>
      </c>
      <c r="E347" s="107" t="str">
        <f aca="false">IFERROR(INDEX('Historical Data'!$E$2:$E$1068,MATCH($A347,'Historical Data'!$BE$2:$BE$1068,0)),"")</f>
        <v/>
      </c>
      <c r="F347" s="106" t="str">
        <f aca="false">IFERROR(INDEX('Historical Data'!$G$2:$G$1068,MATCH($A347,'Historical Data'!$BE$2:$BE$1068,0)),"")</f>
        <v/>
      </c>
      <c r="G347" s="106" t="str">
        <f aca="false">IFERROR(INDEX('Historical Data'!$Y$2:$Y$1068,MATCH($A347,'Historical Data'!$BE$2:$BE$1068,0)),"")</f>
        <v/>
      </c>
      <c r="H347" s="106" t="str">
        <f aca="false">IFERROR(INDEX('Historical Data'!$K$2:$K$1068,MATCH($A347,'Historical Data'!$BE$2:$BE$1068,0)),"")</f>
        <v/>
      </c>
      <c r="I347" s="106" t="str">
        <f aca="false">IFERROR(INDEX('Historical Data'!$J$2:$J$1068,MATCH($A347,'Historical Data'!$BE$2:$BE$1068,0)),"")</f>
        <v/>
      </c>
      <c r="J347" s="106" t="str">
        <f aca="false">IFERROR(INDEX('Historical Data'!$L$2:$L$1068,MATCH($A347,'Historical Data'!$BE$2:$BE$1068,0)),"")</f>
        <v/>
      </c>
      <c r="K347" s="108" t="str">
        <f aca="false">IFERROR(INDEX('Historical Data'!$M$2:$M$1068,MATCH($A347,'Historical Data'!$BE$2:$BE$1068,0)),"")</f>
        <v/>
      </c>
      <c r="L347" s="109" t="str">
        <f aca="false">IFERROR(INDEX('Historical Data'!$N$2:$N$1068,MATCH($A347,'Historical Data'!$BE$2:$BE$1068,0)),"")</f>
        <v/>
      </c>
      <c r="M347" s="109" t="str">
        <f aca="false">IFERROR(INDEX('Historical Data'!$Q$2:$Q$1068,MATCH($A347,'Historical Data'!$BE$2:$BE$1068,0)),"")</f>
        <v/>
      </c>
      <c r="N347" s="110" t="str">
        <f aca="false">IFERROR(INDEX('Historical Data'!$S$2:$S$1068,MATCH($A347,'Historical Data'!$BE$2:$BE$1068,0)),"")</f>
        <v/>
      </c>
      <c r="O347" s="109" t="str">
        <f aca="false">IFERROR(INDEX('Historical Data'!$AJ$2:$AJ$1068,MATCH($A347,'Historical Data'!$BE$2:$BE$1068,0)),"")</f>
        <v/>
      </c>
      <c r="P347" s="109" t="str">
        <f aca="false">IFERROR(INDEX('Historical Data'!$AK$2:$AK$1068,MATCH($A347,'Historical Data'!$BE$2:$BE$1068,0)),"")</f>
        <v/>
      </c>
      <c r="Q347" s="106" t="str">
        <f aca="false">IFERROR(INDEX('Historical Data'!$AA$2:$AA$1068,MATCH($A347,'Historical Data'!$BE$2:$BE$1068,0)),"")</f>
        <v/>
      </c>
      <c r="R347" s="106" t="str">
        <f aca="false">IFERROR(INDEX('Historical Data'!$AB$2:$AB$1068,MATCH($A347,'Historical Data'!$BE$2:$BE$1068,0)),"")</f>
        <v/>
      </c>
      <c r="S347" s="106" t="str">
        <f aca="false">IFERROR(INDEX('Historical Data'!$AN$2:$AN$1068,MATCH($A347,'Historical Data'!$BE$2:$BE$1068,0)),"")</f>
        <v/>
      </c>
      <c r="T347" s="106" t="str">
        <f aca="false">IFERROR(INDEX('Historical Data'!$AC$2:$AC$1068,MATCH($A347,'Historical Data'!$BE$2:$BE$1068,0)),"")</f>
        <v/>
      </c>
      <c r="U347" s="106" t="str">
        <f aca="false">IFERROR(INDEX('Historical Data'!$AE$2:$AE$1068,MATCH($A347,'Historical Data'!$BE$2:$BE$1068,0)),"")</f>
        <v/>
      </c>
      <c r="V347" s="106" t="str">
        <f aca="false">IFERROR(INDEX('Historical Data'!$AH$2:$AH$1068,MATCH($A347,'Historical Data'!$BE$2:$BE$1068,0)),"")</f>
        <v/>
      </c>
      <c r="W347" s="106" t="str">
        <f aca="false">IFERROR(INDEX('Historical Data'!$BC$2:$BC$1068,MATCH($A347,'Historical Data'!$BE$2:$BE$1068,0)),"")</f>
        <v/>
      </c>
      <c r="X347" s="105" t="str">
        <f aca="false">IF(B347="","",IF(W347=1,"NR + industry + position",IF(W347=2,"NR + ISO + position",IF(W347=3,"NR + industry",IF(W347=4,"NR + ISO",IF(W347=5,"NR + position",IF(W347=6,"NR only","book baseline"))))))&amp;"  ["&amp;IF(T347=1,"seasoned","unseasoned")&amp;IF(U347=1,", defaulted","")&amp;IF(V347=1,", open","")&amp;"]")</f>
        <v/>
      </c>
    </row>
    <row r="348" customFormat="false" ht="15" hidden="false" customHeight="false" outlineLevel="0" collapsed="false">
      <c r="A348" s="105" t="n">
        <v>344</v>
      </c>
      <c r="B348" s="106" t="str">
        <f aca="false">IFERROR(INDEX('Historical Data'!$A$2:$A$1068,MATCH($A348,'Historical Data'!$BE$2:$BE$1068,0)),"")</f>
        <v/>
      </c>
      <c r="C348" s="106" t="str">
        <f aca="false">IFERROR(INDEX('Historical Data'!$B$2:$B$1068,MATCH($A348,'Historical Data'!$BE$2:$BE$1068,0)),"")</f>
        <v/>
      </c>
      <c r="D348" s="106" t="str">
        <f aca="false">IFERROR(INDEX('Historical Data'!$D$2:$D$1068,MATCH($A348,'Historical Data'!$BE$2:$BE$1068,0)),"")</f>
        <v/>
      </c>
      <c r="E348" s="107" t="str">
        <f aca="false">IFERROR(INDEX('Historical Data'!$E$2:$E$1068,MATCH($A348,'Historical Data'!$BE$2:$BE$1068,0)),"")</f>
        <v/>
      </c>
      <c r="F348" s="106" t="str">
        <f aca="false">IFERROR(INDEX('Historical Data'!$G$2:$G$1068,MATCH($A348,'Historical Data'!$BE$2:$BE$1068,0)),"")</f>
        <v/>
      </c>
      <c r="G348" s="106" t="str">
        <f aca="false">IFERROR(INDEX('Historical Data'!$Y$2:$Y$1068,MATCH($A348,'Historical Data'!$BE$2:$BE$1068,0)),"")</f>
        <v/>
      </c>
      <c r="H348" s="106" t="str">
        <f aca="false">IFERROR(INDEX('Historical Data'!$K$2:$K$1068,MATCH($A348,'Historical Data'!$BE$2:$BE$1068,0)),"")</f>
        <v/>
      </c>
      <c r="I348" s="106" t="str">
        <f aca="false">IFERROR(INDEX('Historical Data'!$J$2:$J$1068,MATCH($A348,'Historical Data'!$BE$2:$BE$1068,0)),"")</f>
        <v/>
      </c>
      <c r="J348" s="106" t="str">
        <f aca="false">IFERROR(INDEX('Historical Data'!$L$2:$L$1068,MATCH($A348,'Historical Data'!$BE$2:$BE$1068,0)),"")</f>
        <v/>
      </c>
      <c r="K348" s="108" t="str">
        <f aca="false">IFERROR(INDEX('Historical Data'!$M$2:$M$1068,MATCH($A348,'Historical Data'!$BE$2:$BE$1068,0)),"")</f>
        <v/>
      </c>
      <c r="L348" s="109" t="str">
        <f aca="false">IFERROR(INDEX('Historical Data'!$N$2:$N$1068,MATCH($A348,'Historical Data'!$BE$2:$BE$1068,0)),"")</f>
        <v/>
      </c>
      <c r="M348" s="109" t="str">
        <f aca="false">IFERROR(INDEX('Historical Data'!$Q$2:$Q$1068,MATCH($A348,'Historical Data'!$BE$2:$BE$1068,0)),"")</f>
        <v/>
      </c>
      <c r="N348" s="110" t="str">
        <f aca="false">IFERROR(INDEX('Historical Data'!$S$2:$S$1068,MATCH($A348,'Historical Data'!$BE$2:$BE$1068,0)),"")</f>
        <v/>
      </c>
      <c r="O348" s="109" t="str">
        <f aca="false">IFERROR(INDEX('Historical Data'!$AJ$2:$AJ$1068,MATCH($A348,'Historical Data'!$BE$2:$BE$1068,0)),"")</f>
        <v/>
      </c>
      <c r="P348" s="109" t="str">
        <f aca="false">IFERROR(INDEX('Historical Data'!$AK$2:$AK$1068,MATCH($A348,'Historical Data'!$BE$2:$BE$1068,0)),"")</f>
        <v/>
      </c>
      <c r="Q348" s="106" t="str">
        <f aca="false">IFERROR(INDEX('Historical Data'!$AA$2:$AA$1068,MATCH($A348,'Historical Data'!$BE$2:$BE$1068,0)),"")</f>
        <v/>
      </c>
      <c r="R348" s="106" t="str">
        <f aca="false">IFERROR(INDEX('Historical Data'!$AB$2:$AB$1068,MATCH($A348,'Historical Data'!$BE$2:$BE$1068,0)),"")</f>
        <v/>
      </c>
      <c r="S348" s="106" t="str">
        <f aca="false">IFERROR(INDEX('Historical Data'!$AN$2:$AN$1068,MATCH($A348,'Historical Data'!$BE$2:$BE$1068,0)),"")</f>
        <v/>
      </c>
      <c r="T348" s="106" t="str">
        <f aca="false">IFERROR(INDEX('Historical Data'!$AC$2:$AC$1068,MATCH($A348,'Historical Data'!$BE$2:$BE$1068,0)),"")</f>
        <v/>
      </c>
      <c r="U348" s="106" t="str">
        <f aca="false">IFERROR(INDEX('Historical Data'!$AE$2:$AE$1068,MATCH($A348,'Historical Data'!$BE$2:$BE$1068,0)),"")</f>
        <v/>
      </c>
      <c r="V348" s="106" t="str">
        <f aca="false">IFERROR(INDEX('Historical Data'!$AH$2:$AH$1068,MATCH($A348,'Historical Data'!$BE$2:$BE$1068,0)),"")</f>
        <v/>
      </c>
      <c r="W348" s="106" t="str">
        <f aca="false">IFERROR(INDEX('Historical Data'!$BC$2:$BC$1068,MATCH($A348,'Historical Data'!$BE$2:$BE$1068,0)),"")</f>
        <v/>
      </c>
      <c r="X348" s="105" t="str">
        <f aca="false">IF(B348="","",IF(W348=1,"NR + industry + position",IF(W348=2,"NR + ISO + position",IF(W348=3,"NR + industry",IF(W348=4,"NR + ISO",IF(W348=5,"NR + position",IF(W348=6,"NR only","book baseline"))))))&amp;"  ["&amp;IF(T348=1,"seasoned","unseasoned")&amp;IF(U348=1,", defaulted","")&amp;IF(V348=1,", open","")&amp;"]")</f>
        <v/>
      </c>
    </row>
    <row r="349" customFormat="false" ht="15" hidden="false" customHeight="false" outlineLevel="0" collapsed="false">
      <c r="A349" s="105" t="n">
        <v>345</v>
      </c>
      <c r="B349" s="106" t="str">
        <f aca="false">IFERROR(INDEX('Historical Data'!$A$2:$A$1068,MATCH($A349,'Historical Data'!$BE$2:$BE$1068,0)),"")</f>
        <v/>
      </c>
      <c r="C349" s="106" t="str">
        <f aca="false">IFERROR(INDEX('Historical Data'!$B$2:$B$1068,MATCH($A349,'Historical Data'!$BE$2:$BE$1068,0)),"")</f>
        <v/>
      </c>
      <c r="D349" s="106" t="str">
        <f aca="false">IFERROR(INDEX('Historical Data'!$D$2:$D$1068,MATCH($A349,'Historical Data'!$BE$2:$BE$1068,0)),"")</f>
        <v/>
      </c>
      <c r="E349" s="107" t="str">
        <f aca="false">IFERROR(INDEX('Historical Data'!$E$2:$E$1068,MATCH($A349,'Historical Data'!$BE$2:$BE$1068,0)),"")</f>
        <v/>
      </c>
      <c r="F349" s="106" t="str">
        <f aca="false">IFERROR(INDEX('Historical Data'!$G$2:$G$1068,MATCH($A349,'Historical Data'!$BE$2:$BE$1068,0)),"")</f>
        <v/>
      </c>
      <c r="G349" s="106" t="str">
        <f aca="false">IFERROR(INDEX('Historical Data'!$Y$2:$Y$1068,MATCH($A349,'Historical Data'!$BE$2:$BE$1068,0)),"")</f>
        <v/>
      </c>
      <c r="H349" s="106" t="str">
        <f aca="false">IFERROR(INDEX('Historical Data'!$K$2:$K$1068,MATCH($A349,'Historical Data'!$BE$2:$BE$1068,0)),"")</f>
        <v/>
      </c>
      <c r="I349" s="106" t="str">
        <f aca="false">IFERROR(INDEX('Historical Data'!$J$2:$J$1068,MATCH($A349,'Historical Data'!$BE$2:$BE$1068,0)),"")</f>
        <v/>
      </c>
      <c r="J349" s="106" t="str">
        <f aca="false">IFERROR(INDEX('Historical Data'!$L$2:$L$1068,MATCH($A349,'Historical Data'!$BE$2:$BE$1068,0)),"")</f>
        <v/>
      </c>
      <c r="K349" s="108" t="str">
        <f aca="false">IFERROR(INDEX('Historical Data'!$M$2:$M$1068,MATCH($A349,'Historical Data'!$BE$2:$BE$1068,0)),"")</f>
        <v/>
      </c>
      <c r="L349" s="109" t="str">
        <f aca="false">IFERROR(INDEX('Historical Data'!$N$2:$N$1068,MATCH($A349,'Historical Data'!$BE$2:$BE$1068,0)),"")</f>
        <v/>
      </c>
      <c r="M349" s="109" t="str">
        <f aca="false">IFERROR(INDEX('Historical Data'!$Q$2:$Q$1068,MATCH($A349,'Historical Data'!$BE$2:$BE$1068,0)),"")</f>
        <v/>
      </c>
      <c r="N349" s="110" t="str">
        <f aca="false">IFERROR(INDEX('Historical Data'!$S$2:$S$1068,MATCH($A349,'Historical Data'!$BE$2:$BE$1068,0)),"")</f>
        <v/>
      </c>
      <c r="O349" s="109" t="str">
        <f aca="false">IFERROR(INDEX('Historical Data'!$AJ$2:$AJ$1068,MATCH($A349,'Historical Data'!$BE$2:$BE$1068,0)),"")</f>
        <v/>
      </c>
      <c r="P349" s="109" t="str">
        <f aca="false">IFERROR(INDEX('Historical Data'!$AK$2:$AK$1068,MATCH($A349,'Historical Data'!$BE$2:$BE$1068,0)),"")</f>
        <v/>
      </c>
      <c r="Q349" s="106" t="str">
        <f aca="false">IFERROR(INDEX('Historical Data'!$AA$2:$AA$1068,MATCH($A349,'Historical Data'!$BE$2:$BE$1068,0)),"")</f>
        <v/>
      </c>
      <c r="R349" s="106" t="str">
        <f aca="false">IFERROR(INDEX('Historical Data'!$AB$2:$AB$1068,MATCH($A349,'Historical Data'!$BE$2:$BE$1068,0)),"")</f>
        <v/>
      </c>
      <c r="S349" s="106" t="str">
        <f aca="false">IFERROR(INDEX('Historical Data'!$AN$2:$AN$1068,MATCH($A349,'Historical Data'!$BE$2:$BE$1068,0)),"")</f>
        <v/>
      </c>
      <c r="T349" s="106" t="str">
        <f aca="false">IFERROR(INDEX('Historical Data'!$AC$2:$AC$1068,MATCH($A349,'Historical Data'!$BE$2:$BE$1068,0)),"")</f>
        <v/>
      </c>
      <c r="U349" s="106" t="str">
        <f aca="false">IFERROR(INDEX('Historical Data'!$AE$2:$AE$1068,MATCH($A349,'Historical Data'!$BE$2:$BE$1068,0)),"")</f>
        <v/>
      </c>
      <c r="V349" s="106" t="str">
        <f aca="false">IFERROR(INDEX('Historical Data'!$AH$2:$AH$1068,MATCH($A349,'Historical Data'!$BE$2:$BE$1068,0)),"")</f>
        <v/>
      </c>
      <c r="W349" s="106" t="str">
        <f aca="false">IFERROR(INDEX('Historical Data'!$BC$2:$BC$1068,MATCH($A349,'Historical Data'!$BE$2:$BE$1068,0)),"")</f>
        <v/>
      </c>
      <c r="X349" s="105" t="str">
        <f aca="false">IF(B349="","",IF(W349=1,"NR + industry + position",IF(W349=2,"NR + ISO + position",IF(W349=3,"NR + industry",IF(W349=4,"NR + ISO",IF(W349=5,"NR + position",IF(W349=6,"NR only","book baseline"))))))&amp;"  ["&amp;IF(T349=1,"seasoned","unseasoned")&amp;IF(U349=1,", defaulted","")&amp;IF(V349=1,", open","")&amp;"]")</f>
        <v/>
      </c>
    </row>
    <row r="350" customFormat="false" ht="15" hidden="false" customHeight="false" outlineLevel="0" collapsed="false">
      <c r="A350" s="105" t="n">
        <v>346</v>
      </c>
      <c r="B350" s="106" t="str">
        <f aca="false">IFERROR(INDEX('Historical Data'!$A$2:$A$1068,MATCH($A350,'Historical Data'!$BE$2:$BE$1068,0)),"")</f>
        <v/>
      </c>
      <c r="C350" s="106" t="str">
        <f aca="false">IFERROR(INDEX('Historical Data'!$B$2:$B$1068,MATCH($A350,'Historical Data'!$BE$2:$BE$1068,0)),"")</f>
        <v/>
      </c>
      <c r="D350" s="106" t="str">
        <f aca="false">IFERROR(INDEX('Historical Data'!$D$2:$D$1068,MATCH($A350,'Historical Data'!$BE$2:$BE$1068,0)),"")</f>
        <v/>
      </c>
      <c r="E350" s="107" t="str">
        <f aca="false">IFERROR(INDEX('Historical Data'!$E$2:$E$1068,MATCH($A350,'Historical Data'!$BE$2:$BE$1068,0)),"")</f>
        <v/>
      </c>
      <c r="F350" s="106" t="str">
        <f aca="false">IFERROR(INDEX('Historical Data'!$G$2:$G$1068,MATCH($A350,'Historical Data'!$BE$2:$BE$1068,0)),"")</f>
        <v/>
      </c>
      <c r="G350" s="106" t="str">
        <f aca="false">IFERROR(INDEX('Historical Data'!$Y$2:$Y$1068,MATCH($A350,'Historical Data'!$BE$2:$BE$1068,0)),"")</f>
        <v/>
      </c>
      <c r="H350" s="106" t="str">
        <f aca="false">IFERROR(INDEX('Historical Data'!$K$2:$K$1068,MATCH($A350,'Historical Data'!$BE$2:$BE$1068,0)),"")</f>
        <v/>
      </c>
      <c r="I350" s="106" t="str">
        <f aca="false">IFERROR(INDEX('Historical Data'!$J$2:$J$1068,MATCH($A350,'Historical Data'!$BE$2:$BE$1068,0)),"")</f>
        <v/>
      </c>
      <c r="J350" s="106" t="str">
        <f aca="false">IFERROR(INDEX('Historical Data'!$L$2:$L$1068,MATCH($A350,'Historical Data'!$BE$2:$BE$1068,0)),"")</f>
        <v/>
      </c>
      <c r="K350" s="108" t="str">
        <f aca="false">IFERROR(INDEX('Historical Data'!$M$2:$M$1068,MATCH($A350,'Historical Data'!$BE$2:$BE$1068,0)),"")</f>
        <v/>
      </c>
      <c r="L350" s="109" t="str">
        <f aca="false">IFERROR(INDEX('Historical Data'!$N$2:$N$1068,MATCH($A350,'Historical Data'!$BE$2:$BE$1068,0)),"")</f>
        <v/>
      </c>
      <c r="M350" s="109" t="str">
        <f aca="false">IFERROR(INDEX('Historical Data'!$Q$2:$Q$1068,MATCH($A350,'Historical Data'!$BE$2:$BE$1068,0)),"")</f>
        <v/>
      </c>
      <c r="N350" s="110" t="str">
        <f aca="false">IFERROR(INDEX('Historical Data'!$S$2:$S$1068,MATCH($A350,'Historical Data'!$BE$2:$BE$1068,0)),"")</f>
        <v/>
      </c>
      <c r="O350" s="109" t="str">
        <f aca="false">IFERROR(INDEX('Historical Data'!$AJ$2:$AJ$1068,MATCH($A350,'Historical Data'!$BE$2:$BE$1068,0)),"")</f>
        <v/>
      </c>
      <c r="P350" s="109" t="str">
        <f aca="false">IFERROR(INDEX('Historical Data'!$AK$2:$AK$1068,MATCH($A350,'Historical Data'!$BE$2:$BE$1068,0)),"")</f>
        <v/>
      </c>
      <c r="Q350" s="106" t="str">
        <f aca="false">IFERROR(INDEX('Historical Data'!$AA$2:$AA$1068,MATCH($A350,'Historical Data'!$BE$2:$BE$1068,0)),"")</f>
        <v/>
      </c>
      <c r="R350" s="106" t="str">
        <f aca="false">IFERROR(INDEX('Historical Data'!$AB$2:$AB$1068,MATCH($A350,'Historical Data'!$BE$2:$BE$1068,0)),"")</f>
        <v/>
      </c>
      <c r="S350" s="106" t="str">
        <f aca="false">IFERROR(INDEX('Historical Data'!$AN$2:$AN$1068,MATCH($A350,'Historical Data'!$BE$2:$BE$1068,0)),"")</f>
        <v/>
      </c>
      <c r="T350" s="106" t="str">
        <f aca="false">IFERROR(INDEX('Historical Data'!$AC$2:$AC$1068,MATCH($A350,'Historical Data'!$BE$2:$BE$1068,0)),"")</f>
        <v/>
      </c>
      <c r="U350" s="106" t="str">
        <f aca="false">IFERROR(INDEX('Historical Data'!$AE$2:$AE$1068,MATCH($A350,'Historical Data'!$BE$2:$BE$1068,0)),"")</f>
        <v/>
      </c>
      <c r="V350" s="106" t="str">
        <f aca="false">IFERROR(INDEX('Historical Data'!$AH$2:$AH$1068,MATCH($A350,'Historical Data'!$BE$2:$BE$1068,0)),"")</f>
        <v/>
      </c>
      <c r="W350" s="106" t="str">
        <f aca="false">IFERROR(INDEX('Historical Data'!$BC$2:$BC$1068,MATCH($A350,'Historical Data'!$BE$2:$BE$1068,0)),"")</f>
        <v/>
      </c>
      <c r="X350" s="105" t="str">
        <f aca="false">IF(B350="","",IF(W350=1,"NR + industry + position",IF(W350=2,"NR + ISO + position",IF(W350=3,"NR + industry",IF(W350=4,"NR + ISO",IF(W350=5,"NR + position",IF(W350=6,"NR only","book baseline"))))))&amp;"  ["&amp;IF(T350=1,"seasoned","unseasoned")&amp;IF(U350=1,", defaulted","")&amp;IF(V350=1,", open","")&amp;"]")</f>
        <v/>
      </c>
    </row>
    <row r="351" customFormat="false" ht="15" hidden="false" customHeight="false" outlineLevel="0" collapsed="false">
      <c r="A351" s="105" t="n">
        <v>347</v>
      </c>
      <c r="B351" s="106" t="str">
        <f aca="false">IFERROR(INDEX('Historical Data'!$A$2:$A$1068,MATCH($A351,'Historical Data'!$BE$2:$BE$1068,0)),"")</f>
        <v/>
      </c>
      <c r="C351" s="106" t="str">
        <f aca="false">IFERROR(INDEX('Historical Data'!$B$2:$B$1068,MATCH($A351,'Historical Data'!$BE$2:$BE$1068,0)),"")</f>
        <v/>
      </c>
      <c r="D351" s="106" t="str">
        <f aca="false">IFERROR(INDEX('Historical Data'!$D$2:$D$1068,MATCH($A351,'Historical Data'!$BE$2:$BE$1068,0)),"")</f>
        <v/>
      </c>
      <c r="E351" s="107" t="str">
        <f aca="false">IFERROR(INDEX('Historical Data'!$E$2:$E$1068,MATCH($A351,'Historical Data'!$BE$2:$BE$1068,0)),"")</f>
        <v/>
      </c>
      <c r="F351" s="106" t="str">
        <f aca="false">IFERROR(INDEX('Historical Data'!$G$2:$G$1068,MATCH($A351,'Historical Data'!$BE$2:$BE$1068,0)),"")</f>
        <v/>
      </c>
      <c r="G351" s="106" t="str">
        <f aca="false">IFERROR(INDEX('Historical Data'!$Y$2:$Y$1068,MATCH($A351,'Historical Data'!$BE$2:$BE$1068,0)),"")</f>
        <v/>
      </c>
      <c r="H351" s="106" t="str">
        <f aca="false">IFERROR(INDEX('Historical Data'!$K$2:$K$1068,MATCH($A351,'Historical Data'!$BE$2:$BE$1068,0)),"")</f>
        <v/>
      </c>
      <c r="I351" s="106" t="str">
        <f aca="false">IFERROR(INDEX('Historical Data'!$J$2:$J$1068,MATCH($A351,'Historical Data'!$BE$2:$BE$1068,0)),"")</f>
        <v/>
      </c>
      <c r="J351" s="106" t="str">
        <f aca="false">IFERROR(INDEX('Historical Data'!$L$2:$L$1068,MATCH($A351,'Historical Data'!$BE$2:$BE$1068,0)),"")</f>
        <v/>
      </c>
      <c r="K351" s="108" t="str">
        <f aca="false">IFERROR(INDEX('Historical Data'!$M$2:$M$1068,MATCH($A351,'Historical Data'!$BE$2:$BE$1068,0)),"")</f>
        <v/>
      </c>
      <c r="L351" s="109" t="str">
        <f aca="false">IFERROR(INDEX('Historical Data'!$N$2:$N$1068,MATCH($A351,'Historical Data'!$BE$2:$BE$1068,0)),"")</f>
        <v/>
      </c>
      <c r="M351" s="109" t="str">
        <f aca="false">IFERROR(INDEX('Historical Data'!$Q$2:$Q$1068,MATCH($A351,'Historical Data'!$BE$2:$BE$1068,0)),"")</f>
        <v/>
      </c>
      <c r="N351" s="110" t="str">
        <f aca="false">IFERROR(INDEX('Historical Data'!$S$2:$S$1068,MATCH($A351,'Historical Data'!$BE$2:$BE$1068,0)),"")</f>
        <v/>
      </c>
      <c r="O351" s="109" t="str">
        <f aca="false">IFERROR(INDEX('Historical Data'!$AJ$2:$AJ$1068,MATCH($A351,'Historical Data'!$BE$2:$BE$1068,0)),"")</f>
        <v/>
      </c>
      <c r="P351" s="109" t="str">
        <f aca="false">IFERROR(INDEX('Historical Data'!$AK$2:$AK$1068,MATCH($A351,'Historical Data'!$BE$2:$BE$1068,0)),"")</f>
        <v/>
      </c>
      <c r="Q351" s="106" t="str">
        <f aca="false">IFERROR(INDEX('Historical Data'!$AA$2:$AA$1068,MATCH($A351,'Historical Data'!$BE$2:$BE$1068,0)),"")</f>
        <v/>
      </c>
      <c r="R351" s="106" t="str">
        <f aca="false">IFERROR(INDEX('Historical Data'!$AB$2:$AB$1068,MATCH($A351,'Historical Data'!$BE$2:$BE$1068,0)),"")</f>
        <v/>
      </c>
      <c r="S351" s="106" t="str">
        <f aca="false">IFERROR(INDEX('Historical Data'!$AN$2:$AN$1068,MATCH($A351,'Historical Data'!$BE$2:$BE$1068,0)),"")</f>
        <v/>
      </c>
      <c r="T351" s="106" t="str">
        <f aca="false">IFERROR(INDEX('Historical Data'!$AC$2:$AC$1068,MATCH($A351,'Historical Data'!$BE$2:$BE$1068,0)),"")</f>
        <v/>
      </c>
      <c r="U351" s="106" t="str">
        <f aca="false">IFERROR(INDEX('Historical Data'!$AE$2:$AE$1068,MATCH($A351,'Historical Data'!$BE$2:$BE$1068,0)),"")</f>
        <v/>
      </c>
      <c r="V351" s="106" t="str">
        <f aca="false">IFERROR(INDEX('Historical Data'!$AH$2:$AH$1068,MATCH($A351,'Historical Data'!$BE$2:$BE$1068,0)),"")</f>
        <v/>
      </c>
      <c r="W351" s="106" t="str">
        <f aca="false">IFERROR(INDEX('Historical Data'!$BC$2:$BC$1068,MATCH($A351,'Historical Data'!$BE$2:$BE$1068,0)),"")</f>
        <v/>
      </c>
      <c r="X351" s="105" t="str">
        <f aca="false">IF(B351="","",IF(W351=1,"NR + industry + position",IF(W351=2,"NR + ISO + position",IF(W351=3,"NR + industry",IF(W351=4,"NR + ISO",IF(W351=5,"NR + position",IF(W351=6,"NR only","book baseline"))))))&amp;"  ["&amp;IF(T351=1,"seasoned","unseasoned")&amp;IF(U351=1,", defaulted","")&amp;IF(V351=1,", open","")&amp;"]")</f>
        <v/>
      </c>
    </row>
    <row r="352" customFormat="false" ht="15" hidden="false" customHeight="false" outlineLevel="0" collapsed="false">
      <c r="A352" s="105" t="n">
        <v>348</v>
      </c>
      <c r="B352" s="106" t="str">
        <f aca="false">IFERROR(INDEX('Historical Data'!$A$2:$A$1068,MATCH($A352,'Historical Data'!$BE$2:$BE$1068,0)),"")</f>
        <v/>
      </c>
      <c r="C352" s="106" t="str">
        <f aca="false">IFERROR(INDEX('Historical Data'!$B$2:$B$1068,MATCH($A352,'Historical Data'!$BE$2:$BE$1068,0)),"")</f>
        <v/>
      </c>
      <c r="D352" s="106" t="str">
        <f aca="false">IFERROR(INDEX('Historical Data'!$D$2:$D$1068,MATCH($A352,'Historical Data'!$BE$2:$BE$1068,0)),"")</f>
        <v/>
      </c>
      <c r="E352" s="107" t="str">
        <f aca="false">IFERROR(INDEX('Historical Data'!$E$2:$E$1068,MATCH($A352,'Historical Data'!$BE$2:$BE$1068,0)),"")</f>
        <v/>
      </c>
      <c r="F352" s="106" t="str">
        <f aca="false">IFERROR(INDEX('Historical Data'!$G$2:$G$1068,MATCH($A352,'Historical Data'!$BE$2:$BE$1068,0)),"")</f>
        <v/>
      </c>
      <c r="G352" s="106" t="str">
        <f aca="false">IFERROR(INDEX('Historical Data'!$Y$2:$Y$1068,MATCH($A352,'Historical Data'!$BE$2:$BE$1068,0)),"")</f>
        <v/>
      </c>
      <c r="H352" s="106" t="str">
        <f aca="false">IFERROR(INDEX('Historical Data'!$K$2:$K$1068,MATCH($A352,'Historical Data'!$BE$2:$BE$1068,0)),"")</f>
        <v/>
      </c>
      <c r="I352" s="106" t="str">
        <f aca="false">IFERROR(INDEX('Historical Data'!$J$2:$J$1068,MATCH($A352,'Historical Data'!$BE$2:$BE$1068,0)),"")</f>
        <v/>
      </c>
      <c r="J352" s="106" t="str">
        <f aca="false">IFERROR(INDEX('Historical Data'!$L$2:$L$1068,MATCH($A352,'Historical Data'!$BE$2:$BE$1068,0)),"")</f>
        <v/>
      </c>
      <c r="K352" s="108" t="str">
        <f aca="false">IFERROR(INDEX('Historical Data'!$M$2:$M$1068,MATCH($A352,'Historical Data'!$BE$2:$BE$1068,0)),"")</f>
        <v/>
      </c>
      <c r="L352" s="109" t="str">
        <f aca="false">IFERROR(INDEX('Historical Data'!$N$2:$N$1068,MATCH($A352,'Historical Data'!$BE$2:$BE$1068,0)),"")</f>
        <v/>
      </c>
      <c r="M352" s="109" t="str">
        <f aca="false">IFERROR(INDEX('Historical Data'!$Q$2:$Q$1068,MATCH($A352,'Historical Data'!$BE$2:$BE$1068,0)),"")</f>
        <v/>
      </c>
      <c r="N352" s="110" t="str">
        <f aca="false">IFERROR(INDEX('Historical Data'!$S$2:$S$1068,MATCH($A352,'Historical Data'!$BE$2:$BE$1068,0)),"")</f>
        <v/>
      </c>
      <c r="O352" s="109" t="str">
        <f aca="false">IFERROR(INDEX('Historical Data'!$AJ$2:$AJ$1068,MATCH($A352,'Historical Data'!$BE$2:$BE$1068,0)),"")</f>
        <v/>
      </c>
      <c r="P352" s="109" t="str">
        <f aca="false">IFERROR(INDEX('Historical Data'!$AK$2:$AK$1068,MATCH($A352,'Historical Data'!$BE$2:$BE$1068,0)),"")</f>
        <v/>
      </c>
      <c r="Q352" s="106" t="str">
        <f aca="false">IFERROR(INDEX('Historical Data'!$AA$2:$AA$1068,MATCH($A352,'Historical Data'!$BE$2:$BE$1068,0)),"")</f>
        <v/>
      </c>
      <c r="R352" s="106" t="str">
        <f aca="false">IFERROR(INDEX('Historical Data'!$AB$2:$AB$1068,MATCH($A352,'Historical Data'!$BE$2:$BE$1068,0)),"")</f>
        <v/>
      </c>
      <c r="S352" s="106" t="str">
        <f aca="false">IFERROR(INDEX('Historical Data'!$AN$2:$AN$1068,MATCH($A352,'Historical Data'!$BE$2:$BE$1068,0)),"")</f>
        <v/>
      </c>
      <c r="T352" s="106" t="str">
        <f aca="false">IFERROR(INDEX('Historical Data'!$AC$2:$AC$1068,MATCH($A352,'Historical Data'!$BE$2:$BE$1068,0)),"")</f>
        <v/>
      </c>
      <c r="U352" s="106" t="str">
        <f aca="false">IFERROR(INDEX('Historical Data'!$AE$2:$AE$1068,MATCH($A352,'Historical Data'!$BE$2:$BE$1068,0)),"")</f>
        <v/>
      </c>
      <c r="V352" s="106" t="str">
        <f aca="false">IFERROR(INDEX('Historical Data'!$AH$2:$AH$1068,MATCH($A352,'Historical Data'!$BE$2:$BE$1068,0)),"")</f>
        <v/>
      </c>
      <c r="W352" s="106" t="str">
        <f aca="false">IFERROR(INDEX('Historical Data'!$BC$2:$BC$1068,MATCH($A352,'Historical Data'!$BE$2:$BE$1068,0)),"")</f>
        <v/>
      </c>
      <c r="X352" s="105" t="str">
        <f aca="false">IF(B352="","",IF(W352=1,"NR + industry + position",IF(W352=2,"NR + ISO + position",IF(W352=3,"NR + industry",IF(W352=4,"NR + ISO",IF(W352=5,"NR + position",IF(W352=6,"NR only","book baseline"))))))&amp;"  ["&amp;IF(T352=1,"seasoned","unseasoned")&amp;IF(U352=1,", defaulted","")&amp;IF(V352=1,", open","")&amp;"]")</f>
        <v/>
      </c>
    </row>
    <row r="353" customFormat="false" ht="15" hidden="false" customHeight="false" outlineLevel="0" collapsed="false">
      <c r="A353" s="105" t="n">
        <v>349</v>
      </c>
      <c r="B353" s="106" t="str">
        <f aca="false">IFERROR(INDEX('Historical Data'!$A$2:$A$1068,MATCH($A353,'Historical Data'!$BE$2:$BE$1068,0)),"")</f>
        <v/>
      </c>
      <c r="C353" s="106" t="str">
        <f aca="false">IFERROR(INDEX('Historical Data'!$B$2:$B$1068,MATCH($A353,'Historical Data'!$BE$2:$BE$1068,0)),"")</f>
        <v/>
      </c>
      <c r="D353" s="106" t="str">
        <f aca="false">IFERROR(INDEX('Historical Data'!$D$2:$D$1068,MATCH($A353,'Historical Data'!$BE$2:$BE$1068,0)),"")</f>
        <v/>
      </c>
      <c r="E353" s="107" t="str">
        <f aca="false">IFERROR(INDEX('Historical Data'!$E$2:$E$1068,MATCH($A353,'Historical Data'!$BE$2:$BE$1068,0)),"")</f>
        <v/>
      </c>
      <c r="F353" s="106" t="str">
        <f aca="false">IFERROR(INDEX('Historical Data'!$G$2:$G$1068,MATCH($A353,'Historical Data'!$BE$2:$BE$1068,0)),"")</f>
        <v/>
      </c>
      <c r="G353" s="106" t="str">
        <f aca="false">IFERROR(INDEX('Historical Data'!$Y$2:$Y$1068,MATCH($A353,'Historical Data'!$BE$2:$BE$1068,0)),"")</f>
        <v/>
      </c>
      <c r="H353" s="106" t="str">
        <f aca="false">IFERROR(INDEX('Historical Data'!$K$2:$K$1068,MATCH($A353,'Historical Data'!$BE$2:$BE$1068,0)),"")</f>
        <v/>
      </c>
      <c r="I353" s="106" t="str">
        <f aca="false">IFERROR(INDEX('Historical Data'!$J$2:$J$1068,MATCH($A353,'Historical Data'!$BE$2:$BE$1068,0)),"")</f>
        <v/>
      </c>
      <c r="J353" s="106" t="str">
        <f aca="false">IFERROR(INDEX('Historical Data'!$L$2:$L$1068,MATCH($A353,'Historical Data'!$BE$2:$BE$1068,0)),"")</f>
        <v/>
      </c>
      <c r="K353" s="108" t="str">
        <f aca="false">IFERROR(INDEX('Historical Data'!$M$2:$M$1068,MATCH($A353,'Historical Data'!$BE$2:$BE$1068,0)),"")</f>
        <v/>
      </c>
      <c r="L353" s="109" t="str">
        <f aca="false">IFERROR(INDEX('Historical Data'!$N$2:$N$1068,MATCH($A353,'Historical Data'!$BE$2:$BE$1068,0)),"")</f>
        <v/>
      </c>
      <c r="M353" s="109" t="str">
        <f aca="false">IFERROR(INDEX('Historical Data'!$Q$2:$Q$1068,MATCH($A353,'Historical Data'!$BE$2:$BE$1068,0)),"")</f>
        <v/>
      </c>
      <c r="N353" s="110" t="str">
        <f aca="false">IFERROR(INDEX('Historical Data'!$S$2:$S$1068,MATCH($A353,'Historical Data'!$BE$2:$BE$1068,0)),"")</f>
        <v/>
      </c>
      <c r="O353" s="109" t="str">
        <f aca="false">IFERROR(INDEX('Historical Data'!$AJ$2:$AJ$1068,MATCH($A353,'Historical Data'!$BE$2:$BE$1068,0)),"")</f>
        <v/>
      </c>
      <c r="P353" s="109" t="str">
        <f aca="false">IFERROR(INDEX('Historical Data'!$AK$2:$AK$1068,MATCH($A353,'Historical Data'!$BE$2:$BE$1068,0)),"")</f>
        <v/>
      </c>
      <c r="Q353" s="106" t="str">
        <f aca="false">IFERROR(INDEX('Historical Data'!$AA$2:$AA$1068,MATCH($A353,'Historical Data'!$BE$2:$BE$1068,0)),"")</f>
        <v/>
      </c>
      <c r="R353" s="106" t="str">
        <f aca="false">IFERROR(INDEX('Historical Data'!$AB$2:$AB$1068,MATCH($A353,'Historical Data'!$BE$2:$BE$1068,0)),"")</f>
        <v/>
      </c>
      <c r="S353" s="106" t="str">
        <f aca="false">IFERROR(INDEX('Historical Data'!$AN$2:$AN$1068,MATCH($A353,'Historical Data'!$BE$2:$BE$1068,0)),"")</f>
        <v/>
      </c>
      <c r="T353" s="106" t="str">
        <f aca="false">IFERROR(INDEX('Historical Data'!$AC$2:$AC$1068,MATCH($A353,'Historical Data'!$BE$2:$BE$1068,0)),"")</f>
        <v/>
      </c>
      <c r="U353" s="106" t="str">
        <f aca="false">IFERROR(INDEX('Historical Data'!$AE$2:$AE$1068,MATCH($A353,'Historical Data'!$BE$2:$BE$1068,0)),"")</f>
        <v/>
      </c>
      <c r="V353" s="106" t="str">
        <f aca="false">IFERROR(INDEX('Historical Data'!$AH$2:$AH$1068,MATCH($A353,'Historical Data'!$BE$2:$BE$1068,0)),"")</f>
        <v/>
      </c>
      <c r="W353" s="106" t="str">
        <f aca="false">IFERROR(INDEX('Historical Data'!$BC$2:$BC$1068,MATCH($A353,'Historical Data'!$BE$2:$BE$1068,0)),"")</f>
        <v/>
      </c>
      <c r="X353" s="105" t="str">
        <f aca="false">IF(B353="","",IF(W353=1,"NR + industry + position",IF(W353=2,"NR + ISO + position",IF(W353=3,"NR + industry",IF(W353=4,"NR + ISO",IF(W353=5,"NR + position",IF(W353=6,"NR only","book baseline"))))))&amp;"  ["&amp;IF(T353=1,"seasoned","unseasoned")&amp;IF(U353=1,", defaulted","")&amp;IF(V353=1,", open","")&amp;"]")</f>
        <v/>
      </c>
    </row>
    <row r="354" customFormat="false" ht="15" hidden="false" customHeight="false" outlineLevel="0" collapsed="false">
      <c r="A354" s="105" t="n">
        <v>350</v>
      </c>
      <c r="B354" s="106" t="str">
        <f aca="false">IFERROR(INDEX('Historical Data'!$A$2:$A$1068,MATCH($A354,'Historical Data'!$BE$2:$BE$1068,0)),"")</f>
        <v/>
      </c>
      <c r="C354" s="106" t="str">
        <f aca="false">IFERROR(INDEX('Historical Data'!$B$2:$B$1068,MATCH($A354,'Historical Data'!$BE$2:$BE$1068,0)),"")</f>
        <v/>
      </c>
      <c r="D354" s="106" t="str">
        <f aca="false">IFERROR(INDEX('Historical Data'!$D$2:$D$1068,MATCH($A354,'Historical Data'!$BE$2:$BE$1068,0)),"")</f>
        <v/>
      </c>
      <c r="E354" s="107" t="str">
        <f aca="false">IFERROR(INDEX('Historical Data'!$E$2:$E$1068,MATCH($A354,'Historical Data'!$BE$2:$BE$1068,0)),"")</f>
        <v/>
      </c>
      <c r="F354" s="106" t="str">
        <f aca="false">IFERROR(INDEX('Historical Data'!$G$2:$G$1068,MATCH($A354,'Historical Data'!$BE$2:$BE$1068,0)),"")</f>
        <v/>
      </c>
      <c r="G354" s="106" t="str">
        <f aca="false">IFERROR(INDEX('Historical Data'!$Y$2:$Y$1068,MATCH($A354,'Historical Data'!$BE$2:$BE$1068,0)),"")</f>
        <v/>
      </c>
      <c r="H354" s="106" t="str">
        <f aca="false">IFERROR(INDEX('Historical Data'!$K$2:$K$1068,MATCH($A354,'Historical Data'!$BE$2:$BE$1068,0)),"")</f>
        <v/>
      </c>
      <c r="I354" s="106" t="str">
        <f aca="false">IFERROR(INDEX('Historical Data'!$J$2:$J$1068,MATCH($A354,'Historical Data'!$BE$2:$BE$1068,0)),"")</f>
        <v/>
      </c>
      <c r="J354" s="106" t="str">
        <f aca="false">IFERROR(INDEX('Historical Data'!$L$2:$L$1068,MATCH($A354,'Historical Data'!$BE$2:$BE$1068,0)),"")</f>
        <v/>
      </c>
      <c r="K354" s="108" t="str">
        <f aca="false">IFERROR(INDEX('Historical Data'!$M$2:$M$1068,MATCH($A354,'Historical Data'!$BE$2:$BE$1068,0)),"")</f>
        <v/>
      </c>
      <c r="L354" s="109" t="str">
        <f aca="false">IFERROR(INDEX('Historical Data'!$N$2:$N$1068,MATCH($A354,'Historical Data'!$BE$2:$BE$1068,0)),"")</f>
        <v/>
      </c>
      <c r="M354" s="109" t="str">
        <f aca="false">IFERROR(INDEX('Historical Data'!$Q$2:$Q$1068,MATCH($A354,'Historical Data'!$BE$2:$BE$1068,0)),"")</f>
        <v/>
      </c>
      <c r="N354" s="110" t="str">
        <f aca="false">IFERROR(INDEX('Historical Data'!$S$2:$S$1068,MATCH($A354,'Historical Data'!$BE$2:$BE$1068,0)),"")</f>
        <v/>
      </c>
      <c r="O354" s="109" t="str">
        <f aca="false">IFERROR(INDEX('Historical Data'!$AJ$2:$AJ$1068,MATCH($A354,'Historical Data'!$BE$2:$BE$1068,0)),"")</f>
        <v/>
      </c>
      <c r="P354" s="109" t="str">
        <f aca="false">IFERROR(INDEX('Historical Data'!$AK$2:$AK$1068,MATCH($A354,'Historical Data'!$BE$2:$BE$1068,0)),"")</f>
        <v/>
      </c>
      <c r="Q354" s="106" t="str">
        <f aca="false">IFERROR(INDEX('Historical Data'!$AA$2:$AA$1068,MATCH($A354,'Historical Data'!$BE$2:$BE$1068,0)),"")</f>
        <v/>
      </c>
      <c r="R354" s="106" t="str">
        <f aca="false">IFERROR(INDEX('Historical Data'!$AB$2:$AB$1068,MATCH($A354,'Historical Data'!$BE$2:$BE$1068,0)),"")</f>
        <v/>
      </c>
      <c r="S354" s="106" t="str">
        <f aca="false">IFERROR(INDEX('Historical Data'!$AN$2:$AN$1068,MATCH($A354,'Historical Data'!$BE$2:$BE$1068,0)),"")</f>
        <v/>
      </c>
      <c r="T354" s="106" t="str">
        <f aca="false">IFERROR(INDEX('Historical Data'!$AC$2:$AC$1068,MATCH($A354,'Historical Data'!$BE$2:$BE$1068,0)),"")</f>
        <v/>
      </c>
      <c r="U354" s="106" t="str">
        <f aca="false">IFERROR(INDEX('Historical Data'!$AE$2:$AE$1068,MATCH($A354,'Historical Data'!$BE$2:$BE$1068,0)),"")</f>
        <v/>
      </c>
      <c r="V354" s="106" t="str">
        <f aca="false">IFERROR(INDEX('Historical Data'!$AH$2:$AH$1068,MATCH($A354,'Historical Data'!$BE$2:$BE$1068,0)),"")</f>
        <v/>
      </c>
      <c r="W354" s="106" t="str">
        <f aca="false">IFERROR(INDEX('Historical Data'!$BC$2:$BC$1068,MATCH($A354,'Historical Data'!$BE$2:$BE$1068,0)),"")</f>
        <v/>
      </c>
      <c r="X354" s="105" t="str">
        <f aca="false">IF(B354="","",IF(W354=1,"NR + industry + position",IF(W354=2,"NR + ISO + position",IF(W354=3,"NR + industry",IF(W354=4,"NR + ISO",IF(W354=5,"NR + position",IF(W354=6,"NR only","book baseline"))))))&amp;"  ["&amp;IF(T354=1,"seasoned","unseasoned")&amp;IF(U354=1,", defaulted","")&amp;IF(V354=1,", open","")&amp;"]")</f>
        <v/>
      </c>
    </row>
    <row r="355" customFormat="false" ht="15" hidden="false" customHeight="false" outlineLevel="0" collapsed="false">
      <c r="A355" s="105" t="n">
        <v>351</v>
      </c>
      <c r="B355" s="106" t="str">
        <f aca="false">IFERROR(INDEX('Historical Data'!$A$2:$A$1068,MATCH($A355,'Historical Data'!$BE$2:$BE$1068,0)),"")</f>
        <v/>
      </c>
      <c r="C355" s="106" t="str">
        <f aca="false">IFERROR(INDEX('Historical Data'!$B$2:$B$1068,MATCH($A355,'Historical Data'!$BE$2:$BE$1068,0)),"")</f>
        <v/>
      </c>
      <c r="D355" s="106" t="str">
        <f aca="false">IFERROR(INDEX('Historical Data'!$D$2:$D$1068,MATCH($A355,'Historical Data'!$BE$2:$BE$1068,0)),"")</f>
        <v/>
      </c>
      <c r="E355" s="107" t="str">
        <f aca="false">IFERROR(INDEX('Historical Data'!$E$2:$E$1068,MATCH($A355,'Historical Data'!$BE$2:$BE$1068,0)),"")</f>
        <v/>
      </c>
      <c r="F355" s="106" t="str">
        <f aca="false">IFERROR(INDEX('Historical Data'!$G$2:$G$1068,MATCH($A355,'Historical Data'!$BE$2:$BE$1068,0)),"")</f>
        <v/>
      </c>
      <c r="G355" s="106" t="str">
        <f aca="false">IFERROR(INDEX('Historical Data'!$Y$2:$Y$1068,MATCH($A355,'Historical Data'!$BE$2:$BE$1068,0)),"")</f>
        <v/>
      </c>
      <c r="H355" s="106" t="str">
        <f aca="false">IFERROR(INDEX('Historical Data'!$K$2:$K$1068,MATCH($A355,'Historical Data'!$BE$2:$BE$1068,0)),"")</f>
        <v/>
      </c>
      <c r="I355" s="106" t="str">
        <f aca="false">IFERROR(INDEX('Historical Data'!$J$2:$J$1068,MATCH($A355,'Historical Data'!$BE$2:$BE$1068,0)),"")</f>
        <v/>
      </c>
      <c r="J355" s="106" t="str">
        <f aca="false">IFERROR(INDEX('Historical Data'!$L$2:$L$1068,MATCH($A355,'Historical Data'!$BE$2:$BE$1068,0)),"")</f>
        <v/>
      </c>
      <c r="K355" s="108" t="str">
        <f aca="false">IFERROR(INDEX('Historical Data'!$M$2:$M$1068,MATCH($A355,'Historical Data'!$BE$2:$BE$1068,0)),"")</f>
        <v/>
      </c>
      <c r="L355" s="109" t="str">
        <f aca="false">IFERROR(INDEX('Historical Data'!$N$2:$N$1068,MATCH($A355,'Historical Data'!$BE$2:$BE$1068,0)),"")</f>
        <v/>
      </c>
      <c r="M355" s="109" t="str">
        <f aca="false">IFERROR(INDEX('Historical Data'!$Q$2:$Q$1068,MATCH($A355,'Historical Data'!$BE$2:$BE$1068,0)),"")</f>
        <v/>
      </c>
      <c r="N355" s="110" t="str">
        <f aca="false">IFERROR(INDEX('Historical Data'!$S$2:$S$1068,MATCH($A355,'Historical Data'!$BE$2:$BE$1068,0)),"")</f>
        <v/>
      </c>
      <c r="O355" s="109" t="str">
        <f aca="false">IFERROR(INDEX('Historical Data'!$AJ$2:$AJ$1068,MATCH($A355,'Historical Data'!$BE$2:$BE$1068,0)),"")</f>
        <v/>
      </c>
      <c r="P355" s="109" t="str">
        <f aca="false">IFERROR(INDEX('Historical Data'!$AK$2:$AK$1068,MATCH($A355,'Historical Data'!$BE$2:$BE$1068,0)),"")</f>
        <v/>
      </c>
      <c r="Q355" s="106" t="str">
        <f aca="false">IFERROR(INDEX('Historical Data'!$AA$2:$AA$1068,MATCH($A355,'Historical Data'!$BE$2:$BE$1068,0)),"")</f>
        <v/>
      </c>
      <c r="R355" s="106" t="str">
        <f aca="false">IFERROR(INDEX('Historical Data'!$AB$2:$AB$1068,MATCH($A355,'Historical Data'!$BE$2:$BE$1068,0)),"")</f>
        <v/>
      </c>
      <c r="S355" s="106" t="str">
        <f aca="false">IFERROR(INDEX('Historical Data'!$AN$2:$AN$1068,MATCH($A355,'Historical Data'!$BE$2:$BE$1068,0)),"")</f>
        <v/>
      </c>
      <c r="T355" s="106" t="str">
        <f aca="false">IFERROR(INDEX('Historical Data'!$AC$2:$AC$1068,MATCH($A355,'Historical Data'!$BE$2:$BE$1068,0)),"")</f>
        <v/>
      </c>
      <c r="U355" s="106" t="str">
        <f aca="false">IFERROR(INDEX('Historical Data'!$AE$2:$AE$1068,MATCH($A355,'Historical Data'!$BE$2:$BE$1068,0)),"")</f>
        <v/>
      </c>
      <c r="V355" s="106" t="str">
        <f aca="false">IFERROR(INDEX('Historical Data'!$AH$2:$AH$1068,MATCH($A355,'Historical Data'!$BE$2:$BE$1068,0)),"")</f>
        <v/>
      </c>
      <c r="W355" s="106" t="str">
        <f aca="false">IFERROR(INDEX('Historical Data'!$BC$2:$BC$1068,MATCH($A355,'Historical Data'!$BE$2:$BE$1068,0)),"")</f>
        <v/>
      </c>
      <c r="X355" s="105" t="str">
        <f aca="false">IF(B355="","",IF(W355=1,"NR + industry + position",IF(W355=2,"NR + ISO + position",IF(W355=3,"NR + industry",IF(W355=4,"NR + ISO",IF(W355=5,"NR + position",IF(W355=6,"NR only","book baseline"))))))&amp;"  ["&amp;IF(T355=1,"seasoned","unseasoned")&amp;IF(U355=1,", defaulted","")&amp;IF(V355=1,", open","")&amp;"]")</f>
        <v/>
      </c>
    </row>
    <row r="356" customFormat="false" ht="15" hidden="false" customHeight="false" outlineLevel="0" collapsed="false">
      <c r="A356" s="105" t="n">
        <v>352</v>
      </c>
      <c r="B356" s="106" t="str">
        <f aca="false">IFERROR(INDEX('Historical Data'!$A$2:$A$1068,MATCH($A356,'Historical Data'!$BE$2:$BE$1068,0)),"")</f>
        <v/>
      </c>
      <c r="C356" s="106" t="str">
        <f aca="false">IFERROR(INDEX('Historical Data'!$B$2:$B$1068,MATCH($A356,'Historical Data'!$BE$2:$BE$1068,0)),"")</f>
        <v/>
      </c>
      <c r="D356" s="106" t="str">
        <f aca="false">IFERROR(INDEX('Historical Data'!$D$2:$D$1068,MATCH($A356,'Historical Data'!$BE$2:$BE$1068,0)),"")</f>
        <v/>
      </c>
      <c r="E356" s="107" t="str">
        <f aca="false">IFERROR(INDEX('Historical Data'!$E$2:$E$1068,MATCH($A356,'Historical Data'!$BE$2:$BE$1068,0)),"")</f>
        <v/>
      </c>
      <c r="F356" s="106" t="str">
        <f aca="false">IFERROR(INDEX('Historical Data'!$G$2:$G$1068,MATCH($A356,'Historical Data'!$BE$2:$BE$1068,0)),"")</f>
        <v/>
      </c>
      <c r="G356" s="106" t="str">
        <f aca="false">IFERROR(INDEX('Historical Data'!$Y$2:$Y$1068,MATCH($A356,'Historical Data'!$BE$2:$BE$1068,0)),"")</f>
        <v/>
      </c>
      <c r="H356" s="106" t="str">
        <f aca="false">IFERROR(INDEX('Historical Data'!$K$2:$K$1068,MATCH($A356,'Historical Data'!$BE$2:$BE$1068,0)),"")</f>
        <v/>
      </c>
      <c r="I356" s="106" t="str">
        <f aca="false">IFERROR(INDEX('Historical Data'!$J$2:$J$1068,MATCH($A356,'Historical Data'!$BE$2:$BE$1068,0)),"")</f>
        <v/>
      </c>
      <c r="J356" s="106" t="str">
        <f aca="false">IFERROR(INDEX('Historical Data'!$L$2:$L$1068,MATCH($A356,'Historical Data'!$BE$2:$BE$1068,0)),"")</f>
        <v/>
      </c>
      <c r="K356" s="108" t="str">
        <f aca="false">IFERROR(INDEX('Historical Data'!$M$2:$M$1068,MATCH($A356,'Historical Data'!$BE$2:$BE$1068,0)),"")</f>
        <v/>
      </c>
      <c r="L356" s="109" t="str">
        <f aca="false">IFERROR(INDEX('Historical Data'!$N$2:$N$1068,MATCH($A356,'Historical Data'!$BE$2:$BE$1068,0)),"")</f>
        <v/>
      </c>
      <c r="M356" s="109" t="str">
        <f aca="false">IFERROR(INDEX('Historical Data'!$Q$2:$Q$1068,MATCH($A356,'Historical Data'!$BE$2:$BE$1068,0)),"")</f>
        <v/>
      </c>
      <c r="N356" s="110" t="str">
        <f aca="false">IFERROR(INDEX('Historical Data'!$S$2:$S$1068,MATCH($A356,'Historical Data'!$BE$2:$BE$1068,0)),"")</f>
        <v/>
      </c>
      <c r="O356" s="109" t="str">
        <f aca="false">IFERROR(INDEX('Historical Data'!$AJ$2:$AJ$1068,MATCH($A356,'Historical Data'!$BE$2:$BE$1068,0)),"")</f>
        <v/>
      </c>
      <c r="P356" s="109" t="str">
        <f aca="false">IFERROR(INDEX('Historical Data'!$AK$2:$AK$1068,MATCH($A356,'Historical Data'!$BE$2:$BE$1068,0)),"")</f>
        <v/>
      </c>
      <c r="Q356" s="106" t="str">
        <f aca="false">IFERROR(INDEX('Historical Data'!$AA$2:$AA$1068,MATCH($A356,'Historical Data'!$BE$2:$BE$1068,0)),"")</f>
        <v/>
      </c>
      <c r="R356" s="106" t="str">
        <f aca="false">IFERROR(INDEX('Historical Data'!$AB$2:$AB$1068,MATCH($A356,'Historical Data'!$BE$2:$BE$1068,0)),"")</f>
        <v/>
      </c>
      <c r="S356" s="106" t="str">
        <f aca="false">IFERROR(INDEX('Historical Data'!$AN$2:$AN$1068,MATCH($A356,'Historical Data'!$BE$2:$BE$1068,0)),"")</f>
        <v/>
      </c>
      <c r="T356" s="106" t="str">
        <f aca="false">IFERROR(INDEX('Historical Data'!$AC$2:$AC$1068,MATCH($A356,'Historical Data'!$BE$2:$BE$1068,0)),"")</f>
        <v/>
      </c>
      <c r="U356" s="106" t="str">
        <f aca="false">IFERROR(INDEX('Historical Data'!$AE$2:$AE$1068,MATCH($A356,'Historical Data'!$BE$2:$BE$1068,0)),"")</f>
        <v/>
      </c>
      <c r="V356" s="106" t="str">
        <f aca="false">IFERROR(INDEX('Historical Data'!$AH$2:$AH$1068,MATCH($A356,'Historical Data'!$BE$2:$BE$1068,0)),"")</f>
        <v/>
      </c>
      <c r="W356" s="106" t="str">
        <f aca="false">IFERROR(INDEX('Historical Data'!$BC$2:$BC$1068,MATCH($A356,'Historical Data'!$BE$2:$BE$1068,0)),"")</f>
        <v/>
      </c>
      <c r="X356" s="105" t="str">
        <f aca="false">IF(B356="","",IF(W356=1,"NR + industry + position",IF(W356=2,"NR + ISO + position",IF(W356=3,"NR + industry",IF(W356=4,"NR + ISO",IF(W356=5,"NR + position",IF(W356=6,"NR only","book baseline"))))))&amp;"  ["&amp;IF(T356=1,"seasoned","unseasoned")&amp;IF(U356=1,", defaulted","")&amp;IF(V356=1,", open","")&amp;"]")</f>
        <v/>
      </c>
    </row>
    <row r="357" customFormat="false" ht="15" hidden="false" customHeight="false" outlineLevel="0" collapsed="false">
      <c r="A357" s="105" t="n">
        <v>353</v>
      </c>
      <c r="B357" s="106" t="str">
        <f aca="false">IFERROR(INDEX('Historical Data'!$A$2:$A$1068,MATCH($A357,'Historical Data'!$BE$2:$BE$1068,0)),"")</f>
        <v/>
      </c>
      <c r="C357" s="106" t="str">
        <f aca="false">IFERROR(INDEX('Historical Data'!$B$2:$B$1068,MATCH($A357,'Historical Data'!$BE$2:$BE$1068,0)),"")</f>
        <v/>
      </c>
      <c r="D357" s="106" t="str">
        <f aca="false">IFERROR(INDEX('Historical Data'!$D$2:$D$1068,MATCH($A357,'Historical Data'!$BE$2:$BE$1068,0)),"")</f>
        <v/>
      </c>
      <c r="E357" s="107" t="str">
        <f aca="false">IFERROR(INDEX('Historical Data'!$E$2:$E$1068,MATCH($A357,'Historical Data'!$BE$2:$BE$1068,0)),"")</f>
        <v/>
      </c>
      <c r="F357" s="106" t="str">
        <f aca="false">IFERROR(INDEX('Historical Data'!$G$2:$G$1068,MATCH($A357,'Historical Data'!$BE$2:$BE$1068,0)),"")</f>
        <v/>
      </c>
      <c r="G357" s="106" t="str">
        <f aca="false">IFERROR(INDEX('Historical Data'!$Y$2:$Y$1068,MATCH($A357,'Historical Data'!$BE$2:$BE$1068,0)),"")</f>
        <v/>
      </c>
      <c r="H357" s="106" t="str">
        <f aca="false">IFERROR(INDEX('Historical Data'!$K$2:$K$1068,MATCH($A357,'Historical Data'!$BE$2:$BE$1068,0)),"")</f>
        <v/>
      </c>
      <c r="I357" s="106" t="str">
        <f aca="false">IFERROR(INDEX('Historical Data'!$J$2:$J$1068,MATCH($A357,'Historical Data'!$BE$2:$BE$1068,0)),"")</f>
        <v/>
      </c>
      <c r="J357" s="106" t="str">
        <f aca="false">IFERROR(INDEX('Historical Data'!$L$2:$L$1068,MATCH($A357,'Historical Data'!$BE$2:$BE$1068,0)),"")</f>
        <v/>
      </c>
      <c r="K357" s="108" t="str">
        <f aca="false">IFERROR(INDEX('Historical Data'!$M$2:$M$1068,MATCH($A357,'Historical Data'!$BE$2:$BE$1068,0)),"")</f>
        <v/>
      </c>
      <c r="L357" s="109" t="str">
        <f aca="false">IFERROR(INDEX('Historical Data'!$N$2:$N$1068,MATCH($A357,'Historical Data'!$BE$2:$BE$1068,0)),"")</f>
        <v/>
      </c>
      <c r="M357" s="109" t="str">
        <f aca="false">IFERROR(INDEX('Historical Data'!$Q$2:$Q$1068,MATCH($A357,'Historical Data'!$BE$2:$BE$1068,0)),"")</f>
        <v/>
      </c>
      <c r="N357" s="110" t="str">
        <f aca="false">IFERROR(INDEX('Historical Data'!$S$2:$S$1068,MATCH($A357,'Historical Data'!$BE$2:$BE$1068,0)),"")</f>
        <v/>
      </c>
      <c r="O357" s="109" t="str">
        <f aca="false">IFERROR(INDEX('Historical Data'!$AJ$2:$AJ$1068,MATCH($A357,'Historical Data'!$BE$2:$BE$1068,0)),"")</f>
        <v/>
      </c>
      <c r="P357" s="109" t="str">
        <f aca="false">IFERROR(INDEX('Historical Data'!$AK$2:$AK$1068,MATCH($A357,'Historical Data'!$BE$2:$BE$1068,0)),"")</f>
        <v/>
      </c>
      <c r="Q357" s="106" t="str">
        <f aca="false">IFERROR(INDEX('Historical Data'!$AA$2:$AA$1068,MATCH($A357,'Historical Data'!$BE$2:$BE$1068,0)),"")</f>
        <v/>
      </c>
      <c r="R357" s="106" t="str">
        <f aca="false">IFERROR(INDEX('Historical Data'!$AB$2:$AB$1068,MATCH($A357,'Historical Data'!$BE$2:$BE$1068,0)),"")</f>
        <v/>
      </c>
      <c r="S357" s="106" t="str">
        <f aca="false">IFERROR(INDEX('Historical Data'!$AN$2:$AN$1068,MATCH($A357,'Historical Data'!$BE$2:$BE$1068,0)),"")</f>
        <v/>
      </c>
      <c r="T357" s="106" t="str">
        <f aca="false">IFERROR(INDEX('Historical Data'!$AC$2:$AC$1068,MATCH($A357,'Historical Data'!$BE$2:$BE$1068,0)),"")</f>
        <v/>
      </c>
      <c r="U357" s="106" t="str">
        <f aca="false">IFERROR(INDEX('Historical Data'!$AE$2:$AE$1068,MATCH($A357,'Historical Data'!$BE$2:$BE$1068,0)),"")</f>
        <v/>
      </c>
      <c r="V357" s="106" t="str">
        <f aca="false">IFERROR(INDEX('Historical Data'!$AH$2:$AH$1068,MATCH($A357,'Historical Data'!$BE$2:$BE$1068,0)),"")</f>
        <v/>
      </c>
      <c r="W357" s="106" t="str">
        <f aca="false">IFERROR(INDEX('Historical Data'!$BC$2:$BC$1068,MATCH($A357,'Historical Data'!$BE$2:$BE$1068,0)),"")</f>
        <v/>
      </c>
      <c r="X357" s="105" t="str">
        <f aca="false">IF(B357="","",IF(W357=1,"NR + industry + position",IF(W357=2,"NR + ISO + position",IF(W357=3,"NR + industry",IF(W357=4,"NR + ISO",IF(W357=5,"NR + position",IF(W357=6,"NR only","book baseline"))))))&amp;"  ["&amp;IF(T357=1,"seasoned","unseasoned")&amp;IF(U357=1,", defaulted","")&amp;IF(V357=1,", open","")&amp;"]")</f>
        <v/>
      </c>
    </row>
    <row r="358" customFormat="false" ht="15" hidden="false" customHeight="false" outlineLevel="0" collapsed="false">
      <c r="A358" s="105" t="n">
        <v>354</v>
      </c>
      <c r="B358" s="106" t="str">
        <f aca="false">IFERROR(INDEX('Historical Data'!$A$2:$A$1068,MATCH($A358,'Historical Data'!$BE$2:$BE$1068,0)),"")</f>
        <v/>
      </c>
      <c r="C358" s="106" t="str">
        <f aca="false">IFERROR(INDEX('Historical Data'!$B$2:$B$1068,MATCH($A358,'Historical Data'!$BE$2:$BE$1068,0)),"")</f>
        <v/>
      </c>
      <c r="D358" s="106" t="str">
        <f aca="false">IFERROR(INDEX('Historical Data'!$D$2:$D$1068,MATCH($A358,'Historical Data'!$BE$2:$BE$1068,0)),"")</f>
        <v/>
      </c>
      <c r="E358" s="107" t="str">
        <f aca="false">IFERROR(INDEX('Historical Data'!$E$2:$E$1068,MATCH($A358,'Historical Data'!$BE$2:$BE$1068,0)),"")</f>
        <v/>
      </c>
      <c r="F358" s="106" t="str">
        <f aca="false">IFERROR(INDEX('Historical Data'!$G$2:$G$1068,MATCH($A358,'Historical Data'!$BE$2:$BE$1068,0)),"")</f>
        <v/>
      </c>
      <c r="G358" s="106" t="str">
        <f aca="false">IFERROR(INDEX('Historical Data'!$Y$2:$Y$1068,MATCH($A358,'Historical Data'!$BE$2:$BE$1068,0)),"")</f>
        <v/>
      </c>
      <c r="H358" s="106" t="str">
        <f aca="false">IFERROR(INDEX('Historical Data'!$K$2:$K$1068,MATCH($A358,'Historical Data'!$BE$2:$BE$1068,0)),"")</f>
        <v/>
      </c>
      <c r="I358" s="106" t="str">
        <f aca="false">IFERROR(INDEX('Historical Data'!$J$2:$J$1068,MATCH($A358,'Historical Data'!$BE$2:$BE$1068,0)),"")</f>
        <v/>
      </c>
      <c r="J358" s="106" t="str">
        <f aca="false">IFERROR(INDEX('Historical Data'!$L$2:$L$1068,MATCH($A358,'Historical Data'!$BE$2:$BE$1068,0)),"")</f>
        <v/>
      </c>
      <c r="K358" s="108" t="str">
        <f aca="false">IFERROR(INDEX('Historical Data'!$M$2:$M$1068,MATCH($A358,'Historical Data'!$BE$2:$BE$1068,0)),"")</f>
        <v/>
      </c>
      <c r="L358" s="109" t="str">
        <f aca="false">IFERROR(INDEX('Historical Data'!$N$2:$N$1068,MATCH($A358,'Historical Data'!$BE$2:$BE$1068,0)),"")</f>
        <v/>
      </c>
      <c r="M358" s="109" t="str">
        <f aca="false">IFERROR(INDEX('Historical Data'!$Q$2:$Q$1068,MATCH($A358,'Historical Data'!$BE$2:$BE$1068,0)),"")</f>
        <v/>
      </c>
      <c r="N358" s="110" t="str">
        <f aca="false">IFERROR(INDEX('Historical Data'!$S$2:$S$1068,MATCH($A358,'Historical Data'!$BE$2:$BE$1068,0)),"")</f>
        <v/>
      </c>
      <c r="O358" s="109" t="str">
        <f aca="false">IFERROR(INDEX('Historical Data'!$AJ$2:$AJ$1068,MATCH($A358,'Historical Data'!$BE$2:$BE$1068,0)),"")</f>
        <v/>
      </c>
      <c r="P358" s="109" t="str">
        <f aca="false">IFERROR(INDEX('Historical Data'!$AK$2:$AK$1068,MATCH($A358,'Historical Data'!$BE$2:$BE$1068,0)),"")</f>
        <v/>
      </c>
      <c r="Q358" s="106" t="str">
        <f aca="false">IFERROR(INDEX('Historical Data'!$AA$2:$AA$1068,MATCH($A358,'Historical Data'!$BE$2:$BE$1068,0)),"")</f>
        <v/>
      </c>
      <c r="R358" s="106" t="str">
        <f aca="false">IFERROR(INDEX('Historical Data'!$AB$2:$AB$1068,MATCH($A358,'Historical Data'!$BE$2:$BE$1068,0)),"")</f>
        <v/>
      </c>
      <c r="S358" s="106" t="str">
        <f aca="false">IFERROR(INDEX('Historical Data'!$AN$2:$AN$1068,MATCH($A358,'Historical Data'!$BE$2:$BE$1068,0)),"")</f>
        <v/>
      </c>
      <c r="T358" s="106" t="str">
        <f aca="false">IFERROR(INDEX('Historical Data'!$AC$2:$AC$1068,MATCH($A358,'Historical Data'!$BE$2:$BE$1068,0)),"")</f>
        <v/>
      </c>
      <c r="U358" s="106" t="str">
        <f aca="false">IFERROR(INDEX('Historical Data'!$AE$2:$AE$1068,MATCH($A358,'Historical Data'!$BE$2:$BE$1068,0)),"")</f>
        <v/>
      </c>
      <c r="V358" s="106" t="str">
        <f aca="false">IFERROR(INDEX('Historical Data'!$AH$2:$AH$1068,MATCH($A358,'Historical Data'!$BE$2:$BE$1068,0)),"")</f>
        <v/>
      </c>
      <c r="W358" s="106" t="str">
        <f aca="false">IFERROR(INDEX('Historical Data'!$BC$2:$BC$1068,MATCH($A358,'Historical Data'!$BE$2:$BE$1068,0)),"")</f>
        <v/>
      </c>
      <c r="X358" s="105" t="str">
        <f aca="false">IF(B358="","",IF(W358=1,"NR + industry + position",IF(W358=2,"NR + ISO + position",IF(W358=3,"NR + industry",IF(W358=4,"NR + ISO",IF(W358=5,"NR + position",IF(W358=6,"NR only","book baseline"))))))&amp;"  ["&amp;IF(T358=1,"seasoned","unseasoned")&amp;IF(U358=1,", defaulted","")&amp;IF(V358=1,", open","")&amp;"]")</f>
        <v/>
      </c>
    </row>
    <row r="359" customFormat="false" ht="15" hidden="false" customHeight="false" outlineLevel="0" collapsed="false">
      <c r="A359" s="105" t="n">
        <v>355</v>
      </c>
      <c r="B359" s="106" t="str">
        <f aca="false">IFERROR(INDEX('Historical Data'!$A$2:$A$1068,MATCH($A359,'Historical Data'!$BE$2:$BE$1068,0)),"")</f>
        <v/>
      </c>
      <c r="C359" s="106" t="str">
        <f aca="false">IFERROR(INDEX('Historical Data'!$B$2:$B$1068,MATCH($A359,'Historical Data'!$BE$2:$BE$1068,0)),"")</f>
        <v/>
      </c>
      <c r="D359" s="106" t="str">
        <f aca="false">IFERROR(INDEX('Historical Data'!$D$2:$D$1068,MATCH($A359,'Historical Data'!$BE$2:$BE$1068,0)),"")</f>
        <v/>
      </c>
      <c r="E359" s="107" t="str">
        <f aca="false">IFERROR(INDEX('Historical Data'!$E$2:$E$1068,MATCH($A359,'Historical Data'!$BE$2:$BE$1068,0)),"")</f>
        <v/>
      </c>
      <c r="F359" s="106" t="str">
        <f aca="false">IFERROR(INDEX('Historical Data'!$G$2:$G$1068,MATCH($A359,'Historical Data'!$BE$2:$BE$1068,0)),"")</f>
        <v/>
      </c>
      <c r="G359" s="106" t="str">
        <f aca="false">IFERROR(INDEX('Historical Data'!$Y$2:$Y$1068,MATCH($A359,'Historical Data'!$BE$2:$BE$1068,0)),"")</f>
        <v/>
      </c>
      <c r="H359" s="106" t="str">
        <f aca="false">IFERROR(INDEX('Historical Data'!$K$2:$K$1068,MATCH($A359,'Historical Data'!$BE$2:$BE$1068,0)),"")</f>
        <v/>
      </c>
      <c r="I359" s="106" t="str">
        <f aca="false">IFERROR(INDEX('Historical Data'!$J$2:$J$1068,MATCH($A359,'Historical Data'!$BE$2:$BE$1068,0)),"")</f>
        <v/>
      </c>
      <c r="J359" s="106" t="str">
        <f aca="false">IFERROR(INDEX('Historical Data'!$L$2:$L$1068,MATCH($A359,'Historical Data'!$BE$2:$BE$1068,0)),"")</f>
        <v/>
      </c>
      <c r="K359" s="108" t="str">
        <f aca="false">IFERROR(INDEX('Historical Data'!$M$2:$M$1068,MATCH($A359,'Historical Data'!$BE$2:$BE$1068,0)),"")</f>
        <v/>
      </c>
      <c r="L359" s="109" t="str">
        <f aca="false">IFERROR(INDEX('Historical Data'!$N$2:$N$1068,MATCH($A359,'Historical Data'!$BE$2:$BE$1068,0)),"")</f>
        <v/>
      </c>
      <c r="M359" s="109" t="str">
        <f aca="false">IFERROR(INDEX('Historical Data'!$Q$2:$Q$1068,MATCH($A359,'Historical Data'!$BE$2:$BE$1068,0)),"")</f>
        <v/>
      </c>
      <c r="N359" s="110" t="str">
        <f aca="false">IFERROR(INDEX('Historical Data'!$S$2:$S$1068,MATCH($A359,'Historical Data'!$BE$2:$BE$1068,0)),"")</f>
        <v/>
      </c>
      <c r="O359" s="109" t="str">
        <f aca="false">IFERROR(INDEX('Historical Data'!$AJ$2:$AJ$1068,MATCH($A359,'Historical Data'!$BE$2:$BE$1068,0)),"")</f>
        <v/>
      </c>
      <c r="P359" s="109" t="str">
        <f aca="false">IFERROR(INDEX('Historical Data'!$AK$2:$AK$1068,MATCH($A359,'Historical Data'!$BE$2:$BE$1068,0)),"")</f>
        <v/>
      </c>
      <c r="Q359" s="106" t="str">
        <f aca="false">IFERROR(INDEX('Historical Data'!$AA$2:$AA$1068,MATCH($A359,'Historical Data'!$BE$2:$BE$1068,0)),"")</f>
        <v/>
      </c>
      <c r="R359" s="106" t="str">
        <f aca="false">IFERROR(INDEX('Historical Data'!$AB$2:$AB$1068,MATCH($A359,'Historical Data'!$BE$2:$BE$1068,0)),"")</f>
        <v/>
      </c>
      <c r="S359" s="106" t="str">
        <f aca="false">IFERROR(INDEX('Historical Data'!$AN$2:$AN$1068,MATCH($A359,'Historical Data'!$BE$2:$BE$1068,0)),"")</f>
        <v/>
      </c>
      <c r="T359" s="106" t="str">
        <f aca="false">IFERROR(INDEX('Historical Data'!$AC$2:$AC$1068,MATCH($A359,'Historical Data'!$BE$2:$BE$1068,0)),"")</f>
        <v/>
      </c>
      <c r="U359" s="106" t="str">
        <f aca="false">IFERROR(INDEX('Historical Data'!$AE$2:$AE$1068,MATCH($A359,'Historical Data'!$BE$2:$BE$1068,0)),"")</f>
        <v/>
      </c>
      <c r="V359" s="106" t="str">
        <f aca="false">IFERROR(INDEX('Historical Data'!$AH$2:$AH$1068,MATCH($A359,'Historical Data'!$BE$2:$BE$1068,0)),"")</f>
        <v/>
      </c>
      <c r="W359" s="106" t="str">
        <f aca="false">IFERROR(INDEX('Historical Data'!$BC$2:$BC$1068,MATCH($A359,'Historical Data'!$BE$2:$BE$1068,0)),"")</f>
        <v/>
      </c>
      <c r="X359" s="105" t="str">
        <f aca="false">IF(B359="","",IF(W359=1,"NR + industry + position",IF(W359=2,"NR + ISO + position",IF(W359=3,"NR + industry",IF(W359=4,"NR + ISO",IF(W359=5,"NR + position",IF(W359=6,"NR only","book baseline"))))))&amp;"  ["&amp;IF(T359=1,"seasoned","unseasoned")&amp;IF(U359=1,", defaulted","")&amp;IF(V359=1,", open","")&amp;"]")</f>
        <v/>
      </c>
    </row>
    <row r="360" customFormat="false" ht="15" hidden="false" customHeight="false" outlineLevel="0" collapsed="false">
      <c r="A360" s="105" t="n">
        <v>356</v>
      </c>
      <c r="B360" s="106" t="str">
        <f aca="false">IFERROR(INDEX('Historical Data'!$A$2:$A$1068,MATCH($A360,'Historical Data'!$BE$2:$BE$1068,0)),"")</f>
        <v/>
      </c>
      <c r="C360" s="106" t="str">
        <f aca="false">IFERROR(INDEX('Historical Data'!$B$2:$B$1068,MATCH($A360,'Historical Data'!$BE$2:$BE$1068,0)),"")</f>
        <v/>
      </c>
      <c r="D360" s="106" t="str">
        <f aca="false">IFERROR(INDEX('Historical Data'!$D$2:$D$1068,MATCH($A360,'Historical Data'!$BE$2:$BE$1068,0)),"")</f>
        <v/>
      </c>
      <c r="E360" s="107" t="str">
        <f aca="false">IFERROR(INDEX('Historical Data'!$E$2:$E$1068,MATCH($A360,'Historical Data'!$BE$2:$BE$1068,0)),"")</f>
        <v/>
      </c>
      <c r="F360" s="106" t="str">
        <f aca="false">IFERROR(INDEX('Historical Data'!$G$2:$G$1068,MATCH($A360,'Historical Data'!$BE$2:$BE$1068,0)),"")</f>
        <v/>
      </c>
      <c r="G360" s="106" t="str">
        <f aca="false">IFERROR(INDEX('Historical Data'!$Y$2:$Y$1068,MATCH($A360,'Historical Data'!$BE$2:$BE$1068,0)),"")</f>
        <v/>
      </c>
      <c r="H360" s="106" t="str">
        <f aca="false">IFERROR(INDEX('Historical Data'!$K$2:$K$1068,MATCH($A360,'Historical Data'!$BE$2:$BE$1068,0)),"")</f>
        <v/>
      </c>
      <c r="I360" s="106" t="str">
        <f aca="false">IFERROR(INDEX('Historical Data'!$J$2:$J$1068,MATCH($A360,'Historical Data'!$BE$2:$BE$1068,0)),"")</f>
        <v/>
      </c>
      <c r="J360" s="106" t="str">
        <f aca="false">IFERROR(INDEX('Historical Data'!$L$2:$L$1068,MATCH($A360,'Historical Data'!$BE$2:$BE$1068,0)),"")</f>
        <v/>
      </c>
      <c r="K360" s="108" t="str">
        <f aca="false">IFERROR(INDEX('Historical Data'!$M$2:$M$1068,MATCH($A360,'Historical Data'!$BE$2:$BE$1068,0)),"")</f>
        <v/>
      </c>
      <c r="L360" s="109" t="str">
        <f aca="false">IFERROR(INDEX('Historical Data'!$N$2:$N$1068,MATCH($A360,'Historical Data'!$BE$2:$BE$1068,0)),"")</f>
        <v/>
      </c>
      <c r="M360" s="109" t="str">
        <f aca="false">IFERROR(INDEX('Historical Data'!$Q$2:$Q$1068,MATCH($A360,'Historical Data'!$BE$2:$BE$1068,0)),"")</f>
        <v/>
      </c>
      <c r="N360" s="110" t="str">
        <f aca="false">IFERROR(INDEX('Historical Data'!$S$2:$S$1068,MATCH($A360,'Historical Data'!$BE$2:$BE$1068,0)),"")</f>
        <v/>
      </c>
      <c r="O360" s="109" t="str">
        <f aca="false">IFERROR(INDEX('Historical Data'!$AJ$2:$AJ$1068,MATCH($A360,'Historical Data'!$BE$2:$BE$1068,0)),"")</f>
        <v/>
      </c>
      <c r="P360" s="109" t="str">
        <f aca="false">IFERROR(INDEX('Historical Data'!$AK$2:$AK$1068,MATCH($A360,'Historical Data'!$BE$2:$BE$1068,0)),"")</f>
        <v/>
      </c>
      <c r="Q360" s="106" t="str">
        <f aca="false">IFERROR(INDEX('Historical Data'!$AA$2:$AA$1068,MATCH($A360,'Historical Data'!$BE$2:$BE$1068,0)),"")</f>
        <v/>
      </c>
      <c r="R360" s="106" t="str">
        <f aca="false">IFERROR(INDEX('Historical Data'!$AB$2:$AB$1068,MATCH($A360,'Historical Data'!$BE$2:$BE$1068,0)),"")</f>
        <v/>
      </c>
      <c r="S360" s="106" t="str">
        <f aca="false">IFERROR(INDEX('Historical Data'!$AN$2:$AN$1068,MATCH($A360,'Historical Data'!$BE$2:$BE$1068,0)),"")</f>
        <v/>
      </c>
      <c r="T360" s="106" t="str">
        <f aca="false">IFERROR(INDEX('Historical Data'!$AC$2:$AC$1068,MATCH($A360,'Historical Data'!$BE$2:$BE$1068,0)),"")</f>
        <v/>
      </c>
      <c r="U360" s="106" t="str">
        <f aca="false">IFERROR(INDEX('Historical Data'!$AE$2:$AE$1068,MATCH($A360,'Historical Data'!$BE$2:$BE$1068,0)),"")</f>
        <v/>
      </c>
      <c r="V360" s="106" t="str">
        <f aca="false">IFERROR(INDEX('Historical Data'!$AH$2:$AH$1068,MATCH($A360,'Historical Data'!$BE$2:$BE$1068,0)),"")</f>
        <v/>
      </c>
      <c r="W360" s="106" t="str">
        <f aca="false">IFERROR(INDEX('Historical Data'!$BC$2:$BC$1068,MATCH($A360,'Historical Data'!$BE$2:$BE$1068,0)),"")</f>
        <v/>
      </c>
      <c r="X360" s="105" t="str">
        <f aca="false">IF(B360="","",IF(W360=1,"NR + industry + position",IF(W360=2,"NR + ISO + position",IF(W360=3,"NR + industry",IF(W360=4,"NR + ISO",IF(W360=5,"NR + position",IF(W360=6,"NR only","book baseline"))))))&amp;"  ["&amp;IF(T360=1,"seasoned","unseasoned")&amp;IF(U360=1,", defaulted","")&amp;IF(V360=1,", open","")&amp;"]")</f>
        <v/>
      </c>
    </row>
    <row r="361" customFormat="false" ht="15" hidden="false" customHeight="false" outlineLevel="0" collapsed="false">
      <c r="A361" s="105" t="n">
        <v>357</v>
      </c>
      <c r="B361" s="106" t="str">
        <f aca="false">IFERROR(INDEX('Historical Data'!$A$2:$A$1068,MATCH($A361,'Historical Data'!$BE$2:$BE$1068,0)),"")</f>
        <v/>
      </c>
      <c r="C361" s="106" t="str">
        <f aca="false">IFERROR(INDEX('Historical Data'!$B$2:$B$1068,MATCH($A361,'Historical Data'!$BE$2:$BE$1068,0)),"")</f>
        <v/>
      </c>
      <c r="D361" s="106" t="str">
        <f aca="false">IFERROR(INDEX('Historical Data'!$D$2:$D$1068,MATCH($A361,'Historical Data'!$BE$2:$BE$1068,0)),"")</f>
        <v/>
      </c>
      <c r="E361" s="107" t="str">
        <f aca="false">IFERROR(INDEX('Historical Data'!$E$2:$E$1068,MATCH($A361,'Historical Data'!$BE$2:$BE$1068,0)),"")</f>
        <v/>
      </c>
      <c r="F361" s="106" t="str">
        <f aca="false">IFERROR(INDEX('Historical Data'!$G$2:$G$1068,MATCH($A361,'Historical Data'!$BE$2:$BE$1068,0)),"")</f>
        <v/>
      </c>
      <c r="G361" s="106" t="str">
        <f aca="false">IFERROR(INDEX('Historical Data'!$Y$2:$Y$1068,MATCH($A361,'Historical Data'!$BE$2:$BE$1068,0)),"")</f>
        <v/>
      </c>
      <c r="H361" s="106" t="str">
        <f aca="false">IFERROR(INDEX('Historical Data'!$K$2:$K$1068,MATCH($A361,'Historical Data'!$BE$2:$BE$1068,0)),"")</f>
        <v/>
      </c>
      <c r="I361" s="106" t="str">
        <f aca="false">IFERROR(INDEX('Historical Data'!$J$2:$J$1068,MATCH($A361,'Historical Data'!$BE$2:$BE$1068,0)),"")</f>
        <v/>
      </c>
      <c r="J361" s="106" t="str">
        <f aca="false">IFERROR(INDEX('Historical Data'!$L$2:$L$1068,MATCH($A361,'Historical Data'!$BE$2:$BE$1068,0)),"")</f>
        <v/>
      </c>
      <c r="K361" s="108" t="str">
        <f aca="false">IFERROR(INDEX('Historical Data'!$M$2:$M$1068,MATCH($A361,'Historical Data'!$BE$2:$BE$1068,0)),"")</f>
        <v/>
      </c>
      <c r="L361" s="109" t="str">
        <f aca="false">IFERROR(INDEX('Historical Data'!$N$2:$N$1068,MATCH($A361,'Historical Data'!$BE$2:$BE$1068,0)),"")</f>
        <v/>
      </c>
      <c r="M361" s="109" t="str">
        <f aca="false">IFERROR(INDEX('Historical Data'!$Q$2:$Q$1068,MATCH($A361,'Historical Data'!$BE$2:$BE$1068,0)),"")</f>
        <v/>
      </c>
      <c r="N361" s="110" t="str">
        <f aca="false">IFERROR(INDEX('Historical Data'!$S$2:$S$1068,MATCH($A361,'Historical Data'!$BE$2:$BE$1068,0)),"")</f>
        <v/>
      </c>
      <c r="O361" s="109" t="str">
        <f aca="false">IFERROR(INDEX('Historical Data'!$AJ$2:$AJ$1068,MATCH($A361,'Historical Data'!$BE$2:$BE$1068,0)),"")</f>
        <v/>
      </c>
      <c r="P361" s="109" t="str">
        <f aca="false">IFERROR(INDEX('Historical Data'!$AK$2:$AK$1068,MATCH($A361,'Historical Data'!$BE$2:$BE$1068,0)),"")</f>
        <v/>
      </c>
      <c r="Q361" s="106" t="str">
        <f aca="false">IFERROR(INDEX('Historical Data'!$AA$2:$AA$1068,MATCH($A361,'Historical Data'!$BE$2:$BE$1068,0)),"")</f>
        <v/>
      </c>
      <c r="R361" s="106" t="str">
        <f aca="false">IFERROR(INDEX('Historical Data'!$AB$2:$AB$1068,MATCH($A361,'Historical Data'!$BE$2:$BE$1068,0)),"")</f>
        <v/>
      </c>
      <c r="S361" s="106" t="str">
        <f aca="false">IFERROR(INDEX('Historical Data'!$AN$2:$AN$1068,MATCH($A361,'Historical Data'!$BE$2:$BE$1068,0)),"")</f>
        <v/>
      </c>
      <c r="T361" s="106" t="str">
        <f aca="false">IFERROR(INDEX('Historical Data'!$AC$2:$AC$1068,MATCH($A361,'Historical Data'!$BE$2:$BE$1068,0)),"")</f>
        <v/>
      </c>
      <c r="U361" s="106" t="str">
        <f aca="false">IFERROR(INDEX('Historical Data'!$AE$2:$AE$1068,MATCH($A361,'Historical Data'!$BE$2:$BE$1068,0)),"")</f>
        <v/>
      </c>
      <c r="V361" s="106" t="str">
        <f aca="false">IFERROR(INDEX('Historical Data'!$AH$2:$AH$1068,MATCH($A361,'Historical Data'!$BE$2:$BE$1068,0)),"")</f>
        <v/>
      </c>
      <c r="W361" s="106" t="str">
        <f aca="false">IFERROR(INDEX('Historical Data'!$BC$2:$BC$1068,MATCH($A361,'Historical Data'!$BE$2:$BE$1068,0)),"")</f>
        <v/>
      </c>
      <c r="X361" s="105" t="str">
        <f aca="false">IF(B361="","",IF(W361=1,"NR + industry + position",IF(W361=2,"NR + ISO + position",IF(W361=3,"NR + industry",IF(W361=4,"NR + ISO",IF(W361=5,"NR + position",IF(W361=6,"NR only","book baseline"))))))&amp;"  ["&amp;IF(T361=1,"seasoned","unseasoned")&amp;IF(U361=1,", defaulted","")&amp;IF(V361=1,", open","")&amp;"]")</f>
        <v/>
      </c>
    </row>
    <row r="362" customFormat="false" ht="15" hidden="false" customHeight="false" outlineLevel="0" collapsed="false">
      <c r="A362" s="105" t="n">
        <v>358</v>
      </c>
      <c r="B362" s="106" t="str">
        <f aca="false">IFERROR(INDEX('Historical Data'!$A$2:$A$1068,MATCH($A362,'Historical Data'!$BE$2:$BE$1068,0)),"")</f>
        <v/>
      </c>
      <c r="C362" s="106" t="str">
        <f aca="false">IFERROR(INDEX('Historical Data'!$B$2:$B$1068,MATCH($A362,'Historical Data'!$BE$2:$BE$1068,0)),"")</f>
        <v/>
      </c>
      <c r="D362" s="106" t="str">
        <f aca="false">IFERROR(INDEX('Historical Data'!$D$2:$D$1068,MATCH($A362,'Historical Data'!$BE$2:$BE$1068,0)),"")</f>
        <v/>
      </c>
      <c r="E362" s="107" t="str">
        <f aca="false">IFERROR(INDEX('Historical Data'!$E$2:$E$1068,MATCH($A362,'Historical Data'!$BE$2:$BE$1068,0)),"")</f>
        <v/>
      </c>
      <c r="F362" s="106" t="str">
        <f aca="false">IFERROR(INDEX('Historical Data'!$G$2:$G$1068,MATCH($A362,'Historical Data'!$BE$2:$BE$1068,0)),"")</f>
        <v/>
      </c>
      <c r="G362" s="106" t="str">
        <f aca="false">IFERROR(INDEX('Historical Data'!$Y$2:$Y$1068,MATCH($A362,'Historical Data'!$BE$2:$BE$1068,0)),"")</f>
        <v/>
      </c>
      <c r="H362" s="106" t="str">
        <f aca="false">IFERROR(INDEX('Historical Data'!$K$2:$K$1068,MATCH($A362,'Historical Data'!$BE$2:$BE$1068,0)),"")</f>
        <v/>
      </c>
      <c r="I362" s="106" t="str">
        <f aca="false">IFERROR(INDEX('Historical Data'!$J$2:$J$1068,MATCH($A362,'Historical Data'!$BE$2:$BE$1068,0)),"")</f>
        <v/>
      </c>
      <c r="J362" s="106" t="str">
        <f aca="false">IFERROR(INDEX('Historical Data'!$L$2:$L$1068,MATCH($A362,'Historical Data'!$BE$2:$BE$1068,0)),"")</f>
        <v/>
      </c>
      <c r="K362" s="108" t="str">
        <f aca="false">IFERROR(INDEX('Historical Data'!$M$2:$M$1068,MATCH($A362,'Historical Data'!$BE$2:$BE$1068,0)),"")</f>
        <v/>
      </c>
      <c r="L362" s="109" t="str">
        <f aca="false">IFERROR(INDEX('Historical Data'!$N$2:$N$1068,MATCH($A362,'Historical Data'!$BE$2:$BE$1068,0)),"")</f>
        <v/>
      </c>
      <c r="M362" s="109" t="str">
        <f aca="false">IFERROR(INDEX('Historical Data'!$Q$2:$Q$1068,MATCH($A362,'Historical Data'!$BE$2:$BE$1068,0)),"")</f>
        <v/>
      </c>
      <c r="N362" s="110" t="str">
        <f aca="false">IFERROR(INDEX('Historical Data'!$S$2:$S$1068,MATCH($A362,'Historical Data'!$BE$2:$BE$1068,0)),"")</f>
        <v/>
      </c>
      <c r="O362" s="109" t="str">
        <f aca="false">IFERROR(INDEX('Historical Data'!$AJ$2:$AJ$1068,MATCH($A362,'Historical Data'!$BE$2:$BE$1068,0)),"")</f>
        <v/>
      </c>
      <c r="P362" s="109" t="str">
        <f aca="false">IFERROR(INDEX('Historical Data'!$AK$2:$AK$1068,MATCH($A362,'Historical Data'!$BE$2:$BE$1068,0)),"")</f>
        <v/>
      </c>
      <c r="Q362" s="106" t="str">
        <f aca="false">IFERROR(INDEX('Historical Data'!$AA$2:$AA$1068,MATCH($A362,'Historical Data'!$BE$2:$BE$1068,0)),"")</f>
        <v/>
      </c>
      <c r="R362" s="106" t="str">
        <f aca="false">IFERROR(INDEX('Historical Data'!$AB$2:$AB$1068,MATCH($A362,'Historical Data'!$BE$2:$BE$1068,0)),"")</f>
        <v/>
      </c>
      <c r="S362" s="106" t="str">
        <f aca="false">IFERROR(INDEX('Historical Data'!$AN$2:$AN$1068,MATCH($A362,'Historical Data'!$BE$2:$BE$1068,0)),"")</f>
        <v/>
      </c>
      <c r="T362" s="106" t="str">
        <f aca="false">IFERROR(INDEX('Historical Data'!$AC$2:$AC$1068,MATCH($A362,'Historical Data'!$BE$2:$BE$1068,0)),"")</f>
        <v/>
      </c>
      <c r="U362" s="106" t="str">
        <f aca="false">IFERROR(INDEX('Historical Data'!$AE$2:$AE$1068,MATCH($A362,'Historical Data'!$BE$2:$BE$1068,0)),"")</f>
        <v/>
      </c>
      <c r="V362" s="106" t="str">
        <f aca="false">IFERROR(INDEX('Historical Data'!$AH$2:$AH$1068,MATCH($A362,'Historical Data'!$BE$2:$BE$1068,0)),"")</f>
        <v/>
      </c>
      <c r="W362" s="106" t="str">
        <f aca="false">IFERROR(INDEX('Historical Data'!$BC$2:$BC$1068,MATCH($A362,'Historical Data'!$BE$2:$BE$1068,0)),"")</f>
        <v/>
      </c>
      <c r="X362" s="105" t="str">
        <f aca="false">IF(B362="","",IF(W362=1,"NR + industry + position",IF(W362=2,"NR + ISO + position",IF(W362=3,"NR + industry",IF(W362=4,"NR + ISO",IF(W362=5,"NR + position",IF(W362=6,"NR only","book baseline"))))))&amp;"  ["&amp;IF(T362=1,"seasoned","unseasoned")&amp;IF(U362=1,", defaulted","")&amp;IF(V362=1,", open","")&amp;"]")</f>
        <v/>
      </c>
    </row>
    <row r="363" customFormat="false" ht="15" hidden="false" customHeight="false" outlineLevel="0" collapsed="false">
      <c r="A363" s="105" t="n">
        <v>359</v>
      </c>
      <c r="B363" s="106" t="str">
        <f aca="false">IFERROR(INDEX('Historical Data'!$A$2:$A$1068,MATCH($A363,'Historical Data'!$BE$2:$BE$1068,0)),"")</f>
        <v/>
      </c>
      <c r="C363" s="106" t="str">
        <f aca="false">IFERROR(INDEX('Historical Data'!$B$2:$B$1068,MATCH($A363,'Historical Data'!$BE$2:$BE$1068,0)),"")</f>
        <v/>
      </c>
      <c r="D363" s="106" t="str">
        <f aca="false">IFERROR(INDEX('Historical Data'!$D$2:$D$1068,MATCH($A363,'Historical Data'!$BE$2:$BE$1068,0)),"")</f>
        <v/>
      </c>
      <c r="E363" s="107" t="str">
        <f aca="false">IFERROR(INDEX('Historical Data'!$E$2:$E$1068,MATCH($A363,'Historical Data'!$BE$2:$BE$1068,0)),"")</f>
        <v/>
      </c>
      <c r="F363" s="106" t="str">
        <f aca="false">IFERROR(INDEX('Historical Data'!$G$2:$G$1068,MATCH($A363,'Historical Data'!$BE$2:$BE$1068,0)),"")</f>
        <v/>
      </c>
      <c r="G363" s="106" t="str">
        <f aca="false">IFERROR(INDEX('Historical Data'!$Y$2:$Y$1068,MATCH($A363,'Historical Data'!$BE$2:$BE$1068,0)),"")</f>
        <v/>
      </c>
      <c r="H363" s="106" t="str">
        <f aca="false">IFERROR(INDEX('Historical Data'!$K$2:$K$1068,MATCH($A363,'Historical Data'!$BE$2:$BE$1068,0)),"")</f>
        <v/>
      </c>
      <c r="I363" s="106" t="str">
        <f aca="false">IFERROR(INDEX('Historical Data'!$J$2:$J$1068,MATCH($A363,'Historical Data'!$BE$2:$BE$1068,0)),"")</f>
        <v/>
      </c>
      <c r="J363" s="106" t="str">
        <f aca="false">IFERROR(INDEX('Historical Data'!$L$2:$L$1068,MATCH($A363,'Historical Data'!$BE$2:$BE$1068,0)),"")</f>
        <v/>
      </c>
      <c r="K363" s="108" t="str">
        <f aca="false">IFERROR(INDEX('Historical Data'!$M$2:$M$1068,MATCH($A363,'Historical Data'!$BE$2:$BE$1068,0)),"")</f>
        <v/>
      </c>
      <c r="L363" s="109" t="str">
        <f aca="false">IFERROR(INDEX('Historical Data'!$N$2:$N$1068,MATCH($A363,'Historical Data'!$BE$2:$BE$1068,0)),"")</f>
        <v/>
      </c>
      <c r="M363" s="109" t="str">
        <f aca="false">IFERROR(INDEX('Historical Data'!$Q$2:$Q$1068,MATCH($A363,'Historical Data'!$BE$2:$BE$1068,0)),"")</f>
        <v/>
      </c>
      <c r="N363" s="110" t="str">
        <f aca="false">IFERROR(INDEX('Historical Data'!$S$2:$S$1068,MATCH($A363,'Historical Data'!$BE$2:$BE$1068,0)),"")</f>
        <v/>
      </c>
      <c r="O363" s="109" t="str">
        <f aca="false">IFERROR(INDEX('Historical Data'!$AJ$2:$AJ$1068,MATCH($A363,'Historical Data'!$BE$2:$BE$1068,0)),"")</f>
        <v/>
      </c>
      <c r="P363" s="109" t="str">
        <f aca="false">IFERROR(INDEX('Historical Data'!$AK$2:$AK$1068,MATCH($A363,'Historical Data'!$BE$2:$BE$1068,0)),"")</f>
        <v/>
      </c>
      <c r="Q363" s="106" t="str">
        <f aca="false">IFERROR(INDEX('Historical Data'!$AA$2:$AA$1068,MATCH($A363,'Historical Data'!$BE$2:$BE$1068,0)),"")</f>
        <v/>
      </c>
      <c r="R363" s="106" t="str">
        <f aca="false">IFERROR(INDEX('Historical Data'!$AB$2:$AB$1068,MATCH($A363,'Historical Data'!$BE$2:$BE$1068,0)),"")</f>
        <v/>
      </c>
      <c r="S363" s="106" t="str">
        <f aca="false">IFERROR(INDEX('Historical Data'!$AN$2:$AN$1068,MATCH($A363,'Historical Data'!$BE$2:$BE$1068,0)),"")</f>
        <v/>
      </c>
      <c r="T363" s="106" t="str">
        <f aca="false">IFERROR(INDEX('Historical Data'!$AC$2:$AC$1068,MATCH($A363,'Historical Data'!$BE$2:$BE$1068,0)),"")</f>
        <v/>
      </c>
      <c r="U363" s="106" t="str">
        <f aca="false">IFERROR(INDEX('Historical Data'!$AE$2:$AE$1068,MATCH($A363,'Historical Data'!$BE$2:$BE$1068,0)),"")</f>
        <v/>
      </c>
      <c r="V363" s="106" t="str">
        <f aca="false">IFERROR(INDEX('Historical Data'!$AH$2:$AH$1068,MATCH($A363,'Historical Data'!$BE$2:$BE$1068,0)),"")</f>
        <v/>
      </c>
      <c r="W363" s="106" t="str">
        <f aca="false">IFERROR(INDEX('Historical Data'!$BC$2:$BC$1068,MATCH($A363,'Historical Data'!$BE$2:$BE$1068,0)),"")</f>
        <v/>
      </c>
      <c r="X363" s="105" t="str">
        <f aca="false">IF(B363="","",IF(W363=1,"NR + industry + position",IF(W363=2,"NR + ISO + position",IF(W363=3,"NR + industry",IF(W363=4,"NR + ISO",IF(W363=5,"NR + position",IF(W363=6,"NR only","book baseline"))))))&amp;"  ["&amp;IF(T363=1,"seasoned","unseasoned")&amp;IF(U363=1,", defaulted","")&amp;IF(V363=1,", open","")&amp;"]")</f>
        <v/>
      </c>
    </row>
    <row r="364" customFormat="false" ht="15" hidden="false" customHeight="false" outlineLevel="0" collapsed="false">
      <c r="A364" s="105" t="n">
        <v>360</v>
      </c>
      <c r="B364" s="106" t="str">
        <f aca="false">IFERROR(INDEX('Historical Data'!$A$2:$A$1068,MATCH($A364,'Historical Data'!$BE$2:$BE$1068,0)),"")</f>
        <v/>
      </c>
      <c r="C364" s="106" t="str">
        <f aca="false">IFERROR(INDEX('Historical Data'!$B$2:$B$1068,MATCH($A364,'Historical Data'!$BE$2:$BE$1068,0)),"")</f>
        <v/>
      </c>
      <c r="D364" s="106" t="str">
        <f aca="false">IFERROR(INDEX('Historical Data'!$D$2:$D$1068,MATCH($A364,'Historical Data'!$BE$2:$BE$1068,0)),"")</f>
        <v/>
      </c>
      <c r="E364" s="107" t="str">
        <f aca="false">IFERROR(INDEX('Historical Data'!$E$2:$E$1068,MATCH($A364,'Historical Data'!$BE$2:$BE$1068,0)),"")</f>
        <v/>
      </c>
      <c r="F364" s="106" t="str">
        <f aca="false">IFERROR(INDEX('Historical Data'!$G$2:$G$1068,MATCH($A364,'Historical Data'!$BE$2:$BE$1068,0)),"")</f>
        <v/>
      </c>
      <c r="G364" s="106" t="str">
        <f aca="false">IFERROR(INDEX('Historical Data'!$Y$2:$Y$1068,MATCH($A364,'Historical Data'!$BE$2:$BE$1068,0)),"")</f>
        <v/>
      </c>
      <c r="H364" s="106" t="str">
        <f aca="false">IFERROR(INDEX('Historical Data'!$K$2:$K$1068,MATCH($A364,'Historical Data'!$BE$2:$BE$1068,0)),"")</f>
        <v/>
      </c>
      <c r="I364" s="106" t="str">
        <f aca="false">IFERROR(INDEX('Historical Data'!$J$2:$J$1068,MATCH($A364,'Historical Data'!$BE$2:$BE$1068,0)),"")</f>
        <v/>
      </c>
      <c r="J364" s="106" t="str">
        <f aca="false">IFERROR(INDEX('Historical Data'!$L$2:$L$1068,MATCH($A364,'Historical Data'!$BE$2:$BE$1068,0)),"")</f>
        <v/>
      </c>
      <c r="K364" s="108" t="str">
        <f aca="false">IFERROR(INDEX('Historical Data'!$M$2:$M$1068,MATCH($A364,'Historical Data'!$BE$2:$BE$1068,0)),"")</f>
        <v/>
      </c>
      <c r="L364" s="109" t="str">
        <f aca="false">IFERROR(INDEX('Historical Data'!$N$2:$N$1068,MATCH($A364,'Historical Data'!$BE$2:$BE$1068,0)),"")</f>
        <v/>
      </c>
      <c r="M364" s="109" t="str">
        <f aca="false">IFERROR(INDEX('Historical Data'!$Q$2:$Q$1068,MATCH($A364,'Historical Data'!$BE$2:$BE$1068,0)),"")</f>
        <v/>
      </c>
      <c r="N364" s="110" t="str">
        <f aca="false">IFERROR(INDEX('Historical Data'!$S$2:$S$1068,MATCH($A364,'Historical Data'!$BE$2:$BE$1068,0)),"")</f>
        <v/>
      </c>
      <c r="O364" s="109" t="str">
        <f aca="false">IFERROR(INDEX('Historical Data'!$AJ$2:$AJ$1068,MATCH($A364,'Historical Data'!$BE$2:$BE$1068,0)),"")</f>
        <v/>
      </c>
      <c r="P364" s="109" t="str">
        <f aca="false">IFERROR(INDEX('Historical Data'!$AK$2:$AK$1068,MATCH($A364,'Historical Data'!$BE$2:$BE$1068,0)),"")</f>
        <v/>
      </c>
      <c r="Q364" s="106" t="str">
        <f aca="false">IFERROR(INDEX('Historical Data'!$AA$2:$AA$1068,MATCH($A364,'Historical Data'!$BE$2:$BE$1068,0)),"")</f>
        <v/>
      </c>
      <c r="R364" s="106" t="str">
        <f aca="false">IFERROR(INDEX('Historical Data'!$AB$2:$AB$1068,MATCH($A364,'Historical Data'!$BE$2:$BE$1068,0)),"")</f>
        <v/>
      </c>
      <c r="S364" s="106" t="str">
        <f aca="false">IFERROR(INDEX('Historical Data'!$AN$2:$AN$1068,MATCH($A364,'Historical Data'!$BE$2:$BE$1068,0)),"")</f>
        <v/>
      </c>
      <c r="T364" s="106" t="str">
        <f aca="false">IFERROR(INDEX('Historical Data'!$AC$2:$AC$1068,MATCH($A364,'Historical Data'!$BE$2:$BE$1068,0)),"")</f>
        <v/>
      </c>
      <c r="U364" s="106" t="str">
        <f aca="false">IFERROR(INDEX('Historical Data'!$AE$2:$AE$1068,MATCH($A364,'Historical Data'!$BE$2:$BE$1068,0)),"")</f>
        <v/>
      </c>
      <c r="V364" s="106" t="str">
        <f aca="false">IFERROR(INDEX('Historical Data'!$AH$2:$AH$1068,MATCH($A364,'Historical Data'!$BE$2:$BE$1068,0)),"")</f>
        <v/>
      </c>
      <c r="W364" s="106" t="str">
        <f aca="false">IFERROR(INDEX('Historical Data'!$BC$2:$BC$1068,MATCH($A364,'Historical Data'!$BE$2:$BE$1068,0)),"")</f>
        <v/>
      </c>
      <c r="X364" s="105" t="str">
        <f aca="false">IF(B364="","",IF(W364=1,"NR + industry + position",IF(W364=2,"NR + ISO + position",IF(W364=3,"NR + industry",IF(W364=4,"NR + ISO",IF(W364=5,"NR + position",IF(W364=6,"NR only","book baseline"))))))&amp;"  ["&amp;IF(T364=1,"seasoned","unseasoned")&amp;IF(U364=1,", defaulted","")&amp;IF(V364=1,", open","")&amp;"]")</f>
        <v/>
      </c>
    </row>
    <row r="365" customFormat="false" ht="15" hidden="false" customHeight="false" outlineLevel="0" collapsed="false">
      <c r="A365" s="105" t="n">
        <v>361</v>
      </c>
      <c r="B365" s="106" t="str">
        <f aca="false">IFERROR(INDEX('Historical Data'!$A$2:$A$1068,MATCH($A365,'Historical Data'!$BE$2:$BE$1068,0)),"")</f>
        <v/>
      </c>
      <c r="C365" s="106" t="str">
        <f aca="false">IFERROR(INDEX('Historical Data'!$B$2:$B$1068,MATCH($A365,'Historical Data'!$BE$2:$BE$1068,0)),"")</f>
        <v/>
      </c>
      <c r="D365" s="106" t="str">
        <f aca="false">IFERROR(INDEX('Historical Data'!$D$2:$D$1068,MATCH($A365,'Historical Data'!$BE$2:$BE$1068,0)),"")</f>
        <v/>
      </c>
      <c r="E365" s="107" t="str">
        <f aca="false">IFERROR(INDEX('Historical Data'!$E$2:$E$1068,MATCH($A365,'Historical Data'!$BE$2:$BE$1068,0)),"")</f>
        <v/>
      </c>
      <c r="F365" s="106" t="str">
        <f aca="false">IFERROR(INDEX('Historical Data'!$G$2:$G$1068,MATCH($A365,'Historical Data'!$BE$2:$BE$1068,0)),"")</f>
        <v/>
      </c>
      <c r="G365" s="106" t="str">
        <f aca="false">IFERROR(INDEX('Historical Data'!$Y$2:$Y$1068,MATCH($A365,'Historical Data'!$BE$2:$BE$1068,0)),"")</f>
        <v/>
      </c>
      <c r="H365" s="106" t="str">
        <f aca="false">IFERROR(INDEX('Historical Data'!$K$2:$K$1068,MATCH($A365,'Historical Data'!$BE$2:$BE$1068,0)),"")</f>
        <v/>
      </c>
      <c r="I365" s="106" t="str">
        <f aca="false">IFERROR(INDEX('Historical Data'!$J$2:$J$1068,MATCH($A365,'Historical Data'!$BE$2:$BE$1068,0)),"")</f>
        <v/>
      </c>
      <c r="J365" s="106" t="str">
        <f aca="false">IFERROR(INDEX('Historical Data'!$L$2:$L$1068,MATCH($A365,'Historical Data'!$BE$2:$BE$1068,0)),"")</f>
        <v/>
      </c>
      <c r="K365" s="108" t="str">
        <f aca="false">IFERROR(INDEX('Historical Data'!$M$2:$M$1068,MATCH($A365,'Historical Data'!$BE$2:$BE$1068,0)),"")</f>
        <v/>
      </c>
      <c r="L365" s="109" t="str">
        <f aca="false">IFERROR(INDEX('Historical Data'!$N$2:$N$1068,MATCH($A365,'Historical Data'!$BE$2:$BE$1068,0)),"")</f>
        <v/>
      </c>
      <c r="M365" s="109" t="str">
        <f aca="false">IFERROR(INDEX('Historical Data'!$Q$2:$Q$1068,MATCH($A365,'Historical Data'!$BE$2:$BE$1068,0)),"")</f>
        <v/>
      </c>
      <c r="N365" s="110" t="str">
        <f aca="false">IFERROR(INDEX('Historical Data'!$S$2:$S$1068,MATCH($A365,'Historical Data'!$BE$2:$BE$1068,0)),"")</f>
        <v/>
      </c>
      <c r="O365" s="109" t="str">
        <f aca="false">IFERROR(INDEX('Historical Data'!$AJ$2:$AJ$1068,MATCH($A365,'Historical Data'!$BE$2:$BE$1068,0)),"")</f>
        <v/>
      </c>
      <c r="P365" s="109" t="str">
        <f aca="false">IFERROR(INDEX('Historical Data'!$AK$2:$AK$1068,MATCH($A365,'Historical Data'!$BE$2:$BE$1068,0)),"")</f>
        <v/>
      </c>
      <c r="Q365" s="106" t="str">
        <f aca="false">IFERROR(INDEX('Historical Data'!$AA$2:$AA$1068,MATCH($A365,'Historical Data'!$BE$2:$BE$1068,0)),"")</f>
        <v/>
      </c>
      <c r="R365" s="106" t="str">
        <f aca="false">IFERROR(INDEX('Historical Data'!$AB$2:$AB$1068,MATCH($A365,'Historical Data'!$BE$2:$BE$1068,0)),"")</f>
        <v/>
      </c>
      <c r="S365" s="106" t="str">
        <f aca="false">IFERROR(INDEX('Historical Data'!$AN$2:$AN$1068,MATCH($A365,'Historical Data'!$BE$2:$BE$1068,0)),"")</f>
        <v/>
      </c>
      <c r="T365" s="106" t="str">
        <f aca="false">IFERROR(INDEX('Historical Data'!$AC$2:$AC$1068,MATCH($A365,'Historical Data'!$BE$2:$BE$1068,0)),"")</f>
        <v/>
      </c>
      <c r="U365" s="106" t="str">
        <f aca="false">IFERROR(INDEX('Historical Data'!$AE$2:$AE$1068,MATCH($A365,'Historical Data'!$BE$2:$BE$1068,0)),"")</f>
        <v/>
      </c>
      <c r="V365" s="106" t="str">
        <f aca="false">IFERROR(INDEX('Historical Data'!$AH$2:$AH$1068,MATCH($A365,'Historical Data'!$BE$2:$BE$1068,0)),"")</f>
        <v/>
      </c>
      <c r="W365" s="106" t="str">
        <f aca="false">IFERROR(INDEX('Historical Data'!$BC$2:$BC$1068,MATCH($A365,'Historical Data'!$BE$2:$BE$1068,0)),"")</f>
        <v/>
      </c>
      <c r="X365" s="105" t="str">
        <f aca="false">IF(B365="","",IF(W365=1,"NR + industry + position",IF(W365=2,"NR + ISO + position",IF(W365=3,"NR + industry",IF(W365=4,"NR + ISO",IF(W365=5,"NR + position",IF(W365=6,"NR only","book baseline"))))))&amp;"  ["&amp;IF(T365=1,"seasoned","unseasoned")&amp;IF(U365=1,", defaulted","")&amp;IF(V365=1,", open","")&amp;"]")</f>
        <v/>
      </c>
    </row>
    <row r="366" customFormat="false" ht="15" hidden="false" customHeight="false" outlineLevel="0" collapsed="false">
      <c r="A366" s="105" t="n">
        <v>362</v>
      </c>
      <c r="B366" s="106" t="str">
        <f aca="false">IFERROR(INDEX('Historical Data'!$A$2:$A$1068,MATCH($A366,'Historical Data'!$BE$2:$BE$1068,0)),"")</f>
        <v/>
      </c>
      <c r="C366" s="106" t="str">
        <f aca="false">IFERROR(INDEX('Historical Data'!$B$2:$B$1068,MATCH($A366,'Historical Data'!$BE$2:$BE$1068,0)),"")</f>
        <v/>
      </c>
      <c r="D366" s="106" t="str">
        <f aca="false">IFERROR(INDEX('Historical Data'!$D$2:$D$1068,MATCH($A366,'Historical Data'!$BE$2:$BE$1068,0)),"")</f>
        <v/>
      </c>
      <c r="E366" s="107" t="str">
        <f aca="false">IFERROR(INDEX('Historical Data'!$E$2:$E$1068,MATCH($A366,'Historical Data'!$BE$2:$BE$1068,0)),"")</f>
        <v/>
      </c>
      <c r="F366" s="106" t="str">
        <f aca="false">IFERROR(INDEX('Historical Data'!$G$2:$G$1068,MATCH($A366,'Historical Data'!$BE$2:$BE$1068,0)),"")</f>
        <v/>
      </c>
      <c r="G366" s="106" t="str">
        <f aca="false">IFERROR(INDEX('Historical Data'!$Y$2:$Y$1068,MATCH($A366,'Historical Data'!$BE$2:$BE$1068,0)),"")</f>
        <v/>
      </c>
      <c r="H366" s="106" t="str">
        <f aca="false">IFERROR(INDEX('Historical Data'!$K$2:$K$1068,MATCH($A366,'Historical Data'!$BE$2:$BE$1068,0)),"")</f>
        <v/>
      </c>
      <c r="I366" s="106" t="str">
        <f aca="false">IFERROR(INDEX('Historical Data'!$J$2:$J$1068,MATCH($A366,'Historical Data'!$BE$2:$BE$1068,0)),"")</f>
        <v/>
      </c>
      <c r="J366" s="106" t="str">
        <f aca="false">IFERROR(INDEX('Historical Data'!$L$2:$L$1068,MATCH($A366,'Historical Data'!$BE$2:$BE$1068,0)),"")</f>
        <v/>
      </c>
      <c r="K366" s="108" t="str">
        <f aca="false">IFERROR(INDEX('Historical Data'!$M$2:$M$1068,MATCH($A366,'Historical Data'!$BE$2:$BE$1068,0)),"")</f>
        <v/>
      </c>
      <c r="L366" s="109" t="str">
        <f aca="false">IFERROR(INDEX('Historical Data'!$N$2:$N$1068,MATCH($A366,'Historical Data'!$BE$2:$BE$1068,0)),"")</f>
        <v/>
      </c>
      <c r="M366" s="109" t="str">
        <f aca="false">IFERROR(INDEX('Historical Data'!$Q$2:$Q$1068,MATCH($A366,'Historical Data'!$BE$2:$BE$1068,0)),"")</f>
        <v/>
      </c>
      <c r="N366" s="110" t="str">
        <f aca="false">IFERROR(INDEX('Historical Data'!$S$2:$S$1068,MATCH($A366,'Historical Data'!$BE$2:$BE$1068,0)),"")</f>
        <v/>
      </c>
      <c r="O366" s="109" t="str">
        <f aca="false">IFERROR(INDEX('Historical Data'!$AJ$2:$AJ$1068,MATCH($A366,'Historical Data'!$BE$2:$BE$1068,0)),"")</f>
        <v/>
      </c>
      <c r="P366" s="109" t="str">
        <f aca="false">IFERROR(INDEX('Historical Data'!$AK$2:$AK$1068,MATCH($A366,'Historical Data'!$BE$2:$BE$1068,0)),"")</f>
        <v/>
      </c>
      <c r="Q366" s="106" t="str">
        <f aca="false">IFERROR(INDEX('Historical Data'!$AA$2:$AA$1068,MATCH($A366,'Historical Data'!$BE$2:$BE$1068,0)),"")</f>
        <v/>
      </c>
      <c r="R366" s="106" t="str">
        <f aca="false">IFERROR(INDEX('Historical Data'!$AB$2:$AB$1068,MATCH($A366,'Historical Data'!$BE$2:$BE$1068,0)),"")</f>
        <v/>
      </c>
      <c r="S366" s="106" t="str">
        <f aca="false">IFERROR(INDEX('Historical Data'!$AN$2:$AN$1068,MATCH($A366,'Historical Data'!$BE$2:$BE$1068,0)),"")</f>
        <v/>
      </c>
      <c r="T366" s="106" t="str">
        <f aca="false">IFERROR(INDEX('Historical Data'!$AC$2:$AC$1068,MATCH($A366,'Historical Data'!$BE$2:$BE$1068,0)),"")</f>
        <v/>
      </c>
      <c r="U366" s="106" t="str">
        <f aca="false">IFERROR(INDEX('Historical Data'!$AE$2:$AE$1068,MATCH($A366,'Historical Data'!$BE$2:$BE$1068,0)),"")</f>
        <v/>
      </c>
      <c r="V366" s="106" t="str">
        <f aca="false">IFERROR(INDEX('Historical Data'!$AH$2:$AH$1068,MATCH($A366,'Historical Data'!$BE$2:$BE$1068,0)),"")</f>
        <v/>
      </c>
      <c r="W366" s="106" t="str">
        <f aca="false">IFERROR(INDEX('Historical Data'!$BC$2:$BC$1068,MATCH($A366,'Historical Data'!$BE$2:$BE$1068,0)),"")</f>
        <v/>
      </c>
      <c r="X366" s="105" t="str">
        <f aca="false">IF(B366="","",IF(W366=1,"NR + industry + position",IF(W366=2,"NR + ISO + position",IF(W366=3,"NR + industry",IF(W366=4,"NR + ISO",IF(W366=5,"NR + position",IF(W366=6,"NR only","book baseline"))))))&amp;"  ["&amp;IF(T366=1,"seasoned","unseasoned")&amp;IF(U366=1,", defaulted","")&amp;IF(V366=1,", open","")&amp;"]")</f>
        <v/>
      </c>
    </row>
    <row r="367" customFormat="false" ht="15" hidden="false" customHeight="false" outlineLevel="0" collapsed="false">
      <c r="A367" s="105" t="n">
        <v>363</v>
      </c>
      <c r="B367" s="106" t="str">
        <f aca="false">IFERROR(INDEX('Historical Data'!$A$2:$A$1068,MATCH($A367,'Historical Data'!$BE$2:$BE$1068,0)),"")</f>
        <v/>
      </c>
      <c r="C367" s="106" t="str">
        <f aca="false">IFERROR(INDEX('Historical Data'!$B$2:$B$1068,MATCH($A367,'Historical Data'!$BE$2:$BE$1068,0)),"")</f>
        <v/>
      </c>
      <c r="D367" s="106" t="str">
        <f aca="false">IFERROR(INDEX('Historical Data'!$D$2:$D$1068,MATCH($A367,'Historical Data'!$BE$2:$BE$1068,0)),"")</f>
        <v/>
      </c>
      <c r="E367" s="107" t="str">
        <f aca="false">IFERROR(INDEX('Historical Data'!$E$2:$E$1068,MATCH($A367,'Historical Data'!$BE$2:$BE$1068,0)),"")</f>
        <v/>
      </c>
      <c r="F367" s="106" t="str">
        <f aca="false">IFERROR(INDEX('Historical Data'!$G$2:$G$1068,MATCH($A367,'Historical Data'!$BE$2:$BE$1068,0)),"")</f>
        <v/>
      </c>
      <c r="G367" s="106" t="str">
        <f aca="false">IFERROR(INDEX('Historical Data'!$Y$2:$Y$1068,MATCH($A367,'Historical Data'!$BE$2:$BE$1068,0)),"")</f>
        <v/>
      </c>
      <c r="H367" s="106" t="str">
        <f aca="false">IFERROR(INDEX('Historical Data'!$K$2:$K$1068,MATCH($A367,'Historical Data'!$BE$2:$BE$1068,0)),"")</f>
        <v/>
      </c>
      <c r="I367" s="106" t="str">
        <f aca="false">IFERROR(INDEX('Historical Data'!$J$2:$J$1068,MATCH($A367,'Historical Data'!$BE$2:$BE$1068,0)),"")</f>
        <v/>
      </c>
      <c r="J367" s="106" t="str">
        <f aca="false">IFERROR(INDEX('Historical Data'!$L$2:$L$1068,MATCH($A367,'Historical Data'!$BE$2:$BE$1068,0)),"")</f>
        <v/>
      </c>
      <c r="K367" s="108" t="str">
        <f aca="false">IFERROR(INDEX('Historical Data'!$M$2:$M$1068,MATCH($A367,'Historical Data'!$BE$2:$BE$1068,0)),"")</f>
        <v/>
      </c>
      <c r="L367" s="109" t="str">
        <f aca="false">IFERROR(INDEX('Historical Data'!$N$2:$N$1068,MATCH($A367,'Historical Data'!$BE$2:$BE$1068,0)),"")</f>
        <v/>
      </c>
      <c r="M367" s="109" t="str">
        <f aca="false">IFERROR(INDEX('Historical Data'!$Q$2:$Q$1068,MATCH($A367,'Historical Data'!$BE$2:$BE$1068,0)),"")</f>
        <v/>
      </c>
      <c r="N367" s="110" t="str">
        <f aca="false">IFERROR(INDEX('Historical Data'!$S$2:$S$1068,MATCH($A367,'Historical Data'!$BE$2:$BE$1068,0)),"")</f>
        <v/>
      </c>
      <c r="O367" s="109" t="str">
        <f aca="false">IFERROR(INDEX('Historical Data'!$AJ$2:$AJ$1068,MATCH($A367,'Historical Data'!$BE$2:$BE$1068,0)),"")</f>
        <v/>
      </c>
      <c r="P367" s="109" t="str">
        <f aca="false">IFERROR(INDEX('Historical Data'!$AK$2:$AK$1068,MATCH($A367,'Historical Data'!$BE$2:$BE$1068,0)),"")</f>
        <v/>
      </c>
      <c r="Q367" s="106" t="str">
        <f aca="false">IFERROR(INDEX('Historical Data'!$AA$2:$AA$1068,MATCH($A367,'Historical Data'!$BE$2:$BE$1068,0)),"")</f>
        <v/>
      </c>
      <c r="R367" s="106" t="str">
        <f aca="false">IFERROR(INDEX('Historical Data'!$AB$2:$AB$1068,MATCH($A367,'Historical Data'!$BE$2:$BE$1068,0)),"")</f>
        <v/>
      </c>
      <c r="S367" s="106" t="str">
        <f aca="false">IFERROR(INDEX('Historical Data'!$AN$2:$AN$1068,MATCH($A367,'Historical Data'!$BE$2:$BE$1068,0)),"")</f>
        <v/>
      </c>
      <c r="T367" s="106" t="str">
        <f aca="false">IFERROR(INDEX('Historical Data'!$AC$2:$AC$1068,MATCH($A367,'Historical Data'!$BE$2:$BE$1068,0)),"")</f>
        <v/>
      </c>
      <c r="U367" s="106" t="str">
        <f aca="false">IFERROR(INDEX('Historical Data'!$AE$2:$AE$1068,MATCH($A367,'Historical Data'!$BE$2:$BE$1068,0)),"")</f>
        <v/>
      </c>
      <c r="V367" s="106" t="str">
        <f aca="false">IFERROR(INDEX('Historical Data'!$AH$2:$AH$1068,MATCH($A367,'Historical Data'!$BE$2:$BE$1068,0)),"")</f>
        <v/>
      </c>
      <c r="W367" s="106" t="str">
        <f aca="false">IFERROR(INDEX('Historical Data'!$BC$2:$BC$1068,MATCH($A367,'Historical Data'!$BE$2:$BE$1068,0)),"")</f>
        <v/>
      </c>
      <c r="X367" s="105" t="str">
        <f aca="false">IF(B367="","",IF(W367=1,"NR + industry + position",IF(W367=2,"NR + ISO + position",IF(W367=3,"NR + industry",IF(W367=4,"NR + ISO",IF(W367=5,"NR + position",IF(W367=6,"NR only","book baseline"))))))&amp;"  ["&amp;IF(T367=1,"seasoned","unseasoned")&amp;IF(U367=1,", defaulted","")&amp;IF(V367=1,", open","")&amp;"]")</f>
        <v/>
      </c>
    </row>
    <row r="368" customFormat="false" ht="15" hidden="false" customHeight="false" outlineLevel="0" collapsed="false">
      <c r="A368" s="105" t="n">
        <v>364</v>
      </c>
      <c r="B368" s="106" t="str">
        <f aca="false">IFERROR(INDEX('Historical Data'!$A$2:$A$1068,MATCH($A368,'Historical Data'!$BE$2:$BE$1068,0)),"")</f>
        <v/>
      </c>
      <c r="C368" s="106" t="str">
        <f aca="false">IFERROR(INDEX('Historical Data'!$B$2:$B$1068,MATCH($A368,'Historical Data'!$BE$2:$BE$1068,0)),"")</f>
        <v/>
      </c>
      <c r="D368" s="106" t="str">
        <f aca="false">IFERROR(INDEX('Historical Data'!$D$2:$D$1068,MATCH($A368,'Historical Data'!$BE$2:$BE$1068,0)),"")</f>
        <v/>
      </c>
      <c r="E368" s="107" t="str">
        <f aca="false">IFERROR(INDEX('Historical Data'!$E$2:$E$1068,MATCH($A368,'Historical Data'!$BE$2:$BE$1068,0)),"")</f>
        <v/>
      </c>
      <c r="F368" s="106" t="str">
        <f aca="false">IFERROR(INDEX('Historical Data'!$G$2:$G$1068,MATCH($A368,'Historical Data'!$BE$2:$BE$1068,0)),"")</f>
        <v/>
      </c>
      <c r="G368" s="106" t="str">
        <f aca="false">IFERROR(INDEX('Historical Data'!$Y$2:$Y$1068,MATCH($A368,'Historical Data'!$BE$2:$BE$1068,0)),"")</f>
        <v/>
      </c>
      <c r="H368" s="106" t="str">
        <f aca="false">IFERROR(INDEX('Historical Data'!$K$2:$K$1068,MATCH($A368,'Historical Data'!$BE$2:$BE$1068,0)),"")</f>
        <v/>
      </c>
      <c r="I368" s="106" t="str">
        <f aca="false">IFERROR(INDEX('Historical Data'!$J$2:$J$1068,MATCH($A368,'Historical Data'!$BE$2:$BE$1068,0)),"")</f>
        <v/>
      </c>
      <c r="J368" s="106" t="str">
        <f aca="false">IFERROR(INDEX('Historical Data'!$L$2:$L$1068,MATCH($A368,'Historical Data'!$BE$2:$BE$1068,0)),"")</f>
        <v/>
      </c>
      <c r="K368" s="108" t="str">
        <f aca="false">IFERROR(INDEX('Historical Data'!$M$2:$M$1068,MATCH($A368,'Historical Data'!$BE$2:$BE$1068,0)),"")</f>
        <v/>
      </c>
      <c r="L368" s="109" t="str">
        <f aca="false">IFERROR(INDEX('Historical Data'!$N$2:$N$1068,MATCH($A368,'Historical Data'!$BE$2:$BE$1068,0)),"")</f>
        <v/>
      </c>
      <c r="M368" s="109" t="str">
        <f aca="false">IFERROR(INDEX('Historical Data'!$Q$2:$Q$1068,MATCH($A368,'Historical Data'!$BE$2:$BE$1068,0)),"")</f>
        <v/>
      </c>
      <c r="N368" s="110" t="str">
        <f aca="false">IFERROR(INDEX('Historical Data'!$S$2:$S$1068,MATCH($A368,'Historical Data'!$BE$2:$BE$1068,0)),"")</f>
        <v/>
      </c>
      <c r="O368" s="109" t="str">
        <f aca="false">IFERROR(INDEX('Historical Data'!$AJ$2:$AJ$1068,MATCH($A368,'Historical Data'!$BE$2:$BE$1068,0)),"")</f>
        <v/>
      </c>
      <c r="P368" s="109" t="str">
        <f aca="false">IFERROR(INDEX('Historical Data'!$AK$2:$AK$1068,MATCH($A368,'Historical Data'!$BE$2:$BE$1068,0)),"")</f>
        <v/>
      </c>
      <c r="Q368" s="106" t="str">
        <f aca="false">IFERROR(INDEX('Historical Data'!$AA$2:$AA$1068,MATCH($A368,'Historical Data'!$BE$2:$BE$1068,0)),"")</f>
        <v/>
      </c>
      <c r="R368" s="106" t="str">
        <f aca="false">IFERROR(INDEX('Historical Data'!$AB$2:$AB$1068,MATCH($A368,'Historical Data'!$BE$2:$BE$1068,0)),"")</f>
        <v/>
      </c>
      <c r="S368" s="106" t="str">
        <f aca="false">IFERROR(INDEX('Historical Data'!$AN$2:$AN$1068,MATCH($A368,'Historical Data'!$BE$2:$BE$1068,0)),"")</f>
        <v/>
      </c>
      <c r="T368" s="106" t="str">
        <f aca="false">IFERROR(INDEX('Historical Data'!$AC$2:$AC$1068,MATCH($A368,'Historical Data'!$BE$2:$BE$1068,0)),"")</f>
        <v/>
      </c>
      <c r="U368" s="106" t="str">
        <f aca="false">IFERROR(INDEX('Historical Data'!$AE$2:$AE$1068,MATCH($A368,'Historical Data'!$BE$2:$BE$1068,0)),"")</f>
        <v/>
      </c>
      <c r="V368" s="106" t="str">
        <f aca="false">IFERROR(INDEX('Historical Data'!$AH$2:$AH$1068,MATCH($A368,'Historical Data'!$BE$2:$BE$1068,0)),"")</f>
        <v/>
      </c>
      <c r="W368" s="106" t="str">
        <f aca="false">IFERROR(INDEX('Historical Data'!$BC$2:$BC$1068,MATCH($A368,'Historical Data'!$BE$2:$BE$1068,0)),"")</f>
        <v/>
      </c>
      <c r="X368" s="105" t="str">
        <f aca="false">IF(B368="","",IF(W368=1,"NR + industry + position",IF(W368=2,"NR + ISO + position",IF(W368=3,"NR + industry",IF(W368=4,"NR + ISO",IF(W368=5,"NR + position",IF(W368=6,"NR only","book baseline"))))))&amp;"  ["&amp;IF(T368=1,"seasoned","unseasoned")&amp;IF(U368=1,", defaulted","")&amp;IF(V368=1,", open","")&amp;"]")</f>
        <v/>
      </c>
    </row>
    <row r="369" customFormat="false" ht="15" hidden="false" customHeight="false" outlineLevel="0" collapsed="false">
      <c r="A369" s="105" t="n">
        <v>365</v>
      </c>
      <c r="B369" s="106" t="str">
        <f aca="false">IFERROR(INDEX('Historical Data'!$A$2:$A$1068,MATCH($A369,'Historical Data'!$BE$2:$BE$1068,0)),"")</f>
        <v/>
      </c>
      <c r="C369" s="106" t="str">
        <f aca="false">IFERROR(INDEX('Historical Data'!$B$2:$B$1068,MATCH($A369,'Historical Data'!$BE$2:$BE$1068,0)),"")</f>
        <v/>
      </c>
      <c r="D369" s="106" t="str">
        <f aca="false">IFERROR(INDEX('Historical Data'!$D$2:$D$1068,MATCH($A369,'Historical Data'!$BE$2:$BE$1068,0)),"")</f>
        <v/>
      </c>
      <c r="E369" s="107" t="str">
        <f aca="false">IFERROR(INDEX('Historical Data'!$E$2:$E$1068,MATCH($A369,'Historical Data'!$BE$2:$BE$1068,0)),"")</f>
        <v/>
      </c>
      <c r="F369" s="106" t="str">
        <f aca="false">IFERROR(INDEX('Historical Data'!$G$2:$G$1068,MATCH($A369,'Historical Data'!$BE$2:$BE$1068,0)),"")</f>
        <v/>
      </c>
      <c r="G369" s="106" t="str">
        <f aca="false">IFERROR(INDEX('Historical Data'!$Y$2:$Y$1068,MATCH($A369,'Historical Data'!$BE$2:$BE$1068,0)),"")</f>
        <v/>
      </c>
      <c r="H369" s="106" t="str">
        <f aca="false">IFERROR(INDEX('Historical Data'!$K$2:$K$1068,MATCH($A369,'Historical Data'!$BE$2:$BE$1068,0)),"")</f>
        <v/>
      </c>
      <c r="I369" s="106" t="str">
        <f aca="false">IFERROR(INDEX('Historical Data'!$J$2:$J$1068,MATCH($A369,'Historical Data'!$BE$2:$BE$1068,0)),"")</f>
        <v/>
      </c>
      <c r="J369" s="106" t="str">
        <f aca="false">IFERROR(INDEX('Historical Data'!$L$2:$L$1068,MATCH($A369,'Historical Data'!$BE$2:$BE$1068,0)),"")</f>
        <v/>
      </c>
      <c r="K369" s="108" t="str">
        <f aca="false">IFERROR(INDEX('Historical Data'!$M$2:$M$1068,MATCH($A369,'Historical Data'!$BE$2:$BE$1068,0)),"")</f>
        <v/>
      </c>
      <c r="L369" s="109" t="str">
        <f aca="false">IFERROR(INDEX('Historical Data'!$N$2:$N$1068,MATCH($A369,'Historical Data'!$BE$2:$BE$1068,0)),"")</f>
        <v/>
      </c>
      <c r="M369" s="109" t="str">
        <f aca="false">IFERROR(INDEX('Historical Data'!$Q$2:$Q$1068,MATCH($A369,'Historical Data'!$BE$2:$BE$1068,0)),"")</f>
        <v/>
      </c>
      <c r="N369" s="110" t="str">
        <f aca="false">IFERROR(INDEX('Historical Data'!$S$2:$S$1068,MATCH($A369,'Historical Data'!$BE$2:$BE$1068,0)),"")</f>
        <v/>
      </c>
      <c r="O369" s="109" t="str">
        <f aca="false">IFERROR(INDEX('Historical Data'!$AJ$2:$AJ$1068,MATCH($A369,'Historical Data'!$BE$2:$BE$1068,0)),"")</f>
        <v/>
      </c>
      <c r="P369" s="109" t="str">
        <f aca="false">IFERROR(INDEX('Historical Data'!$AK$2:$AK$1068,MATCH($A369,'Historical Data'!$BE$2:$BE$1068,0)),"")</f>
        <v/>
      </c>
      <c r="Q369" s="106" t="str">
        <f aca="false">IFERROR(INDEX('Historical Data'!$AA$2:$AA$1068,MATCH($A369,'Historical Data'!$BE$2:$BE$1068,0)),"")</f>
        <v/>
      </c>
      <c r="R369" s="106" t="str">
        <f aca="false">IFERROR(INDEX('Historical Data'!$AB$2:$AB$1068,MATCH($A369,'Historical Data'!$BE$2:$BE$1068,0)),"")</f>
        <v/>
      </c>
      <c r="S369" s="106" t="str">
        <f aca="false">IFERROR(INDEX('Historical Data'!$AN$2:$AN$1068,MATCH($A369,'Historical Data'!$BE$2:$BE$1068,0)),"")</f>
        <v/>
      </c>
      <c r="T369" s="106" t="str">
        <f aca="false">IFERROR(INDEX('Historical Data'!$AC$2:$AC$1068,MATCH($A369,'Historical Data'!$BE$2:$BE$1068,0)),"")</f>
        <v/>
      </c>
      <c r="U369" s="106" t="str">
        <f aca="false">IFERROR(INDEX('Historical Data'!$AE$2:$AE$1068,MATCH($A369,'Historical Data'!$BE$2:$BE$1068,0)),"")</f>
        <v/>
      </c>
      <c r="V369" s="106" t="str">
        <f aca="false">IFERROR(INDEX('Historical Data'!$AH$2:$AH$1068,MATCH($A369,'Historical Data'!$BE$2:$BE$1068,0)),"")</f>
        <v/>
      </c>
      <c r="W369" s="106" t="str">
        <f aca="false">IFERROR(INDEX('Historical Data'!$BC$2:$BC$1068,MATCH($A369,'Historical Data'!$BE$2:$BE$1068,0)),"")</f>
        <v/>
      </c>
      <c r="X369" s="105" t="str">
        <f aca="false">IF(B369="","",IF(W369=1,"NR + industry + position",IF(W369=2,"NR + ISO + position",IF(W369=3,"NR + industry",IF(W369=4,"NR + ISO",IF(W369=5,"NR + position",IF(W369=6,"NR only","book baseline"))))))&amp;"  ["&amp;IF(T369=1,"seasoned","unseasoned")&amp;IF(U369=1,", defaulted","")&amp;IF(V369=1,", open","")&amp;"]")</f>
        <v/>
      </c>
    </row>
    <row r="370" customFormat="false" ht="15" hidden="false" customHeight="false" outlineLevel="0" collapsed="false">
      <c r="A370" s="105" t="n">
        <v>366</v>
      </c>
      <c r="B370" s="106" t="str">
        <f aca="false">IFERROR(INDEX('Historical Data'!$A$2:$A$1068,MATCH($A370,'Historical Data'!$BE$2:$BE$1068,0)),"")</f>
        <v/>
      </c>
      <c r="C370" s="106" t="str">
        <f aca="false">IFERROR(INDEX('Historical Data'!$B$2:$B$1068,MATCH($A370,'Historical Data'!$BE$2:$BE$1068,0)),"")</f>
        <v/>
      </c>
      <c r="D370" s="106" t="str">
        <f aca="false">IFERROR(INDEX('Historical Data'!$D$2:$D$1068,MATCH($A370,'Historical Data'!$BE$2:$BE$1068,0)),"")</f>
        <v/>
      </c>
      <c r="E370" s="107" t="str">
        <f aca="false">IFERROR(INDEX('Historical Data'!$E$2:$E$1068,MATCH($A370,'Historical Data'!$BE$2:$BE$1068,0)),"")</f>
        <v/>
      </c>
      <c r="F370" s="106" t="str">
        <f aca="false">IFERROR(INDEX('Historical Data'!$G$2:$G$1068,MATCH($A370,'Historical Data'!$BE$2:$BE$1068,0)),"")</f>
        <v/>
      </c>
      <c r="G370" s="106" t="str">
        <f aca="false">IFERROR(INDEX('Historical Data'!$Y$2:$Y$1068,MATCH($A370,'Historical Data'!$BE$2:$BE$1068,0)),"")</f>
        <v/>
      </c>
      <c r="H370" s="106" t="str">
        <f aca="false">IFERROR(INDEX('Historical Data'!$K$2:$K$1068,MATCH($A370,'Historical Data'!$BE$2:$BE$1068,0)),"")</f>
        <v/>
      </c>
      <c r="I370" s="106" t="str">
        <f aca="false">IFERROR(INDEX('Historical Data'!$J$2:$J$1068,MATCH($A370,'Historical Data'!$BE$2:$BE$1068,0)),"")</f>
        <v/>
      </c>
      <c r="J370" s="106" t="str">
        <f aca="false">IFERROR(INDEX('Historical Data'!$L$2:$L$1068,MATCH($A370,'Historical Data'!$BE$2:$BE$1068,0)),"")</f>
        <v/>
      </c>
      <c r="K370" s="108" t="str">
        <f aca="false">IFERROR(INDEX('Historical Data'!$M$2:$M$1068,MATCH($A370,'Historical Data'!$BE$2:$BE$1068,0)),"")</f>
        <v/>
      </c>
      <c r="L370" s="109" t="str">
        <f aca="false">IFERROR(INDEX('Historical Data'!$N$2:$N$1068,MATCH($A370,'Historical Data'!$BE$2:$BE$1068,0)),"")</f>
        <v/>
      </c>
      <c r="M370" s="109" t="str">
        <f aca="false">IFERROR(INDEX('Historical Data'!$Q$2:$Q$1068,MATCH($A370,'Historical Data'!$BE$2:$BE$1068,0)),"")</f>
        <v/>
      </c>
      <c r="N370" s="110" t="str">
        <f aca="false">IFERROR(INDEX('Historical Data'!$S$2:$S$1068,MATCH($A370,'Historical Data'!$BE$2:$BE$1068,0)),"")</f>
        <v/>
      </c>
      <c r="O370" s="109" t="str">
        <f aca="false">IFERROR(INDEX('Historical Data'!$AJ$2:$AJ$1068,MATCH($A370,'Historical Data'!$BE$2:$BE$1068,0)),"")</f>
        <v/>
      </c>
      <c r="P370" s="109" t="str">
        <f aca="false">IFERROR(INDEX('Historical Data'!$AK$2:$AK$1068,MATCH($A370,'Historical Data'!$BE$2:$BE$1068,0)),"")</f>
        <v/>
      </c>
      <c r="Q370" s="106" t="str">
        <f aca="false">IFERROR(INDEX('Historical Data'!$AA$2:$AA$1068,MATCH($A370,'Historical Data'!$BE$2:$BE$1068,0)),"")</f>
        <v/>
      </c>
      <c r="R370" s="106" t="str">
        <f aca="false">IFERROR(INDEX('Historical Data'!$AB$2:$AB$1068,MATCH($A370,'Historical Data'!$BE$2:$BE$1068,0)),"")</f>
        <v/>
      </c>
      <c r="S370" s="106" t="str">
        <f aca="false">IFERROR(INDEX('Historical Data'!$AN$2:$AN$1068,MATCH($A370,'Historical Data'!$BE$2:$BE$1068,0)),"")</f>
        <v/>
      </c>
      <c r="T370" s="106" t="str">
        <f aca="false">IFERROR(INDEX('Historical Data'!$AC$2:$AC$1068,MATCH($A370,'Historical Data'!$BE$2:$BE$1068,0)),"")</f>
        <v/>
      </c>
      <c r="U370" s="106" t="str">
        <f aca="false">IFERROR(INDEX('Historical Data'!$AE$2:$AE$1068,MATCH($A370,'Historical Data'!$BE$2:$BE$1068,0)),"")</f>
        <v/>
      </c>
      <c r="V370" s="106" t="str">
        <f aca="false">IFERROR(INDEX('Historical Data'!$AH$2:$AH$1068,MATCH($A370,'Historical Data'!$BE$2:$BE$1068,0)),"")</f>
        <v/>
      </c>
      <c r="W370" s="106" t="str">
        <f aca="false">IFERROR(INDEX('Historical Data'!$BC$2:$BC$1068,MATCH($A370,'Historical Data'!$BE$2:$BE$1068,0)),"")</f>
        <v/>
      </c>
      <c r="X370" s="105" t="str">
        <f aca="false">IF(B370="","",IF(W370=1,"NR + industry + position",IF(W370=2,"NR + ISO + position",IF(W370=3,"NR + industry",IF(W370=4,"NR + ISO",IF(W370=5,"NR + position",IF(W370=6,"NR only","book baseline"))))))&amp;"  ["&amp;IF(T370=1,"seasoned","unseasoned")&amp;IF(U370=1,", defaulted","")&amp;IF(V370=1,", open","")&amp;"]")</f>
        <v/>
      </c>
    </row>
    <row r="371" customFormat="false" ht="15" hidden="false" customHeight="false" outlineLevel="0" collapsed="false">
      <c r="A371" s="105" t="n">
        <v>367</v>
      </c>
      <c r="B371" s="106" t="str">
        <f aca="false">IFERROR(INDEX('Historical Data'!$A$2:$A$1068,MATCH($A371,'Historical Data'!$BE$2:$BE$1068,0)),"")</f>
        <v/>
      </c>
      <c r="C371" s="106" t="str">
        <f aca="false">IFERROR(INDEX('Historical Data'!$B$2:$B$1068,MATCH($A371,'Historical Data'!$BE$2:$BE$1068,0)),"")</f>
        <v/>
      </c>
      <c r="D371" s="106" t="str">
        <f aca="false">IFERROR(INDEX('Historical Data'!$D$2:$D$1068,MATCH($A371,'Historical Data'!$BE$2:$BE$1068,0)),"")</f>
        <v/>
      </c>
      <c r="E371" s="107" t="str">
        <f aca="false">IFERROR(INDEX('Historical Data'!$E$2:$E$1068,MATCH($A371,'Historical Data'!$BE$2:$BE$1068,0)),"")</f>
        <v/>
      </c>
      <c r="F371" s="106" t="str">
        <f aca="false">IFERROR(INDEX('Historical Data'!$G$2:$G$1068,MATCH($A371,'Historical Data'!$BE$2:$BE$1068,0)),"")</f>
        <v/>
      </c>
      <c r="G371" s="106" t="str">
        <f aca="false">IFERROR(INDEX('Historical Data'!$Y$2:$Y$1068,MATCH($A371,'Historical Data'!$BE$2:$BE$1068,0)),"")</f>
        <v/>
      </c>
      <c r="H371" s="106" t="str">
        <f aca="false">IFERROR(INDEX('Historical Data'!$K$2:$K$1068,MATCH($A371,'Historical Data'!$BE$2:$BE$1068,0)),"")</f>
        <v/>
      </c>
      <c r="I371" s="106" t="str">
        <f aca="false">IFERROR(INDEX('Historical Data'!$J$2:$J$1068,MATCH($A371,'Historical Data'!$BE$2:$BE$1068,0)),"")</f>
        <v/>
      </c>
      <c r="J371" s="106" t="str">
        <f aca="false">IFERROR(INDEX('Historical Data'!$L$2:$L$1068,MATCH($A371,'Historical Data'!$BE$2:$BE$1068,0)),"")</f>
        <v/>
      </c>
      <c r="K371" s="108" t="str">
        <f aca="false">IFERROR(INDEX('Historical Data'!$M$2:$M$1068,MATCH($A371,'Historical Data'!$BE$2:$BE$1068,0)),"")</f>
        <v/>
      </c>
      <c r="L371" s="109" t="str">
        <f aca="false">IFERROR(INDEX('Historical Data'!$N$2:$N$1068,MATCH($A371,'Historical Data'!$BE$2:$BE$1068,0)),"")</f>
        <v/>
      </c>
      <c r="M371" s="109" t="str">
        <f aca="false">IFERROR(INDEX('Historical Data'!$Q$2:$Q$1068,MATCH($A371,'Historical Data'!$BE$2:$BE$1068,0)),"")</f>
        <v/>
      </c>
      <c r="N371" s="110" t="str">
        <f aca="false">IFERROR(INDEX('Historical Data'!$S$2:$S$1068,MATCH($A371,'Historical Data'!$BE$2:$BE$1068,0)),"")</f>
        <v/>
      </c>
      <c r="O371" s="109" t="str">
        <f aca="false">IFERROR(INDEX('Historical Data'!$AJ$2:$AJ$1068,MATCH($A371,'Historical Data'!$BE$2:$BE$1068,0)),"")</f>
        <v/>
      </c>
      <c r="P371" s="109" t="str">
        <f aca="false">IFERROR(INDEX('Historical Data'!$AK$2:$AK$1068,MATCH($A371,'Historical Data'!$BE$2:$BE$1068,0)),"")</f>
        <v/>
      </c>
      <c r="Q371" s="106" t="str">
        <f aca="false">IFERROR(INDEX('Historical Data'!$AA$2:$AA$1068,MATCH($A371,'Historical Data'!$BE$2:$BE$1068,0)),"")</f>
        <v/>
      </c>
      <c r="R371" s="106" t="str">
        <f aca="false">IFERROR(INDEX('Historical Data'!$AB$2:$AB$1068,MATCH($A371,'Historical Data'!$BE$2:$BE$1068,0)),"")</f>
        <v/>
      </c>
      <c r="S371" s="106" t="str">
        <f aca="false">IFERROR(INDEX('Historical Data'!$AN$2:$AN$1068,MATCH($A371,'Historical Data'!$BE$2:$BE$1068,0)),"")</f>
        <v/>
      </c>
      <c r="T371" s="106" t="str">
        <f aca="false">IFERROR(INDEX('Historical Data'!$AC$2:$AC$1068,MATCH($A371,'Historical Data'!$BE$2:$BE$1068,0)),"")</f>
        <v/>
      </c>
      <c r="U371" s="106" t="str">
        <f aca="false">IFERROR(INDEX('Historical Data'!$AE$2:$AE$1068,MATCH($A371,'Historical Data'!$BE$2:$BE$1068,0)),"")</f>
        <v/>
      </c>
      <c r="V371" s="106" t="str">
        <f aca="false">IFERROR(INDEX('Historical Data'!$AH$2:$AH$1068,MATCH($A371,'Historical Data'!$BE$2:$BE$1068,0)),"")</f>
        <v/>
      </c>
      <c r="W371" s="106" t="str">
        <f aca="false">IFERROR(INDEX('Historical Data'!$BC$2:$BC$1068,MATCH($A371,'Historical Data'!$BE$2:$BE$1068,0)),"")</f>
        <v/>
      </c>
      <c r="X371" s="105" t="str">
        <f aca="false">IF(B371="","",IF(W371=1,"NR + industry + position",IF(W371=2,"NR + ISO + position",IF(W371=3,"NR + industry",IF(W371=4,"NR + ISO",IF(W371=5,"NR + position",IF(W371=6,"NR only","book baseline"))))))&amp;"  ["&amp;IF(T371=1,"seasoned","unseasoned")&amp;IF(U371=1,", defaulted","")&amp;IF(V371=1,", open","")&amp;"]")</f>
        <v/>
      </c>
    </row>
    <row r="372" customFormat="false" ht="15" hidden="false" customHeight="false" outlineLevel="0" collapsed="false">
      <c r="A372" s="105" t="n">
        <v>368</v>
      </c>
      <c r="B372" s="106" t="str">
        <f aca="false">IFERROR(INDEX('Historical Data'!$A$2:$A$1068,MATCH($A372,'Historical Data'!$BE$2:$BE$1068,0)),"")</f>
        <v/>
      </c>
      <c r="C372" s="106" t="str">
        <f aca="false">IFERROR(INDEX('Historical Data'!$B$2:$B$1068,MATCH($A372,'Historical Data'!$BE$2:$BE$1068,0)),"")</f>
        <v/>
      </c>
      <c r="D372" s="106" t="str">
        <f aca="false">IFERROR(INDEX('Historical Data'!$D$2:$D$1068,MATCH($A372,'Historical Data'!$BE$2:$BE$1068,0)),"")</f>
        <v/>
      </c>
      <c r="E372" s="107" t="str">
        <f aca="false">IFERROR(INDEX('Historical Data'!$E$2:$E$1068,MATCH($A372,'Historical Data'!$BE$2:$BE$1068,0)),"")</f>
        <v/>
      </c>
      <c r="F372" s="106" t="str">
        <f aca="false">IFERROR(INDEX('Historical Data'!$G$2:$G$1068,MATCH($A372,'Historical Data'!$BE$2:$BE$1068,0)),"")</f>
        <v/>
      </c>
      <c r="G372" s="106" t="str">
        <f aca="false">IFERROR(INDEX('Historical Data'!$Y$2:$Y$1068,MATCH($A372,'Historical Data'!$BE$2:$BE$1068,0)),"")</f>
        <v/>
      </c>
      <c r="H372" s="106" t="str">
        <f aca="false">IFERROR(INDEX('Historical Data'!$K$2:$K$1068,MATCH($A372,'Historical Data'!$BE$2:$BE$1068,0)),"")</f>
        <v/>
      </c>
      <c r="I372" s="106" t="str">
        <f aca="false">IFERROR(INDEX('Historical Data'!$J$2:$J$1068,MATCH($A372,'Historical Data'!$BE$2:$BE$1068,0)),"")</f>
        <v/>
      </c>
      <c r="J372" s="106" t="str">
        <f aca="false">IFERROR(INDEX('Historical Data'!$L$2:$L$1068,MATCH($A372,'Historical Data'!$BE$2:$BE$1068,0)),"")</f>
        <v/>
      </c>
      <c r="K372" s="108" t="str">
        <f aca="false">IFERROR(INDEX('Historical Data'!$M$2:$M$1068,MATCH($A372,'Historical Data'!$BE$2:$BE$1068,0)),"")</f>
        <v/>
      </c>
      <c r="L372" s="109" t="str">
        <f aca="false">IFERROR(INDEX('Historical Data'!$N$2:$N$1068,MATCH($A372,'Historical Data'!$BE$2:$BE$1068,0)),"")</f>
        <v/>
      </c>
      <c r="M372" s="109" t="str">
        <f aca="false">IFERROR(INDEX('Historical Data'!$Q$2:$Q$1068,MATCH($A372,'Historical Data'!$BE$2:$BE$1068,0)),"")</f>
        <v/>
      </c>
      <c r="N372" s="110" t="str">
        <f aca="false">IFERROR(INDEX('Historical Data'!$S$2:$S$1068,MATCH($A372,'Historical Data'!$BE$2:$BE$1068,0)),"")</f>
        <v/>
      </c>
      <c r="O372" s="109" t="str">
        <f aca="false">IFERROR(INDEX('Historical Data'!$AJ$2:$AJ$1068,MATCH($A372,'Historical Data'!$BE$2:$BE$1068,0)),"")</f>
        <v/>
      </c>
      <c r="P372" s="109" t="str">
        <f aca="false">IFERROR(INDEX('Historical Data'!$AK$2:$AK$1068,MATCH($A372,'Historical Data'!$BE$2:$BE$1068,0)),"")</f>
        <v/>
      </c>
      <c r="Q372" s="106" t="str">
        <f aca="false">IFERROR(INDEX('Historical Data'!$AA$2:$AA$1068,MATCH($A372,'Historical Data'!$BE$2:$BE$1068,0)),"")</f>
        <v/>
      </c>
      <c r="R372" s="106" t="str">
        <f aca="false">IFERROR(INDEX('Historical Data'!$AB$2:$AB$1068,MATCH($A372,'Historical Data'!$BE$2:$BE$1068,0)),"")</f>
        <v/>
      </c>
      <c r="S372" s="106" t="str">
        <f aca="false">IFERROR(INDEX('Historical Data'!$AN$2:$AN$1068,MATCH($A372,'Historical Data'!$BE$2:$BE$1068,0)),"")</f>
        <v/>
      </c>
      <c r="T372" s="106" t="str">
        <f aca="false">IFERROR(INDEX('Historical Data'!$AC$2:$AC$1068,MATCH($A372,'Historical Data'!$BE$2:$BE$1068,0)),"")</f>
        <v/>
      </c>
      <c r="U372" s="106" t="str">
        <f aca="false">IFERROR(INDEX('Historical Data'!$AE$2:$AE$1068,MATCH($A372,'Historical Data'!$BE$2:$BE$1068,0)),"")</f>
        <v/>
      </c>
      <c r="V372" s="106" t="str">
        <f aca="false">IFERROR(INDEX('Historical Data'!$AH$2:$AH$1068,MATCH($A372,'Historical Data'!$BE$2:$BE$1068,0)),"")</f>
        <v/>
      </c>
      <c r="W372" s="106" t="str">
        <f aca="false">IFERROR(INDEX('Historical Data'!$BC$2:$BC$1068,MATCH($A372,'Historical Data'!$BE$2:$BE$1068,0)),"")</f>
        <v/>
      </c>
      <c r="X372" s="105" t="str">
        <f aca="false">IF(B372="","",IF(W372=1,"NR + industry + position",IF(W372=2,"NR + ISO + position",IF(W372=3,"NR + industry",IF(W372=4,"NR + ISO",IF(W372=5,"NR + position",IF(W372=6,"NR only","book baseline"))))))&amp;"  ["&amp;IF(T372=1,"seasoned","unseasoned")&amp;IF(U372=1,", defaulted","")&amp;IF(V372=1,", open","")&amp;"]")</f>
        <v/>
      </c>
    </row>
    <row r="373" customFormat="false" ht="15" hidden="false" customHeight="false" outlineLevel="0" collapsed="false">
      <c r="A373" s="105" t="n">
        <v>369</v>
      </c>
      <c r="B373" s="106" t="str">
        <f aca="false">IFERROR(INDEX('Historical Data'!$A$2:$A$1068,MATCH($A373,'Historical Data'!$BE$2:$BE$1068,0)),"")</f>
        <v/>
      </c>
      <c r="C373" s="106" t="str">
        <f aca="false">IFERROR(INDEX('Historical Data'!$B$2:$B$1068,MATCH($A373,'Historical Data'!$BE$2:$BE$1068,0)),"")</f>
        <v/>
      </c>
      <c r="D373" s="106" t="str">
        <f aca="false">IFERROR(INDEX('Historical Data'!$D$2:$D$1068,MATCH($A373,'Historical Data'!$BE$2:$BE$1068,0)),"")</f>
        <v/>
      </c>
      <c r="E373" s="107" t="str">
        <f aca="false">IFERROR(INDEX('Historical Data'!$E$2:$E$1068,MATCH($A373,'Historical Data'!$BE$2:$BE$1068,0)),"")</f>
        <v/>
      </c>
      <c r="F373" s="106" t="str">
        <f aca="false">IFERROR(INDEX('Historical Data'!$G$2:$G$1068,MATCH($A373,'Historical Data'!$BE$2:$BE$1068,0)),"")</f>
        <v/>
      </c>
      <c r="G373" s="106" t="str">
        <f aca="false">IFERROR(INDEX('Historical Data'!$Y$2:$Y$1068,MATCH($A373,'Historical Data'!$BE$2:$BE$1068,0)),"")</f>
        <v/>
      </c>
      <c r="H373" s="106" t="str">
        <f aca="false">IFERROR(INDEX('Historical Data'!$K$2:$K$1068,MATCH($A373,'Historical Data'!$BE$2:$BE$1068,0)),"")</f>
        <v/>
      </c>
      <c r="I373" s="106" t="str">
        <f aca="false">IFERROR(INDEX('Historical Data'!$J$2:$J$1068,MATCH($A373,'Historical Data'!$BE$2:$BE$1068,0)),"")</f>
        <v/>
      </c>
      <c r="J373" s="106" t="str">
        <f aca="false">IFERROR(INDEX('Historical Data'!$L$2:$L$1068,MATCH($A373,'Historical Data'!$BE$2:$BE$1068,0)),"")</f>
        <v/>
      </c>
      <c r="K373" s="108" t="str">
        <f aca="false">IFERROR(INDEX('Historical Data'!$M$2:$M$1068,MATCH($A373,'Historical Data'!$BE$2:$BE$1068,0)),"")</f>
        <v/>
      </c>
      <c r="L373" s="109" t="str">
        <f aca="false">IFERROR(INDEX('Historical Data'!$N$2:$N$1068,MATCH($A373,'Historical Data'!$BE$2:$BE$1068,0)),"")</f>
        <v/>
      </c>
      <c r="M373" s="109" t="str">
        <f aca="false">IFERROR(INDEX('Historical Data'!$Q$2:$Q$1068,MATCH($A373,'Historical Data'!$BE$2:$BE$1068,0)),"")</f>
        <v/>
      </c>
      <c r="N373" s="110" t="str">
        <f aca="false">IFERROR(INDEX('Historical Data'!$S$2:$S$1068,MATCH($A373,'Historical Data'!$BE$2:$BE$1068,0)),"")</f>
        <v/>
      </c>
      <c r="O373" s="109" t="str">
        <f aca="false">IFERROR(INDEX('Historical Data'!$AJ$2:$AJ$1068,MATCH($A373,'Historical Data'!$BE$2:$BE$1068,0)),"")</f>
        <v/>
      </c>
      <c r="P373" s="109" t="str">
        <f aca="false">IFERROR(INDEX('Historical Data'!$AK$2:$AK$1068,MATCH($A373,'Historical Data'!$BE$2:$BE$1068,0)),"")</f>
        <v/>
      </c>
      <c r="Q373" s="106" t="str">
        <f aca="false">IFERROR(INDEX('Historical Data'!$AA$2:$AA$1068,MATCH($A373,'Historical Data'!$BE$2:$BE$1068,0)),"")</f>
        <v/>
      </c>
      <c r="R373" s="106" t="str">
        <f aca="false">IFERROR(INDEX('Historical Data'!$AB$2:$AB$1068,MATCH($A373,'Historical Data'!$BE$2:$BE$1068,0)),"")</f>
        <v/>
      </c>
      <c r="S373" s="106" t="str">
        <f aca="false">IFERROR(INDEX('Historical Data'!$AN$2:$AN$1068,MATCH($A373,'Historical Data'!$BE$2:$BE$1068,0)),"")</f>
        <v/>
      </c>
      <c r="T373" s="106" t="str">
        <f aca="false">IFERROR(INDEX('Historical Data'!$AC$2:$AC$1068,MATCH($A373,'Historical Data'!$BE$2:$BE$1068,0)),"")</f>
        <v/>
      </c>
      <c r="U373" s="106" t="str">
        <f aca="false">IFERROR(INDEX('Historical Data'!$AE$2:$AE$1068,MATCH($A373,'Historical Data'!$BE$2:$BE$1068,0)),"")</f>
        <v/>
      </c>
      <c r="V373" s="106" t="str">
        <f aca="false">IFERROR(INDEX('Historical Data'!$AH$2:$AH$1068,MATCH($A373,'Historical Data'!$BE$2:$BE$1068,0)),"")</f>
        <v/>
      </c>
      <c r="W373" s="106" t="str">
        <f aca="false">IFERROR(INDEX('Historical Data'!$BC$2:$BC$1068,MATCH($A373,'Historical Data'!$BE$2:$BE$1068,0)),"")</f>
        <v/>
      </c>
      <c r="X373" s="105" t="str">
        <f aca="false">IF(B373="","",IF(W373=1,"NR + industry + position",IF(W373=2,"NR + ISO + position",IF(W373=3,"NR + industry",IF(W373=4,"NR + ISO",IF(W373=5,"NR + position",IF(W373=6,"NR only","book baseline"))))))&amp;"  ["&amp;IF(T373=1,"seasoned","unseasoned")&amp;IF(U373=1,", defaulted","")&amp;IF(V373=1,", open","")&amp;"]")</f>
        <v/>
      </c>
    </row>
    <row r="374" customFormat="false" ht="15" hidden="false" customHeight="false" outlineLevel="0" collapsed="false">
      <c r="A374" s="105" t="n">
        <v>370</v>
      </c>
      <c r="B374" s="106" t="str">
        <f aca="false">IFERROR(INDEX('Historical Data'!$A$2:$A$1068,MATCH($A374,'Historical Data'!$BE$2:$BE$1068,0)),"")</f>
        <v/>
      </c>
      <c r="C374" s="106" t="str">
        <f aca="false">IFERROR(INDEX('Historical Data'!$B$2:$B$1068,MATCH($A374,'Historical Data'!$BE$2:$BE$1068,0)),"")</f>
        <v/>
      </c>
      <c r="D374" s="106" t="str">
        <f aca="false">IFERROR(INDEX('Historical Data'!$D$2:$D$1068,MATCH($A374,'Historical Data'!$BE$2:$BE$1068,0)),"")</f>
        <v/>
      </c>
      <c r="E374" s="107" t="str">
        <f aca="false">IFERROR(INDEX('Historical Data'!$E$2:$E$1068,MATCH($A374,'Historical Data'!$BE$2:$BE$1068,0)),"")</f>
        <v/>
      </c>
      <c r="F374" s="106" t="str">
        <f aca="false">IFERROR(INDEX('Historical Data'!$G$2:$G$1068,MATCH($A374,'Historical Data'!$BE$2:$BE$1068,0)),"")</f>
        <v/>
      </c>
      <c r="G374" s="106" t="str">
        <f aca="false">IFERROR(INDEX('Historical Data'!$Y$2:$Y$1068,MATCH($A374,'Historical Data'!$BE$2:$BE$1068,0)),"")</f>
        <v/>
      </c>
      <c r="H374" s="106" t="str">
        <f aca="false">IFERROR(INDEX('Historical Data'!$K$2:$K$1068,MATCH($A374,'Historical Data'!$BE$2:$BE$1068,0)),"")</f>
        <v/>
      </c>
      <c r="I374" s="106" t="str">
        <f aca="false">IFERROR(INDEX('Historical Data'!$J$2:$J$1068,MATCH($A374,'Historical Data'!$BE$2:$BE$1068,0)),"")</f>
        <v/>
      </c>
      <c r="J374" s="106" t="str">
        <f aca="false">IFERROR(INDEX('Historical Data'!$L$2:$L$1068,MATCH($A374,'Historical Data'!$BE$2:$BE$1068,0)),"")</f>
        <v/>
      </c>
      <c r="K374" s="108" t="str">
        <f aca="false">IFERROR(INDEX('Historical Data'!$M$2:$M$1068,MATCH($A374,'Historical Data'!$BE$2:$BE$1068,0)),"")</f>
        <v/>
      </c>
      <c r="L374" s="109" t="str">
        <f aca="false">IFERROR(INDEX('Historical Data'!$N$2:$N$1068,MATCH($A374,'Historical Data'!$BE$2:$BE$1068,0)),"")</f>
        <v/>
      </c>
      <c r="M374" s="109" t="str">
        <f aca="false">IFERROR(INDEX('Historical Data'!$Q$2:$Q$1068,MATCH($A374,'Historical Data'!$BE$2:$BE$1068,0)),"")</f>
        <v/>
      </c>
      <c r="N374" s="110" t="str">
        <f aca="false">IFERROR(INDEX('Historical Data'!$S$2:$S$1068,MATCH($A374,'Historical Data'!$BE$2:$BE$1068,0)),"")</f>
        <v/>
      </c>
      <c r="O374" s="109" t="str">
        <f aca="false">IFERROR(INDEX('Historical Data'!$AJ$2:$AJ$1068,MATCH($A374,'Historical Data'!$BE$2:$BE$1068,0)),"")</f>
        <v/>
      </c>
      <c r="P374" s="109" t="str">
        <f aca="false">IFERROR(INDEX('Historical Data'!$AK$2:$AK$1068,MATCH($A374,'Historical Data'!$BE$2:$BE$1068,0)),"")</f>
        <v/>
      </c>
      <c r="Q374" s="106" t="str">
        <f aca="false">IFERROR(INDEX('Historical Data'!$AA$2:$AA$1068,MATCH($A374,'Historical Data'!$BE$2:$BE$1068,0)),"")</f>
        <v/>
      </c>
      <c r="R374" s="106" t="str">
        <f aca="false">IFERROR(INDEX('Historical Data'!$AB$2:$AB$1068,MATCH($A374,'Historical Data'!$BE$2:$BE$1068,0)),"")</f>
        <v/>
      </c>
      <c r="S374" s="106" t="str">
        <f aca="false">IFERROR(INDEX('Historical Data'!$AN$2:$AN$1068,MATCH($A374,'Historical Data'!$BE$2:$BE$1068,0)),"")</f>
        <v/>
      </c>
      <c r="T374" s="106" t="str">
        <f aca="false">IFERROR(INDEX('Historical Data'!$AC$2:$AC$1068,MATCH($A374,'Historical Data'!$BE$2:$BE$1068,0)),"")</f>
        <v/>
      </c>
      <c r="U374" s="106" t="str">
        <f aca="false">IFERROR(INDEX('Historical Data'!$AE$2:$AE$1068,MATCH($A374,'Historical Data'!$BE$2:$BE$1068,0)),"")</f>
        <v/>
      </c>
      <c r="V374" s="106" t="str">
        <f aca="false">IFERROR(INDEX('Historical Data'!$AH$2:$AH$1068,MATCH($A374,'Historical Data'!$BE$2:$BE$1068,0)),"")</f>
        <v/>
      </c>
      <c r="W374" s="106" t="str">
        <f aca="false">IFERROR(INDEX('Historical Data'!$BC$2:$BC$1068,MATCH($A374,'Historical Data'!$BE$2:$BE$1068,0)),"")</f>
        <v/>
      </c>
      <c r="X374" s="105" t="str">
        <f aca="false">IF(B374="","",IF(W374=1,"NR + industry + position",IF(W374=2,"NR + ISO + position",IF(W374=3,"NR + industry",IF(W374=4,"NR + ISO",IF(W374=5,"NR + position",IF(W374=6,"NR only","book baseline"))))))&amp;"  ["&amp;IF(T374=1,"seasoned","unseasoned")&amp;IF(U374=1,", defaulted","")&amp;IF(V374=1,", open","")&amp;"]")</f>
        <v/>
      </c>
    </row>
    <row r="375" customFormat="false" ht="15" hidden="false" customHeight="false" outlineLevel="0" collapsed="false">
      <c r="A375" s="105" t="n">
        <v>371</v>
      </c>
      <c r="B375" s="106" t="str">
        <f aca="false">IFERROR(INDEX('Historical Data'!$A$2:$A$1068,MATCH($A375,'Historical Data'!$BE$2:$BE$1068,0)),"")</f>
        <v/>
      </c>
      <c r="C375" s="106" t="str">
        <f aca="false">IFERROR(INDEX('Historical Data'!$B$2:$B$1068,MATCH($A375,'Historical Data'!$BE$2:$BE$1068,0)),"")</f>
        <v/>
      </c>
      <c r="D375" s="106" t="str">
        <f aca="false">IFERROR(INDEX('Historical Data'!$D$2:$D$1068,MATCH($A375,'Historical Data'!$BE$2:$BE$1068,0)),"")</f>
        <v/>
      </c>
      <c r="E375" s="107" t="str">
        <f aca="false">IFERROR(INDEX('Historical Data'!$E$2:$E$1068,MATCH($A375,'Historical Data'!$BE$2:$BE$1068,0)),"")</f>
        <v/>
      </c>
      <c r="F375" s="106" t="str">
        <f aca="false">IFERROR(INDEX('Historical Data'!$G$2:$G$1068,MATCH($A375,'Historical Data'!$BE$2:$BE$1068,0)),"")</f>
        <v/>
      </c>
      <c r="G375" s="106" t="str">
        <f aca="false">IFERROR(INDEX('Historical Data'!$Y$2:$Y$1068,MATCH($A375,'Historical Data'!$BE$2:$BE$1068,0)),"")</f>
        <v/>
      </c>
      <c r="H375" s="106" t="str">
        <f aca="false">IFERROR(INDEX('Historical Data'!$K$2:$K$1068,MATCH($A375,'Historical Data'!$BE$2:$BE$1068,0)),"")</f>
        <v/>
      </c>
      <c r="I375" s="106" t="str">
        <f aca="false">IFERROR(INDEX('Historical Data'!$J$2:$J$1068,MATCH($A375,'Historical Data'!$BE$2:$BE$1068,0)),"")</f>
        <v/>
      </c>
      <c r="J375" s="106" t="str">
        <f aca="false">IFERROR(INDEX('Historical Data'!$L$2:$L$1068,MATCH($A375,'Historical Data'!$BE$2:$BE$1068,0)),"")</f>
        <v/>
      </c>
      <c r="K375" s="108" t="str">
        <f aca="false">IFERROR(INDEX('Historical Data'!$M$2:$M$1068,MATCH($A375,'Historical Data'!$BE$2:$BE$1068,0)),"")</f>
        <v/>
      </c>
      <c r="L375" s="109" t="str">
        <f aca="false">IFERROR(INDEX('Historical Data'!$N$2:$N$1068,MATCH($A375,'Historical Data'!$BE$2:$BE$1068,0)),"")</f>
        <v/>
      </c>
      <c r="M375" s="109" t="str">
        <f aca="false">IFERROR(INDEX('Historical Data'!$Q$2:$Q$1068,MATCH($A375,'Historical Data'!$BE$2:$BE$1068,0)),"")</f>
        <v/>
      </c>
      <c r="N375" s="110" t="str">
        <f aca="false">IFERROR(INDEX('Historical Data'!$S$2:$S$1068,MATCH($A375,'Historical Data'!$BE$2:$BE$1068,0)),"")</f>
        <v/>
      </c>
      <c r="O375" s="109" t="str">
        <f aca="false">IFERROR(INDEX('Historical Data'!$AJ$2:$AJ$1068,MATCH($A375,'Historical Data'!$BE$2:$BE$1068,0)),"")</f>
        <v/>
      </c>
      <c r="P375" s="109" t="str">
        <f aca="false">IFERROR(INDEX('Historical Data'!$AK$2:$AK$1068,MATCH($A375,'Historical Data'!$BE$2:$BE$1068,0)),"")</f>
        <v/>
      </c>
      <c r="Q375" s="106" t="str">
        <f aca="false">IFERROR(INDEX('Historical Data'!$AA$2:$AA$1068,MATCH($A375,'Historical Data'!$BE$2:$BE$1068,0)),"")</f>
        <v/>
      </c>
      <c r="R375" s="106" t="str">
        <f aca="false">IFERROR(INDEX('Historical Data'!$AB$2:$AB$1068,MATCH($A375,'Historical Data'!$BE$2:$BE$1068,0)),"")</f>
        <v/>
      </c>
      <c r="S375" s="106" t="str">
        <f aca="false">IFERROR(INDEX('Historical Data'!$AN$2:$AN$1068,MATCH($A375,'Historical Data'!$BE$2:$BE$1068,0)),"")</f>
        <v/>
      </c>
      <c r="T375" s="106" t="str">
        <f aca="false">IFERROR(INDEX('Historical Data'!$AC$2:$AC$1068,MATCH($A375,'Historical Data'!$BE$2:$BE$1068,0)),"")</f>
        <v/>
      </c>
      <c r="U375" s="106" t="str">
        <f aca="false">IFERROR(INDEX('Historical Data'!$AE$2:$AE$1068,MATCH($A375,'Historical Data'!$BE$2:$BE$1068,0)),"")</f>
        <v/>
      </c>
      <c r="V375" s="106" t="str">
        <f aca="false">IFERROR(INDEX('Historical Data'!$AH$2:$AH$1068,MATCH($A375,'Historical Data'!$BE$2:$BE$1068,0)),"")</f>
        <v/>
      </c>
      <c r="W375" s="106" t="str">
        <f aca="false">IFERROR(INDEX('Historical Data'!$BC$2:$BC$1068,MATCH($A375,'Historical Data'!$BE$2:$BE$1068,0)),"")</f>
        <v/>
      </c>
      <c r="X375" s="105" t="str">
        <f aca="false">IF(B375="","",IF(W375=1,"NR + industry + position",IF(W375=2,"NR + ISO + position",IF(W375=3,"NR + industry",IF(W375=4,"NR + ISO",IF(W375=5,"NR + position",IF(W375=6,"NR only","book baseline"))))))&amp;"  ["&amp;IF(T375=1,"seasoned","unseasoned")&amp;IF(U375=1,", defaulted","")&amp;IF(V375=1,", open","")&amp;"]")</f>
        <v/>
      </c>
    </row>
    <row r="376" customFormat="false" ht="15" hidden="false" customHeight="false" outlineLevel="0" collapsed="false">
      <c r="A376" s="105" t="n">
        <v>372</v>
      </c>
      <c r="B376" s="106" t="str">
        <f aca="false">IFERROR(INDEX('Historical Data'!$A$2:$A$1068,MATCH($A376,'Historical Data'!$BE$2:$BE$1068,0)),"")</f>
        <v/>
      </c>
      <c r="C376" s="106" t="str">
        <f aca="false">IFERROR(INDEX('Historical Data'!$B$2:$B$1068,MATCH($A376,'Historical Data'!$BE$2:$BE$1068,0)),"")</f>
        <v/>
      </c>
      <c r="D376" s="106" t="str">
        <f aca="false">IFERROR(INDEX('Historical Data'!$D$2:$D$1068,MATCH($A376,'Historical Data'!$BE$2:$BE$1068,0)),"")</f>
        <v/>
      </c>
      <c r="E376" s="107" t="str">
        <f aca="false">IFERROR(INDEX('Historical Data'!$E$2:$E$1068,MATCH($A376,'Historical Data'!$BE$2:$BE$1068,0)),"")</f>
        <v/>
      </c>
      <c r="F376" s="106" t="str">
        <f aca="false">IFERROR(INDEX('Historical Data'!$G$2:$G$1068,MATCH($A376,'Historical Data'!$BE$2:$BE$1068,0)),"")</f>
        <v/>
      </c>
      <c r="G376" s="106" t="str">
        <f aca="false">IFERROR(INDEX('Historical Data'!$Y$2:$Y$1068,MATCH($A376,'Historical Data'!$BE$2:$BE$1068,0)),"")</f>
        <v/>
      </c>
      <c r="H376" s="106" t="str">
        <f aca="false">IFERROR(INDEX('Historical Data'!$K$2:$K$1068,MATCH($A376,'Historical Data'!$BE$2:$BE$1068,0)),"")</f>
        <v/>
      </c>
      <c r="I376" s="106" t="str">
        <f aca="false">IFERROR(INDEX('Historical Data'!$J$2:$J$1068,MATCH($A376,'Historical Data'!$BE$2:$BE$1068,0)),"")</f>
        <v/>
      </c>
      <c r="J376" s="106" t="str">
        <f aca="false">IFERROR(INDEX('Historical Data'!$L$2:$L$1068,MATCH($A376,'Historical Data'!$BE$2:$BE$1068,0)),"")</f>
        <v/>
      </c>
      <c r="K376" s="108" t="str">
        <f aca="false">IFERROR(INDEX('Historical Data'!$M$2:$M$1068,MATCH($A376,'Historical Data'!$BE$2:$BE$1068,0)),"")</f>
        <v/>
      </c>
      <c r="L376" s="109" t="str">
        <f aca="false">IFERROR(INDEX('Historical Data'!$N$2:$N$1068,MATCH($A376,'Historical Data'!$BE$2:$BE$1068,0)),"")</f>
        <v/>
      </c>
      <c r="M376" s="109" t="str">
        <f aca="false">IFERROR(INDEX('Historical Data'!$Q$2:$Q$1068,MATCH($A376,'Historical Data'!$BE$2:$BE$1068,0)),"")</f>
        <v/>
      </c>
      <c r="N376" s="110" t="str">
        <f aca="false">IFERROR(INDEX('Historical Data'!$S$2:$S$1068,MATCH($A376,'Historical Data'!$BE$2:$BE$1068,0)),"")</f>
        <v/>
      </c>
      <c r="O376" s="109" t="str">
        <f aca="false">IFERROR(INDEX('Historical Data'!$AJ$2:$AJ$1068,MATCH($A376,'Historical Data'!$BE$2:$BE$1068,0)),"")</f>
        <v/>
      </c>
      <c r="P376" s="109" t="str">
        <f aca="false">IFERROR(INDEX('Historical Data'!$AK$2:$AK$1068,MATCH($A376,'Historical Data'!$BE$2:$BE$1068,0)),"")</f>
        <v/>
      </c>
      <c r="Q376" s="106" t="str">
        <f aca="false">IFERROR(INDEX('Historical Data'!$AA$2:$AA$1068,MATCH($A376,'Historical Data'!$BE$2:$BE$1068,0)),"")</f>
        <v/>
      </c>
      <c r="R376" s="106" t="str">
        <f aca="false">IFERROR(INDEX('Historical Data'!$AB$2:$AB$1068,MATCH($A376,'Historical Data'!$BE$2:$BE$1068,0)),"")</f>
        <v/>
      </c>
      <c r="S376" s="106" t="str">
        <f aca="false">IFERROR(INDEX('Historical Data'!$AN$2:$AN$1068,MATCH($A376,'Historical Data'!$BE$2:$BE$1068,0)),"")</f>
        <v/>
      </c>
      <c r="T376" s="106" t="str">
        <f aca="false">IFERROR(INDEX('Historical Data'!$AC$2:$AC$1068,MATCH($A376,'Historical Data'!$BE$2:$BE$1068,0)),"")</f>
        <v/>
      </c>
      <c r="U376" s="106" t="str">
        <f aca="false">IFERROR(INDEX('Historical Data'!$AE$2:$AE$1068,MATCH($A376,'Historical Data'!$BE$2:$BE$1068,0)),"")</f>
        <v/>
      </c>
      <c r="V376" s="106" t="str">
        <f aca="false">IFERROR(INDEX('Historical Data'!$AH$2:$AH$1068,MATCH($A376,'Historical Data'!$BE$2:$BE$1068,0)),"")</f>
        <v/>
      </c>
      <c r="W376" s="106" t="str">
        <f aca="false">IFERROR(INDEX('Historical Data'!$BC$2:$BC$1068,MATCH($A376,'Historical Data'!$BE$2:$BE$1068,0)),"")</f>
        <v/>
      </c>
      <c r="X376" s="105" t="str">
        <f aca="false">IF(B376="","",IF(W376=1,"NR + industry + position",IF(W376=2,"NR + ISO + position",IF(W376=3,"NR + industry",IF(W376=4,"NR + ISO",IF(W376=5,"NR + position",IF(W376=6,"NR only","book baseline"))))))&amp;"  ["&amp;IF(T376=1,"seasoned","unseasoned")&amp;IF(U376=1,", defaulted","")&amp;IF(V376=1,", open","")&amp;"]")</f>
        <v/>
      </c>
    </row>
    <row r="377" customFormat="false" ht="15" hidden="false" customHeight="false" outlineLevel="0" collapsed="false">
      <c r="A377" s="105" t="n">
        <v>373</v>
      </c>
      <c r="B377" s="106" t="str">
        <f aca="false">IFERROR(INDEX('Historical Data'!$A$2:$A$1068,MATCH($A377,'Historical Data'!$BE$2:$BE$1068,0)),"")</f>
        <v/>
      </c>
      <c r="C377" s="106" t="str">
        <f aca="false">IFERROR(INDEX('Historical Data'!$B$2:$B$1068,MATCH($A377,'Historical Data'!$BE$2:$BE$1068,0)),"")</f>
        <v/>
      </c>
      <c r="D377" s="106" t="str">
        <f aca="false">IFERROR(INDEX('Historical Data'!$D$2:$D$1068,MATCH($A377,'Historical Data'!$BE$2:$BE$1068,0)),"")</f>
        <v/>
      </c>
      <c r="E377" s="107" t="str">
        <f aca="false">IFERROR(INDEX('Historical Data'!$E$2:$E$1068,MATCH($A377,'Historical Data'!$BE$2:$BE$1068,0)),"")</f>
        <v/>
      </c>
      <c r="F377" s="106" t="str">
        <f aca="false">IFERROR(INDEX('Historical Data'!$G$2:$G$1068,MATCH($A377,'Historical Data'!$BE$2:$BE$1068,0)),"")</f>
        <v/>
      </c>
      <c r="G377" s="106" t="str">
        <f aca="false">IFERROR(INDEX('Historical Data'!$Y$2:$Y$1068,MATCH($A377,'Historical Data'!$BE$2:$BE$1068,0)),"")</f>
        <v/>
      </c>
      <c r="H377" s="106" t="str">
        <f aca="false">IFERROR(INDEX('Historical Data'!$K$2:$K$1068,MATCH($A377,'Historical Data'!$BE$2:$BE$1068,0)),"")</f>
        <v/>
      </c>
      <c r="I377" s="106" t="str">
        <f aca="false">IFERROR(INDEX('Historical Data'!$J$2:$J$1068,MATCH($A377,'Historical Data'!$BE$2:$BE$1068,0)),"")</f>
        <v/>
      </c>
      <c r="J377" s="106" t="str">
        <f aca="false">IFERROR(INDEX('Historical Data'!$L$2:$L$1068,MATCH($A377,'Historical Data'!$BE$2:$BE$1068,0)),"")</f>
        <v/>
      </c>
      <c r="K377" s="108" t="str">
        <f aca="false">IFERROR(INDEX('Historical Data'!$M$2:$M$1068,MATCH($A377,'Historical Data'!$BE$2:$BE$1068,0)),"")</f>
        <v/>
      </c>
      <c r="L377" s="109" t="str">
        <f aca="false">IFERROR(INDEX('Historical Data'!$N$2:$N$1068,MATCH($A377,'Historical Data'!$BE$2:$BE$1068,0)),"")</f>
        <v/>
      </c>
      <c r="M377" s="109" t="str">
        <f aca="false">IFERROR(INDEX('Historical Data'!$Q$2:$Q$1068,MATCH($A377,'Historical Data'!$BE$2:$BE$1068,0)),"")</f>
        <v/>
      </c>
      <c r="N377" s="110" t="str">
        <f aca="false">IFERROR(INDEX('Historical Data'!$S$2:$S$1068,MATCH($A377,'Historical Data'!$BE$2:$BE$1068,0)),"")</f>
        <v/>
      </c>
      <c r="O377" s="109" t="str">
        <f aca="false">IFERROR(INDEX('Historical Data'!$AJ$2:$AJ$1068,MATCH($A377,'Historical Data'!$BE$2:$BE$1068,0)),"")</f>
        <v/>
      </c>
      <c r="P377" s="109" t="str">
        <f aca="false">IFERROR(INDEX('Historical Data'!$AK$2:$AK$1068,MATCH($A377,'Historical Data'!$BE$2:$BE$1068,0)),"")</f>
        <v/>
      </c>
      <c r="Q377" s="106" t="str">
        <f aca="false">IFERROR(INDEX('Historical Data'!$AA$2:$AA$1068,MATCH($A377,'Historical Data'!$BE$2:$BE$1068,0)),"")</f>
        <v/>
      </c>
      <c r="R377" s="106" t="str">
        <f aca="false">IFERROR(INDEX('Historical Data'!$AB$2:$AB$1068,MATCH($A377,'Historical Data'!$BE$2:$BE$1068,0)),"")</f>
        <v/>
      </c>
      <c r="S377" s="106" t="str">
        <f aca="false">IFERROR(INDEX('Historical Data'!$AN$2:$AN$1068,MATCH($A377,'Historical Data'!$BE$2:$BE$1068,0)),"")</f>
        <v/>
      </c>
      <c r="T377" s="106" t="str">
        <f aca="false">IFERROR(INDEX('Historical Data'!$AC$2:$AC$1068,MATCH($A377,'Historical Data'!$BE$2:$BE$1068,0)),"")</f>
        <v/>
      </c>
      <c r="U377" s="106" t="str">
        <f aca="false">IFERROR(INDEX('Historical Data'!$AE$2:$AE$1068,MATCH($A377,'Historical Data'!$BE$2:$BE$1068,0)),"")</f>
        <v/>
      </c>
      <c r="V377" s="106" t="str">
        <f aca="false">IFERROR(INDEX('Historical Data'!$AH$2:$AH$1068,MATCH($A377,'Historical Data'!$BE$2:$BE$1068,0)),"")</f>
        <v/>
      </c>
      <c r="W377" s="106" t="str">
        <f aca="false">IFERROR(INDEX('Historical Data'!$BC$2:$BC$1068,MATCH($A377,'Historical Data'!$BE$2:$BE$1068,0)),"")</f>
        <v/>
      </c>
      <c r="X377" s="105" t="str">
        <f aca="false">IF(B377="","",IF(W377=1,"NR + industry + position",IF(W377=2,"NR + ISO + position",IF(W377=3,"NR + industry",IF(W377=4,"NR + ISO",IF(W377=5,"NR + position",IF(W377=6,"NR only","book baseline"))))))&amp;"  ["&amp;IF(T377=1,"seasoned","unseasoned")&amp;IF(U377=1,", defaulted","")&amp;IF(V377=1,", open","")&amp;"]")</f>
        <v/>
      </c>
    </row>
    <row r="378" customFormat="false" ht="15" hidden="false" customHeight="false" outlineLevel="0" collapsed="false">
      <c r="A378" s="105" t="n">
        <v>374</v>
      </c>
      <c r="B378" s="106" t="str">
        <f aca="false">IFERROR(INDEX('Historical Data'!$A$2:$A$1068,MATCH($A378,'Historical Data'!$BE$2:$BE$1068,0)),"")</f>
        <v/>
      </c>
      <c r="C378" s="106" t="str">
        <f aca="false">IFERROR(INDEX('Historical Data'!$B$2:$B$1068,MATCH($A378,'Historical Data'!$BE$2:$BE$1068,0)),"")</f>
        <v/>
      </c>
      <c r="D378" s="106" t="str">
        <f aca="false">IFERROR(INDEX('Historical Data'!$D$2:$D$1068,MATCH($A378,'Historical Data'!$BE$2:$BE$1068,0)),"")</f>
        <v/>
      </c>
      <c r="E378" s="107" t="str">
        <f aca="false">IFERROR(INDEX('Historical Data'!$E$2:$E$1068,MATCH($A378,'Historical Data'!$BE$2:$BE$1068,0)),"")</f>
        <v/>
      </c>
      <c r="F378" s="106" t="str">
        <f aca="false">IFERROR(INDEX('Historical Data'!$G$2:$G$1068,MATCH($A378,'Historical Data'!$BE$2:$BE$1068,0)),"")</f>
        <v/>
      </c>
      <c r="G378" s="106" t="str">
        <f aca="false">IFERROR(INDEX('Historical Data'!$Y$2:$Y$1068,MATCH($A378,'Historical Data'!$BE$2:$BE$1068,0)),"")</f>
        <v/>
      </c>
      <c r="H378" s="106" t="str">
        <f aca="false">IFERROR(INDEX('Historical Data'!$K$2:$K$1068,MATCH($A378,'Historical Data'!$BE$2:$BE$1068,0)),"")</f>
        <v/>
      </c>
      <c r="I378" s="106" t="str">
        <f aca="false">IFERROR(INDEX('Historical Data'!$J$2:$J$1068,MATCH($A378,'Historical Data'!$BE$2:$BE$1068,0)),"")</f>
        <v/>
      </c>
      <c r="J378" s="106" t="str">
        <f aca="false">IFERROR(INDEX('Historical Data'!$L$2:$L$1068,MATCH($A378,'Historical Data'!$BE$2:$BE$1068,0)),"")</f>
        <v/>
      </c>
      <c r="K378" s="108" t="str">
        <f aca="false">IFERROR(INDEX('Historical Data'!$M$2:$M$1068,MATCH($A378,'Historical Data'!$BE$2:$BE$1068,0)),"")</f>
        <v/>
      </c>
      <c r="L378" s="109" t="str">
        <f aca="false">IFERROR(INDEX('Historical Data'!$N$2:$N$1068,MATCH($A378,'Historical Data'!$BE$2:$BE$1068,0)),"")</f>
        <v/>
      </c>
      <c r="M378" s="109" t="str">
        <f aca="false">IFERROR(INDEX('Historical Data'!$Q$2:$Q$1068,MATCH($A378,'Historical Data'!$BE$2:$BE$1068,0)),"")</f>
        <v/>
      </c>
      <c r="N378" s="110" t="str">
        <f aca="false">IFERROR(INDEX('Historical Data'!$S$2:$S$1068,MATCH($A378,'Historical Data'!$BE$2:$BE$1068,0)),"")</f>
        <v/>
      </c>
      <c r="O378" s="109" t="str">
        <f aca="false">IFERROR(INDEX('Historical Data'!$AJ$2:$AJ$1068,MATCH($A378,'Historical Data'!$BE$2:$BE$1068,0)),"")</f>
        <v/>
      </c>
      <c r="P378" s="109" t="str">
        <f aca="false">IFERROR(INDEX('Historical Data'!$AK$2:$AK$1068,MATCH($A378,'Historical Data'!$BE$2:$BE$1068,0)),"")</f>
        <v/>
      </c>
      <c r="Q378" s="106" t="str">
        <f aca="false">IFERROR(INDEX('Historical Data'!$AA$2:$AA$1068,MATCH($A378,'Historical Data'!$BE$2:$BE$1068,0)),"")</f>
        <v/>
      </c>
      <c r="R378" s="106" t="str">
        <f aca="false">IFERROR(INDEX('Historical Data'!$AB$2:$AB$1068,MATCH($A378,'Historical Data'!$BE$2:$BE$1068,0)),"")</f>
        <v/>
      </c>
      <c r="S378" s="106" t="str">
        <f aca="false">IFERROR(INDEX('Historical Data'!$AN$2:$AN$1068,MATCH($A378,'Historical Data'!$BE$2:$BE$1068,0)),"")</f>
        <v/>
      </c>
      <c r="T378" s="106" t="str">
        <f aca="false">IFERROR(INDEX('Historical Data'!$AC$2:$AC$1068,MATCH($A378,'Historical Data'!$BE$2:$BE$1068,0)),"")</f>
        <v/>
      </c>
      <c r="U378" s="106" t="str">
        <f aca="false">IFERROR(INDEX('Historical Data'!$AE$2:$AE$1068,MATCH($A378,'Historical Data'!$BE$2:$BE$1068,0)),"")</f>
        <v/>
      </c>
      <c r="V378" s="106" t="str">
        <f aca="false">IFERROR(INDEX('Historical Data'!$AH$2:$AH$1068,MATCH($A378,'Historical Data'!$BE$2:$BE$1068,0)),"")</f>
        <v/>
      </c>
      <c r="W378" s="106" t="str">
        <f aca="false">IFERROR(INDEX('Historical Data'!$BC$2:$BC$1068,MATCH($A378,'Historical Data'!$BE$2:$BE$1068,0)),"")</f>
        <v/>
      </c>
      <c r="X378" s="105" t="str">
        <f aca="false">IF(B378="","",IF(W378=1,"NR + industry + position",IF(W378=2,"NR + ISO + position",IF(W378=3,"NR + industry",IF(W378=4,"NR + ISO",IF(W378=5,"NR + position",IF(W378=6,"NR only","book baseline"))))))&amp;"  ["&amp;IF(T378=1,"seasoned","unseasoned")&amp;IF(U378=1,", defaulted","")&amp;IF(V378=1,", open","")&amp;"]")</f>
        <v/>
      </c>
    </row>
    <row r="379" customFormat="false" ht="15" hidden="false" customHeight="false" outlineLevel="0" collapsed="false">
      <c r="A379" s="105" t="n">
        <v>375</v>
      </c>
      <c r="B379" s="106" t="str">
        <f aca="false">IFERROR(INDEX('Historical Data'!$A$2:$A$1068,MATCH($A379,'Historical Data'!$BE$2:$BE$1068,0)),"")</f>
        <v/>
      </c>
      <c r="C379" s="106" t="str">
        <f aca="false">IFERROR(INDEX('Historical Data'!$B$2:$B$1068,MATCH($A379,'Historical Data'!$BE$2:$BE$1068,0)),"")</f>
        <v/>
      </c>
      <c r="D379" s="106" t="str">
        <f aca="false">IFERROR(INDEX('Historical Data'!$D$2:$D$1068,MATCH($A379,'Historical Data'!$BE$2:$BE$1068,0)),"")</f>
        <v/>
      </c>
      <c r="E379" s="107" t="str">
        <f aca="false">IFERROR(INDEX('Historical Data'!$E$2:$E$1068,MATCH($A379,'Historical Data'!$BE$2:$BE$1068,0)),"")</f>
        <v/>
      </c>
      <c r="F379" s="106" t="str">
        <f aca="false">IFERROR(INDEX('Historical Data'!$G$2:$G$1068,MATCH($A379,'Historical Data'!$BE$2:$BE$1068,0)),"")</f>
        <v/>
      </c>
      <c r="G379" s="106" t="str">
        <f aca="false">IFERROR(INDEX('Historical Data'!$Y$2:$Y$1068,MATCH($A379,'Historical Data'!$BE$2:$BE$1068,0)),"")</f>
        <v/>
      </c>
      <c r="H379" s="106" t="str">
        <f aca="false">IFERROR(INDEX('Historical Data'!$K$2:$K$1068,MATCH($A379,'Historical Data'!$BE$2:$BE$1068,0)),"")</f>
        <v/>
      </c>
      <c r="I379" s="106" t="str">
        <f aca="false">IFERROR(INDEX('Historical Data'!$J$2:$J$1068,MATCH($A379,'Historical Data'!$BE$2:$BE$1068,0)),"")</f>
        <v/>
      </c>
      <c r="J379" s="106" t="str">
        <f aca="false">IFERROR(INDEX('Historical Data'!$L$2:$L$1068,MATCH($A379,'Historical Data'!$BE$2:$BE$1068,0)),"")</f>
        <v/>
      </c>
      <c r="K379" s="108" t="str">
        <f aca="false">IFERROR(INDEX('Historical Data'!$M$2:$M$1068,MATCH($A379,'Historical Data'!$BE$2:$BE$1068,0)),"")</f>
        <v/>
      </c>
      <c r="L379" s="109" t="str">
        <f aca="false">IFERROR(INDEX('Historical Data'!$N$2:$N$1068,MATCH($A379,'Historical Data'!$BE$2:$BE$1068,0)),"")</f>
        <v/>
      </c>
      <c r="M379" s="109" t="str">
        <f aca="false">IFERROR(INDEX('Historical Data'!$Q$2:$Q$1068,MATCH($A379,'Historical Data'!$BE$2:$BE$1068,0)),"")</f>
        <v/>
      </c>
      <c r="N379" s="110" t="str">
        <f aca="false">IFERROR(INDEX('Historical Data'!$S$2:$S$1068,MATCH($A379,'Historical Data'!$BE$2:$BE$1068,0)),"")</f>
        <v/>
      </c>
      <c r="O379" s="109" t="str">
        <f aca="false">IFERROR(INDEX('Historical Data'!$AJ$2:$AJ$1068,MATCH($A379,'Historical Data'!$BE$2:$BE$1068,0)),"")</f>
        <v/>
      </c>
      <c r="P379" s="109" t="str">
        <f aca="false">IFERROR(INDEX('Historical Data'!$AK$2:$AK$1068,MATCH($A379,'Historical Data'!$BE$2:$BE$1068,0)),"")</f>
        <v/>
      </c>
      <c r="Q379" s="106" t="str">
        <f aca="false">IFERROR(INDEX('Historical Data'!$AA$2:$AA$1068,MATCH($A379,'Historical Data'!$BE$2:$BE$1068,0)),"")</f>
        <v/>
      </c>
      <c r="R379" s="106" t="str">
        <f aca="false">IFERROR(INDEX('Historical Data'!$AB$2:$AB$1068,MATCH($A379,'Historical Data'!$BE$2:$BE$1068,0)),"")</f>
        <v/>
      </c>
      <c r="S379" s="106" t="str">
        <f aca="false">IFERROR(INDEX('Historical Data'!$AN$2:$AN$1068,MATCH($A379,'Historical Data'!$BE$2:$BE$1068,0)),"")</f>
        <v/>
      </c>
      <c r="T379" s="106" t="str">
        <f aca="false">IFERROR(INDEX('Historical Data'!$AC$2:$AC$1068,MATCH($A379,'Historical Data'!$BE$2:$BE$1068,0)),"")</f>
        <v/>
      </c>
      <c r="U379" s="106" t="str">
        <f aca="false">IFERROR(INDEX('Historical Data'!$AE$2:$AE$1068,MATCH($A379,'Historical Data'!$BE$2:$BE$1068,0)),"")</f>
        <v/>
      </c>
      <c r="V379" s="106" t="str">
        <f aca="false">IFERROR(INDEX('Historical Data'!$AH$2:$AH$1068,MATCH($A379,'Historical Data'!$BE$2:$BE$1068,0)),"")</f>
        <v/>
      </c>
      <c r="W379" s="106" t="str">
        <f aca="false">IFERROR(INDEX('Historical Data'!$BC$2:$BC$1068,MATCH($A379,'Historical Data'!$BE$2:$BE$1068,0)),"")</f>
        <v/>
      </c>
      <c r="X379" s="105" t="str">
        <f aca="false">IF(B379="","",IF(W379=1,"NR + industry + position",IF(W379=2,"NR + ISO + position",IF(W379=3,"NR + industry",IF(W379=4,"NR + ISO",IF(W379=5,"NR + position",IF(W379=6,"NR only","book baseline"))))))&amp;"  ["&amp;IF(T379=1,"seasoned","unseasoned")&amp;IF(U379=1,", defaulted","")&amp;IF(V379=1,", open","")&amp;"]")</f>
        <v/>
      </c>
    </row>
    <row r="380" customFormat="false" ht="15" hidden="false" customHeight="false" outlineLevel="0" collapsed="false">
      <c r="A380" s="105" t="n">
        <v>376</v>
      </c>
      <c r="B380" s="106" t="str">
        <f aca="false">IFERROR(INDEX('Historical Data'!$A$2:$A$1068,MATCH($A380,'Historical Data'!$BE$2:$BE$1068,0)),"")</f>
        <v/>
      </c>
      <c r="C380" s="106" t="str">
        <f aca="false">IFERROR(INDEX('Historical Data'!$B$2:$B$1068,MATCH($A380,'Historical Data'!$BE$2:$BE$1068,0)),"")</f>
        <v/>
      </c>
      <c r="D380" s="106" t="str">
        <f aca="false">IFERROR(INDEX('Historical Data'!$D$2:$D$1068,MATCH($A380,'Historical Data'!$BE$2:$BE$1068,0)),"")</f>
        <v/>
      </c>
      <c r="E380" s="107" t="str">
        <f aca="false">IFERROR(INDEX('Historical Data'!$E$2:$E$1068,MATCH($A380,'Historical Data'!$BE$2:$BE$1068,0)),"")</f>
        <v/>
      </c>
      <c r="F380" s="106" t="str">
        <f aca="false">IFERROR(INDEX('Historical Data'!$G$2:$G$1068,MATCH($A380,'Historical Data'!$BE$2:$BE$1068,0)),"")</f>
        <v/>
      </c>
      <c r="G380" s="106" t="str">
        <f aca="false">IFERROR(INDEX('Historical Data'!$Y$2:$Y$1068,MATCH($A380,'Historical Data'!$BE$2:$BE$1068,0)),"")</f>
        <v/>
      </c>
      <c r="H380" s="106" t="str">
        <f aca="false">IFERROR(INDEX('Historical Data'!$K$2:$K$1068,MATCH($A380,'Historical Data'!$BE$2:$BE$1068,0)),"")</f>
        <v/>
      </c>
      <c r="I380" s="106" t="str">
        <f aca="false">IFERROR(INDEX('Historical Data'!$J$2:$J$1068,MATCH($A380,'Historical Data'!$BE$2:$BE$1068,0)),"")</f>
        <v/>
      </c>
      <c r="J380" s="106" t="str">
        <f aca="false">IFERROR(INDEX('Historical Data'!$L$2:$L$1068,MATCH($A380,'Historical Data'!$BE$2:$BE$1068,0)),"")</f>
        <v/>
      </c>
      <c r="K380" s="108" t="str">
        <f aca="false">IFERROR(INDEX('Historical Data'!$M$2:$M$1068,MATCH($A380,'Historical Data'!$BE$2:$BE$1068,0)),"")</f>
        <v/>
      </c>
      <c r="L380" s="109" t="str">
        <f aca="false">IFERROR(INDEX('Historical Data'!$N$2:$N$1068,MATCH($A380,'Historical Data'!$BE$2:$BE$1068,0)),"")</f>
        <v/>
      </c>
      <c r="M380" s="109" t="str">
        <f aca="false">IFERROR(INDEX('Historical Data'!$Q$2:$Q$1068,MATCH($A380,'Historical Data'!$BE$2:$BE$1068,0)),"")</f>
        <v/>
      </c>
      <c r="N380" s="110" t="str">
        <f aca="false">IFERROR(INDEX('Historical Data'!$S$2:$S$1068,MATCH($A380,'Historical Data'!$BE$2:$BE$1068,0)),"")</f>
        <v/>
      </c>
      <c r="O380" s="109" t="str">
        <f aca="false">IFERROR(INDEX('Historical Data'!$AJ$2:$AJ$1068,MATCH($A380,'Historical Data'!$BE$2:$BE$1068,0)),"")</f>
        <v/>
      </c>
      <c r="P380" s="109" t="str">
        <f aca="false">IFERROR(INDEX('Historical Data'!$AK$2:$AK$1068,MATCH($A380,'Historical Data'!$BE$2:$BE$1068,0)),"")</f>
        <v/>
      </c>
      <c r="Q380" s="106" t="str">
        <f aca="false">IFERROR(INDEX('Historical Data'!$AA$2:$AA$1068,MATCH($A380,'Historical Data'!$BE$2:$BE$1068,0)),"")</f>
        <v/>
      </c>
      <c r="R380" s="106" t="str">
        <f aca="false">IFERROR(INDEX('Historical Data'!$AB$2:$AB$1068,MATCH($A380,'Historical Data'!$BE$2:$BE$1068,0)),"")</f>
        <v/>
      </c>
      <c r="S380" s="106" t="str">
        <f aca="false">IFERROR(INDEX('Historical Data'!$AN$2:$AN$1068,MATCH($A380,'Historical Data'!$BE$2:$BE$1068,0)),"")</f>
        <v/>
      </c>
      <c r="T380" s="106" t="str">
        <f aca="false">IFERROR(INDEX('Historical Data'!$AC$2:$AC$1068,MATCH($A380,'Historical Data'!$BE$2:$BE$1068,0)),"")</f>
        <v/>
      </c>
      <c r="U380" s="106" t="str">
        <f aca="false">IFERROR(INDEX('Historical Data'!$AE$2:$AE$1068,MATCH($A380,'Historical Data'!$BE$2:$BE$1068,0)),"")</f>
        <v/>
      </c>
      <c r="V380" s="106" t="str">
        <f aca="false">IFERROR(INDEX('Historical Data'!$AH$2:$AH$1068,MATCH($A380,'Historical Data'!$BE$2:$BE$1068,0)),"")</f>
        <v/>
      </c>
      <c r="W380" s="106" t="str">
        <f aca="false">IFERROR(INDEX('Historical Data'!$BC$2:$BC$1068,MATCH($A380,'Historical Data'!$BE$2:$BE$1068,0)),"")</f>
        <v/>
      </c>
      <c r="X380" s="105" t="str">
        <f aca="false">IF(B380="","",IF(W380=1,"NR + industry + position",IF(W380=2,"NR + ISO + position",IF(W380=3,"NR + industry",IF(W380=4,"NR + ISO",IF(W380=5,"NR + position",IF(W380=6,"NR only","book baseline"))))))&amp;"  ["&amp;IF(T380=1,"seasoned","unseasoned")&amp;IF(U380=1,", defaulted","")&amp;IF(V380=1,", open","")&amp;"]")</f>
        <v/>
      </c>
    </row>
    <row r="381" customFormat="false" ht="15" hidden="false" customHeight="false" outlineLevel="0" collapsed="false">
      <c r="A381" s="105" t="n">
        <v>377</v>
      </c>
      <c r="B381" s="106" t="str">
        <f aca="false">IFERROR(INDEX('Historical Data'!$A$2:$A$1068,MATCH($A381,'Historical Data'!$BE$2:$BE$1068,0)),"")</f>
        <v/>
      </c>
      <c r="C381" s="106" t="str">
        <f aca="false">IFERROR(INDEX('Historical Data'!$B$2:$B$1068,MATCH($A381,'Historical Data'!$BE$2:$BE$1068,0)),"")</f>
        <v/>
      </c>
      <c r="D381" s="106" t="str">
        <f aca="false">IFERROR(INDEX('Historical Data'!$D$2:$D$1068,MATCH($A381,'Historical Data'!$BE$2:$BE$1068,0)),"")</f>
        <v/>
      </c>
      <c r="E381" s="107" t="str">
        <f aca="false">IFERROR(INDEX('Historical Data'!$E$2:$E$1068,MATCH($A381,'Historical Data'!$BE$2:$BE$1068,0)),"")</f>
        <v/>
      </c>
      <c r="F381" s="106" t="str">
        <f aca="false">IFERROR(INDEX('Historical Data'!$G$2:$G$1068,MATCH($A381,'Historical Data'!$BE$2:$BE$1068,0)),"")</f>
        <v/>
      </c>
      <c r="G381" s="106" t="str">
        <f aca="false">IFERROR(INDEX('Historical Data'!$Y$2:$Y$1068,MATCH($A381,'Historical Data'!$BE$2:$BE$1068,0)),"")</f>
        <v/>
      </c>
      <c r="H381" s="106" t="str">
        <f aca="false">IFERROR(INDEX('Historical Data'!$K$2:$K$1068,MATCH($A381,'Historical Data'!$BE$2:$BE$1068,0)),"")</f>
        <v/>
      </c>
      <c r="I381" s="106" t="str">
        <f aca="false">IFERROR(INDEX('Historical Data'!$J$2:$J$1068,MATCH($A381,'Historical Data'!$BE$2:$BE$1068,0)),"")</f>
        <v/>
      </c>
      <c r="J381" s="106" t="str">
        <f aca="false">IFERROR(INDEX('Historical Data'!$L$2:$L$1068,MATCH($A381,'Historical Data'!$BE$2:$BE$1068,0)),"")</f>
        <v/>
      </c>
      <c r="K381" s="108" t="str">
        <f aca="false">IFERROR(INDEX('Historical Data'!$M$2:$M$1068,MATCH($A381,'Historical Data'!$BE$2:$BE$1068,0)),"")</f>
        <v/>
      </c>
      <c r="L381" s="109" t="str">
        <f aca="false">IFERROR(INDEX('Historical Data'!$N$2:$N$1068,MATCH($A381,'Historical Data'!$BE$2:$BE$1068,0)),"")</f>
        <v/>
      </c>
      <c r="M381" s="109" t="str">
        <f aca="false">IFERROR(INDEX('Historical Data'!$Q$2:$Q$1068,MATCH($A381,'Historical Data'!$BE$2:$BE$1068,0)),"")</f>
        <v/>
      </c>
      <c r="N381" s="110" t="str">
        <f aca="false">IFERROR(INDEX('Historical Data'!$S$2:$S$1068,MATCH($A381,'Historical Data'!$BE$2:$BE$1068,0)),"")</f>
        <v/>
      </c>
      <c r="O381" s="109" t="str">
        <f aca="false">IFERROR(INDEX('Historical Data'!$AJ$2:$AJ$1068,MATCH($A381,'Historical Data'!$BE$2:$BE$1068,0)),"")</f>
        <v/>
      </c>
      <c r="P381" s="109" t="str">
        <f aca="false">IFERROR(INDEX('Historical Data'!$AK$2:$AK$1068,MATCH($A381,'Historical Data'!$BE$2:$BE$1068,0)),"")</f>
        <v/>
      </c>
      <c r="Q381" s="106" t="str">
        <f aca="false">IFERROR(INDEX('Historical Data'!$AA$2:$AA$1068,MATCH($A381,'Historical Data'!$BE$2:$BE$1068,0)),"")</f>
        <v/>
      </c>
      <c r="R381" s="106" t="str">
        <f aca="false">IFERROR(INDEX('Historical Data'!$AB$2:$AB$1068,MATCH($A381,'Historical Data'!$BE$2:$BE$1068,0)),"")</f>
        <v/>
      </c>
      <c r="S381" s="106" t="str">
        <f aca="false">IFERROR(INDEX('Historical Data'!$AN$2:$AN$1068,MATCH($A381,'Historical Data'!$BE$2:$BE$1068,0)),"")</f>
        <v/>
      </c>
      <c r="T381" s="106" t="str">
        <f aca="false">IFERROR(INDEX('Historical Data'!$AC$2:$AC$1068,MATCH($A381,'Historical Data'!$BE$2:$BE$1068,0)),"")</f>
        <v/>
      </c>
      <c r="U381" s="106" t="str">
        <f aca="false">IFERROR(INDEX('Historical Data'!$AE$2:$AE$1068,MATCH($A381,'Historical Data'!$BE$2:$BE$1068,0)),"")</f>
        <v/>
      </c>
      <c r="V381" s="106" t="str">
        <f aca="false">IFERROR(INDEX('Historical Data'!$AH$2:$AH$1068,MATCH($A381,'Historical Data'!$BE$2:$BE$1068,0)),"")</f>
        <v/>
      </c>
      <c r="W381" s="106" t="str">
        <f aca="false">IFERROR(INDEX('Historical Data'!$BC$2:$BC$1068,MATCH($A381,'Historical Data'!$BE$2:$BE$1068,0)),"")</f>
        <v/>
      </c>
      <c r="X381" s="105" t="str">
        <f aca="false">IF(B381="","",IF(W381=1,"NR + industry + position",IF(W381=2,"NR + ISO + position",IF(W381=3,"NR + industry",IF(W381=4,"NR + ISO",IF(W381=5,"NR + position",IF(W381=6,"NR only","book baseline"))))))&amp;"  ["&amp;IF(T381=1,"seasoned","unseasoned")&amp;IF(U381=1,", defaulted","")&amp;IF(V381=1,", open","")&amp;"]")</f>
        <v/>
      </c>
    </row>
    <row r="382" customFormat="false" ht="15" hidden="false" customHeight="false" outlineLevel="0" collapsed="false">
      <c r="A382" s="105" t="n">
        <v>378</v>
      </c>
      <c r="B382" s="106" t="str">
        <f aca="false">IFERROR(INDEX('Historical Data'!$A$2:$A$1068,MATCH($A382,'Historical Data'!$BE$2:$BE$1068,0)),"")</f>
        <v/>
      </c>
      <c r="C382" s="106" t="str">
        <f aca="false">IFERROR(INDEX('Historical Data'!$B$2:$B$1068,MATCH($A382,'Historical Data'!$BE$2:$BE$1068,0)),"")</f>
        <v/>
      </c>
      <c r="D382" s="106" t="str">
        <f aca="false">IFERROR(INDEX('Historical Data'!$D$2:$D$1068,MATCH($A382,'Historical Data'!$BE$2:$BE$1068,0)),"")</f>
        <v/>
      </c>
      <c r="E382" s="107" t="str">
        <f aca="false">IFERROR(INDEX('Historical Data'!$E$2:$E$1068,MATCH($A382,'Historical Data'!$BE$2:$BE$1068,0)),"")</f>
        <v/>
      </c>
      <c r="F382" s="106" t="str">
        <f aca="false">IFERROR(INDEX('Historical Data'!$G$2:$G$1068,MATCH($A382,'Historical Data'!$BE$2:$BE$1068,0)),"")</f>
        <v/>
      </c>
      <c r="G382" s="106" t="str">
        <f aca="false">IFERROR(INDEX('Historical Data'!$Y$2:$Y$1068,MATCH($A382,'Historical Data'!$BE$2:$BE$1068,0)),"")</f>
        <v/>
      </c>
      <c r="H382" s="106" t="str">
        <f aca="false">IFERROR(INDEX('Historical Data'!$K$2:$K$1068,MATCH($A382,'Historical Data'!$BE$2:$BE$1068,0)),"")</f>
        <v/>
      </c>
      <c r="I382" s="106" t="str">
        <f aca="false">IFERROR(INDEX('Historical Data'!$J$2:$J$1068,MATCH($A382,'Historical Data'!$BE$2:$BE$1068,0)),"")</f>
        <v/>
      </c>
      <c r="J382" s="106" t="str">
        <f aca="false">IFERROR(INDEX('Historical Data'!$L$2:$L$1068,MATCH($A382,'Historical Data'!$BE$2:$BE$1068,0)),"")</f>
        <v/>
      </c>
      <c r="K382" s="108" t="str">
        <f aca="false">IFERROR(INDEX('Historical Data'!$M$2:$M$1068,MATCH($A382,'Historical Data'!$BE$2:$BE$1068,0)),"")</f>
        <v/>
      </c>
      <c r="L382" s="109" t="str">
        <f aca="false">IFERROR(INDEX('Historical Data'!$N$2:$N$1068,MATCH($A382,'Historical Data'!$BE$2:$BE$1068,0)),"")</f>
        <v/>
      </c>
      <c r="M382" s="109" t="str">
        <f aca="false">IFERROR(INDEX('Historical Data'!$Q$2:$Q$1068,MATCH($A382,'Historical Data'!$BE$2:$BE$1068,0)),"")</f>
        <v/>
      </c>
      <c r="N382" s="110" t="str">
        <f aca="false">IFERROR(INDEX('Historical Data'!$S$2:$S$1068,MATCH($A382,'Historical Data'!$BE$2:$BE$1068,0)),"")</f>
        <v/>
      </c>
      <c r="O382" s="109" t="str">
        <f aca="false">IFERROR(INDEX('Historical Data'!$AJ$2:$AJ$1068,MATCH($A382,'Historical Data'!$BE$2:$BE$1068,0)),"")</f>
        <v/>
      </c>
      <c r="P382" s="109" t="str">
        <f aca="false">IFERROR(INDEX('Historical Data'!$AK$2:$AK$1068,MATCH($A382,'Historical Data'!$BE$2:$BE$1068,0)),"")</f>
        <v/>
      </c>
      <c r="Q382" s="106" t="str">
        <f aca="false">IFERROR(INDEX('Historical Data'!$AA$2:$AA$1068,MATCH($A382,'Historical Data'!$BE$2:$BE$1068,0)),"")</f>
        <v/>
      </c>
      <c r="R382" s="106" t="str">
        <f aca="false">IFERROR(INDEX('Historical Data'!$AB$2:$AB$1068,MATCH($A382,'Historical Data'!$BE$2:$BE$1068,0)),"")</f>
        <v/>
      </c>
      <c r="S382" s="106" t="str">
        <f aca="false">IFERROR(INDEX('Historical Data'!$AN$2:$AN$1068,MATCH($A382,'Historical Data'!$BE$2:$BE$1068,0)),"")</f>
        <v/>
      </c>
      <c r="T382" s="106" t="str">
        <f aca="false">IFERROR(INDEX('Historical Data'!$AC$2:$AC$1068,MATCH($A382,'Historical Data'!$BE$2:$BE$1068,0)),"")</f>
        <v/>
      </c>
      <c r="U382" s="106" t="str">
        <f aca="false">IFERROR(INDEX('Historical Data'!$AE$2:$AE$1068,MATCH($A382,'Historical Data'!$BE$2:$BE$1068,0)),"")</f>
        <v/>
      </c>
      <c r="V382" s="106" t="str">
        <f aca="false">IFERROR(INDEX('Historical Data'!$AH$2:$AH$1068,MATCH($A382,'Historical Data'!$BE$2:$BE$1068,0)),"")</f>
        <v/>
      </c>
      <c r="W382" s="106" t="str">
        <f aca="false">IFERROR(INDEX('Historical Data'!$BC$2:$BC$1068,MATCH($A382,'Historical Data'!$BE$2:$BE$1068,0)),"")</f>
        <v/>
      </c>
      <c r="X382" s="105" t="str">
        <f aca="false">IF(B382="","",IF(W382=1,"NR + industry + position",IF(W382=2,"NR + ISO + position",IF(W382=3,"NR + industry",IF(W382=4,"NR + ISO",IF(W382=5,"NR + position",IF(W382=6,"NR only","book baseline"))))))&amp;"  ["&amp;IF(T382=1,"seasoned","unseasoned")&amp;IF(U382=1,", defaulted","")&amp;IF(V382=1,", open","")&amp;"]")</f>
        <v/>
      </c>
    </row>
    <row r="383" customFormat="false" ht="15" hidden="false" customHeight="false" outlineLevel="0" collapsed="false">
      <c r="A383" s="105" t="n">
        <v>379</v>
      </c>
      <c r="B383" s="106" t="str">
        <f aca="false">IFERROR(INDEX('Historical Data'!$A$2:$A$1068,MATCH($A383,'Historical Data'!$BE$2:$BE$1068,0)),"")</f>
        <v/>
      </c>
      <c r="C383" s="106" t="str">
        <f aca="false">IFERROR(INDEX('Historical Data'!$B$2:$B$1068,MATCH($A383,'Historical Data'!$BE$2:$BE$1068,0)),"")</f>
        <v/>
      </c>
      <c r="D383" s="106" t="str">
        <f aca="false">IFERROR(INDEX('Historical Data'!$D$2:$D$1068,MATCH($A383,'Historical Data'!$BE$2:$BE$1068,0)),"")</f>
        <v/>
      </c>
      <c r="E383" s="107" t="str">
        <f aca="false">IFERROR(INDEX('Historical Data'!$E$2:$E$1068,MATCH($A383,'Historical Data'!$BE$2:$BE$1068,0)),"")</f>
        <v/>
      </c>
      <c r="F383" s="106" t="str">
        <f aca="false">IFERROR(INDEX('Historical Data'!$G$2:$G$1068,MATCH($A383,'Historical Data'!$BE$2:$BE$1068,0)),"")</f>
        <v/>
      </c>
      <c r="G383" s="106" t="str">
        <f aca="false">IFERROR(INDEX('Historical Data'!$Y$2:$Y$1068,MATCH($A383,'Historical Data'!$BE$2:$BE$1068,0)),"")</f>
        <v/>
      </c>
      <c r="H383" s="106" t="str">
        <f aca="false">IFERROR(INDEX('Historical Data'!$K$2:$K$1068,MATCH($A383,'Historical Data'!$BE$2:$BE$1068,0)),"")</f>
        <v/>
      </c>
      <c r="I383" s="106" t="str">
        <f aca="false">IFERROR(INDEX('Historical Data'!$J$2:$J$1068,MATCH($A383,'Historical Data'!$BE$2:$BE$1068,0)),"")</f>
        <v/>
      </c>
      <c r="J383" s="106" t="str">
        <f aca="false">IFERROR(INDEX('Historical Data'!$L$2:$L$1068,MATCH($A383,'Historical Data'!$BE$2:$BE$1068,0)),"")</f>
        <v/>
      </c>
      <c r="K383" s="108" t="str">
        <f aca="false">IFERROR(INDEX('Historical Data'!$M$2:$M$1068,MATCH($A383,'Historical Data'!$BE$2:$BE$1068,0)),"")</f>
        <v/>
      </c>
      <c r="L383" s="109" t="str">
        <f aca="false">IFERROR(INDEX('Historical Data'!$N$2:$N$1068,MATCH($A383,'Historical Data'!$BE$2:$BE$1068,0)),"")</f>
        <v/>
      </c>
      <c r="M383" s="109" t="str">
        <f aca="false">IFERROR(INDEX('Historical Data'!$Q$2:$Q$1068,MATCH($A383,'Historical Data'!$BE$2:$BE$1068,0)),"")</f>
        <v/>
      </c>
      <c r="N383" s="110" t="str">
        <f aca="false">IFERROR(INDEX('Historical Data'!$S$2:$S$1068,MATCH($A383,'Historical Data'!$BE$2:$BE$1068,0)),"")</f>
        <v/>
      </c>
      <c r="O383" s="109" t="str">
        <f aca="false">IFERROR(INDEX('Historical Data'!$AJ$2:$AJ$1068,MATCH($A383,'Historical Data'!$BE$2:$BE$1068,0)),"")</f>
        <v/>
      </c>
      <c r="P383" s="109" t="str">
        <f aca="false">IFERROR(INDEX('Historical Data'!$AK$2:$AK$1068,MATCH($A383,'Historical Data'!$BE$2:$BE$1068,0)),"")</f>
        <v/>
      </c>
      <c r="Q383" s="106" t="str">
        <f aca="false">IFERROR(INDEX('Historical Data'!$AA$2:$AA$1068,MATCH($A383,'Historical Data'!$BE$2:$BE$1068,0)),"")</f>
        <v/>
      </c>
      <c r="R383" s="106" t="str">
        <f aca="false">IFERROR(INDEX('Historical Data'!$AB$2:$AB$1068,MATCH($A383,'Historical Data'!$BE$2:$BE$1068,0)),"")</f>
        <v/>
      </c>
      <c r="S383" s="106" t="str">
        <f aca="false">IFERROR(INDEX('Historical Data'!$AN$2:$AN$1068,MATCH($A383,'Historical Data'!$BE$2:$BE$1068,0)),"")</f>
        <v/>
      </c>
      <c r="T383" s="106" t="str">
        <f aca="false">IFERROR(INDEX('Historical Data'!$AC$2:$AC$1068,MATCH($A383,'Historical Data'!$BE$2:$BE$1068,0)),"")</f>
        <v/>
      </c>
      <c r="U383" s="106" t="str">
        <f aca="false">IFERROR(INDEX('Historical Data'!$AE$2:$AE$1068,MATCH($A383,'Historical Data'!$BE$2:$BE$1068,0)),"")</f>
        <v/>
      </c>
      <c r="V383" s="106" t="str">
        <f aca="false">IFERROR(INDEX('Historical Data'!$AH$2:$AH$1068,MATCH($A383,'Historical Data'!$BE$2:$BE$1068,0)),"")</f>
        <v/>
      </c>
      <c r="W383" s="106" t="str">
        <f aca="false">IFERROR(INDEX('Historical Data'!$BC$2:$BC$1068,MATCH($A383,'Historical Data'!$BE$2:$BE$1068,0)),"")</f>
        <v/>
      </c>
      <c r="X383" s="105" t="str">
        <f aca="false">IF(B383="","",IF(W383=1,"NR + industry + position",IF(W383=2,"NR + ISO + position",IF(W383=3,"NR + industry",IF(W383=4,"NR + ISO",IF(W383=5,"NR + position",IF(W383=6,"NR only","book baseline"))))))&amp;"  ["&amp;IF(T383=1,"seasoned","unseasoned")&amp;IF(U383=1,", defaulted","")&amp;IF(V383=1,", open","")&amp;"]")</f>
        <v/>
      </c>
    </row>
    <row r="384" customFormat="false" ht="15" hidden="false" customHeight="false" outlineLevel="0" collapsed="false">
      <c r="A384" s="105" t="n">
        <v>380</v>
      </c>
      <c r="B384" s="106" t="str">
        <f aca="false">IFERROR(INDEX('Historical Data'!$A$2:$A$1068,MATCH($A384,'Historical Data'!$BE$2:$BE$1068,0)),"")</f>
        <v/>
      </c>
      <c r="C384" s="106" t="str">
        <f aca="false">IFERROR(INDEX('Historical Data'!$B$2:$B$1068,MATCH($A384,'Historical Data'!$BE$2:$BE$1068,0)),"")</f>
        <v/>
      </c>
      <c r="D384" s="106" t="str">
        <f aca="false">IFERROR(INDEX('Historical Data'!$D$2:$D$1068,MATCH($A384,'Historical Data'!$BE$2:$BE$1068,0)),"")</f>
        <v/>
      </c>
      <c r="E384" s="107" t="str">
        <f aca="false">IFERROR(INDEX('Historical Data'!$E$2:$E$1068,MATCH($A384,'Historical Data'!$BE$2:$BE$1068,0)),"")</f>
        <v/>
      </c>
      <c r="F384" s="106" t="str">
        <f aca="false">IFERROR(INDEX('Historical Data'!$G$2:$G$1068,MATCH($A384,'Historical Data'!$BE$2:$BE$1068,0)),"")</f>
        <v/>
      </c>
      <c r="G384" s="106" t="str">
        <f aca="false">IFERROR(INDEX('Historical Data'!$Y$2:$Y$1068,MATCH($A384,'Historical Data'!$BE$2:$BE$1068,0)),"")</f>
        <v/>
      </c>
      <c r="H384" s="106" t="str">
        <f aca="false">IFERROR(INDEX('Historical Data'!$K$2:$K$1068,MATCH($A384,'Historical Data'!$BE$2:$BE$1068,0)),"")</f>
        <v/>
      </c>
      <c r="I384" s="106" t="str">
        <f aca="false">IFERROR(INDEX('Historical Data'!$J$2:$J$1068,MATCH($A384,'Historical Data'!$BE$2:$BE$1068,0)),"")</f>
        <v/>
      </c>
      <c r="J384" s="106" t="str">
        <f aca="false">IFERROR(INDEX('Historical Data'!$L$2:$L$1068,MATCH($A384,'Historical Data'!$BE$2:$BE$1068,0)),"")</f>
        <v/>
      </c>
      <c r="K384" s="108" t="str">
        <f aca="false">IFERROR(INDEX('Historical Data'!$M$2:$M$1068,MATCH($A384,'Historical Data'!$BE$2:$BE$1068,0)),"")</f>
        <v/>
      </c>
      <c r="L384" s="109" t="str">
        <f aca="false">IFERROR(INDEX('Historical Data'!$N$2:$N$1068,MATCH($A384,'Historical Data'!$BE$2:$BE$1068,0)),"")</f>
        <v/>
      </c>
      <c r="M384" s="109" t="str">
        <f aca="false">IFERROR(INDEX('Historical Data'!$Q$2:$Q$1068,MATCH($A384,'Historical Data'!$BE$2:$BE$1068,0)),"")</f>
        <v/>
      </c>
      <c r="N384" s="110" t="str">
        <f aca="false">IFERROR(INDEX('Historical Data'!$S$2:$S$1068,MATCH($A384,'Historical Data'!$BE$2:$BE$1068,0)),"")</f>
        <v/>
      </c>
      <c r="O384" s="109" t="str">
        <f aca="false">IFERROR(INDEX('Historical Data'!$AJ$2:$AJ$1068,MATCH($A384,'Historical Data'!$BE$2:$BE$1068,0)),"")</f>
        <v/>
      </c>
      <c r="P384" s="109" t="str">
        <f aca="false">IFERROR(INDEX('Historical Data'!$AK$2:$AK$1068,MATCH($A384,'Historical Data'!$BE$2:$BE$1068,0)),"")</f>
        <v/>
      </c>
      <c r="Q384" s="106" t="str">
        <f aca="false">IFERROR(INDEX('Historical Data'!$AA$2:$AA$1068,MATCH($A384,'Historical Data'!$BE$2:$BE$1068,0)),"")</f>
        <v/>
      </c>
      <c r="R384" s="106" t="str">
        <f aca="false">IFERROR(INDEX('Historical Data'!$AB$2:$AB$1068,MATCH($A384,'Historical Data'!$BE$2:$BE$1068,0)),"")</f>
        <v/>
      </c>
      <c r="S384" s="106" t="str">
        <f aca="false">IFERROR(INDEX('Historical Data'!$AN$2:$AN$1068,MATCH($A384,'Historical Data'!$BE$2:$BE$1068,0)),"")</f>
        <v/>
      </c>
      <c r="T384" s="106" t="str">
        <f aca="false">IFERROR(INDEX('Historical Data'!$AC$2:$AC$1068,MATCH($A384,'Historical Data'!$BE$2:$BE$1068,0)),"")</f>
        <v/>
      </c>
      <c r="U384" s="106" t="str">
        <f aca="false">IFERROR(INDEX('Historical Data'!$AE$2:$AE$1068,MATCH($A384,'Historical Data'!$BE$2:$BE$1068,0)),"")</f>
        <v/>
      </c>
      <c r="V384" s="106" t="str">
        <f aca="false">IFERROR(INDEX('Historical Data'!$AH$2:$AH$1068,MATCH($A384,'Historical Data'!$BE$2:$BE$1068,0)),"")</f>
        <v/>
      </c>
      <c r="W384" s="106" t="str">
        <f aca="false">IFERROR(INDEX('Historical Data'!$BC$2:$BC$1068,MATCH($A384,'Historical Data'!$BE$2:$BE$1068,0)),"")</f>
        <v/>
      </c>
      <c r="X384" s="105" t="str">
        <f aca="false">IF(B384="","",IF(W384=1,"NR + industry + position",IF(W384=2,"NR + ISO + position",IF(W384=3,"NR + industry",IF(W384=4,"NR + ISO",IF(W384=5,"NR + position",IF(W384=6,"NR only","book baseline"))))))&amp;"  ["&amp;IF(T384=1,"seasoned","unseasoned")&amp;IF(U384=1,", defaulted","")&amp;IF(V384=1,", open","")&amp;"]")</f>
        <v/>
      </c>
    </row>
    <row r="385" customFormat="false" ht="15" hidden="false" customHeight="false" outlineLevel="0" collapsed="false">
      <c r="A385" s="105" t="n">
        <v>381</v>
      </c>
      <c r="B385" s="106" t="str">
        <f aca="false">IFERROR(INDEX('Historical Data'!$A$2:$A$1068,MATCH($A385,'Historical Data'!$BE$2:$BE$1068,0)),"")</f>
        <v/>
      </c>
      <c r="C385" s="106" t="str">
        <f aca="false">IFERROR(INDEX('Historical Data'!$B$2:$B$1068,MATCH($A385,'Historical Data'!$BE$2:$BE$1068,0)),"")</f>
        <v/>
      </c>
      <c r="D385" s="106" t="str">
        <f aca="false">IFERROR(INDEX('Historical Data'!$D$2:$D$1068,MATCH($A385,'Historical Data'!$BE$2:$BE$1068,0)),"")</f>
        <v/>
      </c>
      <c r="E385" s="107" t="str">
        <f aca="false">IFERROR(INDEX('Historical Data'!$E$2:$E$1068,MATCH($A385,'Historical Data'!$BE$2:$BE$1068,0)),"")</f>
        <v/>
      </c>
      <c r="F385" s="106" t="str">
        <f aca="false">IFERROR(INDEX('Historical Data'!$G$2:$G$1068,MATCH($A385,'Historical Data'!$BE$2:$BE$1068,0)),"")</f>
        <v/>
      </c>
      <c r="G385" s="106" t="str">
        <f aca="false">IFERROR(INDEX('Historical Data'!$Y$2:$Y$1068,MATCH($A385,'Historical Data'!$BE$2:$BE$1068,0)),"")</f>
        <v/>
      </c>
      <c r="H385" s="106" t="str">
        <f aca="false">IFERROR(INDEX('Historical Data'!$K$2:$K$1068,MATCH($A385,'Historical Data'!$BE$2:$BE$1068,0)),"")</f>
        <v/>
      </c>
      <c r="I385" s="106" t="str">
        <f aca="false">IFERROR(INDEX('Historical Data'!$J$2:$J$1068,MATCH($A385,'Historical Data'!$BE$2:$BE$1068,0)),"")</f>
        <v/>
      </c>
      <c r="J385" s="106" t="str">
        <f aca="false">IFERROR(INDEX('Historical Data'!$L$2:$L$1068,MATCH($A385,'Historical Data'!$BE$2:$BE$1068,0)),"")</f>
        <v/>
      </c>
      <c r="K385" s="108" t="str">
        <f aca="false">IFERROR(INDEX('Historical Data'!$M$2:$M$1068,MATCH($A385,'Historical Data'!$BE$2:$BE$1068,0)),"")</f>
        <v/>
      </c>
      <c r="L385" s="109" t="str">
        <f aca="false">IFERROR(INDEX('Historical Data'!$N$2:$N$1068,MATCH($A385,'Historical Data'!$BE$2:$BE$1068,0)),"")</f>
        <v/>
      </c>
      <c r="M385" s="109" t="str">
        <f aca="false">IFERROR(INDEX('Historical Data'!$Q$2:$Q$1068,MATCH($A385,'Historical Data'!$BE$2:$BE$1068,0)),"")</f>
        <v/>
      </c>
      <c r="N385" s="110" t="str">
        <f aca="false">IFERROR(INDEX('Historical Data'!$S$2:$S$1068,MATCH($A385,'Historical Data'!$BE$2:$BE$1068,0)),"")</f>
        <v/>
      </c>
      <c r="O385" s="109" t="str">
        <f aca="false">IFERROR(INDEX('Historical Data'!$AJ$2:$AJ$1068,MATCH($A385,'Historical Data'!$BE$2:$BE$1068,0)),"")</f>
        <v/>
      </c>
      <c r="P385" s="109" t="str">
        <f aca="false">IFERROR(INDEX('Historical Data'!$AK$2:$AK$1068,MATCH($A385,'Historical Data'!$BE$2:$BE$1068,0)),"")</f>
        <v/>
      </c>
      <c r="Q385" s="106" t="str">
        <f aca="false">IFERROR(INDEX('Historical Data'!$AA$2:$AA$1068,MATCH($A385,'Historical Data'!$BE$2:$BE$1068,0)),"")</f>
        <v/>
      </c>
      <c r="R385" s="106" t="str">
        <f aca="false">IFERROR(INDEX('Historical Data'!$AB$2:$AB$1068,MATCH($A385,'Historical Data'!$BE$2:$BE$1068,0)),"")</f>
        <v/>
      </c>
      <c r="S385" s="106" t="str">
        <f aca="false">IFERROR(INDEX('Historical Data'!$AN$2:$AN$1068,MATCH($A385,'Historical Data'!$BE$2:$BE$1068,0)),"")</f>
        <v/>
      </c>
      <c r="T385" s="106" t="str">
        <f aca="false">IFERROR(INDEX('Historical Data'!$AC$2:$AC$1068,MATCH($A385,'Historical Data'!$BE$2:$BE$1068,0)),"")</f>
        <v/>
      </c>
      <c r="U385" s="106" t="str">
        <f aca="false">IFERROR(INDEX('Historical Data'!$AE$2:$AE$1068,MATCH($A385,'Historical Data'!$BE$2:$BE$1068,0)),"")</f>
        <v/>
      </c>
      <c r="V385" s="106" t="str">
        <f aca="false">IFERROR(INDEX('Historical Data'!$AH$2:$AH$1068,MATCH($A385,'Historical Data'!$BE$2:$BE$1068,0)),"")</f>
        <v/>
      </c>
      <c r="W385" s="106" t="str">
        <f aca="false">IFERROR(INDEX('Historical Data'!$BC$2:$BC$1068,MATCH($A385,'Historical Data'!$BE$2:$BE$1068,0)),"")</f>
        <v/>
      </c>
      <c r="X385" s="105" t="str">
        <f aca="false">IF(B385="","",IF(W385=1,"NR + industry + position",IF(W385=2,"NR + ISO + position",IF(W385=3,"NR + industry",IF(W385=4,"NR + ISO",IF(W385=5,"NR + position",IF(W385=6,"NR only","book baseline"))))))&amp;"  ["&amp;IF(T385=1,"seasoned","unseasoned")&amp;IF(U385=1,", defaulted","")&amp;IF(V385=1,", open","")&amp;"]")</f>
        <v/>
      </c>
    </row>
    <row r="386" customFormat="false" ht="15" hidden="false" customHeight="false" outlineLevel="0" collapsed="false">
      <c r="A386" s="105" t="n">
        <v>382</v>
      </c>
      <c r="B386" s="106" t="str">
        <f aca="false">IFERROR(INDEX('Historical Data'!$A$2:$A$1068,MATCH($A386,'Historical Data'!$BE$2:$BE$1068,0)),"")</f>
        <v/>
      </c>
      <c r="C386" s="106" t="str">
        <f aca="false">IFERROR(INDEX('Historical Data'!$B$2:$B$1068,MATCH($A386,'Historical Data'!$BE$2:$BE$1068,0)),"")</f>
        <v/>
      </c>
      <c r="D386" s="106" t="str">
        <f aca="false">IFERROR(INDEX('Historical Data'!$D$2:$D$1068,MATCH($A386,'Historical Data'!$BE$2:$BE$1068,0)),"")</f>
        <v/>
      </c>
      <c r="E386" s="107" t="str">
        <f aca="false">IFERROR(INDEX('Historical Data'!$E$2:$E$1068,MATCH($A386,'Historical Data'!$BE$2:$BE$1068,0)),"")</f>
        <v/>
      </c>
      <c r="F386" s="106" t="str">
        <f aca="false">IFERROR(INDEX('Historical Data'!$G$2:$G$1068,MATCH($A386,'Historical Data'!$BE$2:$BE$1068,0)),"")</f>
        <v/>
      </c>
      <c r="G386" s="106" t="str">
        <f aca="false">IFERROR(INDEX('Historical Data'!$Y$2:$Y$1068,MATCH($A386,'Historical Data'!$BE$2:$BE$1068,0)),"")</f>
        <v/>
      </c>
      <c r="H386" s="106" t="str">
        <f aca="false">IFERROR(INDEX('Historical Data'!$K$2:$K$1068,MATCH($A386,'Historical Data'!$BE$2:$BE$1068,0)),"")</f>
        <v/>
      </c>
      <c r="I386" s="106" t="str">
        <f aca="false">IFERROR(INDEX('Historical Data'!$J$2:$J$1068,MATCH($A386,'Historical Data'!$BE$2:$BE$1068,0)),"")</f>
        <v/>
      </c>
      <c r="J386" s="106" t="str">
        <f aca="false">IFERROR(INDEX('Historical Data'!$L$2:$L$1068,MATCH($A386,'Historical Data'!$BE$2:$BE$1068,0)),"")</f>
        <v/>
      </c>
      <c r="K386" s="108" t="str">
        <f aca="false">IFERROR(INDEX('Historical Data'!$M$2:$M$1068,MATCH($A386,'Historical Data'!$BE$2:$BE$1068,0)),"")</f>
        <v/>
      </c>
      <c r="L386" s="109" t="str">
        <f aca="false">IFERROR(INDEX('Historical Data'!$N$2:$N$1068,MATCH($A386,'Historical Data'!$BE$2:$BE$1068,0)),"")</f>
        <v/>
      </c>
      <c r="M386" s="109" t="str">
        <f aca="false">IFERROR(INDEX('Historical Data'!$Q$2:$Q$1068,MATCH($A386,'Historical Data'!$BE$2:$BE$1068,0)),"")</f>
        <v/>
      </c>
      <c r="N386" s="110" t="str">
        <f aca="false">IFERROR(INDEX('Historical Data'!$S$2:$S$1068,MATCH($A386,'Historical Data'!$BE$2:$BE$1068,0)),"")</f>
        <v/>
      </c>
      <c r="O386" s="109" t="str">
        <f aca="false">IFERROR(INDEX('Historical Data'!$AJ$2:$AJ$1068,MATCH($A386,'Historical Data'!$BE$2:$BE$1068,0)),"")</f>
        <v/>
      </c>
      <c r="P386" s="109" t="str">
        <f aca="false">IFERROR(INDEX('Historical Data'!$AK$2:$AK$1068,MATCH($A386,'Historical Data'!$BE$2:$BE$1068,0)),"")</f>
        <v/>
      </c>
      <c r="Q386" s="106" t="str">
        <f aca="false">IFERROR(INDEX('Historical Data'!$AA$2:$AA$1068,MATCH($A386,'Historical Data'!$BE$2:$BE$1068,0)),"")</f>
        <v/>
      </c>
      <c r="R386" s="106" t="str">
        <f aca="false">IFERROR(INDEX('Historical Data'!$AB$2:$AB$1068,MATCH($A386,'Historical Data'!$BE$2:$BE$1068,0)),"")</f>
        <v/>
      </c>
      <c r="S386" s="106" t="str">
        <f aca="false">IFERROR(INDEX('Historical Data'!$AN$2:$AN$1068,MATCH($A386,'Historical Data'!$BE$2:$BE$1068,0)),"")</f>
        <v/>
      </c>
      <c r="T386" s="106" t="str">
        <f aca="false">IFERROR(INDEX('Historical Data'!$AC$2:$AC$1068,MATCH($A386,'Historical Data'!$BE$2:$BE$1068,0)),"")</f>
        <v/>
      </c>
      <c r="U386" s="106" t="str">
        <f aca="false">IFERROR(INDEX('Historical Data'!$AE$2:$AE$1068,MATCH($A386,'Historical Data'!$BE$2:$BE$1068,0)),"")</f>
        <v/>
      </c>
      <c r="V386" s="106" t="str">
        <f aca="false">IFERROR(INDEX('Historical Data'!$AH$2:$AH$1068,MATCH($A386,'Historical Data'!$BE$2:$BE$1068,0)),"")</f>
        <v/>
      </c>
      <c r="W386" s="106" t="str">
        <f aca="false">IFERROR(INDEX('Historical Data'!$BC$2:$BC$1068,MATCH($A386,'Historical Data'!$BE$2:$BE$1068,0)),"")</f>
        <v/>
      </c>
      <c r="X386" s="105" t="str">
        <f aca="false">IF(B386="","",IF(W386=1,"NR + industry + position",IF(W386=2,"NR + ISO + position",IF(W386=3,"NR + industry",IF(W386=4,"NR + ISO",IF(W386=5,"NR + position",IF(W386=6,"NR only","book baseline"))))))&amp;"  ["&amp;IF(T386=1,"seasoned","unseasoned")&amp;IF(U386=1,", defaulted","")&amp;IF(V386=1,", open","")&amp;"]")</f>
        <v/>
      </c>
    </row>
    <row r="387" customFormat="false" ht="15" hidden="false" customHeight="false" outlineLevel="0" collapsed="false">
      <c r="A387" s="105" t="n">
        <v>383</v>
      </c>
      <c r="B387" s="106" t="str">
        <f aca="false">IFERROR(INDEX('Historical Data'!$A$2:$A$1068,MATCH($A387,'Historical Data'!$BE$2:$BE$1068,0)),"")</f>
        <v/>
      </c>
      <c r="C387" s="106" t="str">
        <f aca="false">IFERROR(INDEX('Historical Data'!$B$2:$B$1068,MATCH($A387,'Historical Data'!$BE$2:$BE$1068,0)),"")</f>
        <v/>
      </c>
      <c r="D387" s="106" t="str">
        <f aca="false">IFERROR(INDEX('Historical Data'!$D$2:$D$1068,MATCH($A387,'Historical Data'!$BE$2:$BE$1068,0)),"")</f>
        <v/>
      </c>
      <c r="E387" s="107" t="str">
        <f aca="false">IFERROR(INDEX('Historical Data'!$E$2:$E$1068,MATCH($A387,'Historical Data'!$BE$2:$BE$1068,0)),"")</f>
        <v/>
      </c>
      <c r="F387" s="106" t="str">
        <f aca="false">IFERROR(INDEX('Historical Data'!$G$2:$G$1068,MATCH($A387,'Historical Data'!$BE$2:$BE$1068,0)),"")</f>
        <v/>
      </c>
      <c r="G387" s="106" t="str">
        <f aca="false">IFERROR(INDEX('Historical Data'!$Y$2:$Y$1068,MATCH($A387,'Historical Data'!$BE$2:$BE$1068,0)),"")</f>
        <v/>
      </c>
      <c r="H387" s="106" t="str">
        <f aca="false">IFERROR(INDEX('Historical Data'!$K$2:$K$1068,MATCH($A387,'Historical Data'!$BE$2:$BE$1068,0)),"")</f>
        <v/>
      </c>
      <c r="I387" s="106" t="str">
        <f aca="false">IFERROR(INDEX('Historical Data'!$J$2:$J$1068,MATCH($A387,'Historical Data'!$BE$2:$BE$1068,0)),"")</f>
        <v/>
      </c>
      <c r="J387" s="106" t="str">
        <f aca="false">IFERROR(INDEX('Historical Data'!$L$2:$L$1068,MATCH($A387,'Historical Data'!$BE$2:$BE$1068,0)),"")</f>
        <v/>
      </c>
      <c r="K387" s="108" t="str">
        <f aca="false">IFERROR(INDEX('Historical Data'!$M$2:$M$1068,MATCH($A387,'Historical Data'!$BE$2:$BE$1068,0)),"")</f>
        <v/>
      </c>
      <c r="L387" s="109" t="str">
        <f aca="false">IFERROR(INDEX('Historical Data'!$N$2:$N$1068,MATCH($A387,'Historical Data'!$BE$2:$BE$1068,0)),"")</f>
        <v/>
      </c>
      <c r="M387" s="109" t="str">
        <f aca="false">IFERROR(INDEX('Historical Data'!$Q$2:$Q$1068,MATCH($A387,'Historical Data'!$BE$2:$BE$1068,0)),"")</f>
        <v/>
      </c>
      <c r="N387" s="110" t="str">
        <f aca="false">IFERROR(INDEX('Historical Data'!$S$2:$S$1068,MATCH($A387,'Historical Data'!$BE$2:$BE$1068,0)),"")</f>
        <v/>
      </c>
      <c r="O387" s="109" t="str">
        <f aca="false">IFERROR(INDEX('Historical Data'!$AJ$2:$AJ$1068,MATCH($A387,'Historical Data'!$BE$2:$BE$1068,0)),"")</f>
        <v/>
      </c>
      <c r="P387" s="109" t="str">
        <f aca="false">IFERROR(INDEX('Historical Data'!$AK$2:$AK$1068,MATCH($A387,'Historical Data'!$BE$2:$BE$1068,0)),"")</f>
        <v/>
      </c>
      <c r="Q387" s="106" t="str">
        <f aca="false">IFERROR(INDEX('Historical Data'!$AA$2:$AA$1068,MATCH($A387,'Historical Data'!$BE$2:$BE$1068,0)),"")</f>
        <v/>
      </c>
      <c r="R387" s="106" t="str">
        <f aca="false">IFERROR(INDEX('Historical Data'!$AB$2:$AB$1068,MATCH($A387,'Historical Data'!$BE$2:$BE$1068,0)),"")</f>
        <v/>
      </c>
      <c r="S387" s="106" t="str">
        <f aca="false">IFERROR(INDEX('Historical Data'!$AN$2:$AN$1068,MATCH($A387,'Historical Data'!$BE$2:$BE$1068,0)),"")</f>
        <v/>
      </c>
      <c r="T387" s="106" t="str">
        <f aca="false">IFERROR(INDEX('Historical Data'!$AC$2:$AC$1068,MATCH($A387,'Historical Data'!$BE$2:$BE$1068,0)),"")</f>
        <v/>
      </c>
      <c r="U387" s="106" t="str">
        <f aca="false">IFERROR(INDEX('Historical Data'!$AE$2:$AE$1068,MATCH($A387,'Historical Data'!$BE$2:$BE$1068,0)),"")</f>
        <v/>
      </c>
      <c r="V387" s="106" t="str">
        <f aca="false">IFERROR(INDEX('Historical Data'!$AH$2:$AH$1068,MATCH($A387,'Historical Data'!$BE$2:$BE$1068,0)),"")</f>
        <v/>
      </c>
      <c r="W387" s="106" t="str">
        <f aca="false">IFERROR(INDEX('Historical Data'!$BC$2:$BC$1068,MATCH($A387,'Historical Data'!$BE$2:$BE$1068,0)),"")</f>
        <v/>
      </c>
      <c r="X387" s="105" t="str">
        <f aca="false">IF(B387="","",IF(W387=1,"NR + industry + position",IF(W387=2,"NR + ISO + position",IF(W387=3,"NR + industry",IF(W387=4,"NR + ISO",IF(W387=5,"NR + position",IF(W387=6,"NR only","book baseline"))))))&amp;"  ["&amp;IF(T387=1,"seasoned","unseasoned")&amp;IF(U387=1,", defaulted","")&amp;IF(V387=1,", open","")&amp;"]")</f>
        <v/>
      </c>
    </row>
    <row r="388" customFormat="false" ht="15" hidden="false" customHeight="false" outlineLevel="0" collapsed="false">
      <c r="A388" s="105" t="n">
        <v>384</v>
      </c>
      <c r="B388" s="106" t="str">
        <f aca="false">IFERROR(INDEX('Historical Data'!$A$2:$A$1068,MATCH($A388,'Historical Data'!$BE$2:$BE$1068,0)),"")</f>
        <v/>
      </c>
      <c r="C388" s="106" t="str">
        <f aca="false">IFERROR(INDEX('Historical Data'!$B$2:$B$1068,MATCH($A388,'Historical Data'!$BE$2:$BE$1068,0)),"")</f>
        <v/>
      </c>
      <c r="D388" s="106" t="str">
        <f aca="false">IFERROR(INDEX('Historical Data'!$D$2:$D$1068,MATCH($A388,'Historical Data'!$BE$2:$BE$1068,0)),"")</f>
        <v/>
      </c>
      <c r="E388" s="107" t="str">
        <f aca="false">IFERROR(INDEX('Historical Data'!$E$2:$E$1068,MATCH($A388,'Historical Data'!$BE$2:$BE$1068,0)),"")</f>
        <v/>
      </c>
      <c r="F388" s="106" t="str">
        <f aca="false">IFERROR(INDEX('Historical Data'!$G$2:$G$1068,MATCH($A388,'Historical Data'!$BE$2:$BE$1068,0)),"")</f>
        <v/>
      </c>
      <c r="G388" s="106" t="str">
        <f aca="false">IFERROR(INDEX('Historical Data'!$Y$2:$Y$1068,MATCH($A388,'Historical Data'!$BE$2:$BE$1068,0)),"")</f>
        <v/>
      </c>
      <c r="H388" s="106" t="str">
        <f aca="false">IFERROR(INDEX('Historical Data'!$K$2:$K$1068,MATCH($A388,'Historical Data'!$BE$2:$BE$1068,0)),"")</f>
        <v/>
      </c>
      <c r="I388" s="106" t="str">
        <f aca="false">IFERROR(INDEX('Historical Data'!$J$2:$J$1068,MATCH($A388,'Historical Data'!$BE$2:$BE$1068,0)),"")</f>
        <v/>
      </c>
      <c r="J388" s="106" t="str">
        <f aca="false">IFERROR(INDEX('Historical Data'!$L$2:$L$1068,MATCH($A388,'Historical Data'!$BE$2:$BE$1068,0)),"")</f>
        <v/>
      </c>
      <c r="K388" s="108" t="str">
        <f aca="false">IFERROR(INDEX('Historical Data'!$M$2:$M$1068,MATCH($A388,'Historical Data'!$BE$2:$BE$1068,0)),"")</f>
        <v/>
      </c>
      <c r="L388" s="109" t="str">
        <f aca="false">IFERROR(INDEX('Historical Data'!$N$2:$N$1068,MATCH($A388,'Historical Data'!$BE$2:$BE$1068,0)),"")</f>
        <v/>
      </c>
      <c r="M388" s="109" t="str">
        <f aca="false">IFERROR(INDEX('Historical Data'!$Q$2:$Q$1068,MATCH($A388,'Historical Data'!$BE$2:$BE$1068,0)),"")</f>
        <v/>
      </c>
      <c r="N388" s="110" t="str">
        <f aca="false">IFERROR(INDEX('Historical Data'!$S$2:$S$1068,MATCH($A388,'Historical Data'!$BE$2:$BE$1068,0)),"")</f>
        <v/>
      </c>
      <c r="O388" s="109" t="str">
        <f aca="false">IFERROR(INDEX('Historical Data'!$AJ$2:$AJ$1068,MATCH($A388,'Historical Data'!$BE$2:$BE$1068,0)),"")</f>
        <v/>
      </c>
      <c r="P388" s="109" t="str">
        <f aca="false">IFERROR(INDEX('Historical Data'!$AK$2:$AK$1068,MATCH($A388,'Historical Data'!$BE$2:$BE$1068,0)),"")</f>
        <v/>
      </c>
      <c r="Q388" s="106" t="str">
        <f aca="false">IFERROR(INDEX('Historical Data'!$AA$2:$AA$1068,MATCH($A388,'Historical Data'!$BE$2:$BE$1068,0)),"")</f>
        <v/>
      </c>
      <c r="R388" s="106" t="str">
        <f aca="false">IFERROR(INDEX('Historical Data'!$AB$2:$AB$1068,MATCH($A388,'Historical Data'!$BE$2:$BE$1068,0)),"")</f>
        <v/>
      </c>
      <c r="S388" s="106" t="str">
        <f aca="false">IFERROR(INDEX('Historical Data'!$AN$2:$AN$1068,MATCH($A388,'Historical Data'!$BE$2:$BE$1068,0)),"")</f>
        <v/>
      </c>
      <c r="T388" s="106" t="str">
        <f aca="false">IFERROR(INDEX('Historical Data'!$AC$2:$AC$1068,MATCH($A388,'Historical Data'!$BE$2:$BE$1068,0)),"")</f>
        <v/>
      </c>
      <c r="U388" s="106" t="str">
        <f aca="false">IFERROR(INDEX('Historical Data'!$AE$2:$AE$1068,MATCH($A388,'Historical Data'!$BE$2:$BE$1068,0)),"")</f>
        <v/>
      </c>
      <c r="V388" s="106" t="str">
        <f aca="false">IFERROR(INDEX('Historical Data'!$AH$2:$AH$1068,MATCH($A388,'Historical Data'!$BE$2:$BE$1068,0)),"")</f>
        <v/>
      </c>
      <c r="W388" s="106" t="str">
        <f aca="false">IFERROR(INDEX('Historical Data'!$BC$2:$BC$1068,MATCH($A388,'Historical Data'!$BE$2:$BE$1068,0)),"")</f>
        <v/>
      </c>
      <c r="X388" s="105" t="str">
        <f aca="false">IF(B388="","",IF(W388=1,"NR + industry + position",IF(W388=2,"NR + ISO + position",IF(W388=3,"NR + industry",IF(W388=4,"NR + ISO",IF(W388=5,"NR + position",IF(W388=6,"NR only","book baseline"))))))&amp;"  ["&amp;IF(T388=1,"seasoned","unseasoned")&amp;IF(U388=1,", defaulted","")&amp;IF(V388=1,", open","")&amp;"]")</f>
        <v/>
      </c>
    </row>
    <row r="389" customFormat="false" ht="15" hidden="false" customHeight="false" outlineLevel="0" collapsed="false">
      <c r="A389" s="105" t="n">
        <v>385</v>
      </c>
      <c r="B389" s="106" t="str">
        <f aca="false">IFERROR(INDEX('Historical Data'!$A$2:$A$1068,MATCH($A389,'Historical Data'!$BE$2:$BE$1068,0)),"")</f>
        <v/>
      </c>
      <c r="C389" s="106" t="str">
        <f aca="false">IFERROR(INDEX('Historical Data'!$B$2:$B$1068,MATCH($A389,'Historical Data'!$BE$2:$BE$1068,0)),"")</f>
        <v/>
      </c>
      <c r="D389" s="106" t="str">
        <f aca="false">IFERROR(INDEX('Historical Data'!$D$2:$D$1068,MATCH($A389,'Historical Data'!$BE$2:$BE$1068,0)),"")</f>
        <v/>
      </c>
      <c r="E389" s="107" t="str">
        <f aca="false">IFERROR(INDEX('Historical Data'!$E$2:$E$1068,MATCH($A389,'Historical Data'!$BE$2:$BE$1068,0)),"")</f>
        <v/>
      </c>
      <c r="F389" s="106" t="str">
        <f aca="false">IFERROR(INDEX('Historical Data'!$G$2:$G$1068,MATCH($A389,'Historical Data'!$BE$2:$BE$1068,0)),"")</f>
        <v/>
      </c>
      <c r="G389" s="106" t="str">
        <f aca="false">IFERROR(INDEX('Historical Data'!$Y$2:$Y$1068,MATCH($A389,'Historical Data'!$BE$2:$BE$1068,0)),"")</f>
        <v/>
      </c>
      <c r="H389" s="106" t="str">
        <f aca="false">IFERROR(INDEX('Historical Data'!$K$2:$K$1068,MATCH($A389,'Historical Data'!$BE$2:$BE$1068,0)),"")</f>
        <v/>
      </c>
      <c r="I389" s="106" t="str">
        <f aca="false">IFERROR(INDEX('Historical Data'!$J$2:$J$1068,MATCH($A389,'Historical Data'!$BE$2:$BE$1068,0)),"")</f>
        <v/>
      </c>
      <c r="J389" s="106" t="str">
        <f aca="false">IFERROR(INDEX('Historical Data'!$L$2:$L$1068,MATCH($A389,'Historical Data'!$BE$2:$BE$1068,0)),"")</f>
        <v/>
      </c>
      <c r="K389" s="108" t="str">
        <f aca="false">IFERROR(INDEX('Historical Data'!$M$2:$M$1068,MATCH($A389,'Historical Data'!$BE$2:$BE$1068,0)),"")</f>
        <v/>
      </c>
      <c r="L389" s="109" t="str">
        <f aca="false">IFERROR(INDEX('Historical Data'!$N$2:$N$1068,MATCH($A389,'Historical Data'!$BE$2:$BE$1068,0)),"")</f>
        <v/>
      </c>
      <c r="M389" s="109" t="str">
        <f aca="false">IFERROR(INDEX('Historical Data'!$Q$2:$Q$1068,MATCH($A389,'Historical Data'!$BE$2:$BE$1068,0)),"")</f>
        <v/>
      </c>
      <c r="N389" s="110" t="str">
        <f aca="false">IFERROR(INDEX('Historical Data'!$S$2:$S$1068,MATCH($A389,'Historical Data'!$BE$2:$BE$1068,0)),"")</f>
        <v/>
      </c>
      <c r="O389" s="109" t="str">
        <f aca="false">IFERROR(INDEX('Historical Data'!$AJ$2:$AJ$1068,MATCH($A389,'Historical Data'!$BE$2:$BE$1068,0)),"")</f>
        <v/>
      </c>
      <c r="P389" s="109" t="str">
        <f aca="false">IFERROR(INDEX('Historical Data'!$AK$2:$AK$1068,MATCH($A389,'Historical Data'!$BE$2:$BE$1068,0)),"")</f>
        <v/>
      </c>
      <c r="Q389" s="106" t="str">
        <f aca="false">IFERROR(INDEX('Historical Data'!$AA$2:$AA$1068,MATCH($A389,'Historical Data'!$BE$2:$BE$1068,0)),"")</f>
        <v/>
      </c>
      <c r="R389" s="106" t="str">
        <f aca="false">IFERROR(INDEX('Historical Data'!$AB$2:$AB$1068,MATCH($A389,'Historical Data'!$BE$2:$BE$1068,0)),"")</f>
        <v/>
      </c>
      <c r="S389" s="106" t="str">
        <f aca="false">IFERROR(INDEX('Historical Data'!$AN$2:$AN$1068,MATCH($A389,'Historical Data'!$BE$2:$BE$1068,0)),"")</f>
        <v/>
      </c>
      <c r="T389" s="106" t="str">
        <f aca="false">IFERROR(INDEX('Historical Data'!$AC$2:$AC$1068,MATCH($A389,'Historical Data'!$BE$2:$BE$1068,0)),"")</f>
        <v/>
      </c>
      <c r="U389" s="106" t="str">
        <f aca="false">IFERROR(INDEX('Historical Data'!$AE$2:$AE$1068,MATCH($A389,'Historical Data'!$BE$2:$BE$1068,0)),"")</f>
        <v/>
      </c>
      <c r="V389" s="106" t="str">
        <f aca="false">IFERROR(INDEX('Historical Data'!$AH$2:$AH$1068,MATCH($A389,'Historical Data'!$BE$2:$BE$1068,0)),"")</f>
        <v/>
      </c>
      <c r="W389" s="106" t="str">
        <f aca="false">IFERROR(INDEX('Historical Data'!$BC$2:$BC$1068,MATCH($A389,'Historical Data'!$BE$2:$BE$1068,0)),"")</f>
        <v/>
      </c>
      <c r="X389" s="105" t="str">
        <f aca="false">IF(B389="","",IF(W389=1,"NR + industry + position",IF(W389=2,"NR + ISO + position",IF(W389=3,"NR + industry",IF(W389=4,"NR + ISO",IF(W389=5,"NR + position",IF(W389=6,"NR only","book baseline"))))))&amp;"  ["&amp;IF(T389=1,"seasoned","unseasoned")&amp;IF(U389=1,", defaulted","")&amp;IF(V389=1,", open","")&amp;"]")</f>
        <v/>
      </c>
    </row>
    <row r="390" customFormat="false" ht="15" hidden="false" customHeight="false" outlineLevel="0" collapsed="false">
      <c r="A390" s="105" t="n">
        <v>386</v>
      </c>
      <c r="B390" s="106" t="str">
        <f aca="false">IFERROR(INDEX('Historical Data'!$A$2:$A$1068,MATCH($A390,'Historical Data'!$BE$2:$BE$1068,0)),"")</f>
        <v/>
      </c>
      <c r="C390" s="106" t="str">
        <f aca="false">IFERROR(INDEX('Historical Data'!$B$2:$B$1068,MATCH($A390,'Historical Data'!$BE$2:$BE$1068,0)),"")</f>
        <v/>
      </c>
      <c r="D390" s="106" t="str">
        <f aca="false">IFERROR(INDEX('Historical Data'!$D$2:$D$1068,MATCH($A390,'Historical Data'!$BE$2:$BE$1068,0)),"")</f>
        <v/>
      </c>
      <c r="E390" s="107" t="str">
        <f aca="false">IFERROR(INDEX('Historical Data'!$E$2:$E$1068,MATCH($A390,'Historical Data'!$BE$2:$BE$1068,0)),"")</f>
        <v/>
      </c>
      <c r="F390" s="106" t="str">
        <f aca="false">IFERROR(INDEX('Historical Data'!$G$2:$G$1068,MATCH($A390,'Historical Data'!$BE$2:$BE$1068,0)),"")</f>
        <v/>
      </c>
      <c r="G390" s="106" t="str">
        <f aca="false">IFERROR(INDEX('Historical Data'!$Y$2:$Y$1068,MATCH($A390,'Historical Data'!$BE$2:$BE$1068,0)),"")</f>
        <v/>
      </c>
      <c r="H390" s="106" t="str">
        <f aca="false">IFERROR(INDEX('Historical Data'!$K$2:$K$1068,MATCH($A390,'Historical Data'!$BE$2:$BE$1068,0)),"")</f>
        <v/>
      </c>
      <c r="I390" s="106" t="str">
        <f aca="false">IFERROR(INDEX('Historical Data'!$J$2:$J$1068,MATCH($A390,'Historical Data'!$BE$2:$BE$1068,0)),"")</f>
        <v/>
      </c>
      <c r="J390" s="106" t="str">
        <f aca="false">IFERROR(INDEX('Historical Data'!$L$2:$L$1068,MATCH($A390,'Historical Data'!$BE$2:$BE$1068,0)),"")</f>
        <v/>
      </c>
      <c r="K390" s="108" t="str">
        <f aca="false">IFERROR(INDEX('Historical Data'!$M$2:$M$1068,MATCH($A390,'Historical Data'!$BE$2:$BE$1068,0)),"")</f>
        <v/>
      </c>
      <c r="L390" s="109" t="str">
        <f aca="false">IFERROR(INDEX('Historical Data'!$N$2:$N$1068,MATCH($A390,'Historical Data'!$BE$2:$BE$1068,0)),"")</f>
        <v/>
      </c>
      <c r="M390" s="109" t="str">
        <f aca="false">IFERROR(INDEX('Historical Data'!$Q$2:$Q$1068,MATCH($A390,'Historical Data'!$BE$2:$BE$1068,0)),"")</f>
        <v/>
      </c>
      <c r="N390" s="110" t="str">
        <f aca="false">IFERROR(INDEX('Historical Data'!$S$2:$S$1068,MATCH($A390,'Historical Data'!$BE$2:$BE$1068,0)),"")</f>
        <v/>
      </c>
      <c r="O390" s="109" t="str">
        <f aca="false">IFERROR(INDEX('Historical Data'!$AJ$2:$AJ$1068,MATCH($A390,'Historical Data'!$BE$2:$BE$1068,0)),"")</f>
        <v/>
      </c>
      <c r="P390" s="109" t="str">
        <f aca="false">IFERROR(INDEX('Historical Data'!$AK$2:$AK$1068,MATCH($A390,'Historical Data'!$BE$2:$BE$1068,0)),"")</f>
        <v/>
      </c>
      <c r="Q390" s="106" t="str">
        <f aca="false">IFERROR(INDEX('Historical Data'!$AA$2:$AA$1068,MATCH($A390,'Historical Data'!$BE$2:$BE$1068,0)),"")</f>
        <v/>
      </c>
      <c r="R390" s="106" t="str">
        <f aca="false">IFERROR(INDEX('Historical Data'!$AB$2:$AB$1068,MATCH($A390,'Historical Data'!$BE$2:$BE$1068,0)),"")</f>
        <v/>
      </c>
      <c r="S390" s="106" t="str">
        <f aca="false">IFERROR(INDEX('Historical Data'!$AN$2:$AN$1068,MATCH($A390,'Historical Data'!$BE$2:$BE$1068,0)),"")</f>
        <v/>
      </c>
      <c r="T390" s="106" t="str">
        <f aca="false">IFERROR(INDEX('Historical Data'!$AC$2:$AC$1068,MATCH($A390,'Historical Data'!$BE$2:$BE$1068,0)),"")</f>
        <v/>
      </c>
      <c r="U390" s="106" t="str">
        <f aca="false">IFERROR(INDEX('Historical Data'!$AE$2:$AE$1068,MATCH($A390,'Historical Data'!$BE$2:$BE$1068,0)),"")</f>
        <v/>
      </c>
      <c r="V390" s="106" t="str">
        <f aca="false">IFERROR(INDEX('Historical Data'!$AH$2:$AH$1068,MATCH($A390,'Historical Data'!$BE$2:$BE$1068,0)),"")</f>
        <v/>
      </c>
      <c r="W390" s="106" t="str">
        <f aca="false">IFERROR(INDEX('Historical Data'!$BC$2:$BC$1068,MATCH($A390,'Historical Data'!$BE$2:$BE$1068,0)),"")</f>
        <v/>
      </c>
      <c r="X390" s="105" t="str">
        <f aca="false">IF(B390="","",IF(W390=1,"NR + industry + position",IF(W390=2,"NR + ISO + position",IF(W390=3,"NR + industry",IF(W390=4,"NR + ISO",IF(W390=5,"NR + position",IF(W390=6,"NR only","book baseline"))))))&amp;"  ["&amp;IF(T390=1,"seasoned","unseasoned")&amp;IF(U390=1,", defaulted","")&amp;IF(V390=1,", open","")&amp;"]")</f>
        <v/>
      </c>
    </row>
    <row r="391" customFormat="false" ht="15" hidden="false" customHeight="false" outlineLevel="0" collapsed="false">
      <c r="A391" s="105" t="n">
        <v>387</v>
      </c>
      <c r="B391" s="106" t="str">
        <f aca="false">IFERROR(INDEX('Historical Data'!$A$2:$A$1068,MATCH($A391,'Historical Data'!$BE$2:$BE$1068,0)),"")</f>
        <v/>
      </c>
      <c r="C391" s="106" t="str">
        <f aca="false">IFERROR(INDEX('Historical Data'!$B$2:$B$1068,MATCH($A391,'Historical Data'!$BE$2:$BE$1068,0)),"")</f>
        <v/>
      </c>
      <c r="D391" s="106" t="str">
        <f aca="false">IFERROR(INDEX('Historical Data'!$D$2:$D$1068,MATCH($A391,'Historical Data'!$BE$2:$BE$1068,0)),"")</f>
        <v/>
      </c>
      <c r="E391" s="107" t="str">
        <f aca="false">IFERROR(INDEX('Historical Data'!$E$2:$E$1068,MATCH($A391,'Historical Data'!$BE$2:$BE$1068,0)),"")</f>
        <v/>
      </c>
      <c r="F391" s="106" t="str">
        <f aca="false">IFERROR(INDEX('Historical Data'!$G$2:$G$1068,MATCH($A391,'Historical Data'!$BE$2:$BE$1068,0)),"")</f>
        <v/>
      </c>
      <c r="G391" s="106" t="str">
        <f aca="false">IFERROR(INDEX('Historical Data'!$Y$2:$Y$1068,MATCH($A391,'Historical Data'!$BE$2:$BE$1068,0)),"")</f>
        <v/>
      </c>
      <c r="H391" s="106" t="str">
        <f aca="false">IFERROR(INDEX('Historical Data'!$K$2:$K$1068,MATCH($A391,'Historical Data'!$BE$2:$BE$1068,0)),"")</f>
        <v/>
      </c>
      <c r="I391" s="106" t="str">
        <f aca="false">IFERROR(INDEX('Historical Data'!$J$2:$J$1068,MATCH($A391,'Historical Data'!$BE$2:$BE$1068,0)),"")</f>
        <v/>
      </c>
      <c r="J391" s="106" t="str">
        <f aca="false">IFERROR(INDEX('Historical Data'!$L$2:$L$1068,MATCH($A391,'Historical Data'!$BE$2:$BE$1068,0)),"")</f>
        <v/>
      </c>
      <c r="K391" s="108" t="str">
        <f aca="false">IFERROR(INDEX('Historical Data'!$M$2:$M$1068,MATCH($A391,'Historical Data'!$BE$2:$BE$1068,0)),"")</f>
        <v/>
      </c>
      <c r="L391" s="109" t="str">
        <f aca="false">IFERROR(INDEX('Historical Data'!$N$2:$N$1068,MATCH($A391,'Historical Data'!$BE$2:$BE$1068,0)),"")</f>
        <v/>
      </c>
      <c r="M391" s="109" t="str">
        <f aca="false">IFERROR(INDEX('Historical Data'!$Q$2:$Q$1068,MATCH($A391,'Historical Data'!$BE$2:$BE$1068,0)),"")</f>
        <v/>
      </c>
      <c r="N391" s="110" t="str">
        <f aca="false">IFERROR(INDEX('Historical Data'!$S$2:$S$1068,MATCH($A391,'Historical Data'!$BE$2:$BE$1068,0)),"")</f>
        <v/>
      </c>
      <c r="O391" s="109" t="str">
        <f aca="false">IFERROR(INDEX('Historical Data'!$AJ$2:$AJ$1068,MATCH($A391,'Historical Data'!$BE$2:$BE$1068,0)),"")</f>
        <v/>
      </c>
      <c r="P391" s="109" t="str">
        <f aca="false">IFERROR(INDEX('Historical Data'!$AK$2:$AK$1068,MATCH($A391,'Historical Data'!$BE$2:$BE$1068,0)),"")</f>
        <v/>
      </c>
      <c r="Q391" s="106" t="str">
        <f aca="false">IFERROR(INDEX('Historical Data'!$AA$2:$AA$1068,MATCH($A391,'Historical Data'!$BE$2:$BE$1068,0)),"")</f>
        <v/>
      </c>
      <c r="R391" s="106" t="str">
        <f aca="false">IFERROR(INDEX('Historical Data'!$AB$2:$AB$1068,MATCH($A391,'Historical Data'!$BE$2:$BE$1068,0)),"")</f>
        <v/>
      </c>
      <c r="S391" s="106" t="str">
        <f aca="false">IFERROR(INDEX('Historical Data'!$AN$2:$AN$1068,MATCH($A391,'Historical Data'!$BE$2:$BE$1068,0)),"")</f>
        <v/>
      </c>
      <c r="T391" s="106" t="str">
        <f aca="false">IFERROR(INDEX('Historical Data'!$AC$2:$AC$1068,MATCH($A391,'Historical Data'!$BE$2:$BE$1068,0)),"")</f>
        <v/>
      </c>
      <c r="U391" s="106" t="str">
        <f aca="false">IFERROR(INDEX('Historical Data'!$AE$2:$AE$1068,MATCH($A391,'Historical Data'!$BE$2:$BE$1068,0)),"")</f>
        <v/>
      </c>
      <c r="V391" s="106" t="str">
        <f aca="false">IFERROR(INDEX('Historical Data'!$AH$2:$AH$1068,MATCH($A391,'Historical Data'!$BE$2:$BE$1068,0)),"")</f>
        <v/>
      </c>
      <c r="W391" s="106" t="str">
        <f aca="false">IFERROR(INDEX('Historical Data'!$BC$2:$BC$1068,MATCH($A391,'Historical Data'!$BE$2:$BE$1068,0)),"")</f>
        <v/>
      </c>
      <c r="X391" s="105" t="str">
        <f aca="false">IF(B391="","",IF(W391=1,"NR + industry + position",IF(W391=2,"NR + ISO + position",IF(W391=3,"NR + industry",IF(W391=4,"NR + ISO",IF(W391=5,"NR + position",IF(W391=6,"NR only","book baseline"))))))&amp;"  ["&amp;IF(T391=1,"seasoned","unseasoned")&amp;IF(U391=1,", defaulted","")&amp;IF(V391=1,", open","")&amp;"]")</f>
        <v/>
      </c>
    </row>
    <row r="392" customFormat="false" ht="15" hidden="false" customHeight="false" outlineLevel="0" collapsed="false">
      <c r="A392" s="105" t="n">
        <v>388</v>
      </c>
      <c r="B392" s="106" t="str">
        <f aca="false">IFERROR(INDEX('Historical Data'!$A$2:$A$1068,MATCH($A392,'Historical Data'!$BE$2:$BE$1068,0)),"")</f>
        <v/>
      </c>
      <c r="C392" s="106" t="str">
        <f aca="false">IFERROR(INDEX('Historical Data'!$B$2:$B$1068,MATCH($A392,'Historical Data'!$BE$2:$BE$1068,0)),"")</f>
        <v/>
      </c>
      <c r="D392" s="106" t="str">
        <f aca="false">IFERROR(INDEX('Historical Data'!$D$2:$D$1068,MATCH($A392,'Historical Data'!$BE$2:$BE$1068,0)),"")</f>
        <v/>
      </c>
      <c r="E392" s="107" t="str">
        <f aca="false">IFERROR(INDEX('Historical Data'!$E$2:$E$1068,MATCH($A392,'Historical Data'!$BE$2:$BE$1068,0)),"")</f>
        <v/>
      </c>
      <c r="F392" s="106" t="str">
        <f aca="false">IFERROR(INDEX('Historical Data'!$G$2:$G$1068,MATCH($A392,'Historical Data'!$BE$2:$BE$1068,0)),"")</f>
        <v/>
      </c>
      <c r="G392" s="106" t="str">
        <f aca="false">IFERROR(INDEX('Historical Data'!$Y$2:$Y$1068,MATCH($A392,'Historical Data'!$BE$2:$BE$1068,0)),"")</f>
        <v/>
      </c>
      <c r="H392" s="106" t="str">
        <f aca="false">IFERROR(INDEX('Historical Data'!$K$2:$K$1068,MATCH($A392,'Historical Data'!$BE$2:$BE$1068,0)),"")</f>
        <v/>
      </c>
      <c r="I392" s="106" t="str">
        <f aca="false">IFERROR(INDEX('Historical Data'!$J$2:$J$1068,MATCH($A392,'Historical Data'!$BE$2:$BE$1068,0)),"")</f>
        <v/>
      </c>
      <c r="J392" s="106" t="str">
        <f aca="false">IFERROR(INDEX('Historical Data'!$L$2:$L$1068,MATCH($A392,'Historical Data'!$BE$2:$BE$1068,0)),"")</f>
        <v/>
      </c>
      <c r="K392" s="108" t="str">
        <f aca="false">IFERROR(INDEX('Historical Data'!$M$2:$M$1068,MATCH($A392,'Historical Data'!$BE$2:$BE$1068,0)),"")</f>
        <v/>
      </c>
      <c r="L392" s="109" t="str">
        <f aca="false">IFERROR(INDEX('Historical Data'!$N$2:$N$1068,MATCH($A392,'Historical Data'!$BE$2:$BE$1068,0)),"")</f>
        <v/>
      </c>
      <c r="M392" s="109" t="str">
        <f aca="false">IFERROR(INDEX('Historical Data'!$Q$2:$Q$1068,MATCH($A392,'Historical Data'!$BE$2:$BE$1068,0)),"")</f>
        <v/>
      </c>
      <c r="N392" s="110" t="str">
        <f aca="false">IFERROR(INDEX('Historical Data'!$S$2:$S$1068,MATCH($A392,'Historical Data'!$BE$2:$BE$1068,0)),"")</f>
        <v/>
      </c>
      <c r="O392" s="109" t="str">
        <f aca="false">IFERROR(INDEX('Historical Data'!$AJ$2:$AJ$1068,MATCH($A392,'Historical Data'!$BE$2:$BE$1068,0)),"")</f>
        <v/>
      </c>
      <c r="P392" s="109" t="str">
        <f aca="false">IFERROR(INDEX('Historical Data'!$AK$2:$AK$1068,MATCH($A392,'Historical Data'!$BE$2:$BE$1068,0)),"")</f>
        <v/>
      </c>
      <c r="Q392" s="106" t="str">
        <f aca="false">IFERROR(INDEX('Historical Data'!$AA$2:$AA$1068,MATCH($A392,'Historical Data'!$BE$2:$BE$1068,0)),"")</f>
        <v/>
      </c>
      <c r="R392" s="106" t="str">
        <f aca="false">IFERROR(INDEX('Historical Data'!$AB$2:$AB$1068,MATCH($A392,'Historical Data'!$BE$2:$BE$1068,0)),"")</f>
        <v/>
      </c>
      <c r="S392" s="106" t="str">
        <f aca="false">IFERROR(INDEX('Historical Data'!$AN$2:$AN$1068,MATCH($A392,'Historical Data'!$BE$2:$BE$1068,0)),"")</f>
        <v/>
      </c>
      <c r="T392" s="106" t="str">
        <f aca="false">IFERROR(INDEX('Historical Data'!$AC$2:$AC$1068,MATCH($A392,'Historical Data'!$BE$2:$BE$1068,0)),"")</f>
        <v/>
      </c>
      <c r="U392" s="106" t="str">
        <f aca="false">IFERROR(INDEX('Historical Data'!$AE$2:$AE$1068,MATCH($A392,'Historical Data'!$BE$2:$BE$1068,0)),"")</f>
        <v/>
      </c>
      <c r="V392" s="106" t="str">
        <f aca="false">IFERROR(INDEX('Historical Data'!$AH$2:$AH$1068,MATCH($A392,'Historical Data'!$BE$2:$BE$1068,0)),"")</f>
        <v/>
      </c>
      <c r="W392" s="106" t="str">
        <f aca="false">IFERROR(INDEX('Historical Data'!$BC$2:$BC$1068,MATCH($A392,'Historical Data'!$BE$2:$BE$1068,0)),"")</f>
        <v/>
      </c>
      <c r="X392" s="105" t="str">
        <f aca="false">IF(B392="","",IF(W392=1,"NR + industry + position",IF(W392=2,"NR + ISO + position",IF(W392=3,"NR + industry",IF(W392=4,"NR + ISO",IF(W392=5,"NR + position",IF(W392=6,"NR only","book baseline"))))))&amp;"  ["&amp;IF(T392=1,"seasoned","unseasoned")&amp;IF(U392=1,", defaulted","")&amp;IF(V392=1,", open","")&amp;"]")</f>
        <v/>
      </c>
    </row>
    <row r="393" customFormat="false" ht="15" hidden="false" customHeight="false" outlineLevel="0" collapsed="false">
      <c r="A393" s="105" t="n">
        <v>389</v>
      </c>
      <c r="B393" s="106" t="str">
        <f aca="false">IFERROR(INDEX('Historical Data'!$A$2:$A$1068,MATCH($A393,'Historical Data'!$BE$2:$BE$1068,0)),"")</f>
        <v/>
      </c>
      <c r="C393" s="106" t="str">
        <f aca="false">IFERROR(INDEX('Historical Data'!$B$2:$B$1068,MATCH($A393,'Historical Data'!$BE$2:$BE$1068,0)),"")</f>
        <v/>
      </c>
      <c r="D393" s="106" t="str">
        <f aca="false">IFERROR(INDEX('Historical Data'!$D$2:$D$1068,MATCH($A393,'Historical Data'!$BE$2:$BE$1068,0)),"")</f>
        <v/>
      </c>
      <c r="E393" s="107" t="str">
        <f aca="false">IFERROR(INDEX('Historical Data'!$E$2:$E$1068,MATCH($A393,'Historical Data'!$BE$2:$BE$1068,0)),"")</f>
        <v/>
      </c>
      <c r="F393" s="106" t="str">
        <f aca="false">IFERROR(INDEX('Historical Data'!$G$2:$G$1068,MATCH($A393,'Historical Data'!$BE$2:$BE$1068,0)),"")</f>
        <v/>
      </c>
      <c r="G393" s="106" t="str">
        <f aca="false">IFERROR(INDEX('Historical Data'!$Y$2:$Y$1068,MATCH($A393,'Historical Data'!$BE$2:$BE$1068,0)),"")</f>
        <v/>
      </c>
      <c r="H393" s="106" t="str">
        <f aca="false">IFERROR(INDEX('Historical Data'!$K$2:$K$1068,MATCH($A393,'Historical Data'!$BE$2:$BE$1068,0)),"")</f>
        <v/>
      </c>
      <c r="I393" s="106" t="str">
        <f aca="false">IFERROR(INDEX('Historical Data'!$J$2:$J$1068,MATCH($A393,'Historical Data'!$BE$2:$BE$1068,0)),"")</f>
        <v/>
      </c>
      <c r="J393" s="106" t="str">
        <f aca="false">IFERROR(INDEX('Historical Data'!$L$2:$L$1068,MATCH($A393,'Historical Data'!$BE$2:$BE$1068,0)),"")</f>
        <v/>
      </c>
      <c r="K393" s="108" t="str">
        <f aca="false">IFERROR(INDEX('Historical Data'!$M$2:$M$1068,MATCH($A393,'Historical Data'!$BE$2:$BE$1068,0)),"")</f>
        <v/>
      </c>
      <c r="L393" s="109" t="str">
        <f aca="false">IFERROR(INDEX('Historical Data'!$N$2:$N$1068,MATCH($A393,'Historical Data'!$BE$2:$BE$1068,0)),"")</f>
        <v/>
      </c>
      <c r="M393" s="109" t="str">
        <f aca="false">IFERROR(INDEX('Historical Data'!$Q$2:$Q$1068,MATCH($A393,'Historical Data'!$BE$2:$BE$1068,0)),"")</f>
        <v/>
      </c>
      <c r="N393" s="110" t="str">
        <f aca="false">IFERROR(INDEX('Historical Data'!$S$2:$S$1068,MATCH($A393,'Historical Data'!$BE$2:$BE$1068,0)),"")</f>
        <v/>
      </c>
      <c r="O393" s="109" t="str">
        <f aca="false">IFERROR(INDEX('Historical Data'!$AJ$2:$AJ$1068,MATCH($A393,'Historical Data'!$BE$2:$BE$1068,0)),"")</f>
        <v/>
      </c>
      <c r="P393" s="109" t="str">
        <f aca="false">IFERROR(INDEX('Historical Data'!$AK$2:$AK$1068,MATCH($A393,'Historical Data'!$BE$2:$BE$1068,0)),"")</f>
        <v/>
      </c>
      <c r="Q393" s="106" t="str">
        <f aca="false">IFERROR(INDEX('Historical Data'!$AA$2:$AA$1068,MATCH($A393,'Historical Data'!$BE$2:$BE$1068,0)),"")</f>
        <v/>
      </c>
      <c r="R393" s="106" t="str">
        <f aca="false">IFERROR(INDEX('Historical Data'!$AB$2:$AB$1068,MATCH($A393,'Historical Data'!$BE$2:$BE$1068,0)),"")</f>
        <v/>
      </c>
      <c r="S393" s="106" t="str">
        <f aca="false">IFERROR(INDEX('Historical Data'!$AN$2:$AN$1068,MATCH($A393,'Historical Data'!$BE$2:$BE$1068,0)),"")</f>
        <v/>
      </c>
      <c r="T393" s="106" t="str">
        <f aca="false">IFERROR(INDEX('Historical Data'!$AC$2:$AC$1068,MATCH($A393,'Historical Data'!$BE$2:$BE$1068,0)),"")</f>
        <v/>
      </c>
      <c r="U393" s="106" t="str">
        <f aca="false">IFERROR(INDEX('Historical Data'!$AE$2:$AE$1068,MATCH($A393,'Historical Data'!$BE$2:$BE$1068,0)),"")</f>
        <v/>
      </c>
      <c r="V393" s="106" t="str">
        <f aca="false">IFERROR(INDEX('Historical Data'!$AH$2:$AH$1068,MATCH($A393,'Historical Data'!$BE$2:$BE$1068,0)),"")</f>
        <v/>
      </c>
      <c r="W393" s="106" t="str">
        <f aca="false">IFERROR(INDEX('Historical Data'!$BC$2:$BC$1068,MATCH($A393,'Historical Data'!$BE$2:$BE$1068,0)),"")</f>
        <v/>
      </c>
      <c r="X393" s="105" t="str">
        <f aca="false">IF(B393="","",IF(W393=1,"NR + industry + position",IF(W393=2,"NR + ISO + position",IF(W393=3,"NR + industry",IF(W393=4,"NR + ISO",IF(W393=5,"NR + position",IF(W393=6,"NR only","book baseline"))))))&amp;"  ["&amp;IF(T393=1,"seasoned","unseasoned")&amp;IF(U393=1,", defaulted","")&amp;IF(V393=1,", open","")&amp;"]")</f>
        <v/>
      </c>
    </row>
    <row r="394" customFormat="false" ht="15" hidden="false" customHeight="false" outlineLevel="0" collapsed="false">
      <c r="A394" s="105" t="n">
        <v>390</v>
      </c>
      <c r="B394" s="106" t="str">
        <f aca="false">IFERROR(INDEX('Historical Data'!$A$2:$A$1068,MATCH($A394,'Historical Data'!$BE$2:$BE$1068,0)),"")</f>
        <v/>
      </c>
      <c r="C394" s="106" t="str">
        <f aca="false">IFERROR(INDEX('Historical Data'!$B$2:$B$1068,MATCH($A394,'Historical Data'!$BE$2:$BE$1068,0)),"")</f>
        <v/>
      </c>
      <c r="D394" s="106" t="str">
        <f aca="false">IFERROR(INDEX('Historical Data'!$D$2:$D$1068,MATCH($A394,'Historical Data'!$BE$2:$BE$1068,0)),"")</f>
        <v/>
      </c>
      <c r="E394" s="107" t="str">
        <f aca="false">IFERROR(INDEX('Historical Data'!$E$2:$E$1068,MATCH($A394,'Historical Data'!$BE$2:$BE$1068,0)),"")</f>
        <v/>
      </c>
      <c r="F394" s="106" t="str">
        <f aca="false">IFERROR(INDEX('Historical Data'!$G$2:$G$1068,MATCH($A394,'Historical Data'!$BE$2:$BE$1068,0)),"")</f>
        <v/>
      </c>
      <c r="G394" s="106" t="str">
        <f aca="false">IFERROR(INDEX('Historical Data'!$Y$2:$Y$1068,MATCH($A394,'Historical Data'!$BE$2:$BE$1068,0)),"")</f>
        <v/>
      </c>
      <c r="H394" s="106" t="str">
        <f aca="false">IFERROR(INDEX('Historical Data'!$K$2:$K$1068,MATCH($A394,'Historical Data'!$BE$2:$BE$1068,0)),"")</f>
        <v/>
      </c>
      <c r="I394" s="106" t="str">
        <f aca="false">IFERROR(INDEX('Historical Data'!$J$2:$J$1068,MATCH($A394,'Historical Data'!$BE$2:$BE$1068,0)),"")</f>
        <v/>
      </c>
      <c r="J394" s="106" t="str">
        <f aca="false">IFERROR(INDEX('Historical Data'!$L$2:$L$1068,MATCH($A394,'Historical Data'!$BE$2:$BE$1068,0)),"")</f>
        <v/>
      </c>
      <c r="K394" s="108" t="str">
        <f aca="false">IFERROR(INDEX('Historical Data'!$M$2:$M$1068,MATCH($A394,'Historical Data'!$BE$2:$BE$1068,0)),"")</f>
        <v/>
      </c>
      <c r="L394" s="109" t="str">
        <f aca="false">IFERROR(INDEX('Historical Data'!$N$2:$N$1068,MATCH($A394,'Historical Data'!$BE$2:$BE$1068,0)),"")</f>
        <v/>
      </c>
      <c r="M394" s="109" t="str">
        <f aca="false">IFERROR(INDEX('Historical Data'!$Q$2:$Q$1068,MATCH($A394,'Historical Data'!$BE$2:$BE$1068,0)),"")</f>
        <v/>
      </c>
      <c r="N394" s="110" t="str">
        <f aca="false">IFERROR(INDEX('Historical Data'!$S$2:$S$1068,MATCH($A394,'Historical Data'!$BE$2:$BE$1068,0)),"")</f>
        <v/>
      </c>
      <c r="O394" s="109" t="str">
        <f aca="false">IFERROR(INDEX('Historical Data'!$AJ$2:$AJ$1068,MATCH($A394,'Historical Data'!$BE$2:$BE$1068,0)),"")</f>
        <v/>
      </c>
      <c r="P394" s="109" t="str">
        <f aca="false">IFERROR(INDEX('Historical Data'!$AK$2:$AK$1068,MATCH($A394,'Historical Data'!$BE$2:$BE$1068,0)),"")</f>
        <v/>
      </c>
      <c r="Q394" s="106" t="str">
        <f aca="false">IFERROR(INDEX('Historical Data'!$AA$2:$AA$1068,MATCH($A394,'Historical Data'!$BE$2:$BE$1068,0)),"")</f>
        <v/>
      </c>
      <c r="R394" s="106" t="str">
        <f aca="false">IFERROR(INDEX('Historical Data'!$AB$2:$AB$1068,MATCH($A394,'Historical Data'!$BE$2:$BE$1068,0)),"")</f>
        <v/>
      </c>
      <c r="S394" s="106" t="str">
        <f aca="false">IFERROR(INDEX('Historical Data'!$AN$2:$AN$1068,MATCH($A394,'Historical Data'!$BE$2:$BE$1068,0)),"")</f>
        <v/>
      </c>
      <c r="T394" s="106" t="str">
        <f aca="false">IFERROR(INDEX('Historical Data'!$AC$2:$AC$1068,MATCH($A394,'Historical Data'!$BE$2:$BE$1068,0)),"")</f>
        <v/>
      </c>
      <c r="U394" s="106" t="str">
        <f aca="false">IFERROR(INDEX('Historical Data'!$AE$2:$AE$1068,MATCH($A394,'Historical Data'!$BE$2:$BE$1068,0)),"")</f>
        <v/>
      </c>
      <c r="V394" s="106" t="str">
        <f aca="false">IFERROR(INDEX('Historical Data'!$AH$2:$AH$1068,MATCH($A394,'Historical Data'!$BE$2:$BE$1068,0)),"")</f>
        <v/>
      </c>
      <c r="W394" s="106" t="str">
        <f aca="false">IFERROR(INDEX('Historical Data'!$BC$2:$BC$1068,MATCH($A394,'Historical Data'!$BE$2:$BE$1068,0)),"")</f>
        <v/>
      </c>
      <c r="X394" s="105" t="str">
        <f aca="false">IF(B394="","",IF(W394=1,"NR + industry + position",IF(W394=2,"NR + ISO + position",IF(W394=3,"NR + industry",IF(W394=4,"NR + ISO",IF(W394=5,"NR + position",IF(W394=6,"NR only","book baseline"))))))&amp;"  ["&amp;IF(T394=1,"seasoned","unseasoned")&amp;IF(U394=1,", defaulted","")&amp;IF(V394=1,", open","")&amp;"]")</f>
        <v/>
      </c>
    </row>
    <row r="395" customFormat="false" ht="15" hidden="false" customHeight="false" outlineLevel="0" collapsed="false">
      <c r="A395" s="105" t="n">
        <v>391</v>
      </c>
      <c r="B395" s="106" t="str">
        <f aca="false">IFERROR(INDEX('Historical Data'!$A$2:$A$1068,MATCH($A395,'Historical Data'!$BE$2:$BE$1068,0)),"")</f>
        <v/>
      </c>
      <c r="C395" s="106" t="str">
        <f aca="false">IFERROR(INDEX('Historical Data'!$B$2:$B$1068,MATCH($A395,'Historical Data'!$BE$2:$BE$1068,0)),"")</f>
        <v/>
      </c>
      <c r="D395" s="106" t="str">
        <f aca="false">IFERROR(INDEX('Historical Data'!$D$2:$D$1068,MATCH($A395,'Historical Data'!$BE$2:$BE$1068,0)),"")</f>
        <v/>
      </c>
      <c r="E395" s="107" t="str">
        <f aca="false">IFERROR(INDEX('Historical Data'!$E$2:$E$1068,MATCH($A395,'Historical Data'!$BE$2:$BE$1068,0)),"")</f>
        <v/>
      </c>
      <c r="F395" s="106" t="str">
        <f aca="false">IFERROR(INDEX('Historical Data'!$G$2:$G$1068,MATCH($A395,'Historical Data'!$BE$2:$BE$1068,0)),"")</f>
        <v/>
      </c>
      <c r="G395" s="106" t="str">
        <f aca="false">IFERROR(INDEX('Historical Data'!$Y$2:$Y$1068,MATCH($A395,'Historical Data'!$BE$2:$BE$1068,0)),"")</f>
        <v/>
      </c>
      <c r="H395" s="106" t="str">
        <f aca="false">IFERROR(INDEX('Historical Data'!$K$2:$K$1068,MATCH($A395,'Historical Data'!$BE$2:$BE$1068,0)),"")</f>
        <v/>
      </c>
      <c r="I395" s="106" t="str">
        <f aca="false">IFERROR(INDEX('Historical Data'!$J$2:$J$1068,MATCH($A395,'Historical Data'!$BE$2:$BE$1068,0)),"")</f>
        <v/>
      </c>
      <c r="J395" s="106" t="str">
        <f aca="false">IFERROR(INDEX('Historical Data'!$L$2:$L$1068,MATCH($A395,'Historical Data'!$BE$2:$BE$1068,0)),"")</f>
        <v/>
      </c>
      <c r="K395" s="108" t="str">
        <f aca="false">IFERROR(INDEX('Historical Data'!$M$2:$M$1068,MATCH($A395,'Historical Data'!$BE$2:$BE$1068,0)),"")</f>
        <v/>
      </c>
      <c r="L395" s="109" t="str">
        <f aca="false">IFERROR(INDEX('Historical Data'!$N$2:$N$1068,MATCH($A395,'Historical Data'!$BE$2:$BE$1068,0)),"")</f>
        <v/>
      </c>
      <c r="M395" s="109" t="str">
        <f aca="false">IFERROR(INDEX('Historical Data'!$Q$2:$Q$1068,MATCH($A395,'Historical Data'!$BE$2:$BE$1068,0)),"")</f>
        <v/>
      </c>
      <c r="N395" s="110" t="str">
        <f aca="false">IFERROR(INDEX('Historical Data'!$S$2:$S$1068,MATCH($A395,'Historical Data'!$BE$2:$BE$1068,0)),"")</f>
        <v/>
      </c>
      <c r="O395" s="109" t="str">
        <f aca="false">IFERROR(INDEX('Historical Data'!$AJ$2:$AJ$1068,MATCH($A395,'Historical Data'!$BE$2:$BE$1068,0)),"")</f>
        <v/>
      </c>
      <c r="P395" s="109" t="str">
        <f aca="false">IFERROR(INDEX('Historical Data'!$AK$2:$AK$1068,MATCH($A395,'Historical Data'!$BE$2:$BE$1068,0)),"")</f>
        <v/>
      </c>
      <c r="Q395" s="106" t="str">
        <f aca="false">IFERROR(INDEX('Historical Data'!$AA$2:$AA$1068,MATCH($A395,'Historical Data'!$BE$2:$BE$1068,0)),"")</f>
        <v/>
      </c>
      <c r="R395" s="106" t="str">
        <f aca="false">IFERROR(INDEX('Historical Data'!$AB$2:$AB$1068,MATCH($A395,'Historical Data'!$BE$2:$BE$1068,0)),"")</f>
        <v/>
      </c>
      <c r="S395" s="106" t="str">
        <f aca="false">IFERROR(INDEX('Historical Data'!$AN$2:$AN$1068,MATCH($A395,'Historical Data'!$BE$2:$BE$1068,0)),"")</f>
        <v/>
      </c>
      <c r="T395" s="106" t="str">
        <f aca="false">IFERROR(INDEX('Historical Data'!$AC$2:$AC$1068,MATCH($A395,'Historical Data'!$BE$2:$BE$1068,0)),"")</f>
        <v/>
      </c>
      <c r="U395" s="106" t="str">
        <f aca="false">IFERROR(INDEX('Historical Data'!$AE$2:$AE$1068,MATCH($A395,'Historical Data'!$BE$2:$BE$1068,0)),"")</f>
        <v/>
      </c>
      <c r="V395" s="106" t="str">
        <f aca="false">IFERROR(INDEX('Historical Data'!$AH$2:$AH$1068,MATCH($A395,'Historical Data'!$BE$2:$BE$1068,0)),"")</f>
        <v/>
      </c>
      <c r="W395" s="106" t="str">
        <f aca="false">IFERROR(INDEX('Historical Data'!$BC$2:$BC$1068,MATCH($A395,'Historical Data'!$BE$2:$BE$1068,0)),"")</f>
        <v/>
      </c>
      <c r="X395" s="105" t="str">
        <f aca="false">IF(B395="","",IF(W395=1,"NR + industry + position",IF(W395=2,"NR + ISO + position",IF(W395=3,"NR + industry",IF(W395=4,"NR + ISO",IF(W395=5,"NR + position",IF(W395=6,"NR only","book baseline"))))))&amp;"  ["&amp;IF(T395=1,"seasoned","unseasoned")&amp;IF(U395=1,", defaulted","")&amp;IF(V395=1,", open","")&amp;"]")</f>
        <v/>
      </c>
    </row>
    <row r="396" customFormat="false" ht="15" hidden="false" customHeight="false" outlineLevel="0" collapsed="false">
      <c r="A396" s="105" t="n">
        <v>392</v>
      </c>
      <c r="B396" s="106" t="str">
        <f aca="false">IFERROR(INDEX('Historical Data'!$A$2:$A$1068,MATCH($A396,'Historical Data'!$BE$2:$BE$1068,0)),"")</f>
        <v/>
      </c>
      <c r="C396" s="106" t="str">
        <f aca="false">IFERROR(INDEX('Historical Data'!$B$2:$B$1068,MATCH($A396,'Historical Data'!$BE$2:$BE$1068,0)),"")</f>
        <v/>
      </c>
      <c r="D396" s="106" t="str">
        <f aca="false">IFERROR(INDEX('Historical Data'!$D$2:$D$1068,MATCH($A396,'Historical Data'!$BE$2:$BE$1068,0)),"")</f>
        <v/>
      </c>
      <c r="E396" s="107" t="str">
        <f aca="false">IFERROR(INDEX('Historical Data'!$E$2:$E$1068,MATCH($A396,'Historical Data'!$BE$2:$BE$1068,0)),"")</f>
        <v/>
      </c>
      <c r="F396" s="106" t="str">
        <f aca="false">IFERROR(INDEX('Historical Data'!$G$2:$G$1068,MATCH($A396,'Historical Data'!$BE$2:$BE$1068,0)),"")</f>
        <v/>
      </c>
      <c r="G396" s="106" t="str">
        <f aca="false">IFERROR(INDEX('Historical Data'!$Y$2:$Y$1068,MATCH($A396,'Historical Data'!$BE$2:$BE$1068,0)),"")</f>
        <v/>
      </c>
      <c r="H396" s="106" t="str">
        <f aca="false">IFERROR(INDEX('Historical Data'!$K$2:$K$1068,MATCH($A396,'Historical Data'!$BE$2:$BE$1068,0)),"")</f>
        <v/>
      </c>
      <c r="I396" s="106" t="str">
        <f aca="false">IFERROR(INDEX('Historical Data'!$J$2:$J$1068,MATCH($A396,'Historical Data'!$BE$2:$BE$1068,0)),"")</f>
        <v/>
      </c>
      <c r="J396" s="106" t="str">
        <f aca="false">IFERROR(INDEX('Historical Data'!$L$2:$L$1068,MATCH($A396,'Historical Data'!$BE$2:$BE$1068,0)),"")</f>
        <v/>
      </c>
      <c r="K396" s="108" t="str">
        <f aca="false">IFERROR(INDEX('Historical Data'!$M$2:$M$1068,MATCH($A396,'Historical Data'!$BE$2:$BE$1068,0)),"")</f>
        <v/>
      </c>
      <c r="L396" s="109" t="str">
        <f aca="false">IFERROR(INDEX('Historical Data'!$N$2:$N$1068,MATCH($A396,'Historical Data'!$BE$2:$BE$1068,0)),"")</f>
        <v/>
      </c>
      <c r="M396" s="109" t="str">
        <f aca="false">IFERROR(INDEX('Historical Data'!$Q$2:$Q$1068,MATCH($A396,'Historical Data'!$BE$2:$BE$1068,0)),"")</f>
        <v/>
      </c>
      <c r="N396" s="110" t="str">
        <f aca="false">IFERROR(INDEX('Historical Data'!$S$2:$S$1068,MATCH($A396,'Historical Data'!$BE$2:$BE$1068,0)),"")</f>
        <v/>
      </c>
      <c r="O396" s="109" t="str">
        <f aca="false">IFERROR(INDEX('Historical Data'!$AJ$2:$AJ$1068,MATCH($A396,'Historical Data'!$BE$2:$BE$1068,0)),"")</f>
        <v/>
      </c>
      <c r="P396" s="109" t="str">
        <f aca="false">IFERROR(INDEX('Historical Data'!$AK$2:$AK$1068,MATCH($A396,'Historical Data'!$BE$2:$BE$1068,0)),"")</f>
        <v/>
      </c>
      <c r="Q396" s="106" t="str">
        <f aca="false">IFERROR(INDEX('Historical Data'!$AA$2:$AA$1068,MATCH($A396,'Historical Data'!$BE$2:$BE$1068,0)),"")</f>
        <v/>
      </c>
      <c r="R396" s="106" t="str">
        <f aca="false">IFERROR(INDEX('Historical Data'!$AB$2:$AB$1068,MATCH($A396,'Historical Data'!$BE$2:$BE$1068,0)),"")</f>
        <v/>
      </c>
      <c r="S396" s="106" t="str">
        <f aca="false">IFERROR(INDEX('Historical Data'!$AN$2:$AN$1068,MATCH($A396,'Historical Data'!$BE$2:$BE$1068,0)),"")</f>
        <v/>
      </c>
      <c r="T396" s="106" t="str">
        <f aca="false">IFERROR(INDEX('Historical Data'!$AC$2:$AC$1068,MATCH($A396,'Historical Data'!$BE$2:$BE$1068,0)),"")</f>
        <v/>
      </c>
      <c r="U396" s="106" t="str">
        <f aca="false">IFERROR(INDEX('Historical Data'!$AE$2:$AE$1068,MATCH($A396,'Historical Data'!$BE$2:$BE$1068,0)),"")</f>
        <v/>
      </c>
      <c r="V396" s="106" t="str">
        <f aca="false">IFERROR(INDEX('Historical Data'!$AH$2:$AH$1068,MATCH($A396,'Historical Data'!$BE$2:$BE$1068,0)),"")</f>
        <v/>
      </c>
      <c r="W396" s="106" t="str">
        <f aca="false">IFERROR(INDEX('Historical Data'!$BC$2:$BC$1068,MATCH($A396,'Historical Data'!$BE$2:$BE$1068,0)),"")</f>
        <v/>
      </c>
      <c r="X396" s="105" t="str">
        <f aca="false">IF(B396="","",IF(W396=1,"NR + industry + position",IF(W396=2,"NR + ISO + position",IF(W396=3,"NR + industry",IF(W396=4,"NR + ISO",IF(W396=5,"NR + position",IF(W396=6,"NR only","book baseline"))))))&amp;"  ["&amp;IF(T396=1,"seasoned","unseasoned")&amp;IF(U396=1,", defaulted","")&amp;IF(V396=1,", open","")&amp;"]")</f>
        <v/>
      </c>
    </row>
    <row r="397" customFormat="false" ht="15" hidden="false" customHeight="false" outlineLevel="0" collapsed="false">
      <c r="A397" s="105" t="n">
        <v>393</v>
      </c>
      <c r="B397" s="106" t="str">
        <f aca="false">IFERROR(INDEX('Historical Data'!$A$2:$A$1068,MATCH($A397,'Historical Data'!$BE$2:$BE$1068,0)),"")</f>
        <v/>
      </c>
      <c r="C397" s="106" t="str">
        <f aca="false">IFERROR(INDEX('Historical Data'!$B$2:$B$1068,MATCH($A397,'Historical Data'!$BE$2:$BE$1068,0)),"")</f>
        <v/>
      </c>
      <c r="D397" s="106" t="str">
        <f aca="false">IFERROR(INDEX('Historical Data'!$D$2:$D$1068,MATCH($A397,'Historical Data'!$BE$2:$BE$1068,0)),"")</f>
        <v/>
      </c>
      <c r="E397" s="107" t="str">
        <f aca="false">IFERROR(INDEX('Historical Data'!$E$2:$E$1068,MATCH($A397,'Historical Data'!$BE$2:$BE$1068,0)),"")</f>
        <v/>
      </c>
      <c r="F397" s="106" t="str">
        <f aca="false">IFERROR(INDEX('Historical Data'!$G$2:$G$1068,MATCH($A397,'Historical Data'!$BE$2:$BE$1068,0)),"")</f>
        <v/>
      </c>
      <c r="G397" s="106" t="str">
        <f aca="false">IFERROR(INDEX('Historical Data'!$Y$2:$Y$1068,MATCH($A397,'Historical Data'!$BE$2:$BE$1068,0)),"")</f>
        <v/>
      </c>
      <c r="H397" s="106" t="str">
        <f aca="false">IFERROR(INDEX('Historical Data'!$K$2:$K$1068,MATCH($A397,'Historical Data'!$BE$2:$BE$1068,0)),"")</f>
        <v/>
      </c>
      <c r="I397" s="106" t="str">
        <f aca="false">IFERROR(INDEX('Historical Data'!$J$2:$J$1068,MATCH($A397,'Historical Data'!$BE$2:$BE$1068,0)),"")</f>
        <v/>
      </c>
      <c r="J397" s="106" t="str">
        <f aca="false">IFERROR(INDEX('Historical Data'!$L$2:$L$1068,MATCH($A397,'Historical Data'!$BE$2:$BE$1068,0)),"")</f>
        <v/>
      </c>
      <c r="K397" s="108" t="str">
        <f aca="false">IFERROR(INDEX('Historical Data'!$M$2:$M$1068,MATCH($A397,'Historical Data'!$BE$2:$BE$1068,0)),"")</f>
        <v/>
      </c>
      <c r="L397" s="109" t="str">
        <f aca="false">IFERROR(INDEX('Historical Data'!$N$2:$N$1068,MATCH($A397,'Historical Data'!$BE$2:$BE$1068,0)),"")</f>
        <v/>
      </c>
      <c r="M397" s="109" t="str">
        <f aca="false">IFERROR(INDEX('Historical Data'!$Q$2:$Q$1068,MATCH($A397,'Historical Data'!$BE$2:$BE$1068,0)),"")</f>
        <v/>
      </c>
      <c r="N397" s="110" t="str">
        <f aca="false">IFERROR(INDEX('Historical Data'!$S$2:$S$1068,MATCH($A397,'Historical Data'!$BE$2:$BE$1068,0)),"")</f>
        <v/>
      </c>
      <c r="O397" s="109" t="str">
        <f aca="false">IFERROR(INDEX('Historical Data'!$AJ$2:$AJ$1068,MATCH($A397,'Historical Data'!$BE$2:$BE$1068,0)),"")</f>
        <v/>
      </c>
      <c r="P397" s="109" t="str">
        <f aca="false">IFERROR(INDEX('Historical Data'!$AK$2:$AK$1068,MATCH($A397,'Historical Data'!$BE$2:$BE$1068,0)),"")</f>
        <v/>
      </c>
      <c r="Q397" s="106" t="str">
        <f aca="false">IFERROR(INDEX('Historical Data'!$AA$2:$AA$1068,MATCH($A397,'Historical Data'!$BE$2:$BE$1068,0)),"")</f>
        <v/>
      </c>
      <c r="R397" s="106" t="str">
        <f aca="false">IFERROR(INDEX('Historical Data'!$AB$2:$AB$1068,MATCH($A397,'Historical Data'!$BE$2:$BE$1068,0)),"")</f>
        <v/>
      </c>
      <c r="S397" s="106" t="str">
        <f aca="false">IFERROR(INDEX('Historical Data'!$AN$2:$AN$1068,MATCH($A397,'Historical Data'!$BE$2:$BE$1068,0)),"")</f>
        <v/>
      </c>
      <c r="T397" s="106" t="str">
        <f aca="false">IFERROR(INDEX('Historical Data'!$AC$2:$AC$1068,MATCH($A397,'Historical Data'!$BE$2:$BE$1068,0)),"")</f>
        <v/>
      </c>
      <c r="U397" s="106" t="str">
        <f aca="false">IFERROR(INDEX('Historical Data'!$AE$2:$AE$1068,MATCH($A397,'Historical Data'!$BE$2:$BE$1068,0)),"")</f>
        <v/>
      </c>
      <c r="V397" s="106" t="str">
        <f aca="false">IFERROR(INDEX('Historical Data'!$AH$2:$AH$1068,MATCH($A397,'Historical Data'!$BE$2:$BE$1068,0)),"")</f>
        <v/>
      </c>
      <c r="W397" s="106" t="str">
        <f aca="false">IFERROR(INDEX('Historical Data'!$BC$2:$BC$1068,MATCH($A397,'Historical Data'!$BE$2:$BE$1068,0)),"")</f>
        <v/>
      </c>
      <c r="X397" s="105" t="str">
        <f aca="false">IF(B397="","",IF(W397=1,"NR + industry + position",IF(W397=2,"NR + ISO + position",IF(W397=3,"NR + industry",IF(W397=4,"NR + ISO",IF(W397=5,"NR + position",IF(W397=6,"NR only","book baseline"))))))&amp;"  ["&amp;IF(T397=1,"seasoned","unseasoned")&amp;IF(U397=1,", defaulted","")&amp;IF(V397=1,", open","")&amp;"]")</f>
        <v/>
      </c>
    </row>
    <row r="398" customFormat="false" ht="15" hidden="false" customHeight="false" outlineLevel="0" collapsed="false">
      <c r="A398" s="105" t="n">
        <v>394</v>
      </c>
      <c r="B398" s="106" t="str">
        <f aca="false">IFERROR(INDEX('Historical Data'!$A$2:$A$1068,MATCH($A398,'Historical Data'!$BE$2:$BE$1068,0)),"")</f>
        <v/>
      </c>
      <c r="C398" s="106" t="str">
        <f aca="false">IFERROR(INDEX('Historical Data'!$B$2:$B$1068,MATCH($A398,'Historical Data'!$BE$2:$BE$1068,0)),"")</f>
        <v/>
      </c>
      <c r="D398" s="106" t="str">
        <f aca="false">IFERROR(INDEX('Historical Data'!$D$2:$D$1068,MATCH($A398,'Historical Data'!$BE$2:$BE$1068,0)),"")</f>
        <v/>
      </c>
      <c r="E398" s="107" t="str">
        <f aca="false">IFERROR(INDEX('Historical Data'!$E$2:$E$1068,MATCH($A398,'Historical Data'!$BE$2:$BE$1068,0)),"")</f>
        <v/>
      </c>
      <c r="F398" s="106" t="str">
        <f aca="false">IFERROR(INDEX('Historical Data'!$G$2:$G$1068,MATCH($A398,'Historical Data'!$BE$2:$BE$1068,0)),"")</f>
        <v/>
      </c>
      <c r="G398" s="106" t="str">
        <f aca="false">IFERROR(INDEX('Historical Data'!$Y$2:$Y$1068,MATCH($A398,'Historical Data'!$BE$2:$BE$1068,0)),"")</f>
        <v/>
      </c>
      <c r="H398" s="106" t="str">
        <f aca="false">IFERROR(INDEX('Historical Data'!$K$2:$K$1068,MATCH($A398,'Historical Data'!$BE$2:$BE$1068,0)),"")</f>
        <v/>
      </c>
      <c r="I398" s="106" t="str">
        <f aca="false">IFERROR(INDEX('Historical Data'!$J$2:$J$1068,MATCH($A398,'Historical Data'!$BE$2:$BE$1068,0)),"")</f>
        <v/>
      </c>
      <c r="J398" s="106" t="str">
        <f aca="false">IFERROR(INDEX('Historical Data'!$L$2:$L$1068,MATCH($A398,'Historical Data'!$BE$2:$BE$1068,0)),"")</f>
        <v/>
      </c>
      <c r="K398" s="108" t="str">
        <f aca="false">IFERROR(INDEX('Historical Data'!$M$2:$M$1068,MATCH($A398,'Historical Data'!$BE$2:$BE$1068,0)),"")</f>
        <v/>
      </c>
      <c r="L398" s="109" t="str">
        <f aca="false">IFERROR(INDEX('Historical Data'!$N$2:$N$1068,MATCH($A398,'Historical Data'!$BE$2:$BE$1068,0)),"")</f>
        <v/>
      </c>
      <c r="M398" s="109" t="str">
        <f aca="false">IFERROR(INDEX('Historical Data'!$Q$2:$Q$1068,MATCH($A398,'Historical Data'!$BE$2:$BE$1068,0)),"")</f>
        <v/>
      </c>
      <c r="N398" s="110" t="str">
        <f aca="false">IFERROR(INDEX('Historical Data'!$S$2:$S$1068,MATCH($A398,'Historical Data'!$BE$2:$BE$1068,0)),"")</f>
        <v/>
      </c>
      <c r="O398" s="109" t="str">
        <f aca="false">IFERROR(INDEX('Historical Data'!$AJ$2:$AJ$1068,MATCH($A398,'Historical Data'!$BE$2:$BE$1068,0)),"")</f>
        <v/>
      </c>
      <c r="P398" s="109" t="str">
        <f aca="false">IFERROR(INDEX('Historical Data'!$AK$2:$AK$1068,MATCH($A398,'Historical Data'!$BE$2:$BE$1068,0)),"")</f>
        <v/>
      </c>
      <c r="Q398" s="106" t="str">
        <f aca="false">IFERROR(INDEX('Historical Data'!$AA$2:$AA$1068,MATCH($A398,'Historical Data'!$BE$2:$BE$1068,0)),"")</f>
        <v/>
      </c>
      <c r="R398" s="106" t="str">
        <f aca="false">IFERROR(INDEX('Historical Data'!$AB$2:$AB$1068,MATCH($A398,'Historical Data'!$BE$2:$BE$1068,0)),"")</f>
        <v/>
      </c>
      <c r="S398" s="106" t="str">
        <f aca="false">IFERROR(INDEX('Historical Data'!$AN$2:$AN$1068,MATCH($A398,'Historical Data'!$BE$2:$BE$1068,0)),"")</f>
        <v/>
      </c>
      <c r="T398" s="106" t="str">
        <f aca="false">IFERROR(INDEX('Historical Data'!$AC$2:$AC$1068,MATCH($A398,'Historical Data'!$BE$2:$BE$1068,0)),"")</f>
        <v/>
      </c>
      <c r="U398" s="106" t="str">
        <f aca="false">IFERROR(INDEX('Historical Data'!$AE$2:$AE$1068,MATCH($A398,'Historical Data'!$BE$2:$BE$1068,0)),"")</f>
        <v/>
      </c>
      <c r="V398" s="106" t="str">
        <f aca="false">IFERROR(INDEX('Historical Data'!$AH$2:$AH$1068,MATCH($A398,'Historical Data'!$BE$2:$BE$1068,0)),"")</f>
        <v/>
      </c>
      <c r="W398" s="106" t="str">
        <f aca="false">IFERROR(INDEX('Historical Data'!$BC$2:$BC$1068,MATCH($A398,'Historical Data'!$BE$2:$BE$1068,0)),"")</f>
        <v/>
      </c>
      <c r="X398" s="105" t="str">
        <f aca="false">IF(B398="","",IF(W398=1,"NR + industry + position",IF(W398=2,"NR + ISO + position",IF(W398=3,"NR + industry",IF(W398=4,"NR + ISO",IF(W398=5,"NR + position",IF(W398=6,"NR only","book baseline"))))))&amp;"  ["&amp;IF(T398=1,"seasoned","unseasoned")&amp;IF(U398=1,", defaulted","")&amp;IF(V398=1,", open","")&amp;"]")</f>
        <v/>
      </c>
    </row>
    <row r="399" customFormat="false" ht="15" hidden="false" customHeight="false" outlineLevel="0" collapsed="false">
      <c r="A399" s="105" t="n">
        <v>395</v>
      </c>
      <c r="B399" s="106" t="str">
        <f aca="false">IFERROR(INDEX('Historical Data'!$A$2:$A$1068,MATCH($A399,'Historical Data'!$BE$2:$BE$1068,0)),"")</f>
        <v/>
      </c>
      <c r="C399" s="106" t="str">
        <f aca="false">IFERROR(INDEX('Historical Data'!$B$2:$B$1068,MATCH($A399,'Historical Data'!$BE$2:$BE$1068,0)),"")</f>
        <v/>
      </c>
      <c r="D399" s="106" t="str">
        <f aca="false">IFERROR(INDEX('Historical Data'!$D$2:$D$1068,MATCH($A399,'Historical Data'!$BE$2:$BE$1068,0)),"")</f>
        <v/>
      </c>
      <c r="E399" s="107" t="str">
        <f aca="false">IFERROR(INDEX('Historical Data'!$E$2:$E$1068,MATCH($A399,'Historical Data'!$BE$2:$BE$1068,0)),"")</f>
        <v/>
      </c>
      <c r="F399" s="106" t="str">
        <f aca="false">IFERROR(INDEX('Historical Data'!$G$2:$G$1068,MATCH($A399,'Historical Data'!$BE$2:$BE$1068,0)),"")</f>
        <v/>
      </c>
      <c r="G399" s="106" t="str">
        <f aca="false">IFERROR(INDEX('Historical Data'!$Y$2:$Y$1068,MATCH($A399,'Historical Data'!$BE$2:$BE$1068,0)),"")</f>
        <v/>
      </c>
      <c r="H399" s="106" t="str">
        <f aca="false">IFERROR(INDEX('Historical Data'!$K$2:$K$1068,MATCH($A399,'Historical Data'!$BE$2:$BE$1068,0)),"")</f>
        <v/>
      </c>
      <c r="I399" s="106" t="str">
        <f aca="false">IFERROR(INDEX('Historical Data'!$J$2:$J$1068,MATCH($A399,'Historical Data'!$BE$2:$BE$1068,0)),"")</f>
        <v/>
      </c>
      <c r="J399" s="106" t="str">
        <f aca="false">IFERROR(INDEX('Historical Data'!$L$2:$L$1068,MATCH($A399,'Historical Data'!$BE$2:$BE$1068,0)),"")</f>
        <v/>
      </c>
      <c r="K399" s="108" t="str">
        <f aca="false">IFERROR(INDEX('Historical Data'!$M$2:$M$1068,MATCH($A399,'Historical Data'!$BE$2:$BE$1068,0)),"")</f>
        <v/>
      </c>
      <c r="L399" s="109" t="str">
        <f aca="false">IFERROR(INDEX('Historical Data'!$N$2:$N$1068,MATCH($A399,'Historical Data'!$BE$2:$BE$1068,0)),"")</f>
        <v/>
      </c>
      <c r="M399" s="109" t="str">
        <f aca="false">IFERROR(INDEX('Historical Data'!$Q$2:$Q$1068,MATCH($A399,'Historical Data'!$BE$2:$BE$1068,0)),"")</f>
        <v/>
      </c>
      <c r="N399" s="110" t="str">
        <f aca="false">IFERROR(INDEX('Historical Data'!$S$2:$S$1068,MATCH($A399,'Historical Data'!$BE$2:$BE$1068,0)),"")</f>
        <v/>
      </c>
      <c r="O399" s="109" t="str">
        <f aca="false">IFERROR(INDEX('Historical Data'!$AJ$2:$AJ$1068,MATCH($A399,'Historical Data'!$BE$2:$BE$1068,0)),"")</f>
        <v/>
      </c>
      <c r="P399" s="109" t="str">
        <f aca="false">IFERROR(INDEX('Historical Data'!$AK$2:$AK$1068,MATCH($A399,'Historical Data'!$BE$2:$BE$1068,0)),"")</f>
        <v/>
      </c>
      <c r="Q399" s="106" t="str">
        <f aca="false">IFERROR(INDEX('Historical Data'!$AA$2:$AA$1068,MATCH($A399,'Historical Data'!$BE$2:$BE$1068,0)),"")</f>
        <v/>
      </c>
      <c r="R399" s="106" t="str">
        <f aca="false">IFERROR(INDEX('Historical Data'!$AB$2:$AB$1068,MATCH($A399,'Historical Data'!$BE$2:$BE$1068,0)),"")</f>
        <v/>
      </c>
      <c r="S399" s="106" t="str">
        <f aca="false">IFERROR(INDEX('Historical Data'!$AN$2:$AN$1068,MATCH($A399,'Historical Data'!$BE$2:$BE$1068,0)),"")</f>
        <v/>
      </c>
      <c r="T399" s="106" t="str">
        <f aca="false">IFERROR(INDEX('Historical Data'!$AC$2:$AC$1068,MATCH($A399,'Historical Data'!$BE$2:$BE$1068,0)),"")</f>
        <v/>
      </c>
      <c r="U399" s="106" t="str">
        <f aca="false">IFERROR(INDEX('Historical Data'!$AE$2:$AE$1068,MATCH($A399,'Historical Data'!$BE$2:$BE$1068,0)),"")</f>
        <v/>
      </c>
      <c r="V399" s="106" t="str">
        <f aca="false">IFERROR(INDEX('Historical Data'!$AH$2:$AH$1068,MATCH($A399,'Historical Data'!$BE$2:$BE$1068,0)),"")</f>
        <v/>
      </c>
      <c r="W399" s="106" t="str">
        <f aca="false">IFERROR(INDEX('Historical Data'!$BC$2:$BC$1068,MATCH($A399,'Historical Data'!$BE$2:$BE$1068,0)),"")</f>
        <v/>
      </c>
      <c r="X399" s="105" t="str">
        <f aca="false">IF(B399="","",IF(W399=1,"NR + industry + position",IF(W399=2,"NR + ISO + position",IF(W399=3,"NR + industry",IF(W399=4,"NR + ISO",IF(W399=5,"NR + position",IF(W399=6,"NR only","book baseline"))))))&amp;"  ["&amp;IF(T399=1,"seasoned","unseasoned")&amp;IF(U399=1,", defaulted","")&amp;IF(V399=1,", open","")&amp;"]")</f>
        <v/>
      </c>
    </row>
    <row r="400" customFormat="false" ht="15" hidden="false" customHeight="false" outlineLevel="0" collapsed="false">
      <c r="A400" s="105" t="n">
        <v>396</v>
      </c>
      <c r="B400" s="106" t="str">
        <f aca="false">IFERROR(INDEX('Historical Data'!$A$2:$A$1068,MATCH($A400,'Historical Data'!$BE$2:$BE$1068,0)),"")</f>
        <v/>
      </c>
      <c r="C400" s="106" t="str">
        <f aca="false">IFERROR(INDEX('Historical Data'!$B$2:$B$1068,MATCH($A400,'Historical Data'!$BE$2:$BE$1068,0)),"")</f>
        <v/>
      </c>
      <c r="D400" s="106" t="str">
        <f aca="false">IFERROR(INDEX('Historical Data'!$D$2:$D$1068,MATCH($A400,'Historical Data'!$BE$2:$BE$1068,0)),"")</f>
        <v/>
      </c>
      <c r="E400" s="107" t="str">
        <f aca="false">IFERROR(INDEX('Historical Data'!$E$2:$E$1068,MATCH($A400,'Historical Data'!$BE$2:$BE$1068,0)),"")</f>
        <v/>
      </c>
      <c r="F400" s="106" t="str">
        <f aca="false">IFERROR(INDEX('Historical Data'!$G$2:$G$1068,MATCH($A400,'Historical Data'!$BE$2:$BE$1068,0)),"")</f>
        <v/>
      </c>
      <c r="G400" s="106" t="str">
        <f aca="false">IFERROR(INDEX('Historical Data'!$Y$2:$Y$1068,MATCH($A400,'Historical Data'!$BE$2:$BE$1068,0)),"")</f>
        <v/>
      </c>
      <c r="H400" s="106" t="str">
        <f aca="false">IFERROR(INDEX('Historical Data'!$K$2:$K$1068,MATCH($A400,'Historical Data'!$BE$2:$BE$1068,0)),"")</f>
        <v/>
      </c>
      <c r="I400" s="106" t="str">
        <f aca="false">IFERROR(INDEX('Historical Data'!$J$2:$J$1068,MATCH($A400,'Historical Data'!$BE$2:$BE$1068,0)),"")</f>
        <v/>
      </c>
      <c r="J400" s="106" t="str">
        <f aca="false">IFERROR(INDEX('Historical Data'!$L$2:$L$1068,MATCH($A400,'Historical Data'!$BE$2:$BE$1068,0)),"")</f>
        <v/>
      </c>
      <c r="K400" s="108" t="str">
        <f aca="false">IFERROR(INDEX('Historical Data'!$M$2:$M$1068,MATCH($A400,'Historical Data'!$BE$2:$BE$1068,0)),"")</f>
        <v/>
      </c>
      <c r="L400" s="109" t="str">
        <f aca="false">IFERROR(INDEX('Historical Data'!$N$2:$N$1068,MATCH($A400,'Historical Data'!$BE$2:$BE$1068,0)),"")</f>
        <v/>
      </c>
      <c r="M400" s="109" t="str">
        <f aca="false">IFERROR(INDEX('Historical Data'!$Q$2:$Q$1068,MATCH($A400,'Historical Data'!$BE$2:$BE$1068,0)),"")</f>
        <v/>
      </c>
      <c r="N400" s="110" t="str">
        <f aca="false">IFERROR(INDEX('Historical Data'!$S$2:$S$1068,MATCH($A400,'Historical Data'!$BE$2:$BE$1068,0)),"")</f>
        <v/>
      </c>
      <c r="O400" s="109" t="str">
        <f aca="false">IFERROR(INDEX('Historical Data'!$AJ$2:$AJ$1068,MATCH($A400,'Historical Data'!$BE$2:$BE$1068,0)),"")</f>
        <v/>
      </c>
      <c r="P400" s="109" t="str">
        <f aca="false">IFERROR(INDEX('Historical Data'!$AK$2:$AK$1068,MATCH($A400,'Historical Data'!$BE$2:$BE$1068,0)),"")</f>
        <v/>
      </c>
      <c r="Q400" s="106" t="str">
        <f aca="false">IFERROR(INDEX('Historical Data'!$AA$2:$AA$1068,MATCH($A400,'Historical Data'!$BE$2:$BE$1068,0)),"")</f>
        <v/>
      </c>
      <c r="R400" s="106" t="str">
        <f aca="false">IFERROR(INDEX('Historical Data'!$AB$2:$AB$1068,MATCH($A400,'Historical Data'!$BE$2:$BE$1068,0)),"")</f>
        <v/>
      </c>
      <c r="S400" s="106" t="str">
        <f aca="false">IFERROR(INDEX('Historical Data'!$AN$2:$AN$1068,MATCH($A400,'Historical Data'!$BE$2:$BE$1068,0)),"")</f>
        <v/>
      </c>
      <c r="T400" s="106" t="str">
        <f aca="false">IFERROR(INDEX('Historical Data'!$AC$2:$AC$1068,MATCH($A400,'Historical Data'!$BE$2:$BE$1068,0)),"")</f>
        <v/>
      </c>
      <c r="U400" s="106" t="str">
        <f aca="false">IFERROR(INDEX('Historical Data'!$AE$2:$AE$1068,MATCH($A400,'Historical Data'!$BE$2:$BE$1068,0)),"")</f>
        <v/>
      </c>
      <c r="V400" s="106" t="str">
        <f aca="false">IFERROR(INDEX('Historical Data'!$AH$2:$AH$1068,MATCH($A400,'Historical Data'!$BE$2:$BE$1068,0)),"")</f>
        <v/>
      </c>
      <c r="W400" s="106" t="str">
        <f aca="false">IFERROR(INDEX('Historical Data'!$BC$2:$BC$1068,MATCH($A400,'Historical Data'!$BE$2:$BE$1068,0)),"")</f>
        <v/>
      </c>
      <c r="X400" s="105" t="str">
        <f aca="false">IF(B400="","",IF(W400=1,"NR + industry + position",IF(W400=2,"NR + ISO + position",IF(W400=3,"NR + industry",IF(W400=4,"NR + ISO",IF(W400=5,"NR + position",IF(W400=6,"NR only","book baseline"))))))&amp;"  ["&amp;IF(T400=1,"seasoned","unseasoned")&amp;IF(U400=1,", defaulted","")&amp;IF(V400=1,", open","")&amp;"]")</f>
        <v/>
      </c>
    </row>
    <row r="401" customFormat="false" ht="15" hidden="false" customHeight="false" outlineLevel="0" collapsed="false">
      <c r="A401" s="105" t="n">
        <v>397</v>
      </c>
      <c r="B401" s="106" t="str">
        <f aca="false">IFERROR(INDEX('Historical Data'!$A$2:$A$1068,MATCH($A401,'Historical Data'!$BE$2:$BE$1068,0)),"")</f>
        <v/>
      </c>
      <c r="C401" s="106" t="str">
        <f aca="false">IFERROR(INDEX('Historical Data'!$B$2:$B$1068,MATCH($A401,'Historical Data'!$BE$2:$BE$1068,0)),"")</f>
        <v/>
      </c>
      <c r="D401" s="106" t="str">
        <f aca="false">IFERROR(INDEX('Historical Data'!$D$2:$D$1068,MATCH($A401,'Historical Data'!$BE$2:$BE$1068,0)),"")</f>
        <v/>
      </c>
      <c r="E401" s="107" t="str">
        <f aca="false">IFERROR(INDEX('Historical Data'!$E$2:$E$1068,MATCH($A401,'Historical Data'!$BE$2:$BE$1068,0)),"")</f>
        <v/>
      </c>
      <c r="F401" s="106" t="str">
        <f aca="false">IFERROR(INDEX('Historical Data'!$G$2:$G$1068,MATCH($A401,'Historical Data'!$BE$2:$BE$1068,0)),"")</f>
        <v/>
      </c>
      <c r="G401" s="106" t="str">
        <f aca="false">IFERROR(INDEX('Historical Data'!$Y$2:$Y$1068,MATCH($A401,'Historical Data'!$BE$2:$BE$1068,0)),"")</f>
        <v/>
      </c>
      <c r="H401" s="106" t="str">
        <f aca="false">IFERROR(INDEX('Historical Data'!$K$2:$K$1068,MATCH($A401,'Historical Data'!$BE$2:$BE$1068,0)),"")</f>
        <v/>
      </c>
      <c r="I401" s="106" t="str">
        <f aca="false">IFERROR(INDEX('Historical Data'!$J$2:$J$1068,MATCH($A401,'Historical Data'!$BE$2:$BE$1068,0)),"")</f>
        <v/>
      </c>
      <c r="J401" s="106" t="str">
        <f aca="false">IFERROR(INDEX('Historical Data'!$L$2:$L$1068,MATCH($A401,'Historical Data'!$BE$2:$BE$1068,0)),"")</f>
        <v/>
      </c>
      <c r="K401" s="108" t="str">
        <f aca="false">IFERROR(INDEX('Historical Data'!$M$2:$M$1068,MATCH($A401,'Historical Data'!$BE$2:$BE$1068,0)),"")</f>
        <v/>
      </c>
      <c r="L401" s="109" t="str">
        <f aca="false">IFERROR(INDEX('Historical Data'!$N$2:$N$1068,MATCH($A401,'Historical Data'!$BE$2:$BE$1068,0)),"")</f>
        <v/>
      </c>
      <c r="M401" s="109" t="str">
        <f aca="false">IFERROR(INDEX('Historical Data'!$Q$2:$Q$1068,MATCH($A401,'Historical Data'!$BE$2:$BE$1068,0)),"")</f>
        <v/>
      </c>
      <c r="N401" s="110" t="str">
        <f aca="false">IFERROR(INDEX('Historical Data'!$S$2:$S$1068,MATCH($A401,'Historical Data'!$BE$2:$BE$1068,0)),"")</f>
        <v/>
      </c>
      <c r="O401" s="109" t="str">
        <f aca="false">IFERROR(INDEX('Historical Data'!$AJ$2:$AJ$1068,MATCH($A401,'Historical Data'!$BE$2:$BE$1068,0)),"")</f>
        <v/>
      </c>
      <c r="P401" s="109" t="str">
        <f aca="false">IFERROR(INDEX('Historical Data'!$AK$2:$AK$1068,MATCH($A401,'Historical Data'!$BE$2:$BE$1068,0)),"")</f>
        <v/>
      </c>
      <c r="Q401" s="106" t="str">
        <f aca="false">IFERROR(INDEX('Historical Data'!$AA$2:$AA$1068,MATCH($A401,'Historical Data'!$BE$2:$BE$1068,0)),"")</f>
        <v/>
      </c>
      <c r="R401" s="106" t="str">
        <f aca="false">IFERROR(INDEX('Historical Data'!$AB$2:$AB$1068,MATCH($A401,'Historical Data'!$BE$2:$BE$1068,0)),"")</f>
        <v/>
      </c>
      <c r="S401" s="106" t="str">
        <f aca="false">IFERROR(INDEX('Historical Data'!$AN$2:$AN$1068,MATCH($A401,'Historical Data'!$BE$2:$BE$1068,0)),"")</f>
        <v/>
      </c>
      <c r="T401" s="106" t="str">
        <f aca="false">IFERROR(INDEX('Historical Data'!$AC$2:$AC$1068,MATCH($A401,'Historical Data'!$BE$2:$BE$1068,0)),"")</f>
        <v/>
      </c>
      <c r="U401" s="106" t="str">
        <f aca="false">IFERROR(INDEX('Historical Data'!$AE$2:$AE$1068,MATCH($A401,'Historical Data'!$BE$2:$BE$1068,0)),"")</f>
        <v/>
      </c>
      <c r="V401" s="106" t="str">
        <f aca="false">IFERROR(INDEX('Historical Data'!$AH$2:$AH$1068,MATCH($A401,'Historical Data'!$BE$2:$BE$1068,0)),"")</f>
        <v/>
      </c>
      <c r="W401" s="106" t="str">
        <f aca="false">IFERROR(INDEX('Historical Data'!$BC$2:$BC$1068,MATCH($A401,'Historical Data'!$BE$2:$BE$1068,0)),"")</f>
        <v/>
      </c>
      <c r="X401" s="105" t="str">
        <f aca="false">IF(B401="","",IF(W401=1,"NR + industry + position",IF(W401=2,"NR + ISO + position",IF(W401=3,"NR + industry",IF(W401=4,"NR + ISO",IF(W401=5,"NR + position",IF(W401=6,"NR only","book baseline"))))))&amp;"  ["&amp;IF(T401=1,"seasoned","unseasoned")&amp;IF(U401=1,", defaulted","")&amp;IF(V401=1,", open","")&amp;"]")</f>
        <v/>
      </c>
    </row>
    <row r="402" customFormat="false" ht="15" hidden="false" customHeight="false" outlineLevel="0" collapsed="false">
      <c r="A402" s="105" t="n">
        <v>398</v>
      </c>
      <c r="B402" s="106" t="str">
        <f aca="false">IFERROR(INDEX('Historical Data'!$A$2:$A$1068,MATCH($A402,'Historical Data'!$BE$2:$BE$1068,0)),"")</f>
        <v/>
      </c>
      <c r="C402" s="106" t="str">
        <f aca="false">IFERROR(INDEX('Historical Data'!$B$2:$B$1068,MATCH($A402,'Historical Data'!$BE$2:$BE$1068,0)),"")</f>
        <v/>
      </c>
      <c r="D402" s="106" t="str">
        <f aca="false">IFERROR(INDEX('Historical Data'!$D$2:$D$1068,MATCH($A402,'Historical Data'!$BE$2:$BE$1068,0)),"")</f>
        <v/>
      </c>
      <c r="E402" s="107" t="str">
        <f aca="false">IFERROR(INDEX('Historical Data'!$E$2:$E$1068,MATCH($A402,'Historical Data'!$BE$2:$BE$1068,0)),"")</f>
        <v/>
      </c>
      <c r="F402" s="106" t="str">
        <f aca="false">IFERROR(INDEX('Historical Data'!$G$2:$G$1068,MATCH($A402,'Historical Data'!$BE$2:$BE$1068,0)),"")</f>
        <v/>
      </c>
      <c r="G402" s="106" t="str">
        <f aca="false">IFERROR(INDEX('Historical Data'!$Y$2:$Y$1068,MATCH($A402,'Historical Data'!$BE$2:$BE$1068,0)),"")</f>
        <v/>
      </c>
      <c r="H402" s="106" t="str">
        <f aca="false">IFERROR(INDEX('Historical Data'!$K$2:$K$1068,MATCH($A402,'Historical Data'!$BE$2:$BE$1068,0)),"")</f>
        <v/>
      </c>
      <c r="I402" s="106" t="str">
        <f aca="false">IFERROR(INDEX('Historical Data'!$J$2:$J$1068,MATCH($A402,'Historical Data'!$BE$2:$BE$1068,0)),"")</f>
        <v/>
      </c>
      <c r="J402" s="106" t="str">
        <f aca="false">IFERROR(INDEX('Historical Data'!$L$2:$L$1068,MATCH($A402,'Historical Data'!$BE$2:$BE$1068,0)),"")</f>
        <v/>
      </c>
      <c r="K402" s="108" t="str">
        <f aca="false">IFERROR(INDEX('Historical Data'!$M$2:$M$1068,MATCH($A402,'Historical Data'!$BE$2:$BE$1068,0)),"")</f>
        <v/>
      </c>
      <c r="L402" s="109" t="str">
        <f aca="false">IFERROR(INDEX('Historical Data'!$N$2:$N$1068,MATCH($A402,'Historical Data'!$BE$2:$BE$1068,0)),"")</f>
        <v/>
      </c>
      <c r="M402" s="109" t="str">
        <f aca="false">IFERROR(INDEX('Historical Data'!$Q$2:$Q$1068,MATCH($A402,'Historical Data'!$BE$2:$BE$1068,0)),"")</f>
        <v/>
      </c>
      <c r="N402" s="110" t="str">
        <f aca="false">IFERROR(INDEX('Historical Data'!$S$2:$S$1068,MATCH($A402,'Historical Data'!$BE$2:$BE$1068,0)),"")</f>
        <v/>
      </c>
      <c r="O402" s="109" t="str">
        <f aca="false">IFERROR(INDEX('Historical Data'!$AJ$2:$AJ$1068,MATCH($A402,'Historical Data'!$BE$2:$BE$1068,0)),"")</f>
        <v/>
      </c>
      <c r="P402" s="109" t="str">
        <f aca="false">IFERROR(INDEX('Historical Data'!$AK$2:$AK$1068,MATCH($A402,'Historical Data'!$BE$2:$BE$1068,0)),"")</f>
        <v/>
      </c>
      <c r="Q402" s="106" t="str">
        <f aca="false">IFERROR(INDEX('Historical Data'!$AA$2:$AA$1068,MATCH($A402,'Historical Data'!$BE$2:$BE$1068,0)),"")</f>
        <v/>
      </c>
      <c r="R402" s="106" t="str">
        <f aca="false">IFERROR(INDEX('Historical Data'!$AB$2:$AB$1068,MATCH($A402,'Historical Data'!$BE$2:$BE$1068,0)),"")</f>
        <v/>
      </c>
      <c r="S402" s="106" t="str">
        <f aca="false">IFERROR(INDEX('Historical Data'!$AN$2:$AN$1068,MATCH($A402,'Historical Data'!$BE$2:$BE$1068,0)),"")</f>
        <v/>
      </c>
      <c r="T402" s="106" t="str">
        <f aca="false">IFERROR(INDEX('Historical Data'!$AC$2:$AC$1068,MATCH($A402,'Historical Data'!$BE$2:$BE$1068,0)),"")</f>
        <v/>
      </c>
      <c r="U402" s="106" t="str">
        <f aca="false">IFERROR(INDEX('Historical Data'!$AE$2:$AE$1068,MATCH($A402,'Historical Data'!$BE$2:$BE$1068,0)),"")</f>
        <v/>
      </c>
      <c r="V402" s="106" t="str">
        <f aca="false">IFERROR(INDEX('Historical Data'!$AH$2:$AH$1068,MATCH($A402,'Historical Data'!$BE$2:$BE$1068,0)),"")</f>
        <v/>
      </c>
      <c r="W402" s="106" t="str">
        <f aca="false">IFERROR(INDEX('Historical Data'!$BC$2:$BC$1068,MATCH($A402,'Historical Data'!$BE$2:$BE$1068,0)),"")</f>
        <v/>
      </c>
      <c r="X402" s="105" t="str">
        <f aca="false">IF(B402="","",IF(W402=1,"NR + industry + position",IF(W402=2,"NR + ISO + position",IF(W402=3,"NR + industry",IF(W402=4,"NR + ISO",IF(W402=5,"NR + position",IF(W402=6,"NR only","book baseline"))))))&amp;"  ["&amp;IF(T402=1,"seasoned","unseasoned")&amp;IF(U402=1,", defaulted","")&amp;IF(V402=1,", open","")&amp;"]")</f>
        <v/>
      </c>
    </row>
    <row r="403" customFormat="false" ht="15" hidden="false" customHeight="false" outlineLevel="0" collapsed="false">
      <c r="A403" s="105" t="n">
        <v>399</v>
      </c>
      <c r="B403" s="106" t="str">
        <f aca="false">IFERROR(INDEX('Historical Data'!$A$2:$A$1068,MATCH($A403,'Historical Data'!$BE$2:$BE$1068,0)),"")</f>
        <v/>
      </c>
      <c r="C403" s="106" t="str">
        <f aca="false">IFERROR(INDEX('Historical Data'!$B$2:$B$1068,MATCH($A403,'Historical Data'!$BE$2:$BE$1068,0)),"")</f>
        <v/>
      </c>
      <c r="D403" s="106" t="str">
        <f aca="false">IFERROR(INDEX('Historical Data'!$D$2:$D$1068,MATCH($A403,'Historical Data'!$BE$2:$BE$1068,0)),"")</f>
        <v/>
      </c>
      <c r="E403" s="107" t="str">
        <f aca="false">IFERROR(INDEX('Historical Data'!$E$2:$E$1068,MATCH($A403,'Historical Data'!$BE$2:$BE$1068,0)),"")</f>
        <v/>
      </c>
      <c r="F403" s="106" t="str">
        <f aca="false">IFERROR(INDEX('Historical Data'!$G$2:$G$1068,MATCH($A403,'Historical Data'!$BE$2:$BE$1068,0)),"")</f>
        <v/>
      </c>
      <c r="G403" s="106" t="str">
        <f aca="false">IFERROR(INDEX('Historical Data'!$Y$2:$Y$1068,MATCH($A403,'Historical Data'!$BE$2:$BE$1068,0)),"")</f>
        <v/>
      </c>
      <c r="H403" s="106" t="str">
        <f aca="false">IFERROR(INDEX('Historical Data'!$K$2:$K$1068,MATCH($A403,'Historical Data'!$BE$2:$BE$1068,0)),"")</f>
        <v/>
      </c>
      <c r="I403" s="106" t="str">
        <f aca="false">IFERROR(INDEX('Historical Data'!$J$2:$J$1068,MATCH($A403,'Historical Data'!$BE$2:$BE$1068,0)),"")</f>
        <v/>
      </c>
      <c r="J403" s="106" t="str">
        <f aca="false">IFERROR(INDEX('Historical Data'!$L$2:$L$1068,MATCH($A403,'Historical Data'!$BE$2:$BE$1068,0)),"")</f>
        <v/>
      </c>
      <c r="K403" s="108" t="str">
        <f aca="false">IFERROR(INDEX('Historical Data'!$M$2:$M$1068,MATCH($A403,'Historical Data'!$BE$2:$BE$1068,0)),"")</f>
        <v/>
      </c>
      <c r="L403" s="109" t="str">
        <f aca="false">IFERROR(INDEX('Historical Data'!$N$2:$N$1068,MATCH($A403,'Historical Data'!$BE$2:$BE$1068,0)),"")</f>
        <v/>
      </c>
      <c r="M403" s="109" t="str">
        <f aca="false">IFERROR(INDEX('Historical Data'!$Q$2:$Q$1068,MATCH($A403,'Historical Data'!$BE$2:$BE$1068,0)),"")</f>
        <v/>
      </c>
      <c r="N403" s="110" t="str">
        <f aca="false">IFERROR(INDEX('Historical Data'!$S$2:$S$1068,MATCH($A403,'Historical Data'!$BE$2:$BE$1068,0)),"")</f>
        <v/>
      </c>
      <c r="O403" s="109" t="str">
        <f aca="false">IFERROR(INDEX('Historical Data'!$AJ$2:$AJ$1068,MATCH($A403,'Historical Data'!$BE$2:$BE$1068,0)),"")</f>
        <v/>
      </c>
      <c r="P403" s="109" t="str">
        <f aca="false">IFERROR(INDEX('Historical Data'!$AK$2:$AK$1068,MATCH($A403,'Historical Data'!$BE$2:$BE$1068,0)),"")</f>
        <v/>
      </c>
      <c r="Q403" s="106" t="str">
        <f aca="false">IFERROR(INDEX('Historical Data'!$AA$2:$AA$1068,MATCH($A403,'Historical Data'!$BE$2:$BE$1068,0)),"")</f>
        <v/>
      </c>
      <c r="R403" s="106" t="str">
        <f aca="false">IFERROR(INDEX('Historical Data'!$AB$2:$AB$1068,MATCH($A403,'Historical Data'!$BE$2:$BE$1068,0)),"")</f>
        <v/>
      </c>
      <c r="S403" s="106" t="str">
        <f aca="false">IFERROR(INDEX('Historical Data'!$AN$2:$AN$1068,MATCH($A403,'Historical Data'!$BE$2:$BE$1068,0)),"")</f>
        <v/>
      </c>
      <c r="T403" s="106" t="str">
        <f aca="false">IFERROR(INDEX('Historical Data'!$AC$2:$AC$1068,MATCH($A403,'Historical Data'!$BE$2:$BE$1068,0)),"")</f>
        <v/>
      </c>
      <c r="U403" s="106" t="str">
        <f aca="false">IFERROR(INDEX('Historical Data'!$AE$2:$AE$1068,MATCH($A403,'Historical Data'!$BE$2:$BE$1068,0)),"")</f>
        <v/>
      </c>
      <c r="V403" s="106" t="str">
        <f aca="false">IFERROR(INDEX('Historical Data'!$AH$2:$AH$1068,MATCH($A403,'Historical Data'!$BE$2:$BE$1068,0)),"")</f>
        <v/>
      </c>
      <c r="W403" s="106" t="str">
        <f aca="false">IFERROR(INDEX('Historical Data'!$BC$2:$BC$1068,MATCH($A403,'Historical Data'!$BE$2:$BE$1068,0)),"")</f>
        <v/>
      </c>
      <c r="X403" s="105" t="str">
        <f aca="false">IF(B403="","",IF(W403=1,"NR + industry + position",IF(W403=2,"NR + ISO + position",IF(W403=3,"NR + industry",IF(W403=4,"NR + ISO",IF(W403=5,"NR + position",IF(W403=6,"NR only","book baseline"))))))&amp;"  ["&amp;IF(T403=1,"seasoned","unseasoned")&amp;IF(U403=1,", defaulted","")&amp;IF(V403=1,", open","")&amp;"]")</f>
        <v/>
      </c>
    </row>
    <row r="404" customFormat="false" ht="15" hidden="false" customHeight="false" outlineLevel="0" collapsed="false">
      <c r="A404" s="105" t="n">
        <v>400</v>
      </c>
      <c r="B404" s="106" t="str">
        <f aca="false">IFERROR(INDEX('Historical Data'!$A$2:$A$1068,MATCH($A404,'Historical Data'!$BE$2:$BE$1068,0)),"")</f>
        <v/>
      </c>
      <c r="C404" s="106" t="str">
        <f aca="false">IFERROR(INDEX('Historical Data'!$B$2:$B$1068,MATCH($A404,'Historical Data'!$BE$2:$BE$1068,0)),"")</f>
        <v/>
      </c>
      <c r="D404" s="106" t="str">
        <f aca="false">IFERROR(INDEX('Historical Data'!$D$2:$D$1068,MATCH($A404,'Historical Data'!$BE$2:$BE$1068,0)),"")</f>
        <v/>
      </c>
      <c r="E404" s="107" t="str">
        <f aca="false">IFERROR(INDEX('Historical Data'!$E$2:$E$1068,MATCH($A404,'Historical Data'!$BE$2:$BE$1068,0)),"")</f>
        <v/>
      </c>
      <c r="F404" s="106" t="str">
        <f aca="false">IFERROR(INDEX('Historical Data'!$G$2:$G$1068,MATCH($A404,'Historical Data'!$BE$2:$BE$1068,0)),"")</f>
        <v/>
      </c>
      <c r="G404" s="106" t="str">
        <f aca="false">IFERROR(INDEX('Historical Data'!$Y$2:$Y$1068,MATCH($A404,'Historical Data'!$BE$2:$BE$1068,0)),"")</f>
        <v/>
      </c>
      <c r="H404" s="106" t="str">
        <f aca="false">IFERROR(INDEX('Historical Data'!$K$2:$K$1068,MATCH($A404,'Historical Data'!$BE$2:$BE$1068,0)),"")</f>
        <v/>
      </c>
      <c r="I404" s="106" t="str">
        <f aca="false">IFERROR(INDEX('Historical Data'!$J$2:$J$1068,MATCH($A404,'Historical Data'!$BE$2:$BE$1068,0)),"")</f>
        <v/>
      </c>
      <c r="J404" s="106" t="str">
        <f aca="false">IFERROR(INDEX('Historical Data'!$L$2:$L$1068,MATCH($A404,'Historical Data'!$BE$2:$BE$1068,0)),"")</f>
        <v/>
      </c>
      <c r="K404" s="108" t="str">
        <f aca="false">IFERROR(INDEX('Historical Data'!$M$2:$M$1068,MATCH($A404,'Historical Data'!$BE$2:$BE$1068,0)),"")</f>
        <v/>
      </c>
      <c r="L404" s="109" t="str">
        <f aca="false">IFERROR(INDEX('Historical Data'!$N$2:$N$1068,MATCH($A404,'Historical Data'!$BE$2:$BE$1068,0)),"")</f>
        <v/>
      </c>
      <c r="M404" s="109" t="str">
        <f aca="false">IFERROR(INDEX('Historical Data'!$Q$2:$Q$1068,MATCH($A404,'Historical Data'!$BE$2:$BE$1068,0)),"")</f>
        <v/>
      </c>
      <c r="N404" s="110" t="str">
        <f aca="false">IFERROR(INDEX('Historical Data'!$S$2:$S$1068,MATCH($A404,'Historical Data'!$BE$2:$BE$1068,0)),"")</f>
        <v/>
      </c>
      <c r="O404" s="109" t="str">
        <f aca="false">IFERROR(INDEX('Historical Data'!$AJ$2:$AJ$1068,MATCH($A404,'Historical Data'!$BE$2:$BE$1068,0)),"")</f>
        <v/>
      </c>
      <c r="P404" s="109" t="str">
        <f aca="false">IFERROR(INDEX('Historical Data'!$AK$2:$AK$1068,MATCH($A404,'Historical Data'!$BE$2:$BE$1068,0)),"")</f>
        <v/>
      </c>
      <c r="Q404" s="106" t="str">
        <f aca="false">IFERROR(INDEX('Historical Data'!$AA$2:$AA$1068,MATCH($A404,'Historical Data'!$BE$2:$BE$1068,0)),"")</f>
        <v/>
      </c>
      <c r="R404" s="106" t="str">
        <f aca="false">IFERROR(INDEX('Historical Data'!$AB$2:$AB$1068,MATCH($A404,'Historical Data'!$BE$2:$BE$1068,0)),"")</f>
        <v/>
      </c>
      <c r="S404" s="106" t="str">
        <f aca="false">IFERROR(INDEX('Historical Data'!$AN$2:$AN$1068,MATCH($A404,'Historical Data'!$BE$2:$BE$1068,0)),"")</f>
        <v/>
      </c>
      <c r="T404" s="106" t="str">
        <f aca="false">IFERROR(INDEX('Historical Data'!$AC$2:$AC$1068,MATCH($A404,'Historical Data'!$BE$2:$BE$1068,0)),"")</f>
        <v/>
      </c>
      <c r="U404" s="106" t="str">
        <f aca="false">IFERROR(INDEX('Historical Data'!$AE$2:$AE$1068,MATCH($A404,'Historical Data'!$BE$2:$BE$1068,0)),"")</f>
        <v/>
      </c>
      <c r="V404" s="106" t="str">
        <f aca="false">IFERROR(INDEX('Historical Data'!$AH$2:$AH$1068,MATCH($A404,'Historical Data'!$BE$2:$BE$1068,0)),"")</f>
        <v/>
      </c>
      <c r="W404" s="106" t="str">
        <f aca="false">IFERROR(INDEX('Historical Data'!$BC$2:$BC$1068,MATCH($A404,'Historical Data'!$BE$2:$BE$1068,0)),"")</f>
        <v/>
      </c>
      <c r="X404" s="105" t="str">
        <f aca="false">IF(B404="","",IF(W404=1,"NR + industry + position",IF(W404=2,"NR + ISO + position",IF(W404=3,"NR + industry",IF(W404=4,"NR + ISO",IF(W404=5,"NR + position",IF(W404=6,"NR only","book baseline"))))))&amp;"  ["&amp;IF(T404=1,"seasoned","unseasoned")&amp;IF(U404=1,", defaulted","")&amp;IF(V404=1,", open","")&amp;"]")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E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8"/>
    <col collapsed="false" customWidth="true" hidden="false" outlineLevel="0" max="4" min="4" style="0" width="18"/>
    <col collapsed="false" customWidth="true" hidden="false" outlineLevel="0" max="11" min="11" style="0" width="24"/>
    <col collapsed="false" customWidth="true" hidden="false" outlineLevel="0" max="25" min="25" style="0" width="26"/>
  </cols>
  <sheetData>
    <row r="1" customFormat="false" ht="42" hidden="false" customHeight="true" outlineLevel="0" collapsed="false">
      <c r="A1" s="100" t="s">
        <v>281</v>
      </c>
      <c r="B1" s="100" t="s">
        <v>282</v>
      </c>
      <c r="C1" s="100" t="s">
        <v>298</v>
      </c>
      <c r="D1" s="100" t="s">
        <v>87</v>
      </c>
      <c r="E1" s="100" t="s">
        <v>299</v>
      </c>
      <c r="F1" s="100" t="s">
        <v>300</v>
      </c>
      <c r="G1" s="100" t="s">
        <v>284</v>
      </c>
      <c r="H1" s="100" t="s">
        <v>301</v>
      </c>
      <c r="I1" s="100" t="s">
        <v>302</v>
      </c>
      <c r="J1" s="100" t="s">
        <v>60</v>
      </c>
      <c r="K1" s="100" t="s">
        <v>54</v>
      </c>
      <c r="L1" s="100" t="s">
        <v>303</v>
      </c>
      <c r="M1" s="100" t="s">
        <v>28</v>
      </c>
      <c r="N1" s="100" t="s">
        <v>286</v>
      </c>
      <c r="O1" s="100" t="s">
        <v>304</v>
      </c>
      <c r="P1" s="100" t="s">
        <v>36</v>
      </c>
      <c r="Q1" s="100" t="s">
        <v>287</v>
      </c>
      <c r="R1" s="100" t="s">
        <v>305</v>
      </c>
      <c r="S1" s="100" t="s">
        <v>288</v>
      </c>
      <c r="T1" s="100" t="s">
        <v>306</v>
      </c>
      <c r="U1" s="100" t="s">
        <v>307</v>
      </c>
      <c r="V1" s="100" t="s">
        <v>308</v>
      </c>
      <c r="W1" s="100" t="s">
        <v>42</v>
      </c>
      <c r="X1" s="100" t="s">
        <v>309</v>
      </c>
      <c r="Y1" s="111" t="s">
        <v>201</v>
      </c>
      <c r="Z1" s="111" t="s">
        <v>310</v>
      </c>
      <c r="AA1" s="111" t="s">
        <v>311</v>
      </c>
      <c r="AB1" s="111" t="s">
        <v>312</v>
      </c>
      <c r="AC1" s="111" t="s">
        <v>208</v>
      </c>
      <c r="AD1" s="111" t="s">
        <v>313</v>
      </c>
      <c r="AE1" s="111" t="s">
        <v>294</v>
      </c>
      <c r="AF1" s="111" t="s">
        <v>314</v>
      </c>
      <c r="AG1" s="111" t="s">
        <v>315</v>
      </c>
      <c r="AH1" s="111" t="s">
        <v>295</v>
      </c>
      <c r="AI1" s="111" t="s">
        <v>316</v>
      </c>
      <c r="AJ1" s="111" t="s">
        <v>289</v>
      </c>
      <c r="AK1" s="111" t="s">
        <v>290</v>
      </c>
      <c r="AL1" s="111" t="s">
        <v>317</v>
      </c>
      <c r="AM1" s="111" t="s">
        <v>318</v>
      </c>
      <c r="AN1" s="111" t="s">
        <v>319</v>
      </c>
      <c r="AO1" s="111" t="s">
        <v>320</v>
      </c>
      <c r="AP1" s="111" t="s">
        <v>321</v>
      </c>
      <c r="AQ1" s="111" t="s">
        <v>322</v>
      </c>
      <c r="AR1" s="111" t="s">
        <v>323</v>
      </c>
      <c r="AS1" s="111" t="s">
        <v>324</v>
      </c>
      <c r="AT1" s="111" t="s">
        <v>325</v>
      </c>
      <c r="AU1" s="111" t="s">
        <v>326</v>
      </c>
      <c r="AV1" s="111" t="s">
        <v>327</v>
      </c>
      <c r="AW1" s="111" t="s">
        <v>328</v>
      </c>
      <c r="AX1" s="111" t="s">
        <v>329</v>
      </c>
      <c r="AY1" s="111" t="s">
        <v>330</v>
      </c>
      <c r="AZ1" s="111" t="s">
        <v>331</v>
      </c>
      <c r="BA1" s="111" t="s">
        <v>332</v>
      </c>
      <c r="BB1" s="111" t="s">
        <v>333</v>
      </c>
      <c r="BC1" s="111" t="s">
        <v>334</v>
      </c>
      <c r="BD1" s="111" t="s">
        <v>335</v>
      </c>
      <c r="BE1" s="111" t="s">
        <v>336</v>
      </c>
    </row>
    <row r="2" customFormat="false" ht="15" hidden="false" customHeight="false" outlineLevel="0" collapsed="false">
      <c r="A2" s="65" t="s">
        <v>337</v>
      </c>
      <c r="B2" s="65" t="s">
        <v>338</v>
      </c>
      <c r="C2" s="65" t="s">
        <v>339</v>
      </c>
      <c r="D2" s="65" t="s">
        <v>340</v>
      </c>
      <c r="E2" s="112" t="n">
        <v>45616</v>
      </c>
      <c r="F2" s="112" t="n">
        <v>46118</v>
      </c>
      <c r="G2" s="65" t="n">
        <v>1</v>
      </c>
      <c r="H2" s="65" t="s">
        <v>341</v>
      </c>
      <c r="I2" s="65" t="s">
        <v>342</v>
      </c>
      <c r="J2" s="65" t="s">
        <v>343</v>
      </c>
      <c r="K2" s="65" t="s">
        <v>344</v>
      </c>
      <c r="L2" s="65" t="s">
        <v>64</v>
      </c>
      <c r="M2" s="113" t="n">
        <v>1.49</v>
      </c>
      <c r="N2" s="114" t="n">
        <v>15000</v>
      </c>
      <c r="O2" s="114" t="n">
        <v>2100</v>
      </c>
      <c r="P2" s="114" t="n">
        <v>22350</v>
      </c>
      <c r="Q2" s="114" t="n">
        <v>16835.64</v>
      </c>
      <c r="R2" s="114" t="n">
        <v>5514.36</v>
      </c>
      <c r="S2" s="115" t="n">
        <v>0.753272483221476</v>
      </c>
      <c r="T2" s="65" t="n">
        <v>2.754</v>
      </c>
      <c r="U2" s="65" t="n">
        <v>5</v>
      </c>
      <c r="W2" s="115" t="n">
        <v>0.05</v>
      </c>
      <c r="X2" s="112" t="n">
        <v>44701</v>
      </c>
      <c r="Y2" s="65" t="str">
        <f aca="false">IF(I2="","No SIC",IFERROR(VLOOKUP(I2,Ref!$A$2:$B$65,2,FALSE()),"Unclassified"))</f>
        <v>Eating &amp; Drinking Places</v>
      </c>
      <c r="Z2" s="65" t="str">
        <f aca="false">IF(T2="","",IF(T2&lt;12,"Daily","Weekly"))</f>
        <v>Daily</v>
      </c>
      <c r="AA2" s="65" t="n">
        <f aca="false">IF(T2="",0,IF(T2&lt;12,T2*Controls!$B$29,T2*5))</f>
        <v>59.63787</v>
      </c>
      <c r="AB2" s="65" t="n">
        <f aca="false">IF(E2="",0,NETWORKDAYS(E2,Controls!$B$36,Ref!$K$2:$K$42))</f>
        <v>442</v>
      </c>
      <c r="AC2" s="65" t="n">
        <f aca="false">IF(AND(AA2&gt;0,AB2&gt;=Controls!$B$39*AA2),1,0)</f>
        <v>1</v>
      </c>
      <c r="AD2" s="65" t="n">
        <f aca="false">IF(AND(E2&lt;&gt;"",E2&gt;=Controls!$B$37,E2&lt;=Controls!$B$38),1,0)</f>
        <v>1</v>
      </c>
      <c r="AE2" s="65" t="n">
        <f aca="false">IF(IFERROR(VLOOKUP(D2,Controls!$A$64:$E$74,2,FALSE()),"No")="Yes",1,0)</f>
        <v>1</v>
      </c>
      <c r="AF2" s="65" t="n">
        <f aca="false">IF(IFERROR(VLOOKUP(D2,Controls!$A$64:$E$74,3,FALSE()),"No")="Yes",1,0)</f>
        <v>0</v>
      </c>
      <c r="AG2" s="65" t="n">
        <f aca="false">IF(IFERROR(VLOOKUP(D2,Controls!$A$64:$E$74,4,FALSE()),"No")="Yes",1,0)</f>
        <v>0</v>
      </c>
      <c r="AH2" s="65" t="n">
        <f aca="false">IF(IFERROR(VLOOKUP(D2,Controls!$A$64:$E$74,5,FALSE()),"No")="Yes",1,0)</f>
        <v>0</v>
      </c>
      <c r="AI2" s="65" t="n">
        <f aca="false">IF(ISNUMBER(MATCH(D2,Controls!$A$64:$A$74,0)),1,0)</f>
        <v>1</v>
      </c>
      <c r="AJ2" s="65" t="n">
        <f aca="false">Q2-N2</f>
        <v>1835.64</v>
      </c>
      <c r="AK2" s="65" t="n">
        <f aca="false">IF(AE2=1,MAX(0,N2-Q2),0)</f>
        <v>0</v>
      </c>
      <c r="AL2" s="65" t="n">
        <f aca="false">IF(OR(V2="",V2=0),0,N2/V2)</f>
        <v>0</v>
      </c>
      <c r="AM2" s="65" t="n">
        <f aca="false">IF(OR(V2="",V2=0),0,1)</f>
        <v>0</v>
      </c>
      <c r="AN2" s="65" t="n">
        <f aca="false">IF(OR(E2="",F2=""),0,NETWORKDAYS(E2,F2,Ref!$K$2:$K$42))</f>
        <v>343</v>
      </c>
      <c r="AO2" s="65" t="n">
        <f aca="false">IF(L2="Renewal",1,0)</f>
        <v>0</v>
      </c>
      <c r="AP2" s="65" t="n">
        <f aca="false">AC2*AD2</f>
        <v>1</v>
      </c>
      <c r="AQ2" s="65" t="n">
        <f aca="false">IF(AND(G2&lt;&gt;"",'Historical Score'!$C$6&lt;&gt;""),IF(G2='Historical Score'!$C$6,1,0),0)</f>
        <v>0</v>
      </c>
      <c r="AR2" s="65" t="n">
        <f aca="false">IF(AND(L2&lt;&gt;"",'Historical Score'!$C$5&lt;&gt;""),IF(L2='Historical Score'!$C$5,1,0),0)</f>
        <v>1</v>
      </c>
      <c r="AS2" s="65" t="n">
        <f aca="false">IF(AND(Y2&lt;&gt;"",'Historical Score'!$C$7&lt;&gt;""),IF(Y2='Historical Score'!$C$7,1,0),0)</f>
        <v>0</v>
      </c>
      <c r="AT2" s="65" t="n">
        <f aca="false">IF(AND(K2&lt;&gt;"",'Historical Score'!$C$8&lt;&gt;""),IF(K2='Historical Score'!$C$8,1,0),0)</f>
        <v>0</v>
      </c>
      <c r="AU2" s="65" t="n">
        <f aca="false">IF(AND(J2&lt;&gt;"",'Historical Score'!$C$9&lt;&gt;""),IF(J2='Historical Score'!$C$9,1,0),0)</f>
        <v>0</v>
      </c>
      <c r="AV2" s="65" t="n">
        <f aca="false">AR2*AS2*AQ2</f>
        <v>0</v>
      </c>
      <c r="AW2" s="65" t="n">
        <f aca="false">AR2*AT2*AQ2</f>
        <v>0</v>
      </c>
      <c r="AX2" s="65" t="n">
        <f aca="false">AR2*AS2</f>
        <v>0</v>
      </c>
      <c r="AY2" s="65" t="n">
        <f aca="false">AR2*AT2</f>
        <v>0</v>
      </c>
      <c r="AZ2" s="65" t="n">
        <f aca="false">AR2*AQ2</f>
        <v>0</v>
      </c>
      <c r="BA2" s="65" t="n">
        <f aca="false">AR2</f>
        <v>1</v>
      </c>
      <c r="BB2" s="65" t="n">
        <f aca="false">1</f>
        <v>1</v>
      </c>
      <c r="BC2" s="65" t="n">
        <f aca="false">IF(AV2=1,1,IF(AW2=1,2,IF(AX2=1,3,IF(AY2=1,4,IF(AZ2=1,5,IF(BA2=1,6,7))))))</f>
        <v>6</v>
      </c>
      <c r="BD2" s="65" t="n">
        <f aca="false">IF(AD2=1,CHOOSE('Historical Score'!$C$29,AV2,AW2,AX2,AY2,AZ2,BA2,BB2),0)</f>
        <v>0</v>
      </c>
      <c r="BE2" s="65" t="str">
        <f aca="false">IF(BD2=1,COUNTIF($BD$2:BD2,1),"")</f>
        <v/>
      </c>
    </row>
    <row r="3" customFormat="false" ht="15" hidden="false" customHeight="false" outlineLevel="0" collapsed="false">
      <c r="A3" s="65" t="s">
        <v>345</v>
      </c>
      <c r="B3" s="65" t="s">
        <v>346</v>
      </c>
      <c r="C3" s="65" t="s">
        <v>346</v>
      </c>
      <c r="D3" s="65" t="s">
        <v>347</v>
      </c>
      <c r="E3" s="112" t="n">
        <v>45625</v>
      </c>
      <c r="F3" s="112" t="n">
        <v>45786</v>
      </c>
      <c r="G3" s="65" t="n">
        <v>3</v>
      </c>
      <c r="H3" s="65" t="s">
        <v>348</v>
      </c>
      <c r="I3" s="65" t="s">
        <v>349</v>
      </c>
      <c r="J3" s="65" t="s">
        <v>350</v>
      </c>
      <c r="K3" s="65" t="s">
        <v>351</v>
      </c>
      <c r="L3" s="65" t="s">
        <v>64</v>
      </c>
      <c r="M3" s="113" t="n">
        <v>1.49</v>
      </c>
      <c r="N3" s="114" t="n">
        <v>5000</v>
      </c>
      <c r="O3" s="114" t="n">
        <v>700</v>
      </c>
      <c r="P3" s="114" t="n">
        <v>7450</v>
      </c>
      <c r="Q3" s="114" t="n">
        <v>6305.98</v>
      </c>
      <c r="R3" s="114" t="n">
        <v>1144.02</v>
      </c>
      <c r="S3" s="115" t="n">
        <v>0.846440268456376</v>
      </c>
      <c r="T3" s="65" t="n">
        <v>2.623</v>
      </c>
      <c r="U3" s="65" t="n">
        <v>24</v>
      </c>
      <c r="W3" s="115" t="n">
        <v>0.12</v>
      </c>
      <c r="X3" s="112" t="n">
        <v>34575</v>
      </c>
      <c r="Y3" s="65" t="str">
        <f aca="false">IF(I3="","No SIC",IFERROR(VLOOKUP(I3,Ref!$A$2:$B$65,2,FALSE()),"Unclassified"))</f>
        <v>Nonmetallic Minerals Mining</v>
      </c>
      <c r="Z3" s="65" t="str">
        <f aca="false">IF(T3="","",IF(T3&lt;12,"Daily","Weekly"))</f>
        <v>Daily</v>
      </c>
      <c r="AA3" s="65" t="n">
        <f aca="false">IF(T3="",0,IF(T3&lt;12,T3*Controls!$B$29,T3*5))</f>
        <v>56.801065</v>
      </c>
      <c r="AB3" s="65" t="n">
        <f aca="false">IF(E3="",0,NETWORKDAYS(E3,Controls!$B$36,Ref!$K$2:$K$42))</f>
        <v>436</v>
      </c>
      <c r="AC3" s="65" t="n">
        <f aca="false">IF(AND(AA3&gt;0,AB3&gt;=Controls!$B$39*AA3),1,0)</f>
        <v>1</v>
      </c>
      <c r="AD3" s="65" t="n">
        <f aca="false">IF(AND(E3&lt;&gt;"",E3&gt;=Controls!$B$37,E3&lt;=Controls!$B$38),1,0)</f>
        <v>1</v>
      </c>
      <c r="AE3" s="65" t="n">
        <f aca="false">IF(IFERROR(VLOOKUP(D3,Controls!$A$64:$E$74,2,FALSE()),"No")="Yes",1,0)</f>
        <v>1</v>
      </c>
      <c r="AF3" s="65" t="n">
        <f aca="false">IF(IFERROR(VLOOKUP(D3,Controls!$A$64:$E$74,3,FALSE()),"No")="Yes",1,0)</f>
        <v>1</v>
      </c>
      <c r="AG3" s="65" t="n">
        <f aca="false">IF(IFERROR(VLOOKUP(D3,Controls!$A$64:$E$74,4,FALSE()),"No")="Yes",1,0)</f>
        <v>0</v>
      </c>
      <c r="AH3" s="65" t="n">
        <f aca="false">IF(IFERROR(VLOOKUP(D3,Controls!$A$64:$E$74,5,FALSE()),"No")="Yes",1,0)</f>
        <v>0</v>
      </c>
      <c r="AI3" s="65" t="n">
        <f aca="false">IF(ISNUMBER(MATCH(D3,Controls!$A$64:$A$74,0)),1,0)</f>
        <v>1</v>
      </c>
      <c r="AJ3" s="65" t="n">
        <f aca="false">Q3-N3</f>
        <v>1305.98</v>
      </c>
      <c r="AK3" s="65" t="n">
        <f aca="false">IF(AE3=1,MAX(0,N3-Q3),0)</f>
        <v>0</v>
      </c>
      <c r="AL3" s="65" t="n">
        <f aca="false">IF(OR(V3="",V3=0),0,N3/V3)</f>
        <v>0</v>
      </c>
      <c r="AM3" s="65" t="n">
        <f aca="false">IF(OR(V3="",V3=0),0,1)</f>
        <v>0</v>
      </c>
      <c r="AN3" s="65" t="n">
        <f aca="false">IF(OR(E3="",F3=""),0,NETWORKDAYS(E3,F3,Ref!$K$2:$K$42))</f>
        <v>112</v>
      </c>
      <c r="AO3" s="65" t="n">
        <f aca="false">IF(L3="Renewal",1,0)</f>
        <v>0</v>
      </c>
      <c r="AP3" s="65" t="n">
        <f aca="false">AC3*AD3</f>
        <v>1</v>
      </c>
      <c r="AQ3" s="65" t="n">
        <f aca="false">IF(AND(G3&lt;&gt;"",'Historical Score'!$C$6&lt;&gt;""),IF(G3='Historical Score'!$C$6,1,0),0)</f>
        <v>0</v>
      </c>
      <c r="AR3" s="65" t="n">
        <f aca="false">IF(AND(L3&lt;&gt;"",'Historical Score'!$C$5&lt;&gt;""),IF(L3='Historical Score'!$C$5,1,0),0)</f>
        <v>1</v>
      </c>
      <c r="AS3" s="65" t="n">
        <f aca="false">IF(AND(Y3&lt;&gt;"",'Historical Score'!$C$7&lt;&gt;""),IF(Y3='Historical Score'!$C$7,1,0),0)</f>
        <v>0</v>
      </c>
      <c r="AT3" s="65" t="n">
        <f aca="false">IF(AND(K3&lt;&gt;"",'Historical Score'!$C$8&lt;&gt;""),IF(K3='Historical Score'!$C$8,1,0),0)</f>
        <v>0</v>
      </c>
      <c r="AU3" s="65" t="n">
        <f aca="false">IF(AND(J3&lt;&gt;"",'Historical Score'!$C$9&lt;&gt;""),IF(J3='Historical Score'!$C$9,1,0),0)</f>
        <v>0</v>
      </c>
      <c r="AV3" s="65" t="n">
        <f aca="false">AR3*AS3*AQ3</f>
        <v>0</v>
      </c>
      <c r="AW3" s="65" t="n">
        <f aca="false">AR3*AT3*AQ3</f>
        <v>0</v>
      </c>
      <c r="AX3" s="65" t="n">
        <f aca="false">AR3*AS3</f>
        <v>0</v>
      </c>
      <c r="AY3" s="65" t="n">
        <f aca="false">AR3*AT3</f>
        <v>0</v>
      </c>
      <c r="AZ3" s="65" t="n">
        <f aca="false">AR3*AQ3</f>
        <v>0</v>
      </c>
      <c r="BA3" s="65" t="n">
        <f aca="false">AR3</f>
        <v>1</v>
      </c>
      <c r="BB3" s="65" t="n">
        <f aca="false">1</f>
        <v>1</v>
      </c>
      <c r="BC3" s="65" t="n">
        <f aca="false">IF(AV3=1,1,IF(AW3=1,2,IF(AX3=1,3,IF(AY3=1,4,IF(AZ3=1,5,IF(BA3=1,6,7))))))</f>
        <v>6</v>
      </c>
      <c r="BD3" s="65" t="n">
        <f aca="false">IF(AD3=1,CHOOSE('Historical Score'!$C$29,AV3,AW3,AX3,AY3,AZ3,BA3,BB3),0)</f>
        <v>0</v>
      </c>
      <c r="BE3" s="65" t="str">
        <f aca="false">IF(BD3=1,COUNTIF($BD$2:BD3,1),"")</f>
        <v/>
      </c>
    </row>
    <row r="4" customFormat="false" ht="15" hidden="false" customHeight="false" outlineLevel="0" collapsed="false">
      <c r="A4" s="65" t="s">
        <v>352</v>
      </c>
      <c r="B4" s="65" t="s">
        <v>353</v>
      </c>
      <c r="C4" s="65" t="s">
        <v>354</v>
      </c>
      <c r="D4" s="65" t="s">
        <v>340</v>
      </c>
      <c r="E4" s="112" t="n">
        <v>45630</v>
      </c>
      <c r="F4" s="112" t="n">
        <v>45666</v>
      </c>
      <c r="G4" s="65" t="n">
        <v>2</v>
      </c>
      <c r="H4" s="65" t="s">
        <v>355</v>
      </c>
      <c r="I4" s="65" t="s">
        <v>356</v>
      </c>
      <c r="J4" s="65" t="s">
        <v>350</v>
      </c>
      <c r="K4" s="65" t="s">
        <v>357</v>
      </c>
      <c r="L4" s="65" t="s">
        <v>64</v>
      </c>
      <c r="M4" s="113" t="n">
        <v>1.49</v>
      </c>
      <c r="N4" s="114" t="n">
        <v>10000</v>
      </c>
      <c r="O4" s="114" t="n">
        <v>0</v>
      </c>
      <c r="P4" s="114" t="n">
        <v>14900</v>
      </c>
      <c r="Q4" s="114" t="n">
        <v>2421.25</v>
      </c>
      <c r="R4" s="114" t="n">
        <v>12478.75</v>
      </c>
      <c r="S4" s="115" t="n">
        <v>0.1625</v>
      </c>
      <c r="T4" s="65" t="n">
        <v>2.623</v>
      </c>
      <c r="U4" s="65" t="n">
        <v>5</v>
      </c>
      <c r="W4" s="115" t="n">
        <v>0.07</v>
      </c>
      <c r="X4" s="112" t="n">
        <v>43873</v>
      </c>
      <c r="Y4" s="65" t="str">
        <f aca="false">IF(I4="","No SIC",IFERROR(VLOOKUP(I4,Ref!$A$2:$B$65,2,FALSE()),"Unclassified"))</f>
        <v>Trucking &amp; Warehousing</v>
      </c>
      <c r="Z4" s="65" t="str">
        <f aca="false">IF(T4="","",IF(T4&lt;12,"Daily","Weekly"))</f>
        <v>Daily</v>
      </c>
      <c r="AA4" s="65" t="n">
        <f aca="false">IF(T4="",0,IF(T4&lt;12,T4*Controls!$B$29,T4*5))</f>
        <v>56.801065</v>
      </c>
      <c r="AB4" s="65" t="n">
        <f aca="false">IF(E4="",0,NETWORKDAYS(E4,Controls!$B$36,Ref!$K$2:$K$42))</f>
        <v>433</v>
      </c>
      <c r="AC4" s="65" t="n">
        <f aca="false">IF(AND(AA4&gt;0,AB4&gt;=Controls!$B$39*AA4),1,0)</f>
        <v>1</v>
      </c>
      <c r="AD4" s="65" t="n">
        <f aca="false">IF(AND(E4&lt;&gt;"",E4&gt;=Controls!$B$37,E4&lt;=Controls!$B$38),1,0)</f>
        <v>1</v>
      </c>
      <c r="AE4" s="65" t="n">
        <f aca="false">IF(IFERROR(VLOOKUP(D4,Controls!$A$64:$E$74,2,FALSE()),"No")="Yes",1,0)</f>
        <v>1</v>
      </c>
      <c r="AF4" s="65" t="n">
        <f aca="false">IF(IFERROR(VLOOKUP(D4,Controls!$A$64:$E$74,3,FALSE()),"No")="Yes",1,0)</f>
        <v>0</v>
      </c>
      <c r="AG4" s="65" t="n">
        <f aca="false">IF(IFERROR(VLOOKUP(D4,Controls!$A$64:$E$74,4,FALSE()),"No")="Yes",1,0)</f>
        <v>0</v>
      </c>
      <c r="AH4" s="65" t="n">
        <f aca="false">IF(IFERROR(VLOOKUP(D4,Controls!$A$64:$E$74,5,FALSE()),"No")="Yes",1,0)</f>
        <v>0</v>
      </c>
      <c r="AI4" s="65" t="n">
        <f aca="false">IF(ISNUMBER(MATCH(D4,Controls!$A$64:$A$74,0)),1,0)</f>
        <v>1</v>
      </c>
      <c r="AJ4" s="65" t="n">
        <f aca="false">Q4-N4</f>
        <v>-7578.75</v>
      </c>
      <c r="AK4" s="65" t="n">
        <f aca="false">IF(AE4=1,MAX(0,N4-Q4),0)</f>
        <v>7578.75</v>
      </c>
      <c r="AL4" s="65" t="n">
        <f aca="false">IF(OR(V4="",V4=0),0,N4/V4)</f>
        <v>0</v>
      </c>
      <c r="AM4" s="65" t="n">
        <f aca="false">IF(OR(V4="",V4=0),0,1)</f>
        <v>0</v>
      </c>
      <c r="AN4" s="65" t="n">
        <f aca="false">IF(OR(E4="",F4=""),0,NETWORKDAYS(E4,F4,Ref!$K$2:$K$42))</f>
        <v>25</v>
      </c>
      <c r="AO4" s="65" t="n">
        <f aca="false">IF(L4="Renewal",1,0)</f>
        <v>0</v>
      </c>
      <c r="AP4" s="65" t="n">
        <f aca="false">AC4*AD4</f>
        <v>1</v>
      </c>
      <c r="AQ4" s="65" t="n">
        <f aca="false">IF(AND(G4&lt;&gt;"",'Historical Score'!$C$6&lt;&gt;""),IF(G4='Historical Score'!$C$6,1,0),0)</f>
        <v>1</v>
      </c>
      <c r="AR4" s="65" t="n">
        <f aca="false">IF(AND(L4&lt;&gt;"",'Historical Score'!$C$5&lt;&gt;""),IF(L4='Historical Score'!$C$5,1,0),0)</f>
        <v>1</v>
      </c>
      <c r="AS4" s="65" t="n">
        <f aca="false">IF(AND(Y4&lt;&gt;"",'Historical Score'!$C$7&lt;&gt;""),IF(Y4='Historical Score'!$C$7,1,0),0)</f>
        <v>0</v>
      </c>
      <c r="AT4" s="65" t="n">
        <f aca="false">IF(AND(K4&lt;&gt;"",'Historical Score'!$C$8&lt;&gt;""),IF(K4='Historical Score'!$C$8,1,0),0)</f>
        <v>0</v>
      </c>
      <c r="AU4" s="65" t="n">
        <f aca="false">IF(AND(J4&lt;&gt;"",'Historical Score'!$C$9&lt;&gt;""),IF(J4='Historical Score'!$C$9,1,0),0)</f>
        <v>0</v>
      </c>
      <c r="AV4" s="65" t="n">
        <f aca="false">AR4*AS4*AQ4</f>
        <v>0</v>
      </c>
      <c r="AW4" s="65" t="n">
        <f aca="false">AR4*AT4*AQ4</f>
        <v>0</v>
      </c>
      <c r="AX4" s="65" t="n">
        <f aca="false">AR4*AS4</f>
        <v>0</v>
      </c>
      <c r="AY4" s="65" t="n">
        <f aca="false">AR4*AT4</f>
        <v>0</v>
      </c>
      <c r="AZ4" s="65" t="n">
        <f aca="false">AR4*AQ4</f>
        <v>1</v>
      </c>
      <c r="BA4" s="65" t="n">
        <f aca="false">AR4</f>
        <v>1</v>
      </c>
      <c r="BB4" s="65" t="n">
        <f aca="false">1</f>
        <v>1</v>
      </c>
      <c r="BC4" s="65" t="n">
        <f aca="false">IF(AV4=1,1,IF(AW4=1,2,IF(AX4=1,3,IF(AY4=1,4,IF(AZ4=1,5,IF(BA4=1,6,7))))))</f>
        <v>5</v>
      </c>
      <c r="BD4" s="65" t="n">
        <f aca="false">IF(AD4=1,CHOOSE('Historical Score'!$C$29,AV4,AW4,AX4,AY4,AZ4,BA4,BB4),0)</f>
        <v>0</v>
      </c>
      <c r="BE4" s="65" t="str">
        <f aca="false">IF(BD4=1,COUNTIF($BD$2:BD4,1),"")</f>
        <v/>
      </c>
    </row>
    <row r="5" customFormat="false" ht="15" hidden="false" customHeight="false" outlineLevel="0" collapsed="false">
      <c r="A5" s="65" t="s">
        <v>358</v>
      </c>
      <c r="B5" s="65" t="s">
        <v>359</v>
      </c>
      <c r="C5" s="65" t="s">
        <v>360</v>
      </c>
      <c r="D5" s="65" t="s">
        <v>340</v>
      </c>
      <c r="E5" s="112" t="n">
        <v>45632</v>
      </c>
      <c r="F5" s="112" t="n">
        <v>45666</v>
      </c>
      <c r="G5" s="65" t="n">
        <v>2</v>
      </c>
      <c r="H5" s="65" t="s">
        <v>361</v>
      </c>
      <c r="I5" s="65" t="s">
        <v>362</v>
      </c>
      <c r="J5" s="65" t="s">
        <v>350</v>
      </c>
      <c r="K5" s="65" t="s">
        <v>363</v>
      </c>
      <c r="L5" s="65" t="s">
        <v>64</v>
      </c>
      <c r="M5" s="113" t="n">
        <v>1.49</v>
      </c>
      <c r="N5" s="114" t="n">
        <v>20000</v>
      </c>
      <c r="O5" s="114" t="n">
        <v>0</v>
      </c>
      <c r="P5" s="114" t="n">
        <v>29800</v>
      </c>
      <c r="Q5" s="114" t="n">
        <v>3140</v>
      </c>
      <c r="R5" s="114" t="n">
        <v>26660</v>
      </c>
      <c r="S5" s="115" t="n">
        <v>0.105369127516779</v>
      </c>
      <c r="T5" s="65" t="n">
        <v>3.279</v>
      </c>
      <c r="U5" s="65" t="n">
        <v>6</v>
      </c>
      <c r="W5" s="115" t="n">
        <v>0.09</v>
      </c>
      <c r="X5" s="112" t="n">
        <v>44539</v>
      </c>
      <c r="Y5" s="65" t="str">
        <f aca="false">IF(I5="","No SIC",IFERROR(VLOOKUP(I5,Ref!$A$2:$B$65,2,FALSE()),"Unclassified"))</f>
        <v>Chemicals &amp; Allied Products</v>
      </c>
      <c r="Z5" s="65" t="str">
        <f aca="false">IF(T5="","",IF(T5&lt;12,"Daily","Weekly"))</f>
        <v>Daily</v>
      </c>
      <c r="AA5" s="65" t="n">
        <f aca="false">IF(T5="",0,IF(T5&lt;12,T5*Controls!$B$29,T5*5))</f>
        <v>71.006745</v>
      </c>
      <c r="AB5" s="65" t="n">
        <f aca="false">IF(E5="",0,NETWORKDAYS(E5,Controls!$B$36,Ref!$K$2:$K$42))</f>
        <v>431</v>
      </c>
      <c r="AC5" s="65" t="n">
        <f aca="false">IF(AND(AA5&gt;0,AB5&gt;=Controls!$B$39*AA5),1,0)</f>
        <v>1</v>
      </c>
      <c r="AD5" s="65" t="n">
        <f aca="false">IF(AND(E5&lt;&gt;"",E5&gt;=Controls!$B$37,E5&lt;=Controls!$B$38),1,0)</f>
        <v>1</v>
      </c>
      <c r="AE5" s="65" t="n">
        <f aca="false">IF(IFERROR(VLOOKUP(D5,Controls!$A$64:$E$74,2,FALSE()),"No")="Yes",1,0)</f>
        <v>1</v>
      </c>
      <c r="AF5" s="65" t="n">
        <f aca="false">IF(IFERROR(VLOOKUP(D5,Controls!$A$64:$E$74,3,FALSE()),"No")="Yes",1,0)</f>
        <v>0</v>
      </c>
      <c r="AG5" s="65" t="n">
        <f aca="false">IF(IFERROR(VLOOKUP(D5,Controls!$A$64:$E$74,4,FALSE()),"No")="Yes",1,0)</f>
        <v>0</v>
      </c>
      <c r="AH5" s="65" t="n">
        <f aca="false">IF(IFERROR(VLOOKUP(D5,Controls!$A$64:$E$74,5,FALSE()),"No")="Yes",1,0)</f>
        <v>0</v>
      </c>
      <c r="AI5" s="65" t="n">
        <f aca="false">IF(ISNUMBER(MATCH(D5,Controls!$A$64:$A$74,0)),1,0)</f>
        <v>1</v>
      </c>
      <c r="AJ5" s="65" t="n">
        <f aca="false">Q5-N5</f>
        <v>-16860</v>
      </c>
      <c r="AK5" s="65" t="n">
        <f aca="false">IF(AE5=1,MAX(0,N5-Q5),0)</f>
        <v>16860</v>
      </c>
      <c r="AL5" s="65" t="n">
        <f aca="false">IF(OR(V5="",V5=0),0,N5/V5)</f>
        <v>0</v>
      </c>
      <c r="AM5" s="65" t="n">
        <f aca="false">IF(OR(V5="",V5=0),0,1)</f>
        <v>0</v>
      </c>
      <c r="AN5" s="65" t="n">
        <f aca="false">IF(OR(E5="",F5=""),0,NETWORKDAYS(E5,F5,Ref!$K$2:$K$42))</f>
        <v>23</v>
      </c>
      <c r="AO5" s="65" t="n">
        <f aca="false">IF(L5="Renewal",1,0)</f>
        <v>0</v>
      </c>
      <c r="AP5" s="65" t="n">
        <f aca="false">AC5*AD5</f>
        <v>1</v>
      </c>
      <c r="AQ5" s="65" t="n">
        <f aca="false">IF(AND(G5&lt;&gt;"",'Historical Score'!$C$6&lt;&gt;""),IF(G5='Historical Score'!$C$6,1,0),0)</f>
        <v>1</v>
      </c>
      <c r="AR5" s="65" t="n">
        <f aca="false">IF(AND(L5&lt;&gt;"",'Historical Score'!$C$5&lt;&gt;""),IF(L5='Historical Score'!$C$5,1,0),0)</f>
        <v>1</v>
      </c>
      <c r="AS5" s="65" t="n">
        <f aca="false">IF(AND(Y5&lt;&gt;"",'Historical Score'!$C$7&lt;&gt;""),IF(Y5='Historical Score'!$C$7,1,0),0)</f>
        <v>0</v>
      </c>
      <c r="AT5" s="65" t="n">
        <f aca="false">IF(AND(K5&lt;&gt;"",'Historical Score'!$C$8&lt;&gt;""),IF(K5='Historical Score'!$C$8,1,0),0)</f>
        <v>0</v>
      </c>
      <c r="AU5" s="65" t="n">
        <f aca="false">IF(AND(J5&lt;&gt;"",'Historical Score'!$C$9&lt;&gt;""),IF(J5='Historical Score'!$C$9,1,0),0)</f>
        <v>0</v>
      </c>
      <c r="AV5" s="65" t="n">
        <f aca="false">AR5*AS5*AQ5</f>
        <v>0</v>
      </c>
      <c r="AW5" s="65" t="n">
        <f aca="false">AR5*AT5*AQ5</f>
        <v>0</v>
      </c>
      <c r="AX5" s="65" t="n">
        <f aca="false">AR5*AS5</f>
        <v>0</v>
      </c>
      <c r="AY5" s="65" t="n">
        <f aca="false">AR5*AT5</f>
        <v>0</v>
      </c>
      <c r="AZ5" s="65" t="n">
        <f aca="false">AR5*AQ5</f>
        <v>1</v>
      </c>
      <c r="BA5" s="65" t="n">
        <f aca="false">AR5</f>
        <v>1</v>
      </c>
      <c r="BB5" s="65" t="n">
        <f aca="false">1</f>
        <v>1</v>
      </c>
      <c r="BC5" s="65" t="n">
        <f aca="false">IF(AV5=1,1,IF(AW5=1,2,IF(AX5=1,3,IF(AY5=1,4,IF(AZ5=1,5,IF(BA5=1,6,7))))))</f>
        <v>5</v>
      </c>
      <c r="BD5" s="65" t="n">
        <f aca="false">IF(AD5=1,CHOOSE('Historical Score'!$C$29,AV5,AW5,AX5,AY5,AZ5,BA5,BB5),0)</f>
        <v>0</v>
      </c>
      <c r="BE5" s="65" t="str">
        <f aca="false">IF(BD5=1,COUNTIF($BD$2:BD5,1),"")</f>
        <v/>
      </c>
    </row>
    <row r="6" customFormat="false" ht="15" hidden="false" customHeight="false" outlineLevel="0" collapsed="false">
      <c r="A6" s="65" t="s">
        <v>364</v>
      </c>
      <c r="B6" s="65" t="s">
        <v>365</v>
      </c>
      <c r="C6" s="65" t="s">
        <v>365</v>
      </c>
      <c r="D6" s="65" t="s">
        <v>340</v>
      </c>
      <c r="E6" s="112" t="n">
        <v>45632</v>
      </c>
      <c r="F6" s="112" t="n">
        <v>45707</v>
      </c>
      <c r="G6" s="65" t="n">
        <v>3</v>
      </c>
      <c r="H6" s="65" t="s">
        <v>366</v>
      </c>
      <c r="I6" s="65" t="s">
        <v>367</v>
      </c>
      <c r="J6" s="65" t="s">
        <v>350</v>
      </c>
      <c r="K6" s="65" t="s">
        <v>368</v>
      </c>
      <c r="L6" s="65" t="s">
        <v>64</v>
      </c>
      <c r="M6" s="113" t="n">
        <v>1.49</v>
      </c>
      <c r="N6" s="114" t="n">
        <v>6000</v>
      </c>
      <c r="O6" s="114" t="n">
        <v>840</v>
      </c>
      <c r="P6" s="114" t="n">
        <v>8940</v>
      </c>
      <c r="Q6" s="114" t="n">
        <v>2136.24</v>
      </c>
      <c r="R6" s="114" t="n">
        <v>6803.76</v>
      </c>
      <c r="S6" s="115" t="n">
        <v>0.238953020134228</v>
      </c>
      <c r="T6" s="65" t="n">
        <v>3.705</v>
      </c>
      <c r="U6" s="65" t="n">
        <v>12</v>
      </c>
      <c r="W6" s="115" t="n">
        <v>0.04</v>
      </c>
      <c r="X6" s="112" t="n">
        <v>44471</v>
      </c>
      <c r="Y6" s="65" t="str">
        <f aca="false">IF(I6="","No SIC",IFERROR(VLOOKUP(I6,Ref!$A$2:$B$65,2,FALSE()),"Unclassified"))</f>
        <v>Engineering, Accounting &amp; Management</v>
      </c>
      <c r="Z6" s="65" t="str">
        <f aca="false">IF(T6="","",IF(T6&lt;12,"Daily","Weekly"))</f>
        <v>Daily</v>
      </c>
      <c r="AA6" s="65" t="n">
        <f aca="false">IF(T6="",0,IF(T6&lt;12,T6*Controls!$B$29,T6*5))</f>
        <v>80.231775</v>
      </c>
      <c r="AB6" s="65" t="n">
        <f aca="false">IF(E6="",0,NETWORKDAYS(E6,Controls!$B$36,Ref!$K$2:$K$42))</f>
        <v>431</v>
      </c>
      <c r="AC6" s="65" t="n">
        <f aca="false">IF(AND(AA6&gt;0,AB6&gt;=Controls!$B$39*AA6),1,0)</f>
        <v>1</v>
      </c>
      <c r="AD6" s="65" t="n">
        <f aca="false">IF(AND(E6&lt;&gt;"",E6&gt;=Controls!$B$37,E6&lt;=Controls!$B$38),1,0)</f>
        <v>1</v>
      </c>
      <c r="AE6" s="65" t="n">
        <f aca="false">IF(IFERROR(VLOOKUP(D6,Controls!$A$64:$E$74,2,FALSE()),"No")="Yes",1,0)</f>
        <v>1</v>
      </c>
      <c r="AF6" s="65" t="n">
        <f aca="false">IF(IFERROR(VLOOKUP(D6,Controls!$A$64:$E$74,3,FALSE()),"No")="Yes",1,0)</f>
        <v>0</v>
      </c>
      <c r="AG6" s="65" t="n">
        <f aca="false">IF(IFERROR(VLOOKUP(D6,Controls!$A$64:$E$74,4,FALSE()),"No")="Yes",1,0)</f>
        <v>0</v>
      </c>
      <c r="AH6" s="65" t="n">
        <f aca="false">IF(IFERROR(VLOOKUP(D6,Controls!$A$64:$E$74,5,FALSE()),"No")="Yes",1,0)</f>
        <v>0</v>
      </c>
      <c r="AI6" s="65" t="n">
        <f aca="false">IF(ISNUMBER(MATCH(D6,Controls!$A$64:$A$74,0)),1,0)</f>
        <v>1</v>
      </c>
      <c r="AJ6" s="65" t="n">
        <f aca="false">Q6-N6</f>
        <v>-3863.76</v>
      </c>
      <c r="AK6" s="65" t="n">
        <f aca="false">IF(AE6=1,MAX(0,N6-Q6),0)</f>
        <v>3863.76</v>
      </c>
      <c r="AL6" s="65" t="n">
        <f aca="false">IF(OR(V6="",V6=0),0,N6/V6)</f>
        <v>0</v>
      </c>
      <c r="AM6" s="65" t="n">
        <f aca="false">IF(OR(V6="",V6=0),0,1)</f>
        <v>0</v>
      </c>
      <c r="AN6" s="65" t="n">
        <f aca="false">IF(OR(E6="",F6=""),0,NETWORKDAYS(E6,F6,Ref!$K$2:$K$42))</f>
        <v>50</v>
      </c>
      <c r="AO6" s="65" t="n">
        <f aca="false">IF(L6="Renewal",1,0)</f>
        <v>0</v>
      </c>
      <c r="AP6" s="65" t="n">
        <f aca="false">AC6*AD6</f>
        <v>1</v>
      </c>
      <c r="AQ6" s="65" t="n">
        <f aca="false">IF(AND(G6&lt;&gt;"",'Historical Score'!$C$6&lt;&gt;""),IF(G6='Historical Score'!$C$6,1,0),0)</f>
        <v>0</v>
      </c>
      <c r="AR6" s="65" t="n">
        <f aca="false">IF(AND(L6&lt;&gt;"",'Historical Score'!$C$5&lt;&gt;""),IF(L6='Historical Score'!$C$5,1,0),0)</f>
        <v>1</v>
      </c>
      <c r="AS6" s="65" t="n">
        <f aca="false">IF(AND(Y6&lt;&gt;"",'Historical Score'!$C$7&lt;&gt;""),IF(Y6='Historical Score'!$C$7,1,0),0)</f>
        <v>0</v>
      </c>
      <c r="AT6" s="65" t="n">
        <f aca="false">IF(AND(K6&lt;&gt;"",'Historical Score'!$C$8&lt;&gt;""),IF(K6='Historical Score'!$C$8,1,0),0)</f>
        <v>0</v>
      </c>
      <c r="AU6" s="65" t="n">
        <f aca="false">IF(AND(J6&lt;&gt;"",'Historical Score'!$C$9&lt;&gt;""),IF(J6='Historical Score'!$C$9,1,0),0)</f>
        <v>0</v>
      </c>
      <c r="AV6" s="65" t="n">
        <f aca="false">AR6*AS6*AQ6</f>
        <v>0</v>
      </c>
      <c r="AW6" s="65" t="n">
        <f aca="false">AR6*AT6*AQ6</f>
        <v>0</v>
      </c>
      <c r="AX6" s="65" t="n">
        <f aca="false">AR6*AS6</f>
        <v>0</v>
      </c>
      <c r="AY6" s="65" t="n">
        <f aca="false">AR6*AT6</f>
        <v>0</v>
      </c>
      <c r="AZ6" s="65" t="n">
        <f aca="false">AR6*AQ6</f>
        <v>0</v>
      </c>
      <c r="BA6" s="65" t="n">
        <f aca="false">AR6</f>
        <v>1</v>
      </c>
      <c r="BB6" s="65" t="n">
        <f aca="false">1</f>
        <v>1</v>
      </c>
      <c r="BC6" s="65" t="n">
        <f aca="false">IF(AV6=1,1,IF(AW6=1,2,IF(AX6=1,3,IF(AY6=1,4,IF(AZ6=1,5,IF(BA6=1,6,7))))))</f>
        <v>6</v>
      </c>
      <c r="BD6" s="65" t="n">
        <f aca="false">IF(AD6=1,CHOOSE('Historical Score'!$C$29,AV6,AW6,AX6,AY6,AZ6,BA6,BB6),0)</f>
        <v>0</v>
      </c>
      <c r="BE6" s="65" t="str">
        <f aca="false">IF(BD6=1,COUNTIF($BD$2:BD6,1),"")</f>
        <v/>
      </c>
    </row>
    <row r="7" customFormat="false" ht="15" hidden="false" customHeight="false" outlineLevel="0" collapsed="false">
      <c r="A7" s="65" t="s">
        <v>369</v>
      </c>
      <c r="B7" s="65" t="s">
        <v>370</v>
      </c>
      <c r="C7" s="65" t="s">
        <v>370</v>
      </c>
      <c r="D7" s="65" t="s">
        <v>371</v>
      </c>
      <c r="E7" s="112" t="n">
        <v>45638</v>
      </c>
      <c r="F7" s="112" t="n">
        <v>45755</v>
      </c>
      <c r="G7" s="65" t="n">
        <v>2</v>
      </c>
      <c r="H7" s="65" t="s">
        <v>372</v>
      </c>
      <c r="I7" s="65" t="s">
        <v>367</v>
      </c>
      <c r="J7" s="65" t="s">
        <v>373</v>
      </c>
      <c r="K7" s="65" t="s">
        <v>374</v>
      </c>
      <c r="L7" s="65" t="s">
        <v>64</v>
      </c>
      <c r="M7" s="113" t="n">
        <v>1.49</v>
      </c>
      <c r="N7" s="114" t="n">
        <v>5000</v>
      </c>
      <c r="O7" s="114" t="n">
        <v>700</v>
      </c>
      <c r="P7" s="114" t="n">
        <v>7450</v>
      </c>
      <c r="Q7" s="114" t="n">
        <v>7450</v>
      </c>
      <c r="R7" s="114" t="n">
        <v>0</v>
      </c>
      <c r="S7" s="115" t="n">
        <v>1</v>
      </c>
      <c r="T7" s="65" t="n">
        <v>2.538</v>
      </c>
      <c r="U7" s="65" t="n">
        <v>0</v>
      </c>
      <c r="W7" s="115" t="n">
        <v>0.09</v>
      </c>
      <c r="X7" s="112"/>
      <c r="Y7" s="65" t="str">
        <f aca="false">IF(I7="","No SIC",IFERROR(VLOOKUP(I7,Ref!$A$2:$B$65,2,FALSE()),"Unclassified"))</f>
        <v>Engineering, Accounting &amp; Management</v>
      </c>
      <c r="Z7" s="65" t="str">
        <f aca="false">IF(T7="","",IF(T7&lt;12,"Daily","Weekly"))</f>
        <v>Daily</v>
      </c>
      <c r="AA7" s="65" t="n">
        <f aca="false">IF(T7="",0,IF(T7&lt;12,T7*Controls!$B$29,T7*5))</f>
        <v>54.96039</v>
      </c>
      <c r="AB7" s="65" t="n">
        <f aca="false">IF(E7="",0,NETWORKDAYS(E7,Controls!$B$36,Ref!$K$2:$K$42))</f>
        <v>427</v>
      </c>
      <c r="AC7" s="65" t="n">
        <f aca="false">IF(AND(AA7&gt;0,AB7&gt;=Controls!$B$39*AA7),1,0)</f>
        <v>1</v>
      </c>
      <c r="AD7" s="65" t="n">
        <f aca="false">IF(AND(E7&lt;&gt;"",E7&gt;=Controls!$B$37,E7&lt;=Controls!$B$38),1,0)</f>
        <v>1</v>
      </c>
      <c r="AE7" s="65" t="n">
        <f aca="false">IF(IFERROR(VLOOKUP(D7,Controls!$A$64:$E$74,2,FALSE()),"No")="Yes",1,0)</f>
        <v>0</v>
      </c>
      <c r="AF7" s="65" t="n">
        <f aca="false">IF(IFERROR(VLOOKUP(D7,Controls!$A$64:$E$74,3,FALSE()),"No")="Yes",1,0)</f>
        <v>1</v>
      </c>
      <c r="AG7" s="65" t="n">
        <f aca="false">IF(IFERROR(VLOOKUP(D7,Controls!$A$64:$E$74,4,FALSE()),"No")="Yes",1,0)</f>
        <v>1</v>
      </c>
      <c r="AH7" s="65" t="n">
        <f aca="false">IF(IFERROR(VLOOKUP(D7,Controls!$A$64:$E$74,5,FALSE()),"No")="Yes",1,0)</f>
        <v>0</v>
      </c>
      <c r="AI7" s="65" t="n">
        <f aca="false">IF(ISNUMBER(MATCH(D7,Controls!$A$64:$A$74,0)),1,0)</f>
        <v>1</v>
      </c>
      <c r="AJ7" s="65" t="n">
        <f aca="false">Q7-N7</f>
        <v>2450</v>
      </c>
      <c r="AK7" s="65" t="n">
        <f aca="false">IF(AE7=1,MAX(0,N7-Q7),0)</f>
        <v>0</v>
      </c>
      <c r="AL7" s="65" t="n">
        <f aca="false">IF(OR(V7="",V7=0),0,N7/V7)</f>
        <v>0</v>
      </c>
      <c r="AM7" s="65" t="n">
        <f aca="false">IF(OR(V7="",V7=0),0,1)</f>
        <v>0</v>
      </c>
      <c r="AN7" s="65" t="n">
        <f aca="false">IF(OR(E7="",F7=""),0,NETWORKDAYS(E7,F7,Ref!$K$2:$K$42))</f>
        <v>80</v>
      </c>
      <c r="AO7" s="65" t="n">
        <f aca="false">IF(L7="Renewal",1,0)</f>
        <v>0</v>
      </c>
      <c r="AP7" s="65" t="n">
        <f aca="false">AC7*AD7</f>
        <v>1</v>
      </c>
      <c r="AQ7" s="65" t="n">
        <f aca="false">IF(AND(G7&lt;&gt;"",'Historical Score'!$C$6&lt;&gt;""),IF(G7='Historical Score'!$C$6,1,0),0)</f>
        <v>1</v>
      </c>
      <c r="AR7" s="65" t="n">
        <f aca="false">IF(AND(L7&lt;&gt;"",'Historical Score'!$C$5&lt;&gt;""),IF(L7='Historical Score'!$C$5,1,0),0)</f>
        <v>1</v>
      </c>
      <c r="AS7" s="65" t="n">
        <f aca="false">IF(AND(Y7&lt;&gt;"",'Historical Score'!$C$7&lt;&gt;""),IF(Y7='Historical Score'!$C$7,1,0),0)</f>
        <v>0</v>
      </c>
      <c r="AT7" s="65" t="n">
        <f aca="false">IF(AND(K7&lt;&gt;"",'Historical Score'!$C$8&lt;&gt;""),IF(K7='Historical Score'!$C$8,1,0),0)</f>
        <v>0</v>
      </c>
      <c r="AU7" s="65" t="n">
        <f aca="false">IF(AND(J7&lt;&gt;"",'Historical Score'!$C$9&lt;&gt;""),IF(J7='Historical Score'!$C$9,1,0),0)</f>
        <v>0</v>
      </c>
      <c r="AV7" s="65" t="n">
        <f aca="false">AR7*AS7*AQ7</f>
        <v>0</v>
      </c>
      <c r="AW7" s="65" t="n">
        <f aca="false">AR7*AT7*AQ7</f>
        <v>0</v>
      </c>
      <c r="AX7" s="65" t="n">
        <f aca="false">AR7*AS7</f>
        <v>0</v>
      </c>
      <c r="AY7" s="65" t="n">
        <f aca="false">AR7*AT7</f>
        <v>0</v>
      </c>
      <c r="AZ7" s="65" t="n">
        <f aca="false">AR7*AQ7</f>
        <v>1</v>
      </c>
      <c r="BA7" s="65" t="n">
        <f aca="false">AR7</f>
        <v>1</v>
      </c>
      <c r="BB7" s="65" t="n">
        <f aca="false">1</f>
        <v>1</v>
      </c>
      <c r="BC7" s="65" t="n">
        <f aca="false">IF(AV7=1,1,IF(AW7=1,2,IF(AX7=1,3,IF(AY7=1,4,IF(AZ7=1,5,IF(BA7=1,6,7))))))</f>
        <v>5</v>
      </c>
      <c r="BD7" s="65" t="n">
        <f aca="false">IF(AD7=1,CHOOSE('Historical Score'!$C$29,AV7,AW7,AX7,AY7,AZ7,BA7,BB7),0)</f>
        <v>0</v>
      </c>
      <c r="BE7" s="65" t="str">
        <f aca="false">IF(BD7=1,COUNTIF($BD$2:BD7,1),"")</f>
        <v/>
      </c>
    </row>
    <row r="8" customFormat="false" ht="15" hidden="false" customHeight="false" outlineLevel="0" collapsed="false">
      <c r="A8" s="65" t="s">
        <v>375</v>
      </c>
      <c r="B8" s="65" t="s">
        <v>376</v>
      </c>
      <c r="C8" s="65" t="s">
        <v>377</v>
      </c>
      <c r="D8" s="65" t="s">
        <v>371</v>
      </c>
      <c r="E8" s="112" t="n">
        <v>45660</v>
      </c>
      <c r="F8" s="112" t="n">
        <v>45702</v>
      </c>
      <c r="G8" s="65" t="n">
        <v>5</v>
      </c>
      <c r="H8" s="65" t="s">
        <v>378</v>
      </c>
      <c r="I8" s="65" t="s">
        <v>379</v>
      </c>
      <c r="J8" s="65" t="s">
        <v>380</v>
      </c>
      <c r="K8" s="65" t="s">
        <v>381</v>
      </c>
      <c r="L8" s="65" t="s">
        <v>320</v>
      </c>
      <c r="M8" s="113" t="n">
        <v>1.4575</v>
      </c>
      <c r="N8" s="114" t="n">
        <v>4000</v>
      </c>
      <c r="O8" s="114" t="n">
        <v>560</v>
      </c>
      <c r="P8" s="114" t="n">
        <v>5830</v>
      </c>
      <c r="Q8" s="114" t="n">
        <v>5830</v>
      </c>
      <c r="R8" s="114" t="n">
        <v>0</v>
      </c>
      <c r="S8" s="115" t="n">
        <v>1</v>
      </c>
      <c r="T8" s="65" t="n">
        <v>1.967</v>
      </c>
      <c r="U8" s="65" t="n">
        <v>2</v>
      </c>
      <c r="W8" s="115" t="n">
        <v>0.04</v>
      </c>
      <c r="X8" s="112" t="n">
        <v>41745</v>
      </c>
      <c r="Y8" s="65" t="str">
        <f aca="false">IF(I8="","No SIC",IFERROR(VLOOKUP(I8,Ref!$A$2:$B$65,2,FALSE()),"Unclassified"))</f>
        <v>Food Stores</v>
      </c>
      <c r="Z8" s="65" t="str">
        <f aca="false">IF(T8="","",IF(T8&lt;12,"Daily","Weekly"))</f>
        <v>Daily</v>
      </c>
      <c r="AA8" s="65" t="n">
        <f aca="false">IF(T8="",0,IF(T8&lt;12,T8*Controls!$B$29,T8*5))</f>
        <v>42.595385</v>
      </c>
      <c r="AB8" s="65" t="n">
        <f aca="false">IF(E8="",0,NETWORKDAYS(E8,Controls!$B$36,Ref!$K$2:$K$42))</f>
        <v>413</v>
      </c>
      <c r="AC8" s="65" t="n">
        <f aca="false">IF(AND(AA8&gt;0,AB8&gt;=Controls!$B$39*AA8),1,0)</f>
        <v>1</v>
      </c>
      <c r="AD8" s="65" t="n">
        <f aca="false">IF(AND(E8&lt;&gt;"",E8&gt;=Controls!$B$37,E8&lt;=Controls!$B$38),1,0)</f>
        <v>1</v>
      </c>
      <c r="AE8" s="65" t="n">
        <f aca="false">IF(IFERROR(VLOOKUP(D8,Controls!$A$64:$E$74,2,FALSE()),"No")="Yes",1,0)</f>
        <v>0</v>
      </c>
      <c r="AF8" s="65" t="n">
        <f aca="false">IF(IFERROR(VLOOKUP(D8,Controls!$A$64:$E$74,3,FALSE()),"No")="Yes",1,0)</f>
        <v>1</v>
      </c>
      <c r="AG8" s="65" t="n">
        <f aca="false">IF(IFERROR(VLOOKUP(D8,Controls!$A$64:$E$74,4,FALSE()),"No")="Yes",1,0)</f>
        <v>1</v>
      </c>
      <c r="AH8" s="65" t="n">
        <f aca="false">IF(IFERROR(VLOOKUP(D8,Controls!$A$64:$E$74,5,FALSE()),"No")="Yes",1,0)</f>
        <v>0</v>
      </c>
      <c r="AI8" s="65" t="n">
        <f aca="false">IF(ISNUMBER(MATCH(D8,Controls!$A$64:$A$74,0)),1,0)</f>
        <v>1</v>
      </c>
      <c r="AJ8" s="65" t="n">
        <f aca="false">Q8-N8</f>
        <v>1830</v>
      </c>
      <c r="AK8" s="65" t="n">
        <f aca="false">IF(AE8=1,MAX(0,N8-Q8),0)</f>
        <v>0</v>
      </c>
      <c r="AL8" s="65" t="n">
        <f aca="false">IF(OR(V8="",V8=0),0,N8/V8)</f>
        <v>0</v>
      </c>
      <c r="AM8" s="65" t="n">
        <f aca="false">IF(OR(V8="",V8=0),0,1)</f>
        <v>0</v>
      </c>
      <c r="AN8" s="65" t="n">
        <f aca="false">IF(OR(E8="",F8=""),0,NETWORKDAYS(E8,F8,Ref!$K$2:$K$42))</f>
        <v>30</v>
      </c>
      <c r="AO8" s="65" t="n">
        <f aca="false">IF(L8="Renewal",1,0)</f>
        <v>1</v>
      </c>
      <c r="AP8" s="65" t="n">
        <f aca="false">AC8*AD8</f>
        <v>1</v>
      </c>
      <c r="AQ8" s="65" t="n">
        <f aca="false">IF(AND(G8&lt;&gt;"",'Historical Score'!$C$6&lt;&gt;""),IF(G8='Historical Score'!$C$6,1,0),0)</f>
        <v>0</v>
      </c>
      <c r="AR8" s="65" t="n">
        <f aca="false">IF(AND(L8&lt;&gt;"",'Historical Score'!$C$5&lt;&gt;""),IF(L8='Historical Score'!$C$5,1,0),0)</f>
        <v>0</v>
      </c>
      <c r="AS8" s="65" t="n">
        <f aca="false">IF(AND(Y8&lt;&gt;"",'Historical Score'!$C$7&lt;&gt;""),IF(Y8='Historical Score'!$C$7,1,0),0)</f>
        <v>0</v>
      </c>
      <c r="AT8" s="65" t="n">
        <f aca="false">IF(AND(K8&lt;&gt;"",'Historical Score'!$C$8&lt;&gt;""),IF(K8='Historical Score'!$C$8,1,0),0)</f>
        <v>0</v>
      </c>
      <c r="AU8" s="65" t="n">
        <f aca="false">IF(AND(J8&lt;&gt;"",'Historical Score'!$C$9&lt;&gt;""),IF(J8='Historical Score'!$C$9,1,0),0)</f>
        <v>0</v>
      </c>
      <c r="AV8" s="65" t="n">
        <f aca="false">AR8*AS8*AQ8</f>
        <v>0</v>
      </c>
      <c r="AW8" s="65" t="n">
        <f aca="false">AR8*AT8*AQ8</f>
        <v>0</v>
      </c>
      <c r="AX8" s="65" t="n">
        <f aca="false">AR8*AS8</f>
        <v>0</v>
      </c>
      <c r="AY8" s="65" t="n">
        <f aca="false">AR8*AT8</f>
        <v>0</v>
      </c>
      <c r="AZ8" s="65" t="n">
        <f aca="false">AR8*AQ8</f>
        <v>0</v>
      </c>
      <c r="BA8" s="65" t="n">
        <f aca="false">AR8</f>
        <v>0</v>
      </c>
      <c r="BB8" s="65" t="n">
        <f aca="false">1</f>
        <v>1</v>
      </c>
      <c r="BC8" s="65" t="n">
        <f aca="false">IF(AV8=1,1,IF(AW8=1,2,IF(AX8=1,3,IF(AY8=1,4,IF(AZ8=1,5,IF(BA8=1,6,7))))))</f>
        <v>7</v>
      </c>
      <c r="BD8" s="65" t="n">
        <f aca="false">IF(AD8=1,CHOOSE('Historical Score'!$C$29,AV8,AW8,AX8,AY8,AZ8,BA8,BB8),0)</f>
        <v>0</v>
      </c>
      <c r="BE8" s="65" t="str">
        <f aca="false">IF(BD8=1,COUNTIF($BD$2:BD8,1),"")</f>
        <v/>
      </c>
    </row>
    <row r="9" customFormat="false" ht="15" hidden="false" customHeight="false" outlineLevel="0" collapsed="false">
      <c r="A9" s="65" t="s">
        <v>382</v>
      </c>
      <c r="B9" s="65" t="s">
        <v>383</v>
      </c>
      <c r="C9" s="65" t="s">
        <v>383</v>
      </c>
      <c r="D9" s="65" t="s">
        <v>371</v>
      </c>
      <c r="E9" s="112" t="n">
        <v>45665</v>
      </c>
      <c r="F9" s="112" t="n">
        <v>45772</v>
      </c>
      <c r="G9" s="65" t="n">
        <v>4</v>
      </c>
      <c r="H9" s="65" t="s">
        <v>384</v>
      </c>
      <c r="I9" s="65" t="s">
        <v>385</v>
      </c>
      <c r="J9" s="65" t="s">
        <v>386</v>
      </c>
      <c r="K9" s="65" t="s">
        <v>387</v>
      </c>
      <c r="L9" s="65" t="s">
        <v>64</v>
      </c>
      <c r="M9" s="113" t="n">
        <v>1.49</v>
      </c>
      <c r="N9" s="114" t="n">
        <v>3500</v>
      </c>
      <c r="O9" s="114" t="n">
        <v>490</v>
      </c>
      <c r="P9" s="114" t="n">
        <v>5215</v>
      </c>
      <c r="Q9" s="114" t="n">
        <v>5215</v>
      </c>
      <c r="R9" s="114" t="n">
        <v>0</v>
      </c>
      <c r="S9" s="115" t="n">
        <v>1</v>
      </c>
      <c r="T9" s="65" t="n">
        <v>1.937</v>
      </c>
      <c r="U9" s="65" t="n">
        <v>0</v>
      </c>
      <c r="W9" s="115" t="n">
        <v>0.15</v>
      </c>
      <c r="X9" s="112" t="n">
        <v>44105</v>
      </c>
      <c r="Y9" s="65" t="str">
        <f aca="false">IF(I9="","No SIC",IFERROR(VLOOKUP(I9,Ref!$A$2:$B$65,2,FALSE()),"Unclassified"))</f>
        <v>Museums &amp; Botanical Gardens</v>
      </c>
      <c r="Z9" s="65" t="str">
        <f aca="false">IF(T9="","",IF(T9&lt;12,"Daily","Weekly"))</f>
        <v>Daily</v>
      </c>
      <c r="AA9" s="65" t="n">
        <f aca="false">IF(T9="",0,IF(T9&lt;12,T9*Controls!$B$29,T9*5))</f>
        <v>41.945735</v>
      </c>
      <c r="AB9" s="65" t="n">
        <f aca="false">IF(E9="",0,NETWORKDAYS(E9,Controls!$B$36,Ref!$K$2:$K$42))</f>
        <v>410</v>
      </c>
      <c r="AC9" s="65" t="n">
        <f aca="false">IF(AND(AA9&gt;0,AB9&gt;=Controls!$B$39*AA9),1,0)</f>
        <v>1</v>
      </c>
      <c r="AD9" s="65" t="n">
        <f aca="false">IF(AND(E9&lt;&gt;"",E9&gt;=Controls!$B$37,E9&lt;=Controls!$B$38),1,0)</f>
        <v>1</v>
      </c>
      <c r="AE9" s="65" t="n">
        <f aca="false">IF(IFERROR(VLOOKUP(D9,Controls!$A$64:$E$74,2,FALSE()),"No")="Yes",1,0)</f>
        <v>0</v>
      </c>
      <c r="AF9" s="65" t="n">
        <f aca="false">IF(IFERROR(VLOOKUP(D9,Controls!$A$64:$E$74,3,FALSE()),"No")="Yes",1,0)</f>
        <v>1</v>
      </c>
      <c r="AG9" s="65" t="n">
        <f aca="false">IF(IFERROR(VLOOKUP(D9,Controls!$A$64:$E$74,4,FALSE()),"No")="Yes",1,0)</f>
        <v>1</v>
      </c>
      <c r="AH9" s="65" t="n">
        <f aca="false">IF(IFERROR(VLOOKUP(D9,Controls!$A$64:$E$74,5,FALSE()),"No")="Yes",1,0)</f>
        <v>0</v>
      </c>
      <c r="AI9" s="65" t="n">
        <f aca="false">IF(ISNUMBER(MATCH(D9,Controls!$A$64:$A$74,0)),1,0)</f>
        <v>1</v>
      </c>
      <c r="AJ9" s="65" t="n">
        <f aca="false">Q9-N9</f>
        <v>1715</v>
      </c>
      <c r="AK9" s="65" t="n">
        <f aca="false">IF(AE9=1,MAX(0,N9-Q9),0)</f>
        <v>0</v>
      </c>
      <c r="AL9" s="65" t="n">
        <f aca="false">IF(OR(V9="",V9=0),0,N9/V9)</f>
        <v>0</v>
      </c>
      <c r="AM9" s="65" t="n">
        <f aca="false">IF(OR(V9="",V9=0),0,1)</f>
        <v>0</v>
      </c>
      <c r="AN9" s="65" t="n">
        <f aca="false">IF(OR(E9="",F9=""),0,NETWORKDAYS(E9,F9,Ref!$K$2:$K$42))</f>
        <v>76</v>
      </c>
      <c r="AO9" s="65" t="n">
        <f aca="false">IF(L9="Renewal",1,0)</f>
        <v>0</v>
      </c>
      <c r="AP9" s="65" t="n">
        <f aca="false">AC9*AD9</f>
        <v>1</v>
      </c>
      <c r="AQ9" s="65" t="n">
        <f aca="false">IF(AND(G9&lt;&gt;"",'Historical Score'!$C$6&lt;&gt;""),IF(G9='Historical Score'!$C$6,1,0),0)</f>
        <v>0</v>
      </c>
      <c r="AR9" s="65" t="n">
        <f aca="false">IF(AND(L9&lt;&gt;"",'Historical Score'!$C$5&lt;&gt;""),IF(L9='Historical Score'!$C$5,1,0),0)</f>
        <v>1</v>
      </c>
      <c r="AS9" s="65" t="n">
        <f aca="false">IF(AND(Y9&lt;&gt;"",'Historical Score'!$C$7&lt;&gt;""),IF(Y9='Historical Score'!$C$7,1,0),0)</f>
        <v>0</v>
      </c>
      <c r="AT9" s="65" t="n">
        <f aca="false">IF(AND(K9&lt;&gt;"",'Historical Score'!$C$8&lt;&gt;""),IF(K9='Historical Score'!$C$8,1,0),0)</f>
        <v>0</v>
      </c>
      <c r="AU9" s="65" t="n">
        <f aca="false">IF(AND(J9&lt;&gt;"",'Historical Score'!$C$9&lt;&gt;""),IF(J9='Historical Score'!$C$9,1,0),0)</f>
        <v>0</v>
      </c>
      <c r="AV9" s="65" t="n">
        <f aca="false">AR9*AS9*AQ9</f>
        <v>0</v>
      </c>
      <c r="AW9" s="65" t="n">
        <f aca="false">AR9*AT9*AQ9</f>
        <v>0</v>
      </c>
      <c r="AX9" s="65" t="n">
        <f aca="false">AR9*AS9</f>
        <v>0</v>
      </c>
      <c r="AY9" s="65" t="n">
        <f aca="false">AR9*AT9</f>
        <v>0</v>
      </c>
      <c r="AZ9" s="65" t="n">
        <f aca="false">AR9*AQ9</f>
        <v>0</v>
      </c>
      <c r="BA9" s="65" t="n">
        <f aca="false">AR9</f>
        <v>1</v>
      </c>
      <c r="BB9" s="65" t="n">
        <f aca="false">1</f>
        <v>1</v>
      </c>
      <c r="BC9" s="65" t="n">
        <f aca="false">IF(AV9=1,1,IF(AW9=1,2,IF(AX9=1,3,IF(AY9=1,4,IF(AZ9=1,5,IF(BA9=1,6,7))))))</f>
        <v>6</v>
      </c>
      <c r="BD9" s="65" t="n">
        <f aca="false">IF(AD9=1,CHOOSE('Historical Score'!$C$29,AV9,AW9,AX9,AY9,AZ9,BA9,BB9),0)</f>
        <v>0</v>
      </c>
      <c r="BE9" s="65" t="str">
        <f aca="false">IF(BD9=1,COUNTIF($BD$2:BD9,1),"")</f>
        <v/>
      </c>
    </row>
    <row r="10" customFormat="false" ht="15" hidden="false" customHeight="false" outlineLevel="0" collapsed="false">
      <c r="A10" s="65" t="s">
        <v>388</v>
      </c>
      <c r="B10" s="65" t="s">
        <v>389</v>
      </c>
      <c r="C10" s="65" t="s">
        <v>390</v>
      </c>
      <c r="D10" s="65" t="s">
        <v>371</v>
      </c>
      <c r="E10" s="112" t="n">
        <v>45666</v>
      </c>
      <c r="F10" s="112" t="n">
        <v>45722</v>
      </c>
      <c r="G10" s="65" t="n">
        <v>2</v>
      </c>
      <c r="H10" s="65" t="s">
        <v>391</v>
      </c>
      <c r="I10" s="65" t="s">
        <v>392</v>
      </c>
      <c r="J10" s="65" t="s">
        <v>393</v>
      </c>
      <c r="K10" s="65" t="s">
        <v>394</v>
      </c>
      <c r="L10" s="65" t="s">
        <v>64</v>
      </c>
      <c r="M10" s="113" t="n">
        <v>1.49</v>
      </c>
      <c r="N10" s="114" t="n">
        <v>5000</v>
      </c>
      <c r="O10" s="114" t="n">
        <v>700</v>
      </c>
      <c r="P10" s="114" t="n">
        <v>7450</v>
      </c>
      <c r="Q10" s="114" t="n">
        <v>7450</v>
      </c>
      <c r="R10" s="114" t="n">
        <v>0</v>
      </c>
      <c r="S10" s="115" t="n">
        <v>1</v>
      </c>
      <c r="T10" s="65" t="n">
        <v>2.443</v>
      </c>
      <c r="U10" s="65" t="n">
        <v>0</v>
      </c>
      <c r="W10" s="115" t="n">
        <v>0.06</v>
      </c>
      <c r="X10" s="112" t="n">
        <v>45005</v>
      </c>
      <c r="Y10" s="65" t="str">
        <f aca="false">IF(I10="","No SIC",IFERROR(VLOOKUP(I10,Ref!$A$2:$B$65,2,FALSE()),"Unclassified"))</f>
        <v>Real Estate</v>
      </c>
      <c r="Z10" s="65" t="str">
        <f aca="false">IF(T10="","",IF(T10&lt;12,"Daily","Weekly"))</f>
        <v>Daily</v>
      </c>
      <c r="AA10" s="65" t="n">
        <f aca="false">IF(T10="",0,IF(T10&lt;12,T10*Controls!$B$29,T10*5))</f>
        <v>52.903165</v>
      </c>
      <c r="AB10" s="65" t="n">
        <f aca="false">IF(E10="",0,NETWORKDAYS(E10,Controls!$B$36,Ref!$K$2:$K$42))</f>
        <v>409</v>
      </c>
      <c r="AC10" s="65" t="n">
        <f aca="false">IF(AND(AA10&gt;0,AB10&gt;=Controls!$B$39*AA10),1,0)</f>
        <v>1</v>
      </c>
      <c r="AD10" s="65" t="n">
        <f aca="false">IF(AND(E10&lt;&gt;"",E10&gt;=Controls!$B$37,E10&lt;=Controls!$B$38),1,0)</f>
        <v>1</v>
      </c>
      <c r="AE10" s="65" t="n">
        <f aca="false">IF(IFERROR(VLOOKUP(D10,Controls!$A$64:$E$74,2,FALSE()),"No")="Yes",1,0)</f>
        <v>0</v>
      </c>
      <c r="AF10" s="65" t="n">
        <f aca="false">IF(IFERROR(VLOOKUP(D10,Controls!$A$64:$E$74,3,FALSE()),"No")="Yes",1,0)</f>
        <v>1</v>
      </c>
      <c r="AG10" s="65" t="n">
        <f aca="false">IF(IFERROR(VLOOKUP(D10,Controls!$A$64:$E$74,4,FALSE()),"No")="Yes",1,0)</f>
        <v>1</v>
      </c>
      <c r="AH10" s="65" t="n">
        <f aca="false">IF(IFERROR(VLOOKUP(D10,Controls!$A$64:$E$74,5,FALSE()),"No")="Yes",1,0)</f>
        <v>0</v>
      </c>
      <c r="AI10" s="65" t="n">
        <f aca="false">IF(ISNUMBER(MATCH(D10,Controls!$A$64:$A$74,0)),1,0)</f>
        <v>1</v>
      </c>
      <c r="AJ10" s="65" t="n">
        <f aca="false">Q10-N10</f>
        <v>2450</v>
      </c>
      <c r="AK10" s="65" t="n">
        <f aca="false">IF(AE10=1,MAX(0,N10-Q10),0)</f>
        <v>0</v>
      </c>
      <c r="AL10" s="65" t="n">
        <f aca="false">IF(OR(V10="",V10=0),0,N10/V10)</f>
        <v>0</v>
      </c>
      <c r="AM10" s="65" t="n">
        <f aca="false">IF(OR(V10="",V10=0),0,1)</f>
        <v>0</v>
      </c>
      <c r="AN10" s="65" t="n">
        <f aca="false">IF(OR(E10="",F10=""),0,NETWORKDAYS(E10,F10,Ref!$K$2:$K$42))</f>
        <v>39</v>
      </c>
      <c r="AO10" s="65" t="n">
        <f aca="false">IF(L10="Renewal",1,0)</f>
        <v>0</v>
      </c>
      <c r="AP10" s="65" t="n">
        <f aca="false">AC10*AD10</f>
        <v>1</v>
      </c>
      <c r="AQ10" s="65" t="n">
        <f aca="false">IF(AND(G10&lt;&gt;"",'Historical Score'!$C$6&lt;&gt;""),IF(G10='Historical Score'!$C$6,1,0),0)</f>
        <v>1</v>
      </c>
      <c r="AR10" s="65" t="n">
        <f aca="false">IF(AND(L10&lt;&gt;"",'Historical Score'!$C$5&lt;&gt;""),IF(L10='Historical Score'!$C$5,1,0),0)</f>
        <v>1</v>
      </c>
      <c r="AS10" s="65" t="n">
        <f aca="false">IF(AND(Y10&lt;&gt;"",'Historical Score'!$C$7&lt;&gt;""),IF(Y10='Historical Score'!$C$7,1,0),0)</f>
        <v>0</v>
      </c>
      <c r="AT10" s="65" t="n">
        <f aca="false">IF(AND(K10&lt;&gt;"",'Historical Score'!$C$8&lt;&gt;""),IF(K10='Historical Score'!$C$8,1,0),0)</f>
        <v>0</v>
      </c>
      <c r="AU10" s="65" t="n">
        <f aca="false">IF(AND(J10&lt;&gt;"",'Historical Score'!$C$9&lt;&gt;""),IF(J10='Historical Score'!$C$9,1,0),0)</f>
        <v>0</v>
      </c>
      <c r="AV10" s="65" t="n">
        <f aca="false">AR10*AS10*AQ10</f>
        <v>0</v>
      </c>
      <c r="AW10" s="65" t="n">
        <f aca="false">AR10*AT10*AQ10</f>
        <v>0</v>
      </c>
      <c r="AX10" s="65" t="n">
        <f aca="false">AR10*AS10</f>
        <v>0</v>
      </c>
      <c r="AY10" s="65" t="n">
        <f aca="false">AR10*AT10</f>
        <v>0</v>
      </c>
      <c r="AZ10" s="65" t="n">
        <f aca="false">AR10*AQ10</f>
        <v>1</v>
      </c>
      <c r="BA10" s="65" t="n">
        <f aca="false">AR10</f>
        <v>1</v>
      </c>
      <c r="BB10" s="65" t="n">
        <f aca="false">1</f>
        <v>1</v>
      </c>
      <c r="BC10" s="65" t="n">
        <f aca="false">IF(AV10=1,1,IF(AW10=1,2,IF(AX10=1,3,IF(AY10=1,4,IF(AZ10=1,5,IF(BA10=1,6,7))))))</f>
        <v>5</v>
      </c>
      <c r="BD10" s="65" t="n">
        <f aca="false">IF(AD10=1,CHOOSE('Historical Score'!$C$29,AV10,AW10,AX10,AY10,AZ10,BA10,BB10),0)</f>
        <v>0</v>
      </c>
      <c r="BE10" s="65" t="str">
        <f aca="false">IF(BD10=1,COUNTIF($BD$2:BD10,1),"")</f>
        <v/>
      </c>
    </row>
    <row r="11" customFormat="false" ht="15" hidden="false" customHeight="false" outlineLevel="0" collapsed="false">
      <c r="A11" s="65" t="s">
        <v>395</v>
      </c>
      <c r="B11" s="65" t="s">
        <v>396</v>
      </c>
      <c r="C11" s="65" t="s">
        <v>396</v>
      </c>
      <c r="D11" s="65" t="s">
        <v>371</v>
      </c>
      <c r="E11" s="112" t="n">
        <v>45667</v>
      </c>
      <c r="F11" s="112" t="n">
        <v>45756</v>
      </c>
      <c r="G11" s="65" t="n">
        <v>5</v>
      </c>
      <c r="H11" s="65" t="s">
        <v>397</v>
      </c>
      <c r="I11" s="65" t="s">
        <v>398</v>
      </c>
      <c r="J11" s="65" t="s">
        <v>399</v>
      </c>
      <c r="K11" s="65" t="s">
        <v>400</v>
      </c>
      <c r="L11" s="65" t="s">
        <v>64</v>
      </c>
      <c r="M11" s="113" t="n">
        <v>1.49</v>
      </c>
      <c r="N11" s="114" t="n">
        <v>30000</v>
      </c>
      <c r="O11" s="114" t="n">
        <v>4200</v>
      </c>
      <c r="P11" s="114" t="n">
        <v>44700</v>
      </c>
      <c r="Q11" s="114" t="n">
        <v>44700</v>
      </c>
      <c r="R11" s="114" t="n">
        <v>0</v>
      </c>
      <c r="S11" s="115" t="n">
        <v>1</v>
      </c>
      <c r="T11" s="65" t="n">
        <v>20.19</v>
      </c>
      <c r="U11" s="65" t="n">
        <v>0</v>
      </c>
      <c r="W11" s="115" t="n">
        <v>0.05</v>
      </c>
      <c r="X11" s="112" t="n">
        <v>43579</v>
      </c>
      <c r="Y11" s="65" t="str">
        <f aca="false">IF(I11="","No SIC",IFERROR(VLOOKUP(I11,Ref!$A$2:$B$65,2,FALSE()),"Unclassified"))</f>
        <v>Agricultural Production - Crops</v>
      </c>
      <c r="Z11" s="65" t="str">
        <f aca="false">IF(T11="","",IF(T11&lt;12,"Daily","Weekly"))</f>
        <v>Weekly</v>
      </c>
      <c r="AA11" s="65" t="n">
        <f aca="false">IF(T11="",0,IF(T11&lt;12,T11*Controls!$B$29,T11*5))</f>
        <v>100.95</v>
      </c>
      <c r="AB11" s="65" t="n">
        <f aca="false">IF(E11="",0,NETWORKDAYS(E11,Controls!$B$36,Ref!$K$2:$K$42))</f>
        <v>408</v>
      </c>
      <c r="AC11" s="65" t="n">
        <f aca="false">IF(AND(AA11&gt;0,AB11&gt;=Controls!$B$39*AA11),1,0)</f>
        <v>1</v>
      </c>
      <c r="AD11" s="65" t="n">
        <f aca="false">IF(AND(E11&lt;&gt;"",E11&gt;=Controls!$B$37,E11&lt;=Controls!$B$38),1,0)</f>
        <v>1</v>
      </c>
      <c r="AE11" s="65" t="n">
        <f aca="false">IF(IFERROR(VLOOKUP(D11,Controls!$A$64:$E$74,2,FALSE()),"No")="Yes",1,0)</f>
        <v>0</v>
      </c>
      <c r="AF11" s="65" t="n">
        <f aca="false">IF(IFERROR(VLOOKUP(D11,Controls!$A$64:$E$74,3,FALSE()),"No")="Yes",1,0)</f>
        <v>1</v>
      </c>
      <c r="AG11" s="65" t="n">
        <f aca="false">IF(IFERROR(VLOOKUP(D11,Controls!$A$64:$E$74,4,FALSE()),"No")="Yes",1,0)</f>
        <v>1</v>
      </c>
      <c r="AH11" s="65" t="n">
        <f aca="false">IF(IFERROR(VLOOKUP(D11,Controls!$A$64:$E$74,5,FALSE()),"No")="Yes",1,0)</f>
        <v>0</v>
      </c>
      <c r="AI11" s="65" t="n">
        <f aca="false">IF(ISNUMBER(MATCH(D11,Controls!$A$64:$A$74,0)),1,0)</f>
        <v>1</v>
      </c>
      <c r="AJ11" s="65" t="n">
        <f aca="false">Q11-N11</f>
        <v>14700</v>
      </c>
      <c r="AK11" s="65" t="n">
        <f aca="false">IF(AE11=1,MAX(0,N11-Q11),0)</f>
        <v>0</v>
      </c>
      <c r="AL11" s="65" t="n">
        <f aca="false">IF(OR(V11="",V11=0),0,N11/V11)</f>
        <v>0</v>
      </c>
      <c r="AM11" s="65" t="n">
        <f aca="false">IF(OR(V11="",V11=0),0,1)</f>
        <v>0</v>
      </c>
      <c r="AN11" s="65" t="n">
        <f aca="false">IF(OR(E11="",F11=""),0,NETWORKDAYS(E11,F11,Ref!$K$2:$K$42))</f>
        <v>62</v>
      </c>
      <c r="AO11" s="65" t="n">
        <f aca="false">IF(L11="Renewal",1,0)</f>
        <v>0</v>
      </c>
      <c r="AP11" s="65" t="n">
        <f aca="false">AC11*AD11</f>
        <v>1</v>
      </c>
      <c r="AQ11" s="65" t="n">
        <f aca="false">IF(AND(G11&lt;&gt;"",'Historical Score'!$C$6&lt;&gt;""),IF(G11='Historical Score'!$C$6,1,0),0)</f>
        <v>0</v>
      </c>
      <c r="AR11" s="65" t="n">
        <f aca="false">IF(AND(L11&lt;&gt;"",'Historical Score'!$C$5&lt;&gt;""),IF(L11='Historical Score'!$C$5,1,0),0)</f>
        <v>1</v>
      </c>
      <c r="AS11" s="65" t="n">
        <f aca="false">IF(AND(Y11&lt;&gt;"",'Historical Score'!$C$7&lt;&gt;""),IF(Y11='Historical Score'!$C$7,1,0),0)</f>
        <v>0</v>
      </c>
      <c r="AT11" s="65" t="n">
        <f aca="false">IF(AND(K11&lt;&gt;"",'Historical Score'!$C$8&lt;&gt;""),IF(K11='Historical Score'!$C$8,1,0),0)</f>
        <v>0</v>
      </c>
      <c r="AU11" s="65" t="n">
        <f aca="false">IF(AND(J11&lt;&gt;"",'Historical Score'!$C$9&lt;&gt;""),IF(J11='Historical Score'!$C$9,1,0),0)</f>
        <v>0</v>
      </c>
      <c r="AV11" s="65" t="n">
        <f aca="false">AR11*AS11*AQ11</f>
        <v>0</v>
      </c>
      <c r="AW11" s="65" t="n">
        <f aca="false">AR11*AT11*AQ11</f>
        <v>0</v>
      </c>
      <c r="AX11" s="65" t="n">
        <f aca="false">AR11*AS11</f>
        <v>0</v>
      </c>
      <c r="AY11" s="65" t="n">
        <f aca="false">AR11*AT11</f>
        <v>0</v>
      </c>
      <c r="AZ11" s="65" t="n">
        <f aca="false">AR11*AQ11</f>
        <v>0</v>
      </c>
      <c r="BA11" s="65" t="n">
        <f aca="false">AR11</f>
        <v>1</v>
      </c>
      <c r="BB11" s="65" t="n">
        <f aca="false">1</f>
        <v>1</v>
      </c>
      <c r="BC11" s="65" t="n">
        <f aca="false">IF(AV11=1,1,IF(AW11=1,2,IF(AX11=1,3,IF(AY11=1,4,IF(AZ11=1,5,IF(BA11=1,6,7))))))</f>
        <v>6</v>
      </c>
      <c r="BD11" s="65" t="n">
        <f aca="false">IF(AD11=1,CHOOSE('Historical Score'!$C$29,AV11,AW11,AX11,AY11,AZ11,BA11,BB11),0)</f>
        <v>0</v>
      </c>
      <c r="BE11" s="65" t="str">
        <f aca="false">IF(BD11=1,COUNTIF($BD$2:BD11,1),"")</f>
        <v/>
      </c>
    </row>
    <row r="12" customFormat="false" ht="15" hidden="false" customHeight="false" outlineLevel="0" collapsed="false">
      <c r="A12" s="65" t="s">
        <v>401</v>
      </c>
      <c r="B12" s="65" t="s">
        <v>402</v>
      </c>
      <c r="C12" s="65" t="s">
        <v>403</v>
      </c>
      <c r="D12" s="65" t="s">
        <v>371</v>
      </c>
      <c r="E12" s="112" t="n">
        <v>45670</v>
      </c>
      <c r="F12" s="112" t="n">
        <v>45783</v>
      </c>
      <c r="G12" s="65" t="n">
        <v>2</v>
      </c>
      <c r="H12" s="65" t="s">
        <v>404</v>
      </c>
      <c r="I12" s="65" t="s">
        <v>405</v>
      </c>
      <c r="J12" s="65" t="s">
        <v>61</v>
      </c>
      <c r="K12" s="65" t="s">
        <v>406</v>
      </c>
      <c r="L12" s="65" t="s">
        <v>64</v>
      </c>
      <c r="M12" s="113" t="n">
        <v>1.39</v>
      </c>
      <c r="N12" s="114" t="n">
        <v>8500</v>
      </c>
      <c r="O12" s="114" t="n">
        <v>765</v>
      </c>
      <c r="P12" s="114" t="n">
        <v>11815</v>
      </c>
      <c r="Q12" s="114" t="n">
        <v>11815</v>
      </c>
      <c r="R12" s="114" t="n">
        <v>0</v>
      </c>
      <c r="S12" s="115" t="n">
        <v>1</v>
      </c>
      <c r="T12" s="65" t="n">
        <v>2.539</v>
      </c>
      <c r="U12" s="65" t="n">
        <v>0</v>
      </c>
      <c r="W12" s="115" t="n">
        <v>0.04</v>
      </c>
      <c r="X12" s="112" t="n">
        <v>42892</v>
      </c>
      <c r="Y12" s="65" t="str">
        <f aca="false">IF(I12="","No SIC",IFERROR(VLOOKUP(I12,Ref!$A$2:$B$65,2,FALSE()),"Unclassified"))</f>
        <v>Health Services</v>
      </c>
      <c r="Z12" s="65" t="str">
        <f aca="false">IF(T12="","",IF(T12&lt;12,"Daily","Weekly"))</f>
        <v>Daily</v>
      </c>
      <c r="AA12" s="65" t="n">
        <f aca="false">IF(T12="",0,IF(T12&lt;12,T12*Controls!$B$29,T12*5))</f>
        <v>54.982045</v>
      </c>
      <c r="AB12" s="65" t="n">
        <f aca="false">IF(E12="",0,NETWORKDAYS(E12,Controls!$B$36,Ref!$K$2:$K$42))</f>
        <v>407</v>
      </c>
      <c r="AC12" s="65" t="n">
        <f aca="false">IF(AND(AA12&gt;0,AB12&gt;=Controls!$B$39*AA12),1,0)</f>
        <v>1</v>
      </c>
      <c r="AD12" s="65" t="n">
        <f aca="false">IF(AND(E12&lt;&gt;"",E12&gt;=Controls!$B$37,E12&lt;=Controls!$B$38),1,0)</f>
        <v>1</v>
      </c>
      <c r="AE12" s="65" t="n">
        <f aca="false">IF(IFERROR(VLOOKUP(D12,Controls!$A$64:$E$74,2,FALSE()),"No")="Yes",1,0)</f>
        <v>0</v>
      </c>
      <c r="AF12" s="65" t="n">
        <f aca="false">IF(IFERROR(VLOOKUP(D12,Controls!$A$64:$E$74,3,FALSE()),"No")="Yes",1,0)</f>
        <v>1</v>
      </c>
      <c r="AG12" s="65" t="n">
        <f aca="false">IF(IFERROR(VLOOKUP(D12,Controls!$A$64:$E$74,4,FALSE()),"No")="Yes",1,0)</f>
        <v>1</v>
      </c>
      <c r="AH12" s="65" t="n">
        <f aca="false">IF(IFERROR(VLOOKUP(D12,Controls!$A$64:$E$74,5,FALSE()),"No")="Yes",1,0)</f>
        <v>0</v>
      </c>
      <c r="AI12" s="65" t="n">
        <f aca="false">IF(ISNUMBER(MATCH(D12,Controls!$A$64:$A$74,0)),1,0)</f>
        <v>1</v>
      </c>
      <c r="AJ12" s="65" t="n">
        <f aca="false">Q12-N12</f>
        <v>3315</v>
      </c>
      <c r="AK12" s="65" t="n">
        <f aca="false">IF(AE12=1,MAX(0,N12-Q12),0)</f>
        <v>0</v>
      </c>
      <c r="AL12" s="65" t="n">
        <f aca="false">IF(OR(V12="",V12=0),0,N12/V12)</f>
        <v>0</v>
      </c>
      <c r="AM12" s="65" t="n">
        <f aca="false">IF(OR(V12="",V12=0),0,1)</f>
        <v>0</v>
      </c>
      <c r="AN12" s="65" t="n">
        <f aca="false">IF(OR(E12="",F12=""),0,NETWORKDAYS(E12,F12,Ref!$K$2:$K$42))</f>
        <v>80</v>
      </c>
      <c r="AO12" s="65" t="n">
        <f aca="false">IF(L12="Renewal",1,0)</f>
        <v>0</v>
      </c>
      <c r="AP12" s="65" t="n">
        <f aca="false">AC12*AD12</f>
        <v>1</v>
      </c>
      <c r="AQ12" s="65" t="n">
        <f aca="false">IF(AND(G12&lt;&gt;"",'Historical Score'!$C$6&lt;&gt;""),IF(G12='Historical Score'!$C$6,1,0),0)</f>
        <v>1</v>
      </c>
      <c r="AR12" s="65" t="n">
        <f aca="false">IF(AND(L12&lt;&gt;"",'Historical Score'!$C$5&lt;&gt;""),IF(L12='Historical Score'!$C$5,1,0),0)</f>
        <v>1</v>
      </c>
      <c r="AS12" s="65" t="n">
        <f aca="false">IF(AND(Y12&lt;&gt;"",'Historical Score'!$C$7&lt;&gt;""),IF(Y12='Historical Score'!$C$7,1,0),0)</f>
        <v>0</v>
      </c>
      <c r="AT12" s="65" t="n">
        <f aca="false">IF(AND(K12&lt;&gt;"",'Historical Score'!$C$8&lt;&gt;""),IF(K12='Historical Score'!$C$8,1,0),0)</f>
        <v>0</v>
      </c>
      <c r="AU12" s="65" t="n">
        <f aca="false">IF(AND(J12&lt;&gt;"",'Historical Score'!$C$9&lt;&gt;""),IF(J12='Historical Score'!$C$9,1,0),0)</f>
        <v>1</v>
      </c>
      <c r="AV12" s="65" t="n">
        <f aca="false">AR12*AS12*AQ12</f>
        <v>0</v>
      </c>
      <c r="AW12" s="65" t="n">
        <f aca="false">AR12*AT12*AQ12</f>
        <v>0</v>
      </c>
      <c r="AX12" s="65" t="n">
        <f aca="false">AR12*AS12</f>
        <v>0</v>
      </c>
      <c r="AY12" s="65" t="n">
        <f aca="false">AR12*AT12</f>
        <v>0</v>
      </c>
      <c r="AZ12" s="65" t="n">
        <f aca="false">AR12*AQ12</f>
        <v>1</v>
      </c>
      <c r="BA12" s="65" t="n">
        <f aca="false">AR12</f>
        <v>1</v>
      </c>
      <c r="BB12" s="65" t="n">
        <f aca="false">1</f>
        <v>1</v>
      </c>
      <c r="BC12" s="65" t="n">
        <f aca="false">IF(AV12=1,1,IF(AW12=1,2,IF(AX12=1,3,IF(AY12=1,4,IF(AZ12=1,5,IF(BA12=1,6,7))))))</f>
        <v>5</v>
      </c>
      <c r="BD12" s="65" t="n">
        <f aca="false">IF(AD12=1,CHOOSE('Historical Score'!$C$29,AV12,AW12,AX12,AY12,AZ12,BA12,BB12),0)</f>
        <v>0</v>
      </c>
      <c r="BE12" s="65" t="str">
        <f aca="false">IF(BD12=1,COUNTIF($BD$2:BD12,1),"")</f>
        <v/>
      </c>
    </row>
    <row r="13" customFormat="false" ht="15" hidden="false" customHeight="false" outlineLevel="0" collapsed="false">
      <c r="A13" s="65" t="s">
        <v>407</v>
      </c>
      <c r="B13" s="65" t="s">
        <v>408</v>
      </c>
      <c r="C13" s="65" t="s">
        <v>408</v>
      </c>
      <c r="D13" s="65" t="s">
        <v>340</v>
      </c>
      <c r="E13" s="112" t="n">
        <v>45670</v>
      </c>
      <c r="F13" s="112" t="n">
        <v>46234</v>
      </c>
      <c r="G13" s="65" t="n">
        <v>1</v>
      </c>
      <c r="H13" s="65" t="s">
        <v>409</v>
      </c>
      <c r="I13" s="65" t="s">
        <v>342</v>
      </c>
      <c r="J13" s="65" t="s">
        <v>410</v>
      </c>
      <c r="K13" s="65" t="s">
        <v>411</v>
      </c>
      <c r="L13" s="65" t="s">
        <v>64</v>
      </c>
      <c r="M13" s="113" t="n">
        <v>1.49</v>
      </c>
      <c r="N13" s="114" t="n">
        <v>12000</v>
      </c>
      <c r="O13" s="114" t="n">
        <v>1680</v>
      </c>
      <c r="P13" s="114" t="n">
        <v>17880</v>
      </c>
      <c r="Q13" s="114" t="n">
        <v>9022</v>
      </c>
      <c r="R13" s="114" t="n">
        <v>8858</v>
      </c>
      <c r="S13" s="115" t="n">
        <v>0.504586129753915</v>
      </c>
      <c r="T13" s="65" t="n">
        <v>2.706</v>
      </c>
      <c r="U13" s="65" t="n">
        <v>12</v>
      </c>
      <c r="W13" s="115" t="n">
        <v>0.13</v>
      </c>
      <c r="X13" s="112" t="n">
        <v>38507</v>
      </c>
      <c r="Y13" s="65" t="str">
        <f aca="false">IF(I13="","No SIC",IFERROR(VLOOKUP(I13,Ref!$A$2:$B$65,2,FALSE()),"Unclassified"))</f>
        <v>Eating &amp; Drinking Places</v>
      </c>
      <c r="Z13" s="65" t="str">
        <f aca="false">IF(T13="","",IF(T13&lt;12,"Daily","Weekly"))</f>
        <v>Daily</v>
      </c>
      <c r="AA13" s="65" t="n">
        <f aca="false">IF(T13="",0,IF(T13&lt;12,T13*Controls!$B$29,T13*5))</f>
        <v>58.59843</v>
      </c>
      <c r="AB13" s="65" t="n">
        <f aca="false">IF(E13="",0,NETWORKDAYS(E13,Controls!$B$36,Ref!$K$2:$K$42))</f>
        <v>407</v>
      </c>
      <c r="AC13" s="65" t="n">
        <f aca="false">IF(AND(AA13&gt;0,AB13&gt;=Controls!$B$39*AA13),1,0)</f>
        <v>1</v>
      </c>
      <c r="AD13" s="65" t="n">
        <f aca="false">IF(AND(E13&lt;&gt;"",E13&gt;=Controls!$B$37,E13&lt;=Controls!$B$38),1,0)</f>
        <v>1</v>
      </c>
      <c r="AE13" s="65" t="n">
        <f aca="false">IF(IFERROR(VLOOKUP(D13,Controls!$A$64:$E$74,2,FALSE()),"No")="Yes",1,0)</f>
        <v>1</v>
      </c>
      <c r="AF13" s="65" t="n">
        <f aca="false">IF(IFERROR(VLOOKUP(D13,Controls!$A$64:$E$74,3,FALSE()),"No")="Yes",1,0)</f>
        <v>0</v>
      </c>
      <c r="AG13" s="65" t="n">
        <f aca="false">IF(IFERROR(VLOOKUP(D13,Controls!$A$64:$E$74,4,FALSE()),"No")="Yes",1,0)</f>
        <v>0</v>
      </c>
      <c r="AH13" s="65" t="n">
        <f aca="false">IF(IFERROR(VLOOKUP(D13,Controls!$A$64:$E$74,5,FALSE()),"No")="Yes",1,0)</f>
        <v>0</v>
      </c>
      <c r="AI13" s="65" t="n">
        <f aca="false">IF(ISNUMBER(MATCH(D13,Controls!$A$64:$A$74,0)),1,0)</f>
        <v>1</v>
      </c>
      <c r="AJ13" s="65" t="n">
        <f aca="false">Q13-N13</f>
        <v>-2978</v>
      </c>
      <c r="AK13" s="65" t="n">
        <f aca="false">IF(AE13=1,MAX(0,N13-Q13),0)</f>
        <v>2978</v>
      </c>
      <c r="AL13" s="65" t="n">
        <f aca="false">IF(OR(V13="",V13=0),0,N13/V13)</f>
        <v>0</v>
      </c>
      <c r="AM13" s="65" t="n">
        <f aca="false">IF(OR(V13="",V13=0),0,1)</f>
        <v>0</v>
      </c>
      <c r="AN13" s="65" t="n">
        <f aca="false">IF(OR(E13="",F13=""),0,NETWORKDAYS(E13,F13,Ref!$K$2:$K$42))</f>
        <v>390</v>
      </c>
      <c r="AO13" s="65" t="n">
        <f aca="false">IF(L13="Renewal",1,0)</f>
        <v>0</v>
      </c>
      <c r="AP13" s="65" t="n">
        <f aca="false">AC13*AD13</f>
        <v>1</v>
      </c>
      <c r="AQ13" s="65" t="n">
        <f aca="false">IF(AND(G13&lt;&gt;"",'Historical Score'!$C$6&lt;&gt;""),IF(G13='Historical Score'!$C$6,1,0),0)</f>
        <v>0</v>
      </c>
      <c r="AR13" s="65" t="n">
        <f aca="false">IF(AND(L13&lt;&gt;"",'Historical Score'!$C$5&lt;&gt;""),IF(L13='Historical Score'!$C$5,1,0),0)</f>
        <v>1</v>
      </c>
      <c r="AS13" s="65" t="n">
        <f aca="false">IF(AND(Y13&lt;&gt;"",'Historical Score'!$C$7&lt;&gt;""),IF(Y13='Historical Score'!$C$7,1,0),0)</f>
        <v>0</v>
      </c>
      <c r="AT13" s="65" t="n">
        <f aca="false">IF(AND(K13&lt;&gt;"",'Historical Score'!$C$8&lt;&gt;""),IF(K13='Historical Score'!$C$8,1,0),0)</f>
        <v>0</v>
      </c>
      <c r="AU13" s="65" t="n">
        <f aca="false">IF(AND(J13&lt;&gt;"",'Historical Score'!$C$9&lt;&gt;""),IF(J13='Historical Score'!$C$9,1,0),0)</f>
        <v>0</v>
      </c>
      <c r="AV13" s="65" t="n">
        <f aca="false">AR13*AS13*AQ13</f>
        <v>0</v>
      </c>
      <c r="AW13" s="65" t="n">
        <f aca="false">AR13*AT13*AQ13</f>
        <v>0</v>
      </c>
      <c r="AX13" s="65" t="n">
        <f aca="false">AR13*AS13</f>
        <v>0</v>
      </c>
      <c r="AY13" s="65" t="n">
        <f aca="false">AR13*AT13</f>
        <v>0</v>
      </c>
      <c r="AZ13" s="65" t="n">
        <f aca="false">AR13*AQ13</f>
        <v>0</v>
      </c>
      <c r="BA13" s="65" t="n">
        <f aca="false">AR13</f>
        <v>1</v>
      </c>
      <c r="BB13" s="65" t="n">
        <f aca="false">1</f>
        <v>1</v>
      </c>
      <c r="BC13" s="65" t="n">
        <f aca="false">IF(AV13=1,1,IF(AW13=1,2,IF(AX13=1,3,IF(AY13=1,4,IF(AZ13=1,5,IF(BA13=1,6,7))))))</f>
        <v>6</v>
      </c>
      <c r="BD13" s="65" t="n">
        <f aca="false">IF(AD13=1,CHOOSE('Historical Score'!$C$29,AV13,AW13,AX13,AY13,AZ13,BA13,BB13),0)</f>
        <v>0</v>
      </c>
      <c r="BE13" s="65" t="str">
        <f aca="false">IF(BD13=1,COUNTIF($BD$2:BD13,1),"")</f>
        <v/>
      </c>
    </row>
    <row r="14" customFormat="false" ht="15" hidden="false" customHeight="false" outlineLevel="0" collapsed="false">
      <c r="A14" s="65" t="s">
        <v>412</v>
      </c>
      <c r="B14" s="65" t="s">
        <v>413</v>
      </c>
      <c r="C14" s="65" t="s">
        <v>413</v>
      </c>
      <c r="D14" s="65" t="s">
        <v>340</v>
      </c>
      <c r="E14" s="112" t="n">
        <v>45670</v>
      </c>
      <c r="F14" s="112" t="n">
        <v>45721</v>
      </c>
      <c r="G14" s="65" t="n">
        <v>3</v>
      </c>
      <c r="H14" s="65" t="s">
        <v>414</v>
      </c>
      <c r="I14" s="65" t="s">
        <v>415</v>
      </c>
      <c r="J14" s="65" t="s">
        <v>350</v>
      </c>
      <c r="K14" s="65" t="s">
        <v>400</v>
      </c>
      <c r="L14" s="65" t="s">
        <v>64</v>
      </c>
      <c r="M14" s="113" t="n">
        <v>1.49</v>
      </c>
      <c r="N14" s="114" t="n">
        <v>12000</v>
      </c>
      <c r="O14" s="114" t="n">
        <v>1680</v>
      </c>
      <c r="P14" s="114" t="n">
        <v>17880</v>
      </c>
      <c r="Q14" s="114" t="n">
        <v>3184</v>
      </c>
      <c r="R14" s="114" t="n">
        <v>14696</v>
      </c>
      <c r="S14" s="115" t="n">
        <v>0.178076062639821</v>
      </c>
      <c r="T14" s="65" t="n">
        <v>2.951</v>
      </c>
      <c r="U14" s="65" t="n">
        <v>15</v>
      </c>
      <c r="W14" s="115" t="n">
        <v>0.09</v>
      </c>
      <c r="X14" s="112" t="n">
        <v>38507</v>
      </c>
      <c r="Y14" s="65" t="str">
        <f aca="false">IF(I14="","No SIC",IFERROR(VLOOKUP(I14,Ref!$A$2:$B$65,2,FALSE()),"Unclassified"))</f>
        <v>Wholesale Trade - Durable Goods</v>
      </c>
      <c r="Z14" s="65" t="str">
        <f aca="false">IF(T14="","",IF(T14&lt;12,"Daily","Weekly"))</f>
        <v>Daily</v>
      </c>
      <c r="AA14" s="65" t="n">
        <f aca="false">IF(T14="",0,IF(T14&lt;12,T14*Controls!$B$29,T14*5))</f>
        <v>63.903905</v>
      </c>
      <c r="AB14" s="65" t="n">
        <f aca="false">IF(E14="",0,NETWORKDAYS(E14,Controls!$B$36,Ref!$K$2:$K$42))</f>
        <v>407</v>
      </c>
      <c r="AC14" s="65" t="n">
        <f aca="false">IF(AND(AA14&gt;0,AB14&gt;=Controls!$B$39*AA14),1,0)</f>
        <v>1</v>
      </c>
      <c r="AD14" s="65" t="n">
        <f aca="false">IF(AND(E14&lt;&gt;"",E14&gt;=Controls!$B$37,E14&lt;=Controls!$B$38),1,0)</f>
        <v>1</v>
      </c>
      <c r="AE14" s="65" t="n">
        <f aca="false">IF(IFERROR(VLOOKUP(D14,Controls!$A$64:$E$74,2,FALSE()),"No")="Yes",1,0)</f>
        <v>1</v>
      </c>
      <c r="AF14" s="65" t="n">
        <f aca="false">IF(IFERROR(VLOOKUP(D14,Controls!$A$64:$E$74,3,FALSE()),"No")="Yes",1,0)</f>
        <v>0</v>
      </c>
      <c r="AG14" s="65" t="n">
        <f aca="false">IF(IFERROR(VLOOKUP(D14,Controls!$A$64:$E$74,4,FALSE()),"No")="Yes",1,0)</f>
        <v>0</v>
      </c>
      <c r="AH14" s="65" t="n">
        <f aca="false">IF(IFERROR(VLOOKUP(D14,Controls!$A$64:$E$74,5,FALSE()),"No")="Yes",1,0)</f>
        <v>0</v>
      </c>
      <c r="AI14" s="65" t="n">
        <f aca="false">IF(ISNUMBER(MATCH(D14,Controls!$A$64:$A$74,0)),1,0)</f>
        <v>1</v>
      </c>
      <c r="AJ14" s="65" t="n">
        <f aca="false">Q14-N14</f>
        <v>-8816</v>
      </c>
      <c r="AK14" s="65" t="n">
        <f aca="false">IF(AE14=1,MAX(0,N14-Q14),0)</f>
        <v>8816</v>
      </c>
      <c r="AL14" s="65" t="n">
        <f aca="false">IF(OR(V14="",V14=0),0,N14/V14)</f>
        <v>0</v>
      </c>
      <c r="AM14" s="65" t="n">
        <f aca="false">IF(OR(V14="",V14=0),0,1)</f>
        <v>0</v>
      </c>
      <c r="AN14" s="65" t="n">
        <f aca="false">IF(OR(E14="",F14=""),0,NETWORKDAYS(E14,F14,Ref!$K$2:$K$42))</f>
        <v>36</v>
      </c>
      <c r="AO14" s="65" t="n">
        <f aca="false">IF(L14="Renewal",1,0)</f>
        <v>0</v>
      </c>
      <c r="AP14" s="65" t="n">
        <f aca="false">AC14*AD14</f>
        <v>1</v>
      </c>
      <c r="AQ14" s="65" t="n">
        <f aca="false">IF(AND(G14&lt;&gt;"",'Historical Score'!$C$6&lt;&gt;""),IF(G14='Historical Score'!$C$6,1,0),0)</f>
        <v>0</v>
      </c>
      <c r="AR14" s="65" t="n">
        <f aca="false">IF(AND(L14&lt;&gt;"",'Historical Score'!$C$5&lt;&gt;""),IF(L14='Historical Score'!$C$5,1,0),0)</f>
        <v>1</v>
      </c>
      <c r="AS14" s="65" t="n">
        <f aca="false">IF(AND(Y14&lt;&gt;"",'Historical Score'!$C$7&lt;&gt;""),IF(Y14='Historical Score'!$C$7,1,0),0)</f>
        <v>0</v>
      </c>
      <c r="AT14" s="65" t="n">
        <f aca="false">IF(AND(K14&lt;&gt;"",'Historical Score'!$C$8&lt;&gt;""),IF(K14='Historical Score'!$C$8,1,0),0)</f>
        <v>0</v>
      </c>
      <c r="AU14" s="65" t="n">
        <f aca="false">IF(AND(J14&lt;&gt;"",'Historical Score'!$C$9&lt;&gt;""),IF(J14='Historical Score'!$C$9,1,0),0)</f>
        <v>0</v>
      </c>
      <c r="AV14" s="65" t="n">
        <f aca="false">AR14*AS14*AQ14</f>
        <v>0</v>
      </c>
      <c r="AW14" s="65" t="n">
        <f aca="false">AR14*AT14*AQ14</f>
        <v>0</v>
      </c>
      <c r="AX14" s="65" t="n">
        <f aca="false">AR14*AS14</f>
        <v>0</v>
      </c>
      <c r="AY14" s="65" t="n">
        <f aca="false">AR14*AT14</f>
        <v>0</v>
      </c>
      <c r="AZ14" s="65" t="n">
        <f aca="false">AR14*AQ14</f>
        <v>0</v>
      </c>
      <c r="BA14" s="65" t="n">
        <f aca="false">AR14</f>
        <v>1</v>
      </c>
      <c r="BB14" s="65" t="n">
        <f aca="false">1</f>
        <v>1</v>
      </c>
      <c r="BC14" s="65" t="n">
        <f aca="false">IF(AV14=1,1,IF(AW14=1,2,IF(AX14=1,3,IF(AY14=1,4,IF(AZ14=1,5,IF(BA14=1,6,7))))))</f>
        <v>6</v>
      </c>
      <c r="BD14" s="65" t="n">
        <f aca="false">IF(AD14=1,CHOOSE('Historical Score'!$C$29,AV14,AW14,AX14,AY14,AZ14,BA14,BB14),0)</f>
        <v>0</v>
      </c>
      <c r="BE14" s="65" t="str">
        <f aca="false">IF(BD14=1,COUNTIF($BD$2:BD14,1),"")</f>
        <v/>
      </c>
    </row>
    <row r="15" customFormat="false" ht="15" hidden="false" customHeight="false" outlineLevel="0" collapsed="false">
      <c r="A15" s="65" t="s">
        <v>416</v>
      </c>
      <c r="B15" s="65" t="s">
        <v>417</v>
      </c>
      <c r="C15" s="65" t="s">
        <v>417</v>
      </c>
      <c r="D15" s="65" t="s">
        <v>371</v>
      </c>
      <c r="E15" s="112" t="n">
        <v>45673</v>
      </c>
      <c r="F15" s="112" t="n">
        <v>45791</v>
      </c>
      <c r="G15" s="65" t="n">
        <v>1</v>
      </c>
      <c r="H15" s="65" t="s">
        <v>418</v>
      </c>
      <c r="I15" s="65" t="s">
        <v>419</v>
      </c>
      <c r="J15" s="65" t="s">
        <v>420</v>
      </c>
      <c r="K15" s="65" t="s">
        <v>421</v>
      </c>
      <c r="L15" s="65" t="s">
        <v>320</v>
      </c>
      <c r="M15" s="113" t="n">
        <v>1.49</v>
      </c>
      <c r="N15" s="114" t="n">
        <v>5000</v>
      </c>
      <c r="O15" s="114" t="n">
        <v>700</v>
      </c>
      <c r="P15" s="114" t="n">
        <v>7450</v>
      </c>
      <c r="Q15" s="114" t="n">
        <v>7450</v>
      </c>
      <c r="R15" s="114" t="n">
        <v>0</v>
      </c>
      <c r="S15" s="115" t="n">
        <v>1</v>
      </c>
      <c r="T15" s="65" t="n">
        <v>2.623</v>
      </c>
      <c r="U15" s="65" t="n">
        <v>0</v>
      </c>
      <c r="W15" s="115" t="n">
        <v>0.06</v>
      </c>
      <c r="X15" s="112"/>
      <c r="Y15" s="65" t="str">
        <f aca="false">IF(I15="","No SIC",IFERROR(VLOOKUP(I15,Ref!$A$2:$B$65,2,FALSE()),"Unclassified"))</f>
        <v>Business Services</v>
      </c>
      <c r="Z15" s="65" t="str">
        <f aca="false">IF(T15="","",IF(T15&lt;12,"Daily","Weekly"))</f>
        <v>Daily</v>
      </c>
      <c r="AA15" s="65" t="n">
        <f aca="false">IF(T15="",0,IF(T15&lt;12,T15*Controls!$B$29,T15*5))</f>
        <v>56.801065</v>
      </c>
      <c r="AB15" s="65" t="n">
        <f aca="false">IF(E15="",0,NETWORKDAYS(E15,Controls!$B$36,Ref!$K$2:$K$42))</f>
        <v>404</v>
      </c>
      <c r="AC15" s="65" t="n">
        <f aca="false">IF(AND(AA15&gt;0,AB15&gt;=Controls!$B$39*AA15),1,0)</f>
        <v>1</v>
      </c>
      <c r="AD15" s="65" t="n">
        <f aca="false">IF(AND(E15&lt;&gt;"",E15&gt;=Controls!$B$37,E15&lt;=Controls!$B$38),1,0)</f>
        <v>1</v>
      </c>
      <c r="AE15" s="65" t="n">
        <f aca="false">IF(IFERROR(VLOOKUP(D15,Controls!$A$64:$E$74,2,FALSE()),"No")="Yes",1,0)</f>
        <v>0</v>
      </c>
      <c r="AF15" s="65" t="n">
        <f aca="false">IF(IFERROR(VLOOKUP(D15,Controls!$A$64:$E$74,3,FALSE()),"No")="Yes",1,0)</f>
        <v>1</v>
      </c>
      <c r="AG15" s="65" t="n">
        <f aca="false">IF(IFERROR(VLOOKUP(D15,Controls!$A$64:$E$74,4,FALSE()),"No")="Yes",1,0)</f>
        <v>1</v>
      </c>
      <c r="AH15" s="65" t="n">
        <f aca="false">IF(IFERROR(VLOOKUP(D15,Controls!$A$64:$E$74,5,FALSE()),"No")="Yes",1,0)</f>
        <v>0</v>
      </c>
      <c r="AI15" s="65" t="n">
        <f aca="false">IF(ISNUMBER(MATCH(D15,Controls!$A$64:$A$74,0)),1,0)</f>
        <v>1</v>
      </c>
      <c r="AJ15" s="65" t="n">
        <f aca="false">Q15-N15</f>
        <v>2450</v>
      </c>
      <c r="AK15" s="65" t="n">
        <f aca="false">IF(AE15=1,MAX(0,N15-Q15),0)</f>
        <v>0</v>
      </c>
      <c r="AL15" s="65" t="n">
        <f aca="false">IF(OR(V15="",V15=0),0,N15/V15)</f>
        <v>0</v>
      </c>
      <c r="AM15" s="65" t="n">
        <f aca="false">IF(OR(V15="",V15=0),0,1)</f>
        <v>0</v>
      </c>
      <c r="AN15" s="65" t="n">
        <f aca="false">IF(OR(E15="",F15=""),0,NETWORKDAYS(E15,F15,Ref!$K$2:$K$42))</f>
        <v>83</v>
      </c>
      <c r="AO15" s="65" t="n">
        <f aca="false">IF(L15="Renewal",1,0)</f>
        <v>1</v>
      </c>
      <c r="AP15" s="65" t="n">
        <f aca="false">AC15*AD15</f>
        <v>1</v>
      </c>
      <c r="AQ15" s="65" t="n">
        <f aca="false">IF(AND(G15&lt;&gt;"",'Historical Score'!$C$6&lt;&gt;""),IF(G15='Historical Score'!$C$6,1,0),0)</f>
        <v>0</v>
      </c>
      <c r="AR15" s="65" t="n">
        <f aca="false">IF(AND(L15&lt;&gt;"",'Historical Score'!$C$5&lt;&gt;""),IF(L15='Historical Score'!$C$5,1,0),0)</f>
        <v>0</v>
      </c>
      <c r="AS15" s="65" t="n">
        <f aca="false">IF(AND(Y15&lt;&gt;"",'Historical Score'!$C$7&lt;&gt;""),IF(Y15='Historical Score'!$C$7,1,0),0)</f>
        <v>0</v>
      </c>
      <c r="AT15" s="65" t="n">
        <f aca="false">IF(AND(K15&lt;&gt;"",'Historical Score'!$C$8&lt;&gt;""),IF(K15='Historical Score'!$C$8,1,0),0)</f>
        <v>0</v>
      </c>
      <c r="AU15" s="65" t="n">
        <f aca="false">IF(AND(J15&lt;&gt;"",'Historical Score'!$C$9&lt;&gt;""),IF(J15='Historical Score'!$C$9,1,0),0)</f>
        <v>0</v>
      </c>
      <c r="AV15" s="65" t="n">
        <f aca="false">AR15*AS15*AQ15</f>
        <v>0</v>
      </c>
      <c r="AW15" s="65" t="n">
        <f aca="false">AR15*AT15*AQ15</f>
        <v>0</v>
      </c>
      <c r="AX15" s="65" t="n">
        <f aca="false">AR15*AS15</f>
        <v>0</v>
      </c>
      <c r="AY15" s="65" t="n">
        <f aca="false">AR15*AT15</f>
        <v>0</v>
      </c>
      <c r="AZ15" s="65" t="n">
        <f aca="false">AR15*AQ15</f>
        <v>0</v>
      </c>
      <c r="BA15" s="65" t="n">
        <f aca="false">AR15</f>
        <v>0</v>
      </c>
      <c r="BB15" s="65" t="n">
        <f aca="false">1</f>
        <v>1</v>
      </c>
      <c r="BC15" s="65" t="n">
        <f aca="false">IF(AV15=1,1,IF(AW15=1,2,IF(AX15=1,3,IF(AY15=1,4,IF(AZ15=1,5,IF(BA15=1,6,7))))))</f>
        <v>7</v>
      </c>
      <c r="BD15" s="65" t="n">
        <f aca="false">IF(AD15=1,CHOOSE('Historical Score'!$C$29,AV15,AW15,AX15,AY15,AZ15,BA15,BB15),0)</f>
        <v>0</v>
      </c>
      <c r="BE15" s="65" t="str">
        <f aca="false">IF(BD15=1,COUNTIF($BD$2:BD15,1),"")</f>
        <v/>
      </c>
    </row>
    <row r="16" customFormat="false" ht="15" hidden="false" customHeight="false" outlineLevel="0" collapsed="false">
      <c r="A16" s="65" t="s">
        <v>422</v>
      </c>
      <c r="B16" s="65" t="s">
        <v>423</v>
      </c>
      <c r="C16" s="65" t="s">
        <v>423</v>
      </c>
      <c r="D16" s="65" t="s">
        <v>371</v>
      </c>
      <c r="E16" s="112" t="n">
        <v>45679</v>
      </c>
      <c r="F16" s="112" t="n">
        <v>45768</v>
      </c>
      <c r="G16" s="65" t="n">
        <v>7</v>
      </c>
      <c r="H16" s="65" t="s">
        <v>424</v>
      </c>
      <c r="I16" s="65" t="s">
        <v>425</v>
      </c>
      <c r="J16" s="65" t="s">
        <v>410</v>
      </c>
      <c r="K16" s="65" t="s">
        <v>426</v>
      </c>
      <c r="L16" s="65" t="s">
        <v>64</v>
      </c>
      <c r="M16" s="113" t="n">
        <v>1.47</v>
      </c>
      <c r="N16" s="114" t="n">
        <v>4500</v>
      </c>
      <c r="O16" s="114" t="n">
        <v>630</v>
      </c>
      <c r="P16" s="114" t="n">
        <v>6615</v>
      </c>
      <c r="Q16" s="114" t="n">
        <v>6615</v>
      </c>
      <c r="R16" s="114" t="n">
        <v>0</v>
      </c>
      <c r="S16" s="115" t="n">
        <v>1</v>
      </c>
      <c r="T16" s="65" t="n">
        <v>1.928</v>
      </c>
      <c r="U16" s="65" t="n">
        <v>0</v>
      </c>
      <c r="W16" s="115" t="n">
        <v>0.083</v>
      </c>
      <c r="X16" s="112" t="n">
        <v>44256</v>
      </c>
      <c r="Y16" s="65" t="str">
        <f aca="false">IF(I16="","No SIC",IFERROR(VLOOKUP(I16,Ref!$A$2:$B$65,2,FALSE()),"Unclassified"))</f>
        <v>Personal Services</v>
      </c>
      <c r="Z16" s="65" t="str">
        <f aca="false">IF(T16="","",IF(T16&lt;12,"Daily","Weekly"))</f>
        <v>Daily</v>
      </c>
      <c r="AA16" s="65" t="n">
        <f aca="false">IF(T16="",0,IF(T16&lt;12,T16*Controls!$B$29,T16*5))</f>
        <v>41.75084</v>
      </c>
      <c r="AB16" s="65" t="n">
        <f aca="false">IF(E16="",0,NETWORKDAYS(E16,Controls!$B$36,Ref!$K$2:$K$42))</f>
        <v>401</v>
      </c>
      <c r="AC16" s="65" t="n">
        <f aca="false">IF(AND(AA16&gt;0,AB16&gt;=Controls!$B$39*AA16),1,0)</f>
        <v>1</v>
      </c>
      <c r="AD16" s="65" t="n">
        <f aca="false">IF(AND(E16&lt;&gt;"",E16&gt;=Controls!$B$37,E16&lt;=Controls!$B$38),1,0)</f>
        <v>1</v>
      </c>
      <c r="AE16" s="65" t="n">
        <f aca="false">IF(IFERROR(VLOOKUP(D16,Controls!$A$64:$E$74,2,FALSE()),"No")="Yes",1,0)</f>
        <v>0</v>
      </c>
      <c r="AF16" s="65" t="n">
        <f aca="false">IF(IFERROR(VLOOKUP(D16,Controls!$A$64:$E$74,3,FALSE()),"No")="Yes",1,0)</f>
        <v>1</v>
      </c>
      <c r="AG16" s="65" t="n">
        <f aca="false">IF(IFERROR(VLOOKUP(D16,Controls!$A$64:$E$74,4,FALSE()),"No")="Yes",1,0)</f>
        <v>1</v>
      </c>
      <c r="AH16" s="65" t="n">
        <f aca="false">IF(IFERROR(VLOOKUP(D16,Controls!$A$64:$E$74,5,FALSE()),"No")="Yes",1,0)</f>
        <v>0</v>
      </c>
      <c r="AI16" s="65" t="n">
        <f aca="false">IF(ISNUMBER(MATCH(D16,Controls!$A$64:$A$74,0)),1,0)</f>
        <v>1</v>
      </c>
      <c r="AJ16" s="65" t="n">
        <f aca="false">Q16-N16</f>
        <v>2115</v>
      </c>
      <c r="AK16" s="65" t="n">
        <f aca="false">IF(AE16=1,MAX(0,N16-Q16),0)</f>
        <v>0</v>
      </c>
      <c r="AL16" s="65" t="n">
        <f aca="false">IF(OR(V16="",V16=0),0,N16/V16)</f>
        <v>0</v>
      </c>
      <c r="AM16" s="65" t="n">
        <f aca="false">IF(OR(V16="",V16=0),0,1)</f>
        <v>0</v>
      </c>
      <c r="AN16" s="65" t="n">
        <f aca="false">IF(OR(E16="",F16=""),0,NETWORKDAYS(E16,F16,Ref!$K$2:$K$42))</f>
        <v>63</v>
      </c>
      <c r="AO16" s="65" t="n">
        <f aca="false">IF(L16="Renewal",1,0)</f>
        <v>0</v>
      </c>
      <c r="AP16" s="65" t="n">
        <f aca="false">AC16*AD16</f>
        <v>1</v>
      </c>
      <c r="AQ16" s="65" t="n">
        <f aca="false">IF(AND(G16&lt;&gt;"",'Historical Score'!$C$6&lt;&gt;""),IF(G16='Historical Score'!$C$6,1,0),0)</f>
        <v>0</v>
      </c>
      <c r="AR16" s="65" t="n">
        <f aca="false">IF(AND(L16&lt;&gt;"",'Historical Score'!$C$5&lt;&gt;""),IF(L16='Historical Score'!$C$5,1,0),0)</f>
        <v>1</v>
      </c>
      <c r="AS16" s="65" t="n">
        <f aca="false">IF(AND(Y16&lt;&gt;"",'Historical Score'!$C$7&lt;&gt;""),IF(Y16='Historical Score'!$C$7,1,0),0)</f>
        <v>0</v>
      </c>
      <c r="AT16" s="65" t="n">
        <f aca="false">IF(AND(K16&lt;&gt;"",'Historical Score'!$C$8&lt;&gt;""),IF(K16='Historical Score'!$C$8,1,0),0)</f>
        <v>0</v>
      </c>
      <c r="AU16" s="65" t="n">
        <f aca="false">IF(AND(J16&lt;&gt;"",'Historical Score'!$C$9&lt;&gt;""),IF(J16='Historical Score'!$C$9,1,0),0)</f>
        <v>0</v>
      </c>
      <c r="AV16" s="65" t="n">
        <f aca="false">AR16*AS16*AQ16</f>
        <v>0</v>
      </c>
      <c r="AW16" s="65" t="n">
        <f aca="false">AR16*AT16*AQ16</f>
        <v>0</v>
      </c>
      <c r="AX16" s="65" t="n">
        <f aca="false">AR16*AS16</f>
        <v>0</v>
      </c>
      <c r="AY16" s="65" t="n">
        <f aca="false">AR16*AT16</f>
        <v>0</v>
      </c>
      <c r="AZ16" s="65" t="n">
        <f aca="false">AR16*AQ16</f>
        <v>0</v>
      </c>
      <c r="BA16" s="65" t="n">
        <f aca="false">AR16</f>
        <v>1</v>
      </c>
      <c r="BB16" s="65" t="n">
        <f aca="false">1</f>
        <v>1</v>
      </c>
      <c r="BC16" s="65" t="n">
        <f aca="false">IF(AV16=1,1,IF(AW16=1,2,IF(AX16=1,3,IF(AY16=1,4,IF(AZ16=1,5,IF(BA16=1,6,7))))))</f>
        <v>6</v>
      </c>
      <c r="BD16" s="65" t="n">
        <f aca="false">IF(AD16=1,CHOOSE('Historical Score'!$C$29,AV16,AW16,AX16,AY16,AZ16,BA16,BB16),0)</f>
        <v>0</v>
      </c>
      <c r="BE16" s="65" t="str">
        <f aca="false">IF(BD16=1,COUNTIF($BD$2:BD16,1),"")</f>
        <v/>
      </c>
    </row>
    <row r="17" customFormat="false" ht="15" hidden="false" customHeight="false" outlineLevel="0" collapsed="false">
      <c r="A17" s="65" t="s">
        <v>427</v>
      </c>
      <c r="B17" s="65" t="s">
        <v>428</v>
      </c>
      <c r="C17" s="65" t="s">
        <v>429</v>
      </c>
      <c r="D17" s="65" t="s">
        <v>340</v>
      </c>
      <c r="E17" s="112" t="n">
        <v>45679</v>
      </c>
      <c r="F17" s="112" t="n">
        <v>45735</v>
      </c>
      <c r="G17" s="65" t="n">
        <v>2</v>
      </c>
      <c r="H17" s="65" t="s">
        <v>430</v>
      </c>
      <c r="I17" s="65" t="s">
        <v>431</v>
      </c>
      <c r="J17" s="65" t="s">
        <v>432</v>
      </c>
      <c r="K17" s="65" t="s">
        <v>433</v>
      </c>
      <c r="L17" s="65" t="s">
        <v>64</v>
      </c>
      <c r="M17" s="113" t="n">
        <v>1.49</v>
      </c>
      <c r="N17" s="114" t="n">
        <v>4500</v>
      </c>
      <c r="O17" s="114" t="n">
        <v>630</v>
      </c>
      <c r="P17" s="114" t="n">
        <v>6705</v>
      </c>
      <c r="Q17" s="114" t="n">
        <v>2863.14</v>
      </c>
      <c r="R17" s="114" t="n">
        <v>3841.86</v>
      </c>
      <c r="S17" s="115" t="n">
        <v>0.427015659955257</v>
      </c>
      <c r="T17" s="65" t="n">
        <v>2.459</v>
      </c>
      <c r="U17" s="65" t="n">
        <v>7</v>
      </c>
      <c r="W17" s="115" t="n">
        <v>0.11</v>
      </c>
      <c r="X17" s="112" t="n">
        <v>44927</v>
      </c>
      <c r="Y17" s="65" t="str">
        <f aca="false">IF(I17="","No SIC",IFERROR(VLOOKUP(I17,Ref!$A$2:$B$65,2,FALSE()),"Unclassified"))</f>
        <v>Apparel &amp; Accessory Stores</v>
      </c>
      <c r="Z17" s="65" t="str">
        <f aca="false">IF(T17="","",IF(T17&lt;12,"Daily","Weekly"))</f>
        <v>Daily</v>
      </c>
      <c r="AA17" s="65" t="n">
        <f aca="false">IF(T17="",0,IF(T17&lt;12,T17*Controls!$B$29,T17*5))</f>
        <v>53.249645</v>
      </c>
      <c r="AB17" s="65" t="n">
        <f aca="false">IF(E17="",0,NETWORKDAYS(E17,Controls!$B$36,Ref!$K$2:$K$42))</f>
        <v>401</v>
      </c>
      <c r="AC17" s="65" t="n">
        <f aca="false">IF(AND(AA17&gt;0,AB17&gt;=Controls!$B$39*AA17),1,0)</f>
        <v>1</v>
      </c>
      <c r="AD17" s="65" t="n">
        <f aca="false">IF(AND(E17&lt;&gt;"",E17&gt;=Controls!$B$37,E17&lt;=Controls!$B$38),1,0)</f>
        <v>1</v>
      </c>
      <c r="AE17" s="65" t="n">
        <f aca="false">IF(IFERROR(VLOOKUP(D17,Controls!$A$64:$E$74,2,FALSE()),"No")="Yes",1,0)</f>
        <v>1</v>
      </c>
      <c r="AF17" s="65" t="n">
        <f aca="false">IF(IFERROR(VLOOKUP(D17,Controls!$A$64:$E$74,3,FALSE()),"No")="Yes",1,0)</f>
        <v>0</v>
      </c>
      <c r="AG17" s="65" t="n">
        <f aca="false">IF(IFERROR(VLOOKUP(D17,Controls!$A$64:$E$74,4,FALSE()),"No")="Yes",1,0)</f>
        <v>0</v>
      </c>
      <c r="AH17" s="65" t="n">
        <f aca="false">IF(IFERROR(VLOOKUP(D17,Controls!$A$64:$E$74,5,FALSE()),"No")="Yes",1,0)</f>
        <v>0</v>
      </c>
      <c r="AI17" s="65" t="n">
        <f aca="false">IF(ISNUMBER(MATCH(D17,Controls!$A$64:$A$74,0)),1,0)</f>
        <v>1</v>
      </c>
      <c r="AJ17" s="65" t="n">
        <f aca="false">Q17-N17</f>
        <v>-1636.86</v>
      </c>
      <c r="AK17" s="65" t="n">
        <f aca="false">IF(AE17=1,MAX(0,N17-Q17),0)</f>
        <v>1636.86</v>
      </c>
      <c r="AL17" s="65" t="n">
        <f aca="false">IF(OR(V17="",V17=0),0,N17/V17)</f>
        <v>0</v>
      </c>
      <c r="AM17" s="65" t="n">
        <f aca="false">IF(OR(V17="",V17=0),0,1)</f>
        <v>0</v>
      </c>
      <c r="AN17" s="65" t="n">
        <f aca="false">IF(OR(E17="",F17=""),0,NETWORKDAYS(E17,F17,Ref!$K$2:$K$42))</f>
        <v>40</v>
      </c>
      <c r="AO17" s="65" t="n">
        <f aca="false">IF(L17="Renewal",1,0)</f>
        <v>0</v>
      </c>
      <c r="AP17" s="65" t="n">
        <f aca="false">AC17*AD17</f>
        <v>1</v>
      </c>
      <c r="AQ17" s="65" t="n">
        <f aca="false">IF(AND(G17&lt;&gt;"",'Historical Score'!$C$6&lt;&gt;""),IF(G17='Historical Score'!$C$6,1,0),0)</f>
        <v>1</v>
      </c>
      <c r="AR17" s="65" t="n">
        <f aca="false">IF(AND(L17&lt;&gt;"",'Historical Score'!$C$5&lt;&gt;""),IF(L17='Historical Score'!$C$5,1,0),0)</f>
        <v>1</v>
      </c>
      <c r="AS17" s="65" t="n">
        <f aca="false">IF(AND(Y17&lt;&gt;"",'Historical Score'!$C$7&lt;&gt;""),IF(Y17='Historical Score'!$C$7,1,0),0)</f>
        <v>0</v>
      </c>
      <c r="AT17" s="65" t="n">
        <f aca="false">IF(AND(K17&lt;&gt;"",'Historical Score'!$C$8&lt;&gt;""),IF(K17='Historical Score'!$C$8,1,0),0)</f>
        <v>0</v>
      </c>
      <c r="AU17" s="65" t="n">
        <f aca="false">IF(AND(J17&lt;&gt;"",'Historical Score'!$C$9&lt;&gt;""),IF(J17='Historical Score'!$C$9,1,0),0)</f>
        <v>0</v>
      </c>
      <c r="AV17" s="65" t="n">
        <f aca="false">AR17*AS17*AQ17</f>
        <v>0</v>
      </c>
      <c r="AW17" s="65" t="n">
        <f aca="false">AR17*AT17*AQ17</f>
        <v>0</v>
      </c>
      <c r="AX17" s="65" t="n">
        <f aca="false">AR17*AS17</f>
        <v>0</v>
      </c>
      <c r="AY17" s="65" t="n">
        <f aca="false">AR17*AT17</f>
        <v>0</v>
      </c>
      <c r="AZ17" s="65" t="n">
        <f aca="false">AR17*AQ17</f>
        <v>1</v>
      </c>
      <c r="BA17" s="65" t="n">
        <f aca="false">AR17</f>
        <v>1</v>
      </c>
      <c r="BB17" s="65" t="n">
        <f aca="false">1</f>
        <v>1</v>
      </c>
      <c r="BC17" s="65" t="n">
        <f aca="false">IF(AV17=1,1,IF(AW17=1,2,IF(AX17=1,3,IF(AY17=1,4,IF(AZ17=1,5,IF(BA17=1,6,7))))))</f>
        <v>5</v>
      </c>
      <c r="BD17" s="65" t="n">
        <f aca="false">IF(AD17=1,CHOOSE('Historical Score'!$C$29,AV17,AW17,AX17,AY17,AZ17,BA17,BB17),0)</f>
        <v>0</v>
      </c>
      <c r="BE17" s="65" t="str">
        <f aca="false">IF(BD17=1,COUNTIF($BD$2:BD17,1),"")</f>
        <v/>
      </c>
    </row>
    <row r="18" customFormat="false" ht="15" hidden="false" customHeight="false" outlineLevel="0" collapsed="false">
      <c r="A18" s="65" t="s">
        <v>434</v>
      </c>
      <c r="B18" s="65" t="s">
        <v>435</v>
      </c>
      <c r="C18" s="65" t="s">
        <v>435</v>
      </c>
      <c r="D18" s="65" t="s">
        <v>371</v>
      </c>
      <c r="E18" s="112" t="n">
        <v>45686</v>
      </c>
      <c r="F18" s="112" t="n">
        <v>45799</v>
      </c>
      <c r="G18" s="65" t="n">
        <v>4</v>
      </c>
      <c r="H18" s="65" t="s">
        <v>436</v>
      </c>
      <c r="I18" s="65" t="s">
        <v>437</v>
      </c>
      <c r="J18" s="65" t="s">
        <v>438</v>
      </c>
      <c r="K18" s="65" t="s">
        <v>400</v>
      </c>
      <c r="L18" s="65" t="s">
        <v>320</v>
      </c>
      <c r="M18" s="113" t="n">
        <v>1.41</v>
      </c>
      <c r="N18" s="114" t="n">
        <v>5000</v>
      </c>
      <c r="O18" s="114" t="n">
        <v>500</v>
      </c>
      <c r="P18" s="114" t="n">
        <v>7050</v>
      </c>
      <c r="Q18" s="114" t="n">
        <v>7050</v>
      </c>
      <c r="R18" s="114" t="n">
        <v>0</v>
      </c>
      <c r="S18" s="115" t="n">
        <v>1</v>
      </c>
      <c r="T18" s="65" t="n">
        <v>2.295</v>
      </c>
      <c r="U18" s="65" t="n">
        <v>4</v>
      </c>
      <c r="W18" s="115" t="n">
        <v>0.12</v>
      </c>
      <c r="X18" s="112" t="n">
        <v>43617</v>
      </c>
      <c r="Y18" s="65" t="str">
        <f aca="false">IF(I18="","No SIC",IFERROR(VLOOKUP(I18,Ref!$A$2:$B$65,2,FALSE()),"Unclassified"))</f>
        <v>Social Services</v>
      </c>
      <c r="Z18" s="65" t="str">
        <f aca="false">IF(T18="","",IF(T18&lt;12,"Daily","Weekly"))</f>
        <v>Daily</v>
      </c>
      <c r="AA18" s="65" t="n">
        <f aca="false">IF(T18="",0,IF(T18&lt;12,T18*Controls!$B$29,T18*5))</f>
        <v>49.698225</v>
      </c>
      <c r="AB18" s="65" t="n">
        <f aca="false">IF(E18="",0,NETWORKDAYS(E18,Controls!$B$36,Ref!$K$2:$K$42))</f>
        <v>396</v>
      </c>
      <c r="AC18" s="65" t="n">
        <f aca="false">IF(AND(AA18&gt;0,AB18&gt;=Controls!$B$39*AA18),1,0)</f>
        <v>1</v>
      </c>
      <c r="AD18" s="65" t="n">
        <f aca="false">IF(AND(E18&lt;&gt;"",E18&gt;=Controls!$B$37,E18&lt;=Controls!$B$38),1,0)</f>
        <v>1</v>
      </c>
      <c r="AE18" s="65" t="n">
        <f aca="false">IF(IFERROR(VLOOKUP(D18,Controls!$A$64:$E$74,2,FALSE()),"No")="Yes",1,0)</f>
        <v>0</v>
      </c>
      <c r="AF18" s="65" t="n">
        <f aca="false">IF(IFERROR(VLOOKUP(D18,Controls!$A$64:$E$74,3,FALSE()),"No")="Yes",1,0)</f>
        <v>1</v>
      </c>
      <c r="AG18" s="65" t="n">
        <f aca="false">IF(IFERROR(VLOOKUP(D18,Controls!$A$64:$E$74,4,FALSE()),"No")="Yes",1,0)</f>
        <v>1</v>
      </c>
      <c r="AH18" s="65" t="n">
        <f aca="false">IF(IFERROR(VLOOKUP(D18,Controls!$A$64:$E$74,5,FALSE()),"No")="Yes",1,0)</f>
        <v>0</v>
      </c>
      <c r="AI18" s="65" t="n">
        <f aca="false">IF(ISNUMBER(MATCH(D18,Controls!$A$64:$A$74,0)),1,0)</f>
        <v>1</v>
      </c>
      <c r="AJ18" s="65" t="n">
        <f aca="false">Q18-N18</f>
        <v>2050</v>
      </c>
      <c r="AK18" s="65" t="n">
        <f aca="false">IF(AE18=1,MAX(0,N18-Q18),0)</f>
        <v>0</v>
      </c>
      <c r="AL18" s="65" t="n">
        <f aca="false">IF(OR(V18="",V18=0),0,N18/V18)</f>
        <v>0</v>
      </c>
      <c r="AM18" s="65" t="n">
        <f aca="false">IF(OR(V18="",V18=0),0,1)</f>
        <v>0</v>
      </c>
      <c r="AN18" s="65" t="n">
        <f aca="false">IF(OR(E18="",F18=""),0,NETWORKDAYS(E18,F18,Ref!$K$2:$K$42))</f>
        <v>81</v>
      </c>
      <c r="AO18" s="65" t="n">
        <f aca="false">IF(L18="Renewal",1,0)</f>
        <v>1</v>
      </c>
      <c r="AP18" s="65" t="n">
        <f aca="false">AC18*AD18</f>
        <v>1</v>
      </c>
      <c r="AQ18" s="65" t="n">
        <f aca="false">IF(AND(G18&lt;&gt;"",'Historical Score'!$C$6&lt;&gt;""),IF(G18='Historical Score'!$C$6,1,0),0)</f>
        <v>0</v>
      </c>
      <c r="AR18" s="65" t="n">
        <f aca="false">IF(AND(L18&lt;&gt;"",'Historical Score'!$C$5&lt;&gt;""),IF(L18='Historical Score'!$C$5,1,0),0)</f>
        <v>0</v>
      </c>
      <c r="AS18" s="65" t="n">
        <f aca="false">IF(AND(Y18&lt;&gt;"",'Historical Score'!$C$7&lt;&gt;""),IF(Y18='Historical Score'!$C$7,1,0),0)</f>
        <v>0</v>
      </c>
      <c r="AT18" s="65" t="n">
        <f aca="false">IF(AND(K18&lt;&gt;"",'Historical Score'!$C$8&lt;&gt;""),IF(K18='Historical Score'!$C$8,1,0),0)</f>
        <v>0</v>
      </c>
      <c r="AU18" s="65" t="n">
        <f aca="false">IF(AND(J18&lt;&gt;"",'Historical Score'!$C$9&lt;&gt;""),IF(J18='Historical Score'!$C$9,1,0),0)</f>
        <v>0</v>
      </c>
      <c r="AV18" s="65" t="n">
        <f aca="false">AR18*AS18*AQ18</f>
        <v>0</v>
      </c>
      <c r="AW18" s="65" t="n">
        <f aca="false">AR18*AT18*AQ18</f>
        <v>0</v>
      </c>
      <c r="AX18" s="65" t="n">
        <f aca="false">AR18*AS18</f>
        <v>0</v>
      </c>
      <c r="AY18" s="65" t="n">
        <f aca="false">AR18*AT18</f>
        <v>0</v>
      </c>
      <c r="AZ18" s="65" t="n">
        <f aca="false">AR18*AQ18</f>
        <v>0</v>
      </c>
      <c r="BA18" s="65" t="n">
        <f aca="false">AR18</f>
        <v>0</v>
      </c>
      <c r="BB18" s="65" t="n">
        <f aca="false">1</f>
        <v>1</v>
      </c>
      <c r="BC18" s="65" t="n">
        <f aca="false">IF(AV18=1,1,IF(AW18=1,2,IF(AX18=1,3,IF(AY18=1,4,IF(AZ18=1,5,IF(BA18=1,6,7))))))</f>
        <v>7</v>
      </c>
      <c r="BD18" s="65" t="n">
        <f aca="false">IF(AD18=1,CHOOSE('Historical Score'!$C$29,AV18,AW18,AX18,AY18,AZ18,BA18,BB18),0)</f>
        <v>0</v>
      </c>
      <c r="BE18" s="65" t="str">
        <f aca="false">IF(BD18=1,COUNTIF($BD$2:BD18,1),"")</f>
        <v/>
      </c>
    </row>
    <row r="19" customFormat="false" ht="15" hidden="false" customHeight="false" outlineLevel="0" collapsed="false">
      <c r="A19" s="65" t="s">
        <v>439</v>
      </c>
      <c r="B19" s="65" t="s">
        <v>440</v>
      </c>
      <c r="C19" s="65" t="s">
        <v>441</v>
      </c>
      <c r="D19" s="65" t="s">
        <v>371</v>
      </c>
      <c r="E19" s="112" t="n">
        <v>45687</v>
      </c>
      <c r="F19" s="112" t="n">
        <v>45776</v>
      </c>
      <c r="G19" s="65" t="n">
        <v>6</v>
      </c>
      <c r="H19" s="65" t="s">
        <v>442</v>
      </c>
      <c r="I19" s="65" t="s">
        <v>443</v>
      </c>
      <c r="J19" s="65" t="s">
        <v>350</v>
      </c>
      <c r="K19" s="65" t="s">
        <v>444</v>
      </c>
      <c r="L19" s="65" t="s">
        <v>64</v>
      </c>
      <c r="M19" s="113" t="n">
        <v>1.49</v>
      </c>
      <c r="N19" s="114" t="n">
        <v>6000</v>
      </c>
      <c r="O19" s="114" t="n">
        <v>840</v>
      </c>
      <c r="P19" s="114" t="n">
        <v>8940</v>
      </c>
      <c r="Q19" s="114" t="n">
        <v>8940</v>
      </c>
      <c r="R19" s="114" t="n">
        <v>0</v>
      </c>
      <c r="S19" s="115" t="n">
        <v>1</v>
      </c>
      <c r="T19" s="65" t="n">
        <v>2.623</v>
      </c>
      <c r="U19" s="65" t="n">
        <v>0</v>
      </c>
      <c r="W19" s="115" t="n">
        <v>0.0835</v>
      </c>
      <c r="X19" s="112" t="n">
        <v>43739</v>
      </c>
      <c r="Y19" s="65" t="str">
        <f aca="false">IF(I19="","No SIC",IFERROR(VLOOKUP(I19,Ref!$A$2:$B$65,2,FALSE()),"Unclassified"))</f>
        <v>General Building Contractors</v>
      </c>
      <c r="Z19" s="65" t="str">
        <f aca="false">IF(T19="","",IF(T19&lt;12,"Daily","Weekly"))</f>
        <v>Daily</v>
      </c>
      <c r="AA19" s="65" t="n">
        <f aca="false">IF(T19="",0,IF(T19&lt;12,T19*Controls!$B$29,T19*5))</f>
        <v>56.801065</v>
      </c>
      <c r="AB19" s="65" t="n">
        <f aca="false">IF(E19="",0,NETWORKDAYS(E19,Controls!$B$36,Ref!$K$2:$K$42))</f>
        <v>395</v>
      </c>
      <c r="AC19" s="65" t="n">
        <f aca="false">IF(AND(AA19&gt;0,AB19&gt;=Controls!$B$39*AA19),1,0)</f>
        <v>1</v>
      </c>
      <c r="AD19" s="65" t="n">
        <f aca="false">IF(AND(E19&lt;&gt;"",E19&gt;=Controls!$B$37,E19&lt;=Controls!$B$38),1,0)</f>
        <v>1</v>
      </c>
      <c r="AE19" s="65" t="n">
        <f aca="false">IF(IFERROR(VLOOKUP(D19,Controls!$A$64:$E$74,2,FALSE()),"No")="Yes",1,0)</f>
        <v>0</v>
      </c>
      <c r="AF19" s="65" t="n">
        <f aca="false">IF(IFERROR(VLOOKUP(D19,Controls!$A$64:$E$74,3,FALSE()),"No")="Yes",1,0)</f>
        <v>1</v>
      </c>
      <c r="AG19" s="65" t="n">
        <f aca="false">IF(IFERROR(VLOOKUP(D19,Controls!$A$64:$E$74,4,FALSE()),"No")="Yes",1,0)</f>
        <v>1</v>
      </c>
      <c r="AH19" s="65" t="n">
        <f aca="false">IF(IFERROR(VLOOKUP(D19,Controls!$A$64:$E$74,5,FALSE()),"No")="Yes",1,0)</f>
        <v>0</v>
      </c>
      <c r="AI19" s="65" t="n">
        <f aca="false">IF(ISNUMBER(MATCH(D19,Controls!$A$64:$A$74,0)),1,0)</f>
        <v>1</v>
      </c>
      <c r="AJ19" s="65" t="n">
        <f aca="false">Q19-N19</f>
        <v>2940</v>
      </c>
      <c r="AK19" s="65" t="n">
        <f aca="false">IF(AE19=1,MAX(0,N19-Q19),0)</f>
        <v>0</v>
      </c>
      <c r="AL19" s="65" t="n">
        <f aca="false">IF(OR(V19="",V19=0),0,N19/V19)</f>
        <v>0</v>
      </c>
      <c r="AM19" s="65" t="n">
        <f aca="false">IF(OR(V19="",V19=0),0,1)</f>
        <v>0</v>
      </c>
      <c r="AN19" s="65" t="n">
        <f aca="false">IF(OR(E19="",F19=""),0,NETWORKDAYS(E19,F19,Ref!$K$2:$K$42))</f>
        <v>63</v>
      </c>
      <c r="AO19" s="65" t="n">
        <f aca="false">IF(L19="Renewal",1,0)</f>
        <v>0</v>
      </c>
      <c r="AP19" s="65" t="n">
        <f aca="false">AC19*AD19</f>
        <v>1</v>
      </c>
      <c r="AQ19" s="65" t="n">
        <f aca="false">IF(AND(G19&lt;&gt;"",'Historical Score'!$C$6&lt;&gt;""),IF(G19='Historical Score'!$C$6,1,0),0)</f>
        <v>0</v>
      </c>
      <c r="AR19" s="65" t="n">
        <f aca="false">IF(AND(L19&lt;&gt;"",'Historical Score'!$C$5&lt;&gt;""),IF(L19='Historical Score'!$C$5,1,0),0)</f>
        <v>1</v>
      </c>
      <c r="AS19" s="65" t="n">
        <f aca="false">IF(AND(Y19&lt;&gt;"",'Historical Score'!$C$7&lt;&gt;""),IF(Y19='Historical Score'!$C$7,1,0),0)</f>
        <v>1</v>
      </c>
      <c r="AT19" s="65" t="n">
        <f aca="false">IF(AND(K19&lt;&gt;"",'Historical Score'!$C$8&lt;&gt;""),IF(K19='Historical Score'!$C$8,1,0),0)</f>
        <v>0</v>
      </c>
      <c r="AU19" s="65" t="n">
        <f aca="false">IF(AND(J19&lt;&gt;"",'Historical Score'!$C$9&lt;&gt;""),IF(J19='Historical Score'!$C$9,1,0),0)</f>
        <v>0</v>
      </c>
      <c r="AV19" s="65" t="n">
        <f aca="false">AR19*AS19*AQ19</f>
        <v>0</v>
      </c>
      <c r="AW19" s="65" t="n">
        <f aca="false">AR19*AT19*AQ19</f>
        <v>0</v>
      </c>
      <c r="AX19" s="65" t="n">
        <f aca="false">AR19*AS19</f>
        <v>1</v>
      </c>
      <c r="AY19" s="65" t="n">
        <f aca="false">AR19*AT19</f>
        <v>0</v>
      </c>
      <c r="AZ19" s="65" t="n">
        <f aca="false">AR19*AQ19</f>
        <v>0</v>
      </c>
      <c r="BA19" s="65" t="n">
        <f aca="false">AR19</f>
        <v>1</v>
      </c>
      <c r="BB19" s="65" t="n">
        <f aca="false">1</f>
        <v>1</v>
      </c>
      <c r="BC19" s="65" t="n">
        <f aca="false">IF(AV19=1,1,IF(AW19=1,2,IF(AX19=1,3,IF(AY19=1,4,IF(AZ19=1,5,IF(BA19=1,6,7))))))</f>
        <v>3</v>
      </c>
      <c r="BD19" s="65" t="n">
        <f aca="false">IF(AD19=1,CHOOSE('Historical Score'!$C$29,AV19,AW19,AX19,AY19,AZ19,BA19,BB19),0)</f>
        <v>0</v>
      </c>
      <c r="BE19" s="65" t="str">
        <f aca="false">IF(BD19=1,COUNTIF($BD$2:BD19,1),"")</f>
        <v/>
      </c>
    </row>
    <row r="20" customFormat="false" ht="15" hidden="false" customHeight="false" outlineLevel="0" collapsed="false">
      <c r="A20" s="65" t="s">
        <v>445</v>
      </c>
      <c r="B20" s="65" t="s">
        <v>446</v>
      </c>
      <c r="C20" s="65" t="s">
        <v>447</v>
      </c>
      <c r="D20" s="65" t="s">
        <v>371</v>
      </c>
      <c r="E20" s="112" t="n">
        <v>45691</v>
      </c>
      <c r="F20" s="112" t="n">
        <v>45782</v>
      </c>
      <c r="G20" s="65" t="n">
        <v>1</v>
      </c>
      <c r="H20" s="65" t="s">
        <v>409</v>
      </c>
      <c r="I20" s="65" t="s">
        <v>342</v>
      </c>
      <c r="J20" s="65" t="s">
        <v>61</v>
      </c>
      <c r="K20" s="65" t="s">
        <v>433</v>
      </c>
      <c r="L20" s="65" t="s">
        <v>320</v>
      </c>
      <c r="M20" s="113" t="n">
        <v>1.35</v>
      </c>
      <c r="N20" s="114" t="n">
        <v>20000</v>
      </c>
      <c r="O20" s="114" t="n">
        <v>1400</v>
      </c>
      <c r="P20" s="114" t="n">
        <v>27000</v>
      </c>
      <c r="Q20" s="114" t="n">
        <v>27000</v>
      </c>
      <c r="R20" s="114" t="n">
        <v>0</v>
      </c>
      <c r="S20" s="115" t="n">
        <v>1</v>
      </c>
      <c r="T20" s="65" t="n">
        <v>2.623</v>
      </c>
      <c r="U20" s="65" t="n">
        <v>26</v>
      </c>
      <c r="W20" s="115" t="n">
        <v>0.0771</v>
      </c>
      <c r="X20" s="112" t="n">
        <v>44562</v>
      </c>
      <c r="Y20" s="65" t="str">
        <f aca="false">IF(I20="","No SIC",IFERROR(VLOOKUP(I20,Ref!$A$2:$B$65,2,FALSE()),"Unclassified"))</f>
        <v>Eating &amp; Drinking Places</v>
      </c>
      <c r="Z20" s="65" t="str">
        <f aca="false">IF(T20="","",IF(T20&lt;12,"Daily","Weekly"))</f>
        <v>Daily</v>
      </c>
      <c r="AA20" s="65" t="n">
        <f aca="false">IF(T20="",0,IF(T20&lt;12,T20*Controls!$B$29,T20*5))</f>
        <v>56.801065</v>
      </c>
      <c r="AB20" s="65" t="n">
        <f aca="false">IF(E20="",0,NETWORKDAYS(E20,Controls!$B$36,Ref!$K$2:$K$42))</f>
        <v>393</v>
      </c>
      <c r="AC20" s="65" t="n">
        <f aca="false">IF(AND(AA20&gt;0,AB20&gt;=Controls!$B$39*AA20),1,0)</f>
        <v>1</v>
      </c>
      <c r="AD20" s="65" t="n">
        <f aca="false">IF(AND(E20&lt;&gt;"",E20&gt;=Controls!$B$37,E20&lt;=Controls!$B$38),1,0)</f>
        <v>1</v>
      </c>
      <c r="AE20" s="65" t="n">
        <f aca="false">IF(IFERROR(VLOOKUP(D20,Controls!$A$64:$E$74,2,FALSE()),"No")="Yes",1,0)</f>
        <v>0</v>
      </c>
      <c r="AF20" s="65" t="n">
        <f aca="false">IF(IFERROR(VLOOKUP(D20,Controls!$A$64:$E$74,3,FALSE()),"No")="Yes",1,0)</f>
        <v>1</v>
      </c>
      <c r="AG20" s="65" t="n">
        <f aca="false">IF(IFERROR(VLOOKUP(D20,Controls!$A$64:$E$74,4,FALSE()),"No")="Yes",1,0)</f>
        <v>1</v>
      </c>
      <c r="AH20" s="65" t="n">
        <f aca="false">IF(IFERROR(VLOOKUP(D20,Controls!$A$64:$E$74,5,FALSE()),"No")="Yes",1,0)</f>
        <v>0</v>
      </c>
      <c r="AI20" s="65" t="n">
        <f aca="false">IF(ISNUMBER(MATCH(D20,Controls!$A$64:$A$74,0)),1,0)</f>
        <v>1</v>
      </c>
      <c r="AJ20" s="65" t="n">
        <f aca="false">Q20-N20</f>
        <v>7000</v>
      </c>
      <c r="AK20" s="65" t="n">
        <f aca="false">IF(AE20=1,MAX(0,N20-Q20),0)</f>
        <v>0</v>
      </c>
      <c r="AL20" s="65" t="n">
        <f aca="false">IF(OR(V20="",V20=0),0,N20/V20)</f>
        <v>0</v>
      </c>
      <c r="AM20" s="65" t="n">
        <f aca="false">IF(OR(V20="",V20=0),0,1)</f>
        <v>0</v>
      </c>
      <c r="AN20" s="65" t="n">
        <f aca="false">IF(OR(E20="",F20=""),0,NETWORKDAYS(E20,F20,Ref!$K$2:$K$42))</f>
        <v>65</v>
      </c>
      <c r="AO20" s="65" t="n">
        <f aca="false">IF(L20="Renewal",1,0)</f>
        <v>1</v>
      </c>
      <c r="AP20" s="65" t="n">
        <f aca="false">AC20*AD20</f>
        <v>1</v>
      </c>
      <c r="AQ20" s="65" t="n">
        <f aca="false">IF(AND(G20&lt;&gt;"",'Historical Score'!$C$6&lt;&gt;""),IF(G20='Historical Score'!$C$6,1,0),0)</f>
        <v>0</v>
      </c>
      <c r="AR20" s="65" t="n">
        <f aca="false">IF(AND(L20&lt;&gt;"",'Historical Score'!$C$5&lt;&gt;""),IF(L20='Historical Score'!$C$5,1,0),0)</f>
        <v>0</v>
      </c>
      <c r="AS20" s="65" t="n">
        <f aca="false">IF(AND(Y20&lt;&gt;"",'Historical Score'!$C$7&lt;&gt;""),IF(Y20='Historical Score'!$C$7,1,0),0)</f>
        <v>0</v>
      </c>
      <c r="AT20" s="65" t="n">
        <f aca="false">IF(AND(K20&lt;&gt;"",'Historical Score'!$C$8&lt;&gt;""),IF(K20='Historical Score'!$C$8,1,0),0)</f>
        <v>0</v>
      </c>
      <c r="AU20" s="65" t="n">
        <f aca="false">IF(AND(J20&lt;&gt;"",'Historical Score'!$C$9&lt;&gt;""),IF(J20='Historical Score'!$C$9,1,0),0)</f>
        <v>1</v>
      </c>
      <c r="AV20" s="65" t="n">
        <f aca="false">AR20*AS20*AQ20</f>
        <v>0</v>
      </c>
      <c r="AW20" s="65" t="n">
        <f aca="false">AR20*AT20*AQ20</f>
        <v>0</v>
      </c>
      <c r="AX20" s="65" t="n">
        <f aca="false">AR20*AS20</f>
        <v>0</v>
      </c>
      <c r="AY20" s="65" t="n">
        <f aca="false">AR20*AT20</f>
        <v>0</v>
      </c>
      <c r="AZ20" s="65" t="n">
        <f aca="false">AR20*AQ20</f>
        <v>0</v>
      </c>
      <c r="BA20" s="65" t="n">
        <f aca="false">AR20</f>
        <v>0</v>
      </c>
      <c r="BB20" s="65" t="n">
        <f aca="false">1</f>
        <v>1</v>
      </c>
      <c r="BC20" s="65" t="n">
        <f aca="false">IF(AV20=1,1,IF(AW20=1,2,IF(AX20=1,3,IF(AY20=1,4,IF(AZ20=1,5,IF(BA20=1,6,7))))))</f>
        <v>7</v>
      </c>
      <c r="BD20" s="65" t="n">
        <f aca="false">IF(AD20=1,CHOOSE('Historical Score'!$C$29,AV20,AW20,AX20,AY20,AZ20,BA20,BB20),0)</f>
        <v>0</v>
      </c>
      <c r="BE20" s="65" t="str">
        <f aca="false">IF(BD20=1,COUNTIF($BD$2:BD20,1),"")</f>
        <v/>
      </c>
    </row>
    <row r="21" customFormat="false" ht="15" hidden="false" customHeight="false" outlineLevel="0" collapsed="false">
      <c r="A21" s="65" t="s">
        <v>448</v>
      </c>
      <c r="B21" s="65" t="s">
        <v>449</v>
      </c>
      <c r="C21" s="65" t="s">
        <v>450</v>
      </c>
      <c r="D21" s="65" t="s">
        <v>371</v>
      </c>
      <c r="E21" s="112" t="n">
        <v>45692</v>
      </c>
      <c r="F21" s="112" t="n">
        <v>45783</v>
      </c>
      <c r="G21" s="65" t="n">
        <v>4</v>
      </c>
      <c r="H21" s="65" t="s">
        <v>451</v>
      </c>
      <c r="I21" s="65" t="s">
        <v>425</v>
      </c>
      <c r="J21" s="65" t="s">
        <v>452</v>
      </c>
      <c r="K21" s="65" t="s">
        <v>344</v>
      </c>
      <c r="L21" s="65" t="s">
        <v>320</v>
      </c>
      <c r="M21" s="113" t="n">
        <v>1.49</v>
      </c>
      <c r="N21" s="114" t="n">
        <v>15000</v>
      </c>
      <c r="O21" s="114" t="n">
        <v>2100</v>
      </c>
      <c r="P21" s="114" t="n">
        <v>22350</v>
      </c>
      <c r="Q21" s="114" t="n">
        <v>22350</v>
      </c>
      <c r="R21" s="114" t="n">
        <v>0</v>
      </c>
      <c r="S21" s="115" t="n">
        <v>1</v>
      </c>
      <c r="T21" s="65" t="n">
        <v>2.459</v>
      </c>
      <c r="U21" s="65" t="n">
        <v>1</v>
      </c>
      <c r="W21" s="115" t="n">
        <v>0.0553</v>
      </c>
      <c r="X21" s="112" t="n">
        <v>45402</v>
      </c>
      <c r="Y21" s="65" t="str">
        <f aca="false">IF(I21="","No SIC",IFERROR(VLOOKUP(I21,Ref!$A$2:$B$65,2,FALSE()),"Unclassified"))</f>
        <v>Personal Services</v>
      </c>
      <c r="Z21" s="65" t="str">
        <f aca="false">IF(T21="","",IF(T21&lt;12,"Daily","Weekly"))</f>
        <v>Daily</v>
      </c>
      <c r="AA21" s="65" t="n">
        <f aca="false">IF(T21="",0,IF(T21&lt;12,T21*Controls!$B$29,T21*5))</f>
        <v>53.249645</v>
      </c>
      <c r="AB21" s="65" t="n">
        <f aca="false">IF(E21="",0,NETWORKDAYS(E21,Controls!$B$36,Ref!$K$2:$K$42))</f>
        <v>392</v>
      </c>
      <c r="AC21" s="65" t="n">
        <f aca="false">IF(AND(AA21&gt;0,AB21&gt;=Controls!$B$39*AA21),1,0)</f>
        <v>1</v>
      </c>
      <c r="AD21" s="65" t="n">
        <f aca="false">IF(AND(E21&lt;&gt;"",E21&gt;=Controls!$B$37,E21&lt;=Controls!$B$38),1,0)</f>
        <v>1</v>
      </c>
      <c r="AE21" s="65" t="n">
        <f aca="false">IF(IFERROR(VLOOKUP(D21,Controls!$A$64:$E$74,2,FALSE()),"No")="Yes",1,0)</f>
        <v>0</v>
      </c>
      <c r="AF21" s="65" t="n">
        <f aca="false">IF(IFERROR(VLOOKUP(D21,Controls!$A$64:$E$74,3,FALSE()),"No")="Yes",1,0)</f>
        <v>1</v>
      </c>
      <c r="AG21" s="65" t="n">
        <f aca="false">IF(IFERROR(VLOOKUP(D21,Controls!$A$64:$E$74,4,FALSE()),"No")="Yes",1,0)</f>
        <v>1</v>
      </c>
      <c r="AH21" s="65" t="n">
        <f aca="false">IF(IFERROR(VLOOKUP(D21,Controls!$A$64:$E$74,5,FALSE()),"No")="Yes",1,0)</f>
        <v>0</v>
      </c>
      <c r="AI21" s="65" t="n">
        <f aca="false">IF(ISNUMBER(MATCH(D21,Controls!$A$64:$A$74,0)),1,0)</f>
        <v>1</v>
      </c>
      <c r="AJ21" s="65" t="n">
        <f aca="false">Q21-N21</f>
        <v>7350</v>
      </c>
      <c r="AK21" s="65" t="n">
        <f aca="false">IF(AE21=1,MAX(0,N21-Q21),0)</f>
        <v>0</v>
      </c>
      <c r="AL21" s="65" t="n">
        <f aca="false">IF(OR(V21="",V21=0),0,N21/V21)</f>
        <v>0</v>
      </c>
      <c r="AM21" s="65" t="n">
        <f aca="false">IF(OR(V21="",V21=0),0,1)</f>
        <v>0</v>
      </c>
      <c r="AN21" s="65" t="n">
        <f aca="false">IF(OR(E21="",F21=""),0,NETWORKDAYS(E21,F21,Ref!$K$2:$K$42))</f>
        <v>65</v>
      </c>
      <c r="AO21" s="65" t="n">
        <f aca="false">IF(L21="Renewal",1,0)</f>
        <v>1</v>
      </c>
      <c r="AP21" s="65" t="n">
        <f aca="false">AC21*AD21</f>
        <v>1</v>
      </c>
      <c r="AQ21" s="65" t="n">
        <f aca="false">IF(AND(G21&lt;&gt;"",'Historical Score'!$C$6&lt;&gt;""),IF(G21='Historical Score'!$C$6,1,0),0)</f>
        <v>0</v>
      </c>
      <c r="AR21" s="65" t="n">
        <f aca="false">IF(AND(L21&lt;&gt;"",'Historical Score'!$C$5&lt;&gt;""),IF(L21='Historical Score'!$C$5,1,0),0)</f>
        <v>0</v>
      </c>
      <c r="AS21" s="65" t="n">
        <f aca="false">IF(AND(Y21&lt;&gt;"",'Historical Score'!$C$7&lt;&gt;""),IF(Y21='Historical Score'!$C$7,1,0),0)</f>
        <v>0</v>
      </c>
      <c r="AT21" s="65" t="n">
        <f aca="false">IF(AND(K21&lt;&gt;"",'Historical Score'!$C$8&lt;&gt;""),IF(K21='Historical Score'!$C$8,1,0),0)</f>
        <v>0</v>
      </c>
      <c r="AU21" s="65" t="n">
        <f aca="false">IF(AND(J21&lt;&gt;"",'Historical Score'!$C$9&lt;&gt;""),IF(J21='Historical Score'!$C$9,1,0),0)</f>
        <v>0</v>
      </c>
      <c r="AV21" s="65" t="n">
        <f aca="false">AR21*AS21*AQ21</f>
        <v>0</v>
      </c>
      <c r="AW21" s="65" t="n">
        <f aca="false">AR21*AT21*AQ21</f>
        <v>0</v>
      </c>
      <c r="AX21" s="65" t="n">
        <f aca="false">AR21*AS21</f>
        <v>0</v>
      </c>
      <c r="AY21" s="65" t="n">
        <f aca="false">AR21*AT21</f>
        <v>0</v>
      </c>
      <c r="AZ21" s="65" t="n">
        <f aca="false">AR21*AQ21</f>
        <v>0</v>
      </c>
      <c r="BA21" s="65" t="n">
        <f aca="false">AR21</f>
        <v>0</v>
      </c>
      <c r="BB21" s="65" t="n">
        <f aca="false">1</f>
        <v>1</v>
      </c>
      <c r="BC21" s="65" t="n">
        <f aca="false">IF(AV21=1,1,IF(AW21=1,2,IF(AX21=1,3,IF(AY21=1,4,IF(AZ21=1,5,IF(BA21=1,6,7))))))</f>
        <v>7</v>
      </c>
      <c r="BD21" s="65" t="n">
        <f aca="false">IF(AD21=1,CHOOSE('Historical Score'!$C$29,AV21,AW21,AX21,AY21,AZ21,BA21,BB21),0)</f>
        <v>0</v>
      </c>
      <c r="BE21" s="65" t="str">
        <f aca="false">IF(BD21=1,COUNTIF($BD$2:BD21,1),"")</f>
        <v/>
      </c>
    </row>
    <row r="22" customFormat="false" ht="15" hidden="false" customHeight="false" outlineLevel="0" collapsed="false">
      <c r="A22" s="65" t="s">
        <v>453</v>
      </c>
      <c r="B22" s="65" t="s">
        <v>454</v>
      </c>
      <c r="C22" s="65" t="s">
        <v>455</v>
      </c>
      <c r="D22" s="65" t="s">
        <v>371</v>
      </c>
      <c r="E22" s="112" t="n">
        <v>45693</v>
      </c>
      <c r="F22" s="112" t="n">
        <v>45798</v>
      </c>
      <c r="G22" s="65" t="n">
        <v>6</v>
      </c>
      <c r="H22" s="65" t="s">
        <v>409</v>
      </c>
      <c r="I22" s="65" t="s">
        <v>342</v>
      </c>
      <c r="J22" s="65" t="s">
        <v>386</v>
      </c>
      <c r="K22" s="65" t="s">
        <v>456</v>
      </c>
      <c r="L22" s="65" t="s">
        <v>320</v>
      </c>
      <c r="M22" s="113" t="n">
        <v>1.49</v>
      </c>
      <c r="N22" s="114" t="n">
        <v>5000</v>
      </c>
      <c r="O22" s="114" t="n">
        <v>700</v>
      </c>
      <c r="P22" s="114" t="n">
        <v>7450</v>
      </c>
      <c r="Q22" s="114" t="n">
        <v>7450</v>
      </c>
      <c r="R22" s="114" t="n">
        <v>0</v>
      </c>
      <c r="S22" s="115" t="n">
        <v>1</v>
      </c>
      <c r="T22" s="65" t="n">
        <v>2.459</v>
      </c>
      <c r="U22" s="65" t="n">
        <v>7</v>
      </c>
      <c r="W22" s="115" t="n">
        <v>0.12</v>
      </c>
      <c r="X22" s="112" t="n">
        <v>41030</v>
      </c>
      <c r="Y22" s="65" t="str">
        <f aca="false">IF(I22="","No SIC",IFERROR(VLOOKUP(I22,Ref!$A$2:$B$65,2,FALSE()),"Unclassified"))</f>
        <v>Eating &amp; Drinking Places</v>
      </c>
      <c r="Z22" s="65" t="str">
        <f aca="false">IF(T22="","",IF(T22&lt;12,"Daily","Weekly"))</f>
        <v>Daily</v>
      </c>
      <c r="AA22" s="65" t="n">
        <f aca="false">IF(T22="",0,IF(T22&lt;12,T22*Controls!$B$29,T22*5))</f>
        <v>53.249645</v>
      </c>
      <c r="AB22" s="65" t="n">
        <f aca="false">IF(E22="",0,NETWORKDAYS(E22,Controls!$B$36,Ref!$K$2:$K$42))</f>
        <v>391</v>
      </c>
      <c r="AC22" s="65" t="n">
        <f aca="false">IF(AND(AA22&gt;0,AB22&gt;=Controls!$B$39*AA22),1,0)</f>
        <v>1</v>
      </c>
      <c r="AD22" s="65" t="n">
        <f aca="false">IF(AND(E22&lt;&gt;"",E22&gt;=Controls!$B$37,E22&lt;=Controls!$B$38),1,0)</f>
        <v>1</v>
      </c>
      <c r="AE22" s="65" t="n">
        <f aca="false">IF(IFERROR(VLOOKUP(D22,Controls!$A$64:$E$74,2,FALSE()),"No")="Yes",1,0)</f>
        <v>0</v>
      </c>
      <c r="AF22" s="65" t="n">
        <f aca="false">IF(IFERROR(VLOOKUP(D22,Controls!$A$64:$E$74,3,FALSE()),"No")="Yes",1,0)</f>
        <v>1</v>
      </c>
      <c r="AG22" s="65" t="n">
        <f aca="false">IF(IFERROR(VLOOKUP(D22,Controls!$A$64:$E$74,4,FALSE()),"No")="Yes",1,0)</f>
        <v>1</v>
      </c>
      <c r="AH22" s="65" t="n">
        <f aca="false">IF(IFERROR(VLOOKUP(D22,Controls!$A$64:$E$74,5,FALSE()),"No")="Yes",1,0)</f>
        <v>0</v>
      </c>
      <c r="AI22" s="65" t="n">
        <f aca="false">IF(ISNUMBER(MATCH(D22,Controls!$A$64:$A$74,0)),1,0)</f>
        <v>1</v>
      </c>
      <c r="AJ22" s="65" t="n">
        <f aca="false">Q22-N22</f>
        <v>2450</v>
      </c>
      <c r="AK22" s="65" t="n">
        <f aca="false">IF(AE22=1,MAX(0,N22-Q22),0)</f>
        <v>0</v>
      </c>
      <c r="AL22" s="65" t="n">
        <f aca="false">IF(OR(V22="",V22=0),0,N22/V22)</f>
        <v>0</v>
      </c>
      <c r="AM22" s="65" t="n">
        <f aca="false">IF(OR(V22="",V22=0),0,1)</f>
        <v>0</v>
      </c>
      <c r="AN22" s="65" t="n">
        <f aca="false">IF(OR(E22="",F22=""),0,NETWORKDAYS(E22,F22,Ref!$K$2:$K$42))</f>
        <v>75</v>
      </c>
      <c r="AO22" s="65" t="n">
        <f aca="false">IF(L22="Renewal",1,0)</f>
        <v>1</v>
      </c>
      <c r="AP22" s="65" t="n">
        <f aca="false">AC22*AD22</f>
        <v>1</v>
      </c>
      <c r="AQ22" s="65" t="n">
        <f aca="false">IF(AND(G22&lt;&gt;"",'Historical Score'!$C$6&lt;&gt;""),IF(G22='Historical Score'!$C$6,1,0),0)</f>
        <v>0</v>
      </c>
      <c r="AR22" s="65" t="n">
        <f aca="false">IF(AND(L22&lt;&gt;"",'Historical Score'!$C$5&lt;&gt;""),IF(L22='Historical Score'!$C$5,1,0),0)</f>
        <v>0</v>
      </c>
      <c r="AS22" s="65" t="n">
        <f aca="false">IF(AND(Y22&lt;&gt;"",'Historical Score'!$C$7&lt;&gt;""),IF(Y22='Historical Score'!$C$7,1,0),0)</f>
        <v>0</v>
      </c>
      <c r="AT22" s="65" t="n">
        <f aca="false">IF(AND(K22&lt;&gt;"",'Historical Score'!$C$8&lt;&gt;""),IF(K22='Historical Score'!$C$8,1,0),0)</f>
        <v>0</v>
      </c>
      <c r="AU22" s="65" t="n">
        <f aca="false">IF(AND(J22&lt;&gt;"",'Historical Score'!$C$9&lt;&gt;""),IF(J22='Historical Score'!$C$9,1,0),0)</f>
        <v>0</v>
      </c>
      <c r="AV22" s="65" t="n">
        <f aca="false">AR22*AS22*AQ22</f>
        <v>0</v>
      </c>
      <c r="AW22" s="65" t="n">
        <f aca="false">AR22*AT22*AQ22</f>
        <v>0</v>
      </c>
      <c r="AX22" s="65" t="n">
        <f aca="false">AR22*AS22</f>
        <v>0</v>
      </c>
      <c r="AY22" s="65" t="n">
        <f aca="false">AR22*AT22</f>
        <v>0</v>
      </c>
      <c r="AZ22" s="65" t="n">
        <f aca="false">AR22*AQ22</f>
        <v>0</v>
      </c>
      <c r="BA22" s="65" t="n">
        <f aca="false">AR22</f>
        <v>0</v>
      </c>
      <c r="BB22" s="65" t="n">
        <f aca="false">1</f>
        <v>1</v>
      </c>
      <c r="BC22" s="65" t="n">
        <f aca="false">IF(AV22=1,1,IF(AW22=1,2,IF(AX22=1,3,IF(AY22=1,4,IF(AZ22=1,5,IF(BA22=1,6,7))))))</f>
        <v>7</v>
      </c>
      <c r="BD22" s="65" t="n">
        <f aca="false">IF(AD22=1,CHOOSE('Historical Score'!$C$29,AV22,AW22,AX22,AY22,AZ22,BA22,BB22),0)</f>
        <v>0</v>
      </c>
      <c r="BE22" s="65" t="str">
        <f aca="false">IF(BD22=1,COUNTIF($BD$2:BD22,1),"")</f>
        <v/>
      </c>
    </row>
    <row r="23" customFormat="false" ht="15" hidden="false" customHeight="false" outlineLevel="0" collapsed="false">
      <c r="A23" s="65" t="s">
        <v>457</v>
      </c>
      <c r="B23" s="65" t="s">
        <v>458</v>
      </c>
      <c r="C23" s="65" t="s">
        <v>459</v>
      </c>
      <c r="D23" s="65" t="s">
        <v>371</v>
      </c>
      <c r="E23" s="112" t="n">
        <v>45698</v>
      </c>
      <c r="F23" s="112" t="n">
        <v>45775</v>
      </c>
      <c r="G23" s="65" t="n">
        <v>4</v>
      </c>
      <c r="H23" s="65" t="s">
        <v>460</v>
      </c>
      <c r="I23" s="65" t="s">
        <v>437</v>
      </c>
      <c r="J23" s="65" t="s">
        <v>61</v>
      </c>
      <c r="K23" s="65" t="s">
        <v>344</v>
      </c>
      <c r="L23" s="65" t="s">
        <v>64</v>
      </c>
      <c r="M23" s="113" t="n">
        <v>1.49</v>
      </c>
      <c r="N23" s="114" t="n">
        <v>10000</v>
      </c>
      <c r="O23" s="114" t="n">
        <v>1400</v>
      </c>
      <c r="P23" s="114" t="n">
        <v>14900</v>
      </c>
      <c r="Q23" s="114" t="n">
        <v>14900</v>
      </c>
      <c r="R23" s="114" t="n">
        <v>0</v>
      </c>
      <c r="S23" s="115" t="n">
        <v>1</v>
      </c>
      <c r="T23" s="65" t="n">
        <v>1.967</v>
      </c>
      <c r="U23" s="65" t="n">
        <v>0</v>
      </c>
      <c r="W23" s="115" t="n">
        <v>0.0696</v>
      </c>
      <c r="X23" s="112" t="n">
        <v>43525</v>
      </c>
      <c r="Y23" s="65" t="str">
        <f aca="false">IF(I23="","No SIC",IFERROR(VLOOKUP(I23,Ref!$A$2:$B$65,2,FALSE()),"Unclassified"))</f>
        <v>Social Services</v>
      </c>
      <c r="Z23" s="65" t="str">
        <f aca="false">IF(T23="","",IF(T23&lt;12,"Daily","Weekly"))</f>
        <v>Daily</v>
      </c>
      <c r="AA23" s="65" t="n">
        <f aca="false">IF(T23="",0,IF(T23&lt;12,T23*Controls!$B$29,T23*5))</f>
        <v>42.595385</v>
      </c>
      <c r="AB23" s="65" t="n">
        <f aca="false">IF(E23="",0,NETWORKDAYS(E23,Controls!$B$36,Ref!$K$2:$K$42))</f>
        <v>388</v>
      </c>
      <c r="AC23" s="65" t="n">
        <f aca="false">IF(AND(AA23&gt;0,AB23&gt;=Controls!$B$39*AA23),1,0)</f>
        <v>1</v>
      </c>
      <c r="AD23" s="65" t="n">
        <f aca="false">IF(AND(E23&lt;&gt;"",E23&gt;=Controls!$B$37,E23&lt;=Controls!$B$38),1,0)</f>
        <v>1</v>
      </c>
      <c r="AE23" s="65" t="n">
        <f aca="false">IF(IFERROR(VLOOKUP(D23,Controls!$A$64:$E$74,2,FALSE()),"No")="Yes",1,0)</f>
        <v>0</v>
      </c>
      <c r="AF23" s="65" t="n">
        <f aca="false">IF(IFERROR(VLOOKUP(D23,Controls!$A$64:$E$74,3,FALSE()),"No")="Yes",1,0)</f>
        <v>1</v>
      </c>
      <c r="AG23" s="65" t="n">
        <f aca="false">IF(IFERROR(VLOOKUP(D23,Controls!$A$64:$E$74,4,FALSE()),"No")="Yes",1,0)</f>
        <v>1</v>
      </c>
      <c r="AH23" s="65" t="n">
        <f aca="false">IF(IFERROR(VLOOKUP(D23,Controls!$A$64:$E$74,5,FALSE()),"No")="Yes",1,0)</f>
        <v>0</v>
      </c>
      <c r="AI23" s="65" t="n">
        <f aca="false">IF(ISNUMBER(MATCH(D23,Controls!$A$64:$A$74,0)),1,0)</f>
        <v>1</v>
      </c>
      <c r="AJ23" s="65" t="n">
        <f aca="false">Q23-N23</f>
        <v>4900</v>
      </c>
      <c r="AK23" s="65" t="n">
        <f aca="false">IF(AE23=1,MAX(0,N23-Q23),0)</f>
        <v>0</v>
      </c>
      <c r="AL23" s="65" t="n">
        <f aca="false">IF(OR(V23="",V23=0),0,N23/V23)</f>
        <v>0</v>
      </c>
      <c r="AM23" s="65" t="n">
        <f aca="false">IF(OR(V23="",V23=0),0,1)</f>
        <v>0</v>
      </c>
      <c r="AN23" s="65" t="n">
        <f aca="false">IF(OR(E23="",F23=""),0,NETWORKDAYS(E23,F23,Ref!$K$2:$K$42))</f>
        <v>55</v>
      </c>
      <c r="AO23" s="65" t="n">
        <f aca="false">IF(L23="Renewal",1,0)</f>
        <v>0</v>
      </c>
      <c r="AP23" s="65" t="n">
        <f aca="false">AC23*AD23</f>
        <v>1</v>
      </c>
      <c r="AQ23" s="65" t="n">
        <f aca="false">IF(AND(G23&lt;&gt;"",'Historical Score'!$C$6&lt;&gt;""),IF(G23='Historical Score'!$C$6,1,0),0)</f>
        <v>0</v>
      </c>
      <c r="AR23" s="65" t="n">
        <f aca="false">IF(AND(L23&lt;&gt;"",'Historical Score'!$C$5&lt;&gt;""),IF(L23='Historical Score'!$C$5,1,0),0)</f>
        <v>1</v>
      </c>
      <c r="AS23" s="65" t="n">
        <f aca="false">IF(AND(Y23&lt;&gt;"",'Historical Score'!$C$7&lt;&gt;""),IF(Y23='Historical Score'!$C$7,1,0),0)</f>
        <v>0</v>
      </c>
      <c r="AT23" s="65" t="n">
        <f aca="false">IF(AND(K23&lt;&gt;"",'Historical Score'!$C$8&lt;&gt;""),IF(K23='Historical Score'!$C$8,1,0),0)</f>
        <v>0</v>
      </c>
      <c r="AU23" s="65" t="n">
        <f aca="false">IF(AND(J23&lt;&gt;"",'Historical Score'!$C$9&lt;&gt;""),IF(J23='Historical Score'!$C$9,1,0),0)</f>
        <v>1</v>
      </c>
      <c r="AV23" s="65" t="n">
        <f aca="false">AR23*AS23*AQ23</f>
        <v>0</v>
      </c>
      <c r="AW23" s="65" t="n">
        <f aca="false">AR23*AT23*AQ23</f>
        <v>0</v>
      </c>
      <c r="AX23" s="65" t="n">
        <f aca="false">AR23*AS23</f>
        <v>0</v>
      </c>
      <c r="AY23" s="65" t="n">
        <f aca="false">AR23*AT23</f>
        <v>0</v>
      </c>
      <c r="AZ23" s="65" t="n">
        <f aca="false">AR23*AQ23</f>
        <v>0</v>
      </c>
      <c r="BA23" s="65" t="n">
        <f aca="false">AR23</f>
        <v>1</v>
      </c>
      <c r="BB23" s="65" t="n">
        <f aca="false">1</f>
        <v>1</v>
      </c>
      <c r="BC23" s="65" t="n">
        <f aca="false">IF(AV23=1,1,IF(AW23=1,2,IF(AX23=1,3,IF(AY23=1,4,IF(AZ23=1,5,IF(BA23=1,6,7))))))</f>
        <v>6</v>
      </c>
      <c r="BD23" s="65" t="n">
        <f aca="false">IF(AD23=1,CHOOSE('Historical Score'!$C$29,AV23,AW23,AX23,AY23,AZ23,BA23,BB23),0)</f>
        <v>0</v>
      </c>
      <c r="BE23" s="65" t="str">
        <f aca="false">IF(BD23=1,COUNTIF($BD$2:BD23,1),"")</f>
        <v/>
      </c>
    </row>
    <row r="24" customFormat="false" ht="15" hidden="false" customHeight="false" outlineLevel="0" collapsed="false">
      <c r="A24" s="65" t="s">
        <v>461</v>
      </c>
      <c r="B24" s="65" t="s">
        <v>462</v>
      </c>
      <c r="C24" s="65" t="s">
        <v>462</v>
      </c>
      <c r="D24" s="65" t="s">
        <v>371</v>
      </c>
      <c r="E24" s="112" t="n">
        <v>45700</v>
      </c>
      <c r="F24" s="112" t="n">
        <v>45772</v>
      </c>
      <c r="G24" s="65" t="n">
        <v>1</v>
      </c>
      <c r="H24" s="65" t="s">
        <v>463</v>
      </c>
      <c r="I24" s="65" t="s">
        <v>419</v>
      </c>
      <c r="J24" s="65" t="s">
        <v>464</v>
      </c>
      <c r="K24" s="65" t="s">
        <v>465</v>
      </c>
      <c r="L24" s="65" t="s">
        <v>64</v>
      </c>
      <c r="M24" s="113" t="n">
        <v>1.499</v>
      </c>
      <c r="N24" s="114" t="n">
        <v>5000</v>
      </c>
      <c r="O24" s="114" t="n">
        <v>700</v>
      </c>
      <c r="P24" s="114" t="n">
        <v>7495</v>
      </c>
      <c r="Q24" s="114" t="n">
        <v>7495</v>
      </c>
      <c r="R24" s="114" t="n">
        <v>9.09494701772928E-013</v>
      </c>
      <c r="S24" s="115" t="n">
        <v>1</v>
      </c>
      <c r="T24" s="65" t="n">
        <v>2.295</v>
      </c>
      <c r="U24" s="65" t="n">
        <v>1</v>
      </c>
      <c r="W24" s="115" t="n">
        <v>0.05</v>
      </c>
      <c r="X24" s="112" t="n">
        <v>45026</v>
      </c>
      <c r="Y24" s="65" t="str">
        <f aca="false">IF(I24="","No SIC",IFERROR(VLOOKUP(I24,Ref!$A$2:$B$65,2,FALSE()),"Unclassified"))</f>
        <v>Business Services</v>
      </c>
      <c r="Z24" s="65" t="str">
        <f aca="false">IF(T24="","",IF(T24&lt;12,"Daily","Weekly"))</f>
        <v>Daily</v>
      </c>
      <c r="AA24" s="65" t="n">
        <f aca="false">IF(T24="",0,IF(T24&lt;12,T24*Controls!$B$29,T24*5))</f>
        <v>49.698225</v>
      </c>
      <c r="AB24" s="65" t="n">
        <f aca="false">IF(E24="",0,NETWORKDAYS(E24,Controls!$B$36,Ref!$K$2:$K$42))</f>
        <v>386</v>
      </c>
      <c r="AC24" s="65" t="n">
        <f aca="false">IF(AND(AA24&gt;0,AB24&gt;=Controls!$B$39*AA24),1,0)</f>
        <v>1</v>
      </c>
      <c r="AD24" s="65" t="n">
        <f aca="false">IF(AND(E24&lt;&gt;"",E24&gt;=Controls!$B$37,E24&lt;=Controls!$B$38),1,0)</f>
        <v>1</v>
      </c>
      <c r="AE24" s="65" t="n">
        <f aca="false">IF(IFERROR(VLOOKUP(D24,Controls!$A$64:$E$74,2,FALSE()),"No")="Yes",1,0)</f>
        <v>0</v>
      </c>
      <c r="AF24" s="65" t="n">
        <f aca="false">IF(IFERROR(VLOOKUP(D24,Controls!$A$64:$E$74,3,FALSE()),"No")="Yes",1,0)</f>
        <v>1</v>
      </c>
      <c r="AG24" s="65" t="n">
        <f aca="false">IF(IFERROR(VLOOKUP(D24,Controls!$A$64:$E$74,4,FALSE()),"No")="Yes",1,0)</f>
        <v>1</v>
      </c>
      <c r="AH24" s="65" t="n">
        <f aca="false">IF(IFERROR(VLOOKUP(D24,Controls!$A$64:$E$74,5,FALSE()),"No")="Yes",1,0)</f>
        <v>0</v>
      </c>
      <c r="AI24" s="65" t="n">
        <f aca="false">IF(ISNUMBER(MATCH(D24,Controls!$A$64:$A$74,0)),1,0)</f>
        <v>1</v>
      </c>
      <c r="AJ24" s="65" t="n">
        <f aca="false">Q24-N24</f>
        <v>2495</v>
      </c>
      <c r="AK24" s="65" t="n">
        <f aca="false">IF(AE24=1,MAX(0,N24-Q24),0)</f>
        <v>0</v>
      </c>
      <c r="AL24" s="65" t="n">
        <f aca="false">IF(OR(V24="",V24=0),0,N24/V24)</f>
        <v>0</v>
      </c>
      <c r="AM24" s="65" t="n">
        <f aca="false">IF(OR(V24="",V24=0),0,1)</f>
        <v>0</v>
      </c>
      <c r="AN24" s="65" t="n">
        <f aca="false">IF(OR(E24="",F24=""),0,NETWORKDAYS(E24,F24,Ref!$K$2:$K$42))</f>
        <v>52</v>
      </c>
      <c r="AO24" s="65" t="n">
        <f aca="false">IF(L24="Renewal",1,0)</f>
        <v>0</v>
      </c>
      <c r="AP24" s="65" t="n">
        <f aca="false">AC24*AD24</f>
        <v>1</v>
      </c>
      <c r="AQ24" s="65" t="n">
        <f aca="false">IF(AND(G24&lt;&gt;"",'Historical Score'!$C$6&lt;&gt;""),IF(G24='Historical Score'!$C$6,1,0),0)</f>
        <v>0</v>
      </c>
      <c r="AR24" s="65" t="n">
        <f aca="false">IF(AND(L24&lt;&gt;"",'Historical Score'!$C$5&lt;&gt;""),IF(L24='Historical Score'!$C$5,1,0),0)</f>
        <v>1</v>
      </c>
      <c r="AS24" s="65" t="n">
        <f aca="false">IF(AND(Y24&lt;&gt;"",'Historical Score'!$C$7&lt;&gt;""),IF(Y24='Historical Score'!$C$7,1,0),0)</f>
        <v>0</v>
      </c>
      <c r="AT24" s="65" t="n">
        <f aca="false">IF(AND(K24&lt;&gt;"",'Historical Score'!$C$8&lt;&gt;""),IF(K24='Historical Score'!$C$8,1,0),0)</f>
        <v>0</v>
      </c>
      <c r="AU24" s="65" t="n">
        <f aca="false">IF(AND(J24&lt;&gt;"",'Historical Score'!$C$9&lt;&gt;""),IF(J24='Historical Score'!$C$9,1,0),0)</f>
        <v>0</v>
      </c>
      <c r="AV24" s="65" t="n">
        <f aca="false">AR24*AS24*AQ24</f>
        <v>0</v>
      </c>
      <c r="AW24" s="65" t="n">
        <f aca="false">AR24*AT24*AQ24</f>
        <v>0</v>
      </c>
      <c r="AX24" s="65" t="n">
        <f aca="false">AR24*AS24</f>
        <v>0</v>
      </c>
      <c r="AY24" s="65" t="n">
        <f aca="false">AR24*AT24</f>
        <v>0</v>
      </c>
      <c r="AZ24" s="65" t="n">
        <f aca="false">AR24*AQ24</f>
        <v>0</v>
      </c>
      <c r="BA24" s="65" t="n">
        <f aca="false">AR24</f>
        <v>1</v>
      </c>
      <c r="BB24" s="65" t="n">
        <f aca="false">1</f>
        <v>1</v>
      </c>
      <c r="BC24" s="65" t="n">
        <f aca="false">IF(AV24=1,1,IF(AW24=1,2,IF(AX24=1,3,IF(AY24=1,4,IF(AZ24=1,5,IF(BA24=1,6,7))))))</f>
        <v>6</v>
      </c>
      <c r="BD24" s="65" t="n">
        <f aca="false">IF(AD24=1,CHOOSE('Historical Score'!$C$29,AV24,AW24,AX24,AY24,AZ24,BA24,BB24),0)</f>
        <v>0</v>
      </c>
      <c r="BE24" s="65" t="str">
        <f aca="false">IF(BD24=1,COUNTIF($BD$2:BD24,1),"")</f>
        <v/>
      </c>
    </row>
    <row r="25" customFormat="false" ht="15" hidden="false" customHeight="false" outlineLevel="0" collapsed="false">
      <c r="A25" s="65" t="s">
        <v>466</v>
      </c>
      <c r="B25" s="65" t="s">
        <v>467</v>
      </c>
      <c r="C25" s="65" t="s">
        <v>467</v>
      </c>
      <c r="D25" s="65" t="s">
        <v>340</v>
      </c>
      <c r="E25" s="112" t="n">
        <v>45702</v>
      </c>
      <c r="F25" s="112" t="n">
        <v>45820</v>
      </c>
      <c r="G25" s="65" t="n">
        <v>3</v>
      </c>
      <c r="H25" s="65" t="s">
        <v>468</v>
      </c>
      <c r="I25" s="65" t="s">
        <v>469</v>
      </c>
      <c r="J25" s="65" t="s">
        <v>470</v>
      </c>
      <c r="K25" s="65" t="s">
        <v>456</v>
      </c>
      <c r="L25" s="65" t="s">
        <v>320</v>
      </c>
      <c r="M25" s="113" t="n">
        <v>1.49</v>
      </c>
      <c r="N25" s="114" t="n">
        <v>22500</v>
      </c>
      <c r="O25" s="114" t="n">
        <v>3150</v>
      </c>
      <c r="P25" s="114" t="n">
        <v>33525</v>
      </c>
      <c r="Q25" s="114" t="n">
        <v>3924.41</v>
      </c>
      <c r="R25" s="114" t="n">
        <v>29600.59</v>
      </c>
      <c r="S25" s="115" t="n">
        <v>0.117059209545116</v>
      </c>
      <c r="T25" s="65" t="n">
        <v>28</v>
      </c>
      <c r="U25" s="65" t="n">
        <v>4</v>
      </c>
      <c r="W25" s="115" t="n">
        <v>0.1251</v>
      </c>
      <c r="X25" s="112" t="n">
        <v>39932</v>
      </c>
      <c r="Y25" s="65" t="str">
        <f aca="false">IF(I25="","No SIC",IFERROR(VLOOKUP(I25,Ref!$A$2:$B$65,2,FALSE()),"Unclassified"))</f>
        <v>Heavy Construction</v>
      </c>
      <c r="Z25" s="65" t="str">
        <f aca="false">IF(T25="","",IF(T25&lt;12,"Daily","Weekly"))</f>
        <v>Weekly</v>
      </c>
      <c r="AA25" s="65" t="n">
        <f aca="false">IF(T25="",0,IF(T25&lt;12,T25*Controls!$B$29,T25*5))</f>
        <v>140</v>
      </c>
      <c r="AB25" s="65" t="n">
        <f aca="false">IF(E25="",0,NETWORKDAYS(E25,Controls!$B$36,Ref!$K$2:$K$42))</f>
        <v>384</v>
      </c>
      <c r="AC25" s="65" t="n">
        <f aca="false">IF(AND(AA25&gt;0,AB25&gt;=Controls!$B$39*AA25),1,0)</f>
        <v>1</v>
      </c>
      <c r="AD25" s="65" t="n">
        <f aca="false">IF(AND(E25&lt;&gt;"",E25&gt;=Controls!$B$37,E25&lt;=Controls!$B$38),1,0)</f>
        <v>1</v>
      </c>
      <c r="AE25" s="65" t="n">
        <f aca="false">IF(IFERROR(VLOOKUP(D25,Controls!$A$64:$E$74,2,FALSE()),"No")="Yes",1,0)</f>
        <v>1</v>
      </c>
      <c r="AF25" s="65" t="n">
        <f aca="false">IF(IFERROR(VLOOKUP(D25,Controls!$A$64:$E$74,3,FALSE()),"No")="Yes",1,0)</f>
        <v>0</v>
      </c>
      <c r="AG25" s="65" t="n">
        <f aca="false">IF(IFERROR(VLOOKUP(D25,Controls!$A$64:$E$74,4,FALSE()),"No")="Yes",1,0)</f>
        <v>0</v>
      </c>
      <c r="AH25" s="65" t="n">
        <f aca="false">IF(IFERROR(VLOOKUP(D25,Controls!$A$64:$E$74,5,FALSE()),"No")="Yes",1,0)</f>
        <v>0</v>
      </c>
      <c r="AI25" s="65" t="n">
        <f aca="false">IF(ISNUMBER(MATCH(D25,Controls!$A$64:$A$74,0)),1,0)</f>
        <v>1</v>
      </c>
      <c r="AJ25" s="65" t="n">
        <f aca="false">Q25-N25</f>
        <v>-18575.59</v>
      </c>
      <c r="AK25" s="65" t="n">
        <f aca="false">IF(AE25=1,MAX(0,N25-Q25),0)</f>
        <v>18575.59</v>
      </c>
      <c r="AL25" s="65" t="n">
        <f aca="false">IF(OR(V25="",V25=0),0,N25/V25)</f>
        <v>0</v>
      </c>
      <c r="AM25" s="65" t="n">
        <f aca="false">IF(OR(V25="",V25=0),0,1)</f>
        <v>0</v>
      </c>
      <c r="AN25" s="65" t="n">
        <f aca="false">IF(OR(E25="",F25=""),0,NETWORKDAYS(E25,F25,Ref!$K$2:$K$42))</f>
        <v>83</v>
      </c>
      <c r="AO25" s="65" t="n">
        <f aca="false">IF(L25="Renewal",1,0)</f>
        <v>1</v>
      </c>
      <c r="AP25" s="65" t="n">
        <f aca="false">AC25*AD25</f>
        <v>1</v>
      </c>
      <c r="AQ25" s="65" t="n">
        <f aca="false">IF(AND(G25&lt;&gt;"",'Historical Score'!$C$6&lt;&gt;""),IF(G25='Historical Score'!$C$6,1,0),0)</f>
        <v>0</v>
      </c>
      <c r="AR25" s="65" t="n">
        <f aca="false">IF(AND(L25&lt;&gt;"",'Historical Score'!$C$5&lt;&gt;""),IF(L25='Historical Score'!$C$5,1,0),0)</f>
        <v>0</v>
      </c>
      <c r="AS25" s="65" t="n">
        <f aca="false">IF(AND(Y25&lt;&gt;"",'Historical Score'!$C$7&lt;&gt;""),IF(Y25='Historical Score'!$C$7,1,0),0)</f>
        <v>0</v>
      </c>
      <c r="AT25" s="65" t="n">
        <f aca="false">IF(AND(K25&lt;&gt;"",'Historical Score'!$C$8&lt;&gt;""),IF(K25='Historical Score'!$C$8,1,0),0)</f>
        <v>0</v>
      </c>
      <c r="AU25" s="65" t="n">
        <f aca="false">IF(AND(J25&lt;&gt;"",'Historical Score'!$C$9&lt;&gt;""),IF(J25='Historical Score'!$C$9,1,0),0)</f>
        <v>0</v>
      </c>
      <c r="AV25" s="65" t="n">
        <f aca="false">AR25*AS25*AQ25</f>
        <v>0</v>
      </c>
      <c r="AW25" s="65" t="n">
        <f aca="false">AR25*AT25*AQ25</f>
        <v>0</v>
      </c>
      <c r="AX25" s="65" t="n">
        <f aca="false">AR25*AS25</f>
        <v>0</v>
      </c>
      <c r="AY25" s="65" t="n">
        <f aca="false">AR25*AT25</f>
        <v>0</v>
      </c>
      <c r="AZ25" s="65" t="n">
        <f aca="false">AR25*AQ25</f>
        <v>0</v>
      </c>
      <c r="BA25" s="65" t="n">
        <f aca="false">AR25</f>
        <v>0</v>
      </c>
      <c r="BB25" s="65" t="n">
        <f aca="false">1</f>
        <v>1</v>
      </c>
      <c r="BC25" s="65" t="n">
        <f aca="false">IF(AV25=1,1,IF(AW25=1,2,IF(AX25=1,3,IF(AY25=1,4,IF(AZ25=1,5,IF(BA25=1,6,7))))))</f>
        <v>7</v>
      </c>
      <c r="BD25" s="65" t="n">
        <f aca="false">IF(AD25=1,CHOOSE('Historical Score'!$C$29,AV25,AW25,AX25,AY25,AZ25,BA25,BB25),0)</f>
        <v>0</v>
      </c>
      <c r="BE25" s="65" t="str">
        <f aca="false">IF(BD25=1,COUNTIF($BD$2:BD25,1),"")</f>
        <v/>
      </c>
    </row>
    <row r="26" customFormat="false" ht="15" hidden="false" customHeight="false" outlineLevel="0" collapsed="false">
      <c r="A26" s="65" t="s">
        <v>471</v>
      </c>
      <c r="B26" s="65" t="s">
        <v>472</v>
      </c>
      <c r="C26" s="65" t="s">
        <v>473</v>
      </c>
      <c r="D26" s="65" t="s">
        <v>340</v>
      </c>
      <c r="E26" s="112" t="n">
        <v>45702</v>
      </c>
      <c r="F26" s="112" t="n">
        <v>45735</v>
      </c>
      <c r="G26" s="65" t="n">
        <v>4</v>
      </c>
      <c r="H26" s="65" t="s">
        <v>474</v>
      </c>
      <c r="I26" s="65" t="s">
        <v>475</v>
      </c>
      <c r="J26" s="65" t="s">
        <v>380</v>
      </c>
      <c r="K26" s="65" t="s">
        <v>476</v>
      </c>
      <c r="L26" s="65" t="s">
        <v>320</v>
      </c>
      <c r="M26" s="113" t="n">
        <v>1.49</v>
      </c>
      <c r="N26" s="114" t="n">
        <v>20000</v>
      </c>
      <c r="O26" s="114" t="n">
        <v>2800</v>
      </c>
      <c r="P26" s="114" t="n">
        <v>29800</v>
      </c>
      <c r="Q26" s="114" t="n">
        <v>5962.36</v>
      </c>
      <c r="R26" s="114" t="n">
        <v>23837.64</v>
      </c>
      <c r="S26" s="115" t="n">
        <v>0.200079194630873</v>
      </c>
      <c r="T26" s="65" t="n">
        <v>20</v>
      </c>
      <c r="U26" s="65" t="n">
        <v>1</v>
      </c>
      <c r="W26" s="115" t="n">
        <v>0.0964</v>
      </c>
      <c r="X26" s="112" t="n">
        <v>43617</v>
      </c>
      <c r="Y26" s="65" t="str">
        <f aca="false">IF(I26="","No SIC",IFERROR(VLOOKUP(I26,Ref!$A$2:$B$65,2,FALSE()),"Unclassified"))</f>
        <v>Auto Repair &amp; Services</v>
      </c>
      <c r="Z26" s="65" t="str">
        <f aca="false">IF(T26="","",IF(T26&lt;12,"Daily","Weekly"))</f>
        <v>Weekly</v>
      </c>
      <c r="AA26" s="65" t="n">
        <f aca="false">IF(T26="",0,IF(T26&lt;12,T26*Controls!$B$29,T26*5))</f>
        <v>100</v>
      </c>
      <c r="AB26" s="65" t="n">
        <f aca="false">IF(E26="",0,NETWORKDAYS(E26,Controls!$B$36,Ref!$K$2:$K$42))</f>
        <v>384</v>
      </c>
      <c r="AC26" s="65" t="n">
        <f aca="false">IF(AND(AA26&gt;0,AB26&gt;=Controls!$B$39*AA26),1,0)</f>
        <v>1</v>
      </c>
      <c r="AD26" s="65" t="n">
        <f aca="false">IF(AND(E26&lt;&gt;"",E26&gt;=Controls!$B$37,E26&lt;=Controls!$B$38),1,0)</f>
        <v>1</v>
      </c>
      <c r="AE26" s="65" t="n">
        <f aca="false">IF(IFERROR(VLOOKUP(D26,Controls!$A$64:$E$74,2,FALSE()),"No")="Yes",1,0)</f>
        <v>1</v>
      </c>
      <c r="AF26" s="65" t="n">
        <f aca="false">IF(IFERROR(VLOOKUP(D26,Controls!$A$64:$E$74,3,FALSE()),"No")="Yes",1,0)</f>
        <v>0</v>
      </c>
      <c r="AG26" s="65" t="n">
        <f aca="false">IF(IFERROR(VLOOKUP(D26,Controls!$A$64:$E$74,4,FALSE()),"No")="Yes",1,0)</f>
        <v>0</v>
      </c>
      <c r="AH26" s="65" t="n">
        <f aca="false">IF(IFERROR(VLOOKUP(D26,Controls!$A$64:$E$74,5,FALSE()),"No")="Yes",1,0)</f>
        <v>0</v>
      </c>
      <c r="AI26" s="65" t="n">
        <f aca="false">IF(ISNUMBER(MATCH(D26,Controls!$A$64:$A$74,0)),1,0)</f>
        <v>1</v>
      </c>
      <c r="AJ26" s="65" t="n">
        <f aca="false">Q26-N26</f>
        <v>-14037.64</v>
      </c>
      <c r="AK26" s="65" t="n">
        <f aca="false">IF(AE26=1,MAX(0,N26-Q26),0)</f>
        <v>14037.64</v>
      </c>
      <c r="AL26" s="65" t="n">
        <f aca="false">IF(OR(V26="",V26=0),0,N26/V26)</f>
        <v>0</v>
      </c>
      <c r="AM26" s="65" t="n">
        <f aca="false">IF(OR(V26="",V26=0),0,1)</f>
        <v>0</v>
      </c>
      <c r="AN26" s="65" t="n">
        <f aca="false">IF(OR(E26="",F26=""),0,NETWORKDAYS(E26,F26,Ref!$K$2:$K$42))</f>
        <v>23</v>
      </c>
      <c r="AO26" s="65" t="n">
        <f aca="false">IF(L26="Renewal",1,0)</f>
        <v>1</v>
      </c>
      <c r="AP26" s="65" t="n">
        <f aca="false">AC26*AD26</f>
        <v>1</v>
      </c>
      <c r="AQ26" s="65" t="n">
        <f aca="false">IF(AND(G26&lt;&gt;"",'Historical Score'!$C$6&lt;&gt;""),IF(G26='Historical Score'!$C$6,1,0),0)</f>
        <v>0</v>
      </c>
      <c r="AR26" s="65" t="n">
        <f aca="false">IF(AND(L26&lt;&gt;"",'Historical Score'!$C$5&lt;&gt;""),IF(L26='Historical Score'!$C$5,1,0),0)</f>
        <v>0</v>
      </c>
      <c r="AS26" s="65" t="n">
        <f aca="false">IF(AND(Y26&lt;&gt;"",'Historical Score'!$C$7&lt;&gt;""),IF(Y26='Historical Score'!$C$7,1,0),0)</f>
        <v>0</v>
      </c>
      <c r="AT26" s="65" t="n">
        <f aca="false">IF(AND(K26&lt;&gt;"",'Historical Score'!$C$8&lt;&gt;""),IF(K26='Historical Score'!$C$8,1,0),0)</f>
        <v>0</v>
      </c>
      <c r="AU26" s="65" t="n">
        <f aca="false">IF(AND(J26&lt;&gt;"",'Historical Score'!$C$9&lt;&gt;""),IF(J26='Historical Score'!$C$9,1,0),0)</f>
        <v>0</v>
      </c>
      <c r="AV26" s="65" t="n">
        <f aca="false">AR26*AS26*AQ26</f>
        <v>0</v>
      </c>
      <c r="AW26" s="65" t="n">
        <f aca="false">AR26*AT26*AQ26</f>
        <v>0</v>
      </c>
      <c r="AX26" s="65" t="n">
        <f aca="false">AR26*AS26</f>
        <v>0</v>
      </c>
      <c r="AY26" s="65" t="n">
        <f aca="false">AR26*AT26</f>
        <v>0</v>
      </c>
      <c r="AZ26" s="65" t="n">
        <f aca="false">AR26*AQ26</f>
        <v>0</v>
      </c>
      <c r="BA26" s="65" t="n">
        <f aca="false">AR26</f>
        <v>0</v>
      </c>
      <c r="BB26" s="65" t="n">
        <f aca="false">1</f>
        <v>1</v>
      </c>
      <c r="BC26" s="65" t="n">
        <f aca="false">IF(AV26=1,1,IF(AW26=1,2,IF(AX26=1,3,IF(AY26=1,4,IF(AZ26=1,5,IF(BA26=1,6,7))))))</f>
        <v>7</v>
      </c>
      <c r="BD26" s="65" t="n">
        <f aca="false">IF(AD26=1,CHOOSE('Historical Score'!$C$29,AV26,AW26,AX26,AY26,AZ26,BA26,BB26),0)</f>
        <v>0</v>
      </c>
      <c r="BE26" s="65" t="str">
        <f aca="false">IF(BD26=1,COUNTIF($BD$2:BD26,1),"")</f>
        <v/>
      </c>
    </row>
    <row r="27" customFormat="false" ht="15" hidden="false" customHeight="false" outlineLevel="0" collapsed="false">
      <c r="A27" s="65" t="s">
        <v>477</v>
      </c>
      <c r="B27" s="65" t="s">
        <v>478</v>
      </c>
      <c r="C27" s="65" t="s">
        <v>478</v>
      </c>
      <c r="D27" s="65" t="s">
        <v>340</v>
      </c>
      <c r="E27" s="112" t="n">
        <v>45702</v>
      </c>
      <c r="F27" s="112" t="n">
        <v>45715</v>
      </c>
      <c r="G27" s="65" t="n">
        <v>3</v>
      </c>
      <c r="H27" s="65" t="s">
        <v>479</v>
      </c>
      <c r="I27" s="65" t="s">
        <v>356</v>
      </c>
      <c r="J27" s="65" t="s">
        <v>410</v>
      </c>
      <c r="K27" s="65" t="s">
        <v>465</v>
      </c>
      <c r="L27" s="65" t="s">
        <v>64</v>
      </c>
      <c r="M27" s="113" t="n">
        <v>1.35</v>
      </c>
      <c r="N27" s="114" t="n">
        <v>10000</v>
      </c>
      <c r="O27" s="114" t="n">
        <v>0</v>
      </c>
      <c r="P27" s="114" t="n">
        <v>13500</v>
      </c>
      <c r="Q27" s="114" t="n">
        <v>843.2</v>
      </c>
      <c r="R27" s="114" t="n">
        <v>12656.8</v>
      </c>
      <c r="S27" s="115" t="n">
        <v>0.0624592592592593</v>
      </c>
      <c r="T27" s="65" t="n">
        <v>2.623</v>
      </c>
      <c r="U27" s="65" t="n">
        <v>3</v>
      </c>
      <c r="W27" s="115" t="n">
        <v>0.0689</v>
      </c>
      <c r="X27" s="112" t="n">
        <v>43894</v>
      </c>
      <c r="Y27" s="65" t="str">
        <f aca="false">IF(I27="","No SIC",IFERROR(VLOOKUP(I27,Ref!$A$2:$B$65,2,FALSE()),"Unclassified"))</f>
        <v>Trucking &amp; Warehousing</v>
      </c>
      <c r="Z27" s="65" t="str">
        <f aca="false">IF(T27="","",IF(T27&lt;12,"Daily","Weekly"))</f>
        <v>Daily</v>
      </c>
      <c r="AA27" s="65" t="n">
        <f aca="false">IF(T27="",0,IF(T27&lt;12,T27*Controls!$B$29,T27*5))</f>
        <v>56.801065</v>
      </c>
      <c r="AB27" s="65" t="n">
        <f aca="false">IF(E27="",0,NETWORKDAYS(E27,Controls!$B$36,Ref!$K$2:$K$42))</f>
        <v>384</v>
      </c>
      <c r="AC27" s="65" t="n">
        <f aca="false">IF(AND(AA27&gt;0,AB27&gt;=Controls!$B$39*AA27),1,0)</f>
        <v>1</v>
      </c>
      <c r="AD27" s="65" t="n">
        <f aca="false">IF(AND(E27&lt;&gt;"",E27&gt;=Controls!$B$37,E27&lt;=Controls!$B$38),1,0)</f>
        <v>1</v>
      </c>
      <c r="AE27" s="65" t="n">
        <f aca="false">IF(IFERROR(VLOOKUP(D27,Controls!$A$64:$E$74,2,FALSE()),"No")="Yes",1,0)</f>
        <v>1</v>
      </c>
      <c r="AF27" s="65" t="n">
        <f aca="false">IF(IFERROR(VLOOKUP(D27,Controls!$A$64:$E$74,3,FALSE()),"No")="Yes",1,0)</f>
        <v>0</v>
      </c>
      <c r="AG27" s="65" t="n">
        <f aca="false">IF(IFERROR(VLOOKUP(D27,Controls!$A$64:$E$74,4,FALSE()),"No")="Yes",1,0)</f>
        <v>0</v>
      </c>
      <c r="AH27" s="65" t="n">
        <f aca="false">IF(IFERROR(VLOOKUP(D27,Controls!$A$64:$E$74,5,FALSE()),"No")="Yes",1,0)</f>
        <v>0</v>
      </c>
      <c r="AI27" s="65" t="n">
        <f aca="false">IF(ISNUMBER(MATCH(D27,Controls!$A$64:$A$74,0)),1,0)</f>
        <v>1</v>
      </c>
      <c r="AJ27" s="65" t="n">
        <f aca="false">Q27-N27</f>
        <v>-9156.8</v>
      </c>
      <c r="AK27" s="65" t="n">
        <f aca="false">IF(AE27=1,MAX(0,N27-Q27),0)</f>
        <v>9156.8</v>
      </c>
      <c r="AL27" s="65" t="n">
        <f aca="false">IF(OR(V27="",V27=0),0,N27/V27)</f>
        <v>0</v>
      </c>
      <c r="AM27" s="65" t="n">
        <f aca="false">IF(OR(V27="",V27=0),0,1)</f>
        <v>0</v>
      </c>
      <c r="AN27" s="65" t="n">
        <f aca="false">IF(OR(E27="",F27=""),0,NETWORKDAYS(E27,F27,Ref!$K$2:$K$42))</f>
        <v>9</v>
      </c>
      <c r="AO27" s="65" t="n">
        <f aca="false">IF(L27="Renewal",1,0)</f>
        <v>0</v>
      </c>
      <c r="AP27" s="65" t="n">
        <f aca="false">AC27*AD27</f>
        <v>1</v>
      </c>
      <c r="AQ27" s="65" t="n">
        <f aca="false">IF(AND(G27&lt;&gt;"",'Historical Score'!$C$6&lt;&gt;""),IF(G27='Historical Score'!$C$6,1,0),0)</f>
        <v>0</v>
      </c>
      <c r="AR27" s="65" t="n">
        <f aca="false">IF(AND(L27&lt;&gt;"",'Historical Score'!$C$5&lt;&gt;""),IF(L27='Historical Score'!$C$5,1,0),0)</f>
        <v>1</v>
      </c>
      <c r="AS27" s="65" t="n">
        <f aca="false">IF(AND(Y27&lt;&gt;"",'Historical Score'!$C$7&lt;&gt;""),IF(Y27='Historical Score'!$C$7,1,0),0)</f>
        <v>0</v>
      </c>
      <c r="AT27" s="65" t="n">
        <f aca="false">IF(AND(K27&lt;&gt;"",'Historical Score'!$C$8&lt;&gt;""),IF(K27='Historical Score'!$C$8,1,0),0)</f>
        <v>0</v>
      </c>
      <c r="AU27" s="65" t="n">
        <f aca="false">IF(AND(J27&lt;&gt;"",'Historical Score'!$C$9&lt;&gt;""),IF(J27='Historical Score'!$C$9,1,0),0)</f>
        <v>0</v>
      </c>
      <c r="AV27" s="65" t="n">
        <f aca="false">AR27*AS27*AQ27</f>
        <v>0</v>
      </c>
      <c r="AW27" s="65" t="n">
        <f aca="false">AR27*AT27*AQ27</f>
        <v>0</v>
      </c>
      <c r="AX27" s="65" t="n">
        <f aca="false">AR27*AS27</f>
        <v>0</v>
      </c>
      <c r="AY27" s="65" t="n">
        <f aca="false">AR27*AT27</f>
        <v>0</v>
      </c>
      <c r="AZ27" s="65" t="n">
        <f aca="false">AR27*AQ27</f>
        <v>0</v>
      </c>
      <c r="BA27" s="65" t="n">
        <f aca="false">AR27</f>
        <v>1</v>
      </c>
      <c r="BB27" s="65" t="n">
        <f aca="false">1</f>
        <v>1</v>
      </c>
      <c r="BC27" s="65" t="n">
        <f aca="false">IF(AV27=1,1,IF(AW27=1,2,IF(AX27=1,3,IF(AY27=1,4,IF(AZ27=1,5,IF(BA27=1,6,7))))))</f>
        <v>6</v>
      </c>
      <c r="BD27" s="65" t="n">
        <f aca="false">IF(AD27=1,CHOOSE('Historical Score'!$C$29,AV27,AW27,AX27,AY27,AZ27,BA27,BB27),0)</f>
        <v>0</v>
      </c>
      <c r="BE27" s="65" t="str">
        <f aca="false">IF(BD27=1,COUNTIF($BD$2:BD27,1),"")</f>
        <v/>
      </c>
    </row>
    <row r="28" customFormat="false" ht="15" hidden="false" customHeight="false" outlineLevel="0" collapsed="false">
      <c r="A28" s="65" t="s">
        <v>480</v>
      </c>
      <c r="B28" s="65" t="s">
        <v>481</v>
      </c>
      <c r="C28" s="65" t="s">
        <v>482</v>
      </c>
      <c r="D28" s="65" t="s">
        <v>340</v>
      </c>
      <c r="E28" s="112" t="n">
        <v>45705</v>
      </c>
      <c r="F28" s="112" t="n">
        <v>45726</v>
      </c>
      <c r="G28" s="65" t="n">
        <v>6</v>
      </c>
      <c r="H28" s="65" t="s">
        <v>483</v>
      </c>
      <c r="I28" s="65" t="s">
        <v>484</v>
      </c>
      <c r="J28" s="65" t="s">
        <v>452</v>
      </c>
      <c r="K28" s="65" t="s">
        <v>465</v>
      </c>
      <c r="L28" s="65" t="s">
        <v>64</v>
      </c>
      <c r="M28" s="113" t="n">
        <v>1.49</v>
      </c>
      <c r="N28" s="114" t="n">
        <v>12000</v>
      </c>
      <c r="O28" s="114" t="n">
        <v>1440</v>
      </c>
      <c r="P28" s="114" t="n">
        <v>17880</v>
      </c>
      <c r="Q28" s="114" t="n">
        <v>2295</v>
      </c>
      <c r="R28" s="114" t="n">
        <v>15585</v>
      </c>
      <c r="S28" s="115" t="n">
        <v>0.128355704697987</v>
      </c>
      <c r="T28" s="65" t="n">
        <v>2.296</v>
      </c>
      <c r="U28" s="65" t="n">
        <v>5</v>
      </c>
      <c r="W28" s="115" t="n">
        <v>0.0493</v>
      </c>
      <c r="X28" s="112" t="n">
        <v>43069</v>
      </c>
      <c r="Y28" s="65" t="str">
        <f aca="false">IF(I28="","No SIC",IFERROR(VLOOKUP(I28,Ref!$A$2:$B$65,2,FALSE()),"Unclassified"))</f>
        <v>Special Trade Contractors</v>
      </c>
      <c r="Z28" s="65" t="str">
        <f aca="false">IF(T28="","",IF(T28&lt;12,"Daily","Weekly"))</f>
        <v>Daily</v>
      </c>
      <c r="AA28" s="65" t="n">
        <f aca="false">IF(T28="",0,IF(T28&lt;12,T28*Controls!$B$29,T28*5))</f>
        <v>49.71988</v>
      </c>
      <c r="AB28" s="65" t="n">
        <f aca="false">IF(E28="",0,NETWORKDAYS(E28,Controls!$B$36,Ref!$K$2:$K$42))</f>
        <v>383</v>
      </c>
      <c r="AC28" s="65" t="n">
        <f aca="false">IF(AND(AA28&gt;0,AB28&gt;=Controls!$B$39*AA28),1,0)</f>
        <v>1</v>
      </c>
      <c r="AD28" s="65" t="n">
        <f aca="false">IF(AND(E28&lt;&gt;"",E28&gt;=Controls!$B$37,E28&lt;=Controls!$B$38),1,0)</f>
        <v>1</v>
      </c>
      <c r="AE28" s="65" t="n">
        <f aca="false">IF(IFERROR(VLOOKUP(D28,Controls!$A$64:$E$74,2,FALSE()),"No")="Yes",1,0)</f>
        <v>1</v>
      </c>
      <c r="AF28" s="65" t="n">
        <f aca="false">IF(IFERROR(VLOOKUP(D28,Controls!$A$64:$E$74,3,FALSE()),"No")="Yes",1,0)</f>
        <v>0</v>
      </c>
      <c r="AG28" s="65" t="n">
        <f aca="false">IF(IFERROR(VLOOKUP(D28,Controls!$A$64:$E$74,4,FALSE()),"No")="Yes",1,0)</f>
        <v>0</v>
      </c>
      <c r="AH28" s="65" t="n">
        <f aca="false">IF(IFERROR(VLOOKUP(D28,Controls!$A$64:$E$74,5,FALSE()),"No")="Yes",1,0)</f>
        <v>0</v>
      </c>
      <c r="AI28" s="65" t="n">
        <f aca="false">IF(ISNUMBER(MATCH(D28,Controls!$A$64:$A$74,0)),1,0)</f>
        <v>1</v>
      </c>
      <c r="AJ28" s="65" t="n">
        <f aca="false">Q28-N28</f>
        <v>-9705</v>
      </c>
      <c r="AK28" s="65" t="n">
        <f aca="false">IF(AE28=1,MAX(0,N28-Q28),0)</f>
        <v>9705</v>
      </c>
      <c r="AL28" s="65" t="n">
        <f aca="false">IF(OR(V28="",V28=0),0,N28/V28)</f>
        <v>0</v>
      </c>
      <c r="AM28" s="65" t="n">
        <f aca="false">IF(OR(V28="",V28=0),0,1)</f>
        <v>0</v>
      </c>
      <c r="AN28" s="65" t="n">
        <f aca="false">IF(OR(E28="",F28=""),0,NETWORKDAYS(E28,F28,Ref!$K$2:$K$42))</f>
        <v>15</v>
      </c>
      <c r="AO28" s="65" t="n">
        <f aca="false">IF(L28="Renewal",1,0)</f>
        <v>0</v>
      </c>
      <c r="AP28" s="65" t="n">
        <f aca="false">AC28*AD28</f>
        <v>1</v>
      </c>
      <c r="AQ28" s="65" t="n">
        <f aca="false">IF(AND(G28&lt;&gt;"",'Historical Score'!$C$6&lt;&gt;""),IF(G28='Historical Score'!$C$6,1,0),0)</f>
        <v>0</v>
      </c>
      <c r="AR28" s="65" t="n">
        <f aca="false">IF(AND(L28&lt;&gt;"",'Historical Score'!$C$5&lt;&gt;""),IF(L28='Historical Score'!$C$5,1,0),0)</f>
        <v>1</v>
      </c>
      <c r="AS28" s="65" t="n">
        <f aca="false">IF(AND(Y28&lt;&gt;"",'Historical Score'!$C$7&lt;&gt;""),IF(Y28='Historical Score'!$C$7,1,0),0)</f>
        <v>0</v>
      </c>
      <c r="AT28" s="65" t="n">
        <f aca="false">IF(AND(K28&lt;&gt;"",'Historical Score'!$C$8&lt;&gt;""),IF(K28='Historical Score'!$C$8,1,0),0)</f>
        <v>0</v>
      </c>
      <c r="AU28" s="65" t="n">
        <f aca="false">IF(AND(J28&lt;&gt;"",'Historical Score'!$C$9&lt;&gt;""),IF(J28='Historical Score'!$C$9,1,0),0)</f>
        <v>0</v>
      </c>
      <c r="AV28" s="65" t="n">
        <f aca="false">AR28*AS28*AQ28</f>
        <v>0</v>
      </c>
      <c r="AW28" s="65" t="n">
        <f aca="false">AR28*AT28*AQ28</f>
        <v>0</v>
      </c>
      <c r="AX28" s="65" t="n">
        <f aca="false">AR28*AS28</f>
        <v>0</v>
      </c>
      <c r="AY28" s="65" t="n">
        <f aca="false">AR28*AT28</f>
        <v>0</v>
      </c>
      <c r="AZ28" s="65" t="n">
        <f aca="false">AR28*AQ28</f>
        <v>0</v>
      </c>
      <c r="BA28" s="65" t="n">
        <f aca="false">AR28</f>
        <v>1</v>
      </c>
      <c r="BB28" s="65" t="n">
        <f aca="false">1</f>
        <v>1</v>
      </c>
      <c r="BC28" s="65" t="n">
        <f aca="false">IF(AV28=1,1,IF(AW28=1,2,IF(AX28=1,3,IF(AY28=1,4,IF(AZ28=1,5,IF(BA28=1,6,7))))))</f>
        <v>6</v>
      </c>
      <c r="BD28" s="65" t="n">
        <f aca="false">IF(AD28=1,CHOOSE('Historical Score'!$C$29,AV28,AW28,AX28,AY28,AZ28,BA28,BB28),0)</f>
        <v>0</v>
      </c>
      <c r="BE28" s="65" t="str">
        <f aca="false">IF(BD28=1,COUNTIF($BD$2:BD28,1),"")</f>
        <v/>
      </c>
    </row>
    <row r="29" customFormat="false" ht="15" hidden="false" customHeight="false" outlineLevel="0" collapsed="false">
      <c r="A29" s="65" t="s">
        <v>485</v>
      </c>
      <c r="B29" s="65" t="s">
        <v>486</v>
      </c>
      <c r="C29" s="65" t="s">
        <v>486</v>
      </c>
      <c r="D29" s="65" t="s">
        <v>340</v>
      </c>
      <c r="E29" s="112" t="n">
        <v>45706</v>
      </c>
      <c r="F29" s="112" t="n">
        <v>45812</v>
      </c>
      <c r="G29" s="65" t="n">
        <v>3</v>
      </c>
      <c r="H29" s="65" t="s">
        <v>487</v>
      </c>
      <c r="I29" s="65" t="s">
        <v>488</v>
      </c>
      <c r="J29" s="65" t="s">
        <v>489</v>
      </c>
      <c r="K29" s="65" t="s">
        <v>387</v>
      </c>
      <c r="L29" s="65" t="s">
        <v>320</v>
      </c>
      <c r="M29" s="113" t="n">
        <v>1.49</v>
      </c>
      <c r="N29" s="114" t="n">
        <v>5000</v>
      </c>
      <c r="O29" s="114" t="n">
        <v>700</v>
      </c>
      <c r="P29" s="114" t="n">
        <v>7450</v>
      </c>
      <c r="Q29" s="114" t="n">
        <v>3339</v>
      </c>
      <c r="R29" s="114" t="n">
        <v>4111</v>
      </c>
      <c r="S29" s="115" t="n">
        <v>0.448187919463087</v>
      </c>
      <c r="T29" s="65" t="n">
        <v>2.295</v>
      </c>
      <c r="U29" s="65" t="n">
        <v>29</v>
      </c>
      <c r="W29" s="115" t="n">
        <v>0.0566</v>
      </c>
      <c r="X29" s="112"/>
      <c r="Y29" s="65" t="str">
        <f aca="false">IF(I29="","No SIC",IFERROR(VLOOKUP(I29,Ref!$A$2:$B$65,2,FALSE()),"Unclassified"))</f>
        <v>Food &amp; Kindred Products</v>
      </c>
      <c r="Z29" s="65" t="str">
        <f aca="false">IF(T29="","",IF(T29&lt;12,"Daily","Weekly"))</f>
        <v>Daily</v>
      </c>
      <c r="AA29" s="65" t="n">
        <f aca="false">IF(T29="",0,IF(T29&lt;12,T29*Controls!$B$29,T29*5))</f>
        <v>49.698225</v>
      </c>
      <c r="AB29" s="65" t="n">
        <f aca="false">IF(E29="",0,NETWORKDAYS(E29,Controls!$B$36,Ref!$K$2:$K$42))</f>
        <v>383</v>
      </c>
      <c r="AC29" s="65" t="n">
        <f aca="false">IF(AND(AA29&gt;0,AB29&gt;=Controls!$B$39*AA29),1,0)</f>
        <v>1</v>
      </c>
      <c r="AD29" s="65" t="n">
        <f aca="false">IF(AND(E29&lt;&gt;"",E29&gt;=Controls!$B$37,E29&lt;=Controls!$B$38),1,0)</f>
        <v>1</v>
      </c>
      <c r="AE29" s="65" t="n">
        <f aca="false">IF(IFERROR(VLOOKUP(D29,Controls!$A$64:$E$74,2,FALSE()),"No")="Yes",1,0)</f>
        <v>1</v>
      </c>
      <c r="AF29" s="65" t="n">
        <f aca="false">IF(IFERROR(VLOOKUP(D29,Controls!$A$64:$E$74,3,FALSE()),"No")="Yes",1,0)</f>
        <v>0</v>
      </c>
      <c r="AG29" s="65" t="n">
        <f aca="false">IF(IFERROR(VLOOKUP(D29,Controls!$A$64:$E$74,4,FALSE()),"No")="Yes",1,0)</f>
        <v>0</v>
      </c>
      <c r="AH29" s="65" t="n">
        <f aca="false">IF(IFERROR(VLOOKUP(D29,Controls!$A$64:$E$74,5,FALSE()),"No")="Yes",1,0)</f>
        <v>0</v>
      </c>
      <c r="AI29" s="65" t="n">
        <f aca="false">IF(ISNUMBER(MATCH(D29,Controls!$A$64:$A$74,0)),1,0)</f>
        <v>1</v>
      </c>
      <c r="AJ29" s="65" t="n">
        <f aca="false">Q29-N29</f>
        <v>-1661</v>
      </c>
      <c r="AK29" s="65" t="n">
        <f aca="false">IF(AE29=1,MAX(0,N29-Q29),0)</f>
        <v>1661</v>
      </c>
      <c r="AL29" s="65" t="n">
        <f aca="false">IF(OR(V29="",V29=0),0,N29/V29)</f>
        <v>0</v>
      </c>
      <c r="AM29" s="65" t="n">
        <f aca="false">IF(OR(V29="",V29=0),0,1)</f>
        <v>0</v>
      </c>
      <c r="AN29" s="65" t="n">
        <f aca="false">IF(OR(E29="",F29=""),0,NETWORKDAYS(E29,F29,Ref!$K$2:$K$42))</f>
        <v>76</v>
      </c>
      <c r="AO29" s="65" t="n">
        <f aca="false">IF(L29="Renewal",1,0)</f>
        <v>1</v>
      </c>
      <c r="AP29" s="65" t="n">
        <f aca="false">AC29*AD29</f>
        <v>1</v>
      </c>
      <c r="AQ29" s="65" t="n">
        <f aca="false">IF(AND(G29&lt;&gt;"",'Historical Score'!$C$6&lt;&gt;""),IF(G29='Historical Score'!$C$6,1,0),0)</f>
        <v>0</v>
      </c>
      <c r="AR29" s="65" t="n">
        <f aca="false">IF(AND(L29&lt;&gt;"",'Historical Score'!$C$5&lt;&gt;""),IF(L29='Historical Score'!$C$5,1,0),0)</f>
        <v>0</v>
      </c>
      <c r="AS29" s="65" t="n">
        <f aca="false">IF(AND(Y29&lt;&gt;"",'Historical Score'!$C$7&lt;&gt;""),IF(Y29='Historical Score'!$C$7,1,0),0)</f>
        <v>0</v>
      </c>
      <c r="AT29" s="65" t="n">
        <f aca="false">IF(AND(K29&lt;&gt;"",'Historical Score'!$C$8&lt;&gt;""),IF(K29='Historical Score'!$C$8,1,0),0)</f>
        <v>0</v>
      </c>
      <c r="AU29" s="65" t="n">
        <f aca="false">IF(AND(J29&lt;&gt;"",'Historical Score'!$C$9&lt;&gt;""),IF(J29='Historical Score'!$C$9,1,0),0)</f>
        <v>0</v>
      </c>
      <c r="AV29" s="65" t="n">
        <f aca="false">AR29*AS29*AQ29</f>
        <v>0</v>
      </c>
      <c r="AW29" s="65" t="n">
        <f aca="false">AR29*AT29*AQ29</f>
        <v>0</v>
      </c>
      <c r="AX29" s="65" t="n">
        <f aca="false">AR29*AS29</f>
        <v>0</v>
      </c>
      <c r="AY29" s="65" t="n">
        <f aca="false">AR29*AT29</f>
        <v>0</v>
      </c>
      <c r="AZ29" s="65" t="n">
        <f aca="false">AR29*AQ29</f>
        <v>0</v>
      </c>
      <c r="BA29" s="65" t="n">
        <f aca="false">AR29</f>
        <v>0</v>
      </c>
      <c r="BB29" s="65" t="n">
        <f aca="false">1</f>
        <v>1</v>
      </c>
      <c r="BC29" s="65" t="n">
        <f aca="false">IF(AV29=1,1,IF(AW29=1,2,IF(AX29=1,3,IF(AY29=1,4,IF(AZ29=1,5,IF(BA29=1,6,7))))))</f>
        <v>7</v>
      </c>
      <c r="BD29" s="65" t="n">
        <f aca="false">IF(AD29=1,CHOOSE('Historical Score'!$C$29,AV29,AW29,AX29,AY29,AZ29,BA29,BB29),0)</f>
        <v>0</v>
      </c>
      <c r="BE29" s="65" t="str">
        <f aca="false">IF(BD29=1,COUNTIF($BD$2:BD29,1),"")</f>
        <v/>
      </c>
    </row>
    <row r="30" customFormat="false" ht="15" hidden="false" customHeight="false" outlineLevel="0" collapsed="false">
      <c r="A30" s="65" t="s">
        <v>490</v>
      </c>
      <c r="B30" s="65" t="s">
        <v>491</v>
      </c>
      <c r="C30" s="65" t="s">
        <v>491</v>
      </c>
      <c r="D30" s="65" t="s">
        <v>340</v>
      </c>
      <c r="E30" s="112" t="n">
        <v>45706</v>
      </c>
      <c r="F30" s="112" t="n">
        <v>45713</v>
      </c>
      <c r="G30" s="65" t="n">
        <v>4</v>
      </c>
      <c r="H30" s="65" t="s">
        <v>463</v>
      </c>
      <c r="I30" s="65" t="s">
        <v>419</v>
      </c>
      <c r="J30" s="65" t="s">
        <v>399</v>
      </c>
      <c r="K30" s="65" t="s">
        <v>465</v>
      </c>
      <c r="L30" s="65" t="s">
        <v>64</v>
      </c>
      <c r="M30" s="113" t="n">
        <v>1.49</v>
      </c>
      <c r="N30" s="114" t="n">
        <v>4000</v>
      </c>
      <c r="O30" s="114" t="n">
        <v>0</v>
      </c>
      <c r="P30" s="114" t="n">
        <v>5960</v>
      </c>
      <c r="Q30" s="114" t="n">
        <v>119.18</v>
      </c>
      <c r="R30" s="114" t="n">
        <v>5840.82</v>
      </c>
      <c r="S30" s="115" t="n">
        <v>0.019996644295302</v>
      </c>
      <c r="T30" s="65" t="n">
        <v>1.64</v>
      </c>
      <c r="U30" s="65" t="n">
        <v>3</v>
      </c>
      <c r="W30" s="115" t="n">
        <v>0.0908</v>
      </c>
      <c r="X30" s="112" t="n">
        <v>43293</v>
      </c>
      <c r="Y30" s="65" t="str">
        <f aca="false">IF(I30="","No SIC",IFERROR(VLOOKUP(I30,Ref!$A$2:$B$65,2,FALSE()),"Unclassified"))</f>
        <v>Business Services</v>
      </c>
      <c r="Z30" s="65" t="str">
        <f aca="false">IF(T30="","",IF(T30&lt;12,"Daily","Weekly"))</f>
        <v>Daily</v>
      </c>
      <c r="AA30" s="65" t="n">
        <f aca="false">IF(T30="",0,IF(T30&lt;12,T30*Controls!$B$29,T30*5))</f>
        <v>35.5142</v>
      </c>
      <c r="AB30" s="65" t="n">
        <f aca="false">IF(E30="",0,NETWORKDAYS(E30,Controls!$B$36,Ref!$K$2:$K$42))</f>
        <v>383</v>
      </c>
      <c r="AC30" s="65" t="n">
        <f aca="false">IF(AND(AA30&gt;0,AB30&gt;=Controls!$B$39*AA30),1,0)</f>
        <v>1</v>
      </c>
      <c r="AD30" s="65" t="n">
        <f aca="false">IF(AND(E30&lt;&gt;"",E30&gt;=Controls!$B$37,E30&lt;=Controls!$B$38),1,0)</f>
        <v>1</v>
      </c>
      <c r="AE30" s="65" t="n">
        <f aca="false">IF(IFERROR(VLOOKUP(D30,Controls!$A$64:$E$74,2,FALSE()),"No")="Yes",1,0)</f>
        <v>1</v>
      </c>
      <c r="AF30" s="65" t="n">
        <f aca="false">IF(IFERROR(VLOOKUP(D30,Controls!$A$64:$E$74,3,FALSE()),"No")="Yes",1,0)</f>
        <v>0</v>
      </c>
      <c r="AG30" s="65" t="n">
        <f aca="false">IF(IFERROR(VLOOKUP(D30,Controls!$A$64:$E$74,4,FALSE()),"No")="Yes",1,0)</f>
        <v>0</v>
      </c>
      <c r="AH30" s="65" t="n">
        <f aca="false">IF(IFERROR(VLOOKUP(D30,Controls!$A$64:$E$74,5,FALSE()),"No")="Yes",1,0)</f>
        <v>0</v>
      </c>
      <c r="AI30" s="65" t="n">
        <f aca="false">IF(ISNUMBER(MATCH(D30,Controls!$A$64:$A$74,0)),1,0)</f>
        <v>1</v>
      </c>
      <c r="AJ30" s="65" t="n">
        <f aca="false">Q30-N30</f>
        <v>-3880.82</v>
      </c>
      <c r="AK30" s="65" t="n">
        <f aca="false">IF(AE30=1,MAX(0,N30-Q30),0)</f>
        <v>3880.82</v>
      </c>
      <c r="AL30" s="65" t="n">
        <f aca="false">IF(OR(V30="",V30=0),0,N30/V30)</f>
        <v>0</v>
      </c>
      <c r="AM30" s="65" t="n">
        <f aca="false">IF(OR(V30="",V30=0),0,1)</f>
        <v>0</v>
      </c>
      <c r="AN30" s="65" t="n">
        <f aca="false">IF(OR(E30="",F30=""),0,NETWORKDAYS(E30,F30,Ref!$K$2:$K$42))</f>
        <v>6</v>
      </c>
      <c r="AO30" s="65" t="n">
        <f aca="false">IF(L30="Renewal",1,0)</f>
        <v>0</v>
      </c>
      <c r="AP30" s="65" t="n">
        <f aca="false">AC30*AD30</f>
        <v>1</v>
      </c>
      <c r="AQ30" s="65" t="n">
        <f aca="false">IF(AND(G30&lt;&gt;"",'Historical Score'!$C$6&lt;&gt;""),IF(G30='Historical Score'!$C$6,1,0),0)</f>
        <v>0</v>
      </c>
      <c r="AR30" s="65" t="n">
        <f aca="false">IF(AND(L30&lt;&gt;"",'Historical Score'!$C$5&lt;&gt;""),IF(L30='Historical Score'!$C$5,1,0),0)</f>
        <v>1</v>
      </c>
      <c r="AS30" s="65" t="n">
        <f aca="false">IF(AND(Y30&lt;&gt;"",'Historical Score'!$C$7&lt;&gt;""),IF(Y30='Historical Score'!$C$7,1,0),0)</f>
        <v>0</v>
      </c>
      <c r="AT30" s="65" t="n">
        <f aca="false">IF(AND(K30&lt;&gt;"",'Historical Score'!$C$8&lt;&gt;""),IF(K30='Historical Score'!$C$8,1,0),0)</f>
        <v>0</v>
      </c>
      <c r="AU30" s="65" t="n">
        <f aca="false">IF(AND(J30&lt;&gt;"",'Historical Score'!$C$9&lt;&gt;""),IF(J30='Historical Score'!$C$9,1,0),0)</f>
        <v>0</v>
      </c>
      <c r="AV30" s="65" t="n">
        <f aca="false">AR30*AS30*AQ30</f>
        <v>0</v>
      </c>
      <c r="AW30" s="65" t="n">
        <f aca="false">AR30*AT30*AQ30</f>
        <v>0</v>
      </c>
      <c r="AX30" s="65" t="n">
        <f aca="false">AR30*AS30</f>
        <v>0</v>
      </c>
      <c r="AY30" s="65" t="n">
        <f aca="false">AR30*AT30</f>
        <v>0</v>
      </c>
      <c r="AZ30" s="65" t="n">
        <f aca="false">AR30*AQ30</f>
        <v>0</v>
      </c>
      <c r="BA30" s="65" t="n">
        <f aca="false">AR30</f>
        <v>1</v>
      </c>
      <c r="BB30" s="65" t="n">
        <f aca="false">1</f>
        <v>1</v>
      </c>
      <c r="BC30" s="65" t="n">
        <f aca="false">IF(AV30=1,1,IF(AW30=1,2,IF(AX30=1,3,IF(AY30=1,4,IF(AZ30=1,5,IF(BA30=1,6,7))))))</f>
        <v>6</v>
      </c>
      <c r="BD30" s="65" t="n">
        <f aca="false">IF(AD30=1,CHOOSE('Historical Score'!$C$29,AV30,AW30,AX30,AY30,AZ30,BA30,BB30),0)</f>
        <v>0</v>
      </c>
      <c r="BE30" s="65" t="str">
        <f aca="false">IF(BD30=1,COUNTIF($BD$2:BD30,1),"")</f>
        <v/>
      </c>
    </row>
    <row r="31" customFormat="false" ht="15" hidden="false" customHeight="false" outlineLevel="0" collapsed="false">
      <c r="A31" s="65" t="s">
        <v>492</v>
      </c>
      <c r="B31" s="65" t="s">
        <v>493</v>
      </c>
      <c r="C31" s="65" t="s">
        <v>493</v>
      </c>
      <c r="D31" s="65" t="s">
        <v>340</v>
      </c>
      <c r="E31" s="112" t="n">
        <v>45706</v>
      </c>
      <c r="F31" s="112" t="n">
        <v>45721</v>
      </c>
      <c r="G31" s="65" t="n">
        <v>2</v>
      </c>
      <c r="H31" s="65" t="s">
        <v>494</v>
      </c>
      <c r="I31" s="65" t="s">
        <v>484</v>
      </c>
      <c r="J31" s="65" t="s">
        <v>495</v>
      </c>
      <c r="K31" s="65" t="s">
        <v>496</v>
      </c>
      <c r="L31" s="65" t="s">
        <v>64</v>
      </c>
      <c r="M31" s="113" t="n">
        <v>1.49</v>
      </c>
      <c r="N31" s="114" t="n">
        <v>8000</v>
      </c>
      <c r="O31" s="114" t="n">
        <v>0</v>
      </c>
      <c r="P31" s="114" t="n">
        <v>11920</v>
      </c>
      <c r="Q31" s="114" t="n">
        <v>681.36</v>
      </c>
      <c r="R31" s="114" t="n">
        <v>11238.64</v>
      </c>
      <c r="S31" s="115" t="n">
        <v>0.0571610738255034</v>
      </c>
      <c r="T31" s="65" t="n">
        <v>2.295</v>
      </c>
      <c r="U31" s="65" t="n">
        <v>7</v>
      </c>
      <c r="W31" s="115" t="n">
        <v>0.1561</v>
      </c>
      <c r="X31" s="112" t="n">
        <v>45505</v>
      </c>
      <c r="Y31" s="65" t="str">
        <f aca="false">IF(I31="","No SIC",IFERROR(VLOOKUP(I31,Ref!$A$2:$B$65,2,FALSE()),"Unclassified"))</f>
        <v>Special Trade Contractors</v>
      </c>
      <c r="Z31" s="65" t="str">
        <f aca="false">IF(T31="","",IF(T31&lt;12,"Daily","Weekly"))</f>
        <v>Daily</v>
      </c>
      <c r="AA31" s="65" t="n">
        <f aca="false">IF(T31="",0,IF(T31&lt;12,T31*Controls!$B$29,T31*5))</f>
        <v>49.698225</v>
      </c>
      <c r="AB31" s="65" t="n">
        <f aca="false">IF(E31="",0,NETWORKDAYS(E31,Controls!$B$36,Ref!$K$2:$K$42))</f>
        <v>383</v>
      </c>
      <c r="AC31" s="65" t="n">
        <f aca="false">IF(AND(AA31&gt;0,AB31&gt;=Controls!$B$39*AA31),1,0)</f>
        <v>1</v>
      </c>
      <c r="AD31" s="65" t="n">
        <f aca="false">IF(AND(E31&lt;&gt;"",E31&gt;=Controls!$B$37,E31&lt;=Controls!$B$38),1,0)</f>
        <v>1</v>
      </c>
      <c r="AE31" s="65" t="n">
        <f aca="false">IF(IFERROR(VLOOKUP(D31,Controls!$A$64:$E$74,2,FALSE()),"No")="Yes",1,0)</f>
        <v>1</v>
      </c>
      <c r="AF31" s="65" t="n">
        <f aca="false">IF(IFERROR(VLOOKUP(D31,Controls!$A$64:$E$74,3,FALSE()),"No")="Yes",1,0)</f>
        <v>0</v>
      </c>
      <c r="AG31" s="65" t="n">
        <f aca="false">IF(IFERROR(VLOOKUP(D31,Controls!$A$64:$E$74,4,FALSE()),"No")="Yes",1,0)</f>
        <v>0</v>
      </c>
      <c r="AH31" s="65" t="n">
        <f aca="false">IF(IFERROR(VLOOKUP(D31,Controls!$A$64:$E$74,5,FALSE()),"No")="Yes",1,0)</f>
        <v>0</v>
      </c>
      <c r="AI31" s="65" t="n">
        <f aca="false">IF(ISNUMBER(MATCH(D31,Controls!$A$64:$A$74,0)),1,0)</f>
        <v>1</v>
      </c>
      <c r="AJ31" s="65" t="n">
        <f aca="false">Q31-N31</f>
        <v>-7318.64</v>
      </c>
      <c r="AK31" s="65" t="n">
        <f aca="false">IF(AE31=1,MAX(0,N31-Q31),0)</f>
        <v>7318.64</v>
      </c>
      <c r="AL31" s="65" t="n">
        <f aca="false">IF(OR(V31="",V31=0),0,N31/V31)</f>
        <v>0</v>
      </c>
      <c r="AM31" s="65" t="n">
        <f aca="false">IF(OR(V31="",V31=0),0,1)</f>
        <v>0</v>
      </c>
      <c r="AN31" s="65" t="n">
        <f aca="false">IF(OR(E31="",F31=""),0,NETWORKDAYS(E31,F31,Ref!$K$2:$K$42))</f>
        <v>12</v>
      </c>
      <c r="AO31" s="65" t="n">
        <f aca="false">IF(L31="Renewal",1,0)</f>
        <v>0</v>
      </c>
      <c r="AP31" s="65" t="n">
        <f aca="false">AC31*AD31</f>
        <v>1</v>
      </c>
      <c r="AQ31" s="65" t="n">
        <f aca="false">IF(AND(G31&lt;&gt;"",'Historical Score'!$C$6&lt;&gt;""),IF(G31='Historical Score'!$C$6,1,0),0)</f>
        <v>1</v>
      </c>
      <c r="AR31" s="65" t="n">
        <f aca="false">IF(AND(L31&lt;&gt;"",'Historical Score'!$C$5&lt;&gt;""),IF(L31='Historical Score'!$C$5,1,0),0)</f>
        <v>1</v>
      </c>
      <c r="AS31" s="65" t="n">
        <f aca="false">IF(AND(Y31&lt;&gt;"",'Historical Score'!$C$7&lt;&gt;""),IF(Y31='Historical Score'!$C$7,1,0),0)</f>
        <v>0</v>
      </c>
      <c r="AT31" s="65" t="n">
        <f aca="false">IF(AND(K31&lt;&gt;"",'Historical Score'!$C$8&lt;&gt;""),IF(K31='Historical Score'!$C$8,1,0),0)</f>
        <v>0</v>
      </c>
      <c r="AU31" s="65" t="n">
        <f aca="false">IF(AND(J31&lt;&gt;"",'Historical Score'!$C$9&lt;&gt;""),IF(J31='Historical Score'!$C$9,1,0),0)</f>
        <v>0</v>
      </c>
      <c r="AV31" s="65" t="n">
        <f aca="false">AR31*AS31*AQ31</f>
        <v>0</v>
      </c>
      <c r="AW31" s="65" t="n">
        <f aca="false">AR31*AT31*AQ31</f>
        <v>0</v>
      </c>
      <c r="AX31" s="65" t="n">
        <f aca="false">AR31*AS31</f>
        <v>0</v>
      </c>
      <c r="AY31" s="65" t="n">
        <f aca="false">AR31*AT31</f>
        <v>0</v>
      </c>
      <c r="AZ31" s="65" t="n">
        <f aca="false">AR31*AQ31</f>
        <v>1</v>
      </c>
      <c r="BA31" s="65" t="n">
        <f aca="false">AR31</f>
        <v>1</v>
      </c>
      <c r="BB31" s="65" t="n">
        <f aca="false">1</f>
        <v>1</v>
      </c>
      <c r="BC31" s="65" t="n">
        <f aca="false">IF(AV31=1,1,IF(AW31=1,2,IF(AX31=1,3,IF(AY31=1,4,IF(AZ31=1,5,IF(BA31=1,6,7))))))</f>
        <v>5</v>
      </c>
      <c r="BD31" s="65" t="n">
        <f aca="false">IF(AD31=1,CHOOSE('Historical Score'!$C$29,AV31,AW31,AX31,AY31,AZ31,BA31,BB31),0)</f>
        <v>0</v>
      </c>
      <c r="BE31" s="65" t="str">
        <f aca="false">IF(BD31=1,COUNTIF($BD$2:BD31,1),"")</f>
        <v/>
      </c>
    </row>
    <row r="32" customFormat="false" ht="15" hidden="false" customHeight="false" outlineLevel="0" collapsed="false">
      <c r="A32" s="65" t="s">
        <v>497</v>
      </c>
      <c r="B32" s="65" t="s">
        <v>498</v>
      </c>
      <c r="C32" s="65" t="s">
        <v>499</v>
      </c>
      <c r="D32" s="65" t="s">
        <v>371</v>
      </c>
      <c r="E32" s="112" t="n">
        <v>45707</v>
      </c>
      <c r="F32" s="112" t="n">
        <v>45841</v>
      </c>
      <c r="G32" s="65" t="n">
        <v>3</v>
      </c>
      <c r="H32" s="65" t="s">
        <v>500</v>
      </c>
      <c r="I32" s="65" t="s">
        <v>475</v>
      </c>
      <c r="J32" s="65" t="s">
        <v>350</v>
      </c>
      <c r="K32" s="65" t="s">
        <v>501</v>
      </c>
      <c r="L32" s="65" t="s">
        <v>64</v>
      </c>
      <c r="M32" s="113" t="n">
        <v>1.49</v>
      </c>
      <c r="N32" s="114" t="n">
        <v>10000</v>
      </c>
      <c r="O32" s="114" t="n">
        <v>1400</v>
      </c>
      <c r="P32" s="114" t="n">
        <v>14900</v>
      </c>
      <c r="Q32" s="114" t="n">
        <v>14900</v>
      </c>
      <c r="R32" s="114" t="n">
        <v>0</v>
      </c>
      <c r="S32" s="115" t="n">
        <v>1</v>
      </c>
      <c r="T32" s="65" t="n">
        <v>28</v>
      </c>
      <c r="U32" s="65" t="n">
        <v>0</v>
      </c>
      <c r="W32" s="115" t="n">
        <v>0.0702</v>
      </c>
      <c r="X32" s="112" t="n">
        <v>44866</v>
      </c>
      <c r="Y32" s="65" t="str">
        <f aca="false">IF(I32="","No SIC",IFERROR(VLOOKUP(I32,Ref!$A$2:$B$65,2,FALSE()),"Unclassified"))</f>
        <v>Auto Repair &amp; Services</v>
      </c>
      <c r="Z32" s="65" t="str">
        <f aca="false">IF(T32="","",IF(T32&lt;12,"Daily","Weekly"))</f>
        <v>Weekly</v>
      </c>
      <c r="AA32" s="65" t="n">
        <f aca="false">IF(T32="",0,IF(T32&lt;12,T32*Controls!$B$29,T32*5))</f>
        <v>140</v>
      </c>
      <c r="AB32" s="65" t="n">
        <f aca="false">IF(E32="",0,NETWORKDAYS(E32,Controls!$B$36,Ref!$K$2:$K$42))</f>
        <v>382</v>
      </c>
      <c r="AC32" s="65" t="n">
        <f aca="false">IF(AND(AA32&gt;0,AB32&gt;=Controls!$B$39*AA32),1,0)</f>
        <v>1</v>
      </c>
      <c r="AD32" s="65" t="n">
        <f aca="false">IF(AND(E32&lt;&gt;"",E32&gt;=Controls!$B$37,E32&lt;=Controls!$B$38),1,0)</f>
        <v>1</v>
      </c>
      <c r="AE32" s="65" t="n">
        <f aca="false">IF(IFERROR(VLOOKUP(D32,Controls!$A$64:$E$74,2,FALSE()),"No")="Yes",1,0)</f>
        <v>0</v>
      </c>
      <c r="AF32" s="65" t="n">
        <f aca="false">IF(IFERROR(VLOOKUP(D32,Controls!$A$64:$E$74,3,FALSE()),"No")="Yes",1,0)</f>
        <v>1</v>
      </c>
      <c r="AG32" s="65" t="n">
        <f aca="false">IF(IFERROR(VLOOKUP(D32,Controls!$A$64:$E$74,4,FALSE()),"No")="Yes",1,0)</f>
        <v>1</v>
      </c>
      <c r="AH32" s="65" t="n">
        <f aca="false">IF(IFERROR(VLOOKUP(D32,Controls!$A$64:$E$74,5,FALSE()),"No")="Yes",1,0)</f>
        <v>0</v>
      </c>
      <c r="AI32" s="65" t="n">
        <f aca="false">IF(ISNUMBER(MATCH(D32,Controls!$A$64:$A$74,0)),1,0)</f>
        <v>1</v>
      </c>
      <c r="AJ32" s="65" t="n">
        <f aca="false">Q32-N32</f>
        <v>4900</v>
      </c>
      <c r="AK32" s="65" t="n">
        <f aca="false">IF(AE32=1,MAX(0,N32-Q32),0)</f>
        <v>0</v>
      </c>
      <c r="AL32" s="65" t="n">
        <f aca="false">IF(OR(V32="",V32=0),0,N32/V32)</f>
        <v>0</v>
      </c>
      <c r="AM32" s="65" t="n">
        <f aca="false">IF(OR(V32="",V32=0),0,1)</f>
        <v>0</v>
      </c>
      <c r="AN32" s="65" t="n">
        <f aca="false">IF(OR(E32="",F32=""),0,NETWORKDAYS(E32,F32,Ref!$K$2:$K$42))</f>
        <v>95</v>
      </c>
      <c r="AO32" s="65" t="n">
        <f aca="false">IF(L32="Renewal",1,0)</f>
        <v>0</v>
      </c>
      <c r="AP32" s="65" t="n">
        <f aca="false">AC32*AD32</f>
        <v>1</v>
      </c>
      <c r="AQ32" s="65" t="n">
        <f aca="false">IF(AND(G32&lt;&gt;"",'Historical Score'!$C$6&lt;&gt;""),IF(G32='Historical Score'!$C$6,1,0),0)</f>
        <v>0</v>
      </c>
      <c r="AR32" s="65" t="n">
        <f aca="false">IF(AND(L32&lt;&gt;"",'Historical Score'!$C$5&lt;&gt;""),IF(L32='Historical Score'!$C$5,1,0),0)</f>
        <v>1</v>
      </c>
      <c r="AS32" s="65" t="n">
        <f aca="false">IF(AND(Y32&lt;&gt;"",'Historical Score'!$C$7&lt;&gt;""),IF(Y32='Historical Score'!$C$7,1,0),0)</f>
        <v>0</v>
      </c>
      <c r="AT32" s="65" t="n">
        <f aca="false">IF(AND(K32&lt;&gt;"",'Historical Score'!$C$8&lt;&gt;""),IF(K32='Historical Score'!$C$8,1,0),0)</f>
        <v>0</v>
      </c>
      <c r="AU32" s="65" t="n">
        <f aca="false">IF(AND(J32&lt;&gt;"",'Historical Score'!$C$9&lt;&gt;""),IF(J32='Historical Score'!$C$9,1,0),0)</f>
        <v>0</v>
      </c>
      <c r="AV32" s="65" t="n">
        <f aca="false">AR32*AS32*AQ32</f>
        <v>0</v>
      </c>
      <c r="AW32" s="65" t="n">
        <f aca="false">AR32*AT32*AQ32</f>
        <v>0</v>
      </c>
      <c r="AX32" s="65" t="n">
        <f aca="false">AR32*AS32</f>
        <v>0</v>
      </c>
      <c r="AY32" s="65" t="n">
        <f aca="false">AR32*AT32</f>
        <v>0</v>
      </c>
      <c r="AZ32" s="65" t="n">
        <f aca="false">AR32*AQ32</f>
        <v>0</v>
      </c>
      <c r="BA32" s="65" t="n">
        <f aca="false">AR32</f>
        <v>1</v>
      </c>
      <c r="BB32" s="65" t="n">
        <f aca="false">1</f>
        <v>1</v>
      </c>
      <c r="BC32" s="65" t="n">
        <f aca="false">IF(AV32=1,1,IF(AW32=1,2,IF(AX32=1,3,IF(AY32=1,4,IF(AZ32=1,5,IF(BA32=1,6,7))))))</f>
        <v>6</v>
      </c>
      <c r="BD32" s="65" t="n">
        <f aca="false">IF(AD32=1,CHOOSE('Historical Score'!$C$29,AV32,AW32,AX32,AY32,AZ32,BA32,BB32),0)</f>
        <v>0</v>
      </c>
      <c r="BE32" s="65" t="str">
        <f aca="false">IF(BD32=1,COUNTIF($BD$2:BD32,1),"")</f>
        <v/>
      </c>
    </row>
    <row r="33" customFormat="false" ht="15" hidden="false" customHeight="false" outlineLevel="0" collapsed="false">
      <c r="A33" s="65" t="s">
        <v>502</v>
      </c>
      <c r="B33" s="65" t="s">
        <v>503</v>
      </c>
      <c r="C33" s="65" t="s">
        <v>504</v>
      </c>
      <c r="D33" s="65" t="s">
        <v>340</v>
      </c>
      <c r="E33" s="112" t="n">
        <v>45709</v>
      </c>
      <c r="F33" s="112" t="n">
        <v>45922</v>
      </c>
      <c r="G33" s="65" t="n">
        <v>1</v>
      </c>
      <c r="H33" s="65" t="s">
        <v>505</v>
      </c>
      <c r="I33" s="65" t="s">
        <v>469</v>
      </c>
      <c r="J33" s="65" t="s">
        <v>506</v>
      </c>
      <c r="K33" s="65" t="s">
        <v>507</v>
      </c>
      <c r="L33" s="65" t="s">
        <v>64</v>
      </c>
      <c r="M33" s="113" t="n">
        <v>1.49</v>
      </c>
      <c r="N33" s="114" t="n">
        <v>12000</v>
      </c>
      <c r="O33" s="114" t="n">
        <v>1680</v>
      </c>
      <c r="P33" s="114" t="n">
        <v>17880</v>
      </c>
      <c r="Q33" s="114" t="n">
        <v>3988.73</v>
      </c>
      <c r="R33" s="114" t="n">
        <v>13891.27</v>
      </c>
      <c r="S33" s="115" t="n">
        <v>0.223083333333333</v>
      </c>
      <c r="T33" s="65" t="n">
        <v>18</v>
      </c>
      <c r="U33" s="65" t="n">
        <v>6</v>
      </c>
      <c r="W33" s="115" t="n">
        <v>0.0653</v>
      </c>
      <c r="X33" s="112" t="n">
        <v>44367</v>
      </c>
      <c r="Y33" s="65" t="str">
        <f aca="false">IF(I33="","No SIC",IFERROR(VLOOKUP(I33,Ref!$A$2:$B$65,2,FALSE()),"Unclassified"))</f>
        <v>Heavy Construction</v>
      </c>
      <c r="Z33" s="65" t="str">
        <f aca="false">IF(T33="","",IF(T33&lt;12,"Daily","Weekly"))</f>
        <v>Weekly</v>
      </c>
      <c r="AA33" s="65" t="n">
        <f aca="false">IF(T33="",0,IF(T33&lt;12,T33*Controls!$B$29,T33*5))</f>
        <v>90</v>
      </c>
      <c r="AB33" s="65" t="n">
        <f aca="false">IF(E33="",0,NETWORKDAYS(E33,Controls!$B$36,Ref!$K$2:$K$42))</f>
        <v>380</v>
      </c>
      <c r="AC33" s="65" t="n">
        <f aca="false">IF(AND(AA33&gt;0,AB33&gt;=Controls!$B$39*AA33),1,0)</f>
        <v>1</v>
      </c>
      <c r="AD33" s="65" t="n">
        <f aca="false">IF(AND(E33&lt;&gt;"",E33&gt;=Controls!$B$37,E33&lt;=Controls!$B$38),1,0)</f>
        <v>1</v>
      </c>
      <c r="AE33" s="65" t="n">
        <f aca="false">IF(IFERROR(VLOOKUP(D33,Controls!$A$64:$E$74,2,FALSE()),"No")="Yes",1,0)</f>
        <v>1</v>
      </c>
      <c r="AF33" s="65" t="n">
        <f aca="false">IF(IFERROR(VLOOKUP(D33,Controls!$A$64:$E$74,3,FALSE()),"No")="Yes",1,0)</f>
        <v>0</v>
      </c>
      <c r="AG33" s="65" t="n">
        <f aca="false">IF(IFERROR(VLOOKUP(D33,Controls!$A$64:$E$74,4,FALSE()),"No")="Yes",1,0)</f>
        <v>0</v>
      </c>
      <c r="AH33" s="65" t="n">
        <f aca="false">IF(IFERROR(VLOOKUP(D33,Controls!$A$64:$E$74,5,FALSE()),"No")="Yes",1,0)</f>
        <v>0</v>
      </c>
      <c r="AI33" s="65" t="n">
        <f aca="false">IF(ISNUMBER(MATCH(D33,Controls!$A$64:$A$74,0)),1,0)</f>
        <v>1</v>
      </c>
      <c r="AJ33" s="65" t="n">
        <f aca="false">Q33-N33</f>
        <v>-8011.27</v>
      </c>
      <c r="AK33" s="65" t="n">
        <f aca="false">IF(AE33=1,MAX(0,N33-Q33),0)</f>
        <v>8011.27</v>
      </c>
      <c r="AL33" s="65" t="n">
        <f aca="false">IF(OR(V33="",V33=0),0,N33/V33)</f>
        <v>0</v>
      </c>
      <c r="AM33" s="65" t="n">
        <f aca="false">IF(OR(V33="",V33=0),0,1)</f>
        <v>0</v>
      </c>
      <c r="AN33" s="65" t="n">
        <f aca="false">IF(OR(E33="",F33=""),0,NETWORKDAYS(E33,F33,Ref!$K$2:$K$42))</f>
        <v>148</v>
      </c>
      <c r="AO33" s="65" t="n">
        <f aca="false">IF(L33="Renewal",1,0)</f>
        <v>0</v>
      </c>
      <c r="AP33" s="65" t="n">
        <f aca="false">AC33*AD33</f>
        <v>1</v>
      </c>
      <c r="AQ33" s="65" t="n">
        <f aca="false">IF(AND(G33&lt;&gt;"",'Historical Score'!$C$6&lt;&gt;""),IF(G33='Historical Score'!$C$6,1,0),0)</f>
        <v>0</v>
      </c>
      <c r="AR33" s="65" t="n">
        <f aca="false">IF(AND(L33&lt;&gt;"",'Historical Score'!$C$5&lt;&gt;""),IF(L33='Historical Score'!$C$5,1,0),0)</f>
        <v>1</v>
      </c>
      <c r="AS33" s="65" t="n">
        <f aca="false">IF(AND(Y33&lt;&gt;"",'Historical Score'!$C$7&lt;&gt;""),IF(Y33='Historical Score'!$C$7,1,0),0)</f>
        <v>0</v>
      </c>
      <c r="AT33" s="65" t="n">
        <f aca="false">IF(AND(K33&lt;&gt;"",'Historical Score'!$C$8&lt;&gt;""),IF(K33='Historical Score'!$C$8,1,0),0)</f>
        <v>0</v>
      </c>
      <c r="AU33" s="65" t="n">
        <f aca="false">IF(AND(J33&lt;&gt;"",'Historical Score'!$C$9&lt;&gt;""),IF(J33='Historical Score'!$C$9,1,0),0)</f>
        <v>0</v>
      </c>
      <c r="AV33" s="65" t="n">
        <f aca="false">AR33*AS33*AQ33</f>
        <v>0</v>
      </c>
      <c r="AW33" s="65" t="n">
        <f aca="false">AR33*AT33*AQ33</f>
        <v>0</v>
      </c>
      <c r="AX33" s="65" t="n">
        <f aca="false">AR33*AS33</f>
        <v>0</v>
      </c>
      <c r="AY33" s="65" t="n">
        <f aca="false">AR33*AT33</f>
        <v>0</v>
      </c>
      <c r="AZ33" s="65" t="n">
        <f aca="false">AR33*AQ33</f>
        <v>0</v>
      </c>
      <c r="BA33" s="65" t="n">
        <f aca="false">AR33</f>
        <v>1</v>
      </c>
      <c r="BB33" s="65" t="n">
        <f aca="false">1</f>
        <v>1</v>
      </c>
      <c r="BC33" s="65" t="n">
        <f aca="false">IF(AV33=1,1,IF(AW33=1,2,IF(AX33=1,3,IF(AY33=1,4,IF(AZ33=1,5,IF(BA33=1,6,7))))))</f>
        <v>6</v>
      </c>
      <c r="BD33" s="65" t="n">
        <f aca="false">IF(AD33=1,CHOOSE('Historical Score'!$C$29,AV33,AW33,AX33,AY33,AZ33,BA33,BB33),0)</f>
        <v>0</v>
      </c>
      <c r="BE33" s="65" t="str">
        <f aca="false">IF(BD33=1,COUNTIF($BD$2:BD33,1),"")</f>
        <v/>
      </c>
    </row>
    <row r="34" customFormat="false" ht="15" hidden="false" customHeight="false" outlineLevel="0" collapsed="false">
      <c r="A34" s="65" t="s">
        <v>508</v>
      </c>
      <c r="B34" s="65" t="s">
        <v>509</v>
      </c>
      <c r="C34" s="65" t="s">
        <v>509</v>
      </c>
      <c r="D34" s="65" t="s">
        <v>340</v>
      </c>
      <c r="E34" s="112" t="n">
        <v>45713</v>
      </c>
      <c r="F34" s="112" t="n">
        <v>46051</v>
      </c>
      <c r="G34" s="65" t="n">
        <v>4</v>
      </c>
      <c r="H34" s="65" t="s">
        <v>409</v>
      </c>
      <c r="I34" s="65" t="s">
        <v>342</v>
      </c>
      <c r="J34" s="65" t="s">
        <v>510</v>
      </c>
      <c r="K34" s="65" t="s">
        <v>55</v>
      </c>
      <c r="L34" s="65" t="s">
        <v>64</v>
      </c>
      <c r="M34" s="113" t="n">
        <v>1.49</v>
      </c>
      <c r="N34" s="114" t="n">
        <v>18000</v>
      </c>
      <c r="O34" s="114" t="n">
        <v>2520</v>
      </c>
      <c r="P34" s="114" t="n">
        <v>26820</v>
      </c>
      <c r="Q34" s="114" t="n">
        <v>23960.2</v>
      </c>
      <c r="R34" s="114" t="n">
        <v>2859.8</v>
      </c>
      <c r="S34" s="115" t="n">
        <v>0.893370618941089</v>
      </c>
      <c r="T34" s="65" t="n">
        <v>2.787</v>
      </c>
      <c r="U34" s="65" t="n">
        <v>0</v>
      </c>
      <c r="W34" s="115" t="n">
        <v>0.0922</v>
      </c>
      <c r="X34" s="112"/>
      <c r="Y34" s="65" t="str">
        <f aca="false">IF(I34="","No SIC",IFERROR(VLOOKUP(I34,Ref!$A$2:$B$65,2,FALSE()),"Unclassified"))</f>
        <v>Eating &amp; Drinking Places</v>
      </c>
      <c r="Z34" s="65" t="str">
        <f aca="false">IF(T34="","",IF(T34&lt;12,"Daily","Weekly"))</f>
        <v>Daily</v>
      </c>
      <c r="AA34" s="65" t="n">
        <f aca="false">IF(T34="",0,IF(T34&lt;12,T34*Controls!$B$29,T34*5))</f>
        <v>60.352485</v>
      </c>
      <c r="AB34" s="65" t="n">
        <f aca="false">IF(E34="",0,NETWORKDAYS(E34,Controls!$B$36,Ref!$K$2:$K$42))</f>
        <v>378</v>
      </c>
      <c r="AC34" s="65" t="n">
        <f aca="false">IF(AND(AA34&gt;0,AB34&gt;=Controls!$B$39*AA34),1,0)</f>
        <v>1</v>
      </c>
      <c r="AD34" s="65" t="n">
        <f aca="false">IF(AND(E34&lt;&gt;"",E34&gt;=Controls!$B$37,E34&lt;=Controls!$B$38),1,0)</f>
        <v>1</v>
      </c>
      <c r="AE34" s="65" t="n">
        <f aca="false">IF(IFERROR(VLOOKUP(D34,Controls!$A$64:$E$74,2,FALSE()),"No")="Yes",1,0)</f>
        <v>1</v>
      </c>
      <c r="AF34" s="65" t="n">
        <f aca="false">IF(IFERROR(VLOOKUP(D34,Controls!$A$64:$E$74,3,FALSE()),"No")="Yes",1,0)</f>
        <v>0</v>
      </c>
      <c r="AG34" s="65" t="n">
        <f aca="false">IF(IFERROR(VLOOKUP(D34,Controls!$A$64:$E$74,4,FALSE()),"No")="Yes",1,0)</f>
        <v>0</v>
      </c>
      <c r="AH34" s="65" t="n">
        <f aca="false">IF(IFERROR(VLOOKUP(D34,Controls!$A$64:$E$74,5,FALSE()),"No")="Yes",1,0)</f>
        <v>0</v>
      </c>
      <c r="AI34" s="65" t="n">
        <f aca="false">IF(ISNUMBER(MATCH(D34,Controls!$A$64:$A$74,0)),1,0)</f>
        <v>1</v>
      </c>
      <c r="AJ34" s="65" t="n">
        <f aca="false">Q34-N34</f>
        <v>5960.2</v>
      </c>
      <c r="AK34" s="65" t="n">
        <f aca="false">IF(AE34=1,MAX(0,N34-Q34),0)</f>
        <v>0</v>
      </c>
      <c r="AL34" s="65" t="n">
        <f aca="false">IF(OR(V34="",V34=0),0,N34/V34)</f>
        <v>0</v>
      </c>
      <c r="AM34" s="65" t="n">
        <f aca="false">IF(OR(V34="",V34=0),0,1)</f>
        <v>0</v>
      </c>
      <c r="AN34" s="65" t="n">
        <f aca="false">IF(OR(E34="",F34=""),0,NETWORKDAYS(E34,F34,Ref!$K$2:$K$42))</f>
        <v>233</v>
      </c>
      <c r="AO34" s="65" t="n">
        <f aca="false">IF(L34="Renewal",1,0)</f>
        <v>0</v>
      </c>
      <c r="AP34" s="65" t="n">
        <f aca="false">AC34*AD34</f>
        <v>1</v>
      </c>
      <c r="AQ34" s="65" t="n">
        <f aca="false">IF(AND(G34&lt;&gt;"",'Historical Score'!$C$6&lt;&gt;""),IF(G34='Historical Score'!$C$6,1,0),0)</f>
        <v>0</v>
      </c>
      <c r="AR34" s="65" t="n">
        <f aca="false">IF(AND(L34&lt;&gt;"",'Historical Score'!$C$5&lt;&gt;""),IF(L34='Historical Score'!$C$5,1,0),0)</f>
        <v>1</v>
      </c>
      <c r="AS34" s="65" t="n">
        <f aca="false">IF(AND(Y34&lt;&gt;"",'Historical Score'!$C$7&lt;&gt;""),IF(Y34='Historical Score'!$C$7,1,0),0)</f>
        <v>0</v>
      </c>
      <c r="AT34" s="65" t="n">
        <f aca="false">IF(AND(K34&lt;&gt;"",'Historical Score'!$C$8&lt;&gt;""),IF(K34='Historical Score'!$C$8,1,0),0)</f>
        <v>1</v>
      </c>
      <c r="AU34" s="65" t="n">
        <f aca="false">IF(AND(J34&lt;&gt;"",'Historical Score'!$C$9&lt;&gt;""),IF(J34='Historical Score'!$C$9,1,0),0)</f>
        <v>0</v>
      </c>
      <c r="AV34" s="65" t="n">
        <f aca="false">AR34*AS34*AQ34</f>
        <v>0</v>
      </c>
      <c r="AW34" s="65" t="n">
        <f aca="false">AR34*AT34*AQ34</f>
        <v>0</v>
      </c>
      <c r="AX34" s="65" t="n">
        <f aca="false">AR34*AS34</f>
        <v>0</v>
      </c>
      <c r="AY34" s="65" t="n">
        <f aca="false">AR34*AT34</f>
        <v>1</v>
      </c>
      <c r="AZ34" s="65" t="n">
        <f aca="false">AR34*AQ34</f>
        <v>0</v>
      </c>
      <c r="BA34" s="65" t="n">
        <f aca="false">AR34</f>
        <v>1</v>
      </c>
      <c r="BB34" s="65" t="n">
        <f aca="false">1</f>
        <v>1</v>
      </c>
      <c r="BC34" s="65" t="n">
        <f aca="false">IF(AV34=1,1,IF(AW34=1,2,IF(AX34=1,3,IF(AY34=1,4,IF(AZ34=1,5,IF(BA34=1,6,7))))))</f>
        <v>4</v>
      </c>
      <c r="BD34" s="65" t="n">
        <f aca="false">IF(AD34=1,CHOOSE('Historical Score'!$C$29,AV34,AW34,AX34,AY34,AZ34,BA34,BB34),0)</f>
        <v>0</v>
      </c>
      <c r="BE34" s="65" t="str">
        <f aca="false">IF(BD34=1,COUNTIF($BD$2:BD34,1),"")</f>
        <v/>
      </c>
    </row>
    <row r="35" customFormat="false" ht="15" hidden="false" customHeight="false" outlineLevel="0" collapsed="false">
      <c r="A35" s="65" t="s">
        <v>511</v>
      </c>
      <c r="B35" s="65" t="s">
        <v>512</v>
      </c>
      <c r="C35" s="65" t="s">
        <v>512</v>
      </c>
      <c r="D35" s="65" t="s">
        <v>371</v>
      </c>
      <c r="E35" s="112" t="n">
        <v>45713</v>
      </c>
      <c r="F35" s="112" t="n">
        <v>45758</v>
      </c>
      <c r="G35" s="65" t="n">
        <v>2</v>
      </c>
      <c r="H35" s="65" t="s">
        <v>513</v>
      </c>
      <c r="I35" s="65" t="s">
        <v>475</v>
      </c>
      <c r="J35" s="65" t="s">
        <v>464</v>
      </c>
      <c r="K35" s="65" t="s">
        <v>514</v>
      </c>
      <c r="L35" s="65" t="s">
        <v>64</v>
      </c>
      <c r="M35" s="113" t="n">
        <v>1.49</v>
      </c>
      <c r="N35" s="114" t="n">
        <v>3500</v>
      </c>
      <c r="O35" s="114" t="n">
        <v>490</v>
      </c>
      <c r="P35" s="114" t="n">
        <v>5215</v>
      </c>
      <c r="Q35" s="114" t="n">
        <v>5215</v>
      </c>
      <c r="R35" s="114" t="n">
        <v>0</v>
      </c>
      <c r="S35" s="115" t="n">
        <v>1</v>
      </c>
      <c r="T35" s="65" t="n">
        <v>1.967</v>
      </c>
      <c r="U35" s="65" t="n">
        <v>0</v>
      </c>
      <c r="W35" s="115" t="n">
        <v>0.058</v>
      </c>
      <c r="X35" s="112" t="n">
        <v>45402</v>
      </c>
      <c r="Y35" s="65" t="str">
        <f aca="false">IF(I35="","No SIC",IFERROR(VLOOKUP(I35,Ref!$A$2:$B$65,2,FALSE()),"Unclassified"))</f>
        <v>Auto Repair &amp; Services</v>
      </c>
      <c r="Z35" s="65" t="str">
        <f aca="false">IF(T35="","",IF(T35&lt;12,"Daily","Weekly"))</f>
        <v>Daily</v>
      </c>
      <c r="AA35" s="65" t="n">
        <f aca="false">IF(T35="",0,IF(T35&lt;12,T35*Controls!$B$29,T35*5))</f>
        <v>42.595385</v>
      </c>
      <c r="AB35" s="65" t="n">
        <f aca="false">IF(E35="",0,NETWORKDAYS(E35,Controls!$B$36,Ref!$K$2:$K$42))</f>
        <v>378</v>
      </c>
      <c r="AC35" s="65" t="n">
        <f aca="false">IF(AND(AA35&gt;0,AB35&gt;=Controls!$B$39*AA35),1,0)</f>
        <v>1</v>
      </c>
      <c r="AD35" s="65" t="n">
        <f aca="false">IF(AND(E35&lt;&gt;"",E35&gt;=Controls!$B$37,E35&lt;=Controls!$B$38),1,0)</f>
        <v>1</v>
      </c>
      <c r="AE35" s="65" t="n">
        <f aca="false">IF(IFERROR(VLOOKUP(D35,Controls!$A$64:$E$74,2,FALSE()),"No")="Yes",1,0)</f>
        <v>0</v>
      </c>
      <c r="AF35" s="65" t="n">
        <f aca="false">IF(IFERROR(VLOOKUP(D35,Controls!$A$64:$E$74,3,FALSE()),"No")="Yes",1,0)</f>
        <v>1</v>
      </c>
      <c r="AG35" s="65" t="n">
        <f aca="false">IF(IFERROR(VLOOKUP(D35,Controls!$A$64:$E$74,4,FALSE()),"No")="Yes",1,0)</f>
        <v>1</v>
      </c>
      <c r="AH35" s="65" t="n">
        <f aca="false">IF(IFERROR(VLOOKUP(D35,Controls!$A$64:$E$74,5,FALSE()),"No")="Yes",1,0)</f>
        <v>0</v>
      </c>
      <c r="AI35" s="65" t="n">
        <f aca="false">IF(ISNUMBER(MATCH(D35,Controls!$A$64:$A$74,0)),1,0)</f>
        <v>1</v>
      </c>
      <c r="AJ35" s="65" t="n">
        <f aca="false">Q35-N35</f>
        <v>1715</v>
      </c>
      <c r="AK35" s="65" t="n">
        <f aca="false">IF(AE35=1,MAX(0,N35-Q35),0)</f>
        <v>0</v>
      </c>
      <c r="AL35" s="65" t="n">
        <f aca="false">IF(OR(V35="",V35=0),0,N35/V35)</f>
        <v>0</v>
      </c>
      <c r="AM35" s="65" t="n">
        <f aca="false">IF(OR(V35="",V35=0),0,1)</f>
        <v>0</v>
      </c>
      <c r="AN35" s="65" t="n">
        <f aca="false">IF(OR(E35="",F35=""),0,NETWORKDAYS(E35,F35,Ref!$K$2:$K$42))</f>
        <v>34</v>
      </c>
      <c r="AO35" s="65" t="n">
        <f aca="false">IF(L35="Renewal",1,0)</f>
        <v>0</v>
      </c>
      <c r="AP35" s="65" t="n">
        <f aca="false">AC35*AD35</f>
        <v>1</v>
      </c>
      <c r="AQ35" s="65" t="n">
        <f aca="false">IF(AND(G35&lt;&gt;"",'Historical Score'!$C$6&lt;&gt;""),IF(G35='Historical Score'!$C$6,1,0),0)</f>
        <v>1</v>
      </c>
      <c r="AR35" s="65" t="n">
        <f aca="false">IF(AND(L35&lt;&gt;"",'Historical Score'!$C$5&lt;&gt;""),IF(L35='Historical Score'!$C$5,1,0),0)</f>
        <v>1</v>
      </c>
      <c r="AS35" s="65" t="n">
        <f aca="false">IF(AND(Y35&lt;&gt;"",'Historical Score'!$C$7&lt;&gt;""),IF(Y35='Historical Score'!$C$7,1,0),0)</f>
        <v>0</v>
      </c>
      <c r="AT35" s="65" t="n">
        <f aca="false">IF(AND(K35&lt;&gt;"",'Historical Score'!$C$8&lt;&gt;""),IF(K35='Historical Score'!$C$8,1,0),0)</f>
        <v>0</v>
      </c>
      <c r="AU35" s="65" t="n">
        <f aca="false">IF(AND(J35&lt;&gt;"",'Historical Score'!$C$9&lt;&gt;""),IF(J35='Historical Score'!$C$9,1,0),0)</f>
        <v>0</v>
      </c>
      <c r="AV35" s="65" t="n">
        <f aca="false">AR35*AS35*AQ35</f>
        <v>0</v>
      </c>
      <c r="AW35" s="65" t="n">
        <f aca="false">AR35*AT35*AQ35</f>
        <v>0</v>
      </c>
      <c r="AX35" s="65" t="n">
        <f aca="false">AR35*AS35</f>
        <v>0</v>
      </c>
      <c r="AY35" s="65" t="n">
        <f aca="false">AR35*AT35</f>
        <v>0</v>
      </c>
      <c r="AZ35" s="65" t="n">
        <f aca="false">AR35*AQ35</f>
        <v>1</v>
      </c>
      <c r="BA35" s="65" t="n">
        <f aca="false">AR35</f>
        <v>1</v>
      </c>
      <c r="BB35" s="65" t="n">
        <f aca="false">1</f>
        <v>1</v>
      </c>
      <c r="BC35" s="65" t="n">
        <f aca="false">IF(AV35=1,1,IF(AW35=1,2,IF(AX35=1,3,IF(AY35=1,4,IF(AZ35=1,5,IF(BA35=1,6,7))))))</f>
        <v>5</v>
      </c>
      <c r="BD35" s="65" t="n">
        <f aca="false">IF(AD35=1,CHOOSE('Historical Score'!$C$29,AV35,AW35,AX35,AY35,AZ35,BA35,BB35),0)</f>
        <v>0</v>
      </c>
      <c r="BE35" s="65" t="str">
        <f aca="false">IF(BD35=1,COUNTIF($BD$2:BD35,1),"")</f>
        <v/>
      </c>
    </row>
    <row r="36" customFormat="false" ht="15" hidden="false" customHeight="false" outlineLevel="0" collapsed="false">
      <c r="A36" s="65" t="s">
        <v>515</v>
      </c>
      <c r="B36" s="65" t="s">
        <v>516</v>
      </c>
      <c r="C36" s="65" t="s">
        <v>516</v>
      </c>
      <c r="D36" s="65" t="s">
        <v>371</v>
      </c>
      <c r="E36" s="112" t="n">
        <v>45714</v>
      </c>
      <c r="F36" s="112" t="n">
        <v>45797</v>
      </c>
      <c r="G36" s="65" t="n">
        <v>5</v>
      </c>
      <c r="H36" s="65" t="s">
        <v>517</v>
      </c>
      <c r="I36" s="65" t="s">
        <v>415</v>
      </c>
      <c r="J36" s="65" t="s">
        <v>489</v>
      </c>
      <c r="K36" s="65" t="s">
        <v>518</v>
      </c>
      <c r="L36" s="65" t="s">
        <v>64</v>
      </c>
      <c r="M36" s="113" t="n">
        <v>1.49</v>
      </c>
      <c r="N36" s="114" t="n">
        <v>5000</v>
      </c>
      <c r="O36" s="114" t="n">
        <v>700</v>
      </c>
      <c r="P36" s="114" t="n">
        <v>7450</v>
      </c>
      <c r="Q36" s="114" t="n">
        <v>7450</v>
      </c>
      <c r="R36" s="114" t="n">
        <v>0</v>
      </c>
      <c r="S36" s="115" t="n">
        <v>1</v>
      </c>
      <c r="T36" s="65" t="n">
        <v>1.967</v>
      </c>
      <c r="U36" s="65" t="n">
        <v>0</v>
      </c>
      <c r="W36" s="115" t="n">
        <v>0.0639</v>
      </c>
      <c r="X36" s="112" t="n">
        <v>45554</v>
      </c>
      <c r="Y36" s="65" t="str">
        <f aca="false">IF(I36="","No SIC",IFERROR(VLOOKUP(I36,Ref!$A$2:$B$65,2,FALSE()),"Unclassified"))</f>
        <v>Wholesale Trade - Durable Goods</v>
      </c>
      <c r="Z36" s="65" t="str">
        <f aca="false">IF(T36="","",IF(T36&lt;12,"Daily","Weekly"))</f>
        <v>Daily</v>
      </c>
      <c r="AA36" s="65" t="n">
        <f aca="false">IF(T36="",0,IF(T36&lt;12,T36*Controls!$B$29,T36*5))</f>
        <v>42.595385</v>
      </c>
      <c r="AB36" s="65" t="n">
        <f aca="false">IF(E36="",0,NETWORKDAYS(E36,Controls!$B$36,Ref!$K$2:$K$42))</f>
        <v>377</v>
      </c>
      <c r="AC36" s="65" t="n">
        <f aca="false">IF(AND(AA36&gt;0,AB36&gt;=Controls!$B$39*AA36),1,0)</f>
        <v>1</v>
      </c>
      <c r="AD36" s="65" t="n">
        <f aca="false">IF(AND(E36&lt;&gt;"",E36&gt;=Controls!$B$37,E36&lt;=Controls!$B$38),1,0)</f>
        <v>1</v>
      </c>
      <c r="AE36" s="65" t="n">
        <f aca="false">IF(IFERROR(VLOOKUP(D36,Controls!$A$64:$E$74,2,FALSE()),"No")="Yes",1,0)</f>
        <v>0</v>
      </c>
      <c r="AF36" s="65" t="n">
        <f aca="false">IF(IFERROR(VLOOKUP(D36,Controls!$A$64:$E$74,3,FALSE()),"No")="Yes",1,0)</f>
        <v>1</v>
      </c>
      <c r="AG36" s="65" t="n">
        <f aca="false">IF(IFERROR(VLOOKUP(D36,Controls!$A$64:$E$74,4,FALSE()),"No")="Yes",1,0)</f>
        <v>1</v>
      </c>
      <c r="AH36" s="65" t="n">
        <f aca="false">IF(IFERROR(VLOOKUP(D36,Controls!$A$64:$E$74,5,FALSE()),"No")="Yes",1,0)</f>
        <v>0</v>
      </c>
      <c r="AI36" s="65" t="n">
        <f aca="false">IF(ISNUMBER(MATCH(D36,Controls!$A$64:$A$74,0)),1,0)</f>
        <v>1</v>
      </c>
      <c r="AJ36" s="65" t="n">
        <f aca="false">Q36-N36</f>
        <v>2450</v>
      </c>
      <c r="AK36" s="65" t="n">
        <f aca="false">IF(AE36=1,MAX(0,N36-Q36),0)</f>
        <v>0</v>
      </c>
      <c r="AL36" s="65" t="n">
        <f aca="false">IF(OR(V36="",V36=0),0,N36/V36)</f>
        <v>0</v>
      </c>
      <c r="AM36" s="65" t="n">
        <f aca="false">IF(OR(V36="",V36=0),0,1)</f>
        <v>0</v>
      </c>
      <c r="AN36" s="65" t="n">
        <f aca="false">IF(OR(E36="",F36=""),0,NETWORKDAYS(E36,F36,Ref!$K$2:$K$42))</f>
        <v>60</v>
      </c>
      <c r="AO36" s="65" t="n">
        <f aca="false">IF(L36="Renewal",1,0)</f>
        <v>0</v>
      </c>
      <c r="AP36" s="65" t="n">
        <f aca="false">AC36*AD36</f>
        <v>1</v>
      </c>
      <c r="AQ36" s="65" t="n">
        <f aca="false">IF(AND(G36&lt;&gt;"",'Historical Score'!$C$6&lt;&gt;""),IF(G36='Historical Score'!$C$6,1,0),0)</f>
        <v>0</v>
      </c>
      <c r="AR36" s="65" t="n">
        <f aca="false">IF(AND(L36&lt;&gt;"",'Historical Score'!$C$5&lt;&gt;""),IF(L36='Historical Score'!$C$5,1,0),0)</f>
        <v>1</v>
      </c>
      <c r="AS36" s="65" t="n">
        <f aca="false">IF(AND(Y36&lt;&gt;"",'Historical Score'!$C$7&lt;&gt;""),IF(Y36='Historical Score'!$C$7,1,0),0)</f>
        <v>0</v>
      </c>
      <c r="AT36" s="65" t="n">
        <f aca="false">IF(AND(K36&lt;&gt;"",'Historical Score'!$C$8&lt;&gt;""),IF(K36='Historical Score'!$C$8,1,0),0)</f>
        <v>0</v>
      </c>
      <c r="AU36" s="65" t="n">
        <f aca="false">IF(AND(J36&lt;&gt;"",'Historical Score'!$C$9&lt;&gt;""),IF(J36='Historical Score'!$C$9,1,0),0)</f>
        <v>0</v>
      </c>
      <c r="AV36" s="65" t="n">
        <f aca="false">AR36*AS36*AQ36</f>
        <v>0</v>
      </c>
      <c r="AW36" s="65" t="n">
        <f aca="false">AR36*AT36*AQ36</f>
        <v>0</v>
      </c>
      <c r="AX36" s="65" t="n">
        <f aca="false">AR36*AS36</f>
        <v>0</v>
      </c>
      <c r="AY36" s="65" t="n">
        <f aca="false">AR36*AT36</f>
        <v>0</v>
      </c>
      <c r="AZ36" s="65" t="n">
        <f aca="false">AR36*AQ36</f>
        <v>0</v>
      </c>
      <c r="BA36" s="65" t="n">
        <f aca="false">AR36</f>
        <v>1</v>
      </c>
      <c r="BB36" s="65" t="n">
        <f aca="false">1</f>
        <v>1</v>
      </c>
      <c r="BC36" s="65" t="n">
        <f aca="false">IF(AV36=1,1,IF(AW36=1,2,IF(AX36=1,3,IF(AY36=1,4,IF(AZ36=1,5,IF(BA36=1,6,7))))))</f>
        <v>6</v>
      </c>
      <c r="BD36" s="65" t="n">
        <f aca="false">IF(AD36=1,CHOOSE('Historical Score'!$C$29,AV36,AW36,AX36,AY36,AZ36,BA36,BB36),0)</f>
        <v>0</v>
      </c>
      <c r="BE36" s="65" t="str">
        <f aca="false">IF(BD36=1,COUNTIF($BD$2:BD36,1),"")</f>
        <v/>
      </c>
    </row>
    <row r="37" customFormat="false" ht="15" hidden="false" customHeight="false" outlineLevel="0" collapsed="false">
      <c r="A37" s="65" t="s">
        <v>519</v>
      </c>
      <c r="B37" s="65" t="s">
        <v>520</v>
      </c>
      <c r="C37" s="65" t="s">
        <v>520</v>
      </c>
      <c r="D37" s="65" t="s">
        <v>371</v>
      </c>
      <c r="E37" s="112" t="n">
        <v>45714</v>
      </c>
      <c r="F37" s="112" t="n">
        <v>45846</v>
      </c>
      <c r="G37" s="65" t="n">
        <v>4</v>
      </c>
      <c r="H37" s="65" t="s">
        <v>442</v>
      </c>
      <c r="I37" s="65" t="s">
        <v>443</v>
      </c>
      <c r="J37" s="65" t="s">
        <v>521</v>
      </c>
      <c r="K37" s="65" t="s">
        <v>55</v>
      </c>
      <c r="L37" s="65" t="s">
        <v>64</v>
      </c>
      <c r="M37" s="113" t="n">
        <v>1.49</v>
      </c>
      <c r="N37" s="114" t="n">
        <v>22000</v>
      </c>
      <c r="O37" s="114" t="n">
        <v>3080</v>
      </c>
      <c r="P37" s="114" t="n">
        <v>32780</v>
      </c>
      <c r="Q37" s="114" t="n">
        <v>32780</v>
      </c>
      <c r="R37" s="114" t="n">
        <v>0</v>
      </c>
      <c r="S37" s="115" t="n">
        <v>1</v>
      </c>
      <c r="T37" s="65" t="n">
        <v>17.9</v>
      </c>
      <c r="U37" s="65" t="n">
        <v>1</v>
      </c>
      <c r="W37" s="115" t="n">
        <v>0.0326</v>
      </c>
      <c r="X37" s="112" t="n">
        <v>44044</v>
      </c>
      <c r="Y37" s="65" t="str">
        <f aca="false">IF(I37="","No SIC",IFERROR(VLOOKUP(I37,Ref!$A$2:$B$65,2,FALSE()),"Unclassified"))</f>
        <v>General Building Contractors</v>
      </c>
      <c r="Z37" s="65" t="str">
        <f aca="false">IF(T37="","",IF(T37&lt;12,"Daily","Weekly"))</f>
        <v>Weekly</v>
      </c>
      <c r="AA37" s="65" t="n">
        <f aca="false">IF(T37="",0,IF(T37&lt;12,T37*Controls!$B$29,T37*5))</f>
        <v>89.5</v>
      </c>
      <c r="AB37" s="65" t="n">
        <f aca="false">IF(E37="",0,NETWORKDAYS(E37,Controls!$B$36,Ref!$K$2:$K$42))</f>
        <v>377</v>
      </c>
      <c r="AC37" s="65" t="n">
        <f aca="false">IF(AND(AA37&gt;0,AB37&gt;=Controls!$B$39*AA37),1,0)</f>
        <v>1</v>
      </c>
      <c r="AD37" s="65" t="n">
        <f aca="false">IF(AND(E37&lt;&gt;"",E37&gt;=Controls!$B$37,E37&lt;=Controls!$B$38),1,0)</f>
        <v>1</v>
      </c>
      <c r="AE37" s="65" t="n">
        <f aca="false">IF(IFERROR(VLOOKUP(D37,Controls!$A$64:$E$74,2,FALSE()),"No")="Yes",1,0)</f>
        <v>0</v>
      </c>
      <c r="AF37" s="65" t="n">
        <f aca="false">IF(IFERROR(VLOOKUP(D37,Controls!$A$64:$E$74,3,FALSE()),"No")="Yes",1,0)</f>
        <v>1</v>
      </c>
      <c r="AG37" s="65" t="n">
        <f aca="false">IF(IFERROR(VLOOKUP(D37,Controls!$A$64:$E$74,4,FALSE()),"No")="Yes",1,0)</f>
        <v>1</v>
      </c>
      <c r="AH37" s="65" t="n">
        <f aca="false">IF(IFERROR(VLOOKUP(D37,Controls!$A$64:$E$74,5,FALSE()),"No")="Yes",1,0)</f>
        <v>0</v>
      </c>
      <c r="AI37" s="65" t="n">
        <f aca="false">IF(ISNUMBER(MATCH(D37,Controls!$A$64:$A$74,0)),1,0)</f>
        <v>1</v>
      </c>
      <c r="AJ37" s="65" t="n">
        <f aca="false">Q37-N37</f>
        <v>10780</v>
      </c>
      <c r="AK37" s="65" t="n">
        <f aca="false">IF(AE37=1,MAX(0,N37-Q37),0)</f>
        <v>0</v>
      </c>
      <c r="AL37" s="65" t="n">
        <f aca="false">IF(OR(V37="",V37=0),0,N37/V37)</f>
        <v>0</v>
      </c>
      <c r="AM37" s="65" t="n">
        <f aca="false">IF(OR(V37="",V37=0),0,1)</f>
        <v>0</v>
      </c>
      <c r="AN37" s="65" t="n">
        <f aca="false">IF(OR(E37="",F37=""),0,NETWORKDAYS(E37,F37,Ref!$K$2:$K$42))</f>
        <v>92</v>
      </c>
      <c r="AO37" s="65" t="n">
        <f aca="false">IF(L37="Renewal",1,0)</f>
        <v>0</v>
      </c>
      <c r="AP37" s="65" t="n">
        <f aca="false">AC37*AD37</f>
        <v>1</v>
      </c>
      <c r="AQ37" s="65" t="n">
        <f aca="false">IF(AND(G37&lt;&gt;"",'Historical Score'!$C$6&lt;&gt;""),IF(G37='Historical Score'!$C$6,1,0),0)</f>
        <v>0</v>
      </c>
      <c r="AR37" s="65" t="n">
        <f aca="false">IF(AND(L37&lt;&gt;"",'Historical Score'!$C$5&lt;&gt;""),IF(L37='Historical Score'!$C$5,1,0),0)</f>
        <v>1</v>
      </c>
      <c r="AS37" s="65" t="n">
        <f aca="false">IF(AND(Y37&lt;&gt;"",'Historical Score'!$C$7&lt;&gt;""),IF(Y37='Historical Score'!$C$7,1,0),0)</f>
        <v>1</v>
      </c>
      <c r="AT37" s="65" t="n">
        <f aca="false">IF(AND(K37&lt;&gt;"",'Historical Score'!$C$8&lt;&gt;""),IF(K37='Historical Score'!$C$8,1,0),0)</f>
        <v>1</v>
      </c>
      <c r="AU37" s="65" t="n">
        <f aca="false">IF(AND(J37&lt;&gt;"",'Historical Score'!$C$9&lt;&gt;""),IF(J37='Historical Score'!$C$9,1,0),0)</f>
        <v>0</v>
      </c>
      <c r="AV37" s="65" t="n">
        <f aca="false">AR37*AS37*AQ37</f>
        <v>0</v>
      </c>
      <c r="AW37" s="65" t="n">
        <f aca="false">AR37*AT37*AQ37</f>
        <v>0</v>
      </c>
      <c r="AX37" s="65" t="n">
        <f aca="false">AR37*AS37</f>
        <v>1</v>
      </c>
      <c r="AY37" s="65" t="n">
        <f aca="false">AR37*AT37</f>
        <v>1</v>
      </c>
      <c r="AZ37" s="65" t="n">
        <f aca="false">AR37*AQ37</f>
        <v>0</v>
      </c>
      <c r="BA37" s="65" t="n">
        <f aca="false">AR37</f>
        <v>1</v>
      </c>
      <c r="BB37" s="65" t="n">
        <f aca="false">1</f>
        <v>1</v>
      </c>
      <c r="BC37" s="65" t="n">
        <f aca="false">IF(AV37=1,1,IF(AW37=1,2,IF(AX37=1,3,IF(AY37=1,4,IF(AZ37=1,5,IF(BA37=1,6,7))))))</f>
        <v>3</v>
      </c>
      <c r="BD37" s="65" t="n">
        <f aca="false">IF(AD37=1,CHOOSE('Historical Score'!$C$29,AV37,AW37,AX37,AY37,AZ37,BA37,BB37),0)</f>
        <v>0</v>
      </c>
      <c r="BE37" s="65" t="str">
        <f aca="false">IF(BD37=1,COUNTIF($BD$2:BD37,1),"")</f>
        <v/>
      </c>
    </row>
    <row r="38" customFormat="false" ht="15" hidden="false" customHeight="false" outlineLevel="0" collapsed="false">
      <c r="A38" s="65" t="s">
        <v>522</v>
      </c>
      <c r="B38" s="65" t="s">
        <v>523</v>
      </c>
      <c r="C38" s="65" t="s">
        <v>524</v>
      </c>
      <c r="D38" s="65" t="s">
        <v>371</v>
      </c>
      <c r="E38" s="112" t="n">
        <v>45716</v>
      </c>
      <c r="F38" s="112" t="n">
        <v>45848</v>
      </c>
      <c r="G38" s="65" t="n">
        <v>3</v>
      </c>
      <c r="H38" s="65" t="s">
        <v>525</v>
      </c>
      <c r="I38" s="65" t="s">
        <v>367</v>
      </c>
      <c r="J38" s="65" t="s">
        <v>350</v>
      </c>
      <c r="K38" s="65" t="s">
        <v>411</v>
      </c>
      <c r="L38" s="65" t="s">
        <v>64</v>
      </c>
      <c r="M38" s="113" t="n">
        <v>1.457</v>
      </c>
      <c r="N38" s="114" t="n">
        <v>17000</v>
      </c>
      <c r="O38" s="114" t="n">
        <v>2380</v>
      </c>
      <c r="P38" s="114" t="n">
        <v>24769</v>
      </c>
      <c r="Q38" s="114" t="n">
        <v>24769</v>
      </c>
      <c r="R38" s="114" t="n">
        <v>0</v>
      </c>
      <c r="S38" s="115" t="n">
        <v>1</v>
      </c>
      <c r="T38" s="65" t="n">
        <v>20</v>
      </c>
      <c r="U38" s="65" t="n">
        <v>2</v>
      </c>
      <c r="W38" s="115" t="n">
        <v>0.1247</v>
      </c>
      <c r="X38" s="112" t="n">
        <v>44417</v>
      </c>
      <c r="Y38" s="65" t="str">
        <f aca="false">IF(I38="","No SIC",IFERROR(VLOOKUP(I38,Ref!$A$2:$B$65,2,FALSE()),"Unclassified"))</f>
        <v>Engineering, Accounting &amp; Management</v>
      </c>
      <c r="Z38" s="65" t="str">
        <f aca="false">IF(T38="","",IF(T38&lt;12,"Daily","Weekly"))</f>
        <v>Weekly</v>
      </c>
      <c r="AA38" s="65" t="n">
        <f aca="false">IF(T38="",0,IF(T38&lt;12,T38*Controls!$B$29,T38*5))</f>
        <v>100</v>
      </c>
      <c r="AB38" s="65" t="n">
        <f aca="false">IF(E38="",0,NETWORKDAYS(E38,Controls!$B$36,Ref!$K$2:$K$42))</f>
        <v>375</v>
      </c>
      <c r="AC38" s="65" t="n">
        <f aca="false">IF(AND(AA38&gt;0,AB38&gt;=Controls!$B$39*AA38),1,0)</f>
        <v>1</v>
      </c>
      <c r="AD38" s="65" t="n">
        <f aca="false">IF(AND(E38&lt;&gt;"",E38&gt;=Controls!$B$37,E38&lt;=Controls!$B$38),1,0)</f>
        <v>1</v>
      </c>
      <c r="AE38" s="65" t="n">
        <f aca="false">IF(IFERROR(VLOOKUP(D38,Controls!$A$64:$E$74,2,FALSE()),"No")="Yes",1,0)</f>
        <v>0</v>
      </c>
      <c r="AF38" s="65" t="n">
        <f aca="false">IF(IFERROR(VLOOKUP(D38,Controls!$A$64:$E$74,3,FALSE()),"No")="Yes",1,0)</f>
        <v>1</v>
      </c>
      <c r="AG38" s="65" t="n">
        <f aca="false">IF(IFERROR(VLOOKUP(D38,Controls!$A$64:$E$74,4,FALSE()),"No")="Yes",1,0)</f>
        <v>1</v>
      </c>
      <c r="AH38" s="65" t="n">
        <f aca="false">IF(IFERROR(VLOOKUP(D38,Controls!$A$64:$E$74,5,FALSE()),"No")="Yes",1,0)</f>
        <v>0</v>
      </c>
      <c r="AI38" s="65" t="n">
        <f aca="false">IF(ISNUMBER(MATCH(D38,Controls!$A$64:$A$74,0)),1,0)</f>
        <v>1</v>
      </c>
      <c r="AJ38" s="65" t="n">
        <f aca="false">Q38-N38</f>
        <v>7769</v>
      </c>
      <c r="AK38" s="65" t="n">
        <f aca="false">IF(AE38=1,MAX(0,N38-Q38),0)</f>
        <v>0</v>
      </c>
      <c r="AL38" s="65" t="n">
        <f aca="false">IF(OR(V38="",V38=0),0,N38/V38)</f>
        <v>0</v>
      </c>
      <c r="AM38" s="65" t="n">
        <f aca="false">IF(OR(V38="",V38=0),0,1)</f>
        <v>0</v>
      </c>
      <c r="AN38" s="65" t="n">
        <f aca="false">IF(OR(E38="",F38=""),0,NETWORKDAYS(E38,F38,Ref!$K$2:$K$42))</f>
        <v>92</v>
      </c>
      <c r="AO38" s="65" t="n">
        <f aca="false">IF(L38="Renewal",1,0)</f>
        <v>0</v>
      </c>
      <c r="AP38" s="65" t="n">
        <f aca="false">AC38*AD38</f>
        <v>1</v>
      </c>
      <c r="AQ38" s="65" t="n">
        <f aca="false">IF(AND(G38&lt;&gt;"",'Historical Score'!$C$6&lt;&gt;""),IF(G38='Historical Score'!$C$6,1,0),0)</f>
        <v>0</v>
      </c>
      <c r="AR38" s="65" t="n">
        <f aca="false">IF(AND(L38&lt;&gt;"",'Historical Score'!$C$5&lt;&gt;""),IF(L38='Historical Score'!$C$5,1,0),0)</f>
        <v>1</v>
      </c>
      <c r="AS38" s="65" t="n">
        <f aca="false">IF(AND(Y38&lt;&gt;"",'Historical Score'!$C$7&lt;&gt;""),IF(Y38='Historical Score'!$C$7,1,0),0)</f>
        <v>0</v>
      </c>
      <c r="AT38" s="65" t="n">
        <f aca="false">IF(AND(K38&lt;&gt;"",'Historical Score'!$C$8&lt;&gt;""),IF(K38='Historical Score'!$C$8,1,0),0)</f>
        <v>0</v>
      </c>
      <c r="AU38" s="65" t="n">
        <f aca="false">IF(AND(J38&lt;&gt;"",'Historical Score'!$C$9&lt;&gt;""),IF(J38='Historical Score'!$C$9,1,0),0)</f>
        <v>0</v>
      </c>
      <c r="AV38" s="65" t="n">
        <f aca="false">AR38*AS38*AQ38</f>
        <v>0</v>
      </c>
      <c r="AW38" s="65" t="n">
        <f aca="false">AR38*AT38*AQ38</f>
        <v>0</v>
      </c>
      <c r="AX38" s="65" t="n">
        <f aca="false">AR38*AS38</f>
        <v>0</v>
      </c>
      <c r="AY38" s="65" t="n">
        <f aca="false">AR38*AT38</f>
        <v>0</v>
      </c>
      <c r="AZ38" s="65" t="n">
        <f aca="false">AR38*AQ38</f>
        <v>0</v>
      </c>
      <c r="BA38" s="65" t="n">
        <f aca="false">AR38</f>
        <v>1</v>
      </c>
      <c r="BB38" s="65" t="n">
        <f aca="false">1</f>
        <v>1</v>
      </c>
      <c r="BC38" s="65" t="n">
        <f aca="false">IF(AV38=1,1,IF(AW38=1,2,IF(AX38=1,3,IF(AY38=1,4,IF(AZ38=1,5,IF(BA38=1,6,7))))))</f>
        <v>6</v>
      </c>
      <c r="BD38" s="65" t="n">
        <f aca="false">IF(AD38=1,CHOOSE('Historical Score'!$C$29,AV38,AW38,AX38,AY38,AZ38,BA38,BB38),0)</f>
        <v>0</v>
      </c>
      <c r="BE38" s="65" t="str">
        <f aca="false">IF(BD38=1,COUNTIF($BD$2:BD38,1),"")</f>
        <v/>
      </c>
    </row>
    <row r="39" customFormat="false" ht="15" hidden="false" customHeight="false" outlineLevel="0" collapsed="false">
      <c r="A39" s="65" t="s">
        <v>526</v>
      </c>
      <c r="B39" s="65" t="s">
        <v>527</v>
      </c>
      <c r="C39" s="65" t="s">
        <v>527</v>
      </c>
      <c r="D39" s="65" t="s">
        <v>528</v>
      </c>
      <c r="E39" s="112" t="n">
        <v>45716</v>
      </c>
      <c r="F39" s="112" t="n">
        <v>45834</v>
      </c>
      <c r="G39" s="65" t="n">
        <v>6</v>
      </c>
      <c r="H39" s="65" t="s">
        <v>355</v>
      </c>
      <c r="I39" s="65" t="s">
        <v>356</v>
      </c>
      <c r="J39" s="65" t="s">
        <v>410</v>
      </c>
      <c r="K39" s="65" t="s">
        <v>529</v>
      </c>
      <c r="L39" s="65" t="s">
        <v>64</v>
      </c>
      <c r="M39" s="113" t="n">
        <v>1.499</v>
      </c>
      <c r="N39" s="114" t="n">
        <v>22000</v>
      </c>
      <c r="O39" s="114" t="n">
        <v>3080</v>
      </c>
      <c r="P39" s="114" t="n">
        <v>32978</v>
      </c>
      <c r="Q39" s="114" t="n">
        <v>32978</v>
      </c>
      <c r="R39" s="114" t="n">
        <v>0</v>
      </c>
      <c r="S39" s="115" t="n">
        <v>1</v>
      </c>
      <c r="T39" s="65" t="n">
        <v>16</v>
      </c>
      <c r="U39" s="65" t="n">
        <v>1</v>
      </c>
      <c r="W39" s="115" t="n">
        <v>0.0129</v>
      </c>
      <c r="X39" s="112" t="n">
        <v>42967</v>
      </c>
      <c r="Y39" s="65" t="str">
        <f aca="false">IF(I39="","No SIC",IFERROR(VLOOKUP(I39,Ref!$A$2:$B$65,2,FALSE()),"Unclassified"))</f>
        <v>Trucking &amp; Warehousing</v>
      </c>
      <c r="Z39" s="65" t="str">
        <f aca="false">IF(T39="","",IF(T39&lt;12,"Daily","Weekly"))</f>
        <v>Weekly</v>
      </c>
      <c r="AA39" s="65" t="n">
        <f aca="false">IF(T39="",0,IF(T39&lt;12,T39*Controls!$B$29,T39*5))</f>
        <v>80</v>
      </c>
      <c r="AB39" s="65" t="n">
        <f aca="false">IF(E39="",0,NETWORKDAYS(E39,Controls!$B$36,Ref!$K$2:$K$42))</f>
        <v>375</v>
      </c>
      <c r="AC39" s="65" t="n">
        <f aca="false">IF(AND(AA39&gt;0,AB39&gt;=Controls!$B$39*AA39),1,0)</f>
        <v>1</v>
      </c>
      <c r="AD39" s="65" t="n">
        <f aca="false">IF(AND(E39&lt;&gt;"",E39&gt;=Controls!$B$37,E39&lt;=Controls!$B$38),1,0)</f>
        <v>1</v>
      </c>
      <c r="AE39" s="65" t="n">
        <f aca="false">IF(IFERROR(VLOOKUP(D39,Controls!$A$64:$E$74,2,FALSE()),"No")="Yes",1,0)</f>
        <v>0</v>
      </c>
      <c r="AF39" s="65" t="n">
        <f aca="false">IF(IFERROR(VLOOKUP(D39,Controls!$A$64:$E$74,3,FALSE()),"No")="Yes",1,0)</f>
        <v>1</v>
      </c>
      <c r="AG39" s="65" t="n">
        <f aca="false">IF(IFERROR(VLOOKUP(D39,Controls!$A$64:$E$74,4,FALSE()),"No")="Yes",1,0)</f>
        <v>1</v>
      </c>
      <c r="AH39" s="65" t="n">
        <f aca="false">IF(IFERROR(VLOOKUP(D39,Controls!$A$64:$E$74,5,FALSE()),"No")="Yes",1,0)</f>
        <v>0</v>
      </c>
      <c r="AI39" s="65" t="n">
        <f aca="false">IF(ISNUMBER(MATCH(D39,Controls!$A$64:$A$74,0)),1,0)</f>
        <v>1</v>
      </c>
      <c r="AJ39" s="65" t="n">
        <f aca="false">Q39-N39</f>
        <v>10978</v>
      </c>
      <c r="AK39" s="65" t="n">
        <f aca="false">IF(AE39=1,MAX(0,N39-Q39),0)</f>
        <v>0</v>
      </c>
      <c r="AL39" s="65" t="n">
        <f aca="false">IF(OR(V39="",V39=0),0,N39/V39)</f>
        <v>0</v>
      </c>
      <c r="AM39" s="65" t="n">
        <f aca="false">IF(OR(V39="",V39=0),0,1)</f>
        <v>0</v>
      </c>
      <c r="AN39" s="65" t="n">
        <f aca="false">IF(OR(E39="",F39=""),0,NETWORKDAYS(E39,F39,Ref!$K$2:$K$42))</f>
        <v>83</v>
      </c>
      <c r="AO39" s="65" t="n">
        <f aca="false">IF(L39="Renewal",1,0)</f>
        <v>0</v>
      </c>
      <c r="AP39" s="65" t="n">
        <f aca="false">AC39*AD39</f>
        <v>1</v>
      </c>
      <c r="AQ39" s="65" t="n">
        <f aca="false">IF(AND(G39&lt;&gt;"",'Historical Score'!$C$6&lt;&gt;""),IF(G39='Historical Score'!$C$6,1,0),0)</f>
        <v>0</v>
      </c>
      <c r="AR39" s="65" t="n">
        <f aca="false">IF(AND(L39&lt;&gt;"",'Historical Score'!$C$5&lt;&gt;""),IF(L39='Historical Score'!$C$5,1,0),0)</f>
        <v>1</v>
      </c>
      <c r="AS39" s="65" t="n">
        <f aca="false">IF(AND(Y39&lt;&gt;"",'Historical Score'!$C$7&lt;&gt;""),IF(Y39='Historical Score'!$C$7,1,0),0)</f>
        <v>0</v>
      </c>
      <c r="AT39" s="65" t="n">
        <f aca="false">IF(AND(K39&lt;&gt;"",'Historical Score'!$C$8&lt;&gt;""),IF(K39='Historical Score'!$C$8,1,0),0)</f>
        <v>0</v>
      </c>
      <c r="AU39" s="65" t="n">
        <f aca="false">IF(AND(J39&lt;&gt;"",'Historical Score'!$C$9&lt;&gt;""),IF(J39='Historical Score'!$C$9,1,0),0)</f>
        <v>0</v>
      </c>
      <c r="AV39" s="65" t="n">
        <f aca="false">AR39*AS39*AQ39</f>
        <v>0</v>
      </c>
      <c r="AW39" s="65" t="n">
        <f aca="false">AR39*AT39*AQ39</f>
        <v>0</v>
      </c>
      <c r="AX39" s="65" t="n">
        <f aca="false">AR39*AS39</f>
        <v>0</v>
      </c>
      <c r="AY39" s="65" t="n">
        <f aca="false">AR39*AT39</f>
        <v>0</v>
      </c>
      <c r="AZ39" s="65" t="n">
        <f aca="false">AR39*AQ39</f>
        <v>0</v>
      </c>
      <c r="BA39" s="65" t="n">
        <f aca="false">AR39</f>
        <v>1</v>
      </c>
      <c r="BB39" s="65" t="n">
        <f aca="false">1</f>
        <v>1</v>
      </c>
      <c r="BC39" s="65" t="n">
        <f aca="false">IF(AV39=1,1,IF(AW39=1,2,IF(AX39=1,3,IF(AY39=1,4,IF(AZ39=1,5,IF(BA39=1,6,7))))))</f>
        <v>6</v>
      </c>
      <c r="BD39" s="65" t="n">
        <f aca="false">IF(AD39=1,CHOOSE('Historical Score'!$C$29,AV39,AW39,AX39,AY39,AZ39,BA39,BB39),0)</f>
        <v>0</v>
      </c>
      <c r="BE39" s="65" t="str">
        <f aca="false">IF(BD39=1,COUNTIF($BD$2:BD39,1),"")</f>
        <v/>
      </c>
    </row>
    <row r="40" customFormat="false" ht="15" hidden="false" customHeight="false" outlineLevel="0" collapsed="false">
      <c r="A40" s="65" t="s">
        <v>530</v>
      </c>
      <c r="B40" s="65" t="s">
        <v>531</v>
      </c>
      <c r="C40" s="65" t="s">
        <v>532</v>
      </c>
      <c r="D40" s="65" t="s">
        <v>533</v>
      </c>
      <c r="E40" s="112" t="n">
        <v>45716</v>
      </c>
      <c r="F40" s="112" t="n">
        <v>45776</v>
      </c>
      <c r="G40" s="65" t="n">
        <v>5</v>
      </c>
      <c r="H40" s="65" t="s">
        <v>494</v>
      </c>
      <c r="I40" s="65" t="s">
        <v>484</v>
      </c>
      <c r="J40" s="65" t="s">
        <v>380</v>
      </c>
      <c r="K40" s="65" t="s">
        <v>534</v>
      </c>
      <c r="L40" s="65" t="s">
        <v>64</v>
      </c>
      <c r="M40" s="113" t="n">
        <v>1.49</v>
      </c>
      <c r="N40" s="114" t="n">
        <v>7000</v>
      </c>
      <c r="O40" s="114" t="n">
        <v>980</v>
      </c>
      <c r="P40" s="114" t="n">
        <v>10430</v>
      </c>
      <c r="Q40" s="114" t="n">
        <v>3297.57</v>
      </c>
      <c r="R40" s="114" t="n">
        <v>7132.43</v>
      </c>
      <c r="S40" s="115" t="n">
        <v>0.316162032598274</v>
      </c>
      <c r="T40" s="65" t="n">
        <v>1.148</v>
      </c>
      <c r="U40" s="65" t="n">
        <v>3</v>
      </c>
      <c r="W40" s="115" t="n">
        <v>0.0624</v>
      </c>
      <c r="X40" s="112" t="n">
        <v>37817</v>
      </c>
      <c r="Y40" s="65" t="str">
        <f aca="false">IF(I40="","No SIC",IFERROR(VLOOKUP(I40,Ref!$A$2:$B$65,2,FALSE()),"Unclassified"))</f>
        <v>Special Trade Contractors</v>
      </c>
      <c r="Z40" s="65" t="str">
        <f aca="false">IF(T40="","",IF(T40&lt;12,"Daily","Weekly"))</f>
        <v>Daily</v>
      </c>
      <c r="AA40" s="65" t="n">
        <f aca="false">IF(T40="",0,IF(T40&lt;12,T40*Controls!$B$29,T40*5))</f>
        <v>24.85994</v>
      </c>
      <c r="AB40" s="65" t="n">
        <f aca="false">IF(E40="",0,NETWORKDAYS(E40,Controls!$B$36,Ref!$K$2:$K$42))</f>
        <v>375</v>
      </c>
      <c r="AC40" s="65" t="n">
        <f aca="false">IF(AND(AA40&gt;0,AB40&gt;=Controls!$B$39*AA40),1,0)</f>
        <v>1</v>
      </c>
      <c r="AD40" s="65" t="n">
        <f aca="false">IF(AND(E40&lt;&gt;"",E40&gt;=Controls!$B$37,E40&lt;=Controls!$B$38),1,0)</f>
        <v>1</v>
      </c>
      <c r="AE40" s="65" t="n">
        <f aca="false">IF(IFERROR(VLOOKUP(D40,Controls!$A$64:$E$74,2,FALSE()),"No")="Yes",1,0)</f>
        <v>1</v>
      </c>
      <c r="AF40" s="65" t="n">
        <f aca="false">IF(IFERROR(VLOOKUP(D40,Controls!$A$64:$E$74,3,FALSE()),"No")="Yes",1,0)</f>
        <v>0</v>
      </c>
      <c r="AG40" s="65" t="n">
        <f aca="false">IF(IFERROR(VLOOKUP(D40,Controls!$A$64:$E$74,4,FALSE()),"No")="Yes",1,0)</f>
        <v>0</v>
      </c>
      <c r="AH40" s="65" t="n">
        <f aca="false">IF(IFERROR(VLOOKUP(D40,Controls!$A$64:$E$74,5,FALSE()),"No")="Yes",1,0)</f>
        <v>0</v>
      </c>
      <c r="AI40" s="65" t="n">
        <f aca="false">IF(ISNUMBER(MATCH(D40,Controls!$A$64:$A$74,0)),1,0)</f>
        <v>1</v>
      </c>
      <c r="AJ40" s="65" t="n">
        <f aca="false">Q40-N40</f>
        <v>-3702.43</v>
      </c>
      <c r="AK40" s="65" t="n">
        <f aca="false">IF(AE40=1,MAX(0,N40-Q40),0)</f>
        <v>3702.43</v>
      </c>
      <c r="AL40" s="65" t="n">
        <f aca="false">IF(OR(V40="",V40=0),0,N40/V40)</f>
        <v>0</v>
      </c>
      <c r="AM40" s="65" t="n">
        <f aca="false">IF(OR(V40="",V40=0),0,1)</f>
        <v>0</v>
      </c>
      <c r="AN40" s="65" t="n">
        <f aca="false">IF(OR(E40="",F40=""),0,NETWORKDAYS(E40,F40,Ref!$K$2:$K$42))</f>
        <v>43</v>
      </c>
      <c r="AO40" s="65" t="n">
        <f aca="false">IF(L40="Renewal",1,0)</f>
        <v>0</v>
      </c>
      <c r="AP40" s="65" t="n">
        <f aca="false">AC40*AD40</f>
        <v>1</v>
      </c>
      <c r="AQ40" s="65" t="n">
        <f aca="false">IF(AND(G40&lt;&gt;"",'Historical Score'!$C$6&lt;&gt;""),IF(G40='Historical Score'!$C$6,1,0),0)</f>
        <v>0</v>
      </c>
      <c r="AR40" s="65" t="n">
        <f aca="false">IF(AND(L40&lt;&gt;"",'Historical Score'!$C$5&lt;&gt;""),IF(L40='Historical Score'!$C$5,1,0),0)</f>
        <v>1</v>
      </c>
      <c r="AS40" s="65" t="n">
        <f aca="false">IF(AND(Y40&lt;&gt;"",'Historical Score'!$C$7&lt;&gt;""),IF(Y40='Historical Score'!$C$7,1,0),0)</f>
        <v>0</v>
      </c>
      <c r="AT40" s="65" t="n">
        <f aca="false">IF(AND(K40&lt;&gt;"",'Historical Score'!$C$8&lt;&gt;""),IF(K40='Historical Score'!$C$8,1,0),0)</f>
        <v>0</v>
      </c>
      <c r="AU40" s="65" t="n">
        <f aca="false">IF(AND(J40&lt;&gt;"",'Historical Score'!$C$9&lt;&gt;""),IF(J40='Historical Score'!$C$9,1,0),0)</f>
        <v>0</v>
      </c>
      <c r="AV40" s="65" t="n">
        <f aca="false">AR40*AS40*AQ40</f>
        <v>0</v>
      </c>
      <c r="AW40" s="65" t="n">
        <f aca="false">AR40*AT40*AQ40</f>
        <v>0</v>
      </c>
      <c r="AX40" s="65" t="n">
        <f aca="false">AR40*AS40</f>
        <v>0</v>
      </c>
      <c r="AY40" s="65" t="n">
        <f aca="false">AR40*AT40</f>
        <v>0</v>
      </c>
      <c r="AZ40" s="65" t="n">
        <f aca="false">AR40*AQ40</f>
        <v>0</v>
      </c>
      <c r="BA40" s="65" t="n">
        <f aca="false">AR40</f>
        <v>1</v>
      </c>
      <c r="BB40" s="65" t="n">
        <f aca="false">1</f>
        <v>1</v>
      </c>
      <c r="BC40" s="65" t="n">
        <f aca="false">IF(AV40=1,1,IF(AW40=1,2,IF(AX40=1,3,IF(AY40=1,4,IF(AZ40=1,5,IF(BA40=1,6,7))))))</f>
        <v>6</v>
      </c>
      <c r="BD40" s="65" t="n">
        <f aca="false">IF(AD40=1,CHOOSE('Historical Score'!$C$29,AV40,AW40,AX40,AY40,AZ40,BA40,BB40),0)</f>
        <v>0</v>
      </c>
      <c r="BE40" s="65" t="str">
        <f aca="false">IF(BD40=1,COUNTIF($BD$2:BD40,1),"")</f>
        <v/>
      </c>
    </row>
    <row r="41" customFormat="false" ht="15" hidden="false" customHeight="false" outlineLevel="0" collapsed="false">
      <c r="A41" s="65" t="s">
        <v>535</v>
      </c>
      <c r="B41" s="65" t="s">
        <v>536</v>
      </c>
      <c r="C41" s="65" t="s">
        <v>537</v>
      </c>
      <c r="D41" s="65" t="s">
        <v>371</v>
      </c>
      <c r="E41" s="112" t="n">
        <v>45719</v>
      </c>
      <c r="F41" s="112" t="n">
        <v>45973</v>
      </c>
      <c r="G41" s="65" t="n">
        <v>6</v>
      </c>
      <c r="H41" s="65" t="s">
        <v>414</v>
      </c>
      <c r="I41" s="65" t="s">
        <v>415</v>
      </c>
      <c r="J41" s="65" t="s">
        <v>510</v>
      </c>
      <c r="K41" s="65" t="s">
        <v>538</v>
      </c>
      <c r="L41" s="65" t="s">
        <v>64</v>
      </c>
      <c r="M41" s="113" t="n">
        <v>1.44</v>
      </c>
      <c r="N41" s="114" t="n">
        <v>20000</v>
      </c>
      <c r="O41" s="114" t="n">
        <v>2300</v>
      </c>
      <c r="P41" s="114" t="n">
        <v>28800</v>
      </c>
      <c r="Q41" s="114" t="n">
        <v>28800</v>
      </c>
      <c r="R41" s="114" t="n">
        <v>0</v>
      </c>
      <c r="S41" s="115" t="n">
        <v>1</v>
      </c>
      <c r="T41" s="65" t="n">
        <v>40</v>
      </c>
      <c r="U41" s="65" t="n">
        <v>0</v>
      </c>
      <c r="W41" s="115" t="n">
        <v>0.0279</v>
      </c>
      <c r="X41" s="112" t="n">
        <v>43748</v>
      </c>
      <c r="Y41" s="65" t="str">
        <f aca="false">IF(I41="","No SIC",IFERROR(VLOOKUP(I41,Ref!$A$2:$B$65,2,FALSE()),"Unclassified"))</f>
        <v>Wholesale Trade - Durable Goods</v>
      </c>
      <c r="Z41" s="65" t="str">
        <f aca="false">IF(T41="","",IF(T41&lt;12,"Daily","Weekly"))</f>
        <v>Weekly</v>
      </c>
      <c r="AA41" s="65" t="n">
        <f aca="false">IF(T41="",0,IF(T41&lt;12,T41*Controls!$B$29,T41*5))</f>
        <v>200</v>
      </c>
      <c r="AB41" s="65" t="n">
        <f aca="false">IF(E41="",0,NETWORKDAYS(E41,Controls!$B$36,Ref!$K$2:$K$42))</f>
        <v>374</v>
      </c>
      <c r="AC41" s="65" t="n">
        <f aca="false">IF(AND(AA41&gt;0,AB41&gt;=Controls!$B$39*AA41),1,0)</f>
        <v>1</v>
      </c>
      <c r="AD41" s="65" t="n">
        <f aca="false">IF(AND(E41&lt;&gt;"",E41&gt;=Controls!$B$37,E41&lt;=Controls!$B$38),1,0)</f>
        <v>1</v>
      </c>
      <c r="AE41" s="65" t="n">
        <f aca="false">IF(IFERROR(VLOOKUP(D41,Controls!$A$64:$E$74,2,FALSE()),"No")="Yes",1,0)</f>
        <v>0</v>
      </c>
      <c r="AF41" s="65" t="n">
        <f aca="false">IF(IFERROR(VLOOKUP(D41,Controls!$A$64:$E$74,3,FALSE()),"No")="Yes",1,0)</f>
        <v>1</v>
      </c>
      <c r="AG41" s="65" t="n">
        <f aca="false">IF(IFERROR(VLOOKUP(D41,Controls!$A$64:$E$74,4,FALSE()),"No")="Yes",1,0)</f>
        <v>1</v>
      </c>
      <c r="AH41" s="65" t="n">
        <f aca="false">IF(IFERROR(VLOOKUP(D41,Controls!$A$64:$E$74,5,FALSE()),"No")="Yes",1,0)</f>
        <v>0</v>
      </c>
      <c r="AI41" s="65" t="n">
        <f aca="false">IF(ISNUMBER(MATCH(D41,Controls!$A$64:$A$74,0)),1,0)</f>
        <v>1</v>
      </c>
      <c r="AJ41" s="65" t="n">
        <f aca="false">Q41-N41</f>
        <v>8800</v>
      </c>
      <c r="AK41" s="65" t="n">
        <f aca="false">IF(AE41=1,MAX(0,N41-Q41),0)</f>
        <v>0</v>
      </c>
      <c r="AL41" s="65" t="n">
        <f aca="false">IF(OR(V41="",V41=0),0,N41/V41)</f>
        <v>0</v>
      </c>
      <c r="AM41" s="65" t="n">
        <f aca="false">IF(OR(V41="",V41=0),0,1)</f>
        <v>0</v>
      </c>
      <c r="AN41" s="65" t="n">
        <f aca="false">IF(OR(E41="",F41=""),0,NETWORKDAYS(E41,F41,Ref!$K$2:$K$42))</f>
        <v>177</v>
      </c>
      <c r="AO41" s="65" t="n">
        <f aca="false">IF(L41="Renewal",1,0)</f>
        <v>0</v>
      </c>
      <c r="AP41" s="65" t="n">
        <f aca="false">AC41*AD41</f>
        <v>1</v>
      </c>
      <c r="AQ41" s="65" t="n">
        <f aca="false">IF(AND(G41&lt;&gt;"",'Historical Score'!$C$6&lt;&gt;""),IF(G41='Historical Score'!$C$6,1,0),0)</f>
        <v>0</v>
      </c>
      <c r="AR41" s="65" t="n">
        <f aca="false">IF(AND(L41&lt;&gt;"",'Historical Score'!$C$5&lt;&gt;""),IF(L41='Historical Score'!$C$5,1,0),0)</f>
        <v>1</v>
      </c>
      <c r="AS41" s="65" t="n">
        <f aca="false">IF(AND(Y41&lt;&gt;"",'Historical Score'!$C$7&lt;&gt;""),IF(Y41='Historical Score'!$C$7,1,0),0)</f>
        <v>0</v>
      </c>
      <c r="AT41" s="65" t="n">
        <f aca="false">IF(AND(K41&lt;&gt;"",'Historical Score'!$C$8&lt;&gt;""),IF(K41='Historical Score'!$C$8,1,0),0)</f>
        <v>0</v>
      </c>
      <c r="AU41" s="65" t="n">
        <f aca="false">IF(AND(J41&lt;&gt;"",'Historical Score'!$C$9&lt;&gt;""),IF(J41='Historical Score'!$C$9,1,0),0)</f>
        <v>0</v>
      </c>
      <c r="AV41" s="65" t="n">
        <f aca="false">AR41*AS41*AQ41</f>
        <v>0</v>
      </c>
      <c r="AW41" s="65" t="n">
        <f aca="false">AR41*AT41*AQ41</f>
        <v>0</v>
      </c>
      <c r="AX41" s="65" t="n">
        <f aca="false">AR41*AS41</f>
        <v>0</v>
      </c>
      <c r="AY41" s="65" t="n">
        <f aca="false">AR41*AT41</f>
        <v>0</v>
      </c>
      <c r="AZ41" s="65" t="n">
        <f aca="false">AR41*AQ41</f>
        <v>0</v>
      </c>
      <c r="BA41" s="65" t="n">
        <f aca="false">AR41</f>
        <v>1</v>
      </c>
      <c r="BB41" s="65" t="n">
        <f aca="false">1</f>
        <v>1</v>
      </c>
      <c r="BC41" s="65" t="n">
        <f aca="false">IF(AV41=1,1,IF(AW41=1,2,IF(AX41=1,3,IF(AY41=1,4,IF(AZ41=1,5,IF(BA41=1,6,7))))))</f>
        <v>6</v>
      </c>
      <c r="BD41" s="65" t="n">
        <f aca="false">IF(AD41=1,CHOOSE('Historical Score'!$C$29,AV41,AW41,AX41,AY41,AZ41,BA41,BB41),0)</f>
        <v>0</v>
      </c>
      <c r="BE41" s="65" t="str">
        <f aca="false">IF(BD41=1,COUNTIF($BD$2:BD41,1),"")</f>
        <v/>
      </c>
    </row>
    <row r="42" customFormat="false" ht="15" hidden="false" customHeight="false" outlineLevel="0" collapsed="false">
      <c r="A42" s="65" t="s">
        <v>539</v>
      </c>
      <c r="B42" s="65" t="s">
        <v>390</v>
      </c>
      <c r="C42" s="65" t="s">
        <v>390</v>
      </c>
      <c r="D42" s="65" t="s">
        <v>371</v>
      </c>
      <c r="E42" s="112" t="n">
        <v>45721</v>
      </c>
      <c r="F42" s="112" t="n">
        <v>45804</v>
      </c>
      <c r="G42" s="65" t="n">
        <v>2</v>
      </c>
      <c r="H42" s="65" t="s">
        <v>483</v>
      </c>
      <c r="I42" s="65" t="s">
        <v>484</v>
      </c>
      <c r="J42" s="65" t="s">
        <v>393</v>
      </c>
      <c r="K42" s="65" t="s">
        <v>394</v>
      </c>
      <c r="L42" s="65" t="s">
        <v>64</v>
      </c>
      <c r="M42" s="113" t="n">
        <v>1.49</v>
      </c>
      <c r="N42" s="114" t="n">
        <v>22000</v>
      </c>
      <c r="O42" s="114" t="n">
        <v>3080</v>
      </c>
      <c r="P42" s="114" t="n">
        <v>32780</v>
      </c>
      <c r="Q42" s="114" t="n">
        <v>32780</v>
      </c>
      <c r="R42" s="114" t="n">
        <v>0</v>
      </c>
      <c r="S42" s="115" t="n">
        <v>1</v>
      </c>
      <c r="T42" s="65" t="n">
        <v>3.607</v>
      </c>
      <c r="U42" s="65" t="n">
        <v>0</v>
      </c>
      <c r="W42" s="115" t="n">
        <v>0.1784</v>
      </c>
      <c r="X42" s="112" t="n">
        <v>45005</v>
      </c>
      <c r="Y42" s="65" t="str">
        <f aca="false">IF(I42="","No SIC",IFERROR(VLOOKUP(I42,Ref!$A$2:$B$65,2,FALSE()),"Unclassified"))</f>
        <v>Special Trade Contractors</v>
      </c>
      <c r="Z42" s="65" t="str">
        <f aca="false">IF(T42="","",IF(T42&lt;12,"Daily","Weekly"))</f>
        <v>Daily</v>
      </c>
      <c r="AA42" s="65" t="n">
        <f aca="false">IF(T42="",0,IF(T42&lt;12,T42*Controls!$B$29,T42*5))</f>
        <v>78.109585</v>
      </c>
      <c r="AB42" s="65" t="n">
        <f aca="false">IF(E42="",0,NETWORKDAYS(E42,Controls!$B$36,Ref!$K$2:$K$42))</f>
        <v>372</v>
      </c>
      <c r="AC42" s="65" t="n">
        <f aca="false">IF(AND(AA42&gt;0,AB42&gt;=Controls!$B$39*AA42),1,0)</f>
        <v>1</v>
      </c>
      <c r="AD42" s="65" t="n">
        <f aca="false">IF(AND(E42&lt;&gt;"",E42&gt;=Controls!$B$37,E42&lt;=Controls!$B$38),1,0)</f>
        <v>1</v>
      </c>
      <c r="AE42" s="65" t="n">
        <f aca="false">IF(IFERROR(VLOOKUP(D42,Controls!$A$64:$E$74,2,FALSE()),"No")="Yes",1,0)</f>
        <v>0</v>
      </c>
      <c r="AF42" s="65" t="n">
        <f aca="false">IF(IFERROR(VLOOKUP(D42,Controls!$A$64:$E$74,3,FALSE()),"No")="Yes",1,0)</f>
        <v>1</v>
      </c>
      <c r="AG42" s="65" t="n">
        <f aca="false">IF(IFERROR(VLOOKUP(D42,Controls!$A$64:$E$74,4,FALSE()),"No")="Yes",1,0)</f>
        <v>1</v>
      </c>
      <c r="AH42" s="65" t="n">
        <f aca="false">IF(IFERROR(VLOOKUP(D42,Controls!$A$64:$E$74,5,FALSE()),"No")="Yes",1,0)</f>
        <v>0</v>
      </c>
      <c r="AI42" s="65" t="n">
        <f aca="false">IF(ISNUMBER(MATCH(D42,Controls!$A$64:$A$74,0)),1,0)</f>
        <v>1</v>
      </c>
      <c r="AJ42" s="65" t="n">
        <f aca="false">Q42-N42</f>
        <v>10780</v>
      </c>
      <c r="AK42" s="65" t="n">
        <f aca="false">IF(AE42=1,MAX(0,N42-Q42),0)</f>
        <v>0</v>
      </c>
      <c r="AL42" s="65" t="n">
        <f aca="false">IF(OR(V42="",V42=0),0,N42/V42)</f>
        <v>0</v>
      </c>
      <c r="AM42" s="65" t="n">
        <f aca="false">IF(OR(V42="",V42=0),0,1)</f>
        <v>0</v>
      </c>
      <c r="AN42" s="65" t="n">
        <f aca="false">IF(OR(E42="",F42=""),0,NETWORKDAYS(E42,F42,Ref!$K$2:$K$42))</f>
        <v>59</v>
      </c>
      <c r="AO42" s="65" t="n">
        <f aca="false">IF(L42="Renewal",1,0)</f>
        <v>0</v>
      </c>
      <c r="AP42" s="65" t="n">
        <f aca="false">AC42*AD42</f>
        <v>1</v>
      </c>
      <c r="AQ42" s="65" t="n">
        <f aca="false">IF(AND(G42&lt;&gt;"",'Historical Score'!$C$6&lt;&gt;""),IF(G42='Historical Score'!$C$6,1,0),0)</f>
        <v>1</v>
      </c>
      <c r="AR42" s="65" t="n">
        <f aca="false">IF(AND(L42&lt;&gt;"",'Historical Score'!$C$5&lt;&gt;""),IF(L42='Historical Score'!$C$5,1,0),0)</f>
        <v>1</v>
      </c>
      <c r="AS42" s="65" t="n">
        <f aca="false">IF(AND(Y42&lt;&gt;"",'Historical Score'!$C$7&lt;&gt;""),IF(Y42='Historical Score'!$C$7,1,0),0)</f>
        <v>0</v>
      </c>
      <c r="AT42" s="65" t="n">
        <f aca="false">IF(AND(K42&lt;&gt;"",'Historical Score'!$C$8&lt;&gt;""),IF(K42='Historical Score'!$C$8,1,0),0)</f>
        <v>0</v>
      </c>
      <c r="AU42" s="65" t="n">
        <f aca="false">IF(AND(J42&lt;&gt;"",'Historical Score'!$C$9&lt;&gt;""),IF(J42='Historical Score'!$C$9,1,0),0)</f>
        <v>0</v>
      </c>
      <c r="AV42" s="65" t="n">
        <f aca="false">AR42*AS42*AQ42</f>
        <v>0</v>
      </c>
      <c r="AW42" s="65" t="n">
        <f aca="false">AR42*AT42*AQ42</f>
        <v>0</v>
      </c>
      <c r="AX42" s="65" t="n">
        <f aca="false">AR42*AS42</f>
        <v>0</v>
      </c>
      <c r="AY42" s="65" t="n">
        <f aca="false">AR42*AT42</f>
        <v>0</v>
      </c>
      <c r="AZ42" s="65" t="n">
        <f aca="false">AR42*AQ42</f>
        <v>1</v>
      </c>
      <c r="BA42" s="65" t="n">
        <f aca="false">AR42</f>
        <v>1</v>
      </c>
      <c r="BB42" s="65" t="n">
        <f aca="false">1</f>
        <v>1</v>
      </c>
      <c r="BC42" s="65" t="n">
        <f aca="false">IF(AV42=1,1,IF(AW42=1,2,IF(AX42=1,3,IF(AY42=1,4,IF(AZ42=1,5,IF(BA42=1,6,7))))))</f>
        <v>5</v>
      </c>
      <c r="BD42" s="65" t="n">
        <f aca="false">IF(AD42=1,CHOOSE('Historical Score'!$C$29,AV42,AW42,AX42,AY42,AZ42,BA42,BB42),0)</f>
        <v>0</v>
      </c>
      <c r="BE42" s="65" t="str">
        <f aca="false">IF(BD42=1,COUNTIF($BD$2:BD42,1),"")</f>
        <v/>
      </c>
    </row>
    <row r="43" customFormat="false" ht="15" hidden="false" customHeight="false" outlineLevel="0" collapsed="false">
      <c r="A43" s="65" t="s">
        <v>540</v>
      </c>
      <c r="B43" s="65" t="s">
        <v>541</v>
      </c>
      <c r="C43" s="65" t="s">
        <v>542</v>
      </c>
      <c r="D43" s="65" t="s">
        <v>371</v>
      </c>
      <c r="E43" s="112" t="n">
        <v>45722</v>
      </c>
      <c r="F43" s="112" t="n">
        <v>45813</v>
      </c>
      <c r="G43" s="65" t="n">
        <v>1</v>
      </c>
      <c r="H43" s="65" t="s">
        <v>505</v>
      </c>
      <c r="I43" s="65" t="s">
        <v>469</v>
      </c>
      <c r="J43" s="65" t="s">
        <v>452</v>
      </c>
      <c r="K43" s="65" t="s">
        <v>543</v>
      </c>
      <c r="L43" s="65" t="s">
        <v>64</v>
      </c>
      <c r="M43" s="113" t="n">
        <v>1.49</v>
      </c>
      <c r="N43" s="114" t="n">
        <v>10000</v>
      </c>
      <c r="O43" s="114" t="n">
        <v>1400</v>
      </c>
      <c r="P43" s="114" t="n">
        <v>14900</v>
      </c>
      <c r="Q43" s="114" t="n">
        <v>14900</v>
      </c>
      <c r="R43" s="114" t="n">
        <v>0</v>
      </c>
      <c r="S43" s="115" t="n">
        <v>1</v>
      </c>
      <c r="T43" s="65" t="n">
        <v>3.279</v>
      </c>
      <c r="U43" s="65" t="n">
        <v>0</v>
      </c>
      <c r="W43" s="115" t="n">
        <v>0.0981</v>
      </c>
      <c r="X43" s="112" t="n">
        <v>44977</v>
      </c>
      <c r="Y43" s="65" t="str">
        <f aca="false">IF(I43="","No SIC",IFERROR(VLOOKUP(I43,Ref!$A$2:$B$65,2,FALSE()),"Unclassified"))</f>
        <v>Heavy Construction</v>
      </c>
      <c r="Z43" s="65" t="str">
        <f aca="false">IF(T43="","",IF(T43&lt;12,"Daily","Weekly"))</f>
        <v>Daily</v>
      </c>
      <c r="AA43" s="65" t="n">
        <f aca="false">IF(T43="",0,IF(T43&lt;12,T43*Controls!$B$29,T43*5))</f>
        <v>71.006745</v>
      </c>
      <c r="AB43" s="65" t="n">
        <f aca="false">IF(E43="",0,NETWORKDAYS(E43,Controls!$B$36,Ref!$K$2:$K$42))</f>
        <v>371</v>
      </c>
      <c r="AC43" s="65" t="n">
        <f aca="false">IF(AND(AA43&gt;0,AB43&gt;=Controls!$B$39*AA43),1,0)</f>
        <v>1</v>
      </c>
      <c r="AD43" s="65" t="n">
        <f aca="false">IF(AND(E43&lt;&gt;"",E43&gt;=Controls!$B$37,E43&lt;=Controls!$B$38),1,0)</f>
        <v>1</v>
      </c>
      <c r="AE43" s="65" t="n">
        <f aca="false">IF(IFERROR(VLOOKUP(D43,Controls!$A$64:$E$74,2,FALSE()),"No")="Yes",1,0)</f>
        <v>0</v>
      </c>
      <c r="AF43" s="65" t="n">
        <f aca="false">IF(IFERROR(VLOOKUP(D43,Controls!$A$64:$E$74,3,FALSE()),"No")="Yes",1,0)</f>
        <v>1</v>
      </c>
      <c r="AG43" s="65" t="n">
        <f aca="false">IF(IFERROR(VLOOKUP(D43,Controls!$A$64:$E$74,4,FALSE()),"No")="Yes",1,0)</f>
        <v>1</v>
      </c>
      <c r="AH43" s="65" t="n">
        <f aca="false">IF(IFERROR(VLOOKUP(D43,Controls!$A$64:$E$74,5,FALSE()),"No")="Yes",1,0)</f>
        <v>0</v>
      </c>
      <c r="AI43" s="65" t="n">
        <f aca="false">IF(ISNUMBER(MATCH(D43,Controls!$A$64:$A$74,0)),1,0)</f>
        <v>1</v>
      </c>
      <c r="AJ43" s="65" t="n">
        <f aca="false">Q43-N43</f>
        <v>4900</v>
      </c>
      <c r="AK43" s="65" t="n">
        <f aca="false">IF(AE43=1,MAX(0,N43-Q43),0)</f>
        <v>0</v>
      </c>
      <c r="AL43" s="65" t="n">
        <f aca="false">IF(OR(V43="",V43=0),0,N43/V43)</f>
        <v>0</v>
      </c>
      <c r="AM43" s="65" t="n">
        <f aca="false">IF(OR(V43="",V43=0),0,1)</f>
        <v>0</v>
      </c>
      <c r="AN43" s="65" t="n">
        <f aca="false">IF(OR(E43="",F43=""),0,NETWORKDAYS(E43,F43,Ref!$K$2:$K$42))</f>
        <v>65</v>
      </c>
      <c r="AO43" s="65" t="n">
        <f aca="false">IF(L43="Renewal",1,0)</f>
        <v>0</v>
      </c>
      <c r="AP43" s="65" t="n">
        <f aca="false">AC43*AD43</f>
        <v>1</v>
      </c>
      <c r="AQ43" s="65" t="n">
        <f aca="false">IF(AND(G43&lt;&gt;"",'Historical Score'!$C$6&lt;&gt;""),IF(G43='Historical Score'!$C$6,1,0),0)</f>
        <v>0</v>
      </c>
      <c r="AR43" s="65" t="n">
        <f aca="false">IF(AND(L43&lt;&gt;"",'Historical Score'!$C$5&lt;&gt;""),IF(L43='Historical Score'!$C$5,1,0),0)</f>
        <v>1</v>
      </c>
      <c r="AS43" s="65" t="n">
        <f aca="false">IF(AND(Y43&lt;&gt;"",'Historical Score'!$C$7&lt;&gt;""),IF(Y43='Historical Score'!$C$7,1,0),0)</f>
        <v>0</v>
      </c>
      <c r="AT43" s="65" t="n">
        <f aca="false">IF(AND(K43&lt;&gt;"",'Historical Score'!$C$8&lt;&gt;""),IF(K43='Historical Score'!$C$8,1,0),0)</f>
        <v>0</v>
      </c>
      <c r="AU43" s="65" t="n">
        <f aca="false">IF(AND(J43&lt;&gt;"",'Historical Score'!$C$9&lt;&gt;""),IF(J43='Historical Score'!$C$9,1,0),0)</f>
        <v>0</v>
      </c>
      <c r="AV43" s="65" t="n">
        <f aca="false">AR43*AS43*AQ43</f>
        <v>0</v>
      </c>
      <c r="AW43" s="65" t="n">
        <f aca="false">AR43*AT43*AQ43</f>
        <v>0</v>
      </c>
      <c r="AX43" s="65" t="n">
        <f aca="false">AR43*AS43</f>
        <v>0</v>
      </c>
      <c r="AY43" s="65" t="n">
        <f aca="false">AR43*AT43</f>
        <v>0</v>
      </c>
      <c r="AZ43" s="65" t="n">
        <f aca="false">AR43*AQ43</f>
        <v>0</v>
      </c>
      <c r="BA43" s="65" t="n">
        <f aca="false">AR43</f>
        <v>1</v>
      </c>
      <c r="BB43" s="65" t="n">
        <f aca="false">1</f>
        <v>1</v>
      </c>
      <c r="BC43" s="65" t="n">
        <f aca="false">IF(AV43=1,1,IF(AW43=1,2,IF(AX43=1,3,IF(AY43=1,4,IF(AZ43=1,5,IF(BA43=1,6,7))))))</f>
        <v>6</v>
      </c>
      <c r="BD43" s="65" t="n">
        <f aca="false">IF(AD43=1,CHOOSE('Historical Score'!$C$29,AV43,AW43,AX43,AY43,AZ43,BA43,BB43),0)</f>
        <v>0</v>
      </c>
      <c r="BE43" s="65" t="str">
        <f aca="false">IF(BD43=1,COUNTIF($BD$2:BD43,1),"")</f>
        <v/>
      </c>
    </row>
    <row r="44" customFormat="false" ht="15" hidden="false" customHeight="false" outlineLevel="0" collapsed="false">
      <c r="A44" s="65" t="s">
        <v>544</v>
      </c>
      <c r="B44" s="65" t="s">
        <v>545</v>
      </c>
      <c r="C44" s="65" t="s">
        <v>545</v>
      </c>
      <c r="D44" s="65" t="s">
        <v>371</v>
      </c>
      <c r="E44" s="112" t="n">
        <v>45722</v>
      </c>
      <c r="F44" s="112" t="n">
        <v>45821</v>
      </c>
      <c r="G44" s="65" t="n">
        <v>4</v>
      </c>
      <c r="H44" s="65" t="s">
        <v>430</v>
      </c>
      <c r="I44" s="65" t="s">
        <v>431</v>
      </c>
      <c r="J44" s="65" t="s">
        <v>546</v>
      </c>
      <c r="K44" s="65" t="s">
        <v>433</v>
      </c>
      <c r="L44" s="65" t="s">
        <v>320</v>
      </c>
      <c r="M44" s="113" t="n">
        <v>1.47</v>
      </c>
      <c r="N44" s="114" t="n">
        <v>4000</v>
      </c>
      <c r="O44" s="114" t="n">
        <v>520</v>
      </c>
      <c r="P44" s="114" t="n">
        <v>5880</v>
      </c>
      <c r="Q44" s="114" t="n">
        <v>5880</v>
      </c>
      <c r="R44" s="114" t="n">
        <v>0</v>
      </c>
      <c r="S44" s="115" t="n">
        <v>1</v>
      </c>
      <c r="T44" s="65" t="n">
        <v>2.295</v>
      </c>
      <c r="U44" s="65" t="n">
        <v>0</v>
      </c>
      <c r="W44" s="115" t="n">
        <v>0.1421</v>
      </c>
      <c r="X44" s="112" t="n">
        <v>44350</v>
      </c>
      <c r="Y44" s="65" t="str">
        <f aca="false">IF(I44="","No SIC",IFERROR(VLOOKUP(I44,Ref!$A$2:$B$65,2,FALSE()),"Unclassified"))</f>
        <v>Apparel &amp; Accessory Stores</v>
      </c>
      <c r="Z44" s="65" t="str">
        <f aca="false">IF(T44="","",IF(T44&lt;12,"Daily","Weekly"))</f>
        <v>Daily</v>
      </c>
      <c r="AA44" s="65" t="n">
        <f aca="false">IF(T44="",0,IF(T44&lt;12,T44*Controls!$B$29,T44*5))</f>
        <v>49.698225</v>
      </c>
      <c r="AB44" s="65" t="n">
        <f aca="false">IF(E44="",0,NETWORKDAYS(E44,Controls!$B$36,Ref!$K$2:$K$42))</f>
        <v>371</v>
      </c>
      <c r="AC44" s="65" t="n">
        <f aca="false">IF(AND(AA44&gt;0,AB44&gt;=Controls!$B$39*AA44),1,0)</f>
        <v>1</v>
      </c>
      <c r="AD44" s="65" t="n">
        <f aca="false">IF(AND(E44&lt;&gt;"",E44&gt;=Controls!$B$37,E44&lt;=Controls!$B$38),1,0)</f>
        <v>1</v>
      </c>
      <c r="AE44" s="65" t="n">
        <f aca="false">IF(IFERROR(VLOOKUP(D44,Controls!$A$64:$E$74,2,FALSE()),"No")="Yes",1,0)</f>
        <v>0</v>
      </c>
      <c r="AF44" s="65" t="n">
        <f aca="false">IF(IFERROR(VLOOKUP(D44,Controls!$A$64:$E$74,3,FALSE()),"No")="Yes",1,0)</f>
        <v>1</v>
      </c>
      <c r="AG44" s="65" t="n">
        <f aca="false">IF(IFERROR(VLOOKUP(D44,Controls!$A$64:$E$74,4,FALSE()),"No")="Yes",1,0)</f>
        <v>1</v>
      </c>
      <c r="AH44" s="65" t="n">
        <f aca="false">IF(IFERROR(VLOOKUP(D44,Controls!$A$64:$E$74,5,FALSE()),"No")="Yes",1,0)</f>
        <v>0</v>
      </c>
      <c r="AI44" s="65" t="n">
        <f aca="false">IF(ISNUMBER(MATCH(D44,Controls!$A$64:$A$74,0)),1,0)</f>
        <v>1</v>
      </c>
      <c r="AJ44" s="65" t="n">
        <f aca="false">Q44-N44</f>
        <v>1880</v>
      </c>
      <c r="AK44" s="65" t="n">
        <f aca="false">IF(AE44=1,MAX(0,N44-Q44),0)</f>
        <v>0</v>
      </c>
      <c r="AL44" s="65" t="n">
        <f aca="false">IF(OR(V44="",V44=0),0,N44/V44)</f>
        <v>0</v>
      </c>
      <c r="AM44" s="65" t="n">
        <f aca="false">IF(OR(V44="",V44=0),0,1)</f>
        <v>0</v>
      </c>
      <c r="AN44" s="65" t="n">
        <f aca="false">IF(OR(E44="",F44=""),0,NETWORKDAYS(E44,F44,Ref!$K$2:$K$42))</f>
        <v>71</v>
      </c>
      <c r="AO44" s="65" t="n">
        <f aca="false">IF(L44="Renewal",1,0)</f>
        <v>1</v>
      </c>
      <c r="AP44" s="65" t="n">
        <f aca="false">AC44*AD44</f>
        <v>1</v>
      </c>
      <c r="AQ44" s="65" t="n">
        <f aca="false">IF(AND(G44&lt;&gt;"",'Historical Score'!$C$6&lt;&gt;""),IF(G44='Historical Score'!$C$6,1,0),0)</f>
        <v>0</v>
      </c>
      <c r="AR44" s="65" t="n">
        <f aca="false">IF(AND(L44&lt;&gt;"",'Historical Score'!$C$5&lt;&gt;""),IF(L44='Historical Score'!$C$5,1,0),0)</f>
        <v>0</v>
      </c>
      <c r="AS44" s="65" t="n">
        <f aca="false">IF(AND(Y44&lt;&gt;"",'Historical Score'!$C$7&lt;&gt;""),IF(Y44='Historical Score'!$C$7,1,0),0)</f>
        <v>0</v>
      </c>
      <c r="AT44" s="65" t="n">
        <f aca="false">IF(AND(K44&lt;&gt;"",'Historical Score'!$C$8&lt;&gt;""),IF(K44='Historical Score'!$C$8,1,0),0)</f>
        <v>0</v>
      </c>
      <c r="AU44" s="65" t="n">
        <f aca="false">IF(AND(J44&lt;&gt;"",'Historical Score'!$C$9&lt;&gt;""),IF(J44='Historical Score'!$C$9,1,0),0)</f>
        <v>0</v>
      </c>
      <c r="AV44" s="65" t="n">
        <f aca="false">AR44*AS44*AQ44</f>
        <v>0</v>
      </c>
      <c r="AW44" s="65" t="n">
        <f aca="false">AR44*AT44*AQ44</f>
        <v>0</v>
      </c>
      <c r="AX44" s="65" t="n">
        <f aca="false">AR44*AS44</f>
        <v>0</v>
      </c>
      <c r="AY44" s="65" t="n">
        <f aca="false">AR44*AT44</f>
        <v>0</v>
      </c>
      <c r="AZ44" s="65" t="n">
        <f aca="false">AR44*AQ44</f>
        <v>0</v>
      </c>
      <c r="BA44" s="65" t="n">
        <f aca="false">AR44</f>
        <v>0</v>
      </c>
      <c r="BB44" s="65" t="n">
        <f aca="false">1</f>
        <v>1</v>
      </c>
      <c r="BC44" s="65" t="n">
        <f aca="false">IF(AV44=1,1,IF(AW44=1,2,IF(AX44=1,3,IF(AY44=1,4,IF(AZ44=1,5,IF(BA44=1,6,7))))))</f>
        <v>7</v>
      </c>
      <c r="BD44" s="65" t="n">
        <f aca="false">IF(AD44=1,CHOOSE('Historical Score'!$C$29,AV44,AW44,AX44,AY44,AZ44,BA44,BB44),0)</f>
        <v>0</v>
      </c>
      <c r="BE44" s="65" t="str">
        <f aca="false">IF(BD44=1,COUNTIF($BD$2:BD44,1),"")</f>
        <v/>
      </c>
    </row>
    <row r="45" customFormat="false" ht="15" hidden="false" customHeight="false" outlineLevel="0" collapsed="false">
      <c r="A45" s="65" t="s">
        <v>547</v>
      </c>
      <c r="B45" s="65" t="s">
        <v>548</v>
      </c>
      <c r="C45" s="65" t="s">
        <v>549</v>
      </c>
      <c r="D45" s="65" t="s">
        <v>371</v>
      </c>
      <c r="E45" s="112" t="n">
        <v>45728</v>
      </c>
      <c r="F45" s="112" t="n">
        <v>45772</v>
      </c>
      <c r="G45" s="65" t="n">
        <v>6</v>
      </c>
      <c r="H45" s="65" t="s">
        <v>355</v>
      </c>
      <c r="I45" s="65" t="s">
        <v>356</v>
      </c>
      <c r="J45" s="65" t="s">
        <v>350</v>
      </c>
      <c r="K45" s="65" t="s">
        <v>550</v>
      </c>
      <c r="L45" s="65" t="s">
        <v>64</v>
      </c>
      <c r="M45" s="113" t="n">
        <v>1.39</v>
      </c>
      <c r="N45" s="114" t="n">
        <v>5500</v>
      </c>
      <c r="O45" s="114" t="n">
        <v>495</v>
      </c>
      <c r="P45" s="114" t="n">
        <v>7645</v>
      </c>
      <c r="Q45" s="114" t="n">
        <v>7645</v>
      </c>
      <c r="R45" s="114" t="n">
        <v>-9.09494701772928E-013</v>
      </c>
      <c r="S45" s="115" t="n">
        <v>1</v>
      </c>
      <c r="T45" s="65" t="n">
        <v>2.295</v>
      </c>
      <c r="U45" s="65" t="n">
        <v>1</v>
      </c>
      <c r="W45" s="115" t="n">
        <v>0.06</v>
      </c>
      <c r="X45" s="112"/>
      <c r="Y45" s="65" t="str">
        <f aca="false">IF(I45="","No SIC",IFERROR(VLOOKUP(I45,Ref!$A$2:$B$65,2,FALSE()),"Unclassified"))</f>
        <v>Trucking &amp; Warehousing</v>
      </c>
      <c r="Z45" s="65" t="str">
        <f aca="false">IF(T45="","",IF(T45&lt;12,"Daily","Weekly"))</f>
        <v>Daily</v>
      </c>
      <c r="AA45" s="65" t="n">
        <f aca="false">IF(T45="",0,IF(T45&lt;12,T45*Controls!$B$29,T45*5))</f>
        <v>49.698225</v>
      </c>
      <c r="AB45" s="65" t="n">
        <f aca="false">IF(E45="",0,NETWORKDAYS(E45,Controls!$B$36,Ref!$K$2:$K$42))</f>
        <v>367</v>
      </c>
      <c r="AC45" s="65" t="n">
        <f aca="false">IF(AND(AA45&gt;0,AB45&gt;=Controls!$B$39*AA45),1,0)</f>
        <v>1</v>
      </c>
      <c r="AD45" s="65" t="n">
        <f aca="false">IF(AND(E45&lt;&gt;"",E45&gt;=Controls!$B$37,E45&lt;=Controls!$B$38),1,0)</f>
        <v>1</v>
      </c>
      <c r="AE45" s="65" t="n">
        <f aca="false">IF(IFERROR(VLOOKUP(D45,Controls!$A$64:$E$74,2,FALSE()),"No")="Yes",1,0)</f>
        <v>0</v>
      </c>
      <c r="AF45" s="65" t="n">
        <f aca="false">IF(IFERROR(VLOOKUP(D45,Controls!$A$64:$E$74,3,FALSE()),"No")="Yes",1,0)</f>
        <v>1</v>
      </c>
      <c r="AG45" s="65" t="n">
        <f aca="false">IF(IFERROR(VLOOKUP(D45,Controls!$A$64:$E$74,4,FALSE()),"No")="Yes",1,0)</f>
        <v>1</v>
      </c>
      <c r="AH45" s="65" t="n">
        <f aca="false">IF(IFERROR(VLOOKUP(D45,Controls!$A$64:$E$74,5,FALSE()),"No")="Yes",1,0)</f>
        <v>0</v>
      </c>
      <c r="AI45" s="65" t="n">
        <f aca="false">IF(ISNUMBER(MATCH(D45,Controls!$A$64:$A$74,0)),1,0)</f>
        <v>1</v>
      </c>
      <c r="AJ45" s="65" t="n">
        <f aca="false">Q45-N45</f>
        <v>2145</v>
      </c>
      <c r="AK45" s="65" t="n">
        <f aca="false">IF(AE45=1,MAX(0,N45-Q45),0)</f>
        <v>0</v>
      </c>
      <c r="AL45" s="65" t="n">
        <f aca="false">IF(OR(V45="",V45=0),0,N45/V45)</f>
        <v>0</v>
      </c>
      <c r="AM45" s="65" t="n">
        <f aca="false">IF(OR(V45="",V45=0),0,1)</f>
        <v>0</v>
      </c>
      <c r="AN45" s="65" t="n">
        <f aca="false">IF(OR(E45="",F45=""),0,NETWORKDAYS(E45,F45,Ref!$K$2:$K$42))</f>
        <v>33</v>
      </c>
      <c r="AO45" s="65" t="n">
        <f aca="false">IF(L45="Renewal",1,0)</f>
        <v>0</v>
      </c>
      <c r="AP45" s="65" t="n">
        <f aca="false">AC45*AD45</f>
        <v>1</v>
      </c>
      <c r="AQ45" s="65" t="n">
        <f aca="false">IF(AND(G45&lt;&gt;"",'Historical Score'!$C$6&lt;&gt;""),IF(G45='Historical Score'!$C$6,1,0),0)</f>
        <v>0</v>
      </c>
      <c r="AR45" s="65" t="n">
        <f aca="false">IF(AND(L45&lt;&gt;"",'Historical Score'!$C$5&lt;&gt;""),IF(L45='Historical Score'!$C$5,1,0),0)</f>
        <v>1</v>
      </c>
      <c r="AS45" s="65" t="n">
        <f aca="false">IF(AND(Y45&lt;&gt;"",'Historical Score'!$C$7&lt;&gt;""),IF(Y45='Historical Score'!$C$7,1,0),0)</f>
        <v>0</v>
      </c>
      <c r="AT45" s="65" t="n">
        <f aca="false">IF(AND(K45&lt;&gt;"",'Historical Score'!$C$8&lt;&gt;""),IF(K45='Historical Score'!$C$8,1,0),0)</f>
        <v>0</v>
      </c>
      <c r="AU45" s="65" t="n">
        <f aca="false">IF(AND(J45&lt;&gt;"",'Historical Score'!$C$9&lt;&gt;""),IF(J45='Historical Score'!$C$9,1,0),0)</f>
        <v>0</v>
      </c>
      <c r="AV45" s="65" t="n">
        <f aca="false">AR45*AS45*AQ45</f>
        <v>0</v>
      </c>
      <c r="AW45" s="65" t="n">
        <f aca="false">AR45*AT45*AQ45</f>
        <v>0</v>
      </c>
      <c r="AX45" s="65" t="n">
        <f aca="false">AR45*AS45</f>
        <v>0</v>
      </c>
      <c r="AY45" s="65" t="n">
        <f aca="false">AR45*AT45</f>
        <v>0</v>
      </c>
      <c r="AZ45" s="65" t="n">
        <f aca="false">AR45*AQ45</f>
        <v>0</v>
      </c>
      <c r="BA45" s="65" t="n">
        <f aca="false">AR45</f>
        <v>1</v>
      </c>
      <c r="BB45" s="65" t="n">
        <f aca="false">1</f>
        <v>1</v>
      </c>
      <c r="BC45" s="65" t="n">
        <f aca="false">IF(AV45=1,1,IF(AW45=1,2,IF(AX45=1,3,IF(AY45=1,4,IF(AZ45=1,5,IF(BA45=1,6,7))))))</f>
        <v>6</v>
      </c>
      <c r="BD45" s="65" t="n">
        <f aca="false">IF(AD45=1,CHOOSE('Historical Score'!$C$29,AV45,AW45,AX45,AY45,AZ45,BA45,BB45),0)</f>
        <v>0</v>
      </c>
      <c r="BE45" s="65" t="str">
        <f aca="false">IF(BD45=1,COUNTIF($BD$2:BD45,1),"")</f>
        <v/>
      </c>
    </row>
    <row r="46" customFormat="false" ht="15" hidden="false" customHeight="false" outlineLevel="0" collapsed="false">
      <c r="A46" s="65" t="s">
        <v>551</v>
      </c>
      <c r="B46" s="65" t="s">
        <v>552</v>
      </c>
      <c r="C46" s="65" t="s">
        <v>553</v>
      </c>
      <c r="D46" s="65" t="s">
        <v>347</v>
      </c>
      <c r="E46" s="112" t="n">
        <v>45728</v>
      </c>
      <c r="F46" s="112" t="n">
        <v>45961</v>
      </c>
      <c r="G46" s="65" t="n">
        <v>2</v>
      </c>
      <c r="H46" s="65" t="s">
        <v>554</v>
      </c>
      <c r="I46" s="65" t="s">
        <v>405</v>
      </c>
      <c r="J46" s="65" t="s">
        <v>555</v>
      </c>
      <c r="K46" s="65" t="s">
        <v>556</v>
      </c>
      <c r="L46" s="65" t="s">
        <v>64</v>
      </c>
      <c r="M46" s="113" t="n">
        <v>1.49</v>
      </c>
      <c r="N46" s="114" t="n">
        <v>3000</v>
      </c>
      <c r="O46" s="114" t="n">
        <v>420</v>
      </c>
      <c r="P46" s="114" t="n">
        <v>4470</v>
      </c>
      <c r="Q46" s="114" t="n">
        <v>3622.86</v>
      </c>
      <c r="R46" s="114" t="n">
        <v>847.14</v>
      </c>
      <c r="S46" s="115" t="n">
        <v>0.81048322147651</v>
      </c>
      <c r="T46" s="65" t="n">
        <v>2.623</v>
      </c>
      <c r="U46" s="65" t="n">
        <v>45</v>
      </c>
      <c r="W46" s="115" t="n">
        <v>0.0472</v>
      </c>
      <c r="X46" s="112" t="n">
        <v>44902</v>
      </c>
      <c r="Y46" s="65" t="str">
        <f aca="false">IF(I46="","No SIC",IFERROR(VLOOKUP(I46,Ref!$A$2:$B$65,2,FALSE()),"Unclassified"))</f>
        <v>Health Services</v>
      </c>
      <c r="Z46" s="65" t="str">
        <f aca="false">IF(T46="","",IF(T46&lt;12,"Daily","Weekly"))</f>
        <v>Daily</v>
      </c>
      <c r="AA46" s="65" t="n">
        <f aca="false">IF(T46="",0,IF(T46&lt;12,T46*Controls!$B$29,T46*5))</f>
        <v>56.801065</v>
      </c>
      <c r="AB46" s="65" t="n">
        <f aca="false">IF(E46="",0,NETWORKDAYS(E46,Controls!$B$36,Ref!$K$2:$K$42))</f>
        <v>367</v>
      </c>
      <c r="AC46" s="65" t="n">
        <f aca="false">IF(AND(AA46&gt;0,AB46&gt;=Controls!$B$39*AA46),1,0)</f>
        <v>1</v>
      </c>
      <c r="AD46" s="65" t="n">
        <f aca="false">IF(AND(E46&lt;&gt;"",E46&gt;=Controls!$B$37,E46&lt;=Controls!$B$38),1,0)</f>
        <v>1</v>
      </c>
      <c r="AE46" s="65" t="n">
        <f aca="false">IF(IFERROR(VLOOKUP(D46,Controls!$A$64:$E$74,2,FALSE()),"No")="Yes",1,0)</f>
        <v>1</v>
      </c>
      <c r="AF46" s="65" t="n">
        <f aca="false">IF(IFERROR(VLOOKUP(D46,Controls!$A$64:$E$74,3,FALSE()),"No")="Yes",1,0)</f>
        <v>1</v>
      </c>
      <c r="AG46" s="65" t="n">
        <f aca="false">IF(IFERROR(VLOOKUP(D46,Controls!$A$64:$E$74,4,FALSE()),"No")="Yes",1,0)</f>
        <v>0</v>
      </c>
      <c r="AH46" s="65" t="n">
        <f aca="false">IF(IFERROR(VLOOKUP(D46,Controls!$A$64:$E$74,5,FALSE()),"No")="Yes",1,0)</f>
        <v>0</v>
      </c>
      <c r="AI46" s="65" t="n">
        <f aca="false">IF(ISNUMBER(MATCH(D46,Controls!$A$64:$A$74,0)),1,0)</f>
        <v>1</v>
      </c>
      <c r="AJ46" s="65" t="n">
        <f aca="false">Q46-N46</f>
        <v>622.86</v>
      </c>
      <c r="AK46" s="65" t="n">
        <f aca="false">IF(AE46=1,MAX(0,N46-Q46),0)</f>
        <v>0</v>
      </c>
      <c r="AL46" s="65" t="n">
        <f aca="false">IF(OR(V46="",V46=0),0,N46/V46)</f>
        <v>0</v>
      </c>
      <c r="AM46" s="65" t="n">
        <f aca="false">IF(OR(V46="",V46=0),0,1)</f>
        <v>0</v>
      </c>
      <c r="AN46" s="65" t="n">
        <f aca="false">IF(OR(E46="",F46=""),0,NETWORKDAYS(E46,F46,Ref!$K$2:$K$42))</f>
        <v>163</v>
      </c>
      <c r="AO46" s="65" t="n">
        <f aca="false">IF(L46="Renewal",1,0)</f>
        <v>0</v>
      </c>
      <c r="AP46" s="65" t="n">
        <f aca="false">AC46*AD46</f>
        <v>1</v>
      </c>
      <c r="AQ46" s="65" t="n">
        <f aca="false">IF(AND(G46&lt;&gt;"",'Historical Score'!$C$6&lt;&gt;""),IF(G46='Historical Score'!$C$6,1,0),0)</f>
        <v>1</v>
      </c>
      <c r="AR46" s="65" t="n">
        <f aca="false">IF(AND(L46&lt;&gt;"",'Historical Score'!$C$5&lt;&gt;""),IF(L46='Historical Score'!$C$5,1,0),0)</f>
        <v>1</v>
      </c>
      <c r="AS46" s="65" t="n">
        <f aca="false">IF(AND(Y46&lt;&gt;"",'Historical Score'!$C$7&lt;&gt;""),IF(Y46='Historical Score'!$C$7,1,0),0)</f>
        <v>0</v>
      </c>
      <c r="AT46" s="65" t="n">
        <f aca="false">IF(AND(K46&lt;&gt;"",'Historical Score'!$C$8&lt;&gt;""),IF(K46='Historical Score'!$C$8,1,0),0)</f>
        <v>0</v>
      </c>
      <c r="AU46" s="65" t="n">
        <f aca="false">IF(AND(J46&lt;&gt;"",'Historical Score'!$C$9&lt;&gt;""),IF(J46='Historical Score'!$C$9,1,0),0)</f>
        <v>0</v>
      </c>
      <c r="AV46" s="65" t="n">
        <f aca="false">AR46*AS46*AQ46</f>
        <v>0</v>
      </c>
      <c r="AW46" s="65" t="n">
        <f aca="false">AR46*AT46*AQ46</f>
        <v>0</v>
      </c>
      <c r="AX46" s="65" t="n">
        <f aca="false">AR46*AS46</f>
        <v>0</v>
      </c>
      <c r="AY46" s="65" t="n">
        <f aca="false">AR46*AT46</f>
        <v>0</v>
      </c>
      <c r="AZ46" s="65" t="n">
        <f aca="false">AR46*AQ46</f>
        <v>1</v>
      </c>
      <c r="BA46" s="65" t="n">
        <f aca="false">AR46</f>
        <v>1</v>
      </c>
      <c r="BB46" s="65" t="n">
        <f aca="false">1</f>
        <v>1</v>
      </c>
      <c r="BC46" s="65" t="n">
        <f aca="false">IF(AV46=1,1,IF(AW46=1,2,IF(AX46=1,3,IF(AY46=1,4,IF(AZ46=1,5,IF(BA46=1,6,7))))))</f>
        <v>5</v>
      </c>
      <c r="BD46" s="65" t="n">
        <f aca="false">IF(AD46=1,CHOOSE('Historical Score'!$C$29,AV46,AW46,AX46,AY46,AZ46,BA46,BB46),0)</f>
        <v>0</v>
      </c>
      <c r="BE46" s="65" t="str">
        <f aca="false">IF(BD46=1,COUNTIF($BD$2:BD46,1),"")</f>
        <v/>
      </c>
    </row>
    <row r="47" customFormat="false" ht="15" hidden="false" customHeight="false" outlineLevel="0" collapsed="false">
      <c r="A47" s="65" t="s">
        <v>557</v>
      </c>
      <c r="B47" s="65" t="s">
        <v>558</v>
      </c>
      <c r="C47" s="65" t="s">
        <v>558</v>
      </c>
      <c r="D47" s="65" t="s">
        <v>340</v>
      </c>
      <c r="E47" s="112" t="n">
        <v>45728</v>
      </c>
      <c r="F47" s="112" t="n">
        <v>45789</v>
      </c>
      <c r="G47" s="65" t="n">
        <v>5</v>
      </c>
      <c r="H47" s="65" t="s">
        <v>559</v>
      </c>
      <c r="I47" s="65" t="s">
        <v>475</v>
      </c>
      <c r="J47" s="65" t="s">
        <v>452</v>
      </c>
      <c r="K47" s="65" t="s">
        <v>560</v>
      </c>
      <c r="L47" s="65" t="s">
        <v>64</v>
      </c>
      <c r="M47" s="113" t="n">
        <v>1.49</v>
      </c>
      <c r="N47" s="114" t="n">
        <v>5000</v>
      </c>
      <c r="O47" s="114" t="n">
        <v>700</v>
      </c>
      <c r="P47" s="114" t="n">
        <v>7450</v>
      </c>
      <c r="Q47" s="114" t="n">
        <v>3374.5</v>
      </c>
      <c r="R47" s="114" t="n">
        <v>4075.5</v>
      </c>
      <c r="S47" s="115" t="n">
        <v>0.452953020134228</v>
      </c>
      <c r="T47" s="65" t="n">
        <v>2.459</v>
      </c>
      <c r="U47" s="65" t="n">
        <v>9</v>
      </c>
      <c r="W47" s="115" t="n">
        <v>0.031</v>
      </c>
      <c r="X47" s="112" t="n">
        <v>44460</v>
      </c>
      <c r="Y47" s="65" t="str">
        <f aca="false">IF(I47="","No SIC",IFERROR(VLOOKUP(I47,Ref!$A$2:$B$65,2,FALSE()),"Unclassified"))</f>
        <v>Auto Repair &amp; Services</v>
      </c>
      <c r="Z47" s="65" t="str">
        <f aca="false">IF(T47="","",IF(T47&lt;12,"Daily","Weekly"))</f>
        <v>Daily</v>
      </c>
      <c r="AA47" s="65" t="n">
        <f aca="false">IF(T47="",0,IF(T47&lt;12,T47*Controls!$B$29,T47*5))</f>
        <v>53.249645</v>
      </c>
      <c r="AB47" s="65" t="n">
        <f aca="false">IF(E47="",0,NETWORKDAYS(E47,Controls!$B$36,Ref!$K$2:$K$42))</f>
        <v>367</v>
      </c>
      <c r="AC47" s="65" t="n">
        <f aca="false">IF(AND(AA47&gt;0,AB47&gt;=Controls!$B$39*AA47),1,0)</f>
        <v>1</v>
      </c>
      <c r="AD47" s="65" t="n">
        <f aca="false">IF(AND(E47&lt;&gt;"",E47&gt;=Controls!$B$37,E47&lt;=Controls!$B$38),1,0)</f>
        <v>1</v>
      </c>
      <c r="AE47" s="65" t="n">
        <f aca="false">IF(IFERROR(VLOOKUP(D47,Controls!$A$64:$E$74,2,FALSE()),"No")="Yes",1,0)</f>
        <v>1</v>
      </c>
      <c r="AF47" s="65" t="n">
        <f aca="false">IF(IFERROR(VLOOKUP(D47,Controls!$A$64:$E$74,3,FALSE()),"No")="Yes",1,0)</f>
        <v>0</v>
      </c>
      <c r="AG47" s="65" t="n">
        <f aca="false">IF(IFERROR(VLOOKUP(D47,Controls!$A$64:$E$74,4,FALSE()),"No")="Yes",1,0)</f>
        <v>0</v>
      </c>
      <c r="AH47" s="65" t="n">
        <f aca="false">IF(IFERROR(VLOOKUP(D47,Controls!$A$64:$E$74,5,FALSE()),"No")="Yes",1,0)</f>
        <v>0</v>
      </c>
      <c r="AI47" s="65" t="n">
        <f aca="false">IF(ISNUMBER(MATCH(D47,Controls!$A$64:$A$74,0)),1,0)</f>
        <v>1</v>
      </c>
      <c r="AJ47" s="65" t="n">
        <f aca="false">Q47-N47</f>
        <v>-1625.5</v>
      </c>
      <c r="AK47" s="65" t="n">
        <f aca="false">IF(AE47=1,MAX(0,N47-Q47),0)</f>
        <v>1625.5</v>
      </c>
      <c r="AL47" s="65" t="n">
        <f aca="false">IF(OR(V47="",V47=0),0,N47/V47)</f>
        <v>0</v>
      </c>
      <c r="AM47" s="65" t="n">
        <f aca="false">IF(OR(V47="",V47=0),0,1)</f>
        <v>0</v>
      </c>
      <c r="AN47" s="65" t="n">
        <f aca="false">IF(OR(E47="",F47=""),0,NETWORKDAYS(E47,F47,Ref!$K$2:$K$42))</f>
        <v>44</v>
      </c>
      <c r="AO47" s="65" t="n">
        <f aca="false">IF(L47="Renewal",1,0)</f>
        <v>0</v>
      </c>
      <c r="AP47" s="65" t="n">
        <f aca="false">AC47*AD47</f>
        <v>1</v>
      </c>
      <c r="AQ47" s="65" t="n">
        <f aca="false">IF(AND(G47&lt;&gt;"",'Historical Score'!$C$6&lt;&gt;""),IF(G47='Historical Score'!$C$6,1,0),0)</f>
        <v>0</v>
      </c>
      <c r="AR47" s="65" t="n">
        <f aca="false">IF(AND(L47&lt;&gt;"",'Historical Score'!$C$5&lt;&gt;""),IF(L47='Historical Score'!$C$5,1,0),0)</f>
        <v>1</v>
      </c>
      <c r="AS47" s="65" t="n">
        <f aca="false">IF(AND(Y47&lt;&gt;"",'Historical Score'!$C$7&lt;&gt;""),IF(Y47='Historical Score'!$C$7,1,0),0)</f>
        <v>0</v>
      </c>
      <c r="AT47" s="65" t="n">
        <f aca="false">IF(AND(K47&lt;&gt;"",'Historical Score'!$C$8&lt;&gt;""),IF(K47='Historical Score'!$C$8,1,0),0)</f>
        <v>0</v>
      </c>
      <c r="AU47" s="65" t="n">
        <f aca="false">IF(AND(J47&lt;&gt;"",'Historical Score'!$C$9&lt;&gt;""),IF(J47='Historical Score'!$C$9,1,0),0)</f>
        <v>0</v>
      </c>
      <c r="AV47" s="65" t="n">
        <f aca="false">AR47*AS47*AQ47</f>
        <v>0</v>
      </c>
      <c r="AW47" s="65" t="n">
        <f aca="false">AR47*AT47*AQ47</f>
        <v>0</v>
      </c>
      <c r="AX47" s="65" t="n">
        <f aca="false">AR47*AS47</f>
        <v>0</v>
      </c>
      <c r="AY47" s="65" t="n">
        <f aca="false">AR47*AT47</f>
        <v>0</v>
      </c>
      <c r="AZ47" s="65" t="n">
        <f aca="false">AR47*AQ47</f>
        <v>0</v>
      </c>
      <c r="BA47" s="65" t="n">
        <f aca="false">AR47</f>
        <v>1</v>
      </c>
      <c r="BB47" s="65" t="n">
        <f aca="false">1</f>
        <v>1</v>
      </c>
      <c r="BC47" s="65" t="n">
        <f aca="false">IF(AV47=1,1,IF(AW47=1,2,IF(AX47=1,3,IF(AY47=1,4,IF(AZ47=1,5,IF(BA47=1,6,7))))))</f>
        <v>6</v>
      </c>
      <c r="BD47" s="65" t="n">
        <f aca="false">IF(AD47=1,CHOOSE('Historical Score'!$C$29,AV47,AW47,AX47,AY47,AZ47,BA47,BB47),0)</f>
        <v>0</v>
      </c>
      <c r="BE47" s="65" t="str">
        <f aca="false">IF(BD47=1,COUNTIF($BD$2:BD47,1),"")</f>
        <v/>
      </c>
    </row>
    <row r="48" customFormat="false" ht="15" hidden="false" customHeight="false" outlineLevel="0" collapsed="false">
      <c r="A48" s="65" t="s">
        <v>561</v>
      </c>
      <c r="B48" s="65" t="s">
        <v>562</v>
      </c>
      <c r="C48" s="65" t="s">
        <v>562</v>
      </c>
      <c r="D48" s="65" t="s">
        <v>340</v>
      </c>
      <c r="E48" s="112" t="n">
        <v>45735</v>
      </c>
      <c r="F48" s="112" t="n">
        <v>45770</v>
      </c>
      <c r="G48" s="65" t="n">
        <v>1</v>
      </c>
      <c r="H48" s="65" t="s">
        <v>563</v>
      </c>
      <c r="I48" s="65" t="s">
        <v>564</v>
      </c>
      <c r="J48" s="65" t="s">
        <v>373</v>
      </c>
      <c r="K48" s="65" t="s">
        <v>565</v>
      </c>
      <c r="L48" s="65" t="s">
        <v>64</v>
      </c>
      <c r="M48" s="113" t="n">
        <v>1.49</v>
      </c>
      <c r="N48" s="114" t="n">
        <v>5000</v>
      </c>
      <c r="O48" s="114" t="n">
        <v>700</v>
      </c>
      <c r="P48" s="114" t="n">
        <v>7450</v>
      </c>
      <c r="Q48" s="114" t="n">
        <v>2830.24</v>
      </c>
      <c r="R48" s="114" t="n">
        <v>4619.76</v>
      </c>
      <c r="S48" s="115" t="n">
        <v>0.379897986577181</v>
      </c>
      <c r="T48" s="65" t="n">
        <v>1.64</v>
      </c>
      <c r="U48" s="65" t="n">
        <v>6</v>
      </c>
      <c r="W48" s="115" t="n">
        <v>0.1106</v>
      </c>
      <c r="X48" s="112" t="n">
        <v>44139</v>
      </c>
      <c r="Y48" s="65" t="str">
        <f aca="false">IF(I48="","No SIC",IFERROR(VLOOKUP(I48,Ref!$A$2:$B$65,2,FALSE()),"Unclassified"))</f>
        <v>Transportation Equipment</v>
      </c>
      <c r="Z48" s="65" t="str">
        <f aca="false">IF(T48="","",IF(T48&lt;12,"Daily","Weekly"))</f>
        <v>Daily</v>
      </c>
      <c r="AA48" s="65" t="n">
        <f aca="false">IF(T48="",0,IF(T48&lt;12,T48*Controls!$B$29,T48*5))</f>
        <v>35.5142</v>
      </c>
      <c r="AB48" s="65" t="n">
        <f aca="false">IF(E48="",0,NETWORKDAYS(E48,Controls!$B$36,Ref!$K$2:$K$42))</f>
        <v>362</v>
      </c>
      <c r="AC48" s="65" t="n">
        <f aca="false">IF(AND(AA48&gt;0,AB48&gt;=Controls!$B$39*AA48),1,0)</f>
        <v>1</v>
      </c>
      <c r="AD48" s="65" t="n">
        <f aca="false">IF(AND(E48&lt;&gt;"",E48&gt;=Controls!$B$37,E48&lt;=Controls!$B$38),1,0)</f>
        <v>1</v>
      </c>
      <c r="AE48" s="65" t="n">
        <f aca="false">IF(IFERROR(VLOOKUP(D48,Controls!$A$64:$E$74,2,FALSE()),"No")="Yes",1,0)</f>
        <v>1</v>
      </c>
      <c r="AF48" s="65" t="n">
        <f aca="false">IF(IFERROR(VLOOKUP(D48,Controls!$A$64:$E$74,3,FALSE()),"No")="Yes",1,0)</f>
        <v>0</v>
      </c>
      <c r="AG48" s="65" t="n">
        <f aca="false">IF(IFERROR(VLOOKUP(D48,Controls!$A$64:$E$74,4,FALSE()),"No")="Yes",1,0)</f>
        <v>0</v>
      </c>
      <c r="AH48" s="65" t="n">
        <f aca="false">IF(IFERROR(VLOOKUP(D48,Controls!$A$64:$E$74,5,FALSE()),"No")="Yes",1,0)</f>
        <v>0</v>
      </c>
      <c r="AI48" s="65" t="n">
        <f aca="false">IF(ISNUMBER(MATCH(D48,Controls!$A$64:$A$74,0)),1,0)</f>
        <v>1</v>
      </c>
      <c r="AJ48" s="65" t="n">
        <f aca="false">Q48-N48</f>
        <v>-2169.76</v>
      </c>
      <c r="AK48" s="65" t="n">
        <f aca="false">IF(AE48=1,MAX(0,N48-Q48),0)</f>
        <v>2169.76</v>
      </c>
      <c r="AL48" s="65" t="n">
        <f aca="false">IF(OR(V48="",V48=0),0,N48/V48)</f>
        <v>0</v>
      </c>
      <c r="AM48" s="65" t="n">
        <f aca="false">IF(OR(V48="",V48=0),0,1)</f>
        <v>0</v>
      </c>
      <c r="AN48" s="65" t="n">
        <f aca="false">IF(OR(E48="",F48=""),0,NETWORKDAYS(E48,F48,Ref!$K$2:$K$42))</f>
        <v>26</v>
      </c>
      <c r="AO48" s="65" t="n">
        <f aca="false">IF(L48="Renewal",1,0)</f>
        <v>0</v>
      </c>
      <c r="AP48" s="65" t="n">
        <f aca="false">AC48*AD48</f>
        <v>1</v>
      </c>
      <c r="AQ48" s="65" t="n">
        <f aca="false">IF(AND(G48&lt;&gt;"",'Historical Score'!$C$6&lt;&gt;""),IF(G48='Historical Score'!$C$6,1,0),0)</f>
        <v>0</v>
      </c>
      <c r="AR48" s="65" t="n">
        <f aca="false">IF(AND(L48&lt;&gt;"",'Historical Score'!$C$5&lt;&gt;""),IF(L48='Historical Score'!$C$5,1,0),0)</f>
        <v>1</v>
      </c>
      <c r="AS48" s="65" t="n">
        <f aca="false">IF(AND(Y48&lt;&gt;"",'Historical Score'!$C$7&lt;&gt;""),IF(Y48='Historical Score'!$C$7,1,0),0)</f>
        <v>0</v>
      </c>
      <c r="AT48" s="65" t="n">
        <f aca="false">IF(AND(K48&lt;&gt;"",'Historical Score'!$C$8&lt;&gt;""),IF(K48='Historical Score'!$C$8,1,0),0)</f>
        <v>0</v>
      </c>
      <c r="AU48" s="65" t="n">
        <f aca="false">IF(AND(J48&lt;&gt;"",'Historical Score'!$C$9&lt;&gt;""),IF(J48='Historical Score'!$C$9,1,0),0)</f>
        <v>0</v>
      </c>
      <c r="AV48" s="65" t="n">
        <f aca="false">AR48*AS48*AQ48</f>
        <v>0</v>
      </c>
      <c r="AW48" s="65" t="n">
        <f aca="false">AR48*AT48*AQ48</f>
        <v>0</v>
      </c>
      <c r="AX48" s="65" t="n">
        <f aca="false">AR48*AS48</f>
        <v>0</v>
      </c>
      <c r="AY48" s="65" t="n">
        <f aca="false">AR48*AT48</f>
        <v>0</v>
      </c>
      <c r="AZ48" s="65" t="n">
        <f aca="false">AR48*AQ48</f>
        <v>0</v>
      </c>
      <c r="BA48" s="65" t="n">
        <f aca="false">AR48</f>
        <v>1</v>
      </c>
      <c r="BB48" s="65" t="n">
        <f aca="false">1</f>
        <v>1</v>
      </c>
      <c r="BC48" s="65" t="n">
        <f aca="false">IF(AV48=1,1,IF(AW48=1,2,IF(AX48=1,3,IF(AY48=1,4,IF(AZ48=1,5,IF(BA48=1,6,7))))))</f>
        <v>6</v>
      </c>
      <c r="BD48" s="65" t="n">
        <f aca="false">IF(AD48=1,CHOOSE('Historical Score'!$C$29,AV48,AW48,AX48,AY48,AZ48,BA48,BB48),0)</f>
        <v>0</v>
      </c>
      <c r="BE48" s="65" t="str">
        <f aca="false">IF(BD48=1,COUNTIF($BD$2:BD48,1),"")</f>
        <v/>
      </c>
    </row>
    <row r="49" customFormat="false" ht="15" hidden="false" customHeight="false" outlineLevel="0" collapsed="false">
      <c r="A49" s="65" t="s">
        <v>566</v>
      </c>
      <c r="B49" s="65" t="s">
        <v>567</v>
      </c>
      <c r="C49" s="65" t="s">
        <v>567</v>
      </c>
      <c r="D49" s="65" t="s">
        <v>371</v>
      </c>
      <c r="E49" s="112" t="n">
        <v>45736</v>
      </c>
      <c r="F49" s="112" t="n">
        <v>45771</v>
      </c>
      <c r="G49" s="65" t="n">
        <v>6</v>
      </c>
      <c r="H49" s="65" t="s">
        <v>568</v>
      </c>
      <c r="I49" s="65" t="s">
        <v>569</v>
      </c>
      <c r="J49" s="65" t="s">
        <v>373</v>
      </c>
      <c r="K49" s="65" t="s">
        <v>411</v>
      </c>
      <c r="L49" s="65" t="s">
        <v>320</v>
      </c>
      <c r="M49" s="113" t="n">
        <v>1.49</v>
      </c>
      <c r="N49" s="114" t="n">
        <v>3500</v>
      </c>
      <c r="O49" s="114" t="n">
        <v>490</v>
      </c>
      <c r="P49" s="114" t="n">
        <v>5215</v>
      </c>
      <c r="Q49" s="114" t="n">
        <v>5215</v>
      </c>
      <c r="R49" s="114" t="n">
        <v>0</v>
      </c>
      <c r="S49" s="115" t="n">
        <v>1</v>
      </c>
      <c r="T49" s="65" t="n">
        <v>2.293</v>
      </c>
      <c r="U49" s="65" t="n">
        <v>2</v>
      </c>
      <c r="W49" s="115" t="n">
        <v>0.0421</v>
      </c>
      <c r="X49" s="112" t="n">
        <v>44490</v>
      </c>
      <c r="Y49" s="65" t="str">
        <f aca="false">IF(I49="","No SIC",IFERROR(VLOOKUP(I49,Ref!$A$2:$B$65,2,FALSE()),"Unclassified"))</f>
        <v>General Merchandise Stores</v>
      </c>
      <c r="Z49" s="65" t="str">
        <f aca="false">IF(T49="","",IF(T49&lt;12,"Daily","Weekly"))</f>
        <v>Daily</v>
      </c>
      <c r="AA49" s="65" t="n">
        <f aca="false">IF(T49="",0,IF(T49&lt;12,T49*Controls!$B$29,T49*5))</f>
        <v>49.654915</v>
      </c>
      <c r="AB49" s="65" t="n">
        <f aca="false">IF(E49="",0,NETWORKDAYS(E49,Controls!$B$36,Ref!$K$2:$K$42))</f>
        <v>361</v>
      </c>
      <c r="AC49" s="65" t="n">
        <f aca="false">IF(AND(AA49&gt;0,AB49&gt;=Controls!$B$39*AA49),1,0)</f>
        <v>1</v>
      </c>
      <c r="AD49" s="65" t="n">
        <f aca="false">IF(AND(E49&lt;&gt;"",E49&gt;=Controls!$B$37,E49&lt;=Controls!$B$38),1,0)</f>
        <v>1</v>
      </c>
      <c r="AE49" s="65" t="n">
        <f aca="false">IF(IFERROR(VLOOKUP(D49,Controls!$A$64:$E$74,2,FALSE()),"No")="Yes",1,0)</f>
        <v>0</v>
      </c>
      <c r="AF49" s="65" t="n">
        <f aca="false">IF(IFERROR(VLOOKUP(D49,Controls!$A$64:$E$74,3,FALSE()),"No")="Yes",1,0)</f>
        <v>1</v>
      </c>
      <c r="AG49" s="65" t="n">
        <f aca="false">IF(IFERROR(VLOOKUP(D49,Controls!$A$64:$E$74,4,FALSE()),"No")="Yes",1,0)</f>
        <v>1</v>
      </c>
      <c r="AH49" s="65" t="n">
        <f aca="false">IF(IFERROR(VLOOKUP(D49,Controls!$A$64:$E$74,5,FALSE()),"No")="Yes",1,0)</f>
        <v>0</v>
      </c>
      <c r="AI49" s="65" t="n">
        <f aca="false">IF(ISNUMBER(MATCH(D49,Controls!$A$64:$A$74,0)),1,0)</f>
        <v>1</v>
      </c>
      <c r="AJ49" s="65" t="n">
        <f aca="false">Q49-N49</f>
        <v>1715</v>
      </c>
      <c r="AK49" s="65" t="n">
        <f aca="false">IF(AE49=1,MAX(0,N49-Q49),0)</f>
        <v>0</v>
      </c>
      <c r="AL49" s="65" t="n">
        <f aca="false">IF(OR(V49="",V49=0),0,N49/V49)</f>
        <v>0</v>
      </c>
      <c r="AM49" s="65" t="n">
        <f aca="false">IF(OR(V49="",V49=0),0,1)</f>
        <v>0</v>
      </c>
      <c r="AN49" s="65" t="n">
        <f aca="false">IF(OR(E49="",F49=""),0,NETWORKDAYS(E49,F49,Ref!$K$2:$K$42))</f>
        <v>26</v>
      </c>
      <c r="AO49" s="65" t="n">
        <f aca="false">IF(L49="Renewal",1,0)</f>
        <v>1</v>
      </c>
      <c r="AP49" s="65" t="n">
        <f aca="false">AC49*AD49</f>
        <v>1</v>
      </c>
      <c r="AQ49" s="65" t="n">
        <f aca="false">IF(AND(G49&lt;&gt;"",'Historical Score'!$C$6&lt;&gt;""),IF(G49='Historical Score'!$C$6,1,0),0)</f>
        <v>0</v>
      </c>
      <c r="AR49" s="65" t="n">
        <f aca="false">IF(AND(L49&lt;&gt;"",'Historical Score'!$C$5&lt;&gt;""),IF(L49='Historical Score'!$C$5,1,0),0)</f>
        <v>0</v>
      </c>
      <c r="AS49" s="65" t="n">
        <f aca="false">IF(AND(Y49&lt;&gt;"",'Historical Score'!$C$7&lt;&gt;""),IF(Y49='Historical Score'!$C$7,1,0),0)</f>
        <v>0</v>
      </c>
      <c r="AT49" s="65" t="n">
        <f aca="false">IF(AND(K49&lt;&gt;"",'Historical Score'!$C$8&lt;&gt;""),IF(K49='Historical Score'!$C$8,1,0),0)</f>
        <v>0</v>
      </c>
      <c r="AU49" s="65" t="n">
        <f aca="false">IF(AND(J49&lt;&gt;"",'Historical Score'!$C$9&lt;&gt;""),IF(J49='Historical Score'!$C$9,1,0),0)</f>
        <v>0</v>
      </c>
      <c r="AV49" s="65" t="n">
        <f aca="false">AR49*AS49*AQ49</f>
        <v>0</v>
      </c>
      <c r="AW49" s="65" t="n">
        <f aca="false">AR49*AT49*AQ49</f>
        <v>0</v>
      </c>
      <c r="AX49" s="65" t="n">
        <f aca="false">AR49*AS49</f>
        <v>0</v>
      </c>
      <c r="AY49" s="65" t="n">
        <f aca="false">AR49*AT49</f>
        <v>0</v>
      </c>
      <c r="AZ49" s="65" t="n">
        <f aca="false">AR49*AQ49</f>
        <v>0</v>
      </c>
      <c r="BA49" s="65" t="n">
        <f aca="false">AR49</f>
        <v>0</v>
      </c>
      <c r="BB49" s="65" t="n">
        <f aca="false">1</f>
        <v>1</v>
      </c>
      <c r="BC49" s="65" t="n">
        <f aca="false">IF(AV49=1,1,IF(AW49=1,2,IF(AX49=1,3,IF(AY49=1,4,IF(AZ49=1,5,IF(BA49=1,6,7))))))</f>
        <v>7</v>
      </c>
      <c r="BD49" s="65" t="n">
        <f aca="false">IF(AD49=1,CHOOSE('Historical Score'!$C$29,AV49,AW49,AX49,AY49,AZ49,BA49,BB49),0)</f>
        <v>0</v>
      </c>
      <c r="BE49" s="65" t="str">
        <f aca="false">IF(BD49=1,COUNTIF($BD$2:BD49,1),"")</f>
        <v/>
      </c>
    </row>
    <row r="50" customFormat="false" ht="15" hidden="false" customHeight="false" outlineLevel="0" collapsed="false">
      <c r="A50" s="65" t="s">
        <v>570</v>
      </c>
      <c r="B50" s="65" t="s">
        <v>571</v>
      </c>
      <c r="C50" s="65" t="s">
        <v>571</v>
      </c>
      <c r="D50" s="65" t="s">
        <v>371</v>
      </c>
      <c r="E50" s="112" t="n">
        <v>45737</v>
      </c>
      <c r="F50" s="112" t="n">
        <v>45790</v>
      </c>
      <c r="G50" s="65" t="n">
        <v>3</v>
      </c>
      <c r="H50" s="65" t="s">
        <v>572</v>
      </c>
      <c r="I50" s="65" t="s">
        <v>419</v>
      </c>
      <c r="J50" s="65" t="s">
        <v>573</v>
      </c>
      <c r="K50" s="65" t="s">
        <v>543</v>
      </c>
      <c r="L50" s="65" t="s">
        <v>64</v>
      </c>
      <c r="M50" s="113" t="n">
        <v>1.49</v>
      </c>
      <c r="N50" s="114" t="n">
        <v>4500</v>
      </c>
      <c r="O50" s="114" t="n">
        <v>630</v>
      </c>
      <c r="P50" s="114" t="n">
        <v>6705</v>
      </c>
      <c r="Q50" s="114" t="n">
        <v>6705</v>
      </c>
      <c r="R50" s="114" t="n">
        <v>0</v>
      </c>
      <c r="S50" s="115" t="n">
        <v>1</v>
      </c>
      <c r="T50" s="65" t="n">
        <v>2.131</v>
      </c>
      <c r="U50" s="65" t="n">
        <v>0</v>
      </c>
      <c r="W50" s="115" t="n">
        <v>0.1991</v>
      </c>
      <c r="X50" s="112" t="n">
        <v>45280</v>
      </c>
      <c r="Y50" s="65" t="str">
        <f aca="false">IF(I50="","No SIC",IFERROR(VLOOKUP(I50,Ref!$A$2:$B$65,2,FALSE()),"Unclassified"))</f>
        <v>Business Services</v>
      </c>
      <c r="Z50" s="65" t="str">
        <f aca="false">IF(T50="","",IF(T50&lt;12,"Daily","Weekly"))</f>
        <v>Daily</v>
      </c>
      <c r="AA50" s="65" t="n">
        <f aca="false">IF(T50="",0,IF(T50&lt;12,T50*Controls!$B$29,T50*5))</f>
        <v>46.146805</v>
      </c>
      <c r="AB50" s="65" t="n">
        <f aca="false">IF(E50="",0,NETWORKDAYS(E50,Controls!$B$36,Ref!$K$2:$K$42))</f>
        <v>360</v>
      </c>
      <c r="AC50" s="65" t="n">
        <f aca="false">IF(AND(AA50&gt;0,AB50&gt;=Controls!$B$39*AA50),1,0)</f>
        <v>1</v>
      </c>
      <c r="AD50" s="65" t="n">
        <f aca="false">IF(AND(E50&lt;&gt;"",E50&gt;=Controls!$B$37,E50&lt;=Controls!$B$38),1,0)</f>
        <v>1</v>
      </c>
      <c r="AE50" s="65" t="n">
        <f aca="false">IF(IFERROR(VLOOKUP(D50,Controls!$A$64:$E$74,2,FALSE()),"No")="Yes",1,0)</f>
        <v>0</v>
      </c>
      <c r="AF50" s="65" t="n">
        <f aca="false">IF(IFERROR(VLOOKUP(D50,Controls!$A$64:$E$74,3,FALSE()),"No")="Yes",1,0)</f>
        <v>1</v>
      </c>
      <c r="AG50" s="65" t="n">
        <f aca="false">IF(IFERROR(VLOOKUP(D50,Controls!$A$64:$E$74,4,FALSE()),"No")="Yes",1,0)</f>
        <v>1</v>
      </c>
      <c r="AH50" s="65" t="n">
        <f aca="false">IF(IFERROR(VLOOKUP(D50,Controls!$A$64:$E$74,5,FALSE()),"No")="Yes",1,0)</f>
        <v>0</v>
      </c>
      <c r="AI50" s="65" t="n">
        <f aca="false">IF(ISNUMBER(MATCH(D50,Controls!$A$64:$A$74,0)),1,0)</f>
        <v>1</v>
      </c>
      <c r="AJ50" s="65" t="n">
        <f aca="false">Q50-N50</f>
        <v>2205</v>
      </c>
      <c r="AK50" s="65" t="n">
        <f aca="false">IF(AE50=1,MAX(0,N50-Q50),0)</f>
        <v>0</v>
      </c>
      <c r="AL50" s="65" t="n">
        <f aca="false">IF(OR(V50="",V50=0),0,N50/V50)</f>
        <v>0</v>
      </c>
      <c r="AM50" s="65" t="n">
        <f aca="false">IF(OR(V50="",V50=0),0,1)</f>
        <v>0</v>
      </c>
      <c r="AN50" s="65" t="n">
        <f aca="false">IF(OR(E50="",F50=""),0,NETWORKDAYS(E50,F50,Ref!$K$2:$K$42))</f>
        <v>38</v>
      </c>
      <c r="AO50" s="65" t="n">
        <f aca="false">IF(L50="Renewal",1,0)</f>
        <v>0</v>
      </c>
      <c r="AP50" s="65" t="n">
        <f aca="false">AC50*AD50</f>
        <v>1</v>
      </c>
      <c r="AQ50" s="65" t="n">
        <f aca="false">IF(AND(G50&lt;&gt;"",'Historical Score'!$C$6&lt;&gt;""),IF(G50='Historical Score'!$C$6,1,0),0)</f>
        <v>0</v>
      </c>
      <c r="AR50" s="65" t="n">
        <f aca="false">IF(AND(L50&lt;&gt;"",'Historical Score'!$C$5&lt;&gt;""),IF(L50='Historical Score'!$C$5,1,0),0)</f>
        <v>1</v>
      </c>
      <c r="AS50" s="65" t="n">
        <f aca="false">IF(AND(Y50&lt;&gt;"",'Historical Score'!$C$7&lt;&gt;""),IF(Y50='Historical Score'!$C$7,1,0),0)</f>
        <v>0</v>
      </c>
      <c r="AT50" s="65" t="n">
        <f aca="false">IF(AND(K50&lt;&gt;"",'Historical Score'!$C$8&lt;&gt;""),IF(K50='Historical Score'!$C$8,1,0),0)</f>
        <v>0</v>
      </c>
      <c r="AU50" s="65" t="n">
        <f aca="false">IF(AND(J50&lt;&gt;"",'Historical Score'!$C$9&lt;&gt;""),IF(J50='Historical Score'!$C$9,1,0),0)</f>
        <v>0</v>
      </c>
      <c r="AV50" s="65" t="n">
        <f aca="false">AR50*AS50*AQ50</f>
        <v>0</v>
      </c>
      <c r="AW50" s="65" t="n">
        <f aca="false">AR50*AT50*AQ50</f>
        <v>0</v>
      </c>
      <c r="AX50" s="65" t="n">
        <f aca="false">AR50*AS50</f>
        <v>0</v>
      </c>
      <c r="AY50" s="65" t="n">
        <f aca="false">AR50*AT50</f>
        <v>0</v>
      </c>
      <c r="AZ50" s="65" t="n">
        <f aca="false">AR50*AQ50</f>
        <v>0</v>
      </c>
      <c r="BA50" s="65" t="n">
        <f aca="false">AR50</f>
        <v>1</v>
      </c>
      <c r="BB50" s="65" t="n">
        <f aca="false">1</f>
        <v>1</v>
      </c>
      <c r="BC50" s="65" t="n">
        <f aca="false">IF(AV50=1,1,IF(AW50=1,2,IF(AX50=1,3,IF(AY50=1,4,IF(AZ50=1,5,IF(BA50=1,6,7))))))</f>
        <v>6</v>
      </c>
      <c r="BD50" s="65" t="n">
        <f aca="false">IF(AD50=1,CHOOSE('Historical Score'!$C$29,AV50,AW50,AX50,AY50,AZ50,BA50,BB50),0)</f>
        <v>0</v>
      </c>
      <c r="BE50" s="65" t="str">
        <f aca="false">IF(BD50=1,COUNTIF($BD$2:BD50,1),"")</f>
        <v/>
      </c>
    </row>
    <row r="51" customFormat="false" ht="15" hidden="false" customHeight="false" outlineLevel="0" collapsed="false">
      <c r="A51" s="65" t="s">
        <v>574</v>
      </c>
      <c r="B51" s="65" t="s">
        <v>575</v>
      </c>
      <c r="C51" s="65" t="s">
        <v>575</v>
      </c>
      <c r="D51" s="65" t="s">
        <v>340</v>
      </c>
      <c r="E51" s="112" t="n">
        <v>45741</v>
      </c>
      <c r="F51" s="112" t="n">
        <v>46234</v>
      </c>
      <c r="G51" s="65" t="n">
        <v>1</v>
      </c>
      <c r="H51" s="65" t="s">
        <v>576</v>
      </c>
      <c r="I51" s="65" t="s">
        <v>577</v>
      </c>
      <c r="J51" s="65" t="s">
        <v>464</v>
      </c>
      <c r="K51" s="65" t="s">
        <v>578</v>
      </c>
      <c r="L51" s="65" t="s">
        <v>320</v>
      </c>
      <c r="M51" s="113" t="n">
        <v>1.49</v>
      </c>
      <c r="N51" s="114" t="n">
        <v>7500</v>
      </c>
      <c r="O51" s="114" t="n">
        <v>1050</v>
      </c>
      <c r="P51" s="114" t="n">
        <v>11175</v>
      </c>
      <c r="Q51" s="114" t="n">
        <v>9601.04</v>
      </c>
      <c r="R51" s="114" t="n">
        <v>1573.96</v>
      </c>
      <c r="S51" s="115" t="n">
        <v>0.859153467561521</v>
      </c>
      <c r="T51" s="65" t="n">
        <v>17</v>
      </c>
      <c r="U51" s="65" t="n">
        <v>6</v>
      </c>
      <c r="W51" s="115" t="n">
        <v>0.0497</v>
      </c>
      <c r="X51" s="112" t="n">
        <v>44896</v>
      </c>
      <c r="Y51" s="65" t="str">
        <f aca="false">IF(I51="","No SIC",IFERROR(VLOOKUP(I51,Ref!$A$2:$B$65,2,FALSE()),"Unclassified"))</f>
        <v>Stone, Clay, Glass &amp; Concrete</v>
      </c>
      <c r="Z51" s="65" t="str">
        <f aca="false">IF(T51="","",IF(T51&lt;12,"Daily","Weekly"))</f>
        <v>Weekly</v>
      </c>
      <c r="AA51" s="65" t="n">
        <f aca="false">IF(T51="",0,IF(T51&lt;12,T51*Controls!$B$29,T51*5))</f>
        <v>85</v>
      </c>
      <c r="AB51" s="65" t="n">
        <f aca="false">IF(E51="",0,NETWORKDAYS(E51,Controls!$B$36,Ref!$K$2:$K$42))</f>
        <v>358</v>
      </c>
      <c r="AC51" s="65" t="n">
        <f aca="false">IF(AND(AA51&gt;0,AB51&gt;=Controls!$B$39*AA51),1,0)</f>
        <v>1</v>
      </c>
      <c r="AD51" s="65" t="n">
        <f aca="false">IF(AND(E51&lt;&gt;"",E51&gt;=Controls!$B$37,E51&lt;=Controls!$B$38),1,0)</f>
        <v>1</v>
      </c>
      <c r="AE51" s="65" t="n">
        <f aca="false">IF(IFERROR(VLOOKUP(D51,Controls!$A$64:$E$74,2,FALSE()),"No")="Yes",1,0)</f>
        <v>1</v>
      </c>
      <c r="AF51" s="65" t="n">
        <f aca="false">IF(IFERROR(VLOOKUP(D51,Controls!$A$64:$E$74,3,FALSE()),"No")="Yes",1,0)</f>
        <v>0</v>
      </c>
      <c r="AG51" s="65" t="n">
        <f aca="false">IF(IFERROR(VLOOKUP(D51,Controls!$A$64:$E$74,4,FALSE()),"No")="Yes",1,0)</f>
        <v>0</v>
      </c>
      <c r="AH51" s="65" t="n">
        <f aca="false">IF(IFERROR(VLOOKUP(D51,Controls!$A$64:$E$74,5,FALSE()),"No")="Yes",1,0)</f>
        <v>0</v>
      </c>
      <c r="AI51" s="65" t="n">
        <f aca="false">IF(ISNUMBER(MATCH(D51,Controls!$A$64:$A$74,0)),1,0)</f>
        <v>1</v>
      </c>
      <c r="AJ51" s="65" t="n">
        <f aca="false">Q51-N51</f>
        <v>2101.04</v>
      </c>
      <c r="AK51" s="65" t="n">
        <f aca="false">IF(AE51=1,MAX(0,N51-Q51),0)</f>
        <v>0</v>
      </c>
      <c r="AL51" s="65" t="n">
        <f aca="false">IF(OR(V51="",V51=0),0,N51/V51)</f>
        <v>0</v>
      </c>
      <c r="AM51" s="65" t="n">
        <f aca="false">IF(OR(V51="",V51=0),0,1)</f>
        <v>0</v>
      </c>
      <c r="AN51" s="65" t="n">
        <f aca="false">IF(OR(E51="",F51=""),0,NETWORKDAYS(E51,F51,Ref!$K$2:$K$42))</f>
        <v>341</v>
      </c>
      <c r="AO51" s="65" t="n">
        <f aca="false">IF(L51="Renewal",1,0)</f>
        <v>1</v>
      </c>
      <c r="AP51" s="65" t="n">
        <f aca="false">AC51*AD51</f>
        <v>1</v>
      </c>
      <c r="AQ51" s="65" t="n">
        <f aca="false">IF(AND(G51&lt;&gt;"",'Historical Score'!$C$6&lt;&gt;""),IF(G51='Historical Score'!$C$6,1,0),0)</f>
        <v>0</v>
      </c>
      <c r="AR51" s="65" t="n">
        <f aca="false">IF(AND(L51&lt;&gt;"",'Historical Score'!$C$5&lt;&gt;""),IF(L51='Historical Score'!$C$5,1,0),0)</f>
        <v>0</v>
      </c>
      <c r="AS51" s="65" t="n">
        <f aca="false">IF(AND(Y51&lt;&gt;"",'Historical Score'!$C$7&lt;&gt;""),IF(Y51='Historical Score'!$C$7,1,0),0)</f>
        <v>0</v>
      </c>
      <c r="AT51" s="65" t="n">
        <f aca="false">IF(AND(K51&lt;&gt;"",'Historical Score'!$C$8&lt;&gt;""),IF(K51='Historical Score'!$C$8,1,0),0)</f>
        <v>0</v>
      </c>
      <c r="AU51" s="65" t="n">
        <f aca="false">IF(AND(J51&lt;&gt;"",'Historical Score'!$C$9&lt;&gt;""),IF(J51='Historical Score'!$C$9,1,0),0)</f>
        <v>0</v>
      </c>
      <c r="AV51" s="65" t="n">
        <f aca="false">AR51*AS51*AQ51</f>
        <v>0</v>
      </c>
      <c r="AW51" s="65" t="n">
        <f aca="false">AR51*AT51*AQ51</f>
        <v>0</v>
      </c>
      <c r="AX51" s="65" t="n">
        <f aca="false">AR51*AS51</f>
        <v>0</v>
      </c>
      <c r="AY51" s="65" t="n">
        <f aca="false">AR51*AT51</f>
        <v>0</v>
      </c>
      <c r="AZ51" s="65" t="n">
        <f aca="false">AR51*AQ51</f>
        <v>0</v>
      </c>
      <c r="BA51" s="65" t="n">
        <f aca="false">AR51</f>
        <v>0</v>
      </c>
      <c r="BB51" s="65" t="n">
        <f aca="false">1</f>
        <v>1</v>
      </c>
      <c r="BC51" s="65" t="n">
        <f aca="false">IF(AV51=1,1,IF(AW51=1,2,IF(AX51=1,3,IF(AY51=1,4,IF(AZ51=1,5,IF(BA51=1,6,7))))))</f>
        <v>7</v>
      </c>
      <c r="BD51" s="65" t="n">
        <f aca="false">IF(AD51=1,CHOOSE('Historical Score'!$C$29,AV51,AW51,AX51,AY51,AZ51,BA51,BB51),0)</f>
        <v>0</v>
      </c>
      <c r="BE51" s="65" t="str">
        <f aca="false">IF(BD51=1,COUNTIF($BD$2:BD51,1),"")</f>
        <v/>
      </c>
    </row>
    <row r="52" customFormat="false" ht="15" hidden="false" customHeight="false" outlineLevel="0" collapsed="false">
      <c r="A52" s="65" t="s">
        <v>579</v>
      </c>
      <c r="B52" s="65" t="s">
        <v>580</v>
      </c>
      <c r="C52" s="65" t="s">
        <v>580</v>
      </c>
      <c r="D52" s="65" t="s">
        <v>371</v>
      </c>
      <c r="E52" s="112" t="n">
        <v>45742</v>
      </c>
      <c r="F52" s="112" t="n">
        <v>45831</v>
      </c>
      <c r="G52" s="65" t="n">
        <v>1</v>
      </c>
      <c r="H52" s="65" t="s">
        <v>525</v>
      </c>
      <c r="I52" s="65" t="s">
        <v>367</v>
      </c>
      <c r="J52" s="65" t="s">
        <v>61</v>
      </c>
      <c r="K52" s="65" t="s">
        <v>581</v>
      </c>
      <c r="L52" s="65" t="s">
        <v>64</v>
      </c>
      <c r="M52" s="113" t="n">
        <v>1.49</v>
      </c>
      <c r="N52" s="114" t="n">
        <v>8000</v>
      </c>
      <c r="O52" s="114" t="n">
        <v>1120</v>
      </c>
      <c r="P52" s="114" t="n">
        <v>11920</v>
      </c>
      <c r="Q52" s="114" t="n">
        <v>11920</v>
      </c>
      <c r="R52" s="114" t="n">
        <v>0</v>
      </c>
      <c r="S52" s="115" t="n">
        <v>1</v>
      </c>
      <c r="T52" s="65" t="n">
        <v>1.967</v>
      </c>
      <c r="U52" s="65" t="n">
        <v>2</v>
      </c>
      <c r="W52" s="115" t="n">
        <v>0.0307</v>
      </c>
      <c r="X52" s="112" t="n">
        <v>40909</v>
      </c>
      <c r="Y52" s="65" t="str">
        <f aca="false">IF(I52="","No SIC",IFERROR(VLOOKUP(I52,Ref!$A$2:$B$65,2,FALSE()),"Unclassified"))</f>
        <v>Engineering, Accounting &amp; Management</v>
      </c>
      <c r="Z52" s="65" t="str">
        <f aca="false">IF(T52="","",IF(T52&lt;12,"Daily","Weekly"))</f>
        <v>Daily</v>
      </c>
      <c r="AA52" s="65" t="n">
        <f aca="false">IF(T52="",0,IF(T52&lt;12,T52*Controls!$B$29,T52*5))</f>
        <v>42.595385</v>
      </c>
      <c r="AB52" s="65" t="n">
        <f aca="false">IF(E52="",0,NETWORKDAYS(E52,Controls!$B$36,Ref!$K$2:$K$42))</f>
        <v>357</v>
      </c>
      <c r="AC52" s="65" t="n">
        <f aca="false">IF(AND(AA52&gt;0,AB52&gt;=Controls!$B$39*AA52),1,0)</f>
        <v>1</v>
      </c>
      <c r="AD52" s="65" t="n">
        <f aca="false">IF(AND(E52&lt;&gt;"",E52&gt;=Controls!$B$37,E52&lt;=Controls!$B$38),1,0)</f>
        <v>1</v>
      </c>
      <c r="AE52" s="65" t="n">
        <f aca="false">IF(IFERROR(VLOOKUP(D52,Controls!$A$64:$E$74,2,FALSE()),"No")="Yes",1,0)</f>
        <v>0</v>
      </c>
      <c r="AF52" s="65" t="n">
        <f aca="false">IF(IFERROR(VLOOKUP(D52,Controls!$A$64:$E$74,3,FALSE()),"No")="Yes",1,0)</f>
        <v>1</v>
      </c>
      <c r="AG52" s="65" t="n">
        <f aca="false">IF(IFERROR(VLOOKUP(D52,Controls!$A$64:$E$74,4,FALSE()),"No")="Yes",1,0)</f>
        <v>1</v>
      </c>
      <c r="AH52" s="65" t="n">
        <f aca="false">IF(IFERROR(VLOOKUP(D52,Controls!$A$64:$E$74,5,FALSE()),"No")="Yes",1,0)</f>
        <v>0</v>
      </c>
      <c r="AI52" s="65" t="n">
        <f aca="false">IF(ISNUMBER(MATCH(D52,Controls!$A$64:$A$74,0)),1,0)</f>
        <v>1</v>
      </c>
      <c r="AJ52" s="65" t="n">
        <f aca="false">Q52-N52</f>
        <v>3920</v>
      </c>
      <c r="AK52" s="65" t="n">
        <f aca="false">IF(AE52=1,MAX(0,N52-Q52),0)</f>
        <v>0</v>
      </c>
      <c r="AL52" s="65" t="n">
        <f aca="false">IF(OR(V52="",V52=0),0,N52/V52)</f>
        <v>0</v>
      </c>
      <c r="AM52" s="65" t="n">
        <f aca="false">IF(OR(V52="",V52=0),0,1)</f>
        <v>0</v>
      </c>
      <c r="AN52" s="65" t="n">
        <f aca="false">IF(OR(E52="",F52=""),0,NETWORKDAYS(E52,F52,Ref!$K$2:$K$42))</f>
        <v>62</v>
      </c>
      <c r="AO52" s="65" t="n">
        <f aca="false">IF(L52="Renewal",1,0)</f>
        <v>0</v>
      </c>
      <c r="AP52" s="65" t="n">
        <f aca="false">AC52*AD52</f>
        <v>1</v>
      </c>
      <c r="AQ52" s="65" t="n">
        <f aca="false">IF(AND(G52&lt;&gt;"",'Historical Score'!$C$6&lt;&gt;""),IF(G52='Historical Score'!$C$6,1,0),0)</f>
        <v>0</v>
      </c>
      <c r="AR52" s="65" t="n">
        <f aca="false">IF(AND(L52&lt;&gt;"",'Historical Score'!$C$5&lt;&gt;""),IF(L52='Historical Score'!$C$5,1,0),0)</f>
        <v>1</v>
      </c>
      <c r="AS52" s="65" t="n">
        <f aca="false">IF(AND(Y52&lt;&gt;"",'Historical Score'!$C$7&lt;&gt;""),IF(Y52='Historical Score'!$C$7,1,0),0)</f>
        <v>0</v>
      </c>
      <c r="AT52" s="65" t="n">
        <f aca="false">IF(AND(K52&lt;&gt;"",'Historical Score'!$C$8&lt;&gt;""),IF(K52='Historical Score'!$C$8,1,0),0)</f>
        <v>0</v>
      </c>
      <c r="AU52" s="65" t="n">
        <f aca="false">IF(AND(J52&lt;&gt;"",'Historical Score'!$C$9&lt;&gt;""),IF(J52='Historical Score'!$C$9,1,0),0)</f>
        <v>1</v>
      </c>
      <c r="AV52" s="65" t="n">
        <f aca="false">AR52*AS52*AQ52</f>
        <v>0</v>
      </c>
      <c r="AW52" s="65" t="n">
        <f aca="false">AR52*AT52*AQ52</f>
        <v>0</v>
      </c>
      <c r="AX52" s="65" t="n">
        <f aca="false">AR52*AS52</f>
        <v>0</v>
      </c>
      <c r="AY52" s="65" t="n">
        <f aca="false">AR52*AT52</f>
        <v>0</v>
      </c>
      <c r="AZ52" s="65" t="n">
        <f aca="false">AR52*AQ52</f>
        <v>0</v>
      </c>
      <c r="BA52" s="65" t="n">
        <f aca="false">AR52</f>
        <v>1</v>
      </c>
      <c r="BB52" s="65" t="n">
        <f aca="false">1</f>
        <v>1</v>
      </c>
      <c r="BC52" s="65" t="n">
        <f aca="false">IF(AV52=1,1,IF(AW52=1,2,IF(AX52=1,3,IF(AY52=1,4,IF(AZ52=1,5,IF(BA52=1,6,7))))))</f>
        <v>6</v>
      </c>
      <c r="BD52" s="65" t="n">
        <f aca="false">IF(AD52=1,CHOOSE('Historical Score'!$C$29,AV52,AW52,AX52,AY52,AZ52,BA52,BB52),0)</f>
        <v>0</v>
      </c>
      <c r="BE52" s="65" t="str">
        <f aca="false">IF(BD52=1,COUNTIF($BD$2:BD52,1),"")</f>
        <v/>
      </c>
    </row>
    <row r="53" customFormat="false" ht="15" hidden="false" customHeight="false" outlineLevel="0" collapsed="false">
      <c r="A53" s="65" t="s">
        <v>582</v>
      </c>
      <c r="B53" s="65" t="s">
        <v>583</v>
      </c>
      <c r="C53" s="65" t="s">
        <v>583</v>
      </c>
      <c r="D53" s="65" t="s">
        <v>340</v>
      </c>
      <c r="E53" s="112" t="n">
        <v>45741</v>
      </c>
      <c r="F53" s="112" t="n">
        <v>45889</v>
      </c>
      <c r="G53" s="65" t="n">
        <v>6</v>
      </c>
      <c r="H53" s="65" t="s">
        <v>409</v>
      </c>
      <c r="I53" s="65" t="s">
        <v>342</v>
      </c>
      <c r="J53" s="65" t="s">
        <v>61</v>
      </c>
      <c r="K53" s="65" t="s">
        <v>584</v>
      </c>
      <c r="L53" s="65" t="s">
        <v>64</v>
      </c>
      <c r="M53" s="113" t="n">
        <v>1.49</v>
      </c>
      <c r="N53" s="114" t="n">
        <v>3000</v>
      </c>
      <c r="O53" s="114" t="n">
        <v>420</v>
      </c>
      <c r="P53" s="114" t="n">
        <v>4470</v>
      </c>
      <c r="Q53" s="114" t="n">
        <v>2475.22</v>
      </c>
      <c r="R53" s="114" t="n">
        <v>1994.78</v>
      </c>
      <c r="S53" s="115" t="n">
        <v>0.553740492170022</v>
      </c>
      <c r="T53" s="65" t="n">
        <v>1.967</v>
      </c>
      <c r="U53" s="65" t="n">
        <v>34</v>
      </c>
      <c r="W53" s="115" t="n">
        <v>0.1093</v>
      </c>
      <c r="X53" s="112" t="n">
        <v>43819</v>
      </c>
      <c r="Y53" s="65" t="str">
        <f aca="false">IF(I53="","No SIC",IFERROR(VLOOKUP(I53,Ref!$A$2:$B$65,2,FALSE()),"Unclassified"))</f>
        <v>Eating &amp; Drinking Places</v>
      </c>
      <c r="Z53" s="65" t="str">
        <f aca="false">IF(T53="","",IF(T53&lt;12,"Daily","Weekly"))</f>
        <v>Daily</v>
      </c>
      <c r="AA53" s="65" t="n">
        <f aca="false">IF(T53="",0,IF(T53&lt;12,T53*Controls!$B$29,T53*5))</f>
        <v>42.595385</v>
      </c>
      <c r="AB53" s="65" t="n">
        <f aca="false">IF(E53="",0,NETWORKDAYS(E53,Controls!$B$36,Ref!$K$2:$K$42))</f>
        <v>358</v>
      </c>
      <c r="AC53" s="65" t="n">
        <f aca="false">IF(AND(AA53&gt;0,AB53&gt;=Controls!$B$39*AA53),1,0)</f>
        <v>1</v>
      </c>
      <c r="AD53" s="65" t="n">
        <f aca="false">IF(AND(E53&lt;&gt;"",E53&gt;=Controls!$B$37,E53&lt;=Controls!$B$38),1,0)</f>
        <v>1</v>
      </c>
      <c r="AE53" s="65" t="n">
        <f aca="false">IF(IFERROR(VLOOKUP(D53,Controls!$A$64:$E$74,2,FALSE()),"No")="Yes",1,0)</f>
        <v>1</v>
      </c>
      <c r="AF53" s="65" t="n">
        <f aca="false">IF(IFERROR(VLOOKUP(D53,Controls!$A$64:$E$74,3,FALSE()),"No")="Yes",1,0)</f>
        <v>0</v>
      </c>
      <c r="AG53" s="65" t="n">
        <f aca="false">IF(IFERROR(VLOOKUP(D53,Controls!$A$64:$E$74,4,FALSE()),"No")="Yes",1,0)</f>
        <v>0</v>
      </c>
      <c r="AH53" s="65" t="n">
        <f aca="false">IF(IFERROR(VLOOKUP(D53,Controls!$A$64:$E$74,5,FALSE()),"No")="Yes",1,0)</f>
        <v>0</v>
      </c>
      <c r="AI53" s="65" t="n">
        <f aca="false">IF(ISNUMBER(MATCH(D53,Controls!$A$64:$A$74,0)),1,0)</f>
        <v>1</v>
      </c>
      <c r="AJ53" s="65" t="n">
        <f aca="false">Q53-N53</f>
        <v>-524.78</v>
      </c>
      <c r="AK53" s="65" t="n">
        <f aca="false">IF(AE53=1,MAX(0,N53-Q53),0)</f>
        <v>524.78</v>
      </c>
      <c r="AL53" s="65" t="n">
        <f aca="false">IF(OR(V53="",V53=0),0,N53/V53)</f>
        <v>0</v>
      </c>
      <c r="AM53" s="65" t="n">
        <f aca="false">IF(OR(V53="",V53=0),0,1)</f>
        <v>0</v>
      </c>
      <c r="AN53" s="65" t="n">
        <f aca="false">IF(OR(E53="",F53=""),0,NETWORKDAYS(E53,F53,Ref!$K$2:$K$42))</f>
        <v>104</v>
      </c>
      <c r="AO53" s="65" t="n">
        <f aca="false">IF(L53="Renewal",1,0)</f>
        <v>0</v>
      </c>
      <c r="AP53" s="65" t="n">
        <f aca="false">AC53*AD53</f>
        <v>1</v>
      </c>
      <c r="AQ53" s="65" t="n">
        <f aca="false">IF(AND(G53&lt;&gt;"",'Historical Score'!$C$6&lt;&gt;""),IF(G53='Historical Score'!$C$6,1,0),0)</f>
        <v>0</v>
      </c>
      <c r="AR53" s="65" t="n">
        <f aca="false">IF(AND(L53&lt;&gt;"",'Historical Score'!$C$5&lt;&gt;""),IF(L53='Historical Score'!$C$5,1,0),0)</f>
        <v>1</v>
      </c>
      <c r="AS53" s="65" t="n">
        <f aca="false">IF(AND(Y53&lt;&gt;"",'Historical Score'!$C$7&lt;&gt;""),IF(Y53='Historical Score'!$C$7,1,0),0)</f>
        <v>0</v>
      </c>
      <c r="AT53" s="65" t="n">
        <f aca="false">IF(AND(K53&lt;&gt;"",'Historical Score'!$C$8&lt;&gt;""),IF(K53='Historical Score'!$C$8,1,0),0)</f>
        <v>0</v>
      </c>
      <c r="AU53" s="65" t="n">
        <f aca="false">IF(AND(J53&lt;&gt;"",'Historical Score'!$C$9&lt;&gt;""),IF(J53='Historical Score'!$C$9,1,0),0)</f>
        <v>1</v>
      </c>
      <c r="AV53" s="65" t="n">
        <f aca="false">AR53*AS53*AQ53</f>
        <v>0</v>
      </c>
      <c r="AW53" s="65" t="n">
        <f aca="false">AR53*AT53*AQ53</f>
        <v>0</v>
      </c>
      <c r="AX53" s="65" t="n">
        <f aca="false">AR53*AS53</f>
        <v>0</v>
      </c>
      <c r="AY53" s="65" t="n">
        <f aca="false">AR53*AT53</f>
        <v>0</v>
      </c>
      <c r="AZ53" s="65" t="n">
        <f aca="false">AR53*AQ53</f>
        <v>0</v>
      </c>
      <c r="BA53" s="65" t="n">
        <f aca="false">AR53</f>
        <v>1</v>
      </c>
      <c r="BB53" s="65" t="n">
        <f aca="false">1</f>
        <v>1</v>
      </c>
      <c r="BC53" s="65" t="n">
        <f aca="false">IF(AV53=1,1,IF(AW53=1,2,IF(AX53=1,3,IF(AY53=1,4,IF(AZ53=1,5,IF(BA53=1,6,7))))))</f>
        <v>6</v>
      </c>
      <c r="BD53" s="65" t="n">
        <f aca="false">IF(AD53=1,CHOOSE('Historical Score'!$C$29,AV53,AW53,AX53,AY53,AZ53,BA53,BB53),0)</f>
        <v>0</v>
      </c>
      <c r="BE53" s="65" t="str">
        <f aca="false">IF(BD53=1,COUNTIF($BD$2:BD53,1),"")</f>
        <v/>
      </c>
    </row>
    <row r="54" customFormat="false" ht="15" hidden="false" customHeight="false" outlineLevel="0" collapsed="false">
      <c r="A54" s="65" t="s">
        <v>585</v>
      </c>
      <c r="B54" s="65" t="s">
        <v>586</v>
      </c>
      <c r="C54" s="65" t="s">
        <v>586</v>
      </c>
      <c r="D54" s="65" t="s">
        <v>340</v>
      </c>
      <c r="E54" s="112" t="n">
        <v>45742</v>
      </c>
      <c r="F54" s="112" t="n">
        <v>46112</v>
      </c>
      <c r="G54" s="65" t="n">
        <v>3</v>
      </c>
      <c r="H54" s="65" t="s">
        <v>587</v>
      </c>
      <c r="I54" s="65" t="s">
        <v>405</v>
      </c>
      <c r="J54" s="65" t="s">
        <v>399</v>
      </c>
      <c r="K54" s="65" t="s">
        <v>584</v>
      </c>
      <c r="L54" s="65" t="s">
        <v>64</v>
      </c>
      <c r="M54" s="113" t="n">
        <v>1.49</v>
      </c>
      <c r="N54" s="114" t="n">
        <v>5000</v>
      </c>
      <c r="O54" s="114" t="n">
        <v>700</v>
      </c>
      <c r="P54" s="114" t="n">
        <v>7450</v>
      </c>
      <c r="Q54" s="114" t="n">
        <v>3293.97</v>
      </c>
      <c r="R54" s="114" t="n">
        <v>4156.03</v>
      </c>
      <c r="S54" s="115" t="n">
        <v>0.442143624161074</v>
      </c>
      <c r="T54" s="65" t="n">
        <v>2.131</v>
      </c>
      <c r="U54" s="65" t="n">
        <v>20</v>
      </c>
      <c r="W54" s="115" t="n">
        <v>0.1172</v>
      </c>
      <c r="X54" s="112"/>
      <c r="Y54" s="65" t="str">
        <f aca="false">IF(I54="","No SIC",IFERROR(VLOOKUP(I54,Ref!$A$2:$B$65,2,FALSE()),"Unclassified"))</f>
        <v>Health Services</v>
      </c>
      <c r="Z54" s="65" t="str">
        <f aca="false">IF(T54="","",IF(T54&lt;12,"Daily","Weekly"))</f>
        <v>Daily</v>
      </c>
      <c r="AA54" s="65" t="n">
        <f aca="false">IF(T54="",0,IF(T54&lt;12,T54*Controls!$B$29,T54*5))</f>
        <v>46.146805</v>
      </c>
      <c r="AB54" s="65" t="n">
        <f aca="false">IF(E54="",0,NETWORKDAYS(E54,Controls!$B$36,Ref!$K$2:$K$42))</f>
        <v>357</v>
      </c>
      <c r="AC54" s="65" t="n">
        <f aca="false">IF(AND(AA54&gt;0,AB54&gt;=Controls!$B$39*AA54),1,0)</f>
        <v>1</v>
      </c>
      <c r="AD54" s="65" t="n">
        <f aca="false">IF(AND(E54&lt;&gt;"",E54&gt;=Controls!$B$37,E54&lt;=Controls!$B$38),1,0)</f>
        <v>1</v>
      </c>
      <c r="AE54" s="65" t="n">
        <f aca="false">IF(IFERROR(VLOOKUP(D54,Controls!$A$64:$E$74,2,FALSE()),"No")="Yes",1,0)</f>
        <v>1</v>
      </c>
      <c r="AF54" s="65" t="n">
        <f aca="false">IF(IFERROR(VLOOKUP(D54,Controls!$A$64:$E$74,3,FALSE()),"No")="Yes",1,0)</f>
        <v>0</v>
      </c>
      <c r="AG54" s="65" t="n">
        <f aca="false">IF(IFERROR(VLOOKUP(D54,Controls!$A$64:$E$74,4,FALSE()),"No")="Yes",1,0)</f>
        <v>0</v>
      </c>
      <c r="AH54" s="65" t="n">
        <f aca="false">IF(IFERROR(VLOOKUP(D54,Controls!$A$64:$E$74,5,FALSE()),"No")="Yes",1,0)</f>
        <v>0</v>
      </c>
      <c r="AI54" s="65" t="n">
        <f aca="false">IF(ISNUMBER(MATCH(D54,Controls!$A$64:$A$74,0)),1,0)</f>
        <v>1</v>
      </c>
      <c r="AJ54" s="65" t="n">
        <f aca="false">Q54-N54</f>
        <v>-1706.03</v>
      </c>
      <c r="AK54" s="65" t="n">
        <f aca="false">IF(AE54=1,MAX(0,N54-Q54),0)</f>
        <v>1706.03</v>
      </c>
      <c r="AL54" s="65" t="n">
        <f aca="false">IF(OR(V54="",V54=0),0,N54/V54)</f>
        <v>0</v>
      </c>
      <c r="AM54" s="65" t="n">
        <f aca="false">IF(OR(V54="",V54=0),0,1)</f>
        <v>0</v>
      </c>
      <c r="AN54" s="65" t="n">
        <f aca="false">IF(OR(E54="",F54=""),0,NETWORKDAYS(E54,F54,Ref!$K$2:$K$42))</f>
        <v>254</v>
      </c>
      <c r="AO54" s="65" t="n">
        <f aca="false">IF(L54="Renewal",1,0)</f>
        <v>0</v>
      </c>
      <c r="AP54" s="65" t="n">
        <f aca="false">AC54*AD54</f>
        <v>1</v>
      </c>
      <c r="AQ54" s="65" t="n">
        <f aca="false">IF(AND(G54&lt;&gt;"",'Historical Score'!$C$6&lt;&gt;""),IF(G54='Historical Score'!$C$6,1,0),0)</f>
        <v>0</v>
      </c>
      <c r="AR54" s="65" t="n">
        <f aca="false">IF(AND(L54&lt;&gt;"",'Historical Score'!$C$5&lt;&gt;""),IF(L54='Historical Score'!$C$5,1,0),0)</f>
        <v>1</v>
      </c>
      <c r="AS54" s="65" t="n">
        <f aca="false">IF(AND(Y54&lt;&gt;"",'Historical Score'!$C$7&lt;&gt;""),IF(Y54='Historical Score'!$C$7,1,0),0)</f>
        <v>0</v>
      </c>
      <c r="AT54" s="65" t="n">
        <f aca="false">IF(AND(K54&lt;&gt;"",'Historical Score'!$C$8&lt;&gt;""),IF(K54='Historical Score'!$C$8,1,0),0)</f>
        <v>0</v>
      </c>
      <c r="AU54" s="65" t="n">
        <f aca="false">IF(AND(J54&lt;&gt;"",'Historical Score'!$C$9&lt;&gt;""),IF(J54='Historical Score'!$C$9,1,0),0)</f>
        <v>0</v>
      </c>
      <c r="AV54" s="65" t="n">
        <f aca="false">AR54*AS54*AQ54</f>
        <v>0</v>
      </c>
      <c r="AW54" s="65" t="n">
        <f aca="false">AR54*AT54*AQ54</f>
        <v>0</v>
      </c>
      <c r="AX54" s="65" t="n">
        <f aca="false">AR54*AS54</f>
        <v>0</v>
      </c>
      <c r="AY54" s="65" t="n">
        <f aca="false">AR54*AT54</f>
        <v>0</v>
      </c>
      <c r="AZ54" s="65" t="n">
        <f aca="false">AR54*AQ54</f>
        <v>0</v>
      </c>
      <c r="BA54" s="65" t="n">
        <f aca="false">AR54</f>
        <v>1</v>
      </c>
      <c r="BB54" s="65" t="n">
        <f aca="false">1</f>
        <v>1</v>
      </c>
      <c r="BC54" s="65" t="n">
        <f aca="false">IF(AV54=1,1,IF(AW54=1,2,IF(AX54=1,3,IF(AY54=1,4,IF(AZ54=1,5,IF(BA54=1,6,7))))))</f>
        <v>6</v>
      </c>
      <c r="BD54" s="65" t="n">
        <f aca="false">IF(AD54=1,CHOOSE('Historical Score'!$C$29,AV54,AW54,AX54,AY54,AZ54,BA54,BB54),0)</f>
        <v>0</v>
      </c>
      <c r="BE54" s="65" t="str">
        <f aca="false">IF(BD54=1,COUNTIF($BD$2:BD54,1),"")</f>
        <v/>
      </c>
    </row>
    <row r="55" customFormat="false" ht="15" hidden="false" customHeight="false" outlineLevel="0" collapsed="false">
      <c r="A55" s="65" t="s">
        <v>588</v>
      </c>
      <c r="B55" s="65" t="s">
        <v>589</v>
      </c>
      <c r="C55" s="65" t="s">
        <v>589</v>
      </c>
      <c r="D55" s="65" t="s">
        <v>340</v>
      </c>
      <c r="E55" s="112" t="n">
        <v>45743</v>
      </c>
      <c r="F55" s="112" t="n">
        <v>45866</v>
      </c>
      <c r="G55" s="65" t="n">
        <v>2</v>
      </c>
      <c r="H55" s="65" t="s">
        <v>590</v>
      </c>
      <c r="I55" s="65" t="s">
        <v>475</v>
      </c>
      <c r="J55" s="65" t="s">
        <v>432</v>
      </c>
      <c r="K55" s="65" t="s">
        <v>433</v>
      </c>
      <c r="L55" s="65" t="s">
        <v>320</v>
      </c>
      <c r="M55" s="113" t="n">
        <v>1.49</v>
      </c>
      <c r="N55" s="114" t="n">
        <v>15000</v>
      </c>
      <c r="O55" s="114" t="n">
        <v>0</v>
      </c>
      <c r="P55" s="114" t="n">
        <v>22350</v>
      </c>
      <c r="Q55" s="114" t="n">
        <v>6115.1</v>
      </c>
      <c r="R55" s="114" t="n">
        <v>16234.9</v>
      </c>
      <c r="S55" s="115" t="n">
        <v>0.273606263982103</v>
      </c>
      <c r="T55" s="65" t="n">
        <v>2.459</v>
      </c>
      <c r="U55" s="65" t="n">
        <v>8</v>
      </c>
      <c r="W55" s="115" t="n">
        <v>0.1567</v>
      </c>
      <c r="X55" s="112" t="n">
        <v>43617</v>
      </c>
      <c r="Y55" s="65" t="str">
        <f aca="false">IF(I55="","No SIC",IFERROR(VLOOKUP(I55,Ref!$A$2:$B$65,2,FALSE()),"Unclassified"))</f>
        <v>Auto Repair &amp; Services</v>
      </c>
      <c r="Z55" s="65" t="str">
        <f aca="false">IF(T55="","",IF(T55&lt;12,"Daily","Weekly"))</f>
        <v>Daily</v>
      </c>
      <c r="AA55" s="65" t="n">
        <f aca="false">IF(T55="",0,IF(T55&lt;12,T55*Controls!$B$29,T55*5))</f>
        <v>53.249645</v>
      </c>
      <c r="AB55" s="65" t="n">
        <f aca="false">IF(E55="",0,NETWORKDAYS(E55,Controls!$B$36,Ref!$K$2:$K$42))</f>
        <v>356</v>
      </c>
      <c r="AC55" s="65" t="n">
        <f aca="false">IF(AND(AA55&gt;0,AB55&gt;=Controls!$B$39*AA55),1,0)</f>
        <v>1</v>
      </c>
      <c r="AD55" s="65" t="n">
        <f aca="false">IF(AND(E55&lt;&gt;"",E55&gt;=Controls!$B$37,E55&lt;=Controls!$B$38),1,0)</f>
        <v>1</v>
      </c>
      <c r="AE55" s="65" t="n">
        <f aca="false">IF(IFERROR(VLOOKUP(D55,Controls!$A$64:$E$74,2,FALSE()),"No")="Yes",1,0)</f>
        <v>1</v>
      </c>
      <c r="AF55" s="65" t="n">
        <f aca="false">IF(IFERROR(VLOOKUP(D55,Controls!$A$64:$E$74,3,FALSE()),"No")="Yes",1,0)</f>
        <v>0</v>
      </c>
      <c r="AG55" s="65" t="n">
        <f aca="false">IF(IFERROR(VLOOKUP(D55,Controls!$A$64:$E$74,4,FALSE()),"No")="Yes",1,0)</f>
        <v>0</v>
      </c>
      <c r="AH55" s="65" t="n">
        <f aca="false">IF(IFERROR(VLOOKUP(D55,Controls!$A$64:$E$74,5,FALSE()),"No")="Yes",1,0)</f>
        <v>0</v>
      </c>
      <c r="AI55" s="65" t="n">
        <f aca="false">IF(ISNUMBER(MATCH(D55,Controls!$A$64:$A$74,0)),1,0)</f>
        <v>1</v>
      </c>
      <c r="AJ55" s="65" t="n">
        <f aca="false">Q55-N55</f>
        <v>-8884.9</v>
      </c>
      <c r="AK55" s="65" t="n">
        <f aca="false">IF(AE55=1,MAX(0,N55-Q55),0)</f>
        <v>8884.9</v>
      </c>
      <c r="AL55" s="65" t="n">
        <f aca="false">IF(OR(V55="",V55=0),0,N55/V55)</f>
        <v>0</v>
      </c>
      <c r="AM55" s="65" t="n">
        <f aca="false">IF(OR(V55="",V55=0),0,1)</f>
        <v>0</v>
      </c>
      <c r="AN55" s="65" t="n">
        <f aca="false">IF(OR(E55="",F55=""),0,NETWORKDAYS(E55,F55,Ref!$K$2:$K$42))</f>
        <v>85</v>
      </c>
      <c r="AO55" s="65" t="n">
        <f aca="false">IF(L55="Renewal",1,0)</f>
        <v>1</v>
      </c>
      <c r="AP55" s="65" t="n">
        <f aca="false">AC55*AD55</f>
        <v>1</v>
      </c>
      <c r="AQ55" s="65" t="n">
        <f aca="false">IF(AND(G55&lt;&gt;"",'Historical Score'!$C$6&lt;&gt;""),IF(G55='Historical Score'!$C$6,1,0),0)</f>
        <v>1</v>
      </c>
      <c r="AR55" s="65" t="n">
        <f aca="false">IF(AND(L55&lt;&gt;"",'Historical Score'!$C$5&lt;&gt;""),IF(L55='Historical Score'!$C$5,1,0),0)</f>
        <v>0</v>
      </c>
      <c r="AS55" s="65" t="n">
        <f aca="false">IF(AND(Y55&lt;&gt;"",'Historical Score'!$C$7&lt;&gt;""),IF(Y55='Historical Score'!$C$7,1,0),0)</f>
        <v>0</v>
      </c>
      <c r="AT55" s="65" t="n">
        <f aca="false">IF(AND(K55&lt;&gt;"",'Historical Score'!$C$8&lt;&gt;""),IF(K55='Historical Score'!$C$8,1,0),0)</f>
        <v>0</v>
      </c>
      <c r="AU55" s="65" t="n">
        <f aca="false">IF(AND(J55&lt;&gt;"",'Historical Score'!$C$9&lt;&gt;""),IF(J55='Historical Score'!$C$9,1,0),0)</f>
        <v>0</v>
      </c>
      <c r="AV55" s="65" t="n">
        <f aca="false">AR55*AS55*AQ55</f>
        <v>0</v>
      </c>
      <c r="AW55" s="65" t="n">
        <f aca="false">AR55*AT55*AQ55</f>
        <v>0</v>
      </c>
      <c r="AX55" s="65" t="n">
        <f aca="false">AR55*AS55</f>
        <v>0</v>
      </c>
      <c r="AY55" s="65" t="n">
        <f aca="false">AR55*AT55</f>
        <v>0</v>
      </c>
      <c r="AZ55" s="65" t="n">
        <f aca="false">AR55*AQ55</f>
        <v>0</v>
      </c>
      <c r="BA55" s="65" t="n">
        <f aca="false">AR55</f>
        <v>0</v>
      </c>
      <c r="BB55" s="65" t="n">
        <f aca="false">1</f>
        <v>1</v>
      </c>
      <c r="BC55" s="65" t="n">
        <f aca="false">IF(AV55=1,1,IF(AW55=1,2,IF(AX55=1,3,IF(AY55=1,4,IF(AZ55=1,5,IF(BA55=1,6,7))))))</f>
        <v>7</v>
      </c>
      <c r="BD55" s="65" t="n">
        <f aca="false">IF(AD55=1,CHOOSE('Historical Score'!$C$29,AV55,AW55,AX55,AY55,AZ55,BA55,BB55),0)</f>
        <v>0</v>
      </c>
      <c r="BE55" s="65" t="str">
        <f aca="false">IF(BD55=1,COUNTIF($BD$2:BD55,1),"")</f>
        <v/>
      </c>
    </row>
    <row r="56" customFormat="false" ht="15" hidden="false" customHeight="false" outlineLevel="0" collapsed="false">
      <c r="A56" s="65" t="s">
        <v>591</v>
      </c>
      <c r="B56" s="65" t="s">
        <v>592</v>
      </c>
      <c r="C56" s="65" t="s">
        <v>592</v>
      </c>
      <c r="D56" s="65" t="s">
        <v>340</v>
      </c>
      <c r="E56" s="112" t="n">
        <v>45747</v>
      </c>
      <c r="F56" s="112" t="n">
        <v>45807</v>
      </c>
      <c r="G56" s="65" t="n">
        <v>6</v>
      </c>
      <c r="H56" s="65" t="s">
        <v>593</v>
      </c>
      <c r="I56" s="65" t="s">
        <v>425</v>
      </c>
      <c r="J56" s="65" t="s">
        <v>350</v>
      </c>
      <c r="K56" s="65" t="s">
        <v>411</v>
      </c>
      <c r="L56" s="65" t="s">
        <v>64</v>
      </c>
      <c r="M56" s="113" t="n">
        <v>1.499</v>
      </c>
      <c r="N56" s="114" t="n">
        <v>6500</v>
      </c>
      <c r="O56" s="114" t="n">
        <v>910</v>
      </c>
      <c r="P56" s="114" t="n">
        <v>9743.5</v>
      </c>
      <c r="Q56" s="114" t="n">
        <v>4178.4</v>
      </c>
      <c r="R56" s="114" t="n">
        <v>5565.1</v>
      </c>
      <c r="S56" s="115" t="n">
        <v>0.428839739313388</v>
      </c>
      <c r="T56" s="65" t="n">
        <v>2.295</v>
      </c>
      <c r="U56" s="65" t="n">
        <v>15</v>
      </c>
      <c r="W56" s="115" t="n">
        <v>0.0831</v>
      </c>
      <c r="X56" s="112" t="n">
        <v>44846</v>
      </c>
      <c r="Y56" s="65" t="str">
        <f aca="false">IF(I56="","No SIC",IFERROR(VLOOKUP(I56,Ref!$A$2:$B$65,2,FALSE()),"Unclassified"))</f>
        <v>Personal Services</v>
      </c>
      <c r="Z56" s="65" t="str">
        <f aca="false">IF(T56="","",IF(T56&lt;12,"Daily","Weekly"))</f>
        <v>Daily</v>
      </c>
      <c r="AA56" s="65" t="n">
        <f aca="false">IF(T56="",0,IF(T56&lt;12,T56*Controls!$B$29,T56*5))</f>
        <v>49.698225</v>
      </c>
      <c r="AB56" s="65" t="n">
        <f aca="false">IF(E56="",0,NETWORKDAYS(E56,Controls!$B$36,Ref!$K$2:$K$42))</f>
        <v>354</v>
      </c>
      <c r="AC56" s="65" t="n">
        <f aca="false">IF(AND(AA56&gt;0,AB56&gt;=Controls!$B$39*AA56),1,0)</f>
        <v>1</v>
      </c>
      <c r="AD56" s="65" t="n">
        <f aca="false">IF(AND(E56&lt;&gt;"",E56&gt;=Controls!$B$37,E56&lt;=Controls!$B$38),1,0)</f>
        <v>1</v>
      </c>
      <c r="AE56" s="65" t="n">
        <f aca="false">IF(IFERROR(VLOOKUP(D56,Controls!$A$64:$E$74,2,FALSE()),"No")="Yes",1,0)</f>
        <v>1</v>
      </c>
      <c r="AF56" s="65" t="n">
        <f aca="false">IF(IFERROR(VLOOKUP(D56,Controls!$A$64:$E$74,3,FALSE()),"No")="Yes",1,0)</f>
        <v>0</v>
      </c>
      <c r="AG56" s="65" t="n">
        <f aca="false">IF(IFERROR(VLOOKUP(D56,Controls!$A$64:$E$74,4,FALSE()),"No")="Yes",1,0)</f>
        <v>0</v>
      </c>
      <c r="AH56" s="65" t="n">
        <f aca="false">IF(IFERROR(VLOOKUP(D56,Controls!$A$64:$E$74,5,FALSE()),"No")="Yes",1,0)</f>
        <v>0</v>
      </c>
      <c r="AI56" s="65" t="n">
        <f aca="false">IF(ISNUMBER(MATCH(D56,Controls!$A$64:$A$74,0)),1,0)</f>
        <v>1</v>
      </c>
      <c r="AJ56" s="65" t="n">
        <f aca="false">Q56-N56</f>
        <v>-2321.6</v>
      </c>
      <c r="AK56" s="65" t="n">
        <f aca="false">IF(AE56=1,MAX(0,N56-Q56),0)</f>
        <v>2321.6</v>
      </c>
      <c r="AL56" s="65" t="n">
        <f aca="false">IF(OR(V56="",V56=0),0,N56/V56)</f>
        <v>0</v>
      </c>
      <c r="AM56" s="65" t="n">
        <f aca="false">IF(OR(V56="",V56=0),0,1)</f>
        <v>0</v>
      </c>
      <c r="AN56" s="65" t="n">
        <f aca="false">IF(OR(E56="",F56=""),0,NETWORKDAYS(E56,F56,Ref!$K$2:$K$42))</f>
        <v>44</v>
      </c>
      <c r="AO56" s="65" t="n">
        <f aca="false">IF(L56="Renewal",1,0)</f>
        <v>0</v>
      </c>
      <c r="AP56" s="65" t="n">
        <f aca="false">AC56*AD56</f>
        <v>1</v>
      </c>
      <c r="AQ56" s="65" t="n">
        <f aca="false">IF(AND(G56&lt;&gt;"",'Historical Score'!$C$6&lt;&gt;""),IF(G56='Historical Score'!$C$6,1,0),0)</f>
        <v>0</v>
      </c>
      <c r="AR56" s="65" t="n">
        <f aca="false">IF(AND(L56&lt;&gt;"",'Historical Score'!$C$5&lt;&gt;""),IF(L56='Historical Score'!$C$5,1,0),0)</f>
        <v>1</v>
      </c>
      <c r="AS56" s="65" t="n">
        <f aca="false">IF(AND(Y56&lt;&gt;"",'Historical Score'!$C$7&lt;&gt;""),IF(Y56='Historical Score'!$C$7,1,0),0)</f>
        <v>0</v>
      </c>
      <c r="AT56" s="65" t="n">
        <f aca="false">IF(AND(K56&lt;&gt;"",'Historical Score'!$C$8&lt;&gt;""),IF(K56='Historical Score'!$C$8,1,0),0)</f>
        <v>0</v>
      </c>
      <c r="AU56" s="65" t="n">
        <f aca="false">IF(AND(J56&lt;&gt;"",'Historical Score'!$C$9&lt;&gt;""),IF(J56='Historical Score'!$C$9,1,0),0)</f>
        <v>0</v>
      </c>
      <c r="AV56" s="65" t="n">
        <f aca="false">AR56*AS56*AQ56</f>
        <v>0</v>
      </c>
      <c r="AW56" s="65" t="n">
        <f aca="false">AR56*AT56*AQ56</f>
        <v>0</v>
      </c>
      <c r="AX56" s="65" t="n">
        <f aca="false">AR56*AS56</f>
        <v>0</v>
      </c>
      <c r="AY56" s="65" t="n">
        <f aca="false">AR56*AT56</f>
        <v>0</v>
      </c>
      <c r="AZ56" s="65" t="n">
        <f aca="false">AR56*AQ56</f>
        <v>0</v>
      </c>
      <c r="BA56" s="65" t="n">
        <f aca="false">AR56</f>
        <v>1</v>
      </c>
      <c r="BB56" s="65" t="n">
        <f aca="false">1</f>
        <v>1</v>
      </c>
      <c r="BC56" s="65" t="n">
        <f aca="false">IF(AV56=1,1,IF(AW56=1,2,IF(AX56=1,3,IF(AY56=1,4,IF(AZ56=1,5,IF(BA56=1,6,7))))))</f>
        <v>6</v>
      </c>
      <c r="BD56" s="65" t="n">
        <f aca="false">IF(AD56=1,CHOOSE('Historical Score'!$C$29,AV56,AW56,AX56,AY56,AZ56,BA56,BB56),0)</f>
        <v>0</v>
      </c>
      <c r="BE56" s="65" t="str">
        <f aca="false">IF(BD56=1,COUNTIF($BD$2:BD56,1),"")</f>
        <v/>
      </c>
    </row>
    <row r="57" customFormat="false" ht="15" hidden="false" customHeight="false" outlineLevel="0" collapsed="false">
      <c r="A57" s="65" t="s">
        <v>594</v>
      </c>
      <c r="B57" s="65" t="s">
        <v>595</v>
      </c>
      <c r="C57" s="65" t="s">
        <v>595</v>
      </c>
      <c r="D57" s="65" t="s">
        <v>371</v>
      </c>
      <c r="E57" s="112" t="n">
        <v>45748</v>
      </c>
      <c r="F57" s="112" t="n">
        <v>45883</v>
      </c>
      <c r="G57" s="65" t="n">
        <v>1</v>
      </c>
      <c r="H57" s="65" t="s">
        <v>596</v>
      </c>
      <c r="I57" s="65" t="s">
        <v>597</v>
      </c>
      <c r="J57" s="65" t="s">
        <v>506</v>
      </c>
      <c r="K57" s="65" t="s">
        <v>55</v>
      </c>
      <c r="L57" s="65" t="s">
        <v>64</v>
      </c>
      <c r="M57" s="113" t="n">
        <v>1.49</v>
      </c>
      <c r="N57" s="114" t="n">
        <v>10000</v>
      </c>
      <c r="O57" s="114" t="n">
        <v>1400</v>
      </c>
      <c r="P57" s="114" t="n">
        <v>14900</v>
      </c>
      <c r="Q57" s="114" t="n">
        <v>14900</v>
      </c>
      <c r="R57" s="114" t="n">
        <v>0</v>
      </c>
      <c r="S57" s="115" t="n">
        <v>1</v>
      </c>
      <c r="T57" s="65" t="n">
        <v>3.115</v>
      </c>
      <c r="U57" s="65" t="n">
        <v>0</v>
      </c>
      <c r="W57" s="115" t="n">
        <v>0.121</v>
      </c>
      <c r="X57" s="112" t="n">
        <v>41821</v>
      </c>
      <c r="Y57" s="65" t="str">
        <f aca="false">IF(I57="","No SIC",IFERROR(VLOOKUP(I57,Ref!$A$2:$B$65,2,FALSE()),"Unclassified"))</f>
        <v>Insurance Agents &amp; Brokers</v>
      </c>
      <c r="Z57" s="65" t="str">
        <f aca="false">IF(T57="","",IF(T57&lt;12,"Daily","Weekly"))</f>
        <v>Daily</v>
      </c>
      <c r="AA57" s="65" t="n">
        <f aca="false">IF(T57="",0,IF(T57&lt;12,T57*Controls!$B$29,T57*5))</f>
        <v>67.455325</v>
      </c>
      <c r="AB57" s="65" t="n">
        <f aca="false">IF(E57="",0,NETWORKDAYS(E57,Controls!$B$36,Ref!$K$2:$K$42))</f>
        <v>353</v>
      </c>
      <c r="AC57" s="65" t="n">
        <f aca="false">IF(AND(AA57&gt;0,AB57&gt;=Controls!$B$39*AA57),1,0)</f>
        <v>1</v>
      </c>
      <c r="AD57" s="65" t="n">
        <f aca="false">IF(AND(E57&lt;&gt;"",E57&gt;=Controls!$B$37,E57&lt;=Controls!$B$38),1,0)</f>
        <v>1</v>
      </c>
      <c r="AE57" s="65" t="n">
        <f aca="false">IF(IFERROR(VLOOKUP(D57,Controls!$A$64:$E$74,2,FALSE()),"No")="Yes",1,0)</f>
        <v>0</v>
      </c>
      <c r="AF57" s="65" t="n">
        <f aca="false">IF(IFERROR(VLOOKUP(D57,Controls!$A$64:$E$74,3,FALSE()),"No")="Yes",1,0)</f>
        <v>1</v>
      </c>
      <c r="AG57" s="65" t="n">
        <f aca="false">IF(IFERROR(VLOOKUP(D57,Controls!$A$64:$E$74,4,FALSE()),"No")="Yes",1,0)</f>
        <v>1</v>
      </c>
      <c r="AH57" s="65" t="n">
        <f aca="false">IF(IFERROR(VLOOKUP(D57,Controls!$A$64:$E$74,5,FALSE()),"No")="Yes",1,0)</f>
        <v>0</v>
      </c>
      <c r="AI57" s="65" t="n">
        <f aca="false">IF(ISNUMBER(MATCH(D57,Controls!$A$64:$A$74,0)),1,0)</f>
        <v>1</v>
      </c>
      <c r="AJ57" s="65" t="n">
        <f aca="false">Q57-N57</f>
        <v>4900</v>
      </c>
      <c r="AK57" s="65" t="n">
        <f aca="false">IF(AE57=1,MAX(0,N57-Q57),0)</f>
        <v>0</v>
      </c>
      <c r="AL57" s="65" t="n">
        <f aca="false">IF(OR(V57="",V57=0),0,N57/V57)</f>
        <v>0</v>
      </c>
      <c r="AM57" s="65" t="n">
        <f aca="false">IF(OR(V57="",V57=0),0,1)</f>
        <v>0</v>
      </c>
      <c r="AN57" s="65" t="n">
        <f aca="false">IF(OR(E57="",F57=""),0,NETWORKDAYS(E57,F57,Ref!$K$2:$K$42))</f>
        <v>95</v>
      </c>
      <c r="AO57" s="65" t="n">
        <f aca="false">IF(L57="Renewal",1,0)</f>
        <v>0</v>
      </c>
      <c r="AP57" s="65" t="n">
        <f aca="false">AC57*AD57</f>
        <v>1</v>
      </c>
      <c r="AQ57" s="65" t="n">
        <f aca="false">IF(AND(G57&lt;&gt;"",'Historical Score'!$C$6&lt;&gt;""),IF(G57='Historical Score'!$C$6,1,0),0)</f>
        <v>0</v>
      </c>
      <c r="AR57" s="65" t="n">
        <f aca="false">IF(AND(L57&lt;&gt;"",'Historical Score'!$C$5&lt;&gt;""),IF(L57='Historical Score'!$C$5,1,0),0)</f>
        <v>1</v>
      </c>
      <c r="AS57" s="65" t="n">
        <f aca="false">IF(AND(Y57&lt;&gt;"",'Historical Score'!$C$7&lt;&gt;""),IF(Y57='Historical Score'!$C$7,1,0),0)</f>
        <v>0</v>
      </c>
      <c r="AT57" s="65" t="n">
        <f aca="false">IF(AND(K57&lt;&gt;"",'Historical Score'!$C$8&lt;&gt;""),IF(K57='Historical Score'!$C$8,1,0),0)</f>
        <v>1</v>
      </c>
      <c r="AU57" s="65" t="n">
        <f aca="false">IF(AND(J57&lt;&gt;"",'Historical Score'!$C$9&lt;&gt;""),IF(J57='Historical Score'!$C$9,1,0),0)</f>
        <v>0</v>
      </c>
      <c r="AV57" s="65" t="n">
        <f aca="false">AR57*AS57*AQ57</f>
        <v>0</v>
      </c>
      <c r="AW57" s="65" t="n">
        <f aca="false">AR57*AT57*AQ57</f>
        <v>0</v>
      </c>
      <c r="AX57" s="65" t="n">
        <f aca="false">AR57*AS57</f>
        <v>0</v>
      </c>
      <c r="AY57" s="65" t="n">
        <f aca="false">AR57*AT57</f>
        <v>1</v>
      </c>
      <c r="AZ57" s="65" t="n">
        <f aca="false">AR57*AQ57</f>
        <v>0</v>
      </c>
      <c r="BA57" s="65" t="n">
        <f aca="false">AR57</f>
        <v>1</v>
      </c>
      <c r="BB57" s="65" t="n">
        <f aca="false">1</f>
        <v>1</v>
      </c>
      <c r="BC57" s="65" t="n">
        <f aca="false">IF(AV57=1,1,IF(AW57=1,2,IF(AX57=1,3,IF(AY57=1,4,IF(AZ57=1,5,IF(BA57=1,6,7))))))</f>
        <v>4</v>
      </c>
      <c r="BD57" s="65" t="n">
        <f aca="false">IF(AD57=1,CHOOSE('Historical Score'!$C$29,AV57,AW57,AX57,AY57,AZ57,BA57,BB57),0)</f>
        <v>0</v>
      </c>
      <c r="BE57" s="65" t="str">
        <f aca="false">IF(BD57=1,COUNTIF($BD$2:BD57,1),"")</f>
        <v/>
      </c>
    </row>
    <row r="58" customFormat="false" ht="15" hidden="false" customHeight="false" outlineLevel="0" collapsed="false">
      <c r="A58" s="65" t="s">
        <v>598</v>
      </c>
      <c r="B58" s="65" t="s">
        <v>599</v>
      </c>
      <c r="C58" s="65" t="s">
        <v>599</v>
      </c>
      <c r="D58" s="65" t="s">
        <v>371</v>
      </c>
      <c r="E58" s="112" t="n">
        <v>45749</v>
      </c>
      <c r="F58" s="112" t="n">
        <v>45888</v>
      </c>
      <c r="G58" s="65" t="n">
        <v>4</v>
      </c>
      <c r="H58" s="65" t="s">
        <v>404</v>
      </c>
      <c r="I58" s="65" t="s">
        <v>405</v>
      </c>
      <c r="J58" s="65" t="s">
        <v>438</v>
      </c>
      <c r="K58" s="65" t="s">
        <v>55</v>
      </c>
      <c r="L58" s="65" t="s">
        <v>64</v>
      </c>
      <c r="M58" s="113" t="n">
        <v>1.49</v>
      </c>
      <c r="N58" s="114" t="n">
        <v>20000</v>
      </c>
      <c r="O58" s="114" t="n">
        <v>2800</v>
      </c>
      <c r="P58" s="114" t="n">
        <v>29800</v>
      </c>
      <c r="Q58" s="114" t="n">
        <v>29800</v>
      </c>
      <c r="R58" s="114" t="n">
        <v>0</v>
      </c>
      <c r="S58" s="115" t="n">
        <v>1</v>
      </c>
      <c r="T58" s="65" t="n">
        <v>16</v>
      </c>
      <c r="U58" s="65" t="n">
        <v>1</v>
      </c>
      <c r="W58" s="115" t="n">
        <v>0.016</v>
      </c>
      <c r="X58" s="112"/>
      <c r="Y58" s="65" t="str">
        <f aca="false">IF(I58="","No SIC",IFERROR(VLOOKUP(I58,Ref!$A$2:$B$65,2,FALSE()),"Unclassified"))</f>
        <v>Health Services</v>
      </c>
      <c r="Z58" s="65" t="str">
        <f aca="false">IF(T58="","",IF(T58&lt;12,"Daily","Weekly"))</f>
        <v>Weekly</v>
      </c>
      <c r="AA58" s="65" t="n">
        <f aca="false">IF(T58="",0,IF(T58&lt;12,T58*Controls!$B$29,T58*5))</f>
        <v>80</v>
      </c>
      <c r="AB58" s="65" t="n">
        <f aca="false">IF(E58="",0,NETWORKDAYS(E58,Controls!$B$36,Ref!$K$2:$K$42))</f>
        <v>352</v>
      </c>
      <c r="AC58" s="65" t="n">
        <f aca="false">IF(AND(AA58&gt;0,AB58&gt;=Controls!$B$39*AA58),1,0)</f>
        <v>1</v>
      </c>
      <c r="AD58" s="65" t="n">
        <f aca="false">IF(AND(E58&lt;&gt;"",E58&gt;=Controls!$B$37,E58&lt;=Controls!$B$38),1,0)</f>
        <v>1</v>
      </c>
      <c r="AE58" s="65" t="n">
        <f aca="false">IF(IFERROR(VLOOKUP(D58,Controls!$A$64:$E$74,2,FALSE()),"No")="Yes",1,0)</f>
        <v>0</v>
      </c>
      <c r="AF58" s="65" t="n">
        <f aca="false">IF(IFERROR(VLOOKUP(D58,Controls!$A$64:$E$74,3,FALSE()),"No")="Yes",1,0)</f>
        <v>1</v>
      </c>
      <c r="AG58" s="65" t="n">
        <f aca="false">IF(IFERROR(VLOOKUP(D58,Controls!$A$64:$E$74,4,FALSE()),"No")="Yes",1,0)</f>
        <v>1</v>
      </c>
      <c r="AH58" s="65" t="n">
        <f aca="false">IF(IFERROR(VLOOKUP(D58,Controls!$A$64:$E$74,5,FALSE()),"No")="Yes",1,0)</f>
        <v>0</v>
      </c>
      <c r="AI58" s="65" t="n">
        <f aca="false">IF(ISNUMBER(MATCH(D58,Controls!$A$64:$A$74,0)),1,0)</f>
        <v>1</v>
      </c>
      <c r="AJ58" s="65" t="n">
        <f aca="false">Q58-N58</f>
        <v>9800</v>
      </c>
      <c r="AK58" s="65" t="n">
        <f aca="false">IF(AE58=1,MAX(0,N58-Q58),0)</f>
        <v>0</v>
      </c>
      <c r="AL58" s="65" t="n">
        <f aca="false">IF(OR(V58="",V58=0),0,N58/V58)</f>
        <v>0</v>
      </c>
      <c r="AM58" s="65" t="n">
        <f aca="false">IF(OR(V58="",V58=0),0,1)</f>
        <v>0</v>
      </c>
      <c r="AN58" s="65" t="n">
        <f aca="false">IF(OR(E58="",F58=""),0,NETWORKDAYS(E58,F58,Ref!$K$2:$K$42))</f>
        <v>97</v>
      </c>
      <c r="AO58" s="65" t="n">
        <f aca="false">IF(L58="Renewal",1,0)</f>
        <v>0</v>
      </c>
      <c r="AP58" s="65" t="n">
        <f aca="false">AC58*AD58</f>
        <v>1</v>
      </c>
      <c r="AQ58" s="65" t="n">
        <f aca="false">IF(AND(G58&lt;&gt;"",'Historical Score'!$C$6&lt;&gt;""),IF(G58='Historical Score'!$C$6,1,0),0)</f>
        <v>0</v>
      </c>
      <c r="AR58" s="65" t="n">
        <f aca="false">IF(AND(L58&lt;&gt;"",'Historical Score'!$C$5&lt;&gt;""),IF(L58='Historical Score'!$C$5,1,0),0)</f>
        <v>1</v>
      </c>
      <c r="AS58" s="65" t="n">
        <f aca="false">IF(AND(Y58&lt;&gt;"",'Historical Score'!$C$7&lt;&gt;""),IF(Y58='Historical Score'!$C$7,1,0),0)</f>
        <v>0</v>
      </c>
      <c r="AT58" s="65" t="n">
        <f aca="false">IF(AND(K58&lt;&gt;"",'Historical Score'!$C$8&lt;&gt;""),IF(K58='Historical Score'!$C$8,1,0),0)</f>
        <v>1</v>
      </c>
      <c r="AU58" s="65" t="n">
        <f aca="false">IF(AND(J58&lt;&gt;"",'Historical Score'!$C$9&lt;&gt;""),IF(J58='Historical Score'!$C$9,1,0),0)</f>
        <v>0</v>
      </c>
      <c r="AV58" s="65" t="n">
        <f aca="false">AR58*AS58*AQ58</f>
        <v>0</v>
      </c>
      <c r="AW58" s="65" t="n">
        <f aca="false">AR58*AT58*AQ58</f>
        <v>0</v>
      </c>
      <c r="AX58" s="65" t="n">
        <f aca="false">AR58*AS58</f>
        <v>0</v>
      </c>
      <c r="AY58" s="65" t="n">
        <f aca="false">AR58*AT58</f>
        <v>1</v>
      </c>
      <c r="AZ58" s="65" t="n">
        <f aca="false">AR58*AQ58</f>
        <v>0</v>
      </c>
      <c r="BA58" s="65" t="n">
        <f aca="false">AR58</f>
        <v>1</v>
      </c>
      <c r="BB58" s="65" t="n">
        <f aca="false">1</f>
        <v>1</v>
      </c>
      <c r="BC58" s="65" t="n">
        <f aca="false">IF(AV58=1,1,IF(AW58=1,2,IF(AX58=1,3,IF(AY58=1,4,IF(AZ58=1,5,IF(BA58=1,6,7))))))</f>
        <v>4</v>
      </c>
      <c r="BD58" s="65" t="n">
        <f aca="false">IF(AD58=1,CHOOSE('Historical Score'!$C$29,AV58,AW58,AX58,AY58,AZ58,BA58,BB58),0)</f>
        <v>0</v>
      </c>
      <c r="BE58" s="65" t="str">
        <f aca="false">IF(BD58=1,COUNTIF($BD$2:BD58,1),"")</f>
        <v/>
      </c>
    </row>
    <row r="59" customFormat="false" ht="15" hidden="false" customHeight="false" outlineLevel="0" collapsed="false">
      <c r="A59" s="65" t="s">
        <v>600</v>
      </c>
      <c r="B59" s="65" t="s">
        <v>601</v>
      </c>
      <c r="C59" s="65" t="s">
        <v>601</v>
      </c>
      <c r="D59" s="65" t="s">
        <v>340</v>
      </c>
      <c r="E59" s="112" t="n">
        <v>45749</v>
      </c>
      <c r="F59" s="112" t="n">
        <v>45755</v>
      </c>
      <c r="G59" s="65" t="n">
        <v>4</v>
      </c>
      <c r="H59" s="65" t="s">
        <v>602</v>
      </c>
      <c r="I59" s="65" t="s">
        <v>603</v>
      </c>
      <c r="J59" s="65" t="s">
        <v>61</v>
      </c>
      <c r="K59" s="65" t="s">
        <v>55</v>
      </c>
      <c r="L59" s="65" t="s">
        <v>64</v>
      </c>
      <c r="M59" s="113" t="n">
        <v>1.49</v>
      </c>
      <c r="N59" s="114" t="n">
        <v>20000</v>
      </c>
      <c r="O59" s="114" t="n">
        <v>0</v>
      </c>
      <c r="P59" s="114" t="n">
        <v>29800</v>
      </c>
      <c r="Q59" s="114" t="n">
        <v>0</v>
      </c>
      <c r="R59" s="114" t="n">
        <v>29800</v>
      </c>
      <c r="S59" s="115" t="n">
        <v>0</v>
      </c>
      <c r="T59" s="65" t="n">
        <v>16</v>
      </c>
      <c r="U59" s="65" t="n">
        <v>1</v>
      </c>
      <c r="W59" s="115" t="n">
        <v>0.0467</v>
      </c>
      <c r="X59" s="112" t="n">
        <v>43831</v>
      </c>
      <c r="Y59" s="65" t="str">
        <f aca="false">IF(I59="","No SIC",IFERROR(VLOOKUP(I59,Ref!$A$2:$B$65,2,FALSE()),"Unclassified"))</f>
        <v>Primary Metal Industries</v>
      </c>
      <c r="Z59" s="65" t="str">
        <f aca="false">IF(T59="","",IF(T59&lt;12,"Daily","Weekly"))</f>
        <v>Weekly</v>
      </c>
      <c r="AA59" s="65" t="n">
        <f aca="false">IF(T59="",0,IF(T59&lt;12,T59*Controls!$B$29,T59*5))</f>
        <v>80</v>
      </c>
      <c r="AB59" s="65" t="n">
        <f aca="false">IF(E59="",0,NETWORKDAYS(E59,Controls!$B$36,Ref!$K$2:$K$42))</f>
        <v>352</v>
      </c>
      <c r="AC59" s="65" t="n">
        <f aca="false">IF(AND(AA59&gt;0,AB59&gt;=Controls!$B$39*AA59),1,0)</f>
        <v>1</v>
      </c>
      <c r="AD59" s="65" t="n">
        <f aca="false">IF(AND(E59&lt;&gt;"",E59&gt;=Controls!$B$37,E59&lt;=Controls!$B$38),1,0)</f>
        <v>1</v>
      </c>
      <c r="AE59" s="65" t="n">
        <f aca="false">IF(IFERROR(VLOOKUP(D59,Controls!$A$64:$E$74,2,FALSE()),"No")="Yes",1,0)</f>
        <v>1</v>
      </c>
      <c r="AF59" s="65" t="n">
        <f aca="false">IF(IFERROR(VLOOKUP(D59,Controls!$A$64:$E$74,3,FALSE()),"No")="Yes",1,0)</f>
        <v>0</v>
      </c>
      <c r="AG59" s="65" t="n">
        <f aca="false">IF(IFERROR(VLOOKUP(D59,Controls!$A$64:$E$74,4,FALSE()),"No")="Yes",1,0)</f>
        <v>0</v>
      </c>
      <c r="AH59" s="65" t="n">
        <f aca="false">IF(IFERROR(VLOOKUP(D59,Controls!$A$64:$E$74,5,FALSE()),"No")="Yes",1,0)</f>
        <v>0</v>
      </c>
      <c r="AI59" s="65" t="n">
        <f aca="false">IF(ISNUMBER(MATCH(D59,Controls!$A$64:$A$74,0)),1,0)</f>
        <v>1</v>
      </c>
      <c r="AJ59" s="65" t="n">
        <f aca="false">Q59-N59</f>
        <v>-20000</v>
      </c>
      <c r="AK59" s="65" t="n">
        <f aca="false">IF(AE59=1,MAX(0,N59-Q59),0)</f>
        <v>20000</v>
      </c>
      <c r="AL59" s="65" t="n">
        <f aca="false">IF(OR(V59="",V59=0),0,N59/V59)</f>
        <v>0</v>
      </c>
      <c r="AM59" s="65" t="n">
        <f aca="false">IF(OR(V59="",V59=0),0,1)</f>
        <v>0</v>
      </c>
      <c r="AN59" s="65" t="n">
        <f aca="false">IF(OR(E59="",F59=""),0,NETWORKDAYS(E59,F59,Ref!$K$2:$K$42))</f>
        <v>5</v>
      </c>
      <c r="AO59" s="65" t="n">
        <f aca="false">IF(L59="Renewal",1,0)</f>
        <v>0</v>
      </c>
      <c r="AP59" s="65" t="n">
        <f aca="false">AC59*AD59</f>
        <v>1</v>
      </c>
      <c r="AQ59" s="65" t="n">
        <f aca="false">IF(AND(G59&lt;&gt;"",'Historical Score'!$C$6&lt;&gt;""),IF(G59='Historical Score'!$C$6,1,0),0)</f>
        <v>0</v>
      </c>
      <c r="AR59" s="65" t="n">
        <f aca="false">IF(AND(L59&lt;&gt;"",'Historical Score'!$C$5&lt;&gt;""),IF(L59='Historical Score'!$C$5,1,0),0)</f>
        <v>1</v>
      </c>
      <c r="AS59" s="65" t="n">
        <f aca="false">IF(AND(Y59&lt;&gt;"",'Historical Score'!$C$7&lt;&gt;""),IF(Y59='Historical Score'!$C$7,1,0),0)</f>
        <v>0</v>
      </c>
      <c r="AT59" s="65" t="n">
        <f aca="false">IF(AND(K59&lt;&gt;"",'Historical Score'!$C$8&lt;&gt;""),IF(K59='Historical Score'!$C$8,1,0),0)</f>
        <v>1</v>
      </c>
      <c r="AU59" s="65" t="n">
        <f aca="false">IF(AND(J59&lt;&gt;"",'Historical Score'!$C$9&lt;&gt;""),IF(J59='Historical Score'!$C$9,1,0),0)</f>
        <v>1</v>
      </c>
      <c r="AV59" s="65" t="n">
        <f aca="false">AR59*AS59*AQ59</f>
        <v>0</v>
      </c>
      <c r="AW59" s="65" t="n">
        <f aca="false">AR59*AT59*AQ59</f>
        <v>0</v>
      </c>
      <c r="AX59" s="65" t="n">
        <f aca="false">AR59*AS59</f>
        <v>0</v>
      </c>
      <c r="AY59" s="65" t="n">
        <f aca="false">AR59*AT59</f>
        <v>1</v>
      </c>
      <c r="AZ59" s="65" t="n">
        <f aca="false">AR59*AQ59</f>
        <v>0</v>
      </c>
      <c r="BA59" s="65" t="n">
        <f aca="false">AR59</f>
        <v>1</v>
      </c>
      <c r="BB59" s="65" t="n">
        <f aca="false">1</f>
        <v>1</v>
      </c>
      <c r="BC59" s="65" t="n">
        <f aca="false">IF(AV59=1,1,IF(AW59=1,2,IF(AX59=1,3,IF(AY59=1,4,IF(AZ59=1,5,IF(BA59=1,6,7))))))</f>
        <v>4</v>
      </c>
      <c r="BD59" s="65" t="n">
        <f aca="false">IF(AD59=1,CHOOSE('Historical Score'!$C$29,AV59,AW59,AX59,AY59,AZ59,BA59,BB59),0)</f>
        <v>0</v>
      </c>
      <c r="BE59" s="65" t="str">
        <f aca="false">IF(BD59=1,COUNTIF($BD$2:BD59,1),"")</f>
        <v/>
      </c>
    </row>
    <row r="60" customFormat="false" ht="15" hidden="false" customHeight="false" outlineLevel="0" collapsed="false">
      <c r="A60" s="65" t="s">
        <v>604</v>
      </c>
      <c r="B60" s="65" t="s">
        <v>605</v>
      </c>
      <c r="C60" s="65" t="s">
        <v>605</v>
      </c>
      <c r="D60" s="65" t="s">
        <v>340</v>
      </c>
      <c r="E60" s="112" t="n">
        <v>45749</v>
      </c>
      <c r="F60" s="112" t="n">
        <v>45995</v>
      </c>
      <c r="G60" s="65" t="n">
        <v>2</v>
      </c>
      <c r="H60" s="65" t="s">
        <v>500</v>
      </c>
      <c r="I60" s="65" t="s">
        <v>475</v>
      </c>
      <c r="J60" s="65" t="s">
        <v>489</v>
      </c>
      <c r="K60" s="65" t="s">
        <v>374</v>
      </c>
      <c r="L60" s="65" t="s">
        <v>64</v>
      </c>
      <c r="M60" s="113" t="n">
        <v>1.49</v>
      </c>
      <c r="N60" s="114" t="n">
        <v>15000</v>
      </c>
      <c r="O60" s="114" t="n">
        <v>2100</v>
      </c>
      <c r="P60" s="114" t="n">
        <v>22350</v>
      </c>
      <c r="Q60" s="114" t="n">
        <v>12342.36</v>
      </c>
      <c r="R60" s="114" t="n">
        <v>10007.64</v>
      </c>
      <c r="S60" s="115" t="n">
        <v>0.552230872483222</v>
      </c>
      <c r="T60" s="65" t="n">
        <v>2.951</v>
      </c>
      <c r="U60" s="65" t="n">
        <v>8</v>
      </c>
      <c r="W60" s="115" t="n">
        <v>0.0757</v>
      </c>
      <c r="X60" s="112" t="n">
        <v>43497</v>
      </c>
      <c r="Y60" s="65" t="str">
        <f aca="false">IF(I60="","No SIC",IFERROR(VLOOKUP(I60,Ref!$A$2:$B$65,2,FALSE()),"Unclassified"))</f>
        <v>Auto Repair &amp; Services</v>
      </c>
      <c r="Z60" s="65" t="str">
        <f aca="false">IF(T60="","",IF(T60&lt;12,"Daily","Weekly"))</f>
        <v>Daily</v>
      </c>
      <c r="AA60" s="65" t="n">
        <f aca="false">IF(T60="",0,IF(T60&lt;12,T60*Controls!$B$29,T60*5))</f>
        <v>63.903905</v>
      </c>
      <c r="AB60" s="65" t="n">
        <f aca="false">IF(E60="",0,NETWORKDAYS(E60,Controls!$B$36,Ref!$K$2:$K$42))</f>
        <v>352</v>
      </c>
      <c r="AC60" s="65" t="n">
        <f aca="false">IF(AND(AA60&gt;0,AB60&gt;=Controls!$B$39*AA60),1,0)</f>
        <v>1</v>
      </c>
      <c r="AD60" s="65" t="n">
        <f aca="false">IF(AND(E60&lt;&gt;"",E60&gt;=Controls!$B$37,E60&lt;=Controls!$B$38),1,0)</f>
        <v>1</v>
      </c>
      <c r="AE60" s="65" t="n">
        <f aca="false">IF(IFERROR(VLOOKUP(D60,Controls!$A$64:$E$74,2,FALSE()),"No")="Yes",1,0)</f>
        <v>1</v>
      </c>
      <c r="AF60" s="65" t="n">
        <f aca="false">IF(IFERROR(VLOOKUP(D60,Controls!$A$64:$E$74,3,FALSE()),"No")="Yes",1,0)</f>
        <v>0</v>
      </c>
      <c r="AG60" s="65" t="n">
        <f aca="false">IF(IFERROR(VLOOKUP(D60,Controls!$A$64:$E$74,4,FALSE()),"No")="Yes",1,0)</f>
        <v>0</v>
      </c>
      <c r="AH60" s="65" t="n">
        <f aca="false">IF(IFERROR(VLOOKUP(D60,Controls!$A$64:$E$74,5,FALSE()),"No")="Yes",1,0)</f>
        <v>0</v>
      </c>
      <c r="AI60" s="65" t="n">
        <f aca="false">IF(ISNUMBER(MATCH(D60,Controls!$A$64:$A$74,0)),1,0)</f>
        <v>1</v>
      </c>
      <c r="AJ60" s="65" t="n">
        <f aca="false">Q60-N60</f>
        <v>-2657.64</v>
      </c>
      <c r="AK60" s="65" t="n">
        <f aca="false">IF(AE60=1,MAX(0,N60-Q60),0)</f>
        <v>2657.64</v>
      </c>
      <c r="AL60" s="65" t="n">
        <f aca="false">IF(OR(V60="",V60=0),0,N60/V60)</f>
        <v>0</v>
      </c>
      <c r="AM60" s="65" t="n">
        <f aca="false">IF(OR(V60="",V60=0),0,1)</f>
        <v>0</v>
      </c>
      <c r="AN60" s="65" t="n">
        <f aca="false">IF(OR(E60="",F60=""),0,NETWORKDAYS(E60,F60,Ref!$K$2:$K$42))</f>
        <v>170</v>
      </c>
      <c r="AO60" s="65" t="n">
        <f aca="false">IF(L60="Renewal",1,0)</f>
        <v>0</v>
      </c>
      <c r="AP60" s="65" t="n">
        <f aca="false">AC60*AD60</f>
        <v>1</v>
      </c>
      <c r="AQ60" s="65" t="n">
        <f aca="false">IF(AND(G60&lt;&gt;"",'Historical Score'!$C$6&lt;&gt;""),IF(G60='Historical Score'!$C$6,1,0),0)</f>
        <v>1</v>
      </c>
      <c r="AR60" s="65" t="n">
        <f aca="false">IF(AND(L60&lt;&gt;"",'Historical Score'!$C$5&lt;&gt;""),IF(L60='Historical Score'!$C$5,1,0),0)</f>
        <v>1</v>
      </c>
      <c r="AS60" s="65" t="n">
        <f aca="false">IF(AND(Y60&lt;&gt;"",'Historical Score'!$C$7&lt;&gt;""),IF(Y60='Historical Score'!$C$7,1,0),0)</f>
        <v>0</v>
      </c>
      <c r="AT60" s="65" t="n">
        <f aca="false">IF(AND(K60&lt;&gt;"",'Historical Score'!$C$8&lt;&gt;""),IF(K60='Historical Score'!$C$8,1,0),0)</f>
        <v>0</v>
      </c>
      <c r="AU60" s="65" t="n">
        <f aca="false">IF(AND(J60&lt;&gt;"",'Historical Score'!$C$9&lt;&gt;""),IF(J60='Historical Score'!$C$9,1,0),0)</f>
        <v>0</v>
      </c>
      <c r="AV60" s="65" t="n">
        <f aca="false">AR60*AS60*AQ60</f>
        <v>0</v>
      </c>
      <c r="AW60" s="65" t="n">
        <f aca="false">AR60*AT60*AQ60</f>
        <v>0</v>
      </c>
      <c r="AX60" s="65" t="n">
        <f aca="false">AR60*AS60</f>
        <v>0</v>
      </c>
      <c r="AY60" s="65" t="n">
        <f aca="false">AR60*AT60</f>
        <v>0</v>
      </c>
      <c r="AZ60" s="65" t="n">
        <f aca="false">AR60*AQ60</f>
        <v>1</v>
      </c>
      <c r="BA60" s="65" t="n">
        <f aca="false">AR60</f>
        <v>1</v>
      </c>
      <c r="BB60" s="65" t="n">
        <f aca="false">1</f>
        <v>1</v>
      </c>
      <c r="BC60" s="65" t="n">
        <f aca="false">IF(AV60=1,1,IF(AW60=1,2,IF(AX60=1,3,IF(AY60=1,4,IF(AZ60=1,5,IF(BA60=1,6,7))))))</f>
        <v>5</v>
      </c>
      <c r="BD60" s="65" t="n">
        <f aca="false">IF(AD60=1,CHOOSE('Historical Score'!$C$29,AV60,AW60,AX60,AY60,AZ60,BA60,BB60),0)</f>
        <v>0</v>
      </c>
      <c r="BE60" s="65" t="str">
        <f aca="false">IF(BD60=1,COUNTIF($BD$2:BD60,1),"")</f>
        <v/>
      </c>
    </row>
    <row r="61" customFormat="false" ht="15" hidden="false" customHeight="false" outlineLevel="0" collapsed="false">
      <c r="A61" s="65" t="s">
        <v>606</v>
      </c>
      <c r="B61" s="65" t="s">
        <v>607</v>
      </c>
      <c r="C61" s="65" t="s">
        <v>608</v>
      </c>
      <c r="D61" s="65" t="s">
        <v>347</v>
      </c>
      <c r="E61" s="112" t="n">
        <v>45750</v>
      </c>
      <c r="F61" s="112" t="n">
        <v>45995</v>
      </c>
      <c r="G61" s="65" t="n">
        <v>5</v>
      </c>
      <c r="H61" s="65" t="s">
        <v>409</v>
      </c>
      <c r="I61" s="65" t="s">
        <v>342</v>
      </c>
      <c r="J61" s="65" t="s">
        <v>410</v>
      </c>
      <c r="K61" s="65" t="s">
        <v>55</v>
      </c>
      <c r="L61" s="65" t="s">
        <v>64</v>
      </c>
      <c r="M61" s="113" t="n">
        <v>1.49</v>
      </c>
      <c r="N61" s="114" t="n">
        <v>15000</v>
      </c>
      <c r="O61" s="114" t="n">
        <v>2100</v>
      </c>
      <c r="P61" s="114" t="n">
        <v>22350</v>
      </c>
      <c r="Q61" s="114" t="n">
        <v>16988.01</v>
      </c>
      <c r="R61" s="114" t="n">
        <v>5361.99</v>
      </c>
      <c r="S61" s="115" t="n">
        <v>0.760089932885906</v>
      </c>
      <c r="T61" s="65" t="n">
        <v>2.951</v>
      </c>
      <c r="U61" s="65" t="n">
        <v>17</v>
      </c>
      <c r="W61" s="115" t="n">
        <v>0.1195</v>
      </c>
      <c r="X61" s="112" t="n">
        <v>45342</v>
      </c>
      <c r="Y61" s="65" t="str">
        <f aca="false">IF(I61="","No SIC",IFERROR(VLOOKUP(I61,Ref!$A$2:$B$65,2,FALSE()),"Unclassified"))</f>
        <v>Eating &amp; Drinking Places</v>
      </c>
      <c r="Z61" s="65" t="str">
        <f aca="false">IF(T61="","",IF(T61&lt;12,"Daily","Weekly"))</f>
        <v>Daily</v>
      </c>
      <c r="AA61" s="65" t="n">
        <f aca="false">IF(T61="",0,IF(T61&lt;12,T61*Controls!$B$29,T61*5))</f>
        <v>63.903905</v>
      </c>
      <c r="AB61" s="65" t="n">
        <f aca="false">IF(E61="",0,NETWORKDAYS(E61,Controls!$B$36,Ref!$K$2:$K$42))</f>
        <v>351</v>
      </c>
      <c r="AC61" s="65" t="n">
        <f aca="false">IF(AND(AA61&gt;0,AB61&gt;=Controls!$B$39*AA61),1,0)</f>
        <v>1</v>
      </c>
      <c r="AD61" s="65" t="n">
        <f aca="false">IF(AND(E61&lt;&gt;"",E61&gt;=Controls!$B$37,E61&lt;=Controls!$B$38),1,0)</f>
        <v>1</v>
      </c>
      <c r="AE61" s="65" t="n">
        <f aca="false">IF(IFERROR(VLOOKUP(D61,Controls!$A$64:$E$74,2,FALSE()),"No")="Yes",1,0)</f>
        <v>1</v>
      </c>
      <c r="AF61" s="65" t="n">
        <f aca="false">IF(IFERROR(VLOOKUP(D61,Controls!$A$64:$E$74,3,FALSE()),"No")="Yes",1,0)</f>
        <v>1</v>
      </c>
      <c r="AG61" s="65" t="n">
        <f aca="false">IF(IFERROR(VLOOKUP(D61,Controls!$A$64:$E$74,4,FALSE()),"No")="Yes",1,0)</f>
        <v>0</v>
      </c>
      <c r="AH61" s="65" t="n">
        <f aca="false">IF(IFERROR(VLOOKUP(D61,Controls!$A$64:$E$74,5,FALSE()),"No")="Yes",1,0)</f>
        <v>0</v>
      </c>
      <c r="AI61" s="65" t="n">
        <f aca="false">IF(ISNUMBER(MATCH(D61,Controls!$A$64:$A$74,0)),1,0)</f>
        <v>1</v>
      </c>
      <c r="AJ61" s="65" t="n">
        <f aca="false">Q61-N61</f>
        <v>1988.01</v>
      </c>
      <c r="AK61" s="65" t="n">
        <f aca="false">IF(AE61=1,MAX(0,N61-Q61),0)</f>
        <v>0</v>
      </c>
      <c r="AL61" s="65" t="n">
        <f aca="false">IF(OR(V61="",V61=0),0,N61/V61)</f>
        <v>0</v>
      </c>
      <c r="AM61" s="65" t="n">
        <f aca="false">IF(OR(V61="",V61=0),0,1)</f>
        <v>0</v>
      </c>
      <c r="AN61" s="65" t="n">
        <f aca="false">IF(OR(E61="",F61=""),0,NETWORKDAYS(E61,F61,Ref!$K$2:$K$42))</f>
        <v>169</v>
      </c>
      <c r="AO61" s="65" t="n">
        <f aca="false">IF(L61="Renewal",1,0)</f>
        <v>0</v>
      </c>
      <c r="AP61" s="65" t="n">
        <f aca="false">AC61*AD61</f>
        <v>1</v>
      </c>
      <c r="AQ61" s="65" t="n">
        <f aca="false">IF(AND(G61&lt;&gt;"",'Historical Score'!$C$6&lt;&gt;""),IF(G61='Historical Score'!$C$6,1,0),0)</f>
        <v>0</v>
      </c>
      <c r="AR61" s="65" t="n">
        <f aca="false">IF(AND(L61&lt;&gt;"",'Historical Score'!$C$5&lt;&gt;""),IF(L61='Historical Score'!$C$5,1,0),0)</f>
        <v>1</v>
      </c>
      <c r="AS61" s="65" t="n">
        <f aca="false">IF(AND(Y61&lt;&gt;"",'Historical Score'!$C$7&lt;&gt;""),IF(Y61='Historical Score'!$C$7,1,0),0)</f>
        <v>0</v>
      </c>
      <c r="AT61" s="65" t="n">
        <f aca="false">IF(AND(K61&lt;&gt;"",'Historical Score'!$C$8&lt;&gt;""),IF(K61='Historical Score'!$C$8,1,0),0)</f>
        <v>1</v>
      </c>
      <c r="AU61" s="65" t="n">
        <f aca="false">IF(AND(J61&lt;&gt;"",'Historical Score'!$C$9&lt;&gt;""),IF(J61='Historical Score'!$C$9,1,0),0)</f>
        <v>0</v>
      </c>
      <c r="AV61" s="65" t="n">
        <f aca="false">AR61*AS61*AQ61</f>
        <v>0</v>
      </c>
      <c r="AW61" s="65" t="n">
        <f aca="false">AR61*AT61*AQ61</f>
        <v>0</v>
      </c>
      <c r="AX61" s="65" t="n">
        <f aca="false">AR61*AS61</f>
        <v>0</v>
      </c>
      <c r="AY61" s="65" t="n">
        <f aca="false">AR61*AT61</f>
        <v>1</v>
      </c>
      <c r="AZ61" s="65" t="n">
        <f aca="false">AR61*AQ61</f>
        <v>0</v>
      </c>
      <c r="BA61" s="65" t="n">
        <f aca="false">AR61</f>
        <v>1</v>
      </c>
      <c r="BB61" s="65" t="n">
        <f aca="false">1</f>
        <v>1</v>
      </c>
      <c r="BC61" s="65" t="n">
        <f aca="false">IF(AV61=1,1,IF(AW61=1,2,IF(AX61=1,3,IF(AY61=1,4,IF(AZ61=1,5,IF(BA61=1,6,7))))))</f>
        <v>4</v>
      </c>
      <c r="BD61" s="65" t="n">
        <f aca="false">IF(AD61=1,CHOOSE('Historical Score'!$C$29,AV61,AW61,AX61,AY61,AZ61,BA61,BB61),0)</f>
        <v>0</v>
      </c>
      <c r="BE61" s="65" t="str">
        <f aca="false">IF(BD61=1,COUNTIF($BD$2:BD61,1),"")</f>
        <v/>
      </c>
    </row>
    <row r="62" customFormat="false" ht="15" hidden="false" customHeight="false" outlineLevel="0" collapsed="false">
      <c r="A62" s="65" t="s">
        <v>609</v>
      </c>
      <c r="B62" s="65" t="s">
        <v>610</v>
      </c>
      <c r="C62" s="65" t="s">
        <v>610</v>
      </c>
      <c r="D62" s="65" t="s">
        <v>340</v>
      </c>
      <c r="E62" s="112" t="n">
        <v>45751</v>
      </c>
      <c r="F62" s="112" t="n">
        <v>45908</v>
      </c>
      <c r="G62" s="65" t="n">
        <v>4</v>
      </c>
      <c r="H62" s="65" t="s">
        <v>409</v>
      </c>
      <c r="I62" s="65" t="s">
        <v>342</v>
      </c>
      <c r="J62" s="65" t="s">
        <v>373</v>
      </c>
      <c r="K62" s="65" t="s">
        <v>55</v>
      </c>
      <c r="L62" s="65" t="s">
        <v>64</v>
      </c>
      <c r="M62" s="113" t="n">
        <v>1.43</v>
      </c>
      <c r="N62" s="114" t="n">
        <v>18000</v>
      </c>
      <c r="O62" s="114" t="n">
        <v>1980</v>
      </c>
      <c r="P62" s="114" t="n">
        <v>25740</v>
      </c>
      <c r="Q62" s="114" t="n">
        <v>13437.35</v>
      </c>
      <c r="R62" s="114" t="n">
        <v>12302.65</v>
      </c>
      <c r="S62" s="115" t="n">
        <v>0.52204156954157</v>
      </c>
      <c r="T62" s="65" t="n">
        <v>2.951</v>
      </c>
      <c r="U62" s="65" t="n">
        <v>20</v>
      </c>
      <c r="W62" s="115" t="n">
        <v>0.2026</v>
      </c>
      <c r="X62" s="112"/>
      <c r="Y62" s="65" t="str">
        <f aca="false">IF(I62="","No SIC",IFERROR(VLOOKUP(I62,Ref!$A$2:$B$65,2,FALSE()),"Unclassified"))</f>
        <v>Eating &amp; Drinking Places</v>
      </c>
      <c r="Z62" s="65" t="str">
        <f aca="false">IF(T62="","",IF(T62&lt;12,"Daily","Weekly"))</f>
        <v>Daily</v>
      </c>
      <c r="AA62" s="65" t="n">
        <f aca="false">IF(T62="",0,IF(T62&lt;12,T62*Controls!$B$29,T62*5))</f>
        <v>63.903905</v>
      </c>
      <c r="AB62" s="65" t="n">
        <f aca="false">IF(E62="",0,NETWORKDAYS(E62,Controls!$B$36,Ref!$K$2:$K$42))</f>
        <v>350</v>
      </c>
      <c r="AC62" s="65" t="n">
        <f aca="false">IF(AND(AA62&gt;0,AB62&gt;=Controls!$B$39*AA62),1,0)</f>
        <v>1</v>
      </c>
      <c r="AD62" s="65" t="n">
        <f aca="false">IF(AND(E62&lt;&gt;"",E62&gt;=Controls!$B$37,E62&lt;=Controls!$B$38),1,0)</f>
        <v>1</v>
      </c>
      <c r="AE62" s="65" t="n">
        <f aca="false">IF(IFERROR(VLOOKUP(D62,Controls!$A$64:$E$74,2,FALSE()),"No")="Yes",1,0)</f>
        <v>1</v>
      </c>
      <c r="AF62" s="65" t="n">
        <f aca="false">IF(IFERROR(VLOOKUP(D62,Controls!$A$64:$E$74,3,FALSE()),"No")="Yes",1,0)</f>
        <v>0</v>
      </c>
      <c r="AG62" s="65" t="n">
        <f aca="false">IF(IFERROR(VLOOKUP(D62,Controls!$A$64:$E$74,4,FALSE()),"No")="Yes",1,0)</f>
        <v>0</v>
      </c>
      <c r="AH62" s="65" t="n">
        <f aca="false">IF(IFERROR(VLOOKUP(D62,Controls!$A$64:$E$74,5,FALSE()),"No")="Yes",1,0)</f>
        <v>0</v>
      </c>
      <c r="AI62" s="65" t="n">
        <f aca="false">IF(ISNUMBER(MATCH(D62,Controls!$A$64:$A$74,0)),1,0)</f>
        <v>1</v>
      </c>
      <c r="AJ62" s="65" t="n">
        <f aca="false">Q62-N62</f>
        <v>-4562.65</v>
      </c>
      <c r="AK62" s="65" t="n">
        <f aca="false">IF(AE62=1,MAX(0,N62-Q62),0)</f>
        <v>4562.65</v>
      </c>
      <c r="AL62" s="65" t="n">
        <f aca="false">IF(OR(V62="",V62=0),0,N62/V62)</f>
        <v>0</v>
      </c>
      <c r="AM62" s="65" t="n">
        <f aca="false">IF(OR(V62="",V62=0),0,1)</f>
        <v>0</v>
      </c>
      <c r="AN62" s="65" t="n">
        <f aca="false">IF(OR(E62="",F62=""),0,NETWORKDAYS(E62,F62,Ref!$K$2:$K$42))</f>
        <v>108</v>
      </c>
      <c r="AO62" s="65" t="n">
        <f aca="false">IF(L62="Renewal",1,0)</f>
        <v>0</v>
      </c>
      <c r="AP62" s="65" t="n">
        <f aca="false">AC62*AD62</f>
        <v>1</v>
      </c>
      <c r="AQ62" s="65" t="n">
        <f aca="false">IF(AND(G62&lt;&gt;"",'Historical Score'!$C$6&lt;&gt;""),IF(G62='Historical Score'!$C$6,1,0),0)</f>
        <v>0</v>
      </c>
      <c r="AR62" s="65" t="n">
        <f aca="false">IF(AND(L62&lt;&gt;"",'Historical Score'!$C$5&lt;&gt;""),IF(L62='Historical Score'!$C$5,1,0),0)</f>
        <v>1</v>
      </c>
      <c r="AS62" s="65" t="n">
        <f aca="false">IF(AND(Y62&lt;&gt;"",'Historical Score'!$C$7&lt;&gt;""),IF(Y62='Historical Score'!$C$7,1,0),0)</f>
        <v>0</v>
      </c>
      <c r="AT62" s="65" t="n">
        <f aca="false">IF(AND(K62&lt;&gt;"",'Historical Score'!$C$8&lt;&gt;""),IF(K62='Historical Score'!$C$8,1,0),0)</f>
        <v>1</v>
      </c>
      <c r="AU62" s="65" t="n">
        <f aca="false">IF(AND(J62&lt;&gt;"",'Historical Score'!$C$9&lt;&gt;""),IF(J62='Historical Score'!$C$9,1,0),0)</f>
        <v>0</v>
      </c>
      <c r="AV62" s="65" t="n">
        <f aca="false">AR62*AS62*AQ62</f>
        <v>0</v>
      </c>
      <c r="AW62" s="65" t="n">
        <f aca="false">AR62*AT62*AQ62</f>
        <v>0</v>
      </c>
      <c r="AX62" s="65" t="n">
        <f aca="false">AR62*AS62</f>
        <v>0</v>
      </c>
      <c r="AY62" s="65" t="n">
        <f aca="false">AR62*AT62</f>
        <v>1</v>
      </c>
      <c r="AZ62" s="65" t="n">
        <f aca="false">AR62*AQ62</f>
        <v>0</v>
      </c>
      <c r="BA62" s="65" t="n">
        <f aca="false">AR62</f>
        <v>1</v>
      </c>
      <c r="BB62" s="65" t="n">
        <f aca="false">1</f>
        <v>1</v>
      </c>
      <c r="BC62" s="65" t="n">
        <f aca="false">IF(AV62=1,1,IF(AW62=1,2,IF(AX62=1,3,IF(AY62=1,4,IF(AZ62=1,5,IF(BA62=1,6,7))))))</f>
        <v>4</v>
      </c>
      <c r="BD62" s="65" t="n">
        <f aca="false">IF(AD62=1,CHOOSE('Historical Score'!$C$29,AV62,AW62,AX62,AY62,AZ62,BA62,BB62),0)</f>
        <v>0</v>
      </c>
      <c r="BE62" s="65" t="str">
        <f aca="false">IF(BD62=1,COUNTIF($BD$2:BD62,1),"")</f>
        <v/>
      </c>
    </row>
    <row r="63" customFormat="false" ht="15" hidden="false" customHeight="false" outlineLevel="0" collapsed="false">
      <c r="A63" s="65" t="s">
        <v>611</v>
      </c>
      <c r="B63" s="65" t="s">
        <v>612</v>
      </c>
      <c r="C63" s="65" t="s">
        <v>613</v>
      </c>
      <c r="D63" s="65" t="s">
        <v>371</v>
      </c>
      <c r="E63" s="112" t="n">
        <v>45751</v>
      </c>
      <c r="F63" s="112" t="n">
        <v>45946</v>
      </c>
      <c r="G63" s="65" t="n">
        <v>4</v>
      </c>
      <c r="H63" s="65" t="s">
        <v>409</v>
      </c>
      <c r="I63" s="65" t="s">
        <v>342</v>
      </c>
      <c r="J63" s="65" t="s">
        <v>452</v>
      </c>
      <c r="K63" s="65" t="s">
        <v>363</v>
      </c>
      <c r="L63" s="65" t="s">
        <v>64</v>
      </c>
      <c r="M63" s="113" t="n">
        <v>1.49</v>
      </c>
      <c r="N63" s="114" t="n">
        <v>33000</v>
      </c>
      <c r="O63" s="114" t="n">
        <v>4620</v>
      </c>
      <c r="P63" s="114" t="n">
        <v>49170</v>
      </c>
      <c r="Q63" s="114" t="n">
        <v>49170</v>
      </c>
      <c r="R63" s="114" t="n">
        <v>0</v>
      </c>
      <c r="S63" s="115" t="n">
        <v>1</v>
      </c>
      <c r="T63" s="65" t="n">
        <v>20</v>
      </c>
      <c r="U63" s="65" t="n">
        <v>11</v>
      </c>
      <c r="W63" s="115" t="n">
        <v>0.0981</v>
      </c>
      <c r="X63" s="112" t="n">
        <v>45198</v>
      </c>
      <c r="Y63" s="65" t="str">
        <f aca="false">IF(I63="","No SIC",IFERROR(VLOOKUP(I63,Ref!$A$2:$B$65,2,FALSE()),"Unclassified"))</f>
        <v>Eating &amp; Drinking Places</v>
      </c>
      <c r="Z63" s="65" t="str">
        <f aca="false">IF(T63="","",IF(T63&lt;12,"Daily","Weekly"))</f>
        <v>Weekly</v>
      </c>
      <c r="AA63" s="65" t="n">
        <f aca="false">IF(T63="",0,IF(T63&lt;12,T63*Controls!$B$29,T63*5))</f>
        <v>100</v>
      </c>
      <c r="AB63" s="65" t="n">
        <f aca="false">IF(E63="",0,NETWORKDAYS(E63,Controls!$B$36,Ref!$K$2:$K$42))</f>
        <v>350</v>
      </c>
      <c r="AC63" s="65" t="n">
        <f aca="false">IF(AND(AA63&gt;0,AB63&gt;=Controls!$B$39*AA63),1,0)</f>
        <v>1</v>
      </c>
      <c r="AD63" s="65" t="n">
        <f aca="false">IF(AND(E63&lt;&gt;"",E63&gt;=Controls!$B$37,E63&lt;=Controls!$B$38),1,0)</f>
        <v>1</v>
      </c>
      <c r="AE63" s="65" t="n">
        <f aca="false">IF(IFERROR(VLOOKUP(D63,Controls!$A$64:$E$74,2,FALSE()),"No")="Yes",1,0)</f>
        <v>0</v>
      </c>
      <c r="AF63" s="65" t="n">
        <f aca="false">IF(IFERROR(VLOOKUP(D63,Controls!$A$64:$E$74,3,FALSE()),"No")="Yes",1,0)</f>
        <v>1</v>
      </c>
      <c r="AG63" s="65" t="n">
        <f aca="false">IF(IFERROR(VLOOKUP(D63,Controls!$A$64:$E$74,4,FALSE()),"No")="Yes",1,0)</f>
        <v>1</v>
      </c>
      <c r="AH63" s="65" t="n">
        <f aca="false">IF(IFERROR(VLOOKUP(D63,Controls!$A$64:$E$74,5,FALSE()),"No")="Yes",1,0)</f>
        <v>0</v>
      </c>
      <c r="AI63" s="65" t="n">
        <f aca="false">IF(ISNUMBER(MATCH(D63,Controls!$A$64:$A$74,0)),1,0)</f>
        <v>1</v>
      </c>
      <c r="AJ63" s="65" t="n">
        <f aca="false">Q63-N63</f>
        <v>16170</v>
      </c>
      <c r="AK63" s="65" t="n">
        <f aca="false">IF(AE63=1,MAX(0,N63-Q63),0)</f>
        <v>0</v>
      </c>
      <c r="AL63" s="65" t="n">
        <f aca="false">IF(OR(V63="",V63=0),0,N63/V63)</f>
        <v>0</v>
      </c>
      <c r="AM63" s="65" t="n">
        <f aca="false">IF(OR(V63="",V63=0),0,1)</f>
        <v>0</v>
      </c>
      <c r="AN63" s="65" t="n">
        <f aca="false">IF(OR(E63="",F63=""),0,NETWORKDAYS(E63,F63,Ref!$K$2:$K$42))</f>
        <v>135</v>
      </c>
      <c r="AO63" s="65" t="n">
        <f aca="false">IF(L63="Renewal",1,0)</f>
        <v>0</v>
      </c>
      <c r="AP63" s="65" t="n">
        <f aca="false">AC63*AD63</f>
        <v>1</v>
      </c>
      <c r="AQ63" s="65" t="n">
        <f aca="false">IF(AND(G63&lt;&gt;"",'Historical Score'!$C$6&lt;&gt;""),IF(G63='Historical Score'!$C$6,1,0),0)</f>
        <v>0</v>
      </c>
      <c r="AR63" s="65" t="n">
        <f aca="false">IF(AND(L63&lt;&gt;"",'Historical Score'!$C$5&lt;&gt;""),IF(L63='Historical Score'!$C$5,1,0),0)</f>
        <v>1</v>
      </c>
      <c r="AS63" s="65" t="n">
        <f aca="false">IF(AND(Y63&lt;&gt;"",'Historical Score'!$C$7&lt;&gt;""),IF(Y63='Historical Score'!$C$7,1,0),0)</f>
        <v>0</v>
      </c>
      <c r="AT63" s="65" t="n">
        <f aca="false">IF(AND(K63&lt;&gt;"",'Historical Score'!$C$8&lt;&gt;""),IF(K63='Historical Score'!$C$8,1,0),0)</f>
        <v>0</v>
      </c>
      <c r="AU63" s="65" t="n">
        <f aca="false">IF(AND(J63&lt;&gt;"",'Historical Score'!$C$9&lt;&gt;""),IF(J63='Historical Score'!$C$9,1,0),0)</f>
        <v>0</v>
      </c>
      <c r="AV63" s="65" t="n">
        <f aca="false">AR63*AS63*AQ63</f>
        <v>0</v>
      </c>
      <c r="AW63" s="65" t="n">
        <f aca="false">AR63*AT63*AQ63</f>
        <v>0</v>
      </c>
      <c r="AX63" s="65" t="n">
        <f aca="false">AR63*AS63</f>
        <v>0</v>
      </c>
      <c r="AY63" s="65" t="n">
        <f aca="false">AR63*AT63</f>
        <v>0</v>
      </c>
      <c r="AZ63" s="65" t="n">
        <f aca="false">AR63*AQ63</f>
        <v>0</v>
      </c>
      <c r="BA63" s="65" t="n">
        <f aca="false">AR63</f>
        <v>1</v>
      </c>
      <c r="BB63" s="65" t="n">
        <f aca="false">1</f>
        <v>1</v>
      </c>
      <c r="BC63" s="65" t="n">
        <f aca="false">IF(AV63=1,1,IF(AW63=1,2,IF(AX63=1,3,IF(AY63=1,4,IF(AZ63=1,5,IF(BA63=1,6,7))))))</f>
        <v>6</v>
      </c>
      <c r="BD63" s="65" t="n">
        <f aca="false">IF(AD63=1,CHOOSE('Historical Score'!$C$29,AV63,AW63,AX63,AY63,AZ63,BA63,BB63),0)</f>
        <v>0</v>
      </c>
      <c r="BE63" s="65" t="str">
        <f aca="false">IF(BD63=1,COUNTIF($BD$2:BD63,1),"")</f>
        <v/>
      </c>
    </row>
    <row r="64" customFormat="false" ht="15" hidden="false" customHeight="false" outlineLevel="0" collapsed="false">
      <c r="A64" s="65" t="s">
        <v>614</v>
      </c>
      <c r="B64" s="65" t="s">
        <v>615</v>
      </c>
      <c r="C64" s="65" t="s">
        <v>615</v>
      </c>
      <c r="D64" s="65" t="s">
        <v>340</v>
      </c>
      <c r="E64" s="112" t="n">
        <v>45754</v>
      </c>
      <c r="F64" s="112" t="n">
        <v>45786</v>
      </c>
      <c r="G64" s="65" t="n">
        <v>2</v>
      </c>
      <c r="H64" s="65" t="s">
        <v>442</v>
      </c>
      <c r="I64" s="65" t="s">
        <v>443</v>
      </c>
      <c r="J64" s="65" t="s">
        <v>350</v>
      </c>
      <c r="K64" s="65" t="s">
        <v>344</v>
      </c>
      <c r="L64" s="65" t="s">
        <v>64</v>
      </c>
      <c r="M64" s="113" t="n">
        <v>1.49</v>
      </c>
      <c r="N64" s="114" t="n">
        <v>14000</v>
      </c>
      <c r="O64" s="114" t="n">
        <v>1680</v>
      </c>
      <c r="P64" s="114" t="n">
        <v>20860</v>
      </c>
      <c r="Q64" s="114" t="n">
        <v>2318.06</v>
      </c>
      <c r="R64" s="114" t="n">
        <v>18541.94</v>
      </c>
      <c r="S64" s="115" t="n">
        <v>0.111124640460211</v>
      </c>
      <c r="T64" s="65" t="n">
        <v>18</v>
      </c>
      <c r="U64" s="65" t="n">
        <v>3</v>
      </c>
      <c r="W64" s="115" t="n">
        <v>0.089</v>
      </c>
      <c r="X64" s="112"/>
      <c r="Y64" s="65" t="str">
        <f aca="false">IF(I64="","No SIC",IFERROR(VLOOKUP(I64,Ref!$A$2:$B$65,2,FALSE()),"Unclassified"))</f>
        <v>General Building Contractors</v>
      </c>
      <c r="Z64" s="65" t="str">
        <f aca="false">IF(T64="","",IF(T64&lt;12,"Daily","Weekly"))</f>
        <v>Weekly</v>
      </c>
      <c r="AA64" s="65" t="n">
        <f aca="false">IF(T64="",0,IF(T64&lt;12,T64*Controls!$B$29,T64*5))</f>
        <v>90</v>
      </c>
      <c r="AB64" s="65" t="n">
        <f aca="false">IF(E64="",0,NETWORKDAYS(E64,Controls!$B$36,Ref!$K$2:$K$42))</f>
        <v>349</v>
      </c>
      <c r="AC64" s="65" t="n">
        <f aca="false">IF(AND(AA64&gt;0,AB64&gt;=Controls!$B$39*AA64),1,0)</f>
        <v>1</v>
      </c>
      <c r="AD64" s="65" t="n">
        <f aca="false">IF(AND(E64&lt;&gt;"",E64&gt;=Controls!$B$37,E64&lt;=Controls!$B$38),1,0)</f>
        <v>1</v>
      </c>
      <c r="AE64" s="65" t="n">
        <f aca="false">IF(IFERROR(VLOOKUP(D64,Controls!$A$64:$E$74,2,FALSE()),"No")="Yes",1,0)</f>
        <v>1</v>
      </c>
      <c r="AF64" s="65" t="n">
        <f aca="false">IF(IFERROR(VLOOKUP(D64,Controls!$A$64:$E$74,3,FALSE()),"No")="Yes",1,0)</f>
        <v>0</v>
      </c>
      <c r="AG64" s="65" t="n">
        <f aca="false">IF(IFERROR(VLOOKUP(D64,Controls!$A$64:$E$74,4,FALSE()),"No")="Yes",1,0)</f>
        <v>0</v>
      </c>
      <c r="AH64" s="65" t="n">
        <f aca="false">IF(IFERROR(VLOOKUP(D64,Controls!$A$64:$E$74,5,FALSE()),"No")="Yes",1,0)</f>
        <v>0</v>
      </c>
      <c r="AI64" s="65" t="n">
        <f aca="false">IF(ISNUMBER(MATCH(D64,Controls!$A$64:$A$74,0)),1,0)</f>
        <v>1</v>
      </c>
      <c r="AJ64" s="65" t="n">
        <f aca="false">Q64-N64</f>
        <v>-11681.94</v>
      </c>
      <c r="AK64" s="65" t="n">
        <f aca="false">IF(AE64=1,MAX(0,N64-Q64),0)</f>
        <v>11681.94</v>
      </c>
      <c r="AL64" s="65" t="n">
        <f aca="false">IF(OR(V64="",V64=0),0,N64/V64)</f>
        <v>0</v>
      </c>
      <c r="AM64" s="65" t="n">
        <f aca="false">IF(OR(V64="",V64=0),0,1)</f>
        <v>0</v>
      </c>
      <c r="AN64" s="65" t="n">
        <f aca="false">IF(OR(E64="",F64=""),0,NETWORKDAYS(E64,F64,Ref!$K$2:$K$42))</f>
        <v>25</v>
      </c>
      <c r="AO64" s="65" t="n">
        <f aca="false">IF(L64="Renewal",1,0)</f>
        <v>0</v>
      </c>
      <c r="AP64" s="65" t="n">
        <f aca="false">AC64*AD64</f>
        <v>1</v>
      </c>
      <c r="AQ64" s="65" t="n">
        <f aca="false">IF(AND(G64&lt;&gt;"",'Historical Score'!$C$6&lt;&gt;""),IF(G64='Historical Score'!$C$6,1,0),0)</f>
        <v>1</v>
      </c>
      <c r="AR64" s="65" t="n">
        <f aca="false">IF(AND(L64&lt;&gt;"",'Historical Score'!$C$5&lt;&gt;""),IF(L64='Historical Score'!$C$5,1,0),0)</f>
        <v>1</v>
      </c>
      <c r="AS64" s="65" t="n">
        <f aca="false">IF(AND(Y64&lt;&gt;"",'Historical Score'!$C$7&lt;&gt;""),IF(Y64='Historical Score'!$C$7,1,0),0)</f>
        <v>1</v>
      </c>
      <c r="AT64" s="65" t="n">
        <f aca="false">IF(AND(K64&lt;&gt;"",'Historical Score'!$C$8&lt;&gt;""),IF(K64='Historical Score'!$C$8,1,0),0)</f>
        <v>0</v>
      </c>
      <c r="AU64" s="65" t="n">
        <f aca="false">IF(AND(J64&lt;&gt;"",'Historical Score'!$C$9&lt;&gt;""),IF(J64='Historical Score'!$C$9,1,0),0)</f>
        <v>0</v>
      </c>
      <c r="AV64" s="65" t="n">
        <f aca="false">AR64*AS64*AQ64</f>
        <v>1</v>
      </c>
      <c r="AW64" s="65" t="n">
        <f aca="false">AR64*AT64*AQ64</f>
        <v>0</v>
      </c>
      <c r="AX64" s="65" t="n">
        <f aca="false">AR64*AS64</f>
        <v>1</v>
      </c>
      <c r="AY64" s="65" t="n">
        <f aca="false">AR64*AT64</f>
        <v>0</v>
      </c>
      <c r="AZ64" s="65" t="n">
        <f aca="false">AR64*AQ64</f>
        <v>1</v>
      </c>
      <c r="BA64" s="65" t="n">
        <f aca="false">AR64</f>
        <v>1</v>
      </c>
      <c r="BB64" s="65" t="n">
        <f aca="false">1</f>
        <v>1</v>
      </c>
      <c r="BC64" s="65" t="n">
        <f aca="false">IF(AV64=1,1,IF(AW64=1,2,IF(AX64=1,3,IF(AY64=1,4,IF(AZ64=1,5,IF(BA64=1,6,7))))))</f>
        <v>1</v>
      </c>
      <c r="BD64" s="65" t="n">
        <f aca="false">IF(AD64=1,CHOOSE('Historical Score'!$C$29,AV64,AW64,AX64,AY64,AZ64,BA64,BB64),0)</f>
        <v>1</v>
      </c>
      <c r="BE64" s="65" t="n">
        <f aca="false">IF(BD64=1,COUNTIF($BD$2:BD64,1),"")</f>
        <v>1</v>
      </c>
    </row>
    <row r="65" customFormat="false" ht="15" hidden="false" customHeight="false" outlineLevel="0" collapsed="false">
      <c r="A65" s="65" t="s">
        <v>616</v>
      </c>
      <c r="B65" s="65" t="s">
        <v>617</v>
      </c>
      <c r="C65" s="65" t="s">
        <v>617</v>
      </c>
      <c r="D65" s="65" t="s">
        <v>371</v>
      </c>
      <c r="E65" s="112" t="n">
        <v>45754</v>
      </c>
      <c r="F65" s="112" t="n">
        <v>45911</v>
      </c>
      <c r="G65" s="65" t="n">
        <v>3</v>
      </c>
      <c r="H65" s="65" t="s">
        <v>618</v>
      </c>
      <c r="I65" s="65" t="s">
        <v>619</v>
      </c>
      <c r="J65" s="65" t="s">
        <v>350</v>
      </c>
      <c r="K65" s="65" t="s">
        <v>578</v>
      </c>
      <c r="L65" s="65" t="s">
        <v>320</v>
      </c>
      <c r="M65" s="113" t="n">
        <v>1.5</v>
      </c>
      <c r="N65" s="114" t="n">
        <v>3000</v>
      </c>
      <c r="O65" s="114" t="n">
        <v>420</v>
      </c>
      <c r="P65" s="114" t="n">
        <v>4500</v>
      </c>
      <c r="Q65" s="114" t="n">
        <v>4500</v>
      </c>
      <c r="R65" s="114" t="n">
        <v>0</v>
      </c>
      <c r="S65" s="115" t="n">
        <v>1</v>
      </c>
      <c r="T65" s="65" t="n">
        <v>2.295</v>
      </c>
      <c r="U65" s="65" t="n">
        <v>15</v>
      </c>
      <c r="W65" s="115" t="n">
        <v>0.1024</v>
      </c>
      <c r="X65" s="112" t="n">
        <v>42678</v>
      </c>
      <c r="Y65" s="65" t="str">
        <f aca="false">IF(I65="","No SIC",IFERROR(VLOOKUP(I65,Ref!$A$2:$B$65,2,FALSE()),"Unclassified"))</f>
        <v>Miscellaneous Retail</v>
      </c>
      <c r="Z65" s="65" t="str">
        <f aca="false">IF(T65="","",IF(T65&lt;12,"Daily","Weekly"))</f>
        <v>Daily</v>
      </c>
      <c r="AA65" s="65" t="n">
        <f aca="false">IF(T65="",0,IF(T65&lt;12,T65*Controls!$B$29,T65*5))</f>
        <v>49.698225</v>
      </c>
      <c r="AB65" s="65" t="n">
        <f aca="false">IF(E65="",0,NETWORKDAYS(E65,Controls!$B$36,Ref!$K$2:$K$42))</f>
        <v>349</v>
      </c>
      <c r="AC65" s="65" t="n">
        <f aca="false">IF(AND(AA65&gt;0,AB65&gt;=Controls!$B$39*AA65),1,0)</f>
        <v>1</v>
      </c>
      <c r="AD65" s="65" t="n">
        <f aca="false">IF(AND(E65&lt;&gt;"",E65&gt;=Controls!$B$37,E65&lt;=Controls!$B$38),1,0)</f>
        <v>1</v>
      </c>
      <c r="AE65" s="65" t="n">
        <f aca="false">IF(IFERROR(VLOOKUP(D65,Controls!$A$64:$E$74,2,FALSE()),"No")="Yes",1,0)</f>
        <v>0</v>
      </c>
      <c r="AF65" s="65" t="n">
        <f aca="false">IF(IFERROR(VLOOKUP(D65,Controls!$A$64:$E$74,3,FALSE()),"No")="Yes",1,0)</f>
        <v>1</v>
      </c>
      <c r="AG65" s="65" t="n">
        <f aca="false">IF(IFERROR(VLOOKUP(D65,Controls!$A$64:$E$74,4,FALSE()),"No")="Yes",1,0)</f>
        <v>1</v>
      </c>
      <c r="AH65" s="65" t="n">
        <f aca="false">IF(IFERROR(VLOOKUP(D65,Controls!$A$64:$E$74,5,FALSE()),"No")="Yes",1,0)</f>
        <v>0</v>
      </c>
      <c r="AI65" s="65" t="n">
        <f aca="false">IF(ISNUMBER(MATCH(D65,Controls!$A$64:$A$74,0)),1,0)</f>
        <v>1</v>
      </c>
      <c r="AJ65" s="65" t="n">
        <f aca="false">Q65-N65</f>
        <v>1500</v>
      </c>
      <c r="AK65" s="65" t="n">
        <f aca="false">IF(AE65=1,MAX(0,N65-Q65),0)</f>
        <v>0</v>
      </c>
      <c r="AL65" s="65" t="n">
        <f aca="false">IF(OR(V65="",V65=0),0,N65/V65)</f>
        <v>0</v>
      </c>
      <c r="AM65" s="65" t="n">
        <f aca="false">IF(OR(V65="",V65=0),0,1)</f>
        <v>0</v>
      </c>
      <c r="AN65" s="65" t="n">
        <f aca="false">IF(OR(E65="",F65=""),0,NETWORKDAYS(E65,F65,Ref!$K$2:$K$42))</f>
        <v>110</v>
      </c>
      <c r="AO65" s="65" t="n">
        <f aca="false">IF(L65="Renewal",1,0)</f>
        <v>1</v>
      </c>
      <c r="AP65" s="65" t="n">
        <f aca="false">AC65*AD65</f>
        <v>1</v>
      </c>
      <c r="AQ65" s="65" t="n">
        <f aca="false">IF(AND(G65&lt;&gt;"",'Historical Score'!$C$6&lt;&gt;""),IF(G65='Historical Score'!$C$6,1,0),0)</f>
        <v>0</v>
      </c>
      <c r="AR65" s="65" t="n">
        <f aca="false">IF(AND(L65&lt;&gt;"",'Historical Score'!$C$5&lt;&gt;""),IF(L65='Historical Score'!$C$5,1,0),0)</f>
        <v>0</v>
      </c>
      <c r="AS65" s="65" t="n">
        <f aca="false">IF(AND(Y65&lt;&gt;"",'Historical Score'!$C$7&lt;&gt;""),IF(Y65='Historical Score'!$C$7,1,0),0)</f>
        <v>0</v>
      </c>
      <c r="AT65" s="65" t="n">
        <f aca="false">IF(AND(K65&lt;&gt;"",'Historical Score'!$C$8&lt;&gt;""),IF(K65='Historical Score'!$C$8,1,0),0)</f>
        <v>0</v>
      </c>
      <c r="AU65" s="65" t="n">
        <f aca="false">IF(AND(J65&lt;&gt;"",'Historical Score'!$C$9&lt;&gt;""),IF(J65='Historical Score'!$C$9,1,0),0)</f>
        <v>0</v>
      </c>
      <c r="AV65" s="65" t="n">
        <f aca="false">AR65*AS65*AQ65</f>
        <v>0</v>
      </c>
      <c r="AW65" s="65" t="n">
        <f aca="false">AR65*AT65*AQ65</f>
        <v>0</v>
      </c>
      <c r="AX65" s="65" t="n">
        <f aca="false">AR65*AS65</f>
        <v>0</v>
      </c>
      <c r="AY65" s="65" t="n">
        <f aca="false">AR65*AT65</f>
        <v>0</v>
      </c>
      <c r="AZ65" s="65" t="n">
        <f aca="false">AR65*AQ65</f>
        <v>0</v>
      </c>
      <c r="BA65" s="65" t="n">
        <f aca="false">AR65</f>
        <v>0</v>
      </c>
      <c r="BB65" s="65" t="n">
        <f aca="false">1</f>
        <v>1</v>
      </c>
      <c r="BC65" s="65" t="n">
        <f aca="false">IF(AV65=1,1,IF(AW65=1,2,IF(AX65=1,3,IF(AY65=1,4,IF(AZ65=1,5,IF(BA65=1,6,7))))))</f>
        <v>7</v>
      </c>
      <c r="BD65" s="65" t="n">
        <f aca="false">IF(AD65=1,CHOOSE('Historical Score'!$C$29,AV65,AW65,AX65,AY65,AZ65,BA65,BB65),0)</f>
        <v>0</v>
      </c>
      <c r="BE65" s="65" t="str">
        <f aca="false">IF(BD65=1,COUNTIF($BD$2:BD65,1),"")</f>
        <v/>
      </c>
    </row>
    <row r="66" customFormat="false" ht="15" hidden="false" customHeight="false" outlineLevel="0" collapsed="false">
      <c r="A66" s="65" t="s">
        <v>620</v>
      </c>
      <c r="B66" s="65" t="s">
        <v>621</v>
      </c>
      <c r="C66" s="65" t="s">
        <v>622</v>
      </c>
      <c r="D66" s="65" t="s">
        <v>371</v>
      </c>
      <c r="E66" s="112" t="n">
        <v>45755</v>
      </c>
      <c r="F66" s="112" t="n">
        <v>45820</v>
      </c>
      <c r="G66" s="65" t="n">
        <v>3</v>
      </c>
      <c r="H66" s="65" t="s">
        <v>623</v>
      </c>
      <c r="I66" s="65" t="s">
        <v>356</v>
      </c>
      <c r="J66" s="65" t="s">
        <v>452</v>
      </c>
      <c r="K66" s="65" t="s">
        <v>624</v>
      </c>
      <c r="L66" s="65" t="s">
        <v>64</v>
      </c>
      <c r="M66" s="113" t="n">
        <v>1.49</v>
      </c>
      <c r="N66" s="114" t="n">
        <v>6000</v>
      </c>
      <c r="O66" s="114" t="n">
        <v>840</v>
      </c>
      <c r="P66" s="114" t="n">
        <v>8940</v>
      </c>
      <c r="Q66" s="114" t="n">
        <v>8940</v>
      </c>
      <c r="R66" s="114" t="n">
        <v>0</v>
      </c>
      <c r="S66" s="115" t="n">
        <v>1</v>
      </c>
      <c r="T66" s="65" t="n">
        <v>2.623</v>
      </c>
      <c r="U66" s="65" t="n">
        <v>2</v>
      </c>
      <c r="W66" s="115" t="n">
        <v>0.0501</v>
      </c>
      <c r="X66" s="112" t="n">
        <v>44673</v>
      </c>
      <c r="Y66" s="65" t="str">
        <f aca="false">IF(I66="","No SIC",IFERROR(VLOOKUP(I66,Ref!$A$2:$B$65,2,FALSE()),"Unclassified"))</f>
        <v>Trucking &amp; Warehousing</v>
      </c>
      <c r="Z66" s="65" t="str">
        <f aca="false">IF(T66="","",IF(T66&lt;12,"Daily","Weekly"))</f>
        <v>Daily</v>
      </c>
      <c r="AA66" s="65" t="n">
        <f aca="false">IF(T66="",0,IF(T66&lt;12,T66*Controls!$B$29,T66*5))</f>
        <v>56.801065</v>
      </c>
      <c r="AB66" s="65" t="n">
        <f aca="false">IF(E66="",0,NETWORKDAYS(E66,Controls!$B$36,Ref!$K$2:$K$42))</f>
        <v>348</v>
      </c>
      <c r="AC66" s="65" t="n">
        <f aca="false">IF(AND(AA66&gt;0,AB66&gt;=Controls!$B$39*AA66),1,0)</f>
        <v>1</v>
      </c>
      <c r="AD66" s="65" t="n">
        <f aca="false">IF(AND(E66&lt;&gt;"",E66&gt;=Controls!$B$37,E66&lt;=Controls!$B$38),1,0)</f>
        <v>1</v>
      </c>
      <c r="AE66" s="65" t="n">
        <f aca="false">IF(IFERROR(VLOOKUP(D66,Controls!$A$64:$E$74,2,FALSE()),"No")="Yes",1,0)</f>
        <v>0</v>
      </c>
      <c r="AF66" s="65" t="n">
        <f aca="false">IF(IFERROR(VLOOKUP(D66,Controls!$A$64:$E$74,3,FALSE()),"No")="Yes",1,0)</f>
        <v>1</v>
      </c>
      <c r="AG66" s="65" t="n">
        <f aca="false">IF(IFERROR(VLOOKUP(D66,Controls!$A$64:$E$74,4,FALSE()),"No")="Yes",1,0)</f>
        <v>1</v>
      </c>
      <c r="AH66" s="65" t="n">
        <f aca="false">IF(IFERROR(VLOOKUP(D66,Controls!$A$64:$E$74,5,FALSE()),"No")="Yes",1,0)</f>
        <v>0</v>
      </c>
      <c r="AI66" s="65" t="n">
        <f aca="false">IF(ISNUMBER(MATCH(D66,Controls!$A$64:$A$74,0)),1,0)</f>
        <v>1</v>
      </c>
      <c r="AJ66" s="65" t="n">
        <f aca="false">Q66-N66</f>
        <v>2940</v>
      </c>
      <c r="AK66" s="65" t="n">
        <f aca="false">IF(AE66=1,MAX(0,N66-Q66),0)</f>
        <v>0</v>
      </c>
      <c r="AL66" s="65" t="n">
        <f aca="false">IF(OR(V66="",V66=0),0,N66/V66)</f>
        <v>0</v>
      </c>
      <c r="AM66" s="65" t="n">
        <f aca="false">IF(OR(V66="",V66=0),0,1)</f>
        <v>0</v>
      </c>
      <c r="AN66" s="65" t="n">
        <f aca="false">IF(OR(E66="",F66=""),0,NETWORKDAYS(E66,F66,Ref!$K$2:$K$42))</f>
        <v>47</v>
      </c>
      <c r="AO66" s="65" t="n">
        <f aca="false">IF(L66="Renewal",1,0)</f>
        <v>0</v>
      </c>
      <c r="AP66" s="65" t="n">
        <f aca="false">AC66*AD66</f>
        <v>1</v>
      </c>
      <c r="AQ66" s="65" t="n">
        <f aca="false">IF(AND(G66&lt;&gt;"",'Historical Score'!$C$6&lt;&gt;""),IF(G66='Historical Score'!$C$6,1,0),0)</f>
        <v>0</v>
      </c>
      <c r="AR66" s="65" t="n">
        <f aca="false">IF(AND(L66&lt;&gt;"",'Historical Score'!$C$5&lt;&gt;""),IF(L66='Historical Score'!$C$5,1,0),0)</f>
        <v>1</v>
      </c>
      <c r="AS66" s="65" t="n">
        <f aca="false">IF(AND(Y66&lt;&gt;"",'Historical Score'!$C$7&lt;&gt;""),IF(Y66='Historical Score'!$C$7,1,0),0)</f>
        <v>0</v>
      </c>
      <c r="AT66" s="65" t="n">
        <f aca="false">IF(AND(K66&lt;&gt;"",'Historical Score'!$C$8&lt;&gt;""),IF(K66='Historical Score'!$C$8,1,0),0)</f>
        <v>0</v>
      </c>
      <c r="AU66" s="65" t="n">
        <f aca="false">IF(AND(J66&lt;&gt;"",'Historical Score'!$C$9&lt;&gt;""),IF(J66='Historical Score'!$C$9,1,0),0)</f>
        <v>0</v>
      </c>
      <c r="AV66" s="65" t="n">
        <f aca="false">AR66*AS66*AQ66</f>
        <v>0</v>
      </c>
      <c r="AW66" s="65" t="n">
        <f aca="false">AR66*AT66*AQ66</f>
        <v>0</v>
      </c>
      <c r="AX66" s="65" t="n">
        <f aca="false">AR66*AS66</f>
        <v>0</v>
      </c>
      <c r="AY66" s="65" t="n">
        <f aca="false">AR66*AT66</f>
        <v>0</v>
      </c>
      <c r="AZ66" s="65" t="n">
        <f aca="false">AR66*AQ66</f>
        <v>0</v>
      </c>
      <c r="BA66" s="65" t="n">
        <f aca="false">AR66</f>
        <v>1</v>
      </c>
      <c r="BB66" s="65" t="n">
        <f aca="false">1</f>
        <v>1</v>
      </c>
      <c r="BC66" s="65" t="n">
        <f aca="false">IF(AV66=1,1,IF(AW66=1,2,IF(AX66=1,3,IF(AY66=1,4,IF(AZ66=1,5,IF(BA66=1,6,7))))))</f>
        <v>6</v>
      </c>
      <c r="BD66" s="65" t="n">
        <f aca="false">IF(AD66=1,CHOOSE('Historical Score'!$C$29,AV66,AW66,AX66,AY66,AZ66,BA66,BB66),0)</f>
        <v>0</v>
      </c>
      <c r="BE66" s="65" t="str">
        <f aca="false">IF(BD66=1,COUNTIF($BD$2:BD66,1),"")</f>
        <v/>
      </c>
    </row>
    <row r="67" customFormat="false" ht="15" hidden="false" customHeight="false" outlineLevel="0" collapsed="false">
      <c r="A67" s="65" t="s">
        <v>625</v>
      </c>
      <c r="B67" s="65" t="s">
        <v>626</v>
      </c>
      <c r="C67" s="65" t="s">
        <v>627</v>
      </c>
      <c r="D67" s="65" t="s">
        <v>371</v>
      </c>
      <c r="E67" s="112" t="n">
        <v>45756</v>
      </c>
      <c r="F67" s="112" t="n">
        <v>45895</v>
      </c>
      <c r="G67" s="65" t="n">
        <v>2</v>
      </c>
      <c r="H67" s="65" t="s">
        <v>628</v>
      </c>
      <c r="I67" s="65" t="s">
        <v>629</v>
      </c>
      <c r="J67" s="65" t="s">
        <v>350</v>
      </c>
      <c r="K67" s="65" t="s">
        <v>538</v>
      </c>
      <c r="L67" s="65" t="s">
        <v>64</v>
      </c>
      <c r="M67" s="113" t="n">
        <v>1.4</v>
      </c>
      <c r="N67" s="114" t="n">
        <v>40000</v>
      </c>
      <c r="O67" s="114" t="n">
        <v>3800</v>
      </c>
      <c r="P67" s="114" t="n">
        <v>56000</v>
      </c>
      <c r="Q67" s="114" t="n">
        <v>56000</v>
      </c>
      <c r="R67" s="114" t="n">
        <v>0</v>
      </c>
      <c r="S67" s="115" t="n">
        <v>1</v>
      </c>
      <c r="T67" s="65" t="n">
        <v>36</v>
      </c>
      <c r="U67" s="65" t="n">
        <v>0</v>
      </c>
      <c r="W67" s="115" t="n">
        <v>0.0793</v>
      </c>
      <c r="X67" s="112" t="n">
        <v>37622</v>
      </c>
      <c r="Y67" s="65" t="str">
        <f aca="false">IF(I67="","No SIC",IFERROR(VLOOKUP(I67,Ref!$A$2:$B$65,2,FALSE()),"Unclassified"))</f>
        <v>Hotels &amp; Lodging</v>
      </c>
      <c r="Z67" s="65" t="str">
        <f aca="false">IF(T67="","",IF(T67&lt;12,"Daily","Weekly"))</f>
        <v>Weekly</v>
      </c>
      <c r="AA67" s="65" t="n">
        <f aca="false">IF(T67="",0,IF(T67&lt;12,T67*Controls!$B$29,T67*5))</f>
        <v>180</v>
      </c>
      <c r="AB67" s="65" t="n">
        <f aca="false">IF(E67="",0,NETWORKDAYS(E67,Controls!$B$36,Ref!$K$2:$K$42))</f>
        <v>347</v>
      </c>
      <c r="AC67" s="65" t="n">
        <f aca="false">IF(AND(AA67&gt;0,AB67&gt;=Controls!$B$39*AA67),1,0)</f>
        <v>1</v>
      </c>
      <c r="AD67" s="65" t="n">
        <f aca="false">IF(AND(E67&lt;&gt;"",E67&gt;=Controls!$B$37,E67&lt;=Controls!$B$38),1,0)</f>
        <v>1</v>
      </c>
      <c r="AE67" s="65" t="n">
        <f aca="false">IF(IFERROR(VLOOKUP(D67,Controls!$A$64:$E$74,2,FALSE()),"No")="Yes",1,0)</f>
        <v>0</v>
      </c>
      <c r="AF67" s="65" t="n">
        <f aca="false">IF(IFERROR(VLOOKUP(D67,Controls!$A$64:$E$74,3,FALSE()),"No")="Yes",1,0)</f>
        <v>1</v>
      </c>
      <c r="AG67" s="65" t="n">
        <f aca="false">IF(IFERROR(VLOOKUP(D67,Controls!$A$64:$E$74,4,FALSE()),"No")="Yes",1,0)</f>
        <v>1</v>
      </c>
      <c r="AH67" s="65" t="n">
        <f aca="false">IF(IFERROR(VLOOKUP(D67,Controls!$A$64:$E$74,5,FALSE()),"No")="Yes",1,0)</f>
        <v>0</v>
      </c>
      <c r="AI67" s="65" t="n">
        <f aca="false">IF(ISNUMBER(MATCH(D67,Controls!$A$64:$A$74,0)),1,0)</f>
        <v>1</v>
      </c>
      <c r="AJ67" s="65" t="n">
        <f aca="false">Q67-N67</f>
        <v>16000</v>
      </c>
      <c r="AK67" s="65" t="n">
        <f aca="false">IF(AE67=1,MAX(0,N67-Q67),0)</f>
        <v>0</v>
      </c>
      <c r="AL67" s="65" t="n">
        <f aca="false">IF(OR(V67="",V67=0),0,N67/V67)</f>
        <v>0</v>
      </c>
      <c r="AM67" s="65" t="n">
        <f aca="false">IF(OR(V67="",V67=0),0,1)</f>
        <v>0</v>
      </c>
      <c r="AN67" s="65" t="n">
        <f aca="false">IF(OR(E67="",F67=""),0,NETWORKDAYS(E67,F67,Ref!$K$2:$K$42))</f>
        <v>97</v>
      </c>
      <c r="AO67" s="65" t="n">
        <f aca="false">IF(L67="Renewal",1,0)</f>
        <v>0</v>
      </c>
      <c r="AP67" s="65" t="n">
        <f aca="false">AC67*AD67</f>
        <v>1</v>
      </c>
      <c r="AQ67" s="65" t="n">
        <f aca="false">IF(AND(G67&lt;&gt;"",'Historical Score'!$C$6&lt;&gt;""),IF(G67='Historical Score'!$C$6,1,0),0)</f>
        <v>1</v>
      </c>
      <c r="AR67" s="65" t="n">
        <f aca="false">IF(AND(L67&lt;&gt;"",'Historical Score'!$C$5&lt;&gt;""),IF(L67='Historical Score'!$C$5,1,0),0)</f>
        <v>1</v>
      </c>
      <c r="AS67" s="65" t="n">
        <f aca="false">IF(AND(Y67&lt;&gt;"",'Historical Score'!$C$7&lt;&gt;""),IF(Y67='Historical Score'!$C$7,1,0),0)</f>
        <v>0</v>
      </c>
      <c r="AT67" s="65" t="n">
        <f aca="false">IF(AND(K67&lt;&gt;"",'Historical Score'!$C$8&lt;&gt;""),IF(K67='Historical Score'!$C$8,1,0),0)</f>
        <v>0</v>
      </c>
      <c r="AU67" s="65" t="n">
        <f aca="false">IF(AND(J67&lt;&gt;"",'Historical Score'!$C$9&lt;&gt;""),IF(J67='Historical Score'!$C$9,1,0),0)</f>
        <v>0</v>
      </c>
      <c r="AV67" s="65" t="n">
        <f aca="false">AR67*AS67*AQ67</f>
        <v>0</v>
      </c>
      <c r="AW67" s="65" t="n">
        <f aca="false">AR67*AT67*AQ67</f>
        <v>0</v>
      </c>
      <c r="AX67" s="65" t="n">
        <f aca="false">AR67*AS67</f>
        <v>0</v>
      </c>
      <c r="AY67" s="65" t="n">
        <f aca="false">AR67*AT67</f>
        <v>0</v>
      </c>
      <c r="AZ67" s="65" t="n">
        <f aca="false">AR67*AQ67</f>
        <v>1</v>
      </c>
      <c r="BA67" s="65" t="n">
        <f aca="false">AR67</f>
        <v>1</v>
      </c>
      <c r="BB67" s="65" t="n">
        <f aca="false">1</f>
        <v>1</v>
      </c>
      <c r="BC67" s="65" t="n">
        <f aca="false">IF(AV67=1,1,IF(AW67=1,2,IF(AX67=1,3,IF(AY67=1,4,IF(AZ67=1,5,IF(BA67=1,6,7))))))</f>
        <v>5</v>
      </c>
      <c r="BD67" s="65" t="n">
        <f aca="false">IF(AD67=1,CHOOSE('Historical Score'!$C$29,AV67,AW67,AX67,AY67,AZ67,BA67,BB67),0)</f>
        <v>0</v>
      </c>
      <c r="BE67" s="65" t="str">
        <f aca="false">IF(BD67=1,COUNTIF($BD$2:BD67,1),"")</f>
        <v/>
      </c>
    </row>
    <row r="68" customFormat="false" ht="15" hidden="false" customHeight="false" outlineLevel="0" collapsed="false">
      <c r="A68" s="65" t="s">
        <v>630</v>
      </c>
      <c r="B68" s="65" t="s">
        <v>631</v>
      </c>
      <c r="C68" s="65" t="s">
        <v>631</v>
      </c>
      <c r="D68" s="65" t="s">
        <v>340</v>
      </c>
      <c r="E68" s="112" t="n">
        <v>45756</v>
      </c>
      <c r="F68" s="112" t="n">
        <v>45926</v>
      </c>
      <c r="G68" s="65" t="n">
        <v>5</v>
      </c>
      <c r="H68" s="65" t="s">
        <v>479</v>
      </c>
      <c r="I68" s="65" t="s">
        <v>356</v>
      </c>
      <c r="J68" s="65" t="s">
        <v>399</v>
      </c>
      <c r="K68" s="65" t="s">
        <v>400</v>
      </c>
      <c r="L68" s="65" t="s">
        <v>64</v>
      </c>
      <c r="M68" s="113" t="n">
        <v>1.49</v>
      </c>
      <c r="N68" s="114" t="n">
        <v>40000</v>
      </c>
      <c r="O68" s="114" t="n">
        <v>5600</v>
      </c>
      <c r="P68" s="114" t="n">
        <v>59600</v>
      </c>
      <c r="Q68" s="114" t="n">
        <v>41149.26</v>
      </c>
      <c r="R68" s="114" t="n">
        <v>18450.74</v>
      </c>
      <c r="S68" s="115" t="n">
        <v>0.690423825503356</v>
      </c>
      <c r="T68" s="65" t="n">
        <v>24</v>
      </c>
      <c r="U68" s="65" t="n">
        <v>10</v>
      </c>
      <c r="W68" s="115" t="n">
        <v>0.0561</v>
      </c>
      <c r="X68" s="112" t="n">
        <v>43579</v>
      </c>
      <c r="Y68" s="65" t="str">
        <f aca="false">IF(I68="","No SIC",IFERROR(VLOOKUP(I68,Ref!$A$2:$B$65,2,FALSE()),"Unclassified"))</f>
        <v>Trucking &amp; Warehousing</v>
      </c>
      <c r="Z68" s="65" t="str">
        <f aca="false">IF(T68="","",IF(T68&lt;12,"Daily","Weekly"))</f>
        <v>Weekly</v>
      </c>
      <c r="AA68" s="65" t="n">
        <f aca="false">IF(T68="",0,IF(T68&lt;12,T68*Controls!$B$29,T68*5))</f>
        <v>120</v>
      </c>
      <c r="AB68" s="65" t="n">
        <f aca="false">IF(E68="",0,NETWORKDAYS(E68,Controls!$B$36,Ref!$K$2:$K$42))</f>
        <v>347</v>
      </c>
      <c r="AC68" s="65" t="n">
        <f aca="false">IF(AND(AA68&gt;0,AB68&gt;=Controls!$B$39*AA68),1,0)</f>
        <v>1</v>
      </c>
      <c r="AD68" s="65" t="n">
        <f aca="false">IF(AND(E68&lt;&gt;"",E68&gt;=Controls!$B$37,E68&lt;=Controls!$B$38),1,0)</f>
        <v>1</v>
      </c>
      <c r="AE68" s="65" t="n">
        <f aca="false">IF(IFERROR(VLOOKUP(D68,Controls!$A$64:$E$74,2,FALSE()),"No")="Yes",1,0)</f>
        <v>1</v>
      </c>
      <c r="AF68" s="65" t="n">
        <f aca="false">IF(IFERROR(VLOOKUP(D68,Controls!$A$64:$E$74,3,FALSE()),"No")="Yes",1,0)</f>
        <v>0</v>
      </c>
      <c r="AG68" s="65" t="n">
        <f aca="false">IF(IFERROR(VLOOKUP(D68,Controls!$A$64:$E$74,4,FALSE()),"No")="Yes",1,0)</f>
        <v>0</v>
      </c>
      <c r="AH68" s="65" t="n">
        <f aca="false">IF(IFERROR(VLOOKUP(D68,Controls!$A$64:$E$74,5,FALSE()),"No")="Yes",1,0)</f>
        <v>0</v>
      </c>
      <c r="AI68" s="65" t="n">
        <f aca="false">IF(ISNUMBER(MATCH(D68,Controls!$A$64:$A$74,0)),1,0)</f>
        <v>1</v>
      </c>
      <c r="AJ68" s="65" t="n">
        <f aca="false">Q68-N68</f>
        <v>1149.26</v>
      </c>
      <c r="AK68" s="65" t="n">
        <f aca="false">IF(AE68=1,MAX(0,N68-Q68),0)</f>
        <v>0</v>
      </c>
      <c r="AL68" s="65" t="n">
        <f aca="false">IF(OR(V68="",V68=0),0,N68/V68)</f>
        <v>0</v>
      </c>
      <c r="AM68" s="65" t="n">
        <f aca="false">IF(OR(V68="",V68=0),0,1)</f>
        <v>0</v>
      </c>
      <c r="AN68" s="65" t="n">
        <f aca="false">IF(OR(E68="",F68=""),0,NETWORKDAYS(E68,F68,Ref!$K$2:$K$42))</f>
        <v>119</v>
      </c>
      <c r="AO68" s="65" t="n">
        <f aca="false">IF(L68="Renewal",1,0)</f>
        <v>0</v>
      </c>
      <c r="AP68" s="65" t="n">
        <f aca="false">AC68*AD68</f>
        <v>1</v>
      </c>
      <c r="AQ68" s="65" t="n">
        <f aca="false">IF(AND(G68&lt;&gt;"",'Historical Score'!$C$6&lt;&gt;""),IF(G68='Historical Score'!$C$6,1,0),0)</f>
        <v>0</v>
      </c>
      <c r="AR68" s="65" t="n">
        <f aca="false">IF(AND(L68&lt;&gt;"",'Historical Score'!$C$5&lt;&gt;""),IF(L68='Historical Score'!$C$5,1,0),0)</f>
        <v>1</v>
      </c>
      <c r="AS68" s="65" t="n">
        <f aca="false">IF(AND(Y68&lt;&gt;"",'Historical Score'!$C$7&lt;&gt;""),IF(Y68='Historical Score'!$C$7,1,0),0)</f>
        <v>0</v>
      </c>
      <c r="AT68" s="65" t="n">
        <f aca="false">IF(AND(K68&lt;&gt;"",'Historical Score'!$C$8&lt;&gt;""),IF(K68='Historical Score'!$C$8,1,0),0)</f>
        <v>0</v>
      </c>
      <c r="AU68" s="65" t="n">
        <f aca="false">IF(AND(J68&lt;&gt;"",'Historical Score'!$C$9&lt;&gt;""),IF(J68='Historical Score'!$C$9,1,0),0)</f>
        <v>0</v>
      </c>
      <c r="AV68" s="65" t="n">
        <f aca="false">AR68*AS68*AQ68</f>
        <v>0</v>
      </c>
      <c r="AW68" s="65" t="n">
        <f aca="false">AR68*AT68*AQ68</f>
        <v>0</v>
      </c>
      <c r="AX68" s="65" t="n">
        <f aca="false">AR68*AS68</f>
        <v>0</v>
      </c>
      <c r="AY68" s="65" t="n">
        <f aca="false">AR68*AT68</f>
        <v>0</v>
      </c>
      <c r="AZ68" s="65" t="n">
        <f aca="false">AR68*AQ68</f>
        <v>0</v>
      </c>
      <c r="BA68" s="65" t="n">
        <f aca="false">AR68</f>
        <v>1</v>
      </c>
      <c r="BB68" s="65" t="n">
        <f aca="false">1</f>
        <v>1</v>
      </c>
      <c r="BC68" s="65" t="n">
        <f aca="false">IF(AV68=1,1,IF(AW68=1,2,IF(AX68=1,3,IF(AY68=1,4,IF(AZ68=1,5,IF(BA68=1,6,7))))))</f>
        <v>6</v>
      </c>
      <c r="BD68" s="65" t="n">
        <f aca="false">IF(AD68=1,CHOOSE('Historical Score'!$C$29,AV68,AW68,AX68,AY68,AZ68,BA68,BB68),0)</f>
        <v>0</v>
      </c>
      <c r="BE68" s="65" t="str">
        <f aca="false">IF(BD68=1,COUNTIF($BD$2:BD68,1),"")</f>
        <v/>
      </c>
    </row>
    <row r="69" customFormat="false" ht="15" hidden="false" customHeight="false" outlineLevel="0" collapsed="false">
      <c r="A69" s="65" t="s">
        <v>632</v>
      </c>
      <c r="B69" s="65" t="s">
        <v>633</v>
      </c>
      <c r="C69" s="65" t="s">
        <v>633</v>
      </c>
      <c r="D69" s="65" t="s">
        <v>371</v>
      </c>
      <c r="E69" s="112" t="n">
        <v>45757</v>
      </c>
      <c r="F69" s="112" t="n">
        <v>45938</v>
      </c>
      <c r="G69" s="65" t="n">
        <v>1</v>
      </c>
      <c r="H69" s="65" t="s">
        <v>634</v>
      </c>
      <c r="I69" s="65" t="s">
        <v>484</v>
      </c>
      <c r="J69" s="65" t="s">
        <v>61</v>
      </c>
      <c r="K69" s="65" t="s">
        <v>538</v>
      </c>
      <c r="L69" s="65" t="s">
        <v>64</v>
      </c>
      <c r="M69" s="113" t="n">
        <v>1.43</v>
      </c>
      <c r="N69" s="114" t="n">
        <v>20000</v>
      </c>
      <c r="O69" s="114" t="n">
        <v>2200</v>
      </c>
      <c r="P69" s="114" t="n">
        <v>28600</v>
      </c>
      <c r="Q69" s="114" t="n">
        <v>28600</v>
      </c>
      <c r="R69" s="114" t="n">
        <v>0</v>
      </c>
      <c r="S69" s="115" t="n">
        <v>1</v>
      </c>
      <c r="T69" s="65" t="n">
        <v>26</v>
      </c>
      <c r="U69" s="65" t="n">
        <v>0</v>
      </c>
      <c r="W69" s="115" t="n">
        <v>0.1056</v>
      </c>
      <c r="X69" s="112" t="n">
        <v>40963</v>
      </c>
      <c r="Y69" s="65" t="str">
        <f aca="false">IF(I69="","No SIC",IFERROR(VLOOKUP(I69,Ref!$A$2:$B$65,2,FALSE()),"Unclassified"))</f>
        <v>Special Trade Contractors</v>
      </c>
      <c r="Z69" s="65" t="str">
        <f aca="false">IF(T69="","",IF(T69&lt;12,"Daily","Weekly"))</f>
        <v>Weekly</v>
      </c>
      <c r="AA69" s="65" t="n">
        <f aca="false">IF(T69="",0,IF(T69&lt;12,T69*Controls!$B$29,T69*5))</f>
        <v>130</v>
      </c>
      <c r="AB69" s="65" t="n">
        <f aca="false">IF(E69="",0,NETWORKDAYS(E69,Controls!$B$36,Ref!$K$2:$K$42))</f>
        <v>346</v>
      </c>
      <c r="AC69" s="65" t="n">
        <f aca="false">IF(AND(AA69&gt;0,AB69&gt;=Controls!$B$39*AA69),1,0)</f>
        <v>1</v>
      </c>
      <c r="AD69" s="65" t="n">
        <f aca="false">IF(AND(E69&lt;&gt;"",E69&gt;=Controls!$B$37,E69&lt;=Controls!$B$38),1,0)</f>
        <v>1</v>
      </c>
      <c r="AE69" s="65" t="n">
        <f aca="false">IF(IFERROR(VLOOKUP(D69,Controls!$A$64:$E$74,2,FALSE()),"No")="Yes",1,0)</f>
        <v>0</v>
      </c>
      <c r="AF69" s="65" t="n">
        <f aca="false">IF(IFERROR(VLOOKUP(D69,Controls!$A$64:$E$74,3,FALSE()),"No")="Yes",1,0)</f>
        <v>1</v>
      </c>
      <c r="AG69" s="65" t="n">
        <f aca="false">IF(IFERROR(VLOOKUP(D69,Controls!$A$64:$E$74,4,FALSE()),"No")="Yes",1,0)</f>
        <v>1</v>
      </c>
      <c r="AH69" s="65" t="n">
        <f aca="false">IF(IFERROR(VLOOKUP(D69,Controls!$A$64:$E$74,5,FALSE()),"No")="Yes",1,0)</f>
        <v>0</v>
      </c>
      <c r="AI69" s="65" t="n">
        <f aca="false">IF(ISNUMBER(MATCH(D69,Controls!$A$64:$A$74,0)),1,0)</f>
        <v>1</v>
      </c>
      <c r="AJ69" s="65" t="n">
        <f aca="false">Q69-N69</f>
        <v>8600</v>
      </c>
      <c r="AK69" s="65" t="n">
        <f aca="false">IF(AE69=1,MAX(0,N69-Q69),0)</f>
        <v>0</v>
      </c>
      <c r="AL69" s="65" t="n">
        <f aca="false">IF(OR(V69="",V69=0),0,N69/V69)</f>
        <v>0</v>
      </c>
      <c r="AM69" s="65" t="n">
        <f aca="false">IF(OR(V69="",V69=0),0,1)</f>
        <v>0</v>
      </c>
      <c r="AN69" s="65" t="n">
        <f aca="false">IF(OR(E69="",F69=""),0,NETWORKDAYS(E69,F69,Ref!$K$2:$K$42))</f>
        <v>126</v>
      </c>
      <c r="AO69" s="65" t="n">
        <f aca="false">IF(L69="Renewal",1,0)</f>
        <v>0</v>
      </c>
      <c r="AP69" s="65" t="n">
        <f aca="false">AC69*AD69</f>
        <v>1</v>
      </c>
      <c r="AQ69" s="65" t="n">
        <f aca="false">IF(AND(G69&lt;&gt;"",'Historical Score'!$C$6&lt;&gt;""),IF(G69='Historical Score'!$C$6,1,0),0)</f>
        <v>0</v>
      </c>
      <c r="AR69" s="65" t="n">
        <f aca="false">IF(AND(L69&lt;&gt;"",'Historical Score'!$C$5&lt;&gt;""),IF(L69='Historical Score'!$C$5,1,0),0)</f>
        <v>1</v>
      </c>
      <c r="AS69" s="65" t="n">
        <f aca="false">IF(AND(Y69&lt;&gt;"",'Historical Score'!$C$7&lt;&gt;""),IF(Y69='Historical Score'!$C$7,1,0),0)</f>
        <v>0</v>
      </c>
      <c r="AT69" s="65" t="n">
        <f aca="false">IF(AND(K69&lt;&gt;"",'Historical Score'!$C$8&lt;&gt;""),IF(K69='Historical Score'!$C$8,1,0),0)</f>
        <v>0</v>
      </c>
      <c r="AU69" s="65" t="n">
        <f aca="false">IF(AND(J69&lt;&gt;"",'Historical Score'!$C$9&lt;&gt;""),IF(J69='Historical Score'!$C$9,1,0),0)</f>
        <v>1</v>
      </c>
      <c r="AV69" s="65" t="n">
        <f aca="false">AR69*AS69*AQ69</f>
        <v>0</v>
      </c>
      <c r="AW69" s="65" t="n">
        <f aca="false">AR69*AT69*AQ69</f>
        <v>0</v>
      </c>
      <c r="AX69" s="65" t="n">
        <f aca="false">AR69*AS69</f>
        <v>0</v>
      </c>
      <c r="AY69" s="65" t="n">
        <f aca="false">AR69*AT69</f>
        <v>0</v>
      </c>
      <c r="AZ69" s="65" t="n">
        <f aca="false">AR69*AQ69</f>
        <v>0</v>
      </c>
      <c r="BA69" s="65" t="n">
        <f aca="false">AR69</f>
        <v>1</v>
      </c>
      <c r="BB69" s="65" t="n">
        <f aca="false">1</f>
        <v>1</v>
      </c>
      <c r="BC69" s="65" t="n">
        <f aca="false">IF(AV69=1,1,IF(AW69=1,2,IF(AX69=1,3,IF(AY69=1,4,IF(AZ69=1,5,IF(BA69=1,6,7))))))</f>
        <v>6</v>
      </c>
      <c r="BD69" s="65" t="n">
        <f aca="false">IF(AD69=1,CHOOSE('Historical Score'!$C$29,AV69,AW69,AX69,AY69,AZ69,BA69,BB69),0)</f>
        <v>0</v>
      </c>
      <c r="BE69" s="65" t="str">
        <f aca="false">IF(BD69=1,COUNTIF($BD$2:BD69,1),"")</f>
        <v/>
      </c>
    </row>
    <row r="70" customFormat="false" ht="15" hidden="false" customHeight="false" outlineLevel="0" collapsed="false">
      <c r="A70" s="65" t="s">
        <v>635</v>
      </c>
      <c r="B70" s="65" t="s">
        <v>636</v>
      </c>
      <c r="C70" s="65" t="s">
        <v>636</v>
      </c>
      <c r="D70" s="65" t="s">
        <v>371</v>
      </c>
      <c r="E70" s="112" t="n">
        <v>45757</v>
      </c>
      <c r="F70" s="112" t="n">
        <v>45860</v>
      </c>
      <c r="G70" s="65" t="n">
        <v>7</v>
      </c>
      <c r="H70" s="65" t="s">
        <v>637</v>
      </c>
      <c r="I70" s="65" t="s">
        <v>484</v>
      </c>
      <c r="J70" s="65" t="s">
        <v>638</v>
      </c>
      <c r="K70" s="65" t="s">
        <v>584</v>
      </c>
      <c r="L70" s="65" t="s">
        <v>64</v>
      </c>
      <c r="M70" s="113" t="n">
        <v>1.49</v>
      </c>
      <c r="N70" s="114" t="n">
        <v>4000</v>
      </c>
      <c r="O70" s="114" t="n">
        <v>560</v>
      </c>
      <c r="P70" s="114" t="n">
        <v>5960</v>
      </c>
      <c r="Q70" s="114" t="n">
        <v>5960</v>
      </c>
      <c r="R70" s="114" t="n">
        <v>0</v>
      </c>
      <c r="S70" s="115" t="n">
        <v>1</v>
      </c>
      <c r="T70" s="65" t="n">
        <v>2.295</v>
      </c>
      <c r="U70" s="65" t="n">
        <v>0</v>
      </c>
      <c r="W70" s="115" t="n">
        <v>0.0424</v>
      </c>
      <c r="X70" s="112"/>
      <c r="Y70" s="65" t="str">
        <f aca="false">IF(I70="","No SIC",IFERROR(VLOOKUP(I70,Ref!$A$2:$B$65,2,FALSE()),"Unclassified"))</f>
        <v>Special Trade Contractors</v>
      </c>
      <c r="Z70" s="65" t="str">
        <f aca="false">IF(T70="","",IF(T70&lt;12,"Daily","Weekly"))</f>
        <v>Daily</v>
      </c>
      <c r="AA70" s="65" t="n">
        <f aca="false">IF(T70="",0,IF(T70&lt;12,T70*Controls!$B$29,T70*5))</f>
        <v>49.698225</v>
      </c>
      <c r="AB70" s="65" t="n">
        <f aca="false">IF(E70="",0,NETWORKDAYS(E70,Controls!$B$36,Ref!$K$2:$K$42))</f>
        <v>346</v>
      </c>
      <c r="AC70" s="65" t="n">
        <f aca="false">IF(AND(AA70&gt;0,AB70&gt;=Controls!$B$39*AA70),1,0)</f>
        <v>1</v>
      </c>
      <c r="AD70" s="65" t="n">
        <f aca="false">IF(AND(E70&lt;&gt;"",E70&gt;=Controls!$B$37,E70&lt;=Controls!$B$38),1,0)</f>
        <v>1</v>
      </c>
      <c r="AE70" s="65" t="n">
        <f aca="false">IF(IFERROR(VLOOKUP(D70,Controls!$A$64:$E$74,2,FALSE()),"No")="Yes",1,0)</f>
        <v>0</v>
      </c>
      <c r="AF70" s="65" t="n">
        <f aca="false">IF(IFERROR(VLOOKUP(D70,Controls!$A$64:$E$74,3,FALSE()),"No")="Yes",1,0)</f>
        <v>1</v>
      </c>
      <c r="AG70" s="65" t="n">
        <f aca="false">IF(IFERROR(VLOOKUP(D70,Controls!$A$64:$E$74,4,FALSE()),"No")="Yes",1,0)</f>
        <v>1</v>
      </c>
      <c r="AH70" s="65" t="n">
        <f aca="false">IF(IFERROR(VLOOKUP(D70,Controls!$A$64:$E$74,5,FALSE()),"No")="Yes",1,0)</f>
        <v>0</v>
      </c>
      <c r="AI70" s="65" t="n">
        <f aca="false">IF(ISNUMBER(MATCH(D70,Controls!$A$64:$A$74,0)),1,0)</f>
        <v>1</v>
      </c>
      <c r="AJ70" s="65" t="n">
        <f aca="false">Q70-N70</f>
        <v>1960</v>
      </c>
      <c r="AK70" s="65" t="n">
        <f aca="false">IF(AE70=1,MAX(0,N70-Q70),0)</f>
        <v>0</v>
      </c>
      <c r="AL70" s="65" t="n">
        <f aca="false">IF(OR(V70="",V70=0),0,N70/V70)</f>
        <v>0</v>
      </c>
      <c r="AM70" s="65" t="n">
        <f aca="false">IF(OR(V70="",V70=0),0,1)</f>
        <v>0</v>
      </c>
      <c r="AN70" s="65" t="n">
        <f aca="false">IF(OR(E70="",F70=""),0,NETWORKDAYS(E70,F70,Ref!$K$2:$K$42))</f>
        <v>71</v>
      </c>
      <c r="AO70" s="65" t="n">
        <f aca="false">IF(L70="Renewal",1,0)</f>
        <v>0</v>
      </c>
      <c r="AP70" s="65" t="n">
        <f aca="false">AC70*AD70</f>
        <v>1</v>
      </c>
      <c r="AQ70" s="65" t="n">
        <f aca="false">IF(AND(G70&lt;&gt;"",'Historical Score'!$C$6&lt;&gt;""),IF(G70='Historical Score'!$C$6,1,0),0)</f>
        <v>0</v>
      </c>
      <c r="AR70" s="65" t="n">
        <f aca="false">IF(AND(L70&lt;&gt;"",'Historical Score'!$C$5&lt;&gt;""),IF(L70='Historical Score'!$C$5,1,0),0)</f>
        <v>1</v>
      </c>
      <c r="AS70" s="65" t="n">
        <f aca="false">IF(AND(Y70&lt;&gt;"",'Historical Score'!$C$7&lt;&gt;""),IF(Y70='Historical Score'!$C$7,1,0),0)</f>
        <v>0</v>
      </c>
      <c r="AT70" s="65" t="n">
        <f aca="false">IF(AND(K70&lt;&gt;"",'Historical Score'!$C$8&lt;&gt;""),IF(K70='Historical Score'!$C$8,1,0),0)</f>
        <v>0</v>
      </c>
      <c r="AU70" s="65" t="n">
        <f aca="false">IF(AND(J70&lt;&gt;"",'Historical Score'!$C$9&lt;&gt;""),IF(J70='Historical Score'!$C$9,1,0),0)</f>
        <v>0</v>
      </c>
      <c r="AV70" s="65" t="n">
        <f aca="false">AR70*AS70*AQ70</f>
        <v>0</v>
      </c>
      <c r="AW70" s="65" t="n">
        <f aca="false">AR70*AT70*AQ70</f>
        <v>0</v>
      </c>
      <c r="AX70" s="65" t="n">
        <f aca="false">AR70*AS70</f>
        <v>0</v>
      </c>
      <c r="AY70" s="65" t="n">
        <f aca="false">AR70*AT70</f>
        <v>0</v>
      </c>
      <c r="AZ70" s="65" t="n">
        <f aca="false">AR70*AQ70</f>
        <v>0</v>
      </c>
      <c r="BA70" s="65" t="n">
        <f aca="false">AR70</f>
        <v>1</v>
      </c>
      <c r="BB70" s="65" t="n">
        <f aca="false">1</f>
        <v>1</v>
      </c>
      <c r="BC70" s="65" t="n">
        <f aca="false">IF(AV70=1,1,IF(AW70=1,2,IF(AX70=1,3,IF(AY70=1,4,IF(AZ70=1,5,IF(BA70=1,6,7))))))</f>
        <v>6</v>
      </c>
      <c r="BD70" s="65" t="n">
        <f aca="false">IF(AD70=1,CHOOSE('Historical Score'!$C$29,AV70,AW70,AX70,AY70,AZ70,BA70,BB70),0)</f>
        <v>0</v>
      </c>
      <c r="BE70" s="65" t="str">
        <f aca="false">IF(BD70=1,COUNTIF($BD$2:BD70,1),"")</f>
        <v/>
      </c>
    </row>
    <row r="71" customFormat="false" ht="15" hidden="false" customHeight="false" outlineLevel="0" collapsed="false">
      <c r="A71" s="65" t="s">
        <v>639</v>
      </c>
      <c r="B71" s="65" t="s">
        <v>640</v>
      </c>
      <c r="C71" s="65" t="s">
        <v>641</v>
      </c>
      <c r="D71" s="65" t="s">
        <v>340</v>
      </c>
      <c r="E71" s="112" t="n">
        <v>45757</v>
      </c>
      <c r="F71" s="112" t="n">
        <v>45939</v>
      </c>
      <c r="G71" s="65" t="n">
        <v>2</v>
      </c>
      <c r="H71" s="65" t="s">
        <v>642</v>
      </c>
      <c r="I71" s="65" t="s">
        <v>643</v>
      </c>
      <c r="J71" s="65" t="s">
        <v>380</v>
      </c>
      <c r="K71" s="65" t="s">
        <v>433</v>
      </c>
      <c r="L71" s="65" t="s">
        <v>64</v>
      </c>
      <c r="M71" s="113" t="n">
        <v>1.45</v>
      </c>
      <c r="N71" s="114" t="n">
        <v>30000</v>
      </c>
      <c r="O71" s="114" t="n">
        <v>4200</v>
      </c>
      <c r="P71" s="114" t="n">
        <v>43500</v>
      </c>
      <c r="Q71" s="114" t="n">
        <v>10251.74</v>
      </c>
      <c r="R71" s="114" t="n">
        <v>33248.26</v>
      </c>
      <c r="S71" s="115" t="n">
        <v>0.235672183908046</v>
      </c>
      <c r="T71" s="65" t="n">
        <v>28</v>
      </c>
      <c r="U71" s="65" t="n">
        <v>7</v>
      </c>
      <c r="W71" s="115" t="n">
        <v>0.1161</v>
      </c>
      <c r="X71" s="112" t="n">
        <v>44206</v>
      </c>
      <c r="Y71" s="65" t="str">
        <f aca="false">IF(I71="","No SIC",IFERROR(VLOOKUP(I71,Ref!$A$2:$B$65,2,FALSE()),"Unclassified"))</f>
        <v>Agricultural Services</v>
      </c>
      <c r="Z71" s="65" t="str">
        <f aca="false">IF(T71="","",IF(T71&lt;12,"Daily","Weekly"))</f>
        <v>Weekly</v>
      </c>
      <c r="AA71" s="65" t="n">
        <f aca="false">IF(T71="",0,IF(T71&lt;12,T71*Controls!$B$29,T71*5))</f>
        <v>140</v>
      </c>
      <c r="AB71" s="65" t="n">
        <f aca="false">IF(E71="",0,NETWORKDAYS(E71,Controls!$B$36,Ref!$K$2:$K$42))</f>
        <v>346</v>
      </c>
      <c r="AC71" s="65" t="n">
        <f aca="false">IF(AND(AA71&gt;0,AB71&gt;=Controls!$B$39*AA71),1,0)</f>
        <v>1</v>
      </c>
      <c r="AD71" s="65" t="n">
        <f aca="false">IF(AND(E71&lt;&gt;"",E71&gt;=Controls!$B$37,E71&lt;=Controls!$B$38),1,0)</f>
        <v>1</v>
      </c>
      <c r="AE71" s="65" t="n">
        <f aca="false">IF(IFERROR(VLOOKUP(D71,Controls!$A$64:$E$74,2,FALSE()),"No")="Yes",1,0)</f>
        <v>1</v>
      </c>
      <c r="AF71" s="65" t="n">
        <f aca="false">IF(IFERROR(VLOOKUP(D71,Controls!$A$64:$E$74,3,FALSE()),"No")="Yes",1,0)</f>
        <v>0</v>
      </c>
      <c r="AG71" s="65" t="n">
        <f aca="false">IF(IFERROR(VLOOKUP(D71,Controls!$A$64:$E$74,4,FALSE()),"No")="Yes",1,0)</f>
        <v>0</v>
      </c>
      <c r="AH71" s="65" t="n">
        <f aca="false">IF(IFERROR(VLOOKUP(D71,Controls!$A$64:$E$74,5,FALSE()),"No")="Yes",1,0)</f>
        <v>0</v>
      </c>
      <c r="AI71" s="65" t="n">
        <f aca="false">IF(ISNUMBER(MATCH(D71,Controls!$A$64:$A$74,0)),1,0)</f>
        <v>1</v>
      </c>
      <c r="AJ71" s="65" t="n">
        <f aca="false">Q71-N71</f>
        <v>-19748.26</v>
      </c>
      <c r="AK71" s="65" t="n">
        <f aca="false">IF(AE71=1,MAX(0,N71-Q71),0)</f>
        <v>19748.26</v>
      </c>
      <c r="AL71" s="65" t="n">
        <f aca="false">IF(OR(V71="",V71=0),0,N71/V71)</f>
        <v>0</v>
      </c>
      <c r="AM71" s="65" t="n">
        <f aca="false">IF(OR(V71="",V71=0),0,1)</f>
        <v>0</v>
      </c>
      <c r="AN71" s="65" t="n">
        <f aca="false">IF(OR(E71="",F71=""),0,NETWORKDAYS(E71,F71,Ref!$K$2:$K$42))</f>
        <v>127</v>
      </c>
      <c r="AO71" s="65" t="n">
        <f aca="false">IF(L71="Renewal",1,0)</f>
        <v>0</v>
      </c>
      <c r="AP71" s="65" t="n">
        <f aca="false">AC71*AD71</f>
        <v>1</v>
      </c>
      <c r="AQ71" s="65" t="n">
        <f aca="false">IF(AND(G71&lt;&gt;"",'Historical Score'!$C$6&lt;&gt;""),IF(G71='Historical Score'!$C$6,1,0),0)</f>
        <v>1</v>
      </c>
      <c r="AR71" s="65" t="n">
        <f aca="false">IF(AND(L71&lt;&gt;"",'Historical Score'!$C$5&lt;&gt;""),IF(L71='Historical Score'!$C$5,1,0),0)</f>
        <v>1</v>
      </c>
      <c r="AS71" s="65" t="n">
        <f aca="false">IF(AND(Y71&lt;&gt;"",'Historical Score'!$C$7&lt;&gt;""),IF(Y71='Historical Score'!$C$7,1,0),0)</f>
        <v>0</v>
      </c>
      <c r="AT71" s="65" t="n">
        <f aca="false">IF(AND(K71&lt;&gt;"",'Historical Score'!$C$8&lt;&gt;""),IF(K71='Historical Score'!$C$8,1,0),0)</f>
        <v>0</v>
      </c>
      <c r="AU71" s="65" t="n">
        <f aca="false">IF(AND(J71&lt;&gt;"",'Historical Score'!$C$9&lt;&gt;""),IF(J71='Historical Score'!$C$9,1,0),0)</f>
        <v>0</v>
      </c>
      <c r="AV71" s="65" t="n">
        <f aca="false">AR71*AS71*AQ71</f>
        <v>0</v>
      </c>
      <c r="AW71" s="65" t="n">
        <f aca="false">AR71*AT71*AQ71</f>
        <v>0</v>
      </c>
      <c r="AX71" s="65" t="n">
        <f aca="false">AR71*AS71</f>
        <v>0</v>
      </c>
      <c r="AY71" s="65" t="n">
        <f aca="false">AR71*AT71</f>
        <v>0</v>
      </c>
      <c r="AZ71" s="65" t="n">
        <f aca="false">AR71*AQ71</f>
        <v>1</v>
      </c>
      <c r="BA71" s="65" t="n">
        <f aca="false">AR71</f>
        <v>1</v>
      </c>
      <c r="BB71" s="65" t="n">
        <f aca="false">1</f>
        <v>1</v>
      </c>
      <c r="BC71" s="65" t="n">
        <f aca="false">IF(AV71=1,1,IF(AW71=1,2,IF(AX71=1,3,IF(AY71=1,4,IF(AZ71=1,5,IF(BA71=1,6,7))))))</f>
        <v>5</v>
      </c>
      <c r="BD71" s="65" t="n">
        <f aca="false">IF(AD71=1,CHOOSE('Historical Score'!$C$29,AV71,AW71,AX71,AY71,AZ71,BA71,BB71),0)</f>
        <v>0</v>
      </c>
      <c r="BE71" s="65" t="str">
        <f aca="false">IF(BD71=1,COUNTIF($BD$2:BD71,1),"")</f>
        <v/>
      </c>
    </row>
    <row r="72" customFormat="false" ht="15" hidden="false" customHeight="false" outlineLevel="0" collapsed="false">
      <c r="A72" s="65" t="s">
        <v>644</v>
      </c>
      <c r="B72" s="65" t="s">
        <v>645</v>
      </c>
      <c r="C72" s="65" t="s">
        <v>645</v>
      </c>
      <c r="D72" s="65" t="s">
        <v>340</v>
      </c>
      <c r="E72" s="112" t="n">
        <v>45757</v>
      </c>
      <c r="F72" s="112" t="n">
        <v>45925</v>
      </c>
      <c r="G72" s="65" t="n">
        <v>1</v>
      </c>
      <c r="H72" s="65" t="s">
        <v>409</v>
      </c>
      <c r="I72" s="65" t="s">
        <v>342</v>
      </c>
      <c r="J72" s="65" t="s">
        <v>646</v>
      </c>
      <c r="K72" s="65" t="s">
        <v>584</v>
      </c>
      <c r="L72" s="65" t="s">
        <v>64</v>
      </c>
      <c r="M72" s="113" t="n">
        <v>1.499</v>
      </c>
      <c r="N72" s="114" t="n">
        <v>8000</v>
      </c>
      <c r="O72" s="114" t="n">
        <v>1120</v>
      </c>
      <c r="P72" s="114" t="n">
        <v>11992</v>
      </c>
      <c r="Q72" s="114" t="n">
        <v>9597.06</v>
      </c>
      <c r="R72" s="114" t="n">
        <v>2394.94</v>
      </c>
      <c r="S72" s="115" t="n">
        <v>0.800288525683789</v>
      </c>
      <c r="T72" s="65" t="n">
        <v>15</v>
      </c>
      <c r="U72" s="65" t="n">
        <v>5</v>
      </c>
      <c r="W72" s="115" t="n">
        <v>0.3947</v>
      </c>
      <c r="X72" s="112"/>
      <c r="Y72" s="65" t="str">
        <f aca="false">IF(I72="","No SIC",IFERROR(VLOOKUP(I72,Ref!$A$2:$B$65,2,FALSE()),"Unclassified"))</f>
        <v>Eating &amp; Drinking Places</v>
      </c>
      <c r="Z72" s="65" t="str">
        <f aca="false">IF(T72="","",IF(T72&lt;12,"Daily","Weekly"))</f>
        <v>Weekly</v>
      </c>
      <c r="AA72" s="65" t="n">
        <f aca="false">IF(T72="",0,IF(T72&lt;12,T72*Controls!$B$29,T72*5))</f>
        <v>75</v>
      </c>
      <c r="AB72" s="65" t="n">
        <f aca="false">IF(E72="",0,NETWORKDAYS(E72,Controls!$B$36,Ref!$K$2:$K$42))</f>
        <v>346</v>
      </c>
      <c r="AC72" s="65" t="n">
        <f aca="false">IF(AND(AA72&gt;0,AB72&gt;=Controls!$B$39*AA72),1,0)</f>
        <v>1</v>
      </c>
      <c r="AD72" s="65" t="n">
        <f aca="false">IF(AND(E72&lt;&gt;"",E72&gt;=Controls!$B$37,E72&lt;=Controls!$B$38),1,0)</f>
        <v>1</v>
      </c>
      <c r="AE72" s="65" t="n">
        <f aca="false">IF(IFERROR(VLOOKUP(D72,Controls!$A$64:$E$74,2,FALSE()),"No")="Yes",1,0)</f>
        <v>1</v>
      </c>
      <c r="AF72" s="65" t="n">
        <f aca="false">IF(IFERROR(VLOOKUP(D72,Controls!$A$64:$E$74,3,FALSE()),"No")="Yes",1,0)</f>
        <v>0</v>
      </c>
      <c r="AG72" s="65" t="n">
        <f aca="false">IF(IFERROR(VLOOKUP(D72,Controls!$A$64:$E$74,4,FALSE()),"No")="Yes",1,0)</f>
        <v>0</v>
      </c>
      <c r="AH72" s="65" t="n">
        <f aca="false">IF(IFERROR(VLOOKUP(D72,Controls!$A$64:$E$74,5,FALSE()),"No")="Yes",1,0)</f>
        <v>0</v>
      </c>
      <c r="AI72" s="65" t="n">
        <f aca="false">IF(ISNUMBER(MATCH(D72,Controls!$A$64:$A$74,0)),1,0)</f>
        <v>1</v>
      </c>
      <c r="AJ72" s="65" t="n">
        <f aca="false">Q72-N72</f>
        <v>1597.06</v>
      </c>
      <c r="AK72" s="65" t="n">
        <f aca="false">IF(AE72=1,MAX(0,N72-Q72),0)</f>
        <v>0</v>
      </c>
      <c r="AL72" s="65" t="n">
        <f aca="false">IF(OR(V72="",V72=0),0,N72/V72)</f>
        <v>0</v>
      </c>
      <c r="AM72" s="65" t="n">
        <f aca="false">IF(OR(V72="",V72=0),0,1)</f>
        <v>0</v>
      </c>
      <c r="AN72" s="65" t="n">
        <f aca="false">IF(OR(E72="",F72=""),0,NETWORKDAYS(E72,F72,Ref!$K$2:$K$42))</f>
        <v>117</v>
      </c>
      <c r="AO72" s="65" t="n">
        <f aca="false">IF(L72="Renewal",1,0)</f>
        <v>0</v>
      </c>
      <c r="AP72" s="65" t="n">
        <f aca="false">AC72*AD72</f>
        <v>1</v>
      </c>
      <c r="AQ72" s="65" t="n">
        <f aca="false">IF(AND(G72&lt;&gt;"",'Historical Score'!$C$6&lt;&gt;""),IF(G72='Historical Score'!$C$6,1,0),0)</f>
        <v>0</v>
      </c>
      <c r="AR72" s="65" t="n">
        <f aca="false">IF(AND(L72&lt;&gt;"",'Historical Score'!$C$5&lt;&gt;""),IF(L72='Historical Score'!$C$5,1,0),0)</f>
        <v>1</v>
      </c>
      <c r="AS72" s="65" t="n">
        <f aca="false">IF(AND(Y72&lt;&gt;"",'Historical Score'!$C$7&lt;&gt;""),IF(Y72='Historical Score'!$C$7,1,0),0)</f>
        <v>0</v>
      </c>
      <c r="AT72" s="65" t="n">
        <f aca="false">IF(AND(K72&lt;&gt;"",'Historical Score'!$C$8&lt;&gt;""),IF(K72='Historical Score'!$C$8,1,0),0)</f>
        <v>0</v>
      </c>
      <c r="AU72" s="65" t="n">
        <f aca="false">IF(AND(J72&lt;&gt;"",'Historical Score'!$C$9&lt;&gt;""),IF(J72='Historical Score'!$C$9,1,0),0)</f>
        <v>0</v>
      </c>
      <c r="AV72" s="65" t="n">
        <f aca="false">AR72*AS72*AQ72</f>
        <v>0</v>
      </c>
      <c r="AW72" s="65" t="n">
        <f aca="false">AR72*AT72*AQ72</f>
        <v>0</v>
      </c>
      <c r="AX72" s="65" t="n">
        <f aca="false">AR72*AS72</f>
        <v>0</v>
      </c>
      <c r="AY72" s="65" t="n">
        <f aca="false">AR72*AT72</f>
        <v>0</v>
      </c>
      <c r="AZ72" s="65" t="n">
        <f aca="false">AR72*AQ72</f>
        <v>0</v>
      </c>
      <c r="BA72" s="65" t="n">
        <f aca="false">AR72</f>
        <v>1</v>
      </c>
      <c r="BB72" s="65" t="n">
        <f aca="false">1</f>
        <v>1</v>
      </c>
      <c r="BC72" s="65" t="n">
        <f aca="false">IF(AV72=1,1,IF(AW72=1,2,IF(AX72=1,3,IF(AY72=1,4,IF(AZ72=1,5,IF(BA72=1,6,7))))))</f>
        <v>6</v>
      </c>
      <c r="BD72" s="65" t="n">
        <f aca="false">IF(AD72=1,CHOOSE('Historical Score'!$C$29,AV72,AW72,AX72,AY72,AZ72,BA72,BB72),0)</f>
        <v>0</v>
      </c>
      <c r="BE72" s="65" t="str">
        <f aca="false">IF(BD72=1,COUNTIF($BD$2:BD72,1),"")</f>
        <v/>
      </c>
    </row>
    <row r="73" customFormat="false" ht="15" hidden="false" customHeight="false" outlineLevel="0" collapsed="false">
      <c r="A73" s="65" t="s">
        <v>647</v>
      </c>
      <c r="B73" s="65" t="s">
        <v>648</v>
      </c>
      <c r="C73" s="65" t="s">
        <v>648</v>
      </c>
      <c r="D73" s="65" t="s">
        <v>371</v>
      </c>
      <c r="E73" s="112" t="n">
        <v>45757</v>
      </c>
      <c r="F73" s="112" t="n">
        <v>45952</v>
      </c>
      <c r="G73" s="65" t="n">
        <v>1</v>
      </c>
      <c r="H73" s="65" t="s">
        <v>366</v>
      </c>
      <c r="I73" s="65" t="s">
        <v>367</v>
      </c>
      <c r="J73" s="65" t="s">
        <v>649</v>
      </c>
      <c r="K73" s="65" t="s">
        <v>363</v>
      </c>
      <c r="L73" s="65" t="s">
        <v>64</v>
      </c>
      <c r="M73" s="113" t="n">
        <v>1.35</v>
      </c>
      <c r="N73" s="114" t="n">
        <v>70000</v>
      </c>
      <c r="O73" s="114" t="n">
        <v>4900</v>
      </c>
      <c r="P73" s="114" t="n">
        <v>94500</v>
      </c>
      <c r="Q73" s="114" t="n">
        <v>94500</v>
      </c>
      <c r="R73" s="114" t="n">
        <v>0</v>
      </c>
      <c r="S73" s="115" t="n">
        <v>1</v>
      </c>
      <c r="T73" s="65" t="n">
        <v>4.262</v>
      </c>
      <c r="U73" s="65" t="n">
        <v>5</v>
      </c>
      <c r="W73" s="115" t="n">
        <v>0.0418</v>
      </c>
      <c r="X73" s="112" t="n">
        <v>30864</v>
      </c>
      <c r="Y73" s="65" t="str">
        <f aca="false">IF(I73="","No SIC",IFERROR(VLOOKUP(I73,Ref!$A$2:$B$65,2,FALSE()),"Unclassified"))</f>
        <v>Engineering, Accounting &amp; Management</v>
      </c>
      <c r="Z73" s="65" t="str">
        <f aca="false">IF(T73="","",IF(T73&lt;12,"Daily","Weekly"))</f>
        <v>Daily</v>
      </c>
      <c r="AA73" s="65" t="n">
        <f aca="false">IF(T73="",0,IF(T73&lt;12,T73*Controls!$B$29,T73*5))</f>
        <v>92.29361</v>
      </c>
      <c r="AB73" s="65" t="n">
        <f aca="false">IF(E73="",0,NETWORKDAYS(E73,Controls!$B$36,Ref!$K$2:$K$42))</f>
        <v>346</v>
      </c>
      <c r="AC73" s="65" t="n">
        <f aca="false">IF(AND(AA73&gt;0,AB73&gt;=Controls!$B$39*AA73),1,0)</f>
        <v>1</v>
      </c>
      <c r="AD73" s="65" t="n">
        <f aca="false">IF(AND(E73&lt;&gt;"",E73&gt;=Controls!$B$37,E73&lt;=Controls!$B$38),1,0)</f>
        <v>1</v>
      </c>
      <c r="AE73" s="65" t="n">
        <f aca="false">IF(IFERROR(VLOOKUP(D73,Controls!$A$64:$E$74,2,FALSE()),"No")="Yes",1,0)</f>
        <v>0</v>
      </c>
      <c r="AF73" s="65" t="n">
        <f aca="false">IF(IFERROR(VLOOKUP(D73,Controls!$A$64:$E$74,3,FALSE()),"No")="Yes",1,0)</f>
        <v>1</v>
      </c>
      <c r="AG73" s="65" t="n">
        <f aca="false">IF(IFERROR(VLOOKUP(D73,Controls!$A$64:$E$74,4,FALSE()),"No")="Yes",1,0)</f>
        <v>1</v>
      </c>
      <c r="AH73" s="65" t="n">
        <f aca="false">IF(IFERROR(VLOOKUP(D73,Controls!$A$64:$E$74,5,FALSE()),"No")="Yes",1,0)</f>
        <v>0</v>
      </c>
      <c r="AI73" s="65" t="n">
        <f aca="false">IF(ISNUMBER(MATCH(D73,Controls!$A$64:$A$74,0)),1,0)</f>
        <v>1</v>
      </c>
      <c r="AJ73" s="65" t="n">
        <f aca="false">Q73-N73</f>
        <v>24500</v>
      </c>
      <c r="AK73" s="65" t="n">
        <f aca="false">IF(AE73=1,MAX(0,N73-Q73),0)</f>
        <v>0</v>
      </c>
      <c r="AL73" s="65" t="n">
        <f aca="false">IF(OR(V73="",V73=0),0,N73/V73)</f>
        <v>0</v>
      </c>
      <c r="AM73" s="65" t="n">
        <f aca="false">IF(OR(V73="",V73=0),0,1)</f>
        <v>0</v>
      </c>
      <c r="AN73" s="65" t="n">
        <f aca="false">IF(OR(E73="",F73=""),0,NETWORKDAYS(E73,F73,Ref!$K$2:$K$42))</f>
        <v>135</v>
      </c>
      <c r="AO73" s="65" t="n">
        <f aca="false">IF(L73="Renewal",1,0)</f>
        <v>0</v>
      </c>
      <c r="AP73" s="65" t="n">
        <f aca="false">AC73*AD73</f>
        <v>1</v>
      </c>
      <c r="AQ73" s="65" t="n">
        <f aca="false">IF(AND(G73&lt;&gt;"",'Historical Score'!$C$6&lt;&gt;""),IF(G73='Historical Score'!$C$6,1,0),0)</f>
        <v>0</v>
      </c>
      <c r="AR73" s="65" t="n">
        <f aca="false">IF(AND(L73&lt;&gt;"",'Historical Score'!$C$5&lt;&gt;""),IF(L73='Historical Score'!$C$5,1,0),0)</f>
        <v>1</v>
      </c>
      <c r="AS73" s="65" t="n">
        <f aca="false">IF(AND(Y73&lt;&gt;"",'Historical Score'!$C$7&lt;&gt;""),IF(Y73='Historical Score'!$C$7,1,0),0)</f>
        <v>0</v>
      </c>
      <c r="AT73" s="65" t="n">
        <f aca="false">IF(AND(K73&lt;&gt;"",'Historical Score'!$C$8&lt;&gt;""),IF(K73='Historical Score'!$C$8,1,0),0)</f>
        <v>0</v>
      </c>
      <c r="AU73" s="65" t="n">
        <f aca="false">IF(AND(J73&lt;&gt;"",'Historical Score'!$C$9&lt;&gt;""),IF(J73='Historical Score'!$C$9,1,0),0)</f>
        <v>0</v>
      </c>
      <c r="AV73" s="65" t="n">
        <f aca="false">AR73*AS73*AQ73</f>
        <v>0</v>
      </c>
      <c r="AW73" s="65" t="n">
        <f aca="false">AR73*AT73*AQ73</f>
        <v>0</v>
      </c>
      <c r="AX73" s="65" t="n">
        <f aca="false">AR73*AS73</f>
        <v>0</v>
      </c>
      <c r="AY73" s="65" t="n">
        <f aca="false">AR73*AT73</f>
        <v>0</v>
      </c>
      <c r="AZ73" s="65" t="n">
        <f aca="false">AR73*AQ73</f>
        <v>0</v>
      </c>
      <c r="BA73" s="65" t="n">
        <f aca="false">AR73</f>
        <v>1</v>
      </c>
      <c r="BB73" s="65" t="n">
        <f aca="false">1</f>
        <v>1</v>
      </c>
      <c r="BC73" s="65" t="n">
        <f aca="false">IF(AV73=1,1,IF(AW73=1,2,IF(AX73=1,3,IF(AY73=1,4,IF(AZ73=1,5,IF(BA73=1,6,7))))))</f>
        <v>6</v>
      </c>
      <c r="BD73" s="65" t="n">
        <f aca="false">IF(AD73=1,CHOOSE('Historical Score'!$C$29,AV73,AW73,AX73,AY73,AZ73,BA73,BB73),0)</f>
        <v>0</v>
      </c>
      <c r="BE73" s="65" t="str">
        <f aca="false">IF(BD73=1,COUNTIF($BD$2:BD73,1),"")</f>
        <v/>
      </c>
    </row>
    <row r="74" customFormat="false" ht="15" hidden="false" customHeight="false" outlineLevel="0" collapsed="false">
      <c r="A74" s="65" t="s">
        <v>650</v>
      </c>
      <c r="B74" s="65" t="s">
        <v>651</v>
      </c>
      <c r="C74" s="65" t="s">
        <v>651</v>
      </c>
      <c r="D74" s="65" t="s">
        <v>371</v>
      </c>
      <c r="E74" s="112" t="n">
        <v>45758</v>
      </c>
      <c r="F74" s="112" t="n">
        <v>45862</v>
      </c>
      <c r="G74" s="65" t="n">
        <v>1</v>
      </c>
      <c r="H74" s="65" t="s">
        <v>652</v>
      </c>
      <c r="I74" s="65" t="s">
        <v>643</v>
      </c>
      <c r="J74" s="65" t="s">
        <v>61</v>
      </c>
      <c r="K74" s="65" t="s">
        <v>433</v>
      </c>
      <c r="L74" s="65" t="s">
        <v>64</v>
      </c>
      <c r="M74" s="113" t="n">
        <v>1.45</v>
      </c>
      <c r="N74" s="114" t="n">
        <v>5000</v>
      </c>
      <c r="O74" s="114" t="n">
        <v>600</v>
      </c>
      <c r="P74" s="114" t="n">
        <v>7250</v>
      </c>
      <c r="Q74" s="114" t="n">
        <v>7250</v>
      </c>
      <c r="R74" s="114" t="n">
        <v>0</v>
      </c>
      <c r="S74" s="115" t="n">
        <v>1</v>
      </c>
      <c r="T74" s="65" t="n">
        <v>1.967</v>
      </c>
      <c r="U74" s="65" t="n">
        <v>7</v>
      </c>
      <c r="W74" s="115" t="n">
        <v>0.06</v>
      </c>
      <c r="X74" s="112" t="n">
        <v>42954</v>
      </c>
      <c r="Y74" s="65" t="str">
        <f aca="false">IF(I74="","No SIC",IFERROR(VLOOKUP(I74,Ref!$A$2:$B$65,2,FALSE()),"Unclassified"))</f>
        <v>Agricultural Services</v>
      </c>
      <c r="Z74" s="65" t="str">
        <f aca="false">IF(T74="","",IF(T74&lt;12,"Daily","Weekly"))</f>
        <v>Daily</v>
      </c>
      <c r="AA74" s="65" t="n">
        <f aca="false">IF(T74="",0,IF(T74&lt;12,T74*Controls!$B$29,T74*5))</f>
        <v>42.595385</v>
      </c>
      <c r="AB74" s="65" t="n">
        <f aca="false">IF(E74="",0,NETWORKDAYS(E74,Controls!$B$36,Ref!$K$2:$K$42))</f>
        <v>345</v>
      </c>
      <c r="AC74" s="65" t="n">
        <f aca="false">IF(AND(AA74&gt;0,AB74&gt;=Controls!$B$39*AA74),1,0)</f>
        <v>1</v>
      </c>
      <c r="AD74" s="65" t="n">
        <f aca="false">IF(AND(E74&lt;&gt;"",E74&gt;=Controls!$B$37,E74&lt;=Controls!$B$38),1,0)</f>
        <v>1</v>
      </c>
      <c r="AE74" s="65" t="n">
        <f aca="false">IF(IFERROR(VLOOKUP(D74,Controls!$A$64:$E$74,2,FALSE()),"No")="Yes",1,0)</f>
        <v>0</v>
      </c>
      <c r="AF74" s="65" t="n">
        <f aca="false">IF(IFERROR(VLOOKUP(D74,Controls!$A$64:$E$74,3,FALSE()),"No")="Yes",1,0)</f>
        <v>1</v>
      </c>
      <c r="AG74" s="65" t="n">
        <f aca="false">IF(IFERROR(VLOOKUP(D74,Controls!$A$64:$E$74,4,FALSE()),"No")="Yes",1,0)</f>
        <v>1</v>
      </c>
      <c r="AH74" s="65" t="n">
        <f aca="false">IF(IFERROR(VLOOKUP(D74,Controls!$A$64:$E$74,5,FALSE()),"No")="Yes",1,0)</f>
        <v>0</v>
      </c>
      <c r="AI74" s="65" t="n">
        <f aca="false">IF(ISNUMBER(MATCH(D74,Controls!$A$64:$A$74,0)),1,0)</f>
        <v>1</v>
      </c>
      <c r="AJ74" s="65" t="n">
        <f aca="false">Q74-N74</f>
        <v>2250</v>
      </c>
      <c r="AK74" s="65" t="n">
        <f aca="false">IF(AE74=1,MAX(0,N74-Q74),0)</f>
        <v>0</v>
      </c>
      <c r="AL74" s="65" t="n">
        <f aca="false">IF(OR(V74="",V74=0),0,N74/V74)</f>
        <v>0</v>
      </c>
      <c r="AM74" s="65" t="n">
        <f aca="false">IF(OR(V74="",V74=0),0,1)</f>
        <v>0</v>
      </c>
      <c r="AN74" s="65" t="n">
        <f aca="false">IF(OR(E74="",F74=""),0,NETWORKDAYS(E74,F74,Ref!$K$2:$K$42))</f>
        <v>72</v>
      </c>
      <c r="AO74" s="65" t="n">
        <f aca="false">IF(L74="Renewal",1,0)</f>
        <v>0</v>
      </c>
      <c r="AP74" s="65" t="n">
        <f aca="false">AC74*AD74</f>
        <v>1</v>
      </c>
      <c r="AQ74" s="65" t="n">
        <f aca="false">IF(AND(G74&lt;&gt;"",'Historical Score'!$C$6&lt;&gt;""),IF(G74='Historical Score'!$C$6,1,0),0)</f>
        <v>0</v>
      </c>
      <c r="AR74" s="65" t="n">
        <f aca="false">IF(AND(L74&lt;&gt;"",'Historical Score'!$C$5&lt;&gt;""),IF(L74='Historical Score'!$C$5,1,0),0)</f>
        <v>1</v>
      </c>
      <c r="AS74" s="65" t="n">
        <f aca="false">IF(AND(Y74&lt;&gt;"",'Historical Score'!$C$7&lt;&gt;""),IF(Y74='Historical Score'!$C$7,1,0),0)</f>
        <v>0</v>
      </c>
      <c r="AT74" s="65" t="n">
        <f aca="false">IF(AND(K74&lt;&gt;"",'Historical Score'!$C$8&lt;&gt;""),IF(K74='Historical Score'!$C$8,1,0),0)</f>
        <v>0</v>
      </c>
      <c r="AU74" s="65" t="n">
        <f aca="false">IF(AND(J74&lt;&gt;"",'Historical Score'!$C$9&lt;&gt;""),IF(J74='Historical Score'!$C$9,1,0),0)</f>
        <v>1</v>
      </c>
      <c r="AV74" s="65" t="n">
        <f aca="false">AR74*AS74*AQ74</f>
        <v>0</v>
      </c>
      <c r="AW74" s="65" t="n">
        <f aca="false">AR74*AT74*AQ74</f>
        <v>0</v>
      </c>
      <c r="AX74" s="65" t="n">
        <f aca="false">AR74*AS74</f>
        <v>0</v>
      </c>
      <c r="AY74" s="65" t="n">
        <f aca="false">AR74*AT74</f>
        <v>0</v>
      </c>
      <c r="AZ74" s="65" t="n">
        <f aca="false">AR74*AQ74</f>
        <v>0</v>
      </c>
      <c r="BA74" s="65" t="n">
        <f aca="false">AR74</f>
        <v>1</v>
      </c>
      <c r="BB74" s="65" t="n">
        <f aca="false">1</f>
        <v>1</v>
      </c>
      <c r="BC74" s="65" t="n">
        <f aca="false">IF(AV74=1,1,IF(AW74=1,2,IF(AX74=1,3,IF(AY74=1,4,IF(AZ74=1,5,IF(BA74=1,6,7))))))</f>
        <v>6</v>
      </c>
      <c r="BD74" s="65" t="n">
        <f aca="false">IF(AD74=1,CHOOSE('Historical Score'!$C$29,AV74,AW74,AX74,AY74,AZ74,BA74,BB74),0)</f>
        <v>0</v>
      </c>
      <c r="BE74" s="65" t="str">
        <f aca="false">IF(BD74=1,COUNTIF($BD$2:BD74,1),"")</f>
        <v/>
      </c>
    </row>
    <row r="75" customFormat="false" ht="15" hidden="false" customHeight="false" outlineLevel="0" collapsed="false">
      <c r="A75" s="65" t="s">
        <v>653</v>
      </c>
      <c r="B75" s="65" t="s">
        <v>654</v>
      </c>
      <c r="C75" s="65" t="s">
        <v>655</v>
      </c>
      <c r="D75" s="65" t="s">
        <v>340</v>
      </c>
      <c r="E75" s="112" t="n">
        <v>45758</v>
      </c>
      <c r="F75" s="112" t="n">
        <v>46038</v>
      </c>
      <c r="G75" s="65" t="n">
        <v>1</v>
      </c>
      <c r="H75" s="65" t="s">
        <v>656</v>
      </c>
      <c r="I75" s="65" t="s">
        <v>657</v>
      </c>
      <c r="J75" s="65" t="s">
        <v>658</v>
      </c>
      <c r="K75" s="65" t="s">
        <v>659</v>
      </c>
      <c r="L75" s="65" t="s">
        <v>64</v>
      </c>
      <c r="M75" s="113" t="n">
        <v>1.49</v>
      </c>
      <c r="N75" s="114" t="n">
        <v>20000</v>
      </c>
      <c r="O75" s="114" t="n">
        <v>0</v>
      </c>
      <c r="P75" s="114" t="n">
        <v>29800</v>
      </c>
      <c r="Q75" s="114" t="n">
        <v>20003.4</v>
      </c>
      <c r="R75" s="114" t="n">
        <v>9796.6</v>
      </c>
      <c r="S75" s="115" t="n">
        <v>0.671255033557047</v>
      </c>
      <c r="T75" s="65" t="n">
        <v>18</v>
      </c>
      <c r="U75" s="65" t="n">
        <v>1</v>
      </c>
      <c r="W75" s="115" t="n">
        <v>0.0923</v>
      </c>
      <c r="X75" s="112" t="n">
        <v>44044</v>
      </c>
      <c r="Y75" s="65" t="str">
        <f aca="false">IF(I75="","No SIC",IFERROR(VLOOKUP(I75,Ref!$A$2:$B$65,2,FALSE()),"Unclassified"))</f>
        <v>Fabricated Metal Products</v>
      </c>
      <c r="Z75" s="65" t="str">
        <f aca="false">IF(T75="","",IF(T75&lt;12,"Daily","Weekly"))</f>
        <v>Weekly</v>
      </c>
      <c r="AA75" s="65" t="n">
        <f aca="false">IF(T75="",0,IF(T75&lt;12,T75*Controls!$B$29,T75*5))</f>
        <v>90</v>
      </c>
      <c r="AB75" s="65" t="n">
        <f aca="false">IF(E75="",0,NETWORKDAYS(E75,Controls!$B$36,Ref!$K$2:$K$42))</f>
        <v>345</v>
      </c>
      <c r="AC75" s="65" t="n">
        <f aca="false">IF(AND(AA75&gt;0,AB75&gt;=Controls!$B$39*AA75),1,0)</f>
        <v>1</v>
      </c>
      <c r="AD75" s="65" t="n">
        <f aca="false">IF(AND(E75&lt;&gt;"",E75&gt;=Controls!$B$37,E75&lt;=Controls!$B$38),1,0)</f>
        <v>1</v>
      </c>
      <c r="AE75" s="65" t="n">
        <f aca="false">IF(IFERROR(VLOOKUP(D75,Controls!$A$64:$E$74,2,FALSE()),"No")="Yes",1,0)</f>
        <v>1</v>
      </c>
      <c r="AF75" s="65" t="n">
        <f aca="false">IF(IFERROR(VLOOKUP(D75,Controls!$A$64:$E$74,3,FALSE()),"No")="Yes",1,0)</f>
        <v>0</v>
      </c>
      <c r="AG75" s="65" t="n">
        <f aca="false">IF(IFERROR(VLOOKUP(D75,Controls!$A$64:$E$74,4,FALSE()),"No")="Yes",1,0)</f>
        <v>0</v>
      </c>
      <c r="AH75" s="65" t="n">
        <f aca="false">IF(IFERROR(VLOOKUP(D75,Controls!$A$64:$E$74,5,FALSE()),"No")="Yes",1,0)</f>
        <v>0</v>
      </c>
      <c r="AI75" s="65" t="n">
        <f aca="false">IF(ISNUMBER(MATCH(D75,Controls!$A$64:$A$74,0)),1,0)</f>
        <v>1</v>
      </c>
      <c r="AJ75" s="65" t="n">
        <f aca="false">Q75-N75</f>
        <v>3.40000000000146</v>
      </c>
      <c r="AK75" s="65" t="n">
        <f aca="false">IF(AE75=1,MAX(0,N75-Q75),0)</f>
        <v>0</v>
      </c>
      <c r="AL75" s="65" t="n">
        <f aca="false">IF(OR(V75="",V75=0),0,N75/V75)</f>
        <v>0</v>
      </c>
      <c r="AM75" s="65" t="n">
        <f aca="false">IF(OR(V75="",V75=0),0,1)</f>
        <v>0</v>
      </c>
      <c r="AN75" s="65" t="n">
        <f aca="false">IF(OR(E75="",F75=""),0,NETWORKDAYS(E75,F75,Ref!$K$2:$K$42))</f>
        <v>192</v>
      </c>
      <c r="AO75" s="65" t="n">
        <f aca="false">IF(L75="Renewal",1,0)</f>
        <v>0</v>
      </c>
      <c r="AP75" s="65" t="n">
        <f aca="false">AC75*AD75</f>
        <v>1</v>
      </c>
      <c r="AQ75" s="65" t="n">
        <f aca="false">IF(AND(G75&lt;&gt;"",'Historical Score'!$C$6&lt;&gt;""),IF(G75='Historical Score'!$C$6,1,0),0)</f>
        <v>0</v>
      </c>
      <c r="AR75" s="65" t="n">
        <f aca="false">IF(AND(L75&lt;&gt;"",'Historical Score'!$C$5&lt;&gt;""),IF(L75='Historical Score'!$C$5,1,0),0)</f>
        <v>1</v>
      </c>
      <c r="AS75" s="65" t="n">
        <f aca="false">IF(AND(Y75&lt;&gt;"",'Historical Score'!$C$7&lt;&gt;""),IF(Y75='Historical Score'!$C$7,1,0),0)</f>
        <v>0</v>
      </c>
      <c r="AT75" s="65" t="n">
        <f aca="false">IF(AND(K75&lt;&gt;"",'Historical Score'!$C$8&lt;&gt;""),IF(K75='Historical Score'!$C$8,1,0),0)</f>
        <v>0</v>
      </c>
      <c r="AU75" s="65" t="n">
        <f aca="false">IF(AND(J75&lt;&gt;"",'Historical Score'!$C$9&lt;&gt;""),IF(J75='Historical Score'!$C$9,1,0),0)</f>
        <v>0</v>
      </c>
      <c r="AV75" s="65" t="n">
        <f aca="false">AR75*AS75*AQ75</f>
        <v>0</v>
      </c>
      <c r="AW75" s="65" t="n">
        <f aca="false">AR75*AT75*AQ75</f>
        <v>0</v>
      </c>
      <c r="AX75" s="65" t="n">
        <f aca="false">AR75*AS75</f>
        <v>0</v>
      </c>
      <c r="AY75" s="65" t="n">
        <f aca="false">AR75*AT75</f>
        <v>0</v>
      </c>
      <c r="AZ75" s="65" t="n">
        <f aca="false">AR75*AQ75</f>
        <v>0</v>
      </c>
      <c r="BA75" s="65" t="n">
        <f aca="false">AR75</f>
        <v>1</v>
      </c>
      <c r="BB75" s="65" t="n">
        <f aca="false">1</f>
        <v>1</v>
      </c>
      <c r="BC75" s="65" t="n">
        <f aca="false">IF(AV75=1,1,IF(AW75=1,2,IF(AX75=1,3,IF(AY75=1,4,IF(AZ75=1,5,IF(BA75=1,6,7))))))</f>
        <v>6</v>
      </c>
      <c r="BD75" s="65" t="n">
        <f aca="false">IF(AD75=1,CHOOSE('Historical Score'!$C$29,AV75,AW75,AX75,AY75,AZ75,BA75,BB75),0)</f>
        <v>0</v>
      </c>
      <c r="BE75" s="65" t="str">
        <f aca="false">IF(BD75=1,COUNTIF($BD$2:BD75,1),"")</f>
        <v/>
      </c>
    </row>
    <row r="76" customFormat="false" ht="15" hidden="false" customHeight="false" outlineLevel="0" collapsed="false">
      <c r="A76" s="65" t="s">
        <v>660</v>
      </c>
      <c r="B76" s="65" t="s">
        <v>661</v>
      </c>
      <c r="C76" s="65" t="s">
        <v>661</v>
      </c>
      <c r="D76" s="65" t="s">
        <v>528</v>
      </c>
      <c r="E76" s="112" t="n">
        <v>45758</v>
      </c>
      <c r="F76" s="112" t="n">
        <v>46007</v>
      </c>
      <c r="G76" s="65" t="n">
        <v>2</v>
      </c>
      <c r="H76" s="65" t="s">
        <v>662</v>
      </c>
      <c r="I76" s="65" t="s">
        <v>475</v>
      </c>
      <c r="J76" s="65" t="s">
        <v>464</v>
      </c>
      <c r="K76" s="65" t="s">
        <v>514</v>
      </c>
      <c r="L76" s="65" t="s">
        <v>320</v>
      </c>
      <c r="M76" s="113" t="n">
        <v>1.49</v>
      </c>
      <c r="N76" s="114" t="n">
        <v>7000</v>
      </c>
      <c r="O76" s="114" t="n">
        <v>980</v>
      </c>
      <c r="P76" s="114" t="n">
        <v>10430</v>
      </c>
      <c r="Q76" s="114" t="n">
        <v>10430</v>
      </c>
      <c r="R76" s="114" t="n">
        <v>0</v>
      </c>
      <c r="S76" s="115" t="n">
        <v>1</v>
      </c>
      <c r="T76" s="65" t="n">
        <v>1.967</v>
      </c>
      <c r="U76" s="65" t="n">
        <v>15</v>
      </c>
      <c r="W76" s="115" t="n">
        <v>0.1159</v>
      </c>
      <c r="X76" s="112" t="n">
        <v>45402</v>
      </c>
      <c r="Y76" s="65" t="str">
        <f aca="false">IF(I76="","No SIC",IFERROR(VLOOKUP(I76,Ref!$A$2:$B$65,2,FALSE()),"Unclassified"))</f>
        <v>Auto Repair &amp; Services</v>
      </c>
      <c r="Z76" s="65" t="str">
        <f aca="false">IF(T76="","",IF(T76&lt;12,"Daily","Weekly"))</f>
        <v>Daily</v>
      </c>
      <c r="AA76" s="65" t="n">
        <f aca="false">IF(T76="",0,IF(T76&lt;12,T76*Controls!$B$29,T76*5))</f>
        <v>42.595385</v>
      </c>
      <c r="AB76" s="65" t="n">
        <f aca="false">IF(E76="",0,NETWORKDAYS(E76,Controls!$B$36,Ref!$K$2:$K$42))</f>
        <v>345</v>
      </c>
      <c r="AC76" s="65" t="n">
        <f aca="false">IF(AND(AA76&gt;0,AB76&gt;=Controls!$B$39*AA76),1,0)</f>
        <v>1</v>
      </c>
      <c r="AD76" s="65" t="n">
        <f aca="false">IF(AND(E76&lt;&gt;"",E76&gt;=Controls!$B$37,E76&lt;=Controls!$B$38),1,0)</f>
        <v>1</v>
      </c>
      <c r="AE76" s="65" t="n">
        <f aca="false">IF(IFERROR(VLOOKUP(D76,Controls!$A$64:$E$74,2,FALSE()),"No")="Yes",1,0)</f>
        <v>0</v>
      </c>
      <c r="AF76" s="65" t="n">
        <f aca="false">IF(IFERROR(VLOOKUP(D76,Controls!$A$64:$E$74,3,FALSE()),"No")="Yes",1,0)</f>
        <v>1</v>
      </c>
      <c r="AG76" s="65" t="n">
        <f aca="false">IF(IFERROR(VLOOKUP(D76,Controls!$A$64:$E$74,4,FALSE()),"No")="Yes",1,0)</f>
        <v>1</v>
      </c>
      <c r="AH76" s="65" t="n">
        <f aca="false">IF(IFERROR(VLOOKUP(D76,Controls!$A$64:$E$74,5,FALSE()),"No")="Yes",1,0)</f>
        <v>0</v>
      </c>
      <c r="AI76" s="65" t="n">
        <f aca="false">IF(ISNUMBER(MATCH(D76,Controls!$A$64:$A$74,0)),1,0)</f>
        <v>1</v>
      </c>
      <c r="AJ76" s="65" t="n">
        <f aca="false">Q76-N76</f>
        <v>3430</v>
      </c>
      <c r="AK76" s="65" t="n">
        <f aca="false">IF(AE76=1,MAX(0,N76-Q76),0)</f>
        <v>0</v>
      </c>
      <c r="AL76" s="65" t="n">
        <f aca="false">IF(OR(V76="",V76=0),0,N76/V76)</f>
        <v>0</v>
      </c>
      <c r="AM76" s="65" t="n">
        <f aca="false">IF(OR(V76="",V76=0),0,1)</f>
        <v>0</v>
      </c>
      <c r="AN76" s="65" t="n">
        <f aca="false">IF(OR(E76="",F76=""),0,NETWORKDAYS(E76,F76,Ref!$K$2:$K$42))</f>
        <v>171</v>
      </c>
      <c r="AO76" s="65" t="n">
        <f aca="false">IF(L76="Renewal",1,0)</f>
        <v>1</v>
      </c>
      <c r="AP76" s="65" t="n">
        <f aca="false">AC76*AD76</f>
        <v>1</v>
      </c>
      <c r="AQ76" s="65" t="n">
        <f aca="false">IF(AND(G76&lt;&gt;"",'Historical Score'!$C$6&lt;&gt;""),IF(G76='Historical Score'!$C$6,1,0),0)</f>
        <v>1</v>
      </c>
      <c r="AR76" s="65" t="n">
        <f aca="false">IF(AND(L76&lt;&gt;"",'Historical Score'!$C$5&lt;&gt;""),IF(L76='Historical Score'!$C$5,1,0),0)</f>
        <v>0</v>
      </c>
      <c r="AS76" s="65" t="n">
        <f aca="false">IF(AND(Y76&lt;&gt;"",'Historical Score'!$C$7&lt;&gt;""),IF(Y76='Historical Score'!$C$7,1,0),0)</f>
        <v>0</v>
      </c>
      <c r="AT76" s="65" t="n">
        <f aca="false">IF(AND(K76&lt;&gt;"",'Historical Score'!$C$8&lt;&gt;""),IF(K76='Historical Score'!$C$8,1,0),0)</f>
        <v>0</v>
      </c>
      <c r="AU76" s="65" t="n">
        <f aca="false">IF(AND(J76&lt;&gt;"",'Historical Score'!$C$9&lt;&gt;""),IF(J76='Historical Score'!$C$9,1,0),0)</f>
        <v>0</v>
      </c>
      <c r="AV76" s="65" t="n">
        <f aca="false">AR76*AS76*AQ76</f>
        <v>0</v>
      </c>
      <c r="AW76" s="65" t="n">
        <f aca="false">AR76*AT76*AQ76</f>
        <v>0</v>
      </c>
      <c r="AX76" s="65" t="n">
        <f aca="false">AR76*AS76</f>
        <v>0</v>
      </c>
      <c r="AY76" s="65" t="n">
        <f aca="false">AR76*AT76</f>
        <v>0</v>
      </c>
      <c r="AZ76" s="65" t="n">
        <f aca="false">AR76*AQ76</f>
        <v>0</v>
      </c>
      <c r="BA76" s="65" t="n">
        <f aca="false">AR76</f>
        <v>0</v>
      </c>
      <c r="BB76" s="65" t="n">
        <f aca="false">1</f>
        <v>1</v>
      </c>
      <c r="BC76" s="65" t="n">
        <f aca="false">IF(AV76=1,1,IF(AW76=1,2,IF(AX76=1,3,IF(AY76=1,4,IF(AZ76=1,5,IF(BA76=1,6,7))))))</f>
        <v>7</v>
      </c>
      <c r="BD76" s="65" t="n">
        <f aca="false">IF(AD76=1,CHOOSE('Historical Score'!$C$29,AV76,AW76,AX76,AY76,AZ76,BA76,BB76),0)</f>
        <v>0</v>
      </c>
      <c r="BE76" s="65" t="str">
        <f aca="false">IF(BD76=1,COUNTIF($BD$2:BD76,1),"")</f>
        <v/>
      </c>
    </row>
    <row r="77" customFormat="false" ht="15" hidden="false" customHeight="false" outlineLevel="0" collapsed="false">
      <c r="A77" s="65" t="s">
        <v>663</v>
      </c>
      <c r="B77" s="65" t="s">
        <v>423</v>
      </c>
      <c r="C77" s="65" t="s">
        <v>423</v>
      </c>
      <c r="D77" s="65" t="s">
        <v>371</v>
      </c>
      <c r="E77" s="112" t="n">
        <v>45758</v>
      </c>
      <c r="F77" s="112" t="n">
        <v>45825</v>
      </c>
      <c r="G77" s="65" t="n">
        <v>7</v>
      </c>
      <c r="H77" s="65" t="s">
        <v>424</v>
      </c>
      <c r="I77" s="65" t="s">
        <v>425</v>
      </c>
      <c r="J77" s="65" t="s">
        <v>410</v>
      </c>
      <c r="K77" s="65" t="s">
        <v>426</v>
      </c>
      <c r="L77" s="65" t="s">
        <v>64</v>
      </c>
      <c r="M77" s="113" t="n">
        <v>1.49</v>
      </c>
      <c r="N77" s="114" t="n">
        <v>10000</v>
      </c>
      <c r="O77" s="114" t="n">
        <v>1400</v>
      </c>
      <c r="P77" s="114" t="n">
        <v>14900</v>
      </c>
      <c r="Q77" s="114" t="n">
        <v>14900</v>
      </c>
      <c r="R77" s="114" t="n">
        <v>0</v>
      </c>
      <c r="S77" s="115" t="n">
        <v>1</v>
      </c>
      <c r="T77" s="65" t="n">
        <v>2.459</v>
      </c>
      <c r="U77" s="65" t="n">
        <v>0</v>
      </c>
      <c r="W77" s="115" t="n">
        <v>0.1466</v>
      </c>
      <c r="X77" s="112" t="n">
        <v>44256</v>
      </c>
      <c r="Y77" s="65" t="str">
        <f aca="false">IF(I77="","No SIC",IFERROR(VLOOKUP(I77,Ref!$A$2:$B$65,2,FALSE()),"Unclassified"))</f>
        <v>Personal Services</v>
      </c>
      <c r="Z77" s="65" t="str">
        <f aca="false">IF(T77="","",IF(T77&lt;12,"Daily","Weekly"))</f>
        <v>Daily</v>
      </c>
      <c r="AA77" s="65" t="n">
        <f aca="false">IF(T77="",0,IF(T77&lt;12,T77*Controls!$B$29,T77*5))</f>
        <v>53.249645</v>
      </c>
      <c r="AB77" s="65" t="n">
        <f aca="false">IF(E77="",0,NETWORKDAYS(E77,Controls!$B$36,Ref!$K$2:$K$42))</f>
        <v>345</v>
      </c>
      <c r="AC77" s="65" t="n">
        <f aca="false">IF(AND(AA77&gt;0,AB77&gt;=Controls!$B$39*AA77),1,0)</f>
        <v>1</v>
      </c>
      <c r="AD77" s="65" t="n">
        <f aca="false">IF(AND(E77&lt;&gt;"",E77&gt;=Controls!$B$37,E77&lt;=Controls!$B$38),1,0)</f>
        <v>1</v>
      </c>
      <c r="AE77" s="65" t="n">
        <f aca="false">IF(IFERROR(VLOOKUP(D77,Controls!$A$64:$E$74,2,FALSE()),"No")="Yes",1,0)</f>
        <v>0</v>
      </c>
      <c r="AF77" s="65" t="n">
        <f aca="false">IF(IFERROR(VLOOKUP(D77,Controls!$A$64:$E$74,3,FALSE()),"No")="Yes",1,0)</f>
        <v>1</v>
      </c>
      <c r="AG77" s="65" t="n">
        <f aca="false">IF(IFERROR(VLOOKUP(D77,Controls!$A$64:$E$74,4,FALSE()),"No")="Yes",1,0)</f>
        <v>1</v>
      </c>
      <c r="AH77" s="65" t="n">
        <f aca="false">IF(IFERROR(VLOOKUP(D77,Controls!$A$64:$E$74,5,FALSE()),"No")="Yes",1,0)</f>
        <v>0</v>
      </c>
      <c r="AI77" s="65" t="n">
        <f aca="false">IF(ISNUMBER(MATCH(D77,Controls!$A$64:$A$74,0)),1,0)</f>
        <v>1</v>
      </c>
      <c r="AJ77" s="65" t="n">
        <f aca="false">Q77-N77</f>
        <v>4900</v>
      </c>
      <c r="AK77" s="65" t="n">
        <f aca="false">IF(AE77=1,MAX(0,N77-Q77),0)</f>
        <v>0</v>
      </c>
      <c r="AL77" s="65" t="n">
        <f aca="false">IF(OR(V77="",V77=0),0,N77/V77)</f>
        <v>0</v>
      </c>
      <c r="AM77" s="65" t="n">
        <f aca="false">IF(OR(V77="",V77=0),0,1)</f>
        <v>0</v>
      </c>
      <c r="AN77" s="65" t="n">
        <f aca="false">IF(OR(E77="",F77=""),0,NETWORKDAYS(E77,F77,Ref!$K$2:$K$42))</f>
        <v>47</v>
      </c>
      <c r="AO77" s="65" t="n">
        <f aca="false">IF(L77="Renewal",1,0)</f>
        <v>0</v>
      </c>
      <c r="AP77" s="65" t="n">
        <f aca="false">AC77*AD77</f>
        <v>1</v>
      </c>
      <c r="AQ77" s="65" t="n">
        <f aca="false">IF(AND(G77&lt;&gt;"",'Historical Score'!$C$6&lt;&gt;""),IF(G77='Historical Score'!$C$6,1,0),0)</f>
        <v>0</v>
      </c>
      <c r="AR77" s="65" t="n">
        <f aca="false">IF(AND(L77&lt;&gt;"",'Historical Score'!$C$5&lt;&gt;""),IF(L77='Historical Score'!$C$5,1,0),0)</f>
        <v>1</v>
      </c>
      <c r="AS77" s="65" t="n">
        <f aca="false">IF(AND(Y77&lt;&gt;"",'Historical Score'!$C$7&lt;&gt;""),IF(Y77='Historical Score'!$C$7,1,0),0)</f>
        <v>0</v>
      </c>
      <c r="AT77" s="65" t="n">
        <f aca="false">IF(AND(K77&lt;&gt;"",'Historical Score'!$C$8&lt;&gt;""),IF(K77='Historical Score'!$C$8,1,0),0)</f>
        <v>0</v>
      </c>
      <c r="AU77" s="65" t="n">
        <f aca="false">IF(AND(J77&lt;&gt;"",'Historical Score'!$C$9&lt;&gt;""),IF(J77='Historical Score'!$C$9,1,0),0)</f>
        <v>0</v>
      </c>
      <c r="AV77" s="65" t="n">
        <f aca="false">AR77*AS77*AQ77</f>
        <v>0</v>
      </c>
      <c r="AW77" s="65" t="n">
        <f aca="false">AR77*AT77*AQ77</f>
        <v>0</v>
      </c>
      <c r="AX77" s="65" t="n">
        <f aca="false">AR77*AS77</f>
        <v>0</v>
      </c>
      <c r="AY77" s="65" t="n">
        <f aca="false">AR77*AT77</f>
        <v>0</v>
      </c>
      <c r="AZ77" s="65" t="n">
        <f aca="false">AR77*AQ77</f>
        <v>0</v>
      </c>
      <c r="BA77" s="65" t="n">
        <f aca="false">AR77</f>
        <v>1</v>
      </c>
      <c r="BB77" s="65" t="n">
        <f aca="false">1</f>
        <v>1</v>
      </c>
      <c r="BC77" s="65" t="n">
        <f aca="false">IF(AV77=1,1,IF(AW77=1,2,IF(AX77=1,3,IF(AY77=1,4,IF(AZ77=1,5,IF(BA77=1,6,7))))))</f>
        <v>6</v>
      </c>
      <c r="BD77" s="65" t="n">
        <f aca="false">IF(AD77=1,CHOOSE('Historical Score'!$C$29,AV77,AW77,AX77,AY77,AZ77,BA77,BB77),0)</f>
        <v>0</v>
      </c>
      <c r="BE77" s="65" t="str">
        <f aca="false">IF(BD77=1,COUNTIF($BD$2:BD77,1),"")</f>
        <v/>
      </c>
    </row>
    <row r="78" customFormat="false" ht="15" hidden="false" customHeight="false" outlineLevel="0" collapsed="false">
      <c r="A78" s="65" t="s">
        <v>664</v>
      </c>
      <c r="B78" s="65" t="s">
        <v>665</v>
      </c>
      <c r="C78" s="65" t="s">
        <v>666</v>
      </c>
      <c r="D78" s="65" t="s">
        <v>340</v>
      </c>
      <c r="E78" s="112" t="n">
        <v>45758</v>
      </c>
      <c r="F78" s="112" t="n">
        <v>45784</v>
      </c>
      <c r="G78" s="65" t="n">
        <v>2</v>
      </c>
      <c r="H78" s="65" t="s">
        <v>667</v>
      </c>
      <c r="I78" s="65" t="s">
        <v>668</v>
      </c>
      <c r="J78" s="65" t="s">
        <v>452</v>
      </c>
      <c r="K78" s="65" t="s">
        <v>501</v>
      </c>
      <c r="L78" s="65" t="s">
        <v>64</v>
      </c>
      <c r="M78" s="113" t="n">
        <v>1.49</v>
      </c>
      <c r="N78" s="114" t="n">
        <v>5000</v>
      </c>
      <c r="O78" s="114" t="n">
        <v>700</v>
      </c>
      <c r="P78" s="114" t="n">
        <v>7450</v>
      </c>
      <c r="Q78" s="114" t="n">
        <v>1118.07</v>
      </c>
      <c r="R78" s="114" t="n">
        <v>6331.93</v>
      </c>
      <c r="S78" s="115" t="n">
        <v>0.150076510067114</v>
      </c>
      <c r="T78" s="65" t="n">
        <v>1.967</v>
      </c>
      <c r="U78" s="65" t="n">
        <v>9</v>
      </c>
      <c r="W78" s="115"/>
      <c r="X78" s="112" t="n">
        <v>45170</v>
      </c>
      <c r="Y78" s="65" t="str">
        <f aca="false">IF(I78="","No SIC",IFERROR(VLOOKUP(I78,Ref!$A$2:$B$65,2,FALSE()),"Unclassified"))</f>
        <v>Auto Dealers &amp; Gas Stations</v>
      </c>
      <c r="Z78" s="65" t="str">
        <f aca="false">IF(T78="","",IF(T78&lt;12,"Daily","Weekly"))</f>
        <v>Daily</v>
      </c>
      <c r="AA78" s="65" t="n">
        <f aca="false">IF(T78="",0,IF(T78&lt;12,T78*Controls!$B$29,T78*5))</f>
        <v>42.595385</v>
      </c>
      <c r="AB78" s="65" t="n">
        <f aca="false">IF(E78="",0,NETWORKDAYS(E78,Controls!$B$36,Ref!$K$2:$K$42))</f>
        <v>345</v>
      </c>
      <c r="AC78" s="65" t="n">
        <f aca="false">IF(AND(AA78&gt;0,AB78&gt;=Controls!$B$39*AA78),1,0)</f>
        <v>1</v>
      </c>
      <c r="AD78" s="65" t="n">
        <f aca="false">IF(AND(E78&lt;&gt;"",E78&gt;=Controls!$B$37,E78&lt;=Controls!$B$38),1,0)</f>
        <v>1</v>
      </c>
      <c r="AE78" s="65" t="n">
        <f aca="false">IF(IFERROR(VLOOKUP(D78,Controls!$A$64:$E$74,2,FALSE()),"No")="Yes",1,0)</f>
        <v>1</v>
      </c>
      <c r="AF78" s="65" t="n">
        <f aca="false">IF(IFERROR(VLOOKUP(D78,Controls!$A$64:$E$74,3,FALSE()),"No")="Yes",1,0)</f>
        <v>0</v>
      </c>
      <c r="AG78" s="65" t="n">
        <f aca="false">IF(IFERROR(VLOOKUP(D78,Controls!$A$64:$E$74,4,FALSE()),"No")="Yes",1,0)</f>
        <v>0</v>
      </c>
      <c r="AH78" s="65" t="n">
        <f aca="false">IF(IFERROR(VLOOKUP(D78,Controls!$A$64:$E$74,5,FALSE()),"No")="Yes",1,0)</f>
        <v>0</v>
      </c>
      <c r="AI78" s="65" t="n">
        <f aca="false">IF(ISNUMBER(MATCH(D78,Controls!$A$64:$A$74,0)),1,0)</f>
        <v>1</v>
      </c>
      <c r="AJ78" s="65" t="n">
        <f aca="false">Q78-N78</f>
        <v>-3881.93</v>
      </c>
      <c r="AK78" s="65" t="n">
        <f aca="false">IF(AE78=1,MAX(0,N78-Q78),0)</f>
        <v>3881.93</v>
      </c>
      <c r="AL78" s="65" t="n">
        <f aca="false">IF(OR(V78="",V78=0),0,N78/V78)</f>
        <v>0</v>
      </c>
      <c r="AM78" s="65" t="n">
        <f aca="false">IF(OR(V78="",V78=0),0,1)</f>
        <v>0</v>
      </c>
      <c r="AN78" s="65" t="n">
        <f aca="false">IF(OR(E78="",F78=""),0,NETWORKDAYS(E78,F78,Ref!$K$2:$K$42))</f>
        <v>19</v>
      </c>
      <c r="AO78" s="65" t="n">
        <f aca="false">IF(L78="Renewal",1,0)</f>
        <v>0</v>
      </c>
      <c r="AP78" s="65" t="n">
        <f aca="false">AC78*AD78</f>
        <v>1</v>
      </c>
      <c r="AQ78" s="65" t="n">
        <f aca="false">IF(AND(G78&lt;&gt;"",'Historical Score'!$C$6&lt;&gt;""),IF(G78='Historical Score'!$C$6,1,0),0)</f>
        <v>1</v>
      </c>
      <c r="AR78" s="65" t="n">
        <f aca="false">IF(AND(L78&lt;&gt;"",'Historical Score'!$C$5&lt;&gt;""),IF(L78='Historical Score'!$C$5,1,0),0)</f>
        <v>1</v>
      </c>
      <c r="AS78" s="65" t="n">
        <f aca="false">IF(AND(Y78&lt;&gt;"",'Historical Score'!$C$7&lt;&gt;""),IF(Y78='Historical Score'!$C$7,1,0),0)</f>
        <v>0</v>
      </c>
      <c r="AT78" s="65" t="n">
        <f aca="false">IF(AND(K78&lt;&gt;"",'Historical Score'!$C$8&lt;&gt;""),IF(K78='Historical Score'!$C$8,1,0),0)</f>
        <v>0</v>
      </c>
      <c r="AU78" s="65" t="n">
        <f aca="false">IF(AND(J78&lt;&gt;"",'Historical Score'!$C$9&lt;&gt;""),IF(J78='Historical Score'!$C$9,1,0),0)</f>
        <v>0</v>
      </c>
      <c r="AV78" s="65" t="n">
        <f aca="false">AR78*AS78*AQ78</f>
        <v>0</v>
      </c>
      <c r="AW78" s="65" t="n">
        <f aca="false">AR78*AT78*AQ78</f>
        <v>0</v>
      </c>
      <c r="AX78" s="65" t="n">
        <f aca="false">AR78*AS78</f>
        <v>0</v>
      </c>
      <c r="AY78" s="65" t="n">
        <f aca="false">AR78*AT78</f>
        <v>0</v>
      </c>
      <c r="AZ78" s="65" t="n">
        <f aca="false">AR78*AQ78</f>
        <v>1</v>
      </c>
      <c r="BA78" s="65" t="n">
        <f aca="false">AR78</f>
        <v>1</v>
      </c>
      <c r="BB78" s="65" t="n">
        <f aca="false">1</f>
        <v>1</v>
      </c>
      <c r="BC78" s="65" t="n">
        <f aca="false">IF(AV78=1,1,IF(AW78=1,2,IF(AX78=1,3,IF(AY78=1,4,IF(AZ78=1,5,IF(BA78=1,6,7))))))</f>
        <v>5</v>
      </c>
      <c r="BD78" s="65" t="n">
        <f aca="false">IF(AD78=1,CHOOSE('Historical Score'!$C$29,AV78,AW78,AX78,AY78,AZ78,BA78,BB78),0)</f>
        <v>0</v>
      </c>
      <c r="BE78" s="65" t="str">
        <f aca="false">IF(BD78=1,COUNTIF($BD$2:BD78,1),"")</f>
        <v/>
      </c>
    </row>
    <row r="79" customFormat="false" ht="15" hidden="false" customHeight="false" outlineLevel="0" collapsed="false">
      <c r="A79" s="65" t="s">
        <v>669</v>
      </c>
      <c r="B79" s="65" t="s">
        <v>670</v>
      </c>
      <c r="C79" s="65" t="s">
        <v>670</v>
      </c>
      <c r="D79" s="65" t="s">
        <v>371</v>
      </c>
      <c r="E79" s="112" t="n">
        <v>45762</v>
      </c>
      <c r="F79" s="112" t="n">
        <v>45869</v>
      </c>
      <c r="G79" s="65" t="n">
        <v>5</v>
      </c>
      <c r="H79" s="65" t="s">
        <v>409</v>
      </c>
      <c r="I79" s="65" t="s">
        <v>342</v>
      </c>
      <c r="J79" s="65" t="s">
        <v>671</v>
      </c>
      <c r="K79" s="65" t="s">
        <v>672</v>
      </c>
      <c r="L79" s="65" t="s">
        <v>64</v>
      </c>
      <c r="M79" s="113" t="n">
        <v>1.43</v>
      </c>
      <c r="N79" s="114" t="n">
        <v>10000</v>
      </c>
      <c r="O79" s="114" t="n">
        <v>1100</v>
      </c>
      <c r="P79" s="114" t="n">
        <v>14300</v>
      </c>
      <c r="Q79" s="114" t="n">
        <v>14300</v>
      </c>
      <c r="R79" s="114" t="n">
        <v>0</v>
      </c>
      <c r="S79" s="115" t="n">
        <v>1</v>
      </c>
      <c r="T79" s="65" t="n">
        <v>2.295</v>
      </c>
      <c r="U79" s="65" t="n">
        <v>0</v>
      </c>
      <c r="W79" s="115" t="n">
        <v>0.0756</v>
      </c>
      <c r="X79" s="112" t="n">
        <v>44378</v>
      </c>
      <c r="Y79" s="65" t="str">
        <f aca="false">IF(I79="","No SIC",IFERROR(VLOOKUP(I79,Ref!$A$2:$B$65,2,FALSE()),"Unclassified"))</f>
        <v>Eating &amp; Drinking Places</v>
      </c>
      <c r="Z79" s="65" t="str">
        <f aca="false">IF(T79="","",IF(T79&lt;12,"Daily","Weekly"))</f>
        <v>Daily</v>
      </c>
      <c r="AA79" s="65" t="n">
        <f aca="false">IF(T79="",0,IF(T79&lt;12,T79*Controls!$B$29,T79*5))</f>
        <v>49.698225</v>
      </c>
      <c r="AB79" s="65" t="n">
        <f aca="false">IF(E79="",0,NETWORKDAYS(E79,Controls!$B$36,Ref!$K$2:$K$42))</f>
        <v>343</v>
      </c>
      <c r="AC79" s="65" t="n">
        <f aca="false">IF(AND(AA79&gt;0,AB79&gt;=Controls!$B$39*AA79),1,0)</f>
        <v>1</v>
      </c>
      <c r="AD79" s="65" t="n">
        <f aca="false">IF(AND(E79&lt;&gt;"",E79&gt;=Controls!$B$37,E79&lt;=Controls!$B$38),1,0)</f>
        <v>1</v>
      </c>
      <c r="AE79" s="65" t="n">
        <f aca="false">IF(IFERROR(VLOOKUP(D79,Controls!$A$64:$E$74,2,FALSE()),"No")="Yes",1,0)</f>
        <v>0</v>
      </c>
      <c r="AF79" s="65" t="n">
        <f aca="false">IF(IFERROR(VLOOKUP(D79,Controls!$A$64:$E$74,3,FALSE()),"No")="Yes",1,0)</f>
        <v>1</v>
      </c>
      <c r="AG79" s="65" t="n">
        <f aca="false">IF(IFERROR(VLOOKUP(D79,Controls!$A$64:$E$74,4,FALSE()),"No")="Yes",1,0)</f>
        <v>1</v>
      </c>
      <c r="AH79" s="65" t="n">
        <f aca="false">IF(IFERROR(VLOOKUP(D79,Controls!$A$64:$E$74,5,FALSE()),"No")="Yes",1,0)</f>
        <v>0</v>
      </c>
      <c r="AI79" s="65" t="n">
        <f aca="false">IF(ISNUMBER(MATCH(D79,Controls!$A$64:$A$74,0)),1,0)</f>
        <v>1</v>
      </c>
      <c r="AJ79" s="65" t="n">
        <f aca="false">Q79-N79</f>
        <v>4300</v>
      </c>
      <c r="AK79" s="65" t="n">
        <f aca="false">IF(AE79=1,MAX(0,N79-Q79),0)</f>
        <v>0</v>
      </c>
      <c r="AL79" s="65" t="n">
        <f aca="false">IF(OR(V79="",V79=0),0,N79/V79)</f>
        <v>0</v>
      </c>
      <c r="AM79" s="65" t="n">
        <f aca="false">IF(OR(V79="",V79=0),0,1)</f>
        <v>0</v>
      </c>
      <c r="AN79" s="65" t="n">
        <f aca="false">IF(OR(E79="",F79=""),0,NETWORKDAYS(E79,F79,Ref!$K$2:$K$42))</f>
        <v>75</v>
      </c>
      <c r="AO79" s="65" t="n">
        <f aca="false">IF(L79="Renewal",1,0)</f>
        <v>0</v>
      </c>
      <c r="AP79" s="65" t="n">
        <f aca="false">AC79*AD79</f>
        <v>1</v>
      </c>
      <c r="AQ79" s="65" t="n">
        <f aca="false">IF(AND(G79&lt;&gt;"",'Historical Score'!$C$6&lt;&gt;""),IF(G79='Historical Score'!$C$6,1,0),0)</f>
        <v>0</v>
      </c>
      <c r="AR79" s="65" t="n">
        <f aca="false">IF(AND(L79&lt;&gt;"",'Historical Score'!$C$5&lt;&gt;""),IF(L79='Historical Score'!$C$5,1,0),0)</f>
        <v>1</v>
      </c>
      <c r="AS79" s="65" t="n">
        <f aca="false">IF(AND(Y79&lt;&gt;"",'Historical Score'!$C$7&lt;&gt;""),IF(Y79='Historical Score'!$C$7,1,0),0)</f>
        <v>0</v>
      </c>
      <c r="AT79" s="65" t="n">
        <f aca="false">IF(AND(K79&lt;&gt;"",'Historical Score'!$C$8&lt;&gt;""),IF(K79='Historical Score'!$C$8,1,0),0)</f>
        <v>0</v>
      </c>
      <c r="AU79" s="65" t="n">
        <f aca="false">IF(AND(J79&lt;&gt;"",'Historical Score'!$C$9&lt;&gt;""),IF(J79='Historical Score'!$C$9,1,0),0)</f>
        <v>0</v>
      </c>
      <c r="AV79" s="65" t="n">
        <f aca="false">AR79*AS79*AQ79</f>
        <v>0</v>
      </c>
      <c r="AW79" s="65" t="n">
        <f aca="false">AR79*AT79*AQ79</f>
        <v>0</v>
      </c>
      <c r="AX79" s="65" t="n">
        <f aca="false">AR79*AS79</f>
        <v>0</v>
      </c>
      <c r="AY79" s="65" t="n">
        <f aca="false">AR79*AT79</f>
        <v>0</v>
      </c>
      <c r="AZ79" s="65" t="n">
        <f aca="false">AR79*AQ79</f>
        <v>0</v>
      </c>
      <c r="BA79" s="65" t="n">
        <f aca="false">AR79</f>
        <v>1</v>
      </c>
      <c r="BB79" s="65" t="n">
        <f aca="false">1</f>
        <v>1</v>
      </c>
      <c r="BC79" s="65" t="n">
        <f aca="false">IF(AV79=1,1,IF(AW79=1,2,IF(AX79=1,3,IF(AY79=1,4,IF(AZ79=1,5,IF(BA79=1,6,7))))))</f>
        <v>6</v>
      </c>
      <c r="BD79" s="65" t="n">
        <f aca="false">IF(AD79=1,CHOOSE('Historical Score'!$C$29,AV79,AW79,AX79,AY79,AZ79,BA79,BB79),0)</f>
        <v>0</v>
      </c>
      <c r="BE79" s="65" t="str">
        <f aca="false">IF(BD79=1,COUNTIF($BD$2:BD79,1),"")</f>
        <v/>
      </c>
    </row>
    <row r="80" customFormat="false" ht="15" hidden="false" customHeight="false" outlineLevel="0" collapsed="false">
      <c r="A80" s="65" t="s">
        <v>673</v>
      </c>
      <c r="B80" s="65" t="s">
        <v>674</v>
      </c>
      <c r="C80" s="65" t="s">
        <v>674</v>
      </c>
      <c r="D80" s="65" t="s">
        <v>340</v>
      </c>
      <c r="E80" s="112" t="n">
        <v>45763</v>
      </c>
      <c r="F80" s="112" t="n">
        <v>45866</v>
      </c>
      <c r="G80" s="65" t="n">
        <v>4</v>
      </c>
      <c r="H80" s="65" t="s">
        <v>637</v>
      </c>
      <c r="I80" s="65" t="s">
        <v>484</v>
      </c>
      <c r="J80" s="65" t="s">
        <v>350</v>
      </c>
      <c r="K80" s="65" t="s">
        <v>675</v>
      </c>
      <c r="L80" s="65" t="s">
        <v>64</v>
      </c>
      <c r="M80" s="113" t="n">
        <v>1.49</v>
      </c>
      <c r="N80" s="114" t="n">
        <v>10000</v>
      </c>
      <c r="O80" s="114" t="n">
        <v>0</v>
      </c>
      <c r="P80" s="114" t="n">
        <v>14900</v>
      </c>
      <c r="Q80" s="114" t="n">
        <v>6411.72</v>
      </c>
      <c r="R80" s="114" t="n">
        <v>8488.28</v>
      </c>
      <c r="S80" s="115" t="n">
        <v>0.43031677852349</v>
      </c>
      <c r="T80" s="65" t="n">
        <v>2.131</v>
      </c>
      <c r="U80" s="65" t="n">
        <v>24</v>
      </c>
      <c r="W80" s="115" t="n">
        <v>0.0531</v>
      </c>
      <c r="X80" s="112" t="n">
        <v>38081</v>
      </c>
      <c r="Y80" s="65" t="str">
        <f aca="false">IF(I80="","No SIC",IFERROR(VLOOKUP(I80,Ref!$A$2:$B$65,2,FALSE()),"Unclassified"))</f>
        <v>Special Trade Contractors</v>
      </c>
      <c r="Z80" s="65" t="str">
        <f aca="false">IF(T80="","",IF(T80&lt;12,"Daily","Weekly"))</f>
        <v>Daily</v>
      </c>
      <c r="AA80" s="65" t="n">
        <f aca="false">IF(T80="",0,IF(T80&lt;12,T80*Controls!$B$29,T80*5))</f>
        <v>46.146805</v>
      </c>
      <c r="AB80" s="65" t="n">
        <f aca="false">IF(E80="",0,NETWORKDAYS(E80,Controls!$B$36,Ref!$K$2:$K$42))</f>
        <v>342</v>
      </c>
      <c r="AC80" s="65" t="n">
        <f aca="false">IF(AND(AA80&gt;0,AB80&gt;=Controls!$B$39*AA80),1,0)</f>
        <v>1</v>
      </c>
      <c r="AD80" s="65" t="n">
        <f aca="false">IF(AND(E80&lt;&gt;"",E80&gt;=Controls!$B$37,E80&lt;=Controls!$B$38),1,0)</f>
        <v>1</v>
      </c>
      <c r="AE80" s="65" t="n">
        <f aca="false">IF(IFERROR(VLOOKUP(D80,Controls!$A$64:$E$74,2,FALSE()),"No")="Yes",1,0)</f>
        <v>1</v>
      </c>
      <c r="AF80" s="65" t="n">
        <f aca="false">IF(IFERROR(VLOOKUP(D80,Controls!$A$64:$E$74,3,FALSE()),"No")="Yes",1,0)</f>
        <v>0</v>
      </c>
      <c r="AG80" s="65" t="n">
        <f aca="false">IF(IFERROR(VLOOKUP(D80,Controls!$A$64:$E$74,4,FALSE()),"No")="Yes",1,0)</f>
        <v>0</v>
      </c>
      <c r="AH80" s="65" t="n">
        <f aca="false">IF(IFERROR(VLOOKUP(D80,Controls!$A$64:$E$74,5,FALSE()),"No")="Yes",1,0)</f>
        <v>0</v>
      </c>
      <c r="AI80" s="65" t="n">
        <f aca="false">IF(ISNUMBER(MATCH(D80,Controls!$A$64:$A$74,0)),1,0)</f>
        <v>1</v>
      </c>
      <c r="AJ80" s="65" t="n">
        <f aca="false">Q80-N80</f>
        <v>-3588.28</v>
      </c>
      <c r="AK80" s="65" t="n">
        <f aca="false">IF(AE80=1,MAX(0,N80-Q80),0)</f>
        <v>3588.28</v>
      </c>
      <c r="AL80" s="65" t="n">
        <f aca="false">IF(OR(V80="",V80=0),0,N80/V80)</f>
        <v>0</v>
      </c>
      <c r="AM80" s="65" t="n">
        <f aca="false">IF(OR(V80="",V80=0),0,1)</f>
        <v>0</v>
      </c>
      <c r="AN80" s="65" t="n">
        <f aca="false">IF(OR(E80="",F80=""),0,NETWORKDAYS(E80,F80,Ref!$K$2:$K$42))</f>
        <v>71</v>
      </c>
      <c r="AO80" s="65" t="n">
        <f aca="false">IF(L80="Renewal",1,0)</f>
        <v>0</v>
      </c>
      <c r="AP80" s="65" t="n">
        <f aca="false">AC80*AD80</f>
        <v>1</v>
      </c>
      <c r="AQ80" s="65" t="n">
        <f aca="false">IF(AND(G80&lt;&gt;"",'Historical Score'!$C$6&lt;&gt;""),IF(G80='Historical Score'!$C$6,1,0),0)</f>
        <v>0</v>
      </c>
      <c r="AR80" s="65" t="n">
        <f aca="false">IF(AND(L80&lt;&gt;"",'Historical Score'!$C$5&lt;&gt;""),IF(L80='Historical Score'!$C$5,1,0),0)</f>
        <v>1</v>
      </c>
      <c r="AS80" s="65" t="n">
        <f aca="false">IF(AND(Y80&lt;&gt;"",'Historical Score'!$C$7&lt;&gt;""),IF(Y80='Historical Score'!$C$7,1,0),0)</f>
        <v>0</v>
      </c>
      <c r="AT80" s="65" t="n">
        <f aca="false">IF(AND(K80&lt;&gt;"",'Historical Score'!$C$8&lt;&gt;""),IF(K80='Historical Score'!$C$8,1,0),0)</f>
        <v>0</v>
      </c>
      <c r="AU80" s="65" t="n">
        <f aca="false">IF(AND(J80&lt;&gt;"",'Historical Score'!$C$9&lt;&gt;""),IF(J80='Historical Score'!$C$9,1,0),0)</f>
        <v>0</v>
      </c>
      <c r="AV80" s="65" t="n">
        <f aca="false">AR80*AS80*AQ80</f>
        <v>0</v>
      </c>
      <c r="AW80" s="65" t="n">
        <f aca="false">AR80*AT80*AQ80</f>
        <v>0</v>
      </c>
      <c r="AX80" s="65" t="n">
        <f aca="false">AR80*AS80</f>
        <v>0</v>
      </c>
      <c r="AY80" s="65" t="n">
        <f aca="false">AR80*AT80</f>
        <v>0</v>
      </c>
      <c r="AZ80" s="65" t="n">
        <f aca="false">AR80*AQ80</f>
        <v>0</v>
      </c>
      <c r="BA80" s="65" t="n">
        <f aca="false">AR80</f>
        <v>1</v>
      </c>
      <c r="BB80" s="65" t="n">
        <f aca="false">1</f>
        <v>1</v>
      </c>
      <c r="BC80" s="65" t="n">
        <f aca="false">IF(AV80=1,1,IF(AW80=1,2,IF(AX80=1,3,IF(AY80=1,4,IF(AZ80=1,5,IF(BA80=1,6,7))))))</f>
        <v>6</v>
      </c>
      <c r="BD80" s="65" t="n">
        <f aca="false">IF(AD80=1,CHOOSE('Historical Score'!$C$29,AV80,AW80,AX80,AY80,AZ80,BA80,BB80),0)</f>
        <v>0</v>
      </c>
      <c r="BE80" s="65" t="str">
        <f aca="false">IF(BD80=1,COUNTIF($BD$2:BD80,1),"")</f>
        <v/>
      </c>
    </row>
    <row r="81" customFormat="false" ht="15" hidden="false" customHeight="false" outlineLevel="0" collapsed="false">
      <c r="A81" s="65" t="s">
        <v>676</v>
      </c>
      <c r="B81" s="65" t="s">
        <v>677</v>
      </c>
      <c r="C81" s="65" t="s">
        <v>677</v>
      </c>
      <c r="D81" s="65" t="s">
        <v>340</v>
      </c>
      <c r="E81" s="112" t="n">
        <v>45764</v>
      </c>
      <c r="F81" s="112" t="n">
        <v>45839</v>
      </c>
      <c r="G81" s="65" t="n">
        <v>1</v>
      </c>
      <c r="H81" s="65" t="s">
        <v>678</v>
      </c>
      <c r="I81" s="65" t="s">
        <v>679</v>
      </c>
      <c r="J81" s="65" t="s">
        <v>61</v>
      </c>
      <c r="K81" s="65" t="s">
        <v>581</v>
      </c>
      <c r="L81" s="65" t="s">
        <v>64</v>
      </c>
      <c r="M81" s="113" t="n">
        <v>1.49</v>
      </c>
      <c r="N81" s="114" t="n">
        <v>20000</v>
      </c>
      <c r="O81" s="114" t="n">
        <v>2800</v>
      </c>
      <c r="P81" s="114" t="n">
        <v>29800</v>
      </c>
      <c r="Q81" s="114" t="n">
        <v>9188.58</v>
      </c>
      <c r="R81" s="114" t="n">
        <v>20611.42</v>
      </c>
      <c r="S81" s="115" t="n">
        <v>0.308341610738255</v>
      </c>
      <c r="T81" s="65" t="n">
        <v>3.934</v>
      </c>
      <c r="U81" s="65" t="n">
        <v>14</v>
      </c>
      <c r="W81" s="115" t="n">
        <v>0.2302</v>
      </c>
      <c r="X81" s="112"/>
      <c r="Y81" s="65" t="str">
        <f aca="false">IF(I81="","No SIC",IFERROR(VLOOKUP(I81,Ref!$A$2:$B$65,2,FALSE()),"Unclassified"))</f>
        <v>Amusement &amp; Recreation Services</v>
      </c>
      <c r="Z81" s="65" t="str">
        <f aca="false">IF(T81="","",IF(T81&lt;12,"Daily","Weekly"))</f>
        <v>Daily</v>
      </c>
      <c r="AA81" s="65" t="n">
        <f aca="false">IF(T81="",0,IF(T81&lt;12,T81*Controls!$B$29,T81*5))</f>
        <v>85.19077</v>
      </c>
      <c r="AB81" s="65" t="n">
        <f aca="false">IF(E81="",0,NETWORKDAYS(E81,Controls!$B$36,Ref!$K$2:$K$42))</f>
        <v>341</v>
      </c>
      <c r="AC81" s="65" t="n">
        <f aca="false">IF(AND(AA81&gt;0,AB81&gt;=Controls!$B$39*AA81),1,0)</f>
        <v>1</v>
      </c>
      <c r="AD81" s="65" t="n">
        <f aca="false">IF(AND(E81&lt;&gt;"",E81&gt;=Controls!$B$37,E81&lt;=Controls!$B$38),1,0)</f>
        <v>1</v>
      </c>
      <c r="AE81" s="65" t="n">
        <f aca="false">IF(IFERROR(VLOOKUP(D81,Controls!$A$64:$E$74,2,FALSE()),"No")="Yes",1,0)</f>
        <v>1</v>
      </c>
      <c r="AF81" s="65" t="n">
        <f aca="false">IF(IFERROR(VLOOKUP(D81,Controls!$A$64:$E$74,3,FALSE()),"No")="Yes",1,0)</f>
        <v>0</v>
      </c>
      <c r="AG81" s="65" t="n">
        <f aca="false">IF(IFERROR(VLOOKUP(D81,Controls!$A$64:$E$74,4,FALSE()),"No")="Yes",1,0)</f>
        <v>0</v>
      </c>
      <c r="AH81" s="65" t="n">
        <f aca="false">IF(IFERROR(VLOOKUP(D81,Controls!$A$64:$E$74,5,FALSE()),"No")="Yes",1,0)</f>
        <v>0</v>
      </c>
      <c r="AI81" s="65" t="n">
        <f aca="false">IF(ISNUMBER(MATCH(D81,Controls!$A$64:$A$74,0)),1,0)</f>
        <v>1</v>
      </c>
      <c r="AJ81" s="65" t="n">
        <f aca="false">Q81-N81</f>
        <v>-10811.42</v>
      </c>
      <c r="AK81" s="65" t="n">
        <f aca="false">IF(AE81=1,MAX(0,N81-Q81),0)</f>
        <v>10811.42</v>
      </c>
      <c r="AL81" s="65" t="n">
        <f aca="false">IF(OR(V81="",V81=0),0,N81/V81)</f>
        <v>0</v>
      </c>
      <c r="AM81" s="65" t="n">
        <f aca="false">IF(OR(V81="",V81=0),0,1)</f>
        <v>0</v>
      </c>
      <c r="AN81" s="65" t="n">
        <f aca="false">IF(OR(E81="",F81=""),0,NETWORKDAYS(E81,F81,Ref!$K$2:$K$42))</f>
        <v>52</v>
      </c>
      <c r="AO81" s="65" t="n">
        <f aca="false">IF(L81="Renewal",1,0)</f>
        <v>0</v>
      </c>
      <c r="AP81" s="65" t="n">
        <f aca="false">AC81*AD81</f>
        <v>1</v>
      </c>
      <c r="AQ81" s="65" t="n">
        <f aca="false">IF(AND(G81&lt;&gt;"",'Historical Score'!$C$6&lt;&gt;""),IF(G81='Historical Score'!$C$6,1,0),0)</f>
        <v>0</v>
      </c>
      <c r="AR81" s="65" t="n">
        <f aca="false">IF(AND(L81&lt;&gt;"",'Historical Score'!$C$5&lt;&gt;""),IF(L81='Historical Score'!$C$5,1,0),0)</f>
        <v>1</v>
      </c>
      <c r="AS81" s="65" t="n">
        <f aca="false">IF(AND(Y81&lt;&gt;"",'Historical Score'!$C$7&lt;&gt;""),IF(Y81='Historical Score'!$C$7,1,0),0)</f>
        <v>0</v>
      </c>
      <c r="AT81" s="65" t="n">
        <f aca="false">IF(AND(K81&lt;&gt;"",'Historical Score'!$C$8&lt;&gt;""),IF(K81='Historical Score'!$C$8,1,0),0)</f>
        <v>0</v>
      </c>
      <c r="AU81" s="65" t="n">
        <f aca="false">IF(AND(J81&lt;&gt;"",'Historical Score'!$C$9&lt;&gt;""),IF(J81='Historical Score'!$C$9,1,0),0)</f>
        <v>1</v>
      </c>
      <c r="AV81" s="65" t="n">
        <f aca="false">AR81*AS81*AQ81</f>
        <v>0</v>
      </c>
      <c r="AW81" s="65" t="n">
        <f aca="false">AR81*AT81*AQ81</f>
        <v>0</v>
      </c>
      <c r="AX81" s="65" t="n">
        <f aca="false">AR81*AS81</f>
        <v>0</v>
      </c>
      <c r="AY81" s="65" t="n">
        <f aca="false">AR81*AT81</f>
        <v>0</v>
      </c>
      <c r="AZ81" s="65" t="n">
        <f aca="false">AR81*AQ81</f>
        <v>0</v>
      </c>
      <c r="BA81" s="65" t="n">
        <f aca="false">AR81</f>
        <v>1</v>
      </c>
      <c r="BB81" s="65" t="n">
        <f aca="false">1</f>
        <v>1</v>
      </c>
      <c r="BC81" s="65" t="n">
        <f aca="false">IF(AV81=1,1,IF(AW81=1,2,IF(AX81=1,3,IF(AY81=1,4,IF(AZ81=1,5,IF(BA81=1,6,7))))))</f>
        <v>6</v>
      </c>
      <c r="BD81" s="65" t="n">
        <f aca="false">IF(AD81=1,CHOOSE('Historical Score'!$C$29,AV81,AW81,AX81,AY81,AZ81,BA81,BB81),0)</f>
        <v>0</v>
      </c>
      <c r="BE81" s="65" t="str">
        <f aca="false">IF(BD81=1,COUNTIF($BD$2:BD81,1),"")</f>
        <v/>
      </c>
    </row>
    <row r="82" customFormat="false" ht="15" hidden="false" customHeight="false" outlineLevel="0" collapsed="false">
      <c r="A82" s="65" t="s">
        <v>680</v>
      </c>
      <c r="B82" s="65" t="s">
        <v>681</v>
      </c>
      <c r="C82" s="65" t="s">
        <v>681</v>
      </c>
      <c r="D82" s="65" t="s">
        <v>347</v>
      </c>
      <c r="E82" s="112" t="n">
        <v>45765</v>
      </c>
      <c r="F82" s="112" t="n">
        <v>45894</v>
      </c>
      <c r="G82" s="65" t="n">
        <v>3</v>
      </c>
      <c r="H82" s="65" t="s">
        <v>479</v>
      </c>
      <c r="I82" s="65" t="s">
        <v>356</v>
      </c>
      <c r="J82" s="65" t="s">
        <v>682</v>
      </c>
      <c r="K82" s="65" t="s">
        <v>538</v>
      </c>
      <c r="L82" s="65" t="s">
        <v>64</v>
      </c>
      <c r="M82" s="113" t="n">
        <v>1.49</v>
      </c>
      <c r="N82" s="114" t="n">
        <v>8000</v>
      </c>
      <c r="O82" s="114" t="n">
        <v>1120</v>
      </c>
      <c r="P82" s="114" t="n">
        <v>11920</v>
      </c>
      <c r="Q82" s="114" t="n">
        <v>11224.71</v>
      </c>
      <c r="R82" s="114" t="n">
        <v>695.290000000001</v>
      </c>
      <c r="S82" s="115" t="n">
        <v>0.941670302013423</v>
      </c>
      <c r="T82" s="65" t="n">
        <v>1.967</v>
      </c>
      <c r="U82" s="65" t="n">
        <v>9</v>
      </c>
      <c r="W82" s="115" t="n">
        <v>0.0494</v>
      </c>
      <c r="X82" s="112" t="n">
        <v>43466</v>
      </c>
      <c r="Y82" s="65" t="str">
        <f aca="false">IF(I82="","No SIC",IFERROR(VLOOKUP(I82,Ref!$A$2:$B$65,2,FALSE()),"Unclassified"))</f>
        <v>Trucking &amp; Warehousing</v>
      </c>
      <c r="Z82" s="65" t="str">
        <f aca="false">IF(T82="","",IF(T82&lt;12,"Daily","Weekly"))</f>
        <v>Daily</v>
      </c>
      <c r="AA82" s="65" t="n">
        <f aca="false">IF(T82="",0,IF(T82&lt;12,T82*Controls!$B$29,T82*5))</f>
        <v>42.595385</v>
      </c>
      <c r="AB82" s="65" t="n">
        <f aca="false">IF(E82="",0,NETWORKDAYS(E82,Controls!$B$36,Ref!$K$2:$K$42))</f>
        <v>340</v>
      </c>
      <c r="AC82" s="65" t="n">
        <f aca="false">IF(AND(AA82&gt;0,AB82&gt;=Controls!$B$39*AA82),1,0)</f>
        <v>1</v>
      </c>
      <c r="AD82" s="65" t="n">
        <f aca="false">IF(AND(E82&lt;&gt;"",E82&gt;=Controls!$B$37,E82&lt;=Controls!$B$38),1,0)</f>
        <v>1</v>
      </c>
      <c r="AE82" s="65" t="n">
        <f aca="false">IF(IFERROR(VLOOKUP(D82,Controls!$A$64:$E$74,2,FALSE()),"No")="Yes",1,0)</f>
        <v>1</v>
      </c>
      <c r="AF82" s="65" t="n">
        <f aca="false">IF(IFERROR(VLOOKUP(D82,Controls!$A$64:$E$74,3,FALSE()),"No")="Yes",1,0)</f>
        <v>1</v>
      </c>
      <c r="AG82" s="65" t="n">
        <f aca="false">IF(IFERROR(VLOOKUP(D82,Controls!$A$64:$E$74,4,FALSE()),"No")="Yes",1,0)</f>
        <v>0</v>
      </c>
      <c r="AH82" s="65" t="n">
        <f aca="false">IF(IFERROR(VLOOKUP(D82,Controls!$A$64:$E$74,5,FALSE()),"No")="Yes",1,0)</f>
        <v>0</v>
      </c>
      <c r="AI82" s="65" t="n">
        <f aca="false">IF(ISNUMBER(MATCH(D82,Controls!$A$64:$A$74,0)),1,0)</f>
        <v>1</v>
      </c>
      <c r="AJ82" s="65" t="n">
        <f aca="false">Q82-N82</f>
        <v>3224.71</v>
      </c>
      <c r="AK82" s="65" t="n">
        <f aca="false">IF(AE82=1,MAX(0,N82-Q82),0)</f>
        <v>0</v>
      </c>
      <c r="AL82" s="65" t="n">
        <f aca="false">IF(OR(V82="",V82=0),0,N82/V82)</f>
        <v>0</v>
      </c>
      <c r="AM82" s="65" t="n">
        <f aca="false">IF(OR(V82="",V82=0),0,1)</f>
        <v>0</v>
      </c>
      <c r="AN82" s="65" t="n">
        <f aca="false">IF(OR(E82="",F82=""),0,NETWORKDAYS(E82,F82,Ref!$K$2:$K$42))</f>
        <v>89</v>
      </c>
      <c r="AO82" s="65" t="n">
        <f aca="false">IF(L82="Renewal",1,0)</f>
        <v>0</v>
      </c>
      <c r="AP82" s="65" t="n">
        <f aca="false">AC82*AD82</f>
        <v>1</v>
      </c>
      <c r="AQ82" s="65" t="n">
        <f aca="false">IF(AND(G82&lt;&gt;"",'Historical Score'!$C$6&lt;&gt;""),IF(G82='Historical Score'!$C$6,1,0),0)</f>
        <v>0</v>
      </c>
      <c r="AR82" s="65" t="n">
        <f aca="false">IF(AND(L82&lt;&gt;"",'Historical Score'!$C$5&lt;&gt;""),IF(L82='Historical Score'!$C$5,1,0),0)</f>
        <v>1</v>
      </c>
      <c r="AS82" s="65" t="n">
        <f aca="false">IF(AND(Y82&lt;&gt;"",'Historical Score'!$C$7&lt;&gt;""),IF(Y82='Historical Score'!$C$7,1,0),0)</f>
        <v>0</v>
      </c>
      <c r="AT82" s="65" t="n">
        <f aca="false">IF(AND(K82&lt;&gt;"",'Historical Score'!$C$8&lt;&gt;""),IF(K82='Historical Score'!$C$8,1,0),0)</f>
        <v>0</v>
      </c>
      <c r="AU82" s="65" t="n">
        <f aca="false">IF(AND(J82&lt;&gt;"",'Historical Score'!$C$9&lt;&gt;""),IF(J82='Historical Score'!$C$9,1,0),0)</f>
        <v>0</v>
      </c>
      <c r="AV82" s="65" t="n">
        <f aca="false">AR82*AS82*AQ82</f>
        <v>0</v>
      </c>
      <c r="AW82" s="65" t="n">
        <f aca="false">AR82*AT82*AQ82</f>
        <v>0</v>
      </c>
      <c r="AX82" s="65" t="n">
        <f aca="false">AR82*AS82</f>
        <v>0</v>
      </c>
      <c r="AY82" s="65" t="n">
        <f aca="false">AR82*AT82</f>
        <v>0</v>
      </c>
      <c r="AZ82" s="65" t="n">
        <f aca="false">AR82*AQ82</f>
        <v>0</v>
      </c>
      <c r="BA82" s="65" t="n">
        <f aca="false">AR82</f>
        <v>1</v>
      </c>
      <c r="BB82" s="65" t="n">
        <f aca="false">1</f>
        <v>1</v>
      </c>
      <c r="BC82" s="65" t="n">
        <f aca="false">IF(AV82=1,1,IF(AW82=1,2,IF(AX82=1,3,IF(AY82=1,4,IF(AZ82=1,5,IF(BA82=1,6,7))))))</f>
        <v>6</v>
      </c>
      <c r="BD82" s="65" t="n">
        <f aca="false">IF(AD82=1,CHOOSE('Historical Score'!$C$29,AV82,AW82,AX82,AY82,AZ82,BA82,BB82),0)</f>
        <v>0</v>
      </c>
      <c r="BE82" s="65" t="str">
        <f aca="false">IF(BD82=1,COUNTIF($BD$2:BD82,1),"")</f>
        <v/>
      </c>
    </row>
    <row r="83" customFormat="false" ht="15" hidden="false" customHeight="false" outlineLevel="0" collapsed="false">
      <c r="A83" s="65" t="s">
        <v>683</v>
      </c>
      <c r="B83" s="65" t="s">
        <v>684</v>
      </c>
      <c r="C83" s="65" t="s">
        <v>684</v>
      </c>
      <c r="D83" s="65" t="s">
        <v>371</v>
      </c>
      <c r="E83" s="112" t="n">
        <v>45768</v>
      </c>
      <c r="F83" s="112" t="n">
        <v>45840</v>
      </c>
      <c r="G83" s="65" t="n">
        <v>1</v>
      </c>
      <c r="H83" s="65" t="s">
        <v>685</v>
      </c>
      <c r="I83" s="65" t="s">
        <v>484</v>
      </c>
      <c r="J83" s="65" t="s">
        <v>432</v>
      </c>
      <c r="K83" s="65" t="s">
        <v>584</v>
      </c>
      <c r="L83" s="65" t="s">
        <v>64</v>
      </c>
      <c r="M83" s="113" t="n">
        <v>1.49</v>
      </c>
      <c r="N83" s="114" t="n">
        <v>3000</v>
      </c>
      <c r="O83" s="114" t="n">
        <v>420</v>
      </c>
      <c r="P83" s="114" t="n">
        <v>4470</v>
      </c>
      <c r="Q83" s="114" t="n">
        <v>4470</v>
      </c>
      <c r="R83" s="114" t="n">
        <v>0</v>
      </c>
      <c r="S83" s="115" t="n">
        <v>1</v>
      </c>
      <c r="T83" s="65" t="n">
        <v>1.639</v>
      </c>
      <c r="U83" s="65" t="n">
        <v>0</v>
      </c>
      <c r="W83" s="115" t="n">
        <v>0.046</v>
      </c>
      <c r="X83" s="112"/>
      <c r="Y83" s="65" t="str">
        <f aca="false">IF(I83="","No SIC",IFERROR(VLOOKUP(I83,Ref!$A$2:$B$65,2,FALSE()),"Unclassified"))</f>
        <v>Special Trade Contractors</v>
      </c>
      <c r="Z83" s="65" t="str">
        <f aca="false">IF(T83="","",IF(T83&lt;12,"Daily","Weekly"))</f>
        <v>Daily</v>
      </c>
      <c r="AA83" s="65" t="n">
        <f aca="false">IF(T83="",0,IF(T83&lt;12,T83*Controls!$B$29,T83*5))</f>
        <v>35.492545</v>
      </c>
      <c r="AB83" s="65" t="n">
        <f aca="false">IF(E83="",0,NETWORKDAYS(E83,Controls!$B$36,Ref!$K$2:$K$42))</f>
        <v>339</v>
      </c>
      <c r="AC83" s="65" t="n">
        <f aca="false">IF(AND(AA83&gt;0,AB83&gt;=Controls!$B$39*AA83),1,0)</f>
        <v>1</v>
      </c>
      <c r="AD83" s="65" t="n">
        <f aca="false">IF(AND(E83&lt;&gt;"",E83&gt;=Controls!$B$37,E83&lt;=Controls!$B$38),1,0)</f>
        <v>1</v>
      </c>
      <c r="AE83" s="65" t="n">
        <f aca="false">IF(IFERROR(VLOOKUP(D83,Controls!$A$64:$E$74,2,FALSE()),"No")="Yes",1,0)</f>
        <v>0</v>
      </c>
      <c r="AF83" s="65" t="n">
        <f aca="false">IF(IFERROR(VLOOKUP(D83,Controls!$A$64:$E$74,3,FALSE()),"No")="Yes",1,0)</f>
        <v>1</v>
      </c>
      <c r="AG83" s="65" t="n">
        <f aca="false">IF(IFERROR(VLOOKUP(D83,Controls!$A$64:$E$74,4,FALSE()),"No")="Yes",1,0)</f>
        <v>1</v>
      </c>
      <c r="AH83" s="65" t="n">
        <f aca="false">IF(IFERROR(VLOOKUP(D83,Controls!$A$64:$E$74,5,FALSE()),"No")="Yes",1,0)</f>
        <v>0</v>
      </c>
      <c r="AI83" s="65" t="n">
        <f aca="false">IF(ISNUMBER(MATCH(D83,Controls!$A$64:$A$74,0)),1,0)</f>
        <v>1</v>
      </c>
      <c r="AJ83" s="65" t="n">
        <f aca="false">Q83-N83</f>
        <v>1470</v>
      </c>
      <c r="AK83" s="65" t="n">
        <f aca="false">IF(AE83=1,MAX(0,N83-Q83),0)</f>
        <v>0</v>
      </c>
      <c r="AL83" s="65" t="n">
        <f aca="false">IF(OR(V83="",V83=0),0,N83/V83)</f>
        <v>0</v>
      </c>
      <c r="AM83" s="65" t="n">
        <f aca="false">IF(OR(V83="",V83=0),0,1)</f>
        <v>0</v>
      </c>
      <c r="AN83" s="65" t="n">
        <f aca="false">IF(OR(E83="",F83=""),0,NETWORKDAYS(E83,F83,Ref!$K$2:$K$42))</f>
        <v>51</v>
      </c>
      <c r="AO83" s="65" t="n">
        <f aca="false">IF(L83="Renewal",1,0)</f>
        <v>0</v>
      </c>
      <c r="AP83" s="65" t="n">
        <f aca="false">AC83*AD83</f>
        <v>1</v>
      </c>
      <c r="AQ83" s="65" t="n">
        <f aca="false">IF(AND(G83&lt;&gt;"",'Historical Score'!$C$6&lt;&gt;""),IF(G83='Historical Score'!$C$6,1,0),0)</f>
        <v>0</v>
      </c>
      <c r="AR83" s="65" t="n">
        <f aca="false">IF(AND(L83&lt;&gt;"",'Historical Score'!$C$5&lt;&gt;""),IF(L83='Historical Score'!$C$5,1,0),0)</f>
        <v>1</v>
      </c>
      <c r="AS83" s="65" t="n">
        <f aca="false">IF(AND(Y83&lt;&gt;"",'Historical Score'!$C$7&lt;&gt;""),IF(Y83='Historical Score'!$C$7,1,0),0)</f>
        <v>0</v>
      </c>
      <c r="AT83" s="65" t="n">
        <f aca="false">IF(AND(K83&lt;&gt;"",'Historical Score'!$C$8&lt;&gt;""),IF(K83='Historical Score'!$C$8,1,0),0)</f>
        <v>0</v>
      </c>
      <c r="AU83" s="65" t="n">
        <f aca="false">IF(AND(J83&lt;&gt;"",'Historical Score'!$C$9&lt;&gt;""),IF(J83='Historical Score'!$C$9,1,0),0)</f>
        <v>0</v>
      </c>
      <c r="AV83" s="65" t="n">
        <f aca="false">AR83*AS83*AQ83</f>
        <v>0</v>
      </c>
      <c r="AW83" s="65" t="n">
        <f aca="false">AR83*AT83*AQ83</f>
        <v>0</v>
      </c>
      <c r="AX83" s="65" t="n">
        <f aca="false">AR83*AS83</f>
        <v>0</v>
      </c>
      <c r="AY83" s="65" t="n">
        <f aca="false">AR83*AT83</f>
        <v>0</v>
      </c>
      <c r="AZ83" s="65" t="n">
        <f aca="false">AR83*AQ83</f>
        <v>0</v>
      </c>
      <c r="BA83" s="65" t="n">
        <f aca="false">AR83</f>
        <v>1</v>
      </c>
      <c r="BB83" s="65" t="n">
        <f aca="false">1</f>
        <v>1</v>
      </c>
      <c r="BC83" s="65" t="n">
        <f aca="false">IF(AV83=1,1,IF(AW83=1,2,IF(AX83=1,3,IF(AY83=1,4,IF(AZ83=1,5,IF(BA83=1,6,7))))))</f>
        <v>6</v>
      </c>
      <c r="BD83" s="65" t="n">
        <f aca="false">IF(AD83=1,CHOOSE('Historical Score'!$C$29,AV83,AW83,AX83,AY83,AZ83,BA83,BB83),0)</f>
        <v>0</v>
      </c>
      <c r="BE83" s="65" t="str">
        <f aca="false">IF(BD83=1,COUNTIF($BD$2:BD83,1),"")</f>
        <v/>
      </c>
    </row>
    <row r="84" customFormat="false" ht="15" hidden="false" customHeight="false" outlineLevel="0" collapsed="false">
      <c r="A84" s="65" t="s">
        <v>686</v>
      </c>
      <c r="B84" s="65" t="s">
        <v>687</v>
      </c>
      <c r="C84" s="65" t="s">
        <v>688</v>
      </c>
      <c r="D84" s="65" t="s">
        <v>689</v>
      </c>
      <c r="E84" s="112" t="n">
        <v>45768</v>
      </c>
      <c r="F84" s="112" t="n">
        <v>45883</v>
      </c>
      <c r="G84" s="65" t="n">
        <v>4</v>
      </c>
      <c r="H84" s="65" t="s">
        <v>451</v>
      </c>
      <c r="I84" s="65" t="s">
        <v>425</v>
      </c>
      <c r="J84" s="65" t="s">
        <v>452</v>
      </c>
      <c r="K84" s="65" t="s">
        <v>344</v>
      </c>
      <c r="L84" s="65" t="s">
        <v>64</v>
      </c>
      <c r="M84" s="113" t="n">
        <v>1.49</v>
      </c>
      <c r="N84" s="114" t="n">
        <v>15000</v>
      </c>
      <c r="O84" s="114" t="n">
        <v>2100</v>
      </c>
      <c r="P84" s="114" t="n">
        <v>22350</v>
      </c>
      <c r="Q84" s="114" t="n">
        <v>6166.26</v>
      </c>
      <c r="R84" s="114" t="n">
        <v>16183.74</v>
      </c>
      <c r="S84" s="115" t="n">
        <v>0.275895302013423</v>
      </c>
      <c r="T84" s="65" t="n">
        <v>1.803</v>
      </c>
      <c r="U84" s="65" t="n">
        <v>25</v>
      </c>
      <c r="W84" s="115" t="n">
        <v>0.0514</v>
      </c>
      <c r="X84" s="112" t="n">
        <v>45402</v>
      </c>
      <c r="Y84" s="65" t="str">
        <f aca="false">IF(I84="","No SIC",IFERROR(VLOOKUP(I84,Ref!$A$2:$B$65,2,FALSE()),"Unclassified"))</f>
        <v>Personal Services</v>
      </c>
      <c r="Z84" s="65" t="str">
        <f aca="false">IF(T84="","",IF(T84&lt;12,"Daily","Weekly"))</f>
        <v>Daily</v>
      </c>
      <c r="AA84" s="65" t="n">
        <f aca="false">IF(T84="",0,IF(T84&lt;12,T84*Controls!$B$29,T84*5))</f>
        <v>39.043965</v>
      </c>
      <c r="AB84" s="65" t="n">
        <f aca="false">IF(E84="",0,NETWORKDAYS(E84,Controls!$B$36,Ref!$K$2:$K$42))</f>
        <v>339</v>
      </c>
      <c r="AC84" s="65" t="n">
        <f aca="false">IF(AND(AA84&gt;0,AB84&gt;=Controls!$B$39*AA84),1,0)</f>
        <v>1</v>
      </c>
      <c r="AD84" s="65" t="n">
        <f aca="false">IF(AND(E84&lt;&gt;"",E84&gt;=Controls!$B$37,E84&lt;=Controls!$B$38),1,0)</f>
        <v>1</v>
      </c>
      <c r="AE84" s="65" t="n">
        <f aca="false">IF(IFERROR(VLOOKUP(D84,Controls!$A$64:$E$74,2,FALSE()),"No")="Yes",1,0)</f>
        <v>1</v>
      </c>
      <c r="AF84" s="65" t="n">
        <f aca="false">IF(IFERROR(VLOOKUP(D84,Controls!$A$64:$E$74,3,FALSE()),"No")="Yes",1,0)</f>
        <v>1</v>
      </c>
      <c r="AG84" s="65" t="n">
        <f aca="false">IF(IFERROR(VLOOKUP(D84,Controls!$A$64:$E$74,4,FALSE()),"No")="Yes",1,0)</f>
        <v>0</v>
      </c>
      <c r="AH84" s="65" t="n">
        <f aca="false">IF(IFERROR(VLOOKUP(D84,Controls!$A$64:$E$74,5,FALSE()),"No")="Yes",1,0)</f>
        <v>0</v>
      </c>
      <c r="AI84" s="65" t="n">
        <f aca="false">IF(ISNUMBER(MATCH(D84,Controls!$A$64:$A$74,0)),1,0)</f>
        <v>1</v>
      </c>
      <c r="AJ84" s="65" t="n">
        <f aca="false">Q84-N84</f>
        <v>-8833.74</v>
      </c>
      <c r="AK84" s="65" t="n">
        <f aca="false">IF(AE84=1,MAX(0,N84-Q84),0)</f>
        <v>8833.74</v>
      </c>
      <c r="AL84" s="65" t="n">
        <f aca="false">IF(OR(V84="",V84=0),0,N84/V84)</f>
        <v>0</v>
      </c>
      <c r="AM84" s="65" t="n">
        <f aca="false">IF(OR(V84="",V84=0),0,1)</f>
        <v>0</v>
      </c>
      <c r="AN84" s="65" t="n">
        <f aca="false">IF(OR(E84="",F84=""),0,NETWORKDAYS(E84,F84,Ref!$K$2:$K$42))</f>
        <v>81</v>
      </c>
      <c r="AO84" s="65" t="n">
        <f aca="false">IF(L84="Renewal",1,0)</f>
        <v>0</v>
      </c>
      <c r="AP84" s="65" t="n">
        <f aca="false">AC84*AD84</f>
        <v>1</v>
      </c>
      <c r="AQ84" s="65" t="n">
        <f aca="false">IF(AND(G84&lt;&gt;"",'Historical Score'!$C$6&lt;&gt;""),IF(G84='Historical Score'!$C$6,1,0),0)</f>
        <v>0</v>
      </c>
      <c r="AR84" s="65" t="n">
        <f aca="false">IF(AND(L84&lt;&gt;"",'Historical Score'!$C$5&lt;&gt;""),IF(L84='Historical Score'!$C$5,1,0),0)</f>
        <v>1</v>
      </c>
      <c r="AS84" s="65" t="n">
        <f aca="false">IF(AND(Y84&lt;&gt;"",'Historical Score'!$C$7&lt;&gt;""),IF(Y84='Historical Score'!$C$7,1,0),0)</f>
        <v>0</v>
      </c>
      <c r="AT84" s="65" t="n">
        <f aca="false">IF(AND(K84&lt;&gt;"",'Historical Score'!$C$8&lt;&gt;""),IF(K84='Historical Score'!$C$8,1,0),0)</f>
        <v>0</v>
      </c>
      <c r="AU84" s="65" t="n">
        <f aca="false">IF(AND(J84&lt;&gt;"",'Historical Score'!$C$9&lt;&gt;""),IF(J84='Historical Score'!$C$9,1,0),0)</f>
        <v>0</v>
      </c>
      <c r="AV84" s="65" t="n">
        <f aca="false">AR84*AS84*AQ84</f>
        <v>0</v>
      </c>
      <c r="AW84" s="65" t="n">
        <f aca="false">AR84*AT84*AQ84</f>
        <v>0</v>
      </c>
      <c r="AX84" s="65" t="n">
        <f aca="false">AR84*AS84</f>
        <v>0</v>
      </c>
      <c r="AY84" s="65" t="n">
        <f aca="false">AR84*AT84</f>
        <v>0</v>
      </c>
      <c r="AZ84" s="65" t="n">
        <f aca="false">AR84*AQ84</f>
        <v>0</v>
      </c>
      <c r="BA84" s="65" t="n">
        <f aca="false">AR84</f>
        <v>1</v>
      </c>
      <c r="BB84" s="65" t="n">
        <f aca="false">1</f>
        <v>1</v>
      </c>
      <c r="BC84" s="65" t="n">
        <f aca="false">IF(AV84=1,1,IF(AW84=1,2,IF(AX84=1,3,IF(AY84=1,4,IF(AZ84=1,5,IF(BA84=1,6,7))))))</f>
        <v>6</v>
      </c>
      <c r="BD84" s="65" t="n">
        <f aca="false">IF(AD84=1,CHOOSE('Historical Score'!$C$29,AV84,AW84,AX84,AY84,AZ84,BA84,BB84),0)</f>
        <v>0</v>
      </c>
      <c r="BE84" s="65" t="str">
        <f aca="false">IF(BD84=1,COUNTIF($BD$2:BD84,1),"")</f>
        <v/>
      </c>
    </row>
    <row r="85" customFormat="false" ht="15" hidden="false" customHeight="false" outlineLevel="0" collapsed="false">
      <c r="A85" s="65" t="s">
        <v>690</v>
      </c>
      <c r="B85" s="65" t="s">
        <v>691</v>
      </c>
      <c r="C85" s="65" t="s">
        <v>691</v>
      </c>
      <c r="D85" s="65" t="s">
        <v>371</v>
      </c>
      <c r="E85" s="112" t="n">
        <v>45770</v>
      </c>
      <c r="F85" s="112" t="n">
        <v>45986</v>
      </c>
      <c r="G85" s="65" t="n">
        <v>2</v>
      </c>
      <c r="H85" s="65" t="s">
        <v>409</v>
      </c>
      <c r="I85" s="65" t="s">
        <v>342</v>
      </c>
      <c r="J85" s="65" t="s">
        <v>350</v>
      </c>
      <c r="K85" s="65" t="s">
        <v>433</v>
      </c>
      <c r="L85" s="65" t="s">
        <v>64</v>
      </c>
      <c r="M85" s="113" t="n">
        <v>1.39</v>
      </c>
      <c r="N85" s="114" t="n">
        <v>36000</v>
      </c>
      <c r="O85" s="114" t="n">
        <v>3240</v>
      </c>
      <c r="P85" s="114" t="n">
        <v>50040</v>
      </c>
      <c r="Q85" s="114" t="n">
        <v>50040</v>
      </c>
      <c r="R85" s="114" t="n">
        <v>0</v>
      </c>
      <c r="S85" s="115" t="n">
        <v>1</v>
      </c>
      <c r="T85" s="65" t="n">
        <v>30</v>
      </c>
      <c r="U85" s="65" t="n">
        <v>0</v>
      </c>
      <c r="W85" s="115" t="n">
        <v>0.1247</v>
      </c>
      <c r="X85" s="112" t="n">
        <v>44845</v>
      </c>
      <c r="Y85" s="65" t="str">
        <f aca="false">IF(I85="","No SIC",IFERROR(VLOOKUP(I85,Ref!$A$2:$B$65,2,FALSE()),"Unclassified"))</f>
        <v>Eating &amp; Drinking Places</v>
      </c>
      <c r="Z85" s="65" t="str">
        <f aca="false">IF(T85="","",IF(T85&lt;12,"Daily","Weekly"))</f>
        <v>Weekly</v>
      </c>
      <c r="AA85" s="65" t="n">
        <f aca="false">IF(T85="",0,IF(T85&lt;12,T85*Controls!$B$29,T85*5))</f>
        <v>150</v>
      </c>
      <c r="AB85" s="65" t="n">
        <f aca="false">IF(E85="",0,NETWORKDAYS(E85,Controls!$B$36,Ref!$K$2:$K$42))</f>
        <v>337</v>
      </c>
      <c r="AC85" s="65" t="n">
        <f aca="false">IF(AND(AA85&gt;0,AB85&gt;=Controls!$B$39*AA85),1,0)</f>
        <v>1</v>
      </c>
      <c r="AD85" s="65" t="n">
        <f aca="false">IF(AND(E85&lt;&gt;"",E85&gt;=Controls!$B$37,E85&lt;=Controls!$B$38),1,0)</f>
        <v>1</v>
      </c>
      <c r="AE85" s="65" t="n">
        <f aca="false">IF(IFERROR(VLOOKUP(D85,Controls!$A$64:$E$74,2,FALSE()),"No")="Yes",1,0)</f>
        <v>0</v>
      </c>
      <c r="AF85" s="65" t="n">
        <f aca="false">IF(IFERROR(VLOOKUP(D85,Controls!$A$64:$E$74,3,FALSE()),"No")="Yes",1,0)</f>
        <v>1</v>
      </c>
      <c r="AG85" s="65" t="n">
        <f aca="false">IF(IFERROR(VLOOKUP(D85,Controls!$A$64:$E$74,4,FALSE()),"No")="Yes",1,0)</f>
        <v>1</v>
      </c>
      <c r="AH85" s="65" t="n">
        <f aca="false">IF(IFERROR(VLOOKUP(D85,Controls!$A$64:$E$74,5,FALSE()),"No")="Yes",1,0)</f>
        <v>0</v>
      </c>
      <c r="AI85" s="65" t="n">
        <f aca="false">IF(ISNUMBER(MATCH(D85,Controls!$A$64:$A$74,0)),1,0)</f>
        <v>1</v>
      </c>
      <c r="AJ85" s="65" t="n">
        <f aca="false">Q85-N85</f>
        <v>14040</v>
      </c>
      <c r="AK85" s="65" t="n">
        <f aca="false">IF(AE85=1,MAX(0,N85-Q85),0)</f>
        <v>0</v>
      </c>
      <c r="AL85" s="65" t="n">
        <f aca="false">IF(OR(V85="",V85=0),0,N85/V85)</f>
        <v>0</v>
      </c>
      <c r="AM85" s="65" t="n">
        <f aca="false">IF(OR(V85="",V85=0),0,1)</f>
        <v>0</v>
      </c>
      <c r="AN85" s="65" t="n">
        <f aca="false">IF(OR(E85="",F85=""),0,NETWORKDAYS(E85,F85,Ref!$K$2:$K$42))</f>
        <v>149</v>
      </c>
      <c r="AO85" s="65" t="n">
        <f aca="false">IF(L85="Renewal",1,0)</f>
        <v>0</v>
      </c>
      <c r="AP85" s="65" t="n">
        <f aca="false">AC85*AD85</f>
        <v>1</v>
      </c>
      <c r="AQ85" s="65" t="n">
        <f aca="false">IF(AND(G85&lt;&gt;"",'Historical Score'!$C$6&lt;&gt;""),IF(G85='Historical Score'!$C$6,1,0),0)</f>
        <v>1</v>
      </c>
      <c r="AR85" s="65" t="n">
        <f aca="false">IF(AND(L85&lt;&gt;"",'Historical Score'!$C$5&lt;&gt;""),IF(L85='Historical Score'!$C$5,1,0),0)</f>
        <v>1</v>
      </c>
      <c r="AS85" s="65" t="n">
        <f aca="false">IF(AND(Y85&lt;&gt;"",'Historical Score'!$C$7&lt;&gt;""),IF(Y85='Historical Score'!$C$7,1,0),0)</f>
        <v>0</v>
      </c>
      <c r="AT85" s="65" t="n">
        <f aca="false">IF(AND(K85&lt;&gt;"",'Historical Score'!$C$8&lt;&gt;""),IF(K85='Historical Score'!$C$8,1,0),0)</f>
        <v>0</v>
      </c>
      <c r="AU85" s="65" t="n">
        <f aca="false">IF(AND(J85&lt;&gt;"",'Historical Score'!$C$9&lt;&gt;""),IF(J85='Historical Score'!$C$9,1,0),0)</f>
        <v>0</v>
      </c>
      <c r="AV85" s="65" t="n">
        <f aca="false">AR85*AS85*AQ85</f>
        <v>0</v>
      </c>
      <c r="AW85" s="65" t="n">
        <f aca="false">AR85*AT85*AQ85</f>
        <v>0</v>
      </c>
      <c r="AX85" s="65" t="n">
        <f aca="false">AR85*AS85</f>
        <v>0</v>
      </c>
      <c r="AY85" s="65" t="n">
        <f aca="false">AR85*AT85</f>
        <v>0</v>
      </c>
      <c r="AZ85" s="65" t="n">
        <f aca="false">AR85*AQ85</f>
        <v>1</v>
      </c>
      <c r="BA85" s="65" t="n">
        <f aca="false">AR85</f>
        <v>1</v>
      </c>
      <c r="BB85" s="65" t="n">
        <f aca="false">1</f>
        <v>1</v>
      </c>
      <c r="BC85" s="65" t="n">
        <f aca="false">IF(AV85=1,1,IF(AW85=1,2,IF(AX85=1,3,IF(AY85=1,4,IF(AZ85=1,5,IF(BA85=1,6,7))))))</f>
        <v>5</v>
      </c>
      <c r="BD85" s="65" t="n">
        <f aca="false">IF(AD85=1,CHOOSE('Historical Score'!$C$29,AV85,AW85,AX85,AY85,AZ85,BA85,BB85),0)</f>
        <v>0</v>
      </c>
      <c r="BE85" s="65" t="str">
        <f aca="false">IF(BD85=1,COUNTIF($BD$2:BD85,1),"")</f>
        <v/>
      </c>
    </row>
    <row r="86" customFormat="false" ht="15" hidden="false" customHeight="false" outlineLevel="0" collapsed="false">
      <c r="A86" s="65" t="s">
        <v>692</v>
      </c>
      <c r="B86" s="65" t="s">
        <v>693</v>
      </c>
      <c r="C86" s="65" t="s">
        <v>693</v>
      </c>
      <c r="D86" s="65" t="s">
        <v>340</v>
      </c>
      <c r="E86" s="112" t="n">
        <v>45770</v>
      </c>
      <c r="F86" s="112" t="n">
        <v>45908</v>
      </c>
      <c r="G86" s="65" t="n">
        <v>3</v>
      </c>
      <c r="H86" s="65" t="s">
        <v>409</v>
      </c>
      <c r="I86" s="65" t="s">
        <v>342</v>
      </c>
      <c r="J86" s="65" t="s">
        <v>555</v>
      </c>
      <c r="K86" s="65" t="s">
        <v>694</v>
      </c>
      <c r="L86" s="65" t="s">
        <v>64</v>
      </c>
      <c r="M86" s="113" t="n">
        <v>1.49</v>
      </c>
      <c r="N86" s="114" t="n">
        <v>15000</v>
      </c>
      <c r="O86" s="114" t="n">
        <v>2100</v>
      </c>
      <c r="P86" s="114" t="n">
        <v>22350</v>
      </c>
      <c r="Q86" s="114" t="n">
        <v>7982.25</v>
      </c>
      <c r="R86" s="114" t="n">
        <v>14367.75</v>
      </c>
      <c r="S86" s="115" t="n">
        <v>0.357147651006711</v>
      </c>
      <c r="T86" s="65" t="n">
        <v>2.295</v>
      </c>
      <c r="U86" s="65" t="n">
        <v>58</v>
      </c>
      <c r="W86" s="115" t="n">
        <v>0.137</v>
      </c>
      <c r="X86" s="112" t="n">
        <v>44713</v>
      </c>
      <c r="Y86" s="65" t="str">
        <f aca="false">IF(I86="","No SIC",IFERROR(VLOOKUP(I86,Ref!$A$2:$B$65,2,FALSE()),"Unclassified"))</f>
        <v>Eating &amp; Drinking Places</v>
      </c>
      <c r="Z86" s="65" t="str">
        <f aca="false">IF(T86="","",IF(T86&lt;12,"Daily","Weekly"))</f>
        <v>Daily</v>
      </c>
      <c r="AA86" s="65" t="n">
        <f aca="false">IF(T86="",0,IF(T86&lt;12,T86*Controls!$B$29,T86*5))</f>
        <v>49.698225</v>
      </c>
      <c r="AB86" s="65" t="n">
        <f aca="false">IF(E86="",0,NETWORKDAYS(E86,Controls!$B$36,Ref!$K$2:$K$42))</f>
        <v>337</v>
      </c>
      <c r="AC86" s="65" t="n">
        <f aca="false">IF(AND(AA86&gt;0,AB86&gt;=Controls!$B$39*AA86),1,0)</f>
        <v>1</v>
      </c>
      <c r="AD86" s="65" t="n">
        <f aca="false">IF(AND(E86&lt;&gt;"",E86&gt;=Controls!$B$37,E86&lt;=Controls!$B$38),1,0)</f>
        <v>1</v>
      </c>
      <c r="AE86" s="65" t="n">
        <f aca="false">IF(IFERROR(VLOOKUP(D86,Controls!$A$64:$E$74,2,FALSE()),"No")="Yes",1,0)</f>
        <v>1</v>
      </c>
      <c r="AF86" s="65" t="n">
        <f aca="false">IF(IFERROR(VLOOKUP(D86,Controls!$A$64:$E$74,3,FALSE()),"No")="Yes",1,0)</f>
        <v>0</v>
      </c>
      <c r="AG86" s="65" t="n">
        <f aca="false">IF(IFERROR(VLOOKUP(D86,Controls!$A$64:$E$74,4,FALSE()),"No")="Yes",1,0)</f>
        <v>0</v>
      </c>
      <c r="AH86" s="65" t="n">
        <f aca="false">IF(IFERROR(VLOOKUP(D86,Controls!$A$64:$E$74,5,FALSE()),"No")="Yes",1,0)</f>
        <v>0</v>
      </c>
      <c r="AI86" s="65" t="n">
        <f aca="false">IF(ISNUMBER(MATCH(D86,Controls!$A$64:$A$74,0)),1,0)</f>
        <v>1</v>
      </c>
      <c r="AJ86" s="65" t="n">
        <f aca="false">Q86-N86</f>
        <v>-7017.75</v>
      </c>
      <c r="AK86" s="65" t="n">
        <f aca="false">IF(AE86=1,MAX(0,N86-Q86),0)</f>
        <v>7017.75</v>
      </c>
      <c r="AL86" s="65" t="n">
        <f aca="false">IF(OR(V86="",V86=0),0,N86/V86)</f>
        <v>0</v>
      </c>
      <c r="AM86" s="65" t="n">
        <f aca="false">IF(OR(V86="",V86=0),0,1)</f>
        <v>0</v>
      </c>
      <c r="AN86" s="65" t="n">
        <f aca="false">IF(OR(E86="",F86=""),0,NETWORKDAYS(E86,F86,Ref!$K$2:$K$42))</f>
        <v>95</v>
      </c>
      <c r="AO86" s="65" t="n">
        <f aca="false">IF(L86="Renewal",1,0)</f>
        <v>0</v>
      </c>
      <c r="AP86" s="65" t="n">
        <f aca="false">AC86*AD86</f>
        <v>1</v>
      </c>
      <c r="AQ86" s="65" t="n">
        <f aca="false">IF(AND(G86&lt;&gt;"",'Historical Score'!$C$6&lt;&gt;""),IF(G86='Historical Score'!$C$6,1,0),0)</f>
        <v>0</v>
      </c>
      <c r="AR86" s="65" t="n">
        <f aca="false">IF(AND(L86&lt;&gt;"",'Historical Score'!$C$5&lt;&gt;""),IF(L86='Historical Score'!$C$5,1,0),0)</f>
        <v>1</v>
      </c>
      <c r="AS86" s="65" t="n">
        <f aca="false">IF(AND(Y86&lt;&gt;"",'Historical Score'!$C$7&lt;&gt;""),IF(Y86='Historical Score'!$C$7,1,0),0)</f>
        <v>0</v>
      </c>
      <c r="AT86" s="65" t="n">
        <f aca="false">IF(AND(K86&lt;&gt;"",'Historical Score'!$C$8&lt;&gt;""),IF(K86='Historical Score'!$C$8,1,0),0)</f>
        <v>0</v>
      </c>
      <c r="AU86" s="65" t="n">
        <f aca="false">IF(AND(J86&lt;&gt;"",'Historical Score'!$C$9&lt;&gt;""),IF(J86='Historical Score'!$C$9,1,0),0)</f>
        <v>0</v>
      </c>
      <c r="AV86" s="65" t="n">
        <f aca="false">AR86*AS86*AQ86</f>
        <v>0</v>
      </c>
      <c r="AW86" s="65" t="n">
        <f aca="false">AR86*AT86*AQ86</f>
        <v>0</v>
      </c>
      <c r="AX86" s="65" t="n">
        <f aca="false">AR86*AS86</f>
        <v>0</v>
      </c>
      <c r="AY86" s="65" t="n">
        <f aca="false">AR86*AT86</f>
        <v>0</v>
      </c>
      <c r="AZ86" s="65" t="n">
        <f aca="false">AR86*AQ86</f>
        <v>0</v>
      </c>
      <c r="BA86" s="65" t="n">
        <f aca="false">AR86</f>
        <v>1</v>
      </c>
      <c r="BB86" s="65" t="n">
        <f aca="false">1</f>
        <v>1</v>
      </c>
      <c r="BC86" s="65" t="n">
        <f aca="false">IF(AV86=1,1,IF(AW86=1,2,IF(AX86=1,3,IF(AY86=1,4,IF(AZ86=1,5,IF(BA86=1,6,7))))))</f>
        <v>6</v>
      </c>
      <c r="BD86" s="65" t="n">
        <f aca="false">IF(AD86=1,CHOOSE('Historical Score'!$C$29,AV86,AW86,AX86,AY86,AZ86,BA86,BB86),0)</f>
        <v>0</v>
      </c>
      <c r="BE86" s="65" t="str">
        <f aca="false">IF(BD86=1,COUNTIF($BD$2:BD86,1),"")</f>
        <v/>
      </c>
    </row>
    <row r="87" customFormat="false" ht="15" hidden="false" customHeight="false" outlineLevel="0" collapsed="false">
      <c r="A87" s="65" t="s">
        <v>695</v>
      </c>
      <c r="B87" s="65" t="s">
        <v>696</v>
      </c>
      <c r="C87" s="65" t="s">
        <v>696</v>
      </c>
      <c r="D87" s="65" t="s">
        <v>371</v>
      </c>
      <c r="E87" s="112" t="n">
        <v>45771</v>
      </c>
      <c r="F87" s="112" t="n">
        <v>45881</v>
      </c>
      <c r="G87" s="65" t="n">
        <v>5</v>
      </c>
      <c r="H87" s="65" t="s">
        <v>474</v>
      </c>
      <c r="I87" s="65" t="s">
        <v>475</v>
      </c>
      <c r="J87" s="65" t="s">
        <v>343</v>
      </c>
      <c r="K87" s="65" t="s">
        <v>697</v>
      </c>
      <c r="L87" s="65" t="s">
        <v>64</v>
      </c>
      <c r="M87" s="113" t="n">
        <v>1.49</v>
      </c>
      <c r="N87" s="114" t="n">
        <v>11000</v>
      </c>
      <c r="O87" s="114" t="n">
        <v>1540</v>
      </c>
      <c r="P87" s="114" t="n">
        <v>16390</v>
      </c>
      <c r="Q87" s="114" t="n">
        <v>16390</v>
      </c>
      <c r="R87" s="114" t="n">
        <v>0</v>
      </c>
      <c r="S87" s="115" t="n">
        <v>1</v>
      </c>
      <c r="T87" s="65" t="n">
        <v>2.459</v>
      </c>
      <c r="U87" s="65" t="n">
        <v>0</v>
      </c>
      <c r="W87" s="115" t="n">
        <v>0.0512</v>
      </c>
      <c r="X87" s="112" t="n">
        <v>44317</v>
      </c>
      <c r="Y87" s="65" t="str">
        <f aca="false">IF(I87="","No SIC",IFERROR(VLOOKUP(I87,Ref!$A$2:$B$65,2,FALSE()),"Unclassified"))</f>
        <v>Auto Repair &amp; Services</v>
      </c>
      <c r="Z87" s="65" t="str">
        <f aca="false">IF(T87="","",IF(T87&lt;12,"Daily","Weekly"))</f>
        <v>Daily</v>
      </c>
      <c r="AA87" s="65" t="n">
        <f aca="false">IF(T87="",0,IF(T87&lt;12,T87*Controls!$B$29,T87*5))</f>
        <v>53.249645</v>
      </c>
      <c r="AB87" s="65" t="n">
        <f aca="false">IF(E87="",0,NETWORKDAYS(E87,Controls!$B$36,Ref!$K$2:$K$42))</f>
        <v>336</v>
      </c>
      <c r="AC87" s="65" t="n">
        <f aca="false">IF(AND(AA87&gt;0,AB87&gt;=Controls!$B$39*AA87),1,0)</f>
        <v>1</v>
      </c>
      <c r="AD87" s="65" t="n">
        <f aca="false">IF(AND(E87&lt;&gt;"",E87&gt;=Controls!$B$37,E87&lt;=Controls!$B$38),1,0)</f>
        <v>1</v>
      </c>
      <c r="AE87" s="65" t="n">
        <f aca="false">IF(IFERROR(VLOOKUP(D87,Controls!$A$64:$E$74,2,FALSE()),"No")="Yes",1,0)</f>
        <v>0</v>
      </c>
      <c r="AF87" s="65" t="n">
        <f aca="false">IF(IFERROR(VLOOKUP(D87,Controls!$A$64:$E$74,3,FALSE()),"No")="Yes",1,0)</f>
        <v>1</v>
      </c>
      <c r="AG87" s="65" t="n">
        <f aca="false">IF(IFERROR(VLOOKUP(D87,Controls!$A$64:$E$74,4,FALSE()),"No")="Yes",1,0)</f>
        <v>1</v>
      </c>
      <c r="AH87" s="65" t="n">
        <f aca="false">IF(IFERROR(VLOOKUP(D87,Controls!$A$64:$E$74,5,FALSE()),"No")="Yes",1,0)</f>
        <v>0</v>
      </c>
      <c r="AI87" s="65" t="n">
        <f aca="false">IF(ISNUMBER(MATCH(D87,Controls!$A$64:$A$74,0)),1,0)</f>
        <v>1</v>
      </c>
      <c r="AJ87" s="65" t="n">
        <f aca="false">Q87-N87</f>
        <v>5390</v>
      </c>
      <c r="AK87" s="65" t="n">
        <f aca="false">IF(AE87=1,MAX(0,N87-Q87),0)</f>
        <v>0</v>
      </c>
      <c r="AL87" s="65" t="n">
        <f aca="false">IF(OR(V87="",V87=0),0,N87/V87)</f>
        <v>0</v>
      </c>
      <c r="AM87" s="65" t="n">
        <f aca="false">IF(OR(V87="",V87=0),0,1)</f>
        <v>0</v>
      </c>
      <c r="AN87" s="65" t="n">
        <f aca="false">IF(OR(E87="",F87=""),0,NETWORKDAYS(E87,F87,Ref!$K$2:$K$42))</f>
        <v>76</v>
      </c>
      <c r="AO87" s="65" t="n">
        <f aca="false">IF(L87="Renewal",1,0)</f>
        <v>0</v>
      </c>
      <c r="AP87" s="65" t="n">
        <f aca="false">AC87*AD87</f>
        <v>1</v>
      </c>
      <c r="AQ87" s="65" t="n">
        <f aca="false">IF(AND(G87&lt;&gt;"",'Historical Score'!$C$6&lt;&gt;""),IF(G87='Historical Score'!$C$6,1,0),0)</f>
        <v>0</v>
      </c>
      <c r="AR87" s="65" t="n">
        <f aca="false">IF(AND(L87&lt;&gt;"",'Historical Score'!$C$5&lt;&gt;""),IF(L87='Historical Score'!$C$5,1,0),0)</f>
        <v>1</v>
      </c>
      <c r="AS87" s="65" t="n">
        <f aca="false">IF(AND(Y87&lt;&gt;"",'Historical Score'!$C$7&lt;&gt;""),IF(Y87='Historical Score'!$C$7,1,0),0)</f>
        <v>0</v>
      </c>
      <c r="AT87" s="65" t="n">
        <f aca="false">IF(AND(K87&lt;&gt;"",'Historical Score'!$C$8&lt;&gt;""),IF(K87='Historical Score'!$C$8,1,0),0)</f>
        <v>0</v>
      </c>
      <c r="AU87" s="65" t="n">
        <f aca="false">IF(AND(J87&lt;&gt;"",'Historical Score'!$C$9&lt;&gt;""),IF(J87='Historical Score'!$C$9,1,0),0)</f>
        <v>0</v>
      </c>
      <c r="AV87" s="65" t="n">
        <f aca="false">AR87*AS87*AQ87</f>
        <v>0</v>
      </c>
      <c r="AW87" s="65" t="n">
        <f aca="false">AR87*AT87*AQ87</f>
        <v>0</v>
      </c>
      <c r="AX87" s="65" t="n">
        <f aca="false">AR87*AS87</f>
        <v>0</v>
      </c>
      <c r="AY87" s="65" t="n">
        <f aca="false">AR87*AT87</f>
        <v>0</v>
      </c>
      <c r="AZ87" s="65" t="n">
        <f aca="false">AR87*AQ87</f>
        <v>0</v>
      </c>
      <c r="BA87" s="65" t="n">
        <f aca="false">AR87</f>
        <v>1</v>
      </c>
      <c r="BB87" s="65" t="n">
        <f aca="false">1</f>
        <v>1</v>
      </c>
      <c r="BC87" s="65" t="n">
        <f aca="false">IF(AV87=1,1,IF(AW87=1,2,IF(AX87=1,3,IF(AY87=1,4,IF(AZ87=1,5,IF(BA87=1,6,7))))))</f>
        <v>6</v>
      </c>
      <c r="BD87" s="65" t="n">
        <f aca="false">IF(AD87=1,CHOOSE('Historical Score'!$C$29,AV87,AW87,AX87,AY87,AZ87,BA87,BB87),0)</f>
        <v>0</v>
      </c>
      <c r="BE87" s="65" t="str">
        <f aca="false">IF(BD87=1,COUNTIF($BD$2:BD87,1),"")</f>
        <v/>
      </c>
    </row>
    <row r="88" customFormat="false" ht="15" hidden="false" customHeight="false" outlineLevel="0" collapsed="false">
      <c r="A88" s="65" t="s">
        <v>698</v>
      </c>
      <c r="B88" s="65" t="s">
        <v>383</v>
      </c>
      <c r="C88" s="65" t="s">
        <v>383</v>
      </c>
      <c r="D88" s="65" t="s">
        <v>371</v>
      </c>
      <c r="E88" s="112" t="n">
        <v>45772</v>
      </c>
      <c r="F88" s="112" t="n">
        <v>45862</v>
      </c>
      <c r="G88" s="65" t="n">
        <v>4</v>
      </c>
      <c r="H88" s="65" t="s">
        <v>384</v>
      </c>
      <c r="I88" s="65" t="s">
        <v>385</v>
      </c>
      <c r="J88" s="65" t="s">
        <v>386</v>
      </c>
      <c r="K88" s="65" t="s">
        <v>387</v>
      </c>
      <c r="L88" s="65" t="s">
        <v>64</v>
      </c>
      <c r="M88" s="113" t="n">
        <v>1.41</v>
      </c>
      <c r="N88" s="114" t="n">
        <v>7000</v>
      </c>
      <c r="O88" s="114" t="n">
        <v>700</v>
      </c>
      <c r="P88" s="114" t="n">
        <v>9870</v>
      </c>
      <c r="Q88" s="114" t="n">
        <v>9870</v>
      </c>
      <c r="R88" s="114" t="n">
        <v>0</v>
      </c>
      <c r="S88" s="115" t="n">
        <v>1</v>
      </c>
      <c r="T88" s="65" t="n">
        <v>2.623</v>
      </c>
      <c r="U88" s="65" t="n">
        <v>0</v>
      </c>
      <c r="W88" s="115" t="n">
        <v>0.1845</v>
      </c>
      <c r="X88" s="112" t="n">
        <v>44105</v>
      </c>
      <c r="Y88" s="65" t="str">
        <f aca="false">IF(I88="","No SIC",IFERROR(VLOOKUP(I88,Ref!$A$2:$B$65,2,FALSE()),"Unclassified"))</f>
        <v>Museums &amp; Botanical Gardens</v>
      </c>
      <c r="Z88" s="65" t="str">
        <f aca="false">IF(T88="","",IF(T88&lt;12,"Daily","Weekly"))</f>
        <v>Daily</v>
      </c>
      <c r="AA88" s="65" t="n">
        <f aca="false">IF(T88="",0,IF(T88&lt;12,T88*Controls!$B$29,T88*5))</f>
        <v>56.801065</v>
      </c>
      <c r="AB88" s="65" t="n">
        <f aca="false">IF(E88="",0,NETWORKDAYS(E88,Controls!$B$36,Ref!$K$2:$K$42))</f>
        <v>335</v>
      </c>
      <c r="AC88" s="65" t="n">
        <f aca="false">IF(AND(AA88&gt;0,AB88&gt;=Controls!$B$39*AA88),1,0)</f>
        <v>1</v>
      </c>
      <c r="AD88" s="65" t="n">
        <f aca="false">IF(AND(E88&lt;&gt;"",E88&gt;=Controls!$B$37,E88&lt;=Controls!$B$38),1,0)</f>
        <v>1</v>
      </c>
      <c r="AE88" s="65" t="n">
        <f aca="false">IF(IFERROR(VLOOKUP(D88,Controls!$A$64:$E$74,2,FALSE()),"No")="Yes",1,0)</f>
        <v>0</v>
      </c>
      <c r="AF88" s="65" t="n">
        <f aca="false">IF(IFERROR(VLOOKUP(D88,Controls!$A$64:$E$74,3,FALSE()),"No")="Yes",1,0)</f>
        <v>1</v>
      </c>
      <c r="AG88" s="65" t="n">
        <f aca="false">IF(IFERROR(VLOOKUP(D88,Controls!$A$64:$E$74,4,FALSE()),"No")="Yes",1,0)</f>
        <v>1</v>
      </c>
      <c r="AH88" s="65" t="n">
        <f aca="false">IF(IFERROR(VLOOKUP(D88,Controls!$A$64:$E$74,5,FALSE()),"No")="Yes",1,0)</f>
        <v>0</v>
      </c>
      <c r="AI88" s="65" t="n">
        <f aca="false">IF(ISNUMBER(MATCH(D88,Controls!$A$64:$A$74,0)),1,0)</f>
        <v>1</v>
      </c>
      <c r="AJ88" s="65" t="n">
        <f aca="false">Q88-N88</f>
        <v>2870</v>
      </c>
      <c r="AK88" s="65" t="n">
        <f aca="false">IF(AE88=1,MAX(0,N88-Q88),0)</f>
        <v>0</v>
      </c>
      <c r="AL88" s="65" t="n">
        <f aca="false">IF(OR(V88="",V88=0),0,N88/V88)</f>
        <v>0</v>
      </c>
      <c r="AM88" s="65" t="n">
        <f aca="false">IF(OR(V88="",V88=0),0,1)</f>
        <v>0</v>
      </c>
      <c r="AN88" s="65" t="n">
        <f aca="false">IF(OR(E88="",F88=""),0,NETWORKDAYS(E88,F88,Ref!$K$2:$K$42))</f>
        <v>62</v>
      </c>
      <c r="AO88" s="65" t="n">
        <f aca="false">IF(L88="Renewal",1,0)</f>
        <v>0</v>
      </c>
      <c r="AP88" s="65" t="n">
        <f aca="false">AC88*AD88</f>
        <v>1</v>
      </c>
      <c r="AQ88" s="65" t="n">
        <f aca="false">IF(AND(G88&lt;&gt;"",'Historical Score'!$C$6&lt;&gt;""),IF(G88='Historical Score'!$C$6,1,0),0)</f>
        <v>0</v>
      </c>
      <c r="AR88" s="65" t="n">
        <f aca="false">IF(AND(L88&lt;&gt;"",'Historical Score'!$C$5&lt;&gt;""),IF(L88='Historical Score'!$C$5,1,0),0)</f>
        <v>1</v>
      </c>
      <c r="AS88" s="65" t="n">
        <f aca="false">IF(AND(Y88&lt;&gt;"",'Historical Score'!$C$7&lt;&gt;""),IF(Y88='Historical Score'!$C$7,1,0),0)</f>
        <v>0</v>
      </c>
      <c r="AT88" s="65" t="n">
        <f aca="false">IF(AND(K88&lt;&gt;"",'Historical Score'!$C$8&lt;&gt;""),IF(K88='Historical Score'!$C$8,1,0),0)</f>
        <v>0</v>
      </c>
      <c r="AU88" s="65" t="n">
        <f aca="false">IF(AND(J88&lt;&gt;"",'Historical Score'!$C$9&lt;&gt;""),IF(J88='Historical Score'!$C$9,1,0),0)</f>
        <v>0</v>
      </c>
      <c r="AV88" s="65" t="n">
        <f aca="false">AR88*AS88*AQ88</f>
        <v>0</v>
      </c>
      <c r="AW88" s="65" t="n">
        <f aca="false">AR88*AT88*AQ88</f>
        <v>0</v>
      </c>
      <c r="AX88" s="65" t="n">
        <f aca="false">AR88*AS88</f>
        <v>0</v>
      </c>
      <c r="AY88" s="65" t="n">
        <f aca="false">AR88*AT88</f>
        <v>0</v>
      </c>
      <c r="AZ88" s="65" t="n">
        <f aca="false">AR88*AQ88</f>
        <v>0</v>
      </c>
      <c r="BA88" s="65" t="n">
        <f aca="false">AR88</f>
        <v>1</v>
      </c>
      <c r="BB88" s="65" t="n">
        <f aca="false">1</f>
        <v>1</v>
      </c>
      <c r="BC88" s="65" t="n">
        <f aca="false">IF(AV88=1,1,IF(AW88=1,2,IF(AX88=1,3,IF(AY88=1,4,IF(AZ88=1,5,IF(BA88=1,6,7))))))</f>
        <v>6</v>
      </c>
      <c r="BD88" s="65" t="n">
        <f aca="false">IF(AD88=1,CHOOSE('Historical Score'!$C$29,AV88,AW88,AX88,AY88,AZ88,BA88,BB88),0)</f>
        <v>0</v>
      </c>
      <c r="BE88" s="65" t="str">
        <f aca="false">IF(BD88=1,COUNTIF($BD$2:BD88,1),"")</f>
        <v/>
      </c>
    </row>
    <row r="89" customFormat="false" ht="15" hidden="false" customHeight="false" outlineLevel="0" collapsed="false">
      <c r="A89" s="65" t="s">
        <v>699</v>
      </c>
      <c r="B89" s="65" t="s">
        <v>549</v>
      </c>
      <c r="C89" s="65" t="s">
        <v>549</v>
      </c>
      <c r="D89" s="65" t="s">
        <v>340</v>
      </c>
      <c r="E89" s="112" t="n">
        <v>45772</v>
      </c>
      <c r="F89" s="112" t="n">
        <v>45846</v>
      </c>
      <c r="G89" s="65" t="n">
        <v>6</v>
      </c>
      <c r="H89" s="65" t="s">
        <v>479</v>
      </c>
      <c r="I89" s="65" t="s">
        <v>356</v>
      </c>
      <c r="J89" s="65" t="s">
        <v>61</v>
      </c>
      <c r="K89" s="65" t="s">
        <v>550</v>
      </c>
      <c r="L89" s="65" t="s">
        <v>64</v>
      </c>
      <c r="M89" s="113" t="n">
        <v>1.49</v>
      </c>
      <c r="N89" s="114" t="n">
        <v>10000</v>
      </c>
      <c r="O89" s="114" t="n">
        <v>1400</v>
      </c>
      <c r="P89" s="114" t="n">
        <v>14900</v>
      </c>
      <c r="Q89" s="114" t="n">
        <v>3491.39</v>
      </c>
      <c r="R89" s="114" t="n">
        <v>11408.61</v>
      </c>
      <c r="S89" s="115" t="n">
        <v>0.234321476510067</v>
      </c>
      <c r="T89" s="65" t="n">
        <v>2.623</v>
      </c>
      <c r="U89" s="65" t="n">
        <v>9</v>
      </c>
      <c r="W89" s="115" t="n">
        <v>0.1024</v>
      </c>
      <c r="X89" s="112" t="n">
        <v>44927</v>
      </c>
      <c r="Y89" s="65" t="str">
        <f aca="false">IF(I89="","No SIC",IFERROR(VLOOKUP(I89,Ref!$A$2:$B$65,2,FALSE()),"Unclassified"))</f>
        <v>Trucking &amp; Warehousing</v>
      </c>
      <c r="Z89" s="65" t="str">
        <f aca="false">IF(T89="","",IF(T89&lt;12,"Daily","Weekly"))</f>
        <v>Daily</v>
      </c>
      <c r="AA89" s="65" t="n">
        <f aca="false">IF(T89="",0,IF(T89&lt;12,T89*Controls!$B$29,T89*5))</f>
        <v>56.801065</v>
      </c>
      <c r="AB89" s="65" t="n">
        <f aca="false">IF(E89="",0,NETWORKDAYS(E89,Controls!$B$36,Ref!$K$2:$K$42))</f>
        <v>335</v>
      </c>
      <c r="AC89" s="65" t="n">
        <f aca="false">IF(AND(AA89&gt;0,AB89&gt;=Controls!$B$39*AA89),1,0)</f>
        <v>1</v>
      </c>
      <c r="AD89" s="65" t="n">
        <f aca="false">IF(AND(E89&lt;&gt;"",E89&gt;=Controls!$B$37,E89&lt;=Controls!$B$38),1,0)</f>
        <v>1</v>
      </c>
      <c r="AE89" s="65" t="n">
        <f aca="false">IF(IFERROR(VLOOKUP(D89,Controls!$A$64:$E$74,2,FALSE()),"No")="Yes",1,0)</f>
        <v>1</v>
      </c>
      <c r="AF89" s="65" t="n">
        <f aca="false">IF(IFERROR(VLOOKUP(D89,Controls!$A$64:$E$74,3,FALSE()),"No")="Yes",1,0)</f>
        <v>0</v>
      </c>
      <c r="AG89" s="65" t="n">
        <f aca="false">IF(IFERROR(VLOOKUP(D89,Controls!$A$64:$E$74,4,FALSE()),"No")="Yes",1,0)</f>
        <v>0</v>
      </c>
      <c r="AH89" s="65" t="n">
        <f aca="false">IF(IFERROR(VLOOKUP(D89,Controls!$A$64:$E$74,5,FALSE()),"No")="Yes",1,0)</f>
        <v>0</v>
      </c>
      <c r="AI89" s="65" t="n">
        <f aca="false">IF(ISNUMBER(MATCH(D89,Controls!$A$64:$A$74,0)),1,0)</f>
        <v>1</v>
      </c>
      <c r="AJ89" s="65" t="n">
        <f aca="false">Q89-N89</f>
        <v>-6508.61</v>
      </c>
      <c r="AK89" s="65" t="n">
        <f aca="false">IF(AE89=1,MAX(0,N89-Q89),0)</f>
        <v>6508.61</v>
      </c>
      <c r="AL89" s="65" t="n">
        <f aca="false">IF(OR(V89="",V89=0),0,N89/V89)</f>
        <v>0</v>
      </c>
      <c r="AM89" s="65" t="n">
        <f aca="false">IF(OR(V89="",V89=0),0,1)</f>
        <v>0</v>
      </c>
      <c r="AN89" s="65" t="n">
        <f aca="false">IF(OR(E89="",F89=""),0,NETWORKDAYS(E89,F89,Ref!$K$2:$K$42))</f>
        <v>50</v>
      </c>
      <c r="AO89" s="65" t="n">
        <f aca="false">IF(L89="Renewal",1,0)</f>
        <v>0</v>
      </c>
      <c r="AP89" s="65" t="n">
        <f aca="false">AC89*AD89</f>
        <v>1</v>
      </c>
      <c r="AQ89" s="65" t="n">
        <f aca="false">IF(AND(G89&lt;&gt;"",'Historical Score'!$C$6&lt;&gt;""),IF(G89='Historical Score'!$C$6,1,0),0)</f>
        <v>0</v>
      </c>
      <c r="AR89" s="65" t="n">
        <f aca="false">IF(AND(L89&lt;&gt;"",'Historical Score'!$C$5&lt;&gt;""),IF(L89='Historical Score'!$C$5,1,0),0)</f>
        <v>1</v>
      </c>
      <c r="AS89" s="65" t="n">
        <f aca="false">IF(AND(Y89&lt;&gt;"",'Historical Score'!$C$7&lt;&gt;""),IF(Y89='Historical Score'!$C$7,1,0),0)</f>
        <v>0</v>
      </c>
      <c r="AT89" s="65" t="n">
        <f aca="false">IF(AND(K89&lt;&gt;"",'Historical Score'!$C$8&lt;&gt;""),IF(K89='Historical Score'!$C$8,1,0),0)</f>
        <v>0</v>
      </c>
      <c r="AU89" s="65" t="n">
        <f aca="false">IF(AND(J89&lt;&gt;"",'Historical Score'!$C$9&lt;&gt;""),IF(J89='Historical Score'!$C$9,1,0),0)</f>
        <v>1</v>
      </c>
      <c r="AV89" s="65" t="n">
        <f aca="false">AR89*AS89*AQ89</f>
        <v>0</v>
      </c>
      <c r="AW89" s="65" t="n">
        <f aca="false">AR89*AT89*AQ89</f>
        <v>0</v>
      </c>
      <c r="AX89" s="65" t="n">
        <f aca="false">AR89*AS89</f>
        <v>0</v>
      </c>
      <c r="AY89" s="65" t="n">
        <f aca="false">AR89*AT89</f>
        <v>0</v>
      </c>
      <c r="AZ89" s="65" t="n">
        <f aca="false">AR89*AQ89</f>
        <v>0</v>
      </c>
      <c r="BA89" s="65" t="n">
        <f aca="false">AR89</f>
        <v>1</v>
      </c>
      <c r="BB89" s="65" t="n">
        <f aca="false">1</f>
        <v>1</v>
      </c>
      <c r="BC89" s="65" t="n">
        <f aca="false">IF(AV89=1,1,IF(AW89=1,2,IF(AX89=1,3,IF(AY89=1,4,IF(AZ89=1,5,IF(BA89=1,6,7))))))</f>
        <v>6</v>
      </c>
      <c r="BD89" s="65" t="n">
        <f aca="false">IF(AD89=1,CHOOSE('Historical Score'!$C$29,AV89,AW89,AX89,AY89,AZ89,BA89,BB89),0)</f>
        <v>0</v>
      </c>
      <c r="BE89" s="65" t="str">
        <f aca="false">IF(BD89=1,COUNTIF($BD$2:BD89,1),"")</f>
        <v/>
      </c>
    </row>
    <row r="90" customFormat="false" ht="15" hidden="false" customHeight="false" outlineLevel="0" collapsed="false">
      <c r="A90" s="65" t="s">
        <v>700</v>
      </c>
      <c r="B90" s="65" t="s">
        <v>701</v>
      </c>
      <c r="C90" s="65" t="s">
        <v>701</v>
      </c>
      <c r="D90" s="65" t="s">
        <v>371</v>
      </c>
      <c r="E90" s="112" t="n">
        <v>45776</v>
      </c>
      <c r="F90" s="112" t="n">
        <v>45922</v>
      </c>
      <c r="G90" s="65" t="n">
        <v>7</v>
      </c>
      <c r="H90" s="65" t="s">
        <v>702</v>
      </c>
      <c r="I90" s="65" t="s">
        <v>703</v>
      </c>
      <c r="J90" s="65" t="s">
        <v>704</v>
      </c>
      <c r="K90" s="65" t="s">
        <v>55</v>
      </c>
      <c r="L90" s="65" t="s">
        <v>64</v>
      </c>
      <c r="M90" s="113" t="n">
        <v>1.49</v>
      </c>
      <c r="N90" s="114" t="n">
        <v>20000</v>
      </c>
      <c r="O90" s="114" t="n">
        <v>2800</v>
      </c>
      <c r="P90" s="114" t="n">
        <v>29800</v>
      </c>
      <c r="Q90" s="114" t="n">
        <v>29800</v>
      </c>
      <c r="R90" s="114" t="n">
        <v>0</v>
      </c>
      <c r="S90" s="115" t="n">
        <v>1</v>
      </c>
      <c r="T90" s="65" t="n">
        <v>20</v>
      </c>
      <c r="U90" s="65" t="n">
        <v>0</v>
      </c>
      <c r="W90" s="115" t="n">
        <v>0.0225</v>
      </c>
      <c r="X90" s="112" t="n">
        <v>36892</v>
      </c>
      <c r="Y90" s="65" t="str">
        <f aca="false">IF(I90="","No SIC",IFERROR(VLOOKUP(I90,Ref!$A$2:$B$65,2,FALSE()),"Unclassified"))</f>
        <v>Wholesale Trade - Nondurable Goods</v>
      </c>
      <c r="Z90" s="65" t="str">
        <f aca="false">IF(T90="","",IF(T90&lt;12,"Daily","Weekly"))</f>
        <v>Weekly</v>
      </c>
      <c r="AA90" s="65" t="n">
        <f aca="false">IF(T90="",0,IF(T90&lt;12,T90*Controls!$B$29,T90*5))</f>
        <v>100</v>
      </c>
      <c r="AB90" s="65" t="n">
        <f aca="false">IF(E90="",0,NETWORKDAYS(E90,Controls!$B$36,Ref!$K$2:$K$42))</f>
        <v>333</v>
      </c>
      <c r="AC90" s="65" t="n">
        <f aca="false">IF(AND(AA90&gt;0,AB90&gt;=Controls!$B$39*AA90),1,0)</f>
        <v>1</v>
      </c>
      <c r="AD90" s="65" t="n">
        <f aca="false">IF(AND(E90&lt;&gt;"",E90&gt;=Controls!$B$37,E90&lt;=Controls!$B$38),1,0)</f>
        <v>1</v>
      </c>
      <c r="AE90" s="65" t="n">
        <f aca="false">IF(IFERROR(VLOOKUP(D90,Controls!$A$64:$E$74,2,FALSE()),"No")="Yes",1,0)</f>
        <v>0</v>
      </c>
      <c r="AF90" s="65" t="n">
        <f aca="false">IF(IFERROR(VLOOKUP(D90,Controls!$A$64:$E$74,3,FALSE()),"No")="Yes",1,0)</f>
        <v>1</v>
      </c>
      <c r="AG90" s="65" t="n">
        <f aca="false">IF(IFERROR(VLOOKUP(D90,Controls!$A$64:$E$74,4,FALSE()),"No")="Yes",1,0)</f>
        <v>1</v>
      </c>
      <c r="AH90" s="65" t="n">
        <f aca="false">IF(IFERROR(VLOOKUP(D90,Controls!$A$64:$E$74,5,FALSE()),"No")="Yes",1,0)</f>
        <v>0</v>
      </c>
      <c r="AI90" s="65" t="n">
        <f aca="false">IF(ISNUMBER(MATCH(D90,Controls!$A$64:$A$74,0)),1,0)</f>
        <v>1</v>
      </c>
      <c r="AJ90" s="65" t="n">
        <f aca="false">Q90-N90</f>
        <v>9800</v>
      </c>
      <c r="AK90" s="65" t="n">
        <f aca="false">IF(AE90=1,MAX(0,N90-Q90),0)</f>
        <v>0</v>
      </c>
      <c r="AL90" s="65" t="n">
        <f aca="false">IF(OR(V90="",V90=0),0,N90/V90)</f>
        <v>0</v>
      </c>
      <c r="AM90" s="65" t="n">
        <f aca="false">IF(OR(V90="",V90=0),0,1)</f>
        <v>0</v>
      </c>
      <c r="AN90" s="65" t="n">
        <f aca="false">IF(OR(E90="",F90=""),0,NETWORKDAYS(E90,F90,Ref!$K$2:$K$42))</f>
        <v>101</v>
      </c>
      <c r="AO90" s="65" t="n">
        <f aca="false">IF(L90="Renewal",1,0)</f>
        <v>0</v>
      </c>
      <c r="AP90" s="65" t="n">
        <f aca="false">AC90*AD90</f>
        <v>1</v>
      </c>
      <c r="AQ90" s="65" t="n">
        <f aca="false">IF(AND(G90&lt;&gt;"",'Historical Score'!$C$6&lt;&gt;""),IF(G90='Historical Score'!$C$6,1,0),0)</f>
        <v>0</v>
      </c>
      <c r="AR90" s="65" t="n">
        <f aca="false">IF(AND(L90&lt;&gt;"",'Historical Score'!$C$5&lt;&gt;""),IF(L90='Historical Score'!$C$5,1,0),0)</f>
        <v>1</v>
      </c>
      <c r="AS90" s="65" t="n">
        <f aca="false">IF(AND(Y90&lt;&gt;"",'Historical Score'!$C$7&lt;&gt;""),IF(Y90='Historical Score'!$C$7,1,0),0)</f>
        <v>0</v>
      </c>
      <c r="AT90" s="65" t="n">
        <f aca="false">IF(AND(K90&lt;&gt;"",'Historical Score'!$C$8&lt;&gt;""),IF(K90='Historical Score'!$C$8,1,0),0)</f>
        <v>1</v>
      </c>
      <c r="AU90" s="65" t="n">
        <f aca="false">IF(AND(J90&lt;&gt;"",'Historical Score'!$C$9&lt;&gt;""),IF(J90='Historical Score'!$C$9,1,0),0)</f>
        <v>0</v>
      </c>
      <c r="AV90" s="65" t="n">
        <f aca="false">AR90*AS90*AQ90</f>
        <v>0</v>
      </c>
      <c r="AW90" s="65" t="n">
        <f aca="false">AR90*AT90*AQ90</f>
        <v>0</v>
      </c>
      <c r="AX90" s="65" t="n">
        <f aca="false">AR90*AS90</f>
        <v>0</v>
      </c>
      <c r="AY90" s="65" t="n">
        <f aca="false">AR90*AT90</f>
        <v>1</v>
      </c>
      <c r="AZ90" s="65" t="n">
        <f aca="false">AR90*AQ90</f>
        <v>0</v>
      </c>
      <c r="BA90" s="65" t="n">
        <f aca="false">AR90</f>
        <v>1</v>
      </c>
      <c r="BB90" s="65" t="n">
        <f aca="false">1</f>
        <v>1</v>
      </c>
      <c r="BC90" s="65" t="n">
        <f aca="false">IF(AV90=1,1,IF(AW90=1,2,IF(AX90=1,3,IF(AY90=1,4,IF(AZ90=1,5,IF(BA90=1,6,7))))))</f>
        <v>4</v>
      </c>
      <c r="BD90" s="65" t="n">
        <f aca="false">IF(AD90=1,CHOOSE('Historical Score'!$C$29,AV90,AW90,AX90,AY90,AZ90,BA90,BB90),0)</f>
        <v>0</v>
      </c>
      <c r="BE90" s="65" t="str">
        <f aca="false">IF(BD90=1,COUNTIF($BD$2:BD90,1),"")</f>
        <v/>
      </c>
    </row>
    <row r="91" customFormat="false" ht="15" hidden="false" customHeight="false" outlineLevel="0" collapsed="false">
      <c r="A91" s="65" t="s">
        <v>705</v>
      </c>
      <c r="B91" s="65" t="s">
        <v>440</v>
      </c>
      <c r="C91" s="65" t="s">
        <v>706</v>
      </c>
      <c r="D91" s="65" t="s">
        <v>371</v>
      </c>
      <c r="E91" s="112" t="n">
        <v>45776</v>
      </c>
      <c r="F91" s="112" t="n">
        <v>45884</v>
      </c>
      <c r="G91" s="65" t="n">
        <v>6</v>
      </c>
      <c r="H91" s="65" t="s">
        <v>442</v>
      </c>
      <c r="I91" s="65" t="s">
        <v>443</v>
      </c>
      <c r="J91" s="65" t="s">
        <v>350</v>
      </c>
      <c r="K91" s="65" t="s">
        <v>444</v>
      </c>
      <c r="L91" s="65" t="s">
        <v>320</v>
      </c>
      <c r="M91" s="113" t="n">
        <v>1.49</v>
      </c>
      <c r="N91" s="114" t="n">
        <v>6000</v>
      </c>
      <c r="O91" s="114" t="n">
        <v>840</v>
      </c>
      <c r="P91" s="114" t="n">
        <v>8940</v>
      </c>
      <c r="Q91" s="114" t="n">
        <v>8940</v>
      </c>
      <c r="R91" s="114" t="n">
        <v>0</v>
      </c>
      <c r="S91" s="115" t="n">
        <v>1</v>
      </c>
      <c r="T91" s="65" t="n">
        <v>2.623</v>
      </c>
      <c r="U91" s="65" t="n">
        <v>0</v>
      </c>
      <c r="W91" s="115" t="n">
        <v>0.0835</v>
      </c>
      <c r="X91" s="112" t="n">
        <v>45447</v>
      </c>
      <c r="Y91" s="65" t="str">
        <f aca="false">IF(I91="","No SIC",IFERROR(VLOOKUP(I91,Ref!$A$2:$B$65,2,FALSE()),"Unclassified"))</f>
        <v>General Building Contractors</v>
      </c>
      <c r="Z91" s="65" t="str">
        <f aca="false">IF(T91="","",IF(T91&lt;12,"Daily","Weekly"))</f>
        <v>Daily</v>
      </c>
      <c r="AA91" s="65" t="n">
        <f aca="false">IF(T91="",0,IF(T91&lt;12,T91*Controls!$B$29,T91*5))</f>
        <v>56.801065</v>
      </c>
      <c r="AB91" s="65" t="n">
        <f aca="false">IF(E91="",0,NETWORKDAYS(E91,Controls!$B$36,Ref!$K$2:$K$42))</f>
        <v>333</v>
      </c>
      <c r="AC91" s="65" t="n">
        <f aca="false">IF(AND(AA91&gt;0,AB91&gt;=Controls!$B$39*AA91),1,0)</f>
        <v>1</v>
      </c>
      <c r="AD91" s="65" t="n">
        <f aca="false">IF(AND(E91&lt;&gt;"",E91&gt;=Controls!$B$37,E91&lt;=Controls!$B$38),1,0)</f>
        <v>1</v>
      </c>
      <c r="AE91" s="65" t="n">
        <f aca="false">IF(IFERROR(VLOOKUP(D91,Controls!$A$64:$E$74,2,FALSE()),"No")="Yes",1,0)</f>
        <v>0</v>
      </c>
      <c r="AF91" s="65" t="n">
        <f aca="false">IF(IFERROR(VLOOKUP(D91,Controls!$A$64:$E$74,3,FALSE()),"No")="Yes",1,0)</f>
        <v>1</v>
      </c>
      <c r="AG91" s="65" t="n">
        <f aca="false">IF(IFERROR(VLOOKUP(D91,Controls!$A$64:$E$74,4,FALSE()),"No")="Yes",1,0)</f>
        <v>1</v>
      </c>
      <c r="AH91" s="65" t="n">
        <f aca="false">IF(IFERROR(VLOOKUP(D91,Controls!$A$64:$E$74,5,FALSE()),"No")="Yes",1,0)</f>
        <v>0</v>
      </c>
      <c r="AI91" s="65" t="n">
        <f aca="false">IF(ISNUMBER(MATCH(D91,Controls!$A$64:$A$74,0)),1,0)</f>
        <v>1</v>
      </c>
      <c r="AJ91" s="65" t="n">
        <f aca="false">Q91-N91</f>
        <v>2940</v>
      </c>
      <c r="AK91" s="65" t="n">
        <f aca="false">IF(AE91=1,MAX(0,N91-Q91),0)</f>
        <v>0</v>
      </c>
      <c r="AL91" s="65" t="n">
        <f aca="false">IF(OR(V91="",V91=0),0,N91/V91)</f>
        <v>0</v>
      </c>
      <c r="AM91" s="65" t="n">
        <f aca="false">IF(OR(V91="",V91=0),0,1)</f>
        <v>0</v>
      </c>
      <c r="AN91" s="65" t="n">
        <f aca="false">IF(OR(E91="",F91=""),0,NETWORKDAYS(E91,F91,Ref!$K$2:$K$42))</f>
        <v>76</v>
      </c>
      <c r="AO91" s="65" t="n">
        <f aca="false">IF(L91="Renewal",1,0)</f>
        <v>1</v>
      </c>
      <c r="AP91" s="65" t="n">
        <f aca="false">AC91*AD91</f>
        <v>1</v>
      </c>
      <c r="AQ91" s="65" t="n">
        <f aca="false">IF(AND(G91&lt;&gt;"",'Historical Score'!$C$6&lt;&gt;""),IF(G91='Historical Score'!$C$6,1,0),0)</f>
        <v>0</v>
      </c>
      <c r="AR91" s="65" t="n">
        <f aca="false">IF(AND(L91&lt;&gt;"",'Historical Score'!$C$5&lt;&gt;""),IF(L91='Historical Score'!$C$5,1,0),0)</f>
        <v>0</v>
      </c>
      <c r="AS91" s="65" t="n">
        <f aca="false">IF(AND(Y91&lt;&gt;"",'Historical Score'!$C$7&lt;&gt;""),IF(Y91='Historical Score'!$C$7,1,0),0)</f>
        <v>1</v>
      </c>
      <c r="AT91" s="65" t="n">
        <f aca="false">IF(AND(K91&lt;&gt;"",'Historical Score'!$C$8&lt;&gt;""),IF(K91='Historical Score'!$C$8,1,0),0)</f>
        <v>0</v>
      </c>
      <c r="AU91" s="65" t="n">
        <f aca="false">IF(AND(J91&lt;&gt;"",'Historical Score'!$C$9&lt;&gt;""),IF(J91='Historical Score'!$C$9,1,0),0)</f>
        <v>0</v>
      </c>
      <c r="AV91" s="65" t="n">
        <f aca="false">AR91*AS91*AQ91</f>
        <v>0</v>
      </c>
      <c r="AW91" s="65" t="n">
        <f aca="false">AR91*AT91*AQ91</f>
        <v>0</v>
      </c>
      <c r="AX91" s="65" t="n">
        <f aca="false">AR91*AS91</f>
        <v>0</v>
      </c>
      <c r="AY91" s="65" t="n">
        <f aca="false">AR91*AT91</f>
        <v>0</v>
      </c>
      <c r="AZ91" s="65" t="n">
        <f aca="false">AR91*AQ91</f>
        <v>0</v>
      </c>
      <c r="BA91" s="65" t="n">
        <f aca="false">AR91</f>
        <v>0</v>
      </c>
      <c r="BB91" s="65" t="n">
        <f aca="false">1</f>
        <v>1</v>
      </c>
      <c r="BC91" s="65" t="n">
        <f aca="false">IF(AV91=1,1,IF(AW91=1,2,IF(AX91=1,3,IF(AY91=1,4,IF(AZ91=1,5,IF(BA91=1,6,7))))))</f>
        <v>7</v>
      </c>
      <c r="BD91" s="65" t="n">
        <f aca="false">IF(AD91=1,CHOOSE('Historical Score'!$C$29,AV91,AW91,AX91,AY91,AZ91,BA91,BB91),0)</f>
        <v>0</v>
      </c>
      <c r="BE91" s="65" t="str">
        <f aca="false">IF(BD91=1,COUNTIF($BD$2:BD91,1),"")</f>
        <v/>
      </c>
    </row>
    <row r="92" customFormat="false" ht="15" hidden="false" customHeight="false" outlineLevel="0" collapsed="false">
      <c r="A92" s="65" t="s">
        <v>707</v>
      </c>
      <c r="B92" s="65" t="s">
        <v>708</v>
      </c>
      <c r="C92" s="65" t="s">
        <v>709</v>
      </c>
      <c r="D92" s="65" t="s">
        <v>371</v>
      </c>
      <c r="E92" s="112" t="n">
        <v>45777</v>
      </c>
      <c r="F92" s="112" t="n">
        <v>45887</v>
      </c>
      <c r="G92" s="65" t="n">
        <v>2</v>
      </c>
      <c r="H92" s="65" t="s">
        <v>451</v>
      </c>
      <c r="I92" s="65" t="s">
        <v>425</v>
      </c>
      <c r="J92" s="65" t="s">
        <v>452</v>
      </c>
      <c r="K92" s="65" t="s">
        <v>501</v>
      </c>
      <c r="L92" s="65" t="s">
        <v>64</v>
      </c>
      <c r="M92" s="113" t="n">
        <v>1.499</v>
      </c>
      <c r="N92" s="114" t="n">
        <v>5000</v>
      </c>
      <c r="O92" s="114" t="n">
        <v>700</v>
      </c>
      <c r="P92" s="114" t="n">
        <v>7495</v>
      </c>
      <c r="Q92" s="114" t="n">
        <v>7495</v>
      </c>
      <c r="R92" s="114" t="n">
        <v>9.09494701772928E-013</v>
      </c>
      <c r="S92" s="115" t="n">
        <v>1</v>
      </c>
      <c r="T92" s="65" t="n">
        <v>2.459</v>
      </c>
      <c r="U92" s="65" t="n">
        <v>0</v>
      </c>
      <c r="W92" s="115" t="n">
        <v>0.1189</v>
      </c>
      <c r="X92" s="112" t="n">
        <v>43757</v>
      </c>
      <c r="Y92" s="65" t="str">
        <f aca="false">IF(I92="","No SIC",IFERROR(VLOOKUP(I92,Ref!$A$2:$B$65,2,FALSE()),"Unclassified"))</f>
        <v>Personal Services</v>
      </c>
      <c r="Z92" s="65" t="str">
        <f aca="false">IF(T92="","",IF(T92&lt;12,"Daily","Weekly"))</f>
        <v>Daily</v>
      </c>
      <c r="AA92" s="65" t="n">
        <f aca="false">IF(T92="",0,IF(T92&lt;12,T92*Controls!$B$29,T92*5))</f>
        <v>53.249645</v>
      </c>
      <c r="AB92" s="65" t="n">
        <f aca="false">IF(E92="",0,NETWORKDAYS(E92,Controls!$B$36,Ref!$K$2:$K$42))</f>
        <v>332</v>
      </c>
      <c r="AC92" s="65" t="n">
        <f aca="false">IF(AND(AA92&gt;0,AB92&gt;=Controls!$B$39*AA92),1,0)</f>
        <v>1</v>
      </c>
      <c r="AD92" s="65" t="n">
        <f aca="false">IF(AND(E92&lt;&gt;"",E92&gt;=Controls!$B$37,E92&lt;=Controls!$B$38),1,0)</f>
        <v>1</v>
      </c>
      <c r="AE92" s="65" t="n">
        <f aca="false">IF(IFERROR(VLOOKUP(D92,Controls!$A$64:$E$74,2,FALSE()),"No")="Yes",1,0)</f>
        <v>0</v>
      </c>
      <c r="AF92" s="65" t="n">
        <f aca="false">IF(IFERROR(VLOOKUP(D92,Controls!$A$64:$E$74,3,FALSE()),"No")="Yes",1,0)</f>
        <v>1</v>
      </c>
      <c r="AG92" s="65" t="n">
        <f aca="false">IF(IFERROR(VLOOKUP(D92,Controls!$A$64:$E$74,4,FALSE()),"No")="Yes",1,0)</f>
        <v>1</v>
      </c>
      <c r="AH92" s="65" t="n">
        <f aca="false">IF(IFERROR(VLOOKUP(D92,Controls!$A$64:$E$74,5,FALSE()),"No")="Yes",1,0)</f>
        <v>0</v>
      </c>
      <c r="AI92" s="65" t="n">
        <f aca="false">IF(ISNUMBER(MATCH(D92,Controls!$A$64:$A$74,0)),1,0)</f>
        <v>1</v>
      </c>
      <c r="AJ92" s="65" t="n">
        <f aca="false">Q92-N92</f>
        <v>2495</v>
      </c>
      <c r="AK92" s="65" t="n">
        <f aca="false">IF(AE92=1,MAX(0,N92-Q92),0)</f>
        <v>0</v>
      </c>
      <c r="AL92" s="65" t="n">
        <f aca="false">IF(OR(V92="",V92=0),0,N92/V92)</f>
        <v>0</v>
      </c>
      <c r="AM92" s="65" t="n">
        <f aca="false">IF(OR(V92="",V92=0),0,1)</f>
        <v>0</v>
      </c>
      <c r="AN92" s="65" t="n">
        <f aca="false">IF(OR(E92="",F92=""),0,NETWORKDAYS(E92,F92,Ref!$K$2:$K$42))</f>
        <v>76</v>
      </c>
      <c r="AO92" s="65" t="n">
        <f aca="false">IF(L92="Renewal",1,0)</f>
        <v>0</v>
      </c>
      <c r="AP92" s="65" t="n">
        <f aca="false">AC92*AD92</f>
        <v>1</v>
      </c>
      <c r="AQ92" s="65" t="n">
        <f aca="false">IF(AND(G92&lt;&gt;"",'Historical Score'!$C$6&lt;&gt;""),IF(G92='Historical Score'!$C$6,1,0),0)</f>
        <v>1</v>
      </c>
      <c r="AR92" s="65" t="n">
        <f aca="false">IF(AND(L92&lt;&gt;"",'Historical Score'!$C$5&lt;&gt;""),IF(L92='Historical Score'!$C$5,1,0),0)</f>
        <v>1</v>
      </c>
      <c r="AS92" s="65" t="n">
        <f aca="false">IF(AND(Y92&lt;&gt;"",'Historical Score'!$C$7&lt;&gt;""),IF(Y92='Historical Score'!$C$7,1,0),0)</f>
        <v>0</v>
      </c>
      <c r="AT92" s="65" t="n">
        <f aca="false">IF(AND(K92&lt;&gt;"",'Historical Score'!$C$8&lt;&gt;""),IF(K92='Historical Score'!$C$8,1,0),0)</f>
        <v>0</v>
      </c>
      <c r="AU92" s="65" t="n">
        <f aca="false">IF(AND(J92&lt;&gt;"",'Historical Score'!$C$9&lt;&gt;""),IF(J92='Historical Score'!$C$9,1,0),0)</f>
        <v>0</v>
      </c>
      <c r="AV92" s="65" t="n">
        <f aca="false">AR92*AS92*AQ92</f>
        <v>0</v>
      </c>
      <c r="AW92" s="65" t="n">
        <f aca="false">AR92*AT92*AQ92</f>
        <v>0</v>
      </c>
      <c r="AX92" s="65" t="n">
        <f aca="false">AR92*AS92</f>
        <v>0</v>
      </c>
      <c r="AY92" s="65" t="n">
        <f aca="false">AR92*AT92</f>
        <v>0</v>
      </c>
      <c r="AZ92" s="65" t="n">
        <f aca="false">AR92*AQ92</f>
        <v>1</v>
      </c>
      <c r="BA92" s="65" t="n">
        <f aca="false">AR92</f>
        <v>1</v>
      </c>
      <c r="BB92" s="65" t="n">
        <f aca="false">1</f>
        <v>1</v>
      </c>
      <c r="BC92" s="65" t="n">
        <f aca="false">IF(AV92=1,1,IF(AW92=1,2,IF(AX92=1,3,IF(AY92=1,4,IF(AZ92=1,5,IF(BA92=1,6,7))))))</f>
        <v>5</v>
      </c>
      <c r="BD92" s="65" t="n">
        <f aca="false">IF(AD92=1,CHOOSE('Historical Score'!$C$29,AV92,AW92,AX92,AY92,AZ92,BA92,BB92),0)</f>
        <v>0</v>
      </c>
      <c r="BE92" s="65" t="str">
        <f aca="false">IF(BD92=1,COUNTIF($BD$2:BD92,1),"")</f>
        <v/>
      </c>
    </row>
    <row r="93" customFormat="false" ht="15" hidden="false" customHeight="false" outlineLevel="0" collapsed="false">
      <c r="A93" s="65" t="s">
        <v>710</v>
      </c>
      <c r="B93" s="65" t="s">
        <v>711</v>
      </c>
      <c r="C93" s="65" t="s">
        <v>712</v>
      </c>
      <c r="D93" s="65" t="s">
        <v>371</v>
      </c>
      <c r="E93" s="112" t="n">
        <v>45778</v>
      </c>
      <c r="F93" s="112" t="n">
        <v>45896</v>
      </c>
      <c r="G93" s="65" t="n">
        <v>3</v>
      </c>
      <c r="H93" s="65" t="s">
        <v>451</v>
      </c>
      <c r="I93" s="65" t="s">
        <v>425</v>
      </c>
      <c r="J93" s="65" t="s">
        <v>506</v>
      </c>
      <c r="K93" s="65" t="s">
        <v>713</v>
      </c>
      <c r="L93" s="65" t="s">
        <v>64</v>
      </c>
      <c r="M93" s="113" t="n">
        <v>1.499</v>
      </c>
      <c r="N93" s="114" t="n">
        <v>20000</v>
      </c>
      <c r="O93" s="114" t="n">
        <v>2800</v>
      </c>
      <c r="P93" s="114" t="n">
        <v>29980</v>
      </c>
      <c r="Q93" s="114" t="n">
        <v>29980</v>
      </c>
      <c r="R93" s="114" t="n">
        <v>3.63797880709171E-012</v>
      </c>
      <c r="S93" s="115" t="n">
        <v>1</v>
      </c>
      <c r="T93" s="65" t="n">
        <v>2.623</v>
      </c>
      <c r="U93" s="65" t="n">
        <v>1</v>
      </c>
      <c r="W93" s="115" t="n">
        <v>0.1117</v>
      </c>
      <c r="X93" s="112" t="n">
        <v>43166</v>
      </c>
      <c r="Y93" s="65" t="str">
        <f aca="false">IF(I93="","No SIC",IFERROR(VLOOKUP(I93,Ref!$A$2:$B$65,2,FALSE()),"Unclassified"))</f>
        <v>Personal Services</v>
      </c>
      <c r="Z93" s="65" t="str">
        <f aca="false">IF(T93="","",IF(T93&lt;12,"Daily","Weekly"))</f>
        <v>Daily</v>
      </c>
      <c r="AA93" s="65" t="n">
        <f aca="false">IF(T93="",0,IF(T93&lt;12,T93*Controls!$B$29,T93*5))</f>
        <v>56.801065</v>
      </c>
      <c r="AB93" s="65" t="n">
        <f aca="false">IF(E93="",0,NETWORKDAYS(E93,Controls!$B$36,Ref!$K$2:$K$42))</f>
        <v>331</v>
      </c>
      <c r="AC93" s="65" t="n">
        <f aca="false">IF(AND(AA93&gt;0,AB93&gt;=Controls!$B$39*AA93),1,0)</f>
        <v>1</v>
      </c>
      <c r="AD93" s="65" t="n">
        <f aca="false">IF(AND(E93&lt;&gt;"",E93&gt;=Controls!$B$37,E93&lt;=Controls!$B$38),1,0)</f>
        <v>1</v>
      </c>
      <c r="AE93" s="65" t="n">
        <f aca="false">IF(IFERROR(VLOOKUP(D93,Controls!$A$64:$E$74,2,FALSE()),"No")="Yes",1,0)</f>
        <v>0</v>
      </c>
      <c r="AF93" s="65" t="n">
        <f aca="false">IF(IFERROR(VLOOKUP(D93,Controls!$A$64:$E$74,3,FALSE()),"No")="Yes",1,0)</f>
        <v>1</v>
      </c>
      <c r="AG93" s="65" t="n">
        <f aca="false">IF(IFERROR(VLOOKUP(D93,Controls!$A$64:$E$74,4,FALSE()),"No")="Yes",1,0)</f>
        <v>1</v>
      </c>
      <c r="AH93" s="65" t="n">
        <f aca="false">IF(IFERROR(VLOOKUP(D93,Controls!$A$64:$E$74,5,FALSE()),"No")="Yes",1,0)</f>
        <v>0</v>
      </c>
      <c r="AI93" s="65" t="n">
        <f aca="false">IF(ISNUMBER(MATCH(D93,Controls!$A$64:$A$74,0)),1,0)</f>
        <v>1</v>
      </c>
      <c r="AJ93" s="65" t="n">
        <f aca="false">Q93-N93</f>
        <v>9980</v>
      </c>
      <c r="AK93" s="65" t="n">
        <f aca="false">IF(AE93=1,MAX(0,N93-Q93),0)</f>
        <v>0</v>
      </c>
      <c r="AL93" s="65" t="n">
        <f aca="false">IF(OR(V93="",V93=0),0,N93/V93)</f>
        <v>0</v>
      </c>
      <c r="AM93" s="65" t="n">
        <f aca="false">IF(OR(V93="",V93=0),0,1)</f>
        <v>0</v>
      </c>
      <c r="AN93" s="65" t="n">
        <f aca="false">IF(OR(E93="",F93=""),0,NETWORKDAYS(E93,F93,Ref!$K$2:$K$42))</f>
        <v>82</v>
      </c>
      <c r="AO93" s="65" t="n">
        <f aca="false">IF(L93="Renewal",1,0)</f>
        <v>0</v>
      </c>
      <c r="AP93" s="65" t="n">
        <f aca="false">AC93*AD93</f>
        <v>1</v>
      </c>
      <c r="AQ93" s="65" t="n">
        <f aca="false">IF(AND(G93&lt;&gt;"",'Historical Score'!$C$6&lt;&gt;""),IF(G93='Historical Score'!$C$6,1,0),0)</f>
        <v>0</v>
      </c>
      <c r="AR93" s="65" t="n">
        <f aca="false">IF(AND(L93&lt;&gt;"",'Historical Score'!$C$5&lt;&gt;""),IF(L93='Historical Score'!$C$5,1,0),0)</f>
        <v>1</v>
      </c>
      <c r="AS93" s="65" t="n">
        <f aca="false">IF(AND(Y93&lt;&gt;"",'Historical Score'!$C$7&lt;&gt;""),IF(Y93='Historical Score'!$C$7,1,0),0)</f>
        <v>0</v>
      </c>
      <c r="AT93" s="65" t="n">
        <f aca="false">IF(AND(K93&lt;&gt;"",'Historical Score'!$C$8&lt;&gt;""),IF(K93='Historical Score'!$C$8,1,0),0)</f>
        <v>0</v>
      </c>
      <c r="AU93" s="65" t="n">
        <f aca="false">IF(AND(J93&lt;&gt;"",'Historical Score'!$C$9&lt;&gt;""),IF(J93='Historical Score'!$C$9,1,0),0)</f>
        <v>0</v>
      </c>
      <c r="AV93" s="65" t="n">
        <f aca="false">AR93*AS93*AQ93</f>
        <v>0</v>
      </c>
      <c r="AW93" s="65" t="n">
        <f aca="false">AR93*AT93*AQ93</f>
        <v>0</v>
      </c>
      <c r="AX93" s="65" t="n">
        <f aca="false">AR93*AS93</f>
        <v>0</v>
      </c>
      <c r="AY93" s="65" t="n">
        <f aca="false">AR93*AT93</f>
        <v>0</v>
      </c>
      <c r="AZ93" s="65" t="n">
        <f aca="false">AR93*AQ93</f>
        <v>0</v>
      </c>
      <c r="BA93" s="65" t="n">
        <f aca="false">AR93</f>
        <v>1</v>
      </c>
      <c r="BB93" s="65" t="n">
        <f aca="false">1</f>
        <v>1</v>
      </c>
      <c r="BC93" s="65" t="n">
        <f aca="false">IF(AV93=1,1,IF(AW93=1,2,IF(AX93=1,3,IF(AY93=1,4,IF(AZ93=1,5,IF(BA93=1,6,7))))))</f>
        <v>6</v>
      </c>
      <c r="BD93" s="65" t="n">
        <f aca="false">IF(AD93=1,CHOOSE('Historical Score'!$C$29,AV93,AW93,AX93,AY93,AZ93,BA93,BB93),0)</f>
        <v>0</v>
      </c>
      <c r="BE93" s="65" t="str">
        <f aca="false">IF(BD93=1,COUNTIF($BD$2:BD93,1),"")</f>
        <v/>
      </c>
    </row>
    <row r="94" customFormat="false" ht="15" hidden="false" customHeight="false" outlineLevel="0" collapsed="false">
      <c r="A94" s="65" t="s">
        <v>714</v>
      </c>
      <c r="B94" s="65" t="s">
        <v>715</v>
      </c>
      <c r="C94" s="65" t="s">
        <v>716</v>
      </c>
      <c r="D94" s="65" t="s">
        <v>371</v>
      </c>
      <c r="E94" s="112" t="n">
        <v>45778</v>
      </c>
      <c r="F94" s="112" t="n">
        <v>45958</v>
      </c>
      <c r="G94" s="65" t="n">
        <v>2</v>
      </c>
      <c r="H94" s="65" t="s">
        <v>409</v>
      </c>
      <c r="I94" s="65" t="s">
        <v>342</v>
      </c>
      <c r="J94" s="65" t="s">
        <v>717</v>
      </c>
      <c r="K94" s="65" t="s">
        <v>718</v>
      </c>
      <c r="L94" s="65" t="s">
        <v>64</v>
      </c>
      <c r="M94" s="113" t="n">
        <v>1.47</v>
      </c>
      <c r="N94" s="114" t="n">
        <v>15000</v>
      </c>
      <c r="O94" s="114" t="n">
        <v>1950</v>
      </c>
      <c r="P94" s="114" t="n">
        <v>22050</v>
      </c>
      <c r="Q94" s="114" t="n">
        <v>22050</v>
      </c>
      <c r="R94" s="114" t="n">
        <v>0</v>
      </c>
      <c r="S94" s="115" t="n">
        <v>1</v>
      </c>
      <c r="T94" s="65" t="n">
        <v>2.623</v>
      </c>
      <c r="U94" s="65" t="n">
        <v>40</v>
      </c>
      <c r="W94" s="115" t="n">
        <v>0.0757</v>
      </c>
      <c r="X94" s="112" t="n">
        <v>45450</v>
      </c>
      <c r="Y94" s="65" t="str">
        <f aca="false">IF(I94="","No SIC",IFERROR(VLOOKUP(I94,Ref!$A$2:$B$65,2,FALSE()),"Unclassified"))</f>
        <v>Eating &amp; Drinking Places</v>
      </c>
      <c r="Z94" s="65" t="str">
        <f aca="false">IF(T94="","",IF(T94&lt;12,"Daily","Weekly"))</f>
        <v>Daily</v>
      </c>
      <c r="AA94" s="65" t="n">
        <f aca="false">IF(T94="",0,IF(T94&lt;12,T94*Controls!$B$29,T94*5))</f>
        <v>56.801065</v>
      </c>
      <c r="AB94" s="65" t="n">
        <f aca="false">IF(E94="",0,NETWORKDAYS(E94,Controls!$B$36,Ref!$K$2:$K$42))</f>
        <v>331</v>
      </c>
      <c r="AC94" s="65" t="n">
        <f aca="false">IF(AND(AA94&gt;0,AB94&gt;=Controls!$B$39*AA94),1,0)</f>
        <v>1</v>
      </c>
      <c r="AD94" s="65" t="n">
        <f aca="false">IF(AND(E94&lt;&gt;"",E94&gt;=Controls!$B$37,E94&lt;=Controls!$B$38),1,0)</f>
        <v>1</v>
      </c>
      <c r="AE94" s="65" t="n">
        <f aca="false">IF(IFERROR(VLOOKUP(D94,Controls!$A$64:$E$74,2,FALSE()),"No")="Yes",1,0)</f>
        <v>0</v>
      </c>
      <c r="AF94" s="65" t="n">
        <f aca="false">IF(IFERROR(VLOOKUP(D94,Controls!$A$64:$E$74,3,FALSE()),"No")="Yes",1,0)</f>
        <v>1</v>
      </c>
      <c r="AG94" s="65" t="n">
        <f aca="false">IF(IFERROR(VLOOKUP(D94,Controls!$A$64:$E$74,4,FALSE()),"No")="Yes",1,0)</f>
        <v>1</v>
      </c>
      <c r="AH94" s="65" t="n">
        <f aca="false">IF(IFERROR(VLOOKUP(D94,Controls!$A$64:$E$74,5,FALSE()),"No")="Yes",1,0)</f>
        <v>0</v>
      </c>
      <c r="AI94" s="65" t="n">
        <f aca="false">IF(ISNUMBER(MATCH(D94,Controls!$A$64:$A$74,0)),1,0)</f>
        <v>1</v>
      </c>
      <c r="AJ94" s="65" t="n">
        <f aca="false">Q94-N94</f>
        <v>7050</v>
      </c>
      <c r="AK94" s="65" t="n">
        <f aca="false">IF(AE94=1,MAX(0,N94-Q94),0)</f>
        <v>0</v>
      </c>
      <c r="AL94" s="65" t="n">
        <f aca="false">IF(OR(V94="",V94=0),0,N94/V94)</f>
        <v>0</v>
      </c>
      <c r="AM94" s="65" t="n">
        <f aca="false">IF(OR(V94="",V94=0),0,1)</f>
        <v>0</v>
      </c>
      <c r="AN94" s="65" t="n">
        <f aca="false">IF(OR(E94="",F94=""),0,NETWORKDAYS(E94,F94,Ref!$K$2:$K$42))</f>
        <v>124</v>
      </c>
      <c r="AO94" s="65" t="n">
        <f aca="false">IF(L94="Renewal",1,0)</f>
        <v>0</v>
      </c>
      <c r="AP94" s="65" t="n">
        <f aca="false">AC94*AD94</f>
        <v>1</v>
      </c>
      <c r="AQ94" s="65" t="n">
        <f aca="false">IF(AND(G94&lt;&gt;"",'Historical Score'!$C$6&lt;&gt;""),IF(G94='Historical Score'!$C$6,1,0),0)</f>
        <v>1</v>
      </c>
      <c r="AR94" s="65" t="n">
        <f aca="false">IF(AND(L94&lt;&gt;"",'Historical Score'!$C$5&lt;&gt;""),IF(L94='Historical Score'!$C$5,1,0),0)</f>
        <v>1</v>
      </c>
      <c r="AS94" s="65" t="n">
        <f aca="false">IF(AND(Y94&lt;&gt;"",'Historical Score'!$C$7&lt;&gt;""),IF(Y94='Historical Score'!$C$7,1,0),0)</f>
        <v>0</v>
      </c>
      <c r="AT94" s="65" t="n">
        <f aca="false">IF(AND(K94&lt;&gt;"",'Historical Score'!$C$8&lt;&gt;""),IF(K94='Historical Score'!$C$8,1,0),0)</f>
        <v>0</v>
      </c>
      <c r="AU94" s="65" t="n">
        <f aca="false">IF(AND(J94&lt;&gt;"",'Historical Score'!$C$9&lt;&gt;""),IF(J94='Historical Score'!$C$9,1,0),0)</f>
        <v>0</v>
      </c>
      <c r="AV94" s="65" t="n">
        <f aca="false">AR94*AS94*AQ94</f>
        <v>0</v>
      </c>
      <c r="AW94" s="65" t="n">
        <f aca="false">AR94*AT94*AQ94</f>
        <v>0</v>
      </c>
      <c r="AX94" s="65" t="n">
        <f aca="false">AR94*AS94</f>
        <v>0</v>
      </c>
      <c r="AY94" s="65" t="n">
        <f aca="false">AR94*AT94</f>
        <v>0</v>
      </c>
      <c r="AZ94" s="65" t="n">
        <f aca="false">AR94*AQ94</f>
        <v>1</v>
      </c>
      <c r="BA94" s="65" t="n">
        <f aca="false">AR94</f>
        <v>1</v>
      </c>
      <c r="BB94" s="65" t="n">
        <f aca="false">1</f>
        <v>1</v>
      </c>
      <c r="BC94" s="65" t="n">
        <f aca="false">IF(AV94=1,1,IF(AW94=1,2,IF(AX94=1,3,IF(AY94=1,4,IF(AZ94=1,5,IF(BA94=1,6,7))))))</f>
        <v>5</v>
      </c>
      <c r="BD94" s="65" t="n">
        <f aca="false">IF(AD94=1,CHOOSE('Historical Score'!$C$29,AV94,AW94,AX94,AY94,AZ94,BA94,BB94),0)</f>
        <v>0</v>
      </c>
      <c r="BE94" s="65" t="str">
        <f aca="false">IF(BD94=1,COUNTIF($BD$2:BD94,1),"")</f>
        <v/>
      </c>
    </row>
    <row r="95" customFormat="false" ht="15" hidden="false" customHeight="false" outlineLevel="0" collapsed="false">
      <c r="A95" s="65" t="s">
        <v>719</v>
      </c>
      <c r="B95" s="65" t="s">
        <v>720</v>
      </c>
      <c r="C95" s="65" t="s">
        <v>720</v>
      </c>
      <c r="D95" s="65" t="s">
        <v>340</v>
      </c>
      <c r="E95" s="112" t="n">
        <v>45784</v>
      </c>
      <c r="F95" s="112" t="n">
        <v>45831</v>
      </c>
      <c r="G95" s="65" t="n">
        <v>4</v>
      </c>
      <c r="H95" s="65" t="s">
        <v>500</v>
      </c>
      <c r="I95" s="65" t="s">
        <v>475</v>
      </c>
      <c r="J95" s="65" t="s">
        <v>61</v>
      </c>
      <c r="K95" s="65" t="s">
        <v>721</v>
      </c>
      <c r="L95" s="65" t="s">
        <v>64</v>
      </c>
      <c r="M95" s="113" t="n">
        <v>1.49</v>
      </c>
      <c r="N95" s="114" t="n">
        <v>15000</v>
      </c>
      <c r="O95" s="114" t="n">
        <v>2100</v>
      </c>
      <c r="P95" s="114" t="n">
        <v>22350</v>
      </c>
      <c r="Q95" s="114" t="n">
        <v>6046.24</v>
      </c>
      <c r="R95" s="114" t="n">
        <v>16303.76</v>
      </c>
      <c r="S95" s="115" t="n">
        <v>0.270525279642058</v>
      </c>
      <c r="T95" s="65" t="n">
        <v>2.787</v>
      </c>
      <c r="U95" s="65" t="n">
        <v>8</v>
      </c>
      <c r="W95" s="115" t="n">
        <v>0.1029</v>
      </c>
      <c r="X95" s="112"/>
      <c r="Y95" s="65" t="str">
        <f aca="false">IF(I95="","No SIC",IFERROR(VLOOKUP(I95,Ref!$A$2:$B$65,2,FALSE()),"Unclassified"))</f>
        <v>Auto Repair &amp; Services</v>
      </c>
      <c r="Z95" s="65" t="str">
        <f aca="false">IF(T95="","",IF(T95&lt;12,"Daily","Weekly"))</f>
        <v>Daily</v>
      </c>
      <c r="AA95" s="65" t="n">
        <f aca="false">IF(T95="",0,IF(T95&lt;12,T95*Controls!$B$29,T95*5))</f>
        <v>60.352485</v>
      </c>
      <c r="AB95" s="65" t="n">
        <f aca="false">IF(E95="",0,NETWORKDAYS(E95,Controls!$B$36,Ref!$K$2:$K$42))</f>
        <v>327</v>
      </c>
      <c r="AC95" s="65" t="n">
        <f aca="false">IF(AND(AA95&gt;0,AB95&gt;=Controls!$B$39*AA95),1,0)</f>
        <v>1</v>
      </c>
      <c r="AD95" s="65" t="n">
        <f aca="false">IF(AND(E95&lt;&gt;"",E95&gt;=Controls!$B$37,E95&lt;=Controls!$B$38),1,0)</f>
        <v>1</v>
      </c>
      <c r="AE95" s="65" t="n">
        <f aca="false">IF(IFERROR(VLOOKUP(D95,Controls!$A$64:$E$74,2,FALSE()),"No")="Yes",1,0)</f>
        <v>1</v>
      </c>
      <c r="AF95" s="65" t="n">
        <f aca="false">IF(IFERROR(VLOOKUP(D95,Controls!$A$64:$E$74,3,FALSE()),"No")="Yes",1,0)</f>
        <v>0</v>
      </c>
      <c r="AG95" s="65" t="n">
        <f aca="false">IF(IFERROR(VLOOKUP(D95,Controls!$A$64:$E$74,4,FALSE()),"No")="Yes",1,0)</f>
        <v>0</v>
      </c>
      <c r="AH95" s="65" t="n">
        <f aca="false">IF(IFERROR(VLOOKUP(D95,Controls!$A$64:$E$74,5,FALSE()),"No")="Yes",1,0)</f>
        <v>0</v>
      </c>
      <c r="AI95" s="65" t="n">
        <f aca="false">IF(ISNUMBER(MATCH(D95,Controls!$A$64:$A$74,0)),1,0)</f>
        <v>1</v>
      </c>
      <c r="AJ95" s="65" t="n">
        <f aca="false">Q95-N95</f>
        <v>-8953.76</v>
      </c>
      <c r="AK95" s="65" t="n">
        <f aca="false">IF(AE95=1,MAX(0,N95-Q95),0)</f>
        <v>8953.76</v>
      </c>
      <c r="AL95" s="65" t="n">
        <f aca="false">IF(OR(V95="",V95=0),0,N95/V95)</f>
        <v>0</v>
      </c>
      <c r="AM95" s="65" t="n">
        <f aca="false">IF(OR(V95="",V95=0),0,1)</f>
        <v>0</v>
      </c>
      <c r="AN95" s="65" t="n">
        <f aca="false">IF(OR(E95="",F95=""),0,NETWORKDAYS(E95,F95,Ref!$K$2:$K$42))</f>
        <v>32</v>
      </c>
      <c r="AO95" s="65" t="n">
        <f aca="false">IF(L95="Renewal",1,0)</f>
        <v>0</v>
      </c>
      <c r="AP95" s="65" t="n">
        <f aca="false">AC95*AD95</f>
        <v>1</v>
      </c>
      <c r="AQ95" s="65" t="n">
        <f aca="false">IF(AND(G95&lt;&gt;"",'Historical Score'!$C$6&lt;&gt;""),IF(G95='Historical Score'!$C$6,1,0),0)</f>
        <v>0</v>
      </c>
      <c r="AR95" s="65" t="n">
        <f aca="false">IF(AND(L95&lt;&gt;"",'Historical Score'!$C$5&lt;&gt;""),IF(L95='Historical Score'!$C$5,1,0),0)</f>
        <v>1</v>
      </c>
      <c r="AS95" s="65" t="n">
        <f aca="false">IF(AND(Y95&lt;&gt;"",'Historical Score'!$C$7&lt;&gt;""),IF(Y95='Historical Score'!$C$7,1,0),0)</f>
        <v>0</v>
      </c>
      <c r="AT95" s="65" t="n">
        <f aca="false">IF(AND(K95&lt;&gt;"",'Historical Score'!$C$8&lt;&gt;""),IF(K95='Historical Score'!$C$8,1,0),0)</f>
        <v>0</v>
      </c>
      <c r="AU95" s="65" t="n">
        <f aca="false">IF(AND(J95&lt;&gt;"",'Historical Score'!$C$9&lt;&gt;""),IF(J95='Historical Score'!$C$9,1,0),0)</f>
        <v>1</v>
      </c>
      <c r="AV95" s="65" t="n">
        <f aca="false">AR95*AS95*AQ95</f>
        <v>0</v>
      </c>
      <c r="AW95" s="65" t="n">
        <f aca="false">AR95*AT95*AQ95</f>
        <v>0</v>
      </c>
      <c r="AX95" s="65" t="n">
        <f aca="false">AR95*AS95</f>
        <v>0</v>
      </c>
      <c r="AY95" s="65" t="n">
        <f aca="false">AR95*AT95</f>
        <v>0</v>
      </c>
      <c r="AZ95" s="65" t="n">
        <f aca="false">AR95*AQ95</f>
        <v>0</v>
      </c>
      <c r="BA95" s="65" t="n">
        <f aca="false">AR95</f>
        <v>1</v>
      </c>
      <c r="BB95" s="65" t="n">
        <f aca="false">1</f>
        <v>1</v>
      </c>
      <c r="BC95" s="65" t="n">
        <f aca="false">IF(AV95=1,1,IF(AW95=1,2,IF(AX95=1,3,IF(AY95=1,4,IF(AZ95=1,5,IF(BA95=1,6,7))))))</f>
        <v>6</v>
      </c>
      <c r="BD95" s="65" t="n">
        <f aca="false">IF(AD95=1,CHOOSE('Historical Score'!$C$29,AV95,AW95,AX95,AY95,AZ95,BA95,BB95),0)</f>
        <v>0</v>
      </c>
      <c r="BE95" s="65" t="str">
        <f aca="false">IF(BD95=1,COUNTIF($BD$2:BD95,1),"")</f>
        <v/>
      </c>
    </row>
    <row r="96" customFormat="false" ht="15" hidden="false" customHeight="false" outlineLevel="0" collapsed="false">
      <c r="A96" s="65" t="s">
        <v>722</v>
      </c>
      <c r="B96" s="65" t="s">
        <v>723</v>
      </c>
      <c r="C96" s="65" t="s">
        <v>723</v>
      </c>
      <c r="D96" s="65" t="s">
        <v>371</v>
      </c>
      <c r="E96" s="112" t="n">
        <v>45785</v>
      </c>
      <c r="F96" s="112" t="n">
        <v>45895</v>
      </c>
      <c r="G96" s="65" t="n">
        <v>1</v>
      </c>
      <c r="H96" s="65" t="s">
        <v>724</v>
      </c>
      <c r="I96" s="65" t="s">
        <v>679</v>
      </c>
      <c r="J96" s="65" t="s">
        <v>717</v>
      </c>
      <c r="K96" s="65" t="s">
        <v>578</v>
      </c>
      <c r="L96" s="65" t="s">
        <v>64</v>
      </c>
      <c r="M96" s="113" t="n">
        <v>1.499</v>
      </c>
      <c r="N96" s="114" t="n">
        <v>6000</v>
      </c>
      <c r="O96" s="114" t="n">
        <v>840</v>
      </c>
      <c r="P96" s="114" t="n">
        <v>8994</v>
      </c>
      <c r="Q96" s="114" t="n">
        <v>8994</v>
      </c>
      <c r="R96" s="114" t="n">
        <v>0</v>
      </c>
      <c r="S96" s="115" t="n">
        <v>1</v>
      </c>
      <c r="T96" s="65" t="n">
        <v>2.459</v>
      </c>
      <c r="U96" s="65" t="n">
        <v>0</v>
      </c>
      <c r="W96" s="115" t="n">
        <v>0.0702</v>
      </c>
      <c r="X96" s="112"/>
      <c r="Y96" s="65" t="str">
        <f aca="false">IF(I96="","No SIC",IFERROR(VLOOKUP(I96,Ref!$A$2:$B$65,2,FALSE()),"Unclassified"))</f>
        <v>Amusement &amp; Recreation Services</v>
      </c>
      <c r="Z96" s="65" t="str">
        <f aca="false">IF(T96="","",IF(T96&lt;12,"Daily","Weekly"))</f>
        <v>Daily</v>
      </c>
      <c r="AA96" s="65" t="n">
        <f aca="false">IF(T96="",0,IF(T96&lt;12,T96*Controls!$B$29,T96*5))</f>
        <v>53.249645</v>
      </c>
      <c r="AB96" s="65" t="n">
        <f aca="false">IF(E96="",0,NETWORKDAYS(E96,Controls!$B$36,Ref!$K$2:$K$42))</f>
        <v>326</v>
      </c>
      <c r="AC96" s="65" t="n">
        <f aca="false">IF(AND(AA96&gt;0,AB96&gt;=Controls!$B$39*AA96),1,0)</f>
        <v>1</v>
      </c>
      <c r="AD96" s="65" t="n">
        <f aca="false">IF(AND(E96&lt;&gt;"",E96&gt;=Controls!$B$37,E96&lt;=Controls!$B$38),1,0)</f>
        <v>1</v>
      </c>
      <c r="AE96" s="65" t="n">
        <f aca="false">IF(IFERROR(VLOOKUP(D96,Controls!$A$64:$E$74,2,FALSE()),"No")="Yes",1,0)</f>
        <v>0</v>
      </c>
      <c r="AF96" s="65" t="n">
        <f aca="false">IF(IFERROR(VLOOKUP(D96,Controls!$A$64:$E$74,3,FALSE()),"No")="Yes",1,0)</f>
        <v>1</v>
      </c>
      <c r="AG96" s="65" t="n">
        <f aca="false">IF(IFERROR(VLOOKUP(D96,Controls!$A$64:$E$74,4,FALSE()),"No")="Yes",1,0)</f>
        <v>1</v>
      </c>
      <c r="AH96" s="65" t="n">
        <f aca="false">IF(IFERROR(VLOOKUP(D96,Controls!$A$64:$E$74,5,FALSE()),"No")="Yes",1,0)</f>
        <v>0</v>
      </c>
      <c r="AI96" s="65" t="n">
        <f aca="false">IF(ISNUMBER(MATCH(D96,Controls!$A$64:$A$74,0)),1,0)</f>
        <v>1</v>
      </c>
      <c r="AJ96" s="65" t="n">
        <f aca="false">Q96-N96</f>
        <v>2994</v>
      </c>
      <c r="AK96" s="65" t="n">
        <f aca="false">IF(AE96=1,MAX(0,N96-Q96),0)</f>
        <v>0</v>
      </c>
      <c r="AL96" s="65" t="n">
        <f aca="false">IF(OR(V96="",V96=0),0,N96/V96)</f>
        <v>0</v>
      </c>
      <c r="AM96" s="65" t="n">
        <f aca="false">IF(OR(V96="",V96=0),0,1)</f>
        <v>0</v>
      </c>
      <c r="AN96" s="65" t="n">
        <f aca="false">IF(OR(E96="",F96=""),0,NETWORKDAYS(E96,F96,Ref!$K$2:$K$42))</f>
        <v>76</v>
      </c>
      <c r="AO96" s="65" t="n">
        <f aca="false">IF(L96="Renewal",1,0)</f>
        <v>0</v>
      </c>
      <c r="AP96" s="65" t="n">
        <f aca="false">AC96*AD96</f>
        <v>1</v>
      </c>
      <c r="AQ96" s="65" t="n">
        <f aca="false">IF(AND(G96&lt;&gt;"",'Historical Score'!$C$6&lt;&gt;""),IF(G96='Historical Score'!$C$6,1,0),0)</f>
        <v>0</v>
      </c>
      <c r="AR96" s="65" t="n">
        <f aca="false">IF(AND(L96&lt;&gt;"",'Historical Score'!$C$5&lt;&gt;""),IF(L96='Historical Score'!$C$5,1,0),0)</f>
        <v>1</v>
      </c>
      <c r="AS96" s="65" t="n">
        <f aca="false">IF(AND(Y96&lt;&gt;"",'Historical Score'!$C$7&lt;&gt;""),IF(Y96='Historical Score'!$C$7,1,0),0)</f>
        <v>0</v>
      </c>
      <c r="AT96" s="65" t="n">
        <f aca="false">IF(AND(K96&lt;&gt;"",'Historical Score'!$C$8&lt;&gt;""),IF(K96='Historical Score'!$C$8,1,0),0)</f>
        <v>0</v>
      </c>
      <c r="AU96" s="65" t="n">
        <f aca="false">IF(AND(J96&lt;&gt;"",'Historical Score'!$C$9&lt;&gt;""),IF(J96='Historical Score'!$C$9,1,0),0)</f>
        <v>0</v>
      </c>
      <c r="AV96" s="65" t="n">
        <f aca="false">AR96*AS96*AQ96</f>
        <v>0</v>
      </c>
      <c r="AW96" s="65" t="n">
        <f aca="false">AR96*AT96*AQ96</f>
        <v>0</v>
      </c>
      <c r="AX96" s="65" t="n">
        <f aca="false">AR96*AS96</f>
        <v>0</v>
      </c>
      <c r="AY96" s="65" t="n">
        <f aca="false">AR96*AT96</f>
        <v>0</v>
      </c>
      <c r="AZ96" s="65" t="n">
        <f aca="false">AR96*AQ96</f>
        <v>0</v>
      </c>
      <c r="BA96" s="65" t="n">
        <f aca="false">AR96</f>
        <v>1</v>
      </c>
      <c r="BB96" s="65" t="n">
        <f aca="false">1</f>
        <v>1</v>
      </c>
      <c r="BC96" s="65" t="n">
        <f aca="false">IF(AV96=1,1,IF(AW96=1,2,IF(AX96=1,3,IF(AY96=1,4,IF(AZ96=1,5,IF(BA96=1,6,7))))))</f>
        <v>6</v>
      </c>
      <c r="BD96" s="65" t="n">
        <f aca="false">IF(AD96=1,CHOOSE('Historical Score'!$C$29,AV96,AW96,AX96,AY96,AZ96,BA96,BB96),0)</f>
        <v>0</v>
      </c>
      <c r="BE96" s="65" t="str">
        <f aca="false">IF(BD96=1,COUNTIF($BD$2:BD96,1),"")</f>
        <v/>
      </c>
    </row>
    <row r="97" customFormat="false" ht="15" hidden="false" customHeight="false" outlineLevel="0" collapsed="false">
      <c r="A97" s="65" t="s">
        <v>725</v>
      </c>
      <c r="B97" s="65" t="s">
        <v>726</v>
      </c>
      <c r="C97" s="65" t="s">
        <v>726</v>
      </c>
      <c r="D97" s="65" t="s">
        <v>371</v>
      </c>
      <c r="E97" s="112" t="n">
        <v>45785</v>
      </c>
      <c r="F97" s="112" t="n">
        <v>45903</v>
      </c>
      <c r="G97" s="65" t="n">
        <v>5</v>
      </c>
      <c r="H97" s="65" t="s">
        <v>727</v>
      </c>
      <c r="I97" s="65" t="s">
        <v>569</v>
      </c>
      <c r="J97" s="65" t="s">
        <v>638</v>
      </c>
      <c r="K97" s="65" t="s">
        <v>584</v>
      </c>
      <c r="L97" s="65" t="s">
        <v>64</v>
      </c>
      <c r="M97" s="113" t="n">
        <v>1.5</v>
      </c>
      <c r="N97" s="114" t="n">
        <v>10000</v>
      </c>
      <c r="O97" s="114" t="n">
        <v>1400</v>
      </c>
      <c r="P97" s="114" t="n">
        <v>15000</v>
      </c>
      <c r="Q97" s="114" t="n">
        <v>15000</v>
      </c>
      <c r="R97" s="114" t="n">
        <v>0</v>
      </c>
      <c r="S97" s="115" t="n">
        <v>1</v>
      </c>
      <c r="T97" s="65" t="n">
        <v>2.623</v>
      </c>
      <c r="U97" s="65" t="n">
        <v>0</v>
      </c>
      <c r="W97" s="115" t="n">
        <v>0.0915</v>
      </c>
      <c r="X97" s="112"/>
      <c r="Y97" s="65" t="str">
        <f aca="false">IF(I97="","No SIC",IFERROR(VLOOKUP(I97,Ref!$A$2:$B$65,2,FALSE()),"Unclassified"))</f>
        <v>General Merchandise Stores</v>
      </c>
      <c r="Z97" s="65" t="str">
        <f aca="false">IF(T97="","",IF(T97&lt;12,"Daily","Weekly"))</f>
        <v>Daily</v>
      </c>
      <c r="AA97" s="65" t="n">
        <f aca="false">IF(T97="",0,IF(T97&lt;12,T97*Controls!$B$29,T97*5))</f>
        <v>56.801065</v>
      </c>
      <c r="AB97" s="65" t="n">
        <f aca="false">IF(E97="",0,NETWORKDAYS(E97,Controls!$B$36,Ref!$K$2:$K$42))</f>
        <v>326</v>
      </c>
      <c r="AC97" s="65" t="n">
        <f aca="false">IF(AND(AA97&gt;0,AB97&gt;=Controls!$B$39*AA97),1,0)</f>
        <v>1</v>
      </c>
      <c r="AD97" s="65" t="n">
        <f aca="false">IF(AND(E97&lt;&gt;"",E97&gt;=Controls!$B$37,E97&lt;=Controls!$B$38),1,0)</f>
        <v>1</v>
      </c>
      <c r="AE97" s="65" t="n">
        <f aca="false">IF(IFERROR(VLOOKUP(D97,Controls!$A$64:$E$74,2,FALSE()),"No")="Yes",1,0)</f>
        <v>0</v>
      </c>
      <c r="AF97" s="65" t="n">
        <f aca="false">IF(IFERROR(VLOOKUP(D97,Controls!$A$64:$E$74,3,FALSE()),"No")="Yes",1,0)</f>
        <v>1</v>
      </c>
      <c r="AG97" s="65" t="n">
        <f aca="false">IF(IFERROR(VLOOKUP(D97,Controls!$A$64:$E$74,4,FALSE()),"No")="Yes",1,0)</f>
        <v>1</v>
      </c>
      <c r="AH97" s="65" t="n">
        <f aca="false">IF(IFERROR(VLOOKUP(D97,Controls!$A$64:$E$74,5,FALSE()),"No")="Yes",1,0)</f>
        <v>0</v>
      </c>
      <c r="AI97" s="65" t="n">
        <f aca="false">IF(ISNUMBER(MATCH(D97,Controls!$A$64:$A$74,0)),1,0)</f>
        <v>1</v>
      </c>
      <c r="AJ97" s="65" t="n">
        <f aca="false">Q97-N97</f>
        <v>5000</v>
      </c>
      <c r="AK97" s="65" t="n">
        <f aca="false">IF(AE97=1,MAX(0,N97-Q97),0)</f>
        <v>0</v>
      </c>
      <c r="AL97" s="65" t="n">
        <f aca="false">IF(OR(V97="",V97=0),0,N97/V97)</f>
        <v>0</v>
      </c>
      <c r="AM97" s="65" t="n">
        <f aca="false">IF(OR(V97="",V97=0),0,1)</f>
        <v>0</v>
      </c>
      <c r="AN97" s="65" t="n">
        <f aca="false">IF(OR(E97="",F97=""),0,NETWORKDAYS(E97,F97,Ref!$K$2:$K$42))</f>
        <v>81</v>
      </c>
      <c r="AO97" s="65" t="n">
        <f aca="false">IF(L97="Renewal",1,0)</f>
        <v>0</v>
      </c>
      <c r="AP97" s="65" t="n">
        <f aca="false">AC97*AD97</f>
        <v>1</v>
      </c>
      <c r="AQ97" s="65" t="n">
        <f aca="false">IF(AND(G97&lt;&gt;"",'Historical Score'!$C$6&lt;&gt;""),IF(G97='Historical Score'!$C$6,1,0),0)</f>
        <v>0</v>
      </c>
      <c r="AR97" s="65" t="n">
        <f aca="false">IF(AND(L97&lt;&gt;"",'Historical Score'!$C$5&lt;&gt;""),IF(L97='Historical Score'!$C$5,1,0),0)</f>
        <v>1</v>
      </c>
      <c r="AS97" s="65" t="n">
        <f aca="false">IF(AND(Y97&lt;&gt;"",'Historical Score'!$C$7&lt;&gt;""),IF(Y97='Historical Score'!$C$7,1,0),0)</f>
        <v>0</v>
      </c>
      <c r="AT97" s="65" t="n">
        <f aca="false">IF(AND(K97&lt;&gt;"",'Historical Score'!$C$8&lt;&gt;""),IF(K97='Historical Score'!$C$8,1,0),0)</f>
        <v>0</v>
      </c>
      <c r="AU97" s="65" t="n">
        <f aca="false">IF(AND(J97&lt;&gt;"",'Historical Score'!$C$9&lt;&gt;""),IF(J97='Historical Score'!$C$9,1,0),0)</f>
        <v>0</v>
      </c>
      <c r="AV97" s="65" t="n">
        <f aca="false">AR97*AS97*AQ97</f>
        <v>0</v>
      </c>
      <c r="AW97" s="65" t="n">
        <f aca="false">AR97*AT97*AQ97</f>
        <v>0</v>
      </c>
      <c r="AX97" s="65" t="n">
        <f aca="false">AR97*AS97</f>
        <v>0</v>
      </c>
      <c r="AY97" s="65" t="n">
        <f aca="false">AR97*AT97</f>
        <v>0</v>
      </c>
      <c r="AZ97" s="65" t="n">
        <f aca="false">AR97*AQ97</f>
        <v>0</v>
      </c>
      <c r="BA97" s="65" t="n">
        <f aca="false">AR97</f>
        <v>1</v>
      </c>
      <c r="BB97" s="65" t="n">
        <f aca="false">1</f>
        <v>1</v>
      </c>
      <c r="BC97" s="65" t="n">
        <f aca="false">IF(AV97=1,1,IF(AW97=1,2,IF(AX97=1,3,IF(AY97=1,4,IF(AZ97=1,5,IF(BA97=1,6,7))))))</f>
        <v>6</v>
      </c>
      <c r="BD97" s="65" t="n">
        <f aca="false">IF(AD97=1,CHOOSE('Historical Score'!$C$29,AV97,AW97,AX97,AY97,AZ97,BA97,BB97),0)</f>
        <v>0</v>
      </c>
      <c r="BE97" s="65" t="str">
        <f aca="false">IF(BD97=1,COUNTIF($BD$2:BD97,1),"")</f>
        <v/>
      </c>
    </row>
    <row r="98" customFormat="false" ht="15" hidden="false" customHeight="false" outlineLevel="0" collapsed="false">
      <c r="A98" s="65" t="s">
        <v>728</v>
      </c>
      <c r="B98" s="65" t="s">
        <v>729</v>
      </c>
      <c r="C98" s="65" t="s">
        <v>730</v>
      </c>
      <c r="D98" s="65" t="s">
        <v>371</v>
      </c>
      <c r="E98" s="112" t="n">
        <v>45789</v>
      </c>
      <c r="F98" s="112" t="n">
        <v>45929</v>
      </c>
      <c r="G98" s="65" t="n">
        <v>1</v>
      </c>
      <c r="H98" s="65" t="s">
        <v>409</v>
      </c>
      <c r="I98" s="65" t="s">
        <v>342</v>
      </c>
      <c r="J98" s="65" t="s">
        <v>555</v>
      </c>
      <c r="K98" s="65" t="s">
        <v>578</v>
      </c>
      <c r="L98" s="65" t="s">
        <v>64</v>
      </c>
      <c r="M98" s="113" t="n">
        <v>1.49</v>
      </c>
      <c r="N98" s="114" t="n">
        <v>10000</v>
      </c>
      <c r="O98" s="114" t="n">
        <v>1400</v>
      </c>
      <c r="P98" s="114" t="n">
        <v>14900</v>
      </c>
      <c r="Q98" s="114" t="n">
        <v>14900</v>
      </c>
      <c r="R98" s="114" t="n">
        <v>0</v>
      </c>
      <c r="S98" s="115" t="n">
        <v>1</v>
      </c>
      <c r="T98" s="65" t="n">
        <v>4.59</v>
      </c>
      <c r="U98" s="65" t="n">
        <v>0</v>
      </c>
      <c r="W98" s="115" t="n">
        <v>0.0283</v>
      </c>
      <c r="X98" s="112"/>
      <c r="Y98" s="65" t="str">
        <f aca="false">IF(I98="","No SIC",IFERROR(VLOOKUP(I98,Ref!$A$2:$B$65,2,FALSE()),"Unclassified"))</f>
        <v>Eating &amp; Drinking Places</v>
      </c>
      <c r="Z98" s="65" t="str">
        <f aca="false">IF(T98="","",IF(T98&lt;12,"Daily","Weekly"))</f>
        <v>Daily</v>
      </c>
      <c r="AA98" s="65" t="n">
        <f aca="false">IF(T98="",0,IF(T98&lt;12,T98*Controls!$B$29,T98*5))</f>
        <v>99.39645</v>
      </c>
      <c r="AB98" s="65" t="n">
        <f aca="false">IF(E98="",0,NETWORKDAYS(E98,Controls!$B$36,Ref!$K$2:$K$42))</f>
        <v>324</v>
      </c>
      <c r="AC98" s="65" t="n">
        <f aca="false">IF(AND(AA98&gt;0,AB98&gt;=Controls!$B$39*AA98),1,0)</f>
        <v>1</v>
      </c>
      <c r="AD98" s="65" t="n">
        <f aca="false">IF(AND(E98&lt;&gt;"",E98&gt;=Controls!$B$37,E98&lt;=Controls!$B$38),1,0)</f>
        <v>1</v>
      </c>
      <c r="AE98" s="65" t="n">
        <f aca="false">IF(IFERROR(VLOOKUP(D98,Controls!$A$64:$E$74,2,FALSE()),"No")="Yes",1,0)</f>
        <v>0</v>
      </c>
      <c r="AF98" s="65" t="n">
        <f aca="false">IF(IFERROR(VLOOKUP(D98,Controls!$A$64:$E$74,3,FALSE()),"No")="Yes",1,0)</f>
        <v>1</v>
      </c>
      <c r="AG98" s="65" t="n">
        <f aca="false">IF(IFERROR(VLOOKUP(D98,Controls!$A$64:$E$74,4,FALSE()),"No")="Yes",1,0)</f>
        <v>1</v>
      </c>
      <c r="AH98" s="65" t="n">
        <f aca="false">IF(IFERROR(VLOOKUP(D98,Controls!$A$64:$E$74,5,FALSE()),"No")="Yes",1,0)</f>
        <v>0</v>
      </c>
      <c r="AI98" s="65" t="n">
        <f aca="false">IF(ISNUMBER(MATCH(D98,Controls!$A$64:$A$74,0)),1,0)</f>
        <v>1</v>
      </c>
      <c r="AJ98" s="65" t="n">
        <f aca="false">Q98-N98</f>
        <v>4900</v>
      </c>
      <c r="AK98" s="65" t="n">
        <f aca="false">IF(AE98=1,MAX(0,N98-Q98),0)</f>
        <v>0</v>
      </c>
      <c r="AL98" s="65" t="n">
        <f aca="false">IF(OR(V98="",V98=0),0,N98/V98)</f>
        <v>0</v>
      </c>
      <c r="AM98" s="65" t="n">
        <f aca="false">IF(OR(V98="",V98=0),0,1)</f>
        <v>0</v>
      </c>
      <c r="AN98" s="65" t="n">
        <f aca="false">IF(OR(E98="",F98=""),0,NETWORKDAYS(E98,F98,Ref!$K$2:$K$42))</f>
        <v>97</v>
      </c>
      <c r="AO98" s="65" t="n">
        <f aca="false">IF(L98="Renewal",1,0)</f>
        <v>0</v>
      </c>
      <c r="AP98" s="65" t="n">
        <f aca="false">AC98*AD98</f>
        <v>1</v>
      </c>
      <c r="AQ98" s="65" t="n">
        <f aca="false">IF(AND(G98&lt;&gt;"",'Historical Score'!$C$6&lt;&gt;""),IF(G98='Historical Score'!$C$6,1,0),0)</f>
        <v>0</v>
      </c>
      <c r="AR98" s="65" t="n">
        <f aca="false">IF(AND(L98&lt;&gt;"",'Historical Score'!$C$5&lt;&gt;""),IF(L98='Historical Score'!$C$5,1,0),0)</f>
        <v>1</v>
      </c>
      <c r="AS98" s="65" t="n">
        <f aca="false">IF(AND(Y98&lt;&gt;"",'Historical Score'!$C$7&lt;&gt;""),IF(Y98='Historical Score'!$C$7,1,0),0)</f>
        <v>0</v>
      </c>
      <c r="AT98" s="65" t="n">
        <f aca="false">IF(AND(K98&lt;&gt;"",'Historical Score'!$C$8&lt;&gt;""),IF(K98='Historical Score'!$C$8,1,0),0)</f>
        <v>0</v>
      </c>
      <c r="AU98" s="65" t="n">
        <f aca="false">IF(AND(J98&lt;&gt;"",'Historical Score'!$C$9&lt;&gt;""),IF(J98='Historical Score'!$C$9,1,0),0)</f>
        <v>0</v>
      </c>
      <c r="AV98" s="65" t="n">
        <f aca="false">AR98*AS98*AQ98</f>
        <v>0</v>
      </c>
      <c r="AW98" s="65" t="n">
        <f aca="false">AR98*AT98*AQ98</f>
        <v>0</v>
      </c>
      <c r="AX98" s="65" t="n">
        <f aca="false">AR98*AS98</f>
        <v>0</v>
      </c>
      <c r="AY98" s="65" t="n">
        <f aca="false">AR98*AT98</f>
        <v>0</v>
      </c>
      <c r="AZ98" s="65" t="n">
        <f aca="false">AR98*AQ98</f>
        <v>0</v>
      </c>
      <c r="BA98" s="65" t="n">
        <f aca="false">AR98</f>
        <v>1</v>
      </c>
      <c r="BB98" s="65" t="n">
        <f aca="false">1</f>
        <v>1</v>
      </c>
      <c r="BC98" s="65" t="n">
        <f aca="false">IF(AV98=1,1,IF(AW98=1,2,IF(AX98=1,3,IF(AY98=1,4,IF(AZ98=1,5,IF(BA98=1,6,7))))))</f>
        <v>6</v>
      </c>
      <c r="BD98" s="65" t="n">
        <f aca="false">IF(AD98=1,CHOOSE('Historical Score'!$C$29,AV98,AW98,AX98,AY98,AZ98,BA98,BB98),0)</f>
        <v>0</v>
      </c>
      <c r="BE98" s="65" t="str">
        <f aca="false">IF(BD98=1,COUNTIF($BD$2:BD98,1),"")</f>
        <v/>
      </c>
    </row>
    <row r="99" customFormat="false" ht="15" hidden="false" customHeight="false" outlineLevel="0" collapsed="false">
      <c r="A99" s="65" t="s">
        <v>731</v>
      </c>
      <c r="B99" s="65" t="s">
        <v>571</v>
      </c>
      <c r="C99" s="65" t="s">
        <v>571</v>
      </c>
      <c r="D99" s="65" t="s">
        <v>371</v>
      </c>
      <c r="E99" s="112" t="n">
        <v>45790</v>
      </c>
      <c r="F99" s="112" t="n">
        <v>45904</v>
      </c>
      <c r="G99" s="65" t="n">
        <v>3</v>
      </c>
      <c r="H99" s="65" t="s">
        <v>572</v>
      </c>
      <c r="I99" s="65" t="s">
        <v>419</v>
      </c>
      <c r="J99" s="65" t="s">
        <v>732</v>
      </c>
      <c r="K99" s="65" t="s">
        <v>543</v>
      </c>
      <c r="L99" s="65" t="s">
        <v>320</v>
      </c>
      <c r="M99" s="113" t="n">
        <v>1.5</v>
      </c>
      <c r="N99" s="114" t="n">
        <v>7500</v>
      </c>
      <c r="O99" s="114" t="n">
        <v>1050</v>
      </c>
      <c r="P99" s="114" t="n">
        <v>11250</v>
      </c>
      <c r="Q99" s="114" t="n">
        <v>11250</v>
      </c>
      <c r="R99" s="114" t="n">
        <v>0</v>
      </c>
      <c r="S99" s="115" t="n">
        <v>1</v>
      </c>
      <c r="T99" s="65" t="n">
        <v>2.951</v>
      </c>
      <c r="U99" s="65" t="n">
        <v>2</v>
      </c>
      <c r="W99" s="115" t="n">
        <v>0.2411</v>
      </c>
      <c r="X99" s="112" t="n">
        <v>45790</v>
      </c>
      <c r="Y99" s="65" t="str">
        <f aca="false">IF(I99="","No SIC",IFERROR(VLOOKUP(I99,Ref!$A$2:$B$65,2,FALSE()),"Unclassified"))</f>
        <v>Business Services</v>
      </c>
      <c r="Z99" s="65" t="str">
        <f aca="false">IF(T99="","",IF(T99&lt;12,"Daily","Weekly"))</f>
        <v>Daily</v>
      </c>
      <c r="AA99" s="65" t="n">
        <f aca="false">IF(T99="",0,IF(T99&lt;12,T99*Controls!$B$29,T99*5))</f>
        <v>63.903905</v>
      </c>
      <c r="AB99" s="65" t="n">
        <f aca="false">IF(E99="",0,NETWORKDAYS(E99,Controls!$B$36,Ref!$K$2:$K$42))</f>
        <v>323</v>
      </c>
      <c r="AC99" s="65" t="n">
        <f aca="false">IF(AND(AA99&gt;0,AB99&gt;=Controls!$B$39*AA99),1,0)</f>
        <v>1</v>
      </c>
      <c r="AD99" s="65" t="n">
        <f aca="false">IF(AND(E99&lt;&gt;"",E99&gt;=Controls!$B$37,E99&lt;=Controls!$B$38),1,0)</f>
        <v>1</v>
      </c>
      <c r="AE99" s="65" t="n">
        <f aca="false">IF(IFERROR(VLOOKUP(D99,Controls!$A$64:$E$74,2,FALSE()),"No")="Yes",1,0)</f>
        <v>0</v>
      </c>
      <c r="AF99" s="65" t="n">
        <f aca="false">IF(IFERROR(VLOOKUP(D99,Controls!$A$64:$E$74,3,FALSE()),"No")="Yes",1,0)</f>
        <v>1</v>
      </c>
      <c r="AG99" s="65" t="n">
        <f aca="false">IF(IFERROR(VLOOKUP(D99,Controls!$A$64:$E$74,4,FALSE()),"No")="Yes",1,0)</f>
        <v>1</v>
      </c>
      <c r="AH99" s="65" t="n">
        <f aca="false">IF(IFERROR(VLOOKUP(D99,Controls!$A$64:$E$74,5,FALSE()),"No")="Yes",1,0)</f>
        <v>0</v>
      </c>
      <c r="AI99" s="65" t="n">
        <f aca="false">IF(ISNUMBER(MATCH(D99,Controls!$A$64:$A$74,0)),1,0)</f>
        <v>1</v>
      </c>
      <c r="AJ99" s="65" t="n">
        <f aca="false">Q99-N99</f>
        <v>3750</v>
      </c>
      <c r="AK99" s="65" t="n">
        <f aca="false">IF(AE99=1,MAX(0,N99-Q99),0)</f>
        <v>0</v>
      </c>
      <c r="AL99" s="65" t="n">
        <f aca="false">IF(OR(V99="",V99=0),0,N99/V99)</f>
        <v>0</v>
      </c>
      <c r="AM99" s="65" t="n">
        <f aca="false">IF(OR(V99="",V99=0),0,1)</f>
        <v>0</v>
      </c>
      <c r="AN99" s="65" t="n">
        <f aca="false">IF(OR(E99="",F99=""),0,NETWORKDAYS(E99,F99,Ref!$K$2:$K$42))</f>
        <v>79</v>
      </c>
      <c r="AO99" s="65" t="n">
        <f aca="false">IF(L99="Renewal",1,0)</f>
        <v>1</v>
      </c>
      <c r="AP99" s="65" t="n">
        <f aca="false">AC99*AD99</f>
        <v>1</v>
      </c>
      <c r="AQ99" s="65" t="n">
        <f aca="false">IF(AND(G99&lt;&gt;"",'Historical Score'!$C$6&lt;&gt;""),IF(G99='Historical Score'!$C$6,1,0),0)</f>
        <v>0</v>
      </c>
      <c r="AR99" s="65" t="n">
        <f aca="false">IF(AND(L99&lt;&gt;"",'Historical Score'!$C$5&lt;&gt;""),IF(L99='Historical Score'!$C$5,1,0),0)</f>
        <v>0</v>
      </c>
      <c r="AS99" s="65" t="n">
        <f aca="false">IF(AND(Y99&lt;&gt;"",'Historical Score'!$C$7&lt;&gt;""),IF(Y99='Historical Score'!$C$7,1,0),0)</f>
        <v>0</v>
      </c>
      <c r="AT99" s="65" t="n">
        <f aca="false">IF(AND(K99&lt;&gt;"",'Historical Score'!$C$8&lt;&gt;""),IF(K99='Historical Score'!$C$8,1,0),0)</f>
        <v>0</v>
      </c>
      <c r="AU99" s="65" t="n">
        <f aca="false">IF(AND(J99&lt;&gt;"",'Historical Score'!$C$9&lt;&gt;""),IF(J99='Historical Score'!$C$9,1,0),0)</f>
        <v>0</v>
      </c>
      <c r="AV99" s="65" t="n">
        <f aca="false">AR99*AS99*AQ99</f>
        <v>0</v>
      </c>
      <c r="AW99" s="65" t="n">
        <f aca="false">AR99*AT99*AQ99</f>
        <v>0</v>
      </c>
      <c r="AX99" s="65" t="n">
        <f aca="false">AR99*AS99</f>
        <v>0</v>
      </c>
      <c r="AY99" s="65" t="n">
        <f aca="false">AR99*AT99</f>
        <v>0</v>
      </c>
      <c r="AZ99" s="65" t="n">
        <f aca="false">AR99*AQ99</f>
        <v>0</v>
      </c>
      <c r="BA99" s="65" t="n">
        <f aca="false">AR99</f>
        <v>0</v>
      </c>
      <c r="BB99" s="65" t="n">
        <f aca="false">1</f>
        <v>1</v>
      </c>
      <c r="BC99" s="65" t="n">
        <f aca="false">IF(AV99=1,1,IF(AW99=1,2,IF(AX99=1,3,IF(AY99=1,4,IF(AZ99=1,5,IF(BA99=1,6,7))))))</f>
        <v>7</v>
      </c>
      <c r="BD99" s="65" t="n">
        <f aca="false">IF(AD99=1,CHOOSE('Historical Score'!$C$29,AV99,AW99,AX99,AY99,AZ99,BA99,BB99),0)</f>
        <v>0</v>
      </c>
      <c r="BE99" s="65" t="str">
        <f aca="false">IF(BD99=1,COUNTIF($BD$2:BD99,1),"")</f>
        <v/>
      </c>
    </row>
    <row r="100" customFormat="false" ht="15" hidden="false" customHeight="false" outlineLevel="0" collapsed="false">
      <c r="A100" s="65" t="s">
        <v>733</v>
      </c>
      <c r="B100" s="65" t="s">
        <v>734</v>
      </c>
      <c r="C100" s="65" t="s">
        <v>735</v>
      </c>
      <c r="D100" s="65" t="s">
        <v>340</v>
      </c>
      <c r="E100" s="112" t="n">
        <v>45790</v>
      </c>
      <c r="F100" s="112" t="n">
        <v>46234</v>
      </c>
      <c r="G100" s="65" t="n">
        <v>3</v>
      </c>
      <c r="H100" s="65" t="s">
        <v>494</v>
      </c>
      <c r="I100" s="65" t="s">
        <v>484</v>
      </c>
      <c r="J100" s="65" t="s">
        <v>350</v>
      </c>
      <c r="K100" s="65" t="s">
        <v>675</v>
      </c>
      <c r="L100" s="65" t="s">
        <v>64</v>
      </c>
      <c r="M100" s="113" t="n">
        <v>1.49</v>
      </c>
      <c r="N100" s="114" t="n">
        <v>8000</v>
      </c>
      <c r="O100" s="114" t="n">
        <v>1120</v>
      </c>
      <c r="P100" s="114" t="n">
        <v>11920</v>
      </c>
      <c r="Q100" s="114" t="n">
        <v>11825.46</v>
      </c>
      <c r="R100" s="114" t="n">
        <v>94.5400000000009</v>
      </c>
      <c r="S100" s="115" t="n">
        <v>0.992068791946309</v>
      </c>
      <c r="T100" s="65" t="n">
        <v>2.295</v>
      </c>
      <c r="U100" s="65" t="n">
        <v>22</v>
      </c>
      <c r="W100" s="115" t="n">
        <v>0.0849</v>
      </c>
      <c r="X100" s="112" t="n">
        <v>37165</v>
      </c>
      <c r="Y100" s="65" t="str">
        <f aca="false">IF(I100="","No SIC",IFERROR(VLOOKUP(I100,Ref!$A$2:$B$65,2,FALSE()),"Unclassified"))</f>
        <v>Special Trade Contractors</v>
      </c>
      <c r="Z100" s="65" t="str">
        <f aca="false">IF(T100="","",IF(T100&lt;12,"Daily","Weekly"))</f>
        <v>Daily</v>
      </c>
      <c r="AA100" s="65" t="n">
        <f aca="false">IF(T100="",0,IF(T100&lt;12,T100*Controls!$B$29,T100*5))</f>
        <v>49.698225</v>
      </c>
      <c r="AB100" s="65" t="n">
        <f aca="false">IF(E100="",0,NETWORKDAYS(E100,Controls!$B$36,Ref!$K$2:$K$42))</f>
        <v>323</v>
      </c>
      <c r="AC100" s="65" t="n">
        <f aca="false">IF(AND(AA100&gt;0,AB100&gt;=Controls!$B$39*AA100),1,0)</f>
        <v>1</v>
      </c>
      <c r="AD100" s="65" t="n">
        <f aca="false">IF(AND(E100&lt;&gt;"",E100&gt;=Controls!$B$37,E100&lt;=Controls!$B$38),1,0)</f>
        <v>1</v>
      </c>
      <c r="AE100" s="65" t="n">
        <f aca="false">IF(IFERROR(VLOOKUP(D100,Controls!$A$64:$E$74,2,FALSE()),"No")="Yes",1,0)</f>
        <v>1</v>
      </c>
      <c r="AF100" s="65" t="n">
        <f aca="false">IF(IFERROR(VLOOKUP(D100,Controls!$A$64:$E$74,3,FALSE()),"No")="Yes",1,0)</f>
        <v>0</v>
      </c>
      <c r="AG100" s="65" t="n">
        <f aca="false">IF(IFERROR(VLOOKUP(D100,Controls!$A$64:$E$74,4,FALSE()),"No")="Yes",1,0)</f>
        <v>0</v>
      </c>
      <c r="AH100" s="65" t="n">
        <f aca="false">IF(IFERROR(VLOOKUP(D100,Controls!$A$64:$E$74,5,FALSE()),"No")="Yes",1,0)</f>
        <v>0</v>
      </c>
      <c r="AI100" s="65" t="n">
        <f aca="false">IF(ISNUMBER(MATCH(D100,Controls!$A$64:$A$74,0)),1,0)</f>
        <v>1</v>
      </c>
      <c r="AJ100" s="65" t="n">
        <f aca="false">Q100-N100</f>
        <v>3825.46</v>
      </c>
      <c r="AK100" s="65" t="n">
        <f aca="false">IF(AE100=1,MAX(0,N100-Q100),0)</f>
        <v>0</v>
      </c>
      <c r="AL100" s="65" t="n">
        <f aca="false">IF(OR(V100="",V100=0),0,N100/V100)</f>
        <v>0</v>
      </c>
      <c r="AM100" s="65" t="n">
        <f aca="false">IF(OR(V100="",V100=0),0,1)</f>
        <v>0</v>
      </c>
      <c r="AN100" s="65" t="n">
        <f aca="false">IF(OR(E100="",F100=""),0,NETWORKDAYS(E100,F100,Ref!$K$2:$K$42))</f>
        <v>306</v>
      </c>
      <c r="AO100" s="65" t="n">
        <f aca="false">IF(L100="Renewal",1,0)</f>
        <v>0</v>
      </c>
      <c r="AP100" s="65" t="n">
        <f aca="false">AC100*AD100</f>
        <v>1</v>
      </c>
      <c r="AQ100" s="65" t="n">
        <f aca="false">IF(AND(G100&lt;&gt;"",'Historical Score'!$C$6&lt;&gt;""),IF(G100='Historical Score'!$C$6,1,0),0)</f>
        <v>0</v>
      </c>
      <c r="AR100" s="65" t="n">
        <f aca="false">IF(AND(L100&lt;&gt;"",'Historical Score'!$C$5&lt;&gt;""),IF(L100='Historical Score'!$C$5,1,0),0)</f>
        <v>1</v>
      </c>
      <c r="AS100" s="65" t="n">
        <f aca="false">IF(AND(Y100&lt;&gt;"",'Historical Score'!$C$7&lt;&gt;""),IF(Y100='Historical Score'!$C$7,1,0),0)</f>
        <v>0</v>
      </c>
      <c r="AT100" s="65" t="n">
        <f aca="false">IF(AND(K100&lt;&gt;"",'Historical Score'!$C$8&lt;&gt;""),IF(K100='Historical Score'!$C$8,1,0),0)</f>
        <v>0</v>
      </c>
      <c r="AU100" s="65" t="n">
        <f aca="false">IF(AND(J100&lt;&gt;"",'Historical Score'!$C$9&lt;&gt;""),IF(J100='Historical Score'!$C$9,1,0),0)</f>
        <v>0</v>
      </c>
      <c r="AV100" s="65" t="n">
        <f aca="false">AR100*AS100*AQ100</f>
        <v>0</v>
      </c>
      <c r="AW100" s="65" t="n">
        <f aca="false">AR100*AT100*AQ100</f>
        <v>0</v>
      </c>
      <c r="AX100" s="65" t="n">
        <f aca="false">AR100*AS100</f>
        <v>0</v>
      </c>
      <c r="AY100" s="65" t="n">
        <f aca="false">AR100*AT100</f>
        <v>0</v>
      </c>
      <c r="AZ100" s="65" t="n">
        <f aca="false">AR100*AQ100</f>
        <v>0</v>
      </c>
      <c r="BA100" s="65" t="n">
        <f aca="false">AR100</f>
        <v>1</v>
      </c>
      <c r="BB100" s="65" t="n">
        <f aca="false">1</f>
        <v>1</v>
      </c>
      <c r="BC100" s="65" t="n">
        <f aca="false">IF(AV100=1,1,IF(AW100=1,2,IF(AX100=1,3,IF(AY100=1,4,IF(AZ100=1,5,IF(BA100=1,6,7))))))</f>
        <v>6</v>
      </c>
      <c r="BD100" s="65" t="n">
        <f aca="false">IF(AD100=1,CHOOSE('Historical Score'!$C$29,AV100,AW100,AX100,AY100,AZ100,BA100,BB100),0)</f>
        <v>0</v>
      </c>
      <c r="BE100" s="65" t="str">
        <f aca="false">IF(BD100=1,COUNTIF($BD$2:BD100,1),"")</f>
        <v/>
      </c>
    </row>
    <row r="101" customFormat="false" ht="15" hidden="false" customHeight="false" outlineLevel="0" collapsed="false">
      <c r="A101" s="65" t="s">
        <v>736</v>
      </c>
      <c r="B101" s="65" t="s">
        <v>737</v>
      </c>
      <c r="C101" s="65" t="s">
        <v>737</v>
      </c>
      <c r="D101" s="65" t="s">
        <v>340</v>
      </c>
      <c r="E101" s="112" t="n">
        <v>45791</v>
      </c>
      <c r="F101" s="112" t="n">
        <v>45805</v>
      </c>
      <c r="G101" s="65" t="n">
        <v>3</v>
      </c>
      <c r="H101" s="65" t="s">
        <v>479</v>
      </c>
      <c r="I101" s="65" t="s">
        <v>356</v>
      </c>
      <c r="J101" s="65" t="s">
        <v>350</v>
      </c>
      <c r="K101" s="65" t="s">
        <v>738</v>
      </c>
      <c r="L101" s="65" t="s">
        <v>64</v>
      </c>
      <c r="M101" s="113" t="n">
        <v>1.499</v>
      </c>
      <c r="N101" s="114" t="n">
        <v>8500</v>
      </c>
      <c r="O101" s="114" t="n">
        <v>0</v>
      </c>
      <c r="P101" s="114" t="n">
        <v>12741.5</v>
      </c>
      <c r="Q101" s="114" t="n">
        <v>-418.87</v>
      </c>
      <c r="R101" s="114" t="n">
        <v>13160.37</v>
      </c>
      <c r="S101" s="115" t="n">
        <v>-0.0328744653298277</v>
      </c>
      <c r="T101" s="65" t="n">
        <v>2.295</v>
      </c>
      <c r="U101" s="65" t="n">
        <v>7</v>
      </c>
      <c r="W101" s="115" t="n">
        <v>0.0437</v>
      </c>
      <c r="X101" s="112" t="n">
        <v>44552</v>
      </c>
      <c r="Y101" s="65" t="str">
        <f aca="false">IF(I101="","No SIC",IFERROR(VLOOKUP(I101,Ref!$A$2:$B$65,2,FALSE()),"Unclassified"))</f>
        <v>Trucking &amp; Warehousing</v>
      </c>
      <c r="Z101" s="65" t="str">
        <f aca="false">IF(T101="","",IF(T101&lt;12,"Daily","Weekly"))</f>
        <v>Daily</v>
      </c>
      <c r="AA101" s="65" t="n">
        <f aca="false">IF(T101="",0,IF(T101&lt;12,T101*Controls!$B$29,T101*5))</f>
        <v>49.698225</v>
      </c>
      <c r="AB101" s="65" t="n">
        <f aca="false">IF(E101="",0,NETWORKDAYS(E101,Controls!$B$36,Ref!$K$2:$K$42))</f>
        <v>322</v>
      </c>
      <c r="AC101" s="65" t="n">
        <f aca="false">IF(AND(AA101&gt;0,AB101&gt;=Controls!$B$39*AA101),1,0)</f>
        <v>1</v>
      </c>
      <c r="AD101" s="65" t="n">
        <f aca="false">IF(AND(E101&lt;&gt;"",E101&gt;=Controls!$B$37,E101&lt;=Controls!$B$38),1,0)</f>
        <v>1</v>
      </c>
      <c r="AE101" s="65" t="n">
        <f aca="false">IF(IFERROR(VLOOKUP(D101,Controls!$A$64:$E$74,2,FALSE()),"No")="Yes",1,0)</f>
        <v>1</v>
      </c>
      <c r="AF101" s="65" t="n">
        <f aca="false">IF(IFERROR(VLOOKUP(D101,Controls!$A$64:$E$74,3,FALSE()),"No")="Yes",1,0)</f>
        <v>0</v>
      </c>
      <c r="AG101" s="65" t="n">
        <f aca="false">IF(IFERROR(VLOOKUP(D101,Controls!$A$64:$E$74,4,FALSE()),"No")="Yes",1,0)</f>
        <v>0</v>
      </c>
      <c r="AH101" s="65" t="n">
        <f aca="false">IF(IFERROR(VLOOKUP(D101,Controls!$A$64:$E$74,5,FALSE()),"No")="Yes",1,0)</f>
        <v>0</v>
      </c>
      <c r="AI101" s="65" t="n">
        <f aca="false">IF(ISNUMBER(MATCH(D101,Controls!$A$64:$A$74,0)),1,0)</f>
        <v>1</v>
      </c>
      <c r="AJ101" s="65" t="n">
        <f aca="false">Q101-N101</f>
        <v>-8918.87</v>
      </c>
      <c r="AK101" s="65" t="n">
        <f aca="false">IF(AE101=1,MAX(0,N101-Q101),0)</f>
        <v>8918.87</v>
      </c>
      <c r="AL101" s="65" t="n">
        <f aca="false">IF(OR(V101="",V101=0),0,N101/V101)</f>
        <v>0</v>
      </c>
      <c r="AM101" s="65" t="n">
        <f aca="false">IF(OR(V101="",V101=0),0,1)</f>
        <v>0</v>
      </c>
      <c r="AN101" s="65" t="n">
        <f aca="false">IF(OR(E101="",F101=""),0,NETWORKDAYS(E101,F101,Ref!$K$2:$K$42))</f>
        <v>10</v>
      </c>
      <c r="AO101" s="65" t="n">
        <f aca="false">IF(L101="Renewal",1,0)</f>
        <v>0</v>
      </c>
      <c r="AP101" s="65" t="n">
        <f aca="false">AC101*AD101</f>
        <v>1</v>
      </c>
      <c r="AQ101" s="65" t="n">
        <f aca="false">IF(AND(G101&lt;&gt;"",'Historical Score'!$C$6&lt;&gt;""),IF(G101='Historical Score'!$C$6,1,0),0)</f>
        <v>0</v>
      </c>
      <c r="AR101" s="65" t="n">
        <f aca="false">IF(AND(L101&lt;&gt;"",'Historical Score'!$C$5&lt;&gt;""),IF(L101='Historical Score'!$C$5,1,0),0)</f>
        <v>1</v>
      </c>
      <c r="AS101" s="65" t="n">
        <f aca="false">IF(AND(Y101&lt;&gt;"",'Historical Score'!$C$7&lt;&gt;""),IF(Y101='Historical Score'!$C$7,1,0),0)</f>
        <v>0</v>
      </c>
      <c r="AT101" s="65" t="n">
        <f aca="false">IF(AND(K101&lt;&gt;"",'Historical Score'!$C$8&lt;&gt;""),IF(K101='Historical Score'!$C$8,1,0),0)</f>
        <v>0</v>
      </c>
      <c r="AU101" s="65" t="n">
        <f aca="false">IF(AND(J101&lt;&gt;"",'Historical Score'!$C$9&lt;&gt;""),IF(J101='Historical Score'!$C$9,1,0),0)</f>
        <v>0</v>
      </c>
      <c r="AV101" s="65" t="n">
        <f aca="false">AR101*AS101*AQ101</f>
        <v>0</v>
      </c>
      <c r="AW101" s="65" t="n">
        <f aca="false">AR101*AT101*AQ101</f>
        <v>0</v>
      </c>
      <c r="AX101" s="65" t="n">
        <f aca="false">AR101*AS101</f>
        <v>0</v>
      </c>
      <c r="AY101" s="65" t="n">
        <f aca="false">AR101*AT101</f>
        <v>0</v>
      </c>
      <c r="AZ101" s="65" t="n">
        <f aca="false">AR101*AQ101</f>
        <v>0</v>
      </c>
      <c r="BA101" s="65" t="n">
        <f aca="false">AR101</f>
        <v>1</v>
      </c>
      <c r="BB101" s="65" t="n">
        <f aca="false">1</f>
        <v>1</v>
      </c>
      <c r="BC101" s="65" t="n">
        <f aca="false">IF(AV101=1,1,IF(AW101=1,2,IF(AX101=1,3,IF(AY101=1,4,IF(AZ101=1,5,IF(BA101=1,6,7))))))</f>
        <v>6</v>
      </c>
      <c r="BD101" s="65" t="n">
        <f aca="false">IF(AD101=1,CHOOSE('Historical Score'!$C$29,AV101,AW101,AX101,AY101,AZ101,BA101,BB101),0)</f>
        <v>0</v>
      </c>
      <c r="BE101" s="65" t="str">
        <f aca="false">IF(BD101=1,COUNTIF($BD$2:BD101,1),"")</f>
        <v/>
      </c>
    </row>
    <row r="102" customFormat="false" ht="15" hidden="false" customHeight="false" outlineLevel="0" collapsed="false">
      <c r="A102" s="65" t="s">
        <v>739</v>
      </c>
      <c r="B102" s="65" t="s">
        <v>740</v>
      </c>
      <c r="C102" s="65" t="s">
        <v>741</v>
      </c>
      <c r="D102" s="65" t="s">
        <v>340</v>
      </c>
      <c r="E102" s="112" t="n">
        <v>45792</v>
      </c>
      <c r="F102" s="112" t="n">
        <v>45915</v>
      </c>
      <c r="G102" s="65" t="n">
        <v>2</v>
      </c>
      <c r="H102" s="65" t="s">
        <v>593</v>
      </c>
      <c r="I102" s="65" t="s">
        <v>425</v>
      </c>
      <c r="J102" s="65" t="s">
        <v>61</v>
      </c>
      <c r="K102" s="65" t="s">
        <v>578</v>
      </c>
      <c r="L102" s="65" t="s">
        <v>64</v>
      </c>
      <c r="M102" s="113" t="n">
        <v>1.499</v>
      </c>
      <c r="N102" s="114" t="n">
        <v>5000</v>
      </c>
      <c r="O102" s="114" t="n">
        <v>700</v>
      </c>
      <c r="P102" s="114" t="n">
        <v>7495</v>
      </c>
      <c r="Q102" s="114" t="n">
        <v>4256.8</v>
      </c>
      <c r="R102" s="114" t="n">
        <v>3238.2</v>
      </c>
      <c r="S102" s="115" t="n">
        <v>0.567951967978652</v>
      </c>
      <c r="T102" s="65" t="n">
        <v>2.295</v>
      </c>
      <c r="U102" s="65" t="n">
        <v>20</v>
      </c>
      <c r="W102" s="115" t="n">
        <v>0.0789</v>
      </c>
      <c r="X102" s="112"/>
      <c r="Y102" s="65" t="str">
        <f aca="false">IF(I102="","No SIC",IFERROR(VLOOKUP(I102,Ref!$A$2:$B$65,2,FALSE()),"Unclassified"))</f>
        <v>Personal Services</v>
      </c>
      <c r="Z102" s="65" t="str">
        <f aca="false">IF(T102="","",IF(T102&lt;12,"Daily","Weekly"))</f>
        <v>Daily</v>
      </c>
      <c r="AA102" s="65" t="n">
        <f aca="false">IF(T102="",0,IF(T102&lt;12,T102*Controls!$B$29,T102*5))</f>
        <v>49.698225</v>
      </c>
      <c r="AB102" s="65" t="n">
        <f aca="false">IF(E102="",0,NETWORKDAYS(E102,Controls!$B$36,Ref!$K$2:$K$42))</f>
        <v>321</v>
      </c>
      <c r="AC102" s="65" t="n">
        <f aca="false">IF(AND(AA102&gt;0,AB102&gt;=Controls!$B$39*AA102),1,0)</f>
        <v>1</v>
      </c>
      <c r="AD102" s="65" t="n">
        <f aca="false">IF(AND(E102&lt;&gt;"",E102&gt;=Controls!$B$37,E102&lt;=Controls!$B$38),1,0)</f>
        <v>1</v>
      </c>
      <c r="AE102" s="65" t="n">
        <f aca="false">IF(IFERROR(VLOOKUP(D102,Controls!$A$64:$E$74,2,FALSE()),"No")="Yes",1,0)</f>
        <v>1</v>
      </c>
      <c r="AF102" s="65" t="n">
        <f aca="false">IF(IFERROR(VLOOKUP(D102,Controls!$A$64:$E$74,3,FALSE()),"No")="Yes",1,0)</f>
        <v>0</v>
      </c>
      <c r="AG102" s="65" t="n">
        <f aca="false">IF(IFERROR(VLOOKUP(D102,Controls!$A$64:$E$74,4,FALSE()),"No")="Yes",1,0)</f>
        <v>0</v>
      </c>
      <c r="AH102" s="65" t="n">
        <f aca="false">IF(IFERROR(VLOOKUP(D102,Controls!$A$64:$E$74,5,FALSE()),"No")="Yes",1,0)</f>
        <v>0</v>
      </c>
      <c r="AI102" s="65" t="n">
        <f aca="false">IF(ISNUMBER(MATCH(D102,Controls!$A$64:$A$74,0)),1,0)</f>
        <v>1</v>
      </c>
      <c r="AJ102" s="65" t="n">
        <f aca="false">Q102-N102</f>
        <v>-743.2</v>
      </c>
      <c r="AK102" s="65" t="n">
        <f aca="false">IF(AE102=1,MAX(0,N102-Q102),0)</f>
        <v>743.2</v>
      </c>
      <c r="AL102" s="65" t="n">
        <f aca="false">IF(OR(V102="",V102=0),0,N102/V102)</f>
        <v>0</v>
      </c>
      <c r="AM102" s="65" t="n">
        <f aca="false">IF(OR(V102="",V102=0),0,1)</f>
        <v>0</v>
      </c>
      <c r="AN102" s="65" t="n">
        <f aca="false">IF(OR(E102="",F102=""),0,NETWORKDAYS(E102,F102,Ref!$K$2:$K$42))</f>
        <v>84</v>
      </c>
      <c r="AO102" s="65" t="n">
        <f aca="false">IF(L102="Renewal",1,0)</f>
        <v>0</v>
      </c>
      <c r="AP102" s="65" t="n">
        <f aca="false">AC102*AD102</f>
        <v>1</v>
      </c>
      <c r="AQ102" s="65" t="n">
        <f aca="false">IF(AND(G102&lt;&gt;"",'Historical Score'!$C$6&lt;&gt;""),IF(G102='Historical Score'!$C$6,1,0),0)</f>
        <v>1</v>
      </c>
      <c r="AR102" s="65" t="n">
        <f aca="false">IF(AND(L102&lt;&gt;"",'Historical Score'!$C$5&lt;&gt;""),IF(L102='Historical Score'!$C$5,1,0),0)</f>
        <v>1</v>
      </c>
      <c r="AS102" s="65" t="n">
        <f aca="false">IF(AND(Y102&lt;&gt;"",'Historical Score'!$C$7&lt;&gt;""),IF(Y102='Historical Score'!$C$7,1,0),0)</f>
        <v>0</v>
      </c>
      <c r="AT102" s="65" t="n">
        <f aca="false">IF(AND(K102&lt;&gt;"",'Historical Score'!$C$8&lt;&gt;""),IF(K102='Historical Score'!$C$8,1,0),0)</f>
        <v>0</v>
      </c>
      <c r="AU102" s="65" t="n">
        <f aca="false">IF(AND(J102&lt;&gt;"",'Historical Score'!$C$9&lt;&gt;""),IF(J102='Historical Score'!$C$9,1,0),0)</f>
        <v>1</v>
      </c>
      <c r="AV102" s="65" t="n">
        <f aca="false">AR102*AS102*AQ102</f>
        <v>0</v>
      </c>
      <c r="AW102" s="65" t="n">
        <f aca="false">AR102*AT102*AQ102</f>
        <v>0</v>
      </c>
      <c r="AX102" s="65" t="n">
        <f aca="false">AR102*AS102</f>
        <v>0</v>
      </c>
      <c r="AY102" s="65" t="n">
        <f aca="false">AR102*AT102</f>
        <v>0</v>
      </c>
      <c r="AZ102" s="65" t="n">
        <f aca="false">AR102*AQ102</f>
        <v>1</v>
      </c>
      <c r="BA102" s="65" t="n">
        <f aca="false">AR102</f>
        <v>1</v>
      </c>
      <c r="BB102" s="65" t="n">
        <f aca="false">1</f>
        <v>1</v>
      </c>
      <c r="BC102" s="65" t="n">
        <f aca="false">IF(AV102=1,1,IF(AW102=1,2,IF(AX102=1,3,IF(AY102=1,4,IF(AZ102=1,5,IF(BA102=1,6,7))))))</f>
        <v>5</v>
      </c>
      <c r="BD102" s="65" t="n">
        <f aca="false">IF(AD102=1,CHOOSE('Historical Score'!$C$29,AV102,AW102,AX102,AY102,AZ102,BA102,BB102),0)</f>
        <v>0</v>
      </c>
      <c r="BE102" s="65" t="str">
        <f aca="false">IF(BD102=1,COUNTIF($BD$2:BD102,1),"")</f>
        <v/>
      </c>
    </row>
    <row r="103" customFormat="false" ht="15" hidden="false" customHeight="false" outlineLevel="0" collapsed="false">
      <c r="A103" s="65" t="s">
        <v>742</v>
      </c>
      <c r="B103" s="65" t="s">
        <v>743</v>
      </c>
      <c r="C103" s="65" t="s">
        <v>744</v>
      </c>
      <c r="D103" s="65" t="s">
        <v>371</v>
      </c>
      <c r="E103" s="112" t="n">
        <v>45793</v>
      </c>
      <c r="F103" s="112" t="n">
        <v>45882</v>
      </c>
      <c r="G103" s="65" t="n">
        <v>3</v>
      </c>
      <c r="H103" s="65" t="s">
        <v>500</v>
      </c>
      <c r="I103" s="65" t="s">
        <v>475</v>
      </c>
      <c r="J103" s="65" t="s">
        <v>682</v>
      </c>
      <c r="K103" s="65" t="s">
        <v>501</v>
      </c>
      <c r="L103" s="65" t="s">
        <v>64</v>
      </c>
      <c r="M103" s="113" t="n">
        <v>1.49</v>
      </c>
      <c r="N103" s="114" t="n">
        <v>10000</v>
      </c>
      <c r="O103" s="114" t="n">
        <v>1400</v>
      </c>
      <c r="P103" s="114" t="n">
        <v>14900</v>
      </c>
      <c r="Q103" s="114" t="n">
        <v>14900</v>
      </c>
      <c r="R103" s="114" t="n">
        <v>0</v>
      </c>
      <c r="S103" s="115" t="n">
        <v>1</v>
      </c>
      <c r="T103" s="65" t="n">
        <v>1.967</v>
      </c>
      <c r="U103" s="65" t="n">
        <v>0</v>
      </c>
      <c r="W103" s="115" t="n">
        <v>0.0859</v>
      </c>
      <c r="X103" s="112" t="n">
        <v>37104</v>
      </c>
      <c r="Y103" s="65" t="str">
        <f aca="false">IF(I103="","No SIC",IFERROR(VLOOKUP(I103,Ref!$A$2:$B$65,2,FALSE()),"Unclassified"))</f>
        <v>Auto Repair &amp; Services</v>
      </c>
      <c r="Z103" s="65" t="str">
        <f aca="false">IF(T103="","",IF(T103&lt;12,"Daily","Weekly"))</f>
        <v>Daily</v>
      </c>
      <c r="AA103" s="65" t="n">
        <f aca="false">IF(T103="",0,IF(T103&lt;12,T103*Controls!$B$29,T103*5))</f>
        <v>42.595385</v>
      </c>
      <c r="AB103" s="65" t="n">
        <f aca="false">IF(E103="",0,NETWORKDAYS(E103,Controls!$B$36,Ref!$K$2:$K$42))</f>
        <v>320</v>
      </c>
      <c r="AC103" s="65" t="n">
        <f aca="false">IF(AND(AA103&gt;0,AB103&gt;=Controls!$B$39*AA103),1,0)</f>
        <v>1</v>
      </c>
      <c r="AD103" s="65" t="n">
        <f aca="false">IF(AND(E103&lt;&gt;"",E103&gt;=Controls!$B$37,E103&lt;=Controls!$B$38),1,0)</f>
        <v>1</v>
      </c>
      <c r="AE103" s="65" t="n">
        <f aca="false">IF(IFERROR(VLOOKUP(D103,Controls!$A$64:$E$74,2,FALSE()),"No")="Yes",1,0)</f>
        <v>0</v>
      </c>
      <c r="AF103" s="65" t="n">
        <f aca="false">IF(IFERROR(VLOOKUP(D103,Controls!$A$64:$E$74,3,FALSE()),"No")="Yes",1,0)</f>
        <v>1</v>
      </c>
      <c r="AG103" s="65" t="n">
        <f aca="false">IF(IFERROR(VLOOKUP(D103,Controls!$A$64:$E$74,4,FALSE()),"No")="Yes",1,0)</f>
        <v>1</v>
      </c>
      <c r="AH103" s="65" t="n">
        <f aca="false">IF(IFERROR(VLOOKUP(D103,Controls!$A$64:$E$74,5,FALSE()),"No")="Yes",1,0)</f>
        <v>0</v>
      </c>
      <c r="AI103" s="65" t="n">
        <f aca="false">IF(ISNUMBER(MATCH(D103,Controls!$A$64:$A$74,0)),1,0)</f>
        <v>1</v>
      </c>
      <c r="AJ103" s="65" t="n">
        <f aca="false">Q103-N103</f>
        <v>4900</v>
      </c>
      <c r="AK103" s="65" t="n">
        <f aca="false">IF(AE103=1,MAX(0,N103-Q103),0)</f>
        <v>0</v>
      </c>
      <c r="AL103" s="65" t="n">
        <f aca="false">IF(OR(V103="",V103=0),0,N103/V103)</f>
        <v>0</v>
      </c>
      <c r="AM103" s="65" t="n">
        <f aca="false">IF(OR(V103="",V103=0),0,1)</f>
        <v>0</v>
      </c>
      <c r="AN103" s="65" t="n">
        <f aca="false">IF(OR(E103="",F103=""),0,NETWORKDAYS(E103,F103,Ref!$K$2:$K$42))</f>
        <v>61</v>
      </c>
      <c r="AO103" s="65" t="n">
        <f aca="false">IF(L103="Renewal",1,0)</f>
        <v>0</v>
      </c>
      <c r="AP103" s="65" t="n">
        <f aca="false">AC103*AD103</f>
        <v>1</v>
      </c>
      <c r="AQ103" s="65" t="n">
        <f aca="false">IF(AND(G103&lt;&gt;"",'Historical Score'!$C$6&lt;&gt;""),IF(G103='Historical Score'!$C$6,1,0),0)</f>
        <v>0</v>
      </c>
      <c r="AR103" s="65" t="n">
        <f aca="false">IF(AND(L103&lt;&gt;"",'Historical Score'!$C$5&lt;&gt;""),IF(L103='Historical Score'!$C$5,1,0),0)</f>
        <v>1</v>
      </c>
      <c r="AS103" s="65" t="n">
        <f aca="false">IF(AND(Y103&lt;&gt;"",'Historical Score'!$C$7&lt;&gt;""),IF(Y103='Historical Score'!$C$7,1,0),0)</f>
        <v>0</v>
      </c>
      <c r="AT103" s="65" t="n">
        <f aca="false">IF(AND(K103&lt;&gt;"",'Historical Score'!$C$8&lt;&gt;""),IF(K103='Historical Score'!$C$8,1,0),0)</f>
        <v>0</v>
      </c>
      <c r="AU103" s="65" t="n">
        <f aca="false">IF(AND(J103&lt;&gt;"",'Historical Score'!$C$9&lt;&gt;""),IF(J103='Historical Score'!$C$9,1,0),0)</f>
        <v>0</v>
      </c>
      <c r="AV103" s="65" t="n">
        <f aca="false">AR103*AS103*AQ103</f>
        <v>0</v>
      </c>
      <c r="AW103" s="65" t="n">
        <f aca="false">AR103*AT103*AQ103</f>
        <v>0</v>
      </c>
      <c r="AX103" s="65" t="n">
        <f aca="false">AR103*AS103</f>
        <v>0</v>
      </c>
      <c r="AY103" s="65" t="n">
        <f aca="false">AR103*AT103</f>
        <v>0</v>
      </c>
      <c r="AZ103" s="65" t="n">
        <f aca="false">AR103*AQ103</f>
        <v>0</v>
      </c>
      <c r="BA103" s="65" t="n">
        <f aca="false">AR103</f>
        <v>1</v>
      </c>
      <c r="BB103" s="65" t="n">
        <f aca="false">1</f>
        <v>1</v>
      </c>
      <c r="BC103" s="65" t="n">
        <f aca="false">IF(AV103=1,1,IF(AW103=1,2,IF(AX103=1,3,IF(AY103=1,4,IF(AZ103=1,5,IF(BA103=1,6,7))))))</f>
        <v>6</v>
      </c>
      <c r="BD103" s="65" t="n">
        <f aca="false">IF(AD103=1,CHOOSE('Historical Score'!$C$29,AV103,AW103,AX103,AY103,AZ103,BA103,BB103),0)</f>
        <v>0</v>
      </c>
      <c r="BE103" s="65" t="str">
        <f aca="false">IF(BD103=1,COUNTIF($BD$2:BD103,1),"")</f>
        <v/>
      </c>
    </row>
    <row r="104" customFormat="false" ht="15" hidden="false" customHeight="false" outlineLevel="0" collapsed="false">
      <c r="A104" s="65" t="s">
        <v>745</v>
      </c>
      <c r="B104" s="65" t="s">
        <v>746</v>
      </c>
      <c r="C104" s="65" t="s">
        <v>747</v>
      </c>
      <c r="D104" s="65" t="s">
        <v>347</v>
      </c>
      <c r="E104" s="112" t="n">
        <v>45793</v>
      </c>
      <c r="F104" s="112" t="n">
        <v>46155</v>
      </c>
      <c r="G104" s="65" t="n">
        <v>3</v>
      </c>
      <c r="H104" s="65" t="s">
        <v>748</v>
      </c>
      <c r="I104" s="65" t="s">
        <v>619</v>
      </c>
      <c r="J104" s="65" t="s">
        <v>350</v>
      </c>
      <c r="K104" s="65" t="s">
        <v>749</v>
      </c>
      <c r="L104" s="65" t="s">
        <v>64</v>
      </c>
      <c r="M104" s="113" t="n">
        <v>1.49</v>
      </c>
      <c r="N104" s="114" t="n">
        <v>5000</v>
      </c>
      <c r="O104" s="114" t="n">
        <v>700</v>
      </c>
      <c r="P104" s="114" t="n">
        <v>7450</v>
      </c>
      <c r="Q104" s="114" t="n">
        <v>4657.29</v>
      </c>
      <c r="R104" s="114" t="n">
        <v>2792.71</v>
      </c>
      <c r="S104" s="115" t="n">
        <v>0.625139597315436</v>
      </c>
      <c r="T104" s="65" t="n">
        <v>2.459</v>
      </c>
      <c r="U104" s="65" t="n">
        <v>33</v>
      </c>
      <c r="W104" s="115" t="n">
        <v>0.0449</v>
      </c>
      <c r="X104" s="112" t="n">
        <v>44317</v>
      </c>
      <c r="Y104" s="65" t="str">
        <f aca="false">IF(I104="","No SIC",IFERROR(VLOOKUP(I104,Ref!$A$2:$B$65,2,FALSE()),"Unclassified"))</f>
        <v>Miscellaneous Retail</v>
      </c>
      <c r="Z104" s="65" t="str">
        <f aca="false">IF(T104="","",IF(T104&lt;12,"Daily","Weekly"))</f>
        <v>Daily</v>
      </c>
      <c r="AA104" s="65" t="n">
        <f aca="false">IF(T104="",0,IF(T104&lt;12,T104*Controls!$B$29,T104*5))</f>
        <v>53.249645</v>
      </c>
      <c r="AB104" s="65" t="n">
        <f aca="false">IF(E104="",0,NETWORKDAYS(E104,Controls!$B$36,Ref!$K$2:$K$42))</f>
        <v>320</v>
      </c>
      <c r="AC104" s="65" t="n">
        <f aca="false">IF(AND(AA104&gt;0,AB104&gt;=Controls!$B$39*AA104),1,0)</f>
        <v>1</v>
      </c>
      <c r="AD104" s="65" t="n">
        <f aca="false">IF(AND(E104&lt;&gt;"",E104&gt;=Controls!$B$37,E104&lt;=Controls!$B$38),1,0)</f>
        <v>1</v>
      </c>
      <c r="AE104" s="65" t="n">
        <f aca="false">IF(IFERROR(VLOOKUP(D104,Controls!$A$64:$E$74,2,FALSE()),"No")="Yes",1,0)</f>
        <v>1</v>
      </c>
      <c r="AF104" s="65" t="n">
        <f aca="false">IF(IFERROR(VLOOKUP(D104,Controls!$A$64:$E$74,3,FALSE()),"No")="Yes",1,0)</f>
        <v>1</v>
      </c>
      <c r="AG104" s="65" t="n">
        <f aca="false">IF(IFERROR(VLOOKUP(D104,Controls!$A$64:$E$74,4,FALSE()),"No")="Yes",1,0)</f>
        <v>0</v>
      </c>
      <c r="AH104" s="65" t="n">
        <f aca="false">IF(IFERROR(VLOOKUP(D104,Controls!$A$64:$E$74,5,FALSE()),"No")="Yes",1,0)</f>
        <v>0</v>
      </c>
      <c r="AI104" s="65" t="n">
        <f aca="false">IF(ISNUMBER(MATCH(D104,Controls!$A$64:$A$74,0)),1,0)</f>
        <v>1</v>
      </c>
      <c r="AJ104" s="65" t="n">
        <f aca="false">Q104-N104</f>
        <v>-342.71</v>
      </c>
      <c r="AK104" s="65" t="n">
        <f aca="false">IF(AE104=1,MAX(0,N104-Q104),0)</f>
        <v>342.71</v>
      </c>
      <c r="AL104" s="65" t="n">
        <f aca="false">IF(OR(V104="",V104=0),0,N104/V104)</f>
        <v>0</v>
      </c>
      <c r="AM104" s="65" t="n">
        <f aca="false">IF(OR(V104="",V104=0),0,1)</f>
        <v>0</v>
      </c>
      <c r="AN104" s="65" t="n">
        <f aca="false">IF(OR(E104="",F104=""),0,NETWORKDAYS(E104,F104,Ref!$K$2:$K$42))</f>
        <v>248</v>
      </c>
      <c r="AO104" s="65" t="n">
        <f aca="false">IF(L104="Renewal",1,0)</f>
        <v>0</v>
      </c>
      <c r="AP104" s="65" t="n">
        <f aca="false">AC104*AD104</f>
        <v>1</v>
      </c>
      <c r="AQ104" s="65" t="n">
        <f aca="false">IF(AND(G104&lt;&gt;"",'Historical Score'!$C$6&lt;&gt;""),IF(G104='Historical Score'!$C$6,1,0),0)</f>
        <v>0</v>
      </c>
      <c r="AR104" s="65" t="n">
        <f aca="false">IF(AND(L104&lt;&gt;"",'Historical Score'!$C$5&lt;&gt;""),IF(L104='Historical Score'!$C$5,1,0),0)</f>
        <v>1</v>
      </c>
      <c r="AS104" s="65" t="n">
        <f aca="false">IF(AND(Y104&lt;&gt;"",'Historical Score'!$C$7&lt;&gt;""),IF(Y104='Historical Score'!$C$7,1,0),0)</f>
        <v>0</v>
      </c>
      <c r="AT104" s="65" t="n">
        <f aca="false">IF(AND(K104&lt;&gt;"",'Historical Score'!$C$8&lt;&gt;""),IF(K104='Historical Score'!$C$8,1,0),0)</f>
        <v>0</v>
      </c>
      <c r="AU104" s="65" t="n">
        <f aca="false">IF(AND(J104&lt;&gt;"",'Historical Score'!$C$9&lt;&gt;""),IF(J104='Historical Score'!$C$9,1,0),0)</f>
        <v>0</v>
      </c>
      <c r="AV104" s="65" t="n">
        <f aca="false">AR104*AS104*AQ104</f>
        <v>0</v>
      </c>
      <c r="AW104" s="65" t="n">
        <f aca="false">AR104*AT104*AQ104</f>
        <v>0</v>
      </c>
      <c r="AX104" s="65" t="n">
        <f aca="false">AR104*AS104</f>
        <v>0</v>
      </c>
      <c r="AY104" s="65" t="n">
        <f aca="false">AR104*AT104</f>
        <v>0</v>
      </c>
      <c r="AZ104" s="65" t="n">
        <f aca="false">AR104*AQ104</f>
        <v>0</v>
      </c>
      <c r="BA104" s="65" t="n">
        <f aca="false">AR104</f>
        <v>1</v>
      </c>
      <c r="BB104" s="65" t="n">
        <f aca="false">1</f>
        <v>1</v>
      </c>
      <c r="BC104" s="65" t="n">
        <f aca="false">IF(AV104=1,1,IF(AW104=1,2,IF(AX104=1,3,IF(AY104=1,4,IF(AZ104=1,5,IF(BA104=1,6,7))))))</f>
        <v>6</v>
      </c>
      <c r="BD104" s="65" t="n">
        <f aca="false">IF(AD104=1,CHOOSE('Historical Score'!$C$29,AV104,AW104,AX104,AY104,AZ104,BA104,BB104),0)</f>
        <v>0</v>
      </c>
      <c r="BE104" s="65" t="str">
        <f aca="false">IF(BD104=1,COUNTIF($BD$2:BD104,1),"")</f>
        <v/>
      </c>
    </row>
    <row r="105" customFormat="false" ht="15" hidden="false" customHeight="false" outlineLevel="0" collapsed="false">
      <c r="A105" s="65" t="s">
        <v>750</v>
      </c>
      <c r="B105" s="65" t="s">
        <v>751</v>
      </c>
      <c r="C105" s="65" t="s">
        <v>751</v>
      </c>
      <c r="D105" s="65" t="s">
        <v>371</v>
      </c>
      <c r="E105" s="112" t="n">
        <v>45796</v>
      </c>
      <c r="F105" s="112" t="n">
        <v>45835</v>
      </c>
      <c r="G105" s="65" t="n">
        <v>7</v>
      </c>
      <c r="H105" s="65" t="s">
        <v>752</v>
      </c>
      <c r="I105" s="65" t="s">
        <v>405</v>
      </c>
      <c r="J105" s="65" t="s">
        <v>410</v>
      </c>
      <c r="K105" s="65" t="s">
        <v>55</v>
      </c>
      <c r="L105" s="65" t="s">
        <v>64</v>
      </c>
      <c r="M105" s="113" t="n">
        <v>1.5</v>
      </c>
      <c r="N105" s="114" t="n">
        <v>8000</v>
      </c>
      <c r="O105" s="114" t="n">
        <v>1120</v>
      </c>
      <c r="P105" s="114" t="n">
        <v>12000</v>
      </c>
      <c r="Q105" s="114" t="n">
        <v>12000</v>
      </c>
      <c r="R105" s="114" t="n">
        <v>0</v>
      </c>
      <c r="S105" s="115" t="n">
        <v>1</v>
      </c>
      <c r="T105" s="65" t="n">
        <v>1.639</v>
      </c>
      <c r="U105" s="65" t="n">
        <v>2</v>
      </c>
      <c r="W105" s="115" t="n">
        <v>0.0508</v>
      </c>
      <c r="X105" s="112" t="n">
        <v>45796</v>
      </c>
      <c r="Y105" s="65" t="str">
        <f aca="false">IF(I105="","No SIC",IFERROR(VLOOKUP(I105,Ref!$A$2:$B$65,2,FALSE()),"Unclassified"))</f>
        <v>Health Services</v>
      </c>
      <c r="Z105" s="65" t="str">
        <f aca="false">IF(T105="","",IF(T105&lt;12,"Daily","Weekly"))</f>
        <v>Daily</v>
      </c>
      <c r="AA105" s="65" t="n">
        <f aca="false">IF(T105="",0,IF(T105&lt;12,T105*Controls!$B$29,T105*5))</f>
        <v>35.492545</v>
      </c>
      <c r="AB105" s="65" t="n">
        <f aca="false">IF(E105="",0,NETWORKDAYS(E105,Controls!$B$36,Ref!$K$2:$K$42))</f>
        <v>319</v>
      </c>
      <c r="AC105" s="65" t="n">
        <f aca="false">IF(AND(AA105&gt;0,AB105&gt;=Controls!$B$39*AA105),1,0)</f>
        <v>1</v>
      </c>
      <c r="AD105" s="65" t="n">
        <f aca="false">IF(AND(E105&lt;&gt;"",E105&gt;=Controls!$B$37,E105&lt;=Controls!$B$38),1,0)</f>
        <v>1</v>
      </c>
      <c r="AE105" s="65" t="n">
        <f aca="false">IF(IFERROR(VLOOKUP(D105,Controls!$A$64:$E$74,2,FALSE()),"No")="Yes",1,0)</f>
        <v>0</v>
      </c>
      <c r="AF105" s="65" t="n">
        <f aca="false">IF(IFERROR(VLOOKUP(D105,Controls!$A$64:$E$74,3,FALSE()),"No")="Yes",1,0)</f>
        <v>1</v>
      </c>
      <c r="AG105" s="65" t="n">
        <f aca="false">IF(IFERROR(VLOOKUP(D105,Controls!$A$64:$E$74,4,FALSE()),"No")="Yes",1,0)</f>
        <v>1</v>
      </c>
      <c r="AH105" s="65" t="n">
        <f aca="false">IF(IFERROR(VLOOKUP(D105,Controls!$A$64:$E$74,5,FALSE()),"No")="Yes",1,0)</f>
        <v>0</v>
      </c>
      <c r="AI105" s="65" t="n">
        <f aca="false">IF(ISNUMBER(MATCH(D105,Controls!$A$64:$A$74,0)),1,0)</f>
        <v>1</v>
      </c>
      <c r="AJ105" s="65" t="n">
        <f aca="false">Q105-N105</f>
        <v>4000</v>
      </c>
      <c r="AK105" s="65" t="n">
        <f aca="false">IF(AE105=1,MAX(0,N105-Q105),0)</f>
        <v>0</v>
      </c>
      <c r="AL105" s="65" t="n">
        <f aca="false">IF(OR(V105="",V105=0),0,N105/V105)</f>
        <v>0</v>
      </c>
      <c r="AM105" s="65" t="n">
        <f aca="false">IF(OR(V105="",V105=0),0,1)</f>
        <v>0</v>
      </c>
      <c r="AN105" s="65" t="n">
        <f aca="false">IF(OR(E105="",F105=""),0,NETWORKDAYS(E105,F105,Ref!$K$2:$K$42))</f>
        <v>28</v>
      </c>
      <c r="AO105" s="65" t="n">
        <f aca="false">IF(L105="Renewal",1,0)</f>
        <v>0</v>
      </c>
      <c r="AP105" s="65" t="n">
        <f aca="false">AC105*AD105</f>
        <v>1</v>
      </c>
      <c r="AQ105" s="65" t="n">
        <f aca="false">IF(AND(G105&lt;&gt;"",'Historical Score'!$C$6&lt;&gt;""),IF(G105='Historical Score'!$C$6,1,0),0)</f>
        <v>0</v>
      </c>
      <c r="AR105" s="65" t="n">
        <f aca="false">IF(AND(L105&lt;&gt;"",'Historical Score'!$C$5&lt;&gt;""),IF(L105='Historical Score'!$C$5,1,0),0)</f>
        <v>1</v>
      </c>
      <c r="AS105" s="65" t="n">
        <f aca="false">IF(AND(Y105&lt;&gt;"",'Historical Score'!$C$7&lt;&gt;""),IF(Y105='Historical Score'!$C$7,1,0),0)</f>
        <v>0</v>
      </c>
      <c r="AT105" s="65" t="n">
        <f aca="false">IF(AND(K105&lt;&gt;"",'Historical Score'!$C$8&lt;&gt;""),IF(K105='Historical Score'!$C$8,1,0),0)</f>
        <v>1</v>
      </c>
      <c r="AU105" s="65" t="n">
        <f aca="false">IF(AND(J105&lt;&gt;"",'Historical Score'!$C$9&lt;&gt;""),IF(J105='Historical Score'!$C$9,1,0),0)</f>
        <v>0</v>
      </c>
      <c r="AV105" s="65" t="n">
        <f aca="false">AR105*AS105*AQ105</f>
        <v>0</v>
      </c>
      <c r="AW105" s="65" t="n">
        <f aca="false">AR105*AT105*AQ105</f>
        <v>0</v>
      </c>
      <c r="AX105" s="65" t="n">
        <f aca="false">AR105*AS105</f>
        <v>0</v>
      </c>
      <c r="AY105" s="65" t="n">
        <f aca="false">AR105*AT105</f>
        <v>1</v>
      </c>
      <c r="AZ105" s="65" t="n">
        <f aca="false">AR105*AQ105</f>
        <v>0</v>
      </c>
      <c r="BA105" s="65" t="n">
        <f aca="false">AR105</f>
        <v>1</v>
      </c>
      <c r="BB105" s="65" t="n">
        <f aca="false">1</f>
        <v>1</v>
      </c>
      <c r="BC105" s="65" t="n">
        <f aca="false">IF(AV105=1,1,IF(AW105=1,2,IF(AX105=1,3,IF(AY105=1,4,IF(AZ105=1,5,IF(BA105=1,6,7))))))</f>
        <v>4</v>
      </c>
      <c r="BD105" s="65" t="n">
        <f aca="false">IF(AD105=1,CHOOSE('Historical Score'!$C$29,AV105,AW105,AX105,AY105,AZ105,BA105,BB105),0)</f>
        <v>0</v>
      </c>
      <c r="BE105" s="65" t="str">
        <f aca="false">IF(BD105=1,COUNTIF($BD$2:BD105,1),"")</f>
        <v/>
      </c>
    </row>
    <row r="106" customFormat="false" ht="15" hidden="false" customHeight="false" outlineLevel="0" collapsed="false">
      <c r="A106" s="65" t="s">
        <v>753</v>
      </c>
      <c r="B106" s="65" t="s">
        <v>754</v>
      </c>
      <c r="C106" s="65" t="s">
        <v>755</v>
      </c>
      <c r="D106" s="65" t="s">
        <v>340</v>
      </c>
      <c r="E106" s="112" t="n">
        <v>45798</v>
      </c>
      <c r="F106" s="112" t="n">
        <v>45834</v>
      </c>
      <c r="G106" s="65" t="n">
        <v>6</v>
      </c>
      <c r="H106" s="65" t="s">
        <v>409</v>
      </c>
      <c r="I106" s="65" t="s">
        <v>342</v>
      </c>
      <c r="J106" s="65" t="s">
        <v>386</v>
      </c>
      <c r="K106" s="65" t="s">
        <v>456</v>
      </c>
      <c r="L106" s="65" t="s">
        <v>320</v>
      </c>
      <c r="M106" s="113" t="n">
        <v>1.49</v>
      </c>
      <c r="N106" s="114" t="n">
        <v>8000</v>
      </c>
      <c r="O106" s="114" t="n">
        <v>0</v>
      </c>
      <c r="P106" s="114" t="n">
        <v>11920</v>
      </c>
      <c r="Q106" s="114" t="n">
        <v>1510.15</v>
      </c>
      <c r="R106" s="114" t="n">
        <v>10409.85</v>
      </c>
      <c r="S106" s="115" t="n">
        <v>0.126690436241611</v>
      </c>
      <c r="T106" s="65" t="n">
        <v>2.459</v>
      </c>
      <c r="U106" s="65" t="n">
        <v>12</v>
      </c>
      <c r="W106" s="115" t="n">
        <v>0.1429</v>
      </c>
      <c r="X106" s="112" t="n">
        <v>45798</v>
      </c>
      <c r="Y106" s="65" t="str">
        <f aca="false">IF(I106="","No SIC",IFERROR(VLOOKUP(I106,Ref!$A$2:$B$65,2,FALSE()),"Unclassified"))</f>
        <v>Eating &amp; Drinking Places</v>
      </c>
      <c r="Z106" s="65" t="str">
        <f aca="false">IF(T106="","",IF(T106&lt;12,"Daily","Weekly"))</f>
        <v>Daily</v>
      </c>
      <c r="AA106" s="65" t="n">
        <f aca="false">IF(T106="",0,IF(T106&lt;12,T106*Controls!$B$29,T106*5))</f>
        <v>53.249645</v>
      </c>
      <c r="AB106" s="65" t="n">
        <f aca="false">IF(E106="",0,NETWORKDAYS(E106,Controls!$B$36,Ref!$K$2:$K$42))</f>
        <v>317</v>
      </c>
      <c r="AC106" s="65" t="n">
        <f aca="false">IF(AND(AA106&gt;0,AB106&gt;=Controls!$B$39*AA106),1,0)</f>
        <v>1</v>
      </c>
      <c r="AD106" s="65" t="n">
        <f aca="false">IF(AND(E106&lt;&gt;"",E106&gt;=Controls!$B$37,E106&lt;=Controls!$B$38),1,0)</f>
        <v>1</v>
      </c>
      <c r="AE106" s="65" t="n">
        <f aca="false">IF(IFERROR(VLOOKUP(D106,Controls!$A$64:$E$74,2,FALSE()),"No")="Yes",1,0)</f>
        <v>1</v>
      </c>
      <c r="AF106" s="65" t="n">
        <f aca="false">IF(IFERROR(VLOOKUP(D106,Controls!$A$64:$E$74,3,FALSE()),"No")="Yes",1,0)</f>
        <v>0</v>
      </c>
      <c r="AG106" s="65" t="n">
        <f aca="false">IF(IFERROR(VLOOKUP(D106,Controls!$A$64:$E$74,4,FALSE()),"No")="Yes",1,0)</f>
        <v>0</v>
      </c>
      <c r="AH106" s="65" t="n">
        <f aca="false">IF(IFERROR(VLOOKUP(D106,Controls!$A$64:$E$74,5,FALSE()),"No")="Yes",1,0)</f>
        <v>0</v>
      </c>
      <c r="AI106" s="65" t="n">
        <f aca="false">IF(ISNUMBER(MATCH(D106,Controls!$A$64:$A$74,0)),1,0)</f>
        <v>1</v>
      </c>
      <c r="AJ106" s="65" t="n">
        <f aca="false">Q106-N106</f>
        <v>-6489.85</v>
      </c>
      <c r="AK106" s="65" t="n">
        <f aca="false">IF(AE106=1,MAX(0,N106-Q106),0)</f>
        <v>6489.85</v>
      </c>
      <c r="AL106" s="65" t="n">
        <f aca="false">IF(OR(V106="",V106=0),0,N106/V106)</f>
        <v>0</v>
      </c>
      <c r="AM106" s="65" t="n">
        <f aca="false">IF(OR(V106="",V106=0),0,1)</f>
        <v>0</v>
      </c>
      <c r="AN106" s="65" t="n">
        <f aca="false">IF(OR(E106="",F106=""),0,NETWORKDAYS(E106,F106,Ref!$K$2:$K$42))</f>
        <v>25</v>
      </c>
      <c r="AO106" s="65" t="n">
        <f aca="false">IF(L106="Renewal",1,0)</f>
        <v>1</v>
      </c>
      <c r="AP106" s="65" t="n">
        <f aca="false">AC106*AD106</f>
        <v>1</v>
      </c>
      <c r="AQ106" s="65" t="n">
        <f aca="false">IF(AND(G106&lt;&gt;"",'Historical Score'!$C$6&lt;&gt;""),IF(G106='Historical Score'!$C$6,1,0),0)</f>
        <v>0</v>
      </c>
      <c r="AR106" s="65" t="n">
        <f aca="false">IF(AND(L106&lt;&gt;"",'Historical Score'!$C$5&lt;&gt;""),IF(L106='Historical Score'!$C$5,1,0),0)</f>
        <v>0</v>
      </c>
      <c r="AS106" s="65" t="n">
        <f aca="false">IF(AND(Y106&lt;&gt;"",'Historical Score'!$C$7&lt;&gt;""),IF(Y106='Historical Score'!$C$7,1,0),0)</f>
        <v>0</v>
      </c>
      <c r="AT106" s="65" t="n">
        <f aca="false">IF(AND(K106&lt;&gt;"",'Historical Score'!$C$8&lt;&gt;""),IF(K106='Historical Score'!$C$8,1,0),0)</f>
        <v>0</v>
      </c>
      <c r="AU106" s="65" t="n">
        <f aca="false">IF(AND(J106&lt;&gt;"",'Historical Score'!$C$9&lt;&gt;""),IF(J106='Historical Score'!$C$9,1,0),0)</f>
        <v>0</v>
      </c>
      <c r="AV106" s="65" t="n">
        <f aca="false">AR106*AS106*AQ106</f>
        <v>0</v>
      </c>
      <c r="AW106" s="65" t="n">
        <f aca="false">AR106*AT106*AQ106</f>
        <v>0</v>
      </c>
      <c r="AX106" s="65" t="n">
        <f aca="false">AR106*AS106</f>
        <v>0</v>
      </c>
      <c r="AY106" s="65" t="n">
        <f aca="false">AR106*AT106</f>
        <v>0</v>
      </c>
      <c r="AZ106" s="65" t="n">
        <f aca="false">AR106*AQ106</f>
        <v>0</v>
      </c>
      <c r="BA106" s="65" t="n">
        <f aca="false">AR106</f>
        <v>0</v>
      </c>
      <c r="BB106" s="65" t="n">
        <f aca="false">1</f>
        <v>1</v>
      </c>
      <c r="BC106" s="65" t="n">
        <f aca="false">IF(AV106=1,1,IF(AW106=1,2,IF(AX106=1,3,IF(AY106=1,4,IF(AZ106=1,5,IF(BA106=1,6,7))))))</f>
        <v>7</v>
      </c>
      <c r="BD106" s="65" t="n">
        <f aca="false">IF(AD106=1,CHOOSE('Historical Score'!$C$29,AV106,AW106,AX106,AY106,AZ106,BA106,BB106),0)</f>
        <v>0</v>
      </c>
      <c r="BE106" s="65" t="str">
        <f aca="false">IF(BD106=1,COUNTIF($BD$2:BD106,1),"")</f>
        <v/>
      </c>
    </row>
    <row r="107" customFormat="false" ht="15" hidden="false" customHeight="false" outlineLevel="0" collapsed="false">
      <c r="A107" s="65" t="s">
        <v>756</v>
      </c>
      <c r="B107" s="65" t="s">
        <v>757</v>
      </c>
      <c r="C107" s="65" t="s">
        <v>758</v>
      </c>
      <c r="D107" s="65" t="s">
        <v>371</v>
      </c>
      <c r="E107" s="112" t="n">
        <v>45798</v>
      </c>
      <c r="F107" s="112" t="n">
        <v>45953</v>
      </c>
      <c r="G107" s="65" t="n">
        <v>6</v>
      </c>
      <c r="H107" s="65" t="s">
        <v>409</v>
      </c>
      <c r="I107" s="65" t="s">
        <v>342</v>
      </c>
      <c r="J107" s="65" t="s">
        <v>61</v>
      </c>
      <c r="K107" s="65" t="s">
        <v>543</v>
      </c>
      <c r="L107" s="65" t="s">
        <v>64</v>
      </c>
      <c r="M107" s="113" t="n">
        <v>1.49</v>
      </c>
      <c r="N107" s="114" t="n">
        <v>30000</v>
      </c>
      <c r="O107" s="114" t="n">
        <v>4200</v>
      </c>
      <c r="P107" s="114" t="n">
        <v>44700</v>
      </c>
      <c r="Q107" s="114" t="n">
        <v>44700</v>
      </c>
      <c r="R107" s="114" t="n">
        <v>0</v>
      </c>
      <c r="S107" s="115" t="n">
        <v>1</v>
      </c>
      <c r="T107" s="65" t="n">
        <v>4.262</v>
      </c>
      <c r="U107" s="65" t="n">
        <v>13</v>
      </c>
      <c r="W107" s="115" t="n">
        <v>0.0802</v>
      </c>
      <c r="X107" s="112" t="n">
        <v>45798</v>
      </c>
      <c r="Y107" s="65" t="str">
        <f aca="false">IF(I107="","No SIC",IFERROR(VLOOKUP(I107,Ref!$A$2:$B$65,2,FALSE()),"Unclassified"))</f>
        <v>Eating &amp; Drinking Places</v>
      </c>
      <c r="Z107" s="65" t="str">
        <f aca="false">IF(T107="","",IF(T107&lt;12,"Daily","Weekly"))</f>
        <v>Daily</v>
      </c>
      <c r="AA107" s="65" t="n">
        <f aca="false">IF(T107="",0,IF(T107&lt;12,T107*Controls!$B$29,T107*5))</f>
        <v>92.29361</v>
      </c>
      <c r="AB107" s="65" t="n">
        <f aca="false">IF(E107="",0,NETWORKDAYS(E107,Controls!$B$36,Ref!$K$2:$K$42))</f>
        <v>317</v>
      </c>
      <c r="AC107" s="65" t="n">
        <f aca="false">IF(AND(AA107&gt;0,AB107&gt;=Controls!$B$39*AA107),1,0)</f>
        <v>1</v>
      </c>
      <c r="AD107" s="65" t="n">
        <f aca="false">IF(AND(E107&lt;&gt;"",E107&gt;=Controls!$B$37,E107&lt;=Controls!$B$38),1,0)</f>
        <v>1</v>
      </c>
      <c r="AE107" s="65" t="n">
        <f aca="false">IF(IFERROR(VLOOKUP(D107,Controls!$A$64:$E$74,2,FALSE()),"No")="Yes",1,0)</f>
        <v>0</v>
      </c>
      <c r="AF107" s="65" t="n">
        <f aca="false">IF(IFERROR(VLOOKUP(D107,Controls!$A$64:$E$74,3,FALSE()),"No")="Yes",1,0)</f>
        <v>1</v>
      </c>
      <c r="AG107" s="65" t="n">
        <f aca="false">IF(IFERROR(VLOOKUP(D107,Controls!$A$64:$E$74,4,FALSE()),"No")="Yes",1,0)</f>
        <v>1</v>
      </c>
      <c r="AH107" s="65" t="n">
        <f aca="false">IF(IFERROR(VLOOKUP(D107,Controls!$A$64:$E$74,5,FALSE()),"No")="Yes",1,0)</f>
        <v>0</v>
      </c>
      <c r="AI107" s="65" t="n">
        <f aca="false">IF(ISNUMBER(MATCH(D107,Controls!$A$64:$A$74,0)),1,0)</f>
        <v>1</v>
      </c>
      <c r="AJ107" s="65" t="n">
        <f aca="false">Q107-N107</f>
        <v>14700</v>
      </c>
      <c r="AK107" s="65" t="n">
        <f aca="false">IF(AE107=1,MAX(0,N107-Q107),0)</f>
        <v>0</v>
      </c>
      <c r="AL107" s="65" t="n">
        <f aca="false">IF(OR(V107="",V107=0),0,N107/V107)</f>
        <v>0</v>
      </c>
      <c r="AM107" s="65" t="n">
        <f aca="false">IF(OR(V107="",V107=0),0,1)</f>
        <v>0</v>
      </c>
      <c r="AN107" s="65" t="n">
        <f aca="false">IF(OR(E107="",F107=""),0,NETWORKDAYS(E107,F107,Ref!$K$2:$K$42))</f>
        <v>107</v>
      </c>
      <c r="AO107" s="65" t="n">
        <f aca="false">IF(L107="Renewal",1,0)</f>
        <v>0</v>
      </c>
      <c r="AP107" s="65" t="n">
        <f aca="false">AC107*AD107</f>
        <v>1</v>
      </c>
      <c r="AQ107" s="65" t="n">
        <f aca="false">IF(AND(G107&lt;&gt;"",'Historical Score'!$C$6&lt;&gt;""),IF(G107='Historical Score'!$C$6,1,0),0)</f>
        <v>0</v>
      </c>
      <c r="AR107" s="65" t="n">
        <f aca="false">IF(AND(L107&lt;&gt;"",'Historical Score'!$C$5&lt;&gt;""),IF(L107='Historical Score'!$C$5,1,0),0)</f>
        <v>1</v>
      </c>
      <c r="AS107" s="65" t="n">
        <f aca="false">IF(AND(Y107&lt;&gt;"",'Historical Score'!$C$7&lt;&gt;""),IF(Y107='Historical Score'!$C$7,1,0),0)</f>
        <v>0</v>
      </c>
      <c r="AT107" s="65" t="n">
        <f aca="false">IF(AND(K107&lt;&gt;"",'Historical Score'!$C$8&lt;&gt;""),IF(K107='Historical Score'!$C$8,1,0),0)</f>
        <v>0</v>
      </c>
      <c r="AU107" s="65" t="n">
        <f aca="false">IF(AND(J107&lt;&gt;"",'Historical Score'!$C$9&lt;&gt;""),IF(J107='Historical Score'!$C$9,1,0),0)</f>
        <v>1</v>
      </c>
      <c r="AV107" s="65" t="n">
        <f aca="false">AR107*AS107*AQ107</f>
        <v>0</v>
      </c>
      <c r="AW107" s="65" t="n">
        <f aca="false">AR107*AT107*AQ107</f>
        <v>0</v>
      </c>
      <c r="AX107" s="65" t="n">
        <f aca="false">AR107*AS107</f>
        <v>0</v>
      </c>
      <c r="AY107" s="65" t="n">
        <f aca="false">AR107*AT107</f>
        <v>0</v>
      </c>
      <c r="AZ107" s="65" t="n">
        <f aca="false">AR107*AQ107</f>
        <v>0</v>
      </c>
      <c r="BA107" s="65" t="n">
        <f aca="false">AR107</f>
        <v>1</v>
      </c>
      <c r="BB107" s="65" t="n">
        <f aca="false">1</f>
        <v>1</v>
      </c>
      <c r="BC107" s="65" t="n">
        <f aca="false">IF(AV107=1,1,IF(AW107=1,2,IF(AX107=1,3,IF(AY107=1,4,IF(AZ107=1,5,IF(BA107=1,6,7))))))</f>
        <v>6</v>
      </c>
      <c r="BD107" s="65" t="n">
        <f aca="false">IF(AD107=1,CHOOSE('Historical Score'!$C$29,AV107,AW107,AX107,AY107,AZ107,BA107,BB107),0)</f>
        <v>0</v>
      </c>
      <c r="BE107" s="65" t="str">
        <f aca="false">IF(BD107=1,COUNTIF($BD$2:BD107,1),"")</f>
        <v/>
      </c>
    </row>
    <row r="108" customFormat="false" ht="15" hidden="false" customHeight="false" outlineLevel="0" collapsed="false">
      <c r="A108" s="65" t="s">
        <v>759</v>
      </c>
      <c r="B108" s="65" t="s">
        <v>760</v>
      </c>
      <c r="C108" s="65" t="s">
        <v>761</v>
      </c>
      <c r="D108" s="65" t="s">
        <v>371</v>
      </c>
      <c r="E108" s="112" t="n">
        <v>45798</v>
      </c>
      <c r="F108" s="112" t="n">
        <v>45869</v>
      </c>
      <c r="G108" s="65" t="n">
        <v>3</v>
      </c>
      <c r="H108" s="65" t="s">
        <v>409</v>
      </c>
      <c r="I108" s="65" t="s">
        <v>342</v>
      </c>
      <c r="J108" s="65" t="s">
        <v>762</v>
      </c>
      <c r="K108" s="65" t="s">
        <v>578</v>
      </c>
      <c r="L108" s="65" t="s">
        <v>64</v>
      </c>
      <c r="M108" s="113" t="n">
        <v>1.49</v>
      </c>
      <c r="N108" s="114" t="n">
        <v>25000</v>
      </c>
      <c r="O108" s="114" t="n">
        <v>3500</v>
      </c>
      <c r="P108" s="114" t="n">
        <v>37250</v>
      </c>
      <c r="Q108" s="114" t="n">
        <v>37250</v>
      </c>
      <c r="R108" s="114" t="n">
        <v>0</v>
      </c>
      <c r="S108" s="115" t="n">
        <v>1</v>
      </c>
      <c r="T108" s="65" t="n">
        <v>3.279</v>
      </c>
      <c r="U108" s="65" t="n">
        <v>0</v>
      </c>
      <c r="W108" s="115" t="n">
        <v>0.1105</v>
      </c>
      <c r="X108" s="112" t="n">
        <v>45798</v>
      </c>
      <c r="Y108" s="65" t="str">
        <f aca="false">IF(I108="","No SIC",IFERROR(VLOOKUP(I108,Ref!$A$2:$B$65,2,FALSE()),"Unclassified"))</f>
        <v>Eating &amp; Drinking Places</v>
      </c>
      <c r="Z108" s="65" t="str">
        <f aca="false">IF(T108="","",IF(T108&lt;12,"Daily","Weekly"))</f>
        <v>Daily</v>
      </c>
      <c r="AA108" s="65" t="n">
        <f aca="false">IF(T108="",0,IF(T108&lt;12,T108*Controls!$B$29,T108*5))</f>
        <v>71.006745</v>
      </c>
      <c r="AB108" s="65" t="n">
        <f aca="false">IF(E108="",0,NETWORKDAYS(E108,Controls!$B$36,Ref!$K$2:$K$42))</f>
        <v>317</v>
      </c>
      <c r="AC108" s="65" t="n">
        <f aca="false">IF(AND(AA108&gt;0,AB108&gt;=Controls!$B$39*AA108),1,0)</f>
        <v>1</v>
      </c>
      <c r="AD108" s="65" t="n">
        <f aca="false">IF(AND(E108&lt;&gt;"",E108&gt;=Controls!$B$37,E108&lt;=Controls!$B$38),1,0)</f>
        <v>1</v>
      </c>
      <c r="AE108" s="65" t="n">
        <f aca="false">IF(IFERROR(VLOOKUP(D108,Controls!$A$64:$E$74,2,FALSE()),"No")="Yes",1,0)</f>
        <v>0</v>
      </c>
      <c r="AF108" s="65" t="n">
        <f aca="false">IF(IFERROR(VLOOKUP(D108,Controls!$A$64:$E$74,3,FALSE()),"No")="Yes",1,0)</f>
        <v>1</v>
      </c>
      <c r="AG108" s="65" t="n">
        <f aca="false">IF(IFERROR(VLOOKUP(D108,Controls!$A$64:$E$74,4,FALSE()),"No")="Yes",1,0)</f>
        <v>1</v>
      </c>
      <c r="AH108" s="65" t="n">
        <f aca="false">IF(IFERROR(VLOOKUP(D108,Controls!$A$64:$E$74,5,FALSE()),"No")="Yes",1,0)</f>
        <v>0</v>
      </c>
      <c r="AI108" s="65" t="n">
        <f aca="false">IF(ISNUMBER(MATCH(D108,Controls!$A$64:$A$74,0)),1,0)</f>
        <v>1</v>
      </c>
      <c r="AJ108" s="65" t="n">
        <f aca="false">Q108-N108</f>
        <v>12250</v>
      </c>
      <c r="AK108" s="65" t="n">
        <f aca="false">IF(AE108=1,MAX(0,N108-Q108),0)</f>
        <v>0</v>
      </c>
      <c r="AL108" s="65" t="n">
        <f aca="false">IF(OR(V108="",V108=0),0,N108/V108)</f>
        <v>0</v>
      </c>
      <c r="AM108" s="65" t="n">
        <f aca="false">IF(OR(V108="",V108=0),0,1)</f>
        <v>0</v>
      </c>
      <c r="AN108" s="65" t="n">
        <f aca="false">IF(OR(E108="",F108=""),0,NETWORKDAYS(E108,F108,Ref!$K$2:$K$42))</f>
        <v>49</v>
      </c>
      <c r="AO108" s="65" t="n">
        <f aca="false">IF(L108="Renewal",1,0)</f>
        <v>0</v>
      </c>
      <c r="AP108" s="65" t="n">
        <f aca="false">AC108*AD108</f>
        <v>1</v>
      </c>
      <c r="AQ108" s="65" t="n">
        <f aca="false">IF(AND(G108&lt;&gt;"",'Historical Score'!$C$6&lt;&gt;""),IF(G108='Historical Score'!$C$6,1,0),0)</f>
        <v>0</v>
      </c>
      <c r="AR108" s="65" t="n">
        <f aca="false">IF(AND(L108&lt;&gt;"",'Historical Score'!$C$5&lt;&gt;""),IF(L108='Historical Score'!$C$5,1,0),0)</f>
        <v>1</v>
      </c>
      <c r="AS108" s="65" t="n">
        <f aca="false">IF(AND(Y108&lt;&gt;"",'Historical Score'!$C$7&lt;&gt;""),IF(Y108='Historical Score'!$C$7,1,0),0)</f>
        <v>0</v>
      </c>
      <c r="AT108" s="65" t="n">
        <f aca="false">IF(AND(K108&lt;&gt;"",'Historical Score'!$C$8&lt;&gt;""),IF(K108='Historical Score'!$C$8,1,0),0)</f>
        <v>0</v>
      </c>
      <c r="AU108" s="65" t="n">
        <f aca="false">IF(AND(J108&lt;&gt;"",'Historical Score'!$C$9&lt;&gt;""),IF(J108='Historical Score'!$C$9,1,0),0)</f>
        <v>0</v>
      </c>
      <c r="AV108" s="65" t="n">
        <f aca="false">AR108*AS108*AQ108</f>
        <v>0</v>
      </c>
      <c r="AW108" s="65" t="n">
        <f aca="false">AR108*AT108*AQ108</f>
        <v>0</v>
      </c>
      <c r="AX108" s="65" t="n">
        <f aca="false">AR108*AS108</f>
        <v>0</v>
      </c>
      <c r="AY108" s="65" t="n">
        <f aca="false">AR108*AT108</f>
        <v>0</v>
      </c>
      <c r="AZ108" s="65" t="n">
        <f aca="false">AR108*AQ108</f>
        <v>0</v>
      </c>
      <c r="BA108" s="65" t="n">
        <f aca="false">AR108</f>
        <v>1</v>
      </c>
      <c r="BB108" s="65" t="n">
        <f aca="false">1</f>
        <v>1</v>
      </c>
      <c r="BC108" s="65" t="n">
        <f aca="false">IF(AV108=1,1,IF(AW108=1,2,IF(AX108=1,3,IF(AY108=1,4,IF(AZ108=1,5,IF(BA108=1,6,7))))))</f>
        <v>6</v>
      </c>
      <c r="BD108" s="65" t="n">
        <f aca="false">IF(AD108=1,CHOOSE('Historical Score'!$C$29,AV108,AW108,AX108,AY108,AZ108,BA108,BB108),0)</f>
        <v>0</v>
      </c>
      <c r="BE108" s="65" t="str">
        <f aca="false">IF(BD108=1,COUNTIF($BD$2:BD108,1),"")</f>
        <v/>
      </c>
    </row>
    <row r="109" customFormat="false" ht="15" hidden="false" customHeight="false" outlineLevel="0" collapsed="false">
      <c r="A109" s="65" t="s">
        <v>763</v>
      </c>
      <c r="B109" s="65" t="s">
        <v>764</v>
      </c>
      <c r="C109" s="65" t="s">
        <v>764</v>
      </c>
      <c r="D109" s="65" t="s">
        <v>340</v>
      </c>
      <c r="E109" s="112" t="n">
        <v>45799</v>
      </c>
      <c r="F109" s="112" t="n">
        <v>45812</v>
      </c>
      <c r="G109" s="65" t="n">
        <v>3</v>
      </c>
      <c r="H109" s="65" t="s">
        <v>479</v>
      </c>
      <c r="I109" s="65" t="s">
        <v>356</v>
      </c>
      <c r="J109" s="65" t="s">
        <v>489</v>
      </c>
      <c r="K109" s="65" t="s">
        <v>765</v>
      </c>
      <c r="L109" s="65" t="s">
        <v>64</v>
      </c>
      <c r="M109" s="113" t="n">
        <v>1.45</v>
      </c>
      <c r="N109" s="114" t="n">
        <v>10000</v>
      </c>
      <c r="O109" s="114" t="n">
        <v>0</v>
      </c>
      <c r="P109" s="114" t="n">
        <v>14500</v>
      </c>
      <c r="Q109" s="114" t="n">
        <v>181.11</v>
      </c>
      <c r="R109" s="114" t="n">
        <v>14318.89</v>
      </c>
      <c r="S109" s="115" t="n">
        <v>0.0124903448275862</v>
      </c>
      <c r="T109" s="65" t="n">
        <v>2.623</v>
      </c>
      <c r="U109" s="65" t="n">
        <v>7</v>
      </c>
      <c r="W109" s="115" t="n">
        <v>0.0589</v>
      </c>
      <c r="X109" s="112" t="n">
        <v>45799</v>
      </c>
      <c r="Y109" s="65" t="str">
        <f aca="false">IF(I109="","No SIC",IFERROR(VLOOKUP(I109,Ref!$A$2:$B$65,2,FALSE()),"Unclassified"))</f>
        <v>Trucking &amp; Warehousing</v>
      </c>
      <c r="Z109" s="65" t="str">
        <f aca="false">IF(T109="","",IF(T109&lt;12,"Daily","Weekly"))</f>
        <v>Daily</v>
      </c>
      <c r="AA109" s="65" t="n">
        <f aca="false">IF(T109="",0,IF(T109&lt;12,T109*Controls!$B$29,T109*5))</f>
        <v>56.801065</v>
      </c>
      <c r="AB109" s="65" t="n">
        <f aca="false">IF(E109="",0,NETWORKDAYS(E109,Controls!$B$36,Ref!$K$2:$K$42))</f>
        <v>316</v>
      </c>
      <c r="AC109" s="65" t="n">
        <f aca="false">IF(AND(AA109&gt;0,AB109&gt;=Controls!$B$39*AA109),1,0)</f>
        <v>1</v>
      </c>
      <c r="AD109" s="65" t="n">
        <f aca="false">IF(AND(E109&lt;&gt;"",E109&gt;=Controls!$B$37,E109&lt;=Controls!$B$38),1,0)</f>
        <v>1</v>
      </c>
      <c r="AE109" s="65" t="n">
        <f aca="false">IF(IFERROR(VLOOKUP(D109,Controls!$A$64:$E$74,2,FALSE()),"No")="Yes",1,0)</f>
        <v>1</v>
      </c>
      <c r="AF109" s="65" t="n">
        <f aca="false">IF(IFERROR(VLOOKUP(D109,Controls!$A$64:$E$74,3,FALSE()),"No")="Yes",1,0)</f>
        <v>0</v>
      </c>
      <c r="AG109" s="65" t="n">
        <f aca="false">IF(IFERROR(VLOOKUP(D109,Controls!$A$64:$E$74,4,FALSE()),"No")="Yes",1,0)</f>
        <v>0</v>
      </c>
      <c r="AH109" s="65" t="n">
        <f aca="false">IF(IFERROR(VLOOKUP(D109,Controls!$A$64:$E$74,5,FALSE()),"No")="Yes",1,0)</f>
        <v>0</v>
      </c>
      <c r="AI109" s="65" t="n">
        <f aca="false">IF(ISNUMBER(MATCH(D109,Controls!$A$64:$A$74,0)),1,0)</f>
        <v>1</v>
      </c>
      <c r="AJ109" s="65" t="n">
        <f aca="false">Q109-N109</f>
        <v>-9818.89</v>
      </c>
      <c r="AK109" s="65" t="n">
        <f aca="false">IF(AE109=1,MAX(0,N109-Q109),0)</f>
        <v>9818.89</v>
      </c>
      <c r="AL109" s="65" t="n">
        <f aca="false">IF(OR(V109="",V109=0),0,N109/V109)</f>
        <v>0</v>
      </c>
      <c r="AM109" s="65" t="n">
        <f aca="false">IF(OR(V109="",V109=0),0,1)</f>
        <v>0</v>
      </c>
      <c r="AN109" s="65" t="n">
        <f aca="false">IF(OR(E109="",F109=""),0,NETWORKDAYS(E109,F109,Ref!$K$2:$K$42))</f>
        <v>9</v>
      </c>
      <c r="AO109" s="65" t="n">
        <f aca="false">IF(L109="Renewal",1,0)</f>
        <v>0</v>
      </c>
      <c r="AP109" s="65" t="n">
        <f aca="false">AC109*AD109</f>
        <v>1</v>
      </c>
      <c r="AQ109" s="65" t="n">
        <f aca="false">IF(AND(G109&lt;&gt;"",'Historical Score'!$C$6&lt;&gt;""),IF(G109='Historical Score'!$C$6,1,0),0)</f>
        <v>0</v>
      </c>
      <c r="AR109" s="65" t="n">
        <f aca="false">IF(AND(L109&lt;&gt;"",'Historical Score'!$C$5&lt;&gt;""),IF(L109='Historical Score'!$C$5,1,0),0)</f>
        <v>1</v>
      </c>
      <c r="AS109" s="65" t="n">
        <f aca="false">IF(AND(Y109&lt;&gt;"",'Historical Score'!$C$7&lt;&gt;""),IF(Y109='Historical Score'!$C$7,1,0),0)</f>
        <v>0</v>
      </c>
      <c r="AT109" s="65" t="n">
        <f aca="false">IF(AND(K109&lt;&gt;"",'Historical Score'!$C$8&lt;&gt;""),IF(K109='Historical Score'!$C$8,1,0),0)</f>
        <v>0</v>
      </c>
      <c r="AU109" s="65" t="n">
        <f aca="false">IF(AND(J109&lt;&gt;"",'Historical Score'!$C$9&lt;&gt;""),IF(J109='Historical Score'!$C$9,1,0),0)</f>
        <v>0</v>
      </c>
      <c r="AV109" s="65" t="n">
        <f aca="false">AR109*AS109*AQ109</f>
        <v>0</v>
      </c>
      <c r="AW109" s="65" t="n">
        <f aca="false">AR109*AT109*AQ109</f>
        <v>0</v>
      </c>
      <c r="AX109" s="65" t="n">
        <f aca="false">AR109*AS109</f>
        <v>0</v>
      </c>
      <c r="AY109" s="65" t="n">
        <f aca="false">AR109*AT109</f>
        <v>0</v>
      </c>
      <c r="AZ109" s="65" t="n">
        <f aca="false">AR109*AQ109</f>
        <v>0</v>
      </c>
      <c r="BA109" s="65" t="n">
        <f aca="false">AR109</f>
        <v>1</v>
      </c>
      <c r="BB109" s="65" t="n">
        <f aca="false">1</f>
        <v>1</v>
      </c>
      <c r="BC109" s="65" t="n">
        <f aca="false">IF(AV109=1,1,IF(AW109=1,2,IF(AX109=1,3,IF(AY109=1,4,IF(AZ109=1,5,IF(BA109=1,6,7))))))</f>
        <v>6</v>
      </c>
      <c r="BD109" s="65" t="n">
        <f aca="false">IF(AD109=1,CHOOSE('Historical Score'!$C$29,AV109,AW109,AX109,AY109,AZ109,BA109,BB109),0)</f>
        <v>0</v>
      </c>
      <c r="BE109" s="65" t="str">
        <f aca="false">IF(BD109=1,COUNTIF($BD$2:BD109,1),"")</f>
        <v/>
      </c>
    </row>
    <row r="110" customFormat="false" ht="15" hidden="false" customHeight="false" outlineLevel="0" collapsed="false">
      <c r="A110" s="65" t="s">
        <v>766</v>
      </c>
      <c r="B110" s="65" t="s">
        <v>767</v>
      </c>
      <c r="C110" s="65" t="s">
        <v>767</v>
      </c>
      <c r="D110" s="65" t="s">
        <v>340</v>
      </c>
      <c r="E110" s="112" t="n">
        <v>45799</v>
      </c>
      <c r="F110" s="112" t="n">
        <v>46234</v>
      </c>
      <c r="G110" s="65" t="n">
        <v>3</v>
      </c>
      <c r="H110" s="65" t="s">
        <v>768</v>
      </c>
      <c r="I110" s="65" t="s">
        <v>443</v>
      </c>
      <c r="J110" s="65" t="s">
        <v>769</v>
      </c>
      <c r="K110" s="65" t="s">
        <v>581</v>
      </c>
      <c r="L110" s="65" t="s">
        <v>64</v>
      </c>
      <c r="M110" s="113" t="n">
        <v>1.49</v>
      </c>
      <c r="N110" s="114" t="n">
        <v>10000</v>
      </c>
      <c r="O110" s="114" t="n">
        <v>1400</v>
      </c>
      <c r="P110" s="114" t="n">
        <v>14900</v>
      </c>
      <c r="Q110" s="114" t="n">
        <v>14829.18</v>
      </c>
      <c r="R110" s="114" t="n">
        <v>70.8199999999997</v>
      </c>
      <c r="S110" s="115" t="n">
        <v>0.995246979865772</v>
      </c>
      <c r="T110" s="65" t="n">
        <v>1.967</v>
      </c>
      <c r="U110" s="65" t="n">
        <v>8</v>
      </c>
      <c r="W110" s="115" t="n">
        <v>0.1254</v>
      </c>
      <c r="X110" s="112" t="n">
        <v>45799</v>
      </c>
      <c r="Y110" s="65" t="str">
        <f aca="false">IF(I110="","No SIC",IFERROR(VLOOKUP(I110,Ref!$A$2:$B$65,2,FALSE()),"Unclassified"))</f>
        <v>General Building Contractors</v>
      </c>
      <c r="Z110" s="65" t="str">
        <f aca="false">IF(T110="","",IF(T110&lt;12,"Daily","Weekly"))</f>
        <v>Daily</v>
      </c>
      <c r="AA110" s="65" t="n">
        <f aca="false">IF(T110="",0,IF(T110&lt;12,T110*Controls!$B$29,T110*5))</f>
        <v>42.595385</v>
      </c>
      <c r="AB110" s="65" t="n">
        <f aca="false">IF(E110="",0,NETWORKDAYS(E110,Controls!$B$36,Ref!$K$2:$K$42))</f>
        <v>316</v>
      </c>
      <c r="AC110" s="65" t="n">
        <f aca="false">IF(AND(AA110&gt;0,AB110&gt;=Controls!$B$39*AA110),1,0)</f>
        <v>1</v>
      </c>
      <c r="AD110" s="65" t="n">
        <f aca="false">IF(AND(E110&lt;&gt;"",E110&gt;=Controls!$B$37,E110&lt;=Controls!$B$38),1,0)</f>
        <v>1</v>
      </c>
      <c r="AE110" s="65" t="n">
        <f aca="false">IF(IFERROR(VLOOKUP(D110,Controls!$A$64:$E$74,2,FALSE()),"No")="Yes",1,0)</f>
        <v>1</v>
      </c>
      <c r="AF110" s="65" t="n">
        <f aca="false">IF(IFERROR(VLOOKUP(D110,Controls!$A$64:$E$74,3,FALSE()),"No")="Yes",1,0)</f>
        <v>0</v>
      </c>
      <c r="AG110" s="65" t="n">
        <f aca="false">IF(IFERROR(VLOOKUP(D110,Controls!$A$64:$E$74,4,FALSE()),"No")="Yes",1,0)</f>
        <v>0</v>
      </c>
      <c r="AH110" s="65" t="n">
        <f aca="false">IF(IFERROR(VLOOKUP(D110,Controls!$A$64:$E$74,5,FALSE()),"No")="Yes",1,0)</f>
        <v>0</v>
      </c>
      <c r="AI110" s="65" t="n">
        <f aca="false">IF(ISNUMBER(MATCH(D110,Controls!$A$64:$A$74,0)),1,0)</f>
        <v>1</v>
      </c>
      <c r="AJ110" s="65" t="n">
        <f aca="false">Q110-N110</f>
        <v>4829.18</v>
      </c>
      <c r="AK110" s="65" t="n">
        <f aca="false">IF(AE110=1,MAX(0,N110-Q110),0)</f>
        <v>0</v>
      </c>
      <c r="AL110" s="65" t="n">
        <f aca="false">IF(OR(V110="",V110=0),0,N110/V110)</f>
        <v>0</v>
      </c>
      <c r="AM110" s="65" t="n">
        <f aca="false">IF(OR(V110="",V110=0),0,1)</f>
        <v>0</v>
      </c>
      <c r="AN110" s="65" t="n">
        <f aca="false">IF(OR(E110="",F110=""),0,NETWORKDAYS(E110,F110,Ref!$K$2:$K$42))</f>
        <v>299</v>
      </c>
      <c r="AO110" s="65" t="n">
        <f aca="false">IF(L110="Renewal",1,0)</f>
        <v>0</v>
      </c>
      <c r="AP110" s="65" t="n">
        <f aca="false">AC110*AD110</f>
        <v>1</v>
      </c>
      <c r="AQ110" s="65" t="n">
        <f aca="false">IF(AND(G110&lt;&gt;"",'Historical Score'!$C$6&lt;&gt;""),IF(G110='Historical Score'!$C$6,1,0),0)</f>
        <v>0</v>
      </c>
      <c r="AR110" s="65" t="n">
        <f aca="false">IF(AND(L110&lt;&gt;"",'Historical Score'!$C$5&lt;&gt;""),IF(L110='Historical Score'!$C$5,1,0),0)</f>
        <v>1</v>
      </c>
      <c r="AS110" s="65" t="n">
        <f aca="false">IF(AND(Y110&lt;&gt;"",'Historical Score'!$C$7&lt;&gt;""),IF(Y110='Historical Score'!$C$7,1,0),0)</f>
        <v>1</v>
      </c>
      <c r="AT110" s="65" t="n">
        <f aca="false">IF(AND(K110&lt;&gt;"",'Historical Score'!$C$8&lt;&gt;""),IF(K110='Historical Score'!$C$8,1,0),0)</f>
        <v>0</v>
      </c>
      <c r="AU110" s="65" t="n">
        <f aca="false">IF(AND(J110&lt;&gt;"",'Historical Score'!$C$9&lt;&gt;""),IF(J110='Historical Score'!$C$9,1,0),0)</f>
        <v>0</v>
      </c>
      <c r="AV110" s="65" t="n">
        <f aca="false">AR110*AS110*AQ110</f>
        <v>0</v>
      </c>
      <c r="AW110" s="65" t="n">
        <f aca="false">AR110*AT110*AQ110</f>
        <v>0</v>
      </c>
      <c r="AX110" s="65" t="n">
        <f aca="false">AR110*AS110</f>
        <v>1</v>
      </c>
      <c r="AY110" s="65" t="n">
        <f aca="false">AR110*AT110</f>
        <v>0</v>
      </c>
      <c r="AZ110" s="65" t="n">
        <f aca="false">AR110*AQ110</f>
        <v>0</v>
      </c>
      <c r="BA110" s="65" t="n">
        <f aca="false">AR110</f>
        <v>1</v>
      </c>
      <c r="BB110" s="65" t="n">
        <f aca="false">1</f>
        <v>1</v>
      </c>
      <c r="BC110" s="65" t="n">
        <f aca="false">IF(AV110=1,1,IF(AW110=1,2,IF(AX110=1,3,IF(AY110=1,4,IF(AZ110=1,5,IF(BA110=1,6,7))))))</f>
        <v>3</v>
      </c>
      <c r="BD110" s="65" t="n">
        <f aca="false">IF(AD110=1,CHOOSE('Historical Score'!$C$29,AV110,AW110,AX110,AY110,AZ110,BA110,BB110),0)</f>
        <v>0</v>
      </c>
      <c r="BE110" s="65" t="str">
        <f aca="false">IF(BD110=1,COUNTIF($BD$2:BD110,1),"")</f>
        <v/>
      </c>
    </row>
    <row r="111" customFormat="false" ht="15" hidden="false" customHeight="false" outlineLevel="0" collapsed="false">
      <c r="A111" s="65" t="s">
        <v>770</v>
      </c>
      <c r="B111" s="65" t="s">
        <v>771</v>
      </c>
      <c r="C111" s="65" t="s">
        <v>771</v>
      </c>
      <c r="D111" s="65" t="s">
        <v>371</v>
      </c>
      <c r="E111" s="112" t="n">
        <v>45800</v>
      </c>
      <c r="F111" s="112" t="n">
        <v>45905</v>
      </c>
      <c r="G111" s="65" t="n">
        <v>4</v>
      </c>
      <c r="H111" s="65" t="s">
        <v>442</v>
      </c>
      <c r="I111" s="65" t="s">
        <v>443</v>
      </c>
      <c r="J111" s="65" t="s">
        <v>772</v>
      </c>
      <c r="K111" s="65" t="s">
        <v>773</v>
      </c>
      <c r="L111" s="65" t="s">
        <v>64</v>
      </c>
      <c r="M111" s="113" t="n">
        <v>1.499</v>
      </c>
      <c r="N111" s="114" t="n">
        <v>7000</v>
      </c>
      <c r="O111" s="114" t="n">
        <v>980</v>
      </c>
      <c r="P111" s="114" t="n">
        <v>10493</v>
      </c>
      <c r="Q111" s="114" t="n">
        <v>10493</v>
      </c>
      <c r="R111" s="114" t="n">
        <v>0</v>
      </c>
      <c r="S111" s="115" t="n">
        <v>1</v>
      </c>
      <c r="T111" s="65" t="n">
        <v>2.459</v>
      </c>
      <c r="U111" s="65" t="n">
        <v>9</v>
      </c>
      <c r="W111" s="115" t="n">
        <v>0.0229</v>
      </c>
      <c r="X111" s="112" t="n">
        <v>45800</v>
      </c>
      <c r="Y111" s="65" t="str">
        <f aca="false">IF(I111="","No SIC",IFERROR(VLOOKUP(I111,Ref!$A$2:$B$65,2,FALSE()),"Unclassified"))</f>
        <v>General Building Contractors</v>
      </c>
      <c r="Z111" s="65" t="str">
        <f aca="false">IF(T111="","",IF(T111&lt;12,"Daily","Weekly"))</f>
        <v>Daily</v>
      </c>
      <c r="AA111" s="65" t="n">
        <f aca="false">IF(T111="",0,IF(T111&lt;12,T111*Controls!$B$29,T111*5))</f>
        <v>53.249645</v>
      </c>
      <c r="AB111" s="65" t="n">
        <f aca="false">IF(E111="",0,NETWORKDAYS(E111,Controls!$B$36,Ref!$K$2:$K$42))</f>
        <v>315</v>
      </c>
      <c r="AC111" s="65" t="n">
        <f aca="false">IF(AND(AA111&gt;0,AB111&gt;=Controls!$B$39*AA111),1,0)</f>
        <v>1</v>
      </c>
      <c r="AD111" s="65" t="n">
        <f aca="false">IF(AND(E111&lt;&gt;"",E111&gt;=Controls!$B$37,E111&lt;=Controls!$B$38),1,0)</f>
        <v>1</v>
      </c>
      <c r="AE111" s="65" t="n">
        <f aca="false">IF(IFERROR(VLOOKUP(D111,Controls!$A$64:$E$74,2,FALSE()),"No")="Yes",1,0)</f>
        <v>0</v>
      </c>
      <c r="AF111" s="65" t="n">
        <f aca="false">IF(IFERROR(VLOOKUP(D111,Controls!$A$64:$E$74,3,FALSE()),"No")="Yes",1,0)</f>
        <v>1</v>
      </c>
      <c r="AG111" s="65" t="n">
        <f aca="false">IF(IFERROR(VLOOKUP(D111,Controls!$A$64:$E$74,4,FALSE()),"No")="Yes",1,0)</f>
        <v>1</v>
      </c>
      <c r="AH111" s="65" t="n">
        <f aca="false">IF(IFERROR(VLOOKUP(D111,Controls!$A$64:$E$74,5,FALSE()),"No")="Yes",1,0)</f>
        <v>0</v>
      </c>
      <c r="AI111" s="65" t="n">
        <f aca="false">IF(ISNUMBER(MATCH(D111,Controls!$A$64:$A$74,0)),1,0)</f>
        <v>1</v>
      </c>
      <c r="AJ111" s="65" t="n">
        <f aca="false">Q111-N111</f>
        <v>3493</v>
      </c>
      <c r="AK111" s="65" t="n">
        <f aca="false">IF(AE111=1,MAX(0,N111-Q111),0)</f>
        <v>0</v>
      </c>
      <c r="AL111" s="65" t="n">
        <f aca="false">IF(OR(V111="",V111=0),0,N111/V111)</f>
        <v>0</v>
      </c>
      <c r="AM111" s="65" t="n">
        <f aca="false">IF(OR(V111="",V111=0),0,1)</f>
        <v>0</v>
      </c>
      <c r="AN111" s="65" t="n">
        <f aca="false">IF(OR(E111="",F111=""),0,NETWORKDAYS(E111,F111,Ref!$K$2:$K$42))</f>
        <v>72</v>
      </c>
      <c r="AO111" s="65" t="n">
        <f aca="false">IF(L111="Renewal",1,0)</f>
        <v>0</v>
      </c>
      <c r="AP111" s="65" t="n">
        <f aca="false">AC111*AD111</f>
        <v>1</v>
      </c>
      <c r="AQ111" s="65" t="n">
        <f aca="false">IF(AND(G111&lt;&gt;"",'Historical Score'!$C$6&lt;&gt;""),IF(G111='Historical Score'!$C$6,1,0),0)</f>
        <v>0</v>
      </c>
      <c r="AR111" s="65" t="n">
        <f aca="false">IF(AND(L111&lt;&gt;"",'Historical Score'!$C$5&lt;&gt;""),IF(L111='Historical Score'!$C$5,1,0),0)</f>
        <v>1</v>
      </c>
      <c r="AS111" s="65" t="n">
        <f aca="false">IF(AND(Y111&lt;&gt;"",'Historical Score'!$C$7&lt;&gt;""),IF(Y111='Historical Score'!$C$7,1,0),0)</f>
        <v>1</v>
      </c>
      <c r="AT111" s="65" t="n">
        <f aca="false">IF(AND(K111&lt;&gt;"",'Historical Score'!$C$8&lt;&gt;""),IF(K111='Historical Score'!$C$8,1,0),0)</f>
        <v>0</v>
      </c>
      <c r="AU111" s="65" t="n">
        <f aca="false">IF(AND(J111&lt;&gt;"",'Historical Score'!$C$9&lt;&gt;""),IF(J111='Historical Score'!$C$9,1,0),0)</f>
        <v>0</v>
      </c>
      <c r="AV111" s="65" t="n">
        <f aca="false">AR111*AS111*AQ111</f>
        <v>0</v>
      </c>
      <c r="AW111" s="65" t="n">
        <f aca="false">AR111*AT111*AQ111</f>
        <v>0</v>
      </c>
      <c r="AX111" s="65" t="n">
        <f aca="false">AR111*AS111</f>
        <v>1</v>
      </c>
      <c r="AY111" s="65" t="n">
        <f aca="false">AR111*AT111</f>
        <v>0</v>
      </c>
      <c r="AZ111" s="65" t="n">
        <f aca="false">AR111*AQ111</f>
        <v>0</v>
      </c>
      <c r="BA111" s="65" t="n">
        <f aca="false">AR111</f>
        <v>1</v>
      </c>
      <c r="BB111" s="65" t="n">
        <f aca="false">1</f>
        <v>1</v>
      </c>
      <c r="BC111" s="65" t="n">
        <f aca="false">IF(AV111=1,1,IF(AW111=1,2,IF(AX111=1,3,IF(AY111=1,4,IF(AZ111=1,5,IF(BA111=1,6,7))))))</f>
        <v>3</v>
      </c>
      <c r="BD111" s="65" t="n">
        <f aca="false">IF(AD111=1,CHOOSE('Historical Score'!$C$29,AV111,AW111,AX111,AY111,AZ111,BA111,BB111),0)</f>
        <v>0</v>
      </c>
      <c r="BE111" s="65" t="str">
        <f aca="false">IF(BD111=1,COUNTIF($BD$2:BD111,1),"")</f>
        <v/>
      </c>
    </row>
    <row r="112" customFormat="false" ht="15" hidden="false" customHeight="false" outlineLevel="0" collapsed="false">
      <c r="A112" s="65" t="s">
        <v>774</v>
      </c>
      <c r="B112" s="65" t="s">
        <v>775</v>
      </c>
      <c r="C112" s="65" t="s">
        <v>776</v>
      </c>
      <c r="D112" s="65" t="s">
        <v>371</v>
      </c>
      <c r="E112" s="112" t="n">
        <v>45800</v>
      </c>
      <c r="F112" s="112" t="n">
        <v>45960</v>
      </c>
      <c r="G112" s="65" t="n">
        <v>1</v>
      </c>
      <c r="H112" s="65" t="s">
        <v>777</v>
      </c>
      <c r="I112" s="65" t="s">
        <v>778</v>
      </c>
      <c r="J112" s="65" t="s">
        <v>772</v>
      </c>
      <c r="K112" s="65" t="s">
        <v>344</v>
      </c>
      <c r="L112" s="65" t="s">
        <v>64</v>
      </c>
      <c r="M112" s="113" t="n">
        <v>1.47</v>
      </c>
      <c r="N112" s="114" t="n">
        <v>17500</v>
      </c>
      <c r="O112" s="114" t="n">
        <v>2275</v>
      </c>
      <c r="P112" s="114" t="n">
        <v>25725</v>
      </c>
      <c r="Q112" s="114" t="n">
        <v>25725</v>
      </c>
      <c r="R112" s="114" t="n">
        <v>0</v>
      </c>
      <c r="S112" s="115" t="n">
        <v>1</v>
      </c>
      <c r="T112" s="65" t="n">
        <v>20</v>
      </c>
      <c r="U112" s="65" t="n">
        <v>3</v>
      </c>
      <c r="W112" s="115" t="n">
        <v>0.0768</v>
      </c>
      <c r="X112" s="112" t="n">
        <v>45800</v>
      </c>
      <c r="Y112" s="65" t="str">
        <f aca="false">IF(I112="","No SIC",IFERROR(VLOOKUP(I112,Ref!$A$2:$B$65,2,FALSE()),"Unclassified"))</f>
        <v>Electronic &amp; Electrical Equipment</v>
      </c>
      <c r="Z112" s="65" t="str">
        <f aca="false">IF(T112="","",IF(T112&lt;12,"Daily","Weekly"))</f>
        <v>Weekly</v>
      </c>
      <c r="AA112" s="65" t="n">
        <f aca="false">IF(T112="",0,IF(T112&lt;12,T112*Controls!$B$29,T112*5))</f>
        <v>100</v>
      </c>
      <c r="AB112" s="65" t="n">
        <f aca="false">IF(E112="",0,NETWORKDAYS(E112,Controls!$B$36,Ref!$K$2:$K$42))</f>
        <v>315</v>
      </c>
      <c r="AC112" s="65" t="n">
        <f aca="false">IF(AND(AA112&gt;0,AB112&gt;=Controls!$B$39*AA112),1,0)</f>
        <v>1</v>
      </c>
      <c r="AD112" s="65" t="n">
        <f aca="false">IF(AND(E112&lt;&gt;"",E112&gt;=Controls!$B$37,E112&lt;=Controls!$B$38),1,0)</f>
        <v>1</v>
      </c>
      <c r="AE112" s="65" t="n">
        <f aca="false">IF(IFERROR(VLOOKUP(D112,Controls!$A$64:$E$74,2,FALSE()),"No")="Yes",1,0)</f>
        <v>0</v>
      </c>
      <c r="AF112" s="65" t="n">
        <f aca="false">IF(IFERROR(VLOOKUP(D112,Controls!$A$64:$E$74,3,FALSE()),"No")="Yes",1,0)</f>
        <v>1</v>
      </c>
      <c r="AG112" s="65" t="n">
        <f aca="false">IF(IFERROR(VLOOKUP(D112,Controls!$A$64:$E$74,4,FALSE()),"No")="Yes",1,0)</f>
        <v>1</v>
      </c>
      <c r="AH112" s="65" t="n">
        <f aca="false">IF(IFERROR(VLOOKUP(D112,Controls!$A$64:$E$74,5,FALSE()),"No")="Yes",1,0)</f>
        <v>0</v>
      </c>
      <c r="AI112" s="65" t="n">
        <f aca="false">IF(ISNUMBER(MATCH(D112,Controls!$A$64:$A$74,0)),1,0)</f>
        <v>1</v>
      </c>
      <c r="AJ112" s="65" t="n">
        <f aca="false">Q112-N112</f>
        <v>8225</v>
      </c>
      <c r="AK112" s="65" t="n">
        <f aca="false">IF(AE112=1,MAX(0,N112-Q112),0)</f>
        <v>0</v>
      </c>
      <c r="AL112" s="65" t="n">
        <f aca="false">IF(OR(V112="",V112=0),0,N112/V112)</f>
        <v>0</v>
      </c>
      <c r="AM112" s="65" t="n">
        <f aca="false">IF(OR(V112="",V112=0),0,1)</f>
        <v>0</v>
      </c>
      <c r="AN112" s="65" t="n">
        <f aca="false">IF(OR(E112="",F112=""),0,NETWORKDAYS(E112,F112,Ref!$K$2:$K$42))</f>
        <v>110</v>
      </c>
      <c r="AO112" s="65" t="n">
        <f aca="false">IF(L112="Renewal",1,0)</f>
        <v>0</v>
      </c>
      <c r="AP112" s="65" t="n">
        <f aca="false">AC112*AD112</f>
        <v>1</v>
      </c>
      <c r="AQ112" s="65" t="n">
        <f aca="false">IF(AND(G112&lt;&gt;"",'Historical Score'!$C$6&lt;&gt;""),IF(G112='Historical Score'!$C$6,1,0),0)</f>
        <v>0</v>
      </c>
      <c r="AR112" s="65" t="n">
        <f aca="false">IF(AND(L112&lt;&gt;"",'Historical Score'!$C$5&lt;&gt;""),IF(L112='Historical Score'!$C$5,1,0),0)</f>
        <v>1</v>
      </c>
      <c r="AS112" s="65" t="n">
        <f aca="false">IF(AND(Y112&lt;&gt;"",'Historical Score'!$C$7&lt;&gt;""),IF(Y112='Historical Score'!$C$7,1,0),0)</f>
        <v>0</v>
      </c>
      <c r="AT112" s="65" t="n">
        <f aca="false">IF(AND(K112&lt;&gt;"",'Historical Score'!$C$8&lt;&gt;""),IF(K112='Historical Score'!$C$8,1,0),0)</f>
        <v>0</v>
      </c>
      <c r="AU112" s="65" t="n">
        <f aca="false">IF(AND(J112&lt;&gt;"",'Historical Score'!$C$9&lt;&gt;""),IF(J112='Historical Score'!$C$9,1,0),0)</f>
        <v>0</v>
      </c>
      <c r="AV112" s="65" t="n">
        <f aca="false">AR112*AS112*AQ112</f>
        <v>0</v>
      </c>
      <c r="AW112" s="65" t="n">
        <f aca="false">AR112*AT112*AQ112</f>
        <v>0</v>
      </c>
      <c r="AX112" s="65" t="n">
        <f aca="false">AR112*AS112</f>
        <v>0</v>
      </c>
      <c r="AY112" s="65" t="n">
        <f aca="false">AR112*AT112</f>
        <v>0</v>
      </c>
      <c r="AZ112" s="65" t="n">
        <f aca="false">AR112*AQ112</f>
        <v>0</v>
      </c>
      <c r="BA112" s="65" t="n">
        <f aca="false">AR112</f>
        <v>1</v>
      </c>
      <c r="BB112" s="65" t="n">
        <f aca="false">1</f>
        <v>1</v>
      </c>
      <c r="BC112" s="65" t="n">
        <f aca="false">IF(AV112=1,1,IF(AW112=1,2,IF(AX112=1,3,IF(AY112=1,4,IF(AZ112=1,5,IF(BA112=1,6,7))))))</f>
        <v>6</v>
      </c>
      <c r="BD112" s="65" t="n">
        <f aca="false">IF(AD112=1,CHOOSE('Historical Score'!$C$29,AV112,AW112,AX112,AY112,AZ112,BA112,BB112),0)</f>
        <v>0</v>
      </c>
      <c r="BE112" s="65" t="str">
        <f aca="false">IF(BD112=1,COUNTIF($BD$2:BD112,1),"")</f>
        <v/>
      </c>
    </row>
    <row r="113" customFormat="false" ht="15" hidden="false" customHeight="false" outlineLevel="0" collapsed="false">
      <c r="A113" s="65" t="s">
        <v>779</v>
      </c>
      <c r="B113" s="65" t="s">
        <v>780</v>
      </c>
      <c r="C113" s="65" t="s">
        <v>780</v>
      </c>
      <c r="D113" s="65" t="s">
        <v>371</v>
      </c>
      <c r="E113" s="112" t="n">
        <v>45800</v>
      </c>
      <c r="F113" s="112" t="n">
        <v>45867</v>
      </c>
      <c r="G113" s="65" t="n">
        <v>3</v>
      </c>
      <c r="H113" s="65" t="s">
        <v>748</v>
      </c>
      <c r="I113" s="65" t="s">
        <v>619</v>
      </c>
      <c r="J113" s="65" t="s">
        <v>772</v>
      </c>
      <c r="K113" s="65" t="s">
        <v>581</v>
      </c>
      <c r="L113" s="65" t="s">
        <v>64</v>
      </c>
      <c r="M113" s="113" t="n">
        <v>1.499</v>
      </c>
      <c r="N113" s="114" t="n">
        <v>15000</v>
      </c>
      <c r="O113" s="114" t="n">
        <v>2100</v>
      </c>
      <c r="P113" s="114" t="n">
        <v>22485</v>
      </c>
      <c r="Q113" s="114" t="n">
        <v>22485</v>
      </c>
      <c r="R113" s="114" t="n">
        <v>0</v>
      </c>
      <c r="S113" s="115" t="n">
        <v>1</v>
      </c>
      <c r="T113" s="65" t="n">
        <v>2.295</v>
      </c>
      <c r="U113" s="65" t="n">
        <v>2</v>
      </c>
      <c r="W113" s="115" t="n">
        <v>0.061</v>
      </c>
      <c r="X113" s="112" t="n">
        <v>45800</v>
      </c>
      <c r="Y113" s="65" t="str">
        <f aca="false">IF(I113="","No SIC",IFERROR(VLOOKUP(I113,Ref!$A$2:$B$65,2,FALSE()),"Unclassified"))</f>
        <v>Miscellaneous Retail</v>
      </c>
      <c r="Z113" s="65" t="str">
        <f aca="false">IF(T113="","",IF(T113&lt;12,"Daily","Weekly"))</f>
        <v>Daily</v>
      </c>
      <c r="AA113" s="65" t="n">
        <f aca="false">IF(T113="",0,IF(T113&lt;12,T113*Controls!$B$29,T113*5))</f>
        <v>49.698225</v>
      </c>
      <c r="AB113" s="65" t="n">
        <f aca="false">IF(E113="",0,NETWORKDAYS(E113,Controls!$B$36,Ref!$K$2:$K$42))</f>
        <v>315</v>
      </c>
      <c r="AC113" s="65" t="n">
        <f aca="false">IF(AND(AA113&gt;0,AB113&gt;=Controls!$B$39*AA113),1,0)</f>
        <v>1</v>
      </c>
      <c r="AD113" s="65" t="n">
        <f aca="false">IF(AND(E113&lt;&gt;"",E113&gt;=Controls!$B$37,E113&lt;=Controls!$B$38),1,0)</f>
        <v>1</v>
      </c>
      <c r="AE113" s="65" t="n">
        <f aca="false">IF(IFERROR(VLOOKUP(D113,Controls!$A$64:$E$74,2,FALSE()),"No")="Yes",1,0)</f>
        <v>0</v>
      </c>
      <c r="AF113" s="65" t="n">
        <f aca="false">IF(IFERROR(VLOOKUP(D113,Controls!$A$64:$E$74,3,FALSE()),"No")="Yes",1,0)</f>
        <v>1</v>
      </c>
      <c r="AG113" s="65" t="n">
        <f aca="false">IF(IFERROR(VLOOKUP(D113,Controls!$A$64:$E$74,4,FALSE()),"No")="Yes",1,0)</f>
        <v>1</v>
      </c>
      <c r="AH113" s="65" t="n">
        <f aca="false">IF(IFERROR(VLOOKUP(D113,Controls!$A$64:$E$74,5,FALSE()),"No")="Yes",1,0)</f>
        <v>0</v>
      </c>
      <c r="AI113" s="65" t="n">
        <f aca="false">IF(ISNUMBER(MATCH(D113,Controls!$A$64:$A$74,0)),1,0)</f>
        <v>1</v>
      </c>
      <c r="AJ113" s="65" t="n">
        <f aca="false">Q113-N113</f>
        <v>7485</v>
      </c>
      <c r="AK113" s="65" t="n">
        <f aca="false">IF(AE113=1,MAX(0,N113-Q113),0)</f>
        <v>0</v>
      </c>
      <c r="AL113" s="65" t="n">
        <f aca="false">IF(OR(V113="",V113=0),0,N113/V113)</f>
        <v>0</v>
      </c>
      <c r="AM113" s="65" t="n">
        <f aca="false">IF(OR(V113="",V113=0),0,1)</f>
        <v>0</v>
      </c>
      <c r="AN113" s="65" t="n">
        <f aca="false">IF(OR(E113="",F113=""),0,NETWORKDAYS(E113,F113,Ref!$K$2:$K$42))</f>
        <v>45</v>
      </c>
      <c r="AO113" s="65" t="n">
        <f aca="false">IF(L113="Renewal",1,0)</f>
        <v>0</v>
      </c>
      <c r="AP113" s="65" t="n">
        <f aca="false">AC113*AD113</f>
        <v>1</v>
      </c>
      <c r="AQ113" s="65" t="n">
        <f aca="false">IF(AND(G113&lt;&gt;"",'Historical Score'!$C$6&lt;&gt;""),IF(G113='Historical Score'!$C$6,1,0),0)</f>
        <v>0</v>
      </c>
      <c r="AR113" s="65" t="n">
        <f aca="false">IF(AND(L113&lt;&gt;"",'Historical Score'!$C$5&lt;&gt;""),IF(L113='Historical Score'!$C$5,1,0),0)</f>
        <v>1</v>
      </c>
      <c r="AS113" s="65" t="n">
        <f aca="false">IF(AND(Y113&lt;&gt;"",'Historical Score'!$C$7&lt;&gt;""),IF(Y113='Historical Score'!$C$7,1,0),0)</f>
        <v>0</v>
      </c>
      <c r="AT113" s="65" t="n">
        <f aca="false">IF(AND(K113&lt;&gt;"",'Historical Score'!$C$8&lt;&gt;""),IF(K113='Historical Score'!$C$8,1,0),0)</f>
        <v>0</v>
      </c>
      <c r="AU113" s="65" t="n">
        <f aca="false">IF(AND(J113&lt;&gt;"",'Historical Score'!$C$9&lt;&gt;""),IF(J113='Historical Score'!$C$9,1,0),0)</f>
        <v>0</v>
      </c>
      <c r="AV113" s="65" t="n">
        <f aca="false">AR113*AS113*AQ113</f>
        <v>0</v>
      </c>
      <c r="AW113" s="65" t="n">
        <f aca="false">AR113*AT113*AQ113</f>
        <v>0</v>
      </c>
      <c r="AX113" s="65" t="n">
        <f aca="false">AR113*AS113</f>
        <v>0</v>
      </c>
      <c r="AY113" s="65" t="n">
        <f aca="false">AR113*AT113</f>
        <v>0</v>
      </c>
      <c r="AZ113" s="65" t="n">
        <f aca="false">AR113*AQ113</f>
        <v>0</v>
      </c>
      <c r="BA113" s="65" t="n">
        <f aca="false">AR113</f>
        <v>1</v>
      </c>
      <c r="BB113" s="65" t="n">
        <f aca="false">1</f>
        <v>1</v>
      </c>
      <c r="BC113" s="65" t="n">
        <f aca="false">IF(AV113=1,1,IF(AW113=1,2,IF(AX113=1,3,IF(AY113=1,4,IF(AZ113=1,5,IF(BA113=1,6,7))))))</f>
        <v>6</v>
      </c>
      <c r="BD113" s="65" t="n">
        <f aca="false">IF(AD113=1,CHOOSE('Historical Score'!$C$29,AV113,AW113,AX113,AY113,AZ113,BA113,BB113),0)</f>
        <v>0</v>
      </c>
      <c r="BE113" s="65" t="str">
        <f aca="false">IF(BD113=1,COUNTIF($BD$2:BD113,1),"")</f>
        <v/>
      </c>
    </row>
    <row r="114" customFormat="false" ht="15" hidden="false" customHeight="false" outlineLevel="0" collapsed="false">
      <c r="A114" s="65" t="s">
        <v>781</v>
      </c>
      <c r="B114" s="65" t="s">
        <v>390</v>
      </c>
      <c r="C114" s="65" t="s">
        <v>390</v>
      </c>
      <c r="D114" s="65" t="s">
        <v>371</v>
      </c>
      <c r="E114" s="112" t="n">
        <v>45804</v>
      </c>
      <c r="F114" s="112" t="n">
        <v>45894</v>
      </c>
      <c r="G114" s="65" t="n">
        <v>2</v>
      </c>
      <c r="H114" s="65" t="s">
        <v>782</v>
      </c>
      <c r="I114" s="65" t="s">
        <v>469</v>
      </c>
      <c r="J114" s="65" t="s">
        <v>772</v>
      </c>
      <c r="K114" s="65" t="s">
        <v>394</v>
      </c>
      <c r="L114" s="65" t="s">
        <v>320</v>
      </c>
      <c r="M114" s="113" t="n">
        <v>1.49</v>
      </c>
      <c r="N114" s="114" t="n">
        <v>27000</v>
      </c>
      <c r="O114" s="114" t="n">
        <v>3780</v>
      </c>
      <c r="P114" s="114" t="n">
        <v>40230</v>
      </c>
      <c r="Q114" s="114" t="n">
        <v>40230</v>
      </c>
      <c r="R114" s="114" t="n">
        <v>0</v>
      </c>
      <c r="S114" s="115" t="n">
        <v>1</v>
      </c>
      <c r="T114" s="65" t="n">
        <v>3.279</v>
      </c>
      <c r="U114" s="65" t="n">
        <v>4</v>
      </c>
      <c r="W114" s="115" t="n">
        <v>0.2408</v>
      </c>
      <c r="X114" s="112" t="n">
        <v>45804</v>
      </c>
      <c r="Y114" s="65" t="str">
        <f aca="false">IF(I114="","No SIC",IFERROR(VLOOKUP(I114,Ref!$A$2:$B$65,2,FALSE()),"Unclassified"))</f>
        <v>Heavy Construction</v>
      </c>
      <c r="Z114" s="65" t="str">
        <f aca="false">IF(T114="","",IF(T114&lt;12,"Daily","Weekly"))</f>
        <v>Daily</v>
      </c>
      <c r="AA114" s="65" t="n">
        <f aca="false">IF(T114="",0,IF(T114&lt;12,T114*Controls!$B$29,T114*5))</f>
        <v>71.006745</v>
      </c>
      <c r="AB114" s="65" t="n">
        <f aca="false">IF(E114="",0,NETWORKDAYS(E114,Controls!$B$36,Ref!$K$2:$K$42))</f>
        <v>314</v>
      </c>
      <c r="AC114" s="65" t="n">
        <f aca="false">IF(AND(AA114&gt;0,AB114&gt;=Controls!$B$39*AA114),1,0)</f>
        <v>1</v>
      </c>
      <c r="AD114" s="65" t="n">
        <f aca="false">IF(AND(E114&lt;&gt;"",E114&gt;=Controls!$B$37,E114&lt;=Controls!$B$38),1,0)</f>
        <v>1</v>
      </c>
      <c r="AE114" s="65" t="n">
        <f aca="false">IF(IFERROR(VLOOKUP(D114,Controls!$A$64:$E$74,2,FALSE()),"No")="Yes",1,0)</f>
        <v>0</v>
      </c>
      <c r="AF114" s="65" t="n">
        <f aca="false">IF(IFERROR(VLOOKUP(D114,Controls!$A$64:$E$74,3,FALSE()),"No")="Yes",1,0)</f>
        <v>1</v>
      </c>
      <c r="AG114" s="65" t="n">
        <f aca="false">IF(IFERROR(VLOOKUP(D114,Controls!$A$64:$E$74,4,FALSE()),"No")="Yes",1,0)</f>
        <v>1</v>
      </c>
      <c r="AH114" s="65" t="n">
        <f aca="false">IF(IFERROR(VLOOKUP(D114,Controls!$A$64:$E$74,5,FALSE()),"No")="Yes",1,0)</f>
        <v>0</v>
      </c>
      <c r="AI114" s="65" t="n">
        <f aca="false">IF(ISNUMBER(MATCH(D114,Controls!$A$64:$A$74,0)),1,0)</f>
        <v>1</v>
      </c>
      <c r="AJ114" s="65" t="n">
        <f aca="false">Q114-N114</f>
        <v>13230</v>
      </c>
      <c r="AK114" s="65" t="n">
        <f aca="false">IF(AE114=1,MAX(0,N114-Q114),0)</f>
        <v>0</v>
      </c>
      <c r="AL114" s="65" t="n">
        <f aca="false">IF(OR(V114="",V114=0),0,N114/V114)</f>
        <v>0</v>
      </c>
      <c r="AM114" s="65" t="n">
        <f aca="false">IF(OR(V114="",V114=0),0,1)</f>
        <v>0</v>
      </c>
      <c r="AN114" s="65" t="n">
        <f aca="false">IF(OR(E114="",F114=""),0,NETWORKDAYS(E114,F114,Ref!$K$2:$K$42))</f>
        <v>63</v>
      </c>
      <c r="AO114" s="65" t="n">
        <f aca="false">IF(L114="Renewal",1,0)</f>
        <v>1</v>
      </c>
      <c r="AP114" s="65" t="n">
        <f aca="false">AC114*AD114</f>
        <v>1</v>
      </c>
      <c r="AQ114" s="65" t="n">
        <f aca="false">IF(AND(G114&lt;&gt;"",'Historical Score'!$C$6&lt;&gt;""),IF(G114='Historical Score'!$C$6,1,0),0)</f>
        <v>1</v>
      </c>
      <c r="AR114" s="65" t="n">
        <f aca="false">IF(AND(L114&lt;&gt;"",'Historical Score'!$C$5&lt;&gt;""),IF(L114='Historical Score'!$C$5,1,0),0)</f>
        <v>0</v>
      </c>
      <c r="AS114" s="65" t="n">
        <f aca="false">IF(AND(Y114&lt;&gt;"",'Historical Score'!$C$7&lt;&gt;""),IF(Y114='Historical Score'!$C$7,1,0),0)</f>
        <v>0</v>
      </c>
      <c r="AT114" s="65" t="n">
        <f aca="false">IF(AND(K114&lt;&gt;"",'Historical Score'!$C$8&lt;&gt;""),IF(K114='Historical Score'!$C$8,1,0),0)</f>
        <v>0</v>
      </c>
      <c r="AU114" s="65" t="n">
        <f aca="false">IF(AND(J114&lt;&gt;"",'Historical Score'!$C$9&lt;&gt;""),IF(J114='Historical Score'!$C$9,1,0),0)</f>
        <v>0</v>
      </c>
      <c r="AV114" s="65" t="n">
        <f aca="false">AR114*AS114*AQ114</f>
        <v>0</v>
      </c>
      <c r="AW114" s="65" t="n">
        <f aca="false">AR114*AT114*AQ114</f>
        <v>0</v>
      </c>
      <c r="AX114" s="65" t="n">
        <f aca="false">AR114*AS114</f>
        <v>0</v>
      </c>
      <c r="AY114" s="65" t="n">
        <f aca="false">AR114*AT114</f>
        <v>0</v>
      </c>
      <c r="AZ114" s="65" t="n">
        <f aca="false">AR114*AQ114</f>
        <v>0</v>
      </c>
      <c r="BA114" s="65" t="n">
        <f aca="false">AR114</f>
        <v>0</v>
      </c>
      <c r="BB114" s="65" t="n">
        <f aca="false">1</f>
        <v>1</v>
      </c>
      <c r="BC114" s="65" t="n">
        <f aca="false">IF(AV114=1,1,IF(AW114=1,2,IF(AX114=1,3,IF(AY114=1,4,IF(AZ114=1,5,IF(BA114=1,6,7))))))</f>
        <v>7</v>
      </c>
      <c r="BD114" s="65" t="n">
        <f aca="false">IF(AD114=1,CHOOSE('Historical Score'!$C$29,AV114,AW114,AX114,AY114,AZ114,BA114,BB114),0)</f>
        <v>0</v>
      </c>
      <c r="BE114" s="65" t="str">
        <f aca="false">IF(BD114=1,COUNTIF($BD$2:BD114,1),"")</f>
        <v/>
      </c>
    </row>
    <row r="115" customFormat="false" ht="15" hidden="false" customHeight="false" outlineLevel="0" collapsed="false">
      <c r="A115" s="65" t="s">
        <v>783</v>
      </c>
      <c r="B115" s="65" t="s">
        <v>784</v>
      </c>
      <c r="C115" s="65" t="s">
        <v>785</v>
      </c>
      <c r="D115" s="65" t="s">
        <v>340</v>
      </c>
      <c r="E115" s="112" t="n">
        <v>45804</v>
      </c>
      <c r="F115" s="112" t="n">
        <v>45999</v>
      </c>
      <c r="G115" s="65" t="n">
        <v>4</v>
      </c>
      <c r="H115" s="65" t="s">
        <v>409</v>
      </c>
      <c r="I115" s="65" t="s">
        <v>342</v>
      </c>
      <c r="J115" s="65" t="s">
        <v>772</v>
      </c>
      <c r="K115" s="65" t="s">
        <v>501</v>
      </c>
      <c r="L115" s="65" t="s">
        <v>64</v>
      </c>
      <c r="M115" s="113" t="n">
        <v>1.5</v>
      </c>
      <c r="N115" s="114" t="n">
        <v>5000</v>
      </c>
      <c r="O115" s="114" t="n">
        <v>700</v>
      </c>
      <c r="P115" s="114" t="n">
        <v>7500</v>
      </c>
      <c r="Q115" s="114" t="n">
        <v>2772.36</v>
      </c>
      <c r="R115" s="114" t="n">
        <v>4727.64</v>
      </c>
      <c r="S115" s="115" t="n">
        <v>0.369648</v>
      </c>
      <c r="T115" s="65" t="n">
        <v>2.295</v>
      </c>
      <c r="U115" s="65" t="n">
        <v>23</v>
      </c>
      <c r="W115" s="115" t="n">
        <v>0.0637</v>
      </c>
      <c r="X115" s="112" t="n">
        <v>45804</v>
      </c>
      <c r="Y115" s="65" t="str">
        <f aca="false">IF(I115="","No SIC",IFERROR(VLOOKUP(I115,Ref!$A$2:$B$65,2,FALSE()),"Unclassified"))</f>
        <v>Eating &amp; Drinking Places</v>
      </c>
      <c r="Z115" s="65" t="str">
        <f aca="false">IF(T115="","",IF(T115&lt;12,"Daily","Weekly"))</f>
        <v>Daily</v>
      </c>
      <c r="AA115" s="65" t="n">
        <f aca="false">IF(T115="",0,IF(T115&lt;12,T115*Controls!$B$29,T115*5))</f>
        <v>49.698225</v>
      </c>
      <c r="AB115" s="65" t="n">
        <f aca="false">IF(E115="",0,NETWORKDAYS(E115,Controls!$B$36,Ref!$K$2:$K$42))</f>
        <v>314</v>
      </c>
      <c r="AC115" s="65" t="n">
        <f aca="false">IF(AND(AA115&gt;0,AB115&gt;=Controls!$B$39*AA115),1,0)</f>
        <v>1</v>
      </c>
      <c r="AD115" s="65" t="n">
        <f aca="false">IF(AND(E115&lt;&gt;"",E115&gt;=Controls!$B$37,E115&lt;=Controls!$B$38),1,0)</f>
        <v>1</v>
      </c>
      <c r="AE115" s="65" t="n">
        <f aca="false">IF(IFERROR(VLOOKUP(D115,Controls!$A$64:$E$74,2,FALSE()),"No")="Yes",1,0)</f>
        <v>1</v>
      </c>
      <c r="AF115" s="65" t="n">
        <f aca="false">IF(IFERROR(VLOOKUP(D115,Controls!$A$64:$E$74,3,FALSE()),"No")="Yes",1,0)</f>
        <v>0</v>
      </c>
      <c r="AG115" s="65" t="n">
        <f aca="false">IF(IFERROR(VLOOKUP(D115,Controls!$A$64:$E$74,4,FALSE()),"No")="Yes",1,0)</f>
        <v>0</v>
      </c>
      <c r="AH115" s="65" t="n">
        <f aca="false">IF(IFERROR(VLOOKUP(D115,Controls!$A$64:$E$74,5,FALSE()),"No")="Yes",1,0)</f>
        <v>0</v>
      </c>
      <c r="AI115" s="65" t="n">
        <f aca="false">IF(ISNUMBER(MATCH(D115,Controls!$A$64:$A$74,0)),1,0)</f>
        <v>1</v>
      </c>
      <c r="AJ115" s="65" t="n">
        <f aca="false">Q115-N115</f>
        <v>-2227.64</v>
      </c>
      <c r="AK115" s="65" t="n">
        <f aca="false">IF(AE115=1,MAX(0,N115-Q115),0)</f>
        <v>2227.64</v>
      </c>
      <c r="AL115" s="65" t="n">
        <f aca="false">IF(OR(V115="",V115=0),0,N115/V115)</f>
        <v>0</v>
      </c>
      <c r="AM115" s="65" t="n">
        <f aca="false">IF(OR(V115="",V115=0),0,1)</f>
        <v>0</v>
      </c>
      <c r="AN115" s="65" t="n">
        <f aca="false">IF(OR(E115="",F115=""),0,NETWORKDAYS(E115,F115,Ref!$K$2:$K$42))</f>
        <v>134</v>
      </c>
      <c r="AO115" s="65" t="n">
        <f aca="false">IF(L115="Renewal",1,0)</f>
        <v>0</v>
      </c>
      <c r="AP115" s="65" t="n">
        <f aca="false">AC115*AD115</f>
        <v>1</v>
      </c>
      <c r="AQ115" s="65" t="n">
        <f aca="false">IF(AND(G115&lt;&gt;"",'Historical Score'!$C$6&lt;&gt;""),IF(G115='Historical Score'!$C$6,1,0),0)</f>
        <v>0</v>
      </c>
      <c r="AR115" s="65" t="n">
        <f aca="false">IF(AND(L115&lt;&gt;"",'Historical Score'!$C$5&lt;&gt;""),IF(L115='Historical Score'!$C$5,1,0),0)</f>
        <v>1</v>
      </c>
      <c r="AS115" s="65" t="n">
        <f aca="false">IF(AND(Y115&lt;&gt;"",'Historical Score'!$C$7&lt;&gt;""),IF(Y115='Historical Score'!$C$7,1,0),0)</f>
        <v>0</v>
      </c>
      <c r="AT115" s="65" t="n">
        <f aca="false">IF(AND(K115&lt;&gt;"",'Historical Score'!$C$8&lt;&gt;""),IF(K115='Historical Score'!$C$8,1,0),0)</f>
        <v>0</v>
      </c>
      <c r="AU115" s="65" t="n">
        <f aca="false">IF(AND(J115&lt;&gt;"",'Historical Score'!$C$9&lt;&gt;""),IF(J115='Historical Score'!$C$9,1,0),0)</f>
        <v>0</v>
      </c>
      <c r="AV115" s="65" t="n">
        <f aca="false">AR115*AS115*AQ115</f>
        <v>0</v>
      </c>
      <c r="AW115" s="65" t="n">
        <f aca="false">AR115*AT115*AQ115</f>
        <v>0</v>
      </c>
      <c r="AX115" s="65" t="n">
        <f aca="false">AR115*AS115</f>
        <v>0</v>
      </c>
      <c r="AY115" s="65" t="n">
        <f aca="false">AR115*AT115</f>
        <v>0</v>
      </c>
      <c r="AZ115" s="65" t="n">
        <f aca="false">AR115*AQ115</f>
        <v>0</v>
      </c>
      <c r="BA115" s="65" t="n">
        <f aca="false">AR115</f>
        <v>1</v>
      </c>
      <c r="BB115" s="65" t="n">
        <f aca="false">1</f>
        <v>1</v>
      </c>
      <c r="BC115" s="65" t="n">
        <f aca="false">IF(AV115=1,1,IF(AW115=1,2,IF(AX115=1,3,IF(AY115=1,4,IF(AZ115=1,5,IF(BA115=1,6,7))))))</f>
        <v>6</v>
      </c>
      <c r="BD115" s="65" t="n">
        <f aca="false">IF(AD115=1,CHOOSE('Historical Score'!$C$29,AV115,AW115,AX115,AY115,AZ115,BA115,BB115),0)</f>
        <v>0</v>
      </c>
      <c r="BE115" s="65" t="str">
        <f aca="false">IF(BD115=1,COUNTIF($BD$2:BD115,1),"")</f>
        <v/>
      </c>
    </row>
    <row r="116" customFormat="false" ht="15" hidden="false" customHeight="false" outlineLevel="0" collapsed="false">
      <c r="A116" s="65" t="s">
        <v>786</v>
      </c>
      <c r="B116" s="65" t="s">
        <v>787</v>
      </c>
      <c r="C116" s="65" t="s">
        <v>788</v>
      </c>
      <c r="D116" s="65" t="s">
        <v>347</v>
      </c>
      <c r="E116" s="112" t="n">
        <v>45804</v>
      </c>
      <c r="F116" s="112" t="n">
        <v>45898</v>
      </c>
      <c r="G116" s="65" t="n">
        <v>2</v>
      </c>
      <c r="H116" s="65" t="s">
        <v>451</v>
      </c>
      <c r="I116" s="65" t="s">
        <v>425</v>
      </c>
      <c r="J116" s="65" t="s">
        <v>772</v>
      </c>
      <c r="K116" s="65" t="s">
        <v>765</v>
      </c>
      <c r="L116" s="65" t="s">
        <v>64</v>
      </c>
      <c r="M116" s="113" t="n">
        <v>1.499</v>
      </c>
      <c r="N116" s="114" t="n">
        <v>5000</v>
      </c>
      <c r="O116" s="114" t="n">
        <v>700</v>
      </c>
      <c r="P116" s="114" t="n">
        <v>7495</v>
      </c>
      <c r="Q116" s="114" t="n">
        <v>2159.67</v>
      </c>
      <c r="R116" s="114" t="n">
        <v>5335.33</v>
      </c>
      <c r="S116" s="115" t="n">
        <v>0.288148098732488</v>
      </c>
      <c r="T116" s="65" t="n">
        <v>1.967</v>
      </c>
      <c r="U116" s="65" t="n">
        <v>22</v>
      </c>
      <c r="W116" s="115" t="n">
        <v>0.1145</v>
      </c>
      <c r="X116" s="112" t="n">
        <v>45804</v>
      </c>
      <c r="Y116" s="65" t="str">
        <f aca="false">IF(I116="","No SIC",IFERROR(VLOOKUP(I116,Ref!$A$2:$B$65,2,FALSE()),"Unclassified"))</f>
        <v>Personal Services</v>
      </c>
      <c r="Z116" s="65" t="str">
        <f aca="false">IF(T116="","",IF(T116&lt;12,"Daily","Weekly"))</f>
        <v>Daily</v>
      </c>
      <c r="AA116" s="65" t="n">
        <f aca="false">IF(T116="",0,IF(T116&lt;12,T116*Controls!$B$29,T116*5))</f>
        <v>42.595385</v>
      </c>
      <c r="AB116" s="65" t="n">
        <f aca="false">IF(E116="",0,NETWORKDAYS(E116,Controls!$B$36,Ref!$K$2:$K$42))</f>
        <v>314</v>
      </c>
      <c r="AC116" s="65" t="n">
        <f aca="false">IF(AND(AA116&gt;0,AB116&gt;=Controls!$B$39*AA116),1,0)</f>
        <v>1</v>
      </c>
      <c r="AD116" s="65" t="n">
        <f aca="false">IF(AND(E116&lt;&gt;"",E116&gt;=Controls!$B$37,E116&lt;=Controls!$B$38),1,0)</f>
        <v>1</v>
      </c>
      <c r="AE116" s="65" t="n">
        <f aca="false">IF(IFERROR(VLOOKUP(D116,Controls!$A$64:$E$74,2,FALSE()),"No")="Yes",1,0)</f>
        <v>1</v>
      </c>
      <c r="AF116" s="65" t="n">
        <f aca="false">IF(IFERROR(VLOOKUP(D116,Controls!$A$64:$E$74,3,FALSE()),"No")="Yes",1,0)</f>
        <v>1</v>
      </c>
      <c r="AG116" s="65" t="n">
        <f aca="false">IF(IFERROR(VLOOKUP(D116,Controls!$A$64:$E$74,4,FALSE()),"No")="Yes",1,0)</f>
        <v>0</v>
      </c>
      <c r="AH116" s="65" t="n">
        <f aca="false">IF(IFERROR(VLOOKUP(D116,Controls!$A$64:$E$74,5,FALSE()),"No")="Yes",1,0)</f>
        <v>0</v>
      </c>
      <c r="AI116" s="65" t="n">
        <f aca="false">IF(ISNUMBER(MATCH(D116,Controls!$A$64:$A$74,0)),1,0)</f>
        <v>1</v>
      </c>
      <c r="AJ116" s="65" t="n">
        <f aca="false">Q116-N116</f>
        <v>-2840.33</v>
      </c>
      <c r="AK116" s="65" t="n">
        <f aca="false">IF(AE116=1,MAX(0,N116-Q116),0)</f>
        <v>2840.33</v>
      </c>
      <c r="AL116" s="65" t="n">
        <f aca="false">IF(OR(V116="",V116=0),0,N116/V116)</f>
        <v>0</v>
      </c>
      <c r="AM116" s="65" t="n">
        <f aca="false">IF(OR(V116="",V116=0),0,1)</f>
        <v>0</v>
      </c>
      <c r="AN116" s="65" t="n">
        <f aca="false">IF(OR(E116="",F116=""),0,NETWORKDAYS(E116,F116,Ref!$K$2:$K$42))</f>
        <v>67</v>
      </c>
      <c r="AO116" s="65" t="n">
        <f aca="false">IF(L116="Renewal",1,0)</f>
        <v>0</v>
      </c>
      <c r="AP116" s="65" t="n">
        <f aca="false">AC116*AD116</f>
        <v>1</v>
      </c>
      <c r="AQ116" s="65" t="n">
        <f aca="false">IF(AND(G116&lt;&gt;"",'Historical Score'!$C$6&lt;&gt;""),IF(G116='Historical Score'!$C$6,1,0),0)</f>
        <v>1</v>
      </c>
      <c r="AR116" s="65" t="n">
        <f aca="false">IF(AND(L116&lt;&gt;"",'Historical Score'!$C$5&lt;&gt;""),IF(L116='Historical Score'!$C$5,1,0),0)</f>
        <v>1</v>
      </c>
      <c r="AS116" s="65" t="n">
        <f aca="false">IF(AND(Y116&lt;&gt;"",'Historical Score'!$C$7&lt;&gt;""),IF(Y116='Historical Score'!$C$7,1,0),0)</f>
        <v>0</v>
      </c>
      <c r="AT116" s="65" t="n">
        <f aca="false">IF(AND(K116&lt;&gt;"",'Historical Score'!$C$8&lt;&gt;""),IF(K116='Historical Score'!$C$8,1,0),0)</f>
        <v>0</v>
      </c>
      <c r="AU116" s="65" t="n">
        <f aca="false">IF(AND(J116&lt;&gt;"",'Historical Score'!$C$9&lt;&gt;""),IF(J116='Historical Score'!$C$9,1,0),0)</f>
        <v>0</v>
      </c>
      <c r="AV116" s="65" t="n">
        <f aca="false">AR116*AS116*AQ116</f>
        <v>0</v>
      </c>
      <c r="AW116" s="65" t="n">
        <f aca="false">AR116*AT116*AQ116</f>
        <v>0</v>
      </c>
      <c r="AX116" s="65" t="n">
        <f aca="false">AR116*AS116</f>
        <v>0</v>
      </c>
      <c r="AY116" s="65" t="n">
        <f aca="false">AR116*AT116</f>
        <v>0</v>
      </c>
      <c r="AZ116" s="65" t="n">
        <f aca="false">AR116*AQ116</f>
        <v>1</v>
      </c>
      <c r="BA116" s="65" t="n">
        <f aca="false">AR116</f>
        <v>1</v>
      </c>
      <c r="BB116" s="65" t="n">
        <f aca="false">1</f>
        <v>1</v>
      </c>
      <c r="BC116" s="65" t="n">
        <f aca="false">IF(AV116=1,1,IF(AW116=1,2,IF(AX116=1,3,IF(AY116=1,4,IF(AZ116=1,5,IF(BA116=1,6,7))))))</f>
        <v>5</v>
      </c>
      <c r="BD116" s="65" t="n">
        <f aca="false">IF(AD116=1,CHOOSE('Historical Score'!$C$29,AV116,AW116,AX116,AY116,AZ116,BA116,BB116),0)</f>
        <v>0</v>
      </c>
      <c r="BE116" s="65" t="str">
        <f aca="false">IF(BD116=1,COUNTIF($BD$2:BD116,1),"")</f>
        <v/>
      </c>
    </row>
    <row r="117" customFormat="false" ht="15" hidden="false" customHeight="false" outlineLevel="0" collapsed="false">
      <c r="A117" s="65" t="s">
        <v>789</v>
      </c>
      <c r="B117" s="65" t="s">
        <v>790</v>
      </c>
      <c r="C117" s="65" t="s">
        <v>790</v>
      </c>
      <c r="D117" s="65" t="s">
        <v>371</v>
      </c>
      <c r="E117" s="112" t="n">
        <v>45804</v>
      </c>
      <c r="F117" s="112" t="n">
        <v>45884</v>
      </c>
      <c r="G117" s="65" t="n">
        <v>3</v>
      </c>
      <c r="H117" s="65" t="s">
        <v>409</v>
      </c>
      <c r="I117" s="65" t="s">
        <v>342</v>
      </c>
      <c r="J117" s="65" t="s">
        <v>772</v>
      </c>
      <c r="K117" s="65" t="s">
        <v>672</v>
      </c>
      <c r="L117" s="65" t="s">
        <v>64</v>
      </c>
      <c r="M117" s="113" t="n">
        <v>1.43</v>
      </c>
      <c r="N117" s="114" t="n">
        <v>12000</v>
      </c>
      <c r="O117" s="114" t="n">
        <v>1320</v>
      </c>
      <c r="P117" s="114" t="n">
        <v>17160</v>
      </c>
      <c r="Q117" s="114" t="n">
        <v>17160</v>
      </c>
      <c r="R117" s="114" t="n">
        <v>0</v>
      </c>
      <c r="S117" s="115" t="n">
        <v>1</v>
      </c>
      <c r="T117" s="65" t="n">
        <v>3.115</v>
      </c>
      <c r="U117" s="65" t="n">
        <v>0</v>
      </c>
      <c r="W117" s="115" t="n">
        <v>0.0732</v>
      </c>
      <c r="X117" s="112" t="n">
        <v>45804</v>
      </c>
      <c r="Y117" s="65" t="str">
        <f aca="false">IF(I117="","No SIC",IFERROR(VLOOKUP(I117,Ref!$A$2:$B$65,2,FALSE()),"Unclassified"))</f>
        <v>Eating &amp; Drinking Places</v>
      </c>
      <c r="Z117" s="65" t="str">
        <f aca="false">IF(T117="","",IF(T117&lt;12,"Daily","Weekly"))</f>
        <v>Daily</v>
      </c>
      <c r="AA117" s="65" t="n">
        <f aca="false">IF(T117="",0,IF(T117&lt;12,T117*Controls!$B$29,T117*5))</f>
        <v>67.455325</v>
      </c>
      <c r="AB117" s="65" t="n">
        <f aca="false">IF(E117="",0,NETWORKDAYS(E117,Controls!$B$36,Ref!$K$2:$K$42))</f>
        <v>314</v>
      </c>
      <c r="AC117" s="65" t="n">
        <f aca="false">IF(AND(AA117&gt;0,AB117&gt;=Controls!$B$39*AA117),1,0)</f>
        <v>1</v>
      </c>
      <c r="AD117" s="65" t="n">
        <f aca="false">IF(AND(E117&lt;&gt;"",E117&gt;=Controls!$B$37,E117&lt;=Controls!$B$38),1,0)</f>
        <v>1</v>
      </c>
      <c r="AE117" s="65" t="n">
        <f aca="false">IF(IFERROR(VLOOKUP(D117,Controls!$A$64:$E$74,2,FALSE()),"No")="Yes",1,0)</f>
        <v>0</v>
      </c>
      <c r="AF117" s="65" t="n">
        <f aca="false">IF(IFERROR(VLOOKUP(D117,Controls!$A$64:$E$74,3,FALSE()),"No")="Yes",1,0)</f>
        <v>1</v>
      </c>
      <c r="AG117" s="65" t="n">
        <f aca="false">IF(IFERROR(VLOOKUP(D117,Controls!$A$64:$E$74,4,FALSE()),"No")="Yes",1,0)</f>
        <v>1</v>
      </c>
      <c r="AH117" s="65" t="n">
        <f aca="false">IF(IFERROR(VLOOKUP(D117,Controls!$A$64:$E$74,5,FALSE()),"No")="Yes",1,0)</f>
        <v>0</v>
      </c>
      <c r="AI117" s="65" t="n">
        <f aca="false">IF(ISNUMBER(MATCH(D117,Controls!$A$64:$A$74,0)),1,0)</f>
        <v>1</v>
      </c>
      <c r="AJ117" s="65" t="n">
        <f aca="false">Q117-N117</f>
        <v>5160</v>
      </c>
      <c r="AK117" s="65" t="n">
        <f aca="false">IF(AE117=1,MAX(0,N117-Q117),0)</f>
        <v>0</v>
      </c>
      <c r="AL117" s="65" t="n">
        <f aca="false">IF(OR(V117="",V117=0),0,N117/V117)</f>
        <v>0</v>
      </c>
      <c r="AM117" s="65" t="n">
        <f aca="false">IF(OR(V117="",V117=0),0,1)</f>
        <v>0</v>
      </c>
      <c r="AN117" s="65" t="n">
        <f aca="false">IF(OR(E117="",F117=""),0,NETWORKDAYS(E117,F117,Ref!$K$2:$K$42))</f>
        <v>57</v>
      </c>
      <c r="AO117" s="65" t="n">
        <f aca="false">IF(L117="Renewal",1,0)</f>
        <v>0</v>
      </c>
      <c r="AP117" s="65" t="n">
        <f aca="false">AC117*AD117</f>
        <v>1</v>
      </c>
      <c r="AQ117" s="65" t="n">
        <f aca="false">IF(AND(G117&lt;&gt;"",'Historical Score'!$C$6&lt;&gt;""),IF(G117='Historical Score'!$C$6,1,0),0)</f>
        <v>0</v>
      </c>
      <c r="AR117" s="65" t="n">
        <f aca="false">IF(AND(L117&lt;&gt;"",'Historical Score'!$C$5&lt;&gt;""),IF(L117='Historical Score'!$C$5,1,0),0)</f>
        <v>1</v>
      </c>
      <c r="AS117" s="65" t="n">
        <f aca="false">IF(AND(Y117&lt;&gt;"",'Historical Score'!$C$7&lt;&gt;""),IF(Y117='Historical Score'!$C$7,1,0),0)</f>
        <v>0</v>
      </c>
      <c r="AT117" s="65" t="n">
        <f aca="false">IF(AND(K117&lt;&gt;"",'Historical Score'!$C$8&lt;&gt;""),IF(K117='Historical Score'!$C$8,1,0),0)</f>
        <v>0</v>
      </c>
      <c r="AU117" s="65" t="n">
        <f aca="false">IF(AND(J117&lt;&gt;"",'Historical Score'!$C$9&lt;&gt;""),IF(J117='Historical Score'!$C$9,1,0),0)</f>
        <v>0</v>
      </c>
      <c r="AV117" s="65" t="n">
        <f aca="false">AR117*AS117*AQ117</f>
        <v>0</v>
      </c>
      <c r="AW117" s="65" t="n">
        <f aca="false">AR117*AT117*AQ117</f>
        <v>0</v>
      </c>
      <c r="AX117" s="65" t="n">
        <f aca="false">AR117*AS117</f>
        <v>0</v>
      </c>
      <c r="AY117" s="65" t="n">
        <f aca="false">AR117*AT117</f>
        <v>0</v>
      </c>
      <c r="AZ117" s="65" t="n">
        <f aca="false">AR117*AQ117</f>
        <v>0</v>
      </c>
      <c r="BA117" s="65" t="n">
        <f aca="false">AR117</f>
        <v>1</v>
      </c>
      <c r="BB117" s="65" t="n">
        <f aca="false">1</f>
        <v>1</v>
      </c>
      <c r="BC117" s="65" t="n">
        <f aca="false">IF(AV117=1,1,IF(AW117=1,2,IF(AX117=1,3,IF(AY117=1,4,IF(AZ117=1,5,IF(BA117=1,6,7))))))</f>
        <v>6</v>
      </c>
      <c r="BD117" s="65" t="n">
        <f aca="false">IF(AD117=1,CHOOSE('Historical Score'!$C$29,AV117,AW117,AX117,AY117,AZ117,BA117,BB117),0)</f>
        <v>0</v>
      </c>
      <c r="BE117" s="65" t="str">
        <f aca="false">IF(BD117=1,COUNTIF($BD$2:BD117,1),"")</f>
        <v/>
      </c>
    </row>
    <row r="118" customFormat="false" ht="15" hidden="false" customHeight="false" outlineLevel="0" collapsed="false">
      <c r="A118" s="65" t="s">
        <v>791</v>
      </c>
      <c r="B118" s="65" t="s">
        <v>792</v>
      </c>
      <c r="C118" s="65" t="s">
        <v>793</v>
      </c>
      <c r="D118" s="65" t="s">
        <v>371</v>
      </c>
      <c r="E118" s="112" t="n">
        <v>45805</v>
      </c>
      <c r="F118" s="112" t="n">
        <v>45925</v>
      </c>
      <c r="G118" s="65" t="n">
        <v>3</v>
      </c>
      <c r="H118" s="65" t="s">
        <v>409</v>
      </c>
      <c r="I118" s="65" t="s">
        <v>342</v>
      </c>
      <c r="J118" s="65" t="s">
        <v>772</v>
      </c>
      <c r="K118" s="65" t="s">
        <v>538</v>
      </c>
      <c r="L118" s="65" t="s">
        <v>64</v>
      </c>
      <c r="M118" s="113" t="n">
        <v>1.37</v>
      </c>
      <c r="N118" s="114" t="n">
        <v>21000</v>
      </c>
      <c r="O118" s="114" t="n">
        <v>1680</v>
      </c>
      <c r="P118" s="114" t="n">
        <v>28770</v>
      </c>
      <c r="Q118" s="114" t="n">
        <v>28770</v>
      </c>
      <c r="R118" s="114" t="n">
        <v>3.63797880709171E-012</v>
      </c>
      <c r="S118" s="115" t="n">
        <v>1</v>
      </c>
      <c r="T118" s="65" t="n">
        <v>4.525</v>
      </c>
      <c r="U118" s="65" t="n">
        <v>0</v>
      </c>
      <c r="W118" s="115" t="n">
        <v>0.0471</v>
      </c>
      <c r="X118" s="112" t="n">
        <v>45805</v>
      </c>
      <c r="Y118" s="65" t="str">
        <f aca="false">IF(I118="","No SIC",IFERROR(VLOOKUP(I118,Ref!$A$2:$B$65,2,FALSE()),"Unclassified"))</f>
        <v>Eating &amp; Drinking Places</v>
      </c>
      <c r="Z118" s="65" t="str">
        <f aca="false">IF(T118="","",IF(T118&lt;12,"Daily","Weekly"))</f>
        <v>Daily</v>
      </c>
      <c r="AA118" s="65" t="n">
        <f aca="false">IF(T118="",0,IF(T118&lt;12,T118*Controls!$B$29,T118*5))</f>
        <v>97.988875</v>
      </c>
      <c r="AB118" s="65" t="n">
        <f aca="false">IF(E118="",0,NETWORKDAYS(E118,Controls!$B$36,Ref!$K$2:$K$42))</f>
        <v>313</v>
      </c>
      <c r="AC118" s="65" t="n">
        <f aca="false">IF(AND(AA118&gt;0,AB118&gt;=Controls!$B$39*AA118),1,0)</f>
        <v>1</v>
      </c>
      <c r="AD118" s="65" t="n">
        <f aca="false">IF(AND(E118&lt;&gt;"",E118&gt;=Controls!$B$37,E118&lt;=Controls!$B$38),1,0)</f>
        <v>1</v>
      </c>
      <c r="AE118" s="65" t="n">
        <f aca="false">IF(IFERROR(VLOOKUP(D118,Controls!$A$64:$E$74,2,FALSE()),"No")="Yes",1,0)</f>
        <v>0</v>
      </c>
      <c r="AF118" s="65" t="n">
        <f aca="false">IF(IFERROR(VLOOKUP(D118,Controls!$A$64:$E$74,3,FALSE()),"No")="Yes",1,0)</f>
        <v>1</v>
      </c>
      <c r="AG118" s="65" t="n">
        <f aca="false">IF(IFERROR(VLOOKUP(D118,Controls!$A$64:$E$74,4,FALSE()),"No")="Yes",1,0)</f>
        <v>1</v>
      </c>
      <c r="AH118" s="65" t="n">
        <f aca="false">IF(IFERROR(VLOOKUP(D118,Controls!$A$64:$E$74,5,FALSE()),"No")="Yes",1,0)</f>
        <v>0</v>
      </c>
      <c r="AI118" s="65" t="n">
        <f aca="false">IF(ISNUMBER(MATCH(D118,Controls!$A$64:$A$74,0)),1,0)</f>
        <v>1</v>
      </c>
      <c r="AJ118" s="65" t="n">
        <f aca="false">Q118-N118</f>
        <v>7770</v>
      </c>
      <c r="AK118" s="65" t="n">
        <f aca="false">IF(AE118=1,MAX(0,N118-Q118),0)</f>
        <v>0</v>
      </c>
      <c r="AL118" s="65" t="n">
        <f aca="false">IF(OR(V118="",V118=0),0,N118/V118)</f>
        <v>0</v>
      </c>
      <c r="AM118" s="65" t="n">
        <f aca="false">IF(OR(V118="",V118=0),0,1)</f>
        <v>0</v>
      </c>
      <c r="AN118" s="65" t="n">
        <f aca="false">IF(OR(E118="",F118=""),0,NETWORKDAYS(E118,F118,Ref!$K$2:$K$42))</f>
        <v>84</v>
      </c>
      <c r="AO118" s="65" t="n">
        <f aca="false">IF(L118="Renewal",1,0)</f>
        <v>0</v>
      </c>
      <c r="AP118" s="65" t="n">
        <f aca="false">AC118*AD118</f>
        <v>1</v>
      </c>
      <c r="AQ118" s="65" t="n">
        <f aca="false">IF(AND(G118&lt;&gt;"",'Historical Score'!$C$6&lt;&gt;""),IF(G118='Historical Score'!$C$6,1,0),0)</f>
        <v>0</v>
      </c>
      <c r="AR118" s="65" t="n">
        <f aca="false">IF(AND(L118&lt;&gt;"",'Historical Score'!$C$5&lt;&gt;""),IF(L118='Historical Score'!$C$5,1,0),0)</f>
        <v>1</v>
      </c>
      <c r="AS118" s="65" t="n">
        <f aca="false">IF(AND(Y118&lt;&gt;"",'Historical Score'!$C$7&lt;&gt;""),IF(Y118='Historical Score'!$C$7,1,0),0)</f>
        <v>0</v>
      </c>
      <c r="AT118" s="65" t="n">
        <f aca="false">IF(AND(K118&lt;&gt;"",'Historical Score'!$C$8&lt;&gt;""),IF(K118='Historical Score'!$C$8,1,0),0)</f>
        <v>0</v>
      </c>
      <c r="AU118" s="65" t="n">
        <f aca="false">IF(AND(J118&lt;&gt;"",'Historical Score'!$C$9&lt;&gt;""),IF(J118='Historical Score'!$C$9,1,0),0)</f>
        <v>0</v>
      </c>
      <c r="AV118" s="65" t="n">
        <f aca="false">AR118*AS118*AQ118</f>
        <v>0</v>
      </c>
      <c r="AW118" s="65" t="n">
        <f aca="false">AR118*AT118*AQ118</f>
        <v>0</v>
      </c>
      <c r="AX118" s="65" t="n">
        <f aca="false">AR118*AS118</f>
        <v>0</v>
      </c>
      <c r="AY118" s="65" t="n">
        <f aca="false">AR118*AT118</f>
        <v>0</v>
      </c>
      <c r="AZ118" s="65" t="n">
        <f aca="false">AR118*AQ118</f>
        <v>0</v>
      </c>
      <c r="BA118" s="65" t="n">
        <f aca="false">AR118</f>
        <v>1</v>
      </c>
      <c r="BB118" s="65" t="n">
        <f aca="false">1</f>
        <v>1</v>
      </c>
      <c r="BC118" s="65" t="n">
        <f aca="false">IF(AV118=1,1,IF(AW118=1,2,IF(AX118=1,3,IF(AY118=1,4,IF(AZ118=1,5,IF(BA118=1,6,7))))))</f>
        <v>6</v>
      </c>
      <c r="BD118" s="65" t="n">
        <f aca="false">IF(AD118=1,CHOOSE('Historical Score'!$C$29,AV118,AW118,AX118,AY118,AZ118,BA118,BB118),0)</f>
        <v>0</v>
      </c>
      <c r="BE118" s="65" t="str">
        <f aca="false">IF(BD118=1,COUNTIF($BD$2:BD118,1),"")</f>
        <v/>
      </c>
    </row>
    <row r="119" customFormat="false" ht="15" hidden="false" customHeight="false" outlineLevel="0" collapsed="false">
      <c r="A119" s="65" t="s">
        <v>794</v>
      </c>
      <c r="B119" s="65" t="s">
        <v>795</v>
      </c>
      <c r="C119" s="65" t="s">
        <v>795</v>
      </c>
      <c r="D119" s="65" t="s">
        <v>340</v>
      </c>
      <c r="E119" s="112" t="n">
        <v>45805</v>
      </c>
      <c r="F119" s="112" t="n">
        <v>45834</v>
      </c>
      <c r="G119" s="65" t="n">
        <v>1</v>
      </c>
      <c r="H119" s="65" t="s">
        <v>409</v>
      </c>
      <c r="I119" s="65" t="s">
        <v>342</v>
      </c>
      <c r="J119" s="65" t="s">
        <v>772</v>
      </c>
      <c r="K119" s="65" t="s">
        <v>55</v>
      </c>
      <c r="L119" s="65" t="s">
        <v>64</v>
      </c>
      <c r="M119" s="113" t="n">
        <v>1.499</v>
      </c>
      <c r="N119" s="114" t="n">
        <v>5000</v>
      </c>
      <c r="O119" s="114" t="n">
        <v>0</v>
      </c>
      <c r="P119" s="114" t="n">
        <v>7495</v>
      </c>
      <c r="Q119" s="114" t="n">
        <v>958.23</v>
      </c>
      <c r="R119" s="114" t="n">
        <v>6536.77</v>
      </c>
      <c r="S119" s="115" t="n">
        <v>0.127849232821881</v>
      </c>
      <c r="T119" s="65" t="n">
        <v>2.295</v>
      </c>
      <c r="U119" s="65" t="n">
        <v>11</v>
      </c>
      <c r="W119" s="115" t="n">
        <v>0.0132</v>
      </c>
      <c r="X119" s="112" t="n">
        <v>45805</v>
      </c>
      <c r="Y119" s="65" t="str">
        <f aca="false">IF(I119="","No SIC",IFERROR(VLOOKUP(I119,Ref!$A$2:$B$65,2,FALSE()),"Unclassified"))</f>
        <v>Eating &amp; Drinking Places</v>
      </c>
      <c r="Z119" s="65" t="str">
        <f aca="false">IF(T119="","",IF(T119&lt;12,"Daily","Weekly"))</f>
        <v>Daily</v>
      </c>
      <c r="AA119" s="65" t="n">
        <f aca="false">IF(T119="",0,IF(T119&lt;12,T119*Controls!$B$29,T119*5))</f>
        <v>49.698225</v>
      </c>
      <c r="AB119" s="65" t="n">
        <f aca="false">IF(E119="",0,NETWORKDAYS(E119,Controls!$B$36,Ref!$K$2:$K$42))</f>
        <v>313</v>
      </c>
      <c r="AC119" s="65" t="n">
        <f aca="false">IF(AND(AA119&gt;0,AB119&gt;=Controls!$B$39*AA119),1,0)</f>
        <v>1</v>
      </c>
      <c r="AD119" s="65" t="n">
        <f aca="false">IF(AND(E119&lt;&gt;"",E119&gt;=Controls!$B$37,E119&lt;=Controls!$B$38),1,0)</f>
        <v>1</v>
      </c>
      <c r="AE119" s="65" t="n">
        <f aca="false">IF(IFERROR(VLOOKUP(D119,Controls!$A$64:$E$74,2,FALSE()),"No")="Yes",1,0)</f>
        <v>1</v>
      </c>
      <c r="AF119" s="65" t="n">
        <f aca="false">IF(IFERROR(VLOOKUP(D119,Controls!$A$64:$E$74,3,FALSE()),"No")="Yes",1,0)</f>
        <v>0</v>
      </c>
      <c r="AG119" s="65" t="n">
        <f aca="false">IF(IFERROR(VLOOKUP(D119,Controls!$A$64:$E$74,4,FALSE()),"No")="Yes",1,0)</f>
        <v>0</v>
      </c>
      <c r="AH119" s="65" t="n">
        <f aca="false">IF(IFERROR(VLOOKUP(D119,Controls!$A$64:$E$74,5,FALSE()),"No")="Yes",1,0)</f>
        <v>0</v>
      </c>
      <c r="AI119" s="65" t="n">
        <f aca="false">IF(ISNUMBER(MATCH(D119,Controls!$A$64:$A$74,0)),1,0)</f>
        <v>1</v>
      </c>
      <c r="AJ119" s="65" t="n">
        <f aca="false">Q119-N119</f>
        <v>-4041.77</v>
      </c>
      <c r="AK119" s="65" t="n">
        <f aca="false">IF(AE119=1,MAX(0,N119-Q119),0)</f>
        <v>4041.77</v>
      </c>
      <c r="AL119" s="65" t="n">
        <f aca="false">IF(OR(V119="",V119=0),0,N119/V119)</f>
        <v>0</v>
      </c>
      <c r="AM119" s="65" t="n">
        <f aca="false">IF(OR(V119="",V119=0),0,1)</f>
        <v>0</v>
      </c>
      <c r="AN119" s="65" t="n">
        <f aca="false">IF(OR(E119="",F119=""),0,NETWORKDAYS(E119,F119,Ref!$K$2:$K$42))</f>
        <v>21</v>
      </c>
      <c r="AO119" s="65" t="n">
        <f aca="false">IF(L119="Renewal",1,0)</f>
        <v>0</v>
      </c>
      <c r="AP119" s="65" t="n">
        <f aca="false">AC119*AD119</f>
        <v>1</v>
      </c>
      <c r="AQ119" s="65" t="n">
        <f aca="false">IF(AND(G119&lt;&gt;"",'Historical Score'!$C$6&lt;&gt;""),IF(G119='Historical Score'!$C$6,1,0),0)</f>
        <v>0</v>
      </c>
      <c r="AR119" s="65" t="n">
        <f aca="false">IF(AND(L119&lt;&gt;"",'Historical Score'!$C$5&lt;&gt;""),IF(L119='Historical Score'!$C$5,1,0),0)</f>
        <v>1</v>
      </c>
      <c r="AS119" s="65" t="n">
        <f aca="false">IF(AND(Y119&lt;&gt;"",'Historical Score'!$C$7&lt;&gt;""),IF(Y119='Historical Score'!$C$7,1,0),0)</f>
        <v>0</v>
      </c>
      <c r="AT119" s="65" t="n">
        <f aca="false">IF(AND(K119&lt;&gt;"",'Historical Score'!$C$8&lt;&gt;""),IF(K119='Historical Score'!$C$8,1,0),0)</f>
        <v>1</v>
      </c>
      <c r="AU119" s="65" t="n">
        <f aca="false">IF(AND(J119&lt;&gt;"",'Historical Score'!$C$9&lt;&gt;""),IF(J119='Historical Score'!$C$9,1,0),0)</f>
        <v>0</v>
      </c>
      <c r="AV119" s="65" t="n">
        <f aca="false">AR119*AS119*AQ119</f>
        <v>0</v>
      </c>
      <c r="AW119" s="65" t="n">
        <f aca="false">AR119*AT119*AQ119</f>
        <v>0</v>
      </c>
      <c r="AX119" s="65" t="n">
        <f aca="false">AR119*AS119</f>
        <v>0</v>
      </c>
      <c r="AY119" s="65" t="n">
        <f aca="false">AR119*AT119</f>
        <v>1</v>
      </c>
      <c r="AZ119" s="65" t="n">
        <f aca="false">AR119*AQ119</f>
        <v>0</v>
      </c>
      <c r="BA119" s="65" t="n">
        <f aca="false">AR119</f>
        <v>1</v>
      </c>
      <c r="BB119" s="65" t="n">
        <f aca="false">1</f>
        <v>1</v>
      </c>
      <c r="BC119" s="65" t="n">
        <f aca="false">IF(AV119=1,1,IF(AW119=1,2,IF(AX119=1,3,IF(AY119=1,4,IF(AZ119=1,5,IF(BA119=1,6,7))))))</f>
        <v>4</v>
      </c>
      <c r="BD119" s="65" t="n">
        <f aca="false">IF(AD119=1,CHOOSE('Historical Score'!$C$29,AV119,AW119,AX119,AY119,AZ119,BA119,BB119),0)</f>
        <v>0</v>
      </c>
      <c r="BE119" s="65" t="str">
        <f aca="false">IF(BD119=1,COUNTIF($BD$2:BD119,1),"")</f>
        <v/>
      </c>
    </row>
    <row r="120" customFormat="false" ht="15" hidden="false" customHeight="false" outlineLevel="0" collapsed="false">
      <c r="A120" s="65" t="s">
        <v>796</v>
      </c>
      <c r="B120" s="65" t="s">
        <v>797</v>
      </c>
      <c r="C120" s="65" t="s">
        <v>798</v>
      </c>
      <c r="D120" s="65" t="s">
        <v>371</v>
      </c>
      <c r="E120" s="112" t="n">
        <v>45806</v>
      </c>
      <c r="F120" s="112" t="n">
        <v>45883</v>
      </c>
      <c r="G120" s="65" t="n">
        <v>7</v>
      </c>
      <c r="H120" s="65" t="s">
        <v>409</v>
      </c>
      <c r="I120" s="65" t="s">
        <v>342</v>
      </c>
      <c r="J120" s="65" t="s">
        <v>799</v>
      </c>
      <c r="K120" s="65" t="s">
        <v>538</v>
      </c>
      <c r="L120" s="65" t="s">
        <v>320</v>
      </c>
      <c r="M120" s="113" t="n">
        <v>1.499</v>
      </c>
      <c r="N120" s="114" t="n">
        <v>10000</v>
      </c>
      <c r="O120" s="114" t="n">
        <v>1400</v>
      </c>
      <c r="P120" s="114" t="n">
        <v>14990</v>
      </c>
      <c r="Q120" s="114" t="n">
        <v>14990</v>
      </c>
      <c r="R120" s="114" t="n">
        <v>1.81898940354586E-012</v>
      </c>
      <c r="S120" s="115" t="n">
        <v>1</v>
      </c>
      <c r="T120" s="65" t="n">
        <v>2.295</v>
      </c>
      <c r="U120" s="65" t="n">
        <v>10</v>
      </c>
      <c r="W120" s="115" t="n">
        <v>0.1959</v>
      </c>
      <c r="X120" s="112" t="n">
        <v>45806</v>
      </c>
      <c r="Y120" s="65" t="str">
        <f aca="false">IF(I120="","No SIC",IFERROR(VLOOKUP(I120,Ref!$A$2:$B$65,2,FALSE()),"Unclassified"))</f>
        <v>Eating &amp; Drinking Places</v>
      </c>
      <c r="Z120" s="65" t="str">
        <f aca="false">IF(T120="","",IF(T120&lt;12,"Daily","Weekly"))</f>
        <v>Daily</v>
      </c>
      <c r="AA120" s="65" t="n">
        <f aca="false">IF(T120="",0,IF(T120&lt;12,T120*Controls!$B$29,T120*5))</f>
        <v>49.698225</v>
      </c>
      <c r="AB120" s="65" t="n">
        <f aca="false">IF(E120="",0,NETWORKDAYS(E120,Controls!$B$36,Ref!$K$2:$K$42))</f>
        <v>312</v>
      </c>
      <c r="AC120" s="65" t="n">
        <f aca="false">IF(AND(AA120&gt;0,AB120&gt;=Controls!$B$39*AA120),1,0)</f>
        <v>1</v>
      </c>
      <c r="AD120" s="65" t="n">
        <f aca="false">IF(AND(E120&lt;&gt;"",E120&gt;=Controls!$B$37,E120&lt;=Controls!$B$38),1,0)</f>
        <v>1</v>
      </c>
      <c r="AE120" s="65" t="n">
        <f aca="false">IF(IFERROR(VLOOKUP(D120,Controls!$A$64:$E$74,2,FALSE()),"No")="Yes",1,0)</f>
        <v>0</v>
      </c>
      <c r="AF120" s="65" t="n">
        <f aca="false">IF(IFERROR(VLOOKUP(D120,Controls!$A$64:$E$74,3,FALSE()),"No")="Yes",1,0)</f>
        <v>1</v>
      </c>
      <c r="AG120" s="65" t="n">
        <f aca="false">IF(IFERROR(VLOOKUP(D120,Controls!$A$64:$E$74,4,FALSE()),"No")="Yes",1,0)</f>
        <v>1</v>
      </c>
      <c r="AH120" s="65" t="n">
        <f aca="false">IF(IFERROR(VLOOKUP(D120,Controls!$A$64:$E$74,5,FALSE()),"No")="Yes",1,0)</f>
        <v>0</v>
      </c>
      <c r="AI120" s="65" t="n">
        <f aca="false">IF(ISNUMBER(MATCH(D120,Controls!$A$64:$A$74,0)),1,0)</f>
        <v>1</v>
      </c>
      <c r="AJ120" s="65" t="n">
        <f aca="false">Q120-N120</f>
        <v>4990</v>
      </c>
      <c r="AK120" s="65" t="n">
        <f aca="false">IF(AE120=1,MAX(0,N120-Q120),0)</f>
        <v>0</v>
      </c>
      <c r="AL120" s="65" t="n">
        <f aca="false">IF(OR(V120="",V120=0),0,N120/V120)</f>
        <v>0</v>
      </c>
      <c r="AM120" s="65" t="n">
        <f aca="false">IF(OR(V120="",V120=0),0,1)</f>
        <v>0</v>
      </c>
      <c r="AN120" s="65" t="n">
        <f aca="false">IF(OR(E120="",F120=""),0,NETWORKDAYS(E120,F120,Ref!$K$2:$K$42))</f>
        <v>54</v>
      </c>
      <c r="AO120" s="65" t="n">
        <f aca="false">IF(L120="Renewal",1,0)</f>
        <v>1</v>
      </c>
      <c r="AP120" s="65" t="n">
        <f aca="false">AC120*AD120</f>
        <v>1</v>
      </c>
      <c r="AQ120" s="65" t="n">
        <f aca="false">IF(AND(G120&lt;&gt;"",'Historical Score'!$C$6&lt;&gt;""),IF(G120='Historical Score'!$C$6,1,0),0)</f>
        <v>0</v>
      </c>
      <c r="AR120" s="65" t="n">
        <f aca="false">IF(AND(L120&lt;&gt;"",'Historical Score'!$C$5&lt;&gt;""),IF(L120='Historical Score'!$C$5,1,0),0)</f>
        <v>0</v>
      </c>
      <c r="AS120" s="65" t="n">
        <f aca="false">IF(AND(Y120&lt;&gt;"",'Historical Score'!$C$7&lt;&gt;""),IF(Y120='Historical Score'!$C$7,1,0),0)</f>
        <v>0</v>
      </c>
      <c r="AT120" s="65" t="n">
        <f aca="false">IF(AND(K120&lt;&gt;"",'Historical Score'!$C$8&lt;&gt;""),IF(K120='Historical Score'!$C$8,1,0),0)</f>
        <v>0</v>
      </c>
      <c r="AU120" s="65" t="n">
        <f aca="false">IF(AND(J120&lt;&gt;"",'Historical Score'!$C$9&lt;&gt;""),IF(J120='Historical Score'!$C$9,1,0),0)</f>
        <v>0</v>
      </c>
      <c r="AV120" s="65" t="n">
        <f aca="false">AR120*AS120*AQ120</f>
        <v>0</v>
      </c>
      <c r="AW120" s="65" t="n">
        <f aca="false">AR120*AT120*AQ120</f>
        <v>0</v>
      </c>
      <c r="AX120" s="65" t="n">
        <f aca="false">AR120*AS120</f>
        <v>0</v>
      </c>
      <c r="AY120" s="65" t="n">
        <f aca="false">AR120*AT120</f>
        <v>0</v>
      </c>
      <c r="AZ120" s="65" t="n">
        <f aca="false">AR120*AQ120</f>
        <v>0</v>
      </c>
      <c r="BA120" s="65" t="n">
        <f aca="false">AR120</f>
        <v>0</v>
      </c>
      <c r="BB120" s="65" t="n">
        <f aca="false">1</f>
        <v>1</v>
      </c>
      <c r="BC120" s="65" t="n">
        <f aca="false">IF(AV120=1,1,IF(AW120=1,2,IF(AX120=1,3,IF(AY120=1,4,IF(AZ120=1,5,IF(BA120=1,6,7))))))</f>
        <v>7</v>
      </c>
      <c r="BD120" s="65" t="n">
        <f aca="false">IF(AD120=1,CHOOSE('Historical Score'!$C$29,AV120,AW120,AX120,AY120,AZ120,BA120,BB120),0)</f>
        <v>0</v>
      </c>
      <c r="BE120" s="65" t="str">
        <f aca="false">IF(BD120=1,COUNTIF($BD$2:BD120,1),"")</f>
        <v/>
      </c>
    </row>
    <row r="121" customFormat="false" ht="15" hidden="false" customHeight="false" outlineLevel="0" collapsed="false">
      <c r="A121" s="65" t="s">
        <v>800</v>
      </c>
      <c r="B121" s="65" t="s">
        <v>801</v>
      </c>
      <c r="C121" s="65" t="s">
        <v>801</v>
      </c>
      <c r="D121" s="65" t="s">
        <v>371</v>
      </c>
      <c r="E121" s="112" t="n">
        <v>45806</v>
      </c>
      <c r="F121" s="112" t="n">
        <v>45866</v>
      </c>
      <c r="G121" s="65" t="n">
        <v>7</v>
      </c>
      <c r="H121" s="65" t="s">
        <v>409</v>
      </c>
      <c r="I121" s="65" t="s">
        <v>342</v>
      </c>
      <c r="J121" s="65" t="s">
        <v>772</v>
      </c>
      <c r="K121" s="65" t="s">
        <v>538</v>
      </c>
      <c r="L121" s="65" t="s">
        <v>64</v>
      </c>
      <c r="M121" s="113" t="n">
        <v>1.49</v>
      </c>
      <c r="N121" s="114" t="n">
        <v>20000</v>
      </c>
      <c r="O121" s="114" t="n">
        <v>2800</v>
      </c>
      <c r="P121" s="114" t="n">
        <v>29800</v>
      </c>
      <c r="Q121" s="114" t="n">
        <v>29800</v>
      </c>
      <c r="R121" s="114" t="n">
        <v>0</v>
      </c>
      <c r="S121" s="115" t="n">
        <v>1</v>
      </c>
      <c r="T121" s="65" t="n">
        <v>2.623</v>
      </c>
      <c r="U121" s="65" t="n">
        <v>1</v>
      </c>
      <c r="W121" s="115" t="n">
        <v>0.0565</v>
      </c>
      <c r="X121" s="112" t="n">
        <v>45806</v>
      </c>
      <c r="Y121" s="65" t="str">
        <f aca="false">IF(I121="","No SIC",IFERROR(VLOOKUP(I121,Ref!$A$2:$B$65,2,FALSE()),"Unclassified"))</f>
        <v>Eating &amp; Drinking Places</v>
      </c>
      <c r="Z121" s="65" t="str">
        <f aca="false">IF(T121="","",IF(T121&lt;12,"Daily","Weekly"))</f>
        <v>Daily</v>
      </c>
      <c r="AA121" s="65" t="n">
        <f aca="false">IF(T121="",0,IF(T121&lt;12,T121*Controls!$B$29,T121*5))</f>
        <v>56.801065</v>
      </c>
      <c r="AB121" s="65" t="n">
        <f aca="false">IF(E121="",0,NETWORKDAYS(E121,Controls!$B$36,Ref!$K$2:$K$42))</f>
        <v>312</v>
      </c>
      <c r="AC121" s="65" t="n">
        <f aca="false">IF(AND(AA121&gt;0,AB121&gt;=Controls!$B$39*AA121),1,0)</f>
        <v>1</v>
      </c>
      <c r="AD121" s="65" t="n">
        <f aca="false">IF(AND(E121&lt;&gt;"",E121&gt;=Controls!$B$37,E121&lt;=Controls!$B$38),1,0)</f>
        <v>1</v>
      </c>
      <c r="AE121" s="65" t="n">
        <f aca="false">IF(IFERROR(VLOOKUP(D121,Controls!$A$64:$E$74,2,FALSE()),"No")="Yes",1,0)</f>
        <v>0</v>
      </c>
      <c r="AF121" s="65" t="n">
        <f aca="false">IF(IFERROR(VLOOKUP(D121,Controls!$A$64:$E$74,3,FALSE()),"No")="Yes",1,0)</f>
        <v>1</v>
      </c>
      <c r="AG121" s="65" t="n">
        <f aca="false">IF(IFERROR(VLOOKUP(D121,Controls!$A$64:$E$74,4,FALSE()),"No")="Yes",1,0)</f>
        <v>1</v>
      </c>
      <c r="AH121" s="65" t="n">
        <f aca="false">IF(IFERROR(VLOOKUP(D121,Controls!$A$64:$E$74,5,FALSE()),"No")="Yes",1,0)</f>
        <v>0</v>
      </c>
      <c r="AI121" s="65" t="n">
        <f aca="false">IF(ISNUMBER(MATCH(D121,Controls!$A$64:$A$74,0)),1,0)</f>
        <v>1</v>
      </c>
      <c r="AJ121" s="65" t="n">
        <f aca="false">Q121-N121</f>
        <v>9800</v>
      </c>
      <c r="AK121" s="65" t="n">
        <f aca="false">IF(AE121=1,MAX(0,N121-Q121),0)</f>
        <v>0</v>
      </c>
      <c r="AL121" s="65" t="n">
        <f aca="false">IF(OR(V121="",V121=0),0,N121/V121)</f>
        <v>0</v>
      </c>
      <c r="AM121" s="65" t="n">
        <f aca="false">IF(OR(V121="",V121=0),0,1)</f>
        <v>0</v>
      </c>
      <c r="AN121" s="65" t="n">
        <f aca="false">IF(OR(E121="",F121=""),0,NETWORKDAYS(E121,F121,Ref!$K$2:$K$42))</f>
        <v>41</v>
      </c>
      <c r="AO121" s="65" t="n">
        <f aca="false">IF(L121="Renewal",1,0)</f>
        <v>0</v>
      </c>
      <c r="AP121" s="65" t="n">
        <f aca="false">AC121*AD121</f>
        <v>1</v>
      </c>
      <c r="AQ121" s="65" t="n">
        <f aca="false">IF(AND(G121&lt;&gt;"",'Historical Score'!$C$6&lt;&gt;""),IF(G121='Historical Score'!$C$6,1,0),0)</f>
        <v>0</v>
      </c>
      <c r="AR121" s="65" t="n">
        <f aca="false">IF(AND(L121&lt;&gt;"",'Historical Score'!$C$5&lt;&gt;""),IF(L121='Historical Score'!$C$5,1,0),0)</f>
        <v>1</v>
      </c>
      <c r="AS121" s="65" t="n">
        <f aca="false">IF(AND(Y121&lt;&gt;"",'Historical Score'!$C$7&lt;&gt;""),IF(Y121='Historical Score'!$C$7,1,0),0)</f>
        <v>0</v>
      </c>
      <c r="AT121" s="65" t="n">
        <f aca="false">IF(AND(K121&lt;&gt;"",'Historical Score'!$C$8&lt;&gt;""),IF(K121='Historical Score'!$C$8,1,0),0)</f>
        <v>0</v>
      </c>
      <c r="AU121" s="65" t="n">
        <f aca="false">IF(AND(J121&lt;&gt;"",'Historical Score'!$C$9&lt;&gt;""),IF(J121='Historical Score'!$C$9,1,0),0)</f>
        <v>0</v>
      </c>
      <c r="AV121" s="65" t="n">
        <f aca="false">AR121*AS121*AQ121</f>
        <v>0</v>
      </c>
      <c r="AW121" s="65" t="n">
        <f aca="false">AR121*AT121*AQ121</f>
        <v>0</v>
      </c>
      <c r="AX121" s="65" t="n">
        <f aca="false">AR121*AS121</f>
        <v>0</v>
      </c>
      <c r="AY121" s="65" t="n">
        <f aca="false">AR121*AT121</f>
        <v>0</v>
      </c>
      <c r="AZ121" s="65" t="n">
        <f aca="false">AR121*AQ121</f>
        <v>0</v>
      </c>
      <c r="BA121" s="65" t="n">
        <f aca="false">AR121</f>
        <v>1</v>
      </c>
      <c r="BB121" s="65" t="n">
        <f aca="false">1</f>
        <v>1</v>
      </c>
      <c r="BC121" s="65" t="n">
        <f aca="false">IF(AV121=1,1,IF(AW121=1,2,IF(AX121=1,3,IF(AY121=1,4,IF(AZ121=1,5,IF(BA121=1,6,7))))))</f>
        <v>6</v>
      </c>
      <c r="BD121" s="65" t="n">
        <f aca="false">IF(AD121=1,CHOOSE('Historical Score'!$C$29,AV121,AW121,AX121,AY121,AZ121,BA121,BB121),0)</f>
        <v>0</v>
      </c>
      <c r="BE121" s="65" t="str">
        <f aca="false">IF(BD121=1,COUNTIF($BD$2:BD121,1),"")</f>
        <v/>
      </c>
    </row>
    <row r="122" customFormat="false" ht="15" hidden="false" customHeight="false" outlineLevel="0" collapsed="false">
      <c r="A122" s="65" t="s">
        <v>802</v>
      </c>
      <c r="B122" s="65" t="s">
        <v>803</v>
      </c>
      <c r="C122" s="65" t="s">
        <v>804</v>
      </c>
      <c r="D122" s="65" t="s">
        <v>371</v>
      </c>
      <c r="E122" s="112" t="n">
        <v>45806</v>
      </c>
      <c r="F122" s="112" t="n">
        <v>45915</v>
      </c>
      <c r="G122" s="65" t="n">
        <v>2</v>
      </c>
      <c r="H122" s="65" t="s">
        <v>805</v>
      </c>
      <c r="I122" s="65" t="s">
        <v>643</v>
      </c>
      <c r="J122" s="65" t="s">
        <v>772</v>
      </c>
      <c r="K122" s="65" t="s">
        <v>659</v>
      </c>
      <c r="L122" s="65" t="s">
        <v>64</v>
      </c>
      <c r="M122" s="113" t="n">
        <v>1.499</v>
      </c>
      <c r="N122" s="114" t="n">
        <v>6500</v>
      </c>
      <c r="O122" s="114" t="n">
        <v>910</v>
      </c>
      <c r="P122" s="114" t="n">
        <v>9743.5</v>
      </c>
      <c r="Q122" s="114" t="n">
        <v>9743.5</v>
      </c>
      <c r="R122" s="114" t="n">
        <v>0</v>
      </c>
      <c r="S122" s="115" t="n">
        <v>1</v>
      </c>
      <c r="T122" s="65" t="n">
        <v>1.967</v>
      </c>
      <c r="U122" s="65" t="n">
        <v>10</v>
      </c>
      <c r="W122" s="115" t="n">
        <v>0.0821</v>
      </c>
      <c r="X122" s="112" t="n">
        <v>45806</v>
      </c>
      <c r="Y122" s="65" t="str">
        <f aca="false">IF(I122="","No SIC",IFERROR(VLOOKUP(I122,Ref!$A$2:$B$65,2,FALSE()),"Unclassified"))</f>
        <v>Agricultural Services</v>
      </c>
      <c r="Z122" s="65" t="str">
        <f aca="false">IF(T122="","",IF(T122&lt;12,"Daily","Weekly"))</f>
        <v>Daily</v>
      </c>
      <c r="AA122" s="65" t="n">
        <f aca="false">IF(T122="",0,IF(T122&lt;12,T122*Controls!$B$29,T122*5))</f>
        <v>42.595385</v>
      </c>
      <c r="AB122" s="65" t="n">
        <f aca="false">IF(E122="",0,NETWORKDAYS(E122,Controls!$B$36,Ref!$K$2:$K$42))</f>
        <v>312</v>
      </c>
      <c r="AC122" s="65" t="n">
        <f aca="false">IF(AND(AA122&gt;0,AB122&gt;=Controls!$B$39*AA122),1,0)</f>
        <v>1</v>
      </c>
      <c r="AD122" s="65" t="n">
        <f aca="false">IF(AND(E122&lt;&gt;"",E122&gt;=Controls!$B$37,E122&lt;=Controls!$B$38),1,0)</f>
        <v>1</v>
      </c>
      <c r="AE122" s="65" t="n">
        <f aca="false">IF(IFERROR(VLOOKUP(D122,Controls!$A$64:$E$74,2,FALSE()),"No")="Yes",1,0)</f>
        <v>0</v>
      </c>
      <c r="AF122" s="65" t="n">
        <f aca="false">IF(IFERROR(VLOOKUP(D122,Controls!$A$64:$E$74,3,FALSE()),"No")="Yes",1,0)</f>
        <v>1</v>
      </c>
      <c r="AG122" s="65" t="n">
        <f aca="false">IF(IFERROR(VLOOKUP(D122,Controls!$A$64:$E$74,4,FALSE()),"No")="Yes",1,0)</f>
        <v>1</v>
      </c>
      <c r="AH122" s="65" t="n">
        <f aca="false">IF(IFERROR(VLOOKUP(D122,Controls!$A$64:$E$74,5,FALSE()),"No")="Yes",1,0)</f>
        <v>0</v>
      </c>
      <c r="AI122" s="65" t="n">
        <f aca="false">IF(ISNUMBER(MATCH(D122,Controls!$A$64:$A$74,0)),1,0)</f>
        <v>1</v>
      </c>
      <c r="AJ122" s="65" t="n">
        <f aca="false">Q122-N122</f>
        <v>3243.5</v>
      </c>
      <c r="AK122" s="65" t="n">
        <f aca="false">IF(AE122=1,MAX(0,N122-Q122),0)</f>
        <v>0</v>
      </c>
      <c r="AL122" s="65" t="n">
        <f aca="false">IF(OR(V122="",V122=0),0,N122/V122)</f>
        <v>0</v>
      </c>
      <c r="AM122" s="65" t="n">
        <f aca="false">IF(OR(V122="",V122=0),0,1)</f>
        <v>0</v>
      </c>
      <c r="AN122" s="65" t="n">
        <f aca="false">IF(OR(E122="",F122=""),0,NETWORKDAYS(E122,F122,Ref!$K$2:$K$42))</f>
        <v>75</v>
      </c>
      <c r="AO122" s="65" t="n">
        <f aca="false">IF(L122="Renewal",1,0)</f>
        <v>0</v>
      </c>
      <c r="AP122" s="65" t="n">
        <f aca="false">AC122*AD122</f>
        <v>1</v>
      </c>
      <c r="AQ122" s="65" t="n">
        <f aca="false">IF(AND(G122&lt;&gt;"",'Historical Score'!$C$6&lt;&gt;""),IF(G122='Historical Score'!$C$6,1,0),0)</f>
        <v>1</v>
      </c>
      <c r="AR122" s="65" t="n">
        <f aca="false">IF(AND(L122&lt;&gt;"",'Historical Score'!$C$5&lt;&gt;""),IF(L122='Historical Score'!$C$5,1,0),0)</f>
        <v>1</v>
      </c>
      <c r="AS122" s="65" t="n">
        <f aca="false">IF(AND(Y122&lt;&gt;"",'Historical Score'!$C$7&lt;&gt;""),IF(Y122='Historical Score'!$C$7,1,0),0)</f>
        <v>0</v>
      </c>
      <c r="AT122" s="65" t="n">
        <f aca="false">IF(AND(K122&lt;&gt;"",'Historical Score'!$C$8&lt;&gt;""),IF(K122='Historical Score'!$C$8,1,0),0)</f>
        <v>0</v>
      </c>
      <c r="AU122" s="65" t="n">
        <f aca="false">IF(AND(J122&lt;&gt;"",'Historical Score'!$C$9&lt;&gt;""),IF(J122='Historical Score'!$C$9,1,0),0)</f>
        <v>0</v>
      </c>
      <c r="AV122" s="65" t="n">
        <f aca="false">AR122*AS122*AQ122</f>
        <v>0</v>
      </c>
      <c r="AW122" s="65" t="n">
        <f aca="false">AR122*AT122*AQ122</f>
        <v>0</v>
      </c>
      <c r="AX122" s="65" t="n">
        <f aca="false">AR122*AS122</f>
        <v>0</v>
      </c>
      <c r="AY122" s="65" t="n">
        <f aca="false">AR122*AT122</f>
        <v>0</v>
      </c>
      <c r="AZ122" s="65" t="n">
        <f aca="false">AR122*AQ122</f>
        <v>1</v>
      </c>
      <c r="BA122" s="65" t="n">
        <f aca="false">AR122</f>
        <v>1</v>
      </c>
      <c r="BB122" s="65" t="n">
        <f aca="false">1</f>
        <v>1</v>
      </c>
      <c r="BC122" s="65" t="n">
        <f aca="false">IF(AV122=1,1,IF(AW122=1,2,IF(AX122=1,3,IF(AY122=1,4,IF(AZ122=1,5,IF(BA122=1,6,7))))))</f>
        <v>5</v>
      </c>
      <c r="BD122" s="65" t="n">
        <f aca="false">IF(AD122=1,CHOOSE('Historical Score'!$C$29,AV122,AW122,AX122,AY122,AZ122,BA122,BB122),0)</f>
        <v>0</v>
      </c>
      <c r="BE122" s="65" t="str">
        <f aca="false">IF(BD122=1,COUNTIF($BD$2:BD122,1),"")</f>
        <v/>
      </c>
    </row>
    <row r="123" customFormat="false" ht="15" hidden="false" customHeight="false" outlineLevel="0" collapsed="false">
      <c r="A123" s="65" t="s">
        <v>806</v>
      </c>
      <c r="B123" s="65" t="s">
        <v>807</v>
      </c>
      <c r="C123" s="65" t="s">
        <v>807</v>
      </c>
      <c r="D123" s="65" t="s">
        <v>340</v>
      </c>
      <c r="E123" s="112" t="n">
        <v>45807</v>
      </c>
      <c r="F123" s="112" t="n">
        <v>45888</v>
      </c>
      <c r="G123" s="65" t="n">
        <v>4</v>
      </c>
      <c r="H123" s="65" t="s">
        <v>409</v>
      </c>
      <c r="I123" s="65" t="s">
        <v>342</v>
      </c>
      <c r="J123" s="65" t="s">
        <v>638</v>
      </c>
      <c r="K123" s="65" t="s">
        <v>584</v>
      </c>
      <c r="L123" s="65" t="s">
        <v>64</v>
      </c>
      <c r="M123" s="113" t="n">
        <v>1.49</v>
      </c>
      <c r="N123" s="114" t="n">
        <v>8000</v>
      </c>
      <c r="O123" s="114" t="n">
        <v>1120</v>
      </c>
      <c r="P123" s="114" t="n">
        <v>11920</v>
      </c>
      <c r="Q123" s="114" t="n">
        <v>6801.53</v>
      </c>
      <c r="R123" s="114" t="n">
        <v>5118.47</v>
      </c>
      <c r="S123" s="115" t="n">
        <v>0.570598154362416</v>
      </c>
      <c r="T123" s="65" t="n">
        <v>1.639</v>
      </c>
      <c r="U123" s="65" t="n">
        <v>21</v>
      </c>
      <c r="W123" s="115" t="n">
        <v>0.0408</v>
      </c>
      <c r="X123" s="112" t="n">
        <v>45807</v>
      </c>
      <c r="Y123" s="65" t="str">
        <f aca="false">IF(I123="","No SIC",IFERROR(VLOOKUP(I123,Ref!$A$2:$B$65,2,FALSE()),"Unclassified"))</f>
        <v>Eating &amp; Drinking Places</v>
      </c>
      <c r="Z123" s="65" t="str">
        <f aca="false">IF(T123="","",IF(T123&lt;12,"Daily","Weekly"))</f>
        <v>Daily</v>
      </c>
      <c r="AA123" s="65" t="n">
        <f aca="false">IF(T123="",0,IF(T123&lt;12,T123*Controls!$B$29,T123*5))</f>
        <v>35.492545</v>
      </c>
      <c r="AB123" s="65" t="n">
        <f aca="false">IF(E123="",0,NETWORKDAYS(E123,Controls!$B$36,Ref!$K$2:$K$42))</f>
        <v>311</v>
      </c>
      <c r="AC123" s="65" t="n">
        <f aca="false">IF(AND(AA123&gt;0,AB123&gt;=Controls!$B$39*AA123),1,0)</f>
        <v>1</v>
      </c>
      <c r="AD123" s="65" t="n">
        <f aca="false">IF(AND(E123&lt;&gt;"",E123&gt;=Controls!$B$37,E123&lt;=Controls!$B$38),1,0)</f>
        <v>1</v>
      </c>
      <c r="AE123" s="65" t="n">
        <f aca="false">IF(IFERROR(VLOOKUP(D123,Controls!$A$64:$E$74,2,FALSE()),"No")="Yes",1,0)</f>
        <v>1</v>
      </c>
      <c r="AF123" s="65" t="n">
        <f aca="false">IF(IFERROR(VLOOKUP(D123,Controls!$A$64:$E$74,3,FALSE()),"No")="Yes",1,0)</f>
        <v>0</v>
      </c>
      <c r="AG123" s="65" t="n">
        <f aca="false">IF(IFERROR(VLOOKUP(D123,Controls!$A$64:$E$74,4,FALSE()),"No")="Yes",1,0)</f>
        <v>0</v>
      </c>
      <c r="AH123" s="65" t="n">
        <f aca="false">IF(IFERROR(VLOOKUP(D123,Controls!$A$64:$E$74,5,FALSE()),"No")="Yes",1,0)</f>
        <v>0</v>
      </c>
      <c r="AI123" s="65" t="n">
        <f aca="false">IF(ISNUMBER(MATCH(D123,Controls!$A$64:$A$74,0)),1,0)</f>
        <v>1</v>
      </c>
      <c r="AJ123" s="65" t="n">
        <f aca="false">Q123-N123</f>
        <v>-1198.47</v>
      </c>
      <c r="AK123" s="65" t="n">
        <f aca="false">IF(AE123=1,MAX(0,N123-Q123),0)</f>
        <v>1198.47</v>
      </c>
      <c r="AL123" s="65" t="n">
        <f aca="false">IF(OR(V123="",V123=0),0,N123/V123)</f>
        <v>0</v>
      </c>
      <c r="AM123" s="65" t="n">
        <f aca="false">IF(OR(V123="",V123=0),0,1)</f>
        <v>0</v>
      </c>
      <c r="AN123" s="65" t="n">
        <f aca="false">IF(OR(E123="",F123=""),0,NETWORKDAYS(E123,F123,Ref!$K$2:$K$42))</f>
        <v>56</v>
      </c>
      <c r="AO123" s="65" t="n">
        <f aca="false">IF(L123="Renewal",1,0)</f>
        <v>0</v>
      </c>
      <c r="AP123" s="65" t="n">
        <f aca="false">AC123*AD123</f>
        <v>1</v>
      </c>
      <c r="AQ123" s="65" t="n">
        <f aca="false">IF(AND(G123&lt;&gt;"",'Historical Score'!$C$6&lt;&gt;""),IF(G123='Historical Score'!$C$6,1,0),0)</f>
        <v>0</v>
      </c>
      <c r="AR123" s="65" t="n">
        <f aca="false">IF(AND(L123&lt;&gt;"",'Historical Score'!$C$5&lt;&gt;""),IF(L123='Historical Score'!$C$5,1,0),0)</f>
        <v>1</v>
      </c>
      <c r="AS123" s="65" t="n">
        <f aca="false">IF(AND(Y123&lt;&gt;"",'Historical Score'!$C$7&lt;&gt;""),IF(Y123='Historical Score'!$C$7,1,0),0)</f>
        <v>0</v>
      </c>
      <c r="AT123" s="65" t="n">
        <f aca="false">IF(AND(K123&lt;&gt;"",'Historical Score'!$C$8&lt;&gt;""),IF(K123='Historical Score'!$C$8,1,0),0)</f>
        <v>0</v>
      </c>
      <c r="AU123" s="65" t="n">
        <f aca="false">IF(AND(J123&lt;&gt;"",'Historical Score'!$C$9&lt;&gt;""),IF(J123='Historical Score'!$C$9,1,0),0)</f>
        <v>0</v>
      </c>
      <c r="AV123" s="65" t="n">
        <f aca="false">AR123*AS123*AQ123</f>
        <v>0</v>
      </c>
      <c r="AW123" s="65" t="n">
        <f aca="false">AR123*AT123*AQ123</f>
        <v>0</v>
      </c>
      <c r="AX123" s="65" t="n">
        <f aca="false">AR123*AS123</f>
        <v>0</v>
      </c>
      <c r="AY123" s="65" t="n">
        <f aca="false">AR123*AT123</f>
        <v>0</v>
      </c>
      <c r="AZ123" s="65" t="n">
        <f aca="false">AR123*AQ123</f>
        <v>0</v>
      </c>
      <c r="BA123" s="65" t="n">
        <f aca="false">AR123</f>
        <v>1</v>
      </c>
      <c r="BB123" s="65" t="n">
        <f aca="false">1</f>
        <v>1</v>
      </c>
      <c r="BC123" s="65" t="n">
        <f aca="false">IF(AV123=1,1,IF(AW123=1,2,IF(AX123=1,3,IF(AY123=1,4,IF(AZ123=1,5,IF(BA123=1,6,7))))))</f>
        <v>6</v>
      </c>
      <c r="BD123" s="65" t="n">
        <f aca="false">IF(AD123=1,CHOOSE('Historical Score'!$C$29,AV123,AW123,AX123,AY123,AZ123,BA123,BB123),0)</f>
        <v>0</v>
      </c>
      <c r="BE123" s="65" t="str">
        <f aca="false">IF(BD123=1,COUNTIF($BD$2:BD123,1),"")</f>
        <v/>
      </c>
    </row>
    <row r="124" customFormat="false" ht="15" hidden="false" customHeight="false" outlineLevel="0" collapsed="false">
      <c r="A124" s="65" t="s">
        <v>808</v>
      </c>
      <c r="B124" s="65" t="s">
        <v>809</v>
      </c>
      <c r="C124" s="65" t="s">
        <v>810</v>
      </c>
      <c r="D124" s="65" t="s">
        <v>340</v>
      </c>
      <c r="E124" s="112" t="n">
        <v>45807</v>
      </c>
      <c r="F124" s="112" t="n">
        <v>46034</v>
      </c>
      <c r="G124" s="65" t="n">
        <v>6</v>
      </c>
      <c r="H124" s="65" t="s">
        <v>811</v>
      </c>
      <c r="I124" s="65" t="s">
        <v>419</v>
      </c>
      <c r="J124" s="65" t="s">
        <v>61</v>
      </c>
      <c r="K124" s="65" t="s">
        <v>578</v>
      </c>
      <c r="L124" s="65" t="s">
        <v>64</v>
      </c>
      <c r="M124" s="113" t="n">
        <v>1.38</v>
      </c>
      <c r="N124" s="114" t="n">
        <v>20000</v>
      </c>
      <c r="O124" s="114" t="n">
        <v>2000</v>
      </c>
      <c r="P124" s="114" t="n">
        <v>27600</v>
      </c>
      <c r="Q124" s="114" t="n">
        <v>22425.67</v>
      </c>
      <c r="R124" s="114" t="n">
        <v>5174.33</v>
      </c>
      <c r="S124" s="115" t="n">
        <v>0.812524275362319</v>
      </c>
      <c r="T124" s="65" t="n">
        <v>4.098</v>
      </c>
      <c r="U124" s="65" t="n">
        <v>8</v>
      </c>
      <c r="W124" s="115" t="n">
        <v>0.1443</v>
      </c>
      <c r="X124" s="112" t="n">
        <v>45807</v>
      </c>
      <c r="Y124" s="65" t="str">
        <f aca="false">IF(I124="","No SIC",IFERROR(VLOOKUP(I124,Ref!$A$2:$B$65,2,FALSE()),"Unclassified"))</f>
        <v>Business Services</v>
      </c>
      <c r="Z124" s="65" t="str">
        <f aca="false">IF(T124="","",IF(T124&lt;12,"Daily","Weekly"))</f>
        <v>Daily</v>
      </c>
      <c r="AA124" s="65" t="n">
        <f aca="false">IF(T124="",0,IF(T124&lt;12,T124*Controls!$B$29,T124*5))</f>
        <v>88.74219</v>
      </c>
      <c r="AB124" s="65" t="n">
        <f aca="false">IF(E124="",0,NETWORKDAYS(E124,Controls!$B$36,Ref!$K$2:$K$42))</f>
        <v>311</v>
      </c>
      <c r="AC124" s="65" t="n">
        <f aca="false">IF(AND(AA124&gt;0,AB124&gt;=Controls!$B$39*AA124),1,0)</f>
        <v>1</v>
      </c>
      <c r="AD124" s="65" t="n">
        <f aca="false">IF(AND(E124&lt;&gt;"",E124&gt;=Controls!$B$37,E124&lt;=Controls!$B$38),1,0)</f>
        <v>1</v>
      </c>
      <c r="AE124" s="65" t="n">
        <f aca="false">IF(IFERROR(VLOOKUP(D124,Controls!$A$64:$E$74,2,FALSE()),"No")="Yes",1,0)</f>
        <v>1</v>
      </c>
      <c r="AF124" s="65" t="n">
        <f aca="false">IF(IFERROR(VLOOKUP(D124,Controls!$A$64:$E$74,3,FALSE()),"No")="Yes",1,0)</f>
        <v>0</v>
      </c>
      <c r="AG124" s="65" t="n">
        <f aca="false">IF(IFERROR(VLOOKUP(D124,Controls!$A$64:$E$74,4,FALSE()),"No")="Yes",1,0)</f>
        <v>0</v>
      </c>
      <c r="AH124" s="65" t="n">
        <f aca="false">IF(IFERROR(VLOOKUP(D124,Controls!$A$64:$E$74,5,FALSE()),"No")="Yes",1,0)</f>
        <v>0</v>
      </c>
      <c r="AI124" s="65" t="n">
        <f aca="false">IF(ISNUMBER(MATCH(D124,Controls!$A$64:$A$74,0)),1,0)</f>
        <v>1</v>
      </c>
      <c r="AJ124" s="65" t="n">
        <f aca="false">Q124-N124</f>
        <v>2425.67</v>
      </c>
      <c r="AK124" s="65" t="n">
        <f aca="false">IF(AE124=1,MAX(0,N124-Q124),0)</f>
        <v>0</v>
      </c>
      <c r="AL124" s="65" t="n">
        <f aca="false">IF(OR(V124="",V124=0),0,N124/V124)</f>
        <v>0</v>
      </c>
      <c r="AM124" s="65" t="n">
        <f aca="false">IF(OR(V124="",V124=0),0,1)</f>
        <v>0</v>
      </c>
      <c r="AN124" s="65" t="n">
        <f aca="false">IF(OR(E124="",F124=""),0,NETWORKDAYS(E124,F124,Ref!$K$2:$K$42))</f>
        <v>154</v>
      </c>
      <c r="AO124" s="65" t="n">
        <f aca="false">IF(L124="Renewal",1,0)</f>
        <v>0</v>
      </c>
      <c r="AP124" s="65" t="n">
        <f aca="false">AC124*AD124</f>
        <v>1</v>
      </c>
      <c r="AQ124" s="65" t="n">
        <f aca="false">IF(AND(G124&lt;&gt;"",'Historical Score'!$C$6&lt;&gt;""),IF(G124='Historical Score'!$C$6,1,0),0)</f>
        <v>0</v>
      </c>
      <c r="AR124" s="65" t="n">
        <f aca="false">IF(AND(L124&lt;&gt;"",'Historical Score'!$C$5&lt;&gt;""),IF(L124='Historical Score'!$C$5,1,0),0)</f>
        <v>1</v>
      </c>
      <c r="AS124" s="65" t="n">
        <f aca="false">IF(AND(Y124&lt;&gt;"",'Historical Score'!$C$7&lt;&gt;""),IF(Y124='Historical Score'!$C$7,1,0),0)</f>
        <v>0</v>
      </c>
      <c r="AT124" s="65" t="n">
        <f aca="false">IF(AND(K124&lt;&gt;"",'Historical Score'!$C$8&lt;&gt;""),IF(K124='Historical Score'!$C$8,1,0),0)</f>
        <v>0</v>
      </c>
      <c r="AU124" s="65" t="n">
        <f aca="false">IF(AND(J124&lt;&gt;"",'Historical Score'!$C$9&lt;&gt;""),IF(J124='Historical Score'!$C$9,1,0),0)</f>
        <v>1</v>
      </c>
      <c r="AV124" s="65" t="n">
        <f aca="false">AR124*AS124*AQ124</f>
        <v>0</v>
      </c>
      <c r="AW124" s="65" t="n">
        <f aca="false">AR124*AT124*AQ124</f>
        <v>0</v>
      </c>
      <c r="AX124" s="65" t="n">
        <f aca="false">AR124*AS124</f>
        <v>0</v>
      </c>
      <c r="AY124" s="65" t="n">
        <f aca="false">AR124*AT124</f>
        <v>0</v>
      </c>
      <c r="AZ124" s="65" t="n">
        <f aca="false">AR124*AQ124</f>
        <v>0</v>
      </c>
      <c r="BA124" s="65" t="n">
        <f aca="false">AR124</f>
        <v>1</v>
      </c>
      <c r="BB124" s="65" t="n">
        <f aca="false">1</f>
        <v>1</v>
      </c>
      <c r="BC124" s="65" t="n">
        <f aca="false">IF(AV124=1,1,IF(AW124=1,2,IF(AX124=1,3,IF(AY124=1,4,IF(AZ124=1,5,IF(BA124=1,6,7))))))</f>
        <v>6</v>
      </c>
      <c r="BD124" s="65" t="n">
        <f aca="false">IF(AD124=1,CHOOSE('Historical Score'!$C$29,AV124,AW124,AX124,AY124,AZ124,BA124,BB124),0)</f>
        <v>0</v>
      </c>
      <c r="BE124" s="65" t="str">
        <f aca="false">IF(BD124=1,COUNTIF($BD$2:BD124,1),"")</f>
        <v/>
      </c>
    </row>
    <row r="125" customFormat="false" ht="15" hidden="false" customHeight="false" outlineLevel="0" collapsed="false">
      <c r="A125" s="65" t="s">
        <v>812</v>
      </c>
      <c r="B125" s="65" t="s">
        <v>813</v>
      </c>
      <c r="C125" s="65" t="s">
        <v>814</v>
      </c>
      <c r="D125" s="65" t="s">
        <v>371</v>
      </c>
      <c r="E125" s="112" t="n">
        <v>45812</v>
      </c>
      <c r="F125" s="112" t="n">
        <v>45996</v>
      </c>
      <c r="G125" s="65" t="n">
        <v>1</v>
      </c>
      <c r="H125" s="65" t="s">
        <v>815</v>
      </c>
      <c r="I125" s="65" t="s">
        <v>816</v>
      </c>
      <c r="J125" s="65" t="s">
        <v>772</v>
      </c>
      <c r="K125" s="65" t="s">
        <v>433</v>
      </c>
      <c r="L125" s="65" t="s">
        <v>64</v>
      </c>
      <c r="M125" s="113" t="n">
        <v>1.31</v>
      </c>
      <c r="N125" s="114" t="n">
        <v>75000</v>
      </c>
      <c r="O125" s="114" t="n">
        <v>3000</v>
      </c>
      <c r="P125" s="114" t="n">
        <v>98250</v>
      </c>
      <c r="Q125" s="114" t="n">
        <v>98250</v>
      </c>
      <c r="R125" s="114" t="n">
        <v>0</v>
      </c>
      <c r="S125" s="115" t="n">
        <v>1</v>
      </c>
      <c r="T125" s="65" t="n">
        <v>32</v>
      </c>
      <c r="U125" s="65" t="n">
        <v>0</v>
      </c>
      <c r="W125" s="115" t="n">
        <v>0.0567</v>
      </c>
      <c r="X125" s="112" t="n">
        <v>38777</v>
      </c>
      <c r="Y125" s="65" t="str">
        <f aca="false">IF(I125="","No SIC",IFERROR(VLOOKUP(I125,Ref!$A$2:$B$65,2,FALSE()),"Unclassified"))</f>
        <v>Local &amp; Interurban Passenger Transit</v>
      </c>
      <c r="Z125" s="65" t="str">
        <f aca="false">IF(T125="","",IF(T125&lt;12,"Daily","Weekly"))</f>
        <v>Weekly</v>
      </c>
      <c r="AA125" s="65" t="n">
        <f aca="false">IF(T125="",0,IF(T125&lt;12,T125*Controls!$B$29,T125*5))</f>
        <v>160</v>
      </c>
      <c r="AB125" s="65" t="n">
        <f aca="false">IF(E125="",0,NETWORKDAYS(E125,Controls!$B$36,Ref!$K$2:$K$42))</f>
        <v>308</v>
      </c>
      <c r="AC125" s="65" t="n">
        <f aca="false">IF(AND(AA125&gt;0,AB125&gt;=Controls!$B$39*AA125),1,0)</f>
        <v>1</v>
      </c>
      <c r="AD125" s="65" t="n">
        <f aca="false">IF(AND(E125&lt;&gt;"",E125&gt;=Controls!$B$37,E125&lt;=Controls!$B$38),1,0)</f>
        <v>1</v>
      </c>
      <c r="AE125" s="65" t="n">
        <f aca="false">IF(IFERROR(VLOOKUP(D125,Controls!$A$64:$E$74,2,FALSE()),"No")="Yes",1,0)</f>
        <v>0</v>
      </c>
      <c r="AF125" s="65" t="n">
        <f aca="false">IF(IFERROR(VLOOKUP(D125,Controls!$A$64:$E$74,3,FALSE()),"No")="Yes",1,0)</f>
        <v>1</v>
      </c>
      <c r="AG125" s="65" t="n">
        <f aca="false">IF(IFERROR(VLOOKUP(D125,Controls!$A$64:$E$74,4,FALSE()),"No")="Yes",1,0)</f>
        <v>1</v>
      </c>
      <c r="AH125" s="65" t="n">
        <f aca="false">IF(IFERROR(VLOOKUP(D125,Controls!$A$64:$E$74,5,FALSE()),"No")="Yes",1,0)</f>
        <v>0</v>
      </c>
      <c r="AI125" s="65" t="n">
        <f aca="false">IF(ISNUMBER(MATCH(D125,Controls!$A$64:$A$74,0)),1,0)</f>
        <v>1</v>
      </c>
      <c r="AJ125" s="65" t="n">
        <f aca="false">Q125-N125</f>
        <v>23250</v>
      </c>
      <c r="AK125" s="65" t="n">
        <f aca="false">IF(AE125=1,MAX(0,N125-Q125),0)</f>
        <v>0</v>
      </c>
      <c r="AL125" s="65" t="n">
        <f aca="false">IF(OR(V125="",V125=0),0,N125/V125)</f>
        <v>0</v>
      </c>
      <c r="AM125" s="65" t="n">
        <f aca="false">IF(OR(V125="",V125=0),0,1)</f>
        <v>0</v>
      </c>
      <c r="AN125" s="65" t="n">
        <f aca="false">IF(OR(E125="",F125=""),0,NETWORKDAYS(E125,F125,Ref!$K$2:$K$42))</f>
        <v>127</v>
      </c>
      <c r="AO125" s="65" t="n">
        <f aca="false">IF(L125="Renewal",1,0)</f>
        <v>0</v>
      </c>
      <c r="AP125" s="65" t="n">
        <f aca="false">AC125*AD125</f>
        <v>1</v>
      </c>
      <c r="AQ125" s="65" t="n">
        <f aca="false">IF(AND(G125&lt;&gt;"",'Historical Score'!$C$6&lt;&gt;""),IF(G125='Historical Score'!$C$6,1,0),0)</f>
        <v>0</v>
      </c>
      <c r="AR125" s="65" t="n">
        <f aca="false">IF(AND(L125&lt;&gt;"",'Historical Score'!$C$5&lt;&gt;""),IF(L125='Historical Score'!$C$5,1,0),0)</f>
        <v>1</v>
      </c>
      <c r="AS125" s="65" t="n">
        <f aca="false">IF(AND(Y125&lt;&gt;"",'Historical Score'!$C$7&lt;&gt;""),IF(Y125='Historical Score'!$C$7,1,0),0)</f>
        <v>0</v>
      </c>
      <c r="AT125" s="65" t="n">
        <f aca="false">IF(AND(K125&lt;&gt;"",'Historical Score'!$C$8&lt;&gt;""),IF(K125='Historical Score'!$C$8,1,0),0)</f>
        <v>0</v>
      </c>
      <c r="AU125" s="65" t="n">
        <f aca="false">IF(AND(J125&lt;&gt;"",'Historical Score'!$C$9&lt;&gt;""),IF(J125='Historical Score'!$C$9,1,0),0)</f>
        <v>0</v>
      </c>
      <c r="AV125" s="65" t="n">
        <f aca="false">AR125*AS125*AQ125</f>
        <v>0</v>
      </c>
      <c r="AW125" s="65" t="n">
        <f aca="false">AR125*AT125*AQ125</f>
        <v>0</v>
      </c>
      <c r="AX125" s="65" t="n">
        <f aca="false">AR125*AS125</f>
        <v>0</v>
      </c>
      <c r="AY125" s="65" t="n">
        <f aca="false">AR125*AT125</f>
        <v>0</v>
      </c>
      <c r="AZ125" s="65" t="n">
        <f aca="false">AR125*AQ125</f>
        <v>0</v>
      </c>
      <c r="BA125" s="65" t="n">
        <f aca="false">AR125</f>
        <v>1</v>
      </c>
      <c r="BB125" s="65" t="n">
        <f aca="false">1</f>
        <v>1</v>
      </c>
      <c r="BC125" s="65" t="n">
        <f aca="false">IF(AV125=1,1,IF(AW125=1,2,IF(AX125=1,3,IF(AY125=1,4,IF(AZ125=1,5,IF(BA125=1,6,7))))))</f>
        <v>6</v>
      </c>
      <c r="BD125" s="65" t="n">
        <f aca="false">IF(AD125=1,CHOOSE('Historical Score'!$C$29,AV125,AW125,AX125,AY125,AZ125,BA125,BB125),0)</f>
        <v>0</v>
      </c>
      <c r="BE125" s="65" t="str">
        <f aca="false">IF(BD125=1,COUNTIF($BD$2:BD125,1),"")</f>
        <v/>
      </c>
    </row>
    <row r="126" customFormat="false" ht="15" hidden="false" customHeight="false" outlineLevel="0" collapsed="false">
      <c r="A126" s="65" t="s">
        <v>817</v>
      </c>
      <c r="B126" s="65" t="s">
        <v>818</v>
      </c>
      <c r="C126" s="65" t="s">
        <v>819</v>
      </c>
      <c r="D126" s="65" t="s">
        <v>340</v>
      </c>
      <c r="E126" s="112" t="n">
        <v>45813</v>
      </c>
      <c r="F126" s="112" t="n">
        <v>45926</v>
      </c>
      <c r="G126" s="65" t="n">
        <v>1</v>
      </c>
      <c r="H126" s="65" t="s">
        <v>483</v>
      </c>
      <c r="I126" s="65" t="s">
        <v>484</v>
      </c>
      <c r="J126" s="65" t="s">
        <v>452</v>
      </c>
      <c r="K126" s="65" t="s">
        <v>543</v>
      </c>
      <c r="L126" s="65" t="s">
        <v>320</v>
      </c>
      <c r="M126" s="113" t="n">
        <v>1.49</v>
      </c>
      <c r="N126" s="114" t="n">
        <v>16500</v>
      </c>
      <c r="O126" s="114" t="n">
        <v>2310</v>
      </c>
      <c r="P126" s="114" t="n">
        <v>24585</v>
      </c>
      <c r="Q126" s="114" t="n">
        <v>4038.1</v>
      </c>
      <c r="R126" s="114" t="n">
        <v>20546.9</v>
      </c>
      <c r="S126" s="115" t="n">
        <v>0.164250559284116</v>
      </c>
      <c r="T126" s="65" t="n">
        <v>3.279</v>
      </c>
      <c r="U126" s="65" t="n">
        <v>40</v>
      </c>
      <c r="W126" s="115" t="n">
        <v>0.1619</v>
      </c>
      <c r="X126" s="112" t="n">
        <v>45813</v>
      </c>
      <c r="Y126" s="65" t="str">
        <f aca="false">IF(I126="","No SIC",IFERROR(VLOOKUP(I126,Ref!$A$2:$B$65,2,FALSE()),"Unclassified"))</f>
        <v>Special Trade Contractors</v>
      </c>
      <c r="Z126" s="65" t="str">
        <f aca="false">IF(T126="","",IF(T126&lt;12,"Daily","Weekly"))</f>
        <v>Daily</v>
      </c>
      <c r="AA126" s="65" t="n">
        <f aca="false">IF(T126="",0,IF(T126&lt;12,T126*Controls!$B$29,T126*5))</f>
        <v>71.006745</v>
      </c>
      <c r="AB126" s="65" t="n">
        <f aca="false">IF(E126="",0,NETWORKDAYS(E126,Controls!$B$36,Ref!$K$2:$K$42))</f>
        <v>307</v>
      </c>
      <c r="AC126" s="65" t="n">
        <f aca="false">IF(AND(AA126&gt;0,AB126&gt;=Controls!$B$39*AA126),1,0)</f>
        <v>1</v>
      </c>
      <c r="AD126" s="65" t="n">
        <f aca="false">IF(AND(E126&lt;&gt;"",E126&gt;=Controls!$B$37,E126&lt;=Controls!$B$38),1,0)</f>
        <v>1</v>
      </c>
      <c r="AE126" s="65" t="n">
        <f aca="false">IF(IFERROR(VLOOKUP(D126,Controls!$A$64:$E$74,2,FALSE()),"No")="Yes",1,0)</f>
        <v>1</v>
      </c>
      <c r="AF126" s="65" t="n">
        <f aca="false">IF(IFERROR(VLOOKUP(D126,Controls!$A$64:$E$74,3,FALSE()),"No")="Yes",1,0)</f>
        <v>0</v>
      </c>
      <c r="AG126" s="65" t="n">
        <f aca="false">IF(IFERROR(VLOOKUP(D126,Controls!$A$64:$E$74,4,FALSE()),"No")="Yes",1,0)</f>
        <v>0</v>
      </c>
      <c r="AH126" s="65" t="n">
        <f aca="false">IF(IFERROR(VLOOKUP(D126,Controls!$A$64:$E$74,5,FALSE()),"No")="Yes",1,0)</f>
        <v>0</v>
      </c>
      <c r="AI126" s="65" t="n">
        <f aca="false">IF(ISNUMBER(MATCH(D126,Controls!$A$64:$A$74,0)),1,0)</f>
        <v>1</v>
      </c>
      <c r="AJ126" s="65" t="n">
        <f aca="false">Q126-N126</f>
        <v>-12461.9</v>
      </c>
      <c r="AK126" s="65" t="n">
        <f aca="false">IF(AE126=1,MAX(0,N126-Q126),0)</f>
        <v>12461.9</v>
      </c>
      <c r="AL126" s="65" t="n">
        <f aca="false">IF(OR(V126="",V126=0),0,N126/V126)</f>
        <v>0</v>
      </c>
      <c r="AM126" s="65" t="n">
        <f aca="false">IF(OR(V126="",V126=0),0,1)</f>
        <v>0</v>
      </c>
      <c r="AN126" s="65" t="n">
        <f aca="false">IF(OR(E126="",F126=""),0,NETWORKDAYS(E126,F126,Ref!$K$2:$K$42))</f>
        <v>79</v>
      </c>
      <c r="AO126" s="65" t="n">
        <f aca="false">IF(L126="Renewal",1,0)</f>
        <v>1</v>
      </c>
      <c r="AP126" s="65" t="n">
        <f aca="false">AC126*AD126</f>
        <v>1</v>
      </c>
      <c r="AQ126" s="65" t="n">
        <f aca="false">IF(AND(G126&lt;&gt;"",'Historical Score'!$C$6&lt;&gt;""),IF(G126='Historical Score'!$C$6,1,0),0)</f>
        <v>0</v>
      </c>
      <c r="AR126" s="65" t="n">
        <f aca="false">IF(AND(L126&lt;&gt;"",'Historical Score'!$C$5&lt;&gt;""),IF(L126='Historical Score'!$C$5,1,0),0)</f>
        <v>0</v>
      </c>
      <c r="AS126" s="65" t="n">
        <f aca="false">IF(AND(Y126&lt;&gt;"",'Historical Score'!$C$7&lt;&gt;""),IF(Y126='Historical Score'!$C$7,1,0),0)</f>
        <v>0</v>
      </c>
      <c r="AT126" s="65" t="n">
        <f aca="false">IF(AND(K126&lt;&gt;"",'Historical Score'!$C$8&lt;&gt;""),IF(K126='Historical Score'!$C$8,1,0),0)</f>
        <v>0</v>
      </c>
      <c r="AU126" s="65" t="n">
        <f aca="false">IF(AND(J126&lt;&gt;"",'Historical Score'!$C$9&lt;&gt;""),IF(J126='Historical Score'!$C$9,1,0),0)</f>
        <v>0</v>
      </c>
      <c r="AV126" s="65" t="n">
        <f aca="false">AR126*AS126*AQ126</f>
        <v>0</v>
      </c>
      <c r="AW126" s="65" t="n">
        <f aca="false">AR126*AT126*AQ126</f>
        <v>0</v>
      </c>
      <c r="AX126" s="65" t="n">
        <f aca="false">AR126*AS126</f>
        <v>0</v>
      </c>
      <c r="AY126" s="65" t="n">
        <f aca="false">AR126*AT126</f>
        <v>0</v>
      </c>
      <c r="AZ126" s="65" t="n">
        <f aca="false">AR126*AQ126</f>
        <v>0</v>
      </c>
      <c r="BA126" s="65" t="n">
        <f aca="false">AR126</f>
        <v>0</v>
      </c>
      <c r="BB126" s="65" t="n">
        <f aca="false">1</f>
        <v>1</v>
      </c>
      <c r="BC126" s="65" t="n">
        <f aca="false">IF(AV126=1,1,IF(AW126=1,2,IF(AX126=1,3,IF(AY126=1,4,IF(AZ126=1,5,IF(BA126=1,6,7))))))</f>
        <v>7</v>
      </c>
      <c r="BD126" s="65" t="n">
        <f aca="false">IF(AD126=1,CHOOSE('Historical Score'!$C$29,AV126,AW126,AX126,AY126,AZ126,BA126,BB126),0)</f>
        <v>0</v>
      </c>
      <c r="BE126" s="65" t="str">
        <f aca="false">IF(BD126=1,COUNTIF($BD$2:BD126,1),"")</f>
        <v/>
      </c>
    </row>
    <row r="127" customFormat="false" ht="15" hidden="false" customHeight="false" outlineLevel="0" collapsed="false">
      <c r="A127" s="65" t="s">
        <v>820</v>
      </c>
      <c r="B127" s="65" t="s">
        <v>821</v>
      </c>
      <c r="C127" s="65" t="s">
        <v>821</v>
      </c>
      <c r="D127" s="65" t="s">
        <v>347</v>
      </c>
      <c r="E127" s="112" t="n">
        <v>45817</v>
      </c>
      <c r="F127" s="112" t="n">
        <v>45835</v>
      </c>
      <c r="G127" s="65" t="n">
        <v>2</v>
      </c>
      <c r="H127" s="65" t="s">
        <v>479</v>
      </c>
      <c r="I127" s="65" t="s">
        <v>356</v>
      </c>
      <c r="J127" s="65" t="s">
        <v>470</v>
      </c>
      <c r="K127" s="65" t="s">
        <v>822</v>
      </c>
      <c r="L127" s="65" t="s">
        <v>64</v>
      </c>
      <c r="M127" s="113" t="n">
        <v>1.5</v>
      </c>
      <c r="N127" s="114" t="n">
        <v>8000</v>
      </c>
      <c r="O127" s="114" t="n">
        <v>0</v>
      </c>
      <c r="P127" s="114" t="n">
        <v>12000</v>
      </c>
      <c r="Q127" s="114" t="n">
        <v>599.76</v>
      </c>
      <c r="R127" s="114" t="n">
        <v>11400.24</v>
      </c>
      <c r="S127" s="115" t="n">
        <v>0.04998</v>
      </c>
      <c r="T127" s="65" t="n">
        <v>2.623</v>
      </c>
      <c r="U127" s="65" t="n">
        <v>3</v>
      </c>
      <c r="W127" s="115" t="n">
        <v>0.0624</v>
      </c>
      <c r="X127" s="112" t="n">
        <v>45817</v>
      </c>
      <c r="Y127" s="65" t="str">
        <f aca="false">IF(I127="","No SIC",IFERROR(VLOOKUP(I127,Ref!$A$2:$B$65,2,FALSE()),"Unclassified"))</f>
        <v>Trucking &amp; Warehousing</v>
      </c>
      <c r="Z127" s="65" t="str">
        <f aca="false">IF(T127="","",IF(T127&lt;12,"Daily","Weekly"))</f>
        <v>Daily</v>
      </c>
      <c r="AA127" s="65" t="n">
        <f aca="false">IF(T127="",0,IF(T127&lt;12,T127*Controls!$B$29,T127*5))</f>
        <v>56.801065</v>
      </c>
      <c r="AB127" s="65" t="n">
        <f aca="false">IF(E127="",0,NETWORKDAYS(E127,Controls!$B$36,Ref!$K$2:$K$42))</f>
        <v>305</v>
      </c>
      <c r="AC127" s="65" t="n">
        <f aca="false">IF(AND(AA127&gt;0,AB127&gt;=Controls!$B$39*AA127),1,0)</f>
        <v>1</v>
      </c>
      <c r="AD127" s="65" t="n">
        <f aca="false">IF(AND(E127&lt;&gt;"",E127&gt;=Controls!$B$37,E127&lt;=Controls!$B$38),1,0)</f>
        <v>1</v>
      </c>
      <c r="AE127" s="65" t="n">
        <f aca="false">IF(IFERROR(VLOOKUP(D127,Controls!$A$64:$E$74,2,FALSE()),"No")="Yes",1,0)</f>
        <v>1</v>
      </c>
      <c r="AF127" s="65" t="n">
        <f aca="false">IF(IFERROR(VLOOKUP(D127,Controls!$A$64:$E$74,3,FALSE()),"No")="Yes",1,0)</f>
        <v>1</v>
      </c>
      <c r="AG127" s="65" t="n">
        <f aca="false">IF(IFERROR(VLOOKUP(D127,Controls!$A$64:$E$74,4,FALSE()),"No")="Yes",1,0)</f>
        <v>0</v>
      </c>
      <c r="AH127" s="65" t="n">
        <f aca="false">IF(IFERROR(VLOOKUP(D127,Controls!$A$64:$E$74,5,FALSE()),"No")="Yes",1,0)</f>
        <v>0</v>
      </c>
      <c r="AI127" s="65" t="n">
        <f aca="false">IF(ISNUMBER(MATCH(D127,Controls!$A$64:$A$74,0)),1,0)</f>
        <v>1</v>
      </c>
      <c r="AJ127" s="65" t="n">
        <f aca="false">Q127-N127</f>
        <v>-7400.24</v>
      </c>
      <c r="AK127" s="65" t="n">
        <f aca="false">IF(AE127=1,MAX(0,N127-Q127),0)</f>
        <v>7400.24</v>
      </c>
      <c r="AL127" s="65" t="n">
        <f aca="false">IF(OR(V127="",V127=0),0,N127/V127)</f>
        <v>0</v>
      </c>
      <c r="AM127" s="65" t="n">
        <f aca="false">IF(OR(V127="",V127=0),0,1)</f>
        <v>0</v>
      </c>
      <c r="AN127" s="65" t="n">
        <f aca="false">IF(OR(E127="",F127=""),0,NETWORKDAYS(E127,F127,Ref!$K$2:$K$42))</f>
        <v>14</v>
      </c>
      <c r="AO127" s="65" t="n">
        <f aca="false">IF(L127="Renewal",1,0)</f>
        <v>0</v>
      </c>
      <c r="AP127" s="65" t="n">
        <f aca="false">AC127*AD127</f>
        <v>1</v>
      </c>
      <c r="AQ127" s="65" t="n">
        <f aca="false">IF(AND(G127&lt;&gt;"",'Historical Score'!$C$6&lt;&gt;""),IF(G127='Historical Score'!$C$6,1,0),0)</f>
        <v>1</v>
      </c>
      <c r="AR127" s="65" t="n">
        <f aca="false">IF(AND(L127&lt;&gt;"",'Historical Score'!$C$5&lt;&gt;""),IF(L127='Historical Score'!$C$5,1,0),0)</f>
        <v>1</v>
      </c>
      <c r="AS127" s="65" t="n">
        <f aca="false">IF(AND(Y127&lt;&gt;"",'Historical Score'!$C$7&lt;&gt;""),IF(Y127='Historical Score'!$C$7,1,0),0)</f>
        <v>0</v>
      </c>
      <c r="AT127" s="65" t="n">
        <f aca="false">IF(AND(K127&lt;&gt;"",'Historical Score'!$C$8&lt;&gt;""),IF(K127='Historical Score'!$C$8,1,0),0)</f>
        <v>0</v>
      </c>
      <c r="AU127" s="65" t="n">
        <f aca="false">IF(AND(J127&lt;&gt;"",'Historical Score'!$C$9&lt;&gt;""),IF(J127='Historical Score'!$C$9,1,0),0)</f>
        <v>0</v>
      </c>
      <c r="AV127" s="65" t="n">
        <f aca="false">AR127*AS127*AQ127</f>
        <v>0</v>
      </c>
      <c r="AW127" s="65" t="n">
        <f aca="false">AR127*AT127*AQ127</f>
        <v>0</v>
      </c>
      <c r="AX127" s="65" t="n">
        <f aca="false">AR127*AS127</f>
        <v>0</v>
      </c>
      <c r="AY127" s="65" t="n">
        <f aca="false">AR127*AT127</f>
        <v>0</v>
      </c>
      <c r="AZ127" s="65" t="n">
        <f aca="false">AR127*AQ127</f>
        <v>1</v>
      </c>
      <c r="BA127" s="65" t="n">
        <f aca="false">AR127</f>
        <v>1</v>
      </c>
      <c r="BB127" s="65" t="n">
        <f aca="false">1</f>
        <v>1</v>
      </c>
      <c r="BC127" s="65" t="n">
        <f aca="false">IF(AV127=1,1,IF(AW127=1,2,IF(AX127=1,3,IF(AY127=1,4,IF(AZ127=1,5,IF(BA127=1,6,7))))))</f>
        <v>5</v>
      </c>
      <c r="BD127" s="65" t="n">
        <f aca="false">IF(AD127=1,CHOOSE('Historical Score'!$C$29,AV127,AW127,AX127,AY127,AZ127,BA127,BB127),0)</f>
        <v>0</v>
      </c>
      <c r="BE127" s="65" t="str">
        <f aca="false">IF(BD127=1,COUNTIF($BD$2:BD127,1),"")</f>
        <v/>
      </c>
    </row>
    <row r="128" customFormat="false" ht="15" hidden="false" customHeight="false" outlineLevel="0" collapsed="false">
      <c r="A128" s="65" t="s">
        <v>823</v>
      </c>
      <c r="B128" s="65" t="s">
        <v>824</v>
      </c>
      <c r="C128" s="65" t="s">
        <v>825</v>
      </c>
      <c r="D128" s="65" t="s">
        <v>371</v>
      </c>
      <c r="E128" s="112" t="n">
        <v>45817</v>
      </c>
      <c r="F128" s="112" t="n">
        <v>46024</v>
      </c>
      <c r="G128" s="65" t="n">
        <v>1</v>
      </c>
      <c r="H128" s="65" t="s">
        <v>826</v>
      </c>
      <c r="I128" s="65" t="s">
        <v>484</v>
      </c>
      <c r="J128" s="65" t="s">
        <v>452</v>
      </c>
      <c r="K128" s="65" t="s">
        <v>827</v>
      </c>
      <c r="L128" s="65" t="s">
        <v>64</v>
      </c>
      <c r="M128" s="113" t="n">
        <v>1.45</v>
      </c>
      <c r="N128" s="114" t="n">
        <v>40000</v>
      </c>
      <c r="O128" s="114" t="n">
        <v>4800</v>
      </c>
      <c r="P128" s="114" t="n">
        <v>58000</v>
      </c>
      <c r="Q128" s="114" t="n">
        <v>58000</v>
      </c>
      <c r="R128" s="114" t="n">
        <v>0</v>
      </c>
      <c r="S128" s="115" t="n">
        <v>1</v>
      </c>
      <c r="T128" s="65" t="n">
        <v>30</v>
      </c>
      <c r="U128" s="65" t="n">
        <v>0</v>
      </c>
      <c r="W128" s="115" t="n">
        <v>0.073</v>
      </c>
      <c r="X128" s="112" t="n">
        <v>45817</v>
      </c>
      <c r="Y128" s="65" t="str">
        <f aca="false">IF(I128="","No SIC",IFERROR(VLOOKUP(I128,Ref!$A$2:$B$65,2,FALSE()),"Unclassified"))</f>
        <v>Special Trade Contractors</v>
      </c>
      <c r="Z128" s="65" t="str">
        <f aca="false">IF(T128="","",IF(T128&lt;12,"Daily","Weekly"))</f>
        <v>Weekly</v>
      </c>
      <c r="AA128" s="65" t="n">
        <f aca="false">IF(T128="",0,IF(T128&lt;12,T128*Controls!$B$29,T128*5))</f>
        <v>150</v>
      </c>
      <c r="AB128" s="65" t="n">
        <f aca="false">IF(E128="",0,NETWORKDAYS(E128,Controls!$B$36,Ref!$K$2:$K$42))</f>
        <v>305</v>
      </c>
      <c r="AC128" s="65" t="n">
        <f aca="false">IF(AND(AA128&gt;0,AB128&gt;=Controls!$B$39*AA128),1,0)</f>
        <v>1</v>
      </c>
      <c r="AD128" s="65" t="n">
        <f aca="false">IF(AND(E128&lt;&gt;"",E128&gt;=Controls!$B$37,E128&lt;=Controls!$B$38),1,0)</f>
        <v>1</v>
      </c>
      <c r="AE128" s="65" t="n">
        <f aca="false">IF(IFERROR(VLOOKUP(D128,Controls!$A$64:$E$74,2,FALSE()),"No")="Yes",1,0)</f>
        <v>0</v>
      </c>
      <c r="AF128" s="65" t="n">
        <f aca="false">IF(IFERROR(VLOOKUP(D128,Controls!$A$64:$E$74,3,FALSE()),"No")="Yes",1,0)</f>
        <v>1</v>
      </c>
      <c r="AG128" s="65" t="n">
        <f aca="false">IF(IFERROR(VLOOKUP(D128,Controls!$A$64:$E$74,4,FALSE()),"No")="Yes",1,0)</f>
        <v>1</v>
      </c>
      <c r="AH128" s="65" t="n">
        <f aca="false">IF(IFERROR(VLOOKUP(D128,Controls!$A$64:$E$74,5,FALSE()),"No")="Yes",1,0)</f>
        <v>0</v>
      </c>
      <c r="AI128" s="65" t="n">
        <f aca="false">IF(ISNUMBER(MATCH(D128,Controls!$A$64:$A$74,0)),1,0)</f>
        <v>1</v>
      </c>
      <c r="AJ128" s="65" t="n">
        <f aca="false">Q128-N128</f>
        <v>18000</v>
      </c>
      <c r="AK128" s="65" t="n">
        <f aca="false">IF(AE128=1,MAX(0,N128-Q128),0)</f>
        <v>0</v>
      </c>
      <c r="AL128" s="65" t="n">
        <f aca="false">IF(OR(V128="",V128=0),0,N128/V128)</f>
        <v>0</v>
      </c>
      <c r="AM128" s="65" t="n">
        <f aca="false">IF(OR(V128="",V128=0),0,1)</f>
        <v>0</v>
      </c>
      <c r="AN128" s="65" t="n">
        <f aca="false">IF(OR(E128="",F128=""),0,NETWORKDAYS(E128,F128,Ref!$K$2:$K$42))</f>
        <v>142</v>
      </c>
      <c r="AO128" s="65" t="n">
        <f aca="false">IF(L128="Renewal",1,0)</f>
        <v>0</v>
      </c>
      <c r="AP128" s="65" t="n">
        <f aca="false">AC128*AD128</f>
        <v>1</v>
      </c>
      <c r="AQ128" s="65" t="n">
        <f aca="false">IF(AND(G128&lt;&gt;"",'Historical Score'!$C$6&lt;&gt;""),IF(G128='Historical Score'!$C$6,1,0),0)</f>
        <v>0</v>
      </c>
      <c r="AR128" s="65" t="n">
        <f aca="false">IF(AND(L128&lt;&gt;"",'Historical Score'!$C$5&lt;&gt;""),IF(L128='Historical Score'!$C$5,1,0),0)</f>
        <v>1</v>
      </c>
      <c r="AS128" s="65" t="n">
        <f aca="false">IF(AND(Y128&lt;&gt;"",'Historical Score'!$C$7&lt;&gt;""),IF(Y128='Historical Score'!$C$7,1,0),0)</f>
        <v>0</v>
      </c>
      <c r="AT128" s="65" t="n">
        <f aca="false">IF(AND(K128&lt;&gt;"",'Historical Score'!$C$8&lt;&gt;""),IF(K128='Historical Score'!$C$8,1,0),0)</f>
        <v>0</v>
      </c>
      <c r="AU128" s="65" t="n">
        <f aca="false">IF(AND(J128&lt;&gt;"",'Historical Score'!$C$9&lt;&gt;""),IF(J128='Historical Score'!$C$9,1,0),0)</f>
        <v>0</v>
      </c>
      <c r="AV128" s="65" t="n">
        <f aca="false">AR128*AS128*AQ128</f>
        <v>0</v>
      </c>
      <c r="AW128" s="65" t="n">
        <f aca="false">AR128*AT128*AQ128</f>
        <v>0</v>
      </c>
      <c r="AX128" s="65" t="n">
        <f aca="false">AR128*AS128</f>
        <v>0</v>
      </c>
      <c r="AY128" s="65" t="n">
        <f aca="false">AR128*AT128</f>
        <v>0</v>
      </c>
      <c r="AZ128" s="65" t="n">
        <f aca="false">AR128*AQ128</f>
        <v>0</v>
      </c>
      <c r="BA128" s="65" t="n">
        <f aca="false">AR128</f>
        <v>1</v>
      </c>
      <c r="BB128" s="65" t="n">
        <f aca="false">1</f>
        <v>1</v>
      </c>
      <c r="BC128" s="65" t="n">
        <f aca="false">IF(AV128=1,1,IF(AW128=1,2,IF(AX128=1,3,IF(AY128=1,4,IF(AZ128=1,5,IF(BA128=1,6,7))))))</f>
        <v>6</v>
      </c>
      <c r="BD128" s="65" t="n">
        <f aca="false">IF(AD128=1,CHOOSE('Historical Score'!$C$29,AV128,AW128,AX128,AY128,AZ128,BA128,BB128),0)</f>
        <v>0</v>
      </c>
      <c r="BE128" s="65" t="str">
        <f aca="false">IF(BD128=1,COUNTIF($BD$2:BD128,1),"")</f>
        <v/>
      </c>
    </row>
    <row r="129" customFormat="false" ht="15" hidden="false" customHeight="false" outlineLevel="0" collapsed="false">
      <c r="A129" s="65" t="s">
        <v>828</v>
      </c>
      <c r="B129" s="65" t="s">
        <v>829</v>
      </c>
      <c r="C129" s="65" t="s">
        <v>829</v>
      </c>
      <c r="D129" s="65" t="s">
        <v>340</v>
      </c>
      <c r="E129" s="112" t="n">
        <v>45818</v>
      </c>
      <c r="F129" s="112" t="n">
        <v>45832</v>
      </c>
      <c r="G129" s="65" t="n">
        <v>1</v>
      </c>
      <c r="H129" s="65" t="s">
        <v>409</v>
      </c>
      <c r="I129" s="65" t="s">
        <v>342</v>
      </c>
      <c r="J129" s="65" t="s">
        <v>61</v>
      </c>
      <c r="K129" s="65" t="s">
        <v>830</v>
      </c>
      <c r="L129" s="65" t="s">
        <v>64</v>
      </c>
      <c r="M129" s="113" t="n">
        <v>1.499</v>
      </c>
      <c r="N129" s="114" t="n">
        <v>8000</v>
      </c>
      <c r="O129" s="114" t="n">
        <v>0</v>
      </c>
      <c r="P129" s="114" t="n">
        <v>11992</v>
      </c>
      <c r="Q129" s="114" t="n">
        <v>0</v>
      </c>
      <c r="R129" s="114" t="n">
        <v>11992</v>
      </c>
      <c r="S129" s="115" t="n">
        <v>0</v>
      </c>
      <c r="T129" s="65" t="n">
        <v>1.967</v>
      </c>
      <c r="U129" s="65" t="n">
        <v>7</v>
      </c>
      <c r="W129" s="115" t="n">
        <v>0.0392</v>
      </c>
      <c r="X129" s="112" t="n">
        <v>45818</v>
      </c>
      <c r="Y129" s="65" t="str">
        <f aca="false">IF(I129="","No SIC",IFERROR(VLOOKUP(I129,Ref!$A$2:$B$65,2,FALSE()),"Unclassified"))</f>
        <v>Eating &amp; Drinking Places</v>
      </c>
      <c r="Z129" s="65" t="str">
        <f aca="false">IF(T129="","",IF(T129&lt;12,"Daily","Weekly"))</f>
        <v>Daily</v>
      </c>
      <c r="AA129" s="65" t="n">
        <f aca="false">IF(T129="",0,IF(T129&lt;12,T129*Controls!$B$29,T129*5))</f>
        <v>42.595385</v>
      </c>
      <c r="AB129" s="65" t="n">
        <f aca="false">IF(E129="",0,NETWORKDAYS(E129,Controls!$B$36,Ref!$K$2:$K$42))</f>
        <v>304</v>
      </c>
      <c r="AC129" s="65" t="n">
        <f aca="false">IF(AND(AA129&gt;0,AB129&gt;=Controls!$B$39*AA129),1,0)</f>
        <v>1</v>
      </c>
      <c r="AD129" s="65" t="n">
        <f aca="false">IF(AND(E129&lt;&gt;"",E129&gt;=Controls!$B$37,E129&lt;=Controls!$B$38),1,0)</f>
        <v>1</v>
      </c>
      <c r="AE129" s="65" t="n">
        <f aca="false">IF(IFERROR(VLOOKUP(D129,Controls!$A$64:$E$74,2,FALSE()),"No")="Yes",1,0)</f>
        <v>1</v>
      </c>
      <c r="AF129" s="65" t="n">
        <f aca="false">IF(IFERROR(VLOOKUP(D129,Controls!$A$64:$E$74,3,FALSE()),"No")="Yes",1,0)</f>
        <v>0</v>
      </c>
      <c r="AG129" s="65" t="n">
        <f aca="false">IF(IFERROR(VLOOKUP(D129,Controls!$A$64:$E$74,4,FALSE()),"No")="Yes",1,0)</f>
        <v>0</v>
      </c>
      <c r="AH129" s="65" t="n">
        <f aca="false">IF(IFERROR(VLOOKUP(D129,Controls!$A$64:$E$74,5,FALSE()),"No")="Yes",1,0)</f>
        <v>0</v>
      </c>
      <c r="AI129" s="65" t="n">
        <f aca="false">IF(ISNUMBER(MATCH(D129,Controls!$A$64:$A$74,0)),1,0)</f>
        <v>1</v>
      </c>
      <c r="AJ129" s="65" t="n">
        <f aca="false">Q129-N129</f>
        <v>-8000</v>
      </c>
      <c r="AK129" s="65" t="n">
        <f aca="false">IF(AE129=1,MAX(0,N129-Q129),0)</f>
        <v>8000</v>
      </c>
      <c r="AL129" s="65" t="n">
        <f aca="false">IF(OR(V129="",V129=0),0,N129/V129)</f>
        <v>0</v>
      </c>
      <c r="AM129" s="65" t="n">
        <f aca="false">IF(OR(V129="",V129=0),0,1)</f>
        <v>0</v>
      </c>
      <c r="AN129" s="65" t="n">
        <f aca="false">IF(OR(E129="",F129=""),0,NETWORKDAYS(E129,F129,Ref!$K$2:$K$42))</f>
        <v>10</v>
      </c>
      <c r="AO129" s="65" t="n">
        <f aca="false">IF(L129="Renewal",1,0)</f>
        <v>0</v>
      </c>
      <c r="AP129" s="65" t="n">
        <f aca="false">AC129*AD129</f>
        <v>1</v>
      </c>
      <c r="AQ129" s="65" t="n">
        <f aca="false">IF(AND(G129&lt;&gt;"",'Historical Score'!$C$6&lt;&gt;""),IF(G129='Historical Score'!$C$6,1,0),0)</f>
        <v>0</v>
      </c>
      <c r="AR129" s="65" t="n">
        <f aca="false">IF(AND(L129&lt;&gt;"",'Historical Score'!$C$5&lt;&gt;""),IF(L129='Historical Score'!$C$5,1,0),0)</f>
        <v>1</v>
      </c>
      <c r="AS129" s="65" t="n">
        <f aca="false">IF(AND(Y129&lt;&gt;"",'Historical Score'!$C$7&lt;&gt;""),IF(Y129='Historical Score'!$C$7,1,0),0)</f>
        <v>0</v>
      </c>
      <c r="AT129" s="65" t="n">
        <f aca="false">IF(AND(K129&lt;&gt;"",'Historical Score'!$C$8&lt;&gt;""),IF(K129='Historical Score'!$C$8,1,0),0)</f>
        <v>0</v>
      </c>
      <c r="AU129" s="65" t="n">
        <f aca="false">IF(AND(J129&lt;&gt;"",'Historical Score'!$C$9&lt;&gt;""),IF(J129='Historical Score'!$C$9,1,0),0)</f>
        <v>1</v>
      </c>
      <c r="AV129" s="65" t="n">
        <f aca="false">AR129*AS129*AQ129</f>
        <v>0</v>
      </c>
      <c r="AW129" s="65" t="n">
        <f aca="false">AR129*AT129*AQ129</f>
        <v>0</v>
      </c>
      <c r="AX129" s="65" t="n">
        <f aca="false">AR129*AS129</f>
        <v>0</v>
      </c>
      <c r="AY129" s="65" t="n">
        <f aca="false">AR129*AT129</f>
        <v>0</v>
      </c>
      <c r="AZ129" s="65" t="n">
        <f aca="false">AR129*AQ129</f>
        <v>0</v>
      </c>
      <c r="BA129" s="65" t="n">
        <f aca="false">AR129</f>
        <v>1</v>
      </c>
      <c r="BB129" s="65" t="n">
        <f aca="false">1</f>
        <v>1</v>
      </c>
      <c r="BC129" s="65" t="n">
        <f aca="false">IF(AV129=1,1,IF(AW129=1,2,IF(AX129=1,3,IF(AY129=1,4,IF(AZ129=1,5,IF(BA129=1,6,7))))))</f>
        <v>6</v>
      </c>
      <c r="BD129" s="65" t="n">
        <f aca="false">IF(AD129=1,CHOOSE('Historical Score'!$C$29,AV129,AW129,AX129,AY129,AZ129,BA129,BB129),0)</f>
        <v>0</v>
      </c>
      <c r="BE129" s="65" t="str">
        <f aca="false">IF(BD129=1,COUNTIF($BD$2:BD129,1),"")</f>
        <v/>
      </c>
    </row>
    <row r="130" customFormat="false" ht="15" hidden="false" customHeight="false" outlineLevel="0" collapsed="false">
      <c r="A130" s="65" t="s">
        <v>831</v>
      </c>
      <c r="B130" s="65" t="s">
        <v>832</v>
      </c>
      <c r="C130" s="65" t="s">
        <v>832</v>
      </c>
      <c r="D130" s="65" t="s">
        <v>371</v>
      </c>
      <c r="E130" s="112" t="n">
        <v>45820</v>
      </c>
      <c r="F130" s="112" t="n">
        <v>46027</v>
      </c>
      <c r="G130" s="65" t="n">
        <v>2</v>
      </c>
      <c r="H130" s="65" t="s">
        <v>833</v>
      </c>
      <c r="I130" s="65" t="s">
        <v>379</v>
      </c>
      <c r="J130" s="65" t="s">
        <v>638</v>
      </c>
      <c r="K130" s="65" t="s">
        <v>538</v>
      </c>
      <c r="L130" s="65" t="s">
        <v>64</v>
      </c>
      <c r="M130" s="113" t="n">
        <v>1.49</v>
      </c>
      <c r="N130" s="114" t="n">
        <v>13500</v>
      </c>
      <c r="O130" s="114" t="n">
        <v>1890</v>
      </c>
      <c r="P130" s="114" t="n">
        <v>20115</v>
      </c>
      <c r="Q130" s="114" t="n">
        <v>20115</v>
      </c>
      <c r="R130" s="114" t="n">
        <v>0</v>
      </c>
      <c r="S130" s="115" t="n">
        <v>1</v>
      </c>
      <c r="T130" s="65" t="n">
        <v>16</v>
      </c>
      <c r="U130" s="65" t="n">
        <v>15</v>
      </c>
      <c r="W130" s="115" t="n">
        <v>0.073</v>
      </c>
      <c r="X130" s="112" t="n">
        <v>44002</v>
      </c>
      <c r="Y130" s="65" t="str">
        <f aca="false">IF(I130="","No SIC",IFERROR(VLOOKUP(I130,Ref!$A$2:$B$65,2,FALSE()),"Unclassified"))</f>
        <v>Food Stores</v>
      </c>
      <c r="Z130" s="65" t="str">
        <f aca="false">IF(T130="","",IF(T130&lt;12,"Daily","Weekly"))</f>
        <v>Weekly</v>
      </c>
      <c r="AA130" s="65" t="n">
        <f aca="false">IF(T130="",0,IF(T130&lt;12,T130*Controls!$B$29,T130*5))</f>
        <v>80</v>
      </c>
      <c r="AB130" s="65" t="n">
        <f aca="false">IF(E130="",0,NETWORKDAYS(E130,Controls!$B$36,Ref!$K$2:$K$42))</f>
        <v>302</v>
      </c>
      <c r="AC130" s="65" t="n">
        <f aca="false">IF(AND(AA130&gt;0,AB130&gt;=Controls!$B$39*AA130),1,0)</f>
        <v>1</v>
      </c>
      <c r="AD130" s="65" t="n">
        <f aca="false">IF(AND(E130&lt;&gt;"",E130&gt;=Controls!$B$37,E130&lt;=Controls!$B$38),1,0)</f>
        <v>1</v>
      </c>
      <c r="AE130" s="65" t="n">
        <f aca="false">IF(IFERROR(VLOOKUP(D130,Controls!$A$64:$E$74,2,FALSE()),"No")="Yes",1,0)</f>
        <v>0</v>
      </c>
      <c r="AF130" s="65" t="n">
        <f aca="false">IF(IFERROR(VLOOKUP(D130,Controls!$A$64:$E$74,3,FALSE()),"No")="Yes",1,0)</f>
        <v>1</v>
      </c>
      <c r="AG130" s="65" t="n">
        <f aca="false">IF(IFERROR(VLOOKUP(D130,Controls!$A$64:$E$74,4,FALSE()),"No")="Yes",1,0)</f>
        <v>1</v>
      </c>
      <c r="AH130" s="65" t="n">
        <f aca="false">IF(IFERROR(VLOOKUP(D130,Controls!$A$64:$E$74,5,FALSE()),"No")="Yes",1,0)</f>
        <v>0</v>
      </c>
      <c r="AI130" s="65" t="n">
        <f aca="false">IF(ISNUMBER(MATCH(D130,Controls!$A$64:$A$74,0)),1,0)</f>
        <v>1</v>
      </c>
      <c r="AJ130" s="65" t="n">
        <f aca="false">Q130-N130</f>
        <v>6615</v>
      </c>
      <c r="AK130" s="65" t="n">
        <f aca="false">IF(AE130=1,MAX(0,N130-Q130),0)</f>
        <v>0</v>
      </c>
      <c r="AL130" s="65" t="n">
        <f aca="false">IF(OR(V130="",V130=0),0,N130/V130)</f>
        <v>0</v>
      </c>
      <c r="AM130" s="65" t="n">
        <f aca="false">IF(OR(V130="",V130=0),0,1)</f>
        <v>0</v>
      </c>
      <c r="AN130" s="65" t="n">
        <f aca="false">IF(OR(E130="",F130=""),0,NETWORKDAYS(E130,F130,Ref!$K$2:$K$42))</f>
        <v>140</v>
      </c>
      <c r="AO130" s="65" t="n">
        <f aca="false">IF(L130="Renewal",1,0)</f>
        <v>0</v>
      </c>
      <c r="AP130" s="65" t="n">
        <f aca="false">AC130*AD130</f>
        <v>1</v>
      </c>
      <c r="AQ130" s="65" t="n">
        <f aca="false">IF(AND(G130&lt;&gt;"",'Historical Score'!$C$6&lt;&gt;""),IF(G130='Historical Score'!$C$6,1,0),0)</f>
        <v>1</v>
      </c>
      <c r="AR130" s="65" t="n">
        <f aca="false">IF(AND(L130&lt;&gt;"",'Historical Score'!$C$5&lt;&gt;""),IF(L130='Historical Score'!$C$5,1,0),0)</f>
        <v>1</v>
      </c>
      <c r="AS130" s="65" t="n">
        <f aca="false">IF(AND(Y130&lt;&gt;"",'Historical Score'!$C$7&lt;&gt;""),IF(Y130='Historical Score'!$C$7,1,0),0)</f>
        <v>0</v>
      </c>
      <c r="AT130" s="65" t="n">
        <f aca="false">IF(AND(K130&lt;&gt;"",'Historical Score'!$C$8&lt;&gt;""),IF(K130='Historical Score'!$C$8,1,0),0)</f>
        <v>0</v>
      </c>
      <c r="AU130" s="65" t="n">
        <f aca="false">IF(AND(J130&lt;&gt;"",'Historical Score'!$C$9&lt;&gt;""),IF(J130='Historical Score'!$C$9,1,0),0)</f>
        <v>0</v>
      </c>
      <c r="AV130" s="65" t="n">
        <f aca="false">AR130*AS130*AQ130</f>
        <v>0</v>
      </c>
      <c r="AW130" s="65" t="n">
        <f aca="false">AR130*AT130*AQ130</f>
        <v>0</v>
      </c>
      <c r="AX130" s="65" t="n">
        <f aca="false">AR130*AS130</f>
        <v>0</v>
      </c>
      <c r="AY130" s="65" t="n">
        <f aca="false">AR130*AT130</f>
        <v>0</v>
      </c>
      <c r="AZ130" s="65" t="n">
        <f aca="false">AR130*AQ130</f>
        <v>1</v>
      </c>
      <c r="BA130" s="65" t="n">
        <f aca="false">AR130</f>
        <v>1</v>
      </c>
      <c r="BB130" s="65" t="n">
        <f aca="false">1</f>
        <v>1</v>
      </c>
      <c r="BC130" s="65" t="n">
        <f aca="false">IF(AV130=1,1,IF(AW130=1,2,IF(AX130=1,3,IF(AY130=1,4,IF(AZ130=1,5,IF(BA130=1,6,7))))))</f>
        <v>5</v>
      </c>
      <c r="BD130" s="65" t="n">
        <f aca="false">IF(AD130=1,CHOOSE('Historical Score'!$C$29,AV130,AW130,AX130,AY130,AZ130,BA130,BB130),0)</f>
        <v>0</v>
      </c>
      <c r="BE130" s="65" t="str">
        <f aca="false">IF(BD130=1,COUNTIF($BD$2:BD130,1),"")</f>
        <v/>
      </c>
    </row>
    <row r="131" customFormat="false" ht="15" hidden="false" customHeight="false" outlineLevel="0" collapsed="false">
      <c r="A131" s="65" t="s">
        <v>834</v>
      </c>
      <c r="B131" s="65" t="s">
        <v>835</v>
      </c>
      <c r="C131" s="65" t="s">
        <v>836</v>
      </c>
      <c r="D131" s="65" t="s">
        <v>340</v>
      </c>
      <c r="E131" s="112" t="n">
        <v>45820</v>
      </c>
      <c r="F131" s="112" t="n">
        <v>45866</v>
      </c>
      <c r="G131" s="65" t="n">
        <v>2</v>
      </c>
      <c r="H131" s="65" t="s">
        <v>525</v>
      </c>
      <c r="I131" s="65" t="s">
        <v>367</v>
      </c>
      <c r="J131" s="65" t="s">
        <v>452</v>
      </c>
      <c r="K131" s="65" t="s">
        <v>550</v>
      </c>
      <c r="L131" s="65" t="s">
        <v>64</v>
      </c>
      <c r="M131" s="113" t="n">
        <v>1.499</v>
      </c>
      <c r="N131" s="114" t="n">
        <v>12000</v>
      </c>
      <c r="O131" s="114" t="n">
        <v>1680</v>
      </c>
      <c r="P131" s="114" t="n">
        <v>17988</v>
      </c>
      <c r="Q131" s="114" t="n">
        <v>8058.42</v>
      </c>
      <c r="R131" s="114" t="n">
        <v>9929.58</v>
      </c>
      <c r="S131" s="115" t="n">
        <v>0.447988659106071</v>
      </c>
      <c r="T131" s="65" t="n">
        <v>1.967</v>
      </c>
      <c r="U131" s="65" t="n">
        <v>3</v>
      </c>
      <c r="W131" s="115" t="n">
        <v>0.0372</v>
      </c>
      <c r="X131" s="112" t="n">
        <v>45820</v>
      </c>
      <c r="Y131" s="65" t="str">
        <f aca="false">IF(I131="","No SIC",IFERROR(VLOOKUP(I131,Ref!$A$2:$B$65,2,FALSE()),"Unclassified"))</f>
        <v>Engineering, Accounting &amp; Management</v>
      </c>
      <c r="Z131" s="65" t="str">
        <f aca="false">IF(T131="","",IF(T131&lt;12,"Daily","Weekly"))</f>
        <v>Daily</v>
      </c>
      <c r="AA131" s="65" t="n">
        <f aca="false">IF(T131="",0,IF(T131&lt;12,T131*Controls!$B$29,T131*5))</f>
        <v>42.595385</v>
      </c>
      <c r="AB131" s="65" t="n">
        <f aca="false">IF(E131="",0,NETWORKDAYS(E131,Controls!$B$36,Ref!$K$2:$K$42))</f>
        <v>302</v>
      </c>
      <c r="AC131" s="65" t="n">
        <f aca="false">IF(AND(AA131&gt;0,AB131&gt;=Controls!$B$39*AA131),1,0)</f>
        <v>1</v>
      </c>
      <c r="AD131" s="65" t="n">
        <f aca="false">IF(AND(E131&lt;&gt;"",E131&gt;=Controls!$B$37,E131&lt;=Controls!$B$38),1,0)</f>
        <v>1</v>
      </c>
      <c r="AE131" s="65" t="n">
        <f aca="false">IF(IFERROR(VLOOKUP(D131,Controls!$A$64:$E$74,2,FALSE()),"No")="Yes",1,0)</f>
        <v>1</v>
      </c>
      <c r="AF131" s="65" t="n">
        <f aca="false">IF(IFERROR(VLOOKUP(D131,Controls!$A$64:$E$74,3,FALSE()),"No")="Yes",1,0)</f>
        <v>0</v>
      </c>
      <c r="AG131" s="65" t="n">
        <f aca="false">IF(IFERROR(VLOOKUP(D131,Controls!$A$64:$E$74,4,FALSE()),"No")="Yes",1,0)</f>
        <v>0</v>
      </c>
      <c r="AH131" s="65" t="n">
        <f aca="false">IF(IFERROR(VLOOKUP(D131,Controls!$A$64:$E$74,5,FALSE()),"No")="Yes",1,0)</f>
        <v>0</v>
      </c>
      <c r="AI131" s="65" t="n">
        <f aca="false">IF(ISNUMBER(MATCH(D131,Controls!$A$64:$A$74,0)),1,0)</f>
        <v>1</v>
      </c>
      <c r="AJ131" s="65" t="n">
        <f aca="false">Q131-N131</f>
        <v>-3941.58</v>
      </c>
      <c r="AK131" s="65" t="n">
        <f aca="false">IF(AE131=1,MAX(0,N131-Q131),0)</f>
        <v>3941.58</v>
      </c>
      <c r="AL131" s="65" t="n">
        <f aca="false">IF(OR(V131="",V131=0),0,N131/V131)</f>
        <v>0</v>
      </c>
      <c r="AM131" s="65" t="n">
        <f aca="false">IF(OR(V131="",V131=0),0,1)</f>
        <v>0</v>
      </c>
      <c r="AN131" s="65" t="n">
        <f aca="false">IF(OR(E131="",F131=""),0,NETWORKDAYS(E131,F131,Ref!$K$2:$K$42))</f>
        <v>31</v>
      </c>
      <c r="AO131" s="65" t="n">
        <f aca="false">IF(L131="Renewal",1,0)</f>
        <v>0</v>
      </c>
      <c r="AP131" s="65" t="n">
        <f aca="false">AC131*AD131</f>
        <v>1</v>
      </c>
      <c r="AQ131" s="65" t="n">
        <f aca="false">IF(AND(G131&lt;&gt;"",'Historical Score'!$C$6&lt;&gt;""),IF(G131='Historical Score'!$C$6,1,0),0)</f>
        <v>1</v>
      </c>
      <c r="AR131" s="65" t="n">
        <f aca="false">IF(AND(L131&lt;&gt;"",'Historical Score'!$C$5&lt;&gt;""),IF(L131='Historical Score'!$C$5,1,0),0)</f>
        <v>1</v>
      </c>
      <c r="AS131" s="65" t="n">
        <f aca="false">IF(AND(Y131&lt;&gt;"",'Historical Score'!$C$7&lt;&gt;""),IF(Y131='Historical Score'!$C$7,1,0),0)</f>
        <v>0</v>
      </c>
      <c r="AT131" s="65" t="n">
        <f aca="false">IF(AND(K131&lt;&gt;"",'Historical Score'!$C$8&lt;&gt;""),IF(K131='Historical Score'!$C$8,1,0),0)</f>
        <v>0</v>
      </c>
      <c r="AU131" s="65" t="n">
        <f aca="false">IF(AND(J131&lt;&gt;"",'Historical Score'!$C$9&lt;&gt;""),IF(J131='Historical Score'!$C$9,1,0),0)</f>
        <v>0</v>
      </c>
      <c r="AV131" s="65" t="n">
        <f aca="false">AR131*AS131*AQ131</f>
        <v>0</v>
      </c>
      <c r="AW131" s="65" t="n">
        <f aca="false">AR131*AT131*AQ131</f>
        <v>0</v>
      </c>
      <c r="AX131" s="65" t="n">
        <f aca="false">AR131*AS131</f>
        <v>0</v>
      </c>
      <c r="AY131" s="65" t="n">
        <f aca="false">AR131*AT131</f>
        <v>0</v>
      </c>
      <c r="AZ131" s="65" t="n">
        <f aca="false">AR131*AQ131</f>
        <v>1</v>
      </c>
      <c r="BA131" s="65" t="n">
        <f aca="false">AR131</f>
        <v>1</v>
      </c>
      <c r="BB131" s="65" t="n">
        <f aca="false">1</f>
        <v>1</v>
      </c>
      <c r="BC131" s="65" t="n">
        <f aca="false">IF(AV131=1,1,IF(AW131=1,2,IF(AX131=1,3,IF(AY131=1,4,IF(AZ131=1,5,IF(BA131=1,6,7))))))</f>
        <v>5</v>
      </c>
      <c r="BD131" s="65" t="n">
        <f aca="false">IF(AD131=1,CHOOSE('Historical Score'!$C$29,AV131,AW131,AX131,AY131,AZ131,BA131,BB131),0)</f>
        <v>0</v>
      </c>
      <c r="BE131" s="65" t="str">
        <f aca="false">IF(BD131=1,COUNTIF($BD$2:BD131,1),"")</f>
        <v/>
      </c>
    </row>
    <row r="132" customFormat="false" ht="15" hidden="false" customHeight="false" outlineLevel="0" collapsed="false">
      <c r="A132" s="65" t="s">
        <v>837</v>
      </c>
      <c r="B132" s="65" t="s">
        <v>423</v>
      </c>
      <c r="C132" s="65" t="s">
        <v>423</v>
      </c>
      <c r="D132" s="65" t="s">
        <v>340</v>
      </c>
      <c r="E132" s="112" t="n">
        <v>45825</v>
      </c>
      <c r="F132" s="112" t="n">
        <v>46175</v>
      </c>
      <c r="G132" s="65" t="n">
        <v>4</v>
      </c>
      <c r="H132" s="65" t="s">
        <v>838</v>
      </c>
      <c r="I132" s="65" t="s">
        <v>679</v>
      </c>
      <c r="J132" s="65" t="s">
        <v>410</v>
      </c>
      <c r="K132" s="65" t="s">
        <v>426</v>
      </c>
      <c r="L132" s="65" t="s">
        <v>320</v>
      </c>
      <c r="M132" s="113" t="n">
        <v>1.49</v>
      </c>
      <c r="N132" s="114" t="n">
        <v>17000</v>
      </c>
      <c r="O132" s="114" t="n">
        <v>2380</v>
      </c>
      <c r="P132" s="114" t="n">
        <v>25330</v>
      </c>
      <c r="Q132" s="114" t="n">
        <v>6567.02</v>
      </c>
      <c r="R132" s="114" t="n">
        <v>18762.98</v>
      </c>
      <c r="S132" s="115" t="n">
        <v>0.259258586656139</v>
      </c>
      <c r="T132" s="65" t="n">
        <v>3.279</v>
      </c>
      <c r="U132" s="65" t="n">
        <v>20</v>
      </c>
      <c r="W132" s="115" t="n">
        <v>0.187</v>
      </c>
      <c r="X132" s="112" t="n">
        <v>45825</v>
      </c>
      <c r="Y132" s="65" t="str">
        <f aca="false">IF(I132="","No SIC",IFERROR(VLOOKUP(I132,Ref!$A$2:$B$65,2,FALSE()),"Unclassified"))</f>
        <v>Amusement &amp; Recreation Services</v>
      </c>
      <c r="Z132" s="65" t="str">
        <f aca="false">IF(T132="","",IF(T132&lt;12,"Daily","Weekly"))</f>
        <v>Daily</v>
      </c>
      <c r="AA132" s="65" t="n">
        <f aca="false">IF(T132="",0,IF(T132&lt;12,T132*Controls!$B$29,T132*5))</f>
        <v>71.006745</v>
      </c>
      <c r="AB132" s="65" t="n">
        <f aca="false">IF(E132="",0,NETWORKDAYS(E132,Controls!$B$36,Ref!$K$2:$K$42))</f>
        <v>299</v>
      </c>
      <c r="AC132" s="65" t="n">
        <f aca="false">IF(AND(AA132&gt;0,AB132&gt;=Controls!$B$39*AA132),1,0)</f>
        <v>1</v>
      </c>
      <c r="AD132" s="65" t="n">
        <f aca="false">IF(AND(E132&lt;&gt;"",E132&gt;=Controls!$B$37,E132&lt;=Controls!$B$38),1,0)</f>
        <v>1</v>
      </c>
      <c r="AE132" s="65" t="n">
        <f aca="false">IF(IFERROR(VLOOKUP(D132,Controls!$A$64:$E$74,2,FALSE()),"No")="Yes",1,0)</f>
        <v>1</v>
      </c>
      <c r="AF132" s="65" t="n">
        <f aca="false">IF(IFERROR(VLOOKUP(D132,Controls!$A$64:$E$74,3,FALSE()),"No")="Yes",1,0)</f>
        <v>0</v>
      </c>
      <c r="AG132" s="65" t="n">
        <f aca="false">IF(IFERROR(VLOOKUP(D132,Controls!$A$64:$E$74,4,FALSE()),"No")="Yes",1,0)</f>
        <v>0</v>
      </c>
      <c r="AH132" s="65" t="n">
        <f aca="false">IF(IFERROR(VLOOKUP(D132,Controls!$A$64:$E$74,5,FALSE()),"No")="Yes",1,0)</f>
        <v>0</v>
      </c>
      <c r="AI132" s="65" t="n">
        <f aca="false">IF(ISNUMBER(MATCH(D132,Controls!$A$64:$A$74,0)),1,0)</f>
        <v>1</v>
      </c>
      <c r="AJ132" s="65" t="n">
        <f aca="false">Q132-N132</f>
        <v>-10432.98</v>
      </c>
      <c r="AK132" s="65" t="n">
        <f aca="false">IF(AE132=1,MAX(0,N132-Q132),0)</f>
        <v>10432.98</v>
      </c>
      <c r="AL132" s="65" t="n">
        <f aca="false">IF(OR(V132="",V132=0),0,N132/V132)</f>
        <v>0</v>
      </c>
      <c r="AM132" s="65" t="n">
        <f aca="false">IF(OR(V132="",V132=0),0,1)</f>
        <v>0</v>
      </c>
      <c r="AN132" s="65" t="n">
        <f aca="false">IF(OR(E132="",F132=""),0,NETWORKDAYS(E132,F132,Ref!$K$2:$K$42))</f>
        <v>240</v>
      </c>
      <c r="AO132" s="65" t="n">
        <f aca="false">IF(L132="Renewal",1,0)</f>
        <v>1</v>
      </c>
      <c r="AP132" s="65" t="n">
        <f aca="false">AC132*AD132</f>
        <v>1</v>
      </c>
      <c r="AQ132" s="65" t="n">
        <f aca="false">IF(AND(G132&lt;&gt;"",'Historical Score'!$C$6&lt;&gt;""),IF(G132='Historical Score'!$C$6,1,0),0)</f>
        <v>0</v>
      </c>
      <c r="AR132" s="65" t="n">
        <f aca="false">IF(AND(L132&lt;&gt;"",'Historical Score'!$C$5&lt;&gt;""),IF(L132='Historical Score'!$C$5,1,0),0)</f>
        <v>0</v>
      </c>
      <c r="AS132" s="65" t="n">
        <f aca="false">IF(AND(Y132&lt;&gt;"",'Historical Score'!$C$7&lt;&gt;""),IF(Y132='Historical Score'!$C$7,1,0),0)</f>
        <v>0</v>
      </c>
      <c r="AT132" s="65" t="n">
        <f aca="false">IF(AND(K132&lt;&gt;"",'Historical Score'!$C$8&lt;&gt;""),IF(K132='Historical Score'!$C$8,1,0),0)</f>
        <v>0</v>
      </c>
      <c r="AU132" s="65" t="n">
        <f aca="false">IF(AND(J132&lt;&gt;"",'Historical Score'!$C$9&lt;&gt;""),IF(J132='Historical Score'!$C$9,1,0),0)</f>
        <v>0</v>
      </c>
      <c r="AV132" s="65" t="n">
        <f aca="false">AR132*AS132*AQ132</f>
        <v>0</v>
      </c>
      <c r="AW132" s="65" t="n">
        <f aca="false">AR132*AT132*AQ132</f>
        <v>0</v>
      </c>
      <c r="AX132" s="65" t="n">
        <f aca="false">AR132*AS132</f>
        <v>0</v>
      </c>
      <c r="AY132" s="65" t="n">
        <f aca="false">AR132*AT132</f>
        <v>0</v>
      </c>
      <c r="AZ132" s="65" t="n">
        <f aca="false">AR132*AQ132</f>
        <v>0</v>
      </c>
      <c r="BA132" s="65" t="n">
        <f aca="false">AR132</f>
        <v>0</v>
      </c>
      <c r="BB132" s="65" t="n">
        <f aca="false">1</f>
        <v>1</v>
      </c>
      <c r="BC132" s="65" t="n">
        <f aca="false">IF(AV132=1,1,IF(AW132=1,2,IF(AX132=1,3,IF(AY132=1,4,IF(AZ132=1,5,IF(BA132=1,6,7))))))</f>
        <v>7</v>
      </c>
      <c r="BD132" s="65" t="n">
        <f aca="false">IF(AD132=1,CHOOSE('Historical Score'!$C$29,AV132,AW132,AX132,AY132,AZ132,BA132,BB132),0)</f>
        <v>0</v>
      </c>
      <c r="BE132" s="65" t="str">
        <f aca="false">IF(BD132=1,COUNTIF($BD$2:BD132,1),"")</f>
        <v/>
      </c>
    </row>
    <row r="133" customFormat="false" ht="15" hidden="false" customHeight="false" outlineLevel="0" collapsed="false">
      <c r="A133" s="65" t="s">
        <v>839</v>
      </c>
      <c r="B133" s="65" t="s">
        <v>840</v>
      </c>
      <c r="C133" s="65" t="s">
        <v>840</v>
      </c>
      <c r="D133" s="65" t="s">
        <v>340</v>
      </c>
      <c r="E133" s="112" t="n">
        <v>45826</v>
      </c>
      <c r="F133" s="112" t="n">
        <v>45841</v>
      </c>
      <c r="G133" s="65" t="n">
        <v>1</v>
      </c>
      <c r="H133" s="65" t="s">
        <v>479</v>
      </c>
      <c r="I133" s="65" t="s">
        <v>356</v>
      </c>
      <c r="J133" s="65" t="s">
        <v>399</v>
      </c>
      <c r="K133" s="65" t="s">
        <v>538</v>
      </c>
      <c r="L133" s="65" t="s">
        <v>64</v>
      </c>
      <c r="M133" s="113" t="n">
        <v>1.499</v>
      </c>
      <c r="N133" s="114" t="n">
        <v>10000</v>
      </c>
      <c r="O133" s="114" t="n">
        <v>1400</v>
      </c>
      <c r="P133" s="114" t="n">
        <v>14990</v>
      </c>
      <c r="Q133" s="114" t="n">
        <v>1499.18</v>
      </c>
      <c r="R133" s="114" t="n">
        <v>13490.82</v>
      </c>
      <c r="S133" s="115" t="n">
        <v>0.100012008005337</v>
      </c>
      <c r="T133" s="65" t="n">
        <v>20</v>
      </c>
      <c r="U133" s="65" t="n">
        <v>1</v>
      </c>
      <c r="W133" s="115" t="n">
        <v>0.0705</v>
      </c>
      <c r="X133" s="112" t="n">
        <v>43391</v>
      </c>
      <c r="Y133" s="65" t="str">
        <f aca="false">IF(I133="","No SIC",IFERROR(VLOOKUP(I133,Ref!$A$2:$B$65,2,FALSE()),"Unclassified"))</f>
        <v>Trucking &amp; Warehousing</v>
      </c>
      <c r="Z133" s="65" t="str">
        <f aca="false">IF(T133="","",IF(T133&lt;12,"Daily","Weekly"))</f>
        <v>Weekly</v>
      </c>
      <c r="AA133" s="65" t="n">
        <f aca="false">IF(T133="",0,IF(T133&lt;12,T133*Controls!$B$29,T133*5))</f>
        <v>100</v>
      </c>
      <c r="AB133" s="65" t="n">
        <f aca="false">IF(E133="",0,NETWORKDAYS(E133,Controls!$B$36,Ref!$K$2:$K$42))</f>
        <v>298</v>
      </c>
      <c r="AC133" s="65" t="n">
        <f aca="false">IF(AND(AA133&gt;0,AB133&gt;=Controls!$B$39*AA133),1,0)</f>
        <v>1</v>
      </c>
      <c r="AD133" s="65" t="n">
        <f aca="false">IF(AND(E133&lt;&gt;"",E133&gt;=Controls!$B$37,E133&lt;=Controls!$B$38),1,0)</f>
        <v>1</v>
      </c>
      <c r="AE133" s="65" t="n">
        <f aca="false">IF(IFERROR(VLOOKUP(D133,Controls!$A$64:$E$74,2,FALSE()),"No")="Yes",1,0)</f>
        <v>1</v>
      </c>
      <c r="AF133" s="65" t="n">
        <f aca="false">IF(IFERROR(VLOOKUP(D133,Controls!$A$64:$E$74,3,FALSE()),"No")="Yes",1,0)</f>
        <v>0</v>
      </c>
      <c r="AG133" s="65" t="n">
        <f aca="false">IF(IFERROR(VLOOKUP(D133,Controls!$A$64:$E$74,4,FALSE()),"No")="Yes",1,0)</f>
        <v>0</v>
      </c>
      <c r="AH133" s="65" t="n">
        <f aca="false">IF(IFERROR(VLOOKUP(D133,Controls!$A$64:$E$74,5,FALSE()),"No")="Yes",1,0)</f>
        <v>0</v>
      </c>
      <c r="AI133" s="65" t="n">
        <f aca="false">IF(ISNUMBER(MATCH(D133,Controls!$A$64:$A$74,0)),1,0)</f>
        <v>1</v>
      </c>
      <c r="AJ133" s="65" t="n">
        <f aca="false">Q133-N133</f>
        <v>-8500.82</v>
      </c>
      <c r="AK133" s="65" t="n">
        <f aca="false">IF(AE133=1,MAX(0,N133-Q133),0)</f>
        <v>8500.82</v>
      </c>
      <c r="AL133" s="65" t="n">
        <f aca="false">IF(OR(V133="",V133=0),0,N133/V133)</f>
        <v>0</v>
      </c>
      <c r="AM133" s="65" t="n">
        <f aca="false">IF(OR(V133="",V133=0),0,1)</f>
        <v>0</v>
      </c>
      <c r="AN133" s="65" t="n">
        <f aca="false">IF(OR(E133="",F133=""),0,NETWORKDAYS(E133,F133,Ref!$K$2:$K$42))</f>
        <v>11</v>
      </c>
      <c r="AO133" s="65" t="n">
        <f aca="false">IF(L133="Renewal",1,0)</f>
        <v>0</v>
      </c>
      <c r="AP133" s="65" t="n">
        <f aca="false">AC133*AD133</f>
        <v>1</v>
      </c>
      <c r="AQ133" s="65" t="n">
        <f aca="false">IF(AND(G133&lt;&gt;"",'Historical Score'!$C$6&lt;&gt;""),IF(G133='Historical Score'!$C$6,1,0),0)</f>
        <v>0</v>
      </c>
      <c r="AR133" s="65" t="n">
        <f aca="false">IF(AND(L133&lt;&gt;"",'Historical Score'!$C$5&lt;&gt;""),IF(L133='Historical Score'!$C$5,1,0),0)</f>
        <v>1</v>
      </c>
      <c r="AS133" s="65" t="n">
        <f aca="false">IF(AND(Y133&lt;&gt;"",'Historical Score'!$C$7&lt;&gt;""),IF(Y133='Historical Score'!$C$7,1,0),0)</f>
        <v>0</v>
      </c>
      <c r="AT133" s="65" t="n">
        <f aca="false">IF(AND(K133&lt;&gt;"",'Historical Score'!$C$8&lt;&gt;""),IF(K133='Historical Score'!$C$8,1,0),0)</f>
        <v>0</v>
      </c>
      <c r="AU133" s="65" t="n">
        <f aca="false">IF(AND(J133&lt;&gt;"",'Historical Score'!$C$9&lt;&gt;""),IF(J133='Historical Score'!$C$9,1,0),0)</f>
        <v>0</v>
      </c>
      <c r="AV133" s="65" t="n">
        <f aca="false">AR133*AS133*AQ133</f>
        <v>0</v>
      </c>
      <c r="AW133" s="65" t="n">
        <f aca="false">AR133*AT133*AQ133</f>
        <v>0</v>
      </c>
      <c r="AX133" s="65" t="n">
        <f aca="false">AR133*AS133</f>
        <v>0</v>
      </c>
      <c r="AY133" s="65" t="n">
        <f aca="false">AR133*AT133</f>
        <v>0</v>
      </c>
      <c r="AZ133" s="65" t="n">
        <f aca="false">AR133*AQ133</f>
        <v>0</v>
      </c>
      <c r="BA133" s="65" t="n">
        <f aca="false">AR133</f>
        <v>1</v>
      </c>
      <c r="BB133" s="65" t="n">
        <f aca="false">1</f>
        <v>1</v>
      </c>
      <c r="BC133" s="65" t="n">
        <f aca="false">IF(AV133=1,1,IF(AW133=1,2,IF(AX133=1,3,IF(AY133=1,4,IF(AZ133=1,5,IF(BA133=1,6,7))))))</f>
        <v>6</v>
      </c>
      <c r="BD133" s="65" t="n">
        <f aca="false">IF(AD133=1,CHOOSE('Historical Score'!$C$29,AV133,AW133,AX133,AY133,AZ133,BA133,BB133),0)</f>
        <v>0</v>
      </c>
      <c r="BE133" s="65" t="str">
        <f aca="false">IF(BD133=1,COUNTIF($BD$2:BD133,1),"")</f>
        <v/>
      </c>
    </row>
    <row r="134" customFormat="false" ht="15" hidden="false" customHeight="false" outlineLevel="0" collapsed="false">
      <c r="A134" s="65" t="s">
        <v>841</v>
      </c>
      <c r="B134" s="65" t="s">
        <v>842</v>
      </c>
      <c r="C134" s="65" t="s">
        <v>842</v>
      </c>
      <c r="D134" s="65" t="s">
        <v>340</v>
      </c>
      <c r="E134" s="112" t="n">
        <v>45831</v>
      </c>
      <c r="F134" s="112" t="n">
        <v>45881</v>
      </c>
      <c r="G134" s="65" t="n">
        <v>3</v>
      </c>
      <c r="H134" s="65" t="s">
        <v>494</v>
      </c>
      <c r="I134" s="65" t="s">
        <v>484</v>
      </c>
      <c r="J134" s="65" t="s">
        <v>555</v>
      </c>
      <c r="K134" s="65" t="s">
        <v>55</v>
      </c>
      <c r="L134" s="65" t="s">
        <v>64</v>
      </c>
      <c r="M134" s="113" t="n">
        <v>1.49</v>
      </c>
      <c r="N134" s="114" t="n">
        <v>12000</v>
      </c>
      <c r="O134" s="114" t="n">
        <v>1680</v>
      </c>
      <c r="P134" s="114" t="n">
        <v>17880</v>
      </c>
      <c r="Q134" s="114" t="n">
        <v>7869.51</v>
      </c>
      <c r="R134" s="114" t="n">
        <v>10010.49</v>
      </c>
      <c r="S134" s="115" t="n">
        <v>0.440129194630873</v>
      </c>
      <c r="T134" s="65" t="n">
        <v>2.459</v>
      </c>
      <c r="U134" s="65" t="n">
        <v>3</v>
      </c>
      <c r="W134" s="115" t="n">
        <v>0.1072</v>
      </c>
      <c r="X134" s="112" t="n">
        <v>45831</v>
      </c>
      <c r="Y134" s="65" t="str">
        <f aca="false">IF(I134="","No SIC",IFERROR(VLOOKUP(I134,Ref!$A$2:$B$65,2,FALSE()),"Unclassified"))</f>
        <v>Special Trade Contractors</v>
      </c>
      <c r="Z134" s="65" t="str">
        <f aca="false">IF(T134="","",IF(T134&lt;12,"Daily","Weekly"))</f>
        <v>Daily</v>
      </c>
      <c r="AA134" s="65" t="n">
        <f aca="false">IF(T134="",0,IF(T134&lt;12,T134*Controls!$B$29,T134*5))</f>
        <v>53.249645</v>
      </c>
      <c r="AB134" s="65" t="n">
        <f aca="false">IF(E134="",0,NETWORKDAYS(E134,Controls!$B$36,Ref!$K$2:$K$42))</f>
        <v>296</v>
      </c>
      <c r="AC134" s="65" t="n">
        <f aca="false">IF(AND(AA134&gt;0,AB134&gt;=Controls!$B$39*AA134),1,0)</f>
        <v>1</v>
      </c>
      <c r="AD134" s="65" t="n">
        <f aca="false">IF(AND(E134&lt;&gt;"",E134&gt;=Controls!$B$37,E134&lt;=Controls!$B$38),1,0)</f>
        <v>1</v>
      </c>
      <c r="AE134" s="65" t="n">
        <f aca="false">IF(IFERROR(VLOOKUP(D134,Controls!$A$64:$E$74,2,FALSE()),"No")="Yes",1,0)</f>
        <v>1</v>
      </c>
      <c r="AF134" s="65" t="n">
        <f aca="false">IF(IFERROR(VLOOKUP(D134,Controls!$A$64:$E$74,3,FALSE()),"No")="Yes",1,0)</f>
        <v>0</v>
      </c>
      <c r="AG134" s="65" t="n">
        <f aca="false">IF(IFERROR(VLOOKUP(D134,Controls!$A$64:$E$74,4,FALSE()),"No")="Yes",1,0)</f>
        <v>0</v>
      </c>
      <c r="AH134" s="65" t="n">
        <f aca="false">IF(IFERROR(VLOOKUP(D134,Controls!$A$64:$E$74,5,FALSE()),"No")="Yes",1,0)</f>
        <v>0</v>
      </c>
      <c r="AI134" s="65" t="n">
        <f aca="false">IF(ISNUMBER(MATCH(D134,Controls!$A$64:$A$74,0)),1,0)</f>
        <v>1</v>
      </c>
      <c r="AJ134" s="65" t="n">
        <f aca="false">Q134-N134</f>
        <v>-4130.49</v>
      </c>
      <c r="AK134" s="65" t="n">
        <f aca="false">IF(AE134=1,MAX(0,N134-Q134),0)</f>
        <v>4130.49</v>
      </c>
      <c r="AL134" s="65" t="n">
        <f aca="false">IF(OR(V134="",V134=0),0,N134/V134)</f>
        <v>0</v>
      </c>
      <c r="AM134" s="65" t="n">
        <f aca="false">IF(OR(V134="",V134=0),0,1)</f>
        <v>0</v>
      </c>
      <c r="AN134" s="65" t="n">
        <f aca="false">IF(OR(E134="",F134=""),0,NETWORKDAYS(E134,F134,Ref!$K$2:$K$42))</f>
        <v>36</v>
      </c>
      <c r="AO134" s="65" t="n">
        <f aca="false">IF(L134="Renewal",1,0)</f>
        <v>0</v>
      </c>
      <c r="AP134" s="65" t="n">
        <f aca="false">AC134*AD134</f>
        <v>1</v>
      </c>
      <c r="AQ134" s="65" t="n">
        <f aca="false">IF(AND(G134&lt;&gt;"",'Historical Score'!$C$6&lt;&gt;""),IF(G134='Historical Score'!$C$6,1,0),0)</f>
        <v>0</v>
      </c>
      <c r="AR134" s="65" t="n">
        <f aca="false">IF(AND(L134&lt;&gt;"",'Historical Score'!$C$5&lt;&gt;""),IF(L134='Historical Score'!$C$5,1,0),0)</f>
        <v>1</v>
      </c>
      <c r="AS134" s="65" t="n">
        <f aca="false">IF(AND(Y134&lt;&gt;"",'Historical Score'!$C$7&lt;&gt;""),IF(Y134='Historical Score'!$C$7,1,0),0)</f>
        <v>0</v>
      </c>
      <c r="AT134" s="65" t="n">
        <f aca="false">IF(AND(K134&lt;&gt;"",'Historical Score'!$C$8&lt;&gt;""),IF(K134='Historical Score'!$C$8,1,0),0)</f>
        <v>1</v>
      </c>
      <c r="AU134" s="65" t="n">
        <f aca="false">IF(AND(J134&lt;&gt;"",'Historical Score'!$C$9&lt;&gt;""),IF(J134='Historical Score'!$C$9,1,0),0)</f>
        <v>0</v>
      </c>
      <c r="AV134" s="65" t="n">
        <f aca="false">AR134*AS134*AQ134</f>
        <v>0</v>
      </c>
      <c r="AW134" s="65" t="n">
        <f aca="false">AR134*AT134*AQ134</f>
        <v>0</v>
      </c>
      <c r="AX134" s="65" t="n">
        <f aca="false">AR134*AS134</f>
        <v>0</v>
      </c>
      <c r="AY134" s="65" t="n">
        <f aca="false">AR134*AT134</f>
        <v>1</v>
      </c>
      <c r="AZ134" s="65" t="n">
        <f aca="false">AR134*AQ134</f>
        <v>0</v>
      </c>
      <c r="BA134" s="65" t="n">
        <f aca="false">AR134</f>
        <v>1</v>
      </c>
      <c r="BB134" s="65" t="n">
        <f aca="false">1</f>
        <v>1</v>
      </c>
      <c r="BC134" s="65" t="n">
        <f aca="false">IF(AV134=1,1,IF(AW134=1,2,IF(AX134=1,3,IF(AY134=1,4,IF(AZ134=1,5,IF(BA134=1,6,7))))))</f>
        <v>4</v>
      </c>
      <c r="BD134" s="65" t="n">
        <f aca="false">IF(AD134=1,CHOOSE('Historical Score'!$C$29,AV134,AW134,AX134,AY134,AZ134,BA134,BB134),0)</f>
        <v>0</v>
      </c>
      <c r="BE134" s="65" t="str">
        <f aca="false">IF(BD134=1,COUNTIF($BD$2:BD134,1),"")</f>
        <v/>
      </c>
    </row>
    <row r="135" customFormat="false" ht="15" hidden="false" customHeight="false" outlineLevel="0" collapsed="false">
      <c r="A135" s="65" t="s">
        <v>843</v>
      </c>
      <c r="B135" s="65" t="s">
        <v>844</v>
      </c>
      <c r="C135" s="65" t="s">
        <v>844</v>
      </c>
      <c r="D135" s="65" t="s">
        <v>371</v>
      </c>
      <c r="E135" s="112" t="n">
        <v>45833</v>
      </c>
      <c r="F135" s="112" t="n">
        <v>45974</v>
      </c>
      <c r="G135" s="65" t="n">
        <v>1</v>
      </c>
      <c r="H135" s="65" t="s">
        <v>414</v>
      </c>
      <c r="I135" s="65" t="s">
        <v>415</v>
      </c>
      <c r="J135" s="65" t="s">
        <v>61</v>
      </c>
      <c r="K135" s="65" t="s">
        <v>476</v>
      </c>
      <c r="L135" s="65" t="s">
        <v>64</v>
      </c>
      <c r="M135" s="113" t="n">
        <v>1.49</v>
      </c>
      <c r="N135" s="114" t="n">
        <v>20000</v>
      </c>
      <c r="O135" s="114" t="n">
        <v>2800</v>
      </c>
      <c r="P135" s="114" t="n">
        <v>29800</v>
      </c>
      <c r="Q135" s="114" t="n">
        <v>29800</v>
      </c>
      <c r="R135" s="114" t="n">
        <v>0</v>
      </c>
      <c r="S135" s="115" t="n">
        <v>1</v>
      </c>
      <c r="T135" s="65" t="n">
        <v>20</v>
      </c>
      <c r="U135" s="65" t="n">
        <v>1</v>
      </c>
      <c r="W135" s="115" t="n">
        <v>0.0641</v>
      </c>
      <c r="X135" s="112" t="n">
        <v>44587</v>
      </c>
      <c r="Y135" s="65" t="str">
        <f aca="false">IF(I135="","No SIC",IFERROR(VLOOKUP(I135,Ref!$A$2:$B$65,2,FALSE()),"Unclassified"))</f>
        <v>Wholesale Trade - Durable Goods</v>
      </c>
      <c r="Z135" s="65" t="str">
        <f aca="false">IF(T135="","",IF(T135&lt;12,"Daily","Weekly"))</f>
        <v>Weekly</v>
      </c>
      <c r="AA135" s="65" t="n">
        <f aca="false">IF(T135="",0,IF(T135&lt;12,T135*Controls!$B$29,T135*5))</f>
        <v>100</v>
      </c>
      <c r="AB135" s="65" t="n">
        <f aca="false">IF(E135="",0,NETWORKDAYS(E135,Controls!$B$36,Ref!$K$2:$K$42))</f>
        <v>294</v>
      </c>
      <c r="AC135" s="65" t="n">
        <f aca="false">IF(AND(AA135&gt;0,AB135&gt;=Controls!$B$39*AA135),1,0)</f>
        <v>1</v>
      </c>
      <c r="AD135" s="65" t="n">
        <f aca="false">IF(AND(E135&lt;&gt;"",E135&gt;=Controls!$B$37,E135&lt;=Controls!$B$38),1,0)</f>
        <v>1</v>
      </c>
      <c r="AE135" s="65" t="n">
        <f aca="false">IF(IFERROR(VLOOKUP(D135,Controls!$A$64:$E$74,2,FALSE()),"No")="Yes",1,0)</f>
        <v>0</v>
      </c>
      <c r="AF135" s="65" t="n">
        <f aca="false">IF(IFERROR(VLOOKUP(D135,Controls!$A$64:$E$74,3,FALSE()),"No")="Yes",1,0)</f>
        <v>1</v>
      </c>
      <c r="AG135" s="65" t="n">
        <f aca="false">IF(IFERROR(VLOOKUP(D135,Controls!$A$64:$E$74,4,FALSE()),"No")="Yes",1,0)</f>
        <v>1</v>
      </c>
      <c r="AH135" s="65" t="n">
        <f aca="false">IF(IFERROR(VLOOKUP(D135,Controls!$A$64:$E$74,5,FALSE()),"No")="Yes",1,0)</f>
        <v>0</v>
      </c>
      <c r="AI135" s="65" t="n">
        <f aca="false">IF(ISNUMBER(MATCH(D135,Controls!$A$64:$A$74,0)),1,0)</f>
        <v>1</v>
      </c>
      <c r="AJ135" s="65" t="n">
        <f aca="false">Q135-N135</f>
        <v>9800</v>
      </c>
      <c r="AK135" s="65" t="n">
        <f aca="false">IF(AE135=1,MAX(0,N135-Q135),0)</f>
        <v>0</v>
      </c>
      <c r="AL135" s="65" t="n">
        <f aca="false">IF(OR(V135="",V135=0),0,N135/V135)</f>
        <v>0</v>
      </c>
      <c r="AM135" s="65" t="n">
        <f aca="false">IF(OR(V135="",V135=0),0,1)</f>
        <v>0</v>
      </c>
      <c r="AN135" s="65" t="n">
        <f aca="false">IF(OR(E135="",F135=""),0,NETWORKDAYS(E135,F135,Ref!$K$2:$K$42))</f>
        <v>98</v>
      </c>
      <c r="AO135" s="65" t="n">
        <f aca="false">IF(L135="Renewal",1,0)</f>
        <v>0</v>
      </c>
      <c r="AP135" s="65" t="n">
        <f aca="false">AC135*AD135</f>
        <v>1</v>
      </c>
      <c r="AQ135" s="65" t="n">
        <f aca="false">IF(AND(G135&lt;&gt;"",'Historical Score'!$C$6&lt;&gt;""),IF(G135='Historical Score'!$C$6,1,0),0)</f>
        <v>0</v>
      </c>
      <c r="AR135" s="65" t="n">
        <f aca="false">IF(AND(L135&lt;&gt;"",'Historical Score'!$C$5&lt;&gt;""),IF(L135='Historical Score'!$C$5,1,0),0)</f>
        <v>1</v>
      </c>
      <c r="AS135" s="65" t="n">
        <f aca="false">IF(AND(Y135&lt;&gt;"",'Historical Score'!$C$7&lt;&gt;""),IF(Y135='Historical Score'!$C$7,1,0),0)</f>
        <v>0</v>
      </c>
      <c r="AT135" s="65" t="n">
        <f aca="false">IF(AND(K135&lt;&gt;"",'Historical Score'!$C$8&lt;&gt;""),IF(K135='Historical Score'!$C$8,1,0),0)</f>
        <v>0</v>
      </c>
      <c r="AU135" s="65" t="n">
        <f aca="false">IF(AND(J135&lt;&gt;"",'Historical Score'!$C$9&lt;&gt;""),IF(J135='Historical Score'!$C$9,1,0),0)</f>
        <v>1</v>
      </c>
      <c r="AV135" s="65" t="n">
        <f aca="false">AR135*AS135*AQ135</f>
        <v>0</v>
      </c>
      <c r="AW135" s="65" t="n">
        <f aca="false">AR135*AT135*AQ135</f>
        <v>0</v>
      </c>
      <c r="AX135" s="65" t="n">
        <f aca="false">AR135*AS135</f>
        <v>0</v>
      </c>
      <c r="AY135" s="65" t="n">
        <f aca="false">AR135*AT135</f>
        <v>0</v>
      </c>
      <c r="AZ135" s="65" t="n">
        <f aca="false">AR135*AQ135</f>
        <v>0</v>
      </c>
      <c r="BA135" s="65" t="n">
        <f aca="false">AR135</f>
        <v>1</v>
      </c>
      <c r="BB135" s="65" t="n">
        <f aca="false">1</f>
        <v>1</v>
      </c>
      <c r="BC135" s="65" t="n">
        <f aca="false">IF(AV135=1,1,IF(AW135=1,2,IF(AX135=1,3,IF(AY135=1,4,IF(AZ135=1,5,IF(BA135=1,6,7))))))</f>
        <v>6</v>
      </c>
      <c r="BD135" s="65" t="n">
        <f aca="false">IF(AD135=1,CHOOSE('Historical Score'!$C$29,AV135,AW135,AX135,AY135,AZ135,BA135,BB135),0)</f>
        <v>0</v>
      </c>
      <c r="BE135" s="65" t="str">
        <f aca="false">IF(BD135=1,COUNTIF($BD$2:BD135,1),"")</f>
        <v/>
      </c>
    </row>
    <row r="136" customFormat="false" ht="15" hidden="false" customHeight="false" outlineLevel="0" collapsed="false">
      <c r="A136" s="65" t="s">
        <v>845</v>
      </c>
      <c r="B136" s="65" t="s">
        <v>846</v>
      </c>
      <c r="C136" s="65" t="s">
        <v>846</v>
      </c>
      <c r="D136" s="65" t="s">
        <v>371</v>
      </c>
      <c r="E136" s="112" t="n">
        <v>45835</v>
      </c>
      <c r="F136" s="112" t="n">
        <v>45918</v>
      </c>
      <c r="G136" s="65" t="n">
        <v>2</v>
      </c>
      <c r="H136" s="65" t="s">
        <v>847</v>
      </c>
      <c r="I136" s="65" t="s">
        <v>415</v>
      </c>
      <c r="J136" s="65" t="s">
        <v>438</v>
      </c>
      <c r="K136" s="65" t="s">
        <v>848</v>
      </c>
      <c r="L136" s="65" t="s">
        <v>64</v>
      </c>
      <c r="M136" s="113" t="n">
        <v>1.499</v>
      </c>
      <c r="N136" s="114" t="n">
        <v>10000</v>
      </c>
      <c r="O136" s="114" t="n">
        <v>1400</v>
      </c>
      <c r="P136" s="114" t="n">
        <v>14990</v>
      </c>
      <c r="Q136" s="114" t="n">
        <v>14990</v>
      </c>
      <c r="R136" s="114" t="n">
        <v>1.81898940354586E-012</v>
      </c>
      <c r="S136" s="115" t="n">
        <v>1</v>
      </c>
      <c r="T136" s="65" t="n">
        <v>2.951</v>
      </c>
      <c r="U136" s="65" t="n">
        <v>0</v>
      </c>
      <c r="V136" s="65" t="n">
        <v>27678.72</v>
      </c>
      <c r="W136" s="115" t="n">
        <v>0.1264</v>
      </c>
      <c r="X136" s="112" t="n">
        <v>45020</v>
      </c>
      <c r="Y136" s="65" t="str">
        <f aca="false">IF(I136="","No SIC",IFERROR(VLOOKUP(I136,Ref!$A$2:$B$65,2,FALSE()),"Unclassified"))</f>
        <v>Wholesale Trade - Durable Goods</v>
      </c>
      <c r="Z136" s="65" t="str">
        <f aca="false">IF(T136="","",IF(T136&lt;12,"Daily","Weekly"))</f>
        <v>Daily</v>
      </c>
      <c r="AA136" s="65" t="n">
        <f aca="false">IF(T136="",0,IF(T136&lt;12,T136*Controls!$B$29,T136*5))</f>
        <v>63.903905</v>
      </c>
      <c r="AB136" s="65" t="n">
        <f aca="false">IF(E136="",0,NETWORKDAYS(E136,Controls!$B$36,Ref!$K$2:$K$42))</f>
        <v>292</v>
      </c>
      <c r="AC136" s="65" t="n">
        <f aca="false">IF(AND(AA136&gt;0,AB136&gt;=Controls!$B$39*AA136),1,0)</f>
        <v>1</v>
      </c>
      <c r="AD136" s="65" t="n">
        <f aca="false">IF(AND(E136&lt;&gt;"",E136&gt;=Controls!$B$37,E136&lt;=Controls!$B$38),1,0)</f>
        <v>1</v>
      </c>
      <c r="AE136" s="65" t="n">
        <f aca="false">IF(IFERROR(VLOOKUP(D136,Controls!$A$64:$E$74,2,FALSE()),"No")="Yes",1,0)</f>
        <v>0</v>
      </c>
      <c r="AF136" s="65" t="n">
        <f aca="false">IF(IFERROR(VLOOKUP(D136,Controls!$A$64:$E$74,3,FALSE()),"No")="Yes",1,0)</f>
        <v>1</v>
      </c>
      <c r="AG136" s="65" t="n">
        <f aca="false">IF(IFERROR(VLOOKUP(D136,Controls!$A$64:$E$74,4,FALSE()),"No")="Yes",1,0)</f>
        <v>1</v>
      </c>
      <c r="AH136" s="65" t="n">
        <f aca="false">IF(IFERROR(VLOOKUP(D136,Controls!$A$64:$E$74,5,FALSE()),"No")="Yes",1,0)</f>
        <v>0</v>
      </c>
      <c r="AI136" s="65" t="n">
        <f aca="false">IF(ISNUMBER(MATCH(D136,Controls!$A$64:$A$74,0)),1,0)</f>
        <v>1</v>
      </c>
      <c r="AJ136" s="65" t="n">
        <f aca="false">Q136-N136</f>
        <v>4990</v>
      </c>
      <c r="AK136" s="65" t="n">
        <f aca="false">IF(AE136=1,MAX(0,N136-Q136),0)</f>
        <v>0</v>
      </c>
      <c r="AL136" s="65" t="n">
        <f aca="false">IF(OR(V136="",V136=0),0,N136/V136)</f>
        <v>0.361288383277839</v>
      </c>
      <c r="AM136" s="65" t="n">
        <f aca="false">IF(OR(V136="",V136=0),0,1)</f>
        <v>1</v>
      </c>
      <c r="AN136" s="65" t="n">
        <f aca="false">IF(OR(E136="",F136=""),0,NETWORKDAYS(E136,F136,Ref!$K$2:$K$42))</f>
        <v>58</v>
      </c>
      <c r="AO136" s="65" t="n">
        <f aca="false">IF(L136="Renewal",1,0)</f>
        <v>0</v>
      </c>
      <c r="AP136" s="65" t="n">
        <f aca="false">AC136*AD136</f>
        <v>1</v>
      </c>
      <c r="AQ136" s="65" t="n">
        <f aca="false">IF(AND(G136&lt;&gt;"",'Historical Score'!$C$6&lt;&gt;""),IF(G136='Historical Score'!$C$6,1,0),0)</f>
        <v>1</v>
      </c>
      <c r="AR136" s="65" t="n">
        <f aca="false">IF(AND(L136&lt;&gt;"",'Historical Score'!$C$5&lt;&gt;""),IF(L136='Historical Score'!$C$5,1,0),0)</f>
        <v>1</v>
      </c>
      <c r="AS136" s="65" t="n">
        <f aca="false">IF(AND(Y136&lt;&gt;"",'Historical Score'!$C$7&lt;&gt;""),IF(Y136='Historical Score'!$C$7,1,0),0)</f>
        <v>0</v>
      </c>
      <c r="AT136" s="65" t="n">
        <f aca="false">IF(AND(K136&lt;&gt;"",'Historical Score'!$C$8&lt;&gt;""),IF(K136='Historical Score'!$C$8,1,0),0)</f>
        <v>0</v>
      </c>
      <c r="AU136" s="65" t="n">
        <f aca="false">IF(AND(J136&lt;&gt;"",'Historical Score'!$C$9&lt;&gt;""),IF(J136='Historical Score'!$C$9,1,0),0)</f>
        <v>0</v>
      </c>
      <c r="AV136" s="65" t="n">
        <f aca="false">AR136*AS136*AQ136</f>
        <v>0</v>
      </c>
      <c r="AW136" s="65" t="n">
        <f aca="false">AR136*AT136*AQ136</f>
        <v>0</v>
      </c>
      <c r="AX136" s="65" t="n">
        <f aca="false">AR136*AS136</f>
        <v>0</v>
      </c>
      <c r="AY136" s="65" t="n">
        <f aca="false">AR136*AT136</f>
        <v>0</v>
      </c>
      <c r="AZ136" s="65" t="n">
        <f aca="false">AR136*AQ136</f>
        <v>1</v>
      </c>
      <c r="BA136" s="65" t="n">
        <f aca="false">AR136</f>
        <v>1</v>
      </c>
      <c r="BB136" s="65" t="n">
        <f aca="false">1</f>
        <v>1</v>
      </c>
      <c r="BC136" s="65" t="n">
        <f aca="false">IF(AV136=1,1,IF(AW136=1,2,IF(AX136=1,3,IF(AY136=1,4,IF(AZ136=1,5,IF(BA136=1,6,7))))))</f>
        <v>5</v>
      </c>
      <c r="BD136" s="65" t="n">
        <f aca="false">IF(AD136=1,CHOOSE('Historical Score'!$C$29,AV136,AW136,AX136,AY136,AZ136,BA136,BB136),0)</f>
        <v>0</v>
      </c>
      <c r="BE136" s="65" t="str">
        <f aca="false">IF(BD136=1,COUNTIF($BD$2:BD136,1),"")</f>
        <v/>
      </c>
    </row>
    <row r="137" customFormat="false" ht="15" hidden="false" customHeight="false" outlineLevel="0" collapsed="false">
      <c r="A137" s="65" t="s">
        <v>849</v>
      </c>
      <c r="B137" s="65" t="s">
        <v>850</v>
      </c>
      <c r="C137" s="65" t="s">
        <v>850</v>
      </c>
      <c r="D137" s="65" t="s">
        <v>371</v>
      </c>
      <c r="E137" s="112" t="n">
        <v>45835</v>
      </c>
      <c r="F137" s="112" t="n">
        <v>45929</v>
      </c>
      <c r="G137" s="65" t="n">
        <v>2</v>
      </c>
      <c r="H137" s="65" t="s">
        <v>554</v>
      </c>
      <c r="I137" s="65" t="s">
        <v>405</v>
      </c>
      <c r="J137" s="65" t="s">
        <v>769</v>
      </c>
      <c r="K137" s="65" t="s">
        <v>374</v>
      </c>
      <c r="L137" s="65" t="s">
        <v>64</v>
      </c>
      <c r="M137" s="113" t="n">
        <v>1.4767425</v>
      </c>
      <c r="N137" s="114" t="n">
        <v>20000</v>
      </c>
      <c r="O137" s="114" t="n">
        <v>2800</v>
      </c>
      <c r="P137" s="114" t="n">
        <v>29534.85</v>
      </c>
      <c r="Q137" s="114" t="n">
        <v>29534.85</v>
      </c>
      <c r="R137" s="114" t="n">
        <v>3.63797880709171E-012</v>
      </c>
      <c r="S137" s="115" t="n">
        <v>1</v>
      </c>
      <c r="T137" s="65" t="n">
        <v>2.623</v>
      </c>
      <c r="U137" s="65" t="n">
        <v>2</v>
      </c>
      <c r="W137" s="115" t="n">
        <v>0.0451</v>
      </c>
      <c r="X137" s="112" t="n">
        <v>45292</v>
      </c>
      <c r="Y137" s="65" t="str">
        <f aca="false">IF(I137="","No SIC",IFERROR(VLOOKUP(I137,Ref!$A$2:$B$65,2,FALSE()),"Unclassified"))</f>
        <v>Health Services</v>
      </c>
      <c r="Z137" s="65" t="str">
        <f aca="false">IF(T137="","",IF(T137&lt;12,"Daily","Weekly"))</f>
        <v>Daily</v>
      </c>
      <c r="AA137" s="65" t="n">
        <f aca="false">IF(T137="",0,IF(T137&lt;12,T137*Controls!$B$29,T137*5))</f>
        <v>56.801065</v>
      </c>
      <c r="AB137" s="65" t="n">
        <f aca="false">IF(E137="",0,NETWORKDAYS(E137,Controls!$B$36,Ref!$K$2:$K$42))</f>
        <v>292</v>
      </c>
      <c r="AC137" s="65" t="n">
        <f aca="false">IF(AND(AA137&gt;0,AB137&gt;=Controls!$B$39*AA137),1,0)</f>
        <v>1</v>
      </c>
      <c r="AD137" s="65" t="n">
        <f aca="false">IF(AND(E137&lt;&gt;"",E137&gt;=Controls!$B$37,E137&lt;=Controls!$B$38),1,0)</f>
        <v>1</v>
      </c>
      <c r="AE137" s="65" t="n">
        <f aca="false">IF(IFERROR(VLOOKUP(D137,Controls!$A$64:$E$74,2,FALSE()),"No")="Yes",1,0)</f>
        <v>0</v>
      </c>
      <c r="AF137" s="65" t="n">
        <f aca="false">IF(IFERROR(VLOOKUP(D137,Controls!$A$64:$E$74,3,FALSE()),"No")="Yes",1,0)</f>
        <v>1</v>
      </c>
      <c r="AG137" s="65" t="n">
        <f aca="false">IF(IFERROR(VLOOKUP(D137,Controls!$A$64:$E$74,4,FALSE()),"No")="Yes",1,0)</f>
        <v>1</v>
      </c>
      <c r="AH137" s="65" t="n">
        <f aca="false">IF(IFERROR(VLOOKUP(D137,Controls!$A$64:$E$74,5,FALSE()),"No")="Yes",1,0)</f>
        <v>0</v>
      </c>
      <c r="AI137" s="65" t="n">
        <f aca="false">IF(ISNUMBER(MATCH(D137,Controls!$A$64:$A$74,0)),1,0)</f>
        <v>1</v>
      </c>
      <c r="AJ137" s="65" t="n">
        <f aca="false">Q137-N137</f>
        <v>9534.85</v>
      </c>
      <c r="AK137" s="65" t="n">
        <f aca="false">IF(AE137=1,MAX(0,N137-Q137),0)</f>
        <v>0</v>
      </c>
      <c r="AL137" s="65" t="n">
        <f aca="false">IF(OR(V137="",V137=0),0,N137/V137)</f>
        <v>0</v>
      </c>
      <c r="AM137" s="65" t="n">
        <f aca="false">IF(OR(V137="",V137=0),0,1)</f>
        <v>0</v>
      </c>
      <c r="AN137" s="65" t="n">
        <f aca="false">IF(OR(E137="",F137=""),0,NETWORKDAYS(E137,F137,Ref!$K$2:$K$42))</f>
        <v>65</v>
      </c>
      <c r="AO137" s="65" t="n">
        <f aca="false">IF(L137="Renewal",1,0)</f>
        <v>0</v>
      </c>
      <c r="AP137" s="65" t="n">
        <f aca="false">AC137*AD137</f>
        <v>1</v>
      </c>
      <c r="AQ137" s="65" t="n">
        <f aca="false">IF(AND(G137&lt;&gt;"",'Historical Score'!$C$6&lt;&gt;""),IF(G137='Historical Score'!$C$6,1,0),0)</f>
        <v>1</v>
      </c>
      <c r="AR137" s="65" t="n">
        <f aca="false">IF(AND(L137&lt;&gt;"",'Historical Score'!$C$5&lt;&gt;""),IF(L137='Historical Score'!$C$5,1,0),0)</f>
        <v>1</v>
      </c>
      <c r="AS137" s="65" t="n">
        <f aca="false">IF(AND(Y137&lt;&gt;"",'Historical Score'!$C$7&lt;&gt;""),IF(Y137='Historical Score'!$C$7,1,0),0)</f>
        <v>0</v>
      </c>
      <c r="AT137" s="65" t="n">
        <f aca="false">IF(AND(K137&lt;&gt;"",'Historical Score'!$C$8&lt;&gt;""),IF(K137='Historical Score'!$C$8,1,0),0)</f>
        <v>0</v>
      </c>
      <c r="AU137" s="65" t="n">
        <f aca="false">IF(AND(J137&lt;&gt;"",'Historical Score'!$C$9&lt;&gt;""),IF(J137='Historical Score'!$C$9,1,0),0)</f>
        <v>0</v>
      </c>
      <c r="AV137" s="65" t="n">
        <f aca="false">AR137*AS137*AQ137</f>
        <v>0</v>
      </c>
      <c r="AW137" s="65" t="n">
        <f aca="false">AR137*AT137*AQ137</f>
        <v>0</v>
      </c>
      <c r="AX137" s="65" t="n">
        <f aca="false">AR137*AS137</f>
        <v>0</v>
      </c>
      <c r="AY137" s="65" t="n">
        <f aca="false">AR137*AT137</f>
        <v>0</v>
      </c>
      <c r="AZ137" s="65" t="n">
        <f aca="false">AR137*AQ137</f>
        <v>1</v>
      </c>
      <c r="BA137" s="65" t="n">
        <f aca="false">AR137</f>
        <v>1</v>
      </c>
      <c r="BB137" s="65" t="n">
        <f aca="false">1</f>
        <v>1</v>
      </c>
      <c r="BC137" s="65" t="n">
        <f aca="false">IF(AV137=1,1,IF(AW137=1,2,IF(AX137=1,3,IF(AY137=1,4,IF(AZ137=1,5,IF(BA137=1,6,7))))))</f>
        <v>5</v>
      </c>
      <c r="BD137" s="65" t="n">
        <f aca="false">IF(AD137=1,CHOOSE('Historical Score'!$C$29,AV137,AW137,AX137,AY137,AZ137,BA137,BB137),0)</f>
        <v>0</v>
      </c>
      <c r="BE137" s="65" t="str">
        <f aca="false">IF(BD137=1,COUNTIF($BD$2:BD137,1),"")</f>
        <v/>
      </c>
    </row>
    <row r="138" customFormat="false" ht="15" hidden="false" customHeight="false" outlineLevel="0" collapsed="false">
      <c r="A138" s="65" t="s">
        <v>851</v>
      </c>
      <c r="B138" s="65" t="s">
        <v>852</v>
      </c>
      <c r="C138" s="65" t="s">
        <v>852</v>
      </c>
      <c r="D138" s="65" t="s">
        <v>853</v>
      </c>
      <c r="E138" s="112" t="n">
        <v>45838</v>
      </c>
      <c r="F138" s="112" t="n">
        <v>46157</v>
      </c>
      <c r="G138" s="65" t="n">
        <v>2</v>
      </c>
      <c r="H138" s="65" t="s">
        <v>442</v>
      </c>
      <c r="I138" s="65" t="s">
        <v>443</v>
      </c>
      <c r="J138" s="65" t="s">
        <v>854</v>
      </c>
      <c r="K138" s="65" t="s">
        <v>855</v>
      </c>
      <c r="L138" s="65" t="s">
        <v>64</v>
      </c>
      <c r="M138" s="113" t="n">
        <v>1.49</v>
      </c>
      <c r="N138" s="114" t="n">
        <v>10000</v>
      </c>
      <c r="O138" s="114" t="n">
        <v>1400</v>
      </c>
      <c r="P138" s="114" t="n">
        <v>14900</v>
      </c>
      <c r="Q138" s="114" t="n">
        <v>8473.92</v>
      </c>
      <c r="R138" s="114" t="n">
        <v>6426.08</v>
      </c>
      <c r="S138" s="115" t="n">
        <v>0.568719463087248</v>
      </c>
      <c r="T138" s="65" t="n">
        <v>2.623</v>
      </c>
      <c r="U138" s="65" t="n">
        <v>12</v>
      </c>
      <c r="V138" s="65" t="n">
        <v>36113.12</v>
      </c>
      <c r="W138" s="115" t="n">
        <v>0.1083</v>
      </c>
      <c r="X138" s="112" t="n">
        <v>43767</v>
      </c>
      <c r="Y138" s="65" t="str">
        <f aca="false">IF(I138="","No SIC",IFERROR(VLOOKUP(I138,Ref!$A$2:$B$65,2,FALSE()),"Unclassified"))</f>
        <v>General Building Contractors</v>
      </c>
      <c r="Z138" s="65" t="str">
        <f aca="false">IF(T138="","",IF(T138&lt;12,"Daily","Weekly"))</f>
        <v>Daily</v>
      </c>
      <c r="AA138" s="65" t="n">
        <f aca="false">IF(T138="",0,IF(T138&lt;12,T138*Controls!$B$29,T138*5))</f>
        <v>56.801065</v>
      </c>
      <c r="AB138" s="65" t="n">
        <f aca="false">IF(E138="",0,NETWORKDAYS(E138,Controls!$B$36,Ref!$K$2:$K$42))</f>
        <v>291</v>
      </c>
      <c r="AC138" s="65" t="n">
        <f aca="false">IF(AND(AA138&gt;0,AB138&gt;=Controls!$B$39*AA138),1,0)</f>
        <v>1</v>
      </c>
      <c r="AD138" s="65" t="n">
        <f aca="false">IF(AND(E138&lt;&gt;"",E138&gt;=Controls!$B$37,E138&lt;=Controls!$B$38),1,0)</f>
        <v>1</v>
      </c>
      <c r="AE138" s="65" t="n">
        <f aca="false">IF(IFERROR(VLOOKUP(D138,Controls!$A$64:$E$74,2,FALSE()),"No")="Yes",1,0)</f>
        <v>1</v>
      </c>
      <c r="AF138" s="65" t="n">
        <f aca="false">IF(IFERROR(VLOOKUP(D138,Controls!$A$64:$E$74,3,FALSE()),"No")="Yes",1,0)</f>
        <v>0</v>
      </c>
      <c r="AG138" s="65" t="n">
        <f aca="false">IF(IFERROR(VLOOKUP(D138,Controls!$A$64:$E$74,4,FALSE()),"No")="Yes",1,0)</f>
        <v>0</v>
      </c>
      <c r="AH138" s="65" t="n">
        <f aca="false">IF(IFERROR(VLOOKUP(D138,Controls!$A$64:$E$74,5,FALSE()),"No")="Yes",1,0)</f>
        <v>0</v>
      </c>
      <c r="AI138" s="65" t="n">
        <f aca="false">IF(ISNUMBER(MATCH(D138,Controls!$A$64:$A$74,0)),1,0)</f>
        <v>1</v>
      </c>
      <c r="AJ138" s="65" t="n">
        <f aca="false">Q138-N138</f>
        <v>-1526.08</v>
      </c>
      <c r="AK138" s="65" t="n">
        <f aca="false">IF(AE138=1,MAX(0,N138-Q138),0)</f>
        <v>1526.08</v>
      </c>
      <c r="AL138" s="65" t="n">
        <f aca="false">IF(OR(V138="",V138=0),0,N138/V138)</f>
        <v>0.276907672336259</v>
      </c>
      <c r="AM138" s="65" t="n">
        <f aca="false">IF(OR(V138="",V138=0),0,1)</f>
        <v>1</v>
      </c>
      <c r="AN138" s="65" t="n">
        <f aca="false">IF(OR(E138="",F138=""),0,NETWORKDAYS(E138,F138,Ref!$K$2:$K$42))</f>
        <v>221</v>
      </c>
      <c r="AO138" s="65" t="n">
        <f aca="false">IF(L138="Renewal",1,0)</f>
        <v>0</v>
      </c>
      <c r="AP138" s="65" t="n">
        <f aca="false">AC138*AD138</f>
        <v>1</v>
      </c>
      <c r="AQ138" s="65" t="n">
        <f aca="false">IF(AND(G138&lt;&gt;"",'Historical Score'!$C$6&lt;&gt;""),IF(G138='Historical Score'!$C$6,1,0),0)</f>
        <v>1</v>
      </c>
      <c r="AR138" s="65" t="n">
        <f aca="false">IF(AND(L138&lt;&gt;"",'Historical Score'!$C$5&lt;&gt;""),IF(L138='Historical Score'!$C$5,1,0),0)</f>
        <v>1</v>
      </c>
      <c r="AS138" s="65" t="n">
        <f aca="false">IF(AND(Y138&lt;&gt;"",'Historical Score'!$C$7&lt;&gt;""),IF(Y138='Historical Score'!$C$7,1,0),0)</f>
        <v>1</v>
      </c>
      <c r="AT138" s="65" t="n">
        <f aca="false">IF(AND(K138&lt;&gt;"",'Historical Score'!$C$8&lt;&gt;""),IF(K138='Historical Score'!$C$8,1,0),0)</f>
        <v>0</v>
      </c>
      <c r="AU138" s="65" t="n">
        <f aca="false">IF(AND(J138&lt;&gt;"",'Historical Score'!$C$9&lt;&gt;""),IF(J138='Historical Score'!$C$9,1,0),0)</f>
        <v>0</v>
      </c>
      <c r="AV138" s="65" t="n">
        <f aca="false">AR138*AS138*AQ138</f>
        <v>1</v>
      </c>
      <c r="AW138" s="65" t="n">
        <f aca="false">AR138*AT138*AQ138</f>
        <v>0</v>
      </c>
      <c r="AX138" s="65" t="n">
        <f aca="false">AR138*AS138</f>
        <v>1</v>
      </c>
      <c r="AY138" s="65" t="n">
        <f aca="false">AR138*AT138</f>
        <v>0</v>
      </c>
      <c r="AZ138" s="65" t="n">
        <f aca="false">AR138*AQ138</f>
        <v>1</v>
      </c>
      <c r="BA138" s="65" t="n">
        <f aca="false">AR138</f>
        <v>1</v>
      </c>
      <c r="BB138" s="65" t="n">
        <f aca="false">1</f>
        <v>1</v>
      </c>
      <c r="BC138" s="65" t="n">
        <f aca="false">IF(AV138=1,1,IF(AW138=1,2,IF(AX138=1,3,IF(AY138=1,4,IF(AZ138=1,5,IF(BA138=1,6,7))))))</f>
        <v>1</v>
      </c>
      <c r="BD138" s="65" t="n">
        <f aca="false">IF(AD138=1,CHOOSE('Historical Score'!$C$29,AV138,AW138,AX138,AY138,AZ138,BA138,BB138),0)</f>
        <v>1</v>
      </c>
      <c r="BE138" s="65" t="n">
        <f aca="false">IF(BD138=1,COUNTIF($BD$2:BD138,1),"")</f>
        <v>2</v>
      </c>
    </row>
    <row r="139" customFormat="false" ht="15" hidden="false" customHeight="false" outlineLevel="0" collapsed="false">
      <c r="A139" s="65" t="s">
        <v>856</v>
      </c>
      <c r="B139" s="65" t="s">
        <v>857</v>
      </c>
      <c r="C139" s="65" t="s">
        <v>857</v>
      </c>
      <c r="D139" s="65" t="s">
        <v>340</v>
      </c>
      <c r="E139" s="112" t="n">
        <v>45838</v>
      </c>
      <c r="F139" s="112" t="n">
        <v>45884</v>
      </c>
      <c r="G139" s="65" t="n">
        <v>3</v>
      </c>
      <c r="H139" s="65" t="s">
        <v>858</v>
      </c>
      <c r="I139" s="65" t="s">
        <v>484</v>
      </c>
      <c r="J139" s="65" t="s">
        <v>732</v>
      </c>
      <c r="K139" s="65" t="s">
        <v>501</v>
      </c>
      <c r="L139" s="65" t="s">
        <v>64</v>
      </c>
      <c r="M139" s="113" t="n">
        <v>1.499</v>
      </c>
      <c r="N139" s="114" t="n">
        <v>25000</v>
      </c>
      <c r="O139" s="114" t="n">
        <v>3500</v>
      </c>
      <c r="P139" s="114" t="n">
        <v>37475</v>
      </c>
      <c r="Q139" s="114" t="n">
        <v>2552.07</v>
      </c>
      <c r="R139" s="114" t="n">
        <v>34922.93</v>
      </c>
      <c r="S139" s="115" t="n">
        <v>0.0681006004002668</v>
      </c>
      <c r="T139" s="65" t="n">
        <v>24</v>
      </c>
      <c r="U139" s="65" t="n">
        <v>3</v>
      </c>
      <c r="V139" s="65" t="n">
        <v>104896.9</v>
      </c>
      <c r="W139" s="115" t="n">
        <v>0.0592</v>
      </c>
      <c r="X139" s="112" t="n">
        <v>44461</v>
      </c>
      <c r="Y139" s="65" t="str">
        <f aca="false">IF(I139="","No SIC",IFERROR(VLOOKUP(I139,Ref!$A$2:$B$65,2,FALSE()),"Unclassified"))</f>
        <v>Special Trade Contractors</v>
      </c>
      <c r="Z139" s="65" t="str">
        <f aca="false">IF(T139="","",IF(T139&lt;12,"Daily","Weekly"))</f>
        <v>Weekly</v>
      </c>
      <c r="AA139" s="65" t="n">
        <f aca="false">IF(T139="",0,IF(T139&lt;12,T139*Controls!$B$29,T139*5))</f>
        <v>120</v>
      </c>
      <c r="AB139" s="65" t="n">
        <f aca="false">IF(E139="",0,NETWORKDAYS(E139,Controls!$B$36,Ref!$K$2:$K$42))</f>
        <v>291</v>
      </c>
      <c r="AC139" s="65" t="n">
        <f aca="false">IF(AND(AA139&gt;0,AB139&gt;=Controls!$B$39*AA139),1,0)</f>
        <v>1</v>
      </c>
      <c r="AD139" s="65" t="n">
        <f aca="false">IF(AND(E139&lt;&gt;"",E139&gt;=Controls!$B$37,E139&lt;=Controls!$B$38),1,0)</f>
        <v>1</v>
      </c>
      <c r="AE139" s="65" t="n">
        <f aca="false">IF(IFERROR(VLOOKUP(D139,Controls!$A$64:$E$74,2,FALSE()),"No")="Yes",1,0)</f>
        <v>1</v>
      </c>
      <c r="AF139" s="65" t="n">
        <f aca="false">IF(IFERROR(VLOOKUP(D139,Controls!$A$64:$E$74,3,FALSE()),"No")="Yes",1,0)</f>
        <v>0</v>
      </c>
      <c r="AG139" s="65" t="n">
        <f aca="false">IF(IFERROR(VLOOKUP(D139,Controls!$A$64:$E$74,4,FALSE()),"No")="Yes",1,0)</f>
        <v>0</v>
      </c>
      <c r="AH139" s="65" t="n">
        <f aca="false">IF(IFERROR(VLOOKUP(D139,Controls!$A$64:$E$74,5,FALSE()),"No")="Yes",1,0)</f>
        <v>0</v>
      </c>
      <c r="AI139" s="65" t="n">
        <f aca="false">IF(ISNUMBER(MATCH(D139,Controls!$A$64:$A$74,0)),1,0)</f>
        <v>1</v>
      </c>
      <c r="AJ139" s="65" t="n">
        <f aca="false">Q139-N139</f>
        <v>-22447.93</v>
      </c>
      <c r="AK139" s="65" t="n">
        <f aca="false">IF(AE139=1,MAX(0,N139-Q139),0)</f>
        <v>22447.93</v>
      </c>
      <c r="AL139" s="65" t="n">
        <f aca="false">IF(OR(V139="",V139=0),0,N139/V139)</f>
        <v>0.238329254725354</v>
      </c>
      <c r="AM139" s="65" t="n">
        <f aca="false">IF(OR(V139="",V139=0),0,1)</f>
        <v>1</v>
      </c>
      <c r="AN139" s="65" t="n">
        <f aca="false">IF(OR(E139="",F139=""),0,NETWORKDAYS(E139,F139,Ref!$K$2:$K$42))</f>
        <v>34</v>
      </c>
      <c r="AO139" s="65" t="n">
        <f aca="false">IF(L139="Renewal",1,0)</f>
        <v>0</v>
      </c>
      <c r="AP139" s="65" t="n">
        <f aca="false">AC139*AD139</f>
        <v>1</v>
      </c>
      <c r="AQ139" s="65" t="n">
        <f aca="false">IF(AND(G139&lt;&gt;"",'Historical Score'!$C$6&lt;&gt;""),IF(G139='Historical Score'!$C$6,1,0),0)</f>
        <v>0</v>
      </c>
      <c r="AR139" s="65" t="n">
        <f aca="false">IF(AND(L139&lt;&gt;"",'Historical Score'!$C$5&lt;&gt;""),IF(L139='Historical Score'!$C$5,1,0),0)</f>
        <v>1</v>
      </c>
      <c r="AS139" s="65" t="n">
        <f aca="false">IF(AND(Y139&lt;&gt;"",'Historical Score'!$C$7&lt;&gt;""),IF(Y139='Historical Score'!$C$7,1,0),0)</f>
        <v>0</v>
      </c>
      <c r="AT139" s="65" t="n">
        <f aca="false">IF(AND(K139&lt;&gt;"",'Historical Score'!$C$8&lt;&gt;""),IF(K139='Historical Score'!$C$8,1,0),0)</f>
        <v>0</v>
      </c>
      <c r="AU139" s="65" t="n">
        <f aca="false">IF(AND(J139&lt;&gt;"",'Historical Score'!$C$9&lt;&gt;""),IF(J139='Historical Score'!$C$9,1,0),0)</f>
        <v>0</v>
      </c>
      <c r="AV139" s="65" t="n">
        <f aca="false">AR139*AS139*AQ139</f>
        <v>0</v>
      </c>
      <c r="AW139" s="65" t="n">
        <f aca="false">AR139*AT139*AQ139</f>
        <v>0</v>
      </c>
      <c r="AX139" s="65" t="n">
        <f aca="false">AR139*AS139</f>
        <v>0</v>
      </c>
      <c r="AY139" s="65" t="n">
        <f aca="false">AR139*AT139</f>
        <v>0</v>
      </c>
      <c r="AZ139" s="65" t="n">
        <f aca="false">AR139*AQ139</f>
        <v>0</v>
      </c>
      <c r="BA139" s="65" t="n">
        <f aca="false">AR139</f>
        <v>1</v>
      </c>
      <c r="BB139" s="65" t="n">
        <f aca="false">1</f>
        <v>1</v>
      </c>
      <c r="BC139" s="65" t="n">
        <f aca="false">IF(AV139=1,1,IF(AW139=1,2,IF(AX139=1,3,IF(AY139=1,4,IF(AZ139=1,5,IF(BA139=1,6,7))))))</f>
        <v>6</v>
      </c>
      <c r="BD139" s="65" t="n">
        <f aca="false">IF(AD139=1,CHOOSE('Historical Score'!$C$29,AV139,AW139,AX139,AY139,AZ139,BA139,BB139),0)</f>
        <v>0</v>
      </c>
      <c r="BE139" s="65" t="str">
        <f aca="false">IF(BD139=1,COUNTIF($BD$2:BD139,1),"")</f>
        <v/>
      </c>
    </row>
    <row r="140" customFormat="false" ht="15" hidden="false" customHeight="false" outlineLevel="0" collapsed="false">
      <c r="A140" s="65" t="s">
        <v>859</v>
      </c>
      <c r="B140" s="65" t="s">
        <v>580</v>
      </c>
      <c r="C140" s="65" t="s">
        <v>580</v>
      </c>
      <c r="D140" s="65" t="s">
        <v>340</v>
      </c>
      <c r="E140" s="112" t="n">
        <v>45840</v>
      </c>
      <c r="F140" s="112" t="n">
        <v>45923</v>
      </c>
      <c r="G140" s="65" t="n">
        <v>7</v>
      </c>
      <c r="H140" s="65" t="s">
        <v>372</v>
      </c>
      <c r="I140" s="65" t="s">
        <v>367</v>
      </c>
      <c r="J140" s="65" t="s">
        <v>61</v>
      </c>
      <c r="K140" s="65" t="s">
        <v>581</v>
      </c>
      <c r="L140" s="65" t="s">
        <v>64</v>
      </c>
      <c r="M140" s="113" t="n">
        <v>1.499</v>
      </c>
      <c r="N140" s="114" t="n">
        <v>20000</v>
      </c>
      <c r="O140" s="114" t="n">
        <v>2800</v>
      </c>
      <c r="P140" s="114" t="n">
        <v>29980</v>
      </c>
      <c r="Q140" s="114" t="n">
        <v>13242</v>
      </c>
      <c r="R140" s="114" t="n">
        <v>16738</v>
      </c>
      <c r="S140" s="115" t="n">
        <v>0.441694462975317</v>
      </c>
      <c r="T140" s="65" t="n">
        <v>2.951</v>
      </c>
      <c r="U140" s="65" t="n">
        <v>6</v>
      </c>
      <c r="V140" s="65" t="n">
        <v>135783.66</v>
      </c>
      <c r="W140" s="115" t="n">
        <v>0.0512</v>
      </c>
      <c r="X140" s="112" t="n">
        <v>40909</v>
      </c>
      <c r="Y140" s="65" t="str">
        <f aca="false">IF(I140="","No SIC",IFERROR(VLOOKUP(I140,Ref!$A$2:$B$65,2,FALSE()),"Unclassified"))</f>
        <v>Engineering, Accounting &amp; Management</v>
      </c>
      <c r="Z140" s="65" t="str">
        <f aca="false">IF(T140="","",IF(T140&lt;12,"Daily","Weekly"))</f>
        <v>Daily</v>
      </c>
      <c r="AA140" s="65" t="n">
        <f aca="false">IF(T140="",0,IF(T140&lt;12,T140*Controls!$B$29,T140*5))</f>
        <v>63.903905</v>
      </c>
      <c r="AB140" s="65" t="n">
        <f aca="false">IF(E140="",0,NETWORKDAYS(E140,Controls!$B$36,Ref!$K$2:$K$42))</f>
        <v>289</v>
      </c>
      <c r="AC140" s="65" t="n">
        <f aca="false">IF(AND(AA140&gt;0,AB140&gt;=Controls!$B$39*AA140),1,0)</f>
        <v>1</v>
      </c>
      <c r="AD140" s="65" t="n">
        <f aca="false">IF(AND(E140&lt;&gt;"",E140&gt;=Controls!$B$37,E140&lt;=Controls!$B$38),1,0)</f>
        <v>1</v>
      </c>
      <c r="AE140" s="65" t="n">
        <f aca="false">IF(IFERROR(VLOOKUP(D140,Controls!$A$64:$E$74,2,FALSE()),"No")="Yes",1,0)</f>
        <v>1</v>
      </c>
      <c r="AF140" s="65" t="n">
        <f aca="false">IF(IFERROR(VLOOKUP(D140,Controls!$A$64:$E$74,3,FALSE()),"No")="Yes",1,0)</f>
        <v>0</v>
      </c>
      <c r="AG140" s="65" t="n">
        <f aca="false">IF(IFERROR(VLOOKUP(D140,Controls!$A$64:$E$74,4,FALSE()),"No")="Yes",1,0)</f>
        <v>0</v>
      </c>
      <c r="AH140" s="65" t="n">
        <f aca="false">IF(IFERROR(VLOOKUP(D140,Controls!$A$64:$E$74,5,FALSE()),"No")="Yes",1,0)</f>
        <v>0</v>
      </c>
      <c r="AI140" s="65" t="n">
        <f aca="false">IF(ISNUMBER(MATCH(D140,Controls!$A$64:$A$74,0)),1,0)</f>
        <v>1</v>
      </c>
      <c r="AJ140" s="65" t="n">
        <f aca="false">Q140-N140</f>
        <v>-6758</v>
      </c>
      <c r="AK140" s="65" t="n">
        <f aca="false">IF(AE140=1,MAX(0,N140-Q140),0)</f>
        <v>6758</v>
      </c>
      <c r="AL140" s="65" t="n">
        <f aca="false">IF(OR(V140="",V140=0),0,N140/V140)</f>
        <v>0.147293127906554</v>
      </c>
      <c r="AM140" s="65" t="n">
        <f aca="false">IF(OR(V140="",V140=0),0,1)</f>
        <v>1</v>
      </c>
      <c r="AN140" s="65" t="n">
        <f aca="false">IF(OR(E140="",F140=""),0,NETWORKDAYS(E140,F140,Ref!$K$2:$K$42))</f>
        <v>58</v>
      </c>
      <c r="AO140" s="65" t="n">
        <f aca="false">IF(L140="Renewal",1,0)</f>
        <v>0</v>
      </c>
      <c r="AP140" s="65" t="n">
        <f aca="false">AC140*AD140</f>
        <v>1</v>
      </c>
      <c r="AQ140" s="65" t="n">
        <f aca="false">IF(AND(G140&lt;&gt;"",'Historical Score'!$C$6&lt;&gt;""),IF(G140='Historical Score'!$C$6,1,0),0)</f>
        <v>0</v>
      </c>
      <c r="AR140" s="65" t="n">
        <f aca="false">IF(AND(L140&lt;&gt;"",'Historical Score'!$C$5&lt;&gt;""),IF(L140='Historical Score'!$C$5,1,0),0)</f>
        <v>1</v>
      </c>
      <c r="AS140" s="65" t="n">
        <f aca="false">IF(AND(Y140&lt;&gt;"",'Historical Score'!$C$7&lt;&gt;""),IF(Y140='Historical Score'!$C$7,1,0),0)</f>
        <v>0</v>
      </c>
      <c r="AT140" s="65" t="n">
        <f aca="false">IF(AND(K140&lt;&gt;"",'Historical Score'!$C$8&lt;&gt;""),IF(K140='Historical Score'!$C$8,1,0),0)</f>
        <v>0</v>
      </c>
      <c r="AU140" s="65" t="n">
        <f aca="false">IF(AND(J140&lt;&gt;"",'Historical Score'!$C$9&lt;&gt;""),IF(J140='Historical Score'!$C$9,1,0),0)</f>
        <v>1</v>
      </c>
      <c r="AV140" s="65" t="n">
        <f aca="false">AR140*AS140*AQ140</f>
        <v>0</v>
      </c>
      <c r="AW140" s="65" t="n">
        <f aca="false">AR140*AT140*AQ140</f>
        <v>0</v>
      </c>
      <c r="AX140" s="65" t="n">
        <f aca="false">AR140*AS140</f>
        <v>0</v>
      </c>
      <c r="AY140" s="65" t="n">
        <f aca="false">AR140*AT140</f>
        <v>0</v>
      </c>
      <c r="AZ140" s="65" t="n">
        <f aca="false">AR140*AQ140</f>
        <v>0</v>
      </c>
      <c r="BA140" s="65" t="n">
        <f aca="false">AR140</f>
        <v>1</v>
      </c>
      <c r="BB140" s="65" t="n">
        <f aca="false">1</f>
        <v>1</v>
      </c>
      <c r="BC140" s="65" t="n">
        <f aca="false">IF(AV140=1,1,IF(AW140=1,2,IF(AX140=1,3,IF(AY140=1,4,IF(AZ140=1,5,IF(BA140=1,6,7))))))</f>
        <v>6</v>
      </c>
      <c r="BD140" s="65" t="n">
        <f aca="false">IF(AD140=1,CHOOSE('Historical Score'!$C$29,AV140,AW140,AX140,AY140,AZ140,BA140,BB140),0)</f>
        <v>0</v>
      </c>
      <c r="BE140" s="65" t="str">
        <f aca="false">IF(BD140=1,COUNTIF($BD$2:BD140,1),"")</f>
        <v/>
      </c>
    </row>
    <row r="141" customFormat="false" ht="15" hidden="false" customHeight="false" outlineLevel="0" collapsed="false">
      <c r="A141" s="65" t="s">
        <v>860</v>
      </c>
      <c r="B141" s="65" t="s">
        <v>861</v>
      </c>
      <c r="C141" s="65" t="s">
        <v>861</v>
      </c>
      <c r="D141" s="65" t="s">
        <v>371</v>
      </c>
      <c r="E141" s="112" t="n">
        <v>45841</v>
      </c>
      <c r="F141" s="112" t="n">
        <v>45903</v>
      </c>
      <c r="G141" s="65" t="n">
        <v>3</v>
      </c>
      <c r="H141" s="65" t="s">
        <v>442</v>
      </c>
      <c r="I141" s="65" t="s">
        <v>443</v>
      </c>
      <c r="J141" s="65" t="s">
        <v>452</v>
      </c>
      <c r="K141" s="65" t="s">
        <v>862</v>
      </c>
      <c r="L141" s="65" t="s">
        <v>64</v>
      </c>
      <c r="M141" s="113" t="n">
        <v>1.499</v>
      </c>
      <c r="N141" s="114" t="n">
        <v>10000</v>
      </c>
      <c r="O141" s="114" t="n">
        <v>1400</v>
      </c>
      <c r="P141" s="114" t="n">
        <v>14990</v>
      </c>
      <c r="Q141" s="114" t="n">
        <v>14990</v>
      </c>
      <c r="R141" s="114" t="n">
        <v>1.81898940354586E-012</v>
      </c>
      <c r="S141" s="115" t="n">
        <v>1</v>
      </c>
      <c r="T141" s="65" t="n">
        <v>2.787</v>
      </c>
      <c r="U141" s="65" t="n">
        <v>1</v>
      </c>
      <c r="V141" s="65" t="n">
        <v>56413.26</v>
      </c>
      <c r="W141" s="115" t="n">
        <v>0.0652</v>
      </c>
      <c r="X141" s="112" t="n">
        <v>43647</v>
      </c>
      <c r="Y141" s="65" t="str">
        <f aca="false">IF(I141="","No SIC",IFERROR(VLOOKUP(I141,Ref!$A$2:$B$65,2,FALSE()),"Unclassified"))</f>
        <v>General Building Contractors</v>
      </c>
      <c r="Z141" s="65" t="str">
        <f aca="false">IF(T141="","",IF(T141&lt;12,"Daily","Weekly"))</f>
        <v>Daily</v>
      </c>
      <c r="AA141" s="65" t="n">
        <f aca="false">IF(T141="",0,IF(T141&lt;12,T141*Controls!$B$29,T141*5))</f>
        <v>60.352485</v>
      </c>
      <c r="AB141" s="65" t="n">
        <f aca="false">IF(E141="",0,NETWORKDAYS(E141,Controls!$B$36,Ref!$K$2:$K$42))</f>
        <v>288</v>
      </c>
      <c r="AC141" s="65" t="n">
        <f aca="false">IF(AND(AA141&gt;0,AB141&gt;=Controls!$B$39*AA141),1,0)</f>
        <v>1</v>
      </c>
      <c r="AD141" s="65" t="n">
        <f aca="false">IF(AND(E141&lt;&gt;"",E141&gt;=Controls!$B$37,E141&lt;=Controls!$B$38),1,0)</f>
        <v>1</v>
      </c>
      <c r="AE141" s="65" t="n">
        <f aca="false">IF(IFERROR(VLOOKUP(D141,Controls!$A$64:$E$74,2,FALSE()),"No")="Yes",1,0)</f>
        <v>0</v>
      </c>
      <c r="AF141" s="65" t="n">
        <f aca="false">IF(IFERROR(VLOOKUP(D141,Controls!$A$64:$E$74,3,FALSE()),"No")="Yes",1,0)</f>
        <v>1</v>
      </c>
      <c r="AG141" s="65" t="n">
        <f aca="false">IF(IFERROR(VLOOKUP(D141,Controls!$A$64:$E$74,4,FALSE()),"No")="Yes",1,0)</f>
        <v>1</v>
      </c>
      <c r="AH141" s="65" t="n">
        <f aca="false">IF(IFERROR(VLOOKUP(D141,Controls!$A$64:$E$74,5,FALSE()),"No")="Yes",1,0)</f>
        <v>0</v>
      </c>
      <c r="AI141" s="65" t="n">
        <f aca="false">IF(ISNUMBER(MATCH(D141,Controls!$A$64:$A$74,0)),1,0)</f>
        <v>1</v>
      </c>
      <c r="AJ141" s="65" t="n">
        <f aca="false">Q141-N141</f>
        <v>4990</v>
      </c>
      <c r="AK141" s="65" t="n">
        <f aca="false">IF(AE141=1,MAX(0,N141-Q141),0)</f>
        <v>0</v>
      </c>
      <c r="AL141" s="65" t="n">
        <f aca="false">IF(OR(V141="",V141=0),0,N141/V141)</f>
        <v>0.17726328880834</v>
      </c>
      <c r="AM141" s="65" t="n">
        <f aca="false">IF(OR(V141="",V141=0),0,1)</f>
        <v>1</v>
      </c>
      <c r="AN141" s="65" t="n">
        <f aca="false">IF(OR(E141="",F141=""),0,NETWORKDAYS(E141,F141,Ref!$K$2:$K$42))</f>
        <v>43</v>
      </c>
      <c r="AO141" s="65" t="n">
        <f aca="false">IF(L141="Renewal",1,0)</f>
        <v>0</v>
      </c>
      <c r="AP141" s="65" t="n">
        <f aca="false">AC141*AD141</f>
        <v>1</v>
      </c>
      <c r="AQ141" s="65" t="n">
        <f aca="false">IF(AND(G141&lt;&gt;"",'Historical Score'!$C$6&lt;&gt;""),IF(G141='Historical Score'!$C$6,1,0),0)</f>
        <v>0</v>
      </c>
      <c r="AR141" s="65" t="n">
        <f aca="false">IF(AND(L141&lt;&gt;"",'Historical Score'!$C$5&lt;&gt;""),IF(L141='Historical Score'!$C$5,1,0),0)</f>
        <v>1</v>
      </c>
      <c r="AS141" s="65" t="n">
        <f aca="false">IF(AND(Y141&lt;&gt;"",'Historical Score'!$C$7&lt;&gt;""),IF(Y141='Historical Score'!$C$7,1,0),0)</f>
        <v>1</v>
      </c>
      <c r="AT141" s="65" t="n">
        <f aca="false">IF(AND(K141&lt;&gt;"",'Historical Score'!$C$8&lt;&gt;""),IF(K141='Historical Score'!$C$8,1,0),0)</f>
        <v>0</v>
      </c>
      <c r="AU141" s="65" t="n">
        <f aca="false">IF(AND(J141&lt;&gt;"",'Historical Score'!$C$9&lt;&gt;""),IF(J141='Historical Score'!$C$9,1,0),0)</f>
        <v>0</v>
      </c>
      <c r="AV141" s="65" t="n">
        <f aca="false">AR141*AS141*AQ141</f>
        <v>0</v>
      </c>
      <c r="AW141" s="65" t="n">
        <f aca="false">AR141*AT141*AQ141</f>
        <v>0</v>
      </c>
      <c r="AX141" s="65" t="n">
        <f aca="false">AR141*AS141</f>
        <v>1</v>
      </c>
      <c r="AY141" s="65" t="n">
        <f aca="false">AR141*AT141</f>
        <v>0</v>
      </c>
      <c r="AZ141" s="65" t="n">
        <f aca="false">AR141*AQ141</f>
        <v>0</v>
      </c>
      <c r="BA141" s="65" t="n">
        <f aca="false">AR141</f>
        <v>1</v>
      </c>
      <c r="BB141" s="65" t="n">
        <f aca="false">1</f>
        <v>1</v>
      </c>
      <c r="BC141" s="65" t="n">
        <f aca="false">IF(AV141=1,1,IF(AW141=1,2,IF(AX141=1,3,IF(AY141=1,4,IF(AZ141=1,5,IF(BA141=1,6,7))))))</f>
        <v>3</v>
      </c>
      <c r="BD141" s="65" t="n">
        <f aca="false">IF(AD141=1,CHOOSE('Historical Score'!$C$29,AV141,AW141,AX141,AY141,AZ141,BA141,BB141),0)</f>
        <v>0</v>
      </c>
      <c r="BE141" s="65" t="str">
        <f aca="false">IF(BD141=1,COUNTIF($BD$2:BD141,1),"")</f>
        <v/>
      </c>
    </row>
    <row r="142" customFormat="false" ht="15" hidden="false" customHeight="false" outlineLevel="0" collapsed="false">
      <c r="A142" s="65" t="s">
        <v>863</v>
      </c>
      <c r="B142" s="65" t="s">
        <v>864</v>
      </c>
      <c r="C142" s="65" t="s">
        <v>865</v>
      </c>
      <c r="D142" s="65" t="s">
        <v>371</v>
      </c>
      <c r="E142" s="112" t="n">
        <v>45847</v>
      </c>
      <c r="F142" s="112" t="n">
        <v>45978</v>
      </c>
      <c r="G142" s="65" t="n">
        <v>7</v>
      </c>
      <c r="H142" s="65" t="s">
        <v>500</v>
      </c>
      <c r="I142" s="65" t="s">
        <v>475</v>
      </c>
      <c r="J142" s="65" t="s">
        <v>555</v>
      </c>
      <c r="K142" s="65" t="s">
        <v>411</v>
      </c>
      <c r="L142" s="65" t="s">
        <v>320</v>
      </c>
      <c r="M142" s="113" t="n">
        <v>1.49</v>
      </c>
      <c r="N142" s="114" t="n">
        <v>14000</v>
      </c>
      <c r="O142" s="114" t="n">
        <v>1960</v>
      </c>
      <c r="P142" s="114" t="n">
        <v>20860</v>
      </c>
      <c r="Q142" s="114" t="n">
        <v>20860</v>
      </c>
      <c r="R142" s="114" t="n">
        <v>0</v>
      </c>
      <c r="S142" s="115" t="n">
        <v>1</v>
      </c>
      <c r="T142" s="65" t="n">
        <v>2.951</v>
      </c>
      <c r="U142" s="65" t="n">
        <v>0</v>
      </c>
      <c r="V142" s="65" t="n">
        <v>36539.21</v>
      </c>
      <c r="W142" s="115" t="n">
        <v>0.1332</v>
      </c>
      <c r="X142" s="112" t="n">
        <v>30767</v>
      </c>
      <c r="Y142" s="65" t="str">
        <f aca="false">IF(I142="","No SIC",IFERROR(VLOOKUP(I142,Ref!$A$2:$B$65,2,FALSE()),"Unclassified"))</f>
        <v>Auto Repair &amp; Services</v>
      </c>
      <c r="Z142" s="65" t="str">
        <f aca="false">IF(T142="","",IF(T142&lt;12,"Daily","Weekly"))</f>
        <v>Daily</v>
      </c>
      <c r="AA142" s="65" t="n">
        <f aca="false">IF(T142="",0,IF(T142&lt;12,T142*Controls!$B$29,T142*5))</f>
        <v>63.903905</v>
      </c>
      <c r="AB142" s="65" t="n">
        <f aca="false">IF(E142="",0,NETWORKDAYS(E142,Controls!$B$36,Ref!$K$2:$K$42))</f>
        <v>285</v>
      </c>
      <c r="AC142" s="65" t="n">
        <f aca="false">IF(AND(AA142&gt;0,AB142&gt;=Controls!$B$39*AA142),1,0)</f>
        <v>1</v>
      </c>
      <c r="AD142" s="65" t="n">
        <f aca="false">IF(AND(E142&lt;&gt;"",E142&gt;=Controls!$B$37,E142&lt;=Controls!$B$38),1,0)</f>
        <v>1</v>
      </c>
      <c r="AE142" s="65" t="n">
        <f aca="false">IF(IFERROR(VLOOKUP(D142,Controls!$A$64:$E$74,2,FALSE()),"No")="Yes",1,0)</f>
        <v>0</v>
      </c>
      <c r="AF142" s="65" t="n">
        <f aca="false">IF(IFERROR(VLOOKUP(D142,Controls!$A$64:$E$74,3,FALSE()),"No")="Yes",1,0)</f>
        <v>1</v>
      </c>
      <c r="AG142" s="65" t="n">
        <f aca="false">IF(IFERROR(VLOOKUP(D142,Controls!$A$64:$E$74,4,FALSE()),"No")="Yes",1,0)</f>
        <v>1</v>
      </c>
      <c r="AH142" s="65" t="n">
        <f aca="false">IF(IFERROR(VLOOKUP(D142,Controls!$A$64:$E$74,5,FALSE()),"No")="Yes",1,0)</f>
        <v>0</v>
      </c>
      <c r="AI142" s="65" t="n">
        <f aca="false">IF(ISNUMBER(MATCH(D142,Controls!$A$64:$A$74,0)),1,0)</f>
        <v>1</v>
      </c>
      <c r="AJ142" s="65" t="n">
        <f aca="false">Q142-N142</f>
        <v>6860</v>
      </c>
      <c r="AK142" s="65" t="n">
        <f aca="false">IF(AE142=1,MAX(0,N142-Q142),0)</f>
        <v>0</v>
      </c>
      <c r="AL142" s="65" t="n">
        <f aca="false">IF(OR(V142="",V142=0),0,N142/V142)</f>
        <v>0.383150046210632</v>
      </c>
      <c r="AM142" s="65" t="n">
        <f aca="false">IF(OR(V142="",V142=0),0,1)</f>
        <v>1</v>
      </c>
      <c r="AN142" s="65" t="n">
        <f aca="false">IF(OR(E142="",F142=""),0,NETWORKDAYS(E142,F142,Ref!$K$2:$K$42))</f>
        <v>91</v>
      </c>
      <c r="AO142" s="65" t="n">
        <f aca="false">IF(L142="Renewal",1,0)</f>
        <v>1</v>
      </c>
      <c r="AP142" s="65" t="n">
        <f aca="false">AC142*AD142</f>
        <v>1</v>
      </c>
      <c r="AQ142" s="65" t="n">
        <f aca="false">IF(AND(G142&lt;&gt;"",'Historical Score'!$C$6&lt;&gt;""),IF(G142='Historical Score'!$C$6,1,0),0)</f>
        <v>0</v>
      </c>
      <c r="AR142" s="65" t="n">
        <f aca="false">IF(AND(L142&lt;&gt;"",'Historical Score'!$C$5&lt;&gt;""),IF(L142='Historical Score'!$C$5,1,0),0)</f>
        <v>0</v>
      </c>
      <c r="AS142" s="65" t="n">
        <f aca="false">IF(AND(Y142&lt;&gt;"",'Historical Score'!$C$7&lt;&gt;""),IF(Y142='Historical Score'!$C$7,1,0),0)</f>
        <v>0</v>
      </c>
      <c r="AT142" s="65" t="n">
        <f aca="false">IF(AND(K142&lt;&gt;"",'Historical Score'!$C$8&lt;&gt;""),IF(K142='Historical Score'!$C$8,1,0),0)</f>
        <v>0</v>
      </c>
      <c r="AU142" s="65" t="n">
        <f aca="false">IF(AND(J142&lt;&gt;"",'Historical Score'!$C$9&lt;&gt;""),IF(J142='Historical Score'!$C$9,1,0),0)</f>
        <v>0</v>
      </c>
      <c r="AV142" s="65" t="n">
        <f aca="false">AR142*AS142*AQ142</f>
        <v>0</v>
      </c>
      <c r="AW142" s="65" t="n">
        <f aca="false">AR142*AT142*AQ142</f>
        <v>0</v>
      </c>
      <c r="AX142" s="65" t="n">
        <f aca="false">AR142*AS142</f>
        <v>0</v>
      </c>
      <c r="AY142" s="65" t="n">
        <f aca="false">AR142*AT142</f>
        <v>0</v>
      </c>
      <c r="AZ142" s="65" t="n">
        <f aca="false">AR142*AQ142</f>
        <v>0</v>
      </c>
      <c r="BA142" s="65" t="n">
        <f aca="false">AR142</f>
        <v>0</v>
      </c>
      <c r="BB142" s="65" t="n">
        <f aca="false">1</f>
        <v>1</v>
      </c>
      <c r="BC142" s="65" t="n">
        <f aca="false">IF(AV142=1,1,IF(AW142=1,2,IF(AX142=1,3,IF(AY142=1,4,IF(AZ142=1,5,IF(BA142=1,6,7))))))</f>
        <v>7</v>
      </c>
      <c r="BD142" s="65" t="n">
        <f aca="false">IF(AD142=1,CHOOSE('Historical Score'!$C$29,AV142,AW142,AX142,AY142,AZ142,BA142,BB142),0)</f>
        <v>0</v>
      </c>
      <c r="BE142" s="65" t="str">
        <f aca="false">IF(BD142=1,COUNTIF($BD$2:BD142,1),"")</f>
        <v/>
      </c>
    </row>
    <row r="143" customFormat="false" ht="15" hidden="false" customHeight="false" outlineLevel="0" collapsed="false">
      <c r="A143" s="65" t="s">
        <v>866</v>
      </c>
      <c r="B143" s="65" t="s">
        <v>867</v>
      </c>
      <c r="C143" s="65" t="s">
        <v>867</v>
      </c>
      <c r="D143" s="65" t="s">
        <v>371</v>
      </c>
      <c r="E143" s="112" t="n">
        <v>45849</v>
      </c>
      <c r="F143" s="112" t="n">
        <v>45936</v>
      </c>
      <c r="G143" s="65" t="n">
        <v>1</v>
      </c>
      <c r="H143" s="65" t="s">
        <v>463</v>
      </c>
      <c r="I143" s="65" t="s">
        <v>419</v>
      </c>
      <c r="J143" s="65" t="s">
        <v>704</v>
      </c>
      <c r="K143" s="65" t="s">
        <v>578</v>
      </c>
      <c r="L143" s="65" t="s">
        <v>64</v>
      </c>
      <c r="M143" s="113" t="n">
        <v>1.499</v>
      </c>
      <c r="N143" s="114" t="n">
        <v>5000</v>
      </c>
      <c r="O143" s="114" t="n">
        <v>700</v>
      </c>
      <c r="P143" s="114" t="n">
        <v>7495</v>
      </c>
      <c r="Q143" s="114" t="n">
        <v>7495</v>
      </c>
      <c r="R143" s="114" t="n">
        <v>9.09494701772928E-013</v>
      </c>
      <c r="S143" s="115" t="n">
        <v>1</v>
      </c>
      <c r="T143" s="65" t="n">
        <v>1.967</v>
      </c>
      <c r="U143" s="65" t="n">
        <v>0</v>
      </c>
      <c r="V143" s="65" t="n">
        <v>23587.47</v>
      </c>
      <c r="W143" s="115" t="n">
        <v>0.1105</v>
      </c>
      <c r="X143" s="112" t="n">
        <v>45849</v>
      </c>
      <c r="Y143" s="65" t="str">
        <f aca="false">IF(I143="","No SIC",IFERROR(VLOOKUP(I143,Ref!$A$2:$B$65,2,FALSE()),"Unclassified"))</f>
        <v>Business Services</v>
      </c>
      <c r="Z143" s="65" t="str">
        <f aca="false">IF(T143="","",IF(T143&lt;12,"Daily","Weekly"))</f>
        <v>Daily</v>
      </c>
      <c r="AA143" s="65" t="n">
        <f aca="false">IF(T143="",0,IF(T143&lt;12,T143*Controls!$B$29,T143*5))</f>
        <v>42.595385</v>
      </c>
      <c r="AB143" s="65" t="n">
        <f aca="false">IF(E143="",0,NETWORKDAYS(E143,Controls!$B$36,Ref!$K$2:$K$42))</f>
        <v>283</v>
      </c>
      <c r="AC143" s="65" t="n">
        <f aca="false">IF(AND(AA143&gt;0,AB143&gt;=Controls!$B$39*AA143),1,0)</f>
        <v>1</v>
      </c>
      <c r="AD143" s="65" t="n">
        <f aca="false">IF(AND(E143&lt;&gt;"",E143&gt;=Controls!$B$37,E143&lt;=Controls!$B$38),1,0)</f>
        <v>1</v>
      </c>
      <c r="AE143" s="65" t="n">
        <f aca="false">IF(IFERROR(VLOOKUP(D143,Controls!$A$64:$E$74,2,FALSE()),"No")="Yes",1,0)</f>
        <v>0</v>
      </c>
      <c r="AF143" s="65" t="n">
        <f aca="false">IF(IFERROR(VLOOKUP(D143,Controls!$A$64:$E$74,3,FALSE()),"No")="Yes",1,0)</f>
        <v>1</v>
      </c>
      <c r="AG143" s="65" t="n">
        <f aca="false">IF(IFERROR(VLOOKUP(D143,Controls!$A$64:$E$74,4,FALSE()),"No")="Yes",1,0)</f>
        <v>1</v>
      </c>
      <c r="AH143" s="65" t="n">
        <f aca="false">IF(IFERROR(VLOOKUP(D143,Controls!$A$64:$E$74,5,FALSE()),"No")="Yes",1,0)</f>
        <v>0</v>
      </c>
      <c r="AI143" s="65" t="n">
        <f aca="false">IF(ISNUMBER(MATCH(D143,Controls!$A$64:$A$74,0)),1,0)</f>
        <v>1</v>
      </c>
      <c r="AJ143" s="65" t="n">
        <f aca="false">Q143-N143</f>
        <v>2495</v>
      </c>
      <c r="AK143" s="65" t="n">
        <f aca="false">IF(AE143=1,MAX(0,N143-Q143),0)</f>
        <v>0</v>
      </c>
      <c r="AL143" s="65" t="n">
        <f aca="false">IF(OR(V143="",V143=0),0,N143/V143)</f>
        <v>0.211976952169944</v>
      </c>
      <c r="AM143" s="65" t="n">
        <f aca="false">IF(OR(V143="",V143=0),0,1)</f>
        <v>1</v>
      </c>
      <c r="AN143" s="65" t="n">
        <f aca="false">IF(OR(E143="",F143=""),0,NETWORKDAYS(E143,F143,Ref!$K$2:$K$42))</f>
        <v>61</v>
      </c>
      <c r="AO143" s="65" t="n">
        <f aca="false">IF(L143="Renewal",1,0)</f>
        <v>0</v>
      </c>
      <c r="AP143" s="65" t="n">
        <f aca="false">AC143*AD143</f>
        <v>1</v>
      </c>
      <c r="AQ143" s="65" t="n">
        <f aca="false">IF(AND(G143&lt;&gt;"",'Historical Score'!$C$6&lt;&gt;""),IF(G143='Historical Score'!$C$6,1,0),0)</f>
        <v>0</v>
      </c>
      <c r="AR143" s="65" t="n">
        <f aca="false">IF(AND(L143&lt;&gt;"",'Historical Score'!$C$5&lt;&gt;""),IF(L143='Historical Score'!$C$5,1,0),0)</f>
        <v>1</v>
      </c>
      <c r="AS143" s="65" t="n">
        <f aca="false">IF(AND(Y143&lt;&gt;"",'Historical Score'!$C$7&lt;&gt;""),IF(Y143='Historical Score'!$C$7,1,0),0)</f>
        <v>0</v>
      </c>
      <c r="AT143" s="65" t="n">
        <f aca="false">IF(AND(K143&lt;&gt;"",'Historical Score'!$C$8&lt;&gt;""),IF(K143='Historical Score'!$C$8,1,0),0)</f>
        <v>0</v>
      </c>
      <c r="AU143" s="65" t="n">
        <f aca="false">IF(AND(J143&lt;&gt;"",'Historical Score'!$C$9&lt;&gt;""),IF(J143='Historical Score'!$C$9,1,0),0)</f>
        <v>0</v>
      </c>
      <c r="AV143" s="65" t="n">
        <f aca="false">AR143*AS143*AQ143</f>
        <v>0</v>
      </c>
      <c r="AW143" s="65" t="n">
        <f aca="false">AR143*AT143*AQ143</f>
        <v>0</v>
      </c>
      <c r="AX143" s="65" t="n">
        <f aca="false">AR143*AS143</f>
        <v>0</v>
      </c>
      <c r="AY143" s="65" t="n">
        <f aca="false">AR143*AT143</f>
        <v>0</v>
      </c>
      <c r="AZ143" s="65" t="n">
        <f aca="false">AR143*AQ143</f>
        <v>0</v>
      </c>
      <c r="BA143" s="65" t="n">
        <f aca="false">AR143</f>
        <v>1</v>
      </c>
      <c r="BB143" s="65" t="n">
        <f aca="false">1</f>
        <v>1</v>
      </c>
      <c r="BC143" s="65" t="n">
        <f aca="false">IF(AV143=1,1,IF(AW143=1,2,IF(AX143=1,3,IF(AY143=1,4,IF(AZ143=1,5,IF(BA143=1,6,7))))))</f>
        <v>6</v>
      </c>
      <c r="BD143" s="65" t="n">
        <f aca="false">IF(AD143=1,CHOOSE('Historical Score'!$C$29,AV143,AW143,AX143,AY143,AZ143,BA143,BB143),0)</f>
        <v>0</v>
      </c>
      <c r="BE143" s="65" t="str">
        <f aca="false">IF(BD143=1,COUNTIF($BD$2:BD143,1),"")</f>
        <v/>
      </c>
    </row>
    <row r="144" customFormat="false" ht="15" hidden="false" customHeight="false" outlineLevel="0" collapsed="false">
      <c r="A144" s="65" t="s">
        <v>868</v>
      </c>
      <c r="B144" s="65" t="s">
        <v>869</v>
      </c>
      <c r="C144" s="65" t="s">
        <v>870</v>
      </c>
      <c r="D144" s="65" t="s">
        <v>340</v>
      </c>
      <c r="E144" s="112" t="n">
        <v>45853</v>
      </c>
      <c r="F144" s="112" t="n">
        <v>45930</v>
      </c>
      <c r="G144" s="65" t="n">
        <v>3</v>
      </c>
      <c r="H144" s="65" t="s">
        <v>871</v>
      </c>
      <c r="I144" s="65" t="s">
        <v>778</v>
      </c>
      <c r="J144" s="65" t="s">
        <v>658</v>
      </c>
      <c r="K144" s="65" t="s">
        <v>55</v>
      </c>
      <c r="L144" s="65" t="s">
        <v>64</v>
      </c>
      <c r="M144" s="113" t="n">
        <v>1.499</v>
      </c>
      <c r="N144" s="114" t="n">
        <v>60000</v>
      </c>
      <c r="O144" s="114" t="n">
        <v>0</v>
      </c>
      <c r="P144" s="114" t="n">
        <v>89940</v>
      </c>
      <c r="Q144" s="114" t="n">
        <v>12078.1</v>
      </c>
      <c r="R144" s="114" t="n">
        <v>77861.9</v>
      </c>
      <c r="S144" s="115" t="n">
        <v>0.134290638203247</v>
      </c>
      <c r="T144" s="65" t="n">
        <v>4.59</v>
      </c>
      <c r="U144" s="65" t="n">
        <v>6</v>
      </c>
      <c r="V144" s="65" t="n">
        <v>76319.47</v>
      </c>
      <c r="W144" s="115" t="n">
        <v>0.1757</v>
      </c>
      <c r="X144" s="112" t="n">
        <v>44632</v>
      </c>
      <c r="Y144" s="65" t="str">
        <f aca="false">IF(I144="","No SIC",IFERROR(VLOOKUP(I144,Ref!$A$2:$B$65,2,FALSE()),"Unclassified"))</f>
        <v>Electronic &amp; Electrical Equipment</v>
      </c>
      <c r="Z144" s="65" t="str">
        <f aca="false">IF(T144="","",IF(T144&lt;12,"Daily","Weekly"))</f>
        <v>Daily</v>
      </c>
      <c r="AA144" s="65" t="n">
        <f aca="false">IF(T144="",0,IF(T144&lt;12,T144*Controls!$B$29,T144*5))</f>
        <v>99.39645</v>
      </c>
      <c r="AB144" s="65" t="n">
        <f aca="false">IF(E144="",0,NETWORKDAYS(E144,Controls!$B$36,Ref!$K$2:$K$42))</f>
        <v>281</v>
      </c>
      <c r="AC144" s="65" t="n">
        <f aca="false">IF(AND(AA144&gt;0,AB144&gt;=Controls!$B$39*AA144),1,0)</f>
        <v>1</v>
      </c>
      <c r="AD144" s="65" t="n">
        <f aca="false">IF(AND(E144&lt;&gt;"",E144&gt;=Controls!$B$37,E144&lt;=Controls!$B$38),1,0)</f>
        <v>1</v>
      </c>
      <c r="AE144" s="65" t="n">
        <f aca="false">IF(IFERROR(VLOOKUP(D144,Controls!$A$64:$E$74,2,FALSE()),"No")="Yes",1,0)</f>
        <v>1</v>
      </c>
      <c r="AF144" s="65" t="n">
        <f aca="false">IF(IFERROR(VLOOKUP(D144,Controls!$A$64:$E$74,3,FALSE()),"No")="Yes",1,0)</f>
        <v>0</v>
      </c>
      <c r="AG144" s="65" t="n">
        <f aca="false">IF(IFERROR(VLOOKUP(D144,Controls!$A$64:$E$74,4,FALSE()),"No")="Yes",1,0)</f>
        <v>0</v>
      </c>
      <c r="AH144" s="65" t="n">
        <f aca="false">IF(IFERROR(VLOOKUP(D144,Controls!$A$64:$E$74,5,FALSE()),"No")="Yes",1,0)</f>
        <v>0</v>
      </c>
      <c r="AI144" s="65" t="n">
        <f aca="false">IF(ISNUMBER(MATCH(D144,Controls!$A$64:$A$74,0)),1,0)</f>
        <v>1</v>
      </c>
      <c r="AJ144" s="65" t="n">
        <f aca="false">Q144-N144</f>
        <v>-47921.9</v>
      </c>
      <c r="AK144" s="65" t="n">
        <f aca="false">IF(AE144=1,MAX(0,N144-Q144),0)</f>
        <v>47921.9</v>
      </c>
      <c r="AL144" s="65" t="n">
        <f aca="false">IF(OR(V144="",V144=0),0,N144/V144)</f>
        <v>0.786168981519395</v>
      </c>
      <c r="AM144" s="65" t="n">
        <f aca="false">IF(OR(V144="",V144=0),0,1)</f>
        <v>1</v>
      </c>
      <c r="AN144" s="65" t="n">
        <f aca="false">IF(OR(E144="",F144=""),0,NETWORKDAYS(E144,F144,Ref!$K$2:$K$42))</f>
        <v>55</v>
      </c>
      <c r="AO144" s="65" t="n">
        <f aca="false">IF(L144="Renewal",1,0)</f>
        <v>0</v>
      </c>
      <c r="AP144" s="65" t="n">
        <f aca="false">AC144*AD144</f>
        <v>1</v>
      </c>
      <c r="AQ144" s="65" t="n">
        <f aca="false">IF(AND(G144&lt;&gt;"",'Historical Score'!$C$6&lt;&gt;""),IF(G144='Historical Score'!$C$6,1,0),0)</f>
        <v>0</v>
      </c>
      <c r="AR144" s="65" t="n">
        <f aca="false">IF(AND(L144&lt;&gt;"",'Historical Score'!$C$5&lt;&gt;""),IF(L144='Historical Score'!$C$5,1,0),0)</f>
        <v>1</v>
      </c>
      <c r="AS144" s="65" t="n">
        <f aca="false">IF(AND(Y144&lt;&gt;"",'Historical Score'!$C$7&lt;&gt;""),IF(Y144='Historical Score'!$C$7,1,0),0)</f>
        <v>0</v>
      </c>
      <c r="AT144" s="65" t="n">
        <f aca="false">IF(AND(K144&lt;&gt;"",'Historical Score'!$C$8&lt;&gt;""),IF(K144='Historical Score'!$C$8,1,0),0)</f>
        <v>1</v>
      </c>
      <c r="AU144" s="65" t="n">
        <f aca="false">IF(AND(J144&lt;&gt;"",'Historical Score'!$C$9&lt;&gt;""),IF(J144='Historical Score'!$C$9,1,0),0)</f>
        <v>0</v>
      </c>
      <c r="AV144" s="65" t="n">
        <f aca="false">AR144*AS144*AQ144</f>
        <v>0</v>
      </c>
      <c r="AW144" s="65" t="n">
        <f aca="false">AR144*AT144*AQ144</f>
        <v>0</v>
      </c>
      <c r="AX144" s="65" t="n">
        <f aca="false">AR144*AS144</f>
        <v>0</v>
      </c>
      <c r="AY144" s="65" t="n">
        <f aca="false">AR144*AT144</f>
        <v>1</v>
      </c>
      <c r="AZ144" s="65" t="n">
        <f aca="false">AR144*AQ144</f>
        <v>0</v>
      </c>
      <c r="BA144" s="65" t="n">
        <f aca="false">AR144</f>
        <v>1</v>
      </c>
      <c r="BB144" s="65" t="n">
        <f aca="false">1</f>
        <v>1</v>
      </c>
      <c r="BC144" s="65" t="n">
        <f aca="false">IF(AV144=1,1,IF(AW144=1,2,IF(AX144=1,3,IF(AY144=1,4,IF(AZ144=1,5,IF(BA144=1,6,7))))))</f>
        <v>4</v>
      </c>
      <c r="BD144" s="65" t="n">
        <f aca="false">IF(AD144=1,CHOOSE('Historical Score'!$C$29,AV144,AW144,AX144,AY144,AZ144,BA144,BB144),0)</f>
        <v>0</v>
      </c>
      <c r="BE144" s="65" t="str">
        <f aca="false">IF(BD144=1,COUNTIF($BD$2:BD144,1),"")</f>
        <v/>
      </c>
    </row>
    <row r="145" customFormat="false" ht="15" hidden="false" customHeight="false" outlineLevel="0" collapsed="false">
      <c r="A145" s="65" t="s">
        <v>872</v>
      </c>
      <c r="B145" s="65" t="s">
        <v>873</v>
      </c>
      <c r="C145" s="65" t="s">
        <v>873</v>
      </c>
      <c r="D145" s="65" t="s">
        <v>340</v>
      </c>
      <c r="E145" s="112" t="n">
        <v>45853</v>
      </c>
      <c r="F145" s="112" t="n">
        <v>45867</v>
      </c>
      <c r="G145" s="65" t="n">
        <v>3</v>
      </c>
      <c r="H145" s="65" t="s">
        <v>874</v>
      </c>
      <c r="I145" s="65" t="s">
        <v>778</v>
      </c>
      <c r="J145" s="65" t="s">
        <v>452</v>
      </c>
      <c r="K145" s="65" t="s">
        <v>875</v>
      </c>
      <c r="L145" s="65" t="s">
        <v>64</v>
      </c>
      <c r="M145" s="113" t="n">
        <v>1.499</v>
      </c>
      <c r="N145" s="114" t="n">
        <v>4000</v>
      </c>
      <c r="O145" s="114" t="n">
        <v>560</v>
      </c>
      <c r="P145" s="114" t="n">
        <v>5996</v>
      </c>
      <c r="Q145" s="114" t="n">
        <v>-344.32</v>
      </c>
      <c r="R145" s="114" t="n">
        <v>6340.32</v>
      </c>
      <c r="S145" s="115" t="n">
        <v>-0.0574249499666444</v>
      </c>
      <c r="T145" s="65" t="n">
        <v>2.295</v>
      </c>
      <c r="U145" s="65" t="n">
        <v>6</v>
      </c>
      <c r="V145" s="65" t="n">
        <v>29071.64</v>
      </c>
      <c r="W145" s="115" t="n">
        <v>0.0611</v>
      </c>
      <c r="X145" s="112"/>
      <c r="Y145" s="65" t="str">
        <f aca="false">IF(I145="","No SIC",IFERROR(VLOOKUP(I145,Ref!$A$2:$B$65,2,FALSE()),"Unclassified"))</f>
        <v>Electronic &amp; Electrical Equipment</v>
      </c>
      <c r="Z145" s="65" t="str">
        <f aca="false">IF(T145="","",IF(T145&lt;12,"Daily","Weekly"))</f>
        <v>Daily</v>
      </c>
      <c r="AA145" s="65" t="n">
        <f aca="false">IF(T145="",0,IF(T145&lt;12,T145*Controls!$B$29,T145*5))</f>
        <v>49.698225</v>
      </c>
      <c r="AB145" s="65" t="n">
        <f aca="false">IF(E145="",0,NETWORKDAYS(E145,Controls!$B$36,Ref!$K$2:$K$42))</f>
        <v>281</v>
      </c>
      <c r="AC145" s="65" t="n">
        <f aca="false">IF(AND(AA145&gt;0,AB145&gt;=Controls!$B$39*AA145),1,0)</f>
        <v>1</v>
      </c>
      <c r="AD145" s="65" t="n">
        <f aca="false">IF(AND(E145&lt;&gt;"",E145&gt;=Controls!$B$37,E145&lt;=Controls!$B$38),1,0)</f>
        <v>1</v>
      </c>
      <c r="AE145" s="65" t="n">
        <f aca="false">IF(IFERROR(VLOOKUP(D145,Controls!$A$64:$E$74,2,FALSE()),"No")="Yes",1,0)</f>
        <v>1</v>
      </c>
      <c r="AF145" s="65" t="n">
        <f aca="false">IF(IFERROR(VLOOKUP(D145,Controls!$A$64:$E$74,3,FALSE()),"No")="Yes",1,0)</f>
        <v>0</v>
      </c>
      <c r="AG145" s="65" t="n">
        <f aca="false">IF(IFERROR(VLOOKUP(D145,Controls!$A$64:$E$74,4,FALSE()),"No")="Yes",1,0)</f>
        <v>0</v>
      </c>
      <c r="AH145" s="65" t="n">
        <f aca="false">IF(IFERROR(VLOOKUP(D145,Controls!$A$64:$E$74,5,FALSE()),"No")="Yes",1,0)</f>
        <v>0</v>
      </c>
      <c r="AI145" s="65" t="n">
        <f aca="false">IF(ISNUMBER(MATCH(D145,Controls!$A$64:$A$74,0)),1,0)</f>
        <v>1</v>
      </c>
      <c r="AJ145" s="65" t="n">
        <f aca="false">Q145-N145</f>
        <v>-4344.32</v>
      </c>
      <c r="AK145" s="65" t="n">
        <f aca="false">IF(AE145=1,MAX(0,N145-Q145),0)</f>
        <v>4344.32</v>
      </c>
      <c r="AL145" s="65" t="n">
        <f aca="false">IF(OR(V145="",V145=0),0,N145/V145)</f>
        <v>0.137591136929324</v>
      </c>
      <c r="AM145" s="65" t="n">
        <f aca="false">IF(OR(V145="",V145=0),0,1)</f>
        <v>1</v>
      </c>
      <c r="AN145" s="65" t="n">
        <f aca="false">IF(OR(E145="",F145=""),0,NETWORKDAYS(E145,F145,Ref!$K$2:$K$42))</f>
        <v>11</v>
      </c>
      <c r="AO145" s="65" t="n">
        <f aca="false">IF(L145="Renewal",1,0)</f>
        <v>0</v>
      </c>
      <c r="AP145" s="65" t="n">
        <f aca="false">AC145*AD145</f>
        <v>1</v>
      </c>
      <c r="AQ145" s="65" t="n">
        <f aca="false">IF(AND(G145&lt;&gt;"",'Historical Score'!$C$6&lt;&gt;""),IF(G145='Historical Score'!$C$6,1,0),0)</f>
        <v>0</v>
      </c>
      <c r="AR145" s="65" t="n">
        <f aca="false">IF(AND(L145&lt;&gt;"",'Historical Score'!$C$5&lt;&gt;""),IF(L145='Historical Score'!$C$5,1,0),0)</f>
        <v>1</v>
      </c>
      <c r="AS145" s="65" t="n">
        <f aca="false">IF(AND(Y145&lt;&gt;"",'Historical Score'!$C$7&lt;&gt;""),IF(Y145='Historical Score'!$C$7,1,0),0)</f>
        <v>0</v>
      </c>
      <c r="AT145" s="65" t="n">
        <f aca="false">IF(AND(K145&lt;&gt;"",'Historical Score'!$C$8&lt;&gt;""),IF(K145='Historical Score'!$C$8,1,0),0)</f>
        <v>0</v>
      </c>
      <c r="AU145" s="65" t="n">
        <f aca="false">IF(AND(J145&lt;&gt;"",'Historical Score'!$C$9&lt;&gt;""),IF(J145='Historical Score'!$C$9,1,0),0)</f>
        <v>0</v>
      </c>
      <c r="AV145" s="65" t="n">
        <f aca="false">AR145*AS145*AQ145</f>
        <v>0</v>
      </c>
      <c r="AW145" s="65" t="n">
        <f aca="false">AR145*AT145*AQ145</f>
        <v>0</v>
      </c>
      <c r="AX145" s="65" t="n">
        <f aca="false">AR145*AS145</f>
        <v>0</v>
      </c>
      <c r="AY145" s="65" t="n">
        <f aca="false">AR145*AT145</f>
        <v>0</v>
      </c>
      <c r="AZ145" s="65" t="n">
        <f aca="false">AR145*AQ145</f>
        <v>0</v>
      </c>
      <c r="BA145" s="65" t="n">
        <f aca="false">AR145</f>
        <v>1</v>
      </c>
      <c r="BB145" s="65" t="n">
        <f aca="false">1</f>
        <v>1</v>
      </c>
      <c r="BC145" s="65" t="n">
        <f aca="false">IF(AV145=1,1,IF(AW145=1,2,IF(AX145=1,3,IF(AY145=1,4,IF(AZ145=1,5,IF(BA145=1,6,7))))))</f>
        <v>6</v>
      </c>
      <c r="BD145" s="65" t="n">
        <f aca="false">IF(AD145=1,CHOOSE('Historical Score'!$C$29,AV145,AW145,AX145,AY145,AZ145,BA145,BB145),0)</f>
        <v>0</v>
      </c>
      <c r="BE145" s="65" t="str">
        <f aca="false">IF(BD145=1,COUNTIF($BD$2:BD145,1),"")</f>
        <v/>
      </c>
    </row>
    <row r="146" customFormat="false" ht="15" hidden="false" customHeight="false" outlineLevel="0" collapsed="false">
      <c r="A146" s="65" t="s">
        <v>876</v>
      </c>
      <c r="B146" s="65" t="s">
        <v>877</v>
      </c>
      <c r="C146" s="65" t="s">
        <v>877</v>
      </c>
      <c r="D146" s="65" t="s">
        <v>340</v>
      </c>
      <c r="E146" s="112" t="n">
        <v>45853</v>
      </c>
      <c r="F146" s="112" t="n">
        <v>45953</v>
      </c>
      <c r="G146" s="65" t="n">
        <v>3</v>
      </c>
      <c r="H146" s="65" t="s">
        <v>409</v>
      </c>
      <c r="I146" s="65" t="s">
        <v>342</v>
      </c>
      <c r="J146" s="65" t="s">
        <v>649</v>
      </c>
      <c r="K146" s="65" t="s">
        <v>578</v>
      </c>
      <c r="L146" s="65" t="s">
        <v>64</v>
      </c>
      <c r="M146" s="113" t="n">
        <v>1.49</v>
      </c>
      <c r="N146" s="114" t="n">
        <v>15000</v>
      </c>
      <c r="O146" s="114" t="n">
        <v>2100</v>
      </c>
      <c r="P146" s="114" t="n">
        <v>22350</v>
      </c>
      <c r="Q146" s="114" t="n">
        <v>13612.39</v>
      </c>
      <c r="R146" s="114" t="n">
        <v>8737.61</v>
      </c>
      <c r="S146" s="115" t="n">
        <v>0.60905548098434</v>
      </c>
      <c r="T146" s="65" t="n">
        <v>3.607</v>
      </c>
      <c r="U146" s="65" t="n">
        <v>3</v>
      </c>
      <c r="V146" s="65" t="n">
        <v>35057.41</v>
      </c>
      <c r="W146" s="115" t="n">
        <v>0.1217</v>
      </c>
      <c r="X146" s="112"/>
      <c r="Y146" s="65" t="str">
        <f aca="false">IF(I146="","No SIC",IFERROR(VLOOKUP(I146,Ref!$A$2:$B$65,2,FALSE()),"Unclassified"))</f>
        <v>Eating &amp; Drinking Places</v>
      </c>
      <c r="Z146" s="65" t="str">
        <f aca="false">IF(T146="","",IF(T146&lt;12,"Daily","Weekly"))</f>
        <v>Daily</v>
      </c>
      <c r="AA146" s="65" t="n">
        <f aca="false">IF(T146="",0,IF(T146&lt;12,T146*Controls!$B$29,T146*5))</f>
        <v>78.109585</v>
      </c>
      <c r="AB146" s="65" t="n">
        <f aca="false">IF(E146="",0,NETWORKDAYS(E146,Controls!$B$36,Ref!$K$2:$K$42))</f>
        <v>281</v>
      </c>
      <c r="AC146" s="65" t="n">
        <f aca="false">IF(AND(AA146&gt;0,AB146&gt;=Controls!$B$39*AA146),1,0)</f>
        <v>1</v>
      </c>
      <c r="AD146" s="65" t="n">
        <f aca="false">IF(AND(E146&lt;&gt;"",E146&gt;=Controls!$B$37,E146&lt;=Controls!$B$38),1,0)</f>
        <v>1</v>
      </c>
      <c r="AE146" s="65" t="n">
        <f aca="false">IF(IFERROR(VLOOKUP(D146,Controls!$A$64:$E$74,2,FALSE()),"No")="Yes",1,0)</f>
        <v>1</v>
      </c>
      <c r="AF146" s="65" t="n">
        <f aca="false">IF(IFERROR(VLOOKUP(D146,Controls!$A$64:$E$74,3,FALSE()),"No")="Yes",1,0)</f>
        <v>0</v>
      </c>
      <c r="AG146" s="65" t="n">
        <f aca="false">IF(IFERROR(VLOOKUP(D146,Controls!$A$64:$E$74,4,FALSE()),"No")="Yes",1,0)</f>
        <v>0</v>
      </c>
      <c r="AH146" s="65" t="n">
        <f aca="false">IF(IFERROR(VLOOKUP(D146,Controls!$A$64:$E$74,5,FALSE()),"No")="Yes",1,0)</f>
        <v>0</v>
      </c>
      <c r="AI146" s="65" t="n">
        <f aca="false">IF(ISNUMBER(MATCH(D146,Controls!$A$64:$A$74,0)),1,0)</f>
        <v>1</v>
      </c>
      <c r="AJ146" s="65" t="n">
        <f aca="false">Q146-N146</f>
        <v>-1387.61</v>
      </c>
      <c r="AK146" s="65" t="n">
        <f aca="false">IF(AE146=1,MAX(0,N146-Q146),0)</f>
        <v>1387.61</v>
      </c>
      <c r="AL146" s="65" t="n">
        <f aca="false">IF(OR(V146="",V146=0),0,N146/V146)</f>
        <v>0.427869600178678</v>
      </c>
      <c r="AM146" s="65" t="n">
        <f aca="false">IF(OR(V146="",V146=0),0,1)</f>
        <v>1</v>
      </c>
      <c r="AN146" s="65" t="n">
        <f aca="false">IF(OR(E146="",F146=""),0,NETWORKDAYS(E146,F146,Ref!$K$2:$K$42))</f>
        <v>71</v>
      </c>
      <c r="AO146" s="65" t="n">
        <f aca="false">IF(L146="Renewal",1,0)</f>
        <v>0</v>
      </c>
      <c r="AP146" s="65" t="n">
        <f aca="false">AC146*AD146</f>
        <v>1</v>
      </c>
      <c r="AQ146" s="65" t="n">
        <f aca="false">IF(AND(G146&lt;&gt;"",'Historical Score'!$C$6&lt;&gt;""),IF(G146='Historical Score'!$C$6,1,0),0)</f>
        <v>0</v>
      </c>
      <c r="AR146" s="65" t="n">
        <f aca="false">IF(AND(L146&lt;&gt;"",'Historical Score'!$C$5&lt;&gt;""),IF(L146='Historical Score'!$C$5,1,0),0)</f>
        <v>1</v>
      </c>
      <c r="AS146" s="65" t="n">
        <f aca="false">IF(AND(Y146&lt;&gt;"",'Historical Score'!$C$7&lt;&gt;""),IF(Y146='Historical Score'!$C$7,1,0),0)</f>
        <v>0</v>
      </c>
      <c r="AT146" s="65" t="n">
        <f aca="false">IF(AND(K146&lt;&gt;"",'Historical Score'!$C$8&lt;&gt;""),IF(K146='Historical Score'!$C$8,1,0),0)</f>
        <v>0</v>
      </c>
      <c r="AU146" s="65" t="n">
        <f aca="false">IF(AND(J146&lt;&gt;"",'Historical Score'!$C$9&lt;&gt;""),IF(J146='Historical Score'!$C$9,1,0),0)</f>
        <v>0</v>
      </c>
      <c r="AV146" s="65" t="n">
        <f aca="false">AR146*AS146*AQ146</f>
        <v>0</v>
      </c>
      <c r="AW146" s="65" t="n">
        <f aca="false">AR146*AT146*AQ146</f>
        <v>0</v>
      </c>
      <c r="AX146" s="65" t="n">
        <f aca="false">AR146*AS146</f>
        <v>0</v>
      </c>
      <c r="AY146" s="65" t="n">
        <f aca="false">AR146*AT146</f>
        <v>0</v>
      </c>
      <c r="AZ146" s="65" t="n">
        <f aca="false">AR146*AQ146</f>
        <v>0</v>
      </c>
      <c r="BA146" s="65" t="n">
        <f aca="false">AR146</f>
        <v>1</v>
      </c>
      <c r="BB146" s="65" t="n">
        <f aca="false">1</f>
        <v>1</v>
      </c>
      <c r="BC146" s="65" t="n">
        <f aca="false">IF(AV146=1,1,IF(AW146=1,2,IF(AX146=1,3,IF(AY146=1,4,IF(AZ146=1,5,IF(BA146=1,6,7))))))</f>
        <v>6</v>
      </c>
      <c r="BD146" s="65" t="n">
        <f aca="false">IF(AD146=1,CHOOSE('Historical Score'!$C$29,AV146,AW146,AX146,AY146,AZ146,BA146,BB146),0)</f>
        <v>0</v>
      </c>
      <c r="BE146" s="65" t="str">
        <f aca="false">IF(BD146=1,COUNTIF($BD$2:BD146,1),"")</f>
        <v/>
      </c>
    </row>
    <row r="147" customFormat="false" ht="15" hidden="false" customHeight="false" outlineLevel="0" collapsed="false">
      <c r="A147" s="65" t="s">
        <v>878</v>
      </c>
      <c r="B147" s="65" t="s">
        <v>879</v>
      </c>
      <c r="C147" s="65" t="s">
        <v>880</v>
      </c>
      <c r="D147" s="65" t="s">
        <v>371</v>
      </c>
      <c r="E147" s="112" t="n">
        <v>45853</v>
      </c>
      <c r="F147" s="112" t="n">
        <v>45904</v>
      </c>
      <c r="G147" s="65" t="n">
        <v>4</v>
      </c>
      <c r="H147" s="65" t="s">
        <v>409</v>
      </c>
      <c r="I147" s="65" t="s">
        <v>342</v>
      </c>
      <c r="J147" s="65" t="s">
        <v>432</v>
      </c>
      <c r="K147" s="65" t="s">
        <v>55</v>
      </c>
      <c r="L147" s="65" t="s">
        <v>64</v>
      </c>
      <c r="M147" s="113" t="n">
        <v>1.5</v>
      </c>
      <c r="N147" s="114" t="n">
        <v>15000</v>
      </c>
      <c r="O147" s="114" t="n">
        <v>2100</v>
      </c>
      <c r="P147" s="114" t="n">
        <v>22500</v>
      </c>
      <c r="Q147" s="114" t="n">
        <v>22500</v>
      </c>
      <c r="R147" s="114" t="n">
        <v>0</v>
      </c>
      <c r="S147" s="115" t="n">
        <v>1</v>
      </c>
      <c r="T147" s="65" t="n">
        <v>2.295</v>
      </c>
      <c r="U147" s="65" t="n">
        <v>0</v>
      </c>
      <c r="V147" s="65" t="n">
        <v>70657.38</v>
      </c>
      <c r="W147" s="115" t="n">
        <v>0.0949</v>
      </c>
      <c r="X147" s="112" t="n">
        <v>43221</v>
      </c>
      <c r="Y147" s="65" t="str">
        <f aca="false">IF(I147="","No SIC",IFERROR(VLOOKUP(I147,Ref!$A$2:$B$65,2,FALSE()),"Unclassified"))</f>
        <v>Eating &amp; Drinking Places</v>
      </c>
      <c r="Z147" s="65" t="str">
        <f aca="false">IF(T147="","",IF(T147&lt;12,"Daily","Weekly"))</f>
        <v>Daily</v>
      </c>
      <c r="AA147" s="65" t="n">
        <f aca="false">IF(T147="",0,IF(T147&lt;12,T147*Controls!$B$29,T147*5))</f>
        <v>49.698225</v>
      </c>
      <c r="AB147" s="65" t="n">
        <f aca="false">IF(E147="",0,NETWORKDAYS(E147,Controls!$B$36,Ref!$K$2:$K$42))</f>
        <v>281</v>
      </c>
      <c r="AC147" s="65" t="n">
        <f aca="false">IF(AND(AA147&gt;0,AB147&gt;=Controls!$B$39*AA147),1,0)</f>
        <v>1</v>
      </c>
      <c r="AD147" s="65" t="n">
        <f aca="false">IF(AND(E147&lt;&gt;"",E147&gt;=Controls!$B$37,E147&lt;=Controls!$B$38),1,0)</f>
        <v>1</v>
      </c>
      <c r="AE147" s="65" t="n">
        <f aca="false">IF(IFERROR(VLOOKUP(D147,Controls!$A$64:$E$74,2,FALSE()),"No")="Yes",1,0)</f>
        <v>0</v>
      </c>
      <c r="AF147" s="65" t="n">
        <f aca="false">IF(IFERROR(VLOOKUP(D147,Controls!$A$64:$E$74,3,FALSE()),"No")="Yes",1,0)</f>
        <v>1</v>
      </c>
      <c r="AG147" s="65" t="n">
        <f aca="false">IF(IFERROR(VLOOKUP(D147,Controls!$A$64:$E$74,4,FALSE()),"No")="Yes",1,0)</f>
        <v>1</v>
      </c>
      <c r="AH147" s="65" t="n">
        <f aca="false">IF(IFERROR(VLOOKUP(D147,Controls!$A$64:$E$74,5,FALSE()),"No")="Yes",1,0)</f>
        <v>0</v>
      </c>
      <c r="AI147" s="65" t="n">
        <f aca="false">IF(ISNUMBER(MATCH(D147,Controls!$A$64:$A$74,0)),1,0)</f>
        <v>1</v>
      </c>
      <c r="AJ147" s="65" t="n">
        <f aca="false">Q147-N147</f>
        <v>7500</v>
      </c>
      <c r="AK147" s="65" t="n">
        <f aca="false">IF(AE147=1,MAX(0,N147-Q147),0)</f>
        <v>0</v>
      </c>
      <c r="AL147" s="65" t="n">
        <f aca="false">IF(OR(V147="",V147=0),0,N147/V147)</f>
        <v>0.212292049323086</v>
      </c>
      <c r="AM147" s="65" t="n">
        <f aca="false">IF(OR(V147="",V147=0),0,1)</f>
        <v>1</v>
      </c>
      <c r="AN147" s="65" t="n">
        <f aca="false">IF(OR(E147="",F147=""),0,NETWORKDAYS(E147,F147,Ref!$K$2:$K$42))</f>
        <v>37</v>
      </c>
      <c r="AO147" s="65" t="n">
        <f aca="false">IF(L147="Renewal",1,0)</f>
        <v>0</v>
      </c>
      <c r="AP147" s="65" t="n">
        <f aca="false">AC147*AD147</f>
        <v>1</v>
      </c>
      <c r="AQ147" s="65" t="n">
        <f aca="false">IF(AND(G147&lt;&gt;"",'Historical Score'!$C$6&lt;&gt;""),IF(G147='Historical Score'!$C$6,1,0),0)</f>
        <v>0</v>
      </c>
      <c r="AR147" s="65" t="n">
        <f aca="false">IF(AND(L147&lt;&gt;"",'Historical Score'!$C$5&lt;&gt;""),IF(L147='Historical Score'!$C$5,1,0),0)</f>
        <v>1</v>
      </c>
      <c r="AS147" s="65" t="n">
        <f aca="false">IF(AND(Y147&lt;&gt;"",'Historical Score'!$C$7&lt;&gt;""),IF(Y147='Historical Score'!$C$7,1,0),0)</f>
        <v>0</v>
      </c>
      <c r="AT147" s="65" t="n">
        <f aca="false">IF(AND(K147&lt;&gt;"",'Historical Score'!$C$8&lt;&gt;""),IF(K147='Historical Score'!$C$8,1,0),0)</f>
        <v>1</v>
      </c>
      <c r="AU147" s="65" t="n">
        <f aca="false">IF(AND(J147&lt;&gt;"",'Historical Score'!$C$9&lt;&gt;""),IF(J147='Historical Score'!$C$9,1,0),0)</f>
        <v>0</v>
      </c>
      <c r="AV147" s="65" t="n">
        <f aca="false">AR147*AS147*AQ147</f>
        <v>0</v>
      </c>
      <c r="AW147" s="65" t="n">
        <f aca="false">AR147*AT147*AQ147</f>
        <v>0</v>
      </c>
      <c r="AX147" s="65" t="n">
        <f aca="false">AR147*AS147</f>
        <v>0</v>
      </c>
      <c r="AY147" s="65" t="n">
        <f aca="false">AR147*AT147</f>
        <v>1</v>
      </c>
      <c r="AZ147" s="65" t="n">
        <f aca="false">AR147*AQ147</f>
        <v>0</v>
      </c>
      <c r="BA147" s="65" t="n">
        <f aca="false">AR147</f>
        <v>1</v>
      </c>
      <c r="BB147" s="65" t="n">
        <f aca="false">1</f>
        <v>1</v>
      </c>
      <c r="BC147" s="65" t="n">
        <f aca="false">IF(AV147=1,1,IF(AW147=1,2,IF(AX147=1,3,IF(AY147=1,4,IF(AZ147=1,5,IF(BA147=1,6,7))))))</f>
        <v>4</v>
      </c>
      <c r="BD147" s="65" t="n">
        <f aca="false">IF(AD147=1,CHOOSE('Historical Score'!$C$29,AV147,AW147,AX147,AY147,AZ147,BA147,BB147),0)</f>
        <v>0</v>
      </c>
      <c r="BE147" s="65" t="str">
        <f aca="false">IF(BD147=1,COUNTIF($BD$2:BD147,1),"")</f>
        <v/>
      </c>
    </row>
    <row r="148" customFormat="false" ht="15" hidden="false" customHeight="false" outlineLevel="0" collapsed="false">
      <c r="A148" s="65" t="s">
        <v>881</v>
      </c>
      <c r="B148" s="65" t="s">
        <v>882</v>
      </c>
      <c r="C148" s="65" t="s">
        <v>883</v>
      </c>
      <c r="D148" s="65" t="s">
        <v>371</v>
      </c>
      <c r="E148" s="112" t="n">
        <v>45854</v>
      </c>
      <c r="F148" s="112" t="n">
        <v>46106</v>
      </c>
      <c r="G148" s="65" t="n">
        <v>2</v>
      </c>
      <c r="H148" s="65" t="s">
        <v>884</v>
      </c>
      <c r="I148" s="65" t="s">
        <v>885</v>
      </c>
      <c r="J148" s="65" t="s">
        <v>61</v>
      </c>
      <c r="K148" s="65" t="s">
        <v>363</v>
      </c>
      <c r="L148" s="65" t="s">
        <v>64</v>
      </c>
      <c r="M148" s="113" t="n">
        <v>1.35</v>
      </c>
      <c r="N148" s="114" t="n">
        <v>60000</v>
      </c>
      <c r="O148" s="114" t="n">
        <v>4200</v>
      </c>
      <c r="P148" s="114" t="n">
        <v>81000</v>
      </c>
      <c r="Q148" s="114" t="n">
        <v>81000</v>
      </c>
      <c r="R148" s="114" t="n">
        <v>0</v>
      </c>
      <c r="S148" s="115" t="n">
        <v>1</v>
      </c>
      <c r="T148" s="65" t="n">
        <v>36</v>
      </c>
      <c r="U148" s="65" t="n">
        <v>0</v>
      </c>
      <c r="V148" s="65" t="n">
        <v>115748.28</v>
      </c>
      <c r="W148" s="115" t="n">
        <v>0.0778</v>
      </c>
      <c r="X148" s="112"/>
      <c r="Y148" s="65" t="str">
        <f aca="false">IF(I148="","No SIC",IFERROR(VLOOKUP(I148,Ref!$A$2:$B$65,2,FALSE()),"Unclassified"))</f>
        <v>Communications</v>
      </c>
      <c r="Z148" s="65" t="str">
        <f aca="false">IF(T148="","",IF(T148&lt;12,"Daily","Weekly"))</f>
        <v>Weekly</v>
      </c>
      <c r="AA148" s="65" t="n">
        <f aca="false">IF(T148="",0,IF(T148&lt;12,T148*Controls!$B$29,T148*5))</f>
        <v>180</v>
      </c>
      <c r="AB148" s="65" t="n">
        <f aca="false">IF(E148="",0,NETWORKDAYS(E148,Controls!$B$36,Ref!$K$2:$K$42))</f>
        <v>280</v>
      </c>
      <c r="AC148" s="65" t="n">
        <f aca="false">IF(AND(AA148&gt;0,AB148&gt;=Controls!$B$39*AA148),1,0)</f>
        <v>1</v>
      </c>
      <c r="AD148" s="65" t="n">
        <f aca="false">IF(AND(E148&lt;&gt;"",E148&gt;=Controls!$B$37,E148&lt;=Controls!$B$38),1,0)</f>
        <v>1</v>
      </c>
      <c r="AE148" s="65" t="n">
        <f aca="false">IF(IFERROR(VLOOKUP(D148,Controls!$A$64:$E$74,2,FALSE()),"No")="Yes",1,0)</f>
        <v>0</v>
      </c>
      <c r="AF148" s="65" t="n">
        <f aca="false">IF(IFERROR(VLOOKUP(D148,Controls!$A$64:$E$74,3,FALSE()),"No")="Yes",1,0)</f>
        <v>1</v>
      </c>
      <c r="AG148" s="65" t="n">
        <f aca="false">IF(IFERROR(VLOOKUP(D148,Controls!$A$64:$E$74,4,FALSE()),"No")="Yes",1,0)</f>
        <v>1</v>
      </c>
      <c r="AH148" s="65" t="n">
        <f aca="false">IF(IFERROR(VLOOKUP(D148,Controls!$A$64:$E$74,5,FALSE()),"No")="Yes",1,0)</f>
        <v>0</v>
      </c>
      <c r="AI148" s="65" t="n">
        <f aca="false">IF(ISNUMBER(MATCH(D148,Controls!$A$64:$A$74,0)),1,0)</f>
        <v>1</v>
      </c>
      <c r="AJ148" s="65" t="n">
        <f aca="false">Q148-N148</f>
        <v>21000</v>
      </c>
      <c r="AK148" s="65" t="n">
        <f aca="false">IF(AE148=1,MAX(0,N148-Q148),0)</f>
        <v>0</v>
      </c>
      <c r="AL148" s="65" t="n">
        <f aca="false">IF(OR(V148="",V148=0),0,N148/V148)</f>
        <v>0.518366234038208</v>
      </c>
      <c r="AM148" s="65" t="n">
        <f aca="false">IF(OR(V148="",V148=0),0,1)</f>
        <v>1</v>
      </c>
      <c r="AN148" s="65" t="n">
        <f aca="false">IF(OR(E148="",F148=""),0,NETWORKDAYS(E148,F148,Ref!$K$2:$K$42))</f>
        <v>173</v>
      </c>
      <c r="AO148" s="65" t="n">
        <f aca="false">IF(L148="Renewal",1,0)</f>
        <v>0</v>
      </c>
      <c r="AP148" s="65" t="n">
        <f aca="false">AC148*AD148</f>
        <v>1</v>
      </c>
      <c r="AQ148" s="65" t="n">
        <f aca="false">IF(AND(G148&lt;&gt;"",'Historical Score'!$C$6&lt;&gt;""),IF(G148='Historical Score'!$C$6,1,0),0)</f>
        <v>1</v>
      </c>
      <c r="AR148" s="65" t="n">
        <f aca="false">IF(AND(L148&lt;&gt;"",'Historical Score'!$C$5&lt;&gt;""),IF(L148='Historical Score'!$C$5,1,0),0)</f>
        <v>1</v>
      </c>
      <c r="AS148" s="65" t="n">
        <f aca="false">IF(AND(Y148&lt;&gt;"",'Historical Score'!$C$7&lt;&gt;""),IF(Y148='Historical Score'!$C$7,1,0),0)</f>
        <v>0</v>
      </c>
      <c r="AT148" s="65" t="n">
        <f aca="false">IF(AND(K148&lt;&gt;"",'Historical Score'!$C$8&lt;&gt;""),IF(K148='Historical Score'!$C$8,1,0),0)</f>
        <v>0</v>
      </c>
      <c r="AU148" s="65" t="n">
        <f aca="false">IF(AND(J148&lt;&gt;"",'Historical Score'!$C$9&lt;&gt;""),IF(J148='Historical Score'!$C$9,1,0),0)</f>
        <v>1</v>
      </c>
      <c r="AV148" s="65" t="n">
        <f aca="false">AR148*AS148*AQ148</f>
        <v>0</v>
      </c>
      <c r="AW148" s="65" t="n">
        <f aca="false">AR148*AT148*AQ148</f>
        <v>0</v>
      </c>
      <c r="AX148" s="65" t="n">
        <f aca="false">AR148*AS148</f>
        <v>0</v>
      </c>
      <c r="AY148" s="65" t="n">
        <f aca="false">AR148*AT148</f>
        <v>0</v>
      </c>
      <c r="AZ148" s="65" t="n">
        <f aca="false">AR148*AQ148</f>
        <v>1</v>
      </c>
      <c r="BA148" s="65" t="n">
        <f aca="false">AR148</f>
        <v>1</v>
      </c>
      <c r="BB148" s="65" t="n">
        <f aca="false">1</f>
        <v>1</v>
      </c>
      <c r="BC148" s="65" t="n">
        <f aca="false">IF(AV148=1,1,IF(AW148=1,2,IF(AX148=1,3,IF(AY148=1,4,IF(AZ148=1,5,IF(BA148=1,6,7))))))</f>
        <v>5</v>
      </c>
      <c r="BD148" s="65" t="n">
        <f aca="false">IF(AD148=1,CHOOSE('Historical Score'!$C$29,AV148,AW148,AX148,AY148,AZ148,BA148,BB148),0)</f>
        <v>0</v>
      </c>
      <c r="BE148" s="65" t="str">
        <f aca="false">IF(BD148=1,COUNTIF($BD$2:BD148,1),"")</f>
        <v/>
      </c>
    </row>
    <row r="149" customFormat="false" ht="15" hidden="false" customHeight="false" outlineLevel="0" collapsed="false">
      <c r="A149" s="65" t="s">
        <v>886</v>
      </c>
      <c r="B149" s="65" t="s">
        <v>887</v>
      </c>
      <c r="C149" s="65" t="s">
        <v>887</v>
      </c>
      <c r="D149" s="65" t="s">
        <v>533</v>
      </c>
      <c r="E149" s="112" t="n">
        <v>45855</v>
      </c>
      <c r="F149" s="112" t="n">
        <v>45883</v>
      </c>
      <c r="G149" s="65" t="n">
        <v>3</v>
      </c>
      <c r="H149" s="65" t="s">
        <v>888</v>
      </c>
      <c r="I149" s="65" t="s">
        <v>577</v>
      </c>
      <c r="J149" s="65" t="s">
        <v>410</v>
      </c>
      <c r="K149" s="65" t="s">
        <v>889</v>
      </c>
      <c r="L149" s="65" t="s">
        <v>64</v>
      </c>
      <c r="M149" s="113" t="n">
        <v>1.499</v>
      </c>
      <c r="N149" s="114" t="n">
        <v>5000</v>
      </c>
      <c r="O149" s="114" t="n">
        <v>0</v>
      </c>
      <c r="P149" s="114" t="n">
        <v>7495</v>
      </c>
      <c r="Q149" s="114" t="n">
        <v>2109.87</v>
      </c>
      <c r="R149" s="114" t="n">
        <v>5385.13</v>
      </c>
      <c r="S149" s="115" t="n">
        <v>0.281503669112742</v>
      </c>
      <c r="T149" s="65" t="n">
        <v>1.967</v>
      </c>
      <c r="U149" s="65" t="n">
        <v>4</v>
      </c>
      <c r="V149" s="65" t="n">
        <v>39491</v>
      </c>
      <c r="W149" s="115" t="n">
        <v>0.066</v>
      </c>
      <c r="X149" s="112" t="n">
        <v>39670</v>
      </c>
      <c r="Y149" s="65" t="str">
        <f aca="false">IF(I149="","No SIC",IFERROR(VLOOKUP(I149,Ref!$A$2:$B$65,2,FALSE()),"Unclassified"))</f>
        <v>Stone, Clay, Glass &amp; Concrete</v>
      </c>
      <c r="Z149" s="65" t="str">
        <f aca="false">IF(T149="","",IF(T149&lt;12,"Daily","Weekly"))</f>
        <v>Daily</v>
      </c>
      <c r="AA149" s="65" t="n">
        <f aca="false">IF(T149="",0,IF(T149&lt;12,T149*Controls!$B$29,T149*5))</f>
        <v>42.595385</v>
      </c>
      <c r="AB149" s="65" t="n">
        <f aca="false">IF(E149="",0,NETWORKDAYS(E149,Controls!$B$36,Ref!$K$2:$K$42))</f>
        <v>279</v>
      </c>
      <c r="AC149" s="65" t="n">
        <f aca="false">IF(AND(AA149&gt;0,AB149&gt;=Controls!$B$39*AA149),1,0)</f>
        <v>1</v>
      </c>
      <c r="AD149" s="65" t="n">
        <f aca="false">IF(AND(E149&lt;&gt;"",E149&gt;=Controls!$B$37,E149&lt;=Controls!$B$38),1,0)</f>
        <v>1</v>
      </c>
      <c r="AE149" s="65" t="n">
        <f aca="false">IF(IFERROR(VLOOKUP(D149,Controls!$A$64:$E$74,2,FALSE()),"No")="Yes",1,0)</f>
        <v>1</v>
      </c>
      <c r="AF149" s="65" t="n">
        <f aca="false">IF(IFERROR(VLOOKUP(D149,Controls!$A$64:$E$74,3,FALSE()),"No")="Yes",1,0)</f>
        <v>0</v>
      </c>
      <c r="AG149" s="65" t="n">
        <f aca="false">IF(IFERROR(VLOOKUP(D149,Controls!$A$64:$E$74,4,FALSE()),"No")="Yes",1,0)</f>
        <v>0</v>
      </c>
      <c r="AH149" s="65" t="n">
        <f aca="false">IF(IFERROR(VLOOKUP(D149,Controls!$A$64:$E$74,5,FALSE()),"No")="Yes",1,0)</f>
        <v>0</v>
      </c>
      <c r="AI149" s="65" t="n">
        <f aca="false">IF(ISNUMBER(MATCH(D149,Controls!$A$64:$A$74,0)),1,0)</f>
        <v>1</v>
      </c>
      <c r="AJ149" s="65" t="n">
        <f aca="false">Q149-N149</f>
        <v>-2890.13</v>
      </c>
      <c r="AK149" s="65" t="n">
        <f aca="false">IF(AE149=1,MAX(0,N149-Q149),0)</f>
        <v>2890.13</v>
      </c>
      <c r="AL149" s="65" t="n">
        <f aca="false">IF(OR(V149="",V149=0),0,N149/V149)</f>
        <v>0.126611126585804</v>
      </c>
      <c r="AM149" s="65" t="n">
        <f aca="false">IF(OR(V149="",V149=0),0,1)</f>
        <v>1</v>
      </c>
      <c r="AN149" s="65" t="n">
        <f aca="false">IF(OR(E149="",F149=""),0,NETWORKDAYS(E149,F149,Ref!$K$2:$K$42))</f>
        <v>21</v>
      </c>
      <c r="AO149" s="65" t="n">
        <f aca="false">IF(L149="Renewal",1,0)</f>
        <v>0</v>
      </c>
      <c r="AP149" s="65" t="n">
        <f aca="false">AC149*AD149</f>
        <v>1</v>
      </c>
      <c r="AQ149" s="65" t="n">
        <f aca="false">IF(AND(G149&lt;&gt;"",'Historical Score'!$C$6&lt;&gt;""),IF(G149='Historical Score'!$C$6,1,0),0)</f>
        <v>0</v>
      </c>
      <c r="AR149" s="65" t="n">
        <f aca="false">IF(AND(L149&lt;&gt;"",'Historical Score'!$C$5&lt;&gt;""),IF(L149='Historical Score'!$C$5,1,0),0)</f>
        <v>1</v>
      </c>
      <c r="AS149" s="65" t="n">
        <f aca="false">IF(AND(Y149&lt;&gt;"",'Historical Score'!$C$7&lt;&gt;""),IF(Y149='Historical Score'!$C$7,1,0),0)</f>
        <v>0</v>
      </c>
      <c r="AT149" s="65" t="n">
        <f aca="false">IF(AND(K149&lt;&gt;"",'Historical Score'!$C$8&lt;&gt;""),IF(K149='Historical Score'!$C$8,1,0),0)</f>
        <v>0</v>
      </c>
      <c r="AU149" s="65" t="n">
        <f aca="false">IF(AND(J149&lt;&gt;"",'Historical Score'!$C$9&lt;&gt;""),IF(J149='Historical Score'!$C$9,1,0),0)</f>
        <v>0</v>
      </c>
      <c r="AV149" s="65" t="n">
        <f aca="false">AR149*AS149*AQ149</f>
        <v>0</v>
      </c>
      <c r="AW149" s="65" t="n">
        <f aca="false">AR149*AT149*AQ149</f>
        <v>0</v>
      </c>
      <c r="AX149" s="65" t="n">
        <f aca="false">AR149*AS149</f>
        <v>0</v>
      </c>
      <c r="AY149" s="65" t="n">
        <f aca="false">AR149*AT149</f>
        <v>0</v>
      </c>
      <c r="AZ149" s="65" t="n">
        <f aca="false">AR149*AQ149</f>
        <v>0</v>
      </c>
      <c r="BA149" s="65" t="n">
        <f aca="false">AR149</f>
        <v>1</v>
      </c>
      <c r="BB149" s="65" t="n">
        <f aca="false">1</f>
        <v>1</v>
      </c>
      <c r="BC149" s="65" t="n">
        <f aca="false">IF(AV149=1,1,IF(AW149=1,2,IF(AX149=1,3,IF(AY149=1,4,IF(AZ149=1,5,IF(BA149=1,6,7))))))</f>
        <v>6</v>
      </c>
      <c r="BD149" s="65" t="n">
        <f aca="false">IF(AD149=1,CHOOSE('Historical Score'!$C$29,AV149,AW149,AX149,AY149,AZ149,BA149,BB149),0)</f>
        <v>0</v>
      </c>
      <c r="BE149" s="65" t="str">
        <f aca="false">IF(BD149=1,COUNTIF($BD$2:BD149,1),"")</f>
        <v/>
      </c>
    </row>
    <row r="150" customFormat="false" ht="15" hidden="false" customHeight="false" outlineLevel="0" collapsed="false">
      <c r="A150" s="65" t="s">
        <v>890</v>
      </c>
      <c r="B150" s="65" t="s">
        <v>891</v>
      </c>
      <c r="C150" s="65" t="s">
        <v>892</v>
      </c>
      <c r="D150" s="65" t="s">
        <v>371</v>
      </c>
      <c r="E150" s="112" t="n">
        <v>45855</v>
      </c>
      <c r="F150" s="112" t="n">
        <v>45932</v>
      </c>
      <c r="G150" s="65" t="n">
        <v>4</v>
      </c>
      <c r="H150" s="65" t="s">
        <v>513</v>
      </c>
      <c r="I150" s="65" t="s">
        <v>475</v>
      </c>
      <c r="J150" s="65" t="s">
        <v>506</v>
      </c>
      <c r="K150" s="65" t="s">
        <v>893</v>
      </c>
      <c r="L150" s="65" t="s">
        <v>64</v>
      </c>
      <c r="M150" s="113" t="n">
        <v>1.49</v>
      </c>
      <c r="N150" s="114" t="n">
        <v>15000</v>
      </c>
      <c r="O150" s="114" t="n">
        <v>2100</v>
      </c>
      <c r="P150" s="114" t="n">
        <v>22350</v>
      </c>
      <c r="Q150" s="114" t="n">
        <v>22350</v>
      </c>
      <c r="R150" s="114" t="n">
        <v>0</v>
      </c>
      <c r="S150" s="115" t="n">
        <v>1</v>
      </c>
      <c r="T150" s="65" t="n">
        <v>18</v>
      </c>
      <c r="U150" s="65" t="n">
        <v>0</v>
      </c>
      <c r="V150" s="65" t="n">
        <v>64897.13</v>
      </c>
      <c r="W150" s="115" t="n">
        <v>0.0765</v>
      </c>
      <c r="X150" s="112"/>
      <c r="Y150" s="65" t="str">
        <f aca="false">IF(I150="","No SIC",IFERROR(VLOOKUP(I150,Ref!$A$2:$B$65,2,FALSE()),"Unclassified"))</f>
        <v>Auto Repair &amp; Services</v>
      </c>
      <c r="Z150" s="65" t="str">
        <f aca="false">IF(T150="","",IF(T150&lt;12,"Daily","Weekly"))</f>
        <v>Weekly</v>
      </c>
      <c r="AA150" s="65" t="n">
        <f aca="false">IF(T150="",0,IF(T150&lt;12,T150*Controls!$B$29,T150*5))</f>
        <v>90</v>
      </c>
      <c r="AB150" s="65" t="n">
        <f aca="false">IF(E150="",0,NETWORKDAYS(E150,Controls!$B$36,Ref!$K$2:$K$42))</f>
        <v>279</v>
      </c>
      <c r="AC150" s="65" t="n">
        <f aca="false">IF(AND(AA150&gt;0,AB150&gt;=Controls!$B$39*AA150),1,0)</f>
        <v>1</v>
      </c>
      <c r="AD150" s="65" t="n">
        <f aca="false">IF(AND(E150&lt;&gt;"",E150&gt;=Controls!$B$37,E150&lt;=Controls!$B$38),1,0)</f>
        <v>1</v>
      </c>
      <c r="AE150" s="65" t="n">
        <f aca="false">IF(IFERROR(VLOOKUP(D150,Controls!$A$64:$E$74,2,FALSE()),"No")="Yes",1,0)</f>
        <v>0</v>
      </c>
      <c r="AF150" s="65" t="n">
        <f aca="false">IF(IFERROR(VLOOKUP(D150,Controls!$A$64:$E$74,3,FALSE()),"No")="Yes",1,0)</f>
        <v>1</v>
      </c>
      <c r="AG150" s="65" t="n">
        <f aca="false">IF(IFERROR(VLOOKUP(D150,Controls!$A$64:$E$74,4,FALSE()),"No")="Yes",1,0)</f>
        <v>1</v>
      </c>
      <c r="AH150" s="65" t="n">
        <f aca="false">IF(IFERROR(VLOOKUP(D150,Controls!$A$64:$E$74,5,FALSE()),"No")="Yes",1,0)</f>
        <v>0</v>
      </c>
      <c r="AI150" s="65" t="n">
        <f aca="false">IF(ISNUMBER(MATCH(D150,Controls!$A$64:$A$74,0)),1,0)</f>
        <v>1</v>
      </c>
      <c r="AJ150" s="65" t="n">
        <f aca="false">Q150-N150</f>
        <v>7350</v>
      </c>
      <c r="AK150" s="65" t="n">
        <f aca="false">IF(AE150=1,MAX(0,N150-Q150),0)</f>
        <v>0</v>
      </c>
      <c r="AL150" s="65" t="n">
        <f aca="false">IF(OR(V150="",V150=0),0,N150/V150)</f>
        <v>0.231135028621451</v>
      </c>
      <c r="AM150" s="65" t="n">
        <f aca="false">IF(OR(V150="",V150=0),0,1)</f>
        <v>1</v>
      </c>
      <c r="AN150" s="65" t="n">
        <f aca="false">IF(OR(E150="",F150=""),0,NETWORKDAYS(E150,F150,Ref!$K$2:$K$42))</f>
        <v>55</v>
      </c>
      <c r="AO150" s="65" t="n">
        <f aca="false">IF(L150="Renewal",1,0)</f>
        <v>0</v>
      </c>
      <c r="AP150" s="65" t="n">
        <f aca="false">AC150*AD150</f>
        <v>1</v>
      </c>
      <c r="AQ150" s="65" t="n">
        <f aca="false">IF(AND(G150&lt;&gt;"",'Historical Score'!$C$6&lt;&gt;""),IF(G150='Historical Score'!$C$6,1,0),0)</f>
        <v>0</v>
      </c>
      <c r="AR150" s="65" t="n">
        <f aca="false">IF(AND(L150&lt;&gt;"",'Historical Score'!$C$5&lt;&gt;""),IF(L150='Historical Score'!$C$5,1,0),0)</f>
        <v>1</v>
      </c>
      <c r="AS150" s="65" t="n">
        <f aca="false">IF(AND(Y150&lt;&gt;"",'Historical Score'!$C$7&lt;&gt;""),IF(Y150='Historical Score'!$C$7,1,0),0)</f>
        <v>0</v>
      </c>
      <c r="AT150" s="65" t="n">
        <f aca="false">IF(AND(K150&lt;&gt;"",'Historical Score'!$C$8&lt;&gt;""),IF(K150='Historical Score'!$C$8,1,0),0)</f>
        <v>0</v>
      </c>
      <c r="AU150" s="65" t="n">
        <f aca="false">IF(AND(J150&lt;&gt;"",'Historical Score'!$C$9&lt;&gt;""),IF(J150='Historical Score'!$C$9,1,0),0)</f>
        <v>0</v>
      </c>
      <c r="AV150" s="65" t="n">
        <f aca="false">AR150*AS150*AQ150</f>
        <v>0</v>
      </c>
      <c r="AW150" s="65" t="n">
        <f aca="false">AR150*AT150*AQ150</f>
        <v>0</v>
      </c>
      <c r="AX150" s="65" t="n">
        <f aca="false">AR150*AS150</f>
        <v>0</v>
      </c>
      <c r="AY150" s="65" t="n">
        <f aca="false">AR150*AT150</f>
        <v>0</v>
      </c>
      <c r="AZ150" s="65" t="n">
        <f aca="false">AR150*AQ150</f>
        <v>0</v>
      </c>
      <c r="BA150" s="65" t="n">
        <f aca="false">AR150</f>
        <v>1</v>
      </c>
      <c r="BB150" s="65" t="n">
        <f aca="false">1</f>
        <v>1</v>
      </c>
      <c r="BC150" s="65" t="n">
        <f aca="false">IF(AV150=1,1,IF(AW150=1,2,IF(AX150=1,3,IF(AY150=1,4,IF(AZ150=1,5,IF(BA150=1,6,7))))))</f>
        <v>6</v>
      </c>
      <c r="BD150" s="65" t="n">
        <f aca="false">IF(AD150=1,CHOOSE('Historical Score'!$C$29,AV150,AW150,AX150,AY150,AZ150,BA150,BB150),0)</f>
        <v>0</v>
      </c>
      <c r="BE150" s="65" t="str">
        <f aca="false">IF(BD150=1,COUNTIF($BD$2:BD150,1),"")</f>
        <v/>
      </c>
    </row>
    <row r="151" customFormat="false" ht="15" hidden="false" customHeight="false" outlineLevel="0" collapsed="false">
      <c r="A151" s="65" t="s">
        <v>894</v>
      </c>
      <c r="B151" s="65" t="s">
        <v>751</v>
      </c>
      <c r="C151" s="65" t="s">
        <v>751</v>
      </c>
      <c r="D151" s="65" t="s">
        <v>340</v>
      </c>
      <c r="E151" s="112" t="n">
        <v>45856</v>
      </c>
      <c r="F151" s="112" t="n">
        <v>45979</v>
      </c>
      <c r="G151" s="65" t="n">
        <v>7</v>
      </c>
      <c r="H151" s="65" t="s">
        <v>752</v>
      </c>
      <c r="I151" s="65" t="s">
        <v>405</v>
      </c>
      <c r="J151" s="65" t="s">
        <v>410</v>
      </c>
      <c r="K151" s="65" t="s">
        <v>55</v>
      </c>
      <c r="L151" s="65" t="s">
        <v>64</v>
      </c>
      <c r="M151" s="113" t="n">
        <v>1.49</v>
      </c>
      <c r="N151" s="114" t="n">
        <v>15000</v>
      </c>
      <c r="O151" s="114" t="n">
        <v>0</v>
      </c>
      <c r="P151" s="114" t="n">
        <v>22350</v>
      </c>
      <c r="Q151" s="114" t="n">
        <v>8661.6</v>
      </c>
      <c r="R151" s="114" t="n">
        <v>13688.4</v>
      </c>
      <c r="S151" s="115" t="n">
        <v>0.387543624161074</v>
      </c>
      <c r="T151" s="65" t="n">
        <v>1.311</v>
      </c>
      <c r="U151" s="65" t="n">
        <v>32</v>
      </c>
      <c r="V151" s="65" t="n">
        <v>107255.94</v>
      </c>
      <c r="W151" s="115" t="n">
        <v>0.1094</v>
      </c>
      <c r="X151" s="112"/>
      <c r="Y151" s="65" t="str">
        <f aca="false">IF(I151="","No SIC",IFERROR(VLOOKUP(I151,Ref!$A$2:$B$65,2,FALSE()),"Unclassified"))</f>
        <v>Health Services</v>
      </c>
      <c r="Z151" s="65" t="str">
        <f aca="false">IF(T151="","",IF(T151&lt;12,"Daily","Weekly"))</f>
        <v>Daily</v>
      </c>
      <c r="AA151" s="65" t="n">
        <f aca="false">IF(T151="",0,IF(T151&lt;12,T151*Controls!$B$29,T151*5))</f>
        <v>28.389705</v>
      </c>
      <c r="AB151" s="65" t="n">
        <f aca="false">IF(E151="",0,NETWORKDAYS(E151,Controls!$B$36,Ref!$K$2:$K$42))</f>
        <v>278</v>
      </c>
      <c r="AC151" s="65" t="n">
        <f aca="false">IF(AND(AA151&gt;0,AB151&gt;=Controls!$B$39*AA151),1,0)</f>
        <v>1</v>
      </c>
      <c r="AD151" s="65" t="n">
        <f aca="false">IF(AND(E151&lt;&gt;"",E151&gt;=Controls!$B$37,E151&lt;=Controls!$B$38),1,0)</f>
        <v>1</v>
      </c>
      <c r="AE151" s="65" t="n">
        <f aca="false">IF(IFERROR(VLOOKUP(D151,Controls!$A$64:$E$74,2,FALSE()),"No")="Yes",1,0)</f>
        <v>1</v>
      </c>
      <c r="AF151" s="65" t="n">
        <f aca="false">IF(IFERROR(VLOOKUP(D151,Controls!$A$64:$E$74,3,FALSE()),"No")="Yes",1,0)</f>
        <v>0</v>
      </c>
      <c r="AG151" s="65" t="n">
        <f aca="false">IF(IFERROR(VLOOKUP(D151,Controls!$A$64:$E$74,4,FALSE()),"No")="Yes",1,0)</f>
        <v>0</v>
      </c>
      <c r="AH151" s="65" t="n">
        <f aca="false">IF(IFERROR(VLOOKUP(D151,Controls!$A$64:$E$74,5,FALSE()),"No")="Yes",1,0)</f>
        <v>0</v>
      </c>
      <c r="AI151" s="65" t="n">
        <f aca="false">IF(ISNUMBER(MATCH(D151,Controls!$A$64:$A$74,0)),1,0)</f>
        <v>1</v>
      </c>
      <c r="AJ151" s="65" t="n">
        <f aca="false">Q151-N151</f>
        <v>-6338.4</v>
      </c>
      <c r="AK151" s="65" t="n">
        <f aca="false">IF(AE151=1,MAX(0,N151-Q151),0)</f>
        <v>6338.4</v>
      </c>
      <c r="AL151" s="65" t="n">
        <f aca="false">IF(OR(V151="",V151=0),0,N151/V151)</f>
        <v>0.139852394189077</v>
      </c>
      <c r="AM151" s="65" t="n">
        <f aca="false">IF(OR(V151="",V151=0),0,1)</f>
        <v>1</v>
      </c>
      <c r="AN151" s="65" t="n">
        <f aca="false">IF(OR(E151="",F151=""),0,NETWORKDAYS(E151,F151,Ref!$K$2:$K$42))</f>
        <v>85</v>
      </c>
      <c r="AO151" s="65" t="n">
        <f aca="false">IF(L151="Renewal",1,0)</f>
        <v>0</v>
      </c>
      <c r="AP151" s="65" t="n">
        <f aca="false">AC151*AD151</f>
        <v>1</v>
      </c>
      <c r="AQ151" s="65" t="n">
        <f aca="false">IF(AND(G151&lt;&gt;"",'Historical Score'!$C$6&lt;&gt;""),IF(G151='Historical Score'!$C$6,1,0),0)</f>
        <v>0</v>
      </c>
      <c r="AR151" s="65" t="n">
        <f aca="false">IF(AND(L151&lt;&gt;"",'Historical Score'!$C$5&lt;&gt;""),IF(L151='Historical Score'!$C$5,1,0),0)</f>
        <v>1</v>
      </c>
      <c r="AS151" s="65" t="n">
        <f aca="false">IF(AND(Y151&lt;&gt;"",'Historical Score'!$C$7&lt;&gt;""),IF(Y151='Historical Score'!$C$7,1,0),0)</f>
        <v>0</v>
      </c>
      <c r="AT151" s="65" t="n">
        <f aca="false">IF(AND(K151&lt;&gt;"",'Historical Score'!$C$8&lt;&gt;""),IF(K151='Historical Score'!$C$8,1,0),0)</f>
        <v>1</v>
      </c>
      <c r="AU151" s="65" t="n">
        <f aca="false">IF(AND(J151&lt;&gt;"",'Historical Score'!$C$9&lt;&gt;""),IF(J151='Historical Score'!$C$9,1,0),0)</f>
        <v>0</v>
      </c>
      <c r="AV151" s="65" t="n">
        <f aca="false">AR151*AS151*AQ151</f>
        <v>0</v>
      </c>
      <c r="AW151" s="65" t="n">
        <f aca="false">AR151*AT151*AQ151</f>
        <v>0</v>
      </c>
      <c r="AX151" s="65" t="n">
        <f aca="false">AR151*AS151</f>
        <v>0</v>
      </c>
      <c r="AY151" s="65" t="n">
        <f aca="false">AR151*AT151</f>
        <v>1</v>
      </c>
      <c r="AZ151" s="65" t="n">
        <f aca="false">AR151*AQ151</f>
        <v>0</v>
      </c>
      <c r="BA151" s="65" t="n">
        <f aca="false">AR151</f>
        <v>1</v>
      </c>
      <c r="BB151" s="65" t="n">
        <f aca="false">1</f>
        <v>1</v>
      </c>
      <c r="BC151" s="65" t="n">
        <f aca="false">IF(AV151=1,1,IF(AW151=1,2,IF(AX151=1,3,IF(AY151=1,4,IF(AZ151=1,5,IF(BA151=1,6,7))))))</f>
        <v>4</v>
      </c>
      <c r="BD151" s="65" t="n">
        <f aca="false">IF(AD151=1,CHOOSE('Historical Score'!$C$29,AV151,AW151,AX151,AY151,AZ151,BA151,BB151),0)</f>
        <v>0</v>
      </c>
      <c r="BE151" s="65" t="str">
        <f aca="false">IF(BD151=1,COUNTIF($BD$2:BD151,1),"")</f>
        <v/>
      </c>
    </row>
    <row r="152" customFormat="false" ht="15" hidden="false" customHeight="false" outlineLevel="0" collapsed="false">
      <c r="A152" s="65" t="s">
        <v>895</v>
      </c>
      <c r="B152" s="65" t="s">
        <v>896</v>
      </c>
      <c r="C152" s="65" t="s">
        <v>896</v>
      </c>
      <c r="D152" s="65" t="s">
        <v>340</v>
      </c>
      <c r="E152" s="112" t="n">
        <v>45856</v>
      </c>
      <c r="F152" s="112" t="n">
        <v>45924</v>
      </c>
      <c r="G152" s="65" t="n">
        <v>1</v>
      </c>
      <c r="H152" s="65" t="s">
        <v>513</v>
      </c>
      <c r="I152" s="65" t="s">
        <v>475</v>
      </c>
      <c r="J152" s="65" t="s">
        <v>432</v>
      </c>
      <c r="K152" s="65" t="s">
        <v>897</v>
      </c>
      <c r="L152" s="65" t="s">
        <v>64</v>
      </c>
      <c r="M152" s="113" t="n">
        <v>1.49</v>
      </c>
      <c r="N152" s="114" t="n">
        <v>8000</v>
      </c>
      <c r="O152" s="114" t="n">
        <v>0</v>
      </c>
      <c r="P152" s="114" t="n">
        <v>11920</v>
      </c>
      <c r="Q152" s="114" t="n">
        <v>0</v>
      </c>
      <c r="R152" s="114" t="n">
        <v>11920</v>
      </c>
      <c r="S152" s="115" t="n">
        <v>0</v>
      </c>
      <c r="T152" s="65" t="n">
        <v>16</v>
      </c>
      <c r="U152" s="65" t="n">
        <v>10</v>
      </c>
      <c r="V152" s="65" t="n">
        <v>66914.91</v>
      </c>
      <c r="W152" s="115" t="n">
        <v>0.0445</v>
      </c>
      <c r="X152" s="112" t="n">
        <v>44727</v>
      </c>
      <c r="Y152" s="65" t="str">
        <f aca="false">IF(I152="","No SIC",IFERROR(VLOOKUP(I152,Ref!$A$2:$B$65,2,FALSE()),"Unclassified"))</f>
        <v>Auto Repair &amp; Services</v>
      </c>
      <c r="Z152" s="65" t="str">
        <f aca="false">IF(T152="","",IF(T152&lt;12,"Daily","Weekly"))</f>
        <v>Weekly</v>
      </c>
      <c r="AA152" s="65" t="n">
        <f aca="false">IF(T152="",0,IF(T152&lt;12,T152*Controls!$B$29,T152*5))</f>
        <v>80</v>
      </c>
      <c r="AB152" s="65" t="n">
        <f aca="false">IF(E152="",0,NETWORKDAYS(E152,Controls!$B$36,Ref!$K$2:$K$42))</f>
        <v>278</v>
      </c>
      <c r="AC152" s="65" t="n">
        <f aca="false">IF(AND(AA152&gt;0,AB152&gt;=Controls!$B$39*AA152),1,0)</f>
        <v>1</v>
      </c>
      <c r="AD152" s="65" t="n">
        <f aca="false">IF(AND(E152&lt;&gt;"",E152&gt;=Controls!$B$37,E152&lt;=Controls!$B$38),1,0)</f>
        <v>1</v>
      </c>
      <c r="AE152" s="65" t="n">
        <f aca="false">IF(IFERROR(VLOOKUP(D152,Controls!$A$64:$E$74,2,FALSE()),"No")="Yes",1,0)</f>
        <v>1</v>
      </c>
      <c r="AF152" s="65" t="n">
        <f aca="false">IF(IFERROR(VLOOKUP(D152,Controls!$A$64:$E$74,3,FALSE()),"No")="Yes",1,0)</f>
        <v>0</v>
      </c>
      <c r="AG152" s="65" t="n">
        <f aca="false">IF(IFERROR(VLOOKUP(D152,Controls!$A$64:$E$74,4,FALSE()),"No")="Yes",1,0)</f>
        <v>0</v>
      </c>
      <c r="AH152" s="65" t="n">
        <f aca="false">IF(IFERROR(VLOOKUP(D152,Controls!$A$64:$E$74,5,FALSE()),"No")="Yes",1,0)</f>
        <v>0</v>
      </c>
      <c r="AI152" s="65" t="n">
        <f aca="false">IF(ISNUMBER(MATCH(D152,Controls!$A$64:$A$74,0)),1,0)</f>
        <v>1</v>
      </c>
      <c r="AJ152" s="65" t="n">
        <f aca="false">Q152-N152</f>
        <v>-8000</v>
      </c>
      <c r="AK152" s="65" t="n">
        <f aca="false">IF(AE152=1,MAX(0,N152-Q152),0)</f>
        <v>8000</v>
      </c>
      <c r="AL152" s="65" t="n">
        <f aca="false">IF(OR(V152="",V152=0),0,N152/V152)</f>
        <v>0.11955481969564</v>
      </c>
      <c r="AM152" s="65" t="n">
        <f aca="false">IF(OR(V152="",V152=0),0,1)</f>
        <v>1</v>
      </c>
      <c r="AN152" s="65" t="n">
        <f aca="false">IF(OR(E152="",F152=""),0,NETWORKDAYS(E152,F152,Ref!$K$2:$K$42))</f>
        <v>48</v>
      </c>
      <c r="AO152" s="65" t="n">
        <f aca="false">IF(L152="Renewal",1,0)</f>
        <v>0</v>
      </c>
      <c r="AP152" s="65" t="n">
        <f aca="false">AC152*AD152</f>
        <v>1</v>
      </c>
      <c r="AQ152" s="65" t="n">
        <f aca="false">IF(AND(G152&lt;&gt;"",'Historical Score'!$C$6&lt;&gt;""),IF(G152='Historical Score'!$C$6,1,0),0)</f>
        <v>0</v>
      </c>
      <c r="AR152" s="65" t="n">
        <f aca="false">IF(AND(L152&lt;&gt;"",'Historical Score'!$C$5&lt;&gt;""),IF(L152='Historical Score'!$C$5,1,0),0)</f>
        <v>1</v>
      </c>
      <c r="AS152" s="65" t="n">
        <f aca="false">IF(AND(Y152&lt;&gt;"",'Historical Score'!$C$7&lt;&gt;""),IF(Y152='Historical Score'!$C$7,1,0),0)</f>
        <v>0</v>
      </c>
      <c r="AT152" s="65" t="n">
        <f aca="false">IF(AND(K152&lt;&gt;"",'Historical Score'!$C$8&lt;&gt;""),IF(K152='Historical Score'!$C$8,1,0),0)</f>
        <v>0</v>
      </c>
      <c r="AU152" s="65" t="n">
        <f aca="false">IF(AND(J152&lt;&gt;"",'Historical Score'!$C$9&lt;&gt;""),IF(J152='Historical Score'!$C$9,1,0),0)</f>
        <v>0</v>
      </c>
      <c r="AV152" s="65" t="n">
        <f aca="false">AR152*AS152*AQ152</f>
        <v>0</v>
      </c>
      <c r="AW152" s="65" t="n">
        <f aca="false">AR152*AT152*AQ152</f>
        <v>0</v>
      </c>
      <c r="AX152" s="65" t="n">
        <f aca="false">AR152*AS152</f>
        <v>0</v>
      </c>
      <c r="AY152" s="65" t="n">
        <f aca="false">AR152*AT152</f>
        <v>0</v>
      </c>
      <c r="AZ152" s="65" t="n">
        <f aca="false">AR152*AQ152</f>
        <v>0</v>
      </c>
      <c r="BA152" s="65" t="n">
        <f aca="false">AR152</f>
        <v>1</v>
      </c>
      <c r="BB152" s="65" t="n">
        <f aca="false">1</f>
        <v>1</v>
      </c>
      <c r="BC152" s="65" t="n">
        <f aca="false">IF(AV152=1,1,IF(AW152=1,2,IF(AX152=1,3,IF(AY152=1,4,IF(AZ152=1,5,IF(BA152=1,6,7))))))</f>
        <v>6</v>
      </c>
      <c r="BD152" s="65" t="n">
        <f aca="false">IF(AD152=1,CHOOSE('Historical Score'!$C$29,AV152,AW152,AX152,AY152,AZ152,BA152,BB152),0)</f>
        <v>0</v>
      </c>
      <c r="BE152" s="65" t="str">
        <f aca="false">IF(BD152=1,COUNTIF($BD$2:BD152,1),"")</f>
        <v/>
      </c>
    </row>
    <row r="153" customFormat="false" ht="15" hidden="false" customHeight="false" outlineLevel="0" collapsed="false">
      <c r="A153" s="65" t="s">
        <v>898</v>
      </c>
      <c r="B153" s="65" t="s">
        <v>899</v>
      </c>
      <c r="C153" s="65" t="s">
        <v>900</v>
      </c>
      <c r="D153" s="65" t="s">
        <v>340</v>
      </c>
      <c r="E153" s="112" t="n">
        <v>45856</v>
      </c>
      <c r="F153" s="112" t="n">
        <v>46097</v>
      </c>
      <c r="G153" s="65" t="n">
        <v>1</v>
      </c>
      <c r="H153" s="65" t="s">
        <v>901</v>
      </c>
      <c r="I153" s="65" t="s">
        <v>415</v>
      </c>
      <c r="J153" s="65" t="s">
        <v>61</v>
      </c>
      <c r="K153" s="65" t="s">
        <v>538</v>
      </c>
      <c r="L153" s="65" t="s">
        <v>64</v>
      </c>
      <c r="M153" s="113" t="n">
        <v>1.31</v>
      </c>
      <c r="N153" s="114" t="n">
        <v>70000</v>
      </c>
      <c r="O153" s="114" t="n">
        <v>2800</v>
      </c>
      <c r="P153" s="114" t="n">
        <v>91700</v>
      </c>
      <c r="Q153" s="114" t="n">
        <v>57312.5</v>
      </c>
      <c r="R153" s="114" t="n">
        <v>34387.5</v>
      </c>
      <c r="S153" s="115" t="n">
        <v>0.625</v>
      </c>
      <c r="T153" s="65" t="n">
        <v>40</v>
      </c>
      <c r="U153" s="65" t="n">
        <v>10</v>
      </c>
      <c r="V153" s="65" t="n">
        <v>187654.36</v>
      </c>
      <c r="W153" s="115" t="n">
        <v>0.0489</v>
      </c>
      <c r="X153" s="112" t="n">
        <v>42705</v>
      </c>
      <c r="Y153" s="65" t="str">
        <f aca="false">IF(I153="","No SIC",IFERROR(VLOOKUP(I153,Ref!$A$2:$B$65,2,FALSE()),"Unclassified"))</f>
        <v>Wholesale Trade - Durable Goods</v>
      </c>
      <c r="Z153" s="65" t="str">
        <f aca="false">IF(T153="","",IF(T153&lt;12,"Daily","Weekly"))</f>
        <v>Weekly</v>
      </c>
      <c r="AA153" s="65" t="n">
        <f aca="false">IF(T153="",0,IF(T153&lt;12,T153*Controls!$B$29,T153*5))</f>
        <v>200</v>
      </c>
      <c r="AB153" s="65" t="n">
        <f aca="false">IF(E153="",0,NETWORKDAYS(E153,Controls!$B$36,Ref!$K$2:$K$42))</f>
        <v>278</v>
      </c>
      <c r="AC153" s="65" t="n">
        <f aca="false">IF(AND(AA153&gt;0,AB153&gt;=Controls!$B$39*AA153),1,0)</f>
        <v>1</v>
      </c>
      <c r="AD153" s="65" t="n">
        <f aca="false">IF(AND(E153&lt;&gt;"",E153&gt;=Controls!$B$37,E153&lt;=Controls!$B$38),1,0)</f>
        <v>1</v>
      </c>
      <c r="AE153" s="65" t="n">
        <f aca="false">IF(IFERROR(VLOOKUP(D153,Controls!$A$64:$E$74,2,FALSE()),"No")="Yes",1,0)</f>
        <v>1</v>
      </c>
      <c r="AF153" s="65" t="n">
        <f aca="false">IF(IFERROR(VLOOKUP(D153,Controls!$A$64:$E$74,3,FALSE()),"No")="Yes",1,0)</f>
        <v>0</v>
      </c>
      <c r="AG153" s="65" t="n">
        <f aca="false">IF(IFERROR(VLOOKUP(D153,Controls!$A$64:$E$74,4,FALSE()),"No")="Yes",1,0)</f>
        <v>0</v>
      </c>
      <c r="AH153" s="65" t="n">
        <f aca="false">IF(IFERROR(VLOOKUP(D153,Controls!$A$64:$E$74,5,FALSE()),"No")="Yes",1,0)</f>
        <v>0</v>
      </c>
      <c r="AI153" s="65" t="n">
        <f aca="false">IF(ISNUMBER(MATCH(D153,Controls!$A$64:$A$74,0)),1,0)</f>
        <v>1</v>
      </c>
      <c r="AJ153" s="65" t="n">
        <f aca="false">Q153-N153</f>
        <v>-12687.5</v>
      </c>
      <c r="AK153" s="65" t="n">
        <f aca="false">IF(AE153=1,MAX(0,N153-Q153),0)</f>
        <v>12687.5</v>
      </c>
      <c r="AL153" s="65" t="n">
        <f aca="false">IF(OR(V153="",V153=0),0,N153/V153)</f>
        <v>0.373026238239282</v>
      </c>
      <c r="AM153" s="65" t="n">
        <f aca="false">IF(OR(V153="",V153=0),0,1)</f>
        <v>1</v>
      </c>
      <c r="AN153" s="65" t="n">
        <f aca="false">IF(OR(E153="",F153=""),0,NETWORKDAYS(E153,F153,Ref!$K$2:$K$42))</f>
        <v>164</v>
      </c>
      <c r="AO153" s="65" t="n">
        <f aca="false">IF(L153="Renewal",1,0)</f>
        <v>0</v>
      </c>
      <c r="AP153" s="65" t="n">
        <f aca="false">AC153*AD153</f>
        <v>1</v>
      </c>
      <c r="AQ153" s="65" t="n">
        <f aca="false">IF(AND(G153&lt;&gt;"",'Historical Score'!$C$6&lt;&gt;""),IF(G153='Historical Score'!$C$6,1,0),0)</f>
        <v>0</v>
      </c>
      <c r="AR153" s="65" t="n">
        <f aca="false">IF(AND(L153&lt;&gt;"",'Historical Score'!$C$5&lt;&gt;""),IF(L153='Historical Score'!$C$5,1,0),0)</f>
        <v>1</v>
      </c>
      <c r="AS153" s="65" t="n">
        <f aca="false">IF(AND(Y153&lt;&gt;"",'Historical Score'!$C$7&lt;&gt;""),IF(Y153='Historical Score'!$C$7,1,0),0)</f>
        <v>0</v>
      </c>
      <c r="AT153" s="65" t="n">
        <f aca="false">IF(AND(K153&lt;&gt;"",'Historical Score'!$C$8&lt;&gt;""),IF(K153='Historical Score'!$C$8,1,0),0)</f>
        <v>0</v>
      </c>
      <c r="AU153" s="65" t="n">
        <f aca="false">IF(AND(J153&lt;&gt;"",'Historical Score'!$C$9&lt;&gt;""),IF(J153='Historical Score'!$C$9,1,0),0)</f>
        <v>1</v>
      </c>
      <c r="AV153" s="65" t="n">
        <f aca="false">AR153*AS153*AQ153</f>
        <v>0</v>
      </c>
      <c r="AW153" s="65" t="n">
        <f aca="false">AR153*AT153*AQ153</f>
        <v>0</v>
      </c>
      <c r="AX153" s="65" t="n">
        <f aca="false">AR153*AS153</f>
        <v>0</v>
      </c>
      <c r="AY153" s="65" t="n">
        <f aca="false">AR153*AT153</f>
        <v>0</v>
      </c>
      <c r="AZ153" s="65" t="n">
        <f aca="false">AR153*AQ153</f>
        <v>0</v>
      </c>
      <c r="BA153" s="65" t="n">
        <f aca="false">AR153</f>
        <v>1</v>
      </c>
      <c r="BB153" s="65" t="n">
        <f aca="false">1</f>
        <v>1</v>
      </c>
      <c r="BC153" s="65" t="n">
        <f aca="false">IF(AV153=1,1,IF(AW153=1,2,IF(AX153=1,3,IF(AY153=1,4,IF(AZ153=1,5,IF(BA153=1,6,7))))))</f>
        <v>6</v>
      </c>
      <c r="BD153" s="65" t="n">
        <f aca="false">IF(AD153=1,CHOOSE('Historical Score'!$C$29,AV153,AW153,AX153,AY153,AZ153,BA153,BB153),0)</f>
        <v>0</v>
      </c>
      <c r="BE153" s="65" t="str">
        <f aca="false">IF(BD153=1,COUNTIF($BD$2:BD153,1),"")</f>
        <v/>
      </c>
    </row>
    <row r="154" customFormat="false" ht="15" hidden="false" customHeight="false" outlineLevel="0" collapsed="false">
      <c r="A154" s="65" t="s">
        <v>902</v>
      </c>
      <c r="B154" s="65" t="s">
        <v>903</v>
      </c>
      <c r="C154" s="65" t="s">
        <v>903</v>
      </c>
      <c r="D154" s="65" t="s">
        <v>371</v>
      </c>
      <c r="E154" s="112" t="n">
        <v>45860</v>
      </c>
      <c r="F154" s="112" t="n">
        <v>45924</v>
      </c>
      <c r="G154" s="65" t="n">
        <v>1</v>
      </c>
      <c r="H154" s="65" t="s">
        <v>904</v>
      </c>
      <c r="I154" s="65" t="s">
        <v>425</v>
      </c>
      <c r="J154" s="65" t="s">
        <v>905</v>
      </c>
      <c r="K154" s="65" t="s">
        <v>906</v>
      </c>
      <c r="L154" s="65" t="s">
        <v>64</v>
      </c>
      <c r="M154" s="113" t="n">
        <v>1.49</v>
      </c>
      <c r="N154" s="114" t="n">
        <v>6000</v>
      </c>
      <c r="O154" s="114" t="n">
        <v>840</v>
      </c>
      <c r="P154" s="114" t="n">
        <v>8940</v>
      </c>
      <c r="Q154" s="114" t="n">
        <v>8940</v>
      </c>
      <c r="R154" s="114" t="n">
        <v>0</v>
      </c>
      <c r="S154" s="115" t="n">
        <v>1</v>
      </c>
      <c r="T154" s="65" t="n">
        <v>2.623</v>
      </c>
      <c r="U154" s="65" t="n">
        <v>0</v>
      </c>
      <c r="V154" s="65" t="n">
        <v>13986.96</v>
      </c>
      <c r="W154" s="115" t="n">
        <v>0.1419</v>
      </c>
      <c r="X154" s="112" t="n">
        <v>42309</v>
      </c>
      <c r="Y154" s="65" t="str">
        <f aca="false">IF(I154="","No SIC",IFERROR(VLOOKUP(I154,Ref!$A$2:$B$65,2,FALSE()),"Unclassified"))</f>
        <v>Personal Services</v>
      </c>
      <c r="Z154" s="65" t="str">
        <f aca="false">IF(T154="","",IF(T154&lt;12,"Daily","Weekly"))</f>
        <v>Daily</v>
      </c>
      <c r="AA154" s="65" t="n">
        <f aca="false">IF(T154="",0,IF(T154&lt;12,T154*Controls!$B$29,T154*5))</f>
        <v>56.801065</v>
      </c>
      <c r="AB154" s="65" t="n">
        <f aca="false">IF(E154="",0,NETWORKDAYS(E154,Controls!$B$36,Ref!$K$2:$K$42))</f>
        <v>276</v>
      </c>
      <c r="AC154" s="65" t="n">
        <f aca="false">IF(AND(AA154&gt;0,AB154&gt;=Controls!$B$39*AA154),1,0)</f>
        <v>1</v>
      </c>
      <c r="AD154" s="65" t="n">
        <f aca="false">IF(AND(E154&lt;&gt;"",E154&gt;=Controls!$B$37,E154&lt;=Controls!$B$38),1,0)</f>
        <v>1</v>
      </c>
      <c r="AE154" s="65" t="n">
        <f aca="false">IF(IFERROR(VLOOKUP(D154,Controls!$A$64:$E$74,2,FALSE()),"No")="Yes",1,0)</f>
        <v>0</v>
      </c>
      <c r="AF154" s="65" t="n">
        <f aca="false">IF(IFERROR(VLOOKUP(D154,Controls!$A$64:$E$74,3,FALSE()),"No")="Yes",1,0)</f>
        <v>1</v>
      </c>
      <c r="AG154" s="65" t="n">
        <f aca="false">IF(IFERROR(VLOOKUP(D154,Controls!$A$64:$E$74,4,FALSE()),"No")="Yes",1,0)</f>
        <v>1</v>
      </c>
      <c r="AH154" s="65" t="n">
        <f aca="false">IF(IFERROR(VLOOKUP(D154,Controls!$A$64:$E$74,5,FALSE()),"No")="Yes",1,0)</f>
        <v>0</v>
      </c>
      <c r="AI154" s="65" t="n">
        <f aca="false">IF(ISNUMBER(MATCH(D154,Controls!$A$64:$A$74,0)),1,0)</f>
        <v>1</v>
      </c>
      <c r="AJ154" s="65" t="n">
        <f aca="false">Q154-N154</f>
        <v>2940</v>
      </c>
      <c r="AK154" s="65" t="n">
        <f aca="false">IF(AE154=1,MAX(0,N154-Q154),0)</f>
        <v>0</v>
      </c>
      <c r="AL154" s="65" t="n">
        <f aca="false">IF(OR(V154="",V154=0),0,N154/V154)</f>
        <v>0.428970984402615</v>
      </c>
      <c r="AM154" s="65" t="n">
        <f aca="false">IF(OR(V154="",V154=0),0,1)</f>
        <v>1</v>
      </c>
      <c r="AN154" s="65" t="n">
        <f aca="false">IF(OR(E154="",F154=""),0,NETWORKDAYS(E154,F154,Ref!$K$2:$K$42))</f>
        <v>46</v>
      </c>
      <c r="AO154" s="65" t="n">
        <f aca="false">IF(L154="Renewal",1,0)</f>
        <v>0</v>
      </c>
      <c r="AP154" s="65" t="n">
        <f aca="false">AC154*AD154</f>
        <v>1</v>
      </c>
      <c r="AQ154" s="65" t="n">
        <f aca="false">IF(AND(G154&lt;&gt;"",'Historical Score'!$C$6&lt;&gt;""),IF(G154='Historical Score'!$C$6,1,0),0)</f>
        <v>0</v>
      </c>
      <c r="AR154" s="65" t="n">
        <f aca="false">IF(AND(L154&lt;&gt;"",'Historical Score'!$C$5&lt;&gt;""),IF(L154='Historical Score'!$C$5,1,0),0)</f>
        <v>1</v>
      </c>
      <c r="AS154" s="65" t="n">
        <f aca="false">IF(AND(Y154&lt;&gt;"",'Historical Score'!$C$7&lt;&gt;""),IF(Y154='Historical Score'!$C$7,1,0),0)</f>
        <v>0</v>
      </c>
      <c r="AT154" s="65" t="n">
        <f aca="false">IF(AND(K154&lt;&gt;"",'Historical Score'!$C$8&lt;&gt;""),IF(K154='Historical Score'!$C$8,1,0),0)</f>
        <v>0</v>
      </c>
      <c r="AU154" s="65" t="n">
        <f aca="false">IF(AND(J154&lt;&gt;"",'Historical Score'!$C$9&lt;&gt;""),IF(J154='Historical Score'!$C$9,1,0),0)</f>
        <v>0</v>
      </c>
      <c r="AV154" s="65" t="n">
        <f aca="false">AR154*AS154*AQ154</f>
        <v>0</v>
      </c>
      <c r="AW154" s="65" t="n">
        <f aca="false">AR154*AT154*AQ154</f>
        <v>0</v>
      </c>
      <c r="AX154" s="65" t="n">
        <f aca="false">AR154*AS154</f>
        <v>0</v>
      </c>
      <c r="AY154" s="65" t="n">
        <f aca="false">AR154*AT154</f>
        <v>0</v>
      </c>
      <c r="AZ154" s="65" t="n">
        <f aca="false">AR154*AQ154</f>
        <v>0</v>
      </c>
      <c r="BA154" s="65" t="n">
        <f aca="false">AR154</f>
        <v>1</v>
      </c>
      <c r="BB154" s="65" t="n">
        <f aca="false">1</f>
        <v>1</v>
      </c>
      <c r="BC154" s="65" t="n">
        <f aca="false">IF(AV154=1,1,IF(AW154=1,2,IF(AX154=1,3,IF(AY154=1,4,IF(AZ154=1,5,IF(BA154=1,6,7))))))</f>
        <v>6</v>
      </c>
      <c r="BD154" s="65" t="n">
        <f aca="false">IF(AD154=1,CHOOSE('Historical Score'!$C$29,AV154,AW154,AX154,AY154,AZ154,BA154,BB154),0)</f>
        <v>0</v>
      </c>
      <c r="BE154" s="65" t="str">
        <f aca="false">IF(BD154=1,COUNTIF($BD$2:BD154,1),"")</f>
        <v/>
      </c>
    </row>
    <row r="155" customFormat="false" ht="15" hidden="false" customHeight="false" outlineLevel="0" collapsed="false">
      <c r="A155" s="65" t="s">
        <v>907</v>
      </c>
      <c r="B155" s="65" t="s">
        <v>908</v>
      </c>
      <c r="C155" s="65" t="s">
        <v>908</v>
      </c>
      <c r="D155" s="65" t="s">
        <v>340</v>
      </c>
      <c r="E155" s="112" t="n">
        <v>45860</v>
      </c>
      <c r="F155" s="112" t="n">
        <v>45980</v>
      </c>
      <c r="G155" s="65" t="n">
        <v>1</v>
      </c>
      <c r="H155" s="65" t="s">
        <v>479</v>
      </c>
      <c r="I155" s="65" t="s">
        <v>356</v>
      </c>
      <c r="J155" s="65" t="s">
        <v>854</v>
      </c>
      <c r="K155" s="65" t="s">
        <v>476</v>
      </c>
      <c r="L155" s="65" t="s">
        <v>64</v>
      </c>
      <c r="M155" s="113" t="n">
        <v>1.499</v>
      </c>
      <c r="N155" s="114" t="n">
        <v>5000</v>
      </c>
      <c r="O155" s="114" t="n">
        <v>700</v>
      </c>
      <c r="P155" s="114" t="n">
        <v>7495</v>
      </c>
      <c r="Q155" s="114" t="n">
        <v>4966.4</v>
      </c>
      <c r="R155" s="114" t="n">
        <v>2528.6</v>
      </c>
      <c r="S155" s="115" t="n">
        <v>0.662628418945964</v>
      </c>
      <c r="T155" s="65" t="n">
        <v>1.967</v>
      </c>
      <c r="U155" s="65" t="n">
        <v>26</v>
      </c>
      <c r="V155" s="65" t="n">
        <v>20211.69</v>
      </c>
      <c r="W155" s="115" t="n">
        <v>0.129</v>
      </c>
      <c r="X155" s="112" t="n">
        <v>40948</v>
      </c>
      <c r="Y155" s="65" t="str">
        <f aca="false">IF(I155="","No SIC",IFERROR(VLOOKUP(I155,Ref!$A$2:$B$65,2,FALSE()),"Unclassified"))</f>
        <v>Trucking &amp; Warehousing</v>
      </c>
      <c r="Z155" s="65" t="str">
        <f aca="false">IF(T155="","",IF(T155&lt;12,"Daily","Weekly"))</f>
        <v>Daily</v>
      </c>
      <c r="AA155" s="65" t="n">
        <f aca="false">IF(T155="",0,IF(T155&lt;12,T155*Controls!$B$29,T155*5))</f>
        <v>42.595385</v>
      </c>
      <c r="AB155" s="65" t="n">
        <f aca="false">IF(E155="",0,NETWORKDAYS(E155,Controls!$B$36,Ref!$K$2:$K$42))</f>
        <v>276</v>
      </c>
      <c r="AC155" s="65" t="n">
        <f aca="false">IF(AND(AA155&gt;0,AB155&gt;=Controls!$B$39*AA155),1,0)</f>
        <v>1</v>
      </c>
      <c r="AD155" s="65" t="n">
        <f aca="false">IF(AND(E155&lt;&gt;"",E155&gt;=Controls!$B$37,E155&lt;=Controls!$B$38),1,0)</f>
        <v>1</v>
      </c>
      <c r="AE155" s="65" t="n">
        <f aca="false">IF(IFERROR(VLOOKUP(D155,Controls!$A$64:$E$74,2,FALSE()),"No")="Yes",1,0)</f>
        <v>1</v>
      </c>
      <c r="AF155" s="65" t="n">
        <f aca="false">IF(IFERROR(VLOOKUP(D155,Controls!$A$64:$E$74,3,FALSE()),"No")="Yes",1,0)</f>
        <v>0</v>
      </c>
      <c r="AG155" s="65" t="n">
        <f aca="false">IF(IFERROR(VLOOKUP(D155,Controls!$A$64:$E$74,4,FALSE()),"No")="Yes",1,0)</f>
        <v>0</v>
      </c>
      <c r="AH155" s="65" t="n">
        <f aca="false">IF(IFERROR(VLOOKUP(D155,Controls!$A$64:$E$74,5,FALSE()),"No")="Yes",1,0)</f>
        <v>0</v>
      </c>
      <c r="AI155" s="65" t="n">
        <f aca="false">IF(ISNUMBER(MATCH(D155,Controls!$A$64:$A$74,0)),1,0)</f>
        <v>1</v>
      </c>
      <c r="AJ155" s="65" t="n">
        <f aca="false">Q155-N155</f>
        <v>-33.6000000000004</v>
      </c>
      <c r="AK155" s="65" t="n">
        <f aca="false">IF(AE155=1,MAX(0,N155-Q155),0)</f>
        <v>33.6000000000004</v>
      </c>
      <c r="AL155" s="65" t="n">
        <f aca="false">IF(OR(V155="",V155=0),0,N155/V155)</f>
        <v>0.247381589565247</v>
      </c>
      <c r="AM155" s="65" t="n">
        <f aca="false">IF(OR(V155="",V155=0),0,1)</f>
        <v>1</v>
      </c>
      <c r="AN155" s="65" t="n">
        <f aca="false">IF(OR(E155="",F155=""),0,NETWORKDAYS(E155,F155,Ref!$K$2:$K$42))</f>
        <v>84</v>
      </c>
      <c r="AO155" s="65" t="n">
        <f aca="false">IF(L155="Renewal",1,0)</f>
        <v>0</v>
      </c>
      <c r="AP155" s="65" t="n">
        <f aca="false">AC155*AD155</f>
        <v>1</v>
      </c>
      <c r="AQ155" s="65" t="n">
        <f aca="false">IF(AND(G155&lt;&gt;"",'Historical Score'!$C$6&lt;&gt;""),IF(G155='Historical Score'!$C$6,1,0),0)</f>
        <v>0</v>
      </c>
      <c r="AR155" s="65" t="n">
        <f aca="false">IF(AND(L155&lt;&gt;"",'Historical Score'!$C$5&lt;&gt;""),IF(L155='Historical Score'!$C$5,1,0),0)</f>
        <v>1</v>
      </c>
      <c r="AS155" s="65" t="n">
        <f aca="false">IF(AND(Y155&lt;&gt;"",'Historical Score'!$C$7&lt;&gt;""),IF(Y155='Historical Score'!$C$7,1,0),0)</f>
        <v>0</v>
      </c>
      <c r="AT155" s="65" t="n">
        <f aca="false">IF(AND(K155&lt;&gt;"",'Historical Score'!$C$8&lt;&gt;""),IF(K155='Historical Score'!$C$8,1,0),0)</f>
        <v>0</v>
      </c>
      <c r="AU155" s="65" t="n">
        <f aca="false">IF(AND(J155&lt;&gt;"",'Historical Score'!$C$9&lt;&gt;""),IF(J155='Historical Score'!$C$9,1,0),0)</f>
        <v>0</v>
      </c>
      <c r="AV155" s="65" t="n">
        <f aca="false">AR155*AS155*AQ155</f>
        <v>0</v>
      </c>
      <c r="AW155" s="65" t="n">
        <f aca="false">AR155*AT155*AQ155</f>
        <v>0</v>
      </c>
      <c r="AX155" s="65" t="n">
        <f aca="false">AR155*AS155</f>
        <v>0</v>
      </c>
      <c r="AY155" s="65" t="n">
        <f aca="false">AR155*AT155</f>
        <v>0</v>
      </c>
      <c r="AZ155" s="65" t="n">
        <f aca="false">AR155*AQ155</f>
        <v>0</v>
      </c>
      <c r="BA155" s="65" t="n">
        <f aca="false">AR155</f>
        <v>1</v>
      </c>
      <c r="BB155" s="65" t="n">
        <f aca="false">1</f>
        <v>1</v>
      </c>
      <c r="BC155" s="65" t="n">
        <f aca="false">IF(AV155=1,1,IF(AW155=1,2,IF(AX155=1,3,IF(AY155=1,4,IF(AZ155=1,5,IF(BA155=1,6,7))))))</f>
        <v>6</v>
      </c>
      <c r="BD155" s="65" t="n">
        <f aca="false">IF(AD155=1,CHOOSE('Historical Score'!$C$29,AV155,AW155,AX155,AY155,AZ155,BA155,BB155),0)</f>
        <v>0</v>
      </c>
      <c r="BE155" s="65" t="str">
        <f aca="false">IF(BD155=1,COUNTIF($BD$2:BD155,1),"")</f>
        <v/>
      </c>
    </row>
    <row r="156" customFormat="false" ht="15" hidden="false" customHeight="false" outlineLevel="0" collapsed="false">
      <c r="A156" s="65" t="s">
        <v>909</v>
      </c>
      <c r="B156" s="65" t="s">
        <v>910</v>
      </c>
      <c r="C156" s="65" t="s">
        <v>911</v>
      </c>
      <c r="D156" s="65" t="s">
        <v>371</v>
      </c>
      <c r="E156" s="112" t="n">
        <v>45860</v>
      </c>
      <c r="F156" s="112" t="n">
        <v>45968</v>
      </c>
      <c r="G156" s="65" t="n">
        <v>7</v>
      </c>
      <c r="H156" s="65" t="s">
        <v>748</v>
      </c>
      <c r="I156" s="65" t="s">
        <v>619</v>
      </c>
      <c r="J156" s="65" t="s">
        <v>769</v>
      </c>
      <c r="K156" s="65" t="s">
        <v>433</v>
      </c>
      <c r="L156" s="65" t="s">
        <v>64</v>
      </c>
      <c r="M156" s="113" t="n">
        <v>1.499</v>
      </c>
      <c r="N156" s="114" t="n">
        <v>8500</v>
      </c>
      <c r="O156" s="114" t="n">
        <v>1190</v>
      </c>
      <c r="P156" s="114" t="n">
        <v>12741.5</v>
      </c>
      <c r="Q156" s="114" t="n">
        <v>12741.5</v>
      </c>
      <c r="R156" s="114" t="n">
        <v>1.81898940354586E-012</v>
      </c>
      <c r="S156" s="115" t="n">
        <v>1</v>
      </c>
      <c r="T156" s="65" t="n">
        <v>14</v>
      </c>
      <c r="U156" s="65" t="n">
        <v>1</v>
      </c>
      <c r="V156" s="65" t="n">
        <v>46683.35</v>
      </c>
      <c r="W156" s="115" t="n">
        <v>0.0775</v>
      </c>
      <c r="X156" s="112" t="n">
        <v>44694</v>
      </c>
      <c r="Y156" s="65" t="str">
        <f aca="false">IF(I156="","No SIC",IFERROR(VLOOKUP(I156,Ref!$A$2:$B$65,2,FALSE()),"Unclassified"))</f>
        <v>Miscellaneous Retail</v>
      </c>
      <c r="Z156" s="65" t="str">
        <f aca="false">IF(T156="","",IF(T156&lt;12,"Daily","Weekly"))</f>
        <v>Weekly</v>
      </c>
      <c r="AA156" s="65" t="n">
        <f aca="false">IF(T156="",0,IF(T156&lt;12,T156*Controls!$B$29,T156*5))</f>
        <v>70</v>
      </c>
      <c r="AB156" s="65" t="n">
        <f aca="false">IF(E156="",0,NETWORKDAYS(E156,Controls!$B$36,Ref!$K$2:$K$42))</f>
        <v>276</v>
      </c>
      <c r="AC156" s="65" t="n">
        <f aca="false">IF(AND(AA156&gt;0,AB156&gt;=Controls!$B$39*AA156),1,0)</f>
        <v>1</v>
      </c>
      <c r="AD156" s="65" t="n">
        <f aca="false">IF(AND(E156&lt;&gt;"",E156&gt;=Controls!$B$37,E156&lt;=Controls!$B$38),1,0)</f>
        <v>1</v>
      </c>
      <c r="AE156" s="65" t="n">
        <f aca="false">IF(IFERROR(VLOOKUP(D156,Controls!$A$64:$E$74,2,FALSE()),"No")="Yes",1,0)</f>
        <v>0</v>
      </c>
      <c r="AF156" s="65" t="n">
        <f aca="false">IF(IFERROR(VLOOKUP(D156,Controls!$A$64:$E$74,3,FALSE()),"No")="Yes",1,0)</f>
        <v>1</v>
      </c>
      <c r="AG156" s="65" t="n">
        <f aca="false">IF(IFERROR(VLOOKUP(D156,Controls!$A$64:$E$74,4,FALSE()),"No")="Yes",1,0)</f>
        <v>1</v>
      </c>
      <c r="AH156" s="65" t="n">
        <f aca="false">IF(IFERROR(VLOOKUP(D156,Controls!$A$64:$E$74,5,FALSE()),"No")="Yes",1,0)</f>
        <v>0</v>
      </c>
      <c r="AI156" s="65" t="n">
        <f aca="false">IF(ISNUMBER(MATCH(D156,Controls!$A$64:$A$74,0)),1,0)</f>
        <v>1</v>
      </c>
      <c r="AJ156" s="65" t="n">
        <f aca="false">Q156-N156</f>
        <v>4241.5</v>
      </c>
      <c r="AK156" s="65" t="n">
        <f aca="false">IF(AE156=1,MAX(0,N156-Q156),0)</f>
        <v>0</v>
      </c>
      <c r="AL156" s="65" t="n">
        <f aca="false">IF(OR(V156="",V156=0),0,N156/V156)</f>
        <v>0.182077764342105</v>
      </c>
      <c r="AM156" s="65" t="n">
        <f aca="false">IF(OR(V156="",V156=0),0,1)</f>
        <v>1</v>
      </c>
      <c r="AN156" s="65" t="n">
        <f aca="false">IF(OR(E156="",F156=""),0,NETWORKDAYS(E156,F156,Ref!$K$2:$K$42))</f>
        <v>77</v>
      </c>
      <c r="AO156" s="65" t="n">
        <f aca="false">IF(L156="Renewal",1,0)</f>
        <v>0</v>
      </c>
      <c r="AP156" s="65" t="n">
        <f aca="false">AC156*AD156</f>
        <v>1</v>
      </c>
      <c r="AQ156" s="65" t="n">
        <f aca="false">IF(AND(G156&lt;&gt;"",'Historical Score'!$C$6&lt;&gt;""),IF(G156='Historical Score'!$C$6,1,0),0)</f>
        <v>0</v>
      </c>
      <c r="AR156" s="65" t="n">
        <f aca="false">IF(AND(L156&lt;&gt;"",'Historical Score'!$C$5&lt;&gt;""),IF(L156='Historical Score'!$C$5,1,0),0)</f>
        <v>1</v>
      </c>
      <c r="AS156" s="65" t="n">
        <f aca="false">IF(AND(Y156&lt;&gt;"",'Historical Score'!$C$7&lt;&gt;""),IF(Y156='Historical Score'!$C$7,1,0),0)</f>
        <v>0</v>
      </c>
      <c r="AT156" s="65" t="n">
        <f aca="false">IF(AND(K156&lt;&gt;"",'Historical Score'!$C$8&lt;&gt;""),IF(K156='Historical Score'!$C$8,1,0),0)</f>
        <v>0</v>
      </c>
      <c r="AU156" s="65" t="n">
        <f aca="false">IF(AND(J156&lt;&gt;"",'Historical Score'!$C$9&lt;&gt;""),IF(J156='Historical Score'!$C$9,1,0),0)</f>
        <v>0</v>
      </c>
      <c r="AV156" s="65" t="n">
        <f aca="false">AR156*AS156*AQ156</f>
        <v>0</v>
      </c>
      <c r="AW156" s="65" t="n">
        <f aca="false">AR156*AT156*AQ156</f>
        <v>0</v>
      </c>
      <c r="AX156" s="65" t="n">
        <f aca="false">AR156*AS156</f>
        <v>0</v>
      </c>
      <c r="AY156" s="65" t="n">
        <f aca="false">AR156*AT156</f>
        <v>0</v>
      </c>
      <c r="AZ156" s="65" t="n">
        <f aca="false">AR156*AQ156</f>
        <v>0</v>
      </c>
      <c r="BA156" s="65" t="n">
        <f aca="false">AR156</f>
        <v>1</v>
      </c>
      <c r="BB156" s="65" t="n">
        <f aca="false">1</f>
        <v>1</v>
      </c>
      <c r="BC156" s="65" t="n">
        <f aca="false">IF(AV156=1,1,IF(AW156=1,2,IF(AX156=1,3,IF(AY156=1,4,IF(AZ156=1,5,IF(BA156=1,6,7))))))</f>
        <v>6</v>
      </c>
      <c r="BD156" s="65" t="n">
        <f aca="false">IF(AD156=1,CHOOSE('Historical Score'!$C$29,AV156,AW156,AX156,AY156,AZ156,BA156,BB156),0)</f>
        <v>0</v>
      </c>
      <c r="BE156" s="65" t="str">
        <f aca="false">IF(BD156=1,COUNTIF($BD$2:BD156,1),"")</f>
        <v/>
      </c>
    </row>
    <row r="157" customFormat="false" ht="15" hidden="false" customHeight="false" outlineLevel="0" collapsed="false">
      <c r="A157" s="65" t="s">
        <v>912</v>
      </c>
      <c r="B157" s="65" t="s">
        <v>913</v>
      </c>
      <c r="C157" s="65" t="s">
        <v>913</v>
      </c>
      <c r="D157" s="65" t="s">
        <v>371</v>
      </c>
      <c r="E157" s="112" t="n">
        <v>45860</v>
      </c>
      <c r="F157" s="112" t="n">
        <v>45961</v>
      </c>
      <c r="G157" s="65" t="n">
        <v>2</v>
      </c>
      <c r="H157" s="65" t="s">
        <v>914</v>
      </c>
      <c r="I157" s="65" t="s">
        <v>915</v>
      </c>
      <c r="J157" s="65" t="s">
        <v>350</v>
      </c>
      <c r="K157" s="65" t="s">
        <v>581</v>
      </c>
      <c r="L157" s="65" t="s">
        <v>64</v>
      </c>
      <c r="M157" s="113" t="n">
        <v>1.49</v>
      </c>
      <c r="N157" s="114" t="n">
        <v>15000</v>
      </c>
      <c r="O157" s="114" t="n">
        <v>2100</v>
      </c>
      <c r="P157" s="114" t="n">
        <v>22350</v>
      </c>
      <c r="Q157" s="114" t="n">
        <v>22350</v>
      </c>
      <c r="R157" s="114" t="n">
        <v>0</v>
      </c>
      <c r="S157" s="115" t="n">
        <v>1</v>
      </c>
      <c r="T157" s="65" t="n">
        <v>3.279</v>
      </c>
      <c r="U157" s="65" t="n">
        <v>1</v>
      </c>
      <c r="V157" s="65" t="n">
        <v>48699.19</v>
      </c>
      <c r="W157" s="115" t="n">
        <v>0.0964</v>
      </c>
      <c r="X157" s="112" t="n">
        <v>42917</v>
      </c>
      <c r="Y157" s="65" t="str">
        <f aca="false">IF(I157="","No SIC",IFERROR(VLOOKUP(I157,Ref!$A$2:$B$65,2,FALSE()),"Unclassified"))</f>
        <v>Transportation Services</v>
      </c>
      <c r="Z157" s="65" t="str">
        <f aca="false">IF(T157="","",IF(T157&lt;12,"Daily","Weekly"))</f>
        <v>Daily</v>
      </c>
      <c r="AA157" s="65" t="n">
        <f aca="false">IF(T157="",0,IF(T157&lt;12,T157*Controls!$B$29,T157*5))</f>
        <v>71.006745</v>
      </c>
      <c r="AB157" s="65" t="n">
        <f aca="false">IF(E157="",0,NETWORKDAYS(E157,Controls!$B$36,Ref!$K$2:$K$42))</f>
        <v>276</v>
      </c>
      <c r="AC157" s="65" t="n">
        <f aca="false">IF(AND(AA157&gt;0,AB157&gt;=Controls!$B$39*AA157),1,0)</f>
        <v>1</v>
      </c>
      <c r="AD157" s="65" t="n">
        <f aca="false">IF(AND(E157&lt;&gt;"",E157&gt;=Controls!$B$37,E157&lt;=Controls!$B$38),1,0)</f>
        <v>1</v>
      </c>
      <c r="AE157" s="65" t="n">
        <f aca="false">IF(IFERROR(VLOOKUP(D157,Controls!$A$64:$E$74,2,FALSE()),"No")="Yes",1,0)</f>
        <v>0</v>
      </c>
      <c r="AF157" s="65" t="n">
        <f aca="false">IF(IFERROR(VLOOKUP(D157,Controls!$A$64:$E$74,3,FALSE()),"No")="Yes",1,0)</f>
        <v>1</v>
      </c>
      <c r="AG157" s="65" t="n">
        <f aca="false">IF(IFERROR(VLOOKUP(D157,Controls!$A$64:$E$74,4,FALSE()),"No")="Yes",1,0)</f>
        <v>1</v>
      </c>
      <c r="AH157" s="65" t="n">
        <f aca="false">IF(IFERROR(VLOOKUP(D157,Controls!$A$64:$E$74,5,FALSE()),"No")="Yes",1,0)</f>
        <v>0</v>
      </c>
      <c r="AI157" s="65" t="n">
        <f aca="false">IF(ISNUMBER(MATCH(D157,Controls!$A$64:$A$74,0)),1,0)</f>
        <v>1</v>
      </c>
      <c r="AJ157" s="65" t="n">
        <f aca="false">Q157-N157</f>
        <v>7350</v>
      </c>
      <c r="AK157" s="65" t="n">
        <f aca="false">IF(AE157=1,MAX(0,N157-Q157),0)</f>
        <v>0</v>
      </c>
      <c r="AL157" s="65" t="n">
        <f aca="false">IF(OR(V157="",V157=0),0,N157/V157)</f>
        <v>0.308013336566789</v>
      </c>
      <c r="AM157" s="65" t="n">
        <f aca="false">IF(OR(V157="",V157=0),0,1)</f>
        <v>1</v>
      </c>
      <c r="AN157" s="65" t="n">
        <f aca="false">IF(OR(E157="",F157=""),0,NETWORKDAYS(E157,F157,Ref!$K$2:$K$42))</f>
        <v>72</v>
      </c>
      <c r="AO157" s="65" t="n">
        <f aca="false">IF(L157="Renewal",1,0)</f>
        <v>0</v>
      </c>
      <c r="AP157" s="65" t="n">
        <f aca="false">AC157*AD157</f>
        <v>1</v>
      </c>
      <c r="AQ157" s="65" t="n">
        <f aca="false">IF(AND(G157&lt;&gt;"",'Historical Score'!$C$6&lt;&gt;""),IF(G157='Historical Score'!$C$6,1,0),0)</f>
        <v>1</v>
      </c>
      <c r="AR157" s="65" t="n">
        <f aca="false">IF(AND(L157&lt;&gt;"",'Historical Score'!$C$5&lt;&gt;""),IF(L157='Historical Score'!$C$5,1,0),0)</f>
        <v>1</v>
      </c>
      <c r="AS157" s="65" t="n">
        <f aca="false">IF(AND(Y157&lt;&gt;"",'Historical Score'!$C$7&lt;&gt;""),IF(Y157='Historical Score'!$C$7,1,0),0)</f>
        <v>0</v>
      </c>
      <c r="AT157" s="65" t="n">
        <f aca="false">IF(AND(K157&lt;&gt;"",'Historical Score'!$C$8&lt;&gt;""),IF(K157='Historical Score'!$C$8,1,0),0)</f>
        <v>0</v>
      </c>
      <c r="AU157" s="65" t="n">
        <f aca="false">IF(AND(J157&lt;&gt;"",'Historical Score'!$C$9&lt;&gt;""),IF(J157='Historical Score'!$C$9,1,0),0)</f>
        <v>0</v>
      </c>
      <c r="AV157" s="65" t="n">
        <f aca="false">AR157*AS157*AQ157</f>
        <v>0</v>
      </c>
      <c r="AW157" s="65" t="n">
        <f aca="false">AR157*AT157*AQ157</f>
        <v>0</v>
      </c>
      <c r="AX157" s="65" t="n">
        <f aca="false">AR157*AS157</f>
        <v>0</v>
      </c>
      <c r="AY157" s="65" t="n">
        <f aca="false">AR157*AT157</f>
        <v>0</v>
      </c>
      <c r="AZ157" s="65" t="n">
        <f aca="false">AR157*AQ157</f>
        <v>1</v>
      </c>
      <c r="BA157" s="65" t="n">
        <f aca="false">AR157</f>
        <v>1</v>
      </c>
      <c r="BB157" s="65" t="n">
        <f aca="false">1</f>
        <v>1</v>
      </c>
      <c r="BC157" s="65" t="n">
        <f aca="false">IF(AV157=1,1,IF(AW157=1,2,IF(AX157=1,3,IF(AY157=1,4,IF(AZ157=1,5,IF(BA157=1,6,7))))))</f>
        <v>5</v>
      </c>
      <c r="BD157" s="65" t="n">
        <f aca="false">IF(AD157=1,CHOOSE('Historical Score'!$C$29,AV157,AW157,AX157,AY157,AZ157,BA157,BB157),0)</f>
        <v>0</v>
      </c>
      <c r="BE157" s="65" t="str">
        <f aca="false">IF(BD157=1,COUNTIF($BD$2:BD157,1),"")</f>
        <v/>
      </c>
    </row>
    <row r="158" customFormat="false" ht="15" hidden="false" customHeight="false" outlineLevel="0" collapsed="false">
      <c r="A158" s="65" t="s">
        <v>916</v>
      </c>
      <c r="B158" s="65" t="s">
        <v>917</v>
      </c>
      <c r="C158" s="65" t="s">
        <v>917</v>
      </c>
      <c r="D158" s="65" t="s">
        <v>371</v>
      </c>
      <c r="E158" s="112" t="n">
        <v>45860</v>
      </c>
      <c r="F158" s="112" t="n">
        <v>45945</v>
      </c>
      <c r="G158" s="65" t="n">
        <v>4</v>
      </c>
      <c r="H158" s="65" t="s">
        <v>442</v>
      </c>
      <c r="I158" s="65" t="s">
        <v>443</v>
      </c>
      <c r="J158" s="65" t="s">
        <v>470</v>
      </c>
      <c r="K158" s="65" t="s">
        <v>918</v>
      </c>
      <c r="L158" s="65" t="s">
        <v>64</v>
      </c>
      <c r="M158" s="113" t="n">
        <v>1.499</v>
      </c>
      <c r="N158" s="114" t="n">
        <v>10000</v>
      </c>
      <c r="O158" s="114" t="n">
        <v>1400</v>
      </c>
      <c r="P158" s="114" t="n">
        <v>14990</v>
      </c>
      <c r="Q158" s="114" t="n">
        <v>14990</v>
      </c>
      <c r="R158" s="114" t="n">
        <v>1.81898940354586E-012</v>
      </c>
      <c r="S158" s="115" t="n">
        <v>1</v>
      </c>
      <c r="T158" s="65" t="n">
        <v>1.803</v>
      </c>
      <c r="U158" s="65" t="n">
        <v>3</v>
      </c>
      <c r="V158" s="65" t="n">
        <v>167952.8</v>
      </c>
      <c r="W158" s="115" t="n">
        <v>0.0339</v>
      </c>
      <c r="X158" s="112"/>
      <c r="Y158" s="65" t="str">
        <f aca="false">IF(I158="","No SIC",IFERROR(VLOOKUP(I158,Ref!$A$2:$B$65,2,FALSE()),"Unclassified"))</f>
        <v>General Building Contractors</v>
      </c>
      <c r="Z158" s="65" t="str">
        <f aca="false">IF(T158="","",IF(T158&lt;12,"Daily","Weekly"))</f>
        <v>Daily</v>
      </c>
      <c r="AA158" s="65" t="n">
        <f aca="false">IF(T158="",0,IF(T158&lt;12,T158*Controls!$B$29,T158*5))</f>
        <v>39.043965</v>
      </c>
      <c r="AB158" s="65" t="n">
        <f aca="false">IF(E158="",0,NETWORKDAYS(E158,Controls!$B$36,Ref!$K$2:$K$42))</f>
        <v>276</v>
      </c>
      <c r="AC158" s="65" t="n">
        <f aca="false">IF(AND(AA158&gt;0,AB158&gt;=Controls!$B$39*AA158),1,0)</f>
        <v>1</v>
      </c>
      <c r="AD158" s="65" t="n">
        <f aca="false">IF(AND(E158&lt;&gt;"",E158&gt;=Controls!$B$37,E158&lt;=Controls!$B$38),1,0)</f>
        <v>1</v>
      </c>
      <c r="AE158" s="65" t="n">
        <f aca="false">IF(IFERROR(VLOOKUP(D158,Controls!$A$64:$E$74,2,FALSE()),"No")="Yes",1,0)</f>
        <v>0</v>
      </c>
      <c r="AF158" s="65" t="n">
        <f aca="false">IF(IFERROR(VLOOKUP(D158,Controls!$A$64:$E$74,3,FALSE()),"No")="Yes",1,0)</f>
        <v>1</v>
      </c>
      <c r="AG158" s="65" t="n">
        <f aca="false">IF(IFERROR(VLOOKUP(D158,Controls!$A$64:$E$74,4,FALSE()),"No")="Yes",1,0)</f>
        <v>1</v>
      </c>
      <c r="AH158" s="65" t="n">
        <f aca="false">IF(IFERROR(VLOOKUP(D158,Controls!$A$64:$E$74,5,FALSE()),"No")="Yes",1,0)</f>
        <v>0</v>
      </c>
      <c r="AI158" s="65" t="n">
        <f aca="false">IF(ISNUMBER(MATCH(D158,Controls!$A$64:$A$74,0)),1,0)</f>
        <v>1</v>
      </c>
      <c r="AJ158" s="65" t="n">
        <f aca="false">Q158-N158</f>
        <v>4990</v>
      </c>
      <c r="AK158" s="65" t="n">
        <f aca="false">IF(AE158=1,MAX(0,N158-Q158),0)</f>
        <v>0</v>
      </c>
      <c r="AL158" s="65" t="n">
        <f aca="false">IF(OR(V158="",V158=0),0,N158/V158)</f>
        <v>0.0595405375796057</v>
      </c>
      <c r="AM158" s="65" t="n">
        <f aca="false">IF(OR(V158="",V158=0),0,1)</f>
        <v>1</v>
      </c>
      <c r="AN158" s="65" t="n">
        <f aca="false">IF(OR(E158="",F158=""),0,NETWORKDAYS(E158,F158,Ref!$K$2:$K$42))</f>
        <v>60</v>
      </c>
      <c r="AO158" s="65" t="n">
        <f aca="false">IF(L158="Renewal",1,0)</f>
        <v>0</v>
      </c>
      <c r="AP158" s="65" t="n">
        <f aca="false">AC158*AD158</f>
        <v>1</v>
      </c>
      <c r="AQ158" s="65" t="n">
        <f aca="false">IF(AND(G158&lt;&gt;"",'Historical Score'!$C$6&lt;&gt;""),IF(G158='Historical Score'!$C$6,1,0),0)</f>
        <v>0</v>
      </c>
      <c r="AR158" s="65" t="n">
        <f aca="false">IF(AND(L158&lt;&gt;"",'Historical Score'!$C$5&lt;&gt;""),IF(L158='Historical Score'!$C$5,1,0),0)</f>
        <v>1</v>
      </c>
      <c r="AS158" s="65" t="n">
        <f aca="false">IF(AND(Y158&lt;&gt;"",'Historical Score'!$C$7&lt;&gt;""),IF(Y158='Historical Score'!$C$7,1,0),0)</f>
        <v>1</v>
      </c>
      <c r="AT158" s="65" t="n">
        <f aca="false">IF(AND(K158&lt;&gt;"",'Historical Score'!$C$8&lt;&gt;""),IF(K158='Historical Score'!$C$8,1,0),0)</f>
        <v>0</v>
      </c>
      <c r="AU158" s="65" t="n">
        <f aca="false">IF(AND(J158&lt;&gt;"",'Historical Score'!$C$9&lt;&gt;""),IF(J158='Historical Score'!$C$9,1,0),0)</f>
        <v>0</v>
      </c>
      <c r="AV158" s="65" t="n">
        <f aca="false">AR158*AS158*AQ158</f>
        <v>0</v>
      </c>
      <c r="AW158" s="65" t="n">
        <f aca="false">AR158*AT158*AQ158</f>
        <v>0</v>
      </c>
      <c r="AX158" s="65" t="n">
        <f aca="false">AR158*AS158</f>
        <v>1</v>
      </c>
      <c r="AY158" s="65" t="n">
        <f aca="false">AR158*AT158</f>
        <v>0</v>
      </c>
      <c r="AZ158" s="65" t="n">
        <f aca="false">AR158*AQ158</f>
        <v>0</v>
      </c>
      <c r="BA158" s="65" t="n">
        <f aca="false">AR158</f>
        <v>1</v>
      </c>
      <c r="BB158" s="65" t="n">
        <f aca="false">1</f>
        <v>1</v>
      </c>
      <c r="BC158" s="65" t="n">
        <f aca="false">IF(AV158=1,1,IF(AW158=1,2,IF(AX158=1,3,IF(AY158=1,4,IF(AZ158=1,5,IF(BA158=1,6,7))))))</f>
        <v>3</v>
      </c>
      <c r="BD158" s="65" t="n">
        <f aca="false">IF(AD158=1,CHOOSE('Historical Score'!$C$29,AV158,AW158,AX158,AY158,AZ158,BA158,BB158),0)</f>
        <v>0</v>
      </c>
      <c r="BE158" s="65" t="str">
        <f aca="false">IF(BD158=1,COUNTIF($BD$2:BD158,1),"")</f>
        <v/>
      </c>
    </row>
    <row r="159" customFormat="false" ht="15" hidden="false" customHeight="false" outlineLevel="0" collapsed="false">
      <c r="A159" s="65" t="s">
        <v>919</v>
      </c>
      <c r="B159" s="65" t="s">
        <v>920</v>
      </c>
      <c r="C159" s="65" t="s">
        <v>920</v>
      </c>
      <c r="D159" s="65" t="s">
        <v>340</v>
      </c>
      <c r="E159" s="112" t="n">
        <v>45861</v>
      </c>
      <c r="F159" s="112" t="n">
        <v>45904</v>
      </c>
      <c r="G159" s="65" t="n">
        <v>3</v>
      </c>
      <c r="H159" s="65" t="s">
        <v>409</v>
      </c>
      <c r="I159" s="65" t="s">
        <v>342</v>
      </c>
      <c r="J159" s="65" t="s">
        <v>452</v>
      </c>
      <c r="K159" s="65" t="s">
        <v>584</v>
      </c>
      <c r="L159" s="65" t="s">
        <v>64</v>
      </c>
      <c r="M159" s="113" t="n">
        <v>1.499</v>
      </c>
      <c r="N159" s="114" t="n">
        <v>5000</v>
      </c>
      <c r="O159" s="114" t="n">
        <v>700</v>
      </c>
      <c r="P159" s="114" t="n">
        <v>7495</v>
      </c>
      <c r="Q159" s="114" t="n">
        <v>2234.79</v>
      </c>
      <c r="R159" s="114" t="n">
        <v>5260.21</v>
      </c>
      <c r="S159" s="115" t="n">
        <v>0.298170780520347</v>
      </c>
      <c r="T159" s="65" t="n">
        <v>2.951</v>
      </c>
      <c r="U159" s="65" t="n">
        <v>4</v>
      </c>
      <c r="V159" s="65" t="n">
        <v>22086.74</v>
      </c>
      <c r="W159" s="115" t="n">
        <v>0.0787</v>
      </c>
      <c r="X159" s="112"/>
      <c r="Y159" s="65" t="str">
        <f aca="false">IF(I159="","No SIC",IFERROR(VLOOKUP(I159,Ref!$A$2:$B$65,2,FALSE()),"Unclassified"))</f>
        <v>Eating &amp; Drinking Places</v>
      </c>
      <c r="Z159" s="65" t="str">
        <f aca="false">IF(T159="","",IF(T159&lt;12,"Daily","Weekly"))</f>
        <v>Daily</v>
      </c>
      <c r="AA159" s="65" t="n">
        <f aca="false">IF(T159="",0,IF(T159&lt;12,T159*Controls!$B$29,T159*5))</f>
        <v>63.903905</v>
      </c>
      <c r="AB159" s="65" t="n">
        <f aca="false">IF(E159="",0,NETWORKDAYS(E159,Controls!$B$36,Ref!$K$2:$K$42))</f>
        <v>275</v>
      </c>
      <c r="AC159" s="65" t="n">
        <f aca="false">IF(AND(AA159&gt;0,AB159&gt;=Controls!$B$39*AA159),1,0)</f>
        <v>1</v>
      </c>
      <c r="AD159" s="65" t="n">
        <f aca="false">IF(AND(E159&lt;&gt;"",E159&gt;=Controls!$B$37,E159&lt;=Controls!$B$38),1,0)</f>
        <v>1</v>
      </c>
      <c r="AE159" s="65" t="n">
        <f aca="false">IF(IFERROR(VLOOKUP(D159,Controls!$A$64:$E$74,2,FALSE()),"No")="Yes",1,0)</f>
        <v>1</v>
      </c>
      <c r="AF159" s="65" t="n">
        <f aca="false">IF(IFERROR(VLOOKUP(D159,Controls!$A$64:$E$74,3,FALSE()),"No")="Yes",1,0)</f>
        <v>0</v>
      </c>
      <c r="AG159" s="65" t="n">
        <f aca="false">IF(IFERROR(VLOOKUP(D159,Controls!$A$64:$E$74,4,FALSE()),"No")="Yes",1,0)</f>
        <v>0</v>
      </c>
      <c r="AH159" s="65" t="n">
        <f aca="false">IF(IFERROR(VLOOKUP(D159,Controls!$A$64:$E$74,5,FALSE()),"No")="Yes",1,0)</f>
        <v>0</v>
      </c>
      <c r="AI159" s="65" t="n">
        <f aca="false">IF(ISNUMBER(MATCH(D159,Controls!$A$64:$A$74,0)),1,0)</f>
        <v>1</v>
      </c>
      <c r="AJ159" s="65" t="n">
        <f aca="false">Q159-N159</f>
        <v>-2765.21</v>
      </c>
      <c r="AK159" s="65" t="n">
        <f aca="false">IF(AE159=1,MAX(0,N159-Q159),0)</f>
        <v>2765.21</v>
      </c>
      <c r="AL159" s="65" t="n">
        <f aca="false">IF(OR(V159="",V159=0),0,N159/V159)</f>
        <v>0.226380171994599</v>
      </c>
      <c r="AM159" s="65" t="n">
        <f aca="false">IF(OR(V159="",V159=0),0,1)</f>
        <v>1</v>
      </c>
      <c r="AN159" s="65" t="n">
        <f aca="false">IF(OR(E159="",F159=""),0,NETWORKDAYS(E159,F159,Ref!$K$2:$K$42))</f>
        <v>31</v>
      </c>
      <c r="AO159" s="65" t="n">
        <f aca="false">IF(L159="Renewal",1,0)</f>
        <v>0</v>
      </c>
      <c r="AP159" s="65" t="n">
        <f aca="false">AC159*AD159</f>
        <v>1</v>
      </c>
      <c r="AQ159" s="65" t="n">
        <f aca="false">IF(AND(G159&lt;&gt;"",'Historical Score'!$C$6&lt;&gt;""),IF(G159='Historical Score'!$C$6,1,0),0)</f>
        <v>0</v>
      </c>
      <c r="AR159" s="65" t="n">
        <f aca="false">IF(AND(L159&lt;&gt;"",'Historical Score'!$C$5&lt;&gt;""),IF(L159='Historical Score'!$C$5,1,0),0)</f>
        <v>1</v>
      </c>
      <c r="AS159" s="65" t="n">
        <f aca="false">IF(AND(Y159&lt;&gt;"",'Historical Score'!$C$7&lt;&gt;""),IF(Y159='Historical Score'!$C$7,1,0),0)</f>
        <v>0</v>
      </c>
      <c r="AT159" s="65" t="n">
        <f aca="false">IF(AND(K159&lt;&gt;"",'Historical Score'!$C$8&lt;&gt;""),IF(K159='Historical Score'!$C$8,1,0),0)</f>
        <v>0</v>
      </c>
      <c r="AU159" s="65" t="n">
        <f aca="false">IF(AND(J159&lt;&gt;"",'Historical Score'!$C$9&lt;&gt;""),IF(J159='Historical Score'!$C$9,1,0),0)</f>
        <v>0</v>
      </c>
      <c r="AV159" s="65" t="n">
        <f aca="false">AR159*AS159*AQ159</f>
        <v>0</v>
      </c>
      <c r="AW159" s="65" t="n">
        <f aca="false">AR159*AT159*AQ159</f>
        <v>0</v>
      </c>
      <c r="AX159" s="65" t="n">
        <f aca="false">AR159*AS159</f>
        <v>0</v>
      </c>
      <c r="AY159" s="65" t="n">
        <f aca="false">AR159*AT159</f>
        <v>0</v>
      </c>
      <c r="AZ159" s="65" t="n">
        <f aca="false">AR159*AQ159</f>
        <v>0</v>
      </c>
      <c r="BA159" s="65" t="n">
        <f aca="false">AR159</f>
        <v>1</v>
      </c>
      <c r="BB159" s="65" t="n">
        <f aca="false">1</f>
        <v>1</v>
      </c>
      <c r="BC159" s="65" t="n">
        <f aca="false">IF(AV159=1,1,IF(AW159=1,2,IF(AX159=1,3,IF(AY159=1,4,IF(AZ159=1,5,IF(BA159=1,6,7))))))</f>
        <v>6</v>
      </c>
      <c r="BD159" s="65" t="n">
        <f aca="false">IF(AD159=1,CHOOSE('Historical Score'!$C$29,AV159,AW159,AX159,AY159,AZ159,BA159,BB159),0)</f>
        <v>0</v>
      </c>
      <c r="BE159" s="65" t="str">
        <f aca="false">IF(BD159=1,COUNTIF($BD$2:BD159,1),"")</f>
        <v/>
      </c>
    </row>
    <row r="160" customFormat="false" ht="15" hidden="false" customHeight="false" outlineLevel="0" collapsed="false">
      <c r="A160" s="65" t="s">
        <v>921</v>
      </c>
      <c r="B160" s="65" t="s">
        <v>922</v>
      </c>
      <c r="C160" s="65" t="s">
        <v>923</v>
      </c>
      <c r="D160" s="65" t="s">
        <v>340</v>
      </c>
      <c r="E160" s="112" t="n">
        <v>45861</v>
      </c>
      <c r="F160" s="112" t="n">
        <v>45929</v>
      </c>
      <c r="G160" s="65" t="n">
        <v>4</v>
      </c>
      <c r="H160" s="65" t="s">
        <v>442</v>
      </c>
      <c r="I160" s="65" t="s">
        <v>443</v>
      </c>
      <c r="J160" s="65" t="s">
        <v>350</v>
      </c>
      <c r="K160" s="65" t="s">
        <v>550</v>
      </c>
      <c r="L160" s="65" t="s">
        <v>64</v>
      </c>
      <c r="M160" s="113" t="n">
        <v>1.499</v>
      </c>
      <c r="N160" s="114" t="n">
        <v>15000</v>
      </c>
      <c r="O160" s="114" t="n">
        <v>2100</v>
      </c>
      <c r="P160" s="114" t="n">
        <v>22485</v>
      </c>
      <c r="Q160" s="114" t="n">
        <v>2182</v>
      </c>
      <c r="R160" s="114" t="n">
        <v>20303</v>
      </c>
      <c r="S160" s="115" t="n">
        <v>0.0970424727596175</v>
      </c>
      <c r="T160" s="65" t="n">
        <v>2.787</v>
      </c>
      <c r="U160" s="65" t="n">
        <v>7</v>
      </c>
      <c r="V160" s="65" t="n">
        <v>146954</v>
      </c>
      <c r="W160" s="115" t="n">
        <v>0.0376</v>
      </c>
      <c r="X160" s="112" t="n">
        <v>42098</v>
      </c>
      <c r="Y160" s="65" t="str">
        <f aca="false">IF(I160="","No SIC",IFERROR(VLOOKUP(I160,Ref!$A$2:$B$65,2,FALSE()),"Unclassified"))</f>
        <v>General Building Contractors</v>
      </c>
      <c r="Z160" s="65" t="str">
        <f aca="false">IF(T160="","",IF(T160&lt;12,"Daily","Weekly"))</f>
        <v>Daily</v>
      </c>
      <c r="AA160" s="65" t="n">
        <f aca="false">IF(T160="",0,IF(T160&lt;12,T160*Controls!$B$29,T160*5))</f>
        <v>60.352485</v>
      </c>
      <c r="AB160" s="65" t="n">
        <f aca="false">IF(E160="",0,NETWORKDAYS(E160,Controls!$B$36,Ref!$K$2:$K$42))</f>
        <v>275</v>
      </c>
      <c r="AC160" s="65" t="n">
        <f aca="false">IF(AND(AA160&gt;0,AB160&gt;=Controls!$B$39*AA160),1,0)</f>
        <v>1</v>
      </c>
      <c r="AD160" s="65" t="n">
        <f aca="false">IF(AND(E160&lt;&gt;"",E160&gt;=Controls!$B$37,E160&lt;=Controls!$B$38),1,0)</f>
        <v>1</v>
      </c>
      <c r="AE160" s="65" t="n">
        <f aca="false">IF(IFERROR(VLOOKUP(D160,Controls!$A$64:$E$74,2,FALSE()),"No")="Yes",1,0)</f>
        <v>1</v>
      </c>
      <c r="AF160" s="65" t="n">
        <f aca="false">IF(IFERROR(VLOOKUP(D160,Controls!$A$64:$E$74,3,FALSE()),"No")="Yes",1,0)</f>
        <v>0</v>
      </c>
      <c r="AG160" s="65" t="n">
        <f aca="false">IF(IFERROR(VLOOKUP(D160,Controls!$A$64:$E$74,4,FALSE()),"No")="Yes",1,0)</f>
        <v>0</v>
      </c>
      <c r="AH160" s="65" t="n">
        <f aca="false">IF(IFERROR(VLOOKUP(D160,Controls!$A$64:$E$74,5,FALSE()),"No")="Yes",1,0)</f>
        <v>0</v>
      </c>
      <c r="AI160" s="65" t="n">
        <f aca="false">IF(ISNUMBER(MATCH(D160,Controls!$A$64:$A$74,0)),1,0)</f>
        <v>1</v>
      </c>
      <c r="AJ160" s="65" t="n">
        <f aca="false">Q160-N160</f>
        <v>-12818</v>
      </c>
      <c r="AK160" s="65" t="n">
        <f aca="false">IF(AE160=1,MAX(0,N160-Q160),0)</f>
        <v>12818</v>
      </c>
      <c r="AL160" s="65" t="n">
        <f aca="false">IF(OR(V160="",V160=0),0,N160/V160)</f>
        <v>0.102072757461519</v>
      </c>
      <c r="AM160" s="65" t="n">
        <f aca="false">IF(OR(V160="",V160=0),0,1)</f>
        <v>1</v>
      </c>
      <c r="AN160" s="65" t="n">
        <f aca="false">IF(OR(E160="",F160=""),0,NETWORKDAYS(E160,F160,Ref!$K$2:$K$42))</f>
        <v>48</v>
      </c>
      <c r="AO160" s="65" t="n">
        <f aca="false">IF(L160="Renewal",1,0)</f>
        <v>0</v>
      </c>
      <c r="AP160" s="65" t="n">
        <f aca="false">AC160*AD160</f>
        <v>1</v>
      </c>
      <c r="AQ160" s="65" t="n">
        <f aca="false">IF(AND(G160&lt;&gt;"",'Historical Score'!$C$6&lt;&gt;""),IF(G160='Historical Score'!$C$6,1,0),0)</f>
        <v>0</v>
      </c>
      <c r="AR160" s="65" t="n">
        <f aca="false">IF(AND(L160&lt;&gt;"",'Historical Score'!$C$5&lt;&gt;""),IF(L160='Historical Score'!$C$5,1,0),0)</f>
        <v>1</v>
      </c>
      <c r="AS160" s="65" t="n">
        <f aca="false">IF(AND(Y160&lt;&gt;"",'Historical Score'!$C$7&lt;&gt;""),IF(Y160='Historical Score'!$C$7,1,0),0)</f>
        <v>1</v>
      </c>
      <c r="AT160" s="65" t="n">
        <f aca="false">IF(AND(K160&lt;&gt;"",'Historical Score'!$C$8&lt;&gt;""),IF(K160='Historical Score'!$C$8,1,0),0)</f>
        <v>0</v>
      </c>
      <c r="AU160" s="65" t="n">
        <f aca="false">IF(AND(J160&lt;&gt;"",'Historical Score'!$C$9&lt;&gt;""),IF(J160='Historical Score'!$C$9,1,0),0)</f>
        <v>0</v>
      </c>
      <c r="AV160" s="65" t="n">
        <f aca="false">AR160*AS160*AQ160</f>
        <v>0</v>
      </c>
      <c r="AW160" s="65" t="n">
        <f aca="false">AR160*AT160*AQ160</f>
        <v>0</v>
      </c>
      <c r="AX160" s="65" t="n">
        <f aca="false">AR160*AS160</f>
        <v>1</v>
      </c>
      <c r="AY160" s="65" t="n">
        <f aca="false">AR160*AT160</f>
        <v>0</v>
      </c>
      <c r="AZ160" s="65" t="n">
        <f aca="false">AR160*AQ160</f>
        <v>0</v>
      </c>
      <c r="BA160" s="65" t="n">
        <f aca="false">AR160</f>
        <v>1</v>
      </c>
      <c r="BB160" s="65" t="n">
        <f aca="false">1</f>
        <v>1</v>
      </c>
      <c r="BC160" s="65" t="n">
        <f aca="false">IF(AV160=1,1,IF(AW160=1,2,IF(AX160=1,3,IF(AY160=1,4,IF(AZ160=1,5,IF(BA160=1,6,7))))))</f>
        <v>3</v>
      </c>
      <c r="BD160" s="65" t="n">
        <f aca="false">IF(AD160=1,CHOOSE('Historical Score'!$C$29,AV160,AW160,AX160,AY160,AZ160,BA160,BB160),0)</f>
        <v>0</v>
      </c>
      <c r="BE160" s="65" t="str">
        <f aca="false">IF(BD160=1,COUNTIF($BD$2:BD160,1),"")</f>
        <v/>
      </c>
    </row>
    <row r="161" customFormat="false" ht="15" hidden="false" customHeight="false" outlineLevel="0" collapsed="false">
      <c r="A161" s="65" t="s">
        <v>924</v>
      </c>
      <c r="B161" s="65" t="s">
        <v>925</v>
      </c>
      <c r="C161" s="65" t="s">
        <v>925</v>
      </c>
      <c r="D161" s="65" t="s">
        <v>371</v>
      </c>
      <c r="E161" s="112" t="n">
        <v>45861</v>
      </c>
      <c r="F161" s="112" t="n">
        <v>45952</v>
      </c>
      <c r="G161" s="65" t="n">
        <v>4</v>
      </c>
      <c r="H161" s="65" t="s">
        <v>926</v>
      </c>
      <c r="I161" s="65" t="s">
        <v>927</v>
      </c>
      <c r="J161" s="65" t="s">
        <v>61</v>
      </c>
      <c r="K161" s="65" t="s">
        <v>55</v>
      </c>
      <c r="L161" s="65" t="s">
        <v>64</v>
      </c>
      <c r="M161" s="113" t="n">
        <v>1.49</v>
      </c>
      <c r="N161" s="114" t="n">
        <v>10000</v>
      </c>
      <c r="O161" s="114" t="n">
        <v>1400</v>
      </c>
      <c r="P161" s="114" t="n">
        <v>14900</v>
      </c>
      <c r="Q161" s="114" t="n">
        <v>14900</v>
      </c>
      <c r="R161" s="114" t="n">
        <v>0</v>
      </c>
      <c r="S161" s="115" t="n">
        <v>1</v>
      </c>
      <c r="T161" s="65" t="n">
        <v>2.623</v>
      </c>
      <c r="U161" s="65" t="n">
        <v>0</v>
      </c>
      <c r="V161" s="65" t="n">
        <v>37694.01</v>
      </c>
      <c r="W161" s="115" t="n">
        <v>0.1038</v>
      </c>
      <c r="X161" s="112" t="n">
        <v>44338</v>
      </c>
      <c r="Y161" s="65" t="str">
        <f aca="false">IF(I161="","No SIC",IFERROR(VLOOKUP(I161,Ref!$A$2:$B$65,2,FALSE()),"Unclassified"))</f>
        <v>Oil &amp; Gas Extraction</v>
      </c>
      <c r="Z161" s="65" t="str">
        <f aca="false">IF(T161="","",IF(T161&lt;12,"Daily","Weekly"))</f>
        <v>Daily</v>
      </c>
      <c r="AA161" s="65" t="n">
        <f aca="false">IF(T161="",0,IF(T161&lt;12,T161*Controls!$B$29,T161*5))</f>
        <v>56.801065</v>
      </c>
      <c r="AB161" s="65" t="n">
        <f aca="false">IF(E161="",0,NETWORKDAYS(E161,Controls!$B$36,Ref!$K$2:$K$42))</f>
        <v>275</v>
      </c>
      <c r="AC161" s="65" t="n">
        <f aca="false">IF(AND(AA161&gt;0,AB161&gt;=Controls!$B$39*AA161),1,0)</f>
        <v>1</v>
      </c>
      <c r="AD161" s="65" t="n">
        <f aca="false">IF(AND(E161&lt;&gt;"",E161&gt;=Controls!$B$37,E161&lt;=Controls!$B$38),1,0)</f>
        <v>1</v>
      </c>
      <c r="AE161" s="65" t="n">
        <f aca="false">IF(IFERROR(VLOOKUP(D161,Controls!$A$64:$E$74,2,FALSE()),"No")="Yes",1,0)</f>
        <v>0</v>
      </c>
      <c r="AF161" s="65" t="n">
        <f aca="false">IF(IFERROR(VLOOKUP(D161,Controls!$A$64:$E$74,3,FALSE()),"No")="Yes",1,0)</f>
        <v>1</v>
      </c>
      <c r="AG161" s="65" t="n">
        <f aca="false">IF(IFERROR(VLOOKUP(D161,Controls!$A$64:$E$74,4,FALSE()),"No")="Yes",1,0)</f>
        <v>1</v>
      </c>
      <c r="AH161" s="65" t="n">
        <f aca="false">IF(IFERROR(VLOOKUP(D161,Controls!$A$64:$E$74,5,FALSE()),"No")="Yes",1,0)</f>
        <v>0</v>
      </c>
      <c r="AI161" s="65" t="n">
        <f aca="false">IF(ISNUMBER(MATCH(D161,Controls!$A$64:$A$74,0)),1,0)</f>
        <v>1</v>
      </c>
      <c r="AJ161" s="65" t="n">
        <f aca="false">Q161-N161</f>
        <v>4900</v>
      </c>
      <c r="AK161" s="65" t="n">
        <f aca="false">IF(AE161=1,MAX(0,N161-Q161),0)</f>
        <v>0</v>
      </c>
      <c r="AL161" s="65" t="n">
        <f aca="false">IF(OR(V161="",V161=0),0,N161/V161)</f>
        <v>0.26529414089931</v>
      </c>
      <c r="AM161" s="65" t="n">
        <f aca="false">IF(OR(V161="",V161=0),0,1)</f>
        <v>1</v>
      </c>
      <c r="AN161" s="65" t="n">
        <f aca="false">IF(OR(E161="",F161=""),0,NETWORKDAYS(E161,F161,Ref!$K$2:$K$42))</f>
        <v>64</v>
      </c>
      <c r="AO161" s="65" t="n">
        <f aca="false">IF(L161="Renewal",1,0)</f>
        <v>0</v>
      </c>
      <c r="AP161" s="65" t="n">
        <f aca="false">AC161*AD161</f>
        <v>1</v>
      </c>
      <c r="AQ161" s="65" t="n">
        <f aca="false">IF(AND(G161&lt;&gt;"",'Historical Score'!$C$6&lt;&gt;""),IF(G161='Historical Score'!$C$6,1,0),0)</f>
        <v>0</v>
      </c>
      <c r="AR161" s="65" t="n">
        <f aca="false">IF(AND(L161&lt;&gt;"",'Historical Score'!$C$5&lt;&gt;""),IF(L161='Historical Score'!$C$5,1,0),0)</f>
        <v>1</v>
      </c>
      <c r="AS161" s="65" t="n">
        <f aca="false">IF(AND(Y161&lt;&gt;"",'Historical Score'!$C$7&lt;&gt;""),IF(Y161='Historical Score'!$C$7,1,0),0)</f>
        <v>0</v>
      </c>
      <c r="AT161" s="65" t="n">
        <f aca="false">IF(AND(K161&lt;&gt;"",'Historical Score'!$C$8&lt;&gt;""),IF(K161='Historical Score'!$C$8,1,0),0)</f>
        <v>1</v>
      </c>
      <c r="AU161" s="65" t="n">
        <f aca="false">IF(AND(J161&lt;&gt;"",'Historical Score'!$C$9&lt;&gt;""),IF(J161='Historical Score'!$C$9,1,0),0)</f>
        <v>1</v>
      </c>
      <c r="AV161" s="65" t="n">
        <f aca="false">AR161*AS161*AQ161</f>
        <v>0</v>
      </c>
      <c r="AW161" s="65" t="n">
        <f aca="false">AR161*AT161*AQ161</f>
        <v>0</v>
      </c>
      <c r="AX161" s="65" t="n">
        <f aca="false">AR161*AS161</f>
        <v>0</v>
      </c>
      <c r="AY161" s="65" t="n">
        <f aca="false">AR161*AT161</f>
        <v>1</v>
      </c>
      <c r="AZ161" s="65" t="n">
        <f aca="false">AR161*AQ161</f>
        <v>0</v>
      </c>
      <c r="BA161" s="65" t="n">
        <f aca="false">AR161</f>
        <v>1</v>
      </c>
      <c r="BB161" s="65" t="n">
        <f aca="false">1</f>
        <v>1</v>
      </c>
      <c r="BC161" s="65" t="n">
        <f aca="false">IF(AV161=1,1,IF(AW161=1,2,IF(AX161=1,3,IF(AY161=1,4,IF(AZ161=1,5,IF(BA161=1,6,7))))))</f>
        <v>4</v>
      </c>
      <c r="BD161" s="65" t="n">
        <f aca="false">IF(AD161=1,CHOOSE('Historical Score'!$C$29,AV161,AW161,AX161,AY161,AZ161,BA161,BB161),0)</f>
        <v>0</v>
      </c>
      <c r="BE161" s="65" t="str">
        <f aca="false">IF(BD161=1,COUNTIF($BD$2:BD161,1),"")</f>
        <v/>
      </c>
    </row>
    <row r="162" customFormat="false" ht="15" hidden="false" customHeight="false" outlineLevel="0" collapsed="false">
      <c r="A162" s="65" t="s">
        <v>928</v>
      </c>
      <c r="B162" s="65" t="s">
        <v>929</v>
      </c>
      <c r="C162" s="65" t="s">
        <v>930</v>
      </c>
      <c r="D162" s="65" t="s">
        <v>533</v>
      </c>
      <c r="E162" s="112" t="n">
        <v>45862</v>
      </c>
      <c r="F162" s="112" t="n">
        <v>46247</v>
      </c>
      <c r="G162" s="65" t="n">
        <v>3</v>
      </c>
      <c r="H162" s="65" t="s">
        <v>442</v>
      </c>
      <c r="I162" s="65" t="s">
        <v>443</v>
      </c>
      <c r="J162" s="65" t="s">
        <v>399</v>
      </c>
      <c r="K162" s="65" t="s">
        <v>411</v>
      </c>
      <c r="L162" s="65" t="s">
        <v>64</v>
      </c>
      <c r="M162" s="113" t="n">
        <v>1.49</v>
      </c>
      <c r="N162" s="114" t="n">
        <v>12500</v>
      </c>
      <c r="O162" s="114" t="n">
        <v>1750</v>
      </c>
      <c r="P162" s="114" t="n">
        <v>18625</v>
      </c>
      <c r="Q162" s="114" t="n">
        <v>4394.49</v>
      </c>
      <c r="R162" s="114" t="n">
        <v>14230.51</v>
      </c>
      <c r="S162" s="115" t="n">
        <v>0.235945771812081</v>
      </c>
      <c r="T162" s="65" t="n">
        <v>18</v>
      </c>
      <c r="U162" s="65" t="n">
        <v>12</v>
      </c>
      <c r="V162" s="65" t="n">
        <v>206134.77</v>
      </c>
      <c r="W162" s="115" t="n">
        <v>0.0201</v>
      </c>
      <c r="X162" s="112" t="n">
        <v>43544</v>
      </c>
      <c r="Y162" s="65" t="str">
        <f aca="false">IF(I162="","No SIC",IFERROR(VLOOKUP(I162,Ref!$A$2:$B$65,2,FALSE()),"Unclassified"))</f>
        <v>General Building Contractors</v>
      </c>
      <c r="Z162" s="65" t="str">
        <f aca="false">IF(T162="","",IF(T162&lt;12,"Daily","Weekly"))</f>
        <v>Weekly</v>
      </c>
      <c r="AA162" s="65" t="n">
        <f aca="false">IF(T162="",0,IF(T162&lt;12,T162*Controls!$B$29,T162*5))</f>
        <v>90</v>
      </c>
      <c r="AB162" s="65" t="n">
        <f aca="false">IF(E162="",0,NETWORKDAYS(E162,Controls!$B$36,Ref!$K$2:$K$42))</f>
        <v>274</v>
      </c>
      <c r="AC162" s="65" t="n">
        <f aca="false">IF(AND(AA162&gt;0,AB162&gt;=Controls!$B$39*AA162),1,0)</f>
        <v>1</v>
      </c>
      <c r="AD162" s="65" t="n">
        <f aca="false">IF(AND(E162&lt;&gt;"",E162&gt;=Controls!$B$37,E162&lt;=Controls!$B$38),1,0)</f>
        <v>1</v>
      </c>
      <c r="AE162" s="65" t="n">
        <f aca="false">IF(IFERROR(VLOOKUP(D162,Controls!$A$64:$E$74,2,FALSE()),"No")="Yes",1,0)</f>
        <v>1</v>
      </c>
      <c r="AF162" s="65" t="n">
        <f aca="false">IF(IFERROR(VLOOKUP(D162,Controls!$A$64:$E$74,3,FALSE()),"No")="Yes",1,0)</f>
        <v>0</v>
      </c>
      <c r="AG162" s="65" t="n">
        <f aca="false">IF(IFERROR(VLOOKUP(D162,Controls!$A$64:$E$74,4,FALSE()),"No")="Yes",1,0)</f>
        <v>0</v>
      </c>
      <c r="AH162" s="65" t="n">
        <f aca="false">IF(IFERROR(VLOOKUP(D162,Controls!$A$64:$E$74,5,FALSE()),"No")="Yes",1,0)</f>
        <v>0</v>
      </c>
      <c r="AI162" s="65" t="n">
        <f aca="false">IF(ISNUMBER(MATCH(D162,Controls!$A$64:$A$74,0)),1,0)</f>
        <v>1</v>
      </c>
      <c r="AJ162" s="65" t="n">
        <f aca="false">Q162-N162</f>
        <v>-8105.51</v>
      </c>
      <c r="AK162" s="65" t="n">
        <f aca="false">IF(AE162=1,MAX(0,N162-Q162),0)</f>
        <v>8105.51</v>
      </c>
      <c r="AL162" s="65" t="n">
        <f aca="false">IF(OR(V162="",V162=0),0,N162/V162)</f>
        <v>0.0606399395890368</v>
      </c>
      <c r="AM162" s="65" t="n">
        <f aca="false">IF(OR(V162="",V162=0),0,1)</f>
        <v>1</v>
      </c>
      <c r="AN162" s="65" t="n">
        <f aca="false">IF(OR(E162="",F162=""),0,NETWORKDAYS(E162,F162,Ref!$K$2:$K$42))</f>
        <v>266</v>
      </c>
      <c r="AO162" s="65" t="n">
        <f aca="false">IF(L162="Renewal",1,0)</f>
        <v>0</v>
      </c>
      <c r="AP162" s="65" t="n">
        <f aca="false">AC162*AD162</f>
        <v>1</v>
      </c>
      <c r="AQ162" s="65" t="n">
        <f aca="false">IF(AND(G162&lt;&gt;"",'Historical Score'!$C$6&lt;&gt;""),IF(G162='Historical Score'!$C$6,1,0),0)</f>
        <v>0</v>
      </c>
      <c r="AR162" s="65" t="n">
        <f aca="false">IF(AND(L162&lt;&gt;"",'Historical Score'!$C$5&lt;&gt;""),IF(L162='Historical Score'!$C$5,1,0),0)</f>
        <v>1</v>
      </c>
      <c r="AS162" s="65" t="n">
        <f aca="false">IF(AND(Y162&lt;&gt;"",'Historical Score'!$C$7&lt;&gt;""),IF(Y162='Historical Score'!$C$7,1,0),0)</f>
        <v>1</v>
      </c>
      <c r="AT162" s="65" t="n">
        <f aca="false">IF(AND(K162&lt;&gt;"",'Historical Score'!$C$8&lt;&gt;""),IF(K162='Historical Score'!$C$8,1,0),0)</f>
        <v>0</v>
      </c>
      <c r="AU162" s="65" t="n">
        <f aca="false">IF(AND(J162&lt;&gt;"",'Historical Score'!$C$9&lt;&gt;""),IF(J162='Historical Score'!$C$9,1,0),0)</f>
        <v>0</v>
      </c>
      <c r="AV162" s="65" t="n">
        <f aca="false">AR162*AS162*AQ162</f>
        <v>0</v>
      </c>
      <c r="AW162" s="65" t="n">
        <f aca="false">AR162*AT162*AQ162</f>
        <v>0</v>
      </c>
      <c r="AX162" s="65" t="n">
        <f aca="false">AR162*AS162</f>
        <v>1</v>
      </c>
      <c r="AY162" s="65" t="n">
        <f aca="false">AR162*AT162</f>
        <v>0</v>
      </c>
      <c r="AZ162" s="65" t="n">
        <f aca="false">AR162*AQ162</f>
        <v>0</v>
      </c>
      <c r="BA162" s="65" t="n">
        <f aca="false">AR162</f>
        <v>1</v>
      </c>
      <c r="BB162" s="65" t="n">
        <f aca="false">1</f>
        <v>1</v>
      </c>
      <c r="BC162" s="65" t="n">
        <f aca="false">IF(AV162=1,1,IF(AW162=1,2,IF(AX162=1,3,IF(AY162=1,4,IF(AZ162=1,5,IF(BA162=1,6,7))))))</f>
        <v>3</v>
      </c>
      <c r="BD162" s="65" t="n">
        <f aca="false">IF(AD162=1,CHOOSE('Historical Score'!$C$29,AV162,AW162,AX162,AY162,AZ162,BA162,BB162),0)</f>
        <v>0</v>
      </c>
      <c r="BE162" s="65" t="str">
        <f aca="false">IF(BD162=1,COUNTIF($BD$2:BD162,1),"")</f>
        <v/>
      </c>
    </row>
    <row r="163" customFormat="false" ht="15" hidden="false" customHeight="false" outlineLevel="0" collapsed="false">
      <c r="A163" s="65" t="s">
        <v>931</v>
      </c>
      <c r="B163" s="65" t="s">
        <v>932</v>
      </c>
      <c r="C163" s="65" t="s">
        <v>932</v>
      </c>
      <c r="D163" s="65" t="s">
        <v>533</v>
      </c>
      <c r="E163" s="112" t="n">
        <v>45862</v>
      </c>
      <c r="F163" s="112" t="n">
        <v>46248</v>
      </c>
      <c r="G163" s="65" t="n">
        <v>3</v>
      </c>
      <c r="H163" s="65" t="s">
        <v>384</v>
      </c>
      <c r="I163" s="65" t="s">
        <v>385</v>
      </c>
      <c r="J163" s="65" t="s">
        <v>386</v>
      </c>
      <c r="K163" s="65" t="s">
        <v>933</v>
      </c>
      <c r="L163" s="65" t="s">
        <v>320</v>
      </c>
      <c r="M163" s="113" t="n">
        <v>1.499</v>
      </c>
      <c r="N163" s="114" t="n">
        <v>10000</v>
      </c>
      <c r="O163" s="114" t="n">
        <v>1400</v>
      </c>
      <c r="P163" s="114" t="n">
        <v>14990</v>
      </c>
      <c r="Q163" s="114" t="n">
        <v>5993.45</v>
      </c>
      <c r="R163" s="114" t="n">
        <v>8996.55</v>
      </c>
      <c r="S163" s="115" t="n">
        <v>0.399829886591061</v>
      </c>
      <c r="T163" s="65" t="n">
        <v>3.279</v>
      </c>
      <c r="U163" s="65" t="n">
        <v>23</v>
      </c>
      <c r="V163" s="65" t="n">
        <v>12360.62</v>
      </c>
      <c r="W163" s="115" t="n">
        <v>0.2547</v>
      </c>
      <c r="X163" s="112" t="n">
        <v>44105</v>
      </c>
      <c r="Y163" s="65" t="str">
        <f aca="false">IF(I163="","No SIC",IFERROR(VLOOKUP(I163,Ref!$A$2:$B$65,2,FALSE()),"Unclassified"))</f>
        <v>Museums &amp; Botanical Gardens</v>
      </c>
      <c r="Z163" s="65" t="str">
        <f aca="false">IF(T163="","",IF(T163&lt;12,"Daily","Weekly"))</f>
        <v>Daily</v>
      </c>
      <c r="AA163" s="65" t="n">
        <f aca="false">IF(T163="",0,IF(T163&lt;12,T163*Controls!$B$29,T163*5))</f>
        <v>71.006745</v>
      </c>
      <c r="AB163" s="65" t="n">
        <f aca="false">IF(E163="",0,NETWORKDAYS(E163,Controls!$B$36,Ref!$K$2:$K$42))</f>
        <v>274</v>
      </c>
      <c r="AC163" s="65" t="n">
        <f aca="false">IF(AND(AA163&gt;0,AB163&gt;=Controls!$B$39*AA163),1,0)</f>
        <v>1</v>
      </c>
      <c r="AD163" s="65" t="n">
        <f aca="false">IF(AND(E163&lt;&gt;"",E163&gt;=Controls!$B$37,E163&lt;=Controls!$B$38),1,0)</f>
        <v>1</v>
      </c>
      <c r="AE163" s="65" t="n">
        <f aca="false">IF(IFERROR(VLOOKUP(D163,Controls!$A$64:$E$74,2,FALSE()),"No")="Yes",1,0)</f>
        <v>1</v>
      </c>
      <c r="AF163" s="65" t="n">
        <f aca="false">IF(IFERROR(VLOOKUP(D163,Controls!$A$64:$E$74,3,FALSE()),"No")="Yes",1,0)</f>
        <v>0</v>
      </c>
      <c r="AG163" s="65" t="n">
        <f aca="false">IF(IFERROR(VLOOKUP(D163,Controls!$A$64:$E$74,4,FALSE()),"No")="Yes",1,0)</f>
        <v>0</v>
      </c>
      <c r="AH163" s="65" t="n">
        <f aca="false">IF(IFERROR(VLOOKUP(D163,Controls!$A$64:$E$74,5,FALSE()),"No")="Yes",1,0)</f>
        <v>0</v>
      </c>
      <c r="AI163" s="65" t="n">
        <f aca="false">IF(ISNUMBER(MATCH(D163,Controls!$A$64:$A$74,0)),1,0)</f>
        <v>1</v>
      </c>
      <c r="AJ163" s="65" t="n">
        <f aca="false">Q163-N163</f>
        <v>-4006.55</v>
      </c>
      <c r="AK163" s="65" t="n">
        <f aca="false">IF(AE163=1,MAX(0,N163-Q163),0)</f>
        <v>4006.55</v>
      </c>
      <c r="AL163" s="65" t="n">
        <f aca="false">IF(OR(V163="",V163=0),0,N163/V163)</f>
        <v>0.809020906718271</v>
      </c>
      <c r="AM163" s="65" t="n">
        <f aca="false">IF(OR(V163="",V163=0),0,1)</f>
        <v>1</v>
      </c>
      <c r="AN163" s="65" t="n">
        <f aca="false">IF(OR(E163="",F163=""),0,NETWORKDAYS(E163,F163,Ref!$K$2:$K$42))</f>
        <v>267</v>
      </c>
      <c r="AO163" s="65" t="n">
        <f aca="false">IF(L163="Renewal",1,0)</f>
        <v>1</v>
      </c>
      <c r="AP163" s="65" t="n">
        <f aca="false">AC163*AD163</f>
        <v>1</v>
      </c>
      <c r="AQ163" s="65" t="n">
        <f aca="false">IF(AND(G163&lt;&gt;"",'Historical Score'!$C$6&lt;&gt;""),IF(G163='Historical Score'!$C$6,1,0),0)</f>
        <v>0</v>
      </c>
      <c r="AR163" s="65" t="n">
        <f aca="false">IF(AND(L163&lt;&gt;"",'Historical Score'!$C$5&lt;&gt;""),IF(L163='Historical Score'!$C$5,1,0),0)</f>
        <v>0</v>
      </c>
      <c r="AS163" s="65" t="n">
        <f aca="false">IF(AND(Y163&lt;&gt;"",'Historical Score'!$C$7&lt;&gt;""),IF(Y163='Historical Score'!$C$7,1,0),0)</f>
        <v>0</v>
      </c>
      <c r="AT163" s="65" t="n">
        <f aca="false">IF(AND(K163&lt;&gt;"",'Historical Score'!$C$8&lt;&gt;""),IF(K163='Historical Score'!$C$8,1,0),0)</f>
        <v>0</v>
      </c>
      <c r="AU163" s="65" t="n">
        <f aca="false">IF(AND(J163&lt;&gt;"",'Historical Score'!$C$9&lt;&gt;""),IF(J163='Historical Score'!$C$9,1,0),0)</f>
        <v>0</v>
      </c>
      <c r="AV163" s="65" t="n">
        <f aca="false">AR163*AS163*AQ163</f>
        <v>0</v>
      </c>
      <c r="AW163" s="65" t="n">
        <f aca="false">AR163*AT163*AQ163</f>
        <v>0</v>
      </c>
      <c r="AX163" s="65" t="n">
        <f aca="false">AR163*AS163</f>
        <v>0</v>
      </c>
      <c r="AY163" s="65" t="n">
        <f aca="false">AR163*AT163</f>
        <v>0</v>
      </c>
      <c r="AZ163" s="65" t="n">
        <f aca="false">AR163*AQ163</f>
        <v>0</v>
      </c>
      <c r="BA163" s="65" t="n">
        <f aca="false">AR163</f>
        <v>0</v>
      </c>
      <c r="BB163" s="65" t="n">
        <f aca="false">1</f>
        <v>1</v>
      </c>
      <c r="BC163" s="65" t="n">
        <f aca="false">IF(AV163=1,1,IF(AW163=1,2,IF(AX163=1,3,IF(AY163=1,4,IF(AZ163=1,5,IF(BA163=1,6,7))))))</f>
        <v>7</v>
      </c>
      <c r="BD163" s="65" t="n">
        <f aca="false">IF(AD163=1,CHOOSE('Historical Score'!$C$29,AV163,AW163,AX163,AY163,AZ163,BA163,BB163),0)</f>
        <v>0</v>
      </c>
      <c r="BE163" s="65" t="str">
        <f aca="false">IF(BD163=1,COUNTIF($BD$2:BD163,1),"")</f>
        <v/>
      </c>
    </row>
    <row r="164" customFormat="false" ht="15" hidden="false" customHeight="false" outlineLevel="0" collapsed="false">
      <c r="A164" s="65" t="s">
        <v>934</v>
      </c>
      <c r="B164" s="65" t="s">
        <v>935</v>
      </c>
      <c r="C164" s="65" t="s">
        <v>935</v>
      </c>
      <c r="D164" s="65" t="s">
        <v>340</v>
      </c>
      <c r="E164" s="112" t="n">
        <v>45862</v>
      </c>
      <c r="F164" s="112" t="n">
        <v>46157</v>
      </c>
      <c r="G164" s="65" t="n">
        <v>3</v>
      </c>
      <c r="H164" s="65" t="s">
        <v>418</v>
      </c>
      <c r="I164" s="65" t="s">
        <v>419</v>
      </c>
      <c r="J164" s="65" t="s">
        <v>470</v>
      </c>
      <c r="K164" s="65" t="s">
        <v>936</v>
      </c>
      <c r="L164" s="65" t="s">
        <v>64</v>
      </c>
      <c r="M164" s="113" t="n">
        <v>1.499</v>
      </c>
      <c r="N164" s="114" t="n">
        <v>5000</v>
      </c>
      <c r="O164" s="114" t="n">
        <v>700</v>
      </c>
      <c r="P164" s="114" t="n">
        <v>7495</v>
      </c>
      <c r="Q164" s="114" t="n">
        <v>2978.64</v>
      </c>
      <c r="R164" s="114" t="n">
        <v>4516.36</v>
      </c>
      <c r="S164" s="115" t="n">
        <v>0.397416944629753</v>
      </c>
      <c r="T164" s="65" t="n">
        <v>2.295</v>
      </c>
      <c r="U164" s="65" t="n">
        <v>49</v>
      </c>
      <c r="V164" s="65" t="n">
        <v>23564.34</v>
      </c>
      <c r="W164" s="115" t="n">
        <v>0.0948</v>
      </c>
      <c r="X164" s="112"/>
      <c r="Y164" s="65" t="str">
        <f aca="false">IF(I164="","No SIC",IFERROR(VLOOKUP(I164,Ref!$A$2:$B$65,2,FALSE()),"Unclassified"))</f>
        <v>Business Services</v>
      </c>
      <c r="Z164" s="65" t="str">
        <f aca="false">IF(T164="","",IF(T164&lt;12,"Daily","Weekly"))</f>
        <v>Daily</v>
      </c>
      <c r="AA164" s="65" t="n">
        <f aca="false">IF(T164="",0,IF(T164&lt;12,T164*Controls!$B$29,T164*5))</f>
        <v>49.698225</v>
      </c>
      <c r="AB164" s="65" t="n">
        <f aca="false">IF(E164="",0,NETWORKDAYS(E164,Controls!$B$36,Ref!$K$2:$K$42))</f>
        <v>274</v>
      </c>
      <c r="AC164" s="65" t="n">
        <f aca="false">IF(AND(AA164&gt;0,AB164&gt;=Controls!$B$39*AA164),1,0)</f>
        <v>1</v>
      </c>
      <c r="AD164" s="65" t="n">
        <f aca="false">IF(AND(E164&lt;&gt;"",E164&gt;=Controls!$B$37,E164&lt;=Controls!$B$38),1,0)</f>
        <v>1</v>
      </c>
      <c r="AE164" s="65" t="n">
        <f aca="false">IF(IFERROR(VLOOKUP(D164,Controls!$A$64:$E$74,2,FALSE()),"No")="Yes",1,0)</f>
        <v>1</v>
      </c>
      <c r="AF164" s="65" t="n">
        <f aca="false">IF(IFERROR(VLOOKUP(D164,Controls!$A$64:$E$74,3,FALSE()),"No")="Yes",1,0)</f>
        <v>0</v>
      </c>
      <c r="AG164" s="65" t="n">
        <f aca="false">IF(IFERROR(VLOOKUP(D164,Controls!$A$64:$E$74,4,FALSE()),"No")="Yes",1,0)</f>
        <v>0</v>
      </c>
      <c r="AH164" s="65" t="n">
        <f aca="false">IF(IFERROR(VLOOKUP(D164,Controls!$A$64:$E$74,5,FALSE()),"No")="Yes",1,0)</f>
        <v>0</v>
      </c>
      <c r="AI164" s="65" t="n">
        <f aca="false">IF(ISNUMBER(MATCH(D164,Controls!$A$64:$A$74,0)),1,0)</f>
        <v>1</v>
      </c>
      <c r="AJ164" s="65" t="n">
        <f aca="false">Q164-N164</f>
        <v>-2021.36</v>
      </c>
      <c r="AK164" s="65" t="n">
        <f aca="false">IF(AE164=1,MAX(0,N164-Q164),0)</f>
        <v>2021.36</v>
      </c>
      <c r="AL164" s="65" t="n">
        <f aca="false">IF(OR(V164="",V164=0),0,N164/V164)</f>
        <v>0.212185021944175</v>
      </c>
      <c r="AM164" s="65" t="n">
        <f aca="false">IF(OR(V164="",V164=0),0,1)</f>
        <v>1</v>
      </c>
      <c r="AN164" s="65" t="n">
        <f aca="false">IF(OR(E164="",F164=""),0,NETWORKDAYS(E164,F164,Ref!$K$2:$K$42))</f>
        <v>204</v>
      </c>
      <c r="AO164" s="65" t="n">
        <f aca="false">IF(L164="Renewal",1,0)</f>
        <v>0</v>
      </c>
      <c r="AP164" s="65" t="n">
        <f aca="false">AC164*AD164</f>
        <v>1</v>
      </c>
      <c r="AQ164" s="65" t="n">
        <f aca="false">IF(AND(G164&lt;&gt;"",'Historical Score'!$C$6&lt;&gt;""),IF(G164='Historical Score'!$C$6,1,0),0)</f>
        <v>0</v>
      </c>
      <c r="AR164" s="65" t="n">
        <f aca="false">IF(AND(L164&lt;&gt;"",'Historical Score'!$C$5&lt;&gt;""),IF(L164='Historical Score'!$C$5,1,0),0)</f>
        <v>1</v>
      </c>
      <c r="AS164" s="65" t="n">
        <f aca="false">IF(AND(Y164&lt;&gt;"",'Historical Score'!$C$7&lt;&gt;""),IF(Y164='Historical Score'!$C$7,1,0),0)</f>
        <v>0</v>
      </c>
      <c r="AT164" s="65" t="n">
        <f aca="false">IF(AND(K164&lt;&gt;"",'Historical Score'!$C$8&lt;&gt;""),IF(K164='Historical Score'!$C$8,1,0),0)</f>
        <v>0</v>
      </c>
      <c r="AU164" s="65" t="n">
        <f aca="false">IF(AND(J164&lt;&gt;"",'Historical Score'!$C$9&lt;&gt;""),IF(J164='Historical Score'!$C$9,1,0),0)</f>
        <v>0</v>
      </c>
      <c r="AV164" s="65" t="n">
        <f aca="false">AR164*AS164*AQ164</f>
        <v>0</v>
      </c>
      <c r="AW164" s="65" t="n">
        <f aca="false">AR164*AT164*AQ164</f>
        <v>0</v>
      </c>
      <c r="AX164" s="65" t="n">
        <f aca="false">AR164*AS164</f>
        <v>0</v>
      </c>
      <c r="AY164" s="65" t="n">
        <f aca="false">AR164*AT164</f>
        <v>0</v>
      </c>
      <c r="AZ164" s="65" t="n">
        <f aca="false">AR164*AQ164</f>
        <v>0</v>
      </c>
      <c r="BA164" s="65" t="n">
        <f aca="false">AR164</f>
        <v>1</v>
      </c>
      <c r="BB164" s="65" t="n">
        <f aca="false">1</f>
        <v>1</v>
      </c>
      <c r="BC164" s="65" t="n">
        <f aca="false">IF(AV164=1,1,IF(AW164=1,2,IF(AX164=1,3,IF(AY164=1,4,IF(AZ164=1,5,IF(BA164=1,6,7))))))</f>
        <v>6</v>
      </c>
      <c r="BD164" s="65" t="n">
        <f aca="false">IF(AD164=1,CHOOSE('Historical Score'!$C$29,AV164,AW164,AX164,AY164,AZ164,BA164,BB164),0)</f>
        <v>0</v>
      </c>
      <c r="BE164" s="65" t="str">
        <f aca="false">IF(BD164=1,COUNTIF($BD$2:BD164,1),"")</f>
        <v/>
      </c>
    </row>
    <row r="165" customFormat="false" ht="15" hidden="false" customHeight="false" outlineLevel="0" collapsed="false">
      <c r="A165" s="65" t="s">
        <v>937</v>
      </c>
      <c r="B165" s="65" t="s">
        <v>938</v>
      </c>
      <c r="C165" s="65" t="s">
        <v>938</v>
      </c>
      <c r="D165" s="65" t="s">
        <v>340</v>
      </c>
      <c r="E165" s="112" t="n">
        <v>45863</v>
      </c>
      <c r="F165" s="112" t="n">
        <v>45947</v>
      </c>
      <c r="G165" s="65" t="n">
        <v>1</v>
      </c>
      <c r="H165" s="65" t="s">
        <v>752</v>
      </c>
      <c r="I165" s="65" t="s">
        <v>405</v>
      </c>
      <c r="J165" s="65" t="s">
        <v>61</v>
      </c>
      <c r="K165" s="65" t="s">
        <v>939</v>
      </c>
      <c r="L165" s="65" t="s">
        <v>64</v>
      </c>
      <c r="M165" s="113" t="n">
        <v>1.499</v>
      </c>
      <c r="N165" s="114" t="n">
        <v>20000</v>
      </c>
      <c r="O165" s="114" t="n">
        <v>2800</v>
      </c>
      <c r="P165" s="114" t="n">
        <v>29980</v>
      </c>
      <c r="Q165" s="114" t="n">
        <v>16738.83</v>
      </c>
      <c r="R165" s="114" t="n">
        <v>13241.17</v>
      </c>
      <c r="S165" s="115" t="n">
        <v>0.558333222148099</v>
      </c>
      <c r="T165" s="65" t="n">
        <v>16</v>
      </c>
      <c r="U165" s="65" t="n">
        <v>3</v>
      </c>
      <c r="V165" s="65" t="n">
        <v>94371.26</v>
      </c>
      <c r="W165" s="115" t="n">
        <v>0.0465</v>
      </c>
      <c r="X165" s="112" t="n">
        <v>42227</v>
      </c>
      <c r="Y165" s="65" t="str">
        <f aca="false">IF(I165="","No SIC",IFERROR(VLOOKUP(I165,Ref!$A$2:$B$65,2,FALSE()),"Unclassified"))</f>
        <v>Health Services</v>
      </c>
      <c r="Z165" s="65" t="str">
        <f aca="false">IF(T165="","",IF(T165&lt;12,"Daily","Weekly"))</f>
        <v>Weekly</v>
      </c>
      <c r="AA165" s="65" t="n">
        <f aca="false">IF(T165="",0,IF(T165&lt;12,T165*Controls!$B$29,T165*5))</f>
        <v>80</v>
      </c>
      <c r="AB165" s="65" t="n">
        <f aca="false">IF(E165="",0,NETWORKDAYS(E165,Controls!$B$36,Ref!$K$2:$K$42))</f>
        <v>273</v>
      </c>
      <c r="AC165" s="65" t="n">
        <f aca="false">IF(AND(AA165&gt;0,AB165&gt;=Controls!$B$39*AA165),1,0)</f>
        <v>1</v>
      </c>
      <c r="AD165" s="65" t="n">
        <f aca="false">IF(AND(E165&lt;&gt;"",E165&gt;=Controls!$B$37,E165&lt;=Controls!$B$38),1,0)</f>
        <v>1</v>
      </c>
      <c r="AE165" s="65" t="n">
        <f aca="false">IF(IFERROR(VLOOKUP(D165,Controls!$A$64:$E$74,2,FALSE()),"No")="Yes",1,0)</f>
        <v>1</v>
      </c>
      <c r="AF165" s="65" t="n">
        <f aca="false">IF(IFERROR(VLOOKUP(D165,Controls!$A$64:$E$74,3,FALSE()),"No")="Yes",1,0)</f>
        <v>0</v>
      </c>
      <c r="AG165" s="65" t="n">
        <f aca="false">IF(IFERROR(VLOOKUP(D165,Controls!$A$64:$E$74,4,FALSE()),"No")="Yes",1,0)</f>
        <v>0</v>
      </c>
      <c r="AH165" s="65" t="n">
        <f aca="false">IF(IFERROR(VLOOKUP(D165,Controls!$A$64:$E$74,5,FALSE()),"No")="Yes",1,0)</f>
        <v>0</v>
      </c>
      <c r="AI165" s="65" t="n">
        <f aca="false">IF(ISNUMBER(MATCH(D165,Controls!$A$64:$A$74,0)),1,0)</f>
        <v>1</v>
      </c>
      <c r="AJ165" s="65" t="n">
        <f aca="false">Q165-N165</f>
        <v>-3261.17</v>
      </c>
      <c r="AK165" s="65" t="n">
        <f aca="false">IF(AE165=1,MAX(0,N165-Q165),0)</f>
        <v>3261.17</v>
      </c>
      <c r="AL165" s="65" t="n">
        <f aca="false">IF(OR(V165="",V165=0),0,N165/V165)</f>
        <v>0.2119289283623</v>
      </c>
      <c r="AM165" s="65" t="n">
        <f aca="false">IF(OR(V165="",V165=0),0,1)</f>
        <v>1</v>
      </c>
      <c r="AN165" s="65" t="n">
        <f aca="false">IF(OR(E165="",F165=""),0,NETWORKDAYS(E165,F165,Ref!$K$2:$K$42))</f>
        <v>59</v>
      </c>
      <c r="AO165" s="65" t="n">
        <f aca="false">IF(L165="Renewal",1,0)</f>
        <v>0</v>
      </c>
      <c r="AP165" s="65" t="n">
        <f aca="false">AC165*AD165</f>
        <v>1</v>
      </c>
      <c r="AQ165" s="65" t="n">
        <f aca="false">IF(AND(G165&lt;&gt;"",'Historical Score'!$C$6&lt;&gt;""),IF(G165='Historical Score'!$C$6,1,0),0)</f>
        <v>0</v>
      </c>
      <c r="AR165" s="65" t="n">
        <f aca="false">IF(AND(L165&lt;&gt;"",'Historical Score'!$C$5&lt;&gt;""),IF(L165='Historical Score'!$C$5,1,0),0)</f>
        <v>1</v>
      </c>
      <c r="AS165" s="65" t="n">
        <f aca="false">IF(AND(Y165&lt;&gt;"",'Historical Score'!$C$7&lt;&gt;""),IF(Y165='Historical Score'!$C$7,1,0),0)</f>
        <v>0</v>
      </c>
      <c r="AT165" s="65" t="n">
        <f aca="false">IF(AND(K165&lt;&gt;"",'Historical Score'!$C$8&lt;&gt;""),IF(K165='Historical Score'!$C$8,1,0),0)</f>
        <v>0</v>
      </c>
      <c r="AU165" s="65" t="n">
        <f aca="false">IF(AND(J165&lt;&gt;"",'Historical Score'!$C$9&lt;&gt;""),IF(J165='Historical Score'!$C$9,1,0),0)</f>
        <v>1</v>
      </c>
      <c r="AV165" s="65" t="n">
        <f aca="false">AR165*AS165*AQ165</f>
        <v>0</v>
      </c>
      <c r="AW165" s="65" t="n">
        <f aca="false">AR165*AT165*AQ165</f>
        <v>0</v>
      </c>
      <c r="AX165" s="65" t="n">
        <f aca="false">AR165*AS165</f>
        <v>0</v>
      </c>
      <c r="AY165" s="65" t="n">
        <f aca="false">AR165*AT165</f>
        <v>0</v>
      </c>
      <c r="AZ165" s="65" t="n">
        <f aca="false">AR165*AQ165</f>
        <v>0</v>
      </c>
      <c r="BA165" s="65" t="n">
        <f aca="false">AR165</f>
        <v>1</v>
      </c>
      <c r="BB165" s="65" t="n">
        <f aca="false">1</f>
        <v>1</v>
      </c>
      <c r="BC165" s="65" t="n">
        <f aca="false">IF(AV165=1,1,IF(AW165=1,2,IF(AX165=1,3,IF(AY165=1,4,IF(AZ165=1,5,IF(BA165=1,6,7))))))</f>
        <v>6</v>
      </c>
      <c r="BD165" s="65" t="n">
        <f aca="false">IF(AD165=1,CHOOSE('Historical Score'!$C$29,AV165,AW165,AX165,AY165,AZ165,BA165,BB165),0)</f>
        <v>0</v>
      </c>
      <c r="BE165" s="65" t="str">
        <f aca="false">IF(BD165=1,COUNTIF($BD$2:BD165,1),"")</f>
        <v/>
      </c>
    </row>
    <row r="166" customFormat="false" ht="15" hidden="false" customHeight="false" outlineLevel="0" collapsed="false">
      <c r="A166" s="65" t="s">
        <v>940</v>
      </c>
      <c r="B166" s="65" t="s">
        <v>941</v>
      </c>
      <c r="C166" s="65" t="s">
        <v>942</v>
      </c>
      <c r="D166" s="65" t="s">
        <v>340</v>
      </c>
      <c r="E166" s="112" t="n">
        <v>45863</v>
      </c>
      <c r="F166" s="112" t="n">
        <v>46234</v>
      </c>
      <c r="G166" s="65" t="n">
        <v>1</v>
      </c>
      <c r="H166" s="65" t="s">
        <v>442</v>
      </c>
      <c r="I166" s="65" t="s">
        <v>443</v>
      </c>
      <c r="J166" s="65" t="s">
        <v>464</v>
      </c>
      <c r="K166" s="65" t="s">
        <v>538</v>
      </c>
      <c r="L166" s="65" t="s">
        <v>64</v>
      </c>
      <c r="M166" s="113" t="n">
        <v>1.49</v>
      </c>
      <c r="N166" s="114" t="n">
        <v>50000</v>
      </c>
      <c r="O166" s="114" t="n">
        <v>7000</v>
      </c>
      <c r="P166" s="114" t="n">
        <v>74500</v>
      </c>
      <c r="Q166" s="114" t="n">
        <v>51490.08</v>
      </c>
      <c r="R166" s="114" t="n">
        <v>23009.92</v>
      </c>
      <c r="S166" s="115" t="n">
        <v>0.691142013422819</v>
      </c>
      <c r="T166" s="65" t="n">
        <v>28</v>
      </c>
      <c r="U166" s="65" t="n">
        <v>2</v>
      </c>
      <c r="V166" s="65" t="n">
        <v>125203.05</v>
      </c>
      <c r="W166" s="115" t="n">
        <v>0.085</v>
      </c>
      <c r="X166" s="112" t="n">
        <v>44531</v>
      </c>
      <c r="Y166" s="65" t="str">
        <f aca="false">IF(I166="","No SIC",IFERROR(VLOOKUP(I166,Ref!$A$2:$B$65,2,FALSE()),"Unclassified"))</f>
        <v>General Building Contractors</v>
      </c>
      <c r="Z166" s="65" t="str">
        <f aca="false">IF(T166="","",IF(T166&lt;12,"Daily","Weekly"))</f>
        <v>Weekly</v>
      </c>
      <c r="AA166" s="65" t="n">
        <f aca="false">IF(T166="",0,IF(T166&lt;12,T166*Controls!$B$29,T166*5))</f>
        <v>140</v>
      </c>
      <c r="AB166" s="65" t="n">
        <f aca="false">IF(E166="",0,NETWORKDAYS(E166,Controls!$B$36,Ref!$K$2:$K$42))</f>
        <v>273</v>
      </c>
      <c r="AC166" s="65" t="n">
        <f aca="false">IF(AND(AA166&gt;0,AB166&gt;=Controls!$B$39*AA166),1,0)</f>
        <v>1</v>
      </c>
      <c r="AD166" s="65" t="n">
        <f aca="false">IF(AND(E166&lt;&gt;"",E166&gt;=Controls!$B$37,E166&lt;=Controls!$B$38),1,0)</f>
        <v>1</v>
      </c>
      <c r="AE166" s="65" t="n">
        <f aca="false">IF(IFERROR(VLOOKUP(D166,Controls!$A$64:$E$74,2,FALSE()),"No")="Yes",1,0)</f>
        <v>1</v>
      </c>
      <c r="AF166" s="65" t="n">
        <f aca="false">IF(IFERROR(VLOOKUP(D166,Controls!$A$64:$E$74,3,FALSE()),"No")="Yes",1,0)</f>
        <v>0</v>
      </c>
      <c r="AG166" s="65" t="n">
        <f aca="false">IF(IFERROR(VLOOKUP(D166,Controls!$A$64:$E$74,4,FALSE()),"No")="Yes",1,0)</f>
        <v>0</v>
      </c>
      <c r="AH166" s="65" t="n">
        <f aca="false">IF(IFERROR(VLOOKUP(D166,Controls!$A$64:$E$74,5,FALSE()),"No")="Yes",1,0)</f>
        <v>0</v>
      </c>
      <c r="AI166" s="65" t="n">
        <f aca="false">IF(ISNUMBER(MATCH(D166,Controls!$A$64:$A$74,0)),1,0)</f>
        <v>1</v>
      </c>
      <c r="AJ166" s="65" t="n">
        <f aca="false">Q166-N166</f>
        <v>1490.08</v>
      </c>
      <c r="AK166" s="65" t="n">
        <f aca="false">IF(AE166=1,MAX(0,N166-Q166),0)</f>
        <v>0</v>
      </c>
      <c r="AL166" s="65" t="n">
        <f aca="false">IF(OR(V166="",V166=0),0,N166/V166)</f>
        <v>0.399351293758419</v>
      </c>
      <c r="AM166" s="65" t="n">
        <f aca="false">IF(OR(V166="",V166=0),0,1)</f>
        <v>1</v>
      </c>
      <c r="AN166" s="65" t="n">
        <f aca="false">IF(OR(E166="",F166=""),0,NETWORKDAYS(E166,F166,Ref!$K$2:$K$42))</f>
        <v>256</v>
      </c>
      <c r="AO166" s="65" t="n">
        <f aca="false">IF(L166="Renewal",1,0)</f>
        <v>0</v>
      </c>
      <c r="AP166" s="65" t="n">
        <f aca="false">AC166*AD166</f>
        <v>1</v>
      </c>
      <c r="AQ166" s="65" t="n">
        <f aca="false">IF(AND(G166&lt;&gt;"",'Historical Score'!$C$6&lt;&gt;""),IF(G166='Historical Score'!$C$6,1,0),0)</f>
        <v>0</v>
      </c>
      <c r="AR166" s="65" t="n">
        <f aca="false">IF(AND(L166&lt;&gt;"",'Historical Score'!$C$5&lt;&gt;""),IF(L166='Historical Score'!$C$5,1,0),0)</f>
        <v>1</v>
      </c>
      <c r="AS166" s="65" t="n">
        <f aca="false">IF(AND(Y166&lt;&gt;"",'Historical Score'!$C$7&lt;&gt;""),IF(Y166='Historical Score'!$C$7,1,0),0)</f>
        <v>1</v>
      </c>
      <c r="AT166" s="65" t="n">
        <f aca="false">IF(AND(K166&lt;&gt;"",'Historical Score'!$C$8&lt;&gt;""),IF(K166='Historical Score'!$C$8,1,0),0)</f>
        <v>0</v>
      </c>
      <c r="AU166" s="65" t="n">
        <f aca="false">IF(AND(J166&lt;&gt;"",'Historical Score'!$C$9&lt;&gt;""),IF(J166='Historical Score'!$C$9,1,0),0)</f>
        <v>0</v>
      </c>
      <c r="AV166" s="65" t="n">
        <f aca="false">AR166*AS166*AQ166</f>
        <v>0</v>
      </c>
      <c r="AW166" s="65" t="n">
        <f aca="false">AR166*AT166*AQ166</f>
        <v>0</v>
      </c>
      <c r="AX166" s="65" t="n">
        <f aca="false">AR166*AS166</f>
        <v>1</v>
      </c>
      <c r="AY166" s="65" t="n">
        <f aca="false">AR166*AT166</f>
        <v>0</v>
      </c>
      <c r="AZ166" s="65" t="n">
        <f aca="false">AR166*AQ166</f>
        <v>0</v>
      </c>
      <c r="BA166" s="65" t="n">
        <f aca="false">AR166</f>
        <v>1</v>
      </c>
      <c r="BB166" s="65" t="n">
        <f aca="false">1</f>
        <v>1</v>
      </c>
      <c r="BC166" s="65" t="n">
        <f aca="false">IF(AV166=1,1,IF(AW166=1,2,IF(AX166=1,3,IF(AY166=1,4,IF(AZ166=1,5,IF(BA166=1,6,7))))))</f>
        <v>3</v>
      </c>
      <c r="BD166" s="65" t="n">
        <f aca="false">IF(AD166=1,CHOOSE('Historical Score'!$C$29,AV166,AW166,AX166,AY166,AZ166,BA166,BB166),0)</f>
        <v>0</v>
      </c>
      <c r="BE166" s="65" t="str">
        <f aca="false">IF(BD166=1,COUNTIF($BD$2:BD166,1),"")</f>
        <v/>
      </c>
    </row>
    <row r="167" customFormat="false" ht="15" hidden="false" customHeight="false" outlineLevel="0" collapsed="false">
      <c r="A167" s="65" t="s">
        <v>943</v>
      </c>
      <c r="B167" s="65" t="s">
        <v>944</v>
      </c>
      <c r="C167" s="65" t="s">
        <v>945</v>
      </c>
      <c r="D167" s="65" t="s">
        <v>371</v>
      </c>
      <c r="E167" s="112" t="n">
        <v>45863</v>
      </c>
      <c r="F167" s="112" t="n">
        <v>45915</v>
      </c>
      <c r="G167" s="65" t="n">
        <v>1</v>
      </c>
      <c r="H167" s="65" t="s">
        <v>513</v>
      </c>
      <c r="I167" s="65" t="s">
        <v>475</v>
      </c>
      <c r="J167" s="65" t="s">
        <v>506</v>
      </c>
      <c r="K167" s="65" t="s">
        <v>578</v>
      </c>
      <c r="L167" s="65" t="s">
        <v>64</v>
      </c>
      <c r="M167" s="113" t="n">
        <v>1.2</v>
      </c>
      <c r="N167" s="114" t="n">
        <v>40000</v>
      </c>
      <c r="O167" s="114" t="n">
        <v>5200</v>
      </c>
      <c r="P167" s="114" t="n">
        <v>48000</v>
      </c>
      <c r="Q167" s="114" t="n">
        <v>48000</v>
      </c>
      <c r="R167" s="114" t="n">
        <v>0</v>
      </c>
      <c r="S167" s="115" t="n">
        <v>1</v>
      </c>
      <c r="T167" s="65" t="n">
        <v>32</v>
      </c>
      <c r="U167" s="65" t="n">
        <v>0</v>
      </c>
      <c r="V167" s="65" t="n">
        <v>107515.79</v>
      </c>
      <c r="W167" s="115" t="n">
        <v>0.0684</v>
      </c>
      <c r="X167" s="112"/>
      <c r="Y167" s="65" t="str">
        <f aca="false">IF(I167="","No SIC",IFERROR(VLOOKUP(I167,Ref!$A$2:$B$65,2,FALSE()),"Unclassified"))</f>
        <v>Auto Repair &amp; Services</v>
      </c>
      <c r="Z167" s="65" t="str">
        <f aca="false">IF(T167="","",IF(T167&lt;12,"Daily","Weekly"))</f>
        <v>Weekly</v>
      </c>
      <c r="AA167" s="65" t="n">
        <f aca="false">IF(T167="",0,IF(T167&lt;12,T167*Controls!$B$29,T167*5))</f>
        <v>160</v>
      </c>
      <c r="AB167" s="65" t="n">
        <f aca="false">IF(E167="",0,NETWORKDAYS(E167,Controls!$B$36,Ref!$K$2:$K$42))</f>
        <v>273</v>
      </c>
      <c r="AC167" s="65" t="n">
        <f aca="false">IF(AND(AA167&gt;0,AB167&gt;=Controls!$B$39*AA167),1,0)</f>
        <v>1</v>
      </c>
      <c r="AD167" s="65" t="n">
        <f aca="false">IF(AND(E167&lt;&gt;"",E167&gt;=Controls!$B$37,E167&lt;=Controls!$B$38),1,0)</f>
        <v>1</v>
      </c>
      <c r="AE167" s="65" t="n">
        <f aca="false">IF(IFERROR(VLOOKUP(D167,Controls!$A$64:$E$74,2,FALSE()),"No")="Yes",1,0)</f>
        <v>0</v>
      </c>
      <c r="AF167" s="65" t="n">
        <f aca="false">IF(IFERROR(VLOOKUP(D167,Controls!$A$64:$E$74,3,FALSE()),"No")="Yes",1,0)</f>
        <v>1</v>
      </c>
      <c r="AG167" s="65" t="n">
        <f aca="false">IF(IFERROR(VLOOKUP(D167,Controls!$A$64:$E$74,4,FALSE()),"No")="Yes",1,0)</f>
        <v>1</v>
      </c>
      <c r="AH167" s="65" t="n">
        <f aca="false">IF(IFERROR(VLOOKUP(D167,Controls!$A$64:$E$74,5,FALSE()),"No")="Yes",1,0)</f>
        <v>0</v>
      </c>
      <c r="AI167" s="65" t="n">
        <f aca="false">IF(ISNUMBER(MATCH(D167,Controls!$A$64:$A$74,0)),1,0)</f>
        <v>1</v>
      </c>
      <c r="AJ167" s="65" t="n">
        <f aca="false">Q167-N167</f>
        <v>8000</v>
      </c>
      <c r="AK167" s="65" t="n">
        <f aca="false">IF(AE167=1,MAX(0,N167-Q167),0)</f>
        <v>0</v>
      </c>
      <c r="AL167" s="65" t="n">
        <f aca="false">IF(OR(V167="",V167=0),0,N167/V167)</f>
        <v>0.37203837687469</v>
      </c>
      <c r="AM167" s="65" t="n">
        <f aca="false">IF(OR(V167="",V167=0),0,1)</f>
        <v>1</v>
      </c>
      <c r="AN167" s="65" t="n">
        <f aca="false">IF(OR(E167="",F167=""),0,NETWORKDAYS(E167,F167,Ref!$K$2:$K$42))</f>
        <v>36</v>
      </c>
      <c r="AO167" s="65" t="n">
        <f aca="false">IF(L167="Renewal",1,0)</f>
        <v>0</v>
      </c>
      <c r="AP167" s="65" t="n">
        <f aca="false">AC167*AD167</f>
        <v>1</v>
      </c>
      <c r="AQ167" s="65" t="n">
        <f aca="false">IF(AND(G167&lt;&gt;"",'Historical Score'!$C$6&lt;&gt;""),IF(G167='Historical Score'!$C$6,1,0),0)</f>
        <v>0</v>
      </c>
      <c r="AR167" s="65" t="n">
        <f aca="false">IF(AND(L167&lt;&gt;"",'Historical Score'!$C$5&lt;&gt;""),IF(L167='Historical Score'!$C$5,1,0),0)</f>
        <v>1</v>
      </c>
      <c r="AS167" s="65" t="n">
        <f aca="false">IF(AND(Y167&lt;&gt;"",'Historical Score'!$C$7&lt;&gt;""),IF(Y167='Historical Score'!$C$7,1,0),0)</f>
        <v>0</v>
      </c>
      <c r="AT167" s="65" t="n">
        <f aca="false">IF(AND(K167&lt;&gt;"",'Historical Score'!$C$8&lt;&gt;""),IF(K167='Historical Score'!$C$8,1,0),0)</f>
        <v>0</v>
      </c>
      <c r="AU167" s="65" t="n">
        <f aca="false">IF(AND(J167&lt;&gt;"",'Historical Score'!$C$9&lt;&gt;""),IF(J167='Historical Score'!$C$9,1,0),0)</f>
        <v>0</v>
      </c>
      <c r="AV167" s="65" t="n">
        <f aca="false">AR167*AS167*AQ167</f>
        <v>0</v>
      </c>
      <c r="AW167" s="65" t="n">
        <f aca="false">AR167*AT167*AQ167</f>
        <v>0</v>
      </c>
      <c r="AX167" s="65" t="n">
        <f aca="false">AR167*AS167</f>
        <v>0</v>
      </c>
      <c r="AY167" s="65" t="n">
        <f aca="false">AR167*AT167</f>
        <v>0</v>
      </c>
      <c r="AZ167" s="65" t="n">
        <f aca="false">AR167*AQ167</f>
        <v>0</v>
      </c>
      <c r="BA167" s="65" t="n">
        <f aca="false">AR167</f>
        <v>1</v>
      </c>
      <c r="BB167" s="65" t="n">
        <f aca="false">1</f>
        <v>1</v>
      </c>
      <c r="BC167" s="65" t="n">
        <f aca="false">IF(AV167=1,1,IF(AW167=1,2,IF(AX167=1,3,IF(AY167=1,4,IF(AZ167=1,5,IF(BA167=1,6,7))))))</f>
        <v>6</v>
      </c>
      <c r="BD167" s="65" t="n">
        <f aca="false">IF(AD167=1,CHOOSE('Historical Score'!$C$29,AV167,AW167,AX167,AY167,AZ167,BA167,BB167),0)</f>
        <v>0</v>
      </c>
      <c r="BE167" s="65" t="str">
        <f aca="false">IF(BD167=1,COUNTIF($BD$2:BD167,1),"")</f>
        <v/>
      </c>
    </row>
    <row r="168" customFormat="false" ht="15" hidden="false" customHeight="false" outlineLevel="0" collapsed="false">
      <c r="A168" s="65" t="s">
        <v>946</v>
      </c>
      <c r="B168" s="65" t="s">
        <v>947</v>
      </c>
      <c r="C168" s="65" t="s">
        <v>948</v>
      </c>
      <c r="D168" s="65" t="s">
        <v>340</v>
      </c>
      <c r="E168" s="112" t="n">
        <v>45863</v>
      </c>
      <c r="F168" s="112" t="n">
        <v>45870</v>
      </c>
      <c r="G168" s="65" t="n">
        <v>3</v>
      </c>
      <c r="H168" s="65" t="s">
        <v>409</v>
      </c>
      <c r="I168" s="65" t="s">
        <v>342</v>
      </c>
      <c r="J168" s="65" t="s">
        <v>350</v>
      </c>
      <c r="K168" s="65" t="s">
        <v>949</v>
      </c>
      <c r="L168" s="65" t="s">
        <v>64</v>
      </c>
      <c r="M168" s="113" t="n">
        <v>1.5</v>
      </c>
      <c r="N168" s="114" t="n">
        <v>6000</v>
      </c>
      <c r="O168" s="114" t="n">
        <v>720</v>
      </c>
      <c r="P168" s="114" t="n">
        <v>9000</v>
      </c>
      <c r="Q168" s="114" t="n">
        <v>223.6</v>
      </c>
      <c r="R168" s="114" t="n">
        <v>8776.4</v>
      </c>
      <c r="S168" s="115" t="n">
        <v>0.0248444444444444</v>
      </c>
      <c r="T168" s="65" t="n">
        <v>2.623</v>
      </c>
      <c r="U168" s="65" t="n">
        <v>3</v>
      </c>
      <c r="V168" s="65" t="n">
        <v>33588.2</v>
      </c>
      <c r="W168" s="115" t="n">
        <v>0.0699</v>
      </c>
      <c r="X168" s="112" t="n">
        <v>44245</v>
      </c>
      <c r="Y168" s="65" t="str">
        <f aca="false">IF(I168="","No SIC",IFERROR(VLOOKUP(I168,Ref!$A$2:$B$65,2,FALSE()),"Unclassified"))</f>
        <v>Eating &amp; Drinking Places</v>
      </c>
      <c r="Z168" s="65" t="str">
        <f aca="false">IF(T168="","",IF(T168&lt;12,"Daily","Weekly"))</f>
        <v>Daily</v>
      </c>
      <c r="AA168" s="65" t="n">
        <f aca="false">IF(T168="",0,IF(T168&lt;12,T168*Controls!$B$29,T168*5))</f>
        <v>56.801065</v>
      </c>
      <c r="AB168" s="65" t="n">
        <f aca="false">IF(E168="",0,NETWORKDAYS(E168,Controls!$B$36,Ref!$K$2:$K$42))</f>
        <v>273</v>
      </c>
      <c r="AC168" s="65" t="n">
        <f aca="false">IF(AND(AA168&gt;0,AB168&gt;=Controls!$B$39*AA168),1,0)</f>
        <v>1</v>
      </c>
      <c r="AD168" s="65" t="n">
        <f aca="false">IF(AND(E168&lt;&gt;"",E168&gt;=Controls!$B$37,E168&lt;=Controls!$B$38),1,0)</f>
        <v>1</v>
      </c>
      <c r="AE168" s="65" t="n">
        <f aca="false">IF(IFERROR(VLOOKUP(D168,Controls!$A$64:$E$74,2,FALSE()),"No")="Yes",1,0)</f>
        <v>1</v>
      </c>
      <c r="AF168" s="65" t="n">
        <f aca="false">IF(IFERROR(VLOOKUP(D168,Controls!$A$64:$E$74,3,FALSE()),"No")="Yes",1,0)</f>
        <v>0</v>
      </c>
      <c r="AG168" s="65" t="n">
        <f aca="false">IF(IFERROR(VLOOKUP(D168,Controls!$A$64:$E$74,4,FALSE()),"No")="Yes",1,0)</f>
        <v>0</v>
      </c>
      <c r="AH168" s="65" t="n">
        <f aca="false">IF(IFERROR(VLOOKUP(D168,Controls!$A$64:$E$74,5,FALSE()),"No")="Yes",1,0)</f>
        <v>0</v>
      </c>
      <c r="AI168" s="65" t="n">
        <f aca="false">IF(ISNUMBER(MATCH(D168,Controls!$A$64:$A$74,0)),1,0)</f>
        <v>1</v>
      </c>
      <c r="AJ168" s="65" t="n">
        <f aca="false">Q168-N168</f>
        <v>-5776.4</v>
      </c>
      <c r="AK168" s="65" t="n">
        <f aca="false">IF(AE168=1,MAX(0,N168-Q168),0)</f>
        <v>5776.4</v>
      </c>
      <c r="AL168" s="65" t="n">
        <f aca="false">IF(OR(V168="",V168=0),0,N168/V168)</f>
        <v>0.178634163188263</v>
      </c>
      <c r="AM168" s="65" t="n">
        <f aca="false">IF(OR(V168="",V168=0),0,1)</f>
        <v>1</v>
      </c>
      <c r="AN168" s="65" t="n">
        <f aca="false">IF(OR(E168="",F168=""),0,NETWORKDAYS(E168,F168,Ref!$K$2:$K$42))</f>
        <v>6</v>
      </c>
      <c r="AO168" s="65" t="n">
        <f aca="false">IF(L168="Renewal",1,0)</f>
        <v>0</v>
      </c>
      <c r="AP168" s="65" t="n">
        <f aca="false">AC168*AD168</f>
        <v>1</v>
      </c>
      <c r="AQ168" s="65" t="n">
        <f aca="false">IF(AND(G168&lt;&gt;"",'Historical Score'!$C$6&lt;&gt;""),IF(G168='Historical Score'!$C$6,1,0),0)</f>
        <v>0</v>
      </c>
      <c r="AR168" s="65" t="n">
        <f aca="false">IF(AND(L168&lt;&gt;"",'Historical Score'!$C$5&lt;&gt;""),IF(L168='Historical Score'!$C$5,1,0),0)</f>
        <v>1</v>
      </c>
      <c r="AS168" s="65" t="n">
        <f aca="false">IF(AND(Y168&lt;&gt;"",'Historical Score'!$C$7&lt;&gt;""),IF(Y168='Historical Score'!$C$7,1,0),0)</f>
        <v>0</v>
      </c>
      <c r="AT168" s="65" t="n">
        <f aca="false">IF(AND(K168&lt;&gt;"",'Historical Score'!$C$8&lt;&gt;""),IF(K168='Historical Score'!$C$8,1,0),0)</f>
        <v>0</v>
      </c>
      <c r="AU168" s="65" t="n">
        <f aca="false">IF(AND(J168&lt;&gt;"",'Historical Score'!$C$9&lt;&gt;""),IF(J168='Historical Score'!$C$9,1,0),0)</f>
        <v>0</v>
      </c>
      <c r="AV168" s="65" t="n">
        <f aca="false">AR168*AS168*AQ168</f>
        <v>0</v>
      </c>
      <c r="AW168" s="65" t="n">
        <f aca="false">AR168*AT168*AQ168</f>
        <v>0</v>
      </c>
      <c r="AX168" s="65" t="n">
        <f aca="false">AR168*AS168</f>
        <v>0</v>
      </c>
      <c r="AY168" s="65" t="n">
        <f aca="false">AR168*AT168</f>
        <v>0</v>
      </c>
      <c r="AZ168" s="65" t="n">
        <f aca="false">AR168*AQ168</f>
        <v>0</v>
      </c>
      <c r="BA168" s="65" t="n">
        <f aca="false">AR168</f>
        <v>1</v>
      </c>
      <c r="BB168" s="65" t="n">
        <f aca="false">1</f>
        <v>1</v>
      </c>
      <c r="BC168" s="65" t="n">
        <f aca="false">IF(AV168=1,1,IF(AW168=1,2,IF(AX168=1,3,IF(AY168=1,4,IF(AZ168=1,5,IF(BA168=1,6,7))))))</f>
        <v>6</v>
      </c>
      <c r="BD168" s="65" t="n">
        <f aca="false">IF(AD168=1,CHOOSE('Historical Score'!$C$29,AV168,AW168,AX168,AY168,AZ168,BA168,BB168),0)</f>
        <v>0</v>
      </c>
      <c r="BE168" s="65" t="str">
        <f aca="false">IF(BD168=1,COUNTIF($BD$2:BD168,1),"")</f>
        <v/>
      </c>
    </row>
    <row r="169" customFormat="false" ht="15" hidden="false" customHeight="false" outlineLevel="0" collapsed="false">
      <c r="A169" s="65" t="s">
        <v>950</v>
      </c>
      <c r="B169" s="65" t="s">
        <v>951</v>
      </c>
      <c r="C169" s="65" t="s">
        <v>951</v>
      </c>
      <c r="D169" s="65" t="s">
        <v>371</v>
      </c>
      <c r="E169" s="112" t="n">
        <v>45863</v>
      </c>
      <c r="F169" s="112" t="n">
        <v>45966</v>
      </c>
      <c r="G169" s="65" t="n">
        <v>2</v>
      </c>
      <c r="H169" s="65" t="s">
        <v>442</v>
      </c>
      <c r="I169" s="65" t="s">
        <v>443</v>
      </c>
      <c r="J169" s="65" t="s">
        <v>464</v>
      </c>
      <c r="K169" s="65" t="s">
        <v>952</v>
      </c>
      <c r="L169" s="65" t="s">
        <v>64</v>
      </c>
      <c r="M169" s="113" t="n">
        <v>1.35</v>
      </c>
      <c r="N169" s="114" t="n">
        <v>10000</v>
      </c>
      <c r="O169" s="114" t="n">
        <v>700</v>
      </c>
      <c r="P169" s="114" t="n">
        <v>13500</v>
      </c>
      <c r="Q169" s="114" t="n">
        <v>13500</v>
      </c>
      <c r="R169" s="114" t="n">
        <v>0</v>
      </c>
      <c r="S169" s="115" t="n">
        <v>1</v>
      </c>
      <c r="T169" s="65" t="n">
        <v>1.967</v>
      </c>
      <c r="U169" s="65" t="n">
        <v>12</v>
      </c>
      <c r="V169" s="65" t="n">
        <v>75630.54</v>
      </c>
      <c r="W169" s="115" t="n">
        <v>0.0625</v>
      </c>
      <c r="X169" s="112" t="n">
        <v>43314</v>
      </c>
      <c r="Y169" s="65" t="str">
        <f aca="false">IF(I169="","No SIC",IFERROR(VLOOKUP(I169,Ref!$A$2:$B$65,2,FALSE()),"Unclassified"))</f>
        <v>General Building Contractors</v>
      </c>
      <c r="Z169" s="65" t="str">
        <f aca="false">IF(T169="","",IF(T169&lt;12,"Daily","Weekly"))</f>
        <v>Daily</v>
      </c>
      <c r="AA169" s="65" t="n">
        <f aca="false">IF(T169="",0,IF(T169&lt;12,T169*Controls!$B$29,T169*5))</f>
        <v>42.595385</v>
      </c>
      <c r="AB169" s="65" t="n">
        <f aca="false">IF(E169="",0,NETWORKDAYS(E169,Controls!$B$36,Ref!$K$2:$K$42))</f>
        <v>273</v>
      </c>
      <c r="AC169" s="65" t="n">
        <f aca="false">IF(AND(AA169&gt;0,AB169&gt;=Controls!$B$39*AA169),1,0)</f>
        <v>1</v>
      </c>
      <c r="AD169" s="65" t="n">
        <f aca="false">IF(AND(E169&lt;&gt;"",E169&gt;=Controls!$B$37,E169&lt;=Controls!$B$38),1,0)</f>
        <v>1</v>
      </c>
      <c r="AE169" s="65" t="n">
        <f aca="false">IF(IFERROR(VLOOKUP(D169,Controls!$A$64:$E$74,2,FALSE()),"No")="Yes",1,0)</f>
        <v>0</v>
      </c>
      <c r="AF169" s="65" t="n">
        <f aca="false">IF(IFERROR(VLOOKUP(D169,Controls!$A$64:$E$74,3,FALSE()),"No")="Yes",1,0)</f>
        <v>1</v>
      </c>
      <c r="AG169" s="65" t="n">
        <f aca="false">IF(IFERROR(VLOOKUP(D169,Controls!$A$64:$E$74,4,FALSE()),"No")="Yes",1,0)</f>
        <v>1</v>
      </c>
      <c r="AH169" s="65" t="n">
        <f aca="false">IF(IFERROR(VLOOKUP(D169,Controls!$A$64:$E$74,5,FALSE()),"No")="Yes",1,0)</f>
        <v>0</v>
      </c>
      <c r="AI169" s="65" t="n">
        <f aca="false">IF(ISNUMBER(MATCH(D169,Controls!$A$64:$A$74,0)),1,0)</f>
        <v>1</v>
      </c>
      <c r="AJ169" s="65" t="n">
        <f aca="false">Q169-N169</f>
        <v>3500</v>
      </c>
      <c r="AK169" s="65" t="n">
        <f aca="false">IF(AE169=1,MAX(0,N169-Q169),0)</f>
        <v>0</v>
      </c>
      <c r="AL169" s="65" t="n">
        <f aca="false">IF(OR(V169="",V169=0),0,N169/V169)</f>
        <v>0.132221718898212</v>
      </c>
      <c r="AM169" s="65" t="n">
        <f aca="false">IF(OR(V169="",V169=0),0,1)</f>
        <v>1</v>
      </c>
      <c r="AN169" s="65" t="n">
        <f aca="false">IF(OR(E169="",F169=""),0,NETWORKDAYS(E169,F169,Ref!$K$2:$K$42))</f>
        <v>72</v>
      </c>
      <c r="AO169" s="65" t="n">
        <f aca="false">IF(L169="Renewal",1,0)</f>
        <v>0</v>
      </c>
      <c r="AP169" s="65" t="n">
        <f aca="false">AC169*AD169</f>
        <v>1</v>
      </c>
      <c r="AQ169" s="65" t="n">
        <f aca="false">IF(AND(G169&lt;&gt;"",'Historical Score'!$C$6&lt;&gt;""),IF(G169='Historical Score'!$C$6,1,0),0)</f>
        <v>1</v>
      </c>
      <c r="AR169" s="65" t="n">
        <f aca="false">IF(AND(L169&lt;&gt;"",'Historical Score'!$C$5&lt;&gt;""),IF(L169='Historical Score'!$C$5,1,0),0)</f>
        <v>1</v>
      </c>
      <c r="AS169" s="65" t="n">
        <f aca="false">IF(AND(Y169&lt;&gt;"",'Historical Score'!$C$7&lt;&gt;""),IF(Y169='Historical Score'!$C$7,1,0),0)</f>
        <v>1</v>
      </c>
      <c r="AT169" s="65" t="n">
        <f aca="false">IF(AND(K169&lt;&gt;"",'Historical Score'!$C$8&lt;&gt;""),IF(K169='Historical Score'!$C$8,1,0),0)</f>
        <v>0</v>
      </c>
      <c r="AU169" s="65" t="n">
        <f aca="false">IF(AND(J169&lt;&gt;"",'Historical Score'!$C$9&lt;&gt;""),IF(J169='Historical Score'!$C$9,1,0),0)</f>
        <v>0</v>
      </c>
      <c r="AV169" s="65" t="n">
        <f aca="false">AR169*AS169*AQ169</f>
        <v>1</v>
      </c>
      <c r="AW169" s="65" t="n">
        <f aca="false">AR169*AT169*AQ169</f>
        <v>0</v>
      </c>
      <c r="AX169" s="65" t="n">
        <f aca="false">AR169*AS169</f>
        <v>1</v>
      </c>
      <c r="AY169" s="65" t="n">
        <f aca="false">AR169*AT169</f>
        <v>0</v>
      </c>
      <c r="AZ169" s="65" t="n">
        <f aca="false">AR169*AQ169</f>
        <v>1</v>
      </c>
      <c r="BA169" s="65" t="n">
        <f aca="false">AR169</f>
        <v>1</v>
      </c>
      <c r="BB169" s="65" t="n">
        <f aca="false">1</f>
        <v>1</v>
      </c>
      <c r="BC169" s="65" t="n">
        <f aca="false">IF(AV169=1,1,IF(AW169=1,2,IF(AX169=1,3,IF(AY169=1,4,IF(AZ169=1,5,IF(BA169=1,6,7))))))</f>
        <v>1</v>
      </c>
      <c r="BD169" s="65" t="n">
        <f aca="false">IF(AD169=1,CHOOSE('Historical Score'!$C$29,AV169,AW169,AX169,AY169,AZ169,BA169,BB169),0)</f>
        <v>1</v>
      </c>
      <c r="BE169" s="65" t="n">
        <f aca="false">IF(BD169=1,COUNTIF($BD$2:BD169,1),"")</f>
        <v>3</v>
      </c>
    </row>
    <row r="170" customFormat="false" ht="15" hidden="false" customHeight="false" outlineLevel="0" collapsed="false">
      <c r="A170" s="65" t="s">
        <v>953</v>
      </c>
      <c r="B170" s="65" t="s">
        <v>801</v>
      </c>
      <c r="C170" s="65" t="s">
        <v>801</v>
      </c>
      <c r="D170" s="65" t="s">
        <v>371</v>
      </c>
      <c r="E170" s="112" t="n">
        <v>45866</v>
      </c>
      <c r="F170" s="112" t="n">
        <v>45989</v>
      </c>
      <c r="G170" s="65" t="n">
        <v>7</v>
      </c>
      <c r="H170" s="65" t="s">
        <v>409</v>
      </c>
      <c r="I170" s="65" t="s">
        <v>342</v>
      </c>
      <c r="J170" s="65" t="s">
        <v>452</v>
      </c>
      <c r="K170" s="65" t="s">
        <v>538</v>
      </c>
      <c r="L170" s="65" t="s">
        <v>320</v>
      </c>
      <c r="M170" s="113" t="n">
        <v>1.49</v>
      </c>
      <c r="N170" s="114" t="n">
        <v>35000</v>
      </c>
      <c r="O170" s="114" t="n">
        <v>4900</v>
      </c>
      <c r="P170" s="114" t="n">
        <v>52150</v>
      </c>
      <c r="Q170" s="114" t="n">
        <v>52150</v>
      </c>
      <c r="R170" s="114" t="n">
        <v>0</v>
      </c>
      <c r="S170" s="115" t="n">
        <v>1</v>
      </c>
      <c r="T170" s="65" t="n">
        <v>3.934</v>
      </c>
      <c r="U170" s="65" t="n">
        <v>9</v>
      </c>
      <c r="V170" s="65" t="n">
        <v>138520.32</v>
      </c>
      <c r="W170" s="115" t="n">
        <v>0.0659</v>
      </c>
      <c r="X170" s="112" t="n">
        <v>42430</v>
      </c>
      <c r="Y170" s="65" t="str">
        <f aca="false">IF(I170="","No SIC",IFERROR(VLOOKUP(I170,Ref!$A$2:$B$65,2,FALSE()),"Unclassified"))</f>
        <v>Eating &amp; Drinking Places</v>
      </c>
      <c r="Z170" s="65" t="str">
        <f aca="false">IF(T170="","",IF(T170&lt;12,"Daily","Weekly"))</f>
        <v>Daily</v>
      </c>
      <c r="AA170" s="65" t="n">
        <f aca="false">IF(T170="",0,IF(T170&lt;12,T170*Controls!$B$29,T170*5))</f>
        <v>85.19077</v>
      </c>
      <c r="AB170" s="65" t="n">
        <f aca="false">IF(E170="",0,NETWORKDAYS(E170,Controls!$B$36,Ref!$K$2:$K$42))</f>
        <v>272</v>
      </c>
      <c r="AC170" s="65" t="n">
        <f aca="false">IF(AND(AA170&gt;0,AB170&gt;=Controls!$B$39*AA170),1,0)</f>
        <v>1</v>
      </c>
      <c r="AD170" s="65" t="n">
        <f aca="false">IF(AND(E170&lt;&gt;"",E170&gt;=Controls!$B$37,E170&lt;=Controls!$B$38),1,0)</f>
        <v>1</v>
      </c>
      <c r="AE170" s="65" t="n">
        <f aca="false">IF(IFERROR(VLOOKUP(D170,Controls!$A$64:$E$74,2,FALSE()),"No")="Yes",1,0)</f>
        <v>0</v>
      </c>
      <c r="AF170" s="65" t="n">
        <f aca="false">IF(IFERROR(VLOOKUP(D170,Controls!$A$64:$E$74,3,FALSE()),"No")="Yes",1,0)</f>
        <v>1</v>
      </c>
      <c r="AG170" s="65" t="n">
        <f aca="false">IF(IFERROR(VLOOKUP(D170,Controls!$A$64:$E$74,4,FALSE()),"No")="Yes",1,0)</f>
        <v>1</v>
      </c>
      <c r="AH170" s="65" t="n">
        <f aca="false">IF(IFERROR(VLOOKUP(D170,Controls!$A$64:$E$74,5,FALSE()),"No")="Yes",1,0)</f>
        <v>0</v>
      </c>
      <c r="AI170" s="65" t="n">
        <f aca="false">IF(ISNUMBER(MATCH(D170,Controls!$A$64:$A$74,0)),1,0)</f>
        <v>1</v>
      </c>
      <c r="AJ170" s="65" t="n">
        <f aca="false">Q170-N170</f>
        <v>17150</v>
      </c>
      <c r="AK170" s="65" t="n">
        <f aca="false">IF(AE170=1,MAX(0,N170-Q170),0)</f>
        <v>0</v>
      </c>
      <c r="AL170" s="65" t="n">
        <f aca="false">IF(OR(V170="",V170=0),0,N170/V170)</f>
        <v>0.252670510723625</v>
      </c>
      <c r="AM170" s="65" t="n">
        <f aca="false">IF(OR(V170="",V170=0),0,1)</f>
        <v>1</v>
      </c>
      <c r="AN170" s="65" t="n">
        <f aca="false">IF(OR(E170="",F170=""),0,NETWORKDAYS(E170,F170,Ref!$K$2:$K$42))</f>
        <v>86</v>
      </c>
      <c r="AO170" s="65" t="n">
        <f aca="false">IF(L170="Renewal",1,0)</f>
        <v>1</v>
      </c>
      <c r="AP170" s="65" t="n">
        <f aca="false">AC170*AD170</f>
        <v>1</v>
      </c>
      <c r="AQ170" s="65" t="n">
        <f aca="false">IF(AND(G170&lt;&gt;"",'Historical Score'!$C$6&lt;&gt;""),IF(G170='Historical Score'!$C$6,1,0),0)</f>
        <v>0</v>
      </c>
      <c r="AR170" s="65" t="n">
        <f aca="false">IF(AND(L170&lt;&gt;"",'Historical Score'!$C$5&lt;&gt;""),IF(L170='Historical Score'!$C$5,1,0),0)</f>
        <v>0</v>
      </c>
      <c r="AS170" s="65" t="n">
        <f aca="false">IF(AND(Y170&lt;&gt;"",'Historical Score'!$C$7&lt;&gt;""),IF(Y170='Historical Score'!$C$7,1,0),0)</f>
        <v>0</v>
      </c>
      <c r="AT170" s="65" t="n">
        <f aca="false">IF(AND(K170&lt;&gt;"",'Historical Score'!$C$8&lt;&gt;""),IF(K170='Historical Score'!$C$8,1,0),0)</f>
        <v>0</v>
      </c>
      <c r="AU170" s="65" t="n">
        <f aca="false">IF(AND(J170&lt;&gt;"",'Historical Score'!$C$9&lt;&gt;""),IF(J170='Historical Score'!$C$9,1,0),0)</f>
        <v>0</v>
      </c>
      <c r="AV170" s="65" t="n">
        <f aca="false">AR170*AS170*AQ170</f>
        <v>0</v>
      </c>
      <c r="AW170" s="65" t="n">
        <f aca="false">AR170*AT170*AQ170</f>
        <v>0</v>
      </c>
      <c r="AX170" s="65" t="n">
        <f aca="false">AR170*AS170</f>
        <v>0</v>
      </c>
      <c r="AY170" s="65" t="n">
        <f aca="false">AR170*AT170</f>
        <v>0</v>
      </c>
      <c r="AZ170" s="65" t="n">
        <f aca="false">AR170*AQ170</f>
        <v>0</v>
      </c>
      <c r="BA170" s="65" t="n">
        <f aca="false">AR170</f>
        <v>0</v>
      </c>
      <c r="BB170" s="65" t="n">
        <f aca="false">1</f>
        <v>1</v>
      </c>
      <c r="BC170" s="65" t="n">
        <f aca="false">IF(AV170=1,1,IF(AW170=1,2,IF(AX170=1,3,IF(AY170=1,4,IF(AZ170=1,5,IF(BA170=1,6,7))))))</f>
        <v>7</v>
      </c>
      <c r="BD170" s="65" t="n">
        <f aca="false">IF(AD170=1,CHOOSE('Historical Score'!$C$29,AV170,AW170,AX170,AY170,AZ170,BA170,BB170),0)</f>
        <v>0</v>
      </c>
      <c r="BE170" s="65" t="str">
        <f aca="false">IF(BD170=1,COUNTIF($BD$2:BD170,1),"")</f>
        <v/>
      </c>
    </row>
    <row r="171" customFormat="false" ht="15" hidden="false" customHeight="false" outlineLevel="0" collapsed="false">
      <c r="A171" s="65" t="s">
        <v>954</v>
      </c>
      <c r="B171" s="65" t="s">
        <v>955</v>
      </c>
      <c r="C171" s="65" t="s">
        <v>955</v>
      </c>
      <c r="D171" s="65" t="s">
        <v>689</v>
      </c>
      <c r="E171" s="112" t="n">
        <v>45866</v>
      </c>
      <c r="F171" s="112" t="n">
        <v>46157</v>
      </c>
      <c r="G171" s="65" t="n">
        <v>5</v>
      </c>
      <c r="H171" s="65" t="s">
        <v>748</v>
      </c>
      <c r="I171" s="65" t="s">
        <v>619</v>
      </c>
      <c r="J171" s="65" t="s">
        <v>682</v>
      </c>
      <c r="K171" s="65" t="s">
        <v>55</v>
      </c>
      <c r="L171" s="65" t="s">
        <v>64</v>
      </c>
      <c r="M171" s="113" t="n">
        <v>1.499</v>
      </c>
      <c r="N171" s="114" t="n">
        <v>10000</v>
      </c>
      <c r="O171" s="114" t="n">
        <v>1400</v>
      </c>
      <c r="P171" s="114" t="n">
        <v>14990</v>
      </c>
      <c r="Q171" s="114" t="n">
        <v>6735.07</v>
      </c>
      <c r="R171" s="114" t="n">
        <v>8254.93</v>
      </c>
      <c r="S171" s="115" t="n">
        <v>0.449304202801868</v>
      </c>
      <c r="T171" s="65" t="n">
        <v>1.803</v>
      </c>
      <c r="U171" s="65" t="n">
        <v>47</v>
      </c>
      <c r="V171" s="65" t="n">
        <v>63523.89</v>
      </c>
      <c r="W171" s="115" t="n">
        <v>0.0896</v>
      </c>
      <c r="X171" s="112" t="n">
        <v>44609</v>
      </c>
      <c r="Y171" s="65" t="str">
        <f aca="false">IF(I171="","No SIC",IFERROR(VLOOKUP(I171,Ref!$A$2:$B$65,2,FALSE()),"Unclassified"))</f>
        <v>Miscellaneous Retail</v>
      </c>
      <c r="Z171" s="65" t="str">
        <f aca="false">IF(T171="","",IF(T171&lt;12,"Daily","Weekly"))</f>
        <v>Daily</v>
      </c>
      <c r="AA171" s="65" t="n">
        <f aca="false">IF(T171="",0,IF(T171&lt;12,T171*Controls!$B$29,T171*5))</f>
        <v>39.043965</v>
      </c>
      <c r="AB171" s="65" t="n">
        <f aca="false">IF(E171="",0,NETWORKDAYS(E171,Controls!$B$36,Ref!$K$2:$K$42))</f>
        <v>272</v>
      </c>
      <c r="AC171" s="65" t="n">
        <f aca="false">IF(AND(AA171&gt;0,AB171&gt;=Controls!$B$39*AA171),1,0)</f>
        <v>1</v>
      </c>
      <c r="AD171" s="65" t="n">
        <f aca="false">IF(AND(E171&lt;&gt;"",E171&gt;=Controls!$B$37,E171&lt;=Controls!$B$38),1,0)</f>
        <v>1</v>
      </c>
      <c r="AE171" s="65" t="n">
        <f aca="false">IF(IFERROR(VLOOKUP(D171,Controls!$A$64:$E$74,2,FALSE()),"No")="Yes",1,0)</f>
        <v>1</v>
      </c>
      <c r="AF171" s="65" t="n">
        <f aca="false">IF(IFERROR(VLOOKUP(D171,Controls!$A$64:$E$74,3,FALSE()),"No")="Yes",1,0)</f>
        <v>1</v>
      </c>
      <c r="AG171" s="65" t="n">
        <f aca="false">IF(IFERROR(VLOOKUP(D171,Controls!$A$64:$E$74,4,FALSE()),"No")="Yes",1,0)</f>
        <v>0</v>
      </c>
      <c r="AH171" s="65" t="n">
        <f aca="false">IF(IFERROR(VLOOKUP(D171,Controls!$A$64:$E$74,5,FALSE()),"No")="Yes",1,0)</f>
        <v>0</v>
      </c>
      <c r="AI171" s="65" t="n">
        <f aca="false">IF(ISNUMBER(MATCH(D171,Controls!$A$64:$A$74,0)),1,0)</f>
        <v>1</v>
      </c>
      <c r="AJ171" s="65" t="n">
        <f aca="false">Q171-N171</f>
        <v>-3264.93</v>
      </c>
      <c r="AK171" s="65" t="n">
        <f aca="false">IF(AE171=1,MAX(0,N171-Q171),0)</f>
        <v>3264.93</v>
      </c>
      <c r="AL171" s="65" t="n">
        <f aca="false">IF(OR(V171="",V171=0),0,N171/V171)</f>
        <v>0.157421089923807</v>
      </c>
      <c r="AM171" s="65" t="n">
        <f aca="false">IF(OR(V171="",V171=0),0,1)</f>
        <v>1</v>
      </c>
      <c r="AN171" s="65" t="n">
        <f aca="false">IF(OR(E171="",F171=""),0,NETWORKDAYS(E171,F171,Ref!$K$2:$K$42))</f>
        <v>202</v>
      </c>
      <c r="AO171" s="65" t="n">
        <f aca="false">IF(L171="Renewal",1,0)</f>
        <v>0</v>
      </c>
      <c r="AP171" s="65" t="n">
        <f aca="false">AC171*AD171</f>
        <v>1</v>
      </c>
      <c r="AQ171" s="65" t="n">
        <f aca="false">IF(AND(G171&lt;&gt;"",'Historical Score'!$C$6&lt;&gt;""),IF(G171='Historical Score'!$C$6,1,0),0)</f>
        <v>0</v>
      </c>
      <c r="AR171" s="65" t="n">
        <f aca="false">IF(AND(L171&lt;&gt;"",'Historical Score'!$C$5&lt;&gt;""),IF(L171='Historical Score'!$C$5,1,0),0)</f>
        <v>1</v>
      </c>
      <c r="AS171" s="65" t="n">
        <f aca="false">IF(AND(Y171&lt;&gt;"",'Historical Score'!$C$7&lt;&gt;""),IF(Y171='Historical Score'!$C$7,1,0),0)</f>
        <v>0</v>
      </c>
      <c r="AT171" s="65" t="n">
        <f aca="false">IF(AND(K171&lt;&gt;"",'Historical Score'!$C$8&lt;&gt;""),IF(K171='Historical Score'!$C$8,1,0),0)</f>
        <v>1</v>
      </c>
      <c r="AU171" s="65" t="n">
        <f aca="false">IF(AND(J171&lt;&gt;"",'Historical Score'!$C$9&lt;&gt;""),IF(J171='Historical Score'!$C$9,1,0),0)</f>
        <v>0</v>
      </c>
      <c r="AV171" s="65" t="n">
        <f aca="false">AR171*AS171*AQ171</f>
        <v>0</v>
      </c>
      <c r="AW171" s="65" t="n">
        <f aca="false">AR171*AT171*AQ171</f>
        <v>0</v>
      </c>
      <c r="AX171" s="65" t="n">
        <f aca="false">AR171*AS171</f>
        <v>0</v>
      </c>
      <c r="AY171" s="65" t="n">
        <f aca="false">AR171*AT171</f>
        <v>1</v>
      </c>
      <c r="AZ171" s="65" t="n">
        <f aca="false">AR171*AQ171</f>
        <v>0</v>
      </c>
      <c r="BA171" s="65" t="n">
        <f aca="false">AR171</f>
        <v>1</v>
      </c>
      <c r="BB171" s="65" t="n">
        <f aca="false">1</f>
        <v>1</v>
      </c>
      <c r="BC171" s="65" t="n">
        <f aca="false">IF(AV171=1,1,IF(AW171=1,2,IF(AX171=1,3,IF(AY171=1,4,IF(AZ171=1,5,IF(BA171=1,6,7))))))</f>
        <v>4</v>
      </c>
      <c r="BD171" s="65" t="n">
        <f aca="false">IF(AD171=1,CHOOSE('Historical Score'!$C$29,AV171,AW171,AX171,AY171,AZ171,BA171,BB171),0)</f>
        <v>0</v>
      </c>
      <c r="BE171" s="65" t="str">
        <f aca="false">IF(BD171=1,COUNTIF($BD$2:BD171,1),"")</f>
        <v/>
      </c>
    </row>
    <row r="172" customFormat="false" ht="15" hidden="false" customHeight="false" outlineLevel="0" collapsed="false">
      <c r="A172" s="65" t="s">
        <v>956</v>
      </c>
      <c r="B172" s="65" t="s">
        <v>957</v>
      </c>
      <c r="C172" s="65" t="s">
        <v>958</v>
      </c>
      <c r="D172" s="65" t="s">
        <v>959</v>
      </c>
      <c r="E172" s="112" t="n">
        <v>45866</v>
      </c>
      <c r="F172" s="112" t="n">
        <v>46164</v>
      </c>
      <c r="G172" s="65" t="n">
        <v>2</v>
      </c>
      <c r="H172" s="65" t="s">
        <v>960</v>
      </c>
      <c r="I172" s="65" t="s">
        <v>619</v>
      </c>
      <c r="J172" s="65" t="s">
        <v>343</v>
      </c>
      <c r="K172" s="65" t="s">
        <v>961</v>
      </c>
      <c r="L172" s="65" t="s">
        <v>64</v>
      </c>
      <c r="M172" s="113" t="n">
        <v>1.4</v>
      </c>
      <c r="N172" s="114" t="n">
        <v>40000</v>
      </c>
      <c r="O172" s="114" t="n">
        <v>5200</v>
      </c>
      <c r="P172" s="114" t="n">
        <v>56000</v>
      </c>
      <c r="Q172" s="114" t="n">
        <v>28892.36</v>
      </c>
      <c r="R172" s="114" t="n">
        <v>27107.64</v>
      </c>
      <c r="S172" s="115" t="n">
        <v>0.515935</v>
      </c>
      <c r="T172" s="65" t="n">
        <v>44</v>
      </c>
      <c r="U172" s="65" t="n">
        <v>3</v>
      </c>
      <c r="V172" s="65" t="n">
        <v>67381.4</v>
      </c>
      <c r="W172" s="115" t="n">
        <v>0.0756</v>
      </c>
      <c r="X172" s="112" t="n">
        <v>44479</v>
      </c>
      <c r="Y172" s="65" t="str">
        <f aca="false">IF(I172="","No SIC",IFERROR(VLOOKUP(I172,Ref!$A$2:$B$65,2,FALSE()),"Unclassified"))</f>
        <v>Miscellaneous Retail</v>
      </c>
      <c r="Z172" s="65" t="str">
        <f aca="false">IF(T172="","",IF(T172&lt;12,"Daily","Weekly"))</f>
        <v>Weekly</v>
      </c>
      <c r="AA172" s="65" t="n">
        <f aca="false">IF(T172="",0,IF(T172&lt;12,T172*Controls!$B$29,T172*5))</f>
        <v>220</v>
      </c>
      <c r="AB172" s="65" t="n">
        <f aca="false">IF(E172="",0,NETWORKDAYS(E172,Controls!$B$36,Ref!$K$2:$K$42))</f>
        <v>272</v>
      </c>
      <c r="AC172" s="65" t="n">
        <f aca="false">IF(AND(AA172&gt;0,AB172&gt;=Controls!$B$39*AA172),1,0)</f>
        <v>0</v>
      </c>
      <c r="AD172" s="65" t="n">
        <f aca="false">IF(AND(E172&lt;&gt;"",E172&gt;=Controls!$B$37,E172&lt;=Controls!$B$38),1,0)</f>
        <v>1</v>
      </c>
      <c r="AE172" s="65" t="n">
        <f aca="false">IF(IFERROR(VLOOKUP(D172,Controls!$A$64:$E$74,2,FALSE()),"No")="Yes",1,0)</f>
        <v>0</v>
      </c>
      <c r="AF172" s="65" t="n">
        <f aca="false">IF(IFERROR(VLOOKUP(D172,Controls!$A$64:$E$74,3,FALSE()),"No")="Yes",1,0)</f>
        <v>0</v>
      </c>
      <c r="AG172" s="65" t="n">
        <f aca="false">IF(IFERROR(VLOOKUP(D172,Controls!$A$64:$E$74,4,FALSE()),"No")="Yes",1,0)</f>
        <v>0</v>
      </c>
      <c r="AH172" s="65" t="n">
        <f aca="false">IF(IFERROR(VLOOKUP(D172,Controls!$A$64:$E$74,5,FALSE()),"No")="Yes",1,0)</f>
        <v>0</v>
      </c>
      <c r="AI172" s="65" t="n">
        <f aca="false">IF(ISNUMBER(MATCH(D172,Controls!$A$64:$A$74,0)),1,0)</f>
        <v>1</v>
      </c>
      <c r="AJ172" s="65" t="n">
        <f aca="false">Q172-N172</f>
        <v>-11107.64</v>
      </c>
      <c r="AK172" s="65" t="n">
        <f aca="false">IF(AE172=1,MAX(0,N172-Q172),0)</f>
        <v>0</v>
      </c>
      <c r="AL172" s="65" t="n">
        <f aca="false">IF(OR(V172="",V172=0),0,N172/V172)</f>
        <v>0.593635632385198</v>
      </c>
      <c r="AM172" s="65" t="n">
        <f aca="false">IF(OR(V172="",V172=0),0,1)</f>
        <v>1</v>
      </c>
      <c r="AN172" s="65" t="n">
        <f aca="false">IF(OR(E172="",F172=""),0,NETWORKDAYS(E172,F172,Ref!$K$2:$K$42))</f>
        <v>207</v>
      </c>
      <c r="AO172" s="65" t="n">
        <f aca="false">IF(L172="Renewal",1,0)</f>
        <v>0</v>
      </c>
      <c r="AP172" s="65" t="n">
        <f aca="false">AC172*AD172</f>
        <v>0</v>
      </c>
      <c r="AQ172" s="65" t="n">
        <f aca="false">IF(AND(G172&lt;&gt;"",'Historical Score'!$C$6&lt;&gt;""),IF(G172='Historical Score'!$C$6,1,0),0)</f>
        <v>1</v>
      </c>
      <c r="AR172" s="65" t="n">
        <f aca="false">IF(AND(L172&lt;&gt;"",'Historical Score'!$C$5&lt;&gt;""),IF(L172='Historical Score'!$C$5,1,0),0)</f>
        <v>1</v>
      </c>
      <c r="AS172" s="65" t="n">
        <f aca="false">IF(AND(Y172&lt;&gt;"",'Historical Score'!$C$7&lt;&gt;""),IF(Y172='Historical Score'!$C$7,1,0),0)</f>
        <v>0</v>
      </c>
      <c r="AT172" s="65" t="n">
        <f aca="false">IF(AND(K172&lt;&gt;"",'Historical Score'!$C$8&lt;&gt;""),IF(K172='Historical Score'!$C$8,1,0),0)</f>
        <v>0</v>
      </c>
      <c r="AU172" s="65" t="n">
        <f aca="false">IF(AND(J172&lt;&gt;"",'Historical Score'!$C$9&lt;&gt;""),IF(J172='Historical Score'!$C$9,1,0),0)</f>
        <v>0</v>
      </c>
      <c r="AV172" s="65" t="n">
        <f aca="false">AR172*AS172*AQ172</f>
        <v>0</v>
      </c>
      <c r="AW172" s="65" t="n">
        <f aca="false">AR172*AT172*AQ172</f>
        <v>0</v>
      </c>
      <c r="AX172" s="65" t="n">
        <f aca="false">AR172*AS172</f>
        <v>0</v>
      </c>
      <c r="AY172" s="65" t="n">
        <f aca="false">AR172*AT172</f>
        <v>0</v>
      </c>
      <c r="AZ172" s="65" t="n">
        <f aca="false">AR172*AQ172</f>
        <v>1</v>
      </c>
      <c r="BA172" s="65" t="n">
        <f aca="false">AR172</f>
        <v>1</v>
      </c>
      <c r="BB172" s="65" t="n">
        <f aca="false">1</f>
        <v>1</v>
      </c>
      <c r="BC172" s="65" t="n">
        <f aca="false">IF(AV172=1,1,IF(AW172=1,2,IF(AX172=1,3,IF(AY172=1,4,IF(AZ172=1,5,IF(BA172=1,6,7))))))</f>
        <v>5</v>
      </c>
      <c r="BD172" s="65" t="n">
        <f aca="false">IF(AD172=1,CHOOSE('Historical Score'!$C$29,AV172,AW172,AX172,AY172,AZ172,BA172,BB172),0)</f>
        <v>0</v>
      </c>
      <c r="BE172" s="65" t="str">
        <f aca="false">IF(BD172=1,COUNTIF($BD$2:BD172,1),"")</f>
        <v/>
      </c>
    </row>
    <row r="173" customFormat="false" ht="15" hidden="false" customHeight="false" outlineLevel="0" collapsed="false">
      <c r="A173" s="65" t="s">
        <v>962</v>
      </c>
      <c r="B173" s="65" t="s">
        <v>780</v>
      </c>
      <c r="C173" s="65" t="s">
        <v>780</v>
      </c>
      <c r="D173" s="65" t="s">
        <v>371</v>
      </c>
      <c r="E173" s="112" t="n">
        <v>45867</v>
      </c>
      <c r="F173" s="112" t="n">
        <v>45944</v>
      </c>
      <c r="G173" s="65" t="n">
        <v>3</v>
      </c>
      <c r="H173" s="65" t="s">
        <v>748</v>
      </c>
      <c r="I173" s="65" t="s">
        <v>619</v>
      </c>
      <c r="J173" s="65" t="s">
        <v>464</v>
      </c>
      <c r="K173" s="65" t="s">
        <v>581</v>
      </c>
      <c r="L173" s="65" t="s">
        <v>320</v>
      </c>
      <c r="M173" s="113" t="n">
        <v>1.499</v>
      </c>
      <c r="N173" s="114" t="n">
        <v>20000</v>
      </c>
      <c r="O173" s="114" t="n">
        <v>2800</v>
      </c>
      <c r="P173" s="114" t="n">
        <v>29980</v>
      </c>
      <c r="Q173" s="114" t="n">
        <v>29980</v>
      </c>
      <c r="R173" s="114" t="n">
        <v>3.63797880709171E-012</v>
      </c>
      <c r="S173" s="115" t="n">
        <v>1</v>
      </c>
      <c r="T173" s="65" t="n">
        <v>3.279</v>
      </c>
      <c r="U173" s="65" t="n">
        <v>9</v>
      </c>
      <c r="V173" s="65" t="n">
        <v>109868.79</v>
      </c>
      <c r="W173" s="115" t="n">
        <v>0.057</v>
      </c>
      <c r="X173" s="112" t="n">
        <v>43891</v>
      </c>
      <c r="Y173" s="65" t="str">
        <f aca="false">IF(I173="","No SIC",IFERROR(VLOOKUP(I173,Ref!$A$2:$B$65,2,FALSE()),"Unclassified"))</f>
        <v>Miscellaneous Retail</v>
      </c>
      <c r="Z173" s="65" t="str">
        <f aca="false">IF(T173="","",IF(T173&lt;12,"Daily","Weekly"))</f>
        <v>Daily</v>
      </c>
      <c r="AA173" s="65" t="n">
        <f aca="false">IF(T173="",0,IF(T173&lt;12,T173*Controls!$B$29,T173*5))</f>
        <v>71.006745</v>
      </c>
      <c r="AB173" s="65" t="n">
        <f aca="false">IF(E173="",0,NETWORKDAYS(E173,Controls!$B$36,Ref!$K$2:$K$42))</f>
        <v>271</v>
      </c>
      <c r="AC173" s="65" t="n">
        <f aca="false">IF(AND(AA173&gt;0,AB173&gt;=Controls!$B$39*AA173),1,0)</f>
        <v>1</v>
      </c>
      <c r="AD173" s="65" t="n">
        <f aca="false">IF(AND(E173&lt;&gt;"",E173&gt;=Controls!$B$37,E173&lt;=Controls!$B$38),1,0)</f>
        <v>1</v>
      </c>
      <c r="AE173" s="65" t="n">
        <f aca="false">IF(IFERROR(VLOOKUP(D173,Controls!$A$64:$E$74,2,FALSE()),"No")="Yes",1,0)</f>
        <v>0</v>
      </c>
      <c r="AF173" s="65" t="n">
        <f aca="false">IF(IFERROR(VLOOKUP(D173,Controls!$A$64:$E$74,3,FALSE()),"No")="Yes",1,0)</f>
        <v>1</v>
      </c>
      <c r="AG173" s="65" t="n">
        <f aca="false">IF(IFERROR(VLOOKUP(D173,Controls!$A$64:$E$74,4,FALSE()),"No")="Yes",1,0)</f>
        <v>1</v>
      </c>
      <c r="AH173" s="65" t="n">
        <f aca="false">IF(IFERROR(VLOOKUP(D173,Controls!$A$64:$E$74,5,FALSE()),"No")="Yes",1,0)</f>
        <v>0</v>
      </c>
      <c r="AI173" s="65" t="n">
        <f aca="false">IF(ISNUMBER(MATCH(D173,Controls!$A$64:$A$74,0)),1,0)</f>
        <v>1</v>
      </c>
      <c r="AJ173" s="65" t="n">
        <f aca="false">Q173-N173</f>
        <v>9980</v>
      </c>
      <c r="AK173" s="65" t="n">
        <f aca="false">IF(AE173=1,MAX(0,N173-Q173),0)</f>
        <v>0</v>
      </c>
      <c r="AL173" s="65" t="n">
        <f aca="false">IF(OR(V173="",V173=0),0,N173/V173)</f>
        <v>0.182035316853858</v>
      </c>
      <c r="AM173" s="65" t="n">
        <f aca="false">IF(OR(V173="",V173=0),0,1)</f>
        <v>1</v>
      </c>
      <c r="AN173" s="65" t="n">
        <f aca="false">IF(OR(E173="",F173=""),0,NETWORKDAYS(E173,F173,Ref!$K$2:$K$42))</f>
        <v>54</v>
      </c>
      <c r="AO173" s="65" t="n">
        <f aca="false">IF(L173="Renewal",1,0)</f>
        <v>1</v>
      </c>
      <c r="AP173" s="65" t="n">
        <f aca="false">AC173*AD173</f>
        <v>1</v>
      </c>
      <c r="AQ173" s="65" t="n">
        <f aca="false">IF(AND(G173&lt;&gt;"",'Historical Score'!$C$6&lt;&gt;""),IF(G173='Historical Score'!$C$6,1,0),0)</f>
        <v>0</v>
      </c>
      <c r="AR173" s="65" t="n">
        <f aca="false">IF(AND(L173&lt;&gt;"",'Historical Score'!$C$5&lt;&gt;""),IF(L173='Historical Score'!$C$5,1,0),0)</f>
        <v>0</v>
      </c>
      <c r="AS173" s="65" t="n">
        <f aca="false">IF(AND(Y173&lt;&gt;"",'Historical Score'!$C$7&lt;&gt;""),IF(Y173='Historical Score'!$C$7,1,0),0)</f>
        <v>0</v>
      </c>
      <c r="AT173" s="65" t="n">
        <f aca="false">IF(AND(K173&lt;&gt;"",'Historical Score'!$C$8&lt;&gt;""),IF(K173='Historical Score'!$C$8,1,0),0)</f>
        <v>0</v>
      </c>
      <c r="AU173" s="65" t="n">
        <f aca="false">IF(AND(J173&lt;&gt;"",'Historical Score'!$C$9&lt;&gt;""),IF(J173='Historical Score'!$C$9,1,0),0)</f>
        <v>0</v>
      </c>
      <c r="AV173" s="65" t="n">
        <f aca="false">AR173*AS173*AQ173</f>
        <v>0</v>
      </c>
      <c r="AW173" s="65" t="n">
        <f aca="false">AR173*AT173*AQ173</f>
        <v>0</v>
      </c>
      <c r="AX173" s="65" t="n">
        <f aca="false">AR173*AS173</f>
        <v>0</v>
      </c>
      <c r="AY173" s="65" t="n">
        <f aca="false">AR173*AT173</f>
        <v>0</v>
      </c>
      <c r="AZ173" s="65" t="n">
        <f aca="false">AR173*AQ173</f>
        <v>0</v>
      </c>
      <c r="BA173" s="65" t="n">
        <f aca="false">AR173</f>
        <v>0</v>
      </c>
      <c r="BB173" s="65" t="n">
        <f aca="false">1</f>
        <v>1</v>
      </c>
      <c r="BC173" s="65" t="n">
        <f aca="false">IF(AV173=1,1,IF(AW173=1,2,IF(AX173=1,3,IF(AY173=1,4,IF(AZ173=1,5,IF(BA173=1,6,7))))))</f>
        <v>7</v>
      </c>
      <c r="BD173" s="65" t="n">
        <f aca="false">IF(AD173=1,CHOOSE('Historical Score'!$C$29,AV173,AW173,AX173,AY173,AZ173,BA173,BB173),0)</f>
        <v>0</v>
      </c>
      <c r="BE173" s="65" t="str">
        <f aca="false">IF(BD173=1,COUNTIF($BD$2:BD173,1),"")</f>
        <v/>
      </c>
    </row>
    <row r="174" customFormat="false" ht="15" hidden="false" customHeight="false" outlineLevel="0" collapsed="false">
      <c r="A174" s="65" t="s">
        <v>963</v>
      </c>
      <c r="B174" s="65" t="s">
        <v>964</v>
      </c>
      <c r="C174" s="65" t="s">
        <v>964</v>
      </c>
      <c r="D174" s="65" t="s">
        <v>340</v>
      </c>
      <c r="E174" s="112" t="n">
        <v>45867</v>
      </c>
      <c r="F174" s="112" t="n">
        <v>45889</v>
      </c>
      <c r="G174" s="65" t="n">
        <v>2</v>
      </c>
      <c r="H174" s="65" t="s">
        <v>965</v>
      </c>
      <c r="I174" s="65" t="s">
        <v>437</v>
      </c>
      <c r="J174" s="65" t="s">
        <v>380</v>
      </c>
      <c r="K174" s="65" t="s">
        <v>501</v>
      </c>
      <c r="L174" s="65" t="s">
        <v>64</v>
      </c>
      <c r="M174" s="113" t="n">
        <v>1.499</v>
      </c>
      <c r="N174" s="114" t="n">
        <v>7000</v>
      </c>
      <c r="O174" s="114" t="n">
        <v>980</v>
      </c>
      <c r="P174" s="114" t="n">
        <v>10493</v>
      </c>
      <c r="Q174" s="114" t="n">
        <v>1618.98</v>
      </c>
      <c r="R174" s="114" t="n">
        <v>8874.02</v>
      </c>
      <c r="S174" s="115" t="n">
        <v>0.154291432383494</v>
      </c>
      <c r="T174" s="65" t="n">
        <v>2.295</v>
      </c>
      <c r="U174" s="65" t="n">
        <v>5</v>
      </c>
      <c r="V174" s="65" t="n">
        <v>23702.33</v>
      </c>
      <c r="W174" s="115" t="n">
        <v>0.1304</v>
      </c>
      <c r="X174" s="112" t="n">
        <v>43956</v>
      </c>
      <c r="Y174" s="65" t="str">
        <f aca="false">IF(I174="","No SIC",IFERROR(VLOOKUP(I174,Ref!$A$2:$B$65,2,FALSE()),"Unclassified"))</f>
        <v>Social Services</v>
      </c>
      <c r="Z174" s="65" t="str">
        <f aca="false">IF(T174="","",IF(T174&lt;12,"Daily","Weekly"))</f>
        <v>Daily</v>
      </c>
      <c r="AA174" s="65" t="n">
        <f aca="false">IF(T174="",0,IF(T174&lt;12,T174*Controls!$B$29,T174*5))</f>
        <v>49.698225</v>
      </c>
      <c r="AB174" s="65" t="n">
        <f aca="false">IF(E174="",0,NETWORKDAYS(E174,Controls!$B$36,Ref!$K$2:$K$42))</f>
        <v>271</v>
      </c>
      <c r="AC174" s="65" t="n">
        <f aca="false">IF(AND(AA174&gt;0,AB174&gt;=Controls!$B$39*AA174),1,0)</f>
        <v>1</v>
      </c>
      <c r="AD174" s="65" t="n">
        <f aca="false">IF(AND(E174&lt;&gt;"",E174&gt;=Controls!$B$37,E174&lt;=Controls!$B$38),1,0)</f>
        <v>1</v>
      </c>
      <c r="AE174" s="65" t="n">
        <f aca="false">IF(IFERROR(VLOOKUP(D174,Controls!$A$64:$E$74,2,FALSE()),"No")="Yes",1,0)</f>
        <v>1</v>
      </c>
      <c r="AF174" s="65" t="n">
        <f aca="false">IF(IFERROR(VLOOKUP(D174,Controls!$A$64:$E$74,3,FALSE()),"No")="Yes",1,0)</f>
        <v>0</v>
      </c>
      <c r="AG174" s="65" t="n">
        <f aca="false">IF(IFERROR(VLOOKUP(D174,Controls!$A$64:$E$74,4,FALSE()),"No")="Yes",1,0)</f>
        <v>0</v>
      </c>
      <c r="AH174" s="65" t="n">
        <f aca="false">IF(IFERROR(VLOOKUP(D174,Controls!$A$64:$E$74,5,FALSE()),"No")="Yes",1,0)</f>
        <v>0</v>
      </c>
      <c r="AI174" s="65" t="n">
        <f aca="false">IF(ISNUMBER(MATCH(D174,Controls!$A$64:$A$74,0)),1,0)</f>
        <v>1</v>
      </c>
      <c r="AJ174" s="65" t="n">
        <f aca="false">Q174-N174</f>
        <v>-5381.02</v>
      </c>
      <c r="AK174" s="65" t="n">
        <f aca="false">IF(AE174=1,MAX(0,N174-Q174),0)</f>
        <v>5381.02</v>
      </c>
      <c r="AL174" s="65" t="n">
        <f aca="false">IF(OR(V174="",V174=0),0,N174/V174)</f>
        <v>0.29532961527411</v>
      </c>
      <c r="AM174" s="65" t="n">
        <f aca="false">IF(OR(V174="",V174=0),0,1)</f>
        <v>1</v>
      </c>
      <c r="AN174" s="65" t="n">
        <f aca="false">IF(OR(E174="",F174=""),0,NETWORKDAYS(E174,F174,Ref!$K$2:$K$42))</f>
        <v>17</v>
      </c>
      <c r="AO174" s="65" t="n">
        <f aca="false">IF(L174="Renewal",1,0)</f>
        <v>0</v>
      </c>
      <c r="AP174" s="65" t="n">
        <f aca="false">AC174*AD174</f>
        <v>1</v>
      </c>
      <c r="AQ174" s="65" t="n">
        <f aca="false">IF(AND(G174&lt;&gt;"",'Historical Score'!$C$6&lt;&gt;""),IF(G174='Historical Score'!$C$6,1,0),0)</f>
        <v>1</v>
      </c>
      <c r="AR174" s="65" t="n">
        <f aca="false">IF(AND(L174&lt;&gt;"",'Historical Score'!$C$5&lt;&gt;""),IF(L174='Historical Score'!$C$5,1,0),0)</f>
        <v>1</v>
      </c>
      <c r="AS174" s="65" t="n">
        <f aca="false">IF(AND(Y174&lt;&gt;"",'Historical Score'!$C$7&lt;&gt;""),IF(Y174='Historical Score'!$C$7,1,0),0)</f>
        <v>0</v>
      </c>
      <c r="AT174" s="65" t="n">
        <f aca="false">IF(AND(K174&lt;&gt;"",'Historical Score'!$C$8&lt;&gt;""),IF(K174='Historical Score'!$C$8,1,0),0)</f>
        <v>0</v>
      </c>
      <c r="AU174" s="65" t="n">
        <f aca="false">IF(AND(J174&lt;&gt;"",'Historical Score'!$C$9&lt;&gt;""),IF(J174='Historical Score'!$C$9,1,0),0)</f>
        <v>0</v>
      </c>
      <c r="AV174" s="65" t="n">
        <f aca="false">AR174*AS174*AQ174</f>
        <v>0</v>
      </c>
      <c r="AW174" s="65" t="n">
        <f aca="false">AR174*AT174*AQ174</f>
        <v>0</v>
      </c>
      <c r="AX174" s="65" t="n">
        <f aca="false">AR174*AS174</f>
        <v>0</v>
      </c>
      <c r="AY174" s="65" t="n">
        <f aca="false">AR174*AT174</f>
        <v>0</v>
      </c>
      <c r="AZ174" s="65" t="n">
        <f aca="false">AR174*AQ174</f>
        <v>1</v>
      </c>
      <c r="BA174" s="65" t="n">
        <f aca="false">AR174</f>
        <v>1</v>
      </c>
      <c r="BB174" s="65" t="n">
        <f aca="false">1</f>
        <v>1</v>
      </c>
      <c r="BC174" s="65" t="n">
        <f aca="false">IF(AV174=1,1,IF(AW174=1,2,IF(AX174=1,3,IF(AY174=1,4,IF(AZ174=1,5,IF(BA174=1,6,7))))))</f>
        <v>5</v>
      </c>
      <c r="BD174" s="65" t="n">
        <f aca="false">IF(AD174=1,CHOOSE('Historical Score'!$C$29,AV174,AW174,AX174,AY174,AZ174,BA174,BB174),0)</f>
        <v>0</v>
      </c>
      <c r="BE174" s="65" t="str">
        <f aca="false">IF(BD174=1,COUNTIF($BD$2:BD174,1),"")</f>
        <v/>
      </c>
    </row>
    <row r="175" customFormat="false" ht="15" hidden="false" customHeight="false" outlineLevel="0" collapsed="false">
      <c r="A175" s="65" t="s">
        <v>966</v>
      </c>
      <c r="B175" s="65" t="s">
        <v>967</v>
      </c>
      <c r="C175" s="65" t="s">
        <v>968</v>
      </c>
      <c r="D175" s="65" t="s">
        <v>371</v>
      </c>
      <c r="E175" s="112" t="n">
        <v>45867</v>
      </c>
      <c r="F175" s="112" t="n">
        <v>45987</v>
      </c>
      <c r="G175" s="65" t="n">
        <v>4</v>
      </c>
      <c r="H175" s="65" t="s">
        <v>969</v>
      </c>
      <c r="I175" s="65" t="s">
        <v>970</v>
      </c>
      <c r="J175" s="65" t="s">
        <v>452</v>
      </c>
      <c r="K175" s="65" t="s">
        <v>433</v>
      </c>
      <c r="L175" s="65" t="s">
        <v>64</v>
      </c>
      <c r="M175" s="113" t="n">
        <v>1.39</v>
      </c>
      <c r="N175" s="114" t="n">
        <v>20000</v>
      </c>
      <c r="O175" s="114" t="n">
        <v>1800</v>
      </c>
      <c r="P175" s="114" t="n">
        <v>27800</v>
      </c>
      <c r="Q175" s="114" t="n">
        <v>27800</v>
      </c>
      <c r="R175" s="114" t="n">
        <v>-3.63797880709171E-012</v>
      </c>
      <c r="S175" s="115" t="n">
        <v>1</v>
      </c>
      <c r="T175" s="65" t="n">
        <v>4.918</v>
      </c>
      <c r="U175" s="65" t="n">
        <v>0</v>
      </c>
      <c r="V175" s="65" t="n">
        <v>57649.78</v>
      </c>
      <c r="W175" s="115" t="n">
        <v>0.0675</v>
      </c>
      <c r="X175" s="112" t="n">
        <v>43844</v>
      </c>
      <c r="Y175" s="65" t="str">
        <f aca="false">IF(I175="","No SIC",IFERROR(VLOOKUP(I175,Ref!$A$2:$B$65,2,FALSE()),"Unclassified"))</f>
        <v>Industrial Machinery &amp; Equipment</v>
      </c>
      <c r="Z175" s="65" t="str">
        <f aca="false">IF(T175="","",IF(T175&lt;12,"Daily","Weekly"))</f>
        <v>Daily</v>
      </c>
      <c r="AA175" s="65" t="n">
        <f aca="false">IF(T175="",0,IF(T175&lt;12,T175*Controls!$B$29,T175*5))</f>
        <v>106.49929</v>
      </c>
      <c r="AB175" s="65" t="n">
        <f aca="false">IF(E175="",0,NETWORKDAYS(E175,Controls!$B$36,Ref!$K$2:$K$42))</f>
        <v>271</v>
      </c>
      <c r="AC175" s="65" t="n">
        <f aca="false">IF(AND(AA175&gt;0,AB175&gt;=Controls!$B$39*AA175),1,0)</f>
        <v>1</v>
      </c>
      <c r="AD175" s="65" t="n">
        <f aca="false">IF(AND(E175&lt;&gt;"",E175&gt;=Controls!$B$37,E175&lt;=Controls!$B$38),1,0)</f>
        <v>1</v>
      </c>
      <c r="AE175" s="65" t="n">
        <f aca="false">IF(IFERROR(VLOOKUP(D175,Controls!$A$64:$E$74,2,FALSE()),"No")="Yes",1,0)</f>
        <v>0</v>
      </c>
      <c r="AF175" s="65" t="n">
        <f aca="false">IF(IFERROR(VLOOKUP(D175,Controls!$A$64:$E$74,3,FALSE()),"No")="Yes",1,0)</f>
        <v>1</v>
      </c>
      <c r="AG175" s="65" t="n">
        <f aca="false">IF(IFERROR(VLOOKUP(D175,Controls!$A$64:$E$74,4,FALSE()),"No")="Yes",1,0)</f>
        <v>1</v>
      </c>
      <c r="AH175" s="65" t="n">
        <f aca="false">IF(IFERROR(VLOOKUP(D175,Controls!$A$64:$E$74,5,FALSE()),"No")="Yes",1,0)</f>
        <v>0</v>
      </c>
      <c r="AI175" s="65" t="n">
        <f aca="false">IF(ISNUMBER(MATCH(D175,Controls!$A$64:$A$74,0)),1,0)</f>
        <v>1</v>
      </c>
      <c r="AJ175" s="65" t="n">
        <f aca="false">Q175-N175</f>
        <v>7800</v>
      </c>
      <c r="AK175" s="65" t="n">
        <f aca="false">IF(AE175=1,MAX(0,N175-Q175),0)</f>
        <v>0</v>
      </c>
      <c r="AL175" s="65" t="n">
        <f aca="false">IF(OR(V175="",V175=0),0,N175/V175)</f>
        <v>0.346922399356945</v>
      </c>
      <c r="AM175" s="65" t="n">
        <f aca="false">IF(OR(V175="",V175=0),0,1)</f>
        <v>1</v>
      </c>
      <c r="AN175" s="65" t="n">
        <f aca="false">IF(OR(E175="",F175=""),0,NETWORKDAYS(E175,F175,Ref!$K$2:$K$42))</f>
        <v>84</v>
      </c>
      <c r="AO175" s="65" t="n">
        <f aca="false">IF(L175="Renewal",1,0)</f>
        <v>0</v>
      </c>
      <c r="AP175" s="65" t="n">
        <f aca="false">AC175*AD175</f>
        <v>1</v>
      </c>
      <c r="AQ175" s="65" t="n">
        <f aca="false">IF(AND(G175&lt;&gt;"",'Historical Score'!$C$6&lt;&gt;""),IF(G175='Historical Score'!$C$6,1,0),0)</f>
        <v>0</v>
      </c>
      <c r="AR175" s="65" t="n">
        <f aca="false">IF(AND(L175&lt;&gt;"",'Historical Score'!$C$5&lt;&gt;""),IF(L175='Historical Score'!$C$5,1,0),0)</f>
        <v>1</v>
      </c>
      <c r="AS175" s="65" t="n">
        <f aca="false">IF(AND(Y175&lt;&gt;"",'Historical Score'!$C$7&lt;&gt;""),IF(Y175='Historical Score'!$C$7,1,0),0)</f>
        <v>0</v>
      </c>
      <c r="AT175" s="65" t="n">
        <f aca="false">IF(AND(K175&lt;&gt;"",'Historical Score'!$C$8&lt;&gt;""),IF(K175='Historical Score'!$C$8,1,0),0)</f>
        <v>0</v>
      </c>
      <c r="AU175" s="65" t="n">
        <f aca="false">IF(AND(J175&lt;&gt;"",'Historical Score'!$C$9&lt;&gt;""),IF(J175='Historical Score'!$C$9,1,0),0)</f>
        <v>0</v>
      </c>
      <c r="AV175" s="65" t="n">
        <f aca="false">AR175*AS175*AQ175</f>
        <v>0</v>
      </c>
      <c r="AW175" s="65" t="n">
        <f aca="false">AR175*AT175*AQ175</f>
        <v>0</v>
      </c>
      <c r="AX175" s="65" t="n">
        <f aca="false">AR175*AS175</f>
        <v>0</v>
      </c>
      <c r="AY175" s="65" t="n">
        <f aca="false">AR175*AT175</f>
        <v>0</v>
      </c>
      <c r="AZ175" s="65" t="n">
        <f aca="false">AR175*AQ175</f>
        <v>0</v>
      </c>
      <c r="BA175" s="65" t="n">
        <f aca="false">AR175</f>
        <v>1</v>
      </c>
      <c r="BB175" s="65" t="n">
        <f aca="false">1</f>
        <v>1</v>
      </c>
      <c r="BC175" s="65" t="n">
        <f aca="false">IF(AV175=1,1,IF(AW175=1,2,IF(AX175=1,3,IF(AY175=1,4,IF(AZ175=1,5,IF(BA175=1,6,7))))))</f>
        <v>6</v>
      </c>
      <c r="BD175" s="65" t="n">
        <f aca="false">IF(AD175=1,CHOOSE('Historical Score'!$C$29,AV175,AW175,AX175,AY175,AZ175,BA175,BB175),0)</f>
        <v>0</v>
      </c>
      <c r="BE175" s="65" t="str">
        <f aca="false">IF(BD175=1,COUNTIF($BD$2:BD175,1),"")</f>
        <v/>
      </c>
    </row>
    <row r="176" customFormat="false" ht="15" hidden="false" customHeight="false" outlineLevel="0" collapsed="false">
      <c r="A176" s="65" t="s">
        <v>971</v>
      </c>
      <c r="B176" s="65" t="s">
        <v>972</v>
      </c>
      <c r="C176" s="65" t="s">
        <v>973</v>
      </c>
      <c r="D176" s="65" t="s">
        <v>371</v>
      </c>
      <c r="E176" s="112" t="n">
        <v>45868</v>
      </c>
      <c r="F176" s="112" t="n">
        <v>45954</v>
      </c>
      <c r="G176" s="65" t="n">
        <v>4</v>
      </c>
      <c r="H176" s="65" t="s">
        <v>442</v>
      </c>
      <c r="I176" s="65" t="s">
        <v>443</v>
      </c>
      <c r="J176" s="65" t="s">
        <v>452</v>
      </c>
      <c r="K176" s="65" t="s">
        <v>351</v>
      </c>
      <c r="L176" s="65" t="s">
        <v>64</v>
      </c>
      <c r="M176" s="113" t="n">
        <v>1.499</v>
      </c>
      <c r="N176" s="114" t="n">
        <v>8000</v>
      </c>
      <c r="O176" s="114" t="n">
        <v>1120</v>
      </c>
      <c r="P176" s="114" t="n">
        <v>11992</v>
      </c>
      <c r="Q176" s="114" t="n">
        <v>11992</v>
      </c>
      <c r="R176" s="114" t="n">
        <v>0</v>
      </c>
      <c r="S176" s="115" t="n">
        <v>1</v>
      </c>
      <c r="T176" s="65" t="n">
        <v>1.967</v>
      </c>
      <c r="U176" s="65" t="n">
        <v>0</v>
      </c>
      <c r="V176" s="65" t="n">
        <v>36010.88</v>
      </c>
      <c r="W176" s="115" t="n">
        <v>0.1159</v>
      </c>
      <c r="X176" s="112" t="n">
        <v>44690</v>
      </c>
      <c r="Y176" s="65" t="str">
        <f aca="false">IF(I176="","No SIC",IFERROR(VLOOKUP(I176,Ref!$A$2:$B$65,2,FALSE()),"Unclassified"))</f>
        <v>General Building Contractors</v>
      </c>
      <c r="Z176" s="65" t="str">
        <f aca="false">IF(T176="","",IF(T176&lt;12,"Daily","Weekly"))</f>
        <v>Daily</v>
      </c>
      <c r="AA176" s="65" t="n">
        <f aca="false">IF(T176="",0,IF(T176&lt;12,T176*Controls!$B$29,T176*5))</f>
        <v>42.595385</v>
      </c>
      <c r="AB176" s="65" t="n">
        <f aca="false">IF(E176="",0,NETWORKDAYS(E176,Controls!$B$36,Ref!$K$2:$K$42))</f>
        <v>270</v>
      </c>
      <c r="AC176" s="65" t="n">
        <f aca="false">IF(AND(AA176&gt;0,AB176&gt;=Controls!$B$39*AA176),1,0)</f>
        <v>1</v>
      </c>
      <c r="AD176" s="65" t="n">
        <f aca="false">IF(AND(E176&lt;&gt;"",E176&gt;=Controls!$B$37,E176&lt;=Controls!$B$38),1,0)</f>
        <v>1</v>
      </c>
      <c r="AE176" s="65" t="n">
        <f aca="false">IF(IFERROR(VLOOKUP(D176,Controls!$A$64:$E$74,2,FALSE()),"No")="Yes",1,0)</f>
        <v>0</v>
      </c>
      <c r="AF176" s="65" t="n">
        <f aca="false">IF(IFERROR(VLOOKUP(D176,Controls!$A$64:$E$74,3,FALSE()),"No")="Yes",1,0)</f>
        <v>1</v>
      </c>
      <c r="AG176" s="65" t="n">
        <f aca="false">IF(IFERROR(VLOOKUP(D176,Controls!$A$64:$E$74,4,FALSE()),"No")="Yes",1,0)</f>
        <v>1</v>
      </c>
      <c r="AH176" s="65" t="n">
        <f aca="false">IF(IFERROR(VLOOKUP(D176,Controls!$A$64:$E$74,5,FALSE()),"No")="Yes",1,0)</f>
        <v>0</v>
      </c>
      <c r="AI176" s="65" t="n">
        <f aca="false">IF(ISNUMBER(MATCH(D176,Controls!$A$64:$A$74,0)),1,0)</f>
        <v>1</v>
      </c>
      <c r="AJ176" s="65" t="n">
        <f aca="false">Q176-N176</f>
        <v>3992</v>
      </c>
      <c r="AK176" s="65" t="n">
        <f aca="false">IF(AE176=1,MAX(0,N176-Q176),0)</f>
        <v>0</v>
      </c>
      <c r="AL176" s="65" t="n">
        <f aca="false">IF(OR(V176="",V176=0),0,N176/V176)</f>
        <v>0.222155082019656</v>
      </c>
      <c r="AM176" s="65" t="n">
        <f aca="false">IF(OR(V176="",V176=0),0,1)</f>
        <v>1</v>
      </c>
      <c r="AN176" s="65" t="n">
        <f aca="false">IF(OR(E176="",F176=""),0,NETWORKDAYS(E176,F176,Ref!$K$2:$K$42))</f>
        <v>61</v>
      </c>
      <c r="AO176" s="65" t="n">
        <f aca="false">IF(L176="Renewal",1,0)</f>
        <v>0</v>
      </c>
      <c r="AP176" s="65" t="n">
        <f aca="false">AC176*AD176</f>
        <v>1</v>
      </c>
      <c r="AQ176" s="65" t="n">
        <f aca="false">IF(AND(G176&lt;&gt;"",'Historical Score'!$C$6&lt;&gt;""),IF(G176='Historical Score'!$C$6,1,0),0)</f>
        <v>0</v>
      </c>
      <c r="AR176" s="65" t="n">
        <f aca="false">IF(AND(L176&lt;&gt;"",'Historical Score'!$C$5&lt;&gt;""),IF(L176='Historical Score'!$C$5,1,0),0)</f>
        <v>1</v>
      </c>
      <c r="AS176" s="65" t="n">
        <f aca="false">IF(AND(Y176&lt;&gt;"",'Historical Score'!$C$7&lt;&gt;""),IF(Y176='Historical Score'!$C$7,1,0),0)</f>
        <v>1</v>
      </c>
      <c r="AT176" s="65" t="n">
        <f aca="false">IF(AND(K176&lt;&gt;"",'Historical Score'!$C$8&lt;&gt;""),IF(K176='Historical Score'!$C$8,1,0),0)</f>
        <v>0</v>
      </c>
      <c r="AU176" s="65" t="n">
        <f aca="false">IF(AND(J176&lt;&gt;"",'Historical Score'!$C$9&lt;&gt;""),IF(J176='Historical Score'!$C$9,1,0),0)</f>
        <v>0</v>
      </c>
      <c r="AV176" s="65" t="n">
        <f aca="false">AR176*AS176*AQ176</f>
        <v>0</v>
      </c>
      <c r="AW176" s="65" t="n">
        <f aca="false">AR176*AT176*AQ176</f>
        <v>0</v>
      </c>
      <c r="AX176" s="65" t="n">
        <f aca="false">AR176*AS176</f>
        <v>1</v>
      </c>
      <c r="AY176" s="65" t="n">
        <f aca="false">AR176*AT176</f>
        <v>0</v>
      </c>
      <c r="AZ176" s="65" t="n">
        <f aca="false">AR176*AQ176</f>
        <v>0</v>
      </c>
      <c r="BA176" s="65" t="n">
        <f aca="false">AR176</f>
        <v>1</v>
      </c>
      <c r="BB176" s="65" t="n">
        <f aca="false">1</f>
        <v>1</v>
      </c>
      <c r="BC176" s="65" t="n">
        <f aca="false">IF(AV176=1,1,IF(AW176=1,2,IF(AX176=1,3,IF(AY176=1,4,IF(AZ176=1,5,IF(BA176=1,6,7))))))</f>
        <v>3</v>
      </c>
      <c r="BD176" s="65" t="n">
        <f aca="false">IF(AD176=1,CHOOSE('Historical Score'!$C$29,AV176,AW176,AX176,AY176,AZ176,BA176,BB176),0)</f>
        <v>0</v>
      </c>
      <c r="BE176" s="65" t="str">
        <f aca="false">IF(BD176=1,COUNTIF($BD$2:BD176,1),"")</f>
        <v/>
      </c>
    </row>
    <row r="177" customFormat="false" ht="15" hidden="false" customHeight="false" outlineLevel="0" collapsed="false">
      <c r="A177" s="65" t="s">
        <v>974</v>
      </c>
      <c r="B177" s="65" t="s">
        <v>975</v>
      </c>
      <c r="C177" s="65" t="s">
        <v>976</v>
      </c>
      <c r="D177" s="65" t="s">
        <v>340</v>
      </c>
      <c r="E177" s="112" t="n">
        <v>45868</v>
      </c>
      <c r="F177" s="112" t="n">
        <v>45884</v>
      </c>
      <c r="G177" s="65" t="n">
        <v>4</v>
      </c>
      <c r="H177" s="65" t="s">
        <v>977</v>
      </c>
      <c r="I177" s="65" t="s">
        <v>703</v>
      </c>
      <c r="J177" s="65" t="s">
        <v>350</v>
      </c>
      <c r="K177" s="65" t="s">
        <v>855</v>
      </c>
      <c r="L177" s="65" t="s">
        <v>64</v>
      </c>
      <c r="M177" s="113" t="n">
        <v>1.49</v>
      </c>
      <c r="N177" s="114" t="n">
        <v>30000</v>
      </c>
      <c r="O177" s="114" t="n">
        <v>0</v>
      </c>
      <c r="P177" s="114" t="n">
        <v>44700</v>
      </c>
      <c r="Q177" s="114" t="n">
        <v>2980.24</v>
      </c>
      <c r="R177" s="114" t="n">
        <v>41719.76</v>
      </c>
      <c r="S177" s="115" t="n">
        <v>0.0666720357941835</v>
      </c>
      <c r="T177" s="65" t="n">
        <v>3.934</v>
      </c>
      <c r="U177" s="65" t="n">
        <v>5</v>
      </c>
      <c r="V177" s="65" t="n">
        <v>50052.28</v>
      </c>
      <c r="W177" s="115" t="n">
        <v>0.1563</v>
      </c>
      <c r="X177" s="112" t="n">
        <v>44137</v>
      </c>
      <c r="Y177" s="65" t="str">
        <f aca="false">IF(I177="","No SIC",IFERROR(VLOOKUP(I177,Ref!$A$2:$B$65,2,FALSE()),"Unclassified"))</f>
        <v>Wholesale Trade - Nondurable Goods</v>
      </c>
      <c r="Z177" s="65" t="str">
        <f aca="false">IF(T177="","",IF(T177&lt;12,"Daily","Weekly"))</f>
        <v>Daily</v>
      </c>
      <c r="AA177" s="65" t="n">
        <f aca="false">IF(T177="",0,IF(T177&lt;12,T177*Controls!$B$29,T177*5))</f>
        <v>85.19077</v>
      </c>
      <c r="AB177" s="65" t="n">
        <f aca="false">IF(E177="",0,NETWORKDAYS(E177,Controls!$B$36,Ref!$K$2:$K$42))</f>
        <v>270</v>
      </c>
      <c r="AC177" s="65" t="n">
        <f aca="false">IF(AND(AA177&gt;0,AB177&gt;=Controls!$B$39*AA177),1,0)</f>
        <v>1</v>
      </c>
      <c r="AD177" s="65" t="n">
        <f aca="false">IF(AND(E177&lt;&gt;"",E177&gt;=Controls!$B$37,E177&lt;=Controls!$B$38),1,0)</f>
        <v>1</v>
      </c>
      <c r="AE177" s="65" t="n">
        <f aca="false">IF(IFERROR(VLOOKUP(D177,Controls!$A$64:$E$74,2,FALSE()),"No")="Yes",1,0)</f>
        <v>1</v>
      </c>
      <c r="AF177" s="65" t="n">
        <f aca="false">IF(IFERROR(VLOOKUP(D177,Controls!$A$64:$E$74,3,FALSE()),"No")="Yes",1,0)</f>
        <v>0</v>
      </c>
      <c r="AG177" s="65" t="n">
        <f aca="false">IF(IFERROR(VLOOKUP(D177,Controls!$A$64:$E$74,4,FALSE()),"No")="Yes",1,0)</f>
        <v>0</v>
      </c>
      <c r="AH177" s="65" t="n">
        <f aca="false">IF(IFERROR(VLOOKUP(D177,Controls!$A$64:$E$74,5,FALSE()),"No")="Yes",1,0)</f>
        <v>0</v>
      </c>
      <c r="AI177" s="65" t="n">
        <f aca="false">IF(ISNUMBER(MATCH(D177,Controls!$A$64:$A$74,0)),1,0)</f>
        <v>1</v>
      </c>
      <c r="AJ177" s="65" t="n">
        <f aca="false">Q177-N177</f>
        <v>-27019.76</v>
      </c>
      <c r="AK177" s="65" t="n">
        <f aca="false">IF(AE177=1,MAX(0,N177-Q177),0)</f>
        <v>27019.76</v>
      </c>
      <c r="AL177" s="65" t="n">
        <f aca="false">IF(OR(V177="",V177=0),0,N177/V177)</f>
        <v>0.599373295282453</v>
      </c>
      <c r="AM177" s="65" t="n">
        <f aca="false">IF(OR(V177="",V177=0),0,1)</f>
        <v>1</v>
      </c>
      <c r="AN177" s="65" t="n">
        <f aca="false">IF(OR(E177="",F177=""),0,NETWORKDAYS(E177,F177,Ref!$K$2:$K$42))</f>
        <v>13</v>
      </c>
      <c r="AO177" s="65" t="n">
        <f aca="false">IF(L177="Renewal",1,0)</f>
        <v>0</v>
      </c>
      <c r="AP177" s="65" t="n">
        <f aca="false">AC177*AD177</f>
        <v>1</v>
      </c>
      <c r="AQ177" s="65" t="n">
        <f aca="false">IF(AND(G177&lt;&gt;"",'Historical Score'!$C$6&lt;&gt;""),IF(G177='Historical Score'!$C$6,1,0),0)</f>
        <v>0</v>
      </c>
      <c r="AR177" s="65" t="n">
        <f aca="false">IF(AND(L177&lt;&gt;"",'Historical Score'!$C$5&lt;&gt;""),IF(L177='Historical Score'!$C$5,1,0),0)</f>
        <v>1</v>
      </c>
      <c r="AS177" s="65" t="n">
        <f aca="false">IF(AND(Y177&lt;&gt;"",'Historical Score'!$C$7&lt;&gt;""),IF(Y177='Historical Score'!$C$7,1,0),0)</f>
        <v>0</v>
      </c>
      <c r="AT177" s="65" t="n">
        <f aca="false">IF(AND(K177&lt;&gt;"",'Historical Score'!$C$8&lt;&gt;""),IF(K177='Historical Score'!$C$8,1,0),0)</f>
        <v>0</v>
      </c>
      <c r="AU177" s="65" t="n">
        <f aca="false">IF(AND(J177&lt;&gt;"",'Historical Score'!$C$9&lt;&gt;""),IF(J177='Historical Score'!$C$9,1,0),0)</f>
        <v>0</v>
      </c>
      <c r="AV177" s="65" t="n">
        <f aca="false">AR177*AS177*AQ177</f>
        <v>0</v>
      </c>
      <c r="AW177" s="65" t="n">
        <f aca="false">AR177*AT177*AQ177</f>
        <v>0</v>
      </c>
      <c r="AX177" s="65" t="n">
        <f aca="false">AR177*AS177</f>
        <v>0</v>
      </c>
      <c r="AY177" s="65" t="n">
        <f aca="false">AR177*AT177</f>
        <v>0</v>
      </c>
      <c r="AZ177" s="65" t="n">
        <f aca="false">AR177*AQ177</f>
        <v>0</v>
      </c>
      <c r="BA177" s="65" t="n">
        <f aca="false">AR177</f>
        <v>1</v>
      </c>
      <c r="BB177" s="65" t="n">
        <f aca="false">1</f>
        <v>1</v>
      </c>
      <c r="BC177" s="65" t="n">
        <f aca="false">IF(AV177=1,1,IF(AW177=1,2,IF(AX177=1,3,IF(AY177=1,4,IF(AZ177=1,5,IF(BA177=1,6,7))))))</f>
        <v>6</v>
      </c>
      <c r="BD177" s="65" t="n">
        <f aca="false">IF(AD177=1,CHOOSE('Historical Score'!$C$29,AV177,AW177,AX177,AY177,AZ177,BA177,BB177),0)</f>
        <v>0</v>
      </c>
      <c r="BE177" s="65" t="str">
        <f aca="false">IF(BD177=1,COUNTIF($BD$2:BD177,1),"")</f>
        <v/>
      </c>
    </row>
    <row r="178" customFormat="false" ht="15" hidden="false" customHeight="false" outlineLevel="0" collapsed="false">
      <c r="A178" s="65" t="s">
        <v>978</v>
      </c>
      <c r="B178" s="65" t="s">
        <v>979</v>
      </c>
      <c r="C178" s="65" t="s">
        <v>980</v>
      </c>
      <c r="D178" s="65" t="s">
        <v>371</v>
      </c>
      <c r="E178" s="112" t="n">
        <v>45868</v>
      </c>
      <c r="F178" s="112" t="n">
        <v>46092</v>
      </c>
      <c r="G178" s="65" t="n">
        <v>1</v>
      </c>
      <c r="H178" s="65" t="s">
        <v>500</v>
      </c>
      <c r="I178" s="65" t="s">
        <v>475</v>
      </c>
      <c r="J178" s="65" t="s">
        <v>350</v>
      </c>
      <c r="K178" s="65" t="s">
        <v>961</v>
      </c>
      <c r="L178" s="65" t="s">
        <v>64</v>
      </c>
      <c r="M178" s="113" t="n">
        <v>1.38</v>
      </c>
      <c r="N178" s="114" t="n">
        <v>70000</v>
      </c>
      <c r="O178" s="114" t="n">
        <v>8400</v>
      </c>
      <c r="P178" s="114" t="n">
        <v>96600</v>
      </c>
      <c r="Q178" s="114" t="n">
        <v>96600</v>
      </c>
      <c r="R178" s="114" t="n">
        <v>-1.45519152283669E-011</v>
      </c>
      <c r="S178" s="115" t="n">
        <v>1</v>
      </c>
      <c r="T178" s="65" t="n">
        <v>40</v>
      </c>
      <c r="U178" s="65" t="n">
        <v>0</v>
      </c>
      <c r="V178" s="65" t="n">
        <v>120575.72</v>
      </c>
      <c r="W178" s="115" t="n">
        <v>0.0801</v>
      </c>
      <c r="X178" s="112" t="n">
        <v>45100</v>
      </c>
      <c r="Y178" s="65" t="str">
        <f aca="false">IF(I178="","No SIC",IFERROR(VLOOKUP(I178,Ref!$A$2:$B$65,2,FALSE()),"Unclassified"))</f>
        <v>Auto Repair &amp; Services</v>
      </c>
      <c r="Z178" s="65" t="str">
        <f aca="false">IF(T178="","",IF(T178&lt;12,"Daily","Weekly"))</f>
        <v>Weekly</v>
      </c>
      <c r="AA178" s="65" t="n">
        <f aca="false">IF(T178="",0,IF(T178&lt;12,T178*Controls!$B$29,T178*5))</f>
        <v>200</v>
      </c>
      <c r="AB178" s="65" t="n">
        <f aca="false">IF(E178="",0,NETWORKDAYS(E178,Controls!$B$36,Ref!$K$2:$K$42))</f>
        <v>270</v>
      </c>
      <c r="AC178" s="65" t="n">
        <f aca="false">IF(AND(AA178&gt;0,AB178&gt;=Controls!$B$39*AA178),1,0)</f>
        <v>1</v>
      </c>
      <c r="AD178" s="65" t="n">
        <f aca="false">IF(AND(E178&lt;&gt;"",E178&gt;=Controls!$B$37,E178&lt;=Controls!$B$38),1,0)</f>
        <v>1</v>
      </c>
      <c r="AE178" s="65" t="n">
        <f aca="false">IF(IFERROR(VLOOKUP(D178,Controls!$A$64:$E$74,2,FALSE()),"No")="Yes",1,0)</f>
        <v>0</v>
      </c>
      <c r="AF178" s="65" t="n">
        <f aca="false">IF(IFERROR(VLOOKUP(D178,Controls!$A$64:$E$74,3,FALSE()),"No")="Yes",1,0)</f>
        <v>1</v>
      </c>
      <c r="AG178" s="65" t="n">
        <f aca="false">IF(IFERROR(VLOOKUP(D178,Controls!$A$64:$E$74,4,FALSE()),"No")="Yes",1,0)</f>
        <v>1</v>
      </c>
      <c r="AH178" s="65" t="n">
        <f aca="false">IF(IFERROR(VLOOKUP(D178,Controls!$A$64:$E$74,5,FALSE()),"No")="Yes",1,0)</f>
        <v>0</v>
      </c>
      <c r="AI178" s="65" t="n">
        <f aca="false">IF(ISNUMBER(MATCH(D178,Controls!$A$64:$A$74,0)),1,0)</f>
        <v>1</v>
      </c>
      <c r="AJ178" s="65" t="n">
        <f aca="false">Q178-N178</f>
        <v>26600</v>
      </c>
      <c r="AK178" s="65" t="n">
        <f aca="false">IF(AE178=1,MAX(0,N178-Q178),0)</f>
        <v>0</v>
      </c>
      <c r="AL178" s="65" t="n">
        <f aca="false">IF(OR(V178="",V178=0),0,N178/V178)</f>
        <v>0.580548057270568</v>
      </c>
      <c r="AM178" s="65" t="n">
        <f aca="false">IF(OR(V178="",V178=0),0,1)</f>
        <v>1</v>
      </c>
      <c r="AN178" s="65" t="n">
        <f aca="false">IF(OR(E178="",F178=""),0,NETWORKDAYS(E178,F178,Ref!$K$2:$K$42))</f>
        <v>153</v>
      </c>
      <c r="AO178" s="65" t="n">
        <f aca="false">IF(L178="Renewal",1,0)</f>
        <v>0</v>
      </c>
      <c r="AP178" s="65" t="n">
        <f aca="false">AC178*AD178</f>
        <v>1</v>
      </c>
      <c r="AQ178" s="65" t="n">
        <f aca="false">IF(AND(G178&lt;&gt;"",'Historical Score'!$C$6&lt;&gt;""),IF(G178='Historical Score'!$C$6,1,0),0)</f>
        <v>0</v>
      </c>
      <c r="AR178" s="65" t="n">
        <f aca="false">IF(AND(L178&lt;&gt;"",'Historical Score'!$C$5&lt;&gt;""),IF(L178='Historical Score'!$C$5,1,0),0)</f>
        <v>1</v>
      </c>
      <c r="AS178" s="65" t="n">
        <f aca="false">IF(AND(Y178&lt;&gt;"",'Historical Score'!$C$7&lt;&gt;""),IF(Y178='Historical Score'!$C$7,1,0),0)</f>
        <v>0</v>
      </c>
      <c r="AT178" s="65" t="n">
        <f aca="false">IF(AND(K178&lt;&gt;"",'Historical Score'!$C$8&lt;&gt;""),IF(K178='Historical Score'!$C$8,1,0),0)</f>
        <v>0</v>
      </c>
      <c r="AU178" s="65" t="n">
        <f aca="false">IF(AND(J178&lt;&gt;"",'Historical Score'!$C$9&lt;&gt;""),IF(J178='Historical Score'!$C$9,1,0),0)</f>
        <v>0</v>
      </c>
      <c r="AV178" s="65" t="n">
        <f aca="false">AR178*AS178*AQ178</f>
        <v>0</v>
      </c>
      <c r="AW178" s="65" t="n">
        <f aca="false">AR178*AT178*AQ178</f>
        <v>0</v>
      </c>
      <c r="AX178" s="65" t="n">
        <f aca="false">AR178*AS178</f>
        <v>0</v>
      </c>
      <c r="AY178" s="65" t="n">
        <f aca="false">AR178*AT178</f>
        <v>0</v>
      </c>
      <c r="AZ178" s="65" t="n">
        <f aca="false">AR178*AQ178</f>
        <v>0</v>
      </c>
      <c r="BA178" s="65" t="n">
        <f aca="false">AR178</f>
        <v>1</v>
      </c>
      <c r="BB178" s="65" t="n">
        <f aca="false">1</f>
        <v>1</v>
      </c>
      <c r="BC178" s="65" t="n">
        <f aca="false">IF(AV178=1,1,IF(AW178=1,2,IF(AX178=1,3,IF(AY178=1,4,IF(AZ178=1,5,IF(BA178=1,6,7))))))</f>
        <v>6</v>
      </c>
      <c r="BD178" s="65" t="n">
        <f aca="false">IF(AD178=1,CHOOSE('Historical Score'!$C$29,AV178,AW178,AX178,AY178,AZ178,BA178,BB178),0)</f>
        <v>0</v>
      </c>
      <c r="BE178" s="65" t="str">
        <f aca="false">IF(BD178=1,COUNTIF($BD$2:BD178,1),"")</f>
        <v/>
      </c>
    </row>
    <row r="179" customFormat="false" ht="15" hidden="false" customHeight="false" outlineLevel="0" collapsed="false">
      <c r="A179" s="65" t="s">
        <v>981</v>
      </c>
      <c r="B179" s="65" t="s">
        <v>982</v>
      </c>
      <c r="C179" s="65" t="s">
        <v>982</v>
      </c>
      <c r="D179" s="65" t="s">
        <v>371</v>
      </c>
      <c r="E179" s="112" t="n">
        <v>45869</v>
      </c>
      <c r="F179" s="112" t="n">
        <v>45994</v>
      </c>
      <c r="G179" s="65" t="n">
        <v>2</v>
      </c>
      <c r="H179" s="65" t="s">
        <v>442</v>
      </c>
      <c r="I179" s="65" t="s">
        <v>443</v>
      </c>
      <c r="J179" s="65" t="s">
        <v>61</v>
      </c>
      <c r="K179" s="65" t="s">
        <v>983</v>
      </c>
      <c r="L179" s="65" t="s">
        <v>64</v>
      </c>
      <c r="M179" s="113" t="n">
        <v>1.49</v>
      </c>
      <c r="N179" s="114" t="n">
        <v>15000</v>
      </c>
      <c r="O179" s="114" t="n">
        <v>2100</v>
      </c>
      <c r="P179" s="114" t="n">
        <v>22350</v>
      </c>
      <c r="Q179" s="114" t="n">
        <v>22350</v>
      </c>
      <c r="R179" s="114" t="n">
        <v>0</v>
      </c>
      <c r="S179" s="115" t="n">
        <v>1</v>
      </c>
      <c r="T179" s="65" t="n">
        <v>2.787</v>
      </c>
      <c r="U179" s="65" t="n">
        <v>0</v>
      </c>
      <c r="V179" s="65" t="n">
        <v>63010.24</v>
      </c>
      <c r="W179" s="115" t="n">
        <v>0.0876</v>
      </c>
      <c r="X179" s="112"/>
      <c r="Y179" s="65" t="str">
        <f aca="false">IF(I179="","No SIC",IFERROR(VLOOKUP(I179,Ref!$A$2:$B$65,2,FALSE()),"Unclassified"))</f>
        <v>General Building Contractors</v>
      </c>
      <c r="Z179" s="65" t="str">
        <f aca="false">IF(T179="","",IF(T179&lt;12,"Daily","Weekly"))</f>
        <v>Daily</v>
      </c>
      <c r="AA179" s="65" t="n">
        <f aca="false">IF(T179="",0,IF(T179&lt;12,T179*Controls!$B$29,T179*5))</f>
        <v>60.352485</v>
      </c>
      <c r="AB179" s="65" t="n">
        <f aca="false">IF(E179="",0,NETWORKDAYS(E179,Controls!$B$36,Ref!$K$2:$K$42))</f>
        <v>269</v>
      </c>
      <c r="AC179" s="65" t="n">
        <f aca="false">IF(AND(AA179&gt;0,AB179&gt;=Controls!$B$39*AA179),1,0)</f>
        <v>1</v>
      </c>
      <c r="AD179" s="65" t="n">
        <f aca="false">IF(AND(E179&lt;&gt;"",E179&gt;=Controls!$B$37,E179&lt;=Controls!$B$38),1,0)</f>
        <v>1</v>
      </c>
      <c r="AE179" s="65" t="n">
        <f aca="false">IF(IFERROR(VLOOKUP(D179,Controls!$A$64:$E$74,2,FALSE()),"No")="Yes",1,0)</f>
        <v>0</v>
      </c>
      <c r="AF179" s="65" t="n">
        <f aca="false">IF(IFERROR(VLOOKUP(D179,Controls!$A$64:$E$74,3,FALSE()),"No")="Yes",1,0)</f>
        <v>1</v>
      </c>
      <c r="AG179" s="65" t="n">
        <f aca="false">IF(IFERROR(VLOOKUP(D179,Controls!$A$64:$E$74,4,FALSE()),"No")="Yes",1,0)</f>
        <v>1</v>
      </c>
      <c r="AH179" s="65" t="n">
        <f aca="false">IF(IFERROR(VLOOKUP(D179,Controls!$A$64:$E$74,5,FALSE()),"No")="Yes",1,0)</f>
        <v>0</v>
      </c>
      <c r="AI179" s="65" t="n">
        <f aca="false">IF(ISNUMBER(MATCH(D179,Controls!$A$64:$A$74,0)),1,0)</f>
        <v>1</v>
      </c>
      <c r="AJ179" s="65" t="n">
        <f aca="false">Q179-N179</f>
        <v>7350</v>
      </c>
      <c r="AK179" s="65" t="n">
        <f aca="false">IF(AE179=1,MAX(0,N179-Q179),0)</f>
        <v>0</v>
      </c>
      <c r="AL179" s="65" t="n">
        <f aca="false">IF(OR(V179="",V179=0),0,N179/V179)</f>
        <v>0.238056544460075</v>
      </c>
      <c r="AM179" s="65" t="n">
        <f aca="false">IF(OR(V179="",V179=0),0,1)</f>
        <v>1</v>
      </c>
      <c r="AN179" s="65" t="n">
        <f aca="false">IF(OR(E179="",F179=""),0,NETWORKDAYS(E179,F179,Ref!$K$2:$K$42))</f>
        <v>86</v>
      </c>
      <c r="AO179" s="65" t="n">
        <f aca="false">IF(L179="Renewal",1,0)</f>
        <v>0</v>
      </c>
      <c r="AP179" s="65" t="n">
        <f aca="false">AC179*AD179</f>
        <v>1</v>
      </c>
      <c r="AQ179" s="65" t="n">
        <f aca="false">IF(AND(G179&lt;&gt;"",'Historical Score'!$C$6&lt;&gt;""),IF(G179='Historical Score'!$C$6,1,0),0)</f>
        <v>1</v>
      </c>
      <c r="AR179" s="65" t="n">
        <f aca="false">IF(AND(L179&lt;&gt;"",'Historical Score'!$C$5&lt;&gt;""),IF(L179='Historical Score'!$C$5,1,0),0)</f>
        <v>1</v>
      </c>
      <c r="AS179" s="65" t="n">
        <f aca="false">IF(AND(Y179&lt;&gt;"",'Historical Score'!$C$7&lt;&gt;""),IF(Y179='Historical Score'!$C$7,1,0),0)</f>
        <v>1</v>
      </c>
      <c r="AT179" s="65" t="n">
        <f aca="false">IF(AND(K179&lt;&gt;"",'Historical Score'!$C$8&lt;&gt;""),IF(K179='Historical Score'!$C$8,1,0),0)</f>
        <v>0</v>
      </c>
      <c r="AU179" s="65" t="n">
        <f aca="false">IF(AND(J179&lt;&gt;"",'Historical Score'!$C$9&lt;&gt;""),IF(J179='Historical Score'!$C$9,1,0),0)</f>
        <v>1</v>
      </c>
      <c r="AV179" s="65" t="n">
        <f aca="false">AR179*AS179*AQ179</f>
        <v>1</v>
      </c>
      <c r="AW179" s="65" t="n">
        <f aca="false">AR179*AT179*AQ179</f>
        <v>0</v>
      </c>
      <c r="AX179" s="65" t="n">
        <f aca="false">AR179*AS179</f>
        <v>1</v>
      </c>
      <c r="AY179" s="65" t="n">
        <f aca="false">AR179*AT179</f>
        <v>0</v>
      </c>
      <c r="AZ179" s="65" t="n">
        <f aca="false">AR179*AQ179</f>
        <v>1</v>
      </c>
      <c r="BA179" s="65" t="n">
        <f aca="false">AR179</f>
        <v>1</v>
      </c>
      <c r="BB179" s="65" t="n">
        <f aca="false">1</f>
        <v>1</v>
      </c>
      <c r="BC179" s="65" t="n">
        <f aca="false">IF(AV179=1,1,IF(AW179=1,2,IF(AX179=1,3,IF(AY179=1,4,IF(AZ179=1,5,IF(BA179=1,6,7))))))</f>
        <v>1</v>
      </c>
      <c r="BD179" s="65" t="n">
        <f aca="false">IF(AD179=1,CHOOSE('Historical Score'!$C$29,AV179,AW179,AX179,AY179,AZ179,BA179,BB179),0)</f>
        <v>1</v>
      </c>
      <c r="BE179" s="65" t="n">
        <f aca="false">IF(BD179=1,COUNTIF($BD$2:BD179,1),"")</f>
        <v>4</v>
      </c>
    </row>
    <row r="180" customFormat="false" ht="15" hidden="false" customHeight="false" outlineLevel="0" collapsed="false">
      <c r="A180" s="65" t="s">
        <v>984</v>
      </c>
      <c r="B180" s="65" t="s">
        <v>985</v>
      </c>
      <c r="C180" s="65" t="s">
        <v>986</v>
      </c>
      <c r="D180" s="65" t="s">
        <v>340</v>
      </c>
      <c r="E180" s="112" t="n">
        <v>45869</v>
      </c>
      <c r="F180" s="112" t="n">
        <v>46160</v>
      </c>
      <c r="G180" s="65" t="n">
        <v>3</v>
      </c>
      <c r="H180" s="65" t="s">
        <v>442</v>
      </c>
      <c r="I180" s="65" t="s">
        <v>443</v>
      </c>
      <c r="J180" s="65" t="s">
        <v>350</v>
      </c>
      <c r="K180" s="65" t="s">
        <v>538</v>
      </c>
      <c r="L180" s="65" t="s">
        <v>64</v>
      </c>
      <c r="M180" s="113" t="n">
        <v>1.499</v>
      </c>
      <c r="N180" s="114" t="n">
        <v>5500</v>
      </c>
      <c r="O180" s="114" t="n">
        <v>770</v>
      </c>
      <c r="P180" s="114" t="n">
        <v>8244.5</v>
      </c>
      <c r="Q180" s="114" t="n">
        <v>6451.06</v>
      </c>
      <c r="R180" s="114" t="n">
        <v>1793.44</v>
      </c>
      <c r="S180" s="115" t="n">
        <v>0.782468312208139</v>
      </c>
      <c r="T180" s="65" t="n">
        <v>2.459</v>
      </c>
      <c r="U180" s="65" t="n">
        <v>36</v>
      </c>
      <c r="V180" s="65" t="n">
        <v>30945.17</v>
      </c>
      <c r="W180" s="115" t="n">
        <v>0.0742</v>
      </c>
      <c r="X180" s="112" t="n">
        <v>38303</v>
      </c>
      <c r="Y180" s="65" t="str">
        <f aca="false">IF(I180="","No SIC",IFERROR(VLOOKUP(I180,Ref!$A$2:$B$65,2,FALSE()),"Unclassified"))</f>
        <v>General Building Contractors</v>
      </c>
      <c r="Z180" s="65" t="str">
        <f aca="false">IF(T180="","",IF(T180&lt;12,"Daily","Weekly"))</f>
        <v>Daily</v>
      </c>
      <c r="AA180" s="65" t="n">
        <f aca="false">IF(T180="",0,IF(T180&lt;12,T180*Controls!$B$29,T180*5))</f>
        <v>53.249645</v>
      </c>
      <c r="AB180" s="65" t="n">
        <f aca="false">IF(E180="",0,NETWORKDAYS(E180,Controls!$B$36,Ref!$K$2:$K$42))</f>
        <v>269</v>
      </c>
      <c r="AC180" s="65" t="n">
        <f aca="false">IF(AND(AA180&gt;0,AB180&gt;=Controls!$B$39*AA180),1,0)</f>
        <v>1</v>
      </c>
      <c r="AD180" s="65" t="n">
        <f aca="false">IF(AND(E180&lt;&gt;"",E180&gt;=Controls!$B$37,E180&lt;=Controls!$B$38),1,0)</f>
        <v>1</v>
      </c>
      <c r="AE180" s="65" t="n">
        <f aca="false">IF(IFERROR(VLOOKUP(D180,Controls!$A$64:$E$74,2,FALSE()),"No")="Yes",1,0)</f>
        <v>1</v>
      </c>
      <c r="AF180" s="65" t="n">
        <f aca="false">IF(IFERROR(VLOOKUP(D180,Controls!$A$64:$E$74,3,FALSE()),"No")="Yes",1,0)</f>
        <v>0</v>
      </c>
      <c r="AG180" s="65" t="n">
        <f aca="false">IF(IFERROR(VLOOKUP(D180,Controls!$A$64:$E$74,4,FALSE()),"No")="Yes",1,0)</f>
        <v>0</v>
      </c>
      <c r="AH180" s="65" t="n">
        <f aca="false">IF(IFERROR(VLOOKUP(D180,Controls!$A$64:$E$74,5,FALSE()),"No")="Yes",1,0)</f>
        <v>0</v>
      </c>
      <c r="AI180" s="65" t="n">
        <f aca="false">IF(ISNUMBER(MATCH(D180,Controls!$A$64:$A$74,0)),1,0)</f>
        <v>1</v>
      </c>
      <c r="AJ180" s="65" t="n">
        <f aca="false">Q180-N180</f>
        <v>951.06</v>
      </c>
      <c r="AK180" s="65" t="n">
        <f aca="false">IF(AE180=1,MAX(0,N180-Q180),0)</f>
        <v>0</v>
      </c>
      <c r="AL180" s="65" t="n">
        <f aca="false">IF(OR(V180="",V180=0),0,N180/V180)</f>
        <v>0.177733714178982</v>
      </c>
      <c r="AM180" s="65" t="n">
        <f aca="false">IF(OR(V180="",V180=0),0,1)</f>
        <v>1</v>
      </c>
      <c r="AN180" s="65" t="n">
        <f aca="false">IF(OR(E180="",F180=""),0,NETWORKDAYS(E180,F180,Ref!$K$2:$K$42))</f>
        <v>200</v>
      </c>
      <c r="AO180" s="65" t="n">
        <f aca="false">IF(L180="Renewal",1,0)</f>
        <v>0</v>
      </c>
      <c r="AP180" s="65" t="n">
        <f aca="false">AC180*AD180</f>
        <v>1</v>
      </c>
      <c r="AQ180" s="65" t="n">
        <f aca="false">IF(AND(G180&lt;&gt;"",'Historical Score'!$C$6&lt;&gt;""),IF(G180='Historical Score'!$C$6,1,0),0)</f>
        <v>0</v>
      </c>
      <c r="AR180" s="65" t="n">
        <f aca="false">IF(AND(L180&lt;&gt;"",'Historical Score'!$C$5&lt;&gt;""),IF(L180='Historical Score'!$C$5,1,0),0)</f>
        <v>1</v>
      </c>
      <c r="AS180" s="65" t="n">
        <f aca="false">IF(AND(Y180&lt;&gt;"",'Historical Score'!$C$7&lt;&gt;""),IF(Y180='Historical Score'!$C$7,1,0),0)</f>
        <v>1</v>
      </c>
      <c r="AT180" s="65" t="n">
        <f aca="false">IF(AND(K180&lt;&gt;"",'Historical Score'!$C$8&lt;&gt;""),IF(K180='Historical Score'!$C$8,1,0),0)</f>
        <v>0</v>
      </c>
      <c r="AU180" s="65" t="n">
        <f aca="false">IF(AND(J180&lt;&gt;"",'Historical Score'!$C$9&lt;&gt;""),IF(J180='Historical Score'!$C$9,1,0),0)</f>
        <v>0</v>
      </c>
      <c r="AV180" s="65" t="n">
        <f aca="false">AR180*AS180*AQ180</f>
        <v>0</v>
      </c>
      <c r="AW180" s="65" t="n">
        <f aca="false">AR180*AT180*AQ180</f>
        <v>0</v>
      </c>
      <c r="AX180" s="65" t="n">
        <f aca="false">AR180*AS180</f>
        <v>1</v>
      </c>
      <c r="AY180" s="65" t="n">
        <f aca="false">AR180*AT180</f>
        <v>0</v>
      </c>
      <c r="AZ180" s="65" t="n">
        <f aca="false">AR180*AQ180</f>
        <v>0</v>
      </c>
      <c r="BA180" s="65" t="n">
        <f aca="false">AR180</f>
        <v>1</v>
      </c>
      <c r="BB180" s="65" t="n">
        <f aca="false">1</f>
        <v>1</v>
      </c>
      <c r="BC180" s="65" t="n">
        <f aca="false">IF(AV180=1,1,IF(AW180=1,2,IF(AX180=1,3,IF(AY180=1,4,IF(AZ180=1,5,IF(BA180=1,6,7))))))</f>
        <v>3</v>
      </c>
      <c r="BD180" s="65" t="n">
        <f aca="false">IF(AD180=1,CHOOSE('Historical Score'!$C$29,AV180,AW180,AX180,AY180,AZ180,BA180,BB180),0)</f>
        <v>0</v>
      </c>
      <c r="BE180" s="65" t="str">
        <f aca="false">IF(BD180=1,COUNTIF($BD$2:BD180,1),"")</f>
        <v/>
      </c>
    </row>
    <row r="181" customFormat="false" ht="15" hidden="false" customHeight="false" outlineLevel="0" collapsed="false">
      <c r="A181" s="65" t="s">
        <v>987</v>
      </c>
      <c r="B181" s="65" t="s">
        <v>988</v>
      </c>
      <c r="C181" s="65" t="s">
        <v>988</v>
      </c>
      <c r="D181" s="65" t="s">
        <v>371</v>
      </c>
      <c r="E181" s="112" t="n">
        <v>45869</v>
      </c>
      <c r="F181" s="112" t="n">
        <v>45947</v>
      </c>
      <c r="G181" s="65" t="n">
        <v>7</v>
      </c>
      <c r="H181" s="65" t="s">
        <v>442</v>
      </c>
      <c r="I181" s="65" t="s">
        <v>443</v>
      </c>
      <c r="J181" s="65" t="s">
        <v>61</v>
      </c>
      <c r="K181" s="65" t="s">
        <v>476</v>
      </c>
      <c r="L181" s="65" t="s">
        <v>64</v>
      </c>
      <c r="M181" s="113" t="n">
        <v>1.5</v>
      </c>
      <c r="N181" s="114" t="n">
        <v>5000</v>
      </c>
      <c r="O181" s="114" t="n">
        <v>700</v>
      </c>
      <c r="P181" s="114" t="n">
        <v>7500</v>
      </c>
      <c r="Q181" s="114" t="n">
        <v>7500</v>
      </c>
      <c r="R181" s="114" t="n">
        <v>0</v>
      </c>
      <c r="S181" s="115" t="n">
        <v>1</v>
      </c>
      <c r="T181" s="65" t="n">
        <v>2.295</v>
      </c>
      <c r="U181" s="65" t="n">
        <v>0</v>
      </c>
      <c r="V181" s="65" t="n">
        <v>77765.69</v>
      </c>
      <c r="W181" s="115" t="n">
        <v>0.0287</v>
      </c>
      <c r="X181" s="112" t="n">
        <v>40917</v>
      </c>
      <c r="Y181" s="65" t="str">
        <f aca="false">IF(I181="","No SIC",IFERROR(VLOOKUP(I181,Ref!$A$2:$B$65,2,FALSE()),"Unclassified"))</f>
        <v>General Building Contractors</v>
      </c>
      <c r="Z181" s="65" t="str">
        <f aca="false">IF(T181="","",IF(T181&lt;12,"Daily","Weekly"))</f>
        <v>Daily</v>
      </c>
      <c r="AA181" s="65" t="n">
        <f aca="false">IF(T181="",0,IF(T181&lt;12,T181*Controls!$B$29,T181*5))</f>
        <v>49.698225</v>
      </c>
      <c r="AB181" s="65" t="n">
        <f aca="false">IF(E181="",0,NETWORKDAYS(E181,Controls!$B$36,Ref!$K$2:$K$42))</f>
        <v>269</v>
      </c>
      <c r="AC181" s="65" t="n">
        <f aca="false">IF(AND(AA181&gt;0,AB181&gt;=Controls!$B$39*AA181),1,0)</f>
        <v>1</v>
      </c>
      <c r="AD181" s="65" t="n">
        <f aca="false">IF(AND(E181&lt;&gt;"",E181&gt;=Controls!$B$37,E181&lt;=Controls!$B$38),1,0)</f>
        <v>1</v>
      </c>
      <c r="AE181" s="65" t="n">
        <f aca="false">IF(IFERROR(VLOOKUP(D181,Controls!$A$64:$E$74,2,FALSE()),"No")="Yes",1,0)</f>
        <v>0</v>
      </c>
      <c r="AF181" s="65" t="n">
        <f aca="false">IF(IFERROR(VLOOKUP(D181,Controls!$A$64:$E$74,3,FALSE()),"No")="Yes",1,0)</f>
        <v>1</v>
      </c>
      <c r="AG181" s="65" t="n">
        <f aca="false">IF(IFERROR(VLOOKUP(D181,Controls!$A$64:$E$74,4,FALSE()),"No")="Yes",1,0)</f>
        <v>1</v>
      </c>
      <c r="AH181" s="65" t="n">
        <f aca="false">IF(IFERROR(VLOOKUP(D181,Controls!$A$64:$E$74,5,FALSE()),"No")="Yes",1,0)</f>
        <v>0</v>
      </c>
      <c r="AI181" s="65" t="n">
        <f aca="false">IF(ISNUMBER(MATCH(D181,Controls!$A$64:$A$74,0)),1,0)</f>
        <v>1</v>
      </c>
      <c r="AJ181" s="65" t="n">
        <f aca="false">Q181-N181</f>
        <v>2500</v>
      </c>
      <c r="AK181" s="65" t="n">
        <f aca="false">IF(AE181=1,MAX(0,N181-Q181),0)</f>
        <v>0</v>
      </c>
      <c r="AL181" s="65" t="n">
        <f aca="false">IF(OR(V181="",V181=0),0,N181/V181)</f>
        <v>0.0642957067570544</v>
      </c>
      <c r="AM181" s="65" t="n">
        <f aca="false">IF(OR(V181="",V181=0),0,1)</f>
        <v>1</v>
      </c>
      <c r="AN181" s="65" t="n">
        <f aca="false">IF(OR(E181="",F181=""),0,NETWORKDAYS(E181,F181,Ref!$K$2:$K$42))</f>
        <v>55</v>
      </c>
      <c r="AO181" s="65" t="n">
        <f aca="false">IF(L181="Renewal",1,0)</f>
        <v>0</v>
      </c>
      <c r="AP181" s="65" t="n">
        <f aca="false">AC181*AD181</f>
        <v>1</v>
      </c>
      <c r="AQ181" s="65" t="n">
        <f aca="false">IF(AND(G181&lt;&gt;"",'Historical Score'!$C$6&lt;&gt;""),IF(G181='Historical Score'!$C$6,1,0),0)</f>
        <v>0</v>
      </c>
      <c r="AR181" s="65" t="n">
        <f aca="false">IF(AND(L181&lt;&gt;"",'Historical Score'!$C$5&lt;&gt;""),IF(L181='Historical Score'!$C$5,1,0),0)</f>
        <v>1</v>
      </c>
      <c r="AS181" s="65" t="n">
        <f aca="false">IF(AND(Y181&lt;&gt;"",'Historical Score'!$C$7&lt;&gt;""),IF(Y181='Historical Score'!$C$7,1,0),0)</f>
        <v>1</v>
      </c>
      <c r="AT181" s="65" t="n">
        <f aca="false">IF(AND(K181&lt;&gt;"",'Historical Score'!$C$8&lt;&gt;""),IF(K181='Historical Score'!$C$8,1,0),0)</f>
        <v>0</v>
      </c>
      <c r="AU181" s="65" t="n">
        <f aca="false">IF(AND(J181&lt;&gt;"",'Historical Score'!$C$9&lt;&gt;""),IF(J181='Historical Score'!$C$9,1,0),0)</f>
        <v>1</v>
      </c>
      <c r="AV181" s="65" t="n">
        <f aca="false">AR181*AS181*AQ181</f>
        <v>0</v>
      </c>
      <c r="AW181" s="65" t="n">
        <f aca="false">AR181*AT181*AQ181</f>
        <v>0</v>
      </c>
      <c r="AX181" s="65" t="n">
        <f aca="false">AR181*AS181</f>
        <v>1</v>
      </c>
      <c r="AY181" s="65" t="n">
        <f aca="false">AR181*AT181</f>
        <v>0</v>
      </c>
      <c r="AZ181" s="65" t="n">
        <f aca="false">AR181*AQ181</f>
        <v>0</v>
      </c>
      <c r="BA181" s="65" t="n">
        <f aca="false">AR181</f>
        <v>1</v>
      </c>
      <c r="BB181" s="65" t="n">
        <f aca="false">1</f>
        <v>1</v>
      </c>
      <c r="BC181" s="65" t="n">
        <f aca="false">IF(AV181=1,1,IF(AW181=1,2,IF(AX181=1,3,IF(AY181=1,4,IF(AZ181=1,5,IF(BA181=1,6,7))))))</f>
        <v>3</v>
      </c>
      <c r="BD181" s="65" t="n">
        <f aca="false">IF(AD181=1,CHOOSE('Historical Score'!$C$29,AV181,AW181,AX181,AY181,AZ181,BA181,BB181),0)</f>
        <v>0</v>
      </c>
      <c r="BE181" s="65" t="str">
        <f aca="false">IF(BD181=1,COUNTIF($BD$2:BD181,1),"")</f>
        <v/>
      </c>
    </row>
    <row r="182" customFormat="false" ht="15" hidden="false" customHeight="false" outlineLevel="0" collapsed="false">
      <c r="A182" s="65" t="s">
        <v>989</v>
      </c>
      <c r="B182" s="65" t="s">
        <v>990</v>
      </c>
      <c r="C182" s="65" t="s">
        <v>990</v>
      </c>
      <c r="D182" s="65" t="s">
        <v>340</v>
      </c>
      <c r="E182" s="112" t="n">
        <v>45869</v>
      </c>
      <c r="F182" s="112" t="n">
        <v>45881</v>
      </c>
      <c r="G182" s="65" t="n">
        <v>8</v>
      </c>
      <c r="H182" s="65" t="s">
        <v>748</v>
      </c>
      <c r="I182" s="65" t="s">
        <v>619</v>
      </c>
      <c r="J182" s="65" t="s">
        <v>373</v>
      </c>
      <c r="K182" s="65" t="s">
        <v>578</v>
      </c>
      <c r="L182" s="65" t="s">
        <v>64</v>
      </c>
      <c r="M182" s="113" t="n">
        <v>1.49</v>
      </c>
      <c r="N182" s="114" t="n">
        <v>10000</v>
      </c>
      <c r="O182" s="114" t="n">
        <v>0</v>
      </c>
      <c r="P182" s="114" t="n">
        <v>14900</v>
      </c>
      <c r="Q182" s="114" t="n">
        <v>186.34</v>
      </c>
      <c r="R182" s="114" t="n">
        <v>14713.66</v>
      </c>
      <c r="S182" s="115" t="n">
        <v>0.0125060402684564</v>
      </c>
      <c r="T182" s="65" t="n">
        <v>2.623</v>
      </c>
      <c r="U182" s="65" t="n">
        <v>7</v>
      </c>
      <c r="V182" s="65" t="n">
        <v>39888.92</v>
      </c>
      <c r="W182" s="115" t="n">
        <v>0.0981</v>
      </c>
      <c r="X182" s="112"/>
      <c r="Y182" s="65" t="str">
        <f aca="false">IF(I182="","No SIC",IFERROR(VLOOKUP(I182,Ref!$A$2:$B$65,2,FALSE()),"Unclassified"))</f>
        <v>Miscellaneous Retail</v>
      </c>
      <c r="Z182" s="65" t="str">
        <f aca="false">IF(T182="","",IF(T182&lt;12,"Daily","Weekly"))</f>
        <v>Daily</v>
      </c>
      <c r="AA182" s="65" t="n">
        <f aca="false">IF(T182="",0,IF(T182&lt;12,T182*Controls!$B$29,T182*5))</f>
        <v>56.801065</v>
      </c>
      <c r="AB182" s="65" t="n">
        <f aca="false">IF(E182="",0,NETWORKDAYS(E182,Controls!$B$36,Ref!$K$2:$K$42))</f>
        <v>269</v>
      </c>
      <c r="AC182" s="65" t="n">
        <f aca="false">IF(AND(AA182&gt;0,AB182&gt;=Controls!$B$39*AA182),1,0)</f>
        <v>1</v>
      </c>
      <c r="AD182" s="65" t="n">
        <f aca="false">IF(AND(E182&lt;&gt;"",E182&gt;=Controls!$B$37,E182&lt;=Controls!$B$38),1,0)</f>
        <v>1</v>
      </c>
      <c r="AE182" s="65" t="n">
        <f aca="false">IF(IFERROR(VLOOKUP(D182,Controls!$A$64:$E$74,2,FALSE()),"No")="Yes",1,0)</f>
        <v>1</v>
      </c>
      <c r="AF182" s="65" t="n">
        <f aca="false">IF(IFERROR(VLOOKUP(D182,Controls!$A$64:$E$74,3,FALSE()),"No")="Yes",1,0)</f>
        <v>0</v>
      </c>
      <c r="AG182" s="65" t="n">
        <f aca="false">IF(IFERROR(VLOOKUP(D182,Controls!$A$64:$E$74,4,FALSE()),"No")="Yes",1,0)</f>
        <v>0</v>
      </c>
      <c r="AH182" s="65" t="n">
        <f aca="false">IF(IFERROR(VLOOKUP(D182,Controls!$A$64:$E$74,5,FALSE()),"No")="Yes",1,0)</f>
        <v>0</v>
      </c>
      <c r="AI182" s="65" t="n">
        <f aca="false">IF(ISNUMBER(MATCH(D182,Controls!$A$64:$A$74,0)),1,0)</f>
        <v>1</v>
      </c>
      <c r="AJ182" s="65" t="n">
        <f aca="false">Q182-N182</f>
        <v>-9813.66</v>
      </c>
      <c r="AK182" s="65" t="n">
        <f aca="false">IF(AE182=1,MAX(0,N182-Q182),0)</f>
        <v>9813.66</v>
      </c>
      <c r="AL182" s="65" t="n">
        <f aca="false">IF(OR(V182="",V182=0),0,N182/V182)</f>
        <v>0.250696183301027</v>
      </c>
      <c r="AM182" s="65" t="n">
        <f aca="false">IF(OR(V182="",V182=0),0,1)</f>
        <v>1</v>
      </c>
      <c r="AN182" s="65" t="n">
        <f aca="false">IF(OR(E182="",F182=""),0,NETWORKDAYS(E182,F182,Ref!$K$2:$K$42))</f>
        <v>9</v>
      </c>
      <c r="AO182" s="65" t="n">
        <f aca="false">IF(L182="Renewal",1,0)</f>
        <v>0</v>
      </c>
      <c r="AP182" s="65" t="n">
        <f aca="false">AC182*AD182</f>
        <v>1</v>
      </c>
      <c r="AQ182" s="65" t="n">
        <f aca="false">IF(AND(G182&lt;&gt;"",'Historical Score'!$C$6&lt;&gt;""),IF(G182='Historical Score'!$C$6,1,0),0)</f>
        <v>0</v>
      </c>
      <c r="AR182" s="65" t="n">
        <f aca="false">IF(AND(L182&lt;&gt;"",'Historical Score'!$C$5&lt;&gt;""),IF(L182='Historical Score'!$C$5,1,0),0)</f>
        <v>1</v>
      </c>
      <c r="AS182" s="65" t="n">
        <f aca="false">IF(AND(Y182&lt;&gt;"",'Historical Score'!$C$7&lt;&gt;""),IF(Y182='Historical Score'!$C$7,1,0),0)</f>
        <v>0</v>
      </c>
      <c r="AT182" s="65" t="n">
        <f aca="false">IF(AND(K182&lt;&gt;"",'Historical Score'!$C$8&lt;&gt;""),IF(K182='Historical Score'!$C$8,1,0),0)</f>
        <v>0</v>
      </c>
      <c r="AU182" s="65" t="n">
        <f aca="false">IF(AND(J182&lt;&gt;"",'Historical Score'!$C$9&lt;&gt;""),IF(J182='Historical Score'!$C$9,1,0),0)</f>
        <v>0</v>
      </c>
      <c r="AV182" s="65" t="n">
        <f aca="false">AR182*AS182*AQ182</f>
        <v>0</v>
      </c>
      <c r="AW182" s="65" t="n">
        <f aca="false">AR182*AT182*AQ182</f>
        <v>0</v>
      </c>
      <c r="AX182" s="65" t="n">
        <f aca="false">AR182*AS182</f>
        <v>0</v>
      </c>
      <c r="AY182" s="65" t="n">
        <f aca="false">AR182*AT182</f>
        <v>0</v>
      </c>
      <c r="AZ182" s="65" t="n">
        <f aca="false">AR182*AQ182</f>
        <v>0</v>
      </c>
      <c r="BA182" s="65" t="n">
        <f aca="false">AR182</f>
        <v>1</v>
      </c>
      <c r="BB182" s="65" t="n">
        <f aca="false">1</f>
        <v>1</v>
      </c>
      <c r="BC182" s="65" t="n">
        <f aca="false">IF(AV182=1,1,IF(AW182=1,2,IF(AX182=1,3,IF(AY182=1,4,IF(AZ182=1,5,IF(BA182=1,6,7))))))</f>
        <v>6</v>
      </c>
      <c r="BD182" s="65" t="n">
        <f aca="false">IF(AD182=1,CHOOSE('Historical Score'!$C$29,AV182,AW182,AX182,AY182,AZ182,BA182,BB182),0)</f>
        <v>0</v>
      </c>
      <c r="BE182" s="65" t="str">
        <f aca="false">IF(BD182=1,COUNTIF($BD$2:BD182,1),"")</f>
        <v/>
      </c>
    </row>
    <row r="183" customFormat="false" ht="15" hidden="false" customHeight="false" outlineLevel="0" collapsed="false">
      <c r="A183" s="65" t="s">
        <v>991</v>
      </c>
      <c r="B183" s="65" t="s">
        <v>992</v>
      </c>
      <c r="C183" s="65" t="s">
        <v>730</v>
      </c>
      <c r="D183" s="65" t="s">
        <v>371</v>
      </c>
      <c r="E183" s="112" t="n">
        <v>45869</v>
      </c>
      <c r="F183" s="112" t="n">
        <v>45986</v>
      </c>
      <c r="G183" s="65" t="n">
        <v>6</v>
      </c>
      <c r="H183" s="65" t="s">
        <v>409</v>
      </c>
      <c r="I183" s="65" t="s">
        <v>342</v>
      </c>
      <c r="J183" s="65" t="s">
        <v>555</v>
      </c>
      <c r="K183" s="65" t="s">
        <v>578</v>
      </c>
      <c r="L183" s="65" t="s">
        <v>64</v>
      </c>
      <c r="M183" s="113" t="n">
        <v>1.42</v>
      </c>
      <c r="N183" s="114" t="n">
        <v>10000</v>
      </c>
      <c r="O183" s="114" t="n">
        <v>1050</v>
      </c>
      <c r="P183" s="114" t="n">
        <v>14200</v>
      </c>
      <c r="Q183" s="114" t="n">
        <v>14200</v>
      </c>
      <c r="R183" s="114" t="n">
        <v>0</v>
      </c>
      <c r="S183" s="115" t="n">
        <v>1</v>
      </c>
      <c r="T183" s="65" t="n">
        <v>2.623</v>
      </c>
      <c r="U183" s="65" t="n">
        <v>0</v>
      </c>
      <c r="V183" s="65" t="n">
        <v>42674.88</v>
      </c>
      <c r="W183" s="115" t="n">
        <v>0.0873</v>
      </c>
      <c r="X183" s="112"/>
      <c r="Y183" s="65" t="str">
        <f aca="false">IF(I183="","No SIC",IFERROR(VLOOKUP(I183,Ref!$A$2:$B$65,2,FALSE()),"Unclassified"))</f>
        <v>Eating &amp; Drinking Places</v>
      </c>
      <c r="Z183" s="65" t="str">
        <f aca="false">IF(T183="","",IF(T183&lt;12,"Daily","Weekly"))</f>
        <v>Daily</v>
      </c>
      <c r="AA183" s="65" t="n">
        <f aca="false">IF(T183="",0,IF(T183&lt;12,T183*Controls!$B$29,T183*5))</f>
        <v>56.801065</v>
      </c>
      <c r="AB183" s="65" t="n">
        <f aca="false">IF(E183="",0,NETWORKDAYS(E183,Controls!$B$36,Ref!$K$2:$K$42))</f>
        <v>269</v>
      </c>
      <c r="AC183" s="65" t="n">
        <f aca="false">IF(AND(AA183&gt;0,AB183&gt;=Controls!$B$39*AA183),1,0)</f>
        <v>1</v>
      </c>
      <c r="AD183" s="65" t="n">
        <f aca="false">IF(AND(E183&lt;&gt;"",E183&gt;=Controls!$B$37,E183&lt;=Controls!$B$38),1,0)</f>
        <v>1</v>
      </c>
      <c r="AE183" s="65" t="n">
        <f aca="false">IF(IFERROR(VLOOKUP(D183,Controls!$A$64:$E$74,2,FALSE()),"No")="Yes",1,0)</f>
        <v>0</v>
      </c>
      <c r="AF183" s="65" t="n">
        <f aca="false">IF(IFERROR(VLOOKUP(D183,Controls!$A$64:$E$74,3,FALSE()),"No")="Yes",1,0)</f>
        <v>1</v>
      </c>
      <c r="AG183" s="65" t="n">
        <f aca="false">IF(IFERROR(VLOOKUP(D183,Controls!$A$64:$E$74,4,FALSE()),"No")="Yes",1,0)</f>
        <v>1</v>
      </c>
      <c r="AH183" s="65" t="n">
        <f aca="false">IF(IFERROR(VLOOKUP(D183,Controls!$A$64:$E$74,5,FALSE()),"No")="Yes",1,0)</f>
        <v>0</v>
      </c>
      <c r="AI183" s="65" t="n">
        <f aca="false">IF(ISNUMBER(MATCH(D183,Controls!$A$64:$A$74,0)),1,0)</f>
        <v>1</v>
      </c>
      <c r="AJ183" s="65" t="n">
        <f aca="false">Q183-N183</f>
        <v>4200</v>
      </c>
      <c r="AK183" s="65" t="n">
        <f aca="false">IF(AE183=1,MAX(0,N183-Q183),0)</f>
        <v>0</v>
      </c>
      <c r="AL183" s="65" t="n">
        <f aca="false">IF(OR(V183="",V183=0),0,N183/V183)</f>
        <v>0.234329891495887</v>
      </c>
      <c r="AM183" s="65" t="n">
        <f aca="false">IF(OR(V183="",V183=0),0,1)</f>
        <v>1</v>
      </c>
      <c r="AN183" s="65" t="n">
        <f aca="false">IF(OR(E183="",F183=""),0,NETWORKDAYS(E183,F183,Ref!$K$2:$K$42))</f>
        <v>81</v>
      </c>
      <c r="AO183" s="65" t="n">
        <f aca="false">IF(L183="Renewal",1,0)</f>
        <v>0</v>
      </c>
      <c r="AP183" s="65" t="n">
        <f aca="false">AC183*AD183</f>
        <v>1</v>
      </c>
      <c r="AQ183" s="65" t="n">
        <f aca="false">IF(AND(G183&lt;&gt;"",'Historical Score'!$C$6&lt;&gt;""),IF(G183='Historical Score'!$C$6,1,0),0)</f>
        <v>0</v>
      </c>
      <c r="AR183" s="65" t="n">
        <f aca="false">IF(AND(L183&lt;&gt;"",'Historical Score'!$C$5&lt;&gt;""),IF(L183='Historical Score'!$C$5,1,0),0)</f>
        <v>1</v>
      </c>
      <c r="AS183" s="65" t="n">
        <f aca="false">IF(AND(Y183&lt;&gt;"",'Historical Score'!$C$7&lt;&gt;""),IF(Y183='Historical Score'!$C$7,1,0),0)</f>
        <v>0</v>
      </c>
      <c r="AT183" s="65" t="n">
        <f aca="false">IF(AND(K183&lt;&gt;"",'Historical Score'!$C$8&lt;&gt;""),IF(K183='Historical Score'!$C$8,1,0),0)</f>
        <v>0</v>
      </c>
      <c r="AU183" s="65" t="n">
        <f aca="false">IF(AND(J183&lt;&gt;"",'Historical Score'!$C$9&lt;&gt;""),IF(J183='Historical Score'!$C$9,1,0),0)</f>
        <v>0</v>
      </c>
      <c r="AV183" s="65" t="n">
        <f aca="false">AR183*AS183*AQ183</f>
        <v>0</v>
      </c>
      <c r="AW183" s="65" t="n">
        <f aca="false">AR183*AT183*AQ183</f>
        <v>0</v>
      </c>
      <c r="AX183" s="65" t="n">
        <f aca="false">AR183*AS183</f>
        <v>0</v>
      </c>
      <c r="AY183" s="65" t="n">
        <f aca="false">AR183*AT183</f>
        <v>0</v>
      </c>
      <c r="AZ183" s="65" t="n">
        <f aca="false">AR183*AQ183</f>
        <v>0</v>
      </c>
      <c r="BA183" s="65" t="n">
        <f aca="false">AR183</f>
        <v>1</v>
      </c>
      <c r="BB183" s="65" t="n">
        <f aca="false">1</f>
        <v>1</v>
      </c>
      <c r="BC183" s="65" t="n">
        <f aca="false">IF(AV183=1,1,IF(AW183=1,2,IF(AX183=1,3,IF(AY183=1,4,IF(AZ183=1,5,IF(BA183=1,6,7))))))</f>
        <v>6</v>
      </c>
      <c r="BD183" s="65" t="n">
        <f aca="false">IF(AD183=1,CHOOSE('Historical Score'!$C$29,AV183,AW183,AX183,AY183,AZ183,BA183,BB183),0)</f>
        <v>0</v>
      </c>
      <c r="BE183" s="65" t="str">
        <f aca="false">IF(BD183=1,COUNTIF($BD$2:BD183,1),"")</f>
        <v/>
      </c>
    </row>
    <row r="184" customFormat="false" ht="15" hidden="false" customHeight="false" outlineLevel="0" collapsed="false">
      <c r="A184" s="65" t="s">
        <v>993</v>
      </c>
      <c r="B184" s="65" t="s">
        <v>670</v>
      </c>
      <c r="C184" s="65" t="s">
        <v>670</v>
      </c>
      <c r="D184" s="65" t="s">
        <v>371</v>
      </c>
      <c r="E184" s="112" t="n">
        <v>45869</v>
      </c>
      <c r="F184" s="112" t="n">
        <v>45953</v>
      </c>
      <c r="G184" s="65" t="n">
        <v>5</v>
      </c>
      <c r="H184" s="65" t="s">
        <v>409</v>
      </c>
      <c r="I184" s="65" t="s">
        <v>342</v>
      </c>
      <c r="J184" s="65" t="s">
        <v>671</v>
      </c>
      <c r="K184" s="65" t="s">
        <v>672</v>
      </c>
      <c r="L184" s="65" t="s">
        <v>320</v>
      </c>
      <c r="M184" s="113" t="n">
        <v>1.43</v>
      </c>
      <c r="N184" s="114" t="n">
        <v>18000</v>
      </c>
      <c r="O184" s="114" t="n">
        <v>1980</v>
      </c>
      <c r="P184" s="114" t="n">
        <v>25740</v>
      </c>
      <c r="Q184" s="114" t="n">
        <v>25740</v>
      </c>
      <c r="R184" s="114" t="n">
        <v>0</v>
      </c>
      <c r="S184" s="115" t="n">
        <v>1</v>
      </c>
      <c r="T184" s="65" t="n">
        <v>2.951</v>
      </c>
      <c r="U184" s="65" t="n">
        <v>0</v>
      </c>
      <c r="V184" s="65" t="n">
        <v>82755.78</v>
      </c>
      <c r="W184" s="115" t="n">
        <v>0.1058</v>
      </c>
      <c r="X184" s="112" t="n">
        <v>44378</v>
      </c>
      <c r="Y184" s="65" t="str">
        <f aca="false">IF(I184="","No SIC",IFERROR(VLOOKUP(I184,Ref!$A$2:$B$65,2,FALSE()),"Unclassified"))</f>
        <v>Eating &amp; Drinking Places</v>
      </c>
      <c r="Z184" s="65" t="str">
        <f aca="false">IF(T184="","",IF(T184&lt;12,"Daily","Weekly"))</f>
        <v>Daily</v>
      </c>
      <c r="AA184" s="65" t="n">
        <f aca="false">IF(T184="",0,IF(T184&lt;12,T184*Controls!$B$29,T184*5))</f>
        <v>63.903905</v>
      </c>
      <c r="AB184" s="65" t="n">
        <f aca="false">IF(E184="",0,NETWORKDAYS(E184,Controls!$B$36,Ref!$K$2:$K$42))</f>
        <v>269</v>
      </c>
      <c r="AC184" s="65" t="n">
        <f aca="false">IF(AND(AA184&gt;0,AB184&gt;=Controls!$B$39*AA184),1,0)</f>
        <v>1</v>
      </c>
      <c r="AD184" s="65" t="n">
        <f aca="false">IF(AND(E184&lt;&gt;"",E184&gt;=Controls!$B$37,E184&lt;=Controls!$B$38),1,0)</f>
        <v>1</v>
      </c>
      <c r="AE184" s="65" t="n">
        <f aca="false">IF(IFERROR(VLOOKUP(D184,Controls!$A$64:$E$74,2,FALSE()),"No")="Yes",1,0)</f>
        <v>0</v>
      </c>
      <c r="AF184" s="65" t="n">
        <f aca="false">IF(IFERROR(VLOOKUP(D184,Controls!$A$64:$E$74,3,FALSE()),"No")="Yes",1,0)</f>
        <v>1</v>
      </c>
      <c r="AG184" s="65" t="n">
        <f aca="false">IF(IFERROR(VLOOKUP(D184,Controls!$A$64:$E$74,4,FALSE()),"No")="Yes",1,0)</f>
        <v>1</v>
      </c>
      <c r="AH184" s="65" t="n">
        <f aca="false">IF(IFERROR(VLOOKUP(D184,Controls!$A$64:$E$74,5,FALSE()),"No")="Yes",1,0)</f>
        <v>0</v>
      </c>
      <c r="AI184" s="65" t="n">
        <f aca="false">IF(ISNUMBER(MATCH(D184,Controls!$A$64:$A$74,0)),1,0)</f>
        <v>1</v>
      </c>
      <c r="AJ184" s="65" t="n">
        <f aca="false">Q184-N184</f>
        <v>7740</v>
      </c>
      <c r="AK184" s="65" t="n">
        <f aca="false">IF(AE184=1,MAX(0,N184-Q184),0)</f>
        <v>0</v>
      </c>
      <c r="AL184" s="65" t="n">
        <f aca="false">IF(OR(V184="",V184=0),0,N184/V184)</f>
        <v>0.217507465943769</v>
      </c>
      <c r="AM184" s="65" t="n">
        <f aca="false">IF(OR(V184="",V184=0),0,1)</f>
        <v>1</v>
      </c>
      <c r="AN184" s="65" t="n">
        <f aca="false">IF(OR(E184="",F184=""),0,NETWORKDAYS(E184,F184,Ref!$K$2:$K$42))</f>
        <v>59</v>
      </c>
      <c r="AO184" s="65" t="n">
        <f aca="false">IF(L184="Renewal",1,0)</f>
        <v>1</v>
      </c>
      <c r="AP184" s="65" t="n">
        <f aca="false">AC184*AD184</f>
        <v>1</v>
      </c>
      <c r="AQ184" s="65" t="n">
        <f aca="false">IF(AND(G184&lt;&gt;"",'Historical Score'!$C$6&lt;&gt;""),IF(G184='Historical Score'!$C$6,1,0),0)</f>
        <v>0</v>
      </c>
      <c r="AR184" s="65" t="n">
        <f aca="false">IF(AND(L184&lt;&gt;"",'Historical Score'!$C$5&lt;&gt;""),IF(L184='Historical Score'!$C$5,1,0),0)</f>
        <v>0</v>
      </c>
      <c r="AS184" s="65" t="n">
        <f aca="false">IF(AND(Y184&lt;&gt;"",'Historical Score'!$C$7&lt;&gt;""),IF(Y184='Historical Score'!$C$7,1,0),0)</f>
        <v>0</v>
      </c>
      <c r="AT184" s="65" t="n">
        <f aca="false">IF(AND(K184&lt;&gt;"",'Historical Score'!$C$8&lt;&gt;""),IF(K184='Historical Score'!$C$8,1,0),0)</f>
        <v>0</v>
      </c>
      <c r="AU184" s="65" t="n">
        <f aca="false">IF(AND(J184&lt;&gt;"",'Historical Score'!$C$9&lt;&gt;""),IF(J184='Historical Score'!$C$9,1,0),0)</f>
        <v>0</v>
      </c>
      <c r="AV184" s="65" t="n">
        <f aca="false">AR184*AS184*AQ184</f>
        <v>0</v>
      </c>
      <c r="AW184" s="65" t="n">
        <f aca="false">AR184*AT184*AQ184</f>
        <v>0</v>
      </c>
      <c r="AX184" s="65" t="n">
        <f aca="false">AR184*AS184</f>
        <v>0</v>
      </c>
      <c r="AY184" s="65" t="n">
        <f aca="false">AR184*AT184</f>
        <v>0</v>
      </c>
      <c r="AZ184" s="65" t="n">
        <f aca="false">AR184*AQ184</f>
        <v>0</v>
      </c>
      <c r="BA184" s="65" t="n">
        <f aca="false">AR184</f>
        <v>0</v>
      </c>
      <c r="BB184" s="65" t="n">
        <f aca="false">1</f>
        <v>1</v>
      </c>
      <c r="BC184" s="65" t="n">
        <f aca="false">IF(AV184=1,1,IF(AW184=1,2,IF(AX184=1,3,IF(AY184=1,4,IF(AZ184=1,5,IF(BA184=1,6,7))))))</f>
        <v>7</v>
      </c>
      <c r="BD184" s="65" t="n">
        <f aca="false">IF(AD184=1,CHOOSE('Historical Score'!$C$29,AV184,AW184,AX184,AY184,AZ184,BA184,BB184),0)</f>
        <v>0</v>
      </c>
      <c r="BE184" s="65" t="str">
        <f aca="false">IF(BD184=1,COUNTIF($BD$2:BD184,1),"")</f>
        <v/>
      </c>
    </row>
    <row r="185" customFormat="false" ht="15" hidden="false" customHeight="false" outlineLevel="0" collapsed="false">
      <c r="A185" s="65" t="s">
        <v>994</v>
      </c>
      <c r="B185" s="65" t="s">
        <v>995</v>
      </c>
      <c r="C185" s="65" t="s">
        <v>995</v>
      </c>
      <c r="D185" s="65" t="s">
        <v>371</v>
      </c>
      <c r="E185" s="112" t="n">
        <v>45873</v>
      </c>
      <c r="F185" s="112" t="n">
        <v>45975</v>
      </c>
      <c r="G185" s="65" t="n">
        <v>1</v>
      </c>
      <c r="H185" s="65" t="s">
        <v>479</v>
      </c>
      <c r="I185" s="65" t="s">
        <v>356</v>
      </c>
      <c r="J185" s="65" t="s">
        <v>732</v>
      </c>
      <c r="K185" s="65" t="s">
        <v>996</v>
      </c>
      <c r="L185" s="65" t="s">
        <v>64</v>
      </c>
      <c r="M185" s="113" t="n">
        <v>1.499</v>
      </c>
      <c r="N185" s="114" t="n">
        <v>5000</v>
      </c>
      <c r="O185" s="114" t="n">
        <v>700</v>
      </c>
      <c r="P185" s="114" t="n">
        <v>7495</v>
      </c>
      <c r="Q185" s="114" t="n">
        <v>7495</v>
      </c>
      <c r="R185" s="114" t="n">
        <v>9.09494701772928E-013</v>
      </c>
      <c r="S185" s="115" t="n">
        <v>1</v>
      </c>
      <c r="T185" s="65" t="n">
        <v>1.967</v>
      </c>
      <c r="U185" s="65" t="n">
        <v>5</v>
      </c>
      <c r="V185" s="65" t="n">
        <v>88870.11</v>
      </c>
      <c r="W185" s="115" t="n">
        <v>0.0293</v>
      </c>
      <c r="X185" s="112" t="n">
        <v>45258</v>
      </c>
      <c r="Y185" s="65" t="str">
        <f aca="false">IF(I185="","No SIC",IFERROR(VLOOKUP(I185,Ref!$A$2:$B$65,2,FALSE()),"Unclassified"))</f>
        <v>Trucking &amp; Warehousing</v>
      </c>
      <c r="Z185" s="65" t="str">
        <f aca="false">IF(T185="","",IF(T185&lt;12,"Daily","Weekly"))</f>
        <v>Daily</v>
      </c>
      <c r="AA185" s="65" t="n">
        <f aca="false">IF(T185="",0,IF(T185&lt;12,T185*Controls!$B$29,T185*5))</f>
        <v>42.595385</v>
      </c>
      <c r="AB185" s="65" t="n">
        <f aca="false">IF(E185="",0,NETWORKDAYS(E185,Controls!$B$36,Ref!$K$2:$K$42))</f>
        <v>267</v>
      </c>
      <c r="AC185" s="65" t="n">
        <f aca="false">IF(AND(AA185&gt;0,AB185&gt;=Controls!$B$39*AA185),1,0)</f>
        <v>1</v>
      </c>
      <c r="AD185" s="65" t="n">
        <f aca="false">IF(AND(E185&lt;&gt;"",E185&gt;=Controls!$B$37,E185&lt;=Controls!$B$38),1,0)</f>
        <v>1</v>
      </c>
      <c r="AE185" s="65" t="n">
        <f aca="false">IF(IFERROR(VLOOKUP(D185,Controls!$A$64:$E$74,2,FALSE()),"No")="Yes",1,0)</f>
        <v>0</v>
      </c>
      <c r="AF185" s="65" t="n">
        <f aca="false">IF(IFERROR(VLOOKUP(D185,Controls!$A$64:$E$74,3,FALSE()),"No")="Yes",1,0)</f>
        <v>1</v>
      </c>
      <c r="AG185" s="65" t="n">
        <f aca="false">IF(IFERROR(VLOOKUP(D185,Controls!$A$64:$E$74,4,FALSE()),"No")="Yes",1,0)</f>
        <v>1</v>
      </c>
      <c r="AH185" s="65" t="n">
        <f aca="false">IF(IFERROR(VLOOKUP(D185,Controls!$A$64:$E$74,5,FALSE()),"No")="Yes",1,0)</f>
        <v>0</v>
      </c>
      <c r="AI185" s="65" t="n">
        <f aca="false">IF(ISNUMBER(MATCH(D185,Controls!$A$64:$A$74,0)),1,0)</f>
        <v>1</v>
      </c>
      <c r="AJ185" s="65" t="n">
        <f aca="false">Q185-N185</f>
        <v>2495</v>
      </c>
      <c r="AK185" s="65" t="n">
        <f aca="false">IF(AE185=1,MAX(0,N185-Q185),0)</f>
        <v>0</v>
      </c>
      <c r="AL185" s="65" t="n">
        <f aca="false">IF(OR(V185="",V185=0),0,N185/V185)</f>
        <v>0.0562618860266967</v>
      </c>
      <c r="AM185" s="65" t="n">
        <f aca="false">IF(OR(V185="",V185=0),0,1)</f>
        <v>1</v>
      </c>
      <c r="AN185" s="65" t="n">
        <f aca="false">IF(OR(E185="",F185=""),0,NETWORKDAYS(E185,F185,Ref!$K$2:$K$42))</f>
        <v>72</v>
      </c>
      <c r="AO185" s="65" t="n">
        <f aca="false">IF(L185="Renewal",1,0)</f>
        <v>0</v>
      </c>
      <c r="AP185" s="65" t="n">
        <f aca="false">AC185*AD185</f>
        <v>1</v>
      </c>
      <c r="AQ185" s="65" t="n">
        <f aca="false">IF(AND(G185&lt;&gt;"",'Historical Score'!$C$6&lt;&gt;""),IF(G185='Historical Score'!$C$6,1,0),0)</f>
        <v>0</v>
      </c>
      <c r="AR185" s="65" t="n">
        <f aca="false">IF(AND(L185&lt;&gt;"",'Historical Score'!$C$5&lt;&gt;""),IF(L185='Historical Score'!$C$5,1,0),0)</f>
        <v>1</v>
      </c>
      <c r="AS185" s="65" t="n">
        <f aca="false">IF(AND(Y185&lt;&gt;"",'Historical Score'!$C$7&lt;&gt;""),IF(Y185='Historical Score'!$C$7,1,0),0)</f>
        <v>0</v>
      </c>
      <c r="AT185" s="65" t="n">
        <f aca="false">IF(AND(K185&lt;&gt;"",'Historical Score'!$C$8&lt;&gt;""),IF(K185='Historical Score'!$C$8,1,0),0)</f>
        <v>0</v>
      </c>
      <c r="AU185" s="65" t="n">
        <f aca="false">IF(AND(J185&lt;&gt;"",'Historical Score'!$C$9&lt;&gt;""),IF(J185='Historical Score'!$C$9,1,0),0)</f>
        <v>0</v>
      </c>
      <c r="AV185" s="65" t="n">
        <f aca="false">AR185*AS185*AQ185</f>
        <v>0</v>
      </c>
      <c r="AW185" s="65" t="n">
        <f aca="false">AR185*AT185*AQ185</f>
        <v>0</v>
      </c>
      <c r="AX185" s="65" t="n">
        <f aca="false">AR185*AS185</f>
        <v>0</v>
      </c>
      <c r="AY185" s="65" t="n">
        <f aca="false">AR185*AT185</f>
        <v>0</v>
      </c>
      <c r="AZ185" s="65" t="n">
        <f aca="false">AR185*AQ185</f>
        <v>0</v>
      </c>
      <c r="BA185" s="65" t="n">
        <f aca="false">AR185</f>
        <v>1</v>
      </c>
      <c r="BB185" s="65" t="n">
        <f aca="false">1</f>
        <v>1</v>
      </c>
      <c r="BC185" s="65" t="n">
        <f aca="false">IF(AV185=1,1,IF(AW185=1,2,IF(AX185=1,3,IF(AY185=1,4,IF(AZ185=1,5,IF(BA185=1,6,7))))))</f>
        <v>6</v>
      </c>
      <c r="BD185" s="65" t="n">
        <f aca="false">IF(AD185=1,CHOOSE('Historical Score'!$C$29,AV185,AW185,AX185,AY185,AZ185,BA185,BB185),0)</f>
        <v>0</v>
      </c>
      <c r="BE185" s="65" t="str">
        <f aca="false">IF(BD185=1,COUNTIF($BD$2:BD185,1),"")</f>
        <v/>
      </c>
    </row>
    <row r="186" customFormat="false" ht="15" hidden="false" customHeight="false" outlineLevel="0" collapsed="false">
      <c r="A186" s="65" t="s">
        <v>997</v>
      </c>
      <c r="B186" s="65" t="s">
        <v>998</v>
      </c>
      <c r="C186" s="65" t="s">
        <v>999</v>
      </c>
      <c r="D186" s="65" t="s">
        <v>340</v>
      </c>
      <c r="E186" s="112" t="n">
        <v>45874</v>
      </c>
      <c r="F186" s="112" t="n">
        <v>45889</v>
      </c>
      <c r="G186" s="65" t="n">
        <v>2</v>
      </c>
      <c r="H186" s="65" t="s">
        <v>442</v>
      </c>
      <c r="I186" s="65" t="s">
        <v>443</v>
      </c>
      <c r="J186" s="65" t="s">
        <v>510</v>
      </c>
      <c r="K186" s="65" t="s">
        <v>1000</v>
      </c>
      <c r="L186" s="65" t="s">
        <v>64</v>
      </c>
      <c r="M186" s="113" t="n">
        <v>1.499</v>
      </c>
      <c r="N186" s="114" t="n">
        <v>20000</v>
      </c>
      <c r="O186" s="114" t="n">
        <v>2400</v>
      </c>
      <c r="P186" s="114" t="n">
        <v>29980</v>
      </c>
      <c r="Q186" s="114" t="n">
        <v>3350.52</v>
      </c>
      <c r="R186" s="114" t="n">
        <v>26629.48</v>
      </c>
      <c r="S186" s="115" t="n">
        <v>0.111758505670447</v>
      </c>
      <c r="T186" s="65" t="n">
        <v>2.623</v>
      </c>
      <c r="U186" s="65" t="n">
        <v>3</v>
      </c>
      <c r="V186" s="65" t="n">
        <v>132060.2</v>
      </c>
      <c r="W186" s="115" t="n">
        <v>0.0592</v>
      </c>
      <c r="X186" s="112"/>
      <c r="Y186" s="65" t="str">
        <f aca="false">IF(I186="","No SIC",IFERROR(VLOOKUP(I186,Ref!$A$2:$B$65,2,FALSE()),"Unclassified"))</f>
        <v>General Building Contractors</v>
      </c>
      <c r="Z186" s="65" t="str">
        <f aca="false">IF(T186="","",IF(T186&lt;12,"Daily","Weekly"))</f>
        <v>Daily</v>
      </c>
      <c r="AA186" s="65" t="n">
        <f aca="false">IF(T186="",0,IF(T186&lt;12,T186*Controls!$B$29,T186*5))</f>
        <v>56.801065</v>
      </c>
      <c r="AB186" s="65" t="n">
        <f aca="false">IF(E186="",0,NETWORKDAYS(E186,Controls!$B$36,Ref!$K$2:$K$42))</f>
        <v>266</v>
      </c>
      <c r="AC186" s="65" t="n">
        <f aca="false">IF(AND(AA186&gt;0,AB186&gt;=Controls!$B$39*AA186),1,0)</f>
        <v>1</v>
      </c>
      <c r="AD186" s="65" t="n">
        <f aca="false">IF(AND(E186&lt;&gt;"",E186&gt;=Controls!$B$37,E186&lt;=Controls!$B$38),1,0)</f>
        <v>1</v>
      </c>
      <c r="AE186" s="65" t="n">
        <f aca="false">IF(IFERROR(VLOOKUP(D186,Controls!$A$64:$E$74,2,FALSE()),"No")="Yes",1,0)</f>
        <v>1</v>
      </c>
      <c r="AF186" s="65" t="n">
        <f aca="false">IF(IFERROR(VLOOKUP(D186,Controls!$A$64:$E$74,3,FALSE()),"No")="Yes",1,0)</f>
        <v>0</v>
      </c>
      <c r="AG186" s="65" t="n">
        <f aca="false">IF(IFERROR(VLOOKUP(D186,Controls!$A$64:$E$74,4,FALSE()),"No")="Yes",1,0)</f>
        <v>0</v>
      </c>
      <c r="AH186" s="65" t="n">
        <f aca="false">IF(IFERROR(VLOOKUP(D186,Controls!$A$64:$E$74,5,FALSE()),"No")="Yes",1,0)</f>
        <v>0</v>
      </c>
      <c r="AI186" s="65" t="n">
        <f aca="false">IF(ISNUMBER(MATCH(D186,Controls!$A$64:$A$74,0)),1,0)</f>
        <v>1</v>
      </c>
      <c r="AJ186" s="65" t="n">
        <f aca="false">Q186-N186</f>
        <v>-16649.48</v>
      </c>
      <c r="AK186" s="65" t="n">
        <f aca="false">IF(AE186=1,MAX(0,N186-Q186),0)</f>
        <v>16649.48</v>
      </c>
      <c r="AL186" s="65" t="n">
        <f aca="false">IF(OR(V186="",V186=0),0,N186/V186)</f>
        <v>0.151446082922788</v>
      </c>
      <c r="AM186" s="65" t="n">
        <f aca="false">IF(OR(V186="",V186=0),0,1)</f>
        <v>1</v>
      </c>
      <c r="AN186" s="65" t="n">
        <f aca="false">IF(OR(E186="",F186=""),0,NETWORKDAYS(E186,F186,Ref!$K$2:$K$42))</f>
        <v>12</v>
      </c>
      <c r="AO186" s="65" t="n">
        <f aca="false">IF(L186="Renewal",1,0)</f>
        <v>0</v>
      </c>
      <c r="AP186" s="65" t="n">
        <f aca="false">AC186*AD186</f>
        <v>1</v>
      </c>
      <c r="AQ186" s="65" t="n">
        <f aca="false">IF(AND(G186&lt;&gt;"",'Historical Score'!$C$6&lt;&gt;""),IF(G186='Historical Score'!$C$6,1,0),0)</f>
        <v>1</v>
      </c>
      <c r="AR186" s="65" t="n">
        <f aca="false">IF(AND(L186&lt;&gt;"",'Historical Score'!$C$5&lt;&gt;""),IF(L186='Historical Score'!$C$5,1,0),0)</f>
        <v>1</v>
      </c>
      <c r="AS186" s="65" t="n">
        <f aca="false">IF(AND(Y186&lt;&gt;"",'Historical Score'!$C$7&lt;&gt;""),IF(Y186='Historical Score'!$C$7,1,0),0)</f>
        <v>1</v>
      </c>
      <c r="AT186" s="65" t="n">
        <f aca="false">IF(AND(K186&lt;&gt;"",'Historical Score'!$C$8&lt;&gt;""),IF(K186='Historical Score'!$C$8,1,0),0)</f>
        <v>0</v>
      </c>
      <c r="AU186" s="65" t="n">
        <f aca="false">IF(AND(J186&lt;&gt;"",'Historical Score'!$C$9&lt;&gt;""),IF(J186='Historical Score'!$C$9,1,0),0)</f>
        <v>0</v>
      </c>
      <c r="AV186" s="65" t="n">
        <f aca="false">AR186*AS186*AQ186</f>
        <v>1</v>
      </c>
      <c r="AW186" s="65" t="n">
        <f aca="false">AR186*AT186*AQ186</f>
        <v>0</v>
      </c>
      <c r="AX186" s="65" t="n">
        <f aca="false">AR186*AS186</f>
        <v>1</v>
      </c>
      <c r="AY186" s="65" t="n">
        <f aca="false">AR186*AT186</f>
        <v>0</v>
      </c>
      <c r="AZ186" s="65" t="n">
        <f aca="false">AR186*AQ186</f>
        <v>1</v>
      </c>
      <c r="BA186" s="65" t="n">
        <f aca="false">AR186</f>
        <v>1</v>
      </c>
      <c r="BB186" s="65" t="n">
        <f aca="false">1</f>
        <v>1</v>
      </c>
      <c r="BC186" s="65" t="n">
        <f aca="false">IF(AV186=1,1,IF(AW186=1,2,IF(AX186=1,3,IF(AY186=1,4,IF(AZ186=1,5,IF(BA186=1,6,7))))))</f>
        <v>1</v>
      </c>
      <c r="BD186" s="65" t="n">
        <f aca="false">IF(AD186=1,CHOOSE('Historical Score'!$C$29,AV186,AW186,AX186,AY186,AZ186,BA186,BB186),0)</f>
        <v>1</v>
      </c>
      <c r="BE186" s="65" t="n">
        <f aca="false">IF(BD186=1,COUNTIF($BD$2:BD186,1),"")</f>
        <v>5</v>
      </c>
    </row>
    <row r="187" customFormat="false" ht="15" hidden="false" customHeight="false" outlineLevel="0" collapsed="false">
      <c r="A187" s="65" t="s">
        <v>1001</v>
      </c>
      <c r="B187" s="65" t="s">
        <v>1002</v>
      </c>
      <c r="C187" s="65" t="s">
        <v>1003</v>
      </c>
      <c r="D187" s="65" t="s">
        <v>371</v>
      </c>
      <c r="E187" s="112" t="n">
        <v>45874</v>
      </c>
      <c r="F187" s="112" t="n">
        <v>45915</v>
      </c>
      <c r="G187" s="65" t="n">
        <v>2</v>
      </c>
      <c r="H187" s="65" t="s">
        <v>479</v>
      </c>
      <c r="I187" s="65" t="s">
        <v>356</v>
      </c>
      <c r="J187" s="65" t="s">
        <v>452</v>
      </c>
      <c r="K187" s="65" t="s">
        <v>578</v>
      </c>
      <c r="L187" s="65" t="s">
        <v>64</v>
      </c>
      <c r="M187" s="113" t="n">
        <v>1.49</v>
      </c>
      <c r="N187" s="114" t="n">
        <v>12000</v>
      </c>
      <c r="O187" s="114" t="n">
        <v>1680</v>
      </c>
      <c r="P187" s="114" t="n">
        <v>17880</v>
      </c>
      <c r="Q187" s="114" t="n">
        <v>17880</v>
      </c>
      <c r="R187" s="114" t="n">
        <v>0</v>
      </c>
      <c r="S187" s="115" t="n">
        <v>1</v>
      </c>
      <c r="T187" s="65" t="n">
        <v>1.639</v>
      </c>
      <c r="U187" s="65" t="n">
        <v>0</v>
      </c>
      <c r="V187" s="65" t="n">
        <v>47015.44</v>
      </c>
      <c r="W187" s="115" t="n">
        <v>0.1597</v>
      </c>
      <c r="X187" s="112"/>
      <c r="Y187" s="65" t="str">
        <f aca="false">IF(I187="","No SIC",IFERROR(VLOOKUP(I187,Ref!$A$2:$B$65,2,FALSE()),"Unclassified"))</f>
        <v>Trucking &amp; Warehousing</v>
      </c>
      <c r="Z187" s="65" t="str">
        <f aca="false">IF(T187="","",IF(T187&lt;12,"Daily","Weekly"))</f>
        <v>Daily</v>
      </c>
      <c r="AA187" s="65" t="n">
        <f aca="false">IF(T187="",0,IF(T187&lt;12,T187*Controls!$B$29,T187*5))</f>
        <v>35.492545</v>
      </c>
      <c r="AB187" s="65" t="n">
        <f aca="false">IF(E187="",0,NETWORKDAYS(E187,Controls!$B$36,Ref!$K$2:$K$42))</f>
        <v>266</v>
      </c>
      <c r="AC187" s="65" t="n">
        <f aca="false">IF(AND(AA187&gt;0,AB187&gt;=Controls!$B$39*AA187),1,0)</f>
        <v>1</v>
      </c>
      <c r="AD187" s="65" t="n">
        <f aca="false">IF(AND(E187&lt;&gt;"",E187&gt;=Controls!$B$37,E187&lt;=Controls!$B$38),1,0)</f>
        <v>1</v>
      </c>
      <c r="AE187" s="65" t="n">
        <f aca="false">IF(IFERROR(VLOOKUP(D187,Controls!$A$64:$E$74,2,FALSE()),"No")="Yes",1,0)</f>
        <v>0</v>
      </c>
      <c r="AF187" s="65" t="n">
        <f aca="false">IF(IFERROR(VLOOKUP(D187,Controls!$A$64:$E$74,3,FALSE()),"No")="Yes",1,0)</f>
        <v>1</v>
      </c>
      <c r="AG187" s="65" t="n">
        <f aca="false">IF(IFERROR(VLOOKUP(D187,Controls!$A$64:$E$74,4,FALSE()),"No")="Yes",1,0)</f>
        <v>1</v>
      </c>
      <c r="AH187" s="65" t="n">
        <f aca="false">IF(IFERROR(VLOOKUP(D187,Controls!$A$64:$E$74,5,FALSE()),"No")="Yes",1,0)</f>
        <v>0</v>
      </c>
      <c r="AI187" s="65" t="n">
        <f aca="false">IF(ISNUMBER(MATCH(D187,Controls!$A$64:$A$74,0)),1,0)</f>
        <v>1</v>
      </c>
      <c r="AJ187" s="65" t="n">
        <f aca="false">Q187-N187</f>
        <v>5880</v>
      </c>
      <c r="AK187" s="65" t="n">
        <f aca="false">IF(AE187=1,MAX(0,N187-Q187),0)</f>
        <v>0</v>
      </c>
      <c r="AL187" s="65" t="n">
        <f aca="false">IF(OR(V187="",V187=0),0,N187/V187)</f>
        <v>0.255235301424383</v>
      </c>
      <c r="AM187" s="65" t="n">
        <f aca="false">IF(OR(V187="",V187=0),0,1)</f>
        <v>1</v>
      </c>
      <c r="AN187" s="65" t="n">
        <f aca="false">IF(OR(E187="",F187=""),0,NETWORKDAYS(E187,F187,Ref!$K$2:$K$42))</f>
        <v>29</v>
      </c>
      <c r="AO187" s="65" t="n">
        <f aca="false">IF(L187="Renewal",1,0)</f>
        <v>0</v>
      </c>
      <c r="AP187" s="65" t="n">
        <f aca="false">AC187*AD187</f>
        <v>1</v>
      </c>
      <c r="AQ187" s="65" t="n">
        <f aca="false">IF(AND(G187&lt;&gt;"",'Historical Score'!$C$6&lt;&gt;""),IF(G187='Historical Score'!$C$6,1,0),0)</f>
        <v>1</v>
      </c>
      <c r="AR187" s="65" t="n">
        <f aca="false">IF(AND(L187&lt;&gt;"",'Historical Score'!$C$5&lt;&gt;""),IF(L187='Historical Score'!$C$5,1,0),0)</f>
        <v>1</v>
      </c>
      <c r="AS187" s="65" t="n">
        <f aca="false">IF(AND(Y187&lt;&gt;"",'Historical Score'!$C$7&lt;&gt;""),IF(Y187='Historical Score'!$C$7,1,0),0)</f>
        <v>0</v>
      </c>
      <c r="AT187" s="65" t="n">
        <f aca="false">IF(AND(K187&lt;&gt;"",'Historical Score'!$C$8&lt;&gt;""),IF(K187='Historical Score'!$C$8,1,0),0)</f>
        <v>0</v>
      </c>
      <c r="AU187" s="65" t="n">
        <f aca="false">IF(AND(J187&lt;&gt;"",'Historical Score'!$C$9&lt;&gt;""),IF(J187='Historical Score'!$C$9,1,0),0)</f>
        <v>0</v>
      </c>
      <c r="AV187" s="65" t="n">
        <f aca="false">AR187*AS187*AQ187</f>
        <v>0</v>
      </c>
      <c r="AW187" s="65" t="n">
        <f aca="false">AR187*AT187*AQ187</f>
        <v>0</v>
      </c>
      <c r="AX187" s="65" t="n">
        <f aca="false">AR187*AS187</f>
        <v>0</v>
      </c>
      <c r="AY187" s="65" t="n">
        <f aca="false">AR187*AT187</f>
        <v>0</v>
      </c>
      <c r="AZ187" s="65" t="n">
        <f aca="false">AR187*AQ187</f>
        <v>1</v>
      </c>
      <c r="BA187" s="65" t="n">
        <f aca="false">AR187</f>
        <v>1</v>
      </c>
      <c r="BB187" s="65" t="n">
        <f aca="false">1</f>
        <v>1</v>
      </c>
      <c r="BC187" s="65" t="n">
        <f aca="false">IF(AV187=1,1,IF(AW187=1,2,IF(AX187=1,3,IF(AY187=1,4,IF(AZ187=1,5,IF(BA187=1,6,7))))))</f>
        <v>5</v>
      </c>
      <c r="BD187" s="65" t="n">
        <f aca="false">IF(AD187=1,CHOOSE('Historical Score'!$C$29,AV187,AW187,AX187,AY187,AZ187,BA187,BB187),0)</f>
        <v>0</v>
      </c>
      <c r="BE187" s="65" t="str">
        <f aca="false">IF(BD187=1,COUNTIF($BD$2:BD187,1),"")</f>
        <v/>
      </c>
    </row>
    <row r="188" customFormat="false" ht="15" hidden="false" customHeight="false" outlineLevel="0" collapsed="false">
      <c r="A188" s="65" t="s">
        <v>1004</v>
      </c>
      <c r="B188" s="65" t="s">
        <v>1005</v>
      </c>
      <c r="C188" s="65" t="s">
        <v>1005</v>
      </c>
      <c r="D188" s="65" t="s">
        <v>340</v>
      </c>
      <c r="E188" s="112" t="n">
        <v>45875</v>
      </c>
      <c r="F188" s="112" t="n">
        <v>45891</v>
      </c>
      <c r="G188" s="65" t="n">
        <v>5</v>
      </c>
      <c r="H188" s="65" t="s">
        <v>442</v>
      </c>
      <c r="I188" s="65" t="s">
        <v>443</v>
      </c>
      <c r="J188" s="65" t="s">
        <v>671</v>
      </c>
      <c r="K188" s="65" t="s">
        <v>55</v>
      </c>
      <c r="L188" s="65" t="s">
        <v>64</v>
      </c>
      <c r="M188" s="113" t="n">
        <v>1.499</v>
      </c>
      <c r="N188" s="114" t="n">
        <v>15000</v>
      </c>
      <c r="O188" s="114" t="n">
        <v>2100</v>
      </c>
      <c r="P188" s="114" t="n">
        <v>22485</v>
      </c>
      <c r="Q188" s="114" t="n">
        <v>1861.95</v>
      </c>
      <c r="R188" s="114" t="n">
        <v>20623.05</v>
      </c>
      <c r="S188" s="115" t="n">
        <v>0.0828085390260173</v>
      </c>
      <c r="T188" s="65" t="n">
        <v>1.967</v>
      </c>
      <c r="U188" s="65" t="n">
        <v>7</v>
      </c>
      <c r="V188" s="65" t="n">
        <v>99494.15</v>
      </c>
      <c r="W188" s="115" t="n">
        <v>0.0786</v>
      </c>
      <c r="X188" s="112" t="n">
        <v>44958</v>
      </c>
      <c r="Y188" s="65" t="str">
        <f aca="false">IF(I188="","No SIC",IFERROR(VLOOKUP(I188,Ref!$A$2:$B$65,2,FALSE()),"Unclassified"))</f>
        <v>General Building Contractors</v>
      </c>
      <c r="Z188" s="65" t="str">
        <f aca="false">IF(T188="","",IF(T188&lt;12,"Daily","Weekly"))</f>
        <v>Daily</v>
      </c>
      <c r="AA188" s="65" t="n">
        <f aca="false">IF(T188="",0,IF(T188&lt;12,T188*Controls!$B$29,T188*5))</f>
        <v>42.595385</v>
      </c>
      <c r="AB188" s="65" t="n">
        <f aca="false">IF(E188="",0,NETWORKDAYS(E188,Controls!$B$36,Ref!$K$2:$K$42))</f>
        <v>265</v>
      </c>
      <c r="AC188" s="65" t="n">
        <f aca="false">IF(AND(AA188&gt;0,AB188&gt;=Controls!$B$39*AA188),1,0)</f>
        <v>1</v>
      </c>
      <c r="AD188" s="65" t="n">
        <f aca="false">IF(AND(E188&lt;&gt;"",E188&gt;=Controls!$B$37,E188&lt;=Controls!$B$38),1,0)</f>
        <v>1</v>
      </c>
      <c r="AE188" s="65" t="n">
        <f aca="false">IF(IFERROR(VLOOKUP(D188,Controls!$A$64:$E$74,2,FALSE()),"No")="Yes",1,0)</f>
        <v>1</v>
      </c>
      <c r="AF188" s="65" t="n">
        <f aca="false">IF(IFERROR(VLOOKUP(D188,Controls!$A$64:$E$74,3,FALSE()),"No")="Yes",1,0)</f>
        <v>0</v>
      </c>
      <c r="AG188" s="65" t="n">
        <f aca="false">IF(IFERROR(VLOOKUP(D188,Controls!$A$64:$E$74,4,FALSE()),"No")="Yes",1,0)</f>
        <v>0</v>
      </c>
      <c r="AH188" s="65" t="n">
        <f aca="false">IF(IFERROR(VLOOKUP(D188,Controls!$A$64:$E$74,5,FALSE()),"No")="Yes",1,0)</f>
        <v>0</v>
      </c>
      <c r="AI188" s="65" t="n">
        <f aca="false">IF(ISNUMBER(MATCH(D188,Controls!$A$64:$A$74,0)),1,0)</f>
        <v>1</v>
      </c>
      <c r="AJ188" s="65" t="n">
        <f aca="false">Q188-N188</f>
        <v>-13138.05</v>
      </c>
      <c r="AK188" s="65" t="n">
        <f aca="false">IF(AE188=1,MAX(0,N188-Q188),0)</f>
        <v>13138.05</v>
      </c>
      <c r="AL188" s="65" t="n">
        <f aca="false">IF(OR(V188="",V188=0),0,N188/V188)</f>
        <v>0.150762632777907</v>
      </c>
      <c r="AM188" s="65" t="n">
        <f aca="false">IF(OR(V188="",V188=0),0,1)</f>
        <v>1</v>
      </c>
      <c r="AN188" s="65" t="n">
        <f aca="false">IF(OR(E188="",F188=""),0,NETWORKDAYS(E188,F188,Ref!$K$2:$K$42))</f>
        <v>13</v>
      </c>
      <c r="AO188" s="65" t="n">
        <f aca="false">IF(L188="Renewal",1,0)</f>
        <v>0</v>
      </c>
      <c r="AP188" s="65" t="n">
        <f aca="false">AC188*AD188</f>
        <v>1</v>
      </c>
      <c r="AQ188" s="65" t="n">
        <f aca="false">IF(AND(G188&lt;&gt;"",'Historical Score'!$C$6&lt;&gt;""),IF(G188='Historical Score'!$C$6,1,0),0)</f>
        <v>0</v>
      </c>
      <c r="AR188" s="65" t="n">
        <f aca="false">IF(AND(L188&lt;&gt;"",'Historical Score'!$C$5&lt;&gt;""),IF(L188='Historical Score'!$C$5,1,0),0)</f>
        <v>1</v>
      </c>
      <c r="AS188" s="65" t="n">
        <f aca="false">IF(AND(Y188&lt;&gt;"",'Historical Score'!$C$7&lt;&gt;""),IF(Y188='Historical Score'!$C$7,1,0),0)</f>
        <v>1</v>
      </c>
      <c r="AT188" s="65" t="n">
        <f aca="false">IF(AND(K188&lt;&gt;"",'Historical Score'!$C$8&lt;&gt;""),IF(K188='Historical Score'!$C$8,1,0),0)</f>
        <v>1</v>
      </c>
      <c r="AU188" s="65" t="n">
        <f aca="false">IF(AND(J188&lt;&gt;"",'Historical Score'!$C$9&lt;&gt;""),IF(J188='Historical Score'!$C$9,1,0),0)</f>
        <v>0</v>
      </c>
      <c r="AV188" s="65" t="n">
        <f aca="false">AR188*AS188*AQ188</f>
        <v>0</v>
      </c>
      <c r="AW188" s="65" t="n">
        <f aca="false">AR188*AT188*AQ188</f>
        <v>0</v>
      </c>
      <c r="AX188" s="65" t="n">
        <f aca="false">AR188*AS188</f>
        <v>1</v>
      </c>
      <c r="AY188" s="65" t="n">
        <f aca="false">AR188*AT188</f>
        <v>1</v>
      </c>
      <c r="AZ188" s="65" t="n">
        <f aca="false">AR188*AQ188</f>
        <v>0</v>
      </c>
      <c r="BA188" s="65" t="n">
        <f aca="false">AR188</f>
        <v>1</v>
      </c>
      <c r="BB188" s="65" t="n">
        <f aca="false">1</f>
        <v>1</v>
      </c>
      <c r="BC188" s="65" t="n">
        <f aca="false">IF(AV188=1,1,IF(AW188=1,2,IF(AX188=1,3,IF(AY188=1,4,IF(AZ188=1,5,IF(BA188=1,6,7))))))</f>
        <v>3</v>
      </c>
      <c r="BD188" s="65" t="n">
        <f aca="false">IF(AD188=1,CHOOSE('Historical Score'!$C$29,AV188,AW188,AX188,AY188,AZ188,BA188,BB188),0)</f>
        <v>0</v>
      </c>
      <c r="BE188" s="65" t="str">
        <f aca="false">IF(BD188=1,COUNTIF($BD$2:BD188,1),"")</f>
        <v/>
      </c>
    </row>
    <row r="189" customFormat="false" ht="15" hidden="false" customHeight="false" outlineLevel="0" collapsed="false">
      <c r="A189" s="65" t="s">
        <v>1006</v>
      </c>
      <c r="B189" s="65" t="s">
        <v>1007</v>
      </c>
      <c r="C189" s="65" t="s">
        <v>1007</v>
      </c>
      <c r="D189" s="65" t="s">
        <v>371</v>
      </c>
      <c r="E189" s="112" t="n">
        <v>45875</v>
      </c>
      <c r="F189" s="112" t="n">
        <v>45961</v>
      </c>
      <c r="G189" s="65" t="n">
        <v>1</v>
      </c>
      <c r="H189" s="65" t="s">
        <v>748</v>
      </c>
      <c r="I189" s="65" t="s">
        <v>619</v>
      </c>
      <c r="J189" s="65" t="s">
        <v>762</v>
      </c>
      <c r="K189" s="65" t="s">
        <v>581</v>
      </c>
      <c r="L189" s="65" t="s">
        <v>64</v>
      </c>
      <c r="M189" s="113" t="n">
        <v>1.499</v>
      </c>
      <c r="N189" s="114" t="n">
        <v>3000</v>
      </c>
      <c r="O189" s="114" t="n">
        <v>420</v>
      </c>
      <c r="P189" s="114" t="n">
        <v>4497</v>
      </c>
      <c r="Q189" s="114" t="n">
        <v>4497</v>
      </c>
      <c r="R189" s="114" t="n">
        <v>0</v>
      </c>
      <c r="S189" s="115" t="n">
        <v>1</v>
      </c>
      <c r="T189" s="65" t="n">
        <v>1.967</v>
      </c>
      <c r="U189" s="65" t="n">
        <v>0</v>
      </c>
      <c r="V189" s="65" t="n">
        <v>9353.92</v>
      </c>
      <c r="W189" s="115" t="n">
        <v>0.2</v>
      </c>
      <c r="X189" s="112" t="n">
        <v>45243</v>
      </c>
      <c r="Y189" s="65" t="str">
        <f aca="false">IF(I189="","No SIC",IFERROR(VLOOKUP(I189,Ref!$A$2:$B$65,2,FALSE()),"Unclassified"))</f>
        <v>Miscellaneous Retail</v>
      </c>
      <c r="Z189" s="65" t="str">
        <f aca="false">IF(T189="","",IF(T189&lt;12,"Daily","Weekly"))</f>
        <v>Daily</v>
      </c>
      <c r="AA189" s="65" t="n">
        <f aca="false">IF(T189="",0,IF(T189&lt;12,T189*Controls!$B$29,T189*5))</f>
        <v>42.595385</v>
      </c>
      <c r="AB189" s="65" t="n">
        <f aca="false">IF(E189="",0,NETWORKDAYS(E189,Controls!$B$36,Ref!$K$2:$K$42))</f>
        <v>265</v>
      </c>
      <c r="AC189" s="65" t="n">
        <f aca="false">IF(AND(AA189&gt;0,AB189&gt;=Controls!$B$39*AA189),1,0)</f>
        <v>1</v>
      </c>
      <c r="AD189" s="65" t="n">
        <f aca="false">IF(AND(E189&lt;&gt;"",E189&gt;=Controls!$B$37,E189&lt;=Controls!$B$38),1,0)</f>
        <v>1</v>
      </c>
      <c r="AE189" s="65" t="n">
        <f aca="false">IF(IFERROR(VLOOKUP(D189,Controls!$A$64:$E$74,2,FALSE()),"No")="Yes",1,0)</f>
        <v>0</v>
      </c>
      <c r="AF189" s="65" t="n">
        <f aca="false">IF(IFERROR(VLOOKUP(D189,Controls!$A$64:$E$74,3,FALSE()),"No")="Yes",1,0)</f>
        <v>1</v>
      </c>
      <c r="AG189" s="65" t="n">
        <f aca="false">IF(IFERROR(VLOOKUP(D189,Controls!$A$64:$E$74,4,FALSE()),"No")="Yes",1,0)</f>
        <v>1</v>
      </c>
      <c r="AH189" s="65" t="n">
        <f aca="false">IF(IFERROR(VLOOKUP(D189,Controls!$A$64:$E$74,5,FALSE()),"No")="Yes",1,0)</f>
        <v>0</v>
      </c>
      <c r="AI189" s="65" t="n">
        <f aca="false">IF(ISNUMBER(MATCH(D189,Controls!$A$64:$A$74,0)),1,0)</f>
        <v>1</v>
      </c>
      <c r="AJ189" s="65" t="n">
        <f aca="false">Q189-N189</f>
        <v>1497</v>
      </c>
      <c r="AK189" s="65" t="n">
        <f aca="false">IF(AE189=1,MAX(0,N189-Q189),0)</f>
        <v>0</v>
      </c>
      <c r="AL189" s="65" t="n">
        <f aca="false">IF(OR(V189="",V189=0),0,N189/V189)</f>
        <v>0.32072115220143</v>
      </c>
      <c r="AM189" s="65" t="n">
        <f aca="false">IF(OR(V189="",V189=0),0,1)</f>
        <v>1</v>
      </c>
      <c r="AN189" s="65" t="n">
        <f aca="false">IF(OR(E189="",F189=""),0,NETWORKDAYS(E189,F189,Ref!$K$2:$K$42))</f>
        <v>61</v>
      </c>
      <c r="AO189" s="65" t="n">
        <f aca="false">IF(L189="Renewal",1,0)</f>
        <v>0</v>
      </c>
      <c r="AP189" s="65" t="n">
        <f aca="false">AC189*AD189</f>
        <v>1</v>
      </c>
      <c r="AQ189" s="65" t="n">
        <f aca="false">IF(AND(G189&lt;&gt;"",'Historical Score'!$C$6&lt;&gt;""),IF(G189='Historical Score'!$C$6,1,0),0)</f>
        <v>0</v>
      </c>
      <c r="AR189" s="65" t="n">
        <f aca="false">IF(AND(L189&lt;&gt;"",'Historical Score'!$C$5&lt;&gt;""),IF(L189='Historical Score'!$C$5,1,0),0)</f>
        <v>1</v>
      </c>
      <c r="AS189" s="65" t="n">
        <f aca="false">IF(AND(Y189&lt;&gt;"",'Historical Score'!$C$7&lt;&gt;""),IF(Y189='Historical Score'!$C$7,1,0),0)</f>
        <v>0</v>
      </c>
      <c r="AT189" s="65" t="n">
        <f aca="false">IF(AND(K189&lt;&gt;"",'Historical Score'!$C$8&lt;&gt;""),IF(K189='Historical Score'!$C$8,1,0),0)</f>
        <v>0</v>
      </c>
      <c r="AU189" s="65" t="n">
        <f aca="false">IF(AND(J189&lt;&gt;"",'Historical Score'!$C$9&lt;&gt;""),IF(J189='Historical Score'!$C$9,1,0),0)</f>
        <v>0</v>
      </c>
      <c r="AV189" s="65" t="n">
        <f aca="false">AR189*AS189*AQ189</f>
        <v>0</v>
      </c>
      <c r="AW189" s="65" t="n">
        <f aca="false">AR189*AT189*AQ189</f>
        <v>0</v>
      </c>
      <c r="AX189" s="65" t="n">
        <f aca="false">AR189*AS189</f>
        <v>0</v>
      </c>
      <c r="AY189" s="65" t="n">
        <f aca="false">AR189*AT189</f>
        <v>0</v>
      </c>
      <c r="AZ189" s="65" t="n">
        <f aca="false">AR189*AQ189</f>
        <v>0</v>
      </c>
      <c r="BA189" s="65" t="n">
        <f aca="false">AR189</f>
        <v>1</v>
      </c>
      <c r="BB189" s="65" t="n">
        <f aca="false">1</f>
        <v>1</v>
      </c>
      <c r="BC189" s="65" t="n">
        <f aca="false">IF(AV189=1,1,IF(AW189=1,2,IF(AX189=1,3,IF(AY189=1,4,IF(AZ189=1,5,IF(BA189=1,6,7))))))</f>
        <v>6</v>
      </c>
      <c r="BD189" s="65" t="n">
        <f aca="false">IF(AD189=1,CHOOSE('Historical Score'!$C$29,AV189,AW189,AX189,AY189,AZ189,BA189,BB189),0)</f>
        <v>0</v>
      </c>
      <c r="BE189" s="65" t="str">
        <f aca="false">IF(BD189=1,COUNTIF($BD$2:BD189,1),"")</f>
        <v/>
      </c>
    </row>
    <row r="190" customFormat="false" ht="15" hidden="false" customHeight="false" outlineLevel="0" collapsed="false">
      <c r="A190" s="65" t="s">
        <v>1008</v>
      </c>
      <c r="B190" s="65" t="s">
        <v>1009</v>
      </c>
      <c r="C190" s="65" t="s">
        <v>1009</v>
      </c>
      <c r="D190" s="65" t="s">
        <v>371</v>
      </c>
      <c r="E190" s="112" t="n">
        <v>45876</v>
      </c>
      <c r="F190" s="112" t="n">
        <v>45967</v>
      </c>
      <c r="G190" s="65" t="n">
        <v>6</v>
      </c>
      <c r="H190" s="65" t="s">
        <v>1010</v>
      </c>
      <c r="I190" s="65" t="s">
        <v>405</v>
      </c>
      <c r="J190" s="65" t="s">
        <v>671</v>
      </c>
      <c r="K190" s="65" t="s">
        <v>578</v>
      </c>
      <c r="L190" s="65" t="s">
        <v>64</v>
      </c>
      <c r="M190" s="113" t="n">
        <v>1.5</v>
      </c>
      <c r="N190" s="114" t="n">
        <v>20000</v>
      </c>
      <c r="O190" s="114" t="n">
        <v>2800</v>
      </c>
      <c r="P190" s="114" t="n">
        <v>30000</v>
      </c>
      <c r="Q190" s="114" t="n">
        <v>30000</v>
      </c>
      <c r="R190" s="114" t="n">
        <v>0</v>
      </c>
      <c r="S190" s="115" t="n">
        <v>1</v>
      </c>
      <c r="T190" s="65" t="n">
        <v>22</v>
      </c>
      <c r="U190" s="65" t="n">
        <v>0</v>
      </c>
      <c r="V190" s="65" t="n">
        <v>122458.04</v>
      </c>
      <c r="W190" s="115" t="n">
        <v>0.0466</v>
      </c>
      <c r="X190" s="112" t="n">
        <v>45876</v>
      </c>
      <c r="Y190" s="65" t="str">
        <f aca="false">IF(I190="","No SIC",IFERROR(VLOOKUP(I190,Ref!$A$2:$B$65,2,FALSE()),"Unclassified"))</f>
        <v>Health Services</v>
      </c>
      <c r="Z190" s="65" t="str">
        <f aca="false">IF(T190="","",IF(T190&lt;12,"Daily","Weekly"))</f>
        <v>Weekly</v>
      </c>
      <c r="AA190" s="65" t="n">
        <f aca="false">IF(T190="",0,IF(T190&lt;12,T190*Controls!$B$29,T190*5))</f>
        <v>110</v>
      </c>
      <c r="AB190" s="65" t="n">
        <f aca="false">IF(E190="",0,NETWORKDAYS(E190,Controls!$B$36,Ref!$K$2:$K$42))</f>
        <v>264</v>
      </c>
      <c r="AC190" s="65" t="n">
        <f aca="false">IF(AND(AA190&gt;0,AB190&gt;=Controls!$B$39*AA190),1,0)</f>
        <v>1</v>
      </c>
      <c r="AD190" s="65" t="n">
        <f aca="false">IF(AND(E190&lt;&gt;"",E190&gt;=Controls!$B$37,E190&lt;=Controls!$B$38),1,0)</f>
        <v>1</v>
      </c>
      <c r="AE190" s="65" t="n">
        <f aca="false">IF(IFERROR(VLOOKUP(D190,Controls!$A$64:$E$74,2,FALSE()),"No")="Yes",1,0)</f>
        <v>0</v>
      </c>
      <c r="AF190" s="65" t="n">
        <f aca="false">IF(IFERROR(VLOOKUP(D190,Controls!$A$64:$E$74,3,FALSE()),"No")="Yes",1,0)</f>
        <v>1</v>
      </c>
      <c r="AG190" s="65" t="n">
        <f aca="false">IF(IFERROR(VLOOKUP(D190,Controls!$A$64:$E$74,4,FALSE()),"No")="Yes",1,0)</f>
        <v>1</v>
      </c>
      <c r="AH190" s="65" t="n">
        <f aca="false">IF(IFERROR(VLOOKUP(D190,Controls!$A$64:$E$74,5,FALSE()),"No")="Yes",1,0)</f>
        <v>0</v>
      </c>
      <c r="AI190" s="65" t="n">
        <f aca="false">IF(ISNUMBER(MATCH(D190,Controls!$A$64:$A$74,0)),1,0)</f>
        <v>1</v>
      </c>
      <c r="AJ190" s="65" t="n">
        <f aca="false">Q190-N190</f>
        <v>10000</v>
      </c>
      <c r="AK190" s="65" t="n">
        <f aca="false">IF(AE190=1,MAX(0,N190-Q190),0)</f>
        <v>0</v>
      </c>
      <c r="AL190" s="65" t="n">
        <f aca="false">IF(OR(V190="",V190=0),0,N190/V190)</f>
        <v>0.163321248649742</v>
      </c>
      <c r="AM190" s="65" t="n">
        <f aca="false">IF(OR(V190="",V190=0),0,1)</f>
        <v>1</v>
      </c>
      <c r="AN190" s="65" t="n">
        <f aca="false">IF(OR(E190="",F190=""),0,NETWORKDAYS(E190,F190,Ref!$K$2:$K$42))</f>
        <v>64</v>
      </c>
      <c r="AO190" s="65" t="n">
        <f aca="false">IF(L190="Renewal",1,0)</f>
        <v>0</v>
      </c>
      <c r="AP190" s="65" t="n">
        <f aca="false">AC190*AD190</f>
        <v>1</v>
      </c>
      <c r="AQ190" s="65" t="n">
        <f aca="false">IF(AND(G190&lt;&gt;"",'Historical Score'!$C$6&lt;&gt;""),IF(G190='Historical Score'!$C$6,1,0),0)</f>
        <v>0</v>
      </c>
      <c r="AR190" s="65" t="n">
        <f aca="false">IF(AND(L190&lt;&gt;"",'Historical Score'!$C$5&lt;&gt;""),IF(L190='Historical Score'!$C$5,1,0),0)</f>
        <v>1</v>
      </c>
      <c r="AS190" s="65" t="n">
        <f aca="false">IF(AND(Y190&lt;&gt;"",'Historical Score'!$C$7&lt;&gt;""),IF(Y190='Historical Score'!$C$7,1,0),0)</f>
        <v>0</v>
      </c>
      <c r="AT190" s="65" t="n">
        <f aca="false">IF(AND(K190&lt;&gt;"",'Historical Score'!$C$8&lt;&gt;""),IF(K190='Historical Score'!$C$8,1,0),0)</f>
        <v>0</v>
      </c>
      <c r="AU190" s="65" t="n">
        <f aca="false">IF(AND(J190&lt;&gt;"",'Historical Score'!$C$9&lt;&gt;""),IF(J190='Historical Score'!$C$9,1,0),0)</f>
        <v>0</v>
      </c>
      <c r="AV190" s="65" t="n">
        <f aca="false">AR190*AS190*AQ190</f>
        <v>0</v>
      </c>
      <c r="AW190" s="65" t="n">
        <f aca="false">AR190*AT190*AQ190</f>
        <v>0</v>
      </c>
      <c r="AX190" s="65" t="n">
        <f aca="false">AR190*AS190</f>
        <v>0</v>
      </c>
      <c r="AY190" s="65" t="n">
        <f aca="false">AR190*AT190</f>
        <v>0</v>
      </c>
      <c r="AZ190" s="65" t="n">
        <f aca="false">AR190*AQ190</f>
        <v>0</v>
      </c>
      <c r="BA190" s="65" t="n">
        <f aca="false">AR190</f>
        <v>1</v>
      </c>
      <c r="BB190" s="65" t="n">
        <f aca="false">1</f>
        <v>1</v>
      </c>
      <c r="BC190" s="65" t="n">
        <f aca="false">IF(AV190=1,1,IF(AW190=1,2,IF(AX190=1,3,IF(AY190=1,4,IF(AZ190=1,5,IF(BA190=1,6,7))))))</f>
        <v>6</v>
      </c>
      <c r="BD190" s="65" t="n">
        <f aca="false">IF(AD190=1,CHOOSE('Historical Score'!$C$29,AV190,AW190,AX190,AY190,AZ190,BA190,BB190),0)</f>
        <v>0</v>
      </c>
      <c r="BE190" s="65" t="str">
        <f aca="false">IF(BD190=1,COUNTIF($BD$2:BD190,1),"")</f>
        <v/>
      </c>
    </row>
    <row r="191" customFormat="false" ht="15" hidden="false" customHeight="false" outlineLevel="0" collapsed="false">
      <c r="A191" s="65" t="s">
        <v>1011</v>
      </c>
      <c r="B191" s="65" t="s">
        <v>1012</v>
      </c>
      <c r="C191" s="65" t="s">
        <v>1012</v>
      </c>
      <c r="D191" s="65" t="s">
        <v>340</v>
      </c>
      <c r="E191" s="112" t="n">
        <v>45880</v>
      </c>
      <c r="F191" s="112" t="n">
        <v>45908</v>
      </c>
      <c r="G191" s="65" t="n">
        <v>2</v>
      </c>
      <c r="H191" s="65" t="s">
        <v>752</v>
      </c>
      <c r="I191" s="65" t="s">
        <v>405</v>
      </c>
      <c r="J191" s="65" t="s">
        <v>510</v>
      </c>
      <c r="K191" s="65" t="s">
        <v>529</v>
      </c>
      <c r="L191" s="65" t="s">
        <v>64</v>
      </c>
      <c r="M191" s="113" t="n">
        <v>1.5</v>
      </c>
      <c r="N191" s="114" t="n">
        <v>12000</v>
      </c>
      <c r="O191" s="114" t="n">
        <v>1680</v>
      </c>
      <c r="P191" s="114" t="n">
        <v>18000</v>
      </c>
      <c r="Q191" s="114" t="n">
        <v>3351.54</v>
      </c>
      <c r="R191" s="114" t="n">
        <v>14648.46</v>
      </c>
      <c r="S191" s="115" t="n">
        <v>0.186196666666667</v>
      </c>
      <c r="T191" s="65" t="n">
        <v>16</v>
      </c>
      <c r="U191" s="65" t="n">
        <v>1</v>
      </c>
      <c r="V191" s="65" t="n">
        <v>37902.61</v>
      </c>
      <c r="W191" s="115" t="n">
        <v>0.1179</v>
      </c>
      <c r="X191" s="112" t="n">
        <v>45189</v>
      </c>
      <c r="Y191" s="65" t="str">
        <f aca="false">IF(I191="","No SIC",IFERROR(VLOOKUP(I191,Ref!$A$2:$B$65,2,FALSE()),"Unclassified"))</f>
        <v>Health Services</v>
      </c>
      <c r="Z191" s="65" t="str">
        <f aca="false">IF(T191="","",IF(T191&lt;12,"Daily","Weekly"))</f>
        <v>Weekly</v>
      </c>
      <c r="AA191" s="65" t="n">
        <f aca="false">IF(T191="",0,IF(T191&lt;12,T191*Controls!$B$29,T191*5))</f>
        <v>80</v>
      </c>
      <c r="AB191" s="65" t="n">
        <f aca="false">IF(E191="",0,NETWORKDAYS(E191,Controls!$B$36,Ref!$K$2:$K$42))</f>
        <v>262</v>
      </c>
      <c r="AC191" s="65" t="n">
        <f aca="false">IF(AND(AA191&gt;0,AB191&gt;=Controls!$B$39*AA191),1,0)</f>
        <v>1</v>
      </c>
      <c r="AD191" s="65" t="n">
        <f aca="false">IF(AND(E191&lt;&gt;"",E191&gt;=Controls!$B$37,E191&lt;=Controls!$B$38),1,0)</f>
        <v>1</v>
      </c>
      <c r="AE191" s="65" t="n">
        <f aca="false">IF(IFERROR(VLOOKUP(D191,Controls!$A$64:$E$74,2,FALSE()),"No")="Yes",1,0)</f>
        <v>1</v>
      </c>
      <c r="AF191" s="65" t="n">
        <f aca="false">IF(IFERROR(VLOOKUP(D191,Controls!$A$64:$E$74,3,FALSE()),"No")="Yes",1,0)</f>
        <v>0</v>
      </c>
      <c r="AG191" s="65" t="n">
        <f aca="false">IF(IFERROR(VLOOKUP(D191,Controls!$A$64:$E$74,4,FALSE()),"No")="Yes",1,0)</f>
        <v>0</v>
      </c>
      <c r="AH191" s="65" t="n">
        <f aca="false">IF(IFERROR(VLOOKUP(D191,Controls!$A$64:$E$74,5,FALSE()),"No")="Yes",1,0)</f>
        <v>0</v>
      </c>
      <c r="AI191" s="65" t="n">
        <f aca="false">IF(ISNUMBER(MATCH(D191,Controls!$A$64:$A$74,0)),1,0)</f>
        <v>1</v>
      </c>
      <c r="AJ191" s="65" t="n">
        <f aca="false">Q191-N191</f>
        <v>-8648.46</v>
      </c>
      <c r="AK191" s="65" t="n">
        <f aca="false">IF(AE191=1,MAX(0,N191-Q191),0)</f>
        <v>8648.46</v>
      </c>
      <c r="AL191" s="65" t="n">
        <f aca="false">IF(OR(V191="",V191=0),0,N191/V191)</f>
        <v>0.31660088843486</v>
      </c>
      <c r="AM191" s="65" t="n">
        <f aca="false">IF(OR(V191="",V191=0),0,1)</f>
        <v>1</v>
      </c>
      <c r="AN191" s="65" t="n">
        <f aca="false">IF(OR(E191="",F191=""),0,NETWORKDAYS(E191,F191,Ref!$K$2:$K$42))</f>
        <v>20</v>
      </c>
      <c r="AO191" s="65" t="n">
        <f aca="false">IF(L191="Renewal",1,0)</f>
        <v>0</v>
      </c>
      <c r="AP191" s="65" t="n">
        <f aca="false">AC191*AD191</f>
        <v>1</v>
      </c>
      <c r="AQ191" s="65" t="n">
        <f aca="false">IF(AND(G191&lt;&gt;"",'Historical Score'!$C$6&lt;&gt;""),IF(G191='Historical Score'!$C$6,1,0),0)</f>
        <v>1</v>
      </c>
      <c r="AR191" s="65" t="n">
        <f aca="false">IF(AND(L191&lt;&gt;"",'Historical Score'!$C$5&lt;&gt;""),IF(L191='Historical Score'!$C$5,1,0),0)</f>
        <v>1</v>
      </c>
      <c r="AS191" s="65" t="n">
        <f aca="false">IF(AND(Y191&lt;&gt;"",'Historical Score'!$C$7&lt;&gt;""),IF(Y191='Historical Score'!$C$7,1,0),0)</f>
        <v>0</v>
      </c>
      <c r="AT191" s="65" t="n">
        <f aca="false">IF(AND(K191&lt;&gt;"",'Historical Score'!$C$8&lt;&gt;""),IF(K191='Historical Score'!$C$8,1,0),0)</f>
        <v>0</v>
      </c>
      <c r="AU191" s="65" t="n">
        <f aca="false">IF(AND(J191&lt;&gt;"",'Historical Score'!$C$9&lt;&gt;""),IF(J191='Historical Score'!$C$9,1,0),0)</f>
        <v>0</v>
      </c>
      <c r="AV191" s="65" t="n">
        <f aca="false">AR191*AS191*AQ191</f>
        <v>0</v>
      </c>
      <c r="AW191" s="65" t="n">
        <f aca="false">AR191*AT191*AQ191</f>
        <v>0</v>
      </c>
      <c r="AX191" s="65" t="n">
        <f aca="false">AR191*AS191</f>
        <v>0</v>
      </c>
      <c r="AY191" s="65" t="n">
        <f aca="false">AR191*AT191</f>
        <v>0</v>
      </c>
      <c r="AZ191" s="65" t="n">
        <f aca="false">AR191*AQ191</f>
        <v>1</v>
      </c>
      <c r="BA191" s="65" t="n">
        <f aca="false">AR191</f>
        <v>1</v>
      </c>
      <c r="BB191" s="65" t="n">
        <f aca="false">1</f>
        <v>1</v>
      </c>
      <c r="BC191" s="65" t="n">
        <f aca="false">IF(AV191=1,1,IF(AW191=1,2,IF(AX191=1,3,IF(AY191=1,4,IF(AZ191=1,5,IF(BA191=1,6,7))))))</f>
        <v>5</v>
      </c>
      <c r="BD191" s="65" t="n">
        <f aca="false">IF(AD191=1,CHOOSE('Historical Score'!$C$29,AV191,AW191,AX191,AY191,AZ191,BA191,BB191),0)</f>
        <v>0</v>
      </c>
      <c r="BE191" s="65" t="str">
        <f aca="false">IF(BD191=1,COUNTIF($BD$2:BD191,1),"")</f>
        <v/>
      </c>
    </row>
    <row r="192" customFormat="false" ht="15" hidden="false" customHeight="false" outlineLevel="0" collapsed="false">
      <c r="A192" s="65" t="s">
        <v>1013</v>
      </c>
      <c r="B192" s="65" t="s">
        <v>1014</v>
      </c>
      <c r="C192" s="65" t="s">
        <v>1014</v>
      </c>
      <c r="D192" s="65" t="s">
        <v>340</v>
      </c>
      <c r="E192" s="112" t="n">
        <v>45882</v>
      </c>
      <c r="F192" s="112" t="n">
        <v>45985</v>
      </c>
      <c r="G192" s="65" t="n">
        <v>3</v>
      </c>
      <c r="H192" s="65" t="s">
        <v>479</v>
      </c>
      <c r="I192" s="65" t="s">
        <v>356</v>
      </c>
      <c r="J192" s="65" t="s">
        <v>671</v>
      </c>
      <c r="K192" s="65" t="s">
        <v>465</v>
      </c>
      <c r="L192" s="65" t="s">
        <v>64</v>
      </c>
      <c r="M192" s="113" t="n">
        <v>1.499</v>
      </c>
      <c r="N192" s="114" t="n">
        <v>10000</v>
      </c>
      <c r="O192" s="114" t="n">
        <v>1400</v>
      </c>
      <c r="P192" s="114" t="n">
        <v>14990</v>
      </c>
      <c r="Q192" s="114" t="n">
        <v>7266.87</v>
      </c>
      <c r="R192" s="114" t="n">
        <v>7723.13</v>
      </c>
      <c r="S192" s="115" t="n">
        <v>0.484781187458306</v>
      </c>
      <c r="T192" s="65" t="n">
        <v>2.623</v>
      </c>
      <c r="U192" s="65" t="n">
        <v>24</v>
      </c>
      <c r="V192" s="65" t="n">
        <v>86571.36</v>
      </c>
      <c r="W192" s="115" t="n">
        <v>0.0452</v>
      </c>
      <c r="X192" s="112" t="n">
        <v>43507</v>
      </c>
      <c r="Y192" s="65" t="str">
        <f aca="false">IF(I192="","No SIC",IFERROR(VLOOKUP(I192,Ref!$A$2:$B$65,2,FALSE()),"Unclassified"))</f>
        <v>Trucking &amp; Warehousing</v>
      </c>
      <c r="Z192" s="65" t="str">
        <f aca="false">IF(T192="","",IF(T192&lt;12,"Daily","Weekly"))</f>
        <v>Daily</v>
      </c>
      <c r="AA192" s="65" t="n">
        <f aca="false">IF(T192="",0,IF(T192&lt;12,T192*Controls!$B$29,T192*5))</f>
        <v>56.801065</v>
      </c>
      <c r="AB192" s="65" t="n">
        <f aca="false">IF(E192="",0,NETWORKDAYS(E192,Controls!$B$36,Ref!$K$2:$K$42))</f>
        <v>260</v>
      </c>
      <c r="AC192" s="65" t="n">
        <f aca="false">IF(AND(AA192&gt;0,AB192&gt;=Controls!$B$39*AA192),1,0)</f>
        <v>1</v>
      </c>
      <c r="AD192" s="65" t="n">
        <f aca="false">IF(AND(E192&lt;&gt;"",E192&gt;=Controls!$B$37,E192&lt;=Controls!$B$38),1,0)</f>
        <v>1</v>
      </c>
      <c r="AE192" s="65" t="n">
        <f aca="false">IF(IFERROR(VLOOKUP(D192,Controls!$A$64:$E$74,2,FALSE()),"No")="Yes",1,0)</f>
        <v>1</v>
      </c>
      <c r="AF192" s="65" t="n">
        <f aca="false">IF(IFERROR(VLOOKUP(D192,Controls!$A$64:$E$74,3,FALSE()),"No")="Yes",1,0)</f>
        <v>0</v>
      </c>
      <c r="AG192" s="65" t="n">
        <f aca="false">IF(IFERROR(VLOOKUP(D192,Controls!$A$64:$E$74,4,FALSE()),"No")="Yes",1,0)</f>
        <v>0</v>
      </c>
      <c r="AH192" s="65" t="n">
        <f aca="false">IF(IFERROR(VLOOKUP(D192,Controls!$A$64:$E$74,5,FALSE()),"No")="Yes",1,0)</f>
        <v>0</v>
      </c>
      <c r="AI192" s="65" t="n">
        <f aca="false">IF(ISNUMBER(MATCH(D192,Controls!$A$64:$A$74,0)),1,0)</f>
        <v>1</v>
      </c>
      <c r="AJ192" s="65" t="n">
        <f aca="false">Q192-N192</f>
        <v>-2733.13</v>
      </c>
      <c r="AK192" s="65" t="n">
        <f aca="false">IF(AE192=1,MAX(0,N192-Q192),0)</f>
        <v>2733.13</v>
      </c>
      <c r="AL192" s="65" t="n">
        <f aca="false">IF(OR(V192="",V192=0),0,N192/V192)</f>
        <v>0.115511642649486</v>
      </c>
      <c r="AM192" s="65" t="n">
        <f aca="false">IF(OR(V192="",V192=0),0,1)</f>
        <v>1</v>
      </c>
      <c r="AN192" s="65" t="n">
        <f aca="false">IF(OR(E192="",F192=""),0,NETWORKDAYS(E192,F192,Ref!$K$2:$K$42))</f>
        <v>71</v>
      </c>
      <c r="AO192" s="65" t="n">
        <f aca="false">IF(L192="Renewal",1,0)</f>
        <v>0</v>
      </c>
      <c r="AP192" s="65" t="n">
        <f aca="false">AC192*AD192</f>
        <v>1</v>
      </c>
      <c r="AQ192" s="65" t="n">
        <f aca="false">IF(AND(G192&lt;&gt;"",'Historical Score'!$C$6&lt;&gt;""),IF(G192='Historical Score'!$C$6,1,0),0)</f>
        <v>0</v>
      </c>
      <c r="AR192" s="65" t="n">
        <f aca="false">IF(AND(L192&lt;&gt;"",'Historical Score'!$C$5&lt;&gt;""),IF(L192='Historical Score'!$C$5,1,0),0)</f>
        <v>1</v>
      </c>
      <c r="AS192" s="65" t="n">
        <f aca="false">IF(AND(Y192&lt;&gt;"",'Historical Score'!$C$7&lt;&gt;""),IF(Y192='Historical Score'!$C$7,1,0),0)</f>
        <v>0</v>
      </c>
      <c r="AT192" s="65" t="n">
        <f aca="false">IF(AND(K192&lt;&gt;"",'Historical Score'!$C$8&lt;&gt;""),IF(K192='Historical Score'!$C$8,1,0),0)</f>
        <v>0</v>
      </c>
      <c r="AU192" s="65" t="n">
        <f aca="false">IF(AND(J192&lt;&gt;"",'Historical Score'!$C$9&lt;&gt;""),IF(J192='Historical Score'!$C$9,1,0),0)</f>
        <v>0</v>
      </c>
      <c r="AV192" s="65" t="n">
        <f aca="false">AR192*AS192*AQ192</f>
        <v>0</v>
      </c>
      <c r="AW192" s="65" t="n">
        <f aca="false">AR192*AT192*AQ192</f>
        <v>0</v>
      </c>
      <c r="AX192" s="65" t="n">
        <f aca="false">AR192*AS192</f>
        <v>0</v>
      </c>
      <c r="AY192" s="65" t="n">
        <f aca="false">AR192*AT192</f>
        <v>0</v>
      </c>
      <c r="AZ192" s="65" t="n">
        <f aca="false">AR192*AQ192</f>
        <v>0</v>
      </c>
      <c r="BA192" s="65" t="n">
        <f aca="false">AR192</f>
        <v>1</v>
      </c>
      <c r="BB192" s="65" t="n">
        <f aca="false">1</f>
        <v>1</v>
      </c>
      <c r="BC192" s="65" t="n">
        <f aca="false">IF(AV192=1,1,IF(AW192=1,2,IF(AX192=1,3,IF(AY192=1,4,IF(AZ192=1,5,IF(BA192=1,6,7))))))</f>
        <v>6</v>
      </c>
      <c r="BD192" s="65" t="n">
        <f aca="false">IF(AD192=1,CHOOSE('Historical Score'!$C$29,AV192,AW192,AX192,AY192,AZ192,BA192,BB192),0)</f>
        <v>0</v>
      </c>
      <c r="BE192" s="65" t="str">
        <f aca="false">IF(BD192=1,COUNTIF($BD$2:BD192,1),"")</f>
        <v/>
      </c>
    </row>
    <row r="193" customFormat="false" ht="15" hidden="false" customHeight="false" outlineLevel="0" collapsed="false">
      <c r="A193" s="65" t="s">
        <v>1015</v>
      </c>
      <c r="B193" s="65" t="s">
        <v>1016</v>
      </c>
      <c r="C193" s="65" t="s">
        <v>1016</v>
      </c>
      <c r="D193" s="65" t="s">
        <v>371</v>
      </c>
      <c r="E193" s="112" t="n">
        <v>45882</v>
      </c>
      <c r="F193" s="112" t="n">
        <v>45987</v>
      </c>
      <c r="G193" s="65" t="n">
        <v>2</v>
      </c>
      <c r="H193" s="65" t="s">
        <v>768</v>
      </c>
      <c r="I193" s="65" t="s">
        <v>443</v>
      </c>
      <c r="J193" s="65" t="s">
        <v>452</v>
      </c>
      <c r="K193" s="65" t="s">
        <v>476</v>
      </c>
      <c r="L193" s="65" t="s">
        <v>64</v>
      </c>
      <c r="M193" s="113" t="n">
        <v>1.49</v>
      </c>
      <c r="N193" s="114" t="n">
        <v>15000</v>
      </c>
      <c r="O193" s="114" t="n">
        <v>2100</v>
      </c>
      <c r="P193" s="114" t="n">
        <v>22350</v>
      </c>
      <c r="Q193" s="114" t="n">
        <v>22350</v>
      </c>
      <c r="R193" s="114" t="n">
        <v>0</v>
      </c>
      <c r="S193" s="115" t="n">
        <v>1</v>
      </c>
      <c r="T193" s="65" t="n">
        <v>15</v>
      </c>
      <c r="U193" s="65" t="n">
        <v>0</v>
      </c>
      <c r="V193" s="65" t="n">
        <v>47733.57</v>
      </c>
      <c r="W193" s="115" t="n">
        <v>0.1249</v>
      </c>
      <c r="X193" s="112" t="n">
        <v>44697</v>
      </c>
      <c r="Y193" s="65" t="str">
        <f aca="false">IF(I193="","No SIC",IFERROR(VLOOKUP(I193,Ref!$A$2:$B$65,2,FALSE()),"Unclassified"))</f>
        <v>General Building Contractors</v>
      </c>
      <c r="Z193" s="65" t="str">
        <f aca="false">IF(T193="","",IF(T193&lt;12,"Daily","Weekly"))</f>
        <v>Weekly</v>
      </c>
      <c r="AA193" s="65" t="n">
        <f aca="false">IF(T193="",0,IF(T193&lt;12,T193*Controls!$B$29,T193*5))</f>
        <v>75</v>
      </c>
      <c r="AB193" s="65" t="n">
        <f aca="false">IF(E193="",0,NETWORKDAYS(E193,Controls!$B$36,Ref!$K$2:$K$42))</f>
        <v>260</v>
      </c>
      <c r="AC193" s="65" t="n">
        <f aca="false">IF(AND(AA193&gt;0,AB193&gt;=Controls!$B$39*AA193),1,0)</f>
        <v>1</v>
      </c>
      <c r="AD193" s="65" t="n">
        <f aca="false">IF(AND(E193&lt;&gt;"",E193&gt;=Controls!$B$37,E193&lt;=Controls!$B$38),1,0)</f>
        <v>1</v>
      </c>
      <c r="AE193" s="65" t="n">
        <f aca="false">IF(IFERROR(VLOOKUP(D193,Controls!$A$64:$E$74,2,FALSE()),"No")="Yes",1,0)</f>
        <v>0</v>
      </c>
      <c r="AF193" s="65" t="n">
        <f aca="false">IF(IFERROR(VLOOKUP(D193,Controls!$A$64:$E$74,3,FALSE()),"No")="Yes",1,0)</f>
        <v>1</v>
      </c>
      <c r="AG193" s="65" t="n">
        <f aca="false">IF(IFERROR(VLOOKUP(D193,Controls!$A$64:$E$74,4,FALSE()),"No")="Yes",1,0)</f>
        <v>1</v>
      </c>
      <c r="AH193" s="65" t="n">
        <f aca="false">IF(IFERROR(VLOOKUP(D193,Controls!$A$64:$E$74,5,FALSE()),"No")="Yes",1,0)</f>
        <v>0</v>
      </c>
      <c r="AI193" s="65" t="n">
        <f aca="false">IF(ISNUMBER(MATCH(D193,Controls!$A$64:$A$74,0)),1,0)</f>
        <v>1</v>
      </c>
      <c r="AJ193" s="65" t="n">
        <f aca="false">Q193-N193</f>
        <v>7350</v>
      </c>
      <c r="AK193" s="65" t="n">
        <f aca="false">IF(AE193=1,MAX(0,N193-Q193),0)</f>
        <v>0</v>
      </c>
      <c r="AL193" s="65" t="n">
        <f aca="false">IF(OR(V193="",V193=0),0,N193/V193)</f>
        <v>0.314244252001265</v>
      </c>
      <c r="AM193" s="65" t="n">
        <f aca="false">IF(OR(V193="",V193=0),0,1)</f>
        <v>1</v>
      </c>
      <c r="AN193" s="65" t="n">
        <f aca="false">IF(OR(E193="",F193=""),0,NETWORKDAYS(E193,F193,Ref!$K$2:$K$42))</f>
        <v>73</v>
      </c>
      <c r="AO193" s="65" t="n">
        <f aca="false">IF(L193="Renewal",1,0)</f>
        <v>0</v>
      </c>
      <c r="AP193" s="65" t="n">
        <f aca="false">AC193*AD193</f>
        <v>1</v>
      </c>
      <c r="AQ193" s="65" t="n">
        <f aca="false">IF(AND(G193&lt;&gt;"",'Historical Score'!$C$6&lt;&gt;""),IF(G193='Historical Score'!$C$6,1,0),0)</f>
        <v>1</v>
      </c>
      <c r="AR193" s="65" t="n">
        <f aca="false">IF(AND(L193&lt;&gt;"",'Historical Score'!$C$5&lt;&gt;""),IF(L193='Historical Score'!$C$5,1,0),0)</f>
        <v>1</v>
      </c>
      <c r="AS193" s="65" t="n">
        <f aca="false">IF(AND(Y193&lt;&gt;"",'Historical Score'!$C$7&lt;&gt;""),IF(Y193='Historical Score'!$C$7,1,0),0)</f>
        <v>1</v>
      </c>
      <c r="AT193" s="65" t="n">
        <f aca="false">IF(AND(K193&lt;&gt;"",'Historical Score'!$C$8&lt;&gt;""),IF(K193='Historical Score'!$C$8,1,0),0)</f>
        <v>0</v>
      </c>
      <c r="AU193" s="65" t="n">
        <f aca="false">IF(AND(J193&lt;&gt;"",'Historical Score'!$C$9&lt;&gt;""),IF(J193='Historical Score'!$C$9,1,0),0)</f>
        <v>0</v>
      </c>
      <c r="AV193" s="65" t="n">
        <f aca="false">AR193*AS193*AQ193</f>
        <v>1</v>
      </c>
      <c r="AW193" s="65" t="n">
        <f aca="false">AR193*AT193*AQ193</f>
        <v>0</v>
      </c>
      <c r="AX193" s="65" t="n">
        <f aca="false">AR193*AS193</f>
        <v>1</v>
      </c>
      <c r="AY193" s="65" t="n">
        <f aca="false">AR193*AT193</f>
        <v>0</v>
      </c>
      <c r="AZ193" s="65" t="n">
        <f aca="false">AR193*AQ193</f>
        <v>1</v>
      </c>
      <c r="BA193" s="65" t="n">
        <f aca="false">AR193</f>
        <v>1</v>
      </c>
      <c r="BB193" s="65" t="n">
        <f aca="false">1</f>
        <v>1</v>
      </c>
      <c r="BC193" s="65" t="n">
        <f aca="false">IF(AV193=1,1,IF(AW193=1,2,IF(AX193=1,3,IF(AY193=1,4,IF(AZ193=1,5,IF(BA193=1,6,7))))))</f>
        <v>1</v>
      </c>
      <c r="BD193" s="65" t="n">
        <f aca="false">IF(AD193=1,CHOOSE('Historical Score'!$C$29,AV193,AW193,AX193,AY193,AZ193,BA193,BB193),0)</f>
        <v>1</v>
      </c>
      <c r="BE193" s="65" t="n">
        <f aca="false">IF(BD193=1,COUNTIF($BD$2:BD193,1),"")</f>
        <v>6</v>
      </c>
    </row>
    <row r="194" customFormat="false" ht="15" hidden="false" customHeight="false" outlineLevel="0" collapsed="false">
      <c r="A194" s="65" t="s">
        <v>1017</v>
      </c>
      <c r="B194" s="65" t="s">
        <v>1018</v>
      </c>
      <c r="C194" s="65" t="s">
        <v>1018</v>
      </c>
      <c r="D194" s="65" t="s">
        <v>340</v>
      </c>
      <c r="E194" s="112" t="n">
        <v>45883</v>
      </c>
      <c r="F194" s="112" t="n">
        <v>45898</v>
      </c>
      <c r="G194" s="65" t="n">
        <v>3</v>
      </c>
      <c r="H194" s="65" t="s">
        <v>554</v>
      </c>
      <c r="I194" s="65" t="s">
        <v>405</v>
      </c>
      <c r="J194" s="65" t="s">
        <v>399</v>
      </c>
      <c r="K194" s="65" t="s">
        <v>55</v>
      </c>
      <c r="L194" s="65" t="s">
        <v>64</v>
      </c>
      <c r="M194" s="113" t="n">
        <v>1.499</v>
      </c>
      <c r="N194" s="114" t="n">
        <v>30000</v>
      </c>
      <c r="O194" s="114" t="n">
        <v>0</v>
      </c>
      <c r="P194" s="114" t="n">
        <v>44970</v>
      </c>
      <c r="Q194" s="114" t="n">
        <v>1798.6</v>
      </c>
      <c r="R194" s="114" t="n">
        <v>43171.4</v>
      </c>
      <c r="S194" s="115" t="n">
        <v>0.039995552590616</v>
      </c>
      <c r="T194" s="65" t="n">
        <v>25</v>
      </c>
      <c r="U194" s="65" t="n">
        <v>1</v>
      </c>
      <c r="V194" s="65" t="n">
        <v>58490.99</v>
      </c>
      <c r="W194" s="115" t="n">
        <v>0.123</v>
      </c>
      <c r="X194" s="112"/>
      <c r="Y194" s="65" t="str">
        <f aca="false">IF(I194="","No SIC",IFERROR(VLOOKUP(I194,Ref!$A$2:$B$65,2,FALSE()),"Unclassified"))</f>
        <v>Health Services</v>
      </c>
      <c r="Z194" s="65" t="str">
        <f aca="false">IF(T194="","",IF(T194&lt;12,"Daily","Weekly"))</f>
        <v>Weekly</v>
      </c>
      <c r="AA194" s="65" t="n">
        <f aca="false">IF(T194="",0,IF(T194&lt;12,T194*Controls!$B$29,T194*5))</f>
        <v>125</v>
      </c>
      <c r="AB194" s="65" t="n">
        <f aca="false">IF(E194="",0,NETWORKDAYS(E194,Controls!$B$36,Ref!$K$2:$K$42))</f>
        <v>259</v>
      </c>
      <c r="AC194" s="65" t="n">
        <f aca="false">IF(AND(AA194&gt;0,AB194&gt;=Controls!$B$39*AA194),1,0)</f>
        <v>1</v>
      </c>
      <c r="AD194" s="65" t="n">
        <f aca="false">IF(AND(E194&lt;&gt;"",E194&gt;=Controls!$B$37,E194&lt;=Controls!$B$38),1,0)</f>
        <v>1</v>
      </c>
      <c r="AE194" s="65" t="n">
        <f aca="false">IF(IFERROR(VLOOKUP(D194,Controls!$A$64:$E$74,2,FALSE()),"No")="Yes",1,0)</f>
        <v>1</v>
      </c>
      <c r="AF194" s="65" t="n">
        <f aca="false">IF(IFERROR(VLOOKUP(D194,Controls!$A$64:$E$74,3,FALSE()),"No")="Yes",1,0)</f>
        <v>0</v>
      </c>
      <c r="AG194" s="65" t="n">
        <f aca="false">IF(IFERROR(VLOOKUP(D194,Controls!$A$64:$E$74,4,FALSE()),"No")="Yes",1,0)</f>
        <v>0</v>
      </c>
      <c r="AH194" s="65" t="n">
        <f aca="false">IF(IFERROR(VLOOKUP(D194,Controls!$A$64:$E$74,5,FALSE()),"No")="Yes",1,0)</f>
        <v>0</v>
      </c>
      <c r="AI194" s="65" t="n">
        <f aca="false">IF(ISNUMBER(MATCH(D194,Controls!$A$64:$A$74,0)),1,0)</f>
        <v>1</v>
      </c>
      <c r="AJ194" s="65" t="n">
        <f aca="false">Q194-N194</f>
        <v>-28201.4</v>
      </c>
      <c r="AK194" s="65" t="n">
        <f aca="false">IF(AE194=1,MAX(0,N194-Q194),0)</f>
        <v>28201.4</v>
      </c>
      <c r="AL194" s="65" t="n">
        <f aca="false">IF(OR(V194="",V194=0),0,N194/V194)</f>
        <v>0.512899508112275</v>
      </c>
      <c r="AM194" s="65" t="n">
        <f aca="false">IF(OR(V194="",V194=0),0,1)</f>
        <v>1</v>
      </c>
      <c r="AN194" s="65" t="n">
        <f aca="false">IF(OR(E194="",F194=""),0,NETWORKDAYS(E194,F194,Ref!$K$2:$K$42))</f>
        <v>12</v>
      </c>
      <c r="AO194" s="65" t="n">
        <f aca="false">IF(L194="Renewal",1,0)</f>
        <v>0</v>
      </c>
      <c r="AP194" s="65" t="n">
        <f aca="false">AC194*AD194</f>
        <v>1</v>
      </c>
      <c r="AQ194" s="65" t="n">
        <f aca="false">IF(AND(G194&lt;&gt;"",'Historical Score'!$C$6&lt;&gt;""),IF(G194='Historical Score'!$C$6,1,0),0)</f>
        <v>0</v>
      </c>
      <c r="AR194" s="65" t="n">
        <f aca="false">IF(AND(L194&lt;&gt;"",'Historical Score'!$C$5&lt;&gt;""),IF(L194='Historical Score'!$C$5,1,0),0)</f>
        <v>1</v>
      </c>
      <c r="AS194" s="65" t="n">
        <f aca="false">IF(AND(Y194&lt;&gt;"",'Historical Score'!$C$7&lt;&gt;""),IF(Y194='Historical Score'!$C$7,1,0),0)</f>
        <v>0</v>
      </c>
      <c r="AT194" s="65" t="n">
        <f aca="false">IF(AND(K194&lt;&gt;"",'Historical Score'!$C$8&lt;&gt;""),IF(K194='Historical Score'!$C$8,1,0),0)</f>
        <v>1</v>
      </c>
      <c r="AU194" s="65" t="n">
        <f aca="false">IF(AND(J194&lt;&gt;"",'Historical Score'!$C$9&lt;&gt;""),IF(J194='Historical Score'!$C$9,1,0),0)</f>
        <v>0</v>
      </c>
      <c r="AV194" s="65" t="n">
        <f aca="false">AR194*AS194*AQ194</f>
        <v>0</v>
      </c>
      <c r="AW194" s="65" t="n">
        <f aca="false">AR194*AT194*AQ194</f>
        <v>0</v>
      </c>
      <c r="AX194" s="65" t="n">
        <f aca="false">AR194*AS194</f>
        <v>0</v>
      </c>
      <c r="AY194" s="65" t="n">
        <f aca="false">AR194*AT194</f>
        <v>1</v>
      </c>
      <c r="AZ194" s="65" t="n">
        <f aca="false">AR194*AQ194</f>
        <v>0</v>
      </c>
      <c r="BA194" s="65" t="n">
        <f aca="false">AR194</f>
        <v>1</v>
      </c>
      <c r="BB194" s="65" t="n">
        <f aca="false">1</f>
        <v>1</v>
      </c>
      <c r="BC194" s="65" t="n">
        <f aca="false">IF(AV194=1,1,IF(AW194=1,2,IF(AX194=1,3,IF(AY194=1,4,IF(AZ194=1,5,IF(BA194=1,6,7))))))</f>
        <v>4</v>
      </c>
      <c r="BD194" s="65" t="n">
        <f aca="false">IF(AD194=1,CHOOSE('Historical Score'!$C$29,AV194,AW194,AX194,AY194,AZ194,BA194,BB194),0)</f>
        <v>0</v>
      </c>
      <c r="BE194" s="65" t="str">
        <f aca="false">IF(BD194=1,COUNTIF($BD$2:BD194,1),"")</f>
        <v/>
      </c>
    </row>
    <row r="195" customFormat="false" ht="15" hidden="false" customHeight="false" outlineLevel="0" collapsed="false">
      <c r="A195" s="65" t="s">
        <v>1019</v>
      </c>
      <c r="B195" s="65" t="s">
        <v>1020</v>
      </c>
      <c r="C195" s="65" t="s">
        <v>1021</v>
      </c>
      <c r="D195" s="65" t="s">
        <v>371</v>
      </c>
      <c r="E195" s="112" t="n">
        <v>45883</v>
      </c>
      <c r="F195" s="112" t="n">
        <v>46066</v>
      </c>
      <c r="G195" s="65" t="n">
        <v>1</v>
      </c>
      <c r="H195" s="65" t="s">
        <v>554</v>
      </c>
      <c r="I195" s="65" t="s">
        <v>405</v>
      </c>
      <c r="J195" s="65" t="s">
        <v>649</v>
      </c>
      <c r="K195" s="65" t="s">
        <v>351</v>
      </c>
      <c r="L195" s="65" t="s">
        <v>64</v>
      </c>
      <c r="M195" s="113" t="n">
        <v>1.47</v>
      </c>
      <c r="N195" s="114" t="n">
        <v>27000</v>
      </c>
      <c r="O195" s="114" t="n">
        <v>3510</v>
      </c>
      <c r="P195" s="114" t="n">
        <v>39690</v>
      </c>
      <c r="Q195" s="114" t="n">
        <v>39690</v>
      </c>
      <c r="R195" s="114" t="n">
        <v>0</v>
      </c>
      <c r="S195" s="115" t="n">
        <v>1</v>
      </c>
      <c r="T195" s="65" t="n">
        <v>25</v>
      </c>
      <c r="U195" s="65" t="n">
        <v>0</v>
      </c>
      <c r="V195" s="65" t="n">
        <v>65317.97</v>
      </c>
      <c r="W195" s="115" t="n">
        <v>0.0972</v>
      </c>
      <c r="X195" s="112" t="n">
        <v>45158</v>
      </c>
      <c r="Y195" s="65" t="str">
        <f aca="false">IF(I195="","No SIC",IFERROR(VLOOKUP(I195,Ref!$A$2:$B$65,2,FALSE()),"Unclassified"))</f>
        <v>Health Services</v>
      </c>
      <c r="Z195" s="65" t="str">
        <f aca="false">IF(T195="","",IF(T195&lt;12,"Daily","Weekly"))</f>
        <v>Weekly</v>
      </c>
      <c r="AA195" s="65" t="n">
        <f aca="false">IF(T195="",0,IF(T195&lt;12,T195*Controls!$B$29,T195*5))</f>
        <v>125</v>
      </c>
      <c r="AB195" s="65" t="n">
        <f aca="false">IF(E195="",0,NETWORKDAYS(E195,Controls!$B$36,Ref!$K$2:$K$42))</f>
        <v>259</v>
      </c>
      <c r="AC195" s="65" t="n">
        <f aca="false">IF(AND(AA195&gt;0,AB195&gt;=Controls!$B$39*AA195),1,0)</f>
        <v>1</v>
      </c>
      <c r="AD195" s="65" t="n">
        <f aca="false">IF(AND(E195&lt;&gt;"",E195&gt;=Controls!$B$37,E195&lt;=Controls!$B$38),1,0)</f>
        <v>1</v>
      </c>
      <c r="AE195" s="65" t="n">
        <f aca="false">IF(IFERROR(VLOOKUP(D195,Controls!$A$64:$E$74,2,FALSE()),"No")="Yes",1,0)</f>
        <v>0</v>
      </c>
      <c r="AF195" s="65" t="n">
        <f aca="false">IF(IFERROR(VLOOKUP(D195,Controls!$A$64:$E$74,3,FALSE()),"No")="Yes",1,0)</f>
        <v>1</v>
      </c>
      <c r="AG195" s="65" t="n">
        <f aca="false">IF(IFERROR(VLOOKUP(D195,Controls!$A$64:$E$74,4,FALSE()),"No")="Yes",1,0)</f>
        <v>1</v>
      </c>
      <c r="AH195" s="65" t="n">
        <f aca="false">IF(IFERROR(VLOOKUP(D195,Controls!$A$64:$E$74,5,FALSE()),"No")="Yes",1,0)</f>
        <v>0</v>
      </c>
      <c r="AI195" s="65" t="n">
        <f aca="false">IF(ISNUMBER(MATCH(D195,Controls!$A$64:$A$74,0)),1,0)</f>
        <v>1</v>
      </c>
      <c r="AJ195" s="65" t="n">
        <f aca="false">Q195-N195</f>
        <v>12690</v>
      </c>
      <c r="AK195" s="65" t="n">
        <f aca="false">IF(AE195=1,MAX(0,N195-Q195),0)</f>
        <v>0</v>
      </c>
      <c r="AL195" s="65" t="n">
        <f aca="false">IF(OR(V195="",V195=0),0,N195/V195)</f>
        <v>0.413362509581973</v>
      </c>
      <c r="AM195" s="65" t="n">
        <f aca="false">IF(OR(V195="",V195=0),0,1)</f>
        <v>1</v>
      </c>
      <c r="AN195" s="65" t="n">
        <f aca="false">IF(OR(E195="",F195=""),0,NETWORKDAYS(E195,F195,Ref!$K$2:$K$42))</f>
        <v>125</v>
      </c>
      <c r="AO195" s="65" t="n">
        <f aca="false">IF(L195="Renewal",1,0)</f>
        <v>0</v>
      </c>
      <c r="AP195" s="65" t="n">
        <f aca="false">AC195*AD195</f>
        <v>1</v>
      </c>
      <c r="AQ195" s="65" t="n">
        <f aca="false">IF(AND(G195&lt;&gt;"",'Historical Score'!$C$6&lt;&gt;""),IF(G195='Historical Score'!$C$6,1,0),0)</f>
        <v>0</v>
      </c>
      <c r="AR195" s="65" t="n">
        <f aca="false">IF(AND(L195&lt;&gt;"",'Historical Score'!$C$5&lt;&gt;""),IF(L195='Historical Score'!$C$5,1,0),0)</f>
        <v>1</v>
      </c>
      <c r="AS195" s="65" t="n">
        <f aca="false">IF(AND(Y195&lt;&gt;"",'Historical Score'!$C$7&lt;&gt;""),IF(Y195='Historical Score'!$C$7,1,0),0)</f>
        <v>0</v>
      </c>
      <c r="AT195" s="65" t="n">
        <f aca="false">IF(AND(K195&lt;&gt;"",'Historical Score'!$C$8&lt;&gt;""),IF(K195='Historical Score'!$C$8,1,0),0)</f>
        <v>0</v>
      </c>
      <c r="AU195" s="65" t="n">
        <f aca="false">IF(AND(J195&lt;&gt;"",'Historical Score'!$C$9&lt;&gt;""),IF(J195='Historical Score'!$C$9,1,0),0)</f>
        <v>0</v>
      </c>
      <c r="AV195" s="65" t="n">
        <f aca="false">AR195*AS195*AQ195</f>
        <v>0</v>
      </c>
      <c r="AW195" s="65" t="n">
        <f aca="false">AR195*AT195*AQ195</f>
        <v>0</v>
      </c>
      <c r="AX195" s="65" t="n">
        <f aca="false">AR195*AS195</f>
        <v>0</v>
      </c>
      <c r="AY195" s="65" t="n">
        <f aca="false">AR195*AT195</f>
        <v>0</v>
      </c>
      <c r="AZ195" s="65" t="n">
        <f aca="false">AR195*AQ195</f>
        <v>0</v>
      </c>
      <c r="BA195" s="65" t="n">
        <f aca="false">AR195</f>
        <v>1</v>
      </c>
      <c r="BB195" s="65" t="n">
        <f aca="false">1</f>
        <v>1</v>
      </c>
      <c r="BC195" s="65" t="n">
        <f aca="false">IF(AV195=1,1,IF(AW195=1,2,IF(AX195=1,3,IF(AY195=1,4,IF(AZ195=1,5,IF(BA195=1,6,7))))))</f>
        <v>6</v>
      </c>
      <c r="BD195" s="65" t="n">
        <f aca="false">IF(AD195=1,CHOOSE('Historical Score'!$C$29,AV195,AW195,AX195,AY195,AZ195,BA195,BB195),0)</f>
        <v>0</v>
      </c>
      <c r="BE195" s="65" t="str">
        <f aca="false">IF(BD195=1,COUNTIF($BD$2:BD195,1),"")</f>
        <v/>
      </c>
    </row>
    <row r="196" customFormat="false" ht="15" hidden="false" customHeight="false" outlineLevel="0" collapsed="false">
      <c r="A196" s="65" t="s">
        <v>1022</v>
      </c>
      <c r="B196" s="65" t="s">
        <v>1023</v>
      </c>
      <c r="C196" s="65" t="s">
        <v>1024</v>
      </c>
      <c r="D196" s="65" t="s">
        <v>340</v>
      </c>
      <c r="E196" s="112" t="n">
        <v>45883</v>
      </c>
      <c r="F196" s="112" t="n">
        <v>46181</v>
      </c>
      <c r="G196" s="65" t="n">
        <v>3</v>
      </c>
      <c r="H196" s="65" t="s">
        <v>404</v>
      </c>
      <c r="I196" s="65" t="s">
        <v>405</v>
      </c>
      <c r="J196" s="65" t="s">
        <v>452</v>
      </c>
      <c r="K196" s="65" t="s">
        <v>55</v>
      </c>
      <c r="L196" s="65" t="s">
        <v>64</v>
      </c>
      <c r="M196" s="113" t="n">
        <v>1.499</v>
      </c>
      <c r="N196" s="114" t="n">
        <v>8000</v>
      </c>
      <c r="O196" s="114" t="n">
        <v>1120</v>
      </c>
      <c r="P196" s="114" t="n">
        <v>11992</v>
      </c>
      <c r="Q196" s="114" t="n">
        <v>7404.97</v>
      </c>
      <c r="R196" s="114" t="n">
        <v>4587.03</v>
      </c>
      <c r="S196" s="115" t="n">
        <v>0.617492494996665</v>
      </c>
      <c r="T196" s="65" t="n">
        <v>2.295</v>
      </c>
      <c r="U196" s="65" t="n">
        <v>34</v>
      </c>
      <c r="V196" s="65" t="n">
        <v>24553.12</v>
      </c>
      <c r="W196" s="115" t="n">
        <v>0.1456</v>
      </c>
      <c r="X196" s="112"/>
      <c r="Y196" s="65" t="str">
        <f aca="false">IF(I196="","No SIC",IFERROR(VLOOKUP(I196,Ref!$A$2:$B$65,2,FALSE()),"Unclassified"))</f>
        <v>Health Services</v>
      </c>
      <c r="Z196" s="65" t="str">
        <f aca="false">IF(T196="","",IF(T196&lt;12,"Daily","Weekly"))</f>
        <v>Daily</v>
      </c>
      <c r="AA196" s="65" t="n">
        <f aca="false">IF(T196="",0,IF(T196&lt;12,T196*Controls!$B$29,T196*5))</f>
        <v>49.698225</v>
      </c>
      <c r="AB196" s="65" t="n">
        <f aca="false">IF(E196="",0,NETWORKDAYS(E196,Controls!$B$36,Ref!$K$2:$K$42))</f>
        <v>259</v>
      </c>
      <c r="AC196" s="65" t="n">
        <f aca="false">IF(AND(AA196&gt;0,AB196&gt;=Controls!$B$39*AA196),1,0)</f>
        <v>1</v>
      </c>
      <c r="AD196" s="65" t="n">
        <f aca="false">IF(AND(E196&lt;&gt;"",E196&gt;=Controls!$B$37,E196&lt;=Controls!$B$38),1,0)</f>
        <v>1</v>
      </c>
      <c r="AE196" s="65" t="n">
        <f aca="false">IF(IFERROR(VLOOKUP(D196,Controls!$A$64:$E$74,2,FALSE()),"No")="Yes",1,0)</f>
        <v>1</v>
      </c>
      <c r="AF196" s="65" t="n">
        <f aca="false">IF(IFERROR(VLOOKUP(D196,Controls!$A$64:$E$74,3,FALSE()),"No")="Yes",1,0)</f>
        <v>0</v>
      </c>
      <c r="AG196" s="65" t="n">
        <f aca="false">IF(IFERROR(VLOOKUP(D196,Controls!$A$64:$E$74,4,FALSE()),"No")="Yes",1,0)</f>
        <v>0</v>
      </c>
      <c r="AH196" s="65" t="n">
        <f aca="false">IF(IFERROR(VLOOKUP(D196,Controls!$A$64:$E$74,5,FALSE()),"No")="Yes",1,0)</f>
        <v>0</v>
      </c>
      <c r="AI196" s="65" t="n">
        <f aca="false">IF(ISNUMBER(MATCH(D196,Controls!$A$64:$A$74,0)),1,0)</f>
        <v>1</v>
      </c>
      <c r="AJ196" s="65" t="n">
        <f aca="false">Q196-N196</f>
        <v>-595.03</v>
      </c>
      <c r="AK196" s="65" t="n">
        <f aca="false">IF(AE196=1,MAX(0,N196-Q196),0)</f>
        <v>595.03</v>
      </c>
      <c r="AL196" s="65" t="n">
        <f aca="false">IF(OR(V196="",V196=0),0,N196/V196)</f>
        <v>0.32582417224369</v>
      </c>
      <c r="AM196" s="65" t="n">
        <f aca="false">IF(OR(V196="",V196=0),0,1)</f>
        <v>1</v>
      </c>
      <c r="AN196" s="65" t="n">
        <f aca="false">IF(OR(E196="",F196=""),0,NETWORKDAYS(E196,F196,Ref!$K$2:$K$42))</f>
        <v>204</v>
      </c>
      <c r="AO196" s="65" t="n">
        <f aca="false">IF(L196="Renewal",1,0)</f>
        <v>0</v>
      </c>
      <c r="AP196" s="65" t="n">
        <f aca="false">AC196*AD196</f>
        <v>1</v>
      </c>
      <c r="AQ196" s="65" t="n">
        <f aca="false">IF(AND(G196&lt;&gt;"",'Historical Score'!$C$6&lt;&gt;""),IF(G196='Historical Score'!$C$6,1,0),0)</f>
        <v>0</v>
      </c>
      <c r="AR196" s="65" t="n">
        <f aca="false">IF(AND(L196&lt;&gt;"",'Historical Score'!$C$5&lt;&gt;""),IF(L196='Historical Score'!$C$5,1,0),0)</f>
        <v>1</v>
      </c>
      <c r="AS196" s="65" t="n">
        <f aca="false">IF(AND(Y196&lt;&gt;"",'Historical Score'!$C$7&lt;&gt;""),IF(Y196='Historical Score'!$C$7,1,0),0)</f>
        <v>0</v>
      </c>
      <c r="AT196" s="65" t="n">
        <f aca="false">IF(AND(K196&lt;&gt;"",'Historical Score'!$C$8&lt;&gt;""),IF(K196='Historical Score'!$C$8,1,0),0)</f>
        <v>1</v>
      </c>
      <c r="AU196" s="65" t="n">
        <f aca="false">IF(AND(J196&lt;&gt;"",'Historical Score'!$C$9&lt;&gt;""),IF(J196='Historical Score'!$C$9,1,0),0)</f>
        <v>0</v>
      </c>
      <c r="AV196" s="65" t="n">
        <f aca="false">AR196*AS196*AQ196</f>
        <v>0</v>
      </c>
      <c r="AW196" s="65" t="n">
        <f aca="false">AR196*AT196*AQ196</f>
        <v>0</v>
      </c>
      <c r="AX196" s="65" t="n">
        <f aca="false">AR196*AS196</f>
        <v>0</v>
      </c>
      <c r="AY196" s="65" t="n">
        <f aca="false">AR196*AT196</f>
        <v>1</v>
      </c>
      <c r="AZ196" s="65" t="n">
        <f aca="false">AR196*AQ196</f>
        <v>0</v>
      </c>
      <c r="BA196" s="65" t="n">
        <f aca="false">AR196</f>
        <v>1</v>
      </c>
      <c r="BB196" s="65" t="n">
        <f aca="false">1</f>
        <v>1</v>
      </c>
      <c r="BC196" s="65" t="n">
        <f aca="false">IF(AV196=1,1,IF(AW196=1,2,IF(AX196=1,3,IF(AY196=1,4,IF(AZ196=1,5,IF(BA196=1,6,7))))))</f>
        <v>4</v>
      </c>
      <c r="BD196" s="65" t="n">
        <f aca="false">IF(AD196=1,CHOOSE('Historical Score'!$C$29,AV196,AW196,AX196,AY196,AZ196,BA196,BB196),0)</f>
        <v>0</v>
      </c>
      <c r="BE196" s="65" t="str">
        <f aca="false">IF(BD196=1,COUNTIF($BD$2:BD196,1),"")</f>
        <v/>
      </c>
    </row>
    <row r="197" customFormat="false" ht="15" hidden="false" customHeight="false" outlineLevel="0" collapsed="false">
      <c r="A197" s="65" t="s">
        <v>1025</v>
      </c>
      <c r="B197" s="65" t="s">
        <v>1026</v>
      </c>
      <c r="C197" s="65" t="s">
        <v>1026</v>
      </c>
      <c r="D197" s="65" t="s">
        <v>340</v>
      </c>
      <c r="E197" s="112" t="n">
        <v>45884</v>
      </c>
      <c r="F197" s="112" t="n">
        <v>46036</v>
      </c>
      <c r="G197" s="65" t="n">
        <v>3</v>
      </c>
      <c r="H197" s="65" t="s">
        <v>1027</v>
      </c>
      <c r="I197" s="65" t="s">
        <v>475</v>
      </c>
      <c r="J197" s="65" t="s">
        <v>380</v>
      </c>
      <c r="K197" s="65" t="s">
        <v>855</v>
      </c>
      <c r="L197" s="65" t="s">
        <v>64</v>
      </c>
      <c r="M197" s="113" t="n">
        <v>1.499</v>
      </c>
      <c r="N197" s="114" t="n">
        <v>3500</v>
      </c>
      <c r="O197" s="114" t="n">
        <v>0</v>
      </c>
      <c r="P197" s="114" t="n">
        <v>5246.5</v>
      </c>
      <c r="Q197" s="114" t="n">
        <v>111.78</v>
      </c>
      <c r="R197" s="114" t="n">
        <v>5134.72</v>
      </c>
      <c r="S197" s="115" t="n">
        <v>0.0213056323263128</v>
      </c>
      <c r="T197" s="65" t="n">
        <v>2.295</v>
      </c>
      <c r="U197" s="65" t="n">
        <v>62</v>
      </c>
      <c r="V197" s="65" t="n">
        <v>17194.25</v>
      </c>
      <c r="W197" s="115"/>
      <c r="X197" s="112" t="n">
        <v>44999</v>
      </c>
      <c r="Y197" s="65" t="str">
        <f aca="false">IF(I197="","No SIC",IFERROR(VLOOKUP(I197,Ref!$A$2:$B$65,2,FALSE()),"Unclassified"))</f>
        <v>Auto Repair &amp; Services</v>
      </c>
      <c r="Z197" s="65" t="str">
        <f aca="false">IF(T197="","",IF(T197&lt;12,"Daily","Weekly"))</f>
        <v>Daily</v>
      </c>
      <c r="AA197" s="65" t="n">
        <f aca="false">IF(T197="",0,IF(T197&lt;12,T197*Controls!$B$29,T197*5))</f>
        <v>49.698225</v>
      </c>
      <c r="AB197" s="65" t="n">
        <f aca="false">IF(E197="",0,NETWORKDAYS(E197,Controls!$B$36,Ref!$K$2:$K$42))</f>
        <v>258</v>
      </c>
      <c r="AC197" s="65" t="n">
        <f aca="false">IF(AND(AA197&gt;0,AB197&gt;=Controls!$B$39*AA197),1,0)</f>
        <v>1</v>
      </c>
      <c r="AD197" s="65" t="n">
        <f aca="false">IF(AND(E197&lt;&gt;"",E197&gt;=Controls!$B$37,E197&lt;=Controls!$B$38),1,0)</f>
        <v>1</v>
      </c>
      <c r="AE197" s="65" t="n">
        <f aca="false">IF(IFERROR(VLOOKUP(D197,Controls!$A$64:$E$74,2,FALSE()),"No")="Yes",1,0)</f>
        <v>1</v>
      </c>
      <c r="AF197" s="65" t="n">
        <f aca="false">IF(IFERROR(VLOOKUP(D197,Controls!$A$64:$E$74,3,FALSE()),"No")="Yes",1,0)</f>
        <v>0</v>
      </c>
      <c r="AG197" s="65" t="n">
        <f aca="false">IF(IFERROR(VLOOKUP(D197,Controls!$A$64:$E$74,4,FALSE()),"No")="Yes",1,0)</f>
        <v>0</v>
      </c>
      <c r="AH197" s="65" t="n">
        <f aca="false">IF(IFERROR(VLOOKUP(D197,Controls!$A$64:$E$74,5,FALSE()),"No")="Yes",1,0)</f>
        <v>0</v>
      </c>
      <c r="AI197" s="65" t="n">
        <f aca="false">IF(ISNUMBER(MATCH(D197,Controls!$A$64:$A$74,0)),1,0)</f>
        <v>1</v>
      </c>
      <c r="AJ197" s="65" t="n">
        <f aca="false">Q197-N197</f>
        <v>-3388.22</v>
      </c>
      <c r="AK197" s="65" t="n">
        <f aca="false">IF(AE197=1,MAX(0,N197-Q197),0)</f>
        <v>3388.22</v>
      </c>
      <c r="AL197" s="65" t="n">
        <f aca="false">IF(OR(V197="",V197=0),0,N197/V197)</f>
        <v>0.20355642147811</v>
      </c>
      <c r="AM197" s="65" t="n">
        <f aca="false">IF(OR(V197="",V197=0),0,1)</f>
        <v>1</v>
      </c>
      <c r="AN197" s="65" t="n">
        <f aca="false">IF(OR(E197="",F197=""),0,NETWORKDAYS(E197,F197,Ref!$K$2:$K$42))</f>
        <v>103</v>
      </c>
      <c r="AO197" s="65" t="n">
        <f aca="false">IF(L197="Renewal",1,0)</f>
        <v>0</v>
      </c>
      <c r="AP197" s="65" t="n">
        <f aca="false">AC197*AD197</f>
        <v>1</v>
      </c>
      <c r="AQ197" s="65" t="n">
        <f aca="false">IF(AND(G197&lt;&gt;"",'Historical Score'!$C$6&lt;&gt;""),IF(G197='Historical Score'!$C$6,1,0),0)</f>
        <v>0</v>
      </c>
      <c r="AR197" s="65" t="n">
        <f aca="false">IF(AND(L197&lt;&gt;"",'Historical Score'!$C$5&lt;&gt;""),IF(L197='Historical Score'!$C$5,1,0),0)</f>
        <v>1</v>
      </c>
      <c r="AS197" s="65" t="n">
        <f aca="false">IF(AND(Y197&lt;&gt;"",'Historical Score'!$C$7&lt;&gt;""),IF(Y197='Historical Score'!$C$7,1,0),0)</f>
        <v>0</v>
      </c>
      <c r="AT197" s="65" t="n">
        <f aca="false">IF(AND(K197&lt;&gt;"",'Historical Score'!$C$8&lt;&gt;""),IF(K197='Historical Score'!$C$8,1,0),0)</f>
        <v>0</v>
      </c>
      <c r="AU197" s="65" t="n">
        <f aca="false">IF(AND(J197&lt;&gt;"",'Historical Score'!$C$9&lt;&gt;""),IF(J197='Historical Score'!$C$9,1,0),0)</f>
        <v>0</v>
      </c>
      <c r="AV197" s="65" t="n">
        <f aca="false">AR197*AS197*AQ197</f>
        <v>0</v>
      </c>
      <c r="AW197" s="65" t="n">
        <f aca="false">AR197*AT197*AQ197</f>
        <v>0</v>
      </c>
      <c r="AX197" s="65" t="n">
        <f aca="false">AR197*AS197</f>
        <v>0</v>
      </c>
      <c r="AY197" s="65" t="n">
        <f aca="false">AR197*AT197</f>
        <v>0</v>
      </c>
      <c r="AZ197" s="65" t="n">
        <f aca="false">AR197*AQ197</f>
        <v>0</v>
      </c>
      <c r="BA197" s="65" t="n">
        <f aca="false">AR197</f>
        <v>1</v>
      </c>
      <c r="BB197" s="65" t="n">
        <f aca="false">1</f>
        <v>1</v>
      </c>
      <c r="BC197" s="65" t="n">
        <f aca="false">IF(AV197=1,1,IF(AW197=1,2,IF(AX197=1,3,IF(AY197=1,4,IF(AZ197=1,5,IF(BA197=1,6,7))))))</f>
        <v>6</v>
      </c>
      <c r="BD197" s="65" t="n">
        <f aca="false">IF(AD197=1,CHOOSE('Historical Score'!$C$29,AV197,AW197,AX197,AY197,AZ197,BA197,BB197),0)</f>
        <v>0</v>
      </c>
      <c r="BE197" s="65" t="str">
        <f aca="false">IF(BD197=1,COUNTIF($BD$2:BD197,1),"")</f>
        <v/>
      </c>
    </row>
    <row r="198" customFormat="false" ht="15" hidden="false" customHeight="false" outlineLevel="0" collapsed="false">
      <c r="A198" s="65" t="s">
        <v>1028</v>
      </c>
      <c r="B198" s="65" t="s">
        <v>790</v>
      </c>
      <c r="C198" s="65" t="s">
        <v>790</v>
      </c>
      <c r="D198" s="65" t="s">
        <v>371</v>
      </c>
      <c r="E198" s="112" t="n">
        <v>45884</v>
      </c>
      <c r="F198" s="112" t="n">
        <v>45996</v>
      </c>
      <c r="G198" s="65" t="n">
        <v>3</v>
      </c>
      <c r="H198" s="65" t="s">
        <v>1029</v>
      </c>
      <c r="I198" s="65" t="s">
        <v>392</v>
      </c>
      <c r="J198" s="65" t="s">
        <v>373</v>
      </c>
      <c r="K198" s="65" t="s">
        <v>672</v>
      </c>
      <c r="L198" s="65" t="s">
        <v>320</v>
      </c>
      <c r="M198" s="113" t="n">
        <v>1.49</v>
      </c>
      <c r="N198" s="114" t="n">
        <v>22000</v>
      </c>
      <c r="O198" s="114" t="n">
        <v>3080</v>
      </c>
      <c r="P198" s="114" t="n">
        <v>32780</v>
      </c>
      <c r="Q198" s="114" t="n">
        <v>32780</v>
      </c>
      <c r="R198" s="114" t="n">
        <v>0</v>
      </c>
      <c r="S198" s="115" t="n">
        <v>1</v>
      </c>
      <c r="T198" s="65" t="n">
        <v>3.934</v>
      </c>
      <c r="U198" s="65" t="n">
        <v>2</v>
      </c>
      <c r="V198" s="65" t="n">
        <v>51823.33</v>
      </c>
      <c r="W198" s="115" t="n">
        <v>0.1107</v>
      </c>
      <c r="X198" s="112"/>
      <c r="Y198" s="65" t="str">
        <f aca="false">IF(I198="","No SIC",IFERROR(VLOOKUP(I198,Ref!$A$2:$B$65,2,FALSE()),"Unclassified"))</f>
        <v>Real Estate</v>
      </c>
      <c r="Z198" s="65" t="str">
        <f aca="false">IF(T198="","",IF(T198&lt;12,"Daily","Weekly"))</f>
        <v>Daily</v>
      </c>
      <c r="AA198" s="65" t="n">
        <f aca="false">IF(T198="",0,IF(T198&lt;12,T198*Controls!$B$29,T198*5))</f>
        <v>85.19077</v>
      </c>
      <c r="AB198" s="65" t="n">
        <f aca="false">IF(E198="",0,NETWORKDAYS(E198,Controls!$B$36,Ref!$K$2:$K$42))</f>
        <v>258</v>
      </c>
      <c r="AC198" s="65" t="n">
        <f aca="false">IF(AND(AA198&gt;0,AB198&gt;=Controls!$B$39*AA198),1,0)</f>
        <v>1</v>
      </c>
      <c r="AD198" s="65" t="n">
        <f aca="false">IF(AND(E198&lt;&gt;"",E198&gt;=Controls!$B$37,E198&lt;=Controls!$B$38),1,0)</f>
        <v>1</v>
      </c>
      <c r="AE198" s="65" t="n">
        <f aca="false">IF(IFERROR(VLOOKUP(D198,Controls!$A$64:$E$74,2,FALSE()),"No")="Yes",1,0)</f>
        <v>0</v>
      </c>
      <c r="AF198" s="65" t="n">
        <f aca="false">IF(IFERROR(VLOOKUP(D198,Controls!$A$64:$E$74,3,FALSE()),"No")="Yes",1,0)</f>
        <v>1</v>
      </c>
      <c r="AG198" s="65" t="n">
        <f aca="false">IF(IFERROR(VLOOKUP(D198,Controls!$A$64:$E$74,4,FALSE()),"No")="Yes",1,0)</f>
        <v>1</v>
      </c>
      <c r="AH198" s="65" t="n">
        <f aca="false">IF(IFERROR(VLOOKUP(D198,Controls!$A$64:$E$74,5,FALSE()),"No")="Yes",1,0)</f>
        <v>0</v>
      </c>
      <c r="AI198" s="65" t="n">
        <f aca="false">IF(ISNUMBER(MATCH(D198,Controls!$A$64:$A$74,0)),1,0)</f>
        <v>1</v>
      </c>
      <c r="AJ198" s="65" t="n">
        <f aca="false">Q198-N198</f>
        <v>10780</v>
      </c>
      <c r="AK198" s="65" t="n">
        <f aca="false">IF(AE198=1,MAX(0,N198-Q198),0)</f>
        <v>0</v>
      </c>
      <c r="AL198" s="65" t="n">
        <f aca="false">IF(OR(V198="",V198=0),0,N198/V198)</f>
        <v>0.424519227151169</v>
      </c>
      <c r="AM198" s="65" t="n">
        <f aca="false">IF(OR(V198="",V198=0),0,1)</f>
        <v>1</v>
      </c>
      <c r="AN198" s="65" t="n">
        <f aca="false">IF(OR(E198="",F198=""),0,NETWORKDAYS(E198,F198,Ref!$K$2:$K$42))</f>
        <v>77</v>
      </c>
      <c r="AO198" s="65" t="n">
        <f aca="false">IF(L198="Renewal",1,0)</f>
        <v>1</v>
      </c>
      <c r="AP198" s="65" t="n">
        <f aca="false">AC198*AD198</f>
        <v>1</v>
      </c>
      <c r="AQ198" s="65" t="n">
        <f aca="false">IF(AND(G198&lt;&gt;"",'Historical Score'!$C$6&lt;&gt;""),IF(G198='Historical Score'!$C$6,1,0),0)</f>
        <v>0</v>
      </c>
      <c r="AR198" s="65" t="n">
        <f aca="false">IF(AND(L198&lt;&gt;"",'Historical Score'!$C$5&lt;&gt;""),IF(L198='Historical Score'!$C$5,1,0),0)</f>
        <v>0</v>
      </c>
      <c r="AS198" s="65" t="n">
        <f aca="false">IF(AND(Y198&lt;&gt;"",'Historical Score'!$C$7&lt;&gt;""),IF(Y198='Historical Score'!$C$7,1,0),0)</f>
        <v>0</v>
      </c>
      <c r="AT198" s="65" t="n">
        <f aca="false">IF(AND(K198&lt;&gt;"",'Historical Score'!$C$8&lt;&gt;""),IF(K198='Historical Score'!$C$8,1,0),0)</f>
        <v>0</v>
      </c>
      <c r="AU198" s="65" t="n">
        <f aca="false">IF(AND(J198&lt;&gt;"",'Historical Score'!$C$9&lt;&gt;""),IF(J198='Historical Score'!$C$9,1,0),0)</f>
        <v>0</v>
      </c>
      <c r="AV198" s="65" t="n">
        <f aca="false">AR198*AS198*AQ198</f>
        <v>0</v>
      </c>
      <c r="AW198" s="65" t="n">
        <f aca="false">AR198*AT198*AQ198</f>
        <v>0</v>
      </c>
      <c r="AX198" s="65" t="n">
        <f aca="false">AR198*AS198</f>
        <v>0</v>
      </c>
      <c r="AY198" s="65" t="n">
        <f aca="false">AR198*AT198</f>
        <v>0</v>
      </c>
      <c r="AZ198" s="65" t="n">
        <f aca="false">AR198*AQ198</f>
        <v>0</v>
      </c>
      <c r="BA198" s="65" t="n">
        <f aca="false">AR198</f>
        <v>0</v>
      </c>
      <c r="BB198" s="65" t="n">
        <f aca="false">1</f>
        <v>1</v>
      </c>
      <c r="BC198" s="65" t="n">
        <f aca="false">IF(AV198=1,1,IF(AW198=1,2,IF(AX198=1,3,IF(AY198=1,4,IF(AZ198=1,5,IF(BA198=1,6,7))))))</f>
        <v>7</v>
      </c>
      <c r="BD198" s="65" t="n">
        <f aca="false">IF(AD198=1,CHOOSE('Historical Score'!$C$29,AV198,AW198,AX198,AY198,AZ198,BA198,BB198),0)</f>
        <v>0</v>
      </c>
      <c r="BE198" s="65" t="str">
        <f aca="false">IF(BD198=1,COUNTIF($BD$2:BD198,1),"")</f>
        <v/>
      </c>
    </row>
    <row r="199" customFormat="false" ht="15" hidden="false" customHeight="false" outlineLevel="0" collapsed="false">
      <c r="A199" s="65" t="s">
        <v>1030</v>
      </c>
      <c r="B199" s="65" t="s">
        <v>1031</v>
      </c>
      <c r="C199" s="65" t="s">
        <v>1031</v>
      </c>
      <c r="D199" s="65" t="s">
        <v>533</v>
      </c>
      <c r="E199" s="112" t="n">
        <v>45884</v>
      </c>
      <c r="F199" s="112" t="n">
        <v>46253</v>
      </c>
      <c r="G199" s="65" t="n">
        <v>1</v>
      </c>
      <c r="H199" s="65" t="s">
        <v>409</v>
      </c>
      <c r="I199" s="65" t="s">
        <v>342</v>
      </c>
      <c r="J199" s="65" t="s">
        <v>350</v>
      </c>
      <c r="K199" s="65" t="s">
        <v>538</v>
      </c>
      <c r="L199" s="65" t="s">
        <v>64</v>
      </c>
      <c r="M199" s="113" t="n">
        <v>1.499</v>
      </c>
      <c r="N199" s="114" t="n">
        <v>10000</v>
      </c>
      <c r="O199" s="114" t="n">
        <v>1400</v>
      </c>
      <c r="P199" s="114" t="n">
        <v>14990</v>
      </c>
      <c r="Q199" s="114" t="n">
        <v>7358.06</v>
      </c>
      <c r="R199" s="114" t="n">
        <v>7631.94</v>
      </c>
      <c r="S199" s="115" t="n">
        <v>0.490864576384256</v>
      </c>
      <c r="T199" s="65" t="n">
        <v>2.623</v>
      </c>
      <c r="U199" s="65" t="n">
        <v>42</v>
      </c>
      <c r="V199" s="65" t="n">
        <v>32383.46</v>
      </c>
      <c r="W199" s="115" t="n">
        <v>0.1208</v>
      </c>
      <c r="X199" s="112" t="n">
        <v>45659</v>
      </c>
      <c r="Y199" s="65" t="str">
        <f aca="false">IF(I199="","No SIC",IFERROR(VLOOKUP(I199,Ref!$A$2:$B$65,2,FALSE()),"Unclassified"))</f>
        <v>Eating &amp; Drinking Places</v>
      </c>
      <c r="Z199" s="65" t="str">
        <f aca="false">IF(T199="","",IF(T199&lt;12,"Daily","Weekly"))</f>
        <v>Daily</v>
      </c>
      <c r="AA199" s="65" t="n">
        <f aca="false">IF(T199="",0,IF(T199&lt;12,T199*Controls!$B$29,T199*5))</f>
        <v>56.801065</v>
      </c>
      <c r="AB199" s="65" t="n">
        <f aca="false">IF(E199="",0,NETWORKDAYS(E199,Controls!$B$36,Ref!$K$2:$K$42))</f>
        <v>258</v>
      </c>
      <c r="AC199" s="65" t="n">
        <f aca="false">IF(AND(AA199&gt;0,AB199&gt;=Controls!$B$39*AA199),1,0)</f>
        <v>1</v>
      </c>
      <c r="AD199" s="65" t="n">
        <f aca="false">IF(AND(E199&lt;&gt;"",E199&gt;=Controls!$B$37,E199&lt;=Controls!$B$38),1,0)</f>
        <v>1</v>
      </c>
      <c r="AE199" s="65" t="n">
        <f aca="false">IF(IFERROR(VLOOKUP(D199,Controls!$A$64:$E$74,2,FALSE()),"No")="Yes",1,0)</f>
        <v>1</v>
      </c>
      <c r="AF199" s="65" t="n">
        <f aca="false">IF(IFERROR(VLOOKUP(D199,Controls!$A$64:$E$74,3,FALSE()),"No")="Yes",1,0)</f>
        <v>0</v>
      </c>
      <c r="AG199" s="65" t="n">
        <f aca="false">IF(IFERROR(VLOOKUP(D199,Controls!$A$64:$E$74,4,FALSE()),"No")="Yes",1,0)</f>
        <v>0</v>
      </c>
      <c r="AH199" s="65" t="n">
        <f aca="false">IF(IFERROR(VLOOKUP(D199,Controls!$A$64:$E$74,5,FALSE()),"No")="Yes",1,0)</f>
        <v>0</v>
      </c>
      <c r="AI199" s="65" t="n">
        <f aca="false">IF(ISNUMBER(MATCH(D199,Controls!$A$64:$A$74,0)),1,0)</f>
        <v>1</v>
      </c>
      <c r="AJ199" s="65" t="n">
        <f aca="false">Q199-N199</f>
        <v>-2641.94</v>
      </c>
      <c r="AK199" s="65" t="n">
        <f aca="false">IF(AE199=1,MAX(0,N199-Q199),0)</f>
        <v>2641.94</v>
      </c>
      <c r="AL199" s="65" t="n">
        <f aca="false">IF(OR(V199="",V199=0),0,N199/V199)</f>
        <v>0.308799615606239</v>
      </c>
      <c r="AM199" s="65" t="n">
        <f aca="false">IF(OR(V199="",V199=0),0,1)</f>
        <v>1</v>
      </c>
      <c r="AN199" s="65" t="n">
        <f aca="false">IF(OR(E199="",F199=""),0,NETWORKDAYS(E199,F199,Ref!$K$2:$K$42))</f>
        <v>254</v>
      </c>
      <c r="AO199" s="65" t="n">
        <f aca="false">IF(L199="Renewal",1,0)</f>
        <v>0</v>
      </c>
      <c r="AP199" s="65" t="n">
        <f aca="false">AC199*AD199</f>
        <v>1</v>
      </c>
      <c r="AQ199" s="65" t="n">
        <f aca="false">IF(AND(G199&lt;&gt;"",'Historical Score'!$C$6&lt;&gt;""),IF(G199='Historical Score'!$C$6,1,0),0)</f>
        <v>0</v>
      </c>
      <c r="AR199" s="65" t="n">
        <f aca="false">IF(AND(L199&lt;&gt;"",'Historical Score'!$C$5&lt;&gt;""),IF(L199='Historical Score'!$C$5,1,0),0)</f>
        <v>1</v>
      </c>
      <c r="AS199" s="65" t="n">
        <f aca="false">IF(AND(Y199&lt;&gt;"",'Historical Score'!$C$7&lt;&gt;""),IF(Y199='Historical Score'!$C$7,1,0),0)</f>
        <v>0</v>
      </c>
      <c r="AT199" s="65" t="n">
        <f aca="false">IF(AND(K199&lt;&gt;"",'Historical Score'!$C$8&lt;&gt;""),IF(K199='Historical Score'!$C$8,1,0),0)</f>
        <v>0</v>
      </c>
      <c r="AU199" s="65" t="n">
        <f aca="false">IF(AND(J199&lt;&gt;"",'Historical Score'!$C$9&lt;&gt;""),IF(J199='Historical Score'!$C$9,1,0),0)</f>
        <v>0</v>
      </c>
      <c r="AV199" s="65" t="n">
        <f aca="false">AR199*AS199*AQ199</f>
        <v>0</v>
      </c>
      <c r="AW199" s="65" t="n">
        <f aca="false">AR199*AT199*AQ199</f>
        <v>0</v>
      </c>
      <c r="AX199" s="65" t="n">
        <f aca="false">AR199*AS199</f>
        <v>0</v>
      </c>
      <c r="AY199" s="65" t="n">
        <f aca="false">AR199*AT199</f>
        <v>0</v>
      </c>
      <c r="AZ199" s="65" t="n">
        <f aca="false">AR199*AQ199</f>
        <v>0</v>
      </c>
      <c r="BA199" s="65" t="n">
        <f aca="false">AR199</f>
        <v>1</v>
      </c>
      <c r="BB199" s="65" t="n">
        <f aca="false">1</f>
        <v>1</v>
      </c>
      <c r="BC199" s="65" t="n">
        <f aca="false">IF(AV199=1,1,IF(AW199=1,2,IF(AX199=1,3,IF(AY199=1,4,IF(AZ199=1,5,IF(BA199=1,6,7))))))</f>
        <v>6</v>
      </c>
      <c r="BD199" s="65" t="n">
        <f aca="false">IF(AD199=1,CHOOSE('Historical Score'!$C$29,AV199,AW199,AX199,AY199,AZ199,BA199,BB199),0)</f>
        <v>0</v>
      </c>
      <c r="BE199" s="65" t="str">
        <f aca="false">IF(BD199=1,COUNTIF($BD$2:BD199,1),"")</f>
        <v/>
      </c>
    </row>
    <row r="200" customFormat="false" ht="15" hidden="false" customHeight="false" outlineLevel="0" collapsed="false">
      <c r="A200" s="65" t="s">
        <v>1032</v>
      </c>
      <c r="B200" s="65" t="s">
        <v>1033</v>
      </c>
      <c r="C200" s="65" t="s">
        <v>1033</v>
      </c>
      <c r="D200" s="65" t="s">
        <v>371</v>
      </c>
      <c r="E200" s="112" t="n">
        <v>45887</v>
      </c>
      <c r="F200" s="112" t="n">
        <v>45960</v>
      </c>
      <c r="G200" s="65" t="n">
        <v>6</v>
      </c>
      <c r="H200" s="65" t="s">
        <v>748</v>
      </c>
      <c r="I200" s="65" t="s">
        <v>619</v>
      </c>
      <c r="J200" s="65" t="s">
        <v>386</v>
      </c>
      <c r="K200" s="65" t="s">
        <v>394</v>
      </c>
      <c r="L200" s="65" t="s">
        <v>64</v>
      </c>
      <c r="M200" s="113" t="n">
        <v>1.36</v>
      </c>
      <c r="N200" s="114" t="n">
        <v>15000</v>
      </c>
      <c r="O200" s="114" t="n">
        <v>1125</v>
      </c>
      <c r="P200" s="114" t="n">
        <v>20400</v>
      </c>
      <c r="Q200" s="114" t="n">
        <v>20400</v>
      </c>
      <c r="R200" s="114" t="n">
        <v>0</v>
      </c>
      <c r="S200" s="115" t="n">
        <v>1</v>
      </c>
      <c r="T200" s="65" t="n">
        <v>3.279</v>
      </c>
      <c r="U200" s="65" t="n">
        <v>0</v>
      </c>
      <c r="V200" s="65" t="n">
        <v>33782.45</v>
      </c>
      <c r="W200" s="115" t="n">
        <v>0.1268</v>
      </c>
      <c r="X200" s="112"/>
      <c r="Y200" s="65" t="str">
        <f aca="false">IF(I200="","No SIC",IFERROR(VLOOKUP(I200,Ref!$A$2:$B$65,2,FALSE()),"Unclassified"))</f>
        <v>Miscellaneous Retail</v>
      </c>
      <c r="Z200" s="65" t="str">
        <f aca="false">IF(T200="","",IF(T200&lt;12,"Daily","Weekly"))</f>
        <v>Daily</v>
      </c>
      <c r="AA200" s="65" t="n">
        <f aca="false">IF(T200="",0,IF(T200&lt;12,T200*Controls!$B$29,T200*5))</f>
        <v>71.006745</v>
      </c>
      <c r="AB200" s="65" t="n">
        <f aca="false">IF(E200="",0,NETWORKDAYS(E200,Controls!$B$36,Ref!$K$2:$K$42))</f>
        <v>257</v>
      </c>
      <c r="AC200" s="65" t="n">
        <f aca="false">IF(AND(AA200&gt;0,AB200&gt;=Controls!$B$39*AA200),1,0)</f>
        <v>1</v>
      </c>
      <c r="AD200" s="65" t="n">
        <f aca="false">IF(AND(E200&lt;&gt;"",E200&gt;=Controls!$B$37,E200&lt;=Controls!$B$38),1,0)</f>
        <v>1</v>
      </c>
      <c r="AE200" s="65" t="n">
        <f aca="false">IF(IFERROR(VLOOKUP(D200,Controls!$A$64:$E$74,2,FALSE()),"No")="Yes",1,0)</f>
        <v>0</v>
      </c>
      <c r="AF200" s="65" t="n">
        <f aca="false">IF(IFERROR(VLOOKUP(D200,Controls!$A$64:$E$74,3,FALSE()),"No")="Yes",1,0)</f>
        <v>1</v>
      </c>
      <c r="AG200" s="65" t="n">
        <f aca="false">IF(IFERROR(VLOOKUP(D200,Controls!$A$64:$E$74,4,FALSE()),"No")="Yes",1,0)</f>
        <v>1</v>
      </c>
      <c r="AH200" s="65" t="n">
        <f aca="false">IF(IFERROR(VLOOKUP(D200,Controls!$A$64:$E$74,5,FALSE()),"No")="Yes",1,0)</f>
        <v>0</v>
      </c>
      <c r="AI200" s="65" t="n">
        <f aca="false">IF(ISNUMBER(MATCH(D200,Controls!$A$64:$A$74,0)),1,0)</f>
        <v>1</v>
      </c>
      <c r="AJ200" s="65" t="n">
        <f aca="false">Q200-N200</f>
        <v>5400</v>
      </c>
      <c r="AK200" s="65" t="n">
        <f aca="false">IF(AE200=1,MAX(0,N200-Q200),0)</f>
        <v>0</v>
      </c>
      <c r="AL200" s="65" t="n">
        <f aca="false">IF(OR(V200="",V200=0),0,N200/V200)</f>
        <v>0.444017529812077</v>
      </c>
      <c r="AM200" s="65" t="n">
        <f aca="false">IF(OR(V200="",V200=0),0,1)</f>
        <v>1</v>
      </c>
      <c r="AN200" s="65" t="n">
        <f aca="false">IF(OR(E200="",F200=""),0,NETWORKDAYS(E200,F200,Ref!$K$2:$K$42))</f>
        <v>52</v>
      </c>
      <c r="AO200" s="65" t="n">
        <f aca="false">IF(L200="Renewal",1,0)</f>
        <v>0</v>
      </c>
      <c r="AP200" s="65" t="n">
        <f aca="false">AC200*AD200</f>
        <v>1</v>
      </c>
      <c r="AQ200" s="65" t="n">
        <f aca="false">IF(AND(G200&lt;&gt;"",'Historical Score'!$C$6&lt;&gt;""),IF(G200='Historical Score'!$C$6,1,0),0)</f>
        <v>0</v>
      </c>
      <c r="AR200" s="65" t="n">
        <f aca="false">IF(AND(L200&lt;&gt;"",'Historical Score'!$C$5&lt;&gt;""),IF(L200='Historical Score'!$C$5,1,0),0)</f>
        <v>1</v>
      </c>
      <c r="AS200" s="65" t="n">
        <f aca="false">IF(AND(Y200&lt;&gt;"",'Historical Score'!$C$7&lt;&gt;""),IF(Y200='Historical Score'!$C$7,1,0),0)</f>
        <v>0</v>
      </c>
      <c r="AT200" s="65" t="n">
        <f aca="false">IF(AND(K200&lt;&gt;"",'Historical Score'!$C$8&lt;&gt;""),IF(K200='Historical Score'!$C$8,1,0),0)</f>
        <v>0</v>
      </c>
      <c r="AU200" s="65" t="n">
        <f aca="false">IF(AND(J200&lt;&gt;"",'Historical Score'!$C$9&lt;&gt;""),IF(J200='Historical Score'!$C$9,1,0),0)</f>
        <v>0</v>
      </c>
      <c r="AV200" s="65" t="n">
        <f aca="false">AR200*AS200*AQ200</f>
        <v>0</v>
      </c>
      <c r="AW200" s="65" t="n">
        <f aca="false">AR200*AT200*AQ200</f>
        <v>0</v>
      </c>
      <c r="AX200" s="65" t="n">
        <f aca="false">AR200*AS200</f>
        <v>0</v>
      </c>
      <c r="AY200" s="65" t="n">
        <f aca="false">AR200*AT200</f>
        <v>0</v>
      </c>
      <c r="AZ200" s="65" t="n">
        <f aca="false">AR200*AQ200</f>
        <v>0</v>
      </c>
      <c r="BA200" s="65" t="n">
        <f aca="false">AR200</f>
        <v>1</v>
      </c>
      <c r="BB200" s="65" t="n">
        <f aca="false">1</f>
        <v>1</v>
      </c>
      <c r="BC200" s="65" t="n">
        <f aca="false">IF(AV200=1,1,IF(AW200=1,2,IF(AX200=1,3,IF(AY200=1,4,IF(AZ200=1,5,IF(BA200=1,6,7))))))</f>
        <v>6</v>
      </c>
      <c r="BD200" s="65" t="n">
        <f aca="false">IF(AD200=1,CHOOSE('Historical Score'!$C$29,AV200,AW200,AX200,AY200,AZ200,BA200,BB200),0)</f>
        <v>0</v>
      </c>
      <c r="BE200" s="65" t="str">
        <f aca="false">IF(BD200=1,COUNTIF($BD$2:BD200,1),"")</f>
        <v/>
      </c>
    </row>
    <row r="201" customFormat="false" ht="15" hidden="false" customHeight="false" outlineLevel="0" collapsed="false">
      <c r="A201" s="65" t="s">
        <v>1034</v>
      </c>
      <c r="B201" s="65" t="s">
        <v>1035</v>
      </c>
      <c r="C201" s="65" t="s">
        <v>1036</v>
      </c>
      <c r="D201" s="65" t="s">
        <v>528</v>
      </c>
      <c r="E201" s="112" t="n">
        <v>45888</v>
      </c>
      <c r="F201" s="112" t="n">
        <v>46113</v>
      </c>
      <c r="G201" s="65" t="n">
        <v>4</v>
      </c>
      <c r="H201" s="65" t="s">
        <v>1037</v>
      </c>
      <c r="I201" s="65" t="s">
        <v>475</v>
      </c>
      <c r="J201" s="65" t="s">
        <v>350</v>
      </c>
      <c r="K201" s="65" t="s">
        <v>501</v>
      </c>
      <c r="L201" s="65" t="s">
        <v>64</v>
      </c>
      <c r="M201" s="113" t="n">
        <v>1.499</v>
      </c>
      <c r="N201" s="114" t="n">
        <v>4500</v>
      </c>
      <c r="O201" s="114" t="n">
        <v>630</v>
      </c>
      <c r="P201" s="114" t="n">
        <v>6745.5</v>
      </c>
      <c r="Q201" s="114" t="n">
        <v>6745.5</v>
      </c>
      <c r="R201" s="114" t="n">
        <v>9.09494701772928E-013</v>
      </c>
      <c r="S201" s="115" t="n">
        <v>1</v>
      </c>
      <c r="T201" s="65" t="n">
        <v>1.967</v>
      </c>
      <c r="U201" s="65" t="n">
        <v>44</v>
      </c>
      <c r="V201" s="65" t="n">
        <v>18481.21</v>
      </c>
      <c r="W201" s="115" t="n">
        <v>0.1261</v>
      </c>
      <c r="X201" s="112" t="n">
        <v>39083</v>
      </c>
      <c r="Y201" s="65" t="str">
        <f aca="false">IF(I201="","No SIC",IFERROR(VLOOKUP(I201,Ref!$A$2:$B$65,2,FALSE()),"Unclassified"))</f>
        <v>Auto Repair &amp; Services</v>
      </c>
      <c r="Z201" s="65" t="str">
        <f aca="false">IF(T201="","",IF(T201&lt;12,"Daily","Weekly"))</f>
        <v>Daily</v>
      </c>
      <c r="AA201" s="65" t="n">
        <f aca="false">IF(T201="",0,IF(T201&lt;12,T201*Controls!$B$29,T201*5))</f>
        <v>42.595385</v>
      </c>
      <c r="AB201" s="65" t="n">
        <f aca="false">IF(E201="",0,NETWORKDAYS(E201,Controls!$B$36,Ref!$K$2:$K$42))</f>
        <v>256</v>
      </c>
      <c r="AC201" s="65" t="n">
        <f aca="false">IF(AND(AA201&gt;0,AB201&gt;=Controls!$B$39*AA201),1,0)</f>
        <v>1</v>
      </c>
      <c r="AD201" s="65" t="n">
        <f aca="false">IF(AND(E201&lt;&gt;"",E201&gt;=Controls!$B$37,E201&lt;=Controls!$B$38),1,0)</f>
        <v>1</v>
      </c>
      <c r="AE201" s="65" t="n">
        <f aca="false">IF(IFERROR(VLOOKUP(D201,Controls!$A$64:$E$74,2,FALSE()),"No")="Yes",1,0)</f>
        <v>0</v>
      </c>
      <c r="AF201" s="65" t="n">
        <f aca="false">IF(IFERROR(VLOOKUP(D201,Controls!$A$64:$E$74,3,FALSE()),"No")="Yes",1,0)</f>
        <v>1</v>
      </c>
      <c r="AG201" s="65" t="n">
        <f aca="false">IF(IFERROR(VLOOKUP(D201,Controls!$A$64:$E$74,4,FALSE()),"No")="Yes",1,0)</f>
        <v>1</v>
      </c>
      <c r="AH201" s="65" t="n">
        <f aca="false">IF(IFERROR(VLOOKUP(D201,Controls!$A$64:$E$74,5,FALSE()),"No")="Yes",1,0)</f>
        <v>0</v>
      </c>
      <c r="AI201" s="65" t="n">
        <f aca="false">IF(ISNUMBER(MATCH(D201,Controls!$A$64:$A$74,0)),1,0)</f>
        <v>1</v>
      </c>
      <c r="AJ201" s="65" t="n">
        <f aca="false">Q201-N201</f>
        <v>2245.5</v>
      </c>
      <c r="AK201" s="65" t="n">
        <f aca="false">IF(AE201=1,MAX(0,N201-Q201),0)</f>
        <v>0</v>
      </c>
      <c r="AL201" s="65" t="n">
        <f aca="false">IF(OR(V201="",V201=0),0,N201/V201)</f>
        <v>0.243490550672819</v>
      </c>
      <c r="AM201" s="65" t="n">
        <f aca="false">IF(OR(V201="",V201=0),0,1)</f>
        <v>1</v>
      </c>
      <c r="AN201" s="65" t="n">
        <f aca="false">IF(OR(E201="",F201=""),0,NETWORKDAYS(E201,F201,Ref!$K$2:$K$42))</f>
        <v>154</v>
      </c>
      <c r="AO201" s="65" t="n">
        <f aca="false">IF(L201="Renewal",1,0)</f>
        <v>0</v>
      </c>
      <c r="AP201" s="65" t="n">
        <f aca="false">AC201*AD201</f>
        <v>1</v>
      </c>
      <c r="AQ201" s="65" t="n">
        <f aca="false">IF(AND(G201&lt;&gt;"",'Historical Score'!$C$6&lt;&gt;""),IF(G201='Historical Score'!$C$6,1,0),0)</f>
        <v>0</v>
      </c>
      <c r="AR201" s="65" t="n">
        <f aca="false">IF(AND(L201&lt;&gt;"",'Historical Score'!$C$5&lt;&gt;""),IF(L201='Historical Score'!$C$5,1,0),0)</f>
        <v>1</v>
      </c>
      <c r="AS201" s="65" t="n">
        <f aca="false">IF(AND(Y201&lt;&gt;"",'Historical Score'!$C$7&lt;&gt;""),IF(Y201='Historical Score'!$C$7,1,0),0)</f>
        <v>0</v>
      </c>
      <c r="AT201" s="65" t="n">
        <f aca="false">IF(AND(K201&lt;&gt;"",'Historical Score'!$C$8&lt;&gt;""),IF(K201='Historical Score'!$C$8,1,0),0)</f>
        <v>0</v>
      </c>
      <c r="AU201" s="65" t="n">
        <f aca="false">IF(AND(J201&lt;&gt;"",'Historical Score'!$C$9&lt;&gt;""),IF(J201='Historical Score'!$C$9,1,0),0)</f>
        <v>0</v>
      </c>
      <c r="AV201" s="65" t="n">
        <f aca="false">AR201*AS201*AQ201</f>
        <v>0</v>
      </c>
      <c r="AW201" s="65" t="n">
        <f aca="false">AR201*AT201*AQ201</f>
        <v>0</v>
      </c>
      <c r="AX201" s="65" t="n">
        <f aca="false">AR201*AS201</f>
        <v>0</v>
      </c>
      <c r="AY201" s="65" t="n">
        <f aca="false">AR201*AT201</f>
        <v>0</v>
      </c>
      <c r="AZ201" s="65" t="n">
        <f aca="false">AR201*AQ201</f>
        <v>0</v>
      </c>
      <c r="BA201" s="65" t="n">
        <f aca="false">AR201</f>
        <v>1</v>
      </c>
      <c r="BB201" s="65" t="n">
        <f aca="false">1</f>
        <v>1</v>
      </c>
      <c r="BC201" s="65" t="n">
        <f aca="false">IF(AV201=1,1,IF(AW201=1,2,IF(AX201=1,3,IF(AY201=1,4,IF(AZ201=1,5,IF(BA201=1,6,7))))))</f>
        <v>6</v>
      </c>
      <c r="BD201" s="65" t="n">
        <f aca="false">IF(AD201=1,CHOOSE('Historical Score'!$C$29,AV201,AW201,AX201,AY201,AZ201,BA201,BB201),0)</f>
        <v>0</v>
      </c>
      <c r="BE201" s="65" t="str">
        <f aca="false">IF(BD201=1,COUNTIF($BD$2:BD201,1),"")</f>
        <v/>
      </c>
    </row>
    <row r="202" customFormat="false" ht="15" hidden="false" customHeight="false" outlineLevel="0" collapsed="false">
      <c r="A202" s="65" t="s">
        <v>1038</v>
      </c>
      <c r="B202" s="65" t="s">
        <v>621</v>
      </c>
      <c r="C202" s="65" t="s">
        <v>622</v>
      </c>
      <c r="D202" s="65" t="s">
        <v>371</v>
      </c>
      <c r="E202" s="112" t="n">
        <v>45888</v>
      </c>
      <c r="F202" s="112" t="n">
        <v>46113</v>
      </c>
      <c r="G202" s="65" t="n">
        <v>3</v>
      </c>
      <c r="H202" s="65" t="s">
        <v>479</v>
      </c>
      <c r="I202" s="65" t="s">
        <v>356</v>
      </c>
      <c r="J202" s="65" t="s">
        <v>452</v>
      </c>
      <c r="K202" s="65" t="s">
        <v>624</v>
      </c>
      <c r="L202" s="65" t="s">
        <v>64</v>
      </c>
      <c r="M202" s="113" t="n">
        <v>1.4</v>
      </c>
      <c r="N202" s="114" t="n">
        <v>7000</v>
      </c>
      <c r="O202" s="114" t="n">
        <v>665</v>
      </c>
      <c r="P202" s="114" t="n">
        <v>9800</v>
      </c>
      <c r="Q202" s="114" t="n">
        <v>9800</v>
      </c>
      <c r="R202" s="114" t="n">
        <v>0</v>
      </c>
      <c r="S202" s="115" t="n">
        <v>1</v>
      </c>
      <c r="T202" s="65" t="n">
        <v>3.934</v>
      </c>
      <c r="U202" s="65" t="n">
        <v>40</v>
      </c>
      <c r="V202" s="65" t="n">
        <v>63028.05</v>
      </c>
      <c r="W202" s="115" t="n">
        <v>0.0272</v>
      </c>
      <c r="X202" s="112" t="n">
        <v>44673</v>
      </c>
      <c r="Y202" s="65" t="str">
        <f aca="false">IF(I202="","No SIC",IFERROR(VLOOKUP(I202,Ref!$A$2:$B$65,2,FALSE()),"Unclassified"))</f>
        <v>Trucking &amp; Warehousing</v>
      </c>
      <c r="Z202" s="65" t="str">
        <f aca="false">IF(T202="","",IF(T202&lt;12,"Daily","Weekly"))</f>
        <v>Daily</v>
      </c>
      <c r="AA202" s="65" t="n">
        <f aca="false">IF(T202="",0,IF(T202&lt;12,T202*Controls!$B$29,T202*5))</f>
        <v>85.19077</v>
      </c>
      <c r="AB202" s="65" t="n">
        <f aca="false">IF(E202="",0,NETWORKDAYS(E202,Controls!$B$36,Ref!$K$2:$K$42))</f>
        <v>256</v>
      </c>
      <c r="AC202" s="65" t="n">
        <f aca="false">IF(AND(AA202&gt;0,AB202&gt;=Controls!$B$39*AA202),1,0)</f>
        <v>1</v>
      </c>
      <c r="AD202" s="65" t="n">
        <f aca="false">IF(AND(E202&lt;&gt;"",E202&gt;=Controls!$B$37,E202&lt;=Controls!$B$38),1,0)</f>
        <v>1</v>
      </c>
      <c r="AE202" s="65" t="n">
        <f aca="false">IF(IFERROR(VLOOKUP(D202,Controls!$A$64:$E$74,2,FALSE()),"No")="Yes",1,0)</f>
        <v>0</v>
      </c>
      <c r="AF202" s="65" t="n">
        <f aca="false">IF(IFERROR(VLOOKUP(D202,Controls!$A$64:$E$74,3,FALSE()),"No")="Yes",1,0)</f>
        <v>1</v>
      </c>
      <c r="AG202" s="65" t="n">
        <f aca="false">IF(IFERROR(VLOOKUP(D202,Controls!$A$64:$E$74,4,FALSE()),"No")="Yes",1,0)</f>
        <v>1</v>
      </c>
      <c r="AH202" s="65" t="n">
        <f aca="false">IF(IFERROR(VLOOKUP(D202,Controls!$A$64:$E$74,5,FALSE()),"No")="Yes",1,0)</f>
        <v>0</v>
      </c>
      <c r="AI202" s="65" t="n">
        <f aca="false">IF(ISNUMBER(MATCH(D202,Controls!$A$64:$A$74,0)),1,0)</f>
        <v>1</v>
      </c>
      <c r="AJ202" s="65" t="n">
        <f aca="false">Q202-N202</f>
        <v>2800</v>
      </c>
      <c r="AK202" s="65" t="n">
        <f aca="false">IF(AE202=1,MAX(0,N202-Q202),0)</f>
        <v>0</v>
      </c>
      <c r="AL202" s="65" t="n">
        <f aca="false">IF(OR(V202="",V202=0),0,N202/V202)</f>
        <v>0.111061662228167</v>
      </c>
      <c r="AM202" s="65" t="n">
        <f aca="false">IF(OR(V202="",V202=0),0,1)</f>
        <v>1</v>
      </c>
      <c r="AN202" s="65" t="n">
        <f aca="false">IF(OR(E202="",F202=""),0,NETWORKDAYS(E202,F202,Ref!$K$2:$K$42))</f>
        <v>154</v>
      </c>
      <c r="AO202" s="65" t="n">
        <f aca="false">IF(L202="Renewal",1,0)</f>
        <v>0</v>
      </c>
      <c r="AP202" s="65" t="n">
        <f aca="false">AC202*AD202</f>
        <v>1</v>
      </c>
      <c r="AQ202" s="65" t="n">
        <f aca="false">IF(AND(G202&lt;&gt;"",'Historical Score'!$C$6&lt;&gt;""),IF(G202='Historical Score'!$C$6,1,0),0)</f>
        <v>0</v>
      </c>
      <c r="AR202" s="65" t="n">
        <f aca="false">IF(AND(L202&lt;&gt;"",'Historical Score'!$C$5&lt;&gt;""),IF(L202='Historical Score'!$C$5,1,0),0)</f>
        <v>1</v>
      </c>
      <c r="AS202" s="65" t="n">
        <f aca="false">IF(AND(Y202&lt;&gt;"",'Historical Score'!$C$7&lt;&gt;""),IF(Y202='Historical Score'!$C$7,1,0),0)</f>
        <v>0</v>
      </c>
      <c r="AT202" s="65" t="n">
        <f aca="false">IF(AND(K202&lt;&gt;"",'Historical Score'!$C$8&lt;&gt;""),IF(K202='Historical Score'!$C$8,1,0),0)</f>
        <v>0</v>
      </c>
      <c r="AU202" s="65" t="n">
        <f aca="false">IF(AND(J202&lt;&gt;"",'Historical Score'!$C$9&lt;&gt;""),IF(J202='Historical Score'!$C$9,1,0),0)</f>
        <v>0</v>
      </c>
      <c r="AV202" s="65" t="n">
        <f aca="false">AR202*AS202*AQ202</f>
        <v>0</v>
      </c>
      <c r="AW202" s="65" t="n">
        <f aca="false">AR202*AT202*AQ202</f>
        <v>0</v>
      </c>
      <c r="AX202" s="65" t="n">
        <f aca="false">AR202*AS202</f>
        <v>0</v>
      </c>
      <c r="AY202" s="65" t="n">
        <f aca="false">AR202*AT202</f>
        <v>0</v>
      </c>
      <c r="AZ202" s="65" t="n">
        <f aca="false">AR202*AQ202</f>
        <v>0</v>
      </c>
      <c r="BA202" s="65" t="n">
        <f aca="false">AR202</f>
        <v>1</v>
      </c>
      <c r="BB202" s="65" t="n">
        <f aca="false">1</f>
        <v>1</v>
      </c>
      <c r="BC202" s="65" t="n">
        <f aca="false">IF(AV202=1,1,IF(AW202=1,2,IF(AX202=1,3,IF(AY202=1,4,IF(AZ202=1,5,IF(BA202=1,6,7))))))</f>
        <v>6</v>
      </c>
      <c r="BD202" s="65" t="n">
        <f aca="false">IF(AD202=1,CHOOSE('Historical Score'!$C$29,AV202,AW202,AX202,AY202,AZ202,BA202,BB202),0)</f>
        <v>0</v>
      </c>
      <c r="BE202" s="65" t="str">
        <f aca="false">IF(BD202=1,COUNTIF($BD$2:BD202,1),"")</f>
        <v/>
      </c>
    </row>
    <row r="203" customFormat="false" ht="15" hidden="false" customHeight="false" outlineLevel="0" collapsed="false">
      <c r="A203" s="65" t="s">
        <v>1039</v>
      </c>
      <c r="B203" s="65" t="s">
        <v>1040</v>
      </c>
      <c r="C203" s="65" t="s">
        <v>1040</v>
      </c>
      <c r="D203" s="65" t="s">
        <v>371</v>
      </c>
      <c r="E203" s="112" t="n">
        <v>45888</v>
      </c>
      <c r="F203" s="112" t="n">
        <v>45985</v>
      </c>
      <c r="G203" s="65" t="n">
        <v>1</v>
      </c>
      <c r="H203" s="65" t="s">
        <v>1041</v>
      </c>
      <c r="I203" s="65" t="s">
        <v>367</v>
      </c>
      <c r="J203" s="65" t="s">
        <v>350</v>
      </c>
      <c r="K203" s="65" t="s">
        <v>1042</v>
      </c>
      <c r="L203" s="65" t="s">
        <v>64</v>
      </c>
      <c r="M203" s="113" t="n">
        <v>1.49</v>
      </c>
      <c r="N203" s="114" t="n">
        <v>30000</v>
      </c>
      <c r="O203" s="114" t="n">
        <v>4200</v>
      </c>
      <c r="P203" s="114" t="n">
        <v>44700</v>
      </c>
      <c r="Q203" s="114" t="n">
        <v>44700</v>
      </c>
      <c r="R203" s="114" t="n">
        <v>0</v>
      </c>
      <c r="S203" s="115" t="n">
        <v>1</v>
      </c>
      <c r="T203" s="65" t="n">
        <v>3.934</v>
      </c>
      <c r="U203" s="65" t="n">
        <v>0</v>
      </c>
      <c r="V203" s="65" t="n">
        <v>496879.88</v>
      </c>
      <c r="W203" s="115" t="n">
        <v>0.0157</v>
      </c>
      <c r="X203" s="112"/>
      <c r="Y203" s="65" t="str">
        <f aca="false">IF(I203="","No SIC",IFERROR(VLOOKUP(I203,Ref!$A$2:$B$65,2,FALSE()),"Unclassified"))</f>
        <v>Engineering, Accounting &amp; Management</v>
      </c>
      <c r="Z203" s="65" t="str">
        <f aca="false">IF(T203="","",IF(T203&lt;12,"Daily","Weekly"))</f>
        <v>Daily</v>
      </c>
      <c r="AA203" s="65" t="n">
        <f aca="false">IF(T203="",0,IF(T203&lt;12,T203*Controls!$B$29,T203*5))</f>
        <v>85.19077</v>
      </c>
      <c r="AB203" s="65" t="n">
        <f aca="false">IF(E203="",0,NETWORKDAYS(E203,Controls!$B$36,Ref!$K$2:$K$42))</f>
        <v>256</v>
      </c>
      <c r="AC203" s="65" t="n">
        <f aca="false">IF(AND(AA203&gt;0,AB203&gt;=Controls!$B$39*AA203),1,0)</f>
        <v>1</v>
      </c>
      <c r="AD203" s="65" t="n">
        <f aca="false">IF(AND(E203&lt;&gt;"",E203&gt;=Controls!$B$37,E203&lt;=Controls!$B$38),1,0)</f>
        <v>1</v>
      </c>
      <c r="AE203" s="65" t="n">
        <f aca="false">IF(IFERROR(VLOOKUP(D203,Controls!$A$64:$E$74,2,FALSE()),"No")="Yes",1,0)</f>
        <v>0</v>
      </c>
      <c r="AF203" s="65" t="n">
        <f aca="false">IF(IFERROR(VLOOKUP(D203,Controls!$A$64:$E$74,3,FALSE()),"No")="Yes",1,0)</f>
        <v>1</v>
      </c>
      <c r="AG203" s="65" t="n">
        <f aca="false">IF(IFERROR(VLOOKUP(D203,Controls!$A$64:$E$74,4,FALSE()),"No")="Yes",1,0)</f>
        <v>1</v>
      </c>
      <c r="AH203" s="65" t="n">
        <f aca="false">IF(IFERROR(VLOOKUP(D203,Controls!$A$64:$E$74,5,FALSE()),"No")="Yes",1,0)</f>
        <v>0</v>
      </c>
      <c r="AI203" s="65" t="n">
        <f aca="false">IF(ISNUMBER(MATCH(D203,Controls!$A$64:$A$74,0)),1,0)</f>
        <v>1</v>
      </c>
      <c r="AJ203" s="65" t="n">
        <f aca="false">Q203-N203</f>
        <v>14700</v>
      </c>
      <c r="AK203" s="65" t="n">
        <f aca="false">IF(AE203=1,MAX(0,N203-Q203),0)</f>
        <v>0</v>
      </c>
      <c r="AL203" s="65" t="n">
        <f aca="false">IF(OR(V203="",V203=0),0,N203/V203)</f>
        <v>0.0603767655071886</v>
      </c>
      <c r="AM203" s="65" t="n">
        <f aca="false">IF(OR(V203="",V203=0),0,1)</f>
        <v>1</v>
      </c>
      <c r="AN203" s="65" t="n">
        <f aca="false">IF(OR(E203="",F203=""),0,NETWORKDAYS(E203,F203,Ref!$K$2:$K$42))</f>
        <v>67</v>
      </c>
      <c r="AO203" s="65" t="n">
        <f aca="false">IF(L203="Renewal",1,0)</f>
        <v>0</v>
      </c>
      <c r="AP203" s="65" t="n">
        <f aca="false">AC203*AD203</f>
        <v>1</v>
      </c>
      <c r="AQ203" s="65" t="n">
        <f aca="false">IF(AND(G203&lt;&gt;"",'Historical Score'!$C$6&lt;&gt;""),IF(G203='Historical Score'!$C$6,1,0),0)</f>
        <v>0</v>
      </c>
      <c r="AR203" s="65" t="n">
        <f aca="false">IF(AND(L203&lt;&gt;"",'Historical Score'!$C$5&lt;&gt;""),IF(L203='Historical Score'!$C$5,1,0),0)</f>
        <v>1</v>
      </c>
      <c r="AS203" s="65" t="n">
        <f aca="false">IF(AND(Y203&lt;&gt;"",'Historical Score'!$C$7&lt;&gt;""),IF(Y203='Historical Score'!$C$7,1,0),0)</f>
        <v>0</v>
      </c>
      <c r="AT203" s="65" t="n">
        <f aca="false">IF(AND(K203&lt;&gt;"",'Historical Score'!$C$8&lt;&gt;""),IF(K203='Historical Score'!$C$8,1,0),0)</f>
        <v>0</v>
      </c>
      <c r="AU203" s="65" t="n">
        <f aca="false">IF(AND(J203&lt;&gt;"",'Historical Score'!$C$9&lt;&gt;""),IF(J203='Historical Score'!$C$9,1,0),0)</f>
        <v>0</v>
      </c>
      <c r="AV203" s="65" t="n">
        <f aca="false">AR203*AS203*AQ203</f>
        <v>0</v>
      </c>
      <c r="AW203" s="65" t="n">
        <f aca="false">AR203*AT203*AQ203</f>
        <v>0</v>
      </c>
      <c r="AX203" s="65" t="n">
        <f aca="false">AR203*AS203</f>
        <v>0</v>
      </c>
      <c r="AY203" s="65" t="n">
        <f aca="false">AR203*AT203</f>
        <v>0</v>
      </c>
      <c r="AZ203" s="65" t="n">
        <f aca="false">AR203*AQ203</f>
        <v>0</v>
      </c>
      <c r="BA203" s="65" t="n">
        <f aca="false">AR203</f>
        <v>1</v>
      </c>
      <c r="BB203" s="65" t="n">
        <f aca="false">1</f>
        <v>1</v>
      </c>
      <c r="BC203" s="65" t="n">
        <f aca="false">IF(AV203=1,1,IF(AW203=1,2,IF(AX203=1,3,IF(AY203=1,4,IF(AZ203=1,5,IF(BA203=1,6,7))))))</f>
        <v>6</v>
      </c>
      <c r="BD203" s="65" t="n">
        <f aca="false">IF(AD203=1,CHOOSE('Historical Score'!$C$29,AV203,AW203,AX203,AY203,AZ203,BA203,BB203),0)</f>
        <v>0</v>
      </c>
      <c r="BE203" s="65" t="str">
        <f aca="false">IF(BD203=1,COUNTIF($BD$2:BD203,1),"")</f>
        <v/>
      </c>
    </row>
    <row r="204" customFormat="false" ht="15" hidden="false" customHeight="false" outlineLevel="0" collapsed="false">
      <c r="A204" s="65" t="s">
        <v>1043</v>
      </c>
      <c r="B204" s="65" t="s">
        <v>1044</v>
      </c>
      <c r="C204" s="65" t="s">
        <v>1045</v>
      </c>
      <c r="D204" s="65" t="s">
        <v>340</v>
      </c>
      <c r="E204" s="112" t="n">
        <v>45889</v>
      </c>
      <c r="F204" s="112" t="n">
        <v>46234</v>
      </c>
      <c r="G204" s="65" t="n">
        <v>3</v>
      </c>
      <c r="H204" s="65" t="s">
        <v>1046</v>
      </c>
      <c r="I204" s="65" t="s">
        <v>437</v>
      </c>
      <c r="J204" s="65" t="s">
        <v>386</v>
      </c>
      <c r="K204" s="65" t="s">
        <v>1047</v>
      </c>
      <c r="L204" s="65" t="s">
        <v>64</v>
      </c>
      <c r="M204" s="113" t="n">
        <v>1.45</v>
      </c>
      <c r="N204" s="114" t="n">
        <v>4000</v>
      </c>
      <c r="O204" s="114" t="n">
        <v>480</v>
      </c>
      <c r="P204" s="114" t="n">
        <v>5800</v>
      </c>
      <c r="Q204" s="114" t="n">
        <v>4658.88</v>
      </c>
      <c r="R204" s="114" t="n">
        <v>1141.12</v>
      </c>
      <c r="S204" s="115" t="n">
        <v>0.803255172413793</v>
      </c>
      <c r="T204" s="65" t="n">
        <v>14</v>
      </c>
      <c r="U204" s="65" t="n">
        <v>12</v>
      </c>
      <c r="V204" s="65" t="n">
        <v>33266.53</v>
      </c>
      <c r="W204" s="115" t="n">
        <v>0.047</v>
      </c>
      <c r="X204" s="112" t="n">
        <v>42964</v>
      </c>
      <c r="Y204" s="65" t="str">
        <f aca="false">IF(I204="","No SIC",IFERROR(VLOOKUP(I204,Ref!$A$2:$B$65,2,FALSE()),"Unclassified"))</f>
        <v>Social Services</v>
      </c>
      <c r="Z204" s="65" t="str">
        <f aca="false">IF(T204="","",IF(T204&lt;12,"Daily","Weekly"))</f>
        <v>Weekly</v>
      </c>
      <c r="AA204" s="65" t="n">
        <f aca="false">IF(T204="",0,IF(T204&lt;12,T204*Controls!$B$29,T204*5))</f>
        <v>70</v>
      </c>
      <c r="AB204" s="65" t="n">
        <f aca="false">IF(E204="",0,NETWORKDAYS(E204,Controls!$B$36,Ref!$K$2:$K$42))</f>
        <v>255</v>
      </c>
      <c r="AC204" s="65" t="n">
        <f aca="false">IF(AND(AA204&gt;0,AB204&gt;=Controls!$B$39*AA204),1,0)</f>
        <v>1</v>
      </c>
      <c r="AD204" s="65" t="n">
        <f aca="false">IF(AND(E204&lt;&gt;"",E204&gt;=Controls!$B$37,E204&lt;=Controls!$B$38),1,0)</f>
        <v>1</v>
      </c>
      <c r="AE204" s="65" t="n">
        <f aca="false">IF(IFERROR(VLOOKUP(D204,Controls!$A$64:$E$74,2,FALSE()),"No")="Yes",1,0)</f>
        <v>1</v>
      </c>
      <c r="AF204" s="65" t="n">
        <f aca="false">IF(IFERROR(VLOOKUP(D204,Controls!$A$64:$E$74,3,FALSE()),"No")="Yes",1,0)</f>
        <v>0</v>
      </c>
      <c r="AG204" s="65" t="n">
        <f aca="false">IF(IFERROR(VLOOKUP(D204,Controls!$A$64:$E$74,4,FALSE()),"No")="Yes",1,0)</f>
        <v>0</v>
      </c>
      <c r="AH204" s="65" t="n">
        <f aca="false">IF(IFERROR(VLOOKUP(D204,Controls!$A$64:$E$74,5,FALSE()),"No")="Yes",1,0)</f>
        <v>0</v>
      </c>
      <c r="AI204" s="65" t="n">
        <f aca="false">IF(ISNUMBER(MATCH(D204,Controls!$A$64:$A$74,0)),1,0)</f>
        <v>1</v>
      </c>
      <c r="AJ204" s="65" t="n">
        <f aca="false">Q204-N204</f>
        <v>658.88</v>
      </c>
      <c r="AK204" s="65" t="n">
        <f aca="false">IF(AE204=1,MAX(0,N204-Q204),0)</f>
        <v>0</v>
      </c>
      <c r="AL204" s="65" t="n">
        <f aca="false">IF(OR(V204="",V204=0),0,N204/V204)</f>
        <v>0.120240974937873</v>
      </c>
      <c r="AM204" s="65" t="n">
        <f aca="false">IF(OR(V204="",V204=0),0,1)</f>
        <v>1</v>
      </c>
      <c r="AN204" s="65" t="n">
        <f aca="false">IF(OR(E204="",F204=""),0,NETWORKDAYS(E204,F204,Ref!$K$2:$K$42))</f>
        <v>238</v>
      </c>
      <c r="AO204" s="65" t="n">
        <f aca="false">IF(L204="Renewal",1,0)</f>
        <v>0</v>
      </c>
      <c r="AP204" s="65" t="n">
        <f aca="false">AC204*AD204</f>
        <v>1</v>
      </c>
      <c r="AQ204" s="65" t="n">
        <f aca="false">IF(AND(G204&lt;&gt;"",'Historical Score'!$C$6&lt;&gt;""),IF(G204='Historical Score'!$C$6,1,0),0)</f>
        <v>0</v>
      </c>
      <c r="AR204" s="65" t="n">
        <f aca="false">IF(AND(L204&lt;&gt;"",'Historical Score'!$C$5&lt;&gt;""),IF(L204='Historical Score'!$C$5,1,0),0)</f>
        <v>1</v>
      </c>
      <c r="AS204" s="65" t="n">
        <f aca="false">IF(AND(Y204&lt;&gt;"",'Historical Score'!$C$7&lt;&gt;""),IF(Y204='Historical Score'!$C$7,1,0),0)</f>
        <v>0</v>
      </c>
      <c r="AT204" s="65" t="n">
        <f aca="false">IF(AND(K204&lt;&gt;"",'Historical Score'!$C$8&lt;&gt;""),IF(K204='Historical Score'!$C$8,1,0),0)</f>
        <v>0</v>
      </c>
      <c r="AU204" s="65" t="n">
        <f aca="false">IF(AND(J204&lt;&gt;"",'Historical Score'!$C$9&lt;&gt;""),IF(J204='Historical Score'!$C$9,1,0),0)</f>
        <v>0</v>
      </c>
      <c r="AV204" s="65" t="n">
        <f aca="false">AR204*AS204*AQ204</f>
        <v>0</v>
      </c>
      <c r="AW204" s="65" t="n">
        <f aca="false">AR204*AT204*AQ204</f>
        <v>0</v>
      </c>
      <c r="AX204" s="65" t="n">
        <f aca="false">AR204*AS204</f>
        <v>0</v>
      </c>
      <c r="AY204" s="65" t="n">
        <f aca="false">AR204*AT204</f>
        <v>0</v>
      </c>
      <c r="AZ204" s="65" t="n">
        <f aca="false">AR204*AQ204</f>
        <v>0</v>
      </c>
      <c r="BA204" s="65" t="n">
        <f aca="false">AR204</f>
        <v>1</v>
      </c>
      <c r="BB204" s="65" t="n">
        <f aca="false">1</f>
        <v>1</v>
      </c>
      <c r="BC204" s="65" t="n">
        <f aca="false">IF(AV204=1,1,IF(AW204=1,2,IF(AX204=1,3,IF(AY204=1,4,IF(AZ204=1,5,IF(BA204=1,6,7))))))</f>
        <v>6</v>
      </c>
      <c r="BD204" s="65" t="n">
        <f aca="false">IF(AD204=1,CHOOSE('Historical Score'!$C$29,AV204,AW204,AX204,AY204,AZ204,BA204,BB204),0)</f>
        <v>0</v>
      </c>
      <c r="BE204" s="65" t="str">
        <f aca="false">IF(BD204=1,COUNTIF($BD$2:BD204,1),"")</f>
        <v/>
      </c>
    </row>
    <row r="205" customFormat="false" ht="15" hidden="false" customHeight="false" outlineLevel="0" collapsed="false">
      <c r="A205" s="65" t="s">
        <v>1048</v>
      </c>
      <c r="B205" s="65" t="s">
        <v>1049</v>
      </c>
      <c r="C205" s="65" t="s">
        <v>1050</v>
      </c>
      <c r="D205" s="65" t="s">
        <v>371</v>
      </c>
      <c r="E205" s="112" t="n">
        <v>45889</v>
      </c>
      <c r="F205" s="112" t="n">
        <v>46120</v>
      </c>
      <c r="G205" s="65" t="n">
        <v>2</v>
      </c>
      <c r="H205" s="65" t="s">
        <v>838</v>
      </c>
      <c r="I205" s="65" t="s">
        <v>679</v>
      </c>
      <c r="J205" s="65" t="s">
        <v>61</v>
      </c>
      <c r="K205" s="65" t="s">
        <v>363</v>
      </c>
      <c r="L205" s="65" t="s">
        <v>64</v>
      </c>
      <c r="M205" s="113" t="n">
        <v>1.49</v>
      </c>
      <c r="N205" s="114" t="n">
        <v>25000</v>
      </c>
      <c r="O205" s="114" t="n">
        <v>3500</v>
      </c>
      <c r="P205" s="114" t="n">
        <v>37250</v>
      </c>
      <c r="Q205" s="114" t="n">
        <v>37250</v>
      </c>
      <c r="R205" s="114" t="n">
        <v>0</v>
      </c>
      <c r="S205" s="115" t="n">
        <v>1</v>
      </c>
      <c r="T205" s="65" t="n">
        <v>32</v>
      </c>
      <c r="U205" s="65" t="n">
        <v>0</v>
      </c>
      <c r="V205" s="65" t="n">
        <v>39684.84</v>
      </c>
      <c r="W205" s="115" t="n">
        <v>0.1173</v>
      </c>
      <c r="X205" s="112"/>
      <c r="Y205" s="65" t="str">
        <f aca="false">IF(I205="","No SIC",IFERROR(VLOOKUP(I205,Ref!$A$2:$B$65,2,FALSE()),"Unclassified"))</f>
        <v>Amusement &amp; Recreation Services</v>
      </c>
      <c r="Z205" s="65" t="str">
        <f aca="false">IF(T205="","",IF(T205&lt;12,"Daily","Weekly"))</f>
        <v>Weekly</v>
      </c>
      <c r="AA205" s="65" t="n">
        <f aca="false">IF(T205="",0,IF(T205&lt;12,T205*Controls!$B$29,T205*5))</f>
        <v>160</v>
      </c>
      <c r="AB205" s="65" t="n">
        <f aca="false">IF(E205="",0,NETWORKDAYS(E205,Controls!$B$36,Ref!$K$2:$K$42))</f>
        <v>255</v>
      </c>
      <c r="AC205" s="65" t="n">
        <f aca="false">IF(AND(AA205&gt;0,AB205&gt;=Controls!$B$39*AA205),1,0)</f>
        <v>1</v>
      </c>
      <c r="AD205" s="65" t="n">
        <f aca="false">IF(AND(E205&lt;&gt;"",E205&gt;=Controls!$B$37,E205&lt;=Controls!$B$38),1,0)</f>
        <v>1</v>
      </c>
      <c r="AE205" s="65" t="n">
        <f aca="false">IF(IFERROR(VLOOKUP(D205,Controls!$A$64:$E$74,2,FALSE()),"No")="Yes",1,0)</f>
        <v>0</v>
      </c>
      <c r="AF205" s="65" t="n">
        <f aca="false">IF(IFERROR(VLOOKUP(D205,Controls!$A$64:$E$74,3,FALSE()),"No")="Yes",1,0)</f>
        <v>1</v>
      </c>
      <c r="AG205" s="65" t="n">
        <f aca="false">IF(IFERROR(VLOOKUP(D205,Controls!$A$64:$E$74,4,FALSE()),"No")="Yes",1,0)</f>
        <v>1</v>
      </c>
      <c r="AH205" s="65" t="n">
        <f aca="false">IF(IFERROR(VLOOKUP(D205,Controls!$A$64:$E$74,5,FALSE()),"No")="Yes",1,0)</f>
        <v>0</v>
      </c>
      <c r="AI205" s="65" t="n">
        <f aca="false">IF(ISNUMBER(MATCH(D205,Controls!$A$64:$A$74,0)),1,0)</f>
        <v>1</v>
      </c>
      <c r="AJ205" s="65" t="n">
        <f aca="false">Q205-N205</f>
        <v>12250</v>
      </c>
      <c r="AK205" s="65" t="n">
        <f aca="false">IF(AE205=1,MAX(0,N205-Q205),0)</f>
        <v>0</v>
      </c>
      <c r="AL205" s="65" t="n">
        <f aca="false">IF(OR(V205="",V205=0),0,N205/V205)</f>
        <v>0.629963482276859</v>
      </c>
      <c r="AM205" s="65" t="n">
        <f aca="false">IF(OR(V205="",V205=0),0,1)</f>
        <v>1</v>
      </c>
      <c r="AN205" s="65" t="n">
        <f aca="false">IF(OR(E205="",F205=""),0,NETWORKDAYS(E205,F205,Ref!$K$2:$K$42))</f>
        <v>158</v>
      </c>
      <c r="AO205" s="65" t="n">
        <f aca="false">IF(L205="Renewal",1,0)</f>
        <v>0</v>
      </c>
      <c r="AP205" s="65" t="n">
        <f aca="false">AC205*AD205</f>
        <v>1</v>
      </c>
      <c r="AQ205" s="65" t="n">
        <f aca="false">IF(AND(G205&lt;&gt;"",'Historical Score'!$C$6&lt;&gt;""),IF(G205='Historical Score'!$C$6,1,0),0)</f>
        <v>1</v>
      </c>
      <c r="AR205" s="65" t="n">
        <f aca="false">IF(AND(L205&lt;&gt;"",'Historical Score'!$C$5&lt;&gt;""),IF(L205='Historical Score'!$C$5,1,0),0)</f>
        <v>1</v>
      </c>
      <c r="AS205" s="65" t="n">
        <f aca="false">IF(AND(Y205&lt;&gt;"",'Historical Score'!$C$7&lt;&gt;""),IF(Y205='Historical Score'!$C$7,1,0),0)</f>
        <v>0</v>
      </c>
      <c r="AT205" s="65" t="n">
        <f aca="false">IF(AND(K205&lt;&gt;"",'Historical Score'!$C$8&lt;&gt;""),IF(K205='Historical Score'!$C$8,1,0),0)</f>
        <v>0</v>
      </c>
      <c r="AU205" s="65" t="n">
        <f aca="false">IF(AND(J205&lt;&gt;"",'Historical Score'!$C$9&lt;&gt;""),IF(J205='Historical Score'!$C$9,1,0),0)</f>
        <v>1</v>
      </c>
      <c r="AV205" s="65" t="n">
        <f aca="false">AR205*AS205*AQ205</f>
        <v>0</v>
      </c>
      <c r="AW205" s="65" t="n">
        <f aca="false">AR205*AT205*AQ205</f>
        <v>0</v>
      </c>
      <c r="AX205" s="65" t="n">
        <f aca="false">AR205*AS205</f>
        <v>0</v>
      </c>
      <c r="AY205" s="65" t="n">
        <f aca="false">AR205*AT205</f>
        <v>0</v>
      </c>
      <c r="AZ205" s="65" t="n">
        <f aca="false">AR205*AQ205</f>
        <v>1</v>
      </c>
      <c r="BA205" s="65" t="n">
        <f aca="false">AR205</f>
        <v>1</v>
      </c>
      <c r="BB205" s="65" t="n">
        <f aca="false">1</f>
        <v>1</v>
      </c>
      <c r="BC205" s="65" t="n">
        <f aca="false">IF(AV205=1,1,IF(AW205=1,2,IF(AX205=1,3,IF(AY205=1,4,IF(AZ205=1,5,IF(BA205=1,6,7))))))</f>
        <v>5</v>
      </c>
      <c r="BD205" s="65" t="n">
        <f aca="false">IF(AD205=1,CHOOSE('Historical Score'!$C$29,AV205,AW205,AX205,AY205,AZ205,BA205,BB205),0)</f>
        <v>0</v>
      </c>
      <c r="BE205" s="65" t="str">
        <f aca="false">IF(BD205=1,COUNTIF($BD$2:BD205,1),"")</f>
        <v/>
      </c>
    </row>
    <row r="206" customFormat="false" ht="15" hidden="false" customHeight="false" outlineLevel="0" collapsed="false">
      <c r="A206" s="65" t="s">
        <v>1051</v>
      </c>
      <c r="B206" s="65" t="s">
        <v>1052</v>
      </c>
      <c r="C206" s="65" t="s">
        <v>1052</v>
      </c>
      <c r="D206" s="65" t="s">
        <v>371</v>
      </c>
      <c r="E206" s="112" t="n">
        <v>45889</v>
      </c>
      <c r="F206" s="112" t="n">
        <v>46191</v>
      </c>
      <c r="G206" s="65" t="n">
        <v>4</v>
      </c>
      <c r="H206" s="65" t="s">
        <v>424</v>
      </c>
      <c r="I206" s="65" t="s">
        <v>425</v>
      </c>
      <c r="J206" s="65" t="s">
        <v>399</v>
      </c>
      <c r="K206" s="65" t="s">
        <v>1042</v>
      </c>
      <c r="L206" s="65" t="s">
        <v>64</v>
      </c>
      <c r="M206" s="113" t="n">
        <v>1.49</v>
      </c>
      <c r="N206" s="114" t="n">
        <v>30000</v>
      </c>
      <c r="O206" s="114" t="n">
        <v>4200</v>
      </c>
      <c r="P206" s="114" t="n">
        <v>44700</v>
      </c>
      <c r="Q206" s="114" t="n">
        <v>44700</v>
      </c>
      <c r="R206" s="114" t="n">
        <v>0</v>
      </c>
      <c r="S206" s="115" t="n">
        <v>1</v>
      </c>
      <c r="T206" s="65" t="n">
        <v>26</v>
      </c>
      <c r="U206" s="65" t="n">
        <v>0</v>
      </c>
      <c r="V206" s="65" t="n">
        <v>417627.88</v>
      </c>
      <c r="W206" s="115" t="n">
        <v>0.0165</v>
      </c>
      <c r="X206" s="112"/>
      <c r="Y206" s="65" t="str">
        <f aca="false">IF(I206="","No SIC",IFERROR(VLOOKUP(I206,Ref!$A$2:$B$65,2,FALSE()),"Unclassified"))</f>
        <v>Personal Services</v>
      </c>
      <c r="Z206" s="65" t="str">
        <f aca="false">IF(T206="","",IF(T206&lt;12,"Daily","Weekly"))</f>
        <v>Weekly</v>
      </c>
      <c r="AA206" s="65" t="n">
        <f aca="false">IF(T206="",0,IF(T206&lt;12,T206*Controls!$B$29,T206*5))</f>
        <v>130</v>
      </c>
      <c r="AB206" s="65" t="n">
        <f aca="false">IF(E206="",0,NETWORKDAYS(E206,Controls!$B$36,Ref!$K$2:$K$42))</f>
        <v>255</v>
      </c>
      <c r="AC206" s="65" t="n">
        <f aca="false">IF(AND(AA206&gt;0,AB206&gt;=Controls!$B$39*AA206),1,0)</f>
        <v>1</v>
      </c>
      <c r="AD206" s="65" t="n">
        <f aca="false">IF(AND(E206&lt;&gt;"",E206&gt;=Controls!$B$37,E206&lt;=Controls!$B$38),1,0)</f>
        <v>1</v>
      </c>
      <c r="AE206" s="65" t="n">
        <f aca="false">IF(IFERROR(VLOOKUP(D206,Controls!$A$64:$E$74,2,FALSE()),"No")="Yes",1,0)</f>
        <v>0</v>
      </c>
      <c r="AF206" s="65" t="n">
        <f aca="false">IF(IFERROR(VLOOKUP(D206,Controls!$A$64:$E$74,3,FALSE()),"No")="Yes",1,0)</f>
        <v>1</v>
      </c>
      <c r="AG206" s="65" t="n">
        <f aca="false">IF(IFERROR(VLOOKUP(D206,Controls!$A$64:$E$74,4,FALSE()),"No")="Yes",1,0)</f>
        <v>1</v>
      </c>
      <c r="AH206" s="65" t="n">
        <f aca="false">IF(IFERROR(VLOOKUP(D206,Controls!$A$64:$E$74,5,FALSE()),"No")="Yes",1,0)</f>
        <v>0</v>
      </c>
      <c r="AI206" s="65" t="n">
        <f aca="false">IF(ISNUMBER(MATCH(D206,Controls!$A$64:$A$74,0)),1,0)</f>
        <v>1</v>
      </c>
      <c r="AJ206" s="65" t="n">
        <f aca="false">Q206-N206</f>
        <v>14700</v>
      </c>
      <c r="AK206" s="65" t="n">
        <f aca="false">IF(AE206=1,MAX(0,N206-Q206),0)</f>
        <v>0</v>
      </c>
      <c r="AL206" s="65" t="n">
        <f aca="false">IF(OR(V206="",V206=0),0,N206/V206)</f>
        <v>0.0718342846267831</v>
      </c>
      <c r="AM206" s="65" t="n">
        <f aca="false">IF(OR(V206="",V206=0),0,1)</f>
        <v>1</v>
      </c>
      <c r="AN206" s="65" t="n">
        <f aca="false">IF(OR(E206="",F206=""),0,NETWORKDAYS(E206,F206,Ref!$K$2:$K$42))</f>
        <v>208</v>
      </c>
      <c r="AO206" s="65" t="n">
        <f aca="false">IF(L206="Renewal",1,0)</f>
        <v>0</v>
      </c>
      <c r="AP206" s="65" t="n">
        <f aca="false">AC206*AD206</f>
        <v>1</v>
      </c>
      <c r="AQ206" s="65" t="n">
        <f aca="false">IF(AND(G206&lt;&gt;"",'Historical Score'!$C$6&lt;&gt;""),IF(G206='Historical Score'!$C$6,1,0),0)</f>
        <v>0</v>
      </c>
      <c r="AR206" s="65" t="n">
        <f aca="false">IF(AND(L206&lt;&gt;"",'Historical Score'!$C$5&lt;&gt;""),IF(L206='Historical Score'!$C$5,1,0),0)</f>
        <v>1</v>
      </c>
      <c r="AS206" s="65" t="n">
        <f aca="false">IF(AND(Y206&lt;&gt;"",'Historical Score'!$C$7&lt;&gt;""),IF(Y206='Historical Score'!$C$7,1,0),0)</f>
        <v>0</v>
      </c>
      <c r="AT206" s="65" t="n">
        <f aca="false">IF(AND(K206&lt;&gt;"",'Historical Score'!$C$8&lt;&gt;""),IF(K206='Historical Score'!$C$8,1,0),0)</f>
        <v>0</v>
      </c>
      <c r="AU206" s="65" t="n">
        <f aca="false">IF(AND(J206&lt;&gt;"",'Historical Score'!$C$9&lt;&gt;""),IF(J206='Historical Score'!$C$9,1,0),0)</f>
        <v>0</v>
      </c>
      <c r="AV206" s="65" t="n">
        <f aca="false">AR206*AS206*AQ206</f>
        <v>0</v>
      </c>
      <c r="AW206" s="65" t="n">
        <f aca="false">AR206*AT206*AQ206</f>
        <v>0</v>
      </c>
      <c r="AX206" s="65" t="n">
        <f aca="false">AR206*AS206</f>
        <v>0</v>
      </c>
      <c r="AY206" s="65" t="n">
        <f aca="false">AR206*AT206</f>
        <v>0</v>
      </c>
      <c r="AZ206" s="65" t="n">
        <f aca="false">AR206*AQ206</f>
        <v>0</v>
      </c>
      <c r="BA206" s="65" t="n">
        <f aca="false">AR206</f>
        <v>1</v>
      </c>
      <c r="BB206" s="65" t="n">
        <f aca="false">1</f>
        <v>1</v>
      </c>
      <c r="BC206" s="65" t="n">
        <f aca="false">IF(AV206=1,1,IF(AW206=1,2,IF(AX206=1,3,IF(AY206=1,4,IF(AZ206=1,5,IF(BA206=1,6,7))))))</f>
        <v>6</v>
      </c>
      <c r="BD206" s="65" t="n">
        <f aca="false">IF(AD206=1,CHOOSE('Historical Score'!$C$29,AV206,AW206,AX206,AY206,AZ206,BA206,BB206),0)</f>
        <v>0</v>
      </c>
      <c r="BE206" s="65" t="str">
        <f aca="false">IF(BD206=1,COUNTIF($BD$2:BD206,1),"")</f>
        <v/>
      </c>
    </row>
    <row r="207" customFormat="false" ht="15" hidden="false" customHeight="false" outlineLevel="0" collapsed="false">
      <c r="A207" s="65" t="s">
        <v>1053</v>
      </c>
      <c r="B207" s="65" t="s">
        <v>1054</v>
      </c>
      <c r="C207" s="65" t="s">
        <v>1054</v>
      </c>
      <c r="D207" s="65" t="s">
        <v>371</v>
      </c>
      <c r="E207" s="112" t="n">
        <v>45890</v>
      </c>
      <c r="F207" s="112" t="n">
        <v>45939</v>
      </c>
      <c r="G207" s="65" t="n">
        <v>3</v>
      </c>
      <c r="H207" s="65" t="s">
        <v>1055</v>
      </c>
      <c r="I207" s="65" t="s">
        <v>643</v>
      </c>
      <c r="J207" s="65" t="s">
        <v>399</v>
      </c>
      <c r="K207" s="65" t="s">
        <v>55</v>
      </c>
      <c r="L207" s="65" t="s">
        <v>64</v>
      </c>
      <c r="M207" s="113" t="n">
        <v>1.499</v>
      </c>
      <c r="N207" s="114" t="n">
        <v>10000</v>
      </c>
      <c r="O207" s="114" t="n">
        <v>1400</v>
      </c>
      <c r="P207" s="114" t="n">
        <v>14990</v>
      </c>
      <c r="Q207" s="114" t="n">
        <v>14990</v>
      </c>
      <c r="R207" s="114" t="n">
        <v>1.81898940354586E-012</v>
      </c>
      <c r="S207" s="115" t="n">
        <v>1</v>
      </c>
      <c r="T207" s="65" t="n">
        <v>2.295</v>
      </c>
      <c r="U207" s="65" t="n">
        <v>0</v>
      </c>
      <c r="V207" s="65" t="n">
        <v>27587.37</v>
      </c>
      <c r="W207" s="115" t="n">
        <v>0.162</v>
      </c>
      <c r="X207" s="112"/>
      <c r="Y207" s="65" t="str">
        <f aca="false">IF(I207="","No SIC",IFERROR(VLOOKUP(I207,Ref!$A$2:$B$65,2,FALSE()),"Unclassified"))</f>
        <v>Agricultural Services</v>
      </c>
      <c r="Z207" s="65" t="str">
        <f aca="false">IF(T207="","",IF(T207&lt;12,"Daily","Weekly"))</f>
        <v>Daily</v>
      </c>
      <c r="AA207" s="65" t="n">
        <f aca="false">IF(T207="",0,IF(T207&lt;12,T207*Controls!$B$29,T207*5))</f>
        <v>49.698225</v>
      </c>
      <c r="AB207" s="65" t="n">
        <f aca="false">IF(E207="",0,NETWORKDAYS(E207,Controls!$B$36,Ref!$K$2:$K$42))</f>
        <v>254</v>
      </c>
      <c r="AC207" s="65" t="n">
        <f aca="false">IF(AND(AA207&gt;0,AB207&gt;=Controls!$B$39*AA207),1,0)</f>
        <v>1</v>
      </c>
      <c r="AD207" s="65" t="n">
        <f aca="false">IF(AND(E207&lt;&gt;"",E207&gt;=Controls!$B$37,E207&lt;=Controls!$B$38),1,0)</f>
        <v>1</v>
      </c>
      <c r="AE207" s="65" t="n">
        <f aca="false">IF(IFERROR(VLOOKUP(D207,Controls!$A$64:$E$74,2,FALSE()),"No")="Yes",1,0)</f>
        <v>0</v>
      </c>
      <c r="AF207" s="65" t="n">
        <f aca="false">IF(IFERROR(VLOOKUP(D207,Controls!$A$64:$E$74,3,FALSE()),"No")="Yes",1,0)</f>
        <v>1</v>
      </c>
      <c r="AG207" s="65" t="n">
        <f aca="false">IF(IFERROR(VLOOKUP(D207,Controls!$A$64:$E$74,4,FALSE()),"No")="Yes",1,0)</f>
        <v>1</v>
      </c>
      <c r="AH207" s="65" t="n">
        <f aca="false">IF(IFERROR(VLOOKUP(D207,Controls!$A$64:$E$74,5,FALSE()),"No")="Yes",1,0)</f>
        <v>0</v>
      </c>
      <c r="AI207" s="65" t="n">
        <f aca="false">IF(ISNUMBER(MATCH(D207,Controls!$A$64:$A$74,0)),1,0)</f>
        <v>1</v>
      </c>
      <c r="AJ207" s="65" t="n">
        <f aca="false">Q207-N207</f>
        <v>4990</v>
      </c>
      <c r="AK207" s="65" t="n">
        <f aca="false">IF(AE207=1,MAX(0,N207-Q207),0)</f>
        <v>0</v>
      </c>
      <c r="AL207" s="65" t="n">
        <f aca="false">IF(OR(V207="",V207=0),0,N207/V207)</f>
        <v>0.362484716738131</v>
      </c>
      <c r="AM207" s="65" t="n">
        <f aca="false">IF(OR(V207="",V207=0),0,1)</f>
        <v>1</v>
      </c>
      <c r="AN207" s="65" t="n">
        <f aca="false">IF(OR(E207="",F207=""),0,NETWORKDAYS(E207,F207,Ref!$K$2:$K$42))</f>
        <v>35</v>
      </c>
      <c r="AO207" s="65" t="n">
        <f aca="false">IF(L207="Renewal",1,0)</f>
        <v>0</v>
      </c>
      <c r="AP207" s="65" t="n">
        <f aca="false">AC207*AD207</f>
        <v>1</v>
      </c>
      <c r="AQ207" s="65" t="n">
        <f aca="false">IF(AND(G207&lt;&gt;"",'Historical Score'!$C$6&lt;&gt;""),IF(G207='Historical Score'!$C$6,1,0),0)</f>
        <v>0</v>
      </c>
      <c r="AR207" s="65" t="n">
        <f aca="false">IF(AND(L207&lt;&gt;"",'Historical Score'!$C$5&lt;&gt;""),IF(L207='Historical Score'!$C$5,1,0),0)</f>
        <v>1</v>
      </c>
      <c r="AS207" s="65" t="n">
        <f aca="false">IF(AND(Y207&lt;&gt;"",'Historical Score'!$C$7&lt;&gt;""),IF(Y207='Historical Score'!$C$7,1,0),0)</f>
        <v>0</v>
      </c>
      <c r="AT207" s="65" t="n">
        <f aca="false">IF(AND(K207&lt;&gt;"",'Historical Score'!$C$8&lt;&gt;""),IF(K207='Historical Score'!$C$8,1,0),0)</f>
        <v>1</v>
      </c>
      <c r="AU207" s="65" t="n">
        <f aca="false">IF(AND(J207&lt;&gt;"",'Historical Score'!$C$9&lt;&gt;""),IF(J207='Historical Score'!$C$9,1,0),0)</f>
        <v>0</v>
      </c>
      <c r="AV207" s="65" t="n">
        <f aca="false">AR207*AS207*AQ207</f>
        <v>0</v>
      </c>
      <c r="AW207" s="65" t="n">
        <f aca="false">AR207*AT207*AQ207</f>
        <v>0</v>
      </c>
      <c r="AX207" s="65" t="n">
        <f aca="false">AR207*AS207</f>
        <v>0</v>
      </c>
      <c r="AY207" s="65" t="n">
        <f aca="false">AR207*AT207</f>
        <v>1</v>
      </c>
      <c r="AZ207" s="65" t="n">
        <f aca="false">AR207*AQ207</f>
        <v>0</v>
      </c>
      <c r="BA207" s="65" t="n">
        <f aca="false">AR207</f>
        <v>1</v>
      </c>
      <c r="BB207" s="65" t="n">
        <f aca="false">1</f>
        <v>1</v>
      </c>
      <c r="BC207" s="65" t="n">
        <f aca="false">IF(AV207=1,1,IF(AW207=1,2,IF(AX207=1,3,IF(AY207=1,4,IF(AZ207=1,5,IF(BA207=1,6,7))))))</f>
        <v>4</v>
      </c>
      <c r="BD207" s="65" t="n">
        <f aca="false">IF(AD207=1,CHOOSE('Historical Score'!$C$29,AV207,AW207,AX207,AY207,AZ207,BA207,BB207),0)</f>
        <v>0</v>
      </c>
      <c r="BE207" s="65" t="str">
        <f aca="false">IF(BD207=1,COUNTIF($BD$2:BD207,1),"")</f>
        <v/>
      </c>
    </row>
    <row r="208" customFormat="false" ht="15" hidden="false" customHeight="false" outlineLevel="0" collapsed="false">
      <c r="A208" s="65" t="s">
        <v>1056</v>
      </c>
      <c r="B208" s="65" t="s">
        <v>1057</v>
      </c>
      <c r="C208" s="65" t="s">
        <v>1058</v>
      </c>
      <c r="D208" s="65" t="s">
        <v>371</v>
      </c>
      <c r="E208" s="112" t="n">
        <v>45890</v>
      </c>
      <c r="F208" s="112" t="n">
        <v>46051</v>
      </c>
      <c r="G208" s="65" t="n">
        <v>1</v>
      </c>
      <c r="H208" s="65" t="s">
        <v>1059</v>
      </c>
      <c r="I208" s="65" t="s">
        <v>703</v>
      </c>
      <c r="J208" s="65" t="s">
        <v>732</v>
      </c>
      <c r="K208" s="65" t="s">
        <v>584</v>
      </c>
      <c r="L208" s="65" t="s">
        <v>64</v>
      </c>
      <c r="M208" s="113" t="n">
        <v>1.49</v>
      </c>
      <c r="N208" s="114" t="n">
        <v>22000</v>
      </c>
      <c r="O208" s="114" t="n">
        <v>3080</v>
      </c>
      <c r="P208" s="114" t="n">
        <v>32780</v>
      </c>
      <c r="Q208" s="114" t="n">
        <v>32780</v>
      </c>
      <c r="R208" s="114" t="n">
        <v>0</v>
      </c>
      <c r="S208" s="115" t="n">
        <v>1</v>
      </c>
      <c r="T208" s="65" t="n">
        <v>3.279</v>
      </c>
      <c r="U208" s="65" t="n">
        <v>9</v>
      </c>
      <c r="V208" s="65" t="n">
        <v>70400.13</v>
      </c>
      <c r="W208" s="115" t="n">
        <v>0.0978</v>
      </c>
      <c r="X208" s="112"/>
      <c r="Y208" s="65" t="str">
        <f aca="false">IF(I208="","No SIC",IFERROR(VLOOKUP(I208,Ref!$A$2:$B$65,2,FALSE()),"Unclassified"))</f>
        <v>Wholesale Trade - Nondurable Goods</v>
      </c>
      <c r="Z208" s="65" t="str">
        <f aca="false">IF(T208="","",IF(T208&lt;12,"Daily","Weekly"))</f>
        <v>Daily</v>
      </c>
      <c r="AA208" s="65" t="n">
        <f aca="false">IF(T208="",0,IF(T208&lt;12,T208*Controls!$B$29,T208*5))</f>
        <v>71.006745</v>
      </c>
      <c r="AB208" s="65" t="n">
        <f aca="false">IF(E208="",0,NETWORKDAYS(E208,Controls!$B$36,Ref!$K$2:$K$42))</f>
        <v>254</v>
      </c>
      <c r="AC208" s="65" t="n">
        <f aca="false">IF(AND(AA208&gt;0,AB208&gt;=Controls!$B$39*AA208),1,0)</f>
        <v>1</v>
      </c>
      <c r="AD208" s="65" t="n">
        <f aca="false">IF(AND(E208&lt;&gt;"",E208&gt;=Controls!$B$37,E208&lt;=Controls!$B$38),1,0)</f>
        <v>1</v>
      </c>
      <c r="AE208" s="65" t="n">
        <f aca="false">IF(IFERROR(VLOOKUP(D208,Controls!$A$64:$E$74,2,FALSE()),"No")="Yes",1,0)</f>
        <v>0</v>
      </c>
      <c r="AF208" s="65" t="n">
        <f aca="false">IF(IFERROR(VLOOKUP(D208,Controls!$A$64:$E$74,3,FALSE()),"No")="Yes",1,0)</f>
        <v>1</v>
      </c>
      <c r="AG208" s="65" t="n">
        <f aca="false">IF(IFERROR(VLOOKUP(D208,Controls!$A$64:$E$74,4,FALSE()),"No")="Yes",1,0)</f>
        <v>1</v>
      </c>
      <c r="AH208" s="65" t="n">
        <f aca="false">IF(IFERROR(VLOOKUP(D208,Controls!$A$64:$E$74,5,FALSE()),"No")="Yes",1,0)</f>
        <v>0</v>
      </c>
      <c r="AI208" s="65" t="n">
        <f aca="false">IF(ISNUMBER(MATCH(D208,Controls!$A$64:$A$74,0)),1,0)</f>
        <v>1</v>
      </c>
      <c r="AJ208" s="65" t="n">
        <f aca="false">Q208-N208</f>
        <v>10780</v>
      </c>
      <c r="AK208" s="65" t="n">
        <f aca="false">IF(AE208=1,MAX(0,N208-Q208),0)</f>
        <v>0</v>
      </c>
      <c r="AL208" s="65" t="n">
        <f aca="false">IF(OR(V208="",V208=0),0,N208/V208)</f>
        <v>0.312499422941407</v>
      </c>
      <c r="AM208" s="65" t="n">
        <f aca="false">IF(OR(V208="",V208=0),0,1)</f>
        <v>1</v>
      </c>
      <c r="AN208" s="65" t="n">
        <f aca="false">IF(OR(E208="",F208=""),0,NETWORKDAYS(E208,F208,Ref!$K$2:$K$42))</f>
        <v>109</v>
      </c>
      <c r="AO208" s="65" t="n">
        <f aca="false">IF(L208="Renewal",1,0)</f>
        <v>0</v>
      </c>
      <c r="AP208" s="65" t="n">
        <f aca="false">AC208*AD208</f>
        <v>1</v>
      </c>
      <c r="AQ208" s="65" t="n">
        <f aca="false">IF(AND(G208&lt;&gt;"",'Historical Score'!$C$6&lt;&gt;""),IF(G208='Historical Score'!$C$6,1,0),0)</f>
        <v>0</v>
      </c>
      <c r="AR208" s="65" t="n">
        <f aca="false">IF(AND(L208&lt;&gt;"",'Historical Score'!$C$5&lt;&gt;""),IF(L208='Historical Score'!$C$5,1,0),0)</f>
        <v>1</v>
      </c>
      <c r="AS208" s="65" t="n">
        <f aca="false">IF(AND(Y208&lt;&gt;"",'Historical Score'!$C$7&lt;&gt;""),IF(Y208='Historical Score'!$C$7,1,0),0)</f>
        <v>0</v>
      </c>
      <c r="AT208" s="65" t="n">
        <f aca="false">IF(AND(K208&lt;&gt;"",'Historical Score'!$C$8&lt;&gt;""),IF(K208='Historical Score'!$C$8,1,0),0)</f>
        <v>0</v>
      </c>
      <c r="AU208" s="65" t="n">
        <f aca="false">IF(AND(J208&lt;&gt;"",'Historical Score'!$C$9&lt;&gt;""),IF(J208='Historical Score'!$C$9,1,0),0)</f>
        <v>0</v>
      </c>
      <c r="AV208" s="65" t="n">
        <f aca="false">AR208*AS208*AQ208</f>
        <v>0</v>
      </c>
      <c r="AW208" s="65" t="n">
        <f aca="false">AR208*AT208*AQ208</f>
        <v>0</v>
      </c>
      <c r="AX208" s="65" t="n">
        <f aca="false">AR208*AS208</f>
        <v>0</v>
      </c>
      <c r="AY208" s="65" t="n">
        <f aca="false">AR208*AT208</f>
        <v>0</v>
      </c>
      <c r="AZ208" s="65" t="n">
        <f aca="false">AR208*AQ208</f>
        <v>0</v>
      </c>
      <c r="BA208" s="65" t="n">
        <f aca="false">AR208</f>
        <v>1</v>
      </c>
      <c r="BB208" s="65" t="n">
        <f aca="false">1</f>
        <v>1</v>
      </c>
      <c r="BC208" s="65" t="n">
        <f aca="false">IF(AV208=1,1,IF(AW208=1,2,IF(AX208=1,3,IF(AY208=1,4,IF(AZ208=1,5,IF(BA208=1,6,7))))))</f>
        <v>6</v>
      </c>
      <c r="BD208" s="65" t="n">
        <f aca="false">IF(AD208=1,CHOOSE('Historical Score'!$C$29,AV208,AW208,AX208,AY208,AZ208,BA208,BB208),0)</f>
        <v>0</v>
      </c>
      <c r="BE208" s="65" t="str">
        <f aca="false">IF(BD208=1,COUNTIF($BD$2:BD208,1),"")</f>
        <v/>
      </c>
    </row>
    <row r="209" customFormat="false" ht="15" hidden="false" customHeight="false" outlineLevel="0" collapsed="false">
      <c r="A209" s="65" t="s">
        <v>1060</v>
      </c>
      <c r="B209" s="65" t="s">
        <v>1061</v>
      </c>
      <c r="C209" s="65" t="s">
        <v>1062</v>
      </c>
      <c r="D209" s="65" t="s">
        <v>371</v>
      </c>
      <c r="E209" s="112" t="n">
        <v>45890</v>
      </c>
      <c r="F209" s="112" t="n">
        <v>46132</v>
      </c>
      <c r="G209" s="65" t="n">
        <v>1</v>
      </c>
      <c r="H209" s="65" t="s">
        <v>479</v>
      </c>
      <c r="I209" s="65" t="s">
        <v>356</v>
      </c>
      <c r="J209" s="65" t="s">
        <v>658</v>
      </c>
      <c r="K209" s="65" t="s">
        <v>55</v>
      </c>
      <c r="L209" s="65" t="s">
        <v>320</v>
      </c>
      <c r="M209" s="113" t="n">
        <v>1.49</v>
      </c>
      <c r="N209" s="114" t="n">
        <v>40000</v>
      </c>
      <c r="O209" s="114" t="n">
        <v>5600</v>
      </c>
      <c r="P209" s="114" t="n">
        <v>59600</v>
      </c>
      <c r="Q209" s="114" t="n">
        <v>59600</v>
      </c>
      <c r="R209" s="114" t="n">
        <v>0</v>
      </c>
      <c r="S209" s="115" t="n">
        <v>1</v>
      </c>
      <c r="T209" s="65" t="n">
        <v>22</v>
      </c>
      <c r="U209" s="65" t="n">
        <v>0</v>
      </c>
      <c r="V209" s="65" t="n">
        <v>110307.25</v>
      </c>
      <c r="W209" s="115" t="n">
        <v>0.1067</v>
      </c>
      <c r="X209" s="112" t="n">
        <v>40861</v>
      </c>
      <c r="Y209" s="65" t="str">
        <f aca="false">IF(I209="","No SIC",IFERROR(VLOOKUP(I209,Ref!$A$2:$B$65,2,FALSE()),"Unclassified"))</f>
        <v>Trucking &amp; Warehousing</v>
      </c>
      <c r="Z209" s="65" t="str">
        <f aca="false">IF(T209="","",IF(T209&lt;12,"Daily","Weekly"))</f>
        <v>Weekly</v>
      </c>
      <c r="AA209" s="65" t="n">
        <f aca="false">IF(T209="",0,IF(T209&lt;12,T209*Controls!$B$29,T209*5))</f>
        <v>110</v>
      </c>
      <c r="AB209" s="65" t="n">
        <f aca="false">IF(E209="",0,NETWORKDAYS(E209,Controls!$B$36,Ref!$K$2:$K$42))</f>
        <v>254</v>
      </c>
      <c r="AC209" s="65" t="n">
        <f aca="false">IF(AND(AA209&gt;0,AB209&gt;=Controls!$B$39*AA209),1,0)</f>
        <v>1</v>
      </c>
      <c r="AD209" s="65" t="n">
        <f aca="false">IF(AND(E209&lt;&gt;"",E209&gt;=Controls!$B$37,E209&lt;=Controls!$B$38),1,0)</f>
        <v>1</v>
      </c>
      <c r="AE209" s="65" t="n">
        <f aca="false">IF(IFERROR(VLOOKUP(D209,Controls!$A$64:$E$74,2,FALSE()),"No")="Yes",1,0)</f>
        <v>0</v>
      </c>
      <c r="AF209" s="65" t="n">
        <f aca="false">IF(IFERROR(VLOOKUP(D209,Controls!$A$64:$E$74,3,FALSE()),"No")="Yes",1,0)</f>
        <v>1</v>
      </c>
      <c r="AG209" s="65" t="n">
        <f aca="false">IF(IFERROR(VLOOKUP(D209,Controls!$A$64:$E$74,4,FALSE()),"No")="Yes",1,0)</f>
        <v>1</v>
      </c>
      <c r="AH209" s="65" t="n">
        <f aca="false">IF(IFERROR(VLOOKUP(D209,Controls!$A$64:$E$74,5,FALSE()),"No")="Yes",1,0)</f>
        <v>0</v>
      </c>
      <c r="AI209" s="65" t="n">
        <f aca="false">IF(ISNUMBER(MATCH(D209,Controls!$A$64:$A$74,0)),1,0)</f>
        <v>1</v>
      </c>
      <c r="AJ209" s="65" t="n">
        <f aca="false">Q209-N209</f>
        <v>19600</v>
      </c>
      <c r="AK209" s="65" t="n">
        <f aca="false">IF(AE209=1,MAX(0,N209-Q209),0)</f>
        <v>0</v>
      </c>
      <c r="AL209" s="65" t="n">
        <f aca="false">IF(OR(V209="",V209=0),0,N209/V209)</f>
        <v>0.362623490296422</v>
      </c>
      <c r="AM209" s="65" t="n">
        <f aca="false">IF(OR(V209="",V209=0),0,1)</f>
        <v>1</v>
      </c>
      <c r="AN209" s="65" t="n">
        <f aca="false">IF(OR(E209="",F209=""),0,NETWORKDAYS(E209,F209,Ref!$K$2:$K$42))</f>
        <v>165</v>
      </c>
      <c r="AO209" s="65" t="n">
        <f aca="false">IF(L209="Renewal",1,0)</f>
        <v>1</v>
      </c>
      <c r="AP209" s="65" t="n">
        <f aca="false">AC209*AD209</f>
        <v>1</v>
      </c>
      <c r="AQ209" s="65" t="n">
        <f aca="false">IF(AND(G209&lt;&gt;"",'Historical Score'!$C$6&lt;&gt;""),IF(G209='Historical Score'!$C$6,1,0),0)</f>
        <v>0</v>
      </c>
      <c r="AR209" s="65" t="n">
        <f aca="false">IF(AND(L209&lt;&gt;"",'Historical Score'!$C$5&lt;&gt;""),IF(L209='Historical Score'!$C$5,1,0),0)</f>
        <v>0</v>
      </c>
      <c r="AS209" s="65" t="n">
        <f aca="false">IF(AND(Y209&lt;&gt;"",'Historical Score'!$C$7&lt;&gt;""),IF(Y209='Historical Score'!$C$7,1,0),0)</f>
        <v>0</v>
      </c>
      <c r="AT209" s="65" t="n">
        <f aca="false">IF(AND(K209&lt;&gt;"",'Historical Score'!$C$8&lt;&gt;""),IF(K209='Historical Score'!$C$8,1,0),0)</f>
        <v>1</v>
      </c>
      <c r="AU209" s="65" t="n">
        <f aca="false">IF(AND(J209&lt;&gt;"",'Historical Score'!$C$9&lt;&gt;""),IF(J209='Historical Score'!$C$9,1,0),0)</f>
        <v>0</v>
      </c>
      <c r="AV209" s="65" t="n">
        <f aca="false">AR209*AS209*AQ209</f>
        <v>0</v>
      </c>
      <c r="AW209" s="65" t="n">
        <f aca="false">AR209*AT209*AQ209</f>
        <v>0</v>
      </c>
      <c r="AX209" s="65" t="n">
        <f aca="false">AR209*AS209</f>
        <v>0</v>
      </c>
      <c r="AY209" s="65" t="n">
        <f aca="false">AR209*AT209</f>
        <v>0</v>
      </c>
      <c r="AZ209" s="65" t="n">
        <f aca="false">AR209*AQ209</f>
        <v>0</v>
      </c>
      <c r="BA209" s="65" t="n">
        <f aca="false">AR209</f>
        <v>0</v>
      </c>
      <c r="BB209" s="65" t="n">
        <f aca="false">1</f>
        <v>1</v>
      </c>
      <c r="BC209" s="65" t="n">
        <f aca="false">IF(AV209=1,1,IF(AW209=1,2,IF(AX209=1,3,IF(AY209=1,4,IF(AZ209=1,5,IF(BA209=1,6,7))))))</f>
        <v>7</v>
      </c>
      <c r="BD209" s="65" t="n">
        <f aca="false">IF(AD209=1,CHOOSE('Historical Score'!$C$29,AV209,AW209,AX209,AY209,AZ209,BA209,BB209),0)</f>
        <v>0</v>
      </c>
      <c r="BE209" s="65" t="str">
        <f aca="false">IF(BD209=1,COUNTIF($BD$2:BD209,1),"")</f>
        <v/>
      </c>
    </row>
    <row r="210" customFormat="false" ht="15" hidden="false" customHeight="false" outlineLevel="0" collapsed="false">
      <c r="A210" s="65" t="s">
        <v>1063</v>
      </c>
      <c r="B210" s="65" t="s">
        <v>1064</v>
      </c>
      <c r="C210" s="65" t="s">
        <v>1065</v>
      </c>
      <c r="D210" s="65" t="s">
        <v>371</v>
      </c>
      <c r="E210" s="112" t="n">
        <v>45891</v>
      </c>
      <c r="F210" s="112" t="n">
        <v>46129</v>
      </c>
      <c r="G210" s="65" t="n">
        <v>2</v>
      </c>
      <c r="H210" s="65" t="s">
        <v>724</v>
      </c>
      <c r="I210" s="65" t="s">
        <v>679</v>
      </c>
      <c r="J210" s="65" t="s">
        <v>343</v>
      </c>
      <c r="K210" s="65" t="s">
        <v>961</v>
      </c>
      <c r="L210" s="65" t="s">
        <v>64</v>
      </c>
      <c r="M210" s="113" t="n">
        <v>1.32</v>
      </c>
      <c r="N210" s="114" t="n">
        <v>53000</v>
      </c>
      <c r="O210" s="114" t="n">
        <v>3710</v>
      </c>
      <c r="P210" s="114" t="n">
        <v>69960</v>
      </c>
      <c r="Q210" s="114" t="n">
        <v>69960</v>
      </c>
      <c r="R210" s="114" t="n">
        <v>0</v>
      </c>
      <c r="S210" s="115" t="n">
        <v>1</v>
      </c>
      <c r="T210" s="65" t="n">
        <v>46</v>
      </c>
      <c r="U210" s="65" t="n">
        <v>1</v>
      </c>
      <c r="V210" s="65" t="n">
        <v>185128.1</v>
      </c>
      <c r="W210" s="115" t="n">
        <v>0.0329</v>
      </c>
      <c r="X210" s="112" t="n">
        <v>44896</v>
      </c>
      <c r="Y210" s="65" t="str">
        <f aca="false">IF(I210="","No SIC",IFERROR(VLOOKUP(I210,Ref!$A$2:$B$65,2,FALSE()),"Unclassified"))</f>
        <v>Amusement &amp; Recreation Services</v>
      </c>
      <c r="Z210" s="65" t="str">
        <f aca="false">IF(T210="","",IF(T210&lt;12,"Daily","Weekly"))</f>
        <v>Weekly</v>
      </c>
      <c r="AA210" s="65" t="n">
        <f aca="false">IF(T210="",0,IF(T210&lt;12,T210*Controls!$B$29,T210*5))</f>
        <v>230</v>
      </c>
      <c r="AB210" s="65" t="n">
        <f aca="false">IF(E210="",0,NETWORKDAYS(E210,Controls!$B$36,Ref!$K$2:$K$42))</f>
        <v>253</v>
      </c>
      <c r="AC210" s="65" t="n">
        <f aca="false">IF(AND(AA210&gt;0,AB210&gt;=Controls!$B$39*AA210),1,0)</f>
        <v>0</v>
      </c>
      <c r="AD210" s="65" t="n">
        <f aca="false">IF(AND(E210&lt;&gt;"",E210&gt;=Controls!$B$37,E210&lt;=Controls!$B$38),1,0)</f>
        <v>1</v>
      </c>
      <c r="AE210" s="65" t="n">
        <f aca="false">IF(IFERROR(VLOOKUP(D210,Controls!$A$64:$E$74,2,FALSE()),"No")="Yes",1,0)</f>
        <v>0</v>
      </c>
      <c r="AF210" s="65" t="n">
        <f aca="false">IF(IFERROR(VLOOKUP(D210,Controls!$A$64:$E$74,3,FALSE()),"No")="Yes",1,0)</f>
        <v>1</v>
      </c>
      <c r="AG210" s="65" t="n">
        <f aca="false">IF(IFERROR(VLOOKUP(D210,Controls!$A$64:$E$74,4,FALSE()),"No")="Yes",1,0)</f>
        <v>1</v>
      </c>
      <c r="AH210" s="65" t="n">
        <f aca="false">IF(IFERROR(VLOOKUP(D210,Controls!$A$64:$E$74,5,FALSE()),"No")="Yes",1,0)</f>
        <v>0</v>
      </c>
      <c r="AI210" s="65" t="n">
        <f aca="false">IF(ISNUMBER(MATCH(D210,Controls!$A$64:$A$74,0)),1,0)</f>
        <v>1</v>
      </c>
      <c r="AJ210" s="65" t="n">
        <f aca="false">Q210-N210</f>
        <v>16960</v>
      </c>
      <c r="AK210" s="65" t="n">
        <f aca="false">IF(AE210=1,MAX(0,N210-Q210),0)</f>
        <v>0</v>
      </c>
      <c r="AL210" s="65" t="n">
        <f aca="false">IF(OR(V210="",V210=0),0,N210/V210)</f>
        <v>0.28628825121632</v>
      </c>
      <c r="AM210" s="65" t="n">
        <f aca="false">IF(OR(V210="",V210=0),0,1)</f>
        <v>1</v>
      </c>
      <c r="AN210" s="65" t="n">
        <f aca="false">IF(OR(E210="",F210=""),0,NETWORKDAYS(E210,F210,Ref!$K$2:$K$42))</f>
        <v>163</v>
      </c>
      <c r="AO210" s="65" t="n">
        <f aca="false">IF(L210="Renewal",1,0)</f>
        <v>0</v>
      </c>
      <c r="AP210" s="65" t="n">
        <f aca="false">AC210*AD210</f>
        <v>0</v>
      </c>
      <c r="AQ210" s="65" t="n">
        <f aca="false">IF(AND(G210&lt;&gt;"",'Historical Score'!$C$6&lt;&gt;""),IF(G210='Historical Score'!$C$6,1,0),0)</f>
        <v>1</v>
      </c>
      <c r="AR210" s="65" t="n">
        <f aca="false">IF(AND(L210&lt;&gt;"",'Historical Score'!$C$5&lt;&gt;""),IF(L210='Historical Score'!$C$5,1,0),0)</f>
        <v>1</v>
      </c>
      <c r="AS210" s="65" t="n">
        <f aca="false">IF(AND(Y210&lt;&gt;"",'Historical Score'!$C$7&lt;&gt;""),IF(Y210='Historical Score'!$C$7,1,0),0)</f>
        <v>0</v>
      </c>
      <c r="AT210" s="65" t="n">
        <f aca="false">IF(AND(K210&lt;&gt;"",'Historical Score'!$C$8&lt;&gt;""),IF(K210='Historical Score'!$C$8,1,0),0)</f>
        <v>0</v>
      </c>
      <c r="AU210" s="65" t="n">
        <f aca="false">IF(AND(J210&lt;&gt;"",'Historical Score'!$C$9&lt;&gt;""),IF(J210='Historical Score'!$C$9,1,0),0)</f>
        <v>0</v>
      </c>
      <c r="AV210" s="65" t="n">
        <f aca="false">AR210*AS210*AQ210</f>
        <v>0</v>
      </c>
      <c r="AW210" s="65" t="n">
        <f aca="false">AR210*AT210*AQ210</f>
        <v>0</v>
      </c>
      <c r="AX210" s="65" t="n">
        <f aca="false">AR210*AS210</f>
        <v>0</v>
      </c>
      <c r="AY210" s="65" t="n">
        <f aca="false">AR210*AT210</f>
        <v>0</v>
      </c>
      <c r="AZ210" s="65" t="n">
        <f aca="false">AR210*AQ210</f>
        <v>1</v>
      </c>
      <c r="BA210" s="65" t="n">
        <f aca="false">AR210</f>
        <v>1</v>
      </c>
      <c r="BB210" s="65" t="n">
        <f aca="false">1</f>
        <v>1</v>
      </c>
      <c r="BC210" s="65" t="n">
        <f aca="false">IF(AV210=1,1,IF(AW210=1,2,IF(AX210=1,3,IF(AY210=1,4,IF(AZ210=1,5,IF(BA210=1,6,7))))))</f>
        <v>5</v>
      </c>
      <c r="BD210" s="65" t="n">
        <f aca="false">IF(AD210=1,CHOOSE('Historical Score'!$C$29,AV210,AW210,AX210,AY210,AZ210,BA210,BB210),0)</f>
        <v>0</v>
      </c>
      <c r="BE210" s="65" t="str">
        <f aca="false">IF(BD210=1,COUNTIF($BD$2:BD210,1),"")</f>
        <v/>
      </c>
    </row>
    <row r="211" customFormat="false" ht="15" hidden="false" customHeight="false" outlineLevel="0" collapsed="false">
      <c r="A211" s="65" t="s">
        <v>1066</v>
      </c>
      <c r="B211" s="65" t="s">
        <v>1067</v>
      </c>
      <c r="C211" s="65" t="s">
        <v>1067</v>
      </c>
      <c r="D211" s="65" t="s">
        <v>340</v>
      </c>
      <c r="E211" s="112" t="n">
        <v>45891</v>
      </c>
      <c r="F211" s="112" t="n">
        <v>45931</v>
      </c>
      <c r="G211" s="65" t="n">
        <v>3</v>
      </c>
      <c r="H211" s="65" t="s">
        <v>479</v>
      </c>
      <c r="I211" s="65" t="s">
        <v>356</v>
      </c>
      <c r="J211" s="65" t="s">
        <v>510</v>
      </c>
      <c r="K211" s="65" t="s">
        <v>855</v>
      </c>
      <c r="L211" s="65" t="s">
        <v>64</v>
      </c>
      <c r="M211" s="113" t="n">
        <v>1.499</v>
      </c>
      <c r="N211" s="114" t="n">
        <v>6000</v>
      </c>
      <c r="O211" s="114" t="n">
        <v>840</v>
      </c>
      <c r="P211" s="114" t="n">
        <v>8994</v>
      </c>
      <c r="Q211" s="114" t="n">
        <v>2207.73</v>
      </c>
      <c r="R211" s="114" t="n">
        <v>6786.27</v>
      </c>
      <c r="S211" s="115" t="n">
        <v>0.245466977985324</v>
      </c>
      <c r="T211" s="65" t="n">
        <v>2.787</v>
      </c>
      <c r="U211" s="65" t="n">
        <v>7</v>
      </c>
      <c r="V211" s="65" t="n">
        <v>19712.41</v>
      </c>
      <c r="W211" s="115" t="n">
        <v>0.112</v>
      </c>
      <c r="X211" s="112" t="n">
        <v>43032</v>
      </c>
      <c r="Y211" s="65" t="str">
        <f aca="false">IF(I211="","No SIC",IFERROR(VLOOKUP(I211,Ref!$A$2:$B$65,2,FALSE()),"Unclassified"))</f>
        <v>Trucking &amp; Warehousing</v>
      </c>
      <c r="Z211" s="65" t="str">
        <f aca="false">IF(T211="","",IF(T211&lt;12,"Daily","Weekly"))</f>
        <v>Daily</v>
      </c>
      <c r="AA211" s="65" t="n">
        <f aca="false">IF(T211="",0,IF(T211&lt;12,T211*Controls!$B$29,T211*5))</f>
        <v>60.352485</v>
      </c>
      <c r="AB211" s="65" t="n">
        <f aca="false">IF(E211="",0,NETWORKDAYS(E211,Controls!$B$36,Ref!$K$2:$K$42))</f>
        <v>253</v>
      </c>
      <c r="AC211" s="65" t="n">
        <f aca="false">IF(AND(AA211&gt;0,AB211&gt;=Controls!$B$39*AA211),1,0)</f>
        <v>1</v>
      </c>
      <c r="AD211" s="65" t="n">
        <f aca="false">IF(AND(E211&lt;&gt;"",E211&gt;=Controls!$B$37,E211&lt;=Controls!$B$38),1,0)</f>
        <v>1</v>
      </c>
      <c r="AE211" s="65" t="n">
        <f aca="false">IF(IFERROR(VLOOKUP(D211,Controls!$A$64:$E$74,2,FALSE()),"No")="Yes",1,0)</f>
        <v>1</v>
      </c>
      <c r="AF211" s="65" t="n">
        <f aca="false">IF(IFERROR(VLOOKUP(D211,Controls!$A$64:$E$74,3,FALSE()),"No")="Yes",1,0)</f>
        <v>0</v>
      </c>
      <c r="AG211" s="65" t="n">
        <f aca="false">IF(IFERROR(VLOOKUP(D211,Controls!$A$64:$E$74,4,FALSE()),"No")="Yes",1,0)</f>
        <v>0</v>
      </c>
      <c r="AH211" s="65" t="n">
        <f aca="false">IF(IFERROR(VLOOKUP(D211,Controls!$A$64:$E$74,5,FALSE()),"No")="Yes",1,0)</f>
        <v>0</v>
      </c>
      <c r="AI211" s="65" t="n">
        <f aca="false">IF(ISNUMBER(MATCH(D211,Controls!$A$64:$A$74,0)),1,0)</f>
        <v>1</v>
      </c>
      <c r="AJ211" s="65" t="n">
        <f aca="false">Q211-N211</f>
        <v>-3792.27</v>
      </c>
      <c r="AK211" s="65" t="n">
        <f aca="false">IF(AE211=1,MAX(0,N211-Q211),0)</f>
        <v>3792.27</v>
      </c>
      <c r="AL211" s="65" t="n">
        <f aca="false">IF(OR(V211="",V211=0),0,N211/V211)</f>
        <v>0.304376785994204</v>
      </c>
      <c r="AM211" s="65" t="n">
        <f aca="false">IF(OR(V211="",V211=0),0,1)</f>
        <v>1</v>
      </c>
      <c r="AN211" s="65" t="n">
        <f aca="false">IF(OR(E211="",F211=""),0,NETWORKDAYS(E211,F211,Ref!$K$2:$K$42))</f>
        <v>28</v>
      </c>
      <c r="AO211" s="65" t="n">
        <f aca="false">IF(L211="Renewal",1,0)</f>
        <v>0</v>
      </c>
      <c r="AP211" s="65" t="n">
        <f aca="false">AC211*AD211</f>
        <v>1</v>
      </c>
      <c r="AQ211" s="65" t="n">
        <f aca="false">IF(AND(G211&lt;&gt;"",'Historical Score'!$C$6&lt;&gt;""),IF(G211='Historical Score'!$C$6,1,0),0)</f>
        <v>0</v>
      </c>
      <c r="AR211" s="65" t="n">
        <f aca="false">IF(AND(L211&lt;&gt;"",'Historical Score'!$C$5&lt;&gt;""),IF(L211='Historical Score'!$C$5,1,0),0)</f>
        <v>1</v>
      </c>
      <c r="AS211" s="65" t="n">
        <f aca="false">IF(AND(Y211&lt;&gt;"",'Historical Score'!$C$7&lt;&gt;""),IF(Y211='Historical Score'!$C$7,1,0),0)</f>
        <v>0</v>
      </c>
      <c r="AT211" s="65" t="n">
        <f aca="false">IF(AND(K211&lt;&gt;"",'Historical Score'!$C$8&lt;&gt;""),IF(K211='Historical Score'!$C$8,1,0),0)</f>
        <v>0</v>
      </c>
      <c r="AU211" s="65" t="n">
        <f aca="false">IF(AND(J211&lt;&gt;"",'Historical Score'!$C$9&lt;&gt;""),IF(J211='Historical Score'!$C$9,1,0),0)</f>
        <v>0</v>
      </c>
      <c r="AV211" s="65" t="n">
        <f aca="false">AR211*AS211*AQ211</f>
        <v>0</v>
      </c>
      <c r="AW211" s="65" t="n">
        <f aca="false">AR211*AT211*AQ211</f>
        <v>0</v>
      </c>
      <c r="AX211" s="65" t="n">
        <f aca="false">AR211*AS211</f>
        <v>0</v>
      </c>
      <c r="AY211" s="65" t="n">
        <f aca="false">AR211*AT211</f>
        <v>0</v>
      </c>
      <c r="AZ211" s="65" t="n">
        <f aca="false">AR211*AQ211</f>
        <v>0</v>
      </c>
      <c r="BA211" s="65" t="n">
        <f aca="false">AR211</f>
        <v>1</v>
      </c>
      <c r="BB211" s="65" t="n">
        <f aca="false">1</f>
        <v>1</v>
      </c>
      <c r="BC211" s="65" t="n">
        <f aca="false">IF(AV211=1,1,IF(AW211=1,2,IF(AX211=1,3,IF(AY211=1,4,IF(AZ211=1,5,IF(BA211=1,6,7))))))</f>
        <v>6</v>
      </c>
      <c r="BD211" s="65" t="n">
        <f aca="false">IF(AD211=1,CHOOSE('Historical Score'!$C$29,AV211,AW211,AX211,AY211,AZ211,BA211,BB211),0)</f>
        <v>0</v>
      </c>
      <c r="BE211" s="65" t="str">
        <f aca="false">IF(BD211=1,COUNTIF($BD$2:BD211,1),"")</f>
        <v/>
      </c>
    </row>
    <row r="212" customFormat="false" ht="15" hidden="false" customHeight="false" outlineLevel="0" collapsed="false">
      <c r="A212" s="65" t="s">
        <v>1068</v>
      </c>
      <c r="B212" s="65" t="s">
        <v>1069</v>
      </c>
      <c r="C212" s="65" t="s">
        <v>1070</v>
      </c>
      <c r="D212" s="65" t="s">
        <v>959</v>
      </c>
      <c r="E212" s="112" t="n">
        <v>45891</v>
      </c>
      <c r="F212" s="112" t="n">
        <v>46253</v>
      </c>
      <c r="G212" s="65" t="n">
        <v>3</v>
      </c>
      <c r="H212" s="65" t="s">
        <v>1071</v>
      </c>
      <c r="I212" s="65" t="s">
        <v>1072</v>
      </c>
      <c r="J212" s="65" t="s">
        <v>452</v>
      </c>
      <c r="K212" s="65" t="s">
        <v>1047</v>
      </c>
      <c r="L212" s="65" t="s">
        <v>64</v>
      </c>
      <c r="M212" s="113" t="n">
        <v>1.45</v>
      </c>
      <c r="N212" s="114" t="n">
        <v>35000</v>
      </c>
      <c r="O212" s="114" t="n">
        <v>4200</v>
      </c>
      <c r="P212" s="114" t="n">
        <v>50750</v>
      </c>
      <c r="Q212" s="114" t="n">
        <v>29464.46</v>
      </c>
      <c r="R212" s="114" t="n">
        <v>21285.54</v>
      </c>
      <c r="S212" s="115" t="n">
        <v>0.580580492610837</v>
      </c>
      <c r="T212" s="65" t="n">
        <v>32</v>
      </c>
      <c r="U212" s="65" t="n">
        <v>36</v>
      </c>
      <c r="V212" s="65" t="n">
        <v>49442.1</v>
      </c>
      <c r="W212" s="115" t="n">
        <v>0.1283</v>
      </c>
      <c r="X212" s="112" t="n">
        <v>43975</v>
      </c>
      <c r="Y212" s="65" t="str">
        <f aca="false">IF(I212="","No SIC",IFERROR(VLOOKUP(I212,Ref!$A$2:$B$65,2,FALSE()),"Unclassified"))</f>
        <v>Air Transportation</v>
      </c>
      <c r="Z212" s="65" t="str">
        <f aca="false">IF(T212="","",IF(T212&lt;12,"Daily","Weekly"))</f>
        <v>Weekly</v>
      </c>
      <c r="AA212" s="65" t="n">
        <f aca="false">IF(T212="",0,IF(T212&lt;12,T212*Controls!$B$29,T212*5))</f>
        <v>160</v>
      </c>
      <c r="AB212" s="65" t="n">
        <f aca="false">IF(E212="",0,NETWORKDAYS(E212,Controls!$B$36,Ref!$K$2:$K$42))</f>
        <v>253</v>
      </c>
      <c r="AC212" s="65" t="n">
        <f aca="false">IF(AND(AA212&gt;0,AB212&gt;=Controls!$B$39*AA212),1,0)</f>
        <v>1</v>
      </c>
      <c r="AD212" s="65" t="n">
        <f aca="false">IF(AND(E212&lt;&gt;"",E212&gt;=Controls!$B$37,E212&lt;=Controls!$B$38),1,0)</f>
        <v>1</v>
      </c>
      <c r="AE212" s="65" t="n">
        <f aca="false">IF(IFERROR(VLOOKUP(D212,Controls!$A$64:$E$74,2,FALSE()),"No")="Yes",1,0)</f>
        <v>0</v>
      </c>
      <c r="AF212" s="65" t="n">
        <f aca="false">IF(IFERROR(VLOOKUP(D212,Controls!$A$64:$E$74,3,FALSE()),"No")="Yes",1,0)</f>
        <v>0</v>
      </c>
      <c r="AG212" s="65" t="n">
        <f aca="false">IF(IFERROR(VLOOKUP(D212,Controls!$A$64:$E$74,4,FALSE()),"No")="Yes",1,0)</f>
        <v>0</v>
      </c>
      <c r="AH212" s="65" t="n">
        <f aca="false">IF(IFERROR(VLOOKUP(D212,Controls!$A$64:$E$74,5,FALSE()),"No")="Yes",1,0)</f>
        <v>0</v>
      </c>
      <c r="AI212" s="65" t="n">
        <f aca="false">IF(ISNUMBER(MATCH(D212,Controls!$A$64:$A$74,0)),1,0)</f>
        <v>1</v>
      </c>
      <c r="AJ212" s="65" t="n">
        <f aca="false">Q212-N212</f>
        <v>-5535.54</v>
      </c>
      <c r="AK212" s="65" t="n">
        <f aca="false">IF(AE212=1,MAX(0,N212-Q212),0)</f>
        <v>0</v>
      </c>
      <c r="AL212" s="65" t="n">
        <f aca="false">IF(OR(V212="",V212=0),0,N212/V212)</f>
        <v>0.707898734074807</v>
      </c>
      <c r="AM212" s="65" t="n">
        <f aca="false">IF(OR(V212="",V212=0),0,1)</f>
        <v>1</v>
      </c>
      <c r="AN212" s="65" t="n">
        <f aca="false">IF(OR(E212="",F212=""),0,NETWORKDAYS(E212,F212,Ref!$K$2:$K$42))</f>
        <v>249</v>
      </c>
      <c r="AO212" s="65" t="n">
        <f aca="false">IF(L212="Renewal",1,0)</f>
        <v>0</v>
      </c>
      <c r="AP212" s="65" t="n">
        <f aca="false">AC212*AD212</f>
        <v>1</v>
      </c>
      <c r="AQ212" s="65" t="n">
        <f aca="false">IF(AND(G212&lt;&gt;"",'Historical Score'!$C$6&lt;&gt;""),IF(G212='Historical Score'!$C$6,1,0),0)</f>
        <v>0</v>
      </c>
      <c r="AR212" s="65" t="n">
        <f aca="false">IF(AND(L212&lt;&gt;"",'Historical Score'!$C$5&lt;&gt;""),IF(L212='Historical Score'!$C$5,1,0),0)</f>
        <v>1</v>
      </c>
      <c r="AS212" s="65" t="n">
        <f aca="false">IF(AND(Y212&lt;&gt;"",'Historical Score'!$C$7&lt;&gt;""),IF(Y212='Historical Score'!$C$7,1,0),0)</f>
        <v>0</v>
      </c>
      <c r="AT212" s="65" t="n">
        <f aca="false">IF(AND(K212&lt;&gt;"",'Historical Score'!$C$8&lt;&gt;""),IF(K212='Historical Score'!$C$8,1,0),0)</f>
        <v>0</v>
      </c>
      <c r="AU212" s="65" t="n">
        <f aca="false">IF(AND(J212&lt;&gt;"",'Historical Score'!$C$9&lt;&gt;""),IF(J212='Historical Score'!$C$9,1,0),0)</f>
        <v>0</v>
      </c>
      <c r="AV212" s="65" t="n">
        <f aca="false">AR212*AS212*AQ212</f>
        <v>0</v>
      </c>
      <c r="AW212" s="65" t="n">
        <f aca="false">AR212*AT212*AQ212</f>
        <v>0</v>
      </c>
      <c r="AX212" s="65" t="n">
        <f aca="false">AR212*AS212</f>
        <v>0</v>
      </c>
      <c r="AY212" s="65" t="n">
        <f aca="false">AR212*AT212</f>
        <v>0</v>
      </c>
      <c r="AZ212" s="65" t="n">
        <f aca="false">AR212*AQ212</f>
        <v>0</v>
      </c>
      <c r="BA212" s="65" t="n">
        <f aca="false">AR212</f>
        <v>1</v>
      </c>
      <c r="BB212" s="65" t="n">
        <f aca="false">1</f>
        <v>1</v>
      </c>
      <c r="BC212" s="65" t="n">
        <f aca="false">IF(AV212=1,1,IF(AW212=1,2,IF(AX212=1,3,IF(AY212=1,4,IF(AZ212=1,5,IF(BA212=1,6,7))))))</f>
        <v>6</v>
      </c>
      <c r="BD212" s="65" t="n">
        <f aca="false">IF(AD212=1,CHOOSE('Historical Score'!$C$29,AV212,AW212,AX212,AY212,AZ212,BA212,BB212),0)</f>
        <v>0</v>
      </c>
      <c r="BE212" s="65" t="str">
        <f aca="false">IF(BD212=1,COUNTIF($BD$2:BD212,1),"")</f>
        <v/>
      </c>
    </row>
    <row r="213" customFormat="false" ht="15" hidden="false" customHeight="false" outlineLevel="0" collapsed="false">
      <c r="A213" s="65" t="s">
        <v>1073</v>
      </c>
      <c r="B213" s="65" t="s">
        <v>1074</v>
      </c>
      <c r="C213" s="65" t="s">
        <v>1075</v>
      </c>
      <c r="D213" s="65" t="s">
        <v>371</v>
      </c>
      <c r="E213" s="112" t="n">
        <v>45891</v>
      </c>
      <c r="F213" s="112" t="n">
        <v>45950</v>
      </c>
      <c r="G213" s="65" t="n">
        <v>5</v>
      </c>
      <c r="H213" s="65" t="s">
        <v>442</v>
      </c>
      <c r="I213" s="65" t="s">
        <v>443</v>
      </c>
      <c r="J213" s="65" t="s">
        <v>717</v>
      </c>
      <c r="K213" s="65" t="s">
        <v>1076</v>
      </c>
      <c r="L213" s="65" t="s">
        <v>64</v>
      </c>
      <c r="M213" s="113" t="n">
        <v>1.499</v>
      </c>
      <c r="N213" s="114" t="n">
        <v>12000</v>
      </c>
      <c r="O213" s="114" t="n">
        <v>1680</v>
      </c>
      <c r="P213" s="114" t="n">
        <v>17988</v>
      </c>
      <c r="Q213" s="114" t="n">
        <v>17988</v>
      </c>
      <c r="R213" s="114" t="n">
        <v>0</v>
      </c>
      <c r="S213" s="115" t="n">
        <v>1</v>
      </c>
      <c r="T213" s="65" t="n">
        <v>2.131</v>
      </c>
      <c r="U213" s="65" t="n">
        <v>0</v>
      </c>
      <c r="V213" s="65" t="n">
        <v>70535.06</v>
      </c>
      <c r="W213" s="115" t="n">
        <v>0.0819</v>
      </c>
      <c r="X213" s="112" t="n">
        <v>44367</v>
      </c>
      <c r="Y213" s="65" t="str">
        <f aca="false">IF(I213="","No SIC",IFERROR(VLOOKUP(I213,Ref!$A$2:$B$65,2,FALSE()),"Unclassified"))</f>
        <v>General Building Contractors</v>
      </c>
      <c r="Z213" s="65" t="str">
        <f aca="false">IF(T213="","",IF(T213&lt;12,"Daily","Weekly"))</f>
        <v>Daily</v>
      </c>
      <c r="AA213" s="65" t="n">
        <f aca="false">IF(T213="",0,IF(T213&lt;12,T213*Controls!$B$29,T213*5))</f>
        <v>46.146805</v>
      </c>
      <c r="AB213" s="65" t="n">
        <f aca="false">IF(E213="",0,NETWORKDAYS(E213,Controls!$B$36,Ref!$K$2:$K$42))</f>
        <v>253</v>
      </c>
      <c r="AC213" s="65" t="n">
        <f aca="false">IF(AND(AA213&gt;0,AB213&gt;=Controls!$B$39*AA213),1,0)</f>
        <v>1</v>
      </c>
      <c r="AD213" s="65" t="n">
        <f aca="false">IF(AND(E213&lt;&gt;"",E213&gt;=Controls!$B$37,E213&lt;=Controls!$B$38),1,0)</f>
        <v>1</v>
      </c>
      <c r="AE213" s="65" t="n">
        <f aca="false">IF(IFERROR(VLOOKUP(D213,Controls!$A$64:$E$74,2,FALSE()),"No")="Yes",1,0)</f>
        <v>0</v>
      </c>
      <c r="AF213" s="65" t="n">
        <f aca="false">IF(IFERROR(VLOOKUP(D213,Controls!$A$64:$E$74,3,FALSE()),"No")="Yes",1,0)</f>
        <v>1</v>
      </c>
      <c r="AG213" s="65" t="n">
        <f aca="false">IF(IFERROR(VLOOKUP(D213,Controls!$A$64:$E$74,4,FALSE()),"No")="Yes",1,0)</f>
        <v>1</v>
      </c>
      <c r="AH213" s="65" t="n">
        <f aca="false">IF(IFERROR(VLOOKUP(D213,Controls!$A$64:$E$74,5,FALSE()),"No")="Yes",1,0)</f>
        <v>0</v>
      </c>
      <c r="AI213" s="65" t="n">
        <f aca="false">IF(ISNUMBER(MATCH(D213,Controls!$A$64:$A$74,0)),1,0)</f>
        <v>1</v>
      </c>
      <c r="AJ213" s="65" t="n">
        <f aca="false">Q213-N213</f>
        <v>5988</v>
      </c>
      <c r="AK213" s="65" t="n">
        <f aca="false">IF(AE213=1,MAX(0,N213-Q213),0)</f>
        <v>0</v>
      </c>
      <c r="AL213" s="65" t="n">
        <f aca="false">IF(OR(V213="",V213=0),0,N213/V213)</f>
        <v>0.170128160378683</v>
      </c>
      <c r="AM213" s="65" t="n">
        <f aca="false">IF(OR(V213="",V213=0),0,1)</f>
        <v>1</v>
      </c>
      <c r="AN213" s="65" t="n">
        <f aca="false">IF(OR(E213="",F213=""),0,NETWORKDAYS(E213,F213,Ref!$K$2:$K$42))</f>
        <v>40</v>
      </c>
      <c r="AO213" s="65" t="n">
        <f aca="false">IF(L213="Renewal",1,0)</f>
        <v>0</v>
      </c>
      <c r="AP213" s="65" t="n">
        <f aca="false">AC213*AD213</f>
        <v>1</v>
      </c>
      <c r="AQ213" s="65" t="n">
        <f aca="false">IF(AND(G213&lt;&gt;"",'Historical Score'!$C$6&lt;&gt;""),IF(G213='Historical Score'!$C$6,1,0),0)</f>
        <v>0</v>
      </c>
      <c r="AR213" s="65" t="n">
        <f aca="false">IF(AND(L213&lt;&gt;"",'Historical Score'!$C$5&lt;&gt;""),IF(L213='Historical Score'!$C$5,1,0),0)</f>
        <v>1</v>
      </c>
      <c r="AS213" s="65" t="n">
        <f aca="false">IF(AND(Y213&lt;&gt;"",'Historical Score'!$C$7&lt;&gt;""),IF(Y213='Historical Score'!$C$7,1,0),0)</f>
        <v>1</v>
      </c>
      <c r="AT213" s="65" t="n">
        <f aca="false">IF(AND(K213&lt;&gt;"",'Historical Score'!$C$8&lt;&gt;""),IF(K213='Historical Score'!$C$8,1,0),0)</f>
        <v>0</v>
      </c>
      <c r="AU213" s="65" t="n">
        <f aca="false">IF(AND(J213&lt;&gt;"",'Historical Score'!$C$9&lt;&gt;""),IF(J213='Historical Score'!$C$9,1,0),0)</f>
        <v>0</v>
      </c>
      <c r="AV213" s="65" t="n">
        <f aca="false">AR213*AS213*AQ213</f>
        <v>0</v>
      </c>
      <c r="AW213" s="65" t="n">
        <f aca="false">AR213*AT213*AQ213</f>
        <v>0</v>
      </c>
      <c r="AX213" s="65" t="n">
        <f aca="false">AR213*AS213</f>
        <v>1</v>
      </c>
      <c r="AY213" s="65" t="n">
        <f aca="false">AR213*AT213</f>
        <v>0</v>
      </c>
      <c r="AZ213" s="65" t="n">
        <f aca="false">AR213*AQ213</f>
        <v>0</v>
      </c>
      <c r="BA213" s="65" t="n">
        <f aca="false">AR213</f>
        <v>1</v>
      </c>
      <c r="BB213" s="65" t="n">
        <f aca="false">1</f>
        <v>1</v>
      </c>
      <c r="BC213" s="65" t="n">
        <f aca="false">IF(AV213=1,1,IF(AW213=1,2,IF(AX213=1,3,IF(AY213=1,4,IF(AZ213=1,5,IF(BA213=1,6,7))))))</f>
        <v>3</v>
      </c>
      <c r="BD213" s="65" t="n">
        <f aca="false">IF(AD213=1,CHOOSE('Historical Score'!$C$29,AV213,AW213,AX213,AY213,AZ213,BA213,BB213),0)</f>
        <v>0</v>
      </c>
      <c r="BE213" s="65" t="str">
        <f aca="false">IF(BD213=1,COUNTIF($BD$2:BD213,1),"")</f>
        <v/>
      </c>
    </row>
    <row r="214" customFormat="false" ht="15" hidden="false" customHeight="false" outlineLevel="0" collapsed="false">
      <c r="A214" s="65" t="s">
        <v>1077</v>
      </c>
      <c r="B214" s="65" t="s">
        <v>1078</v>
      </c>
      <c r="C214" s="65" t="s">
        <v>1079</v>
      </c>
      <c r="D214" s="65" t="s">
        <v>340</v>
      </c>
      <c r="E214" s="112" t="n">
        <v>45891</v>
      </c>
      <c r="F214" s="112" t="n">
        <v>46142</v>
      </c>
      <c r="G214" s="65" t="n">
        <v>2</v>
      </c>
      <c r="H214" s="65" t="s">
        <v>678</v>
      </c>
      <c r="I214" s="65" t="s">
        <v>679</v>
      </c>
      <c r="J214" s="65" t="s">
        <v>464</v>
      </c>
      <c r="K214" s="65" t="s">
        <v>961</v>
      </c>
      <c r="L214" s="65" t="s">
        <v>64</v>
      </c>
      <c r="M214" s="113" t="n">
        <v>1.42</v>
      </c>
      <c r="N214" s="114" t="n">
        <v>26500</v>
      </c>
      <c r="O214" s="114" t="n">
        <v>3710</v>
      </c>
      <c r="P214" s="114" t="n">
        <v>37630</v>
      </c>
      <c r="Q214" s="114" t="n">
        <v>33332.19</v>
      </c>
      <c r="R214" s="114" t="n">
        <v>4297.81</v>
      </c>
      <c r="S214" s="115" t="n">
        <v>0.885787669412703</v>
      </c>
      <c r="T214" s="65" t="n">
        <v>28</v>
      </c>
      <c r="U214" s="65" t="n">
        <v>8</v>
      </c>
      <c r="V214" s="65" t="n">
        <v>165974.37</v>
      </c>
      <c r="W214" s="115" t="n">
        <v>0.0324</v>
      </c>
      <c r="X214" s="112" t="n">
        <v>44348</v>
      </c>
      <c r="Y214" s="65" t="str">
        <f aca="false">IF(I214="","No SIC",IFERROR(VLOOKUP(I214,Ref!$A$2:$B$65,2,FALSE()),"Unclassified"))</f>
        <v>Amusement &amp; Recreation Services</v>
      </c>
      <c r="Z214" s="65" t="str">
        <f aca="false">IF(T214="","",IF(T214&lt;12,"Daily","Weekly"))</f>
        <v>Weekly</v>
      </c>
      <c r="AA214" s="65" t="n">
        <f aca="false">IF(T214="",0,IF(T214&lt;12,T214*Controls!$B$29,T214*5))</f>
        <v>140</v>
      </c>
      <c r="AB214" s="65" t="n">
        <f aca="false">IF(E214="",0,NETWORKDAYS(E214,Controls!$B$36,Ref!$K$2:$K$42))</f>
        <v>253</v>
      </c>
      <c r="AC214" s="65" t="n">
        <f aca="false">IF(AND(AA214&gt;0,AB214&gt;=Controls!$B$39*AA214),1,0)</f>
        <v>1</v>
      </c>
      <c r="AD214" s="65" t="n">
        <f aca="false">IF(AND(E214&lt;&gt;"",E214&gt;=Controls!$B$37,E214&lt;=Controls!$B$38),1,0)</f>
        <v>1</v>
      </c>
      <c r="AE214" s="65" t="n">
        <f aca="false">IF(IFERROR(VLOOKUP(D214,Controls!$A$64:$E$74,2,FALSE()),"No")="Yes",1,0)</f>
        <v>1</v>
      </c>
      <c r="AF214" s="65" t="n">
        <f aca="false">IF(IFERROR(VLOOKUP(D214,Controls!$A$64:$E$74,3,FALSE()),"No")="Yes",1,0)</f>
        <v>0</v>
      </c>
      <c r="AG214" s="65" t="n">
        <f aca="false">IF(IFERROR(VLOOKUP(D214,Controls!$A$64:$E$74,4,FALSE()),"No")="Yes",1,0)</f>
        <v>0</v>
      </c>
      <c r="AH214" s="65" t="n">
        <f aca="false">IF(IFERROR(VLOOKUP(D214,Controls!$A$64:$E$74,5,FALSE()),"No")="Yes",1,0)</f>
        <v>0</v>
      </c>
      <c r="AI214" s="65" t="n">
        <f aca="false">IF(ISNUMBER(MATCH(D214,Controls!$A$64:$A$74,0)),1,0)</f>
        <v>1</v>
      </c>
      <c r="AJ214" s="65" t="n">
        <f aca="false">Q214-N214</f>
        <v>6832.19</v>
      </c>
      <c r="AK214" s="65" t="n">
        <f aca="false">IF(AE214=1,MAX(0,N214-Q214),0)</f>
        <v>0</v>
      </c>
      <c r="AL214" s="65" t="n">
        <f aca="false">IF(OR(V214="",V214=0),0,N214/V214)</f>
        <v>0.159663205831117</v>
      </c>
      <c r="AM214" s="65" t="n">
        <f aca="false">IF(OR(V214="",V214=0),0,1)</f>
        <v>1</v>
      </c>
      <c r="AN214" s="65" t="n">
        <f aca="false">IF(OR(E214="",F214=""),0,NETWORKDAYS(E214,F214,Ref!$K$2:$K$42))</f>
        <v>172</v>
      </c>
      <c r="AO214" s="65" t="n">
        <f aca="false">IF(L214="Renewal",1,0)</f>
        <v>0</v>
      </c>
      <c r="AP214" s="65" t="n">
        <f aca="false">AC214*AD214</f>
        <v>1</v>
      </c>
      <c r="AQ214" s="65" t="n">
        <f aca="false">IF(AND(G214&lt;&gt;"",'Historical Score'!$C$6&lt;&gt;""),IF(G214='Historical Score'!$C$6,1,0),0)</f>
        <v>1</v>
      </c>
      <c r="AR214" s="65" t="n">
        <f aca="false">IF(AND(L214&lt;&gt;"",'Historical Score'!$C$5&lt;&gt;""),IF(L214='Historical Score'!$C$5,1,0),0)</f>
        <v>1</v>
      </c>
      <c r="AS214" s="65" t="n">
        <f aca="false">IF(AND(Y214&lt;&gt;"",'Historical Score'!$C$7&lt;&gt;""),IF(Y214='Historical Score'!$C$7,1,0),0)</f>
        <v>0</v>
      </c>
      <c r="AT214" s="65" t="n">
        <f aca="false">IF(AND(K214&lt;&gt;"",'Historical Score'!$C$8&lt;&gt;""),IF(K214='Historical Score'!$C$8,1,0),0)</f>
        <v>0</v>
      </c>
      <c r="AU214" s="65" t="n">
        <f aca="false">IF(AND(J214&lt;&gt;"",'Historical Score'!$C$9&lt;&gt;""),IF(J214='Historical Score'!$C$9,1,0),0)</f>
        <v>0</v>
      </c>
      <c r="AV214" s="65" t="n">
        <f aca="false">AR214*AS214*AQ214</f>
        <v>0</v>
      </c>
      <c r="AW214" s="65" t="n">
        <f aca="false">AR214*AT214*AQ214</f>
        <v>0</v>
      </c>
      <c r="AX214" s="65" t="n">
        <f aca="false">AR214*AS214</f>
        <v>0</v>
      </c>
      <c r="AY214" s="65" t="n">
        <f aca="false">AR214*AT214</f>
        <v>0</v>
      </c>
      <c r="AZ214" s="65" t="n">
        <f aca="false">AR214*AQ214</f>
        <v>1</v>
      </c>
      <c r="BA214" s="65" t="n">
        <f aca="false">AR214</f>
        <v>1</v>
      </c>
      <c r="BB214" s="65" t="n">
        <f aca="false">1</f>
        <v>1</v>
      </c>
      <c r="BC214" s="65" t="n">
        <f aca="false">IF(AV214=1,1,IF(AW214=1,2,IF(AX214=1,3,IF(AY214=1,4,IF(AZ214=1,5,IF(BA214=1,6,7))))))</f>
        <v>5</v>
      </c>
      <c r="BD214" s="65" t="n">
        <f aca="false">IF(AD214=1,CHOOSE('Historical Score'!$C$29,AV214,AW214,AX214,AY214,AZ214,BA214,BB214),0)</f>
        <v>0</v>
      </c>
      <c r="BE214" s="65" t="str">
        <f aca="false">IF(BD214=1,COUNTIF($BD$2:BD214,1),"")</f>
        <v/>
      </c>
    </row>
    <row r="215" customFormat="false" ht="15" hidden="false" customHeight="false" outlineLevel="0" collapsed="false">
      <c r="A215" s="65" t="s">
        <v>1080</v>
      </c>
      <c r="B215" s="65" t="s">
        <v>390</v>
      </c>
      <c r="C215" s="65" t="s">
        <v>390</v>
      </c>
      <c r="D215" s="65" t="s">
        <v>340</v>
      </c>
      <c r="E215" s="112" t="n">
        <v>45894</v>
      </c>
      <c r="F215" s="112" t="n">
        <v>45917</v>
      </c>
      <c r="G215" s="65" t="n">
        <v>2</v>
      </c>
      <c r="H215" s="65" t="s">
        <v>442</v>
      </c>
      <c r="I215" s="65" t="s">
        <v>443</v>
      </c>
      <c r="J215" s="65" t="s">
        <v>393</v>
      </c>
      <c r="K215" s="65" t="s">
        <v>394</v>
      </c>
      <c r="L215" s="65" t="s">
        <v>320</v>
      </c>
      <c r="M215" s="113" t="n">
        <v>1.49</v>
      </c>
      <c r="N215" s="114" t="n">
        <v>32000</v>
      </c>
      <c r="O215" s="114" t="n">
        <v>4480</v>
      </c>
      <c r="P215" s="114" t="n">
        <v>47680</v>
      </c>
      <c r="Q215" s="114" t="n">
        <v>4628.39</v>
      </c>
      <c r="R215" s="114" t="n">
        <v>43051.61</v>
      </c>
      <c r="S215" s="115" t="n">
        <v>0.0970719379194631</v>
      </c>
      <c r="T215" s="65" t="n">
        <v>3.607</v>
      </c>
      <c r="U215" s="65" t="n">
        <v>5</v>
      </c>
      <c r="V215" s="65" t="n">
        <v>35079.82</v>
      </c>
      <c r="W215" s="115" t="n">
        <v>0.2595</v>
      </c>
      <c r="X215" s="112" t="n">
        <v>45005</v>
      </c>
      <c r="Y215" s="65" t="str">
        <f aca="false">IF(I215="","No SIC",IFERROR(VLOOKUP(I215,Ref!$A$2:$B$65,2,FALSE()),"Unclassified"))</f>
        <v>General Building Contractors</v>
      </c>
      <c r="Z215" s="65" t="str">
        <f aca="false">IF(T215="","",IF(T215&lt;12,"Daily","Weekly"))</f>
        <v>Daily</v>
      </c>
      <c r="AA215" s="65" t="n">
        <f aca="false">IF(T215="",0,IF(T215&lt;12,T215*Controls!$B$29,T215*5))</f>
        <v>78.109585</v>
      </c>
      <c r="AB215" s="65" t="n">
        <f aca="false">IF(E215="",0,NETWORKDAYS(E215,Controls!$B$36,Ref!$K$2:$K$42))</f>
        <v>252</v>
      </c>
      <c r="AC215" s="65" t="n">
        <f aca="false">IF(AND(AA215&gt;0,AB215&gt;=Controls!$B$39*AA215),1,0)</f>
        <v>1</v>
      </c>
      <c r="AD215" s="65" t="n">
        <f aca="false">IF(AND(E215&lt;&gt;"",E215&gt;=Controls!$B$37,E215&lt;=Controls!$B$38),1,0)</f>
        <v>1</v>
      </c>
      <c r="AE215" s="65" t="n">
        <f aca="false">IF(IFERROR(VLOOKUP(D215,Controls!$A$64:$E$74,2,FALSE()),"No")="Yes",1,0)</f>
        <v>1</v>
      </c>
      <c r="AF215" s="65" t="n">
        <f aca="false">IF(IFERROR(VLOOKUP(D215,Controls!$A$64:$E$74,3,FALSE()),"No")="Yes",1,0)</f>
        <v>0</v>
      </c>
      <c r="AG215" s="65" t="n">
        <f aca="false">IF(IFERROR(VLOOKUP(D215,Controls!$A$64:$E$74,4,FALSE()),"No")="Yes",1,0)</f>
        <v>0</v>
      </c>
      <c r="AH215" s="65" t="n">
        <f aca="false">IF(IFERROR(VLOOKUP(D215,Controls!$A$64:$E$74,5,FALSE()),"No")="Yes",1,0)</f>
        <v>0</v>
      </c>
      <c r="AI215" s="65" t="n">
        <f aca="false">IF(ISNUMBER(MATCH(D215,Controls!$A$64:$A$74,0)),1,0)</f>
        <v>1</v>
      </c>
      <c r="AJ215" s="65" t="n">
        <f aca="false">Q215-N215</f>
        <v>-27371.61</v>
      </c>
      <c r="AK215" s="65" t="n">
        <f aca="false">IF(AE215=1,MAX(0,N215-Q215),0)</f>
        <v>27371.61</v>
      </c>
      <c r="AL215" s="65" t="n">
        <f aca="false">IF(OR(V215="",V215=0),0,N215/V215)</f>
        <v>0.912205364793776</v>
      </c>
      <c r="AM215" s="65" t="n">
        <f aca="false">IF(OR(V215="",V215=0),0,1)</f>
        <v>1</v>
      </c>
      <c r="AN215" s="65" t="n">
        <f aca="false">IF(OR(E215="",F215=""),0,NETWORKDAYS(E215,F215,Ref!$K$2:$K$42))</f>
        <v>17</v>
      </c>
      <c r="AO215" s="65" t="n">
        <f aca="false">IF(L215="Renewal",1,0)</f>
        <v>1</v>
      </c>
      <c r="AP215" s="65" t="n">
        <f aca="false">AC215*AD215</f>
        <v>1</v>
      </c>
      <c r="AQ215" s="65" t="n">
        <f aca="false">IF(AND(G215&lt;&gt;"",'Historical Score'!$C$6&lt;&gt;""),IF(G215='Historical Score'!$C$6,1,0),0)</f>
        <v>1</v>
      </c>
      <c r="AR215" s="65" t="n">
        <f aca="false">IF(AND(L215&lt;&gt;"",'Historical Score'!$C$5&lt;&gt;""),IF(L215='Historical Score'!$C$5,1,0),0)</f>
        <v>0</v>
      </c>
      <c r="AS215" s="65" t="n">
        <f aca="false">IF(AND(Y215&lt;&gt;"",'Historical Score'!$C$7&lt;&gt;""),IF(Y215='Historical Score'!$C$7,1,0),0)</f>
        <v>1</v>
      </c>
      <c r="AT215" s="65" t="n">
        <f aca="false">IF(AND(K215&lt;&gt;"",'Historical Score'!$C$8&lt;&gt;""),IF(K215='Historical Score'!$C$8,1,0),0)</f>
        <v>0</v>
      </c>
      <c r="AU215" s="65" t="n">
        <f aca="false">IF(AND(J215&lt;&gt;"",'Historical Score'!$C$9&lt;&gt;""),IF(J215='Historical Score'!$C$9,1,0),0)</f>
        <v>0</v>
      </c>
      <c r="AV215" s="65" t="n">
        <f aca="false">AR215*AS215*AQ215</f>
        <v>0</v>
      </c>
      <c r="AW215" s="65" t="n">
        <f aca="false">AR215*AT215*AQ215</f>
        <v>0</v>
      </c>
      <c r="AX215" s="65" t="n">
        <f aca="false">AR215*AS215</f>
        <v>0</v>
      </c>
      <c r="AY215" s="65" t="n">
        <f aca="false">AR215*AT215</f>
        <v>0</v>
      </c>
      <c r="AZ215" s="65" t="n">
        <f aca="false">AR215*AQ215</f>
        <v>0</v>
      </c>
      <c r="BA215" s="65" t="n">
        <f aca="false">AR215</f>
        <v>0</v>
      </c>
      <c r="BB215" s="65" t="n">
        <f aca="false">1</f>
        <v>1</v>
      </c>
      <c r="BC215" s="65" t="n">
        <f aca="false">IF(AV215=1,1,IF(AW215=1,2,IF(AX215=1,3,IF(AY215=1,4,IF(AZ215=1,5,IF(BA215=1,6,7))))))</f>
        <v>7</v>
      </c>
      <c r="BD215" s="65" t="n">
        <f aca="false">IF(AD215=1,CHOOSE('Historical Score'!$C$29,AV215,AW215,AX215,AY215,AZ215,BA215,BB215),0)</f>
        <v>0</v>
      </c>
      <c r="BE215" s="65" t="str">
        <f aca="false">IF(BD215=1,COUNTIF($BD$2:BD215,1),"")</f>
        <v/>
      </c>
    </row>
    <row r="216" customFormat="false" ht="15" hidden="false" customHeight="false" outlineLevel="0" collapsed="false">
      <c r="A216" s="65" t="s">
        <v>1081</v>
      </c>
      <c r="B216" s="65" t="s">
        <v>1082</v>
      </c>
      <c r="C216" s="65" t="s">
        <v>1082</v>
      </c>
      <c r="D216" s="65" t="s">
        <v>371</v>
      </c>
      <c r="E216" s="112" t="n">
        <v>45894</v>
      </c>
      <c r="F216" s="112" t="n">
        <v>45981</v>
      </c>
      <c r="G216" s="65" t="n">
        <v>7</v>
      </c>
      <c r="H216" s="65" t="s">
        <v>409</v>
      </c>
      <c r="I216" s="65" t="s">
        <v>342</v>
      </c>
      <c r="J216" s="65" t="s">
        <v>343</v>
      </c>
      <c r="K216" s="65" t="s">
        <v>55</v>
      </c>
      <c r="L216" s="65" t="s">
        <v>64</v>
      </c>
      <c r="M216" s="113" t="n">
        <v>1.49</v>
      </c>
      <c r="N216" s="114" t="n">
        <v>12500</v>
      </c>
      <c r="O216" s="114" t="n">
        <v>1750</v>
      </c>
      <c r="P216" s="114" t="n">
        <v>18625</v>
      </c>
      <c r="Q216" s="114" t="n">
        <v>18625</v>
      </c>
      <c r="R216" s="114" t="n">
        <v>0</v>
      </c>
      <c r="S216" s="115" t="n">
        <v>1</v>
      </c>
      <c r="T216" s="65" t="n">
        <v>3.279</v>
      </c>
      <c r="U216" s="65" t="n">
        <v>0</v>
      </c>
      <c r="V216" s="65" t="n">
        <v>42013.9</v>
      </c>
      <c r="W216" s="115" t="n">
        <v>0.0931</v>
      </c>
      <c r="X216" s="112"/>
      <c r="Y216" s="65" t="str">
        <f aca="false">IF(I216="","No SIC",IFERROR(VLOOKUP(I216,Ref!$A$2:$B$65,2,FALSE()),"Unclassified"))</f>
        <v>Eating &amp; Drinking Places</v>
      </c>
      <c r="Z216" s="65" t="str">
        <f aca="false">IF(T216="","",IF(T216&lt;12,"Daily","Weekly"))</f>
        <v>Daily</v>
      </c>
      <c r="AA216" s="65" t="n">
        <f aca="false">IF(T216="",0,IF(T216&lt;12,T216*Controls!$B$29,T216*5))</f>
        <v>71.006745</v>
      </c>
      <c r="AB216" s="65" t="n">
        <f aca="false">IF(E216="",0,NETWORKDAYS(E216,Controls!$B$36,Ref!$K$2:$K$42))</f>
        <v>252</v>
      </c>
      <c r="AC216" s="65" t="n">
        <f aca="false">IF(AND(AA216&gt;0,AB216&gt;=Controls!$B$39*AA216),1,0)</f>
        <v>1</v>
      </c>
      <c r="AD216" s="65" t="n">
        <f aca="false">IF(AND(E216&lt;&gt;"",E216&gt;=Controls!$B$37,E216&lt;=Controls!$B$38),1,0)</f>
        <v>1</v>
      </c>
      <c r="AE216" s="65" t="n">
        <f aca="false">IF(IFERROR(VLOOKUP(D216,Controls!$A$64:$E$74,2,FALSE()),"No")="Yes",1,0)</f>
        <v>0</v>
      </c>
      <c r="AF216" s="65" t="n">
        <f aca="false">IF(IFERROR(VLOOKUP(D216,Controls!$A$64:$E$74,3,FALSE()),"No")="Yes",1,0)</f>
        <v>1</v>
      </c>
      <c r="AG216" s="65" t="n">
        <f aca="false">IF(IFERROR(VLOOKUP(D216,Controls!$A$64:$E$74,4,FALSE()),"No")="Yes",1,0)</f>
        <v>1</v>
      </c>
      <c r="AH216" s="65" t="n">
        <f aca="false">IF(IFERROR(VLOOKUP(D216,Controls!$A$64:$E$74,5,FALSE()),"No")="Yes",1,0)</f>
        <v>0</v>
      </c>
      <c r="AI216" s="65" t="n">
        <f aca="false">IF(ISNUMBER(MATCH(D216,Controls!$A$64:$A$74,0)),1,0)</f>
        <v>1</v>
      </c>
      <c r="AJ216" s="65" t="n">
        <f aca="false">Q216-N216</f>
        <v>6125</v>
      </c>
      <c r="AK216" s="65" t="n">
        <f aca="false">IF(AE216=1,MAX(0,N216-Q216),0)</f>
        <v>0</v>
      </c>
      <c r="AL216" s="65" t="n">
        <f aca="false">IF(OR(V216="",V216=0),0,N216/V216)</f>
        <v>0.297520582473896</v>
      </c>
      <c r="AM216" s="65" t="n">
        <f aca="false">IF(OR(V216="",V216=0),0,1)</f>
        <v>1</v>
      </c>
      <c r="AN216" s="65" t="n">
        <f aca="false">IF(OR(E216="",F216=""),0,NETWORKDAYS(E216,F216,Ref!$K$2:$K$42))</f>
        <v>61</v>
      </c>
      <c r="AO216" s="65" t="n">
        <f aca="false">IF(L216="Renewal",1,0)</f>
        <v>0</v>
      </c>
      <c r="AP216" s="65" t="n">
        <f aca="false">AC216*AD216</f>
        <v>1</v>
      </c>
      <c r="AQ216" s="65" t="n">
        <f aca="false">IF(AND(G216&lt;&gt;"",'Historical Score'!$C$6&lt;&gt;""),IF(G216='Historical Score'!$C$6,1,0),0)</f>
        <v>0</v>
      </c>
      <c r="AR216" s="65" t="n">
        <f aca="false">IF(AND(L216&lt;&gt;"",'Historical Score'!$C$5&lt;&gt;""),IF(L216='Historical Score'!$C$5,1,0),0)</f>
        <v>1</v>
      </c>
      <c r="AS216" s="65" t="n">
        <f aca="false">IF(AND(Y216&lt;&gt;"",'Historical Score'!$C$7&lt;&gt;""),IF(Y216='Historical Score'!$C$7,1,0),0)</f>
        <v>0</v>
      </c>
      <c r="AT216" s="65" t="n">
        <f aca="false">IF(AND(K216&lt;&gt;"",'Historical Score'!$C$8&lt;&gt;""),IF(K216='Historical Score'!$C$8,1,0),0)</f>
        <v>1</v>
      </c>
      <c r="AU216" s="65" t="n">
        <f aca="false">IF(AND(J216&lt;&gt;"",'Historical Score'!$C$9&lt;&gt;""),IF(J216='Historical Score'!$C$9,1,0),0)</f>
        <v>0</v>
      </c>
      <c r="AV216" s="65" t="n">
        <f aca="false">AR216*AS216*AQ216</f>
        <v>0</v>
      </c>
      <c r="AW216" s="65" t="n">
        <f aca="false">AR216*AT216*AQ216</f>
        <v>0</v>
      </c>
      <c r="AX216" s="65" t="n">
        <f aca="false">AR216*AS216</f>
        <v>0</v>
      </c>
      <c r="AY216" s="65" t="n">
        <f aca="false">AR216*AT216</f>
        <v>1</v>
      </c>
      <c r="AZ216" s="65" t="n">
        <f aca="false">AR216*AQ216</f>
        <v>0</v>
      </c>
      <c r="BA216" s="65" t="n">
        <f aca="false">AR216</f>
        <v>1</v>
      </c>
      <c r="BB216" s="65" t="n">
        <f aca="false">1</f>
        <v>1</v>
      </c>
      <c r="BC216" s="65" t="n">
        <f aca="false">IF(AV216=1,1,IF(AW216=1,2,IF(AX216=1,3,IF(AY216=1,4,IF(AZ216=1,5,IF(BA216=1,6,7))))))</f>
        <v>4</v>
      </c>
      <c r="BD216" s="65" t="n">
        <f aca="false">IF(AD216=1,CHOOSE('Historical Score'!$C$29,AV216,AW216,AX216,AY216,AZ216,BA216,BB216),0)</f>
        <v>0</v>
      </c>
      <c r="BE216" s="65" t="str">
        <f aca="false">IF(BD216=1,COUNTIF($BD$2:BD216,1),"")</f>
        <v/>
      </c>
    </row>
    <row r="217" customFormat="false" ht="15" hidden="false" customHeight="false" outlineLevel="0" collapsed="false">
      <c r="A217" s="65" t="s">
        <v>1083</v>
      </c>
      <c r="B217" s="65" t="s">
        <v>1084</v>
      </c>
      <c r="C217" s="65" t="s">
        <v>1084</v>
      </c>
      <c r="D217" s="65" t="s">
        <v>371</v>
      </c>
      <c r="E217" s="112" t="n">
        <v>45895</v>
      </c>
      <c r="F217" s="112" t="n">
        <v>46009</v>
      </c>
      <c r="G217" s="65" t="n">
        <v>4</v>
      </c>
      <c r="H217" s="65" t="s">
        <v>442</v>
      </c>
      <c r="I217" s="65" t="s">
        <v>443</v>
      </c>
      <c r="J217" s="65" t="s">
        <v>410</v>
      </c>
      <c r="K217" s="65" t="s">
        <v>1085</v>
      </c>
      <c r="L217" s="65" t="s">
        <v>64</v>
      </c>
      <c r="M217" s="113" t="n">
        <v>1.35</v>
      </c>
      <c r="N217" s="114" t="n">
        <v>10000</v>
      </c>
      <c r="O217" s="114" t="n">
        <v>700</v>
      </c>
      <c r="P217" s="114" t="n">
        <v>13500</v>
      </c>
      <c r="Q217" s="114" t="n">
        <v>13500</v>
      </c>
      <c r="R217" s="114" t="n">
        <v>0</v>
      </c>
      <c r="S217" s="115" t="n">
        <v>1</v>
      </c>
      <c r="T217" s="65" t="n">
        <v>15</v>
      </c>
      <c r="U217" s="65" t="n">
        <v>0</v>
      </c>
      <c r="V217" s="65" t="n">
        <v>31931.67</v>
      </c>
      <c r="W217" s="115" t="n">
        <v>0.1127</v>
      </c>
      <c r="X217" s="112" t="n">
        <v>42557</v>
      </c>
      <c r="Y217" s="65" t="str">
        <f aca="false">IF(I217="","No SIC",IFERROR(VLOOKUP(I217,Ref!$A$2:$B$65,2,FALSE()),"Unclassified"))</f>
        <v>General Building Contractors</v>
      </c>
      <c r="Z217" s="65" t="str">
        <f aca="false">IF(T217="","",IF(T217&lt;12,"Daily","Weekly"))</f>
        <v>Weekly</v>
      </c>
      <c r="AA217" s="65" t="n">
        <f aca="false">IF(T217="",0,IF(T217&lt;12,T217*Controls!$B$29,T217*5))</f>
        <v>75</v>
      </c>
      <c r="AB217" s="65" t="n">
        <f aca="false">IF(E217="",0,NETWORKDAYS(E217,Controls!$B$36,Ref!$K$2:$K$42))</f>
        <v>251</v>
      </c>
      <c r="AC217" s="65" t="n">
        <f aca="false">IF(AND(AA217&gt;0,AB217&gt;=Controls!$B$39*AA217),1,0)</f>
        <v>1</v>
      </c>
      <c r="AD217" s="65" t="n">
        <f aca="false">IF(AND(E217&lt;&gt;"",E217&gt;=Controls!$B$37,E217&lt;=Controls!$B$38),1,0)</f>
        <v>1</v>
      </c>
      <c r="AE217" s="65" t="n">
        <f aca="false">IF(IFERROR(VLOOKUP(D217,Controls!$A$64:$E$74,2,FALSE()),"No")="Yes",1,0)</f>
        <v>0</v>
      </c>
      <c r="AF217" s="65" t="n">
        <f aca="false">IF(IFERROR(VLOOKUP(D217,Controls!$A$64:$E$74,3,FALSE()),"No")="Yes",1,0)</f>
        <v>1</v>
      </c>
      <c r="AG217" s="65" t="n">
        <f aca="false">IF(IFERROR(VLOOKUP(D217,Controls!$A$64:$E$74,4,FALSE()),"No")="Yes",1,0)</f>
        <v>1</v>
      </c>
      <c r="AH217" s="65" t="n">
        <f aca="false">IF(IFERROR(VLOOKUP(D217,Controls!$A$64:$E$74,5,FALSE()),"No")="Yes",1,0)</f>
        <v>0</v>
      </c>
      <c r="AI217" s="65" t="n">
        <f aca="false">IF(ISNUMBER(MATCH(D217,Controls!$A$64:$A$74,0)),1,0)</f>
        <v>1</v>
      </c>
      <c r="AJ217" s="65" t="n">
        <f aca="false">Q217-N217</f>
        <v>3500</v>
      </c>
      <c r="AK217" s="65" t="n">
        <f aca="false">IF(AE217=1,MAX(0,N217-Q217),0)</f>
        <v>0</v>
      </c>
      <c r="AL217" s="65" t="n">
        <f aca="false">IF(OR(V217="",V217=0),0,N217/V217)</f>
        <v>0.313168713067622</v>
      </c>
      <c r="AM217" s="65" t="n">
        <f aca="false">IF(OR(V217="",V217=0),0,1)</f>
        <v>1</v>
      </c>
      <c r="AN217" s="65" t="n">
        <f aca="false">IF(OR(E217="",F217=""),0,NETWORKDAYS(E217,F217,Ref!$K$2:$K$42))</f>
        <v>79</v>
      </c>
      <c r="AO217" s="65" t="n">
        <f aca="false">IF(L217="Renewal",1,0)</f>
        <v>0</v>
      </c>
      <c r="AP217" s="65" t="n">
        <f aca="false">AC217*AD217</f>
        <v>1</v>
      </c>
      <c r="AQ217" s="65" t="n">
        <f aca="false">IF(AND(G217&lt;&gt;"",'Historical Score'!$C$6&lt;&gt;""),IF(G217='Historical Score'!$C$6,1,0),0)</f>
        <v>0</v>
      </c>
      <c r="AR217" s="65" t="n">
        <f aca="false">IF(AND(L217&lt;&gt;"",'Historical Score'!$C$5&lt;&gt;""),IF(L217='Historical Score'!$C$5,1,0),0)</f>
        <v>1</v>
      </c>
      <c r="AS217" s="65" t="n">
        <f aca="false">IF(AND(Y217&lt;&gt;"",'Historical Score'!$C$7&lt;&gt;""),IF(Y217='Historical Score'!$C$7,1,0),0)</f>
        <v>1</v>
      </c>
      <c r="AT217" s="65" t="n">
        <f aca="false">IF(AND(K217&lt;&gt;"",'Historical Score'!$C$8&lt;&gt;""),IF(K217='Historical Score'!$C$8,1,0),0)</f>
        <v>0</v>
      </c>
      <c r="AU217" s="65" t="n">
        <f aca="false">IF(AND(J217&lt;&gt;"",'Historical Score'!$C$9&lt;&gt;""),IF(J217='Historical Score'!$C$9,1,0),0)</f>
        <v>0</v>
      </c>
      <c r="AV217" s="65" t="n">
        <f aca="false">AR217*AS217*AQ217</f>
        <v>0</v>
      </c>
      <c r="AW217" s="65" t="n">
        <f aca="false">AR217*AT217*AQ217</f>
        <v>0</v>
      </c>
      <c r="AX217" s="65" t="n">
        <f aca="false">AR217*AS217</f>
        <v>1</v>
      </c>
      <c r="AY217" s="65" t="n">
        <f aca="false">AR217*AT217</f>
        <v>0</v>
      </c>
      <c r="AZ217" s="65" t="n">
        <f aca="false">AR217*AQ217</f>
        <v>0</v>
      </c>
      <c r="BA217" s="65" t="n">
        <f aca="false">AR217</f>
        <v>1</v>
      </c>
      <c r="BB217" s="65" t="n">
        <f aca="false">1</f>
        <v>1</v>
      </c>
      <c r="BC217" s="65" t="n">
        <f aca="false">IF(AV217=1,1,IF(AW217=1,2,IF(AX217=1,3,IF(AY217=1,4,IF(AZ217=1,5,IF(BA217=1,6,7))))))</f>
        <v>3</v>
      </c>
      <c r="BD217" s="65" t="n">
        <f aca="false">IF(AD217=1,CHOOSE('Historical Score'!$C$29,AV217,AW217,AX217,AY217,AZ217,BA217,BB217),0)</f>
        <v>0</v>
      </c>
      <c r="BE217" s="65" t="str">
        <f aca="false">IF(BD217=1,COUNTIF($BD$2:BD217,1),"")</f>
        <v/>
      </c>
    </row>
    <row r="218" customFormat="false" ht="15" hidden="false" customHeight="false" outlineLevel="0" collapsed="false">
      <c r="A218" s="65" t="s">
        <v>1086</v>
      </c>
      <c r="B218" s="65" t="s">
        <v>1087</v>
      </c>
      <c r="C218" s="65" t="s">
        <v>1088</v>
      </c>
      <c r="D218" s="65" t="s">
        <v>340</v>
      </c>
      <c r="E218" s="112" t="n">
        <v>45895</v>
      </c>
      <c r="F218" s="112" t="n">
        <v>45950</v>
      </c>
      <c r="G218" s="65" t="n">
        <v>2</v>
      </c>
      <c r="H218" s="65" t="s">
        <v>442</v>
      </c>
      <c r="I218" s="65" t="s">
        <v>443</v>
      </c>
      <c r="J218" s="65" t="s">
        <v>555</v>
      </c>
      <c r="K218" s="65" t="s">
        <v>538</v>
      </c>
      <c r="L218" s="65" t="s">
        <v>64</v>
      </c>
      <c r="M218" s="113" t="n">
        <v>1.49</v>
      </c>
      <c r="N218" s="114" t="n">
        <v>75000</v>
      </c>
      <c r="O218" s="114" t="n">
        <v>10500</v>
      </c>
      <c r="P218" s="114" t="n">
        <v>111750</v>
      </c>
      <c r="Q218" s="114" t="n">
        <v>27953.45</v>
      </c>
      <c r="R218" s="114" t="n">
        <v>83796.55</v>
      </c>
      <c r="S218" s="115" t="n">
        <v>0.250142729306488</v>
      </c>
      <c r="T218" s="65" t="n">
        <v>28</v>
      </c>
      <c r="U218" s="65" t="n">
        <v>1</v>
      </c>
      <c r="V218" s="65" t="n">
        <v>192218.95</v>
      </c>
      <c r="W218" s="115" t="n">
        <v>0.0831</v>
      </c>
      <c r="X218" s="112" t="n">
        <v>36161</v>
      </c>
      <c r="Y218" s="65" t="str">
        <f aca="false">IF(I218="","No SIC",IFERROR(VLOOKUP(I218,Ref!$A$2:$B$65,2,FALSE()),"Unclassified"))</f>
        <v>General Building Contractors</v>
      </c>
      <c r="Z218" s="65" t="str">
        <f aca="false">IF(T218="","",IF(T218&lt;12,"Daily","Weekly"))</f>
        <v>Weekly</v>
      </c>
      <c r="AA218" s="65" t="n">
        <f aca="false">IF(T218="",0,IF(T218&lt;12,T218*Controls!$B$29,T218*5))</f>
        <v>140</v>
      </c>
      <c r="AB218" s="65" t="n">
        <f aca="false">IF(E218="",0,NETWORKDAYS(E218,Controls!$B$36,Ref!$K$2:$K$42))</f>
        <v>251</v>
      </c>
      <c r="AC218" s="65" t="n">
        <f aca="false">IF(AND(AA218&gt;0,AB218&gt;=Controls!$B$39*AA218),1,0)</f>
        <v>1</v>
      </c>
      <c r="AD218" s="65" t="n">
        <f aca="false">IF(AND(E218&lt;&gt;"",E218&gt;=Controls!$B$37,E218&lt;=Controls!$B$38),1,0)</f>
        <v>1</v>
      </c>
      <c r="AE218" s="65" t="n">
        <f aca="false">IF(IFERROR(VLOOKUP(D218,Controls!$A$64:$E$74,2,FALSE()),"No")="Yes",1,0)</f>
        <v>1</v>
      </c>
      <c r="AF218" s="65" t="n">
        <f aca="false">IF(IFERROR(VLOOKUP(D218,Controls!$A$64:$E$74,3,FALSE()),"No")="Yes",1,0)</f>
        <v>0</v>
      </c>
      <c r="AG218" s="65" t="n">
        <f aca="false">IF(IFERROR(VLOOKUP(D218,Controls!$A$64:$E$74,4,FALSE()),"No")="Yes",1,0)</f>
        <v>0</v>
      </c>
      <c r="AH218" s="65" t="n">
        <f aca="false">IF(IFERROR(VLOOKUP(D218,Controls!$A$64:$E$74,5,FALSE()),"No")="Yes",1,0)</f>
        <v>0</v>
      </c>
      <c r="AI218" s="65" t="n">
        <f aca="false">IF(ISNUMBER(MATCH(D218,Controls!$A$64:$A$74,0)),1,0)</f>
        <v>1</v>
      </c>
      <c r="AJ218" s="65" t="n">
        <f aca="false">Q218-N218</f>
        <v>-47046.55</v>
      </c>
      <c r="AK218" s="65" t="n">
        <f aca="false">IF(AE218=1,MAX(0,N218-Q218),0)</f>
        <v>47046.55</v>
      </c>
      <c r="AL218" s="65" t="n">
        <f aca="false">IF(OR(V218="",V218=0),0,N218/V218)</f>
        <v>0.390180052487021</v>
      </c>
      <c r="AM218" s="65" t="n">
        <f aca="false">IF(OR(V218="",V218=0),0,1)</f>
        <v>1</v>
      </c>
      <c r="AN218" s="65" t="n">
        <f aca="false">IF(OR(E218="",F218=""),0,NETWORKDAYS(E218,F218,Ref!$K$2:$K$42))</f>
        <v>38</v>
      </c>
      <c r="AO218" s="65" t="n">
        <f aca="false">IF(L218="Renewal",1,0)</f>
        <v>0</v>
      </c>
      <c r="AP218" s="65" t="n">
        <f aca="false">AC218*AD218</f>
        <v>1</v>
      </c>
      <c r="AQ218" s="65" t="n">
        <f aca="false">IF(AND(G218&lt;&gt;"",'Historical Score'!$C$6&lt;&gt;""),IF(G218='Historical Score'!$C$6,1,0),0)</f>
        <v>1</v>
      </c>
      <c r="AR218" s="65" t="n">
        <f aca="false">IF(AND(L218&lt;&gt;"",'Historical Score'!$C$5&lt;&gt;""),IF(L218='Historical Score'!$C$5,1,0),0)</f>
        <v>1</v>
      </c>
      <c r="AS218" s="65" t="n">
        <f aca="false">IF(AND(Y218&lt;&gt;"",'Historical Score'!$C$7&lt;&gt;""),IF(Y218='Historical Score'!$C$7,1,0),0)</f>
        <v>1</v>
      </c>
      <c r="AT218" s="65" t="n">
        <f aca="false">IF(AND(K218&lt;&gt;"",'Historical Score'!$C$8&lt;&gt;""),IF(K218='Historical Score'!$C$8,1,0),0)</f>
        <v>0</v>
      </c>
      <c r="AU218" s="65" t="n">
        <f aca="false">IF(AND(J218&lt;&gt;"",'Historical Score'!$C$9&lt;&gt;""),IF(J218='Historical Score'!$C$9,1,0),0)</f>
        <v>0</v>
      </c>
      <c r="AV218" s="65" t="n">
        <f aca="false">AR218*AS218*AQ218</f>
        <v>1</v>
      </c>
      <c r="AW218" s="65" t="n">
        <f aca="false">AR218*AT218*AQ218</f>
        <v>0</v>
      </c>
      <c r="AX218" s="65" t="n">
        <f aca="false">AR218*AS218</f>
        <v>1</v>
      </c>
      <c r="AY218" s="65" t="n">
        <f aca="false">AR218*AT218</f>
        <v>0</v>
      </c>
      <c r="AZ218" s="65" t="n">
        <f aca="false">AR218*AQ218</f>
        <v>1</v>
      </c>
      <c r="BA218" s="65" t="n">
        <f aca="false">AR218</f>
        <v>1</v>
      </c>
      <c r="BB218" s="65" t="n">
        <f aca="false">1</f>
        <v>1</v>
      </c>
      <c r="BC218" s="65" t="n">
        <f aca="false">IF(AV218=1,1,IF(AW218=1,2,IF(AX218=1,3,IF(AY218=1,4,IF(AZ218=1,5,IF(BA218=1,6,7))))))</f>
        <v>1</v>
      </c>
      <c r="BD218" s="65" t="n">
        <f aca="false">IF(AD218=1,CHOOSE('Historical Score'!$C$29,AV218,AW218,AX218,AY218,AZ218,BA218,BB218),0)</f>
        <v>1</v>
      </c>
      <c r="BE218" s="65" t="n">
        <f aca="false">IF(BD218=1,COUNTIF($BD$2:BD218,1),"")</f>
        <v>7</v>
      </c>
    </row>
    <row r="219" customFormat="false" ht="15" hidden="false" customHeight="false" outlineLevel="0" collapsed="false">
      <c r="A219" s="65" t="s">
        <v>1089</v>
      </c>
      <c r="B219" s="65" t="s">
        <v>1090</v>
      </c>
      <c r="C219" s="65" t="s">
        <v>1091</v>
      </c>
      <c r="D219" s="65" t="s">
        <v>295</v>
      </c>
      <c r="E219" s="112" t="n">
        <v>45895</v>
      </c>
      <c r="F219" s="112" t="n">
        <v>46252</v>
      </c>
      <c r="G219" s="65" t="n">
        <v>3</v>
      </c>
      <c r="H219" s="65" t="s">
        <v>1092</v>
      </c>
      <c r="I219" s="65" t="s">
        <v>1093</v>
      </c>
      <c r="J219" s="65" t="s">
        <v>350</v>
      </c>
      <c r="K219" s="65" t="s">
        <v>1047</v>
      </c>
      <c r="L219" s="65" t="s">
        <v>64</v>
      </c>
      <c r="M219" s="113" t="n">
        <v>1.43</v>
      </c>
      <c r="N219" s="114" t="n">
        <v>30000</v>
      </c>
      <c r="O219" s="114" t="n">
        <v>3300</v>
      </c>
      <c r="P219" s="114" t="n">
        <v>42900</v>
      </c>
      <c r="Q219" s="114" t="n">
        <v>34021.27</v>
      </c>
      <c r="R219" s="114" t="n">
        <v>8878.73</v>
      </c>
      <c r="S219" s="115" t="n">
        <v>0.793036596736597</v>
      </c>
      <c r="T219" s="65" t="n">
        <v>34</v>
      </c>
      <c r="U219" s="65" t="n">
        <v>16</v>
      </c>
      <c r="V219" s="65" t="n">
        <v>91768.06</v>
      </c>
      <c r="W219" s="115" t="n">
        <v>0.055</v>
      </c>
      <c r="X219" s="112" t="n">
        <v>43025</v>
      </c>
      <c r="Y219" s="65" t="str">
        <f aca="false">IF(I219="","No SIC",IFERROR(VLOOKUP(I219,Ref!$A$2:$B$65,2,FALSE()),"Unclassified"))</f>
        <v>Electric, Gas &amp; Sanitary Services</v>
      </c>
      <c r="Z219" s="65" t="str">
        <f aca="false">IF(T219="","",IF(T219&lt;12,"Daily","Weekly"))</f>
        <v>Weekly</v>
      </c>
      <c r="AA219" s="65" t="n">
        <f aca="false">IF(T219="",0,IF(T219&lt;12,T219*Controls!$B$29,T219*5))</f>
        <v>170</v>
      </c>
      <c r="AB219" s="65" t="n">
        <f aca="false">IF(E219="",0,NETWORKDAYS(E219,Controls!$B$36,Ref!$K$2:$K$42))</f>
        <v>251</v>
      </c>
      <c r="AC219" s="65" t="n">
        <f aca="false">IF(AND(AA219&gt;0,AB219&gt;=Controls!$B$39*AA219),1,0)</f>
        <v>1</v>
      </c>
      <c r="AD219" s="65" t="n">
        <f aca="false">IF(AND(E219&lt;&gt;"",E219&gt;=Controls!$B$37,E219&lt;=Controls!$B$38),1,0)</f>
        <v>1</v>
      </c>
      <c r="AE219" s="65" t="n">
        <f aca="false">IF(IFERROR(VLOOKUP(D219,Controls!$A$64:$E$74,2,FALSE()),"No")="Yes",1,0)</f>
        <v>0</v>
      </c>
      <c r="AF219" s="65" t="n">
        <f aca="false">IF(IFERROR(VLOOKUP(D219,Controls!$A$64:$E$74,3,FALSE()),"No")="Yes",1,0)</f>
        <v>0</v>
      </c>
      <c r="AG219" s="65" t="n">
        <f aca="false">IF(IFERROR(VLOOKUP(D219,Controls!$A$64:$E$74,4,FALSE()),"No")="Yes",1,0)</f>
        <v>0</v>
      </c>
      <c r="AH219" s="65" t="n">
        <f aca="false">IF(IFERROR(VLOOKUP(D219,Controls!$A$64:$E$74,5,FALSE()),"No")="Yes",1,0)</f>
        <v>1</v>
      </c>
      <c r="AI219" s="65" t="n">
        <f aca="false">IF(ISNUMBER(MATCH(D219,Controls!$A$64:$A$74,0)),1,0)</f>
        <v>1</v>
      </c>
      <c r="AJ219" s="65" t="n">
        <f aca="false">Q219-N219</f>
        <v>4021.27</v>
      </c>
      <c r="AK219" s="65" t="n">
        <f aca="false">IF(AE219=1,MAX(0,N219-Q219),0)</f>
        <v>0</v>
      </c>
      <c r="AL219" s="65" t="n">
        <f aca="false">IF(OR(V219="",V219=0),0,N219/V219)</f>
        <v>0.326911127902235</v>
      </c>
      <c r="AM219" s="65" t="n">
        <f aca="false">IF(OR(V219="",V219=0),0,1)</f>
        <v>1</v>
      </c>
      <c r="AN219" s="65" t="n">
        <f aca="false">IF(OR(E219="",F219=""),0,NETWORKDAYS(E219,F219,Ref!$K$2:$K$42))</f>
        <v>246</v>
      </c>
      <c r="AO219" s="65" t="n">
        <f aca="false">IF(L219="Renewal",1,0)</f>
        <v>0</v>
      </c>
      <c r="AP219" s="65" t="n">
        <f aca="false">AC219*AD219</f>
        <v>1</v>
      </c>
      <c r="AQ219" s="65" t="n">
        <f aca="false">IF(AND(G219&lt;&gt;"",'Historical Score'!$C$6&lt;&gt;""),IF(G219='Historical Score'!$C$6,1,0),0)</f>
        <v>0</v>
      </c>
      <c r="AR219" s="65" t="n">
        <f aca="false">IF(AND(L219&lt;&gt;"",'Historical Score'!$C$5&lt;&gt;""),IF(L219='Historical Score'!$C$5,1,0),0)</f>
        <v>1</v>
      </c>
      <c r="AS219" s="65" t="n">
        <f aca="false">IF(AND(Y219&lt;&gt;"",'Historical Score'!$C$7&lt;&gt;""),IF(Y219='Historical Score'!$C$7,1,0),0)</f>
        <v>0</v>
      </c>
      <c r="AT219" s="65" t="n">
        <f aca="false">IF(AND(K219&lt;&gt;"",'Historical Score'!$C$8&lt;&gt;""),IF(K219='Historical Score'!$C$8,1,0),0)</f>
        <v>0</v>
      </c>
      <c r="AU219" s="65" t="n">
        <f aca="false">IF(AND(J219&lt;&gt;"",'Historical Score'!$C$9&lt;&gt;""),IF(J219='Historical Score'!$C$9,1,0),0)</f>
        <v>0</v>
      </c>
      <c r="AV219" s="65" t="n">
        <f aca="false">AR219*AS219*AQ219</f>
        <v>0</v>
      </c>
      <c r="AW219" s="65" t="n">
        <f aca="false">AR219*AT219*AQ219</f>
        <v>0</v>
      </c>
      <c r="AX219" s="65" t="n">
        <f aca="false">AR219*AS219</f>
        <v>0</v>
      </c>
      <c r="AY219" s="65" t="n">
        <f aca="false">AR219*AT219</f>
        <v>0</v>
      </c>
      <c r="AZ219" s="65" t="n">
        <f aca="false">AR219*AQ219</f>
        <v>0</v>
      </c>
      <c r="BA219" s="65" t="n">
        <f aca="false">AR219</f>
        <v>1</v>
      </c>
      <c r="BB219" s="65" t="n">
        <f aca="false">1</f>
        <v>1</v>
      </c>
      <c r="BC219" s="65" t="n">
        <f aca="false">IF(AV219=1,1,IF(AW219=1,2,IF(AX219=1,3,IF(AY219=1,4,IF(AZ219=1,5,IF(BA219=1,6,7))))))</f>
        <v>6</v>
      </c>
      <c r="BD219" s="65" t="n">
        <f aca="false">IF(AD219=1,CHOOSE('Historical Score'!$C$29,AV219,AW219,AX219,AY219,AZ219,BA219,BB219),0)</f>
        <v>0</v>
      </c>
      <c r="BE219" s="65" t="str">
        <f aca="false">IF(BD219=1,COUNTIF($BD$2:BD219,1),"")</f>
        <v/>
      </c>
    </row>
    <row r="220" customFormat="false" ht="15" hidden="false" customHeight="false" outlineLevel="0" collapsed="false">
      <c r="A220" s="65" t="s">
        <v>1094</v>
      </c>
      <c r="B220" s="65" t="s">
        <v>1095</v>
      </c>
      <c r="C220" s="65" t="s">
        <v>1096</v>
      </c>
      <c r="D220" s="65" t="s">
        <v>371</v>
      </c>
      <c r="E220" s="112" t="n">
        <v>45895</v>
      </c>
      <c r="F220" s="112" t="n">
        <v>46070</v>
      </c>
      <c r="G220" s="65" t="n">
        <v>4</v>
      </c>
      <c r="H220" s="65" t="s">
        <v>1097</v>
      </c>
      <c r="I220" s="65" t="s">
        <v>367</v>
      </c>
      <c r="J220" s="65" t="s">
        <v>61</v>
      </c>
      <c r="K220" s="65" t="s">
        <v>1047</v>
      </c>
      <c r="L220" s="65" t="s">
        <v>64</v>
      </c>
      <c r="M220" s="113" t="n">
        <v>1.48</v>
      </c>
      <c r="N220" s="114" t="n">
        <v>16000</v>
      </c>
      <c r="O220" s="114" t="n">
        <v>2160</v>
      </c>
      <c r="P220" s="114" t="n">
        <v>23680</v>
      </c>
      <c r="Q220" s="114" t="n">
        <v>23680</v>
      </c>
      <c r="R220" s="114" t="n">
        <v>0</v>
      </c>
      <c r="S220" s="115" t="n">
        <v>1</v>
      </c>
      <c r="T220" s="65" t="n">
        <v>24</v>
      </c>
      <c r="U220" s="65" t="n">
        <v>0</v>
      </c>
      <c r="V220" s="65" t="n">
        <v>15131.52</v>
      </c>
      <c r="W220" s="115" t="n">
        <v>0.2608</v>
      </c>
      <c r="X220" s="112" t="n">
        <v>44153</v>
      </c>
      <c r="Y220" s="65" t="str">
        <f aca="false">IF(I220="","No SIC",IFERROR(VLOOKUP(I220,Ref!$A$2:$B$65,2,FALSE()),"Unclassified"))</f>
        <v>Engineering, Accounting &amp; Management</v>
      </c>
      <c r="Z220" s="65" t="str">
        <f aca="false">IF(T220="","",IF(T220&lt;12,"Daily","Weekly"))</f>
        <v>Weekly</v>
      </c>
      <c r="AA220" s="65" t="n">
        <f aca="false">IF(T220="",0,IF(T220&lt;12,T220*Controls!$B$29,T220*5))</f>
        <v>120</v>
      </c>
      <c r="AB220" s="65" t="n">
        <f aca="false">IF(E220="",0,NETWORKDAYS(E220,Controls!$B$36,Ref!$K$2:$K$42))</f>
        <v>251</v>
      </c>
      <c r="AC220" s="65" t="n">
        <f aca="false">IF(AND(AA220&gt;0,AB220&gt;=Controls!$B$39*AA220),1,0)</f>
        <v>1</v>
      </c>
      <c r="AD220" s="65" t="n">
        <f aca="false">IF(AND(E220&lt;&gt;"",E220&gt;=Controls!$B$37,E220&lt;=Controls!$B$38),1,0)</f>
        <v>1</v>
      </c>
      <c r="AE220" s="65" t="n">
        <f aca="false">IF(IFERROR(VLOOKUP(D220,Controls!$A$64:$E$74,2,FALSE()),"No")="Yes",1,0)</f>
        <v>0</v>
      </c>
      <c r="AF220" s="65" t="n">
        <f aca="false">IF(IFERROR(VLOOKUP(D220,Controls!$A$64:$E$74,3,FALSE()),"No")="Yes",1,0)</f>
        <v>1</v>
      </c>
      <c r="AG220" s="65" t="n">
        <f aca="false">IF(IFERROR(VLOOKUP(D220,Controls!$A$64:$E$74,4,FALSE()),"No")="Yes",1,0)</f>
        <v>1</v>
      </c>
      <c r="AH220" s="65" t="n">
        <f aca="false">IF(IFERROR(VLOOKUP(D220,Controls!$A$64:$E$74,5,FALSE()),"No")="Yes",1,0)</f>
        <v>0</v>
      </c>
      <c r="AI220" s="65" t="n">
        <f aca="false">IF(ISNUMBER(MATCH(D220,Controls!$A$64:$A$74,0)),1,0)</f>
        <v>1</v>
      </c>
      <c r="AJ220" s="65" t="n">
        <f aca="false">Q220-N220</f>
        <v>7680</v>
      </c>
      <c r="AK220" s="65" t="n">
        <f aca="false">IF(AE220=1,MAX(0,N220-Q220),0)</f>
        <v>0</v>
      </c>
      <c r="AL220" s="65" t="n">
        <f aca="false">IF(OR(V220="",V220=0),0,N220/V220)</f>
        <v>1.05739542359261</v>
      </c>
      <c r="AM220" s="65" t="n">
        <f aca="false">IF(OR(V220="",V220=0),0,1)</f>
        <v>1</v>
      </c>
      <c r="AN220" s="65" t="n">
        <f aca="false">IF(OR(E220="",F220=""),0,NETWORKDAYS(E220,F220,Ref!$K$2:$K$42))</f>
        <v>118</v>
      </c>
      <c r="AO220" s="65" t="n">
        <f aca="false">IF(L220="Renewal",1,0)</f>
        <v>0</v>
      </c>
      <c r="AP220" s="65" t="n">
        <f aca="false">AC220*AD220</f>
        <v>1</v>
      </c>
      <c r="AQ220" s="65" t="n">
        <f aca="false">IF(AND(G220&lt;&gt;"",'Historical Score'!$C$6&lt;&gt;""),IF(G220='Historical Score'!$C$6,1,0),0)</f>
        <v>0</v>
      </c>
      <c r="AR220" s="65" t="n">
        <f aca="false">IF(AND(L220&lt;&gt;"",'Historical Score'!$C$5&lt;&gt;""),IF(L220='Historical Score'!$C$5,1,0),0)</f>
        <v>1</v>
      </c>
      <c r="AS220" s="65" t="n">
        <f aca="false">IF(AND(Y220&lt;&gt;"",'Historical Score'!$C$7&lt;&gt;""),IF(Y220='Historical Score'!$C$7,1,0),0)</f>
        <v>0</v>
      </c>
      <c r="AT220" s="65" t="n">
        <f aca="false">IF(AND(K220&lt;&gt;"",'Historical Score'!$C$8&lt;&gt;""),IF(K220='Historical Score'!$C$8,1,0),0)</f>
        <v>0</v>
      </c>
      <c r="AU220" s="65" t="n">
        <f aca="false">IF(AND(J220&lt;&gt;"",'Historical Score'!$C$9&lt;&gt;""),IF(J220='Historical Score'!$C$9,1,0),0)</f>
        <v>1</v>
      </c>
      <c r="AV220" s="65" t="n">
        <f aca="false">AR220*AS220*AQ220</f>
        <v>0</v>
      </c>
      <c r="AW220" s="65" t="n">
        <f aca="false">AR220*AT220*AQ220</f>
        <v>0</v>
      </c>
      <c r="AX220" s="65" t="n">
        <f aca="false">AR220*AS220</f>
        <v>0</v>
      </c>
      <c r="AY220" s="65" t="n">
        <f aca="false">AR220*AT220</f>
        <v>0</v>
      </c>
      <c r="AZ220" s="65" t="n">
        <f aca="false">AR220*AQ220</f>
        <v>0</v>
      </c>
      <c r="BA220" s="65" t="n">
        <f aca="false">AR220</f>
        <v>1</v>
      </c>
      <c r="BB220" s="65" t="n">
        <f aca="false">1</f>
        <v>1</v>
      </c>
      <c r="BC220" s="65" t="n">
        <f aca="false">IF(AV220=1,1,IF(AW220=1,2,IF(AX220=1,3,IF(AY220=1,4,IF(AZ220=1,5,IF(BA220=1,6,7))))))</f>
        <v>6</v>
      </c>
      <c r="BD220" s="65" t="n">
        <f aca="false">IF(AD220=1,CHOOSE('Historical Score'!$C$29,AV220,AW220,AX220,AY220,AZ220,BA220,BB220),0)</f>
        <v>0</v>
      </c>
      <c r="BE220" s="65" t="str">
        <f aca="false">IF(BD220=1,COUNTIF($BD$2:BD220,1),"")</f>
        <v/>
      </c>
    </row>
    <row r="221" customFormat="false" ht="15" hidden="false" customHeight="false" outlineLevel="0" collapsed="false">
      <c r="A221" s="65" t="s">
        <v>1098</v>
      </c>
      <c r="B221" s="65" t="s">
        <v>1099</v>
      </c>
      <c r="C221" s="65" t="s">
        <v>1099</v>
      </c>
      <c r="D221" s="65" t="s">
        <v>371</v>
      </c>
      <c r="E221" s="112" t="n">
        <v>45896</v>
      </c>
      <c r="F221" s="112" t="n">
        <v>46029</v>
      </c>
      <c r="G221" s="65" t="n">
        <v>2</v>
      </c>
      <c r="H221" s="65" t="s">
        <v>1100</v>
      </c>
      <c r="I221" s="65" t="s">
        <v>816</v>
      </c>
      <c r="J221" s="65" t="s">
        <v>350</v>
      </c>
      <c r="K221" s="65" t="s">
        <v>476</v>
      </c>
      <c r="L221" s="65" t="s">
        <v>64</v>
      </c>
      <c r="M221" s="113" t="n">
        <v>1.45</v>
      </c>
      <c r="N221" s="114" t="n">
        <v>20000</v>
      </c>
      <c r="O221" s="114" t="n">
        <v>2400</v>
      </c>
      <c r="P221" s="114" t="n">
        <v>29000</v>
      </c>
      <c r="Q221" s="114" t="n">
        <v>29000</v>
      </c>
      <c r="R221" s="114" t="n">
        <v>0</v>
      </c>
      <c r="S221" s="115" t="n">
        <v>1</v>
      </c>
      <c r="T221" s="65" t="n">
        <v>28</v>
      </c>
      <c r="U221" s="65" t="n">
        <v>1</v>
      </c>
      <c r="V221" s="65" t="n">
        <v>108901.57</v>
      </c>
      <c r="W221" s="115" t="n">
        <v>0.038</v>
      </c>
      <c r="X221" s="112" t="n">
        <v>45497</v>
      </c>
      <c r="Y221" s="65" t="str">
        <f aca="false">IF(I221="","No SIC",IFERROR(VLOOKUP(I221,Ref!$A$2:$B$65,2,FALSE()),"Unclassified"))</f>
        <v>Local &amp; Interurban Passenger Transit</v>
      </c>
      <c r="Z221" s="65" t="str">
        <f aca="false">IF(T221="","",IF(T221&lt;12,"Daily","Weekly"))</f>
        <v>Weekly</v>
      </c>
      <c r="AA221" s="65" t="n">
        <f aca="false">IF(T221="",0,IF(T221&lt;12,T221*Controls!$B$29,T221*5))</f>
        <v>140</v>
      </c>
      <c r="AB221" s="65" t="n">
        <f aca="false">IF(E221="",0,NETWORKDAYS(E221,Controls!$B$36,Ref!$K$2:$K$42))</f>
        <v>250</v>
      </c>
      <c r="AC221" s="65" t="n">
        <f aca="false">IF(AND(AA221&gt;0,AB221&gt;=Controls!$B$39*AA221),1,0)</f>
        <v>1</v>
      </c>
      <c r="AD221" s="65" t="n">
        <f aca="false">IF(AND(E221&lt;&gt;"",E221&gt;=Controls!$B$37,E221&lt;=Controls!$B$38),1,0)</f>
        <v>1</v>
      </c>
      <c r="AE221" s="65" t="n">
        <f aca="false">IF(IFERROR(VLOOKUP(D221,Controls!$A$64:$E$74,2,FALSE()),"No")="Yes",1,0)</f>
        <v>0</v>
      </c>
      <c r="AF221" s="65" t="n">
        <f aca="false">IF(IFERROR(VLOOKUP(D221,Controls!$A$64:$E$74,3,FALSE()),"No")="Yes",1,0)</f>
        <v>1</v>
      </c>
      <c r="AG221" s="65" t="n">
        <f aca="false">IF(IFERROR(VLOOKUP(D221,Controls!$A$64:$E$74,4,FALSE()),"No")="Yes",1,0)</f>
        <v>1</v>
      </c>
      <c r="AH221" s="65" t="n">
        <f aca="false">IF(IFERROR(VLOOKUP(D221,Controls!$A$64:$E$74,5,FALSE()),"No")="Yes",1,0)</f>
        <v>0</v>
      </c>
      <c r="AI221" s="65" t="n">
        <f aca="false">IF(ISNUMBER(MATCH(D221,Controls!$A$64:$A$74,0)),1,0)</f>
        <v>1</v>
      </c>
      <c r="AJ221" s="65" t="n">
        <f aca="false">Q221-N221</f>
        <v>9000</v>
      </c>
      <c r="AK221" s="65" t="n">
        <f aca="false">IF(AE221=1,MAX(0,N221-Q221),0)</f>
        <v>0</v>
      </c>
      <c r="AL221" s="65" t="n">
        <f aca="false">IF(OR(V221="",V221=0),0,N221/V221)</f>
        <v>0.183652081416273</v>
      </c>
      <c r="AM221" s="65" t="n">
        <f aca="false">IF(OR(V221="",V221=0),0,1)</f>
        <v>1</v>
      </c>
      <c r="AN221" s="65" t="n">
        <f aca="false">IF(OR(E221="",F221=""),0,NETWORKDAYS(E221,F221,Ref!$K$2:$K$42))</f>
        <v>90</v>
      </c>
      <c r="AO221" s="65" t="n">
        <f aca="false">IF(L221="Renewal",1,0)</f>
        <v>0</v>
      </c>
      <c r="AP221" s="65" t="n">
        <f aca="false">AC221*AD221</f>
        <v>1</v>
      </c>
      <c r="AQ221" s="65" t="n">
        <f aca="false">IF(AND(G221&lt;&gt;"",'Historical Score'!$C$6&lt;&gt;""),IF(G221='Historical Score'!$C$6,1,0),0)</f>
        <v>1</v>
      </c>
      <c r="AR221" s="65" t="n">
        <f aca="false">IF(AND(L221&lt;&gt;"",'Historical Score'!$C$5&lt;&gt;""),IF(L221='Historical Score'!$C$5,1,0),0)</f>
        <v>1</v>
      </c>
      <c r="AS221" s="65" t="n">
        <f aca="false">IF(AND(Y221&lt;&gt;"",'Historical Score'!$C$7&lt;&gt;""),IF(Y221='Historical Score'!$C$7,1,0),0)</f>
        <v>0</v>
      </c>
      <c r="AT221" s="65" t="n">
        <f aca="false">IF(AND(K221&lt;&gt;"",'Historical Score'!$C$8&lt;&gt;""),IF(K221='Historical Score'!$C$8,1,0),0)</f>
        <v>0</v>
      </c>
      <c r="AU221" s="65" t="n">
        <f aca="false">IF(AND(J221&lt;&gt;"",'Historical Score'!$C$9&lt;&gt;""),IF(J221='Historical Score'!$C$9,1,0),0)</f>
        <v>0</v>
      </c>
      <c r="AV221" s="65" t="n">
        <f aca="false">AR221*AS221*AQ221</f>
        <v>0</v>
      </c>
      <c r="AW221" s="65" t="n">
        <f aca="false">AR221*AT221*AQ221</f>
        <v>0</v>
      </c>
      <c r="AX221" s="65" t="n">
        <f aca="false">AR221*AS221</f>
        <v>0</v>
      </c>
      <c r="AY221" s="65" t="n">
        <f aca="false">AR221*AT221</f>
        <v>0</v>
      </c>
      <c r="AZ221" s="65" t="n">
        <f aca="false">AR221*AQ221</f>
        <v>1</v>
      </c>
      <c r="BA221" s="65" t="n">
        <f aca="false">AR221</f>
        <v>1</v>
      </c>
      <c r="BB221" s="65" t="n">
        <f aca="false">1</f>
        <v>1</v>
      </c>
      <c r="BC221" s="65" t="n">
        <f aca="false">IF(AV221=1,1,IF(AW221=1,2,IF(AX221=1,3,IF(AY221=1,4,IF(AZ221=1,5,IF(BA221=1,6,7))))))</f>
        <v>5</v>
      </c>
      <c r="BD221" s="65" t="n">
        <f aca="false">IF(AD221=1,CHOOSE('Historical Score'!$C$29,AV221,AW221,AX221,AY221,AZ221,BA221,BB221),0)</f>
        <v>0</v>
      </c>
      <c r="BE221" s="65" t="str">
        <f aca="false">IF(BD221=1,COUNTIF($BD$2:BD221,1),"")</f>
        <v/>
      </c>
    </row>
    <row r="222" customFormat="false" ht="15" hidden="false" customHeight="false" outlineLevel="0" collapsed="false">
      <c r="A222" s="65" t="s">
        <v>1101</v>
      </c>
      <c r="B222" s="65" t="s">
        <v>1102</v>
      </c>
      <c r="C222" s="65" t="s">
        <v>1102</v>
      </c>
      <c r="D222" s="65" t="s">
        <v>340</v>
      </c>
      <c r="E222" s="112" t="n">
        <v>45896</v>
      </c>
      <c r="F222" s="112" t="n">
        <v>45912</v>
      </c>
      <c r="G222" s="65" t="n">
        <v>4</v>
      </c>
      <c r="H222" s="65" t="s">
        <v>409</v>
      </c>
      <c r="I222" s="65" t="s">
        <v>342</v>
      </c>
      <c r="J222" s="65" t="s">
        <v>452</v>
      </c>
      <c r="K222" s="65" t="s">
        <v>581</v>
      </c>
      <c r="L222" s="65" t="s">
        <v>64</v>
      </c>
      <c r="M222" s="113" t="n">
        <v>1.49</v>
      </c>
      <c r="N222" s="114" t="n">
        <v>10000</v>
      </c>
      <c r="O222" s="114" t="n">
        <v>1400</v>
      </c>
      <c r="P222" s="114" t="n">
        <v>14900</v>
      </c>
      <c r="Q222" s="114" t="n">
        <v>1489.6</v>
      </c>
      <c r="R222" s="114" t="n">
        <v>13410.4</v>
      </c>
      <c r="S222" s="115" t="n">
        <v>0.0999731543624161</v>
      </c>
      <c r="T222" s="65" t="n">
        <v>2.623</v>
      </c>
      <c r="U222" s="65" t="n">
        <v>4</v>
      </c>
      <c r="V222" s="65" t="n">
        <v>35406.72</v>
      </c>
      <c r="W222" s="115" t="n">
        <v>0.0595</v>
      </c>
      <c r="X222" s="112" t="n">
        <v>43388</v>
      </c>
      <c r="Y222" s="65" t="str">
        <f aca="false">IF(I222="","No SIC",IFERROR(VLOOKUP(I222,Ref!$A$2:$B$65,2,FALSE()),"Unclassified"))</f>
        <v>Eating &amp; Drinking Places</v>
      </c>
      <c r="Z222" s="65" t="str">
        <f aca="false">IF(T222="","",IF(T222&lt;12,"Daily","Weekly"))</f>
        <v>Daily</v>
      </c>
      <c r="AA222" s="65" t="n">
        <f aca="false">IF(T222="",0,IF(T222&lt;12,T222*Controls!$B$29,T222*5))</f>
        <v>56.801065</v>
      </c>
      <c r="AB222" s="65" t="n">
        <f aca="false">IF(E222="",0,NETWORKDAYS(E222,Controls!$B$36,Ref!$K$2:$K$42))</f>
        <v>250</v>
      </c>
      <c r="AC222" s="65" t="n">
        <f aca="false">IF(AND(AA222&gt;0,AB222&gt;=Controls!$B$39*AA222),1,0)</f>
        <v>1</v>
      </c>
      <c r="AD222" s="65" t="n">
        <f aca="false">IF(AND(E222&lt;&gt;"",E222&gt;=Controls!$B$37,E222&lt;=Controls!$B$38),1,0)</f>
        <v>1</v>
      </c>
      <c r="AE222" s="65" t="n">
        <f aca="false">IF(IFERROR(VLOOKUP(D222,Controls!$A$64:$E$74,2,FALSE()),"No")="Yes",1,0)</f>
        <v>1</v>
      </c>
      <c r="AF222" s="65" t="n">
        <f aca="false">IF(IFERROR(VLOOKUP(D222,Controls!$A$64:$E$74,3,FALSE()),"No")="Yes",1,0)</f>
        <v>0</v>
      </c>
      <c r="AG222" s="65" t="n">
        <f aca="false">IF(IFERROR(VLOOKUP(D222,Controls!$A$64:$E$74,4,FALSE()),"No")="Yes",1,0)</f>
        <v>0</v>
      </c>
      <c r="AH222" s="65" t="n">
        <f aca="false">IF(IFERROR(VLOOKUP(D222,Controls!$A$64:$E$74,5,FALSE()),"No")="Yes",1,0)</f>
        <v>0</v>
      </c>
      <c r="AI222" s="65" t="n">
        <f aca="false">IF(ISNUMBER(MATCH(D222,Controls!$A$64:$A$74,0)),1,0)</f>
        <v>1</v>
      </c>
      <c r="AJ222" s="65" t="n">
        <f aca="false">Q222-N222</f>
        <v>-8510.4</v>
      </c>
      <c r="AK222" s="65" t="n">
        <f aca="false">IF(AE222=1,MAX(0,N222-Q222),0)</f>
        <v>8510.4</v>
      </c>
      <c r="AL222" s="65" t="n">
        <f aca="false">IF(OR(V222="",V222=0),0,N222/V222)</f>
        <v>0.282432261446415</v>
      </c>
      <c r="AM222" s="65" t="n">
        <f aca="false">IF(OR(V222="",V222=0),0,1)</f>
        <v>1</v>
      </c>
      <c r="AN222" s="65" t="n">
        <f aca="false">IF(OR(E222="",F222=""),0,NETWORKDAYS(E222,F222,Ref!$K$2:$K$42))</f>
        <v>12</v>
      </c>
      <c r="AO222" s="65" t="n">
        <f aca="false">IF(L222="Renewal",1,0)</f>
        <v>0</v>
      </c>
      <c r="AP222" s="65" t="n">
        <f aca="false">AC222*AD222</f>
        <v>1</v>
      </c>
      <c r="AQ222" s="65" t="n">
        <f aca="false">IF(AND(G222&lt;&gt;"",'Historical Score'!$C$6&lt;&gt;""),IF(G222='Historical Score'!$C$6,1,0),0)</f>
        <v>0</v>
      </c>
      <c r="AR222" s="65" t="n">
        <f aca="false">IF(AND(L222&lt;&gt;"",'Historical Score'!$C$5&lt;&gt;""),IF(L222='Historical Score'!$C$5,1,0),0)</f>
        <v>1</v>
      </c>
      <c r="AS222" s="65" t="n">
        <f aca="false">IF(AND(Y222&lt;&gt;"",'Historical Score'!$C$7&lt;&gt;""),IF(Y222='Historical Score'!$C$7,1,0),0)</f>
        <v>0</v>
      </c>
      <c r="AT222" s="65" t="n">
        <f aca="false">IF(AND(K222&lt;&gt;"",'Historical Score'!$C$8&lt;&gt;""),IF(K222='Historical Score'!$C$8,1,0),0)</f>
        <v>0</v>
      </c>
      <c r="AU222" s="65" t="n">
        <f aca="false">IF(AND(J222&lt;&gt;"",'Historical Score'!$C$9&lt;&gt;""),IF(J222='Historical Score'!$C$9,1,0),0)</f>
        <v>0</v>
      </c>
      <c r="AV222" s="65" t="n">
        <f aca="false">AR222*AS222*AQ222</f>
        <v>0</v>
      </c>
      <c r="AW222" s="65" t="n">
        <f aca="false">AR222*AT222*AQ222</f>
        <v>0</v>
      </c>
      <c r="AX222" s="65" t="n">
        <f aca="false">AR222*AS222</f>
        <v>0</v>
      </c>
      <c r="AY222" s="65" t="n">
        <f aca="false">AR222*AT222</f>
        <v>0</v>
      </c>
      <c r="AZ222" s="65" t="n">
        <f aca="false">AR222*AQ222</f>
        <v>0</v>
      </c>
      <c r="BA222" s="65" t="n">
        <f aca="false">AR222</f>
        <v>1</v>
      </c>
      <c r="BB222" s="65" t="n">
        <f aca="false">1</f>
        <v>1</v>
      </c>
      <c r="BC222" s="65" t="n">
        <f aca="false">IF(AV222=1,1,IF(AW222=1,2,IF(AX222=1,3,IF(AY222=1,4,IF(AZ222=1,5,IF(BA222=1,6,7))))))</f>
        <v>6</v>
      </c>
      <c r="BD222" s="65" t="n">
        <f aca="false">IF(AD222=1,CHOOSE('Historical Score'!$C$29,AV222,AW222,AX222,AY222,AZ222,BA222,BB222),0)</f>
        <v>0</v>
      </c>
      <c r="BE222" s="65" t="str">
        <f aca="false">IF(BD222=1,COUNTIF($BD$2:BD222,1),"")</f>
        <v/>
      </c>
    </row>
    <row r="223" customFormat="false" ht="15" hidden="false" customHeight="false" outlineLevel="0" collapsed="false">
      <c r="A223" s="65" t="s">
        <v>1103</v>
      </c>
      <c r="B223" s="65" t="s">
        <v>1104</v>
      </c>
      <c r="C223" s="65" t="s">
        <v>1104</v>
      </c>
      <c r="D223" s="65" t="s">
        <v>371</v>
      </c>
      <c r="E223" s="112" t="n">
        <v>45897</v>
      </c>
      <c r="F223" s="112" t="n">
        <v>46008</v>
      </c>
      <c r="G223" s="65" t="n">
        <v>2</v>
      </c>
      <c r="H223" s="65" t="s">
        <v>451</v>
      </c>
      <c r="I223" s="65" t="s">
        <v>425</v>
      </c>
      <c r="J223" s="65" t="s">
        <v>649</v>
      </c>
      <c r="K223" s="65" t="s">
        <v>675</v>
      </c>
      <c r="L223" s="65" t="s">
        <v>64</v>
      </c>
      <c r="M223" s="113" t="n">
        <v>1.499</v>
      </c>
      <c r="N223" s="114" t="n">
        <v>15000</v>
      </c>
      <c r="O223" s="114" t="n">
        <v>2100</v>
      </c>
      <c r="P223" s="114" t="n">
        <v>22485</v>
      </c>
      <c r="Q223" s="114" t="n">
        <v>22485</v>
      </c>
      <c r="R223" s="114" t="n">
        <v>0</v>
      </c>
      <c r="S223" s="115" t="n">
        <v>1</v>
      </c>
      <c r="T223" s="65" t="n">
        <v>36</v>
      </c>
      <c r="U223" s="65" t="n">
        <v>0</v>
      </c>
      <c r="V223" s="65" t="n">
        <v>27724.08</v>
      </c>
      <c r="W223" s="115" t="n">
        <v>0.0896</v>
      </c>
      <c r="X223" s="112" t="n">
        <v>38838</v>
      </c>
      <c r="Y223" s="65" t="str">
        <f aca="false">IF(I223="","No SIC",IFERROR(VLOOKUP(I223,Ref!$A$2:$B$65,2,FALSE()),"Unclassified"))</f>
        <v>Personal Services</v>
      </c>
      <c r="Z223" s="65" t="str">
        <f aca="false">IF(T223="","",IF(T223&lt;12,"Daily","Weekly"))</f>
        <v>Weekly</v>
      </c>
      <c r="AA223" s="65" t="n">
        <f aca="false">IF(T223="",0,IF(T223&lt;12,T223*Controls!$B$29,T223*5))</f>
        <v>180</v>
      </c>
      <c r="AB223" s="65" t="n">
        <f aca="false">IF(E223="",0,NETWORKDAYS(E223,Controls!$B$36,Ref!$K$2:$K$42))</f>
        <v>249</v>
      </c>
      <c r="AC223" s="65" t="n">
        <f aca="false">IF(AND(AA223&gt;0,AB223&gt;=Controls!$B$39*AA223),1,0)</f>
        <v>1</v>
      </c>
      <c r="AD223" s="65" t="n">
        <f aca="false">IF(AND(E223&lt;&gt;"",E223&gt;=Controls!$B$37,E223&lt;=Controls!$B$38),1,0)</f>
        <v>1</v>
      </c>
      <c r="AE223" s="65" t="n">
        <f aca="false">IF(IFERROR(VLOOKUP(D223,Controls!$A$64:$E$74,2,FALSE()),"No")="Yes",1,0)</f>
        <v>0</v>
      </c>
      <c r="AF223" s="65" t="n">
        <f aca="false">IF(IFERROR(VLOOKUP(D223,Controls!$A$64:$E$74,3,FALSE()),"No")="Yes",1,0)</f>
        <v>1</v>
      </c>
      <c r="AG223" s="65" t="n">
        <f aca="false">IF(IFERROR(VLOOKUP(D223,Controls!$A$64:$E$74,4,FALSE()),"No")="Yes",1,0)</f>
        <v>1</v>
      </c>
      <c r="AH223" s="65" t="n">
        <f aca="false">IF(IFERROR(VLOOKUP(D223,Controls!$A$64:$E$74,5,FALSE()),"No")="Yes",1,0)</f>
        <v>0</v>
      </c>
      <c r="AI223" s="65" t="n">
        <f aca="false">IF(ISNUMBER(MATCH(D223,Controls!$A$64:$A$74,0)),1,0)</f>
        <v>1</v>
      </c>
      <c r="AJ223" s="65" t="n">
        <f aca="false">Q223-N223</f>
        <v>7485</v>
      </c>
      <c r="AK223" s="65" t="n">
        <f aca="false">IF(AE223=1,MAX(0,N223-Q223),0)</f>
        <v>0</v>
      </c>
      <c r="AL223" s="65" t="n">
        <f aca="false">IF(OR(V223="",V223=0),0,N223/V223)</f>
        <v>0.541045906663089</v>
      </c>
      <c r="AM223" s="65" t="n">
        <f aca="false">IF(OR(V223="",V223=0),0,1)</f>
        <v>1</v>
      </c>
      <c r="AN223" s="65" t="n">
        <f aca="false">IF(OR(E223="",F223=""),0,NETWORKDAYS(E223,F223,Ref!$K$2:$K$42))</f>
        <v>76</v>
      </c>
      <c r="AO223" s="65" t="n">
        <f aca="false">IF(L223="Renewal",1,0)</f>
        <v>0</v>
      </c>
      <c r="AP223" s="65" t="n">
        <f aca="false">AC223*AD223</f>
        <v>1</v>
      </c>
      <c r="AQ223" s="65" t="n">
        <f aca="false">IF(AND(G223&lt;&gt;"",'Historical Score'!$C$6&lt;&gt;""),IF(G223='Historical Score'!$C$6,1,0),0)</f>
        <v>1</v>
      </c>
      <c r="AR223" s="65" t="n">
        <f aca="false">IF(AND(L223&lt;&gt;"",'Historical Score'!$C$5&lt;&gt;""),IF(L223='Historical Score'!$C$5,1,0),0)</f>
        <v>1</v>
      </c>
      <c r="AS223" s="65" t="n">
        <f aca="false">IF(AND(Y223&lt;&gt;"",'Historical Score'!$C$7&lt;&gt;""),IF(Y223='Historical Score'!$C$7,1,0),0)</f>
        <v>0</v>
      </c>
      <c r="AT223" s="65" t="n">
        <f aca="false">IF(AND(K223&lt;&gt;"",'Historical Score'!$C$8&lt;&gt;""),IF(K223='Historical Score'!$C$8,1,0),0)</f>
        <v>0</v>
      </c>
      <c r="AU223" s="65" t="n">
        <f aca="false">IF(AND(J223&lt;&gt;"",'Historical Score'!$C$9&lt;&gt;""),IF(J223='Historical Score'!$C$9,1,0),0)</f>
        <v>0</v>
      </c>
      <c r="AV223" s="65" t="n">
        <f aca="false">AR223*AS223*AQ223</f>
        <v>0</v>
      </c>
      <c r="AW223" s="65" t="n">
        <f aca="false">AR223*AT223*AQ223</f>
        <v>0</v>
      </c>
      <c r="AX223" s="65" t="n">
        <f aca="false">AR223*AS223</f>
        <v>0</v>
      </c>
      <c r="AY223" s="65" t="n">
        <f aca="false">AR223*AT223</f>
        <v>0</v>
      </c>
      <c r="AZ223" s="65" t="n">
        <f aca="false">AR223*AQ223</f>
        <v>1</v>
      </c>
      <c r="BA223" s="65" t="n">
        <f aca="false">AR223</f>
        <v>1</v>
      </c>
      <c r="BB223" s="65" t="n">
        <f aca="false">1</f>
        <v>1</v>
      </c>
      <c r="BC223" s="65" t="n">
        <f aca="false">IF(AV223=1,1,IF(AW223=1,2,IF(AX223=1,3,IF(AY223=1,4,IF(AZ223=1,5,IF(BA223=1,6,7))))))</f>
        <v>5</v>
      </c>
      <c r="BD223" s="65" t="n">
        <f aca="false">IF(AD223=1,CHOOSE('Historical Score'!$C$29,AV223,AW223,AX223,AY223,AZ223,BA223,BB223),0)</f>
        <v>0</v>
      </c>
      <c r="BE223" s="65" t="str">
        <f aca="false">IF(BD223=1,COUNTIF($BD$2:BD223,1),"")</f>
        <v/>
      </c>
    </row>
    <row r="224" customFormat="false" ht="15" hidden="false" customHeight="false" outlineLevel="0" collapsed="false">
      <c r="A224" s="65" t="s">
        <v>1105</v>
      </c>
      <c r="B224" s="65" t="s">
        <v>1106</v>
      </c>
      <c r="C224" s="65" t="s">
        <v>1106</v>
      </c>
      <c r="D224" s="65" t="s">
        <v>340</v>
      </c>
      <c r="E224" s="112" t="n">
        <v>45897</v>
      </c>
      <c r="F224" s="112" t="n">
        <v>45909</v>
      </c>
      <c r="G224" s="65" t="n">
        <v>1</v>
      </c>
      <c r="H224" s="65" t="s">
        <v>479</v>
      </c>
      <c r="I224" s="65" t="s">
        <v>356</v>
      </c>
      <c r="J224" s="65" t="s">
        <v>373</v>
      </c>
      <c r="K224" s="65" t="s">
        <v>584</v>
      </c>
      <c r="L224" s="65" t="s">
        <v>64</v>
      </c>
      <c r="M224" s="113" t="n">
        <v>1.49</v>
      </c>
      <c r="N224" s="114" t="n">
        <v>3500</v>
      </c>
      <c r="O224" s="114" t="n">
        <v>490</v>
      </c>
      <c r="P224" s="114" t="n">
        <v>5215</v>
      </c>
      <c r="Q224" s="114" t="n">
        <v>74.48</v>
      </c>
      <c r="R224" s="114" t="n">
        <v>5140.52</v>
      </c>
      <c r="S224" s="115" t="n">
        <v>0.0142818791946309</v>
      </c>
      <c r="T224" s="65" t="n">
        <v>2.295</v>
      </c>
      <c r="U224" s="65" t="n">
        <v>6</v>
      </c>
      <c r="V224" s="65" t="n">
        <v>10999.31</v>
      </c>
      <c r="W224" s="115"/>
      <c r="X224" s="112"/>
      <c r="Y224" s="65" t="str">
        <f aca="false">IF(I224="","No SIC",IFERROR(VLOOKUP(I224,Ref!$A$2:$B$65,2,FALSE()),"Unclassified"))</f>
        <v>Trucking &amp; Warehousing</v>
      </c>
      <c r="Z224" s="65" t="str">
        <f aca="false">IF(T224="","",IF(T224&lt;12,"Daily","Weekly"))</f>
        <v>Daily</v>
      </c>
      <c r="AA224" s="65" t="n">
        <f aca="false">IF(T224="",0,IF(T224&lt;12,T224*Controls!$B$29,T224*5))</f>
        <v>49.698225</v>
      </c>
      <c r="AB224" s="65" t="n">
        <f aca="false">IF(E224="",0,NETWORKDAYS(E224,Controls!$B$36,Ref!$K$2:$K$42))</f>
        <v>249</v>
      </c>
      <c r="AC224" s="65" t="n">
        <f aca="false">IF(AND(AA224&gt;0,AB224&gt;=Controls!$B$39*AA224),1,0)</f>
        <v>1</v>
      </c>
      <c r="AD224" s="65" t="n">
        <f aca="false">IF(AND(E224&lt;&gt;"",E224&gt;=Controls!$B$37,E224&lt;=Controls!$B$38),1,0)</f>
        <v>1</v>
      </c>
      <c r="AE224" s="65" t="n">
        <f aca="false">IF(IFERROR(VLOOKUP(D224,Controls!$A$64:$E$74,2,FALSE()),"No")="Yes",1,0)</f>
        <v>1</v>
      </c>
      <c r="AF224" s="65" t="n">
        <f aca="false">IF(IFERROR(VLOOKUP(D224,Controls!$A$64:$E$74,3,FALSE()),"No")="Yes",1,0)</f>
        <v>0</v>
      </c>
      <c r="AG224" s="65" t="n">
        <f aca="false">IF(IFERROR(VLOOKUP(D224,Controls!$A$64:$E$74,4,FALSE()),"No")="Yes",1,0)</f>
        <v>0</v>
      </c>
      <c r="AH224" s="65" t="n">
        <f aca="false">IF(IFERROR(VLOOKUP(D224,Controls!$A$64:$E$74,5,FALSE()),"No")="Yes",1,0)</f>
        <v>0</v>
      </c>
      <c r="AI224" s="65" t="n">
        <f aca="false">IF(ISNUMBER(MATCH(D224,Controls!$A$64:$A$74,0)),1,0)</f>
        <v>1</v>
      </c>
      <c r="AJ224" s="65" t="n">
        <f aca="false">Q224-N224</f>
        <v>-3425.52</v>
      </c>
      <c r="AK224" s="65" t="n">
        <f aca="false">IF(AE224=1,MAX(0,N224-Q224),0)</f>
        <v>3425.52</v>
      </c>
      <c r="AL224" s="65" t="n">
        <f aca="false">IF(OR(V224="",V224=0),0,N224/V224)</f>
        <v>0.318201778111536</v>
      </c>
      <c r="AM224" s="65" t="n">
        <f aca="false">IF(OR(V224="",V224=0),0,1)</f>
        <v>1</v>
      </c>
      <c r="AN224" s="65" t="n">
        <f aca="false">IF(OR(E224="",F224=""),0,NETWORKDAYS(E224,F224,Ref!$K$2:$K$42))</f>
        <v>8</v>
      </c>
      <c r="AO224" s="65" t="n">
        <f aca="false">IF(L224="Renewal",1,0)</f>
        <v>0</v>
      </c>
      <c r="AP224" s="65" t="n">
        <f aca="false">AC224*AD224</f>
        <v>1</v>
      </c>
      <c r="AQ224" s="65" t="n">
        <f aca="false">IF(AND(G224&lt;&gt;"",'Historical Score'!$C$6&lt;&gt;""),IF(G224='Historical Score'!$C$6,1,0),0)</f>
        <v>0</v>
      </c>
      <c r="AR224" s="65" t="n">
        <f aca="false">IF(AND(L224&lt;&gt;"",'Historical Score'!$C$5&lt;&gt;""),IF(L224='Historical Score'!$C$5,1,0),0)</f>
        <v>1</v>
      </c>
      <c r="AS224" s="65" t="n">
        <f aca="false">IF(AND(Y224&lt;&gt;"",'Historical Score'!$C$7&lt;&gt;""),IF(Y224='Historical Score'!$C$7,1,0),0)</f>
        <v>0</v>
      </c>
      <c r="AT224" s="65" t="n">
        <f aca="false">IF(AND(K224&lt;&gt;"",'Historical Score'!$C$8&lt;&gt;""),IF(K224='Historical Score'!$C$8,1,0),0)</f>
        <v>0</v>
      </c>
      <c r="AU224" s="65" t="n">
        <f aca="false">IF(AND(J224&lt;&gt;"",'Historical Score'!$C$9&lt;&gt;""),IF(J224='Historical Score'!$C$9,1,0),0)</f>
        <v>0</v>
      </c>
      <c r="AV224" s="65" t="n">
        <f aca="false">AR224*AS224*AQ224</f>
        <v>0</v>
      </c>
      <c r="AW224" s="65" t="n">
        <f aca="false">AR224*AT224*AQ224</f>
        <v>0</v>
      </c>
      <c r="AX224" s="65" t="n">
        <f aca="false">AR224*AS224</f>
        <v>0</v>
      </c>
      <c r="AY224" s="65" t="n">
        <f aca="false">AR224*AT224</f>
        <v>0</v>
      </c>
      <c r="AZ224" s="65" t="n">
        <f aca="false">AR224*AQ224</f>
        <v>0</v>
      </c>
      <c r="BA224" s="65" t="n">
        <f aca="false">AR224</f>
        <v>1</v>
      </c>
      <c r="BB224" s="65" t="n">
        <f aca="false">1</f>
        <v>1</v>
      </c>
      <c r="BC224" s="65" t="n">
        <f aca="false">IF(AV224=1,1,IF(AW224=1,2,IF(AX224=1,3,IF(AY224=1,4,IF(AZ224=1,5,IF(BA224=1,6,7))))))</f>
        <v>6</v>
      </c>
      <c r="BD224" s="65" t="n">
        <f aca="false">IF(AD224=1,CHOOSE('Historical Score'!$C$29,AV224,AW224,AX224,AY224,AZ224,BA224,BB224),0)</f>
        <v>0</v>
      </c>
      <c r="BE224" s="65" t="str">
        <f aca="false">IF(BD224=1,COUNTIF($BD$2:BD224,1),"")</f>
        <v/>
      </c>
    </row>
    <row r="225" customFormat="false" ht="15" hidden="false" customHeight="false" outlineLevel="0" collapsed="false">
      <c r="A225" s="65" t="s">
        <v>1107</v>
      </c>
      <c r="B225" s="65" t="s">
        <v>1108</v>
      </c>
      <c r="C225" s="65" t="s">
        <v>1109</v>
      </c>
      <c r="D225" s="65" t="s">
        <v>340</v>
      </c>
      <c r="E225" s="112" t="n">
        <v>45898</v>
      </c>
      <c r="F225" s="112" t="n">
        <v>46234</v>
      </c>
      <c r="G225" s="65" t="n">
        <v>1</v>
      </c>
      <c r="H225" s="65" t="s">
        <v>442</v>
      </c>
      <c r="I225" s="65" t="s">
        <v>443</v>
      </c>
      <c r="J225" s="65" t="s">
        <v>380</v>
      </c>
      <c r="K225" s="65" t="s">
        <v>1047</v>
      </c>
      <c r="L225" s="65" t="s">
        <v>64</v>
      </c>
      <c r="M225" s="113" t="n">
        <v>1.49</v>
      </c>
      <c r="N225" s="114" t="n">
        <v>15000</v>
      </c>
      <c r="O225" s="114" t="n">
        <v>2100</v>
      </c>
      <c r="P225" s="114" t="n">
        <v>22350</v>
      </c>
      <c r="Q225" s="114" t="n">
        <v>8085.18</v>
      </c>
      <c r="R225" s="114" t="n">
        <v>14264.82</v>
      </c>
      <c r="S225" s="115" t="n">
        <v>0.361753020134228</v>
      </c>
      <c r="T225" s="65" t="n">
        <v>22</v>
      </c>
      <c r="U225" s="65" t="n">
        <v>15</v>
      </c>
      <c r="V225" s="65" t="n">
        <v>33457.75</v>
      </c>
      <c r="W225" s="115" t="n">
        <v>0.1215</v>
      </c>
      <c r="X225" s="112" t="n">
        <v>45156</v>
      </c>
      <c r="Y225" s="65" t="str">
        <f aca="false">IF(I225="","No SIC",IFERROR(VLOOKUP(I225,Ref!$A$2:$B$65,2,FALSE()),"Unclassified"))</f>
        <v>General Building Contractors</v>
      </c>
      <c r="Z225" s="65" t="str">
        <f aca="false">IF(T225="","",IF(T225&lt;12,"Daily","Weekly"))</f>
        <v>Weekly</v>
      </c>
      <c r="AA225" s="65" t="n">
        <f aca="false">IF(T225="",0,IF(T225&lt;12,T225*Controls!$B$29,T225*5))</f>
        <v>110</v>
      </c>
      <c r="AB225" s="65" t="n">
        <f aca="false">IF(E225="",0,NETWORKDAYS(E225,Controls!$B$36,Ref!$K$2:$K$42))</f>
        <v>248</v>
      </c>
      <c r="AC225" s="65" t="n">
        <f aca="false">IF(AND(AA225&gt;0,AB225&gt;=Controls!$B$39*AA225),1,0)</f>
        <v>1</v>
      </c>
      <c r="AD225" s="65" t="n">
        <f aca="false">IF(AND(E225&lt;&gt;"",E225&gt;=Controls!$B$37,E225&lt;=Controls!$B$38),1,0)</f>
        <v>1</v>
      </c>
      <c r="AE225" s="65" t="n">
        <f aca="false">IF(IFERROR(VLOOKUP(D225,Controls!$A$64:$E$74,2,FALSE()),"No")="Yes",1,0)</f>
        <v>1</v>
      </c>
      <c r="AF225" s="65" t="n">
        <f aca="false">IF(IFERROR(VLOOKUP(D225,Controls!$A$64:$E$74,3,FALSE()),"No")="Yes",1,0)</f>
        <v>0</v>
      </c>
      <c r="AG225" s="65" t="n">
        <f aca="false">IF(IFERROR(VLOOKUP(D225,Controls!$A$64:$E$74,4,FALSE()),"No")="Yes",1,0)</f>
        <v>0</v>
      </c>
      <c r="AH225" s="65" t="n">
        <f aca="false">IF(IFERROR(VLOOKUP(D225,Controls!$A$64:$E$74,5,FALSE()),"No")="Yes",1,0)</f>
        <v>0</v>
      </c>
      <c r="AI225" s="65" t="n">
        <f aca="false">IF(ISNUMBER(MATCH(D225,Controls!$A$64:$A$74,0)),1,0)</f>
        <v>1</v>
      </c>
      <c r="AJ225" s="65" t="n">
        <f aca="false">Q225-N225</f>
        <v>-6914.82</v>
      </c>
      <c r="AK225" s="65" t="n">
        <f aca="false">IF(AE225=1,MAX(0,N225-Q225),0)</f>
        <v>6914.82</v>
      </c>
      <c r="AL225" s="65" t="n">
        <f aca="false">IF(OR(V225="",V225=0),0,N225/V225)</f>
        <v>0.448326620887537</v>
      </c>
      <c r="AM225" s="65" t="n">
        <f aca="false">IF(OR(V225="",V225=0),0,1)</f>
        <v>1</v>
      </c>
      <c r="AN225" s="65" t="n">
        <f aca="false">IF(OR(E225="",F225=""),0,NETWORKDAYS(E225,F225,Ref!$K$2:$K$42))</f>
        <v>231</v>
      </c>
      <c r="AO225" s="65" t="n">
        <f aca="false">IF(L225="Renewal",1,0)</f>
        <v>0</v>
      </c>
      <c r="AP225" s="65" t="n">
        <f aca="false">AC225*AD225</f>
        <v>1</v>
      </c>
      <c r="AQ225" s="65" t="n">
        <f aca="false">IF(AND(G225&lt;&gt;"",'Historical Score'!$C$6&lt;&gt;""),IF(G225='Historical Score'!$C$6,1,0),0)</f>
        <v>0</v>
      </c>
      <c r="AR225" s="65" t="n">
        <f aca="false">IF(AND(L225&lt;&gt;"",'Historical Score'!$C$5&lt;&gt;""),IF(L225='Historical Score'!$C$5,1,0),0)</f>
        <v>1</v>
      </c>
      <c r="AS225" s="65" t="n">
        <f aca="false">IF(AND(Y225&lt;&gt;"",'Historical Score'!$C$7&lt;&gt;""),IF(Y225='Historical Score'!$C$7,1,0),0)</f>
        <v>1</v>
      </c>
      <c r="AT225" s="65" t="n">
        <f aca="false">IF(AND(K225&lt;&gt;"",'Historical Score'!$C$8&lt;&gt;""),IF(K225='Historical Score'!$C$8,1,0),0)</f>
        <v>0</v>
      </c>
      <c r="AU225" s="65" t="n">
        <f aca="false">IF(AND(J225&lt;&gt;"",'Historical Score'!$C$9&lt;&gt;""),IF(J225='Historical Score'!$C$9,1,0),0)</f>
        <v>0</v>
      </c>
      <c r="AV225" s="65" t="n">
        <f aca="false">AR225*AS225*AQ225</f>
        <v>0</v>
      </c>
      <c r="AW225" s="65" t="n">
        <f aca="false">AR225*AT225*AQ225</f>
        <v>0</v>
      </c>
      <c r="AX225" s="65" t="n">
        <f aca="false">AR225*AS225</f>
        <v>1</v>
      </c>
      <c r="AY225" s="65" t="n">
        <f aca="false">AR225*AT225</f>
        <v>0</v>
      </c>
      <c r="AZ225" s="65" t="n">
        <f aca="false">AR225*AQ225</f>
        <v>0</v>
      </c>
      <c r="BA225" s="65" t="n">
        <f aca="false">AR225</f>
        <v>1</v>
      </c>
      <c r="BB225" s="65" t="n">
        <f aca="false">1</f>
        <v>1</v>
      </c>
      <c r="BC225" s="65" t="n">
        <f aca="false">IF(AV225=1,1,IF(AW225=1,2,IF(AX225=1,3,IF(AY225=1,4,IF(AZ225=1,5,IF(BA225=1,6,7))))))</f>
        <v>3</v>
      </c>
      <c r="BD225" s="65" t="n">
        <f aca="false">IF(AD225=1,CHOOSE('Historical Score'!$C$29,AV225,AW225,AX225,AY225,AZ225,BA225,BB225),0)</f>
        <v>0</v>
      </c>
      <c r="BE225" s="65" t="str">
        <f aca="false">IF(BD225=1,COUNTIF($BD$2:BD225,1),"")</f>
        <v/>
      </c>
    </row>
    <row r="226" customFormat="false" ht="15" hidden="false" customHeight="false" outlineLevel="0" collapsed="false">
      <c r="A226" s="65" t="s">
        <v>1110</v>
      </c>
      <c r="B226" s="65" t="s">
        <v>1111</v>
      </c>
      <c r="C226" s="65" t="s">
        <v>1111</v>
      </c>
      <c r="D226" s="65" t="s">
        <v>371</v>
      </c>
      <c r="E226" s="112" t="n">
        <v>45898</v>
      </c>
      <c r="F226" s="112" t="n">
        <v>45981</v>
      </c>
      <c r="G226" s="65" t="n">
        <v>3</v>
      </c>
      <c r="H226" s="65" t="s">
        <v>748</v>
      </c>
      <c r="I226" s="65" t="s">
        <v>619</v>
      </c>
      <c r="J226" s="65" t="s">
        <v>649</v>
      </c>
      <c r="K226" s="65" t="s">
        <v>855</v>
      </c>
      <c r="L226" s="65" t="s">
        <v>64</v>
      </c>
      <c r="M226" s="113" t="n">
        <v>1.49</v>
      </c>
      <c r="N226" s="114" t="n">
        <v>17000</v>
      </c>
      <c r="O226" s="114" t="n">
        <v>2380</v>
      </c>
      <c r="P226" s="114" t="n">
        <v>25330</v>
      </c>
      <c r="Q226" s="114" t="n">
        <v>25330</v>
      </c>
      <c r="R226" s="114" t="n">
        <v>0</v>
      </c>
      <c r="S226" s="115" t="n">
        <v>1</v>
      </c>
      <c r="T226" s="65" t="n">
        <v>17</v>
      </c>
      <c r="U226" s="65" t="n">
        <v>1</v>
      </c>
      <c r="V226" s="65" t="n">
        <v>56713.1</v>
      </c>
      <c r="W226" s="115" t="n">
        <v>0.1051</v>
      </c>
      <c r="X226" s="112" t="n">
        <v>42308</v>
      </c>
      <c r="Y226" s="65" t="str">
        <f aca="false">IF(I226="","No SIC",IFERROR(VLOOKUP(I226,Ref!$A$2:$B$65,2,FALSE()),"Unclassified"))</f>
        <v>Miscellaneous Retail</v>
      </c>
      <c r="Z226" s="65" t="str">
        <f aca="false">IF(T226="","",IF(T226&lt;12,"Daily","Weekly"))</f>
        <v>Weekly</v>
      </c>
      <c r="AA226" s="65" t="n">
        <f aca="false">IF(T226="",0,IF(T226&lt;12,T226*Controls!$B$29,T226*5))</f>
        <v>85</v>
      </c>
      <c r="AB226" s="65" t="n">
        <f aca="false">IF(E226="",0,NETWORKDAYS(E226,Controls!$B$36,Ref!$K$2:$K$42))</f>
        <v>248</v>
      </c>
      <c r="AC226" s="65" t="n">
        <f aca="false">IF(AND(AA226&gt;0,AB226&gt;=Controls!$B$39*AA226),1,0)</f>
        <v>1</v>
      </c>
      <c r="AD226" s="65" t="n">
        <f aca="false">IF(AND(E226&lt;&gt;"",E226&gt;=Controls!$B$37,E226&lt;=Controls!$B$38),1,0)</f>
        <v>1</v>
      </c>
      <c r="AE226" s="65" t="n">
        <f aca="false">IF(IFERROR(VLOOKUP(D226,Controls!$A$64:$E$74,2,FALSE()),"No")="Yes",1,0)</f>
        <v>0</v>
      </c>
      <c r="AF226" s="65" t="n">
        <f aca="false">IF(IFERROR(VLOOKUP(D226,Controls!$A$64:$E$74,3,FALSE()),"No")="Yes",1,0)</f>
        <v>1</v>
      </c>
      <c r="AG226" s="65" t="n">
        <f aca="false">IF(IFERROR(VLOOKUP(D226,Controls!$A$64:$E$74,4,FALSE()),"No")="Yes",1,0)</f>
        <v>1</v>
      </c>
      <c r="AH226" s="65" t="n">
        <f aca="false">IF(IFERROR(VLOOKUP(D226,Controls!$A$64:$E$74,5,FALSE()),"No")="Yes",1,0)</f>
        <v>0</v>
      </c>
      <c r="AI226" s="65" t="n">
        <f aca="false">IF(ISNUMBER(MATCH(D226,Controls!$A$64:$A$74,0)),1,0)</f>
        <v>1</v>
      </c>
      <c r="AJ226" s="65" t="n">
        <f aca="false">Q226-N226</f>
        <v>8330</v>
      </c>
      <c r="AK226" s="65" t="n">
        <f aca="false">IF(AE226=1,MAX(0,N226-Q226),0)</f>
        <v>0</v>
      </c>
      <c r="AL226" s="65" t="n">
        <f aca="false">IF(OR(V226="",V226=0),0,N226/V226)</f>
        <v>0.299754377736361</v>
      </c>
      <c r="AM226" s="65" t="n">
        <f aca="false">IF(OR(V226="",V226=0),0,1)</f>
        <v>1</v>
      </c>
      <c r="AN226" s="65" t="n">
        <f aca="false">IF(OR(E226="",F226=""),0,NETWORKDAYS(E226,F226,Ref!$K$2:$K$42))</f>
        <v>57</v>
      </c>
      <c r="AO226" s="65" t="n">
        <f aca="false">IF(L226="Renewal",1,0)</f>
        <v>0</v>
      </c>
      <c r="AP226" s="65" t="n">
        <f aca="false">AC226*AD226</f>
        <v>1</v>
      </c>
      <c r="AQ226" s="65" t="n">
        <f aca="false">IF(AND(G226&lt;&gt;"",'Historical Score'!$C$6&lt;&gt;""),IF(G226='Historical Score'!$C$6,1,0),0)</f>
        <v>0</v>
      </c>
      <c r="AR226" s="65" t="n">
        <f aca="false">IF(AND(L226&lt;&gt;"",'Historical Score'!$C$5&lt;&gt;""),IF(L226='Historical Score'!$C$5,1,0),0)</f>
        <v>1</v>
      </c>
      <c r="AS226" s="65" t="n">
        <f aca="false">IF(AND(Y226&lt;&gt;"",'Historical Score'!$C$7&lt;&gt;""),IF(Y226='Historical Score'!$C$7,1,0),0)</f>
        <v>0</v>
      </c>
      <c r="AT226" s="65" t="n">
        <f aca="false">IF(AND(K226&lt;&gt;"",'Historical Score'!$C$8&lt;&gt;""),IF(K226='Historical Score'!$C$8,1,0),0)</f>
        <v>0</v>
      </c>
      <c r="AU226" s="65" t="n">
        <f aca="false">IF(AND(J226&lt;&gt;"",'Historical Score'!$C$9&lt;&gt;""),IF(J226='Historical Score'!$C$9,1,0),0)</f>
        <v>0</v>
      </c>
      <c r="AV226" s="65" t="n">
        <f aca="false">AR226*AS226*AQ226</f>
        <v>0</v>
      </c>
      <c r="AW226" s="65" t="n">
        <f aca="false">AR226*AT226*AQ226</f>
        <v>0</v>
      </c>
      <c r="AX226" s="65" t="n">
        <f aca="false">AR226*AS226</f>
        <v>0</v>
      </c>
      <c r="AY226" s="65" t="n">
        <f aca="false">AR226*AT226</f>
        <v>0</v>
      </c>
      <c r="AZ226" s="65" t="n">
        <f aca="false">AR226*AQ226</f>
        <v>0</v>
      </c>
      <c r="BA226" s="65" t="n">
        <f aca="false">AR226</f>
        <v>1</v>
      </c>
      <c r="BB226" s="65" t="n">
        <f aca="false">1</f>
        <v>1</v>
      </c>
      <c r="BC226" s="65" t="n">
        <f aca="false">IF(AV226=1,1,IF(AW226=1,2,IF(AX226=1,3,IF(AY226=1,4,IF(AZ226=1,5,IF(BA226=1,6,7))))))</f>
        <v>6</v>
      </c>
      <c r="BD226" s="65" t="n">
        <f aca="false">IF(AD226=1,CHOOSE('Historical Score'!$C$29,AV226,AW226,AX226,AY226,AZ226,BA226,BB226),0)</f>
        <v>0</v>
      </c>
      <c r="BE226" s="65" t="str">
        <f aca="false">IF(BD226=1,COUNTIF($BD$2:BD226,1),"")</f>
        <v/>
      </c>
    </row>
    <row r="227" customFormat="false" ht="15" hidden="false" customHeight="false" outlineLevel="0" collapsed="false">
      <c r="A227" s="65" t="s">
        <v>1112</v>
      </c>
      <c r="B227" s="65" t="s">
        <v>1113</v>
      </c>
      <c r="C227" s="65" t="s">
        <v>1113</v>
      </c>
      <c r="D227" s="65" t="s">
        <v>533</v>
      </c>
      <c r="E227" s="112" t="n">
        <v>45898</v>
      </c>
      <c r="F227" s="112" t="n">
        <v>46224</v>
      </c>
      <c r="G227" s="65" t="n">
        <v>3</v>
      </c>
      <c r="H227" s="65" t="s">
        <v>1055</v>
      </c>
      <c r="I227" s="65" t="s">
        <v>643</v>
      </c>
      <c r="J227" s="65" t="s">
        <v>380</v>
      </c>
      <c r="K227" s="65" t="s">
        <v>55</v>
      </c>
      <c r="L227" s="65" t="s">
        <v>64</v>
      </c>
      <c r="M227" s="113" t="n">
        <v>1.5</v>
      </c>
      <c r="N227" s="114" t="n">
        <v>10000</v>
      </c>
      <c r="O227" s="114" t="n">
        <v>1400</v>
      </c>
      <c r="P227" s="114" t="n">
        <v>15000</v>
      </c>
      <c r="Q227" s="114" t="n">
        <v>14421.4</v>
      </c>
      <c r="R227" s="114" t="n">
        <v>578.6</v>
      </c>
      <c r="S227" s="115" t="n">
        <v>0.961426666666667</v>
      </c>
      <c r="T227" s="65" t="n">
        <v>16</v>
      </c>
      <c r="U227" s="65" t="n">
        <v>10</v>
      </c>
      <c r="W227" s="115" t="n">
        <v>0.0831</v>
      </c>
      <c r="X227" s="112" t="n">
        <v>43835</v>
      </c>
      <c r="Y227" s="65" t="str">
        <f aca="false">IF(I227="","No SIC",IFERROR(VLOOKUP(I227,Ref!$A$2:$B$65,2,FALSE()),"Unclassified"))</f>
        <v>Agricultural Services</v>
      </c>
      <c r="Z227" s="65" t="str">
        <f aca="false">IF(T227="","",IF(T227&lt;12,"Daily","Weekly"))</f>
        <v>Weekly</v>
      </c>
      <c r="AA227" s="65" t="n">
        <f aca="false">IF(T227="",0,IF(T227&lt;12,T227*Controls!$B$29,T227*5))</f>
        <v>80</v>
      </c>
      <c r="AB227" s="65" t="n">
        <f aca="false">IF(E227="",0,NETWORKDAYS(E227,Controls!$B$36,Ref!$K$2:$K$42))</f>
        <v>248</v>
      </c>
      <c r="AC227" s="65" t="n">
        <f aca="false">IF(AND(AA227&gt;0,AB227&gt;=Controls!$B$39*AA227),1,0)</f>
        <v>1</v>
      </c>
      <c r="AD227" s="65" t="n">
        <f aca="false">IF(AND(E227&lt;&gt;"",E227&gt;=Controls!$B$37,E227&lt;=Controls!$B$38),1,0)</f>
        <v>1</v>
      </c>
      <c r="AE227" s="65" t="n">
        <f aca="false">IF(IFERROR(VLOOKUP(D227,Controls!$A$64:$E$74,2,FALSE()),"No")="Yes",1,0)</f>
        <v>1</v>
      </c>
      <c r="AF227" s="65" t="n">
        <f aca="false">IF(IFERROR(VLOOKUP(D227,Controls!$A$64:$E$74,3,FALSE()),"No")="Yes",1,0)</f>
        <v>0</v>
      </c>
      <c r="AG227" s="65" t="n">
        <f aca="false">IF(IFERROR(VLOOKUP(D227,Controls!$A$64:$E$74,4,FALSE()),"No")="Yes",1,0)</f>
        <v>0</v>
      </c>
      <c r="AH227" s="65" t="n">
        <f aca="false">IF(IFERROR(VLOOKUP(D227,Controls!$A$64:$E$74,5,FALSE()),"No")="Yes",1,0)</f>
        <v>0</v>
      </c>
      <c r="AI227" s="65" t="n">
        <f aca="false">IF(ISNUMBER(MATCH(D227,Controls!$A$64:$A$74,0)),1,0)</f>
        <v>1</v>
      </c>
      <c r="AJ227" s="65" t="n">
        <f aca="false">Q227-N227</f>
        <v>4421.4</v>
      </c>
      <c r="AK227" s="65" t="n">
        <f aca="false">IF(AE227=1,MAX(0,N227-Q227),0)</f>
        <v>0</v>
      </c>
      <c r="AL227" s="65" t="n">
        <f aca="false">IF(OR(V227="",V227=0),0,N227/V227)</f>
        <v>0</v>
      </c>
      <c r="AM227" s="65" t="n">
        <f aca="false">IF(OR(V227="",V227=0),0,1)</f>
        <v>0</v>
      </c>
      <c r="AN227" s="65" t="n">
        <f aca="false">IF(OR(E227="",F227=""),0,NETWORKDAYS(E227,F227,Ref!$K$2:$K$42))</f>
        <v>223</v>
      </c>
      <c r="AO227" s="65" t="n">
        <f aca="false">IF(L227="Renewal",1,0)</f>
        <v>0</v>
      </c>
      <c r="AP227" s="65" t="n">
        <f aca="false">AC227*AD227</f>
        <v>1</v>
      </c>
      <c r="AQ227" s="65" t="n">
        <f aca="false">IF(AND(G227&lt;&gt;"",'Historical Score'!$C$6&lt;&gt;""),IF(G227='Historical Score'!$C$6,1,0),0)</f>
        <v>0</v>
      </c>
      <c r="AR227" s="65" t="n">
        <f aca="false">IF(AND(L227&lt;&gt;"",'Historical Score'!$C$5&lt;&gt;""),IF(L227='Historical Score'!$C$5,1,0),0)</f>
        <v>1</v>
      </c>
      <c r="AS227" s="65" t="n">
        <f aca="false">IF(AND(Y227&lt;&gt;"",'Historical Score'!$C$7&lt;&gt;""),IF(Y227='Historical Score'!$C$7,1,0),0)</f>
        <v>0</v>
      </c>
      <c r="AT227" s="65" t="n">
        <f aca="false">IF(AND(K227&lt;&gt;"",'Historical Score'!$C$8&lt;&gt;""),IF(K227='Historical Score'!$C$8,1,0),0)</f>
        <v>1</v>
      </c>
      <c r="AU227" s="65" t="n">
        <f aca="false">IF(AND(J227&lt;&gt;"",'Historical Score'!$C$9&lt;&gt;""),IF(J227='Historical Score'!$C$9,1,0),0)</f>
        <v>0</v>
      </c>
      <c r="AV227" s="65" t="n">
        <f aca="false">AR227*AS227*AQ227</f>
        <v>0</v>
      </c>
      <c r="AW227" s="65" t="n">
        <f aca="false">AR227*AT227*AQ227</f>
        <v>0</v>
      </c>
      <c r="AX227" s="65" t="n">
        <f aca="false">AR227*AS227</f>
        <v>0</v>
      </c>
      <c r="AY227" s="65" t="n">
        <f aca="false">AR227*AT227</f>
        <v>1</v>
      </c>
      <c r="AZ227" s="65" t="n">
        <f aca="false">AR227*AQ227</f>
        <v>0</v>
      </c>
      <c r="BA227" s="65" t="n">
        <f aca="false">AR227</f>
        <v>1</v>
      </c>
      <c r="BB227" s="65" t="n">
        <f aca="false">1</f>
        <v>1</v>
      </c>
      <c r="BC227" s="65" t="n">
        <f aca="false">IF(AV227=1,1,IF(AW227=1,2,IF(AX227=1,3,IF(AY227=1,4,IF(AZ227=1,5,IF(BA227=1,6,7))))))</f>
        <v>4</v>
      </c>
      <c r="BD227" s="65" t="n">
        <f aca="false">IF(AD227=1,CHOOSE('Historical Score'!$C$29,AV227,AW227,AX227,AY227,AZ227,BA227,BB227),0)</f>
        <v>0</v>
      </c>
      <c r="BE227" s="65" t="str">
        <f aca="false">IF(BD227=1,COUNTIF($BD$2:BD227,1),"")</f>
        <v/>
      </c>
    </row>
    <row r="228" customFormat="false" ht="15" hidden="false" customHeight="false" outlineLevel="0" collapsed="false">
      <c r="A228" s="65" t="s">
        <v>1114</v>
      </c>
      <c r="B228" s="65" t="s">
        <v>1115</v>
      </c>
      <c r="C228" s="65" t="s">
        <v>1116</v>
      </c>
      <c r="D228" s="65" t="s">
        <v>340</v>
      </c>
      <c r="E228" s="112" t="n">
        <v>45903</v>
      </c>
      <c r="F228" s="112" t="n">
        <v>45959</v>
      </c>
      <c r="G228" s="65" t="n">
        <v>4</v>
      </c>
      <c r="H228" s="65" t="s">
        <v>1037</v>
      </c>
      <c r="I228" s="65" t="s">
        <v>475</v>
      </c>
      <c r="J228" s="65" t="s">
        <v>373</v>
      </c>
      <c r="K228" s="65" t="s">
        <v>949</v>
      </c>
      <c r="L228" s="65" t="s">
        <v>64</v>
      </c>
      <c r="M228" s="113" t="n">
        <v>1.38</v>
      </c>
      <c r="N228" s="114" t="n">
        <v>30000</v>
      </c>
      <c r="O228" s="114" t="n">
        <v>0</v>
      </c>
      <c r="P228" s="114" t="n">
        <v>41400</v>
      </c>
      <c r="Q228" s="114" t="n">
        <v>3764.5</v>
      </c>
      <c r="R228" s="114" t="n">
        <v>37635.5</v>
      </c>
      <c r="S228" s="115" t="n">
        <v>0.0909299516908213</v>
      </c>
      <c r="T228" s="65" t="n">
        <v>22</v>
      </c>
      <c r="U228" s="65" t="n">
        <v>13</v>
      </c>
      <c r="V228" s="65" t="n">
        <v>91929.23</v>
      </c>
      <c r="W228" s="115" t="n">
        <v>0.0819</v>
      </c>
      <c r="X228" s="112" t="n">
        <v>41506</v>
      </c>
      <c r="Y228" s="65" t="str">
        <f aca="false">IF(I228="","No SIC",IFERROR(VLOOKUP(I228,Ref!$A$2:$B$65,2,FALSE()),"Unclassified"))</f>
        <v>Auto Repair &amp; Services</v>
      </c>
      <c r="Z228" s="65" t="str">
        <f aca="false">IF(T228="","",IF(T228&lt;12,"Daily","Weekly"))</f>
        <v>Weekly</v>
      </c>
      <c r="AA228" s="65" t="n">
        <f aca="false">IF(T228="",0,IF(T228&lt;12,T228*Controls!$B$29,T228*5))</f>
        <v>110</v>
      </c>
      <c r="AB228" s="65" t="n">
        <f aca="false">IF(E228="",0,NETWORKDAYS(E228,Controls!$B$36,Ref!$K$2:$K$42))</f>
        <v>246</v>
      </c>
      <c r="AC228" s="65" t="n">
        <f aca="false">IF(AND(AA228&gt;0,AB228&gt;=Controls!$B$39*AA228),1,0)</f>
        <v>1</v>
      </c>
      <c r="AD228" s="65" t="n">
        <f aca="false">IF(AND(E228&lt;&gt;"",E228&gt;=Controls!$B$37,E228&lt;=Controls!$B$38),1,0)</f>
        <v>1</v>
      </c>
      <c r="AE228" s="65" t="n">
        <f aca="false">IF(IFERROR(VLOOKUP(D228,Controls!$A$64:$E$74,2,FALSE()),"No")="Yes",1,0)</f>
        <v>1</v>
      </c>
      <c r="AF228" s="65" t="n">
        <f aca="false">IF(IFERROR(VLOOKUP(D228,Controls!$A$64:$E$74,3,FALSE()),"No")="Yes",1,0)</f>
        <v>0</v>
      </c>
      <c r="AG228" s="65" t="n">
        <f aca="false">IF(IFERROR(VLOOKUP(D228,Controls!$A$64:$E$74,4,FALSE()),"No")="Yes",1,0)</f>
        <v>0</v>
      </c>
      <c r="AH228" s="65" t="n">
        <f aca="false">IF(IFERROR(VLOOKUP(D228,Controls!$A$64:$E$74,5,FALSE()),"No")="Yes",1,0)</f>
        <v>0</v>
      </c>
      <c r="AI228" s="65" t="n">
        <f aca="false">IF(ISNUMBER(MATCH(D228,Controls!$A$64:$A$74,0)),1,0)</f>
        <v>1</v>
      </c>
      <c r="AJ228" s="65" t="n">
        <f aca="false">Q228-N228</f>
        <v>-26235.5</v>
      </c>
      <c r="AK228" s="65" t="n">
        <f aca="false">IF(AE228=1,MAX(0,N228-Q228),0)</f>
        <v>26235.5</v>
      </c>
      <c r="AL228" s="65" t="n">
        <f aca="false">IF(OR(V228="",V228=0),0,N228/V228)</f>
        <v>0.326337988472219</v>
      </c>
      <c r="AM228" s="65" t="n">
        <f aca="false">IF(OR(V228="",V228=0),0,1)</f>
        <v>1</v>
      </c>
      <c r="AN228" s="65" t="n">
        <f aca="false">IF(OR(E228="",F228=""),0,NETWORKDAYS(E228,F228,Ref!$K$2:$K$42))</f>
        <v>40</v>
      </c>
      <c r="AO228" s="65" t="n">
        <f aca="false">IF(L228="Renewal",1,0)</f>
        <v>0</v>
      </c>
      <c r="AP228" s="65" t="n">
        <f aca="false">AC228*AD228</f>
        <v>1</v>
      </c>
      <c r="AQ228" s="65" t="n">
        <f aca="false">IF(AND(G228&lt;&gt;"",'Historical Score'!$C$6&lt;&gt;""),IF(G228='Historical Score'!$C$6,1,0),0)</f>
        <v>0</v>
      </c>
      <c r="AR228" s="65" t="n">
        <f aca="false">IF(AND(L228&lt;&gt;"",'Historical Score'!$C$5&lt;&gt;""),IF(L228='Historical Score'!$C$5,1,0),0)</f>
        <v>1</v>
      </c>
      <c r="AS228" s="65" t="n">
        <f aca="false">IF(AND(Y228&lt;&gt;"",'Historical Score'!$C$7&lt;&gt;""),IF(Y228='Historical Score'!$C$7,1,0),0)</f>
        <v>0</v>
      </c>
      <c r="AT228" s="65" t="n">
        <f aca="false">IF(AND(K228&lt;&gt;"",'Historical Score'!$C$8&lt;&gt;""),IF(K228='Historical Score'!$C$8,1,0),0)</f>
        <v>0</v>
      </c>
      <c r="AU228" s="65" t="n">
        <f aca="false">IF(AND(J228&lt;&gt;"",'Historical Score'!$C$9&lt;&gt;""),IF(J228='Historical Score'!$C$9,1,0),0)</f>
        <v>0</v>
      </c>
      <c r="AV228" s="65" t="n">
        <f aca="false">AR228*AS228*AQ228</f>
        <v>0</v>
      </c>
      <c r="AW228" s="65" t="n">
        <f aca="false">AR228*AT228*AQ228</f>
        <v>0</v>
      </c>
      <c r="AX228" s="65" t="n">
        <f aca="false">AR228*AS228</f>
        <v>0</v>
      </c>
      <c r="AY228" s="65" t="n">
        <f aca="false">AR228*AT228</f>
        <v>0</v>
      </c>
      <c r="AZ228" s="65" t="n">
        <f aca="false">AR228*AQ228</f>
        <v>0</v>
      </c>
      <c r="BA228" s="65" t="n">
        <f aca="false">AR228</f>
        <v>1</v>
      </c>
      <c r="BB228" s="65" t="n">
        <f aca="false">1</f>
        <v>1</v>
      </c>
      <c r="BC228" s="65" t="n">
        <f aca="false">IF(AV228=1,1,IF(AW228=1,2,IF(AX228=1,3,IF(AY228=1,4,IF(AZ228=1,5,IF(BA228=1,6,7))))))</f>
        <v>6</v>
      </c>
      <c r="BD228" s="65" t="n">
        <f aca="false">IF(AD228=1,CHOOSE('Historical Score'!$C$29,AV228,AW228,AX228,AY228,AZ228,BA228,BB228),0)</f>
        <v>0</v>
      </c>
      <c r="BE228" s="65" t="str">
        <f aca="false">IF(BD228=1,COUNTIF($BD$2:BD228,1),"")</f>
        <v/>
      </c>
    </row>
    <row r="229" customFormat="false" ht="15" hidden="false" customHeight="false" outlineLevel="0" collapsed="false">
      <c r="A229" s="65" t="s">
        <v>1117</v>
      </c>
      <c r="B229" s="65" t="s">
        <v>861</v>
      </c>
      <c r="C229" s="65" t="s">
        <v>861</v>
      </c>
      <c r="D229" s="65" t="s">
        <v>371</v>
      </c>
      <c r="E229" s="112" t="n">
        <v>45903</v>
      </c>
      <c r="F229" s="112" t="n">
        <v>45986</v>
      </c>
      <c r="G229" s="65" t="n">
        <v>3</v>
      </c>
      <c r="H229" s="65" t="s">
        <v>442</v>
      </c>
      <c r="I229" s="65" t="s">
        <v>443</v>
      </c>
      <c r="J229" s="65" t="s">
        <v>452</v>
      </c>
      <c r="K229" s="65" t="s">
        <v>862</v>
      </c>
      <c r="L229" s="65" t="s">
        <v>320</v>
      </c>
      <c r="M229" s="113" t="n">
        <v>1.49</v>
      </c>
      <c r="N229" s="114" t="n">
        <v>18000</v>
      </c>
      <c r="O229" s="114" t="n">
        <v>2520</v>
      </c>
      <c r="P229" s="114" t="n">
        <v>26820</v>
      </c>
      <c r="Q229" s="114" t="n">
        <v>26820</v>
      </c>
      <c r="R229" s="114" t="n">
        <v>0</v>
      </c>
      <c r="S229" s="115" t="n">
        <v>1</v>
      </c>
      <c r="T229" s="65" t="n">
        <v>3.279</v>
      </c>
      <c r="U229" s="65" t="n">
        <v>0</v>
      </c>
      <c r="V229" s="65" t="n">
        <v>50449.57</v>
      </c>
      <c r="W229" s="115" t="n">
        <v>0.0998</v>
      </c>
      <c r="X229" s="112" t="n">
        <v>43647</v>
      </c>
      <c r="Y229" s="65" t="str">
        <f aca="false">IF(I229="","No SIC",IFERROR(VLOOKUP(I229,Ref!$A$2:$B$65,2,FALSE()),"Unclassified"))</f>
        <v>General Building Contractors</v>
      </c>
      <c r="Z229" s="65" t="str">
        <f aca="false">IF(T229="","",IF(T229&lt;12,"Daily","Weekly"))</f>
        <v>Daily</v>
      </c>
      <c r="AA229" s="65" t="n">
        <f aca="false">IF(T229="",0,IF(T229&lt;12,T229*Controls!$B$29,T229*5))</f>
        <v>71.006745</v>
      </c>
      <c r="AB229" s="65" t="n">
        <f aca="false">IF(E229="",0,NETWORKDAYS(E229,Controls!$B$36,Ref!$K$2:$K$42))</f>
        <v>246</v>
      </c>
      <c r="AC229" s="65" t="n">
        <f aca="false">IF(AND(AA229&gt;0,AB229&gt;=Controls!$B$39*AA229),1,0)</f>
        <v>1</v>
      </c>
      <c r="AD229" s="65" t="n">
        <f aca="false">IF(AND(E229&lt;&gt;"",E229&gt;=Controls!$B$37,E229&lt;=Controls!$B$38),1,0)</f>
        <v>1</v>
      </c>
      <c r="AE229" s="65" t="n">
        <f aca="false">IF(IFERROR(VLOOKUP(D229,Controls!$A$64:$E$74,2,FALSE()),"No")="Yes",1,0)</f>
        <v>0</v>
      </c>
      <c r="AF229" s="65" t="n">
        <f aca="false">IF(IFERROR(VLOOKUP(D229,Controls!$A$64:$E$74,3,FALSE()),"No")="Yes",1,0)</f>
        <v>1</v>
      </c>
      <c r="AG229" s="65" t="n">
        <f aca="false">IF(IFERROR(VLOOKUP(D229,Controls!$A$64:$E$74,4,FALSE()),"No")="Yes",1,0)</f>
        <v>1</v>
      </c>
      <c r="AH229" s="65" t="n">
        <f aca="false">IF(IFERROR(VLOOKUP(D229,Controls!$A$64:$E$74,5,FALSE()),"No")="Yes",1,0)</f>
        <v>0</v>
      </c>
      <c r="AI229" s="65" t="n">
        <f aca="false">IF(ISNUMBER(MATCH(D229,Controls!$A$64:$A$74,0)),1,0)</f>
        <v>1</v>
      </c>
      <c r="AJ229" s="65" t="n">
        <f aca="false">Q229-N229</f>
        <v>8820</v>
      </c>
      <c r="AK229" s="65" t="n">
        <f aca="false">IF(AE229=1,MAX(0,N229-Q229),0)</f>
        <v>0</v>
      </c>
      <c r="AL229" s="65" t="n">
        <f aca="false">IF(OR(V229="",V229=0),0,N229/V229)</f>
        <v>0.356791940942212</v>
      </c>
      <c r="AM229" s="65" t="n">
        <f aca="false">IF(OR(V229="",V229=0),0,1)</f>
        <v>1</v>
      </c>
      <c r="AN229" s="65" t="n">
        <f aca="false">IF(OR(E229="",F229=""),0,NETWORKDAYS(E229,F229,Ref!$K$2:$K$42))</f>
        <v>58</v>
      </c>
      <c r="AO229" s="65" t="n">
        <f aca="false">IF(L229="Renewal",1,0)</f>
        <v>1</v>
      </c>
      <c r="AP229" s="65" t="n">
        <f aca="false">AC229*AD229</f>
        <v>1</v>
      </c>
      <c r="AQ229" s="65" t="n">
        <f aca="false">IF(AND(G229&lt;&gt;"",'Historical Score'!$C$6&lt;&gt;""),IF(G229='Historical Score'!$C$6,1,0),0)</f>
        <v>0</v>
      </c>
      <c r="AR229" s="65" t="n">
        <f aca="false">IF(AND(L229&lt;&gt;"",'Historical Score'!$C$5&lt;&gt;""),IF(L229='Historical Score'!$C$5,1,0),0)</f>
        <v>0</v>
      </c>
      <c r="AS229" s="65" t="n">
        <f aca="false">IF(AND(Y229&lt;&gt;"",'Historical Score'!$C$7&lt;&gt;""),IF(Y229='Historical Score'!$C$7,1,0),0)</f>
        <v>1</v>
      </c>
      <c r="AT229" s="65" t="n">
        <f aca="false">IF(AND(K229&lt;&gt;"",'Historical Score'!$C$8&lt;&gt;""),IF(K229='Historical Score'!$C$8,1,0),0)</f>
        <v>0</v>
      </c>
      <c r="AU229" s="65" t="n">
        <f aca="false">IF(AND(J229&lt;&gt;"",'Historical Score'!$C$9&lt;&gt;""),IF(J229='Historical Score'!$C$9,1,0),0)</f>
        <v>0</v>
      </c>
      <c r="AV229" s="65" t="n">
        <f aca="false">AR229*AS229*AQ229</f>
        <v>0</v>
      </c>
      <c r="AW229" s="65" t="n">
        <f aca="false">AR229*AT229*AQ229</f>
        <v>0</v>
      </c>
      <c r="AX229" s="65" t="n">
        <f aca="false">AR229*AS229</f>
        <v>0</v>
      </c>
      <c r="AY229" s="65" t="n">
        <f aca="false">AR229*AT229</f>
        <v>0</v>
      </c>
      <c r="AZ229" s="65" t="n">
        <f aca="false">AR229*AQ229</f>
        <v>0</v>
      </c>
      <c r="BA229" s="65" t="n">
        <f aca="false">AR229</f>
        <v>0</v>
      </c>
      <c r="BB229" s="65" t="n">
        <f aca="false">1</f>
        <v>1</v>
      </c>
      <c r="BC229" s="65" t="n">
        <f aca="false">IF(AV229=1,1,IF(AW229=1,2,IF(AX229=1,3,IF(AY229=1,4,IF(AZ229=1,5,IF(BA229=1,6,7))))))</f>
        <v>7</v>
      </c>
      <c r="BD229" s="65" t="n">
        <f aca="false">IF(AD229=1,CHOOSE('Historical Score'!$C$29,AV229,AW229,AX229,AY229,AZ229,BA229,BB229),0)</f>
        <v>0</v>
      </c>
      <c r="BE229" s="65" t="str">
        <f aca="false">IF(BD229=1,COUNTIF($BD$2:BD229,1),"")</f>
        <v/>
      </c>
    </row>
    <row r="230" customFormat="false" ht="15" hidden="false" customHeight="false" outlineLevel="0" collapsed="false">
      <c r="A230" s="65" t="s">
        <v>1118</v>
      </c>
      <c r="B230" s="65" t="s">
        <v>1119</v>
      </c>
      <c r="C230" s="65" t="s">
        <v>1119</v>
      </c>
      <c r="D230" s="65" t="s">
        <v>371</v>
      </c>
      <c r="E230" s="112" t="n">
        <v>45904</v>
      </c>
      <c r="F230" s="112" t="n">
        <v>46055</v>
      </c>
      <c r="G230" s="65" t="n">
        <v>2</v>
      </c>
      <c r="H230" s="65" t="s">
        <v>500</v>
      </c>
      <c r="I230" s="65" t="s">
        <v>475</v>
      </c>
      <c r="J230" s="65" t="s">
        <v>506</v>
      </c>
      <c r="K230" s="65" t="s">
        <v>1120</v>
      </c>
      <c r="L230" s="65" t="s">
        <v>64</v>
      </c>
      <c r="M230" s="113" t="n">
        <v>1.499</v>
      </c>
      <c r="N230" s="114" t="n">
        <v>10000</v>
      </c>
      <c r="O230" s="114" t="n">
        <v>1400</v>
      </c>
      <c r="P230" s="114" t="n">
        <v>14990</v>
      </c>
      <c r="Q230" s="114" t="n">
        <v>14990</v>
      </c>
      <c r="R230" s="114" t="n">
        <v>1.81898940354586E-012</v>
      </c>
      <c r="S230" s="115" t="n">
        <v>1</v>
      </c>
      <c r="T230" s="65" t="n">
        <v>2.951</v>
      </c>
      <c r="U230" s="65" t="n">
        <v>11</v>
      </c>
      <c r="V230" s="65" t="n">
        <v>32903.61</v>
      </c>
      <c r="W230" s="115" t="n">
        <v>0.1057</v>
      </c>
      <c r="X230" s="112"/>
      <c r="Y230" s="65" t="str">
        <f aca="false">IF(I230="","No SIC",IFERROR(VLOOKUP(I230,Ref!$A$2:$B$65,2,FALSE()),"Unclassified"))</f>
        <v>Auto Repair &amp; Services</v>
      </c>
      <c r="Z230" s="65" t="str">
        <f aca="false">IF(T230="","",IF(T230&lt;12,"Daily","Weekly"))</f>
        <v>Daily</v>
      </c>
      <c r="AA230" s="65" t="n">
        <f aca="false">IF(T230="",0,IF(T230&lt;12,T230*Controls!$B$29,T230*5))</f>
        <v>63.903905</v>
      </c>
      <c r="AB230" s="65" t="n">
        <f aca="false">IF(E230="",0,NETWORKDAYS(E230,Controls!$B$36,Ref!$K$2:$K$42))</f>
        <v>245</v>
      </c>
      <c r="AC230" s="65" t="n">
        <f aca="false">IF(AND(AA230&gt;0,AB230&gt;=Controls!$B$39*AA230),1,0)</f>
        <v>1</v>
      </c>
      <c r="AD230" s="65" t="n">
        <f aca="false">IF(AND(E230&lt;&gt;"",E230&gt;=Controls!$B$37,E230&lt;=Controls!$B$38),1,0)</f>
        <v>1</v>
      </c>
      <c r="AE230" s="65" t="n">
        <f aca="false">IF(IFERROR(VLOOKUP(D230,Controls!$A$64:$E$74,2,FALSE()),"No")="Yes",1,0)</f>
        <v>0</v>
      </c>
      <c r="AF230" s="65" t="n">
        <f aca="false">IF(IFERROR(VLOOKUP(D230,Controls!$A$64:$E$74,3,FALSE()),"No")="Yes",1,0)</f>
        <v>1</v>
      </c>
      <c r="AG230" s="65" t="n">
        <f aca="false">IF(IFERROR(VLOOKUP(D230,Controls!$A$64:$E$74,4,FALSE()),"No")="Yes",1,0)</f>
        <v>1</v>
      </c>
      <c r="AH230" s="65" t="n">
        <f aca="false">IF(IFERROR(VLOOKUP(D230,Controls!$A$64:$E$74,5,FALSE()),"No")="Yes",1,0)</f>
        <v>0</v>
      </c>
      <c r="AI230" s="65" t="n">
        <f aca="false">IF(ISNUMBER(MATCH(D230,Controls!$A$64:$A$74,0)),1,0)</f>
        <v>1</v>
      </c>
      <c r="AJ230" s="65" t="n">
        <f aca="false">Q230-N230</f>
        <v>4990</v>
      </c>
      <c r="AK230" s="65" t="n">
        <f aca="false">IF(AE230=1,MAX(0,N230-Q230),0)</f>
        <v>0</v>
      </c>
      <c r="AL230" s="65" t="n">
        <f aca="false">IF(OR(V230="",V230=0),0,N230/V230)</f>
        <v>0.30391801993763</v>
      </c>
      <c r="AM230" s="65" t="n">
        <f aca="false">IF(OR(V230="",V230=0),0,1)</f>
        <v>1</v>
      </c>
      <c r="AN230" s="65" t="n">
        <f aca="false">IF(OR(E230="",F230=""),0,NETWORKDAYS(E230,F230,Ref!$K$2:$K$42))</f>
        <v>102</v>
      </c>
      <c r="AO230" s="65" t="n">
        <f aca="false">IF(L230="Renewal",1,0)</f>
        <v>0</v>
      </c>
      <c r="AP230" s="65" t="n">
        <f aca="false">AC230*AD230</f>
        <v>1</v>
      </c>
      <c r="AQ230" s="65" t="n">
        <f aca="false">IF(AND(G230&lt;&gt;"",'Historical Score'!$C$6&lt;&gt;""),IF(G230='Historical Score'!$C$6,1,0),0)</f>
        <v>1</v>
      </c>
      <c r="AR230" s="65" t="n">
        <f aca="false">IF(AND(L230&lt;&gt;"",'Historical Score'!$C$5&lt;&gt;""),IF(L230='Historical Score'!$C$5,1,0),0)</f>
        <v>1</v>
      </c>
      <c r="AS230" s="65" t="n">
        <f aca="false">IF(AND(Y230&lt;&gt;"",'Historical Score'!$C$7&lt;&gt;""),IF(Y230='Historical Score'!$C$7,1,0),0)</f>
        <v>0</v>
      </c>
      <c r="AT230" s="65" t="n">
        <f aca="false">IF(AND(K230&lt;&gt;"",'Historical Score'!$C$8&lt;&gt;""),IF(K230='Historical Score'!$C$8,1,0),0)</f>
        <v>0</v>
      </c>
      <c r="AU230" s="65" t="n">
        <f aca="false">IF(AND(J230&lt;&gt;"",'Historical Score'!$C$9&lt;&gt;""),IF(J230='Historical Score'!$C$9,1,0),0)</f>
        <v>0</v>
      </c>
      <c r="AV230" s="65" t="n">
        <f aca="false">AR230*AS230*AQ230</f>
        <v>0</v>
      </c>
      <c r="AW230" s="65" t="n">
        <f aca="false">AR230*AT230*AQ230</f>
        <v>0</v>
      </c>
      <c r="AX230" s="65" t="n">
        <f aca="false">AR230*AS230</f>
        <v>0</v>
      </c>
      <c r="AY230" s="65" t="n">
        <f aca="false">AR230*AT230</f>
        <v>0</v>
      </c>
      <c r="AZ230" s="65" t="n">
        <f aca="false">AR230*AQ230</f>
        <v>1</v>
      </c>
      <c r="BA230" s="65" t="n">
        <f aca="false">AR230</f>
        <v>1</v>
      </c>
      <c r="BB230" s="65" t="n">
        <f aca="false">1</f>
        <v>1</v>
      </c>
      <c r="BC230" s="65" t="n">
        <f aca="false">IF(AV230=1,1,IF(AW230=1,2,IF(AX230=1,3,IF(AY230=1,4,IF(AZ230=1,5,IF(BA230=1,6,7))))))</f>
        <v>5</v>
      </c>
      <c r="BD230" s="65" t="n">
        <f aca="false">IF(AD230=1,CHOOSE('Historical Score'!$C$29,AV230,AW230,AX230,AY230,AZ230,BA230,BB230),0)</f>
        <v>0</v>
      </c>
      <c r="BE230" s="65" t="str">
        <f aca="false">IF(BD230=1,COUNTIF($BD$2:BD230,1),"")</f>
        <v/>
      </c>
    </row>
    <row r="231" customFormat="false" ht="15" hidden="false" customHeight="false" outlineLevel="0" collapsed="false">
      <c r="A231" s="65" t="s">
        <v>1121</v>
      </c>
      <c r="B231" s="65" t="s">
        <v>1122</v>
      </c>
      <c r="C231" s="65" t="s">
        <v>1123</v>
      </c>
      <c r="D231" s="65" t="s">
        <v>340</v>
      </c>
      <c r="E231" s="112" t="n">
        <v>45904</v>
      </c>
      <c r="F231" s="112" t="n">
        <v>45938</v>
      </c>
      <c r="G231" s="65" t="n">
        <v>2</v>
      </c>
      <c r="H231" s="65" t="s">
        <v>1124</v>
      </c>
      <c r="I231" s="65" t="s">
        <v>415</v>
      </c>
      <c r="J231" s="65" t="s">
        <v>61</v>
      </c>
      <c r="K231" s="65" t="s">
        <v>827</v>
      </c>
      <c r="L231" s="65" t="s">
        <v>64</v>
      </c>
      <c r="M231" s="113" t="n">
        <v>1.49</v>
      </c>
      <c r="N231" s="114" t="n">
        <v>30000</v>
      </c>
      <c r="O231" s="114" t="n">
        <v>4200</v>
      </c>
      <c r="P231" s="114" t="n">
        <v>44700</v>
      </c>
      <c r="Q231" s="114" t="n">
        <v>6796</v>
      </c>
      <c r="R231" s="114" t="n">
        <v>37904</v>
      </c>
      <c r="S231" s="115" t="n">
        <v>0.152035794183445</v>
      </c>
      <c r="T231" s="65" t="n">
        <v>26</v>
      </c>
      <c r="U231" s="65" t="n">
        <v>1</v>
      </c>
      <c r="V231" s="65" t="n">
        <v>82340.97</v>
      </c>
      <c r="W231" s="115" t="n">
        <v>0.0825</v>
      </c>
      <c r="X231" s="112" t="n">
        <v>44409</v>
      </c>
      <c r="Y231" s="65" t="str">
        <f aca="false">IF(I231="","No SIC",IFERROR(VLOOKUP(I231,Ref!$A$2:$B$65,2,FALSE()),"Unclassified"))</f>
        <v>Wholesale Trade - Durable Goods</v>
      </c>
      <c r="Z231" s="65" t="str">
        <f aca="false">IF(T231="","",IF(T231&lt;12,"Daily","Weekly"))</f>
        <v>Weekly</v>
      </c>
      <c r="AA231" s="65" t="n">
        <f aca="false">IF(T231="",0,IF(T231&lt;12,T231*Controls!$B$29,T231*5))</f>
        <v>130</v>
      </c>
      <c r="AB231" s="65" t="n">
        <f aca="false">IF(E231="",0,NETWORKDAYS(E231,Controls!$B$36,Ref!$K$2:$K$42))</f>
        <v>245</v>
      </c>
      <c r="AC231" s="65" t="n">
        <f aca="false">IF(AND(AA231&gt;0,AB231&gt;=Controls!$B$39*AA231),1,0)</f>
        <v>1</v>
      </c>
      <c r="AD231" s="65" t="n">
        <f aca="false">IF(AND(E231&lt;&gt;"",E231&gt;=Controls!$B$37,E231&lt;=Controls!$B$38),1,0)</f>
        <v>1</v>
      </c>
      <c r="AE231" s="65" t="n">
        <f aca="false">IF(IFERROR(VLOOKUP(D231,Controls!$A$64:$E$74,2,FALSE()),"No")="Yes",1,0)</f>
        <v>1</v>
      </c>
      <c r="AF231" s="65" t="n">
        <f aca="false">IF(IFERROR(VLOOKUP(D231,Controls!$A$64:$E$74,3,FALSE()),"No")="Yes",1,0)</f>
        <v>0</v>
      </c>
      <c r="AG231" s="65" t="n">
        <f aca="false">IF(IFERROR(VLOOKUP(D231,Controls!$A$64:$E$74,4,FALSE()),"No")="Yes",1,0)</f>
        <v>0</v>
      </c>
      <c r="AH231" s="65" t="n">
        <f aca="false">IF(IFERROR(VLOOKUP(D231,Controls!$A$64:$E$74,5,FALSE()),"No")="Yes",1,0)</f>
        <v>0</v>
      </c>
      <c r="AI231" s="65" t="n">
        <f aca="false">IF(ISNUMBER(MATCH(D231,Controls!$A$64:$A$74,0)),1,0)</f>
        <v>1</v>
      </c>
      <c r="AJ231" s="65" t="n">
        <f aca="false">Q231-N231</f>
        <v>-23204</v>
      </c>
      <c r="AK231" s="65" t="n">
        <f aca="false">IF(AE231=1,MAX(0,N231-Q231),0)</f>
        <v>23204</v>
      </c>
      <c r="AL231" s="65" t="n">
        <f aca="false">IF(OR(V231="",V231=0),0,N231/V231)</f>
        <v>0.364338676117126</v>
      </c>
      <c r="AM231" s="65" t="n">
        <f aca="false">IF(OR(V231="",V231=0),0,1)</f>
        <v>1</v>
      </c>
      <c r="AN231" s="65" t="n">
        <f aca="false">IF(OR(E231="",F231=""),0,NETWORKDAYS(E231,F231,Ref!$K$2:$K$42))</f>
        <v>25</v>
      </c>
      <c r="AO231" s="65" t="n">
        <f aca="false">IF(L231="Renewal",1,0)</f>
        <v>0</v>
      </c>
      <c r="AP231" s="65" t="n">
        <f aca="false">AC231*AD231</f>
        <v>1</v>
      </c>
      <c r="AQ231" s="65" t="n">
        <f aca="false">IF(AND(G231&lt;&gt;"",'Historical Score'!$C$6&lt;&gt;""),IF(G231='Historical Score'!$C$6,1,0),0)</f>
        <v>1</v>
      </c>
      <c r="AR231" s="65" t="n">
        <f aca="false">IF(AND(L231&lt;&gt;"",'Historical Score'!$C$5&lt;&gt;""),IF(L231='Historical Score'!$C$5,1,0),0)</f>
        <v>1</v>
      </c>
      <c r="AS231" s="65" t="n">
        <f aca="false">IF(AND(Y231&lt;&gt;"",'Historical Score'!$C$7&lt;&gt;""),IF(Y231='Historical Score'!$C$7,1,0),0)</f>
        <v>0</v>
      </c>
      <c r="AT231" s="65" t="n">
        <f aca="false">IF(AND(K231&lt;&gt;"",'Historical Score'!$C$8&lt;&gt;""),IF(K231='Historical Score'!$C$8,1,0),0)</f>
        <v>0</v>
      </c>
      <c r="AU231" s="65" t="n">
        <f aca="false">IF(AND(J231&lt;&gt;"",'Historical Score'!$C$9&lt;&gt;""),IF(J231='Historical Score'!$C$9,1,0),0)</f>
        <v>1</v>
      </c>
      <c r="AV231" s="65" t="n">
        <f aca="false">AR231*AS231*AQ231</f>
        <v>0</v>
      </c>
      <c r="AW231" s="65" t="n">
        <f aca="false">AR231*AT231*AQ231</f>
        <v>0</v>
      </c>
      <c r="AX231" s="65" t="n">
        <f aca="false">AR231*AS231</f>
        <v>0</v>
      </c>
      <c r="AY231" s="65" t="n">
        <f aca="false">AR231*AT231</f>
        <v>0</v>
      </c>
      <c r="AZ231" s="65" t="n">
        <f aca="false">AR231*AQ231</f>
        <v>1</v>
      </c>
      <c r="BA231" s="65" t="n">
        <f aca="false">AR231</f>
        <v>1</v>
      </c>
      <c r="BB231" s="65" t="n">
        <f aca="false">1</f>
        <v>1</v>
      </c>
      <c r="BC231" s="65" t="n">
        <f aca="false">IF(AV231=1,1,IF(AW231=1,2,IF(AX231=1,3,IF(AY231=1,4,IF(AZ231=1,5,IF(BA231=1,6,7))))))</f>
        <v>5</v>
      </c>
      <c r="BD231" s="65" t="n">
        <f aca="false">IF(AD231=1,CHOOSE('Historical Score'!$C$29,AV231,AW231,AX231,AY231,AZ231,BA231,BB231),0)</f>
        <v>0</v>
      </c>
      <c r="BE231" s="65" t="str">
        <f aca="false">IF(BD231=1,COUNTIF($BD$2:BD231,1),"")</f>
        <v/>
      </c>
    </row>
    <row r="232" customFormat="false" ht="15" hidden="false" customHeight="false" outlineLevel="0" collapsed="false">
      <c r="A232" s="65" t="s">
        <v>1125</v>
      </c>
      <c r="B232" s="65" t="s">
        <v>1126</v>
      </c>
      <c r="C232" s="65" t="s">
        <v>1126</v>
      </c>
      <c r="D232" s="65" t="s">
        <v>340</v>
      </c>
      <c r="E232" s="112" t="n">
        <v>45904</v>
      </c>
      <c r="F232" s="112" t="n">
        <v>46031</v>
      </c>
      <c r="G232" s="65" t="n">
        <v>3</v>
      </c>
      <c r="H232" s="65" t="s">
        <v>442</v>
      </c>
      <c r="I232" s="65" t="s">
        <v>443</v>
      </c>
      <c r="J232" s="65" t="s">
        <v>854</v>
      </c>
      <c r="K232" s="65" t="s">
        <v>55</v>
      </c>
      <c r="L232" s="65" t="s">
        <v>64</v>
      </c>
      <c r="M232" s="113" t="n">
        <v>1.499</v>
      </c>
      <c r="N232" s="114" t="n">
        <v>15000</v>
      </c>
      <c r="O232" s="114" t="n">
        <v>2100</v>
      </c>
      <c r="P232" s="114" t="n">
        <v>22485</v>
      </c>
      <c r="Q232" s="114" t="n">
        <v>4965</v>
      </c>
      <c r="R232" s="114" t="n">
        <v>17520</v>
      </c>
      <c r="S232" s="115" t="n">
        <v>0.220813875917278</v>
      </c>
      <c r="T232" s="65" t="n">
        <v>18</v>
      </c>
      <c r="U232" s="65" t="n">
        <v>14</v>
      </c>
      <c r="V232" s="65" t="n">
        <v>137534.52</v>
      </c>
      <c r="W232" s="115" t="n">
        <v>0.0361</v>
      </c>
      <c r="X232" s="112"/>
      <c r="Y232" s="65" t="str">
        <f aca="false">IF(I232="","No SIC",IFERROR(VLOOKUP(I232,Ref!$A$2:$B$65,2,FALSE()),"Unclassified"))</f>
        <v>General Building Contractors</v>
      </c>
      <c r="Z232" s="65" t="str">
        <f aca="false">IF(T232="","",IF(T232&lt;12,"Daily","Weekly"))</f>
        <v>Weekly</v>
      </c>
      <c r="AA232" s="65" t="n">
        <f aca="false">IF(T232="",0,IF(T232&lt;12,T232*Controls!$B$29,T232*5))</f>
        <v>90</v>
      </c>
      <c r="AB232" s="65" t="n">
        <f aca="false">IF(E232="",0,NETWORKDAYS(E232,Controls!$B$36,Ref!$K$2:$K$42))</f>
        <v>245</v>
      </c>
      <c r="AC232" s="65" t="n">
        <f aca="false">IF(AND(AA232&gt;0,AB232&gt;=Controls!$B$39*AA232),1,0)</f>
        <v>1</v>
      </c>
      <c r="AD232" s="65" t="n">
        <f aca="false">IF(AND(E232&lt;&gt;"",E232&gt;=Controls!$B$37,E232&lt;=Controls!$B$38),1,0)</f>
        <v>1</v>
      </c>
      <c r="AE232" s="65" t="n">
        <f aca="false">IF(IFERROR(VLOOKUP(D232,Controls!$A$64:$E$74,2,FALSE()),"No")="Yes",1,0)</f>
        <v>1</v>
      </c>
      <c r="AF232" s="65" t="n">
        <f aca="false">IF(IFERROR(VLOOKUP(D232,Controls!$A$64:$E$74,3,FALSE()),"No")="Yes",1,0)</f>
        <v>0</v>
      </c>
      <c r="AG232" s="65" t="n">
        <f aca="false">IF(IFERROR(VLOOKUP(D232,Controls!$A$64:$E$74,4,FALSE()),"No")="Yes",1,0)</f>
        <v>0</v>
      </c>
      <c r="AH232" s="65" t="n">
        <f aca="false">IF(IFERROR(VLOOKUP(D232,Controls!$A$64:$E$74,5,FALSE()),"No")="Yes",1,0)</f>
        <v>0</v>
      </c>
      <c r="AI232" s="65" t="n">
        <f aca="false">IF(ISNUMBER(MATCH(D232,Controls!$A$64:$A$74,0)),1,0)</f>
        <v>1</v>
      </c>
      <c r="AJ232" s="65" t="n">
        <f aca="false">Q232-N232</f>
        <v>-10035</v>
      </c>
      <c r="AK232" s="65" t="n">
        <f aca="false">IF(AE232=1,MAX(0,N232-Q232),0)</f>
        <v>10035</v>
      </c>
      <c r="AL232" s="65" t="n">
        <f aca="false">IF(OR(V232="",V232=0),0,N232/V232)</f>
        <v>0.109063528196412</v>
      </c>
      <c r="AM232" s="65" t="n">
        <f aca="false">IF(OR(V232="",V232=0),0,1)</f>
        <v>1</v>
      </c>
      <c r="AN232" s="65" t="n">
        <f aca="false">IF(OR(E232="",F232=""),0,NETWORKDAYS(E232,F232,Ref!$K$2:$K$42))</f>
        <v>87</v>
      </c>
      <c r="AO232" s="65" t="n">
        <f aca="false">IF(L232="Renewal",1,0)</f>
        <v>0</v>
      </c>
      <c r="AP232" s="65" t="n">
        <f aca="false">AC232*AD232</f>
        <v>1</v>
      </c>
      <c r="AQ232" s="65" t="n">
        <f aca="false">IF(AND(G232&lt;&gt;"",'Historical Score'!$C$6&lt;&gt;""),IF(G232='Historical Score'!$C$6,1,0),0)</f>
        <v>0</v>
      </c>
      <c r="AR232" s="65" t="n">
        <f aca="false">IF(AND(L232&lt;&gt;"",'Historical Score'!$C$5&lt;&gt;""),IF(L232='Historical Score'!$C$5,1,0),0)</f>
        <v>1</v>
      </c>
      <c r="AS232" s="65" t="n">
        <f aca="false">IF(AND(Y232&lt;&gt;"",'Historical Score'!$C$7&lt;&gt;""),IF(Y232='Historical Score'!$C$7,1,0),0)</f>
        <v>1</v>
      </c>
      <c r="AT232" s="65" t="n">
        <f aca="false">IF(AND(K232&lt;&gt;"",'Historical Score'!$C$8&lt;&gt;""),IF(K232='Historical Score'!$C$8,1,0),0)</f>
        <v>1</v>
      </c>
      <c r="AU232" s="65" t="n">
        <f aca="false">IF(AND(J232&lt;&gt;"",'Historical Score'!$C$9&lt;&gt;""),IF(J232='Historical Score'!$C$9,1,0),0)</f>
        <v>0</v>
      </c>
      <c r="AV232" s="65" t="n">
        <f aca="false">AR232*AS232*AQ232</f>
        <v>0</v>
      </c>
      <c r="AW232" s="65" t="n">
        <f aca="false">AR232*AT232*AQ232</f>
        <v>0</v>
      </c>
      <c r="AX232" s="65" t="n">
        <f aca="false">AR232*AS232</f>
        <v>1</v>
      </c>
      <c r="AY232" s="65" t="n">
        <f aca="false">AR232*AT232</f>
        <v>1</v>
      </c>
      <c r="AZ232" s="65" t="n">
        <f aca="false">AR232*AQ232</f>
        <v>0</v>
      </c>
      <c r="BA232" s="65" t="n">
        <f aca="false">AR232</f>
        <v>1</v>
      </c>
      <c r="BB232" s="65" t="n">
        <f aca="false">1</f>
        <v>1</v>
      </c>
      <c r="BC232" s="65" t="n">
        <f aca="false">IF(AV232=1,1,IF(AW232=1,2,IF(AX232=1,3,IF(AY232=1,4,IF(AZ232=1,5,IF(BA232=1,6,7))))))</f>
        <v>3</v>
      </c>
      <c r="BD232" s="65" t="n">
        <f aca="false">IF(AD232=1,CHOOSE('Historical Score'!$C$29,AV232,AW232,AX232,AY232,AZ232,BA232,BB232),0)</f>
        <v>0</v>
      </c>
      <c r="BE232" s="65" t="str">
        <f aca="false">IF(BD232=1,COUNTIF($BD$2:BD232,1),"")</f>
        <v/>
      </c>
    </row>
    <row r="233" customFormat="false" ht="15" hidden="false" customHeight="false" outlineLevel="0" collapsed="false">
      <c r="A233" s="65" t="s">
        <v>1127</v>
      </c>
      <c r="B233" s="65" t="s">
        <v>879</v>
      </c>
      <c r="C233" s="65" t="s">
        <v>880</v>
      </c>
      <c r="D233" s="65" t="s">
        <v>371</v>
      </c>
      <c r="E233" s="112" t="n">
        <v>45904</v>
      </c>
      <c r="F233" s="112" t="n">
        <v>45973</v>
      </c>
      <c r="G233" s="65" t="n">
        <v>4</v>
      </c>
      <c r="H233" s="65" t="s">
        <v>748</v>
      </c>
      <c r="I233" s="65" t="s">
        <v>619</v>
      </c>
      <c r="J233" s="65" t="s">
        <v>432</v>
      </c>
      <c r="K233" s="65" t="s">
        <v>55</v>
      </c>
      <c r="L233" s="65" t="s">
        <v>320</v>
      </c>
      <c r="M233" s="113" t="n">
        <v>1.49</v>
      </c>
      <c r="N233" s="114" t="n">
        <v>20000</v>
      </c>
      <c r="O233" s="114" t="n">
        <v>2800</v>
      </c>
      <c r="P233" s="114" t="n">
        <v>29800</v>
      </c>
      <c r="Q233" s="114" t="n">
        <v>29800</v>
      </c>
      <c r="R233" s="114" t="n">
        <v>0</v>
      </c>
      <c r="S233" s="115" t="n">
        <v>1</v>
      </c>
      <c r="T233" s="65" t="n">
        <v>2.787</v>
      </c>
      <c r="U233" s="65" t="n">
        <v>0</v>
      </c>
      <c r="V233" s="65" t="n">
        <v>104379.99</v>
      </c>
      <c r="W233" s="115" t="n">
        <v>0.1042</v>
      </c>
      <c r="X233" s="112" t="n">
        <v>43221</v>
      </c>
      <c r="Y233" s="65" t="str">
        <f aca="false">IF(I233="","No SIC",IFERROR(VLOOKUP(I233,Ref!$A$2:$B$65,2,FALSE()),"Unclassified"))</f>
        <v>Miscellaneous Retail</v>
      </c>
      <c r="Z233" s="65" t="str">
        <f aca="false">IF(T233="","",IF(T233&lt;12,"Daily","Weekly"))</f>
        <v>Daily</v>
      </c>
      <c r="AA233" s="65" t="n">
        <f aca="false">IF(T233="",0,IF(T233&lt;12,T233*Controls!$B$29,T233*5))</f>
        <v>60.352485</v>
      </c>
      <c r="AB233" s="65" t="n">
        <f aca="false">IF(E233="",0,NETWORKDAYS(E233,Controls!$B$36,Ref!$K$2:$K$42))</f>
        <v>245</v>
      </c>
      <c r="AC233" s="65" t="n">
        <f aca="false">IF(AND(AA233&gt;0,AB233&gt;=Controls!$B$39*AA233),1,0)</f>
        <v>1</v>
      </c>
      <c r="AD233" s="65" t="n">
        <f aca="false">IF(AND(E233&lt;&gt;"",E233&gt;=Controls!$B$37,E233&lt;=Controls!$B$38),1,0)</f>
        <v>1</v>
      </c>
      <c r="AE233" s="65" t="n">
        <f aca="false">IF(IFERROR(VLOOKUP(D233,Controls!$A$64:$E$74,2,FALSE()),"No")="Yes",1,0)</f>
        <v>0</v>
      </c>
      <c r="AF233" s="65" t="n">
        <f aca="false">IF(IFERROR(VLOOKUP(D233,Controls!$A$64:$E$74,3,FALSE()),"No")="Yes",1,0)</f>
        <v>1</v>
      </c>
      <c r="AG233" s="65" t="n">
        <f aca="false">IF(IFERROR(VLOOKUP(D233,Controls!$A$64:$E$74,4,FALSE()),"No")="Yes",1,0)</f>
        <v>1</v>
      </c>
      <c r="AH233" s="65" t="n">
        <f aca="false">IF(IFERROR(VLOOKUP(D233,Controls!$A$64:$E$74,5,FALSE()),"No")="Yes",1,0)</f>
        <v>0</v>
      </c>
      <c r="AI233" s="65" t="n">
        <f aca="false">IF(ISNUMBER(MATCH(D233,Controls!$A$64:$A$74,0)),1,0)</f>
        <v>1</v>
      </c>
      <c r="AJ233" s="65" t="n">
        <f aca="false">Q233-N233</f>
        <v>9800</v>
      </c>
      <c r="AK233" s="65" t="n">
        <f aca="false">IF(AE233=1,MAX(0,N233-Q233),0)</f>
        <v>0</v>
      </c>
      <c r="AL233" s="65" t="n">
        <f aca="false">IF(OR(V233="",V233=0),0,N233/V233)</f>
        <v>0.191607606017207</v>
      </c>
      <c r="AM233" s="65" t="n">
        <f aca="false">IF(OR(V233="",V233=0),0,1)</f>
        <v>1</v>
      </c>
      <c r="AN233" s="65" t="n">
        <f aca="false">IF(OR(E233="",F233=""),0,NETWORKDAYS(E233,F233,Ref!$K$2:$K$42))</f>
        <v>48</v>
      </c>
      <c r="AO233" s="65" t="n">
        <f aca="false">IF(L233="Renewal",1,0)</f>
        <v>1</v>
      </c>
      <c r="AP233" s="65" t="n">
        <f aca="false">AC233*AD233</f>
        <v>1</v>
      </c>
      <c r="AQ233" s="65" t="n">
        <f aca="false">IF(AND(G233&lt;&gt;"",'Historical Score'!$C$6&lt;&gt;""),IF(G233='Historical Score'!$C$6,1,0),0)</f>
        <v>0</v>
      </c>
      <c r="AR233" s="65" t="n">
        <f aca="false">IF(AND(L233&lt;&gt;"",'Historical Score'!$C$5&lt;&gt;""),IF(L233='Historical Score'!$C$5,1,0),0)</f>
        <v>0</v>
      </c>
      <c r="AS233" s="65" t="n">
        <f aca="false">IF(AND(Y233&lt;&gt;"",'Historical Score'!$C$7&lt;&gt;""),IF(Y233='Historical Score'!$C$7,1,0),0)</f>
        <v>0</v>
      </c>
      <c r="AT233" s="65" t="n">
        <f aca="false">IF(AND(K233&lt;&gt;"",'Historical Score'!$C$8&lt;&gt;""),IF(K233='Historical Score'!$C$8,1,0),0)</f>
        <v>1</v>
      </c>
      <c r="AU233" s="65" t="n">
        <f aca="false">IF(AND(J233&lt;&gt;"",'Historical Score'!$C$9&lt;&gt;""),IF(J233='Historical Score'!$C$9,1,0),0)</f>
        <v>0</v>
      </c>
      <c r="AV233" s="65" t="n">
        <f aca="false">AR233*AS233*AQ233</f>
        <v>0</v>
      </c>
      <c r="AW233" s="65" t="n">
        <f aca="false">AR233*AT233*AQ233</f>
        <v>0</v>
      </c>
      <c r="AX233" s="65" t="n">
        <f aca="false">AR233*AS233</f>
        <v>0</v>
      </c>
      <c r="AY233" s="65" t="n">
        <f aca="false">AR233*AT233</f>
        <v>0</v>
      </c>
      <c r="AZ233" s="65" t="n">
        <f aca="false">AR233*AQ233</f>
        <v>0</v>
      </c>
      <c r="BA233" s="65" t="n">
        <f aca="false">AR233</f>
        <v>0</v>
      </c>
      <c r="BB233" s="65" t="n">
        <f aca="false">1</f>
        <v>1</v>
      </c>
      <c r="BC233" s="65" t="n">
        <f aca="false">IF(AV233=1,1,IF(AW233=1,2,IF(AX233=1,3,IF(AY233=1,4,IF(AZ233=1,5,IF(BA233=1,6,7))))))</f>
        <v>7</v>
      </c>
      <c r="BD233" s="65" t="n">
        <f aca="false">IF(AD233=1,CHOOSE('Historical Score'!$C$29,AV233,AW233,AX233,AY233,AZ233,BA233,BB233),0)</f>
        <v>0</v>
      </c>
      <c r="BE233" s="65" t="str">
        <f aca="false">IF(BD233=1,COUNTIF($BD$2:BD233,1),"")</f>
        <v/>
      </c>
    </row>
    <row r="234" customFormat="false" ht="15" hidden="false" customHeight="false" outlineLevel="0" collapsed="false">
      <c r="A234" s="65" t="s">
        <v>1128</v>
      </c>
      <c r="B234" s="65" t="s">
        <v>1129</v>
      </c>
      <c r="C234" s="65" t="s">
        <v>1129</v>
      </c>
      <c r="D234" s="65" t="s">
        <v>371</v>
      </c>
      <c r="E234" s="112" t="n">
        <v>45904</v>
      </c>
      <c r="F234" s="112" t="n">
        <v>45985</v>
      </c>
      <c r="G234" s="65" t="n">
        <v>2</v>
      </c>
      <c r="H234" s="65" t="s">
        <v>1130</v>
      </c>
      <c r="I234" s="65" t="s">
        <v>668</v>
      </c>
      <c r="J234" s="65" t="s">
        <v>399</v>
      </c>
      <c r="K234" s="65" t="s">
        <v>55</v>
      </c>
      <c r="L234" s="65" t="s">
        <v>64</v>
      </c>
      <c r="M234" s="113" t="n">
        <v>1.499</v>
      </c>
      <c r="N234" s="114" t="n">
        <v>25000</v>
      </c>
      <c r="O234" s="114" t="n">
        <v>3500</v>
      </c>
      <c r="P234" s="114" t="n">
        <v>37475</v>
      </c>
      <c r="Q234" s="114" t="n">
        <v>37475</v>
      </c>
      <c r="R234" s="114" t="n">
        <v>0</v>
      </c>
      <c r="S234" s="115" t="n">
        <v>1</v>
      </c>
      <c r="T234" s="65" t="n">
        <v>24</v>
      </c>
      <c r="U234" s="65" t="n">
        <v>0</v>
      </c>
      <c r="V234" s="65" t="n">
        <v>78209.86</v>
      </c>
      <c r="W234" s="115" t="n">
        <v>0.0794</v>
      </c>
      <c r="X234" s="112"/>
      <c r="Y234" s="65" t="str">
        <f aca="false">IF(I234="","No SIC",IFERROR(VLOOKUP(I234,Ref!$A$2:$B$65,2,FALSE()),"Unclassified"))</f>
        <v>Auto Dealers &amp; Gas Stations</v>
      </c>
      <c r="Z234" s="65" t="str">
        <f aca="false">IF(T234="","",IF(T234&lt;12,"Daily","Weekly"))</f>
        <v>Weekly</v>
      </c>
      <c r="AA234" s="65" t="n">
        <f aca="false">IF(T234="",0,IF(T234&lt;12,T234*Controls!$B$29,T234*5))</f>
        <v>120</v>
      </c>
      <c r="AB234" s="65" t="n">
        <f aca="false">IF(E234="",0,NETWORKDAYS(E234,Controls!$B$36,Ref!$K$2:$K$42))</f>
        <v>245</v>
      </c>
      <c r="AC234" s="65" t="n">
        <f aca="false">IF(AND(AA234&gt;0,AB234&gt;=Controls!$B$39*AA234),1,0)</f>
        <v>1</v>
      </c>
      <c r="AD234" s="65" t="n">
        <f aca="false">IF(AND(E234&lt;&gt;"",E234&gt;=Controls!$B$37,E234&lt;=Controls!$B$38),1,0)</f>
        <v>1</v>
      </c>
      <c r="AE234" s="65" t="n">
        <f aca="false">IF(IFERROR(VLOOKUP(D234,Controls!$A$64:$E$74,2,FALSE()),"No")="Yes",1,0)</f>
        <v>0</v>
      </c>
      <c r="AF234" s="65" t="n">
        <f aca="false">IF(IFERROR(VLOOKUP(D234,Controls!$A$64:$E$74,3,FALSE()),"No")="Yes",1,0)</f>
        <v>1</v>
      </c>
      <c r="AG234" s="65" t="n">
        <f aca="false">IF(IFERROR(VLOOKUP(D234,Controls!$A$64:$E$74,4,FALSE()),"No")="Yes",1,0)</f>
        <v>1</v>
      </c>
      <c r="AH234" s="65" t="n">
        <f aca="false">IF(IFERROR(VLOOKUP(D234,Controls!$A$64:$E$74,5,FALSE()),"No")="Yes",1,0)</f>
        <v>0</v>
      </c>
      <c r="AI234" s="65" t="n">
        <f aca="false">IF(ISNUMBER(MATCH(D234,Controls!$A$64:$A$74,0)),1,0)</f>
        <v>1</v>
      </c>
      <c r="AJ234" s="65" t="n">
        <f aca="false">Q234-N234</f>
        <v>12475</v>
      </c>
      <c r="AK234" s="65" t="n">
        <f aca="false">IF(AE234=1,MAX(0,N234-Q234),0)</f>
        <v>0</v>
      </c>
      <c r="AL234" s="65" t="n">
        <f aca="false">IF(OR(V234="",V234=0),0,N234/V234)</f>
        <v>0.319652790581648</v>
      </c>
      <c r="AM234" s="65" t="n">
        <f aca="false">IF(OR(V234="",V234=0),0,1)</f>
        <v>1</v>
      </c>
      <c r="AN234" s="65" t="n">
        <f aca="false">IF(OR(E234="",F234=""),0,NETWORKDAYS(E234,F234,Ref!$K$2:$K$42))</f>
        <v>56</v>
      </c>
      <c r="AO234" s="65" t="n">
        <f aca="false">IF(L234="Renewal",1,0)</f>
        <v>0</v>
      </c>
      <c r="AP234" s="65" t="n">
        <f aca="false">AC234*AD234</f>
        <v>1</v>
      </c>
      <c r="AQ234" s="65" t="n">
        <f aca="false">IF(AND(G234&lt;&gt;"",'Historical Score'!$C$6&lt;&gt;""),IF(G234='Historical Score'!$C$6,1,0),0)</f>
        <v>1</v>
      </c>
      <c r="AR234" s="65" t="n">
        <f aca="false">IF(AND(L234&lt;&gt;"",'Historical Score'!$C$5&lt;&gt;""),IF(L234='Historical Score'!$C$5,1,0),0)</f>
        <v>1</v>
      </c>
      <c r="AS234" s="65" t="n">
        <f aca="false">IF(AND(Y234&lt;&gt;"",'Historical Score'!$C$7&lt;&gt;""),IF(Y234='Historical Score'!$C$7,1,0),0)</f>
        <v>0</v>
      </c>
      <c r="AT234" s="65" t="n">
        <f aca="false">IF(AND(K234&lt;&gt;"",'Historical Score'!$C$8&lt;&gt;""),IF(K234='Historical Score'!$C$8,1,0),0)</f>
        <v>1</v>
      </c>
      <c r="AU234" s="65" t="n">
        <f aca="false">IF(AND(J234&lt;&gt;"",'Historical Score'!$C$9&lt;&gt;""),IF(J234='Historical Score'!$C$9,1,0),0)</f>
        <v>0</v>
      </c>
      <c r="AV234" s="65" t="n">
        <f aca="false">AR234*AS234*AQ234</f>
        <v>0</v>
      </c>
      <c r="AW234" s="65" t="n">
        <f aca="false">AR234*AT234*AQ234</f>
        <v>1</v>
      </c>
      <c r="AX234" s="65" t="n">
        <f aca="false">AR234*AS234</f>
        <v>0</v>
      </c>
      <c r="AY234" s="65" t="n">
        <f aca="false">AR234*AT234</f>
        <v>1</v>
      </c>
      <c r="AZ234" s="65" t="n">
        <f aca="false">AR234*AQ234</f>
        <v>1</v>
      </c>
      <c r="BA234" s="65" t="n">
        <f aca="false">AR234</f>
        <v>1</v>
      </c>
      <c r="BB234" s="65" t="n">
        <f aca="false">1</f>
        <v>1</v>
      </c>
      <c r="BC234" s="65" t="n">
        <f aca="false">IF(AV234=1,1,IF(AW234=1,2,IF(AX234=1,3,IF(AY234=1,4,IF(AZ234=1,5,IF(BA234=1,6,7))))))</f>
        <v>2</v>
      </c>
      <c r="BD234" s="65" t="n">
        <f aca="false">IF(AD234=1,CHOOSE('Historical Score'!$C$29,AV234,AW234,AX234,AY234,AZ234,BA234,BB234),0)</f>
        <v>0</v>
      </c>
      <c r="BE234" s="65" t="str">
        <f aca="false">IF(BD234=1,COUNTIF($BD$2:BD234,1),"")</f>
        <v/>
      </c>
    </row>
    <row r="235" customFormat="false" ht="15" hidden="false" customHeight="false" outlineLevel="0" collapsed="false">
      <c r="A235" s="65" t="s">
        <v>1131</v>
      </c>
      <c r="B235" s="65" t="s">
        <v>571</v>
      </c>
      <c r="C235" s="65" t="s">
        <v>571</v>
      </c>
      <c r="D235" s="65" t="s">
        <v>371</v>
      </c>
      <c r="E235" s="112" t="n">
        <v>45904</v>
      </c>
      <c r="F235" s="112" t="n">
        <v>46014</v>
      </c>
      <c r="G235" s="65" t="n">
        <v>3</v>
      </c>
      <c r="H235" s="65" t="s">
        <v>572</v>
      </c>
      <c r="I235" s="65" t="s">
        <v>419</v>
      </c>
      <c r="J235" s="65" t="s">
        <v>732</v>
      </c>
      <c r="K235" s="65" t="s">
        <v>543</v>
      </c>
      <c r="L235" s="65" t="s">
        <v>320</v>
      </c>
      <c r="M235" s="113" t="n">
        <v>1.499</v>
      </c>
      <c r="N235" s="114" t="n">
        <v>7500</v>
      </c>
      <c r="O235" s="114" t="n">
        <v>1050</v>
      </c>
      <c r="P235" s="114" t="n">
        <v>11242.5</v>
      </c>
      <c r="Q235" s="114" t="n">
        <v>11242.5</v>
      </c>
      <c r="R235" s="114" t="n">
        <v>0</v>
      </c>
      <c r="S235" s="115" t="n">
        <v>1</v>
      </c>
      <c r="T235" s="65" t="n">
        <v>3.607</v>
      </c>
      <c r="U235" s="65" t="n">
        <v>0</v>
      </c>
      <c r="V235" s="65" t="n">
        <v>10878.25</v>
      </c>
      <c r="W235" s="115" t="n">
        <v>0.1973</v>
      </c>
      <c r="X235" s="112" t="n">
        <v>45280</v>
      </c>
      <c r="Y235" s="65" t="str">
        <f aca="false">IF(I235="","No SIC",IFERROR(VLOOKUP(I235,Ref!$A$2:$B$65,2,FALSE()),"Unclassified"))</f>
        <v>Business Services</v>
      </c>
      <c r="Z235" s="65" t="str">
        <f aca="false">IF(T235="","",IF(T235&lt;12,"Daily","Weekly"))</f>
        <v>Daily</v>
      </c>
      <c r="AA235" s="65" t="n">
        <f aca="false">IF(T235="",0,IF(T235&lt;12,T235*Controls!$B$29,T235*5))</f>
        <v>78.109585</v>
      </c>
      <c r="AB235" s="65" t="n">
        <f aca="false">IF(E235="",0,NETWORKDAYS(E235,Controls!$B$36,Ref!$K$2:$K$42))</f>
        <v>245</v>
      </c>
      <c r="AC235" s="65" t="n">
        <f aca="false">IF(AND(AA235&gt;0,AB235&gt;=Controls!$B$39*AA235),1,0)</f>
        <v>1</v>
      </c>
      <c r="AD235" s="65" t="n">
        <f aca="false">IF(AND(E235&lt;&gt;"",E235&gt;=Controls!$B$37,E235&lt;=Controls!$B$38),1,0)</f>
        <v>1</v>
      </c>
      <c r="AE235" s="65" t="n">
        <f aca="false">IF(IFERROR(VLOOKUP(D235,Controls!$A$64:$E$74,2,FALSE()),"No")="Yes",1,0)</f>
        <v>0</v>
      </c>
      <c r="AF235" s="65" t="n">
        <f aca="false">IF(IFERROR(VLOOKUP(D235,Controls!$A$64:$E$74,3,FALSE()),"No")="Yes",1,0)</f>
        <v>1</v>
      </c>
      <c r="AG235" s="65" t="n">
        <f aca="false">IF(IFERROR(VLOOKUP(D235,Controls!$A$64:$E$74,4,FALSE()),"No")="Yes",1,0)</f>
        <v>1</v>
      </c>
      <c r="AH235" s="65" t="n">
        <f aca="false">IF(IFERROR(VLOOKUP(D235,Controls!$A$64:$E$74,5,FALSE()),"No")="Yes",1,0)</f>
        <v>0</v>
      </c>
      <c r="AI235" s="65" t="n">
        <f aca="false">IF(ISNUMBER(MATCH(D235,Controls!$A$64:$A$74,0)),1,0)</f>
        <v>1</v>
      </c>
      <c r="AJ235" s="65" t="n">
        <f aca="false">Q235-N235</f>
        <v>3742.5</v>
      </c>
      <c r="AK235" s="65" t="n">
        <f aca="false">IF(AE235=1,MAX(0,N235-Q235),0)</f>
        <v>0</v>
      </c>
      <c r="AL235" s="65" t="n">
        <f aca="false">IF(OR(V235="",V235=0),0,N235/V235)</f>
        <v>0.689449130145014</v>
      </c>
      <c r="AM235" s="65" t="n">
        <f aca="false">IF(OR(V235="",V235=0),0,1)</f>
        <v>1</v>
      </c>
      <c r="AN235" s="65" t="n">
        <f aca="false">IF(OR(E235="",F235=""),0,NETWORKDAYS(E235,F235,Ref!$K$2:$K$42))</f>
        <v>76</v>
      </c>
      <c r="AO235" s="65" t="n">
        <f aca="false">IF(L235="Renewal",1,0)</f>
        <v>1</v>
      </c>
      <c r="AP235" s="65" t="n">
        <f aca="false">AC235*AD235</f>
        <v>1</v>
      </c>
      <c r="AQ235" s="65" t="n">
        <f aca="false">IF(AND(G235&lt;&gt;"",'Historical Score'!$C$6&lt;&gt;""),IF(G235='Historical Score'!$C$6,1,0),0)</f>
        <v>0</v>
      </c>
      <c r="AR235" s="65" t="n">
        <f aca="false">IF(AND(L235&lt;&gt;"",'Historical Score'!$C$5&lt;&gt;""),IF(L235='Historical Score'!$C$5,1,0),0)</f>
        <v>0</v>
      </c>
      <c r="AS235" s="65" t="n">
        <f aca="false">IF(AND(Y235&lt;&gt;"",'Historical Score'!$C$7&lt;&gt;""),IF(Y235='Historical Score'!$C$7,1,0),0)</f>
        <v>0</v>
      </c>
      <c r="AT235" s="65" t="n">
        <f aca="false">IF(AND(K235&lt;&gt;"",'Historical Score'!$C$8&lt;&gt;""),IF(K235='Historical Score'!$C$8,1,0),0)</f>
        <v>0</v>
      </c>
      <c r="AU235" s="65" t="n">
        <f aca="false">IF(AND(J235&lt;&gt;"",'Historical Score'!$C$9&lt;&gt;""),IF(J235='Historical Score'!$C$9,1,0),0)</f>
        <v>0</v>
      </c>
      <c r="AV235" s="65" t="n">
        <f aca="false">AR235*AS235*AQ235</f>
        <v>0</v>
      </c>
      <c r="AW235" s="65" t="n">
        <f aca="false">AR235*AT235*AQ235</f>
        <v>0</v>
      </c>
      <c r="AX235" s="65" t="n">
        <f aca="false">AR235*AS235</f>
        <v>0</v>
      </c>
      <c r="AY235" s="65" t="n">
        <f aca="false">AR235*AT235</f>
        <v>0</v>
      </c>
      <c r="AZ235" s="65" t="n">
        <f aca="false">AR235*AQ235</f>
        <v>0</v>
      </c>
      <c r="BA235" s="65" t="n">
        <f aca="false">AR235</f>
        <v>0</v>
      </c>
      <c r="BB235" s="65" t="n">
        <f aca="false">1</f>
        <v>1</v>
      </c>
      <c r="BC235" s="65" t="n">
        <f aca="false">IF(AV235=1,1,IF(AW235=1,2,IF(AX235=1,3,IF(AY235=1,4,IF(AZ235=1,5,IF(BA235=1,6,7))))))</f>
        <v>7</v>
      </c>
      <c r="BD235" s="65" t="n">
        <f aca="false">IF(AD235=1,CHOOSE('Historical Score'!$C$29,AV235,AW235,AX235,AY235,AZ235,BA235,BB235),0)</f>
        <v>0</v>
      </c>
      <c r="BE235" s="65" t="str">
        <f aca="false">IF(BD235=1,COUNTIF($BD$2:BD235,1),"")</f>
        <v/>
      </c>
    </row>
    <row r="236" customFormat="false" ht="15" hidden="false" customHeight="false" outlineLevel="0" collapsed="false">
      <c r="A236" s="65" t="s">
        <v>1132</v>
      </c>
      <c r="B236" s="65" t="s">
        <v>1133</v>
      </c>
      <c r="C236" s="65" t="s">
        <v>771</v>
      </c>
      <c r="D236" s="65" t="s">
        <v>340</v>
      </c>
      <c r="E236" s="112" t="n">
        <v>45905</v>
      </c>
      <c r="F236" s="112" t="n">
        <v>45958</v>
      </c>
      <c r="G236" s="65" t="n">
        <v>3</v>
      </c>
      <c r="H236" s="65" t="s">
        <v>442</v>
      </c>
      <c r="I236" s="65" t="s">
        <v>443</v>
      </c>
      <c r="J236" s="65" t="s">
        <v>399</v>
      </c>
      <c r="K236" s="65" t="s">
        <v>773</v>
      </c>
      <c r="L236" s="65" t="s">
        <v>320</v>
      </c>
      <c r="M236" s="113" t="n">
        <v>1.499</v>
      </c>
      <c r="N236" s="114" t="n">
        <v>20000</v>
      </c>
      <c r="O236" s="114" t="n">
        <v>2800</v>
      </c>
      <c r="P236" s="114" t="n">
        <v>29980</v>
      </c>
      <c r="Q236" s="114" t="n">
        <v>10079.75</v>
      </c>
      <c r="R236" s="114" t="n">
        <v>19900.25</v>
      </c>
      <c r="S236" s="115" t="n">
        <v>0.33621581054036</v>
      </c>
      <c r="T236" s="65" t="n">
        <v>2.951</v>
      </c>
      <c r="U236" s="65" t="n">
        <v>8</v>
      </c>
      <c r="V236" s="65" t="n">
        <v>198137.58</v>
      </c>
      <c r="W236" s="115" t="n">
        <v>0.0551</v>
      </c>
      <c r="X236" s="112"/>
      <c r="Y236" s="65" t="str">
        <f aca="false">IF(I236="","No SIC",IFERROR(VLOOKUP(I236,Ref!$A$2:$B$65,2,FALSE()),"Unclassified"))</f>
        <v>General Building Contractors</v>
      </c>
      <c r="Z236" s="65" t="str">
        <f aca="false">IF(T236="","",IF(T236&lt;12,"Daily","Weekly"))</f>
        <v>Daily</v>
      </c>
      <c r="AA236" s="65" t="n">
        <f aca="false">IF(T236="",0,IF(T236&lt;12,T236*Controls!$B$29,T236*5))</f>
        <v>63.903905</v>
      </c>
      <c r="AB236" s="65" t="n">
        <f aca="false">IF(E236="",0,NETWORKDAYS(E236,Controls!$B$36,Ref!$K$2:$K$42))</f>
        <v>244</v>
      </c>
      <c r="AC236" s="65" t="n">
        <f aca="false">IF(AND(AA236&gt;0,AB236&gt;=Controls!$B$39*AA236),1,0)</f>
        <v>1</v>
      </c>
      <c r="AD236" s="65" t="n">
        <f aca="false">IF(AND(E236&lt;&gt;"",E236&gt;=Controls!$B$37,E236&lt;=Controls!$B$38),1,0)</f>
        <v>1</v>
      </c>
      <c r="AE236" s="65" t="n">
        <f aca="false">IF(IFERROR(VLOOKUP(D236,Controls!$A$64:$E$74,2,FALSE()),"No")="Yes",1,0)</f>
        <v>1</v>
      </c>
      <c r="AF236" s="65" t="n">
        <f aca="false">IF(IFERROR(VLOOKUP(D236,Controls!$A$64:$E$74,3,FALSE()),"No")="Yes",1,0)</f>
        <v>0</v>
      </c>
      <c r="AG236" s="65" t="n">
        <f aca="false">IF(IFERROR(VLOOKUP(D236,Controls!$A$64:$E$74,4,FALSE()),"No")="Yes",1,0)</f>
        <v>0</v>
      </c>
      <c r="AH236" s="65" t="n">
        <f aca="false">IF(IFERROR(VLOOKUP(D236,Controls!$A$64:$E$74,5,FALSE()),"No")="Yes",1,0)</f>
        <v>0</v>
      </c>
      <c r="AI236" s="65" t="n">
        <f aca="false">IF(ISNUMBER(MATCH(D236,Controls!$A$64:$A$74,0)),1,0)</f>
        <v>1</v>
      </c>
      <c r="AJ236" s="65" t="n">
        <f aca="false">Q236-N236</f>
        <v>-9920.25</v>
      </c>
      <c r="AK236" s="65" t="n">
        <f aca="false">IF(AE236=1,MAX(0,N236-Q236),0)</f>
        <v>9920.25</v>
      </c>
      <c r="AL236" s="65" t="n">
        <f aca="false">IF(OR(V236="",V236=0),0,N236/V236)</f>
        <v>0.100939963029729</v>
      </c>
      <c r="AM236" s="65" t="n">
        <f aca="false">IF(OR(V236="",V236=0),0,1)</f>
        <v>1</v>
      </c>
      <c r="AN236" s="65" t="n">
        <f aca="false">IF(OR(E236="",F236=""),0,NETWORKDAYS(E236,F236,Ref!$K$2:$K$42))</f>
        <v>37</v>
      </c>
      <c r="AO236" s="65" t="n">
        <f aca="false">IF(L236="Renewal",1,0)</f>
        <v>1</v>
      </c>
      <c r="AP236" s="65" t="n">
        <f aca="false">AC236*AD236</f>
        <v>1</v>
      </c>
      <c r="AQ236" s="65" t="n">
        <f aca="false">IF(AND(G236&lt;&gt;"",'Historical Score'!$C$6&lt;&gt;""),IF(G236='Historical Score'!$C$6,1,0),0)</f>
        <v>0</v>
      </c>
      <c r="AR236" s="65" t="n">
        <f aca="false">IF(AND(L236&lt;&gt;"",'Historical Score'!$C$5&lt;&gt;""),IF(L236='Historical Score'!$C$5,1,0),0)</f>
        <v>0</v>
      </c>
      <c r="AS236" s="65" t="n">
        <f aca="false">IF(AND(Y236&lt;&gt;"",'Historical Score'!$C$7&lt;&gt;""),IF(Y236='Historical Score'!$C$7,1,0),0)</f>
        <v>1</v>
      </c>
      <c r="AT236" s="65" t="n">
        <f aca="false">IF(AND(K236&lt;&gt;"",'Historical Score'!$C$8&lt;&gt;""),IF(K236='Historical Score'!$C$8,1,0),0)</f>
        <v>0</v>
      </c>
      <c r="AU236" s="65" t="n">
        <f aca="false">IF(AND(J236&lt;&gt;"",'Historical Score'!$C$9&lt;&gt;""),IF(J236='Historical Score'!$C$9,1,0),0)</f>
        <v>0</v>
      </c>
      <c r="AV236" s="65" t="n">
        <f aca="false">AR236*AS236*AQ236</f>
        <v>0</v>
      </c>
      <c r="AW236" s="65" t="n">
        <f aca="false">AR236*AT236*AQ236</f>
        <v>0</v>
      </c>
      <c r="AX236" s="65" t="n">
        <f aca="false">AR236*AS236</f>
        <v>0</v>
      </c>
      <c r="AY236" s="65" t="n">
        <f aca="false">AR236*AT236</f>
        <v>0</v>
      </c>
      <c r="AZ236" s="65" t="n">
        <f aca="false">AR236*AQ236</f>
        <v>0</v>
      </c>
      <c r="BA236" s="65" t="n">
        <f aca="false">AR236</f>
        <v>0</v>
      </c>
      <c r="BB236" s="65" t="n">
        <f aca="false">1</f>
        <v>1</v>
      </c>
      <c r="BC236" s="65" t="n">
        <f aca="false">IF(AV236=1,1,IF(AW236=1,2,IF(AX236=1,3,IF(AY236=1,4,IF(AZ236=1,5,IF(BA236=1,6,7))))))</f>
        <v>7</v>
      </c>
      <c r="BD236" s="65" t="n">
        <f aca="false">IF(AD236=1,CHOOSE('Historical Score'!$C$29,AV236,AW236,AX236,AY236,AZ236,BA236,BB236),0)</f>
        <v>0</v>
      </c>
      <c r="BE236" s="65" t="str">
        <f aca="false">IF(BD236=1,COUNTIF($BD$2:BD236,1),"")</f>
        <v/>
      </c>
    </row>
    <row r="237" customFormat="false" ht="15" hidden="false" customHeight="false" outlineLevel="0" collapsed="false">
      <c r="A237" s="65" t="s">
        <v>1134</v>
      </c>
      <c r="B237" s="65" t="s">
        <v>1135</v>
      </c>
      <c r="C237" s="65" t="s">
        <v>1135</v>
      </c>
      <c r="D237" s="65" t="s">
        <v>340</v>
      </c>
      <c r="E237" s="112" t="n">
        <v>45905</v>
      </c>
      <c r="F237" s="112" t="n">
        <v>45936</v>
      </c>
      <c r="G237" s="65" t="n">
        <v>3</v>
      </c>
      <c r="H237" s="65" t="s">
        <v>391</v>
      </c>
      <c r="I237" s="65" t="s">
        <v>392</v>
      </c>
      <c r="J237" s="65" t="s">
        <v>772</v>
      </c>
      <c r="K237" s="65" t="s">
        <v>55</v>
      </c>
      <c r="L237" s="65" t="s">
        <v>64</v>
      </c>
      <c r="M237" s="113" t="n">
        <v>1.49</v>
      </c>
      <c r="N237" s="114" t="n">
        <v>8000</v>
      </c>
      <c r="O237" s="114" t="n">
        <v>1120</v>
      </c>
      <c r="P237" s="114" t="n">
        <v>11920</v>
      </c>
      <c r="Q237" s="114" t="n">
        <v>2682</v>
      </c>
      <c r="R237" s="114" t="n">
        <v>9238</v>
      </c>
      <c r="S237" s="115" t="n">
        <v>0.225</v>
      </c>
      <c r="T237" s="65" t="n">
        <v>2.623</v>
      </c>
      <c r="U237" s="65" t="n">
        <v>4</v>
      </c>
      <c r="W237" s="115" t="n">
        <v>0.0149</v>
      </c>
      <c r="X237" s="112" t="n">
        <v>45905</v>
      </c>
      <c r="Y237" s="65" t="str">
        <f aca="false">IF(I237="","No SIC",IFERROR(VLOOKUP(I237,Ref!$A$2:$B$65,2,FALSE()),"Unclassified"))</f>
        <v>Real Estate</v>
      </c>
      <c r="Z237" s="65" t="str">
        <f aca="false">IF(T237="","",IF(T237&lt;12,"Daily","Weekly"))</f>
        <v>Daily</v>
      </c>
      <c r="AA237" s="65" t="n">
        <f aca="false">IF(T237="",0,IF(T237&lt;12,T237*Controls!$B$29,T237*5))</f>
        <v>56.801065</v>
      </c>
      <c r="AB237" s="65" t="n">
        <f aca="false">IF(E237="",0,NETWORKDAYS(E237,Controls!$B$36,Ref!$K$2:$K$42))</f>
        <v>244</v>
      </c>
      <c r="AC237" s="65" t="n">
        <f aca="false">IF(AND(AA237&gt;0,AB237&gt;=Controls!$B$39*AA237),1,0)</f>
        <v>1</v>
      </c>
      <c r="AD237" s="65" t="n">
        <f aca="false">IF(AND(E237&lt;&gt;"",E237&gt;=Controls!$B$37,E237&lt;=Controls!$B$38),1,0)</f>
        <v>1</v>
      </c>
      <c r="AE237" s="65" t="n">
        <f aca="false">IF(IFERROR(VLOOKUP(D237,Controls!$A$64:$E$74,2,FALSE()),"No")="Yes",1,0)</f>
        <v>1</v>
      </c>
      <c r="AF237" s="65" t="n">
        <f aca="false">IF(IFERROR(VLOOKUP(D237,Controls!$A$64:$E$74,3,FALSE()),"No")="Yes",1,0)</f>
        <v>0</v>
      </c>
      <c r="AG237" s="65" t="n">
        <f aca="false">IF(IFERROR(VLOOKUP(D237,Controls!$A$64:$E$74,4,FALSE()),"No")="Yes",1,0)</f>
        <v>0</v>
      </c>
      <c r="AH237" s="65" t="n">
        <f aca="false">IF(IFERROR(VLOOKUP(D237,Controls!$A$64:$E$74,5,FALSE()),"No")="Yes",1,0)</f>
        <v>0</v>
      </c>
      <c r="AI237" s="65" t="n">
        <f aca="false">IF(ISNUMBER(MATCH(D237,Controls!$A$64:$A$74,0)),1,0)</f>
        <v>1</v>
      </c>
      <c r="AJ237" s="65" t="n">
        <f aca="false">Q237-N237</f>
        <v>-5318</v>
      </c>
      <c r="AK237" s="65" t="n">
        <f aca="false">IF(AE237=1,MAX(0,N237-Q237),0)</f>
        <v>5318</v>
      </c>
      <c r="AL237" s="65" t="n">
        <f aca="false">IF(OR(V237="",V237=0),0,N237/V237)</f>
        <v>0</v>
      </c>
      <c r="AM237" s="65" t="n">
        <f aca="false">IF(OR(V237="",V237=0),0,1)</f>
        <v>0</v>
      </c>
      <c r="AN237" s="65" t="n">
        <f aca="false">IF(OR(E237="",F237=""),0,NETWORKDAYS(E237,F237,Ref!$K$2:$K$42))</f>
        <v>22</v>
      </c>
      <c r="AO237" s="65" t="n">
        <f aca="false">IF(L237="Renewal",1,0)</f>
        <v>0</v>
      </c>
      <c r="AP237" s="65" t="n">
        <f aca="false">AC237*AD237</f>
        <v>1</v>
      </c>
      <c r="AQ237" s="65" t="n">
        <f aca="false">IF(AND(G237&lt;&gt;"",'Historical Score'!$C$6&lt;&gt;""),IF(G237='Historical Score'!$C$6,1,0),0)</f>
        <v>0</v>
      </c>
      <c r="AR237" s="65" t="n">
        <f aca="false">IF(AND(L237&lt;&gt;"",'Historical Score'!$C$5&lt;&gt;""),IF(L237='Historical Score'!$C$5,1,0),0)</f>
        <v>1</v>
      </c>
      <c r="AS237" s="65" t="n">
        <f aca="false">IF(AND(Y237&lt;&gt;"",'Historical Score'!$C$7&lt;&gt;""),IF(Y237='Historical Score'!$C$7,1,0),0)</f>
        <v>0</v>
      </c>
      <c r="AT237" s="65" t="n">
        <f aca="false">IF(AND(K237&lt;&gt;"",'Historical Score'!$C$8&lt;&gt;""),IF(K237='Historical Score'!$C$8,1,0),0)</f>
        <v>1</v>
      </c>
      <c r="AU237" s="65" t="n">
        <f aca="false">IF(AND(J237&lt;&gt;"",'Historical Score'!$C$9&lt;&gt;""),IF(J237='Historical Score'!$C$9,1,0),0)</f>
        <v>0</v>
      </c>
      <c r="AV237" s="65" t="n">
        <f aca="false">AR237*AS237*AQ237</f>
        <v>0</v>
      </c>
      <c r="AW237" s="65" t="n">
        <f aca="false">AR237*AT237*AQ237</f>
        <v>0</v>
      </c>
      <c r="AX237" s="65" t="n">
        <f aca="false">AR237*AS237</f>
        <v>0</v>
      </c>
      <c r="AY237" s="65" t="n">
        <f aca="false">AR237*AT237</f>
        <v>1</v>
      </c>
      <c r="AZ237" s="65" t="n">
        <f aca="false">AR237*AQ237</f>
        <v>0</v>
      </c>
      <c r="BA237" s="65" t="n">
        <f aca="false">AR237</f>
        <v>1</v>
      </c>
      <c r="BB237" s="65" t="n">
        <f aca="false">1</f>
        <v>1</v>
      </c>
      <c r="BC237" s="65" t="n">
        <f aca="false">IF(AV237=1,1,IF(AW237=1,2,IF(AX237=1,3,IF(AY237=1,4,IF(AZ237=1,5,IF(BA237=1,6,7))))))</f>
        <v>4</v>
      </c>
      <c r="BD237" s="65" t="n">
        <f aca="false">IF(AD237=1,CHOOSE('Historical Score'!$C$29,AV237,AW237,AX237,AY237,AZ237,BA237,BB237),0)</f>
        <v>0</v>
      </c>
      <c r="BE237" s="65" t="str">
        <f aca="false">IF(BD237=1,COUNTIF($BD$2:BD237,1),"")</f>
        <v/>
      </c>
    </row>
    <row r="238" customFormat="false" ht="15" hidden="false" customHeight="false" outlineLevel="0" collapsed="false">
      <c r="A238" s="65" t="s">
        <v>1136</v>
      </c>
      <c r="B238" s="65" t="s">
        <v>1137</v>
      </c>
      <c r="C238" s="65" t="s">
        <v>1137</v>
      </c>
      <c r="D238" s="65" t="s">
        <v>371</v>
      </c>
      <c r="E238" s="112" t="n">
        <v>45905</v>
      </c>
      <c r="F238" s="112" t="n">
        <v>46007</v>
      </c>
      <c r="G238" s="65" t="n">
        <v>4</v>
      </c>
      <c r="H238" s="65" t="s">
        <v>593</v>
      </c>
      <c r="I238" s="65" t="s">
        <v>425</v>
      </c>
      <c r="J238" s="65" t="s">
        <v>772</v>
      </c>
      <c r="K238" s="65" t="s">
        <v>961</v>
      </c>
      <c r="L238" s="65" t="s">
        <v>64</v>
      </c>
      <c r="M238" s="113" t="n">
        <v>1.42</v>
      </c>
      <c r="N238" s="114" t="n">
        <v>21126</v>
      </c>
      <c r="O238" s="114" t="n">
        <v>2957.64</v>
      </c>
      <c r="P238" s="114" t="n">
        <v>29998.92</v>
      </c>
      <c r="Q238" s="114" t="n">
        <v>29998.92</v>
      </c>
      <c r="R238" s="114" t="n">
        <v>0</v>
      </c>
      <c r="S238" s="115" t="n">
        <v>1</v>
      </c>
      <c r="T238" s="65" t="n">
        <v>3.934</v>
      </c>
      <c r="U238" s="65" t="n">
        <v>0</v>
      </c>
      <c r="W238" s="115"/>
      <c r="X238" s="112" t="n">
        <v>44490</v>
      </c>
      <c r="Y238" s="65" t="str">
        <f aca="false">IF(I238="","No SIC",IFERROR(VLOOKUP(I238,Ref!$A$2:$B$65,2,FALSE()),"Unclassified"))</f>
        <v>Personal Services</v>
      </c>
      <c r="Z238" s="65" t="str">
        <f aca="false">IF(T238="","",IF(T238&lt;12,"Daily","Weekly"))</f>
        <v>Daily</v>
      </c>
      <c r="AA238" s="65" t="n">
        <f aca="false">IF(T238="",0,IF(T238&lt;12,T238*Controls!$B$29,T238*5))</f>
        <v>85.19077</v>
      </c>
      <c r="AB238" s="65" t="n">
        <f aca="false">IF(E238="",0,NETWORKDAYS(E238,Controls!$B$36,Ref!$K$2:$K$42))</f>
        <v>244</v>
      </c>
      <c r="AC238" s="65" t="n">
        <f aca="false">IF(AND(AA238&gt;0,AB238&gt;=Controls!$B$39*AA238),1,0)</f>
        <v>1</v>
      </c>
      <c r="AD238" s="65" t="n">
        <f aca="false">IF(AND(E238&lt;&gt;"",E238&gt;=Controls!$B$37,E238&lt;=Controls!$B$38),1,0)</f>
        <v>1</v>
      </c>
      <c r="AE238" s="65" t="n">
        <f aca="false">IF(IFERROR(VLOOKUP(D238,Controls!$A$64:$E$74,2,FALSE()),"No")="Yes",1,0)</f>
        <v>0</v>
      </c>
      <c r="AF238" s="65" t="n">
        <f aca="false">IF(IFERROR(VLOOKUP(D238,Controls!$A$64:$E$74,3,FALSE()),"No")="Yes",1,0)</f>
        <v>1</v>
      </c>
      <c r="AG238" s="65" t="n">
        <f aca="false">IF(IFERROR(VLOOKUP(D238,Controls!$A$64:$E$74,4,FALSE()),"No")="Yes",1,0)</f>
        <v>1</v>
      </c>
      <c r="AH238" s="65" t="n">
        <f aca="false">IF(IFERROR(VLOOKUP(D238,Controls!$A$64:$E$74,5,FALSE()),"No")="Yes",1,0)</f>
        <v>0</v>
      </c>
      <c r="AI238" s="65" t="n">
        <f aca="false">IF(ISNUMBER(MATCH(D238,Controls!$A$64:$A$74,0)),1,0)</f>
        <v>1</v>
      </c>
      <c r="AJ238" s="65" t="n">
        <f aca="false">Q238-N238</f>
        <v>8872.92</v>
      </c>
      <c r="AK238" s="65" t="n">
        <f aca="false">IF(AE238=1,MAX(0,N238-Q238),0)</f>
        <v>0</v>
      </c>
      <c r="AL238" s="65" t="n">
        <f aca="false">IF(OR(V238="",V238=0),0,N238/V238)</f>
        <v>0</v>
      </c>
      <c r="AM238" s="65" t="n">
        <f aca="false">IF(OR(V238="",V238=0),0,1)</f>
        <v>0</v>
      </c>
      <c r="AN238" s="65" t="n">
        <f aca="false">IF(OR(E238="",F238=""),0,NETWORKDAYS(E238,F238,Ref!$K$2:$K$42))</f>
        <v>70</v>
      </c>
      <c r="AO238" s="65" t="n">
        <f aca="false">IF(L238="Renewal",1,0)</f>
        <v>0</v>
      </c>
      <c r="AP238" s="65" t="n">
        <f aca="false">AC238*AD238</f>
        <v>1</v>
      </c>
      <c r="AQ238" s="65" t="n">
        <f aca="false">IF(AND(G238&lt;&gt;"",'Historical Score'!$C$6&lt;&gt;""),IF(G238='Historical Score'!$C$6,1,0),0)</f>
        <v>0</v>
      </c>
      <c r="AR238" s="65" t="n">
        <f aca="false">IF(AND(L238&lt;&gt;"",'Historical Score'!$C$5&lt;&gt;""),IF(L238='Historical Score'!$C$5,1,0),0)</f>
        <v>1</v>
      </c>
      <c r="AS238" s="65" t="n">
        <f aca="false">IF(AND(Y238&lt;&gt;"",'Historical Score'!$C$7&lt;&gt;""),IF(Y238='Historical Score'!$C$7,1,0),0)</f>
        <v>0</v>
      </c>
      <c r="AT238" s="65" t="n">
        <f aca="false">IF(AND(K238&lt;&gt;"",'Historical Score'!$C$8&lt;&gt;""),IF(K238='Historical Score'!$C$8,1,0),0)</f>
        <v>0</v>
      </c>
      <c r="AU238" s="65" t="n">
        <f aca="false">IF(AND(J238&lt;&gt;"",'Historical Score'!$C$9&lt;&gt;""),IF(J238='Historical Score'!$C$9,1,0),0)</f>
        <v>0</v>
      </c>
      <c r="AV238" s="65" t="n">
        <f aca="false">AR238*AS238*AQ238</f>
        <v>0</v>
      </c>
      <c r="AW238" s="65" t="n">
        <f aca="false">AR238*AT238*AQ238</f>
        <v>0</v>
      </c>
      <c r="AX238" s="65" t="n">
        <f aca="false">AR238*AS238</f>
        <v>0</v>
      </c>
      <c r="AY238" s="65" t="n">
        <f aca="false">AR238*AT238</f>
        <v>0</v>
      </c>
      <c r="AZ238" s="65" t="n">
        <f aca="false">AR238*AQ238</f>
        <v>0</v>
      </c>
      <c r="BA238" s="65" t="n">
        <f aca="false">AR238</f>
        <v>1</v>
      </c>
      <c r="BB238" s="65" t="n">
        <f aca="false">1</f>
        <v>1</v>
      </c>
      <c r="BC238" s="65" t="n">
        <f aca="false">IF(AV238=1,1,IF(AW238=1,2,IF(AX238=1,3,IF(AY238=1,4,IF(AZ238=1,5,IF(BA238=1,6,7))))))</f>
        <v>6</v>
      </c>
      <c r="BD238" s="65" t="n">
        <f aca="false">IF(AD238=1,CHOOSE('Historical Score'!$C$29,AV238,AW238,AX238,AY238,AZ238,BA238,BB238),0)</f>
        <v>0</v>
      </c>
      <c r="BE238" s="65" t="str">
        <f aca="false">IF(BD238=1,COUNTIF($BD$2:BD238,1),"")</f>
        <v/>
      </c>
    </row>
    <row r="239" customFormat="false" ht="15" hidden="false" customHeight="false" outlineLevel="0" collapsed="false">
      <c r="A239" s="65" t="s">
        <v>1138</v>
      </c>
      <c r="B239" s="65" t="s">
        <v>1139</v>
      </c>
      <c r="C239" s="65" t="s">
        <v>1140</v>
      </c>
      <c r="D239" s="65" t="s">
        <v>371</v>
      </c>
      <c r="E239" s="112" t="n">
        <v>45905</v>
      </c>
      <c r="F239" s="112" t="n">
        <v>45929</v>
      </c>
      <c r="G239" s="65" t="n">
        <v>1</v>
      </c>
      <c r="H239" s="65" t="s">
        <v>442</v>
      </c>
      <c r="I239" s="65" t="s">
        <v>443</v>
      </c>
      <c r="J239" s="65" t="s">
        <v>380</v>
      </c>
      <c r="K239" s="65" t="s">
        <v>1141</v>
      </c>
      <c r="L239" s="65" t="s">
        <v>64</v>
      </c>
      <c r="M239" s="113" t="n">
        <v>1.30835</v>
      </c>
      <c r="N239" s="114" t="n">
        <v>15000</v>
      </c>
      <c r="O239" s="114" t="n">
        <v>1200</v>
      </c>
      <c r="P239" s="114" t="n">
        <v>19625.25</v>
      </c>
      <c r="Q239" s="114" t="n">
        <v>19625.25</v>
      </c>
      <c r="R239" s="114" t="n">
        <v>0</v>
      </c>
      <c r="S239" s="115" t="n">
        <v>1</v>
      </c>
      <c r="T239" s="65" t="n">
        <v>20</v>
      </c>
      <c r="U239" s="65" t="n">
        <v>1</v>
      </c>
      <c r="V239" s="65" t="n">
        <v>45000</v>
      </c>
      <c r="W239" s="115" t="n">
        <v>0.0548</v>
      </c>
      <c r="X239" s="112" t="n">
        <v>45505</v>
      </c>
      <c r="Y239" s="65" t="str">
        <f aca="false">IF(I239="","No SIC",IFERROR(VLOOKUP(I239,Ref!$A$2:$B$65,2,FALSE()),"Unclassified"))</f>
        <v>General Building Contractors</v>
      </c>
      <c r="Z239" s="65" t="str">
        <f aca="false">IF(T239="","",IF(T239&lt;12,"Daily","Weekly"))</f>
        <v>Weekly</v>
      </c>
      <c r="AA239" s="65" t="n">
        <f aca="false">IF(T239="",0,IF(T239&lt;12,T239*Controls!$B$29,T239*5))</f>
        <v>100</v>
      </c>
      <c r="AB239" s="65" t="n">
        <f aca="false">IF(E239="",0,NETWORKDAYS(E239,Controls!$B$36,Ref!$K$2:$K$42))</f>
        <v>244</v>
      </c>
      <c r="AC239" s="65" t="n">
        <f aca="false">IF(AND(AA239&gt;0,AB239&gt;=Controls!$B$39*AA239),1,0)</f>
        <v>1</v>
      </c>
      <c r="AD239" s="65" t="n">
        <f aca="false">IF(AND(E239&lt;&gt;"",E239&gt;=Controls!$B$37,E239&lt;=Controls!$B$38),1,0)</f>
        <v>1</v>
      </c>
      <c r="AE239" s="65" t="n">
        <f aca="false">IF(IFERROR(VLOOKUP(D239,Controls!$A$64:$E$74,2,FALSE()),"No")="Yes",1,0)</f>
        <v>0</v>
      </c>
      <c r="AF239" s="65" t="n">
        <f aca="false">IF(IFERROR(VLOOKUP(D239,Controls!$A$64:$E$74,3,FALSE()),"No")="Yes",1,0)</f>
        <v>1</v>
      </c>
      <c r="AG239" s="65" t="n">
        <f aca="false">IF(IFERROR(VLOOKUP(D239,Controls!$A$64:$E$74,4,FALSE()),"No")="Yes",1,0)</f>
        <v>1</v>
      </c>
      <c r="AH239" s="65" t="n">
        <f aca="false">IF(IFERROR(VLOOKUP(D239,Controls!$A$64:$E$74,5,FALSE()),"No")="Yes",1,0)</f>
        <v>0</v>
      </c>
      <c r="AI239" s="65" t="n">
        <f aca="false">IF(ISNUMBER(MATCH(D239,Controls!$A$64:$A$74,0)),1,0)</f>
        <v>1</v>
      </c>
      <c r="AJ239" s="65" t="n">
        <f aca="false">Q239-N239</f>
        <v>4625.25</v>
      </c>
      <c r="AK239" s="65" t="n">
        <f aca="false">IF(AE239=1,MAX(0,N239-Q239),0)</f>
        <v>0</v>
      </c>
      <c r="AL239" s="65" t="n">
        <f aca="false">IF(OR(V239="",V239=0),0,N239/V239)</f>
        <v>0.333333333333333</v>
      </c>
      <c r="AM239" s="65" t="n">
        <f aca="false">IF(OR(V239="",V239=0),0,1)</f>
        <v>1</v>
      </c>
      <c r="AN239" s="65" t="n">
        <f aca="false">IF(OR(E239="",F239=""),0,NETWORKDAYS(E239,F239,Ref!$K$2:$K$42))</f>
        <v>17</v>
      </c>
      <c r="AO239" s="65" t="n">
        <f aca="false">IF(L239="Renewal",1,0)</f>
        <v>0</v>
      </c>
      <c r="AP239" s="65" t="n">
        <f aca="false">AC239*AD239</f>
        <v>1</v>
      </c>
      <c r="AQ239" s="65" t="n">
        <f aca="false">IF(AND(G239&lt;&gt;"",'Historical Score'!$C$6&lt;&gt;""),IF(G239='Historical Score'!$C$6,1,0),0)</f>
        <v>0</v>
      </c>
      <c r="AR239" s="65" t="n">
        <f aca="false">IF(AND(L239&lt;&gt;"",'Historical Score'!$C$5&lt;&gt;""),IF(L239='Historical Score'!$C$5,1,0),0)</f>
        <v>1</v>
      </c>
      <c r="AS239" s="65" t="n">
        <f aca="false">IF(AND(Y239&lt;&gt;"",'Historical Score'!$C$7&lt;&gt;""),IF(Y239='Historical Score'!$C$7,1,0),0)</f>
        <v>1</v>
      </c>
      <c r="AT239" s="65" t="n">
        <f aca="false">IF(AND(K239&lt;&gt;"",'Historical Score'!$C$8&lt;&gt;""),IF(K239='Historical Score'!$C$8,1,0),0)</f>
        <v>0</v>
      </c>
      <c r="AU239" s="65" t="n">
        <f aca="false">IF(AND(J239&lt;&gt;"",'Historical Score'!$C$9&lt;&gt;""),IF(J239='Historical Score'!$C$9,1,0),0)</f>
        <v>0</v>
      </c>
      <c r="AV239" s="65" t="n">
        <f aca="false">AR239*AS239*AQ239</f>
        <v>0</v>
      </c>
      <c r="AW239" s="65" t="n">
        <f aca="false">AR239*AT239*AQ239</f>
        <v>0</v>
      </c>
      <c r="AX239" s="65" t="n">
        <f aca="false">AR239*AS239</f>
        <v>1</v>
      </c>
      <c r="AY239" s="65" t="n">
        <f aca="false">AR239*AT239</f>
        <v>0</v>
      </c>
      <c r="AZ239" s="65" t="n">
        <f aca="false">AR239*AQ239</f>
        <v>0</v>
      </c>
      <c r="BA239" s="65" t="n">
        <f aca="false">AR239</f>
        <v>1</v>
      </c>
      <c r="BB239" s="65" t="n">
        <f aca="false">1</f>
        <v>1</v>
      </c>
      <c r="BC239" s="65" t="n">
        <f aca="false">IF(AV239=1,1,IF(AW239=1,2,IF(AX239=1,3,IF(AY239=1,4,IF(AZ239=1,5,IF(BA239=1,6,7))))))</f>
        <v>3</v>
      </c>
      <c r="BD239" s="65" t="n">
        <f aca="false">IF(AD239=1,CHOOSE('Historical Score'!$C$29,AV239,AW239,AX239,AY239,AZ239,BA239,BB239),0)</f>
        <v>0</v>
      </c>
      <c r="BE239" s="65" t="str">
        <f aca="false">IF(BD239=1,COUNTIF($BD$2:BD239,1),"")</f>
        <v/>
      </c>
    </row>
    <row r="240" customFormat="false" ht="15" hidden="false" customHeight="false" outlineLevel="0" collapsed="false">
      <c r="A240" s="65" t="s">
        <v>1142</v>
      </c>
      <c r="B240" s="65" t="s">
        <v>1143</v>
      </c>
      <c r="C240" s="65" t="s">
        <v>1143</v>
      </c>
      <c r="D240" s="65" t="s">
        <v>340</v>
      </c>
      <c r="E240" s="112" t="n">
        <v>45908</v>
      </c>
      <c r="F240" s="112" t="n">
        <v>46175</v>
      </c>
      <c r="G240" s="65" t="n">
        <v>2</v>
      </c>
      <c r="H240" s="65" t="s">
        <v>442</v>
      </c>
      <c r="I240" s="65" t="s">
        <v>443</v>
      </c>
      <c r="J240" s="65" t="s">
        <v>350</v>
      </c>
      <c r="K240" s="65" t="s">
        <v>1042</v>
      </c>
      <c r="L240" s="65" t="s">
        <v>64</v>
      </c>
      <c r="M240" s="113" t="n">
        <v>1.499</v>
      </c>
      <c r="N240" s="114" t="n">
        <v>16000</v>
      </c>
      <c r="O240" s="114" t="n">
        <v>0</v>
      </c>
      <c r="P240" s="114" t="n">
        <v>23984</v>
      </c>
      <c r="Q240" s="114" t="n">
        <v>866.4</v>
      </c>
      <c r="R240" s="114" t="n">
        <v>23117.6</v>
      </c>
      <c r="S240" s="115" t="n">
        <v>0.0361240827218145</v>
      </c>
      <c r="T240" s="65" t="n">
        <v>1.803</v>
      </c>
      <c r="U240" s="65" t="n">
        <v>26</v>
      </c>
      <c r="V240" s="65" t="n">
        <v>218160.46</v>
      </c>
      <c r="W240" s="115" t="n">
        <v>0.0417</v>
      </c>
      <c r="X240" s="112"/>
      <c r="Y240" s="65" t="str">
        <f aca="false">IF(I240="","No SIC",IFERROR(VLOOKUP(I240,Ref!$A$2:$B$65,2,FALSE()),"Unclassified"))</f>
        <v>General Building Contractors</v>
      </c>
      <c r="Z240" s="65" t="str">
        <f aca="false">IF(T240="","",IF(T240&lt;12,"Daily","Weekly"))</f>
        <v>Daily</v>
      </c>
      <c r="AA240" s="65" t="n">
        <f aca="false">IF(T240="",0,IF(T240&lt;12,T240*Controls!$B$29,T240*5))</f>
        <v>39.043965</v>
      </c>
      <c r="AB240" s="65" t="n">
        <f aca="false">IF(E240="",0,NETWORKDAYS(E240,Controls!$B$36,Ref!$K$2:$K$42))</f>
        <v>243</v>
      </c>
      <c r="AC240" s="65" t="n">
        <f aca="false">IF(AND(AA240&gt;0,AB240&gt;=Controls!$B$39*AA240),1,0)</f>
        <v>1</v>
      </c>
      <c r="AD240" s="65" t="n">
        <f aca="false">IF(AND(E240&lt;&gt;"",E240&gt;=Controls!$B$37,E240&lt;=Controls!$B$38),1,0)</f>
        <v>1</v>
      </c>
      <c r="AE240" s="65" t="n">
        <f aca="false">IF(IFERROR(VLOOKUP(D240,Controls!$A$64:$E$74,2,FALSE()),"No")="Yes",1,0)</f>
        <v>1</v>
      </c>
      <c r="AF240" s="65" t="n">
        <f aca="false">IF(IFERROR(VLOOKUP(D240,Controls!$A$64:$E$74,3,FALSE()),"No")="Yes",1,0)</f>
        <v>0</v>
      </c>
      <c r="AG240" s="65" t="n">
        <f aca="false">IF(IFERROR(VLOOKUP(D240,Controls!$A$64:$E$74,4,FALSE()),"No")="Yes",1,0)</f>
        <v>0</v>
      </c>
      <c r="AH240" s="65" t="n">
        <f aca="false">IF(IFERROR(VLOOKUP(D240,Controls!$A$64:$E$74,5,FALSE()),"No")="Yes",1,0)</f>
        <v>0</v>
      </c>
      <c r="AI240" s="65" t="n">
        <f aca="false">IF(ISNUMBER(MATCH(D240,Controls!$A$64:$A$74,0)),1,0)</f>
        <v>1</v>
      </c>
      <c r="AJ240" s="65" t="n">
        <f aca="false">Q240-N240</f>
        <v>-15133.6</v>
      </c>
      <c r="AK240" s="65" t="n">
        <f aca="false">IF(AE240=1,MAX(0,N240-Q240),0)</f>
        <v>15133.6</v>
      </c>
      <c r="AL240" s="65" t="n">
        <f aca="false">IF(OR(V240="",V240=0),0,N240/V240)</f>
        <v>0.0733405127583614</v>
      </c>
      <c r="AM240" s="65" t="n">
        <f aca="false">IF(OR(V240="",V240=0),0,1)</f>
        <v>1</v>
      </c>
      <c r="AN240" s="65" t="n">
        <f aca="false">IF(OR(E240="",F240=""),0,NETWORKDAYS(E240,F240,Ref!$K$2:$K$42))</f>
        <v>184</v>
      </c>
      <c r="AO240" s="65" t="n">
        <f aca="false">IF(L240="Renewal",1,0)</f>
        <v>0</v>
      </c>
      <c r="AP240" s="65" t="n">
        <f aca="false">AC240*AD240</f>
        <v>1</v>
      </c>
      <c r="AQ240" s="65" t="n">
        <f aca="false">IF(AND(G240&lt;&gt;"",'Historical Score'!$C$6&lt;&gt;""),IF(G240='Historical Score'!$C$6,1,0),0)</f>
        <v>1</v>
      </c>
      <c r="AR240" s="65" t="n">
        <f aca="false">IF(AND(L240&lt;&gt;"",'Historical Score'!$C$5&lt;&gt;""),IF(L240='Historical Score'!$C$5,1,0),0)</f>
        <v>1</v>
      </c>
      <c r="AS240" s="65" t="n">
        <f aca="false">IF(AND(Y240&lt;&gt;"",'Historical Score'!$C$7&lt;&gt;""),IF(Y240='Historical Score'!$C$7,1,0),0)</f>
        <v>1</v>
      </c>
      <c r="AT240" s="65" t="n">
        <f aca="false">IF(AND(K240&lt;&gt;"",'Historical Score'!$C$8&lt;&gt;""),IF(K240='Historical Score'!$C$8,1,0),0)</f>
        <v>0</v>
      </c>
      <c r="AU240" s="65" t="n">
        <f aca="false">IF(AND(J240&lt;&gt;"",'Historical Score'!$C$9&lt;&gt;""),IF(J240='Historical Score'!$C$9,1,0),0)</f>
        <v>0</v>
      </c>
      <c r="AV240" s="65" t="n">
        <f aca="false">AR240*AS240*AQ240</f>
        <v>1</v>
      </c>
      <c r="AW240" s="65" t="n">
        <f aca="false">AR240*AT240*AQ240</f>
        <v>0</v>
      </c>
      <c r="AX240" s="65" t="n">
        <f aca="false">AR240*AS240</f>
        <v>1</v>
      </c>
      <c r="AY240" s="65" t="n">
        <f aca="false">AR240*AT240</f>
        <v>0</v>
      </c>
      <c r="AZ240" s="65" t="n">
        <f aca="false">AR240*AQ240</f>
        <v>1</v>
      </c>
      <c r="BA240" s="65" t="n">
        <f aca="false">AR240</f>
        <v>1</v>
      </c>
      <c r="BB240" s="65" t="n">
        <f aca="false">1</f>
        <v>1</v>
      </c>
      <c r="BC240" s="65" t="n">
        <f aca="false">IF(AV240=1,1,IF(AW240=1,2,IF(AX240=1,3,IF(AY240=1,4,IF(AZ240=1,5,IF(BA240=1,6,7))))))</f>
        <v>1</v>
      </c>
      <c r="BD240" s="65" t="n">
        <f aca="false">IF(AD240=1,CHOOSE('Historical Score'!$C$29,AV240,AW240,AX240,AY240,AZ240,BA240,BB240),0)</f>
        <v>1</v>
      </c>
      <c r="BE240" s="65" t="n">
        <f aca="false">IF(BD240=1,COUNTIF($BD$2:BD240,1),"")</f>
        <v>8</v>
      </c>
    </row>
    <row r="241" customFormat="false" ht="15" hidden="false" customHeight="false" outlineLevel="0" collapsed="false">
      <c r="A241" s="65" t="s">
        <v>1144</v>
      </c>
      <c r="B241" s="65" t="s">
        <v>1145</v>
      </c>
      <c r="C241" s="65" t="s">
        <v>1145</v>
      </c>
      <c r="D241" s="65" t="s">
        <v>533</v>
      </c>
      <c r="E241" s="112" t="n">
        <v>45909</v>
      </c>
      <c r="F241" s="112" t="n">
        <v>46248</v>
      </c>
      <c r="G241" s="65" t="n">
        <v>1</v>
      </c>
      <c r="H241" s="65" t="s">
        <v>1146</v>
      </c>
      <c r="I241" s="65" t="s">
        <v>419</v>
      </c>
      <c r="J241" s="65" t="s">
        <v>420</v>
      </c>
      <c r="K241" s="65" t="s">
        <v>1141</v>
      </c>
      <c r="L241" s="65" t="s">
        <v>64</v>
      </c>
      <c r="M241" s="113" t="n">
        <v>1.499</v>
      </c>
      <c r="N241" s="114" t="n">
        <v>8000</v>
      </c>
      <c r="O241" s="114" t="n">
        <v>0</v>
      </c>
      <c r="P241" s="114" t="n">
        <v>11992</v>
      </c>
      <c r="Q241" s="114" t="n">
        <v>2789.48</v>
      </c>
      <c r="R241" s="114" t="n">
        <v>9202.52</v>
      </c>
      <c r="S241" s="115" t="n">
        <v>0.232611741160774</v>
      </c>
      <c r="T241" s="65" t="n">
        <v>2.82</v>
      </c>
      <c r="U241" s="65" t="n">
        <v>40</v>
      </c>
      <c r="V241" s="65" t="n">
        <v>13137.95</v>
      </c>
      <c r="W241" s="115" t="n">
        <v>0.2224</v>
      </c>
      <c r="X241" s="112" t="n">
        <v>37580</v>
      </c>
      <c r="Y241" s="65" t="str">
        <f aca="false">IF(I241="","No SIC",IFERROR(VLOOKUP(I241,Ref!$A$2:$B$65,2,FALSE()),"Unclassified"))</f>
        <v>Business Services</v>
      </c>
      <c r="Z241" s="65" t="str">
        <f aca="false">IF(T241="","",IF(T241&lt;12,"Daily","Weekly"))</f>
        <v>Daily</v>
      </c>
      <c r="AA241" s="65" t="n">
        <f aca="false">IF(T241="",0,IF(T241&lt;12,T241*Controls!$B$29,T241*5))</f>
        <v>61.0671</v>
      </c>
      <c r="AB241" s="65" t="n">
        <f aca="false">IF(E241="",0,NETWORKDAYS(E241,Controls!$B$36,Ref!$K$2:$K$42))</f>
        <v>242</v>
      </c>
      <c r="AC241" s="65" t="n">
        <f aca="false">IF(AND(AA241&gt;0,AB241&gt;=Controls!$B$39*AA241),1,0)</f>
        <v>1</v>
      </c>
      <c r="AD241" s="65" t="n">
        <f aca="false">IF(AND(E241&lt;&gt;"",E241&gt;=Controls!$B$37,E241&lt;=Controls!$B$38),1,0)</f>
        <v>1</v>
      </c>
      <c r="AE241" s="65" t="n">
        <f aca="false">IF(IFERROR(VLOOKUP(D241,Controls!$A$64:$E$74,2,FALSE()),"No")="Yes",1,0)</f>
        <v>1</v>
      </c>
      <c r="AF241" s="65" t="n">
        <f aca="false">IF(IFERROR(VLOOKUP(D241,Controls!$A$64:$E$74,3,FALSE()),"No")="Yes",1,0)</f>
        <v>0</v>
      </c>
      <c r="AG241" s="65" t="n">
        <f aca="false">IF(IFERROR(VLOOKUP(D241,Controls!$A$64:$E$74,4,FALSE()),"No")="Yes",1,0)</f>
        <v>0</v>
      </c>
      <c r="AH241" s="65" t="n">
        <f aca="false">IF(IFERROR(VLOOKUP(D241,Controls!$A$64:$E$74,5,FALSE()),"No")="Yes",1,0)</f>
        <v>0</v>
      </c>
      <c r="AI241" s="65" t="n">
        <f aca="false">IF(ISNUMBER(MATCH(D241,Controls!$A$64:$A$74,0)),1,0)</f>
        <v>1</v>
      </c>
      <c r="AJ241" s="65" t="n">
        <f aca="false">Q241-N241</f>
        <v>-5210.52</v>
      </c>
      <c r="AK241" s="65" t="n">
        <f aca="false">IF(AE241=1,MAX(0,N241-Q241),0)</f>
        <v>5210.52</v>
      </c>
      <c r="AL241" s="65" t="n">
        <f aca="false">IF(OR(V241="",V241=0),0,N241/V241)</f>
        <v>0.608923005491724</v>
      </c>
      <c r="AM241" s="65" t="n">
        <f aca="false">IF(OR(V241="",V241=0),0,1)</f>
        <v>1</v>
      </c>
      <c r="AN241" s="65" t="n">
        <f aca="false">IF(OR(E241="",F241=""),0,NETWORKDAYS(E241,F241,Ref!$K$2:$K$42))</f>
        <v>235</v>
      </c>
      <c r="AO241" s="65" t="n">
        <f aca="false">IF(L241="Renewal",1,0)</f>
        <v>0</v>
      </c>
      <c r="AP241" s="65" t="n">
        <f aca="false">AC241*AD241</f>
        <v>1</v>
      </c>
      <c r="AQ241" s="65" t="n">
        <f aca="false">IF(AND(G241&lt;&gt;"",'Historical Score'!$C$6&lt;&gt;""),IF(G241='Historical Score'!$C$6,1,0),0)</f>
        <v>0</v>
      </c>
      <c r="AR241" s="65" t="n">
        <f aca="false">IF(AND(L241&lt;&gt;"",'Historical Score'!$C$5&lt;&gt;""),IF(L241='Historical Score'!$C$5,1,0),0)</f>
        <v>1</v>
      </c>
      <c r="AS241" s="65" t="n">
        <f aca="false">IF(AND(Y241&lt;&gt;"",'Historical Score'!$C$7&lt;&gt;""),IF(Y241='Historical Score'!$C$7,1,0),0)</f>
        <v>0</v>
      </c>
      <c r="AT241" s="65" t="n">
        <f aca="false">IF(AND(K241&lt;&gt;"",'Historical Score'!$C$8&lt;&gt;""),IF(K241='Historical Score'!$C$8,1,0),0)</f>
        <v>0</v>
      </c>
      <c r="AU241" s="65" t="n">
        <f aca="false">IF(AND(J241&lt;&gt;"",'Historical Score'!$C$9&lt;&gt;""),IF(J241='Historical Score'!$C$9,1,0),0)</f>
        <v>0</v>
      </c>
      <c r="AV241" s="65" t="n">
        <f aca="false">AR241*AS241*AQ241</f>
        <v>0</v>
      </c>
      <c r="AW241" s="65" t="n">
        <f aca="false">AR241*AT241*AQ241</f>
        <v>0</v>
      </c>
      <c r="AX241" s="65" t="n">
        <f aca="false">AR241*AS241</f>
        <v>0</v>
      </c>
      <c r="AY241" s="65" t="n">
        <f aca="false">AR241*AT241</f>
        <v>0</v>
      </c>
      <c r="AZ241" s="65" t="n">
        <f aca="false">AR241*AQ241</f>
        <v>0</v>
      </c>
      <c r="BA241" s="65" t="n">
        <f aca="false">AR241</f>
        <v>1</v>
      </c>
      <c r="BB241" s="65" t="n">
        <f aca="false">1</f>
        <v>1</v>
      </c>
      <c r="BC241" s="65" t="n">
        <f aca="false">IF(AV241=1,1,IF(AW241=1,2,IF(AX241=1,3,IF(AY241=1,4,IF(AZ241=1,5,IF(BA241=1,6,7))))))</f>
        <v>6</v>
      </c>
      <c r="BD241" s="65" t="n">
        <f aca="false">IF(AD241=1,CHOOSE('Historical Score'!$C$29,AV241,AW241,AX241,AY241,AZ241,BA241,BB241),0)</f>
        <v>0</v>
      </c>
      <c r="BE241" s="65" t="str">
        <f aca="false">IF(BD241=1,COUNTIF($BD$2:BD241,1),"")</f>
        <v/>
      </c>
    </row>
    <row r="242" customFormat="false" ht="15" hidden="false" customHeight="false" outlineLevel="0" collapsed="false">
      <c r="A242" s="65" t="s">
        <v>1147</v>
      </c>
      <c r="B242" s="65" t="s">
        <v>1148</v>
      </c>
      <c r="C242" s="65" t="s">
        <v>1148</v>
      </c>
      <c r="D242" s="65" t="s">
        <v>371</v>
      </c>
      <c r="E242" s="112" t="n">
        <v>45909</v>
      </c>
      <c r="F242" s="112" t="n">
        <v>46069</v>
      </c>
      <c r="G242" s="65" t="n">
        <v>2</v>
      </c>
      <c r="H242" s="65" t="s">
        <v>1149</v>
      </c>
      <c r="I242" s="65" t="s">
        <v>419</v>
      </c>
      <c r="J242" s="65" t="s">
        <v>61</v>
      </c>
      <c r="K242" s="65" t="s">
        <v>961</v>
      </c>
      <c r="L242" s="65" t="s">
        <v>64</v>
      </c>
      <c r="M242" s="113" t="n">
        <v>1.39</v>
      </c>
      <c r="N242" s="114" t="n">
        <v>25000</v>
      </c>
      <c r="O242" s="114" t="n">
        <v>2750</v>
      </c>
      <c r="P242" s="114" t="n">
        <v>34750</v>
      </c>
      <c r="Q242" s="114" t="n">
        <v>34750</v>
      </c>
      <c r="R242" s="114" t="n">
        <v>0</v>
      </c>
      <c r="S242" s="115" t="n">
        <v>1</v>
      </c>
      <c r="T242" s="65" t="n">
        <v>20</v>
      </c>
      <c r="U242" s="65" t="n">
        <v>2</v>
      </c>
      <c r="V242" s="65" t="n">
        <v>52212</v>
      </c>
      <c r="W242" s="115" t="n">
        <v>0.1285</v>
      </c>
      <c r="X242" s="112" t="n">
        <v>43843</v>
      </c>
      <c r="Y242" s="65" t="str">
        <f aca="false">IF(I242="","No SIC",IFERROR(VLOOKUP(I242,Ref!$A$2:$B$65,2,FALSE()),"Unclassified"))</f>
        <v>Business Services</v>
      </c>
      <c r="Z242" s="65" t="str">
        <f aca="false">IF(T242="","",IF(T242&lt;12,"Daily","Weekly"))</f>
        <v>Weekly</v>
      </c>
      <c r="AA242" s="65" t="n">
        <f aca="false">IF(T242="",0,IF(T242&lt;12,T242*Controls!$B$29,T242*5))</f>
        <v>100</v>
      </c>
      <c r="AB242" s="65" t="n">
        <f aca="false">IF(E242="",0,NETWORKDAYS(E242,Controls!$B$36,Ref!$K$2:$K$42))</f>
        <v>242</v>
      </c>
      <c r="AC242" s="65" t="n">
        <f aca="false">IF(AND(AA242&gt;0,AB242&gt;=Controls!$B$39*AA242),1,0)</f>
        <v>1</v>
      </c>
      <c r="AD242" s="65" t="n">
        <f aca="false">IF(AND(E242&lt;&gt;"",E242&gt;=Controls!$B$37,E242&lt;=Controls!$B$38),1,0)</f>
        <v>1</v>
      </c>
      <c r="AE242" s="65" t="n">
        <f aca="false">IF(IFERROR(VLOOKUP(D242,Controls!$A$64:$E$74,2,FALSE()),"No")="Yes",1,0)</f>
        <v>0</v>
      </c>
      <c r="AF242" s="65" t="n">
        <f aca="false">IF(IFERROR(VLOOKUP(D242,Controls!$A$64:$E$74,3,FALSE()),"No")="Yes",1,0)</f>
        <v>1</v>
      </c>
      <c r="AG242" s="65" t="n">
        <f aca="false">IF(IFERROR(VLOOKUP(D242,Controls!$A$64:$E$74,4,FALSE()),"No")="Yes",1,0)</f>
        <v>1</v>
      </c>
      <c r="AH242" s="65" t="n">
        <f aca="false">IF(IFERROR(VLOOKUP(D242,Controls!$A$64:$E$74,5,FALSE()),"No")="Yes",1,0)</f>
        <v>0</v>
      </c>
      <c r="AI242" s="65" t="n">
        <f aca="false">IF(ISNUMBER(MATCH(D242,Controls!$A$64:$A$74,0)),1,0)</f>
        <v>1</v>
      </c>
      <c r="AJ242" s="65" t="n">
        <f aca="false">Q242-N242</f>
        <v>9750</v>
      </c>
      <c r="AK242" s="65" t="n">
        <f aca="false">IF(AE242=1,MAX(0,N242-Q242),0)</f>
        <v>0</v>
      </c>
      <c r="AL242" s="65" t="n">
        <f aca="false">IF(OR(V242="",V242=0),0,N242/V242)</f>
        <v>0.478817130161649</v>
      </c>
      <c r="AM242" s="65" t="n">
        <f aca="false">IF(OR(V242="",V242=0),0,1)</f>
        <v>1</v>
      </c>
      <c r="AN242" s="65" t="n">
        <f aca="false">IF(OR(E242="",F242=""),0,NETWORKDAYS(E242,F242,Ref!$K$2:$K$42))</f>
        <v>108</v>
      </c>
      <c r="AO242" s="65" t="n">
        <f aca="false">IF(L242="Renewal",1,0)</f>
        <v>0</v>
      </c>
      <c r="AP242" s="65" t="n">
        <f aca="false">AC242*AD242</f>
        <v>1</v>
      </c>
      <c r="AQ242" s="65" t="n">
        <f aca="false">IF(AND(G242&lt;&gt;"",'Historical Score'!$C$6&lt;&gt;""),IF(G242='Historical Score'!$C$6,1,0),0)</f>
        <v>1</v>
      </c>
      <c r="AR242" s="65" t="n">
        <f aca="false">IF(AND(L242&lt;&gt;"",'Historical Score'!$C$5&lt;&gt;""),IF(L242='Historical Score'!$C$5,1,0),0)</f>
        <v>1</v>
      </c>
      <c r="AS242" s="65" t="n">
        <f aca="false">IF(AND(Y242&lt;&gt;"",'Historical Score'!$C$7&lt;&gt;""),IF(Y242='Historical Score'!$C$7,1,0),0)</f>
        <v>0</v>
      </c>
      <c r="AT242" s="65" t="n">
        <f aca="false">IF(AND(K242&lt;&gt;"",'Historical Score'!$C$8&lt;&gt;""),IF(K242='Historical Score'!$C$8,1,0),0)</f>
        <v>0</v>
      </c>
      <c r="AU242" s="65" t="n">
        <f aca="false">IF(AND(J242&lt;&gt;"",'Historical Score'!$C$9&lt;&gt;""),IF(J242='Historical Score'!$C$9,1,0),0)</f>
        <v>1</v>
      </c>
      <c r="AV242" s="65" t="n">
        <f aca="false">AR242*AS242*AQ242</f>
        <v>0</v>
      </c>
      <c r="AW242" s="65" t="n">
        <f aca="false">AR242*AT242*AQ242</f>
        <v>0</v>
      </c>
      <c r="AX242" s="65" t="n">
        <f aca="false">AR242*AS242</f>
        <v>0</v>
      </c>
      <c r="AY242" s="65" t="n">
        <f aca="false">AR242*AT242</f>
        <v>0</v>
      </c>
      <c r="AZ242" s="65" t="n">
        <f aca="false">AR242*AQ242</f>
        <v>1</v>
      </c>
      <c r="BA242" s="65" t="n">
        <f aca="false">AR242</f>
        <v>1</v>
      </c>
      <c r="BB242" s="65" t="n">
        <f aca="false">1</f>
        <v>1</v>
      </c>
      <c r="BC242" s="65" t="n">
        <f aca="false">IF(AV242=1,1,IF(AW242=1,2,IF(AX242=1,3,IF(AY242=1,4,IF(AZ242=1,5,IF(BA242=1,6,7))))))</f>
        <v>5</v>
      </c>
      <c r="BD242" s="65" t="n">
        <f aca="false">IF(AD242=1,CHOOSE('Historical Score'!$C$29,AV242,AW242,AX242,AY242,AZ242,BA242,BB242),0)</f>
        <v>0</v>
      </c>
      <c r="BE242" s="65" t="str">
        <f aca="false">IF(BD242=1,COUNTIF($BD$2:BD242,1),"")</f>
        <v/>
      </c>
    </row>
    <row r="243" customFormat="false" ht="15" hidden="false" customHeight="false" outlineLevel="0" collapsed="false">
      <c r="A243" s="65" t="s">
        <v>1150</v>
      </c>
      <c r="B243" s="65" t="s">
        <v>1151</v>
      </c>
      <c r="C243" s="65" t="s">
        <v>1151</v>
      </c>
      <c r="D243" s="65" t="s">
        <v>347</v>
      </c>
      <c r="E243" s="112" t="n">
        <v>45909</v>
      </c>
      <c r="F243" s="112" t="n">
        <v>46024</v>
      </c>
      <c r="G243" s="65" t="n">
        <v>2</v>
      </c>
      <c r="H243" s="65" t="s">
        <v>451</v>
      </c>
      <c r="I243" s="65" t="s">
        <v>425</v>
      </c>
      <c r="J243" s="65" t="s">
        <v>61</v>
      </c>
      <c r="K243" s="65" t="s">
        <v>578</v>
      </c>
      <c r="L243" s="65" t="s">
        <v>64</v>
      </c>
      <c r="M243" s="113" t="n">
        <v>1.499</v>
      </c>
      <c r="N243" s="114" t="n">
        <v>8500</v>
      </c>
      <c r="O243" s="114" t="n">
        <v>1190</v>
      </c>
      <c r="P243" s="114" t="n">
        <v>12741.5</v>
      </c>
      <c r="Q243" s="114" t="n">
        <v>12673</v>
      </c>
      <c r="R243" s="114" t="n">
        <v>68.5000000000018</v>
      </c>
      <c r="S243" s="115" t="n">
        <v>0.994623866891653</v>
      </c>
      <c r="T243" s="65" t="n">
        <v>2.459</v>
      </c>
      <c r="U243" s="65" t="n">
        <v>4</v>
      </c>
      <c r="V243" s="65" t="n">
        <v>30093.78</v>
      </c>
      <c r="W243" s="115" t="n">
        <v>0.1179</v>
      </c>
      <c r="X243" s="112"/>
      <c r="Y243" s="65" t="str">
        <f aca="false">IF(I243="","No SIC",IFERROR(VLOOKUP(I243,Ref!$A$2:$B$65,2,FALSE()),"Unclassified"))</f>
        <v>Personal Services</v>
      </c>
      <c r="Z243" s="65" t="str">
        <f aca="false">IF(T243="","",IF(T243&lt;12,"Daily","Weekly"))</f>
        <v>Daily</v>
      </c>
      <c r="AA243" s="65" t="n">
        <f aca="false">IF(T243="",0,IF(T243&lt;12,T243*Controls!$B$29,T243*5))</f>
        <v>53.249645</v>
      </c>
      <c r="AB243" s="65" t="n">
        <f aca="false">IF(E243="",0,NETWORKDAYS(E243,Controls!$B$36,Ref!$K$2:$K$42))</f>
        <v>242</v>
      </c>
      <c r="AC243" s="65" t="n">
        <f aca="false">IF(AND(AA243&gt;0,AB243&gt;=Controls!$B$39*AA243),1,0)</f>
        <v>1</v>
      </c>
      <c r="AD243" s="65" t="n">
        <f aca="false">IF(AND(E243&lt;&gt;"",E243&gt;=Controls!$B$37,E243&lt;=Controls!$B$38),1,0)</f>
        <v>1</v>
      </c>
      <c r="AE243" s="65" t="n">
        <f aca="false">IF(IFERROR(VLOOKUP(D243,Controls!$A$64:$E$74,2,FALSE()),"No")="Yes",1,0)</f>
        <v>1</v>
      </c>
      <c r="AF243" s="65" t="n">
        <f aca="false">IF(IFERROR(VLOOKUP(D243,Controls!$A$64:$E$74,3,FALSE()),"No")="Yes",1,0)</f>
        <v>1</v>
      </c>
      <c r="AG243" s="65" t="n">
        <f aca="false">IF(IFERROR(VLOOKUP(D243,Controls!$A$64:$E$74,4,FALSE()),"No")="Yes",1,0)</f>
        <v>0</v>
      </c>
      <c r="AH243" s="65" t="n">
        <f aca="false">IF(IFERROR(VLOOKUP(D243,Controls!$A$64:$E$74,5,FALSE()),"No")="Yes",1,0)</f>
        <v>0</v>
      </c>
      <c r="AI243" s="65" t="n">
        <f aca="false">IF(ISNUMBER(MATCH(D243,Controls!$A$64:$A$74,0)),1,0)</f>
        <v>1</v>
      </c>
      <c r="AJ243" s="65" t="n">
        <f aca="false">Q243-N243</f>
        <v>4173</v>
      </c>
      <c r="AK243" s="65" t="n">
        <f aca="false">IF(AE243=1,MAX(0,N243-Q243),0)</f>
        <v>0</v>
      </c>
      <c r="AL243" s="65" t="n">
        <f aca="false">IF(OR(V243="",V243=0),0,N243/V243)</f>
        <v>0.282450393403554</v>
      </c>
      <c r="AM243" s="65" t="n">
        <f aca="false">IF(OR(V243="",V243=0),0,1)</f>
        <v>1</v>
      </c>
      <c r="AN243" s="65" t="n">
        <f aca="false">IF(OR(E243="",F243=""),0,NETWORKDAYS(E243,F243,Ref!$K$2:$K$42))</f>
        <v>79</v>
      </c>
      <c r="AO243" s="65" t="n">
        <f aca="false">IF(L243="Renewal",1,0)</f>
        <v>0</v>
      </c>
      <c r="AP243" s="65" t="n">
        <f aca="false">AC243*AD243</f>
        <v>1</v>
      </c>
      <c r="AQ243" s="65" t="n">
        <f aca="false">IF(AND(G243&lt;&gt;"",'Historical Score'!$C$6&lt;&gt;""),IF(G243='Historical Score'!$C$6,1,0),0)</f>
        <v>1</v>
      </c>
      <c r="AR243" s="65" t="n">
        <f aca="false">IF(AND(L243&lt;&gt;"",'Historical Score'!$C$5&lt;&gt;""),IF(L243='Historical Score'!$C$5,1,0),0)</f>
        <v>1</v>
      </c>
      <c r="AS243" s="65" t="n">
        <f aca="false">IF(AND(Y243&lt;&gt;"",'Historical Score'!$C$7&lt;&gt;""),IF(Y243='Historical Score'!$C$7,1,0),0)</f>
        <v>0</v>
      </c>
      <c r="AT243" s="65" t="n">
        <f aca="false">IF(AND(K243&lt;&gt;"",'Historical Score'!$C$8&lt;&gt;""),IF(K243='Historical Score'!$C$8,1,0),0)</f>
        <v>0</v>
      </c>
      <c r="AU243" s="65" t="n">
        <f aca="false">IF(AND(J243&lt;&gt;"",'Historical Score'!$C$9&lt;&gt;""),IF(J243='Historical Score'!$C$9,1,0),0)</f>
        <v>1</v>
      </c>
      <c r="AV243" s="65" t="n">
        <f aca="false">AR243*AS243*AQ243</f>
        <v>0</v>
      </c>
      <c r="AW243" s="65" t="n">
        <f aca="false">AR243*AT243*AQ243</f>
        <v>0</v>
      </c>
      <c r="AX243" s="65" t="n">
        <f aca="false">AR243*AS243</f>
        <v>0</v>
      </c>
      <c r="AY243" s="65" t="n">
        <f aca="false">AR243*AT243</f>
        <v>0</v>
      </c>
      <c r="AZ243" s="65" t="n">
        <f aca="false">AR243*AQ243</f>
        <v>1</v>
      </c>
      <c r="BA243" s="65" t="n">
        <f aca="false">AR243</f>
        <v>1</v>
      </c>
      <c r="BB243" s="65" t="n">
        <f aca="false">1</f>
        <v>1</v>
      </c>
      <c r="BC243" s="65" t="n">
        <f aca="false">IF(AV243=1,1,IF(AW243=1,2,IF(AX243=1,3,IF(AY243=1,4,IF(AZ243=1,5,IF(BA243=1,6,7))))))</f>
        <v>5</v>
      </c>
      <c r="BD243" s="65" t="n">
        <f aca="false">IF(AD243=1,CHOOSE('Historical Score'!$C$29,AV243,AW243,AX243,AY243,AZ243,BA243,BB243),0)</f>
        <v>0</v>
      </c>
      <c r="BE243" s="65" t="str">
        <f aca="false">IF(BD243=1,COUNTIF($BD$2:BD243,1),"")</f>
        <v/>
      </c>
    </row>
    <row r="244" customFormat="false" ht="15" hidden="false" customHeight="false" outlineLevel="0" collapsed="false">
      <c r="A244" s="65" t="s">
        <v>1152</v>
      </c>
      <c r="B244" s="65" t="s">
        <v>1153</v>
      </c>
      <c r="C244" s="65" t="s">
        <v>1154</v>
      </c>
      <c r="D244" s="65" t="s">
        <v>340</v>
      </c>
      <c r="E244" s="112" t="n">
        <v>45909</v>
      </c>
      <c r="F244" s="112" t="n">
        <v>46170</v>
      </c>
      <c r="G244" s="65" t="n">
        <v>3</v>
      </c>
      <c r="H244" s="65" t="s">
        <v>554</v>
      </c>
      <c r="I244" s="65" t="s">
        <v>405</v>
      </c>
      <c r="J244" s="65" t="s">
        <v>1155</v>
      </c>
      <c r="K244" s="65" t="s">
        <v>411</v>
      </c>
      <c r="L244" s="65" t="s">
        <v>64</v>
      </c>
      <c r="M244" s="113" t="n">
        <v>1.499</v>
      </c>
      <c r="N244" s="114" t="n">
        <v>15000</v>
      </c>
      <c r="O244" s="114" t="n">
        <v>0</v>
      </c>
      <c r="P244" s="114" t="n">
        <v>22485</v>
      </c>
      <c r="Q244" s="114" t="n">
        <v>11404.4</v>
      </c>
      <c r="R244" s="114" t="n">
        <v>11080.6</v>
      </c>
      <c r="S244" s="115" t="n">
        <v>0.507200355792751</v>
      </c>
      <c r="T244" s="65" t="n">
        <v>15</v>
      </c>
      <c r="U244" s="65" t="n">
        <v>36</v>
      </c>
      <c r="V244" s="65" t="n">
        <v>29576.08</v>
      </c>
      <c r="W244" s="115" t="n">
        <v>0.2015</v>
      </c>
      <c r="X244" s="112" t="n">
        <v>43225</v>
      </c>
      <c r="Y244" s="65" t="str">
        <f aca="false">IF(I244="","No SIC",IFERROR(VLOOKUP(I244,Ref!$A$2:$B$65,2,FALSE()),"Unclassified"))</f>
        <v>Health Services</v>
      </c>
      <c r="Z244" s="65" t="str">
        <f aca="false">IF(T244="","",IF(T244&lt;12,"Daily","Weekly"))</f>
        <v>Weekly</v>
      </c>
      <c r="AA244" s="65" t="n">
        <f aca="false">IF(T244="",0,IF(T244&lt;12,T244*Controls!$B$29,T244*5))</f>
        <v>75</v>
      </c>
      <c r="AB244" s="65" t="n">
        <f aca="false">IF(E244="",0,NETWORKDAYS(E244,Controls!$B$36,Ref!$K$2:$K$42))</f>
        <v>242</v>
      </c>
      <c r="AC244" s="65" t="n">
        <f aca="false">IF(AND(AA244&gt;0,AB244&gt;=Controls!$B$39*AA244),1,0)</f>
        <v>1</v>
      </c>
      <c r="AD244" s="65" t="n">
        <f aca="false">IF(AND(E244&lt;&gt;"",E244&gt;=Controls!$B$37,E244&lt;=Controls!$B$38),1,0)</f>
        <v>1</v>
      </c>
      <c r="AE244" s="65" t="n">
        <f aca="false">IF(IFERROR(VLOOKUP(D244,Controls!$A$64:$E$74,2,FALSE()),"No")="Yes",1,0)</f>
        <v>1</v>
      </c>
      <c r="AF244" s="65" t="n">
        <f aca="false">IF(IFERROR(VLOOKUP(D244,Controls!$A$64:$E$74,3,FALSE()),"No")="Yes",1,0)</f>
        <v>0</v>
      </c>
      <c r="AG244" s="65" t="n">
        <f aca="false">IF(IFERROR(VLOOKUP(D244,Controls!$A$64:$E$74,4,FALSE()),"No")="Yes",1,0)</f>
        <v>0</v>
      </c>
      <c r="AH244" s="65" t="n">
        <f aca="false">IF(IFERROR(VLOOKUP(D244,Controls!$A$64:$E$74,5,FALSE()),"No")="Yes",1,0)</f>
        <v>0</v>
      </c>
      <c r="AI244" s="65" t="n">
        <f aca="false">IF(ISNUMBER(MATCH(D244,Controls!$A$64:$A$74,0)),1,0)</f>
        <v>1</v>
      </c>
      <c r="AJ244" s="65" t="n">
        <f aca="false">Q244-N244</f>
        <v>-3595.6</v>
      </c>
      <c r="AK244" s="65" t="n">
        <f aca="false">IF(AE244=1,MAX(0,N244-Q244),0)</f>
        <v>3595.6</v>
      </c>
      <c r="AL244" s="65" t="n">
        <f aca="false">IF(OR(V244="",V244=0),0,N244/V244)</f>
        <v>0.507166602200156</v>
      </c>
      <c r="AM244" s="65" t="n">
        <f aca="false">IF(OR(V244="",V244=0),0,1)</f>
        <v>1</v>
      </c>
      <c r="AN244" s="65" t="n">
        <f aca="false">IF(OR(E244="",F244=""),0,NETWORKDAYS(E244,F244,Ref!$K$2:$K$42))</f>
        <v>180</v>
      </c>
      <c r="AO244" s="65" t="n">
        <f aca="false">IF(L244="Renewal",1,0)</f>
        <v>0</v>
      </c>
      <c r="AP244" s="65" t="n">
        <f aca="false">AC244*AD244</f>
        <v>1</v>
      </c>
      <c r="AQ244" s="65" t="n">
        <f aca="false">IF(AND(G244&lt;&gt;"",'Historical Score'!$C$6&lt;&gt;""),IF(G244='Historical Score'!$C$6,1,0),0)</f>
        <v>0</v>
      </c>
      <c r="AR244" s="65" t="n">
        <f aca="false">IF(AND(L244&lt;&gt;"",'Historical Score'!$C$5&lt;&gt;""),IF(L244='Historical Score'!$C$5,1,0),0)</f>
        <v>1</v>
      </c>
      <c r="AS244" s="65" t="n">
        <f aca="false">IF(AND(Y244&lt;&gt;"",'Historical Score'!$C$7&lt;&gt;""),IF(Y244='Historical Score'!$C$7,1,0),0)</f>
        <v>0</v>
      </c>
      <c r="AT244" s="65" t="n">
        <f aca="false">IF(AND(K244&lt;&gt;"",'Historical Score'!$C$8&lt;&gt;""),IF(K244='Historical Score'!$C$8,1,0),0)</f>
        <v>0</v>
      </c>
      <c r="AU244" s="65" t="n">
        <f aca="false">IF(AND(J244&lt;&gt;"",'Historical Score'!$C$9&lt;&gt;""),IF(J244='Historical Score'!$C$9,1,0),0)</f>
        <v>0</v>
      </c>
      <c r="AV244" s="65" t="n">
        <f aca="false">AR244*AS244*AQ244</f>
        <v>0</v>
      </c>
      <c r="AW244" s="65" t="n">
        <f aca="false">AR244*AT244*AQ244</f>
        <v>0</v>
      </c>
      <c r="AX244" s="65" t="n">
        <f aca="false">AR244*AS244</f>
        <v>0</v>
      </c>
      <c r="AY244" s="65" t="n">
        <f aca="false">AR244*AT244</f>
        <v>0</v>
      </c>
      <c r="AZ244" s="65" t="n">
        <f aca="false">AR244*AQ244</f>
        <v>0</v>
      </c>
      <c r="BA244" s="65" t="n">
        <f aca="false">AR244</f>
        <v>1</v>
      </c>
      <c r="BB244" s="65" t="n">
        <f aca="false">1</f>
        <v>1</v>
      </c>
      <c r="BC244" s="65" t="n">
        <f aca="false">IF(AV244=1,1,IF(AW244=1,2,IF(AX244=1,3,IF(AY244=1,4,IF(AZ244=1,5,IF(BA244=1,6,7))))))</f>
        <v>6</v>
      </c>
      <c r="BD244" s="65" t="n">
        <f aca="false">IF(AD244=1,CHOOSE('Historical Score'!$C$29,AV244,AW244,AX244,AY244,AZ244,BA244,BB244),0)</f>
        <v>0</v>
      </c>
      <c r="BE244" s="65" t="str">
        <f aca="false">IF(BD244=1,COUNTIF($BD$2:BD244,1),"")</f>
        <v/>
      </c>
    </row>
    <row r="245" customFormat="false" ht="15" hidden="false" customHeight="false" outlineLevel="0" collapsed="false">
      <c r="A245" s="65" t="s">
        <v>1156</v>
      </c>
      <c r="B245" s="65" t="s">
        <v>1157</v>
      </c>
      <c r="C245" s="65" t="s">
        <v>1157</v>
      </c>
      <c r="D245" s="65" t="s">
        <v>371</v>
      </c>
      <c r="E245" s="112" t="n">
        <v>45910</v>
      </c>
      <c r="F245" s="112" t="n">
        <v>46030</v>
      </c>
      <c r="G245" s="65" t="n">
        <v>2</v>
      </c>
      <c r="H245" s="65" t="s">
        <v>442</v>
      </c>
      <c r="I245" s="65" t="s">
        <v>443</v>
      </c>
      <c r="J245" s="65" t="s">
        <v>510</v>
      </c>
      <c r="K245" s="65" t="s">
        <v>893</v>
      </c>
      <c r="L245" s="65" t="s">
        <v>64</v>
      </c>
      <c r="M245" s="113" t="n">
        <v>1.499</v>
      </c>
      <c r="N245" s="114" t="n">
        <v>15000</v>
      </c>
      <c r="O245" s="114" t="n">
        <v>2100</v>
      </c>
      <c r="P245" s="114" t="n">
        <v>22485</v>
      </c>
      <c r="Q245" s="114" t="n">
        <v>22485</v>
      </c>
      <c r="R245" s="114" t="n">
        <v>0</v>
      </c>
      <c r="S245" s="115" t="n">
        <v>1</v>
      </c>
      <c r="T245" s="65" t="n">
        <v>2.623</v>
      </c>
      <c r="U245" s="65" t="n">
        <v>10</v>
      </c>
      <c r="V245" s="65" t="n">
        <v>81491.69</v>
      </c>
      <c r="W245" s="115" t="n">
        <v>0.0716</v>
      </c>
      <c r="X245" s="112" t="n">
        <v>45292</v>
      </c>
      <c r="Y245" s="65" t="str">
        <f aca="false">IF(I245="","No SIC",IFERROR(VLOOKUP(I245,Ref!$A$2:$B$65,2,FALSE()),"Unclassified"))</f>
        <v>General Building Contractors</v>
      </c>
      <c r="Z245" s="65" t="str">
        <f aca="false">IF(T245="","",IF(T245&lt;12,"Daily","Weekly"))</f>
        <v>Daily</v>
      </c>
      <c r="AA245" s="65" t="n">
        <f aca="false">IF(T245="",0,IF(T245&lt;12,T245*Controls!$B$29,T245*5))</f>
        <v>56.801065</v>
      </c>
      <c r="AB245" s="65" t="n">
        <f aca="false">IF(E245="",0,NETWORKDAYS(E245,Controls!$B$36,Ref!$K$2:$K$42))</f>
        <v>241</v>
      </c>
      <c r="AC245" s="65" t="n">
        <f aca="false">IF(AND(AA245&gt;0,AB245&gt;=Controls!$B$39*AA245),1,0)</f>
        <v>1</v>
      </c>
      <c r="AD245" s="65" t="n">
        <f aca="false">IF(AND(E245&lt;&gt;"",E245&gt;=Controls!$B$37,E245&lt;=Controls!$B$38),1,0)</f>
        <v>1</v>
      </c>
      <c r="AE245" s="65" t="n">
        <f aca="false">IF(IFERROR(VLOOKUP(D245,Controls!$A$64:$E$74,2,FALSE()),"No")="Yes",1,0)</f>
        <v>0</v>
      </c>
      <c r="AF245" s="65" t="n">
        <f aca="false">IF(IFERROR(VLOOKUP(D245,Controls!$A$64:$E$74,3,FALSE()),"No")="Yes",1,0)</f>
        <v>1</v>
      </c>
      <c r="AG245" s="65" t="n">
        <f aca="false">IF(IFERROR(VLOOKUP(D245,Controls!$A$64:$E$74,4,FALSE()),"No")="Yes",1,0)</f>
        <v>1</v>
      </c>
      <c r="AH245" s="65" t="n">
        <f aca="false">IF(IFERROR(VLOOKUP(D245,Controls!$A$64:$E$74,5,FALSE()),"No")="Yes",1,0)</f>
        <v>0</v>
      </c>
      <c r="AI245" s="65" t="n">
        <f aca="false">IF(ISNUMBER(MATCH(D245,Controls!$A$64:$A$74,0)),1,0)</f>
        <v>1</v>
      </c>
      <c r="AJ245" s="65" t="n">
        <f aca="false">Q245-N245</f>
        <v>7485</v>
      </c>
      <c r="AK245" s="65" t="n">
        <f aca="false">IF(AE245=1,MAX(0,N245-Q245),0)</f>
        <v>0</v>
      </c>
      <c r="AL245" s="65" t="n">
        <f aca="false">IF(OR(V245="",V245=0),0,N245/V245)</f>
        <v>0.184067847899583</v>
      </c>
      <c r="AM245" s="65" t="n">
        <f aca="false">IF(OR(V245="",V245=0),0,1)</f>
        <v>1</v>
      </c>
      <c r="AN245" s="65" t="n">
        <f aca="false">IF(OR(E245="",F245=""),0,NETWORKDAYS(E245,F245,Ref!$K$2:$K$42))</f>
        <v>82</v>
      </c>
      <c r="AO245" s="65" t="n">
        <f aca="false">IF(L245="Renewal",1,0)</f>
        <v>0</v>
      </c>
      <c r="AP245" s="65" t="n">
        <f aca="false">AC245*AD245</f>
        <v>1</v>
      </c>
      <c r="AQ245" s="65" t="n">
        <f aca="false">IF(AND(G245&lt;&gt;"",'Historical Score'!$C$6&lt;&gt;""),IF(G245='Historical Score'!$C$6,1,0),0)</f>
        <v>1</v>
      </c>
      <c r="AR245" s="65" t="n">
        <f aca="false">IF(AND(L245&lt;&gt;"",'Historical Score'!$C$5&lt;&gt;""),IF(L245='Historical Score'!$C$5,1,0),0)</f>
        <v>1</v>
      </c>
      <c r="AS245" s="65" t="n">
        <f aca="false">IF(AND(Y245&lt;&gt;"",'Historical Score'!$C$7&lt;&gt;""),IF(Y245='Historical Score'!$C$7,1,0),0)</f>
        <v>1</v>
      </c>
      <c r="AT245" s="65" t="n">
        <f aca="false">IF(AND(K245&lt;&gt;"",'Historical Score'!$C$8&lt;&gt;""),IF(K245='Historical Score'!$C$8,1,0),0)</f>
        <v>0</v>
      </c>
      <c r="AU245" s="65" t="n">
        <f aca="false">IF(AND(J245&lt;&gt;"",'Historical Score'!$C$9&lt;&gt;""),IF(J245='Historical Score'!$C$9,1,0),0)</f>
        <v>0</v>
      </c>
      <c r="AV245" s="65" t="n">
        <f aca="false">AR245*AS245*AQ245</f>
        <v>1</v>
      </c>
      <c r="AW245" s="65" t="n">
        <f aca="false">AR245*AT245*AQ245</f>
        <v>0</v>
      </c>
      <c r="AX245" s="65" t="n">
        <f aca="false">AR245*AS245</f>
        <v>1</v>
      </c>
      <c r="AY245" s="65" t="n">
        <f aca="false">AR245*AT245</f>
        <v>0</v>
      </c>
      <c r="AZ245" s="65" t="n">
        <f aca="false">AR245*AQ245</f>
        <v>1</v>
      </c>
      <c r="BA245" s="65" t="n">
        <f aca="false">AR245</f>
        <v>1</v>
      </c>
      <c r="BB245" s="65" t="n">
        <f aca="false">1</f>
        <v>1</v>
      </c>
      <c r="BC245" s="65" t="n">
        <f aca="false">IF(AV245=1,1,IF(AW245=1,2,IF(AX245=1,3,IF(AY245=1,4,IF(AZ245=1,5,IF(BA245=1,6,7))))))</f>
        <v>1</v>
      </c>
      <c r="BD245" s="65" t="n">
        <f aca="false">IF(AD245=1,CHOOSE('Historical Score'!$C$29,AV245,AW245,AX245,AY245,AZ245,BA245,BB245),0)</f>
        <v>1</v>
      </c>
      <c r="BE245" s="65" t="n">
        <f aca="false">IF(BD245=1,COUNTIF($BD$2:BD245,1),"")</f>
        <v>9</v>
      </c>
    </row>
    <row r="246" customFormat="false" ht="15" hidden="false" customHeight="false" outlineLevel="0" collapsed="false">
      <c r="A246" s="65" t="s">
        <v>1158</v>
      </c>
      <c r="B246" s="65" t="s">
        <v>1159</v>
      </c>
      <c r="C246" s="65" t="s">
        <v>1160</v>
      </c>
      <c r="D246" s="65" t="s">
        <v>371</v>
      </c>
      <c r="E246" s="112" t="n">
        <v>45911</v>
      </c>
      <c r="F246" s="112" t="n">
        <v>46149</v>
      </c>
      <c r="G246" s="65" t="n">
        <v>3</v>
      </c>
      <c r="H246" s="65" t="s">
        <v>1161</v>
      </c>
      <c r="I246" s="65" t="s">
        <v>679</v>
      </c>
      <c r="J246" s="65" t="s">
        <v>350</v>
      </c>
      <c r="K246" s="65" t="s">
        <v>1162</v>
      </c>
      <c r="L246" s="65" t="s">
        <v>64</v>
      </c>
      <c r="M246" s="113" t="n">
        <v>1.499</v>
      </c>
      <c r="N246" s="114" t="n">
        <v>5000</v>
      </c>
      <c r="O246" s="114" t="n">
        <v>700</v>
      </c>
      <c r="P246" s="114" t="n">
        <v>7495</v>
      </c>
      <c r="Q246" s="114" t="n">
        <v>7495</v>
      </c>
      <c r="R246" s="114" t="n">
        <v>9.09494701772928E-013</v>
      </c>
      <c r="S246" s="115" t="n">
        <v>1</v>
      </c>
      <c r="T246" s="65" t="n">
        <v>2.295</v>
      </c>
      <c r="U246" s="65" t="n">
        <v>22</v>
      </c>
      <c r="V246" s="65" t="n">
        <v>88940.89</v>
      </c>
      <c r="W246" s="115" t="n">
        <v>0.0251</v>
      </c>
      <c r="X246" s="112"/>
      <c r="Y246" s="65" t="str">
        <f aca="false">IF(I246="","No SIC",IFERROR(VLOOKUP(I246,Ref!$A$2:$B$65,2,FALSE()),"Unclassified"))</f>
        <v>Amusement &amp; Recreation Services</v>
      </c>
      <c r="Z246" s="65" t="str">
        <f aca="false">IF(T246="","",IF(T246&lt;12,"Daily","Weekly"))</f>
        <v>Daily</v>
      </c>
      <c r="AA246" s="65" t="n">
        <f aca="false">IF(T246="",0,IF(T246&lt;12,T246*Controls!$B$29,T246*5))</f>
        <v>49.698225</v>
      </c>
      <c r="AB246" s="65" t="n">
        <f aca="false">IF(E246="",0,NETWORKDAYS(E246,Controls!$B$36,Ref!$K$2:$K$42))</f>
        <v>240</v>
      </c>
      <c r="AC246" s="65" t="n">
        <f aca="false">IF(AND(AA246&gt;0,AB246&gt;=Controls!$B$39*AA246),1,0)</f>
        <v>1</v>
      </c>
      <c r="AD246" s="65" t="n">
        <f aca="false">IF(AND(E246&lt;&gt;"",E246&gt;=Controls!$B$37,E246&lt;=Controls!$B$38),1,0)</f>
        <v>1</v>
      </c>
      <c r="AE246" s="65" t="n">
        <f aca="false">IF(IFERROR(VLOOKUP(D246,Controls!$A$64:$E$74,2,FALSE()),"No")="Yes",1,0)</f>
        <v>0</v>
      </c>
      <c r="AF246" s="65" t="n">
        <f aca="false">IF(IFERROR(VLOOKUP(D246,Controls!$A$64:$E$74,3,FALSE()),"No")="Yes",1,0)</f>
        <v>1</v>
      </c>
      <c r="AG246" s="65" t="n">
        <f aca="false">IF(IFERROR(VLOOKUP(D246,Controls!$A$64:$E$74,4,FALSE()),"No")="Yes",1,0)</f>
        <v>1</v>
      </c>
      <c r="AH246" s="65" t="n">
        <f aca="false">IF(IFERROR(VLOOKUP(D246,Controls!$A$64:$E$74,5,FALSE()),"No")="Yes",1,0)</f>
        <v>0</v>
      </c>
      <c r="AI246" s="65" t="n">
        <f aca="false">IF(ISNUMBER(MATCH(D246,Controls!$A$64:$A$74,0)),1,0)</f>
        <v>1</v>
      </c>
      <c r="AJ246" s="65" t="n">
        <f aca="false">Q246-N246</f>
        <v>2495</v>
      </c>
      <c r="AK246" s="65" t="n">
        <f aca="false">IF(AE246=1,MAX(0,N246-Q246),0)</f>
        <v>0</v>
      </c>
      <c r="AL246" s="65" t="n">
        <f aca="false">IF(OR(V246="",V246=0),0,N246/V246)</f>
        <v>0.0562171122865984</v>
      </c>
      <c r="AM246" s="65" t="n">
        <f aca="false">IF(OR(V246="",V246=0),0,1)</f>
        <v>1</v>
      </c>
      <c r="AN246" s="65" t="n">
        <f aca="false">IF(OR(E246="",F246=""),0,NETWORKDAYS(E246,F246,Ref!$K$2:$K$42))</f>
        <v>164</v>
      </c>
      <c r="AO246" s="65" t="n">
        <f aca="false">IF(L246="Renewal",1,0)</f>
        <v>0</v>
      </c>
      <c r="AP246" s="65" t="n">
        <f aca="false">AC246*AD246</f>
        <v>1</v>
      </c>
      <c r="AQ246" s="65" t="n">
        <f aca="false">IF(AND(G246&lt;&gt;"",'Historical Score'!$C$6&lt;&gt;""),IF(G246='Historical Score'!$C$6,1,0),0)</f>
        <v>0</v>
      </c>
      <c r="AR246" s="65" t="n">
        <f aca="false">IF(AND(L246&lt;&gt;"",'Historical Score'!$C$5&lt;&gt;""),IF(L246='Historical Score'!$C$5,1,0),0)</f>
        <v>1</v>
      </c>
      <c r="AS246" s="65" t="n">
        <f aca="false">IF(AND(Y246&lt;&gt;"",'Historical Score'!$C$7&lt;&gt;""),IF(Y246='Historical Score'!$C$7,1,0),0)</f>
        <v>0</v>
      </c>
      <c r="AT246" s="65" t="n">
        <f aca="false">IF(AND(K246&lt;&gt;"",'Historical Score'!$C$8&lt;&gt;""),IF(K246='Historical Score'!$C$8,1,0),0)</f>
        <v>0</v>
      </c>
      <c r="AU246" s="65" t="n">
        <f aca="false">IF(AND(J246&lt;&gt;"",'Historical Score'!$C$9&lt;&gt;""),IF(J246='Historical Score'!$C$9,1,0),0)</f>
        <v>0</v>
      </c>
      <c r="AV246" s="65" t="n">
        <f aca="false">AR246*AS246*AQ246</f>
        <v>0</v>
      </c>
      <c r="AW246" s="65" t="n">
        <f aca="false">AR246*AT246*AQ246</f>
        <v>0</v>
      </c>
      <c r="AX246" s="65" t="n">
        <f aca="false">AR246*AS246</f>
        <v>0</v>
      </c>
      <c r="AY246" s="65" t="n">
        <f aca="false">AR246*AT246</f>
        <v>0</v>
      </c>
      <c r="AZ246" s="65" t="n">
        <f aca="false">AR246*AQ246</f>
        <v>0</v>
      </c>
      <c r="BA246" s="65" t="n">
        <f aca="false">AR246</f>
        <v>1</v>
      </c>
      <c r="BB246" s="65" t="n">
        <f aca="false">1</f>
        <v>1</v>
      </c>
      <c r="BC246" s="65" t="n">
        <f aca="false">IF(AV246=1,1,IF(AW246=1,2,IF(AX246=1,3,IF(AY246=1,4,IF(AZ246=1,5,IF(BA246=1,6,7))))))</f>
        <v>6</v>
      </c>
      <c r="BD246" s="65" t="n">
        <f aca="false">IF(AD246=1,CHOOSE('Historical Score'!$C$29,AV246,AW246,AX246,AY246,AZ246,BA246,BB246),0)</f>
        <v>0</v>
      </c>
      <c r="BE246" s="65" t="str">
        <f aca="false">IF(BD246=1,COUNTIF($BD$2:BD246,1),"")</f>
        <v/>
      </c>
    </row>
    <row r="247" customFormat="false" ht="15" hidden="false" customHeight="false" outlineLevel="0" collapsed="false">
      <c r="A247" s="65" t="s">
        <v>1163</v>
      </c>
      <c r="B247" s="65" t="s">
        <v>1164</v>
      </c>
      <c r="C247" s="65" t="s">
        <v>1164</v>
      </c>
      <c r="D247" s="65" t="s">
        <v>371</v>
      </c>
      <c r="E247" s="112" t="n">
        <v>45911</v>
      </c>
      <c r="F247" s="112" t="n">
        <v>45967</v>
      </c>
      <c r="G247" s="65" t="n">
        <v>6</v>
      </c>
      <c r="H247" s="65" t="s">
        <v>838</v>
      </c>
      <c r="I247" s="65" t="s">
        <v>679</v>
      </c>
      <c r="J247" s="65" t="s">
        <v>350</v>
      </c>
      <c r="K247" s="65" t="s">
        <v>1047</v>
      </c>
      <c r="L247" s="65" t="s">
        <v>64</v>
      </c>
      <c r="M247" s="113" t="n">
        <v>1.499</v>
      </c>
      <c r="N247" s="114" t="n">
        <v>3500</v>
      </c>
      <c r="O247" s="114" t="n">
        <v>490</v>
      </c>
      <c r="P247" s="114" t="n">
        <v>5246.5</v>
      </c>
      <c r="Q247" s="114" t="n">
        <v>5246.5</v>
      </c>
      <c r="R247" s="114" t="n">
        <v>0</v>
      </c>
      <c r="S247" s="115" t="n">
        <v>1</v>
      </c>
      <c r="T247" s="65" t="n">
        <v>2.295</v>
      </c>
      <c r="U247" s="65" t="n">
        <v>2</v>
      </c>
      <c r="V247" s="65" t="n">
        <v>15635.79</v>
      </c>
      <c r="W247" s="115" t="n">
        <v>0.1001</v>
      </c>
      <c r="X247" s="112" t="n">
        <v>43863</v>
      </c>
      <c r="Y247" s="65" t="str">
        <f aca="false">IF(I247="","No SIC",IFERROR(VLOOKUP(I247,Ref!$A$2:$B$65,2,FALSE()),"Unclassified"))</f>
        <v>Amusement &amp; Recreation Services</v>
      </c>
      <c r="Z247" s="65" t="str">
        <f aca="false">IF(T247="","",IF(T247&lt;12,"Daily","Weekly"))</f>
        <v>Daily</v>
      </c>
      <c r="AA247" s="65" t="n">
        <f aca="false">IF(T247="",0,IF(T247&lt;12,T247*Controls!$B$29,T247*5))</f>
        <v>49.698225</v>
      </c>
      <c r="AB247" s="65" t="n">
        <f aca="false">IF(E247="",0,NETWORKDAYS(E247,Controls!$B$36,Ref!$K$2:$K$42))</f>
        <v>240</v>
      </c>
      <c r="AC247" s="65" t="n">
        <f aca="false">IF(AND(AA247&gt;0,AB247&gt;=Controls!$B$39*AA247),1,0)</f>
        <v>1</v>
      </c>
      <c r="AD247" s="65" t="n">
        <f aca="false">IF(AND(E247&lt;&gt;"",E247&gt;=Controls!$B$37,E247&lt;=Controls!$B$38),1,0)</f>
        <v>1</v>
      </c>
      <c r="AE247" s="65" t="n">
        <f aca="false">IF(IFERROR(VLOOKUP(D247,Controls!$A$64:$E$74,2,FALSE()),"No")="Yes",1,0)</f>
        <v>0</v>
      </c>
      <c r="AF247" s="65" t="n">
        <f aca="false">IF(IFERROR(VLOOKUP(D247,Controls!$A$64:$E$74,3,FALSE()),"No")="Yes",1,0)</f>
        <v>1</v>
      </c>
      <c r="AG247" s="65" t="n">
        <f aca="false">IF(IFERROR(VLOOKUP(D247,Controls!$A$64:$E$74,4,FALSE()),"No")="Yes",1,0)</f>
        <v>1</v>
      </c>
      <c r="AH247" s="65" t="n">
        <f aca="false">IF(IFERROR(VLOOKUP(D247,Controls!$A$64:$E$74,5,FALSE()),"No")="Yes",1,0)</f>
        <v>0</v>
      </c>
      <c r="AI247" s="65" t="n">
        <f aca="false">IF(ISNUMBER(MATCH(D247,Controls!$A$64:$A$74,0)),1,0)</f>
        <v>1</v>
      </c>
      <c r="AJ247" s="65" t="n">
        <f aca="false">Q247-N247</f>
        <v>1746.5</v>
      </c>
      <c r="AK247" s="65" t="n">
        <f aca="false">IF(AE247=1,MAX(0,N247-Q247),0)</f>
        <v>0</v>
      </c>
      <c r="AL247" s="65" t="n">
        <f aca="false">IF(OR(V247="",V247=0),0,N247/V247)</f>
        <v>0.223845421305863</v>
      </c>
      <c r="AM247" s="65" t="n">
        <f aca="false">IF(OR(V247="",V247=0),0,1)</f>
        <v>1</v>
      </c>
      <c r="AN247" s="65" t="n">
        <f aca="false">IF(OR(E247="",F247=""),0,NETWORKDAYS(E247,F247,Ref!$K$2:$K$42))</f>
        <v>40</v>
      </c>
      <c r="AO247" s="65" t="n">
        <f aca="false">IF(L247="Renewal",1,0)</f>
        <v>0</v>
      </c>
      <c r="AP247" s="65" t="n">
        <f aca="false">AC247*AD247</f>
        <v>1</v>
      </c>
      <c r="AQ247" s="65" t="n">
        <f aca="false">IF(AND(G247&lt;&gt;"",'Historical Score'!$C$6&lt;&gt;""),IF(G247='Historical Score'!$C$6,1,0),0)</f>
        <v>0</v>
      </c>
      <c r="AR247" s="65" t="n">
        <f aca="false">IF(AND(L247&lt;&gt;"",'Historical Score'!$C$5&lt;&gt;""),IF(L247='Historical Score'!$C$5,1,0),0)</f>
        <v>1</v>
      </c>
      <c r="AS247" s="65" t="n">
        <f aca="false">IF(AND(Y247&lt;&gt;"",'Historical Score'!$C$7&lt;&gt;""),IF(Y247='Historical Score'!$C$7,1,0),0)</f>
        <v>0</v>
      </c>
      <c r="AT247" s="65" t="n">
        <f aca="false">IF(AND(K247&lt;&gt;"",'Historical Score'!$C$8&lt;&gt;""),IF(K247='Historical Score'!$C$8,1,0),0)</f>
        <v>0</v>
      </c>
      <c r="AU247" s="65" t="n">
        <f aca="false">IF(AND(J247&lt;&gt;"",'Historical Score'!$C$9&lt;&gt;""),IF(J247='Historical Score'!$C$9,1,0),0)</f>
        <v>0</v>
      </c>
      <c r="AV247" s="65" t="n">
        <f aca="false">AR247*AS247*AQ247</f>
        <v>0</v>
      </c>
      <c r="AW247" s="65" t="n">
        <f aca="false">AR247*AT247*AQ247</f>
        <v>0</v>
      </c>
      <c r="AX247" s="65" t="n">
        <f aca="false">AR247*AS247</f>
        <v>0</v>
      </c>
      <c r="AY247" s="65" t="n">
        <f aca="false">AR247*AT247</f>
        <v>0</v>
      </c>
      <c r="AZ247" s="65" t="n">
        <f aca="false">AR247*AQ247</f>
        <v>0</v>
      </c>
      <c r="BA247" s="65" t="n">
        <f aca="false">AR247</f>
        <v>1</v>
      </c>
      <c r="BB247" s="65" t="n">
        <f aca="false">1</f>
        <v>1</v>
      </c>
      <c r="BC247" s="65" t="n">
        <f aca="false">IF(AV247=1,1,IF(AW247=1,2,IF(AX247=1,3,IF(AY247=1,4,IF(AZ247=1,5,IF(BA247=1,6,7))))))</f>
        <v>6</v>
      </c>
      <c r="BD247" s="65" t="n">
        <f aca="false">IF(AD247=1,CHOOSE('Historical Score'!$C$29,AV247,AW247,AX247,AY247,AZ247,BA247,BB247),0)</f>
        <v>0</v>
      </c>
      <c r="BE247" s="65" t="str">
        <f aca="false">IF(BD247=1,COUNTIF($BD$2:BD247,1),"")</f>
        <v/>
      </c>
    </row>
    <row r="248" customFormat="false" ht="15" hidden="false" customHeight="false" outlineLevel="0" collapsed="false">
      <c r="A248" s="65" t="s">
        <v>1165</v>
      </c>
      <c r="B248" s="65" t="s">
        <v>1166</v>
      </c>
      <c r="C248" s="65" t="s">
        <v>1166</v>
      </c>
      <c r="D248" s="65" t="s">
        <v>340</v>
      </c>
      <c r="E248" s="112" t="n">
        <v>45911</v>
      </c>
      <c r="F248" s="112" t="n">
        <v>45926</v>
      </c>
      <c r="G248" s="65" t="n">
        <v>1</v>
      </c>
      <c r="H248" s="65" t="s">
        <v>563</v>
      </c>
      <c r="I248" s="65" t="s">
        <v>564</v>
      </c>
      <c r="J248" s="65" t="s">
        <v>452</v>
      </c>
      <c r="K248" s="65" t="s">
        <v>476</v>
      </c>
      <c r="L248" s="65" t="s">
        <v>64</v>
      </c>
      <c r="M248" s="113" t="n">
        <v>1.499</v>
      </c>
      <c r="N248" s="114" t="n">
        <v>5000</v>
      </c>
      <c r="O248" s="114" t="n">
        <v>700</v>
      </c>
      <c r="P248" s="114" t="n">
        <v>7495</v>
      </c>
      <c r="Q248" s="114" t="n">
        <v>492.9</v>
      </c>
      <c r="R248" s="114" t="n">
        <v>7002.1</v>
      </c>
      <c r="S248" s="115" t="n">
        <v>0.0657638425617078</v>
      </c>
      <c r="T248" s="65" t="n">
        <v>2.459</v>
      </c>
      <c r="U248" s="65" t="n">
        <v>7</v>
      </c>
      <c r="V248" s="65" t="n">
        <v>34050.09</v>
      </c>
      <c r="W248" s="115" t="n">
        <v>0.0608</v>
      </c>
      <c r="X248" s="112" t="n">
        <v>40948</v>
      </c>
      <c r="Y248" s="65" t="str">
        <f aca="false">IF(I248="","No SIC",IFERROR(VLOOKUP(I248,Ref!$A$2:$B$65,2,FALSE()),"Unclassified"))</f>
        <v>Transportation Equipment</v>
      </c>
      <c r="Z248" s="65" t="str">
        <f aca="false">IF(T248="","",IF(T248&lt;12,"Daily","Weekly"))</f>
        <v>Daily</v>
      </c>
      <c r="AA248" s="65" t="n">
        <f aca="false">IF(T248="",0,IF(T248&lt;12,T248*Controls!$B$29,T248*5))</f>
        <v>53.249645</v>
      </c>
      <c r="AB248" s="65" t="n">
        <f aca="false">IF(E248="",0,NETWORKDAYS(E248,Controls!$B$36,Ref!$K$2:$K$42))</f>
        <v>240</v>
      </c>
      <c r="AC248" s="65" t="n">
        <f aca="false">IF(AND(AA248&gt;0,AB248&gt;=Controls!$B$39*AA248),1,0)</f>
        <v>1</v>
      </c>
      <c r="AD248" s="65" t="n">
        <f aca="false">IF(AND(E248&lt;&gt;"",E248&gt;=Controls!$B$37,E248&lt;=Controls!$B$38),1,0)</f>
        <v>1</v>
      </c>
      <c r="AE248" s="65" t="n">
        <f aca="false">IF(IFERROR(VLOOKUP(D248,Controls!$A$64:$E$74,2,FALSE()),"No")="Yes",1,0)</f>
        <v>1</v>
      </c>
      <c r="AF248" s="65" t="n">
        <f aca="false">IF(IFERROR(VLOOKUP(D248,Controls!$A$64:$E$74,3,FALSE()),"No")="Yes",1,0)</f>
        <v>0</v>
      </c>
      <c r="AG248" s="65" t="n">
        <f aca="false">IF(IFERROR(VLOOKUP(D248,Controls!$A$64:$E$74,4,FALSE()),"No")="Yes",1,0)</f>
        <v>0</v>
      </c>
      <c r="AH248" s="65" t="n">
        <f aca="false">IF(IFERROR(VLOOKUP(D248,Controls!$A$64:$E$74,5,FALSE()),"No")="Yes",1,0)</f>
        <v>0</v>
      </c>
      <c r="AI248" s="65" t="n">
        <f aca="false">IF(ISNUMBER(MATCH(D248,Controls!$A$64:$A$74,0)),1,0)</f>
        <v>1</v>
      </c>
      <c r="AJ248" s="65" t="n">
        <f aca="false">Q248-N248</f>
        <v>-4507.1</v>
      </c>
      <c r="AK248" s="65" t="n">
        <f aca="false">IF(AE248=1,MAX(0,N248-Q248),0)</f>
        <v>4507.1</v>
      </c>
      <c r="AL248" s="65" t="n">
        <f aca="false">IF(OR(V248="",V248=0),0,N248/V248)</f>
        <v>0.146842489990482</v>
      </c>
      <c r="AM248" s="65" t="n">
        <f aca="false">IF(OR(V248="",V248=0),0,1)</f>
        <v>1</v>
      </c>
      <c r="AN248" s="65" t="n">
        <f aca="false">IF(OR(E248="",F248=""),0,NETWORKDAYS(E248,F248,Ref!$K$2:$K$42))</f>
        <v>12</v>
      </c>
      <c r="AO248" s="65" t="n">
        <f aca="false">IF(L248="Renewal",1,0)</f>
        <v>0</v>
      </c>
      <c r="AP248" s="65" t="n">
        <f aca="false">AC248*AD248</f>
        <v>1</v>
      </c>
      <c r="AQ248" s="65" t="n">
        <f aca="false">IF(AND(G248&lt;&gt;"",'Historical Score'!$C$6&lt;&gt;""),IF(G248='Historical Score'!$C$6,1,0),0)</f>
        <v>0</v>
      </c>
      <c r="AR248" s="65" t="n">
        <f aca="false">IF(AND(L248&lt;&gt;"",'Historical Score'!$C$5&lt;&gt;""),IF(L248='Historical Score'!$C$5,1,0),0)</f>
        <v>1</v>
      </c>
      <c r="AS248" s="65" t="n">
        <f aca="false">IF(AND(Y248&lt;&gt;"",'Historical Score'!$C$7&lt;&gt;""),IF(Y248='Historical Score'!$C$7,1,0),0)</f>
        <v>0</v>
      </c>
      <c r="AT248" s="65" t="n">
        <f aca="false">IF(AND(K248&lt;&gt;"",'Historical Score'!$C$8&lt;&gt;""),IF(K248='Historical Score'!$C$8,1,0),0)</f>
        <v>0</v>
      </c>
      <c r="AU248" s="65" t="n">
        <f aca="false">IF(AND(J248&lt;&gt;"",'Historical Score'!$C$9&lt;&gt;""),IF(J248='Historical Score'!$C$9,1,0),0)</f>
        <v>0</v>
      </c>
      <c r="AV248" s="65" t="n">
        <f aca="false">AR248*AS248*AQ248</f>
        <v>0</v>
      </c>
      <c r="AW248" s="65" t="n">
        <f aca="false">AR248*AT248*AQ248</f>
        <v>0</v>
      </c>
      <c r="AX248" s="65" t="n">
        <f aca="false">AR248*AS248</f>
        <v>0</v>
      </c>
      <c r="AY248" s="65" t="n">
        <f aca="false">AR248*AT248</f>
        <v>0</v>
      </c>
      <c r="AZ248" s="65" t="n">
        <f aca="false">AR248*AQ248</f>
        <v>0</v>
      </c>
      <c r="BA248" s="65" t="n">
        <f aca="false">AR248</f>
        <v>1</v>
      </c>
      <c r="BB248" s="65" t="n">
        <f aca="false">1</f>
        <v>1</v>
      </c>
      <c r="BC248" s="65" t="n">
        <f aca="false">IF(AV248=1,1,IF(AW248=1,2,IF(AX248=1,3,IF(AY248=1,4,IF(AZ248=1,5,IF(BA248=1,6,7))))))</f>
        <v>6</v>
      </c>
      <c r="BD248" s="65" t="n">
        <f aca="false">IF(AD248=1,CHOOSE('Historical Score'!$C$29,AV248,AW248,AX248,AY248,AZ248,BA248,BB248),0)</f>
        <v>0</v>
      </c>
      <c r="BE248" s="65" t="str">
        <f aca="false">IF(BD248=1,COUNTIF($BD$2:BD248,1),"")</f>
        <v/>
      </c>
    </row>
    <row r="249" customFormat="false" ht="15" hidden="false" customHeight="false" outlineLevel="0" collapsed="false">
      <c r="A249" s="65" t="s">
        <v>1167</v>
      </c>
      <c r="B249" s="65" t="s">
        <v>1002</v>
      </c>
      <c r="C249" s="65" t="s">
        <v>1003</v>
      </c>
      <c r="D249" s="65" t="s">
        <v>340</v>
      </c>
      <c r="E249" s="112" t="n">
        <v>45915</v>
      </c>
      <c r="F249" s="112" t="n">
        <v>45961</v>
      </c>
      <c r="G249" s="65" t="n">
        <v>2</v>
      </c>
      <c r="H249" s="65" t="s">
        <v>1168</v>
      </c>
      <c r="I249" s="65" t="s">
        <v>816</v>
      </c>
      <c r="J249" s="65" t="s">
        <v>452</v>
      </c>
      <c r="K249" s="65" t="s">
        <v>578</v>
      </c>
      <c r="L249" s="65" t="s">
        <v>320</v>
      </c>
      <c r="M249" s="113" t="n">
        <v>1.499</v>
      </c>
      <c r="N249" s="114" t="n">
        <v>18000</v>
      </c>
      <c r="O249" s="114" t="n">
        <v>2520</v>
      </c>
      <c r="P249" s="114" t="n">
        <v>26982</v>
      </c>
      <c r="Q249" s="114" t="n">
        <v>6577.73</v>
      </c>
      <c r="R249" s="114" t="n">
        <v>20404.27</v>
      </c>
      <c r="S249" s="115" t="n">
        <v>0.243782151063672</v>
      </c>
      <c r="T249" s="65" t="n">
        <v>2.951</v>
      </c>
      <c r="U249" s="65" t="n">
        <v>10</v>
      </c>
      <c r="V249" s="65" t="n">
        <v>47015.44</v>
      </c>
      <c r="W249" s="115" t="n">
        <v>0.1331</v>
      </c>
      <c r="X249" s="112"/>
      <c r="Y249" s="65" t="str">
        <f aca="false">IF(I249="","No SIC",IFERROR(VLOOKUP(I249,Ref!$A$2:$B$65,2,FALSE()),"Unclassified"))</f>
        <v>Local &amp; Interurban Passenger Transit</v>
      </c>
      <c r="Z249" s="65" t="str">
        <f aca="false">IF(T249="","",IF(T249&lt;12,"Daily","Weekly"))</f>
        <v>Daily</v>
      </c>
      <c r="AA249" s="65" t="n">
        <f aca="false">IF(T249="",0,IF(T249&lt;12,T249*Controls!$B$29,T249*5))</f>
        <v>63.903905</v>
      </c>
      <c r="AB249" s="65" t="n">
        <f aca="false">IF(E249="",0,NETWORKDAYS(E249,Controls!$B$36,Ref!$K$2:$K$42))</f>
        <v>238</v>
      </c>
      <c r="AC249" s="65" t="n">
        <f aca="false">IF(AND(AA249&gt;0,AB249&gt;=Controls!$B$39*AA249),1,0)</f>
        <v>1</v>
      </c>
      <c r="AD249" s="65" t="n">
        <f aca="false">IF(AND(E249&lt;&gt;"",E249&gt;=Controls!$B$37,E249&lt;=Controls!$B$38),1,0)</f>
        <v>1</v>
      </c>
      <c r="AE249" s="65" t="n">
        <f aca="false">IF(IFERROR(VLOOKUP(D249,Controls!$A$64:$E$74,2,FALSE()),"No")="Yes",1,0)</f>
        <v>1</v>
      </c>
      <c r="AF249" s="65" t="n">
        <f aca="false">IF(IFERROR(VLOOKUP(D249,Controls!$A$64:$E$74,3,FALSE()),"No")="Yes",1,0)</f>
        <v>0</v>
      </c>
      <c r="AG249" s="65" t="n">
        <f aca="false">IF(IFERROR(VLOOKUP(D249,Controls!$A$64:$E$74,4,FALSE()),"No")="Yes",1,0)</f>
        <v>0</v>
      </c>
      <c r="AH249" s="65" t="n">
        <f aca="false">IF(IFERROR(VLOOKUP(D249,Controls!$A$64:$E$74,5,FALSE()),"No")="Yes",1,0)</f>
        <v>0</v>
      </c>
      <c r="AI249" s="65" t="n">
        <f aca="false">IF(ISNUMBER(MATCH(D249,Controls!$A$64:$A$74,0)),1,0)</f>
        <v>1</v>
      </c>
      <c r="AJ249" s="65" t="n">
        <f aca="false">Q249-N249</f>
        <v>-11422.27</v>
      </c>
      <c r="AK249" s="65" t="n">
        <f aca="false">IF(AE249=1,MAX(0,N249-Q249),0)</f>
        <v>11422.27</v>
      </c>
      <c r="AL249" s="65" t="n">
        <f aca="false">IF(OR(V249="",V249=0),0,N249/V249)</f>
        <v>0.382852952136575</v>
      </c>
      <c r="AM249" s="65" t="n">
        <f aca="false">IF(OR(V249="",V249=0),0,1)</f>
        <v>1</v>
      </c>
      <c r="AN249" s="65" t="n">
        <f aca="false">IF(OR(E249="",F249=""),0,NETWORKDAYS(E249,F249,Ref!$K$2:$K$42))</f>
        <v>34</v>
      </c>
      <c r="AO249" s="65" t="n">
        <f aca="false">IF(L249="Renewal",1,0)</f>
        <v>1</v>
      </c>
      <c r="AP249" s="65" t="n">
        <f aca="false">AC249*AD249</f>
        <v>1</v>
      </c>
      <c r="AQ249" s="65" t="n">
        <f aca="false">IF(AND(G249&lt;&gt;"",'Historical Score'!$C$6&lt;&gt;""),IF(G249='Historical Score'!$C$6,1,0),0)</f>
        <v>1</v>
      </c>
      <c r="AR249" s="65" t="n">
        <f aca="false">IF(AND(L249&lt;&gt;"",'Historical Score'!$C$5&lt;&gt;""),IF(L249='Historical Score'!$C$5,1,0),0)</f>
        <v>0</v>
      </c>
      <c r="AS249" s="65" t="n">
        <f aca="false">IF(AND(Y249&lt;&gt;"",'Historical Score'!$C$7&lt;&gt;""),IF(Y249='Historical Score'!$C$7,1,0),0)</f>
        <v>0</v>
      </c>
      <c r="AT249" s="65" t="n">
        <f aca="false">IF(AND(K249&lt;&gt;"",'Historical Score'!$C$8&lt;&gt;""),IF(K249='Historical Score'!$C$8,1,0),0)</f>
        <v>0</v>
      </c>
      <c r="AU249" s="65" t="n">
        <f aca="false">IF(AND(J249&lt;&gt;"",'Historical Score'!$C$9&lt;&gt;""),IF(J249='Historical Score'!$C$9,1,0),0)</f>
        <v>0</v>
      </c>
      <c r="AV249" s="65" t="n">
        <f aca="false">AR249*AS249*AQ249</f>
        <v>0</v>
      </c>
      <c r="AW249" s="65" t="n">
        <f aca="false">AR249*AT249*AQ249</f>
        <v>0</v>
      </c>
      <c r="AX249" s="65" t="n">
        <f aca="false">AR249*AS249</f>
        <v>0</v>
      </c>
      <c r="AY249" s="65" t="n">
        <f aca="false">AR249*AT249</f>
        <v>0</v>
      </c>
      <c r="AZ249" s="65" t="n">
        <f aca="false">AR249*AQ249</f>
        <v>0</v>
      </c>
      <c r="BA249" s="65" t="n">
        <f aca="false">AR249</f>
        <v>0</v>
      </c>
      <c r="BB249" s="65" t="n">
        <f aca="false">1</f>
        <v>1</v>
      </c>
      <c r="BC249" s="65" t="n">
        <f aca="false">IF(AV249=1,1,IF(AW249=1,2,IF(AX249=1,3,IF(AY249=1,4,IF(AZ249=1,5,IF(BA249=1,6,7))))))</f>
        <v>7</v>
      </c>
      <c r="BD249" s="65" t="n">
        <f aca="false">IF(AD249=1,CHOOSE('Historical Score'!$C$29,AV249,AW249,AX249,AY249,AZ249,BA249,BB249),0)</f>
        <v>0</v>
      </c>
      <c r="BE249" s="65" t="str">
        <f aca="false">IF(BD249=1,COUNTIF($BD$2:BD249,1),"")</f>
        <v/>
      </c>
    </row>
    <row r="250" customFormat="false" ht="15" hidden="false" customHeight="false" outlineLevel="0" collapsed="false">
      <c r="A250" s="65" t="s">
        <v>1169</v>
      </c>
      <c r="B250" s="65" t="s">
        <v>803</v>
      </c>
      <c r="C250" s="65" t="s">
        <v>804</v>
      </c>
      <c r="D250" s="65" t="s">
        <v>533</v>
      </c>
      <c r="E250" s="112" t="n">
        <v>45915</v>
      </c>
      <c r="F250" s="112" t="n">
        <v>46097</v>
      </c>
      <c r="G250" s="65" t="n">
        <v>2</v>
      </c>
      <c r="H250" s="65" t="s">
        <v>805</v>
      </c>
      <c r="I250" s="65" t="s">
        <v>643</v>
      </c>
      <c r="J250" s="65" t="s">
        <v>350</v>
      </c>
      <c r="K250" s="65" t="s">
        <v>659</v>
      </c>
      <c r="L250" s="65" t="s">
        <v>320</v>
      </c>
      <c r="M250" s="113" t="n">
        <v>1.49</v>
      </c>
      <c r="N250" s="114" t="n">
        <v>10000</v>
      </c>
      <c r="O250" s="114" t="n">
        <v>1400</v>
      </c>
      <c r="P250" s="114" t="n">
        <v>14900</v>
      </c>
      <c r="Q250" s="114" t="n">
        <v>10733.76</v>
      </c>
      <c r="R250" s="114" t="n">
        <v>4166.24</v>
      </c>
      <c r="S250" s="115" t="n">
        <v>0.720386577181208</v>
      </c>
      <c r="T250" s="65" t="n">
        <v>3.279</v>
      </c>
      <c r="U250" s="65" t="n">
        <v>38</v>
      </c>
      <c r="V250" s="65" t="n">
        <v>41301.41</v>
      </c>
      <c r="W250" s="115" t="n">
        <v>0.0758</v>
      </c>
      <c r="X250" s="112" t="n">
        <v>43472</v>
      </c>
      <c r="Y250" s="65" t="str">
        <f aca="false">IF(I250="","No SIC",IFERROR(VLOOKUP(I250,Ref!$A$2:$B$65,2,FALSE()),"Unclassified"))</f>
        <v>Agricultural Services</v>
      </c>
      <c r="Z250" s="65" t="str">
        <f aca="false">IF(T250="","",IF(T250&lt;12,"Daily","Weekly"))</f>
        <v>Daily</v>
      </c>
      <c r="AA250" s="65" t="n">
        <f aca="false">IF(T250="",0,IF(T250&lt;12,T250*Controls!$B$29,T250*5))</f>
        <v>71.006745</v>
      </c>
      <c r="AB250" s="65" t="n">
        <f aca="false">IF(E250="",0,NETWORKDAYS(E250,Controls!$B$36,Ref!$K$2:$K$42))</f>
        <v>238</v>
      </c>
      <c r="AC250" s="65" t="n">
        <f aca="false">IF(AND(AA250&gt;0,AB250&gt;=Controls!$B$39*AA250),1,0)</f>
        <v>1</v>
      </c>
      <c r="AD250" s="65" t="n">
        <f aca="false">IF(AND(E250&lt;&gt;"",E250&gt;=Controls!$B$37,E250&lt;=Controls!$B$38),1,0)</f>
        <v>1</v>
      </c>
      <c r="AE250" s="65" t="n">
        <f aca="false">IF(IFERROR(VLOOKUP(D250,Controls!$A$64:$E$74,2,FALSE()),"No")="Yes",1,0)</f>
        <v>1</v>
      </c>
      <c r="AF250" s="65" t="n">
        <f aca="false">IF(IFERROR(VLOOKUP(D250,Controls!$A$64:$E$74,3,FALSE()),"No")="Yes",1,0)</f>
        <v>0</v>
      </c>
      <c r="AG250" s="65" t="n">
        <f aca="false">IF(IFERROR(VLOOKUP(D250,Controls!$A$64:$E$74,4,FALSE()),"No")="Yes",1,0)</f>
        <v>0</v>
      </c>
      <c r="AH250" s="65" t="n">
        <f aca="false">IF(IFERROR(VLOOKUP(D250,Controls!$A$64:$E$74,5,FALSE()),"No")="Yes",1,0)</f>
        <v>0</v>
      </c>
      <c r="AI250" s="65" t="n">
        <f aca="false">IF(ISNUMBER(MATCH(D250,Controls!$A$64:$A$74,0)),1,0)</f>
        <v>1</v>
      </c>
      <c r="AJ250" s="65" t="n">
        <f aca="false">Q250-N250</f>
        <v>733.76</v>
      </c>
      <c r="AK250" s="65" t="n">
        <f aca="false">IF(AE250=1,MAX(0,N250-Q250),0)</f>
        <v>0</v>
      </c>
      <c r="AL250" s="65" t="n">
        <f aca="false">IF(OR(V250="",V250=0),0,N250/V250)</f>
        <v>0.242122484438183</v>
      </c>
      <c r="AM250" s="65" t="n">
        <f aca="false">IF(OR(V250="",V250=0),0,1)</f>
        <v>1</v>
      </c>
      <c r="AN250" s="65" t="n">
        <f aca="false">IF(OR(E250="",F250=""),0,NETWORKDAYS(E250,F250,Ref!$K$2:$K$42))</f>
        <v>124</v>
      </c>
      <c r="AO250" s="65" t="n">
        <f aca="false">IF(L250="Renewal",1,0)</f>
        <v>1</v>
      </c>
      <c r="AP250" s="65" t="n">
        <f aca="false">AC250*AD250</f>
        <v>1</v>
      </c>
      <c r="AQ250" s="65" t="n">
        <f aca="false">IF(AND(G250&lt;&gt;"",'Historical Score'!$C$6&lt;&gt;""),IF(G250='Historical Score'!$C$6,1,0),0)</f>
        <v>1</v>
      </c>
      <c r="AR250" s="65" t="n">
        <f aca="false">IF(AND(L250&lt;&gt;"",'Historical Score'!$C$5&lt;&gt;""),IF(L250='Historical Score'!$C$5,1,0),0)</f>
        <v>0</v>
      </c>
      <c r="AS250" s="65" t="n">
        <f aca="false">IF(AND(Y250&lt;&gt;"",'Historical Score'!$C$7&lt;&gt;""),IF(Y250='Historical Score'!$C$7,1,0),0)</f>
        <v>0</v>
      </c>
      <c r="AT250" s="65" t="n">
        <f aca="false">IF(AND(K250&lt;&gt;"",'Historical Score'!$C$8&lt;&gt;""),IF(K250='Historical Score'!$C$8,1,0),0)</f>
        <v>0</v>
      </c>
      <c r="AU250" s="65" t="n">
        <f aca="false">IF(AND(J250&lt;&gt;"",'Historical Score'!$C$9&lt;&gt;""),IF(J250='Historical Score'!$C$9,1,0),0)</f>
        <v>0</v>
      </c>
      <c r="AV250" s="65" t="n">
        <f aca="false">AR250*AS250*AQ250</f>
        <v>0</v>
      </c>
      <c r="AW250" s="65" t="n">
        <f aca="false">AR250*AT250*AQ250</f>
        <v>0</v>
      </c>
      <c r="AX250" s="65" t="n">
        <f aca="false">AR250*AS250</f>
        <v>0</v>
      </c>
      <c r="AY250" s="65" t="n">
        <f aca="false">AR250*AT250</f>
        <v>0</v>
      </c>
      <c r="AZ250" s="65" t="n">
        <f aca="false">AR250*AQ250</f>
        <v>0</v>
      </c>
      <c r="BA250" s="65" t="n">
        <f aca="false">AR250</f>
        <v>0</v>
      </c>
      <c r="BB250" s="65" t="n">
        <f aca="false">1</f>
        <v>1</v>
      </c>
      <c r="BC250" s="65" t="n">
        <f aca="false">IF(AV250=1,1,IF(AW250=1,2,IF(AX250=1,3,IF(AY250=1,4,IF(AZ250=1,5,IF(BA250=1,6,7))))))</f>
        <v>7</v>
      </c>
      <c r="BD250" s="65" t="n">
        <f aca="false">IF(AD250=1,CHOOSE('Historical Score'!$C$29,AV250,AW250,AX250,AY250,AZ250,BA250,BB250),0)</f>
        <v>0</v>
      </c>
      <c r="BE250" s="65" t="str">
        <f aca="false">IF(BD250=1,COUNTIF($BD$2:BD250,1),"")</f>
        <v/>
      </c>
    </row>
    <row r="251" customFormat="false" ht="15" hidden="false" customHeight="false" outlineLevel="0" collapsed="false">
      <c r="A251" s="65" t="s">
        <v>1170</v>
      </c>
      <c r="B251" s="65" t="s">
        <v>1171</v>
      </c>
      <c r="C251" s="65" t="s">
        <v>1172</v>
      </c>
      <c r="D251" s="65" t="s">
        <v>371</v>
      </c>
      <c r="E251" s="112" t="n">
        <v>45917</v>
      </c>
      <c r="F251" s="112" t="n">
        <v>46079</v>
      </c>
      <c r="G251" s="65" t="n">
        <v>2</v>
      </c>
      <c r="H251" s="65" t="s">
        <v>442</v>
      </c>
      <c r="I251" s="65" t="s">
        <v>443</v>
      </c>
      <c r="J251" s="65" t="s">
        <v>380</v>
      </c>
      <c r="K251" s="65" t="s">
        <v>1173</v>
      </c>
      <c r="L251" s="65" t="s">
        <v>64</v>
      </c>
      <c r="M251" s="113" t="n">
        <v>1.35</v>
      </c>
      <c r="N251" s="114" t="n">
        <v>20000</v>
      </c>
      <c r="O251" s="114" t="n">
        <v>1400</v>
      </c>
      <c r="P251" s="114" t="n">
        <v>27000</v>
      </c>
      <c r="Q251" s="114" t="n">
        <v>27000</v>
      </c>
      <c r="R251" s="114" t="n">
        <v>0</v>
      </c>
      <c r="S251" s="115" t="n">
        <v>1</v>
      </c>
      <c r="T251" s="65" t="n">
        <v>22</v>
      </c>
      <c r="U251" s="65" t="n">
        <v>2</v>
      </c>
      <c r="V251" s="65" t="n">
        <v>123628.7</v>
      </c>
      <c r="W251" s="115" t="n">
        <v>0.0397</v>
      </c>
      <c r="X251" s="112" t="n">
        <v>44562</v>
      </c>
      <c r="Y251" s="65" t="str">
        <f aca="false">IF(I251="","No SIC",IFERROR(VLOOKUP(I251,Ref!$A$2:$B$65,2,FALSE()),"Unclassified"))</f>
        <v>General Building Contractors</v>
      </c>
      <c r="Z251" s="65" t="str">
        <f aca="false">IF(T251="","",IF(T251&lt;12,"Daily","Weekly"))</f>
        <v>Weekly</v>
      </c>
      <c r="AA251" s="65" t="n">
        <f aca="false">IF(T251="",0,IF(T251&lt;12,T251*Controls!$B$29,T251*5))</f>
        <v>110</v>
      </c>
      <c r="AB251" s="65" t="n">
        <f aca="false">IF(E251="",0,NETWORKDAYS(E251,Controls!$B$36,Ref!$K$2:$K$42))</f>
        <v>236</v>
      </c>
      <c r="AC251" s="65" t="n">
        <f aca="false">IF(AND(AA251&gt;0,AB251&gt;=Controls!$B$39*AA251),1,0)</f>
        <v>1</v>
      </c>
      <c r="AD251" s="65" t="n">
        <f aca="false">IF(AND(E251&lt;&gt;"",E251&gt;=Controls!$B$37,E251&lt;=Controls!$B$38),1,0)</f>
        <v>1</v>
      </c>
      <c r="AE251" s="65" t="n">
        <f aca="false">IF(IFERROR(VLOOKUP(D251,Controls!$A$64:$E$74,2,FALSE()),"No")="Yes",1,0)</f>
        <v>0</v>
      </c>
      <c r="AF251" s="65" t="n">
        <f aca="false">IF(IFERROR(VLOOKUP(D251,Controls!$A$64:$E$74,3,FALSE()),"No")="Yes",1,0)</f>
        <v>1</v>
      </c>
      <c r="AG251" s="65" t="n">
        <f aca="false">IF(IFERROR(VLOOKUP(D251,Controls!$A$64:$E$74,4,FALSE()),"No")="Yes",1,0)</f>
        <v>1</v>
      </c>
      <c r="AH251" s="65" t="n">
        <f aca="false">IF(IFERROR(VLOOKUP(D251,Controls!$A$64:$E$74,5,FALSE()),"No")="Yes",1,0)</f>
        <v>0</v>
      </c>
      <c r="AI251" s="65" t="n">
        <f aca="false">IF(ISNUMBER(MATCH(D251,Controls!$A$64:$A$74,0)),1,0)</f>
        <v>1</v>
      </c>
      <c r="AJ251" s="65" t="n">
        <f aca="false">Q251-N251</f>
        <v>7000</v>
      </c>
      <c r="AK251" s="65" t="n">
        <f aca="false">IF(AE251=1,MAX(0,N251-Q251),0)</f>
        <v>0</v>
      </c>
      <c r="AL251" s="65" t="n">
        <f aca="false">IF(OR(V251="",V251=0),0,N251/V251)</f>
        <v>0.161774733536792</v>
      </c>
      <c r="AM251" s="65" t="n">
        <f aca="false">IF(OR(V251="",V251=0),0,1)</f>
        <v>1</v>
      </c>
      <c r="AN251" s="65" t="n">
        <f aca="false">IF(OR(E251="",F251=""),0,NETWORKDAYS(E251,F251,Ref!$K$2:$K$42))</f>
        <v>110</v>
      </c>
      <c r="AO251" s="65" t="n">
        <f aca="false">IF(L251="Renewal",1,0)</f>
        <v>0</v>
      </c>
      <c r="AP251" s="65" t="n">
        <f aca="false">AC251*AD251</f>
        <v>1</v>
      </c>
      <c r="AQ251" s="65" t="n">
        <f aca="false">IF(AND(G251&lt;&gt;"",'Historical Score'!$C$6&lt;&gt;""),IF(G251='Historical Score'!$C$6,1,0),0)</f>
        <v>1</v>
      </c>
      <c r="AR251" s="65" t="n">
        <f aca="false">IF(AND(L251&lt;&gt;"",'Historical Score'!$C$5&lt;&gt;""),IF(L251='Historical Score'!$C$5,1,0),0)</f>
        <v>1</v>
      </c>
      <c r="AS251" s="65" t="n">
        <f aca="false">IF(AND(Y251&lt;&gt;"",'Historical Score'!$C$7&lt;&gt;""),IF(Y251='Historical Score'!$C$7,1,0),0)</f>
        <v>1</v>
      </c>
      <c r="AT251" s="65" t="n">
        <f aca="false">IF(AND(K251&lt;&gt;"",'Historical Score'!$C$8&lt;&gt;""),IF(K251='Historical Score'!$C$8,1,0),0)</f>
        <v>0</v>
      </c>
      <c r="AU251" s="65" t="n">
        <f aca="false">IF(AND(J251&lt;&gt;"",'Historical Score'!$C$9&lt;&gt;""),IF(J251='Historical Score'!$C$9,1,0),0)</f>
        <v>0</v>
      </c>
      <c r="AV251" s="65" t="n">
        <f aca="false">AR251*AS251*AQ251</f>
        <v>1</v>
      </c>
      <c r="AW251" s="65" t="n">
        <f aca="false">AR251*AT251*AQ251</f>
        <v>0</v>
      </c>
      <c r="AX251" s="65" t="n">
        <f aca="false">AR251*AS251</f>
        <v>1</v>
      </c>
      <c r="AY251" s="65" t="n">
        <f aca="false">AR251*AT251</f>
        <v>0</v>
      </c>
      <c r="AZ251" s="65" t="n">
        <f aca="false">AR251*AQ251</f>
        <v>1</v>
      </c>
      <c r="BA251" s="65" t="n">
        <f aca="false">AR251</f>
        <v>1</v>
      </c>
      <c r="BB251" s="65" t="n">
        <f aca="false">1</f>
        <v>1</v>
      </c>
      <c r="BC251" s="65" t="n">
        <f aca="false">IF(AV251=1,1,IF(AW251=1,2,IF(AX251=1,3,IF(AY251=1,4,IF(AZ251=1,5,IF(BA251=1,6,7))))))</f>
        <v>1</v>
      </c>
      <c r="BD251" s="65" t="n">
        <f aca="false">IF(AD251=1,CHOOSE('Historical Score'!$C$29,AV251,AW251,AX251,AY251,AZ251,BA251,BB251),0)</f>
        <v>1</v>
      </c>
      <c r="BE251" s="65" t="n">
        <f aca="false">IF(BD251=1,COUNTIF($BD$2:BD251,1),"")</f>
        <v>10</v>
      </c>
    </row>
    <row r="252" customFormat="false" ht="15" hidden="false" customHeight="false" outlineLevel="0" collapsed="false">
      <c r="A252" s="65" t="s">
        <v>1174</v>
      </c>
      <c r="B252" s="65" t="s">
        <v>846</v>
      </c>
      <c r="C252" s="65" t="s">
        <v>846</v>
      </c>
      <c r="D252" s="65" t="s">
        <v>340</v>
      </c>
      <c r="E252" s="112" t="n">
        <v>45918</v>
      </c>
      <c r="F252" s="112" t="n">
        <v>46014</v>
      </c>
      <c r="G252" s="65" t="n">
        <v>2</v>
      </c>
      <c r="H252" s="65" t="s">
        <v>500</v>
      </c>
      <c r="I252" s="65" t="s">
        <v>475</v>
      </c>
      <c r="J252" s="65" t="s">
        <v>438</v>
      </c>
      <c r="K252" s="65" t="s">
        <v>848</v>
      </c>
      <c r="L252" s="65" t="s">
        <v>320</v>
      </c>
      <c r="M252" s="113" t="n">
        <v>1.499</v>
      </c>
      <c r="N252" s="114" t="n">
        <v>12500</v>
      </c>
      <c r="O252" s="114" t="n">
        <v>1750</v>
      </c>
      <c r="P252" s="114" t="n">
        <v>18737.5</v>
      </c>
      <c r="Q252" s="114" t="n">
        <v>11340.2</v>
      </c>
      <c r="R252" s="114" t="n">
        <v>7397.3</v>
      </c>
      <c r="S252" s="115" t="n">
        <v>0.605214142761841</v>
      </c>
      <c r="T252" s="65" t="n">
        <v>3.279</v>
      </c>
      <c r="U252" s="65" t="n">
        <v>5</v>
      </c>
      <c r="V252" s="65" t="n">
        <v>28775.85</v>
      </c>
      <c r="W252" s="115" t="n">
        <v>0.1413</v>
      </c>
      <c r="X252" s="112" t="n">
        <v>45020</v>
      </c>
      <c r="Y252" s="65" t="str">
        <f aca="false">IF(I252="","No SIC",IFERROR(VLOOKUP(I252,Ref!$A$2:$B$65,2,FALSE()),"Unclassified"))</f>
        <v>Auto Repair &amp; Services</v>
      </c>
      <c r="Z252" s="65" t="str">
        <f aca="false">IF(T252="","",IF(T252&lt;12,"Daily","Weekly"))</f>
        <v>Daily</v>
      </c>
      <c r="AA252" s="65" t="n">
        <f aca="false">IF(T252="",0,IF(T252&lt;12,T252*Controls!$B$29,T252*5))</f>
        <v>71.006745</v>
      </c>
      <c r="AB252" s="65" t="n">
        <f aca="false">IF(E252="",0,NETWORKDAYS(E252,Controls!$B$36,Ref!$K$2:$K$42))</f>
        <v>235</v>
      </c>
      <c r="AC252" s="65" t="n">
        <f aca="false">IF(AND(AA252&gt;0,AB252&gt;=Controls!$B$39*AA252),1,0)</f>
        <v>1</v>
      </c>
      <c r="AD252" s="65" t="n">
        <f aca="false">IF(AND(E252&lt;&gt;"",E252&gt;=Controls!$B$37,E252&lt;=Controls!$B$38),1,0)</f>
        <v>1</v>
      </c>
      <c r="AE252" s="65" t="n">
        <f aca="false">IF(IFERROR(VLOOKUP(D252,Controls!$A$64:$E$74,2,FALSE()),"No")="Yes",1,0)</f>
        <v>1</v>
      </c>
      <c r="AF252" s="65" t="n">
        <f aca="false">IF(IFERROR(VLOOKUP(D252,Controls!$A$64:$E$74,3,FALSE()),"No")="Yes",1,0)</f>
        <v>0</v>
      </c>
      <c r="AG252" s="65" t="n">
        <f aca="false">IF(IFERROR(VLOOKUP(D252,Controls!$A$64:$E$74,4,FALSE()),"No")="Yes",1,0)</f>
        <v>0</v>
      </c>
      <c r="AH252" s="65" t="n">
        <f aca="false">IF(IFERROR(VLOOKUP(D252,Controls!$A$64:$E$74,5,FALSE()),"No")="Yes",1,0)</f>
        <v>0</v>
      </c>
      <c r="AI252" s="65" t="n">
        <f aca="false">IF(ISNUMBER(MATCH(D252,Controls!$A$64:$A$74,0)),1,0)</f>
        <v>1</v>
      </c>
      <c r="AJ252" s="65" t="n">
        <f aca="false">Q252-N252</f>
        <v>-1159.8</v>
      </c>
      <c r="AK252" s="65" t="n">
        <f aca="false">IF(AE252=1,MAX(0,N252-Q252),0)</f>
        <v>1159.8</v>
      </c>
      <c r="AL252" s="65" t="n">
        <f aca="false">IF(OR(V252="",V252=0),0,N252/V252)</f>
        <v>0.434392033597617</v>
      </c>
      <c r="AM252" s="65" t="n">
        <f aca="false">IF(OR(V252="",V252=0),0,1)</f>
        <v>1</v>
      </c>
      <c r="AN252" s="65" t="n">
        <f aca="false">IF(OR(E252="",F252=""),0,NETWORKDAYS(E252,F252,Ref!$K$2:$K$42))</f>
        <v>66</v>
      </c>
      <c r="AO252" s="65" t="n">
        <f aca="false">IF(L252="Renewal",1,0)</f>
        <v>1</v>
      </c>
      <c r="AP252" s="65" t="n">
        <f aca="false">AC252*AD252</f>
        <v>1</v>
      </c>
      <c r="AQ252" s="65" t="n">
        <f aca="false">IF(AND(G252&lt;&gt;"",'Historical Score'!$C$6&lt;&gt;""),IF(G252='Historical Score'!$C$6,1,0),0)</f>
        <v>1</v>
      </c>
      <c r="AR252" s="65" t="n">
        <f aca="false">IF(AND(L252&lt;&gt;"",'Historical Score'!$C$5&lt;&gt;""),IF(L252='Historical Score'!$C$5,1,0),0)</f>
        <v>0</v>
      </c>
      <c r="AS252" s="65" t="n">
        <f aca="false">IF(AND(Y252&lt;&gt;"",'Historical Score'!$C$7&lt;&gt;""),IF(Y252='Historical Score'!$C$7,1,0),0)</f>
        <v>0</v>
      </c>
      <c r="AT252" s="65" t="n">
        <f aca="false">IF(AND(K252&lt;&gt;"",'Historical Score'!$C$8&lt;&gt;""),IF(K252='Historical Score'!$C$8,1,0),0)</f>
        <v>0</v>
      </c>
      <c r="AU252" s="65" t="n">
        <f aca="false">IF(AND(J252&lt;&gt;"",'Historical Score'!$C$9&lt;&gt;""),IF(J252='Historical Score'!$C$9,1,0),0)</f>
        <v>0</v>
      </c>
      <c r="AV252" s="65" t="n">
        <f aca="false">AR252*AS252*AQ252</f>
        <v>0</v>
      </c>
      <c r="AW252" s="65" t="n">
        <f aca="false">AR252*AT252*AQ252</f>
        <v>0</v>
      </c>
      <c r="AX252" s="65" t="n">
        <f aca="false">AR252*AS252</f>
        <v>0</v>
      </c>
      <c r="AY252" s="65" t="n">
        <f aca="false">AR252*AT252</f>
        <v>0</v>
      </c>
      <c r="AZ252" s="65" t="n">
        <f aca="false">AR252*AQ252</f>
        <v>0</v>
      </c>
      <c r="BA252" s="65" t="n">
        <f aca="false">AR252</f>
        <v>0</v>
      </c>
      <c r="BB252" s="65" t="n">
        <f aca="false">1</f>
        <v>1</v>
      </c>
      <c r="BC252" s="65" t="n">
        <f aca="false">IF(AV252=1,1,IF(AW252=1,2,IF(AX252=1,3,IF(AY252=1,4,IF(AZ252=1,5,IF(BA252=1,6,7))))))</f>
        <v>7</v>
      </c>
      <c r="BD252" s="65" t="n">
        <f aca="false">IF(AD252=1,CHOOSE('Historical Score'!$C$29,AV252,AW252,AX252,AY252,AZ252,BA252,BB252),0)</f>
        <v>0</v>
      </c>
      <c r="BE252" s="65" t="str">
        <f aca="false">IF(BD252=1,COUNTIF($BD$2:BD252,1),"")</f>
        <v/>
      </c>
    </row>
    <row r="253" customFormat="false" ht="15" hidden="false" customHeight="false" outlineLevel="0" collapsed="false">
      <c r="A253" s="65" t="s">
        <v>1175</v>
      </c>
      <c r="B253" s="65" t="s">
        <v>1176</v>
      </c>
      <c r="C253" s="65" t="s">
        <v>1176</v>
      </c>
      <c r="D253" s="65" t="s">
        <v>340</v>
      </c>
      <c r="E253" s="112" t="n">
        <v>45918</v>
      </c>
      <c r="F253" s="112" t="n">
        <v>46230</v>
      </c>
      <c r="G253" s="65" t="n">
        <v>2</v>
      </c>
      <c r="H253" s="65" t="s">
        <v>748</v>
      </c>
      <c r="I253" s="65" t="s">
        <v>619</v>
      </c>
      <c r="J253" s="65" t="s">
        <v>649</v>
      </c>
      <c r="K253" s="65" t="s">
        <v>55</v>
      </c>
      <c r="L253" s="65" t="s">
        <v>64</v>
      </c>
      <c r="M253" s="113" t="n">
        <v>1.49</v>
      </c>
      <c r="N253" s="114" t="n">
        <v>11500</v>
      </c>
      <c r="O253" s="114" t="n">
        <v>1610</v>
      </c>
      <c r="P253" s="114" t="n">
        <v>17135</v>
      </c>
      <c r="Q253" s="114" t="n">
        <v>6750</v>
      </c>
      <c r="R253" s="114" t="n">
        <v>10385</v>
      </c>
      <c r="S253" s="115" t="n">
        <v>0.393930551502772</v>
      </c>
      <c r="T253" s="65" t="n">
        <v>1.967</v>
      </c>
      <c r="U253" s="65" t="n">
        <v>41</v>
      </c>
      <c r="V253" s="65" t="n">
        <v>11443.09</v>
      </c>
      <c r="W253" s="115" t="n">
        <v>0.5241</v>
      </c>
      <c r="X253" s="112" t="n">
        <v>45292</v>
      </c>
      <c r="Y253" s="65" t="str">
        <f aca="false">IF(I253="","No SIC",IFERROR(VLOOKUP(I253,Ref!$A$2:$B$65,2,FALSE()),"Unclassified"))</f>
        <v>Miscellaneous Retail</v>
      </c>
      <c r="Z253" s="65" t="str">
        <f aca="false">IF(T253="","",IF(T253&lt;12,"Daily","Weekly"))</f>
        <v>Daily</v>
      </c>
      <c r="AA253" s="65" t="n">
        <f aca="false">IF(T253="",0,IF(T253&lt;12,T253*Controls!$B$29,T253*5))</f>
        <v>42.595385</v>
      </c>
      <c r="AB253" s="65" t="n">
        <f aca="false">IF(E253="",0,NETWORKDAYS(E253,Controls!$B$36,Ref!$K$2:$K$42))</f>
        <v>235</v>
      </c>
      <c r="AC253" s="65" t="n">
        <f aca="false">IF(AND(AA253&gt;0,AB253&gt;=Controls!$B$39*AA253),1,0)</f>
        <v>1</v>
      </c>
      <c r="AD253" s="65" t="n">
        <f aca="false">IF(AND(E253&lt;&gt;"",E253&gt;=Controls!$B$37,E253&lt;=Controls!$B$38),1,0)</f>
        <v>1</v>
      </c>
      <c r="AE253" s="65" t="n">
        <f aca="false">IF(IFERROR(VLOOKUP(D253,Controls!$A$64:$E$74,2,FALSE()),"No")="Yes",1,0)</f>
        <v>1</v>
      </c>
      <c r="AF253" s="65" t="n">
        <f aca="false">IF(IFERROR(VLOOKUP(D253,Controls!$A$64:$E$74,3,FALSE()),"No")="Yes",1,0)</f>
        <v>0</v>
      </c>
      <c r="AG253" s="65" t="n">
        <f aca="false">IF(IFERROR(VLOOKUP(D253,Controls!$A$64:$E$74,4,FALSE()),"No")="Yes",1,0)</f>
        <v>0</v>
      </c>
      <c r="AH253" s="65" t="n">
        <f aca="false">IF(IFERROR(VLOOKUP(D253,Controls!$A$64:$E$74,5,FALSE()),"No")="Yes",1,0)</f>
        <v>0</v>
      </c>
      <c r="AI253" s="65" t="n">
        <f aca="false">IF(ISNUMBER(MATCH(D253,Controls!$A$64:$A$74,0)),1,0)</f>
        <v>1</v>
      </c>
      <c r="AJ253" s="65" t="n">
        <f aca="false">Q253-N253</f>
        <v>-4750</v>
      </c>
      <c r="AK253" s="65" t="n">
        <f aca="false">IF(AE253=1,MAX(0,N253-Q253),0)</f>
        <v>4750</v>
      </c>
      <c r="AL253" s="65" t="n">
        <f aca="false">IF(OR(V253="",V253=0),0,N253/V253)</f>
        <v>1.00497330703508</v>
      </c>
      <c r="AM253" s="65" t="n">
        <f aca="false">IF(OR(V253="",V253=0),0,1)</f>
        <v>1</v>
      </c>
      <c r="AN253" s="65" t="n">
        <f aca="false">IF(OR(E253="",F253=""),0,NETWORKDAYS(E253,F253,Ref!$K$2:$K$42))</f>
        <v>214</v>
      </c>
      <c r="AO253" s="65" t="n">
        <f aca="false">IF(L253="Renewal",1,0)</f>
        <v>0</v>
      </c>
      <c r="AP253" s="65" t="n">
        <f aca="false">AC253*AD253</f>
        <v>1</v>
      </c>
      <c r="AQ253" s="65" t="n">
        <f aca="false">IF(AND(G253&lt;&gt;"",'Historical Score'!$C$6&lt;&gt;""),IF(G253='Historical Score'!$C$6,1,0),0)</f>
        <v>1</v>
      </c>
      <c r="AR253" s="65" t="n">
        <f aca="false">IF(AND(L253&lt;&gt;"",'Historical Score'!$C$5&lt;&gt;""),IF(L253='Historical Score'!$C$5,1,0),0)</f>
        <v>1</v>
      </c>
      <c r="AS253" s="65" t="n">
        <f aca="false">IF(AND(Y253&lt;&gt;"",'Historical Score'!$C$7&lt;&gt;""),IF(Y253='Historical Score'!$C$7,1,0),0)</f>
        <v>0</v>
      </c>
      <c r="AT253" s="65" t="n">
        <f aca="false">IF(AND(K253&lt;&gt;"",'Historical Score'!$C$8&lt;&gt;""),IF(K253='Historical Score'!$C$8,1,0),0)</f>
        <v>1</v>
      </c>
      <c r="AU253" s="65" t="n">
        <f aca="false">IF(AND(J253&lt;&gt;"",'Historical Score'!$C$9&lt;&gt;""),IF(J253='Historical Score'!$C$9,1,0),0)</f>
        <v>0</v>
      </c>
      <c r="AV253" s="65" t="n">
        <f aca="false">AR253*AS253*AQ253</f>
        <v>0</v>
      </c>
      <c r="AW253" s="65" t="n">
        <f aca="false">AR253*AT253*AQ253</f>
        <v>1</v>
      </c>
      <c r="AX253" s="65" t="n">
        <f aca="false">AR253*AS253</f>
        <v>0</v>
      </c>
      <c r="AY253" s="65" t="n">
        <f aca="false">AR253*AT253</f>
        <v>1</v>
      </c>
      <c r="AZ253" s="65" t="n">
        <f aca="false">AR253*AQ253</f>
        <v>1</v>
      </c>
      <c r="BA253" s="65" t="n">
        <f aca="false">AR253</f>
        <v>1</v>
      </c>
      <c r="BB253" s="65" t="n">
        <f aca="false">1</f>
        <v>1</v>
      </c>
      <c r="BC253" s="65" t="n">
        <f aca="false">IF(AV253=1,1,IF(AW253=1,2,IF(AX253=1,3,IF(AY253=1,4,IF(AZ253=1,5,IF(BA253=1,6,7))))))</f>
        <v>2</v>
      </c>
      <c r="BD253" s="65" t="n">
        <f aca="false">IF(AD253=1,CHOOSE('Historical Score'!$C$29,AV253,AW253,AX253,AY253,AZ253,BA253,BB253),0)</f>
        <v>0</v>
      </c>
      <c r="BE253" s="65" t="str">
        <f aca="false">IF(BD253=1,COUNTIF($BD$2:BD253,1),"")</f>
        <v/>
      </c>
    </row>
    <row r="254" customFormat="false" ht="15" hidden="false" customHeight="false" outlineLevel="0" collapsed="false">
      <c r="A254" s="65" t="s">
        <v>1177</v>
      </c>
      <c r="B254" s="65" t="s">
        <v>1178</v>
      </c>
      <c r="C254" s="65" t="s">
        <v>1179</v>
      </c>
      <c r="D254" s="65" t="s">
        <v>371</v>
      </c>
      <c r="E254" s="112" t="n">
        <v>45919</v>
      </c>
      <c r="F254" s="112" t="n">
        <v>46087</v>
      </c>
      <c r="G254" s="65" t="n">
        <v>1</v>
      </c>
      <c r="H254" s="65" t="s">
        <v>678</v>
      </c>
      <c r="I254" s="65" t="s">
        <v>679</v>
      </c>
      <c r="J254" s="65" t="s">
        <v>510</v>
      </c>
      <c r="K254" s="65" t="s">
        <v>961</v>
      </c>
      <c r="L254" s="65" t="s">
        <v>64</v>
      </c>
      <c r="M254" s="113" t="n">
        <v>1.38</v>
      </c>
      <c r="N254" s="114" t="n">
        <v>10000</v>
      </c>
      <c r="O254" s="114" t="n">
        <v>1200</v>
      </c>
      <c r="P254" s="114" t="n">
        <v>13800</v>
      </c>
      <c r="Q254" s="114" t="n">
        <v>13800</v>
      </c>
      <c r="R254" s="114" t="n">
        <v>-1.81898940354586E-012</v>
      </c>
      <c r="S254" s="115" t="n">
        <v>1</v>
      </c>
      <c r="T254" s="65" t="n">
        <v>24</v>
      </c>
      <c r="U254" s="65" t="n">
        <v>0</v>
      </c>
      <c r="V254" s="65" t="n">
        <v>16327.93</v>
      </c>
      <c r="W254" s="115" t="n">
        <v>0.1409</v>
      </c>
      <c r="X254" s="112" t="n">
        <v>43686</v>
      </c>
      <c r="Y254" s="65" t="str">
        <f aca="false">IF(I254="","No SIC",IFERROR(VLOOKUP(I254,Ref!$A$2:$B$65,2,FALSE()),"Unclassified"))</f>
        <v>Amusement &amp; Recreation Services</v>
      </c>
      <c r="Z254" s="65" t="str">
        <f aca="false">IF(T254="","",IF(T254&lt;12,"Daily","Weekly"))</f>
        <v>Weekly</v>
      </c>
      <c r="AA254" s="65" t="n">
        <f aca="false">IF(T254="",0,IF(T254&lt;12,T254*Controls!$B$29,T254*5))</f>
        <v>120</v>
      </c>
      <c r="AB254" s="65" t="n">
        <f aca="false">IF(E254="",0,NETWORKDAYS(E254,Controls!$B$36,Ref!$K$2:$K$42))</f>
        <v>234</v>
      </c>
      <c r="AC254" s="65" t="n">
        <f aca="false">IF(AND(AA254&gt;0,AB254&gt;=Controls!$B$39*AA254),1,0)</f>
        <v>1</v>
      </c>
      <c r="AD254" s="65" t="n">
        <f aca="false">IF(AND(E254&lt;&gt;"",E254&gt;=Controls!$B$37,E254&lt;=Controls!$B$38),1,0)</f>
        <v>1</v>
      </c>
      <c r="AE254" s="65" t="n">
        <f aca="false">IF(IFERROR(VLOOKUP(D254,Controls!$A$64:$E$74,2,FALSE()),"No")="Yes",1,0)</f>
        <v>0</v>
      </c>
      <c r="AF254" s="65" t="n">
        <f aca="false">IF(IFERROR(VLOOKUP(D254,Controls!$A$64:$E$74,3,FALSE()),"No")="Yes",1,0)</f>
        <v>1</v>
      </c>
      <c r="AG254" s="65" t="n">
        <f aca="false">IF(IFERROR(VLOOKUP(D254,Controls!$A$64:$E$74,4,FALSE()),"No")="Yes",1,0)</f>
        <v>1</v>
      </c>
      <c r="AH254" s="65" t="n">
        <f aca="false">IF(IFERROR(VLOOKUP(D254,Controls!$A$64:$E$74,5,FALSE()),"No")="Yes",1,0)</f>
        <v>0</v>
      </c>
      <c r="AI254" s="65" t="n">
        <f aca="false">IF(ISNUMBER(MATCH(D254,Controls!$A$64:$A$74,0)),1,0)</f>
        <v>1</v>
      </c>
      <c r="AJ254" s="65" t="n">
        <f aca="false">Q254-N254</f>
        <v>3800</v>
      </c>
      <c r="AK254" s="65" t="n">
        <f aca="false">IF(AE254=1,MAX(0,N254-Q254),0)</f>
        <v>0</v>
      </c>
      <c r="AL254" s="65" t="n">
        <f aca="false">IF(OR(V254="",V254=0),0,N254/V254)</f>
        <v>0.612447505593177</v>
      </c>
      <c r="AM254" s="65" t="n">
        <f aca="false">IF(OR(V254="",V254=0),0,1)</f>
        <v>1</v>
      </c>
      <c r="AN254" s="65" t="n">
        <f aca="false">IF(OR(E254="",F254=""),0,NETWORKDAYS(E254,F254,Ref!$K$2:$K$42))</f>
        <v>114</v>
      </c>
      <c r="AO254" s="65" t="n">
        <f aca="false">IF(L254="Renewal",1,0)</f>
        <v>0</v>
      </c>
      <c r="AP254" s="65" t="n">
        <f aca="false">AC254*AD254</f>
        <v>1</v>
      </c>
      <c r="AQ254" s="65" t="n">
        <f aca="false">IF(AND(G254&lt;&gt;"",'Historical Score'!$C$6&lt;&gt;""),IF(G254='Historical Score'!$C$6,1,0),0)</f>
        <v>0</v>
      </c>
      <c r="AR254" s="65" t="n">
        <f aca="false">IF(AND(L254&lt;&gt;"",'Historical Score'!$C$5&lt;&gt;""),IF(L254='Historical Score'!$C$5,1,0),0)</f>
        <v>1</v>
      </c>
      <c r="AS254" s="65" t="n">
        <f aca="false">IF(AND(Y254&lt;&gt;"",'Historical Score'!$C$7&lt;&gt;""),IF(Y254='Historical Score'!$C$7,1,0),0)</f>
        <v>0</v>
      </c>
      <c r="AT254" s="65" t="n">
        <f aca="false">IF(AND(K254&lt;&gt;"",'Historical Score'!$C$8&lt;&gt;""),IF(K254='Historical Score'!$C$8,1,0),0)</f>
        <v>0</v>
      </c>
      <c r="AU254" s="65" t="n">
        <f aca="false">IF(AND(J254&lt;&gt;"",'Historical Score'!$C$9&lt;&gt;""),IF(J254='Historical Score'!$C$9,1,0),0)</f>
        <v>0</v>
      </c>
      <c r="AV254" s="65" t="n">
        <f aca="false">AR254*AS254*AQ254</f>
        <v>0</v>
      </c>
      <c r="AW254" s="65" t="n">
        <f aca="false">AR254*AT254*AQ254</f>
        <v>0</v>
      </c>
      <c r="AX254" s="65" t="n">
        <f aca="false">AR254*AS254</f>
        <v>0</v>
      </c>
      <c r="AY254" s="65" t="n">
        <f aca="false">AR254*AT254</f>
        <v>0</v>
      </c>
      <c r="AZ254" s="65" t="n">
        <f aca="false">AR254*AQ254</f>
        <v>0</v>
      </c>
      <c r="BA254" s="65" t="n">
        <f aca="false">AR254</f>
        <v>1</v>
      </c>
      <c r="BB254" s="65" t="n">
        <f aca="false">1</f>
        <v>1</v>
      </c>
      <c r="BC254" s="65" t="n">
        <f aca="false">IF(AV254=1,1,IF(AW254=1,2,IF(AX254=1,3,IF(AY254=1,4,IF(AZ254=1,5,IF(BA254=1,6,7))))))</f>
        <v>6</v>
      </c>
      <c r="BD254" s="65" t="n">
        <f aca="false">IF(AD254=1,CHOOSE('Historical Score'!$C$29,AV254,AW254,AX254,AY254,AZ254,BA254,BB254),0)</f>
        <v>0</v>
      </c>
      <c r="BE254" s="65" t="str">
        <f aca="false">IF(BD254=1,COUNTIF($BD$2:BD254,1),"")</f>
        <v/>
      </c>
    </row>
    <row r="255" customFormat="false" ht="15" hidden="false" customHeight="false" outlineLevel="0" collapsed="false">
      <c r="A255" s="65" t="s">
        <v>1180</v>
      </c>
      <c r="B255" s="65" t="s">
        <v>1181</v>
      </c>
      <c r="C255" s="65" t="s">
        <v>1181</v>
      </c>
      <c r="D255" s="65" t="s">
        <v>371</v>
      </c>
      <c r="E255" s="112" t="n">
        <v>45919</v>
      </c>
      <c r="F255" s="112" t="n">
        <v>46125</v>
      </c>
      <c r="G255" s="65" t="n">
        <v>1</v>
      </c>
      <c r="H255" s="65" t="s">
        <v>1182</v>
      </c>
      <c r="I255" s="65" t="s">
        <v>367</v>
      </c>
      <c r="J255" s="65" t="s">
        <v>61</v>
      </c>
      <c r="K255" s="65" t="s">
        <v>961</v>
      </c>
      <c r="L255" s="65" t="s">
        <v>64</v>
      </c>
      <c r="M255" s="113" t="n">
        <v>1.38</v>
      </c>
      <c r="N255" s="114" t="n">
        <v>12000</v>
      </c>
      <c r="O255" s="114" t="n">
        <v>1440</v>
      </c>
      <c r="P255" s="114" t="n">
        <v>16560</v>
      </c>
      <c r="Q255" s="114" t="n">
        <v>16560</v>
      </c>
      <c r="R255" s="114" t="n">
        <v>0</v>
      </c>
      <c r="S255" s="115" t="n">
        <v>1</v>
      </c>
      <c r="T255" s="65" t="n">
        <v>4.59</v>
      </c>
      <c r="U255" s="65" t="n">
        <v>0</v>
      </c>
      <c r="V255" s="65" t="n">
        <v>26806.34</v>
      </c>
      <c r="W255" s="115" t="n">
        <v>0.0883</v>
      </c>
      <c r="X255" s="112" t="n">
        <v>44496</v>
      </c>
      <c r="Y255" s="65" t="str">
        <f aca="false">IF(I255="","No SIC",IFERROR(VLOOKUP(I255,Ref!$A$2:$B$65,2,FALSE()),"Unclassified"))</f>
        <v>Engineering, Accounting &amp; Management</v>
      </c>
      <c r="Z255" s="65" t="str">
        <f aca="false">IF(T255="","",IF(T255&lt;12,"Daily","Weekly"))</f>
        <v>Daily</v>
      </c>
      <c r="AA255" s="65" t="n">
        <f aca="false">IF(T255="",0,IF(T255&lt;12,T255*Controls!$B$29,T255*5))</f>
        <v>99.39645</v>
      </c>
      <c r="AB255" s="65" t="n">
        <f aca="false">IF(E255="",0,NETWORKDAYS(E255,Controls!$B$36,Ref!$K$2:$K$42))</f>
        <v>234</v>
      </c>
      <c r="AC255" s="65" t="n">
        <f aca="false">IF(AND(AA255&gt;0,AB255&gt;=Controls!$B$39*AA255),1,0)</f>
        <v>1</v>
      </c>
      <c r="AD255" s="65" t="n">
        <f aca="false">IF(AND(E255&lt;&gt;"",E255&gt;=Controls!$B$37,E255&lt;=Controls!$B$38),1,0)</f>
        <v>1</v>
      </c>
      <c r="AE255" s="65" t="n">
        <f aca="false">IF(IFERROR(VLOOKUP(D255,Controls!$A$64:$E$74,2,FALSE()),"No")="Yes",1,0)</f>
        <v>0</v>
      </c>
      <c r="AF255" s="65" t="n">
        <f aca="false">IF(IFERROR(VLOOKUP(D255,Controls!$A$64:$E$74,3,FALSE()),"No")="Yes",1,0)</f>
        <v>1</v>
      </c>
      <c r="AG255" s="65" t="n">
        <f aca="false">IF(IFERROR(VLOOKUP(D255,Controls!$A$64:$E$74,4,FALSE()),"No")="Yes",1,0)</f>
        <v>1</v>
      </c>
      <c r="AH255" s="65" t="n">
        <f aca="false">IF(IFERROR(VLOOKUP(D255,Controls!$A$64:$E$74,5,FALSE()),"No")="Yes",1,0)</f>
        <v>0</v>
      </c>
      <c r="AI255" s="65" t="n">
        <f aca="false">IF(ISNUMBER(MATCH(D255,Controls!$A$64:$A$74,0)),1,0)</f>
        <v>1</v>
      </c>
      <c r="AJ255" s="65" t="n">
        <f aca="false">Q255-N255</f>
        <v>4560</v>
      </c>
      <c r="AK255" s="65" t="n">
        <f aca="false">IF(AE255=1,MAX(0,N255-Q255),0)</f>
        <v>0</v>
      </c>
      <c r="AL255" s="65" t="n">
        <f aca="false">IF(OR(V255="",V255=0),0,N255/V255)</f>
        <v>0.447655293486541</v>
      </c>
      <c r="AM255" s="65" t="n">
        <f aca="false">IF(OR(V255="",V255=0),0,1)</f>
        <v>1</v>
      </c>
      <c r="AN255" s="65" t="n">
        <f aca="false">IF(OR(E255="",F255=""),0,NETWORKDAYS(E255,F255,Ref!$K$2:$K$42))</f>
        <v>140</v>
      </c>
      <c r="AO255" s="65" t="n">
        <f aca="false">IF(L255="Renewal",1,0)</f>
        <v>0</v>
      </c>
      <c r="AP255" s="65" t="n">
        <f aca="false">AC255*AD255</f>
        <v>1</v>
      </c>
      <c r="AQ255" s="65" t="n">
        <f aca="false">IF(AND(G255&lt;&gt;"",'Historical Score'!$C$6&lt;&gt;""),IF(G255='Historical Score'!$C$6,1,0),0)</f>
        <v>0</v>
      </c>
      <c r="AR255" s="65" t="n">
        <f aca="false">IF(AND(L255&lt;&gt;"",'Historical Score'!$C$5&lt;&gt;""),IF(L255='Historical Score'!$C$5,1,0),0)</f>
        <v>1</v>
      </c>
      <c r="AS255" s="65" t="n">
        <f aca="false">IF(AND(Y255&lt;&gt;"",'Historical Score'!$C$7&lt;&gt;""),IF(Y255='Historical Score'!$C$7,1,0),0)</f>
        <v>0</v>
      </c>
      <c r="AT255" s="65" t="n">
        <f aca="false">IF(AND(K255&lt;&gt;"",'Historical Score'!$C$8&lt;&gt;""),IF(K255='Historical Score'!$C$8,1,0),0)</f>
        <v>0</v>
      </c>
      <c r="AU255" s="65" t="n">
        <f aca="false">IF(AND(J255&lt;&gt;"",'Historical Score'!$C$9&lt;&gt;""),IF(J255='Historical Score'!$C$9,1,0),0)</f>
        <v>1</v>
      </c>
      <c r="AV255" s="65" t="n">
        <f aca="false">AR255*AS255*AQ255</f>
        <v>0</v>
      </c>
      <c r="AW255" s="65" t="n">
        <f aca="false">AR255*AT255*AQ255</f>
        <v>0</v>
      </c>
      <c r="AX255" s="65" t="n">
        <f aca="false">AR255*AS255</f>
        <v>0</v>
      </c>
      <c r="AY255" s="65" t="n">
        <f aca="false">AR255*AT255</f>
        <v>0</v>
      </c>
      <c r="AZ255" s="65" t="n">
        <f aca="false">AR255*AQ255</f>
        <v>0</v>
      </c>
      <c r="BA255" s="65" t="n">
        <f aca="false">AR255</f>
        <v>1</v>
      </c>
      <c r="BB255" s="65" t="n">
        <f aca="false">1</f>
        <v>1</v>
      </c>
      <c r="BC255" s="65" t="n">
        <f aca="false">IF(AV255=1,1,IF(AW255=1,2,IF(AX255=1,3,IF(AY255=1,4,IF(AZ255=1,5,IF(BA255=1,6,7))))))</f>
        <v>6</v>
      </c>
      <c r="BD255" s="65" t="n">
        <f aca="false">IF(AD255=1,CHOOSE('Historical Score'!$C$29,AV255,AW255,AX255,AY255,AZ255,BA255,BB255),0)</f>
        <v>0</v>
      </c>
      <c r="BE255" s="65" t="str">
        <f aca="false">IF(BD255=1,COUNTIF($BD$2:BD255,1),"")</f>
        <v/>
      </c>
    </row>
    <row r="256" customFormat="false" ht="15" hidden="false" customHeight="false" outlineLevel="0" collapsed="false">
      <c r="A256" s="65" t="s">
        <v>1183</v>
      </c>
      <c r="B256" s="65" t="s">
        <v>1184</v>
      </c>
      <c r="C256" s="65" t="s">
        <v>1184</v>
      </c>
      <c r="D256" s="65" t="s">
        <v>371</v>
      </c>
      <c r="E256" s="112" t="n">
        <v>45922</v>
      </c>
      <c r="F256" s="112" t="n">
        <v>46113</v>
      </c>
      <c r="G256" s="65" t="n">
        <v>2</v>
      </c>
      <c r="H256" s="65" t="s">
        <v>637</v>
      </c>
      <c r="I256" s="65" t="s">
        <v>484</v>
      </c>
      <c r="J256" s="65" t="s">
        <v>61</v>
      </c>
      <c r="K256" s="65" t="s">
        <v>827</v>
      </c>
      <c r="L256" s="65" t="s">
        <v>64</v>
      </c>
      <c r="M256" s="113" t="n">
        <v>1.499</v>
      </c>
      <c r="N256" s="114" t="n">
        <v>15000</v>
      </c>
      <c r="O256" s="114" t="n">
        <v>2100</v>
      </c>
      <c r="P256" s="114" t="n">
        <v>22485</v>
      </c>
      <c r="Q256" s="114" t="n">
        <v>22485</v>
      </c>
      <c r="R256" s="114" t="n">
        <v>0</v>
      </c>
      <c r="S256" s="115" t="n">
        <v>1</v>
      </c>
      <c r="T256" s="65" t="n">
        <v>2.623</v>
      </c>
      <c r="U256" s="65" t="n">
        <v>0</v>
      </c>
      <c r="V256" s="65" t="n">
        <v>55575.64</v>
      </c>
      <c r="W256" s="115" t="n">
        <v>0.0782</v>
      </c>
      <c r="X256" s="112" t="n">
        <v>41518</v>
      </c>
      <c r="Y256" s="65" t="str">
        <f aca="false">IF(I256="","No SIC",IFERROR(VLOOKUP(I256,Ref!$A$2:$B$65,2,FALSE()),"Unclassified"))</f>
        <v>Special Trade Contractors</v>
      </c>
      <c r="Z256" s="65" t="str">
        <f aca="false">IF(T256="","",IF(T256&lt;12,"Daily","Weekly"))</f>
        <v>Daily</v>
      </c>
      <c r="AA256" s="65" t="n">
        <f aca="false">IF(T256="",0,IF(T256&lt;12,T256*Controls!$B$29,T256*5))</f>
        <v>56.801065</v>
      </c>
      <c r="AB256" s="65" t="n">
        <f aca="false">IF(E256="",0,NETWORKDAYS(E256,Controls!$B$36,Ref!$K$2:$K$42))</f>
        <v>233</v>
      </c>
      <c r="AC256" s="65" t="n">
        <f aca="false">IF(AND(AA256&gt;0,AB256&gt;=Controls!$B$39*AA256),1,0)</f>
        <v>1</v>
      </c>
      <c r="AD256" s="65" t="n">
        <f aca="false">IF(AND(E256&lt;&gt;"",E256&gt;=Controls!$B$37,E256&lt;=Controls!$B$38),1,0)</f>
        <v>1</v>
      </c>
      <c r="AE256" s="65" t="n">
        <f aca="false">IF(IFERROR(VLOOKUP(D256,Controls!$A$64:$E$74,2,FALSE()),"No")="Yes",1,0)</f>
        <v>0</v>
      </c>
      <c r="AF256" s="65" t="n">
        <f aca="false">IF(IFERROR(VLOOKUP(D256,Controls!$A$64:$E$74,3,FALSE()),"No")="Yes",1,0)</f>
        <v>1</v>
      </c>
      <c r="AG256" s="65" t="n">
        <f aca="false">IF(IFERROR(VLOOKUP(D256,Controls!$A$64:$E$74,4,FALSE()),"No")="Yes",1,0)</f>
        <v>1</v>
      </c>
      <c r="AH256" s="65" t="n">
        <f aca="false">IF(IFERROR(VLOOKUP(D256,Controls!$A$64:$E$74,5,FALSE()),"No")="Yes",1,0)</f>
        <v>0</v>
      </c>
      <c r="AI256" s="65" t="n">
        <f aca="false">IF(ISNUMBER(MATCH(D256,Controls!$A$64:$A$74,0)),1,0)</f>
        <v>1</v>
      </c>
      <c r="AJ256" s="65" t="n">
        <f aca="false">Q256-N256</f>
        <v>7485</v>
      </c>
      <c r="AK256" s="65" t="n">
        <f aca="false">IF(AE256=1,MAX(0,N256-Q256),0)</f>
        <v>0</v>
      </c>
      <c r="AL256" s="65" t="n">
        <f aca="false">IF(OR(V256="",V256=0),0,N256/V256)</f>
        <v>0.269902424875359</v>
      </c>
      <c r="AM256" s="65" t="n">
        <f aca="false">IF(OR(V256="",V256=0),0,1)</f>
        <v>1</v>
      </c>
      <c r="AN256" s="65" t="n">
        <f aca="false">IF(OR(E256="",F256=""),0,NETWORKDAYS(E256,F256,Ref!$K$2:$K$42))</f>
        <v>131</v>
      </c>
      <c r="AO256" s="65" t="n">
        <f aca="false">IF(L256="Renewal",1,0)</f>
        <v>0</v>
      </c>
      <c r="AP256" s="65" t="n">
        <f aca="false">AC256*AD256</f>
        <v>1</v>
      </c>
      <c r="AQ256" s="65" t="n">
        <f aca="false">IF(AND(G256&lt;&gt;"",'Historical Score'!$C$6&lt;&gt;""),IF(G256='Historical Score'!$C$6,1,0),0)</f>
        <v>1</v>
      </c>
      <c r="AR256" s="65" t="n">
        <f aca="false">IF(AND(L256&lt;&gt;"",'Historical Score'!$C$5&lt;&gt;""),IF(L256='Historical Score'!$C$5,1,0),0)</f>
        <v>1</v>
      </c>
      <c r="AS256" s="65" t="n">
        <f aca="false">IF(AND(Y256&lt;&gt;"",'Historical Score'!$C$7&lt;&gt;""),IF(Y256='Historical Score'!$C$7,1,0),0)</f>
        <v>0</v>
      </c>
      <c r="AT256" s="65" t="n">
        <f aca="false">IF(AND(K256&lt;&gt;"",'Historical Score'!$C$8&lt;&gt;""),IF(K256='Historical Score'!$C$8,1,0),0)</f>
        <v>0</v>
      </c>
      <c r="AU256" s="65" t="n">
        <f aca="false">IF(AND(J256&lt;&gt;"",'Historical Score'!$C$9&lt;&gt;""),IF(J256='Historical Score'!$C$9,1,0),0)</f>
        <v>1</v>
      </c>
      <c r="AV256" s="65" t="n">
        <f aca="false">AR256*AS256*AQ256</f>
        <v>0</v>
      </c>
      <c r="AW256" s="65" t="n">
        <f aca="false">AR256*AT256*AQ256</f>
        <v>0</v>
      </c>
      <c r="AX256" s="65" t="n">
        <f aca="false">AR256*AS256</f>
        <v>0</v>
      </c>
      <c r="AY256" s="65" t="n">
        <f aca="false">AR256*AT256</f>
        <v>0</v>
      </c>
      <c r="AZ256" s="65" t="n">
        <f aca="false">AR256*AQ256</f>
        <v>1</v>
      </c>
      <c r="BA256" s="65" t="n">
        <f aca="false">AR256</f>
        <v>1</v>
      </c>
      <c r="BB256" s="65" t="n">
        <f aca="false">1</f>
        <v>1</v>
      </c>
      <c r="BC256" s="65" t="n">
        <f aca="false">IF(AV256=1,1,IF(AW256=1,2,IF(AX256=1,3,IF(AY256=1,4,IF(AZ256=1,5,IF(BA256=1,6,7))))))</f>
        <v>5</v>
      </c>
      <c r="BD256" s="65" t="n">
        <f aca="false">IF(AD256=1,CHOOSE('Historical Score'!$C$29,AV256,AW256,AX256,AY256,AZ256,BA256,BB256),0)</f>
        <v>0</v>
      </c>
      <c r="BE256" s="65" t="str">
        <f aca="false">IF(BD256=1,COUNTIF($BD$2:BD256,1),"")</f>
        <v/>
      </c>
    </row>
    <row r="257" customFormat="false" ht="15" hidden="false" customHeight="false" outlineLevel="0" collapsed="false">
      <c r="A257" s="65" t="s">
        <v>1185</v>
      </c>
      <c r="B257" s="65" t="s">
        <v>1186</v>
      </c>
      <c r="C257" s="65" t="s">
        <v>1186</v>
      </c>
      <c r="D257" s="65" t="s">
        <v>371</v>
      </c>
      <c r="E257" s="112" t="n">
        <v>45922</v>
      </c>
      <c r="F257" s="112" t="n">
        <v>46073</v>
      </c>
      <c r="G257" s="65" t="n">
        <v>1</v>
      </c>
      <c r="H257" s="65" t="s">
        <v>513</v>
      </c>
      <c r="I257" s="65" t="s">
        <v>475</v>
      </c>
      <c r="J257" s="65" t="s">
        <v>61</v>
      </c>
      <c r="K257" s="65" t="s">
        <v>961</v>
      </c>
      <c r="L257" s="65" t="s">
        <v>64</v>
      </c>
      <c r="M257" s="113" t="n">
        <v>1.38</v>
      </c>
      <c r="N257" s="114" t="n">
        <v>15000</v>
      </c>
      <c r="O257" s="114" t="n">
        <v>1800</v>
      </c>
      <c r="P257" s="114" t="n">
        <v>20700</v>
      </c>
      <c r="Q257" s="114" t="n">
        <v>20700</v>
      </c>
      <c r="R257" s="114" t="n">
        <v>0</v>
      </c>
      <c r="S257" s="115" t="n">
        <v>1</v>
      </c>
      <c r="T257" s="65" t="n">
        <v>26</v>
      </c>
      <c r="U257" s="65" t="n">
        <v>0</v>
      </c>
      <c r="V257" s="65" t="n">
        <v>36871.29</v>
      </c>
      <c r="W257" s="115" t="n">
        <v>0.0864</v>
      </c>
      <c r="X257" s="112" t="n">
        <v>42644</v>
      </c>
      <c r="Y257" s="65" t="str">
        <f aca="false">IF(I257="","No SIC",IFERROR(VLOOKUP(I257,Ref!$A$2:$B$65,2,FALSE()),"Unclassified"))</f>
        <v>Auto Repair &amp; Services</v>
      </c>
      <c r="Z257" s="65" t="str">
        <f aca="false">IF(T257="","",IF(T257&lt;12,"Daily","Weekly"))</f>
        <v>Weekly</v>
      </c>
      <c r="AA257" s="65" t="n">
        <f aca="false">IF(T257="",0,IF(T257&lt;12,T257*Controls!$B$29,T257*5))</f>
        <v>130</v>
      </c>
      <c r="AB257" s="65" t="n">
        <f aca="false">IF(E257="",0,NETWORKDAYS(E257,Controls!$B$36,Ref!$K$2:$K$42))</f>
        <v>233</v>
      </c>
      <c r="AC257" s="65" t="n">
        <f aca="false">IF(AND(AA257&gt;0,AB257&gt;=Controls!$B$39*AA257),1,0)</f>
        <v>1</v>
      </c>
      <c r="AD257" s="65" t="n">
        <f aca="false">IF(AND(E257&lt;&gt;"",E257&gt;=Controls!$B$37,E257&lt;=Controls!$B$38),1,0)</f>
        <v>1</v>
      </c>
      <c r="AE257" s="65" t="n">
        <f aca="false">IF(IFERROR(VLOOKUP(D257,Controls!$A$64:$E$74,2,FALSE()),"No")="Yes",1,0)</f>
        <v>0</v>
      </c>
      <c r="AF257" s="65" t="n">
        <f aca="false">IF(IFERROR(VLOOKUP(D257,Controls!$A$64:$E$74,3,FALSE()),"No")="Yes",1,0)</f>
        <v>1</v>
      </c>
      <c r="AG257" s="65" t="n">
        <f aca="false">IF(IFERROR(VLOOKUP(D257,Controls!$A$64:$E$74,4,FALSE()),"No")="Yes",1,0)</f>
        <v>1</v>
      </c>
      <c r="AH257" s="65" t="n">
        <f aca="false">IF(IFERROR(VLOOKUP(D257,Controls!$A$64:$E$74,5,FALSE()),"No")="Yes",1,0)</f>
        <v>0</v>
      </c>
      <c r="AI257" s="65" t="n">
        <f aca="false">IF(ISNUMBER(MATCH(D257,Controls!$A$64:$A$74,0)),1,0)</f>
        <v>1</v>
      </c>
      <c r="AJ257" s="65" t="n">
        <f aca="false">Q257-N257</f>
        <v>5700</v>
      </c>
      <c r="AK257" s="65" t="n">
        <f aca="false">IF(AE257=1,MAX(0,N257-Q257),0)</f>
        <v>0</v>
      </c>
      <c r="AL257" s="65" t="n">
        <f aca="false">IF(OR(V257="",V257=0),0,N257/V257)</f>
        <v>0.406820591305593</v>
      </c>
      <c r="AM257" s="65" t="n">
        <f aca="false">IF(OR(V257="",V257=0),0,1)</f>
        <v>1</v>
      </c>
      <c r="AN257" s="65" t="n">
        <f aca="false">IF(OR(E257="",F257=""),0,NETWORKDAYS(E257,F257,Ref!$K$2:$K$42))</f>
        <v>103</v>
      </c>
      <c r="AO257" s="65" t="n">
        <f aca="false">IF(L257="Renewal",1,0)</f>
        <v>0</v>
      </c>
      <c r="AP257" s="65" t="n">
        <f aca="false">AC257*AD257</f>
        <v>1</v>
      </c>
      <c r="AQ257" s="65" t="n">
        <f aca="false">IF(AND(G257&lt;&gt;"",'Historical Score'!$C$6&lt;&gt;""),IF(G257='Historical Score'!$C$6,1,0),0)</f>
        <v>0</v>
      </c>
      <c r="AR257" s="65" t="n">
        <f aca="false">IF(AND(L257&lt;&gt;"",'Historical Score'!$C$5&lt;&gt;""),IF(L257='Historical Score'!$C$5,1,0),0)</f>
        <v>1</v>
      </c>
      <c r="AS257" s="65" t="n">
        <f aca="false">IF(AND(Y257&lt;&gt;"",'Historical Score'!$C$7&lt;&gt;""),IF(Y257='Historical Score'!$C$7,1,0),0)</f>
        <v>0</v>
      </c>
      <c r="AT257" s="65" t="n">
        <f aca="false">IF(AND(K257&lt;&gt;"",'Historical Score'!$C$8&lt;&gt;""),IF(K257='Historical Score'!$C$8,1,0),0)</f>
        <v>0</v>
      </c>
      <c r="AU257" s="65" t="n">
        <f aca="false">IF(AND(J257&lt;&gt;"",'Historical Score'!$C$9&lt;&gt;""),IF(J257='Historical Score'!$C$9,1,0),0)</f>
        <v>1</v>
      </c>
      <c r="AV257" s="65" t="n">
        <f aca="false">AR257*AS257*AQ257</f>
        <v>0</v>
      </c>
      <c r="AW257" s="65" t="n">
        <f aca="false">AR257*AT257*AQ257</f>
        <v>0</v>
      </c>
      <c r="AX257" s="65" t="n">
        <f aca="false">AR257*AS257</f>
        <v>0</v>
      </c>
      <c r="AY257" s="65" t="n">
        <f aca="false">AR257*AT257</f>
        <v>0</v>
      </c>
      <c r="AZ257" s="65" t="n">
        <f aca="false">AR257*AQ257</f>
        <v>0</v>
      </c>
      <c r="BA257" s="65" t="n">
        <f aca="false">AR257</f>
        <v>1</v>
      </c>
      <c r="BB257" s="65" t="n">
        <f aca="false">1</f>
        <v>1</v>
      </c>
      <c r="BC257" s="65" t="n">
        <f aca="false">IF(AV257=1,1,IF(AW257=1,2,IF(AX257=1,3,IF(AY257=1,4,IF(AZ257=1,5,IF(BA257=1,6,7))))))</f>
        <v>6</v>
      </c>
      <c r="BD257" s="65" t="n">
        <f aca="false">IF(AD257=1,CHOOSE('Historical Score'!$C$29,AV257,AW257,AX257,AY257,AZ257,BA257,BB257),0)</f>
        <v>0</v>
      </c>
      <c r="BE257" s="65" t="str">
        <f aca="false">IF(BD257=1,COUNTIF($BD$2:BD257,1),"")</f>
        <v/>
      </c>
    </row>
    <row r="258" customFormat="false" ht="15" hidden="false" customHeight="false" outlineLevel="0" collapsed="false">
      <c r="A258" s="65" t="s">
        <v>1187</v>
      </c>
      <c r="B258" s="65" t="s">
        <v>1188</v>
      </c>
      <c r="C258" s="65" t="s">
        <v>1188</v>
      </c>
      <c r="D258" s="65" t="s">
        <v>371</v>
      </c>
      <c r="E258" s="112" t="n">
        <v>45922</v>
      </c>
      <c r="F258" s="112" t="n">
        <v>46112</v>
      </c>
      <c r="G258" s="65" t="n">
        <v>1</v>
      </c>
      <c r="H258" s="65" t="s">
        <v>409</v>
      </c>
      <c r="I258" s="65" t="s">
        <v>342</v>
      </c>
      <c r="J258" s="65" t="s">
        <v>386</v>
      </c>
      <c r="K258" s="65" t="s">
        <v>501</v>
      </c>
      <c r="L258" s="65" t="s">
        <v>64</v>
      </c>
      <c r="M258" s="113" t="n">
        <v>1.49</v>
      </c>
      <c r="N258" s="114" t="n">
        <v>20000</v>
      </c>
      <c r="O258" s="114" t="n">
        <v>2800</v>
      </c>
      <c r="P258" s="114" t="n">
        <v>29800</v>
      </c>
      <c r="Q258" s="114" t="n">
        <v>29800</v>
      </c>
      <c r="R258" s="114" t="n">
        <v>0</v>
      </c>
      <c r="S258" s="115" t="n">
        <v>1</v>
      </c>
      <c r="T258" s="65" t="n">
        <v>3.607</v>
      </c>
      <c r="U258" s="65" t="n">
        <v>20</v>
      </c>
      <c r="V258" s="65" t="n">
        <v>33612.7</v>
      </c>
      <c r="W258" s="115" t="n">
        <v>0.1693</v>
      </c>
      <c r="X258" s="112" t="n">
        <v>45922</v>
      </c>
      <c r="Y258" s="65" t="str">
        <f aca="false">IF(I258="","No SIC",IFERROR(VLOOKUP(I258,Ref!$A$2:$B$65,2,FALSE()),"Unclassified"))</f>
        <v>Eating &amp; Drinking Places</v>
      </c>
      <c r="Z258" s="65" t="str">
        <f aca="false">IF(T258="","",IF(T258&lt;12,"Daily","Weekly"))</f>
        <v>Daily</v>
      </c>
      <c r="AA258" s="65" t="n">
        <f aca="false">IF(T258="",0,IF(T258&lt;12,T258*Controls!$B$29,T258*5))</f>
        <v>78.109585</v>
      </c>
      <c r="AB258" s="65" t="n">
        <f aca="false">IF(E258="",0,NETWORKDAYS(E258,Controls!$B$36,Ref!$K$2:$K$42))</f>
        <v>233</v>
      </c>
      <c r="AC258" s="65" t="n">
        <f aca="false">IF(AND(AA258&gt;0,AB258&gt;=Controls!$B$39*AA258),1,0)</f>
        <v>1</v>
      </c>
      <c r="AD258" s="65" t="n">
        <f aca="false">IF(AND(E258&lt;&gt;"",E258&gt;=Controls!$B$37,E258&lt;=Controls!$B$38),1,0)</f>
        <v>1</v>
      </c>
      <c r="AE258" s="65" t="n">
        <f aca="false">IF(IFERROR(VLOOKUP(D258,Controls!$A$64:$E$74,2,FALSE()),"No")="Yes",1,0)</f>
        <v>0</v>
      </c>
      <c r="AF258" s="65" t="n">
        <f aca="false">IF(IFERROR(VLOOKUP(D258,Controls!$A$64:$E$74,3,FALSE()),"No")="Yes",1,0)</f>
        <v>1</v>
      </c>
      <c r="AG258" s="65" t="n">
        <f aca="false">IF(IFERROR(VLOOKUP(D258,Controls!$A$64:$E$74,4,FALSE()),"No")="Yes",1,0)</f>
        <v>1</v>
      </c>
      <c r="AH258" s="65" t="n">
        <f aca="false">IF(IFERROR(VLOOKUP(D258,Controls!$A$64:$E$74,5,FALSE()),"No")="Yes",1,0)</f>
        <v>0</v>
      </c>
      <c r="AI258" s="65" t="n">
        <f aca="false">IF(ISNUMBER(MATCH(D258,Controls!$A$64:$A$74,0)),1,0)</f>
        <v>1</v>
      </c>
      <c r="AJ258" s="65" t="n">
        <f aca="false">Q258-N258</f>
        <v>9800</v>
      </c>
      <c r="AK258" s="65" t="n">
        <f aca="false">IF(AE258=1,MAX(0,N258-Q258),0)</f>
        <v>0</v>
      </c>
      <c r="AL258" s="65" t="n">
        <f aca="false">IF(OR(V258="",V258=0),0,N258/V258)</f>
        <v>0.595013194417586</v>
      </c>
      <c r="AM258" s="65" t="n">
        <f aca="false">IF(OR(V258="",V258=0),0,1)</f>
        <v>1</v>
      </c>
      <c r="AN258" s="65" t="n">
        <f aca="false">IF(OR(E258="",F258=""),0,NETWORKDAYS(E258,F258,Ref!$K$2:$K$42))</f>
        <v>130</v>
      </c>
      <c r="AO258" s="65" t="n">
        <f aca="false">IF(L258="Renewal",1,0)</f>
        <v>0</v>
      </c>
      <c r="AP258" s="65" t="n">
        <f aca="false">AC258*AD258</f>
        <v>1</v>
      </c>
      <c r="AQ258" s="65" t="n">
        <f aca="false">IF(AND(G258&lt;&gt;"",'Historical Score'!$C$6&lt;&gt;""),IF(G258='Historical Score'!$C$6,1,0),0)</f>
        <v>0</v>
      </c>
      <c r="AR258" s="65" t="n">
        <f aca="false">IF(AND(L258&lt;&gt;"",'Historical Score'!$C$5&lt;&gt;""),IF(L258='Historical Score'!$C$5,1,0),0)</f>
        <v>1</v>
      </c>
      <c r="AS258" s="65" t="n">
        <f aca="false">IF(AND(Y258&lt;&gt;"",'Historical Score'!$C$7&lt;&gt;""),IF(Y258='Historical Score'!$C$7,1,0),0)</f>
        <v>0</v>
      </c>
      <c r="AT258" s="65" t="n">
        <f aca="false">IF(AND(K258&lt;&gt;"",'Historical Score'!$C$8&lt;&gt;""),IF(K258='Historical Score'!$C$8,1,0),0)</f>
        <v>0</v>
      </c>
      <c r="AU258" s="65" t="n">
        <f aca="false">IF(AND(J258&lt;&gt;"",'Historical Score'!$C$9&lt;&gt;""),IF(J258='Historical Score'!$C$9,1,0),0)</f>
        <v>0</v>
      </c>
      <c r="AV258" s="65" t="n">
        <f aca="false">AR258*AS258*AQ258</f>
        <v>0</v>
      </c>
      <c r="AW258" s="65" t="n">
        <f aca="false">AR258*AT258*AQ258</f>
        <v>0</v>
      </c>
      <c r="AX258" s="65" t="n">
        <f aca="false">AR258*AS258</f>
        <v>0</v>
      </c>
      <c r="AY258" s="65" t="n">
        <f aca="false">AR258*AT258</f>
        <v>0</v>
      </c>
      <c r="AZ258" s="65" t="n">
        <f aca="false">AR258*AQ258</f>
        <v>0</v>
      </c>
      <c r="BA258" s="65" t="n">
        <f aca="false">AR258</f>
        <v>1</v>
      </c>
      <c r="BB258" s="65" t="n">
        <f aca="false">1</f>
        <v>1</v>
      </c>
      <c r="BC258" s="65" t="n">
        <f aca="false">IF(AV258=1,1,IF(AW258=1,2,IF(AX258=1,3,IF(AY258=1,4,IF(AZ258=1,5,IF(BA258=1,6,7))))))</f>
        <v>6</v>
      </c>
      <c r="BD258" s="65" t="n">
        <f aca="false">IF(AD258=1,CHOOSE('Historical Score'!$C$29,AV258,AW258,AX258,AY258,AZ258,BA258,BB258),0)</f>
        <v>0</v>
      </c>
      <c r="BE258" s="65" t="str">
        <f aca="false">IF(BD258=1,COUNTIF($BD$2:BD258,1),"")</f>
        <v/>
      </c>
    </row>
    <row r="259" customFormat="false" ht="15" hidden="false" customHeight="false" outlineLevel="0" collapsed="false">
      <c r="A259" s="65" t="s">
        <v>1189</v>
      </c>
      <c r="B259" s="65" t="s">
        <v>1190</v>
      </c>
      <c r="C259" s="65" t="s">
        <v>1191</v>
      </c>
      <c r="D259" s="65" t="s">
        <v>295</v>
      </c>
      <c r="E259" s="112" t="n">
        <v>45924</v>
      </c>
      <c r="F259" s="112" t="n">
        <v>46244</v>
      </c>
      <c r="G259" s="65" t="n">
        <v>2</v>
      </c>
      <c r="H259" s="65" t="s">
        <v>1192</v>
      </c>
      <c r="I259" s="65" t="s">
        <v>643</v>
      </c>
      <c r="J259" s="65" t="s">
        <v>61</v>
      </c>
      <c r="K259" s="65" t="s">
        <v>433</v>
      </c>
      <c r="L259" s="65" t="s">
        <v>320</v>
      </c>
      <c r="M259" s="113" t="n">
        <v>1.49</v>
      </c>
      <c r="N259" s="114" t="n">
        <v>13000</v>
      </c>
      <c r="O259" s="114" t="n">
        <v>1820</v>
      </c>
      <c r="P259" s="114" t="n">
        <v>19370</v>
      </c>
      <c r="Q259" s="114" t="n">
        <v>3749.52</v>
      </c>
      <c r="R259" s="114" t="n">
        <v>15620.48</v>
      </c>
      <c r="S259" s="115" t="n">
        <v>0.193573567372225</v>
      </c>
      <c r="T259" s="65" t="n">
        <v>3.279</v>
      </c>
      <c r="U259" s="65" t="n">
        <v>31</v>
      </c>
      <c r="V259" s="65" t="n">
        <v>27746.78</v>
      </c>
      <c r="W259" s="115" t="n">
        <v>0.2043</v>
      </c>
      <c r="X259" s="112" t="n">
        <v>41925</v>
      </c>
      <c r="Y259" s="65" t="str">
        <f aca="false">IF(I259="","No SIC",IFERROR(VLOOKUP(I259,Ref!$A$2:$B$65,2,FALSE()),"Unclassified"))</f>
        <v>Agricultural Services</v>
      </c>
      <c r="Z259" s="65" t="str">
        <f aca="false">IF(T259="","",IF(T259&lt;12,"Daily","Weekly"))</f>
        <v>Daily</v>
      </c>
      <c r="AA259" s="65" t="n">
        <f aca="false">IF(T259="",0,IF(T259&lt;12,T259*Controls!$B$29,T259*5))</f>
        <v>71.006745</v>
      </c>
      <c r="AB259" s="65" t="n">
        <f aca="false">IF(E259="",0,NETWORKDAYS(E259,Controls!$B$36,Ref!$K$2:$K$42))</f>
        <v>231</v>
      </c>
      <c r="AC259" s="65" t="n">
        <f aca="false">IF(AND(AA259&gt;0,AB259&gt;=Controls!$B$39*AA259),1,0)</f>
        <v>1</v>
      </c>
      <c r="AD259" s="65" t="n">
        <f aca="false">IF(AND(E259&lt;&gt;"",E259&gt;=Controls!$B$37,E259&lt;=Controls!$B$38),1,0)</f>
        <v>1</v>
      </c>
      <c r="AE259" s="65" t="n">
        <f aca="false">IF(IFERROR(VLOOKUP(D259,Controls!$A$64:$E$74,2,FALSE()),"No")="Yes",1,0)</f>
        <v>0</v>
      </c>
      <c r="AF259" s="65" t="n">
        <f aca="false">IF(IFERROR(VLOOKUP(D259,Controls!$A$64:$E$74,3,FALSE()),"No")="Yes",1,0)</f>
        <v>0</v>
      </c>
      <c r="AG259" s="65" t="n">
        <f aca="false">IF(IFERROR(VLOOKUP(D259,Controls!$A$64:$E$74,4,FALSE()),"No")="Yes",1,0)</f>
        <v>0</v>
      </c>
      <c r="AH259" s="65" t="n">
        <f aca="false">IF(IFERROR(VLOOKUP(D259,Controls!$A$64:$E$74,5,FALSE()),"No")="Yes",1,0)</f>
        <v>1</v>
      </c>
      <c r="AI259" s="65" t="n">
        <f aca="false">IF(ISNUMBER(MATCH(D259,Controls!$A$64:$A$74,0)),1,0)</f>
        <v>1</v>
      </c>
      <c r="AJ259" s="65" t="n">
        <f aca="false">Q259-N259</f>
        <v>-9250.48</v>
      </c>
      <c r="AK259" s="65" t="n">
        <f aca="false">IF(AE259=1,MAX(0,N259-Q259),0)</f>
        <v>0</v>
      </c>
      <c r="AL259" s="65" t="n">
        <f aca="false">IF(OR(V259="",V259=0),0,N259/V259)</f>
        <v>0.468522834000918</v>
      </c>
      <c r="AM259" s="65" t="n">
        <f aca="false">IF(OR(V259="",V259=0),0,1)</f>
        <v>1</v>
      </c>
      <c r="AN259" s="65" t="n">
        <f aca="false">IF(OR(E259="",F259=""),0,NETWORKDAYS(E259,F259,Ref!$K$2:$K$42))</f>
        <v>220</v>
      </c>
      <c r="AO259" s="65" t="n">
        <f aca="false">IF(L259="Renewal",1,0)</f>
        <v>1</v>
      </c>
      <c r="AP259" s="65" t="n">
        <f aca="false">AC259*AD259</f>
        <v>1</v>
      </c>
      <c r="AQ259" s="65" t="n">
        <f aca="false">IF(AND(G259&lt;&gt;"",'Historical Score'!$C$6&lt;&gt;""),IF(G259='Historical Score'!$C$6,1,0),0)</f>
        <v>1</v>
      </c>
      <c r="AR259" s="65" t="n">
        <f aca="false">IF(AND(L259&lt;&gt;"",'Historical Score'!$C$5&lt;&gt;""),IF(L259='Historical Score'!$C$5,1,0),0)</f>
        <v>0</v>
      </c>
      <c r="AS259" s="65" t="n">
        <f aca="false">IF(AND(Y259&lt;&gt;"",'Historical Score'!$C$7&lt;&gt;""),IF(Y259='Historical Score'!$C$7,1,0),0)</f>
        <v>0</v>
      </c>
      <c r="AT259" s="65" t="n">
        <f aca="false">IF(AND(K259&lt;&gt;"",'Historical Score'!$C$8&lt;&gt;""),IF(K259='Historical Score'!$C$8,1,0),0)</f>
        <v>0</v>
      </c>
      <c r="AU259" s="65" t="n">
        <f aca="false">IF(AND(J259&lt;&gt;"",'Historical Score'!$C$9&lt;&gt;""),IF(J259='Historical Score'!$C$9,1,0),0)</f>
        <v>1</v>
      </c>
      <c r="AV259" s="65" t="n">
        <f aca="false">AR259*AS259*AQ259</f>
        <v>0</v>
      </c>
      <c r="AW259" s="65" t="n">
        <f aca="false">AR259*AT259*AQ259</f>
        <v>0</v>
      </c>
      <c r="AX259" s="65" t="n">
        <f aca="false">AR259*AS259</f>
        <v>0</v>
      </c>
      <c r="AY259" s="65" t="n">
        <f aca="false">AR259*AT259</f>
        <v>0</v>
      </c>
      <c r="AZ259" s="65" t="n">
        <f aca="false">AR259*AQ259</f>
        <v>0</v>
      </c>
      <c r="BA259" s="65" t="n">
        <f aca="false">AR259</f>
        <v>0</v>
      </c>
      <c r="BB259" s="65" t="n">
        <f aca="false">1</f>
        <v>1</v>
      </c>
      <c r="BC259" s="65" t="n">
        <f aca="false">IF(AV259=1,1,IF(AW259=1,2,IF(AX259=1,3,IF(AY259=1,4,IF(AZ259=1,5,IF(BA259=1,6,7))))))</f>
        <v>7</v>
      </c>
      <c r="BD259" s="65" t="n">
        <f aca="false">IF(AD259=1,CHOOSE('Historical Score'!$C$29,AV259,AW259,AX259,AY259,AZ259,BA259,BB259),0)</f>
        <v>0</v>
      </c>
      <c r="BE259" s="65" t="str">
        <f aca="false">IF(BD259=1,COUNTIF($BD$2:BD259,1),"")</f>
        <v/>
      </c>
    </row>
    <row r="260" customFormat="false" ht="15" hidden="false" customHeight="false" outlineLevel="0" collapsed="false">
      <c r="A260" s="65" t="s">
        <v>1193</v>
      </c>
      <c r="B260" s="65" t="s">
        <v>1194</v>
      </c>
      <c r="C260" s="65" t="s">
        <v>1194</v>
      </c>
      <c r="D260" s="65" t="s">
        <v>340</v>
      </c>
      <c r="E260" s="112" t="n">
        <v>45925</v>
      </c>
      <c r="F260" s="112" t="n">
        <v>45979</v>
      </c>
      <c r="G260" s="65" t="n">
        <v>3</v>
      </c>
      <c r="H260" s="65" t="s">
        <v>748</v>
      </c>
      <c r="I260" s="65" t="s">
        <v>619</v>
      </c>
      <c r="J260" s="65" t="s">
        <v>386</v>
      </c>
      <c r="K260" s="65" t="s">
        <v>55</v>
      </c>
      <c r="L260" s="65" t="s">
        <v>64</v>
      </c>
      <c r="M260" s="113" t="n">
        <v>1.499</v>
      </c>
      <c r="N260" s="114" t="n">
        <v>10000</v>
      </c>
      <c r="O260" s="114" t="n">
        <v>1400</v>
      </c>
      <c r="P260" s="114" t="n">
        <v>14990</v>
      </c>
      <c r="Q260" s="114" t="n">
        <v>5553.9</v>
      </c>
      <c r="R260" s="114" t="n">
        <v>9436.1</v>
      </c>
      <c r="S260" s="115" t="n">
        <v>0.37050700466978</v>
      </c>
      <c r="T260" s="65" t="n">
        <v>2.623</v>
      </c>
      <c r="U260" s="65" t="n">
        <v>7</v>
      </c>
      <c r="V260" s="65" t="n">
        <v>38722.54</v>
      </c>
      <c r="W260" s="115" t="n">
        <v>0.1004</v>
      </c>
      <c r="X260" s="112"/>
      <c r="Y260" s="65" t="str">
        <f aca="false">IF(I260="","No SIC",IFERROR(VLOOKUP(I260,Ref!$A$2:$B$65,2,FALSE()),"Unclassified"))</f>
        <v>Miscellaneous Retail</v>
      </c>
      <c r="Z260" s="65" t="str">
        <f aca="false">IF(T260="","",IF(T260&lt;12,"Daily","Weekly"))</f>
        <v>Daily</v>
      </c>
      <c r="AA260" s="65" t="n">
        <f aca="false">IF(T260="",0,IF(T260&lt;12,T260*Controls!$B$29,T260*5))</f>
        <v>56.801065</v>
      </c>
      <c r="AB260" s="65" t="n">
        <f aca="false">IF(E260="",0,NETWORKDAYS(E260,Controls!$B$36,Ref!$K$2:$K$42))</f>
        <v>230</v>
      </c>
      <c r="AC260" s="65" t="n">
        <f aca="false">IF(AND(AA260&gt;0,AB260&gt;=Controls!$B$39*AA260),1,0)</f>
        <v>1</v>
      </c>
      <c r="AD260" s="65" t="n">
        <f aca="false">IF(AND(E260&lt;&gt;"",E260&gt;=Controls!$B$37,E260&lt;=Controls!$B$38),1,0)</f>
        <v>1</v>
      </c>
      <c r="AE260" s="65" t="n">
        <f aca="false">IF(IFERROR(VLOOKUP(D260,Controls!$A$64:$E$74,2,FALSE()),"No")="Yes",1,0)</f>
        <v>1</v>
      </c>
      <c r="AF260" s="65" t="n">
        <f aca="false">IF(IFERROR(VLOOKUP(D260,Controls!$A$64:$E$74,3,FALSE()),"No")="Yes",1,0)</f>
        <v>0</v>
      </c>
      <c r="AG260" s="65" t="n">
        <f aca="false">IF(IFERROR(VLOOKUP(D260,Controls!$A$64:$E$74,4,FALSE()),"No")="Yes",1,0)</f>
        <v>0</v>
      </c>
      <c r="AH260" s="65" t="n">
        <f aca="false">IF(IFERROR(VLOOKUP(D260,Controls!$A$64:$E$74,5,FALSE()),"No")="Yes",1,0)</f>
        <v>0</v>
      </c>
      <c r="AI260" s="65" t="n">
        <f aca="false">IF(ISNUMBER(MATCH(D260,Controls!$A$64:$A$74,0)),1,0)</f>
        <v>1</v>
      </c>
      <c r="AJ260" s="65" t="n">
        <f aca="false">Q260-N260</f>
        <v>-4446.1</v>
      </c>
      <c r="AK260" s="65" t="n">
        <f aca="false">IF(AE260=1,MAX(0,N260-Q260),0)</f>
        <v>4446.1</v>
      </c>
      <c r="AL260" s="65" t="n">
        <f aca="false">IF(OR(V260="",V260=0),0,N260/V260)</f>
        <v>0.258247521985903</v>
      </c>
      <c r="AM260" s="65" t="n">
        <f aca="false">IF(OR(V260="",V260=0),0,1)</f>
        <v>1</v>
      </c>
      <c r="AN260" s="65" t="n">
        <f aca="false">IF(OR(E260="",F260=""),0,NETWORKDAYS(E260,F260,Ref!$K$2:$K$42))</f>
        <v>37</v>
      </c>
      <c r="AO260" s="65" t="n">
        <f aca="false">IF(L260="Renewal",1,0)</f>
        <v>0</v>
      </c>
      <c r="AP260" s="65" t="n">
        <f aca="false">AC260*AD260</f>
        <v>1</v>
      </c>
      <c r="AQ260" s="65" t="n">
        <f aca="false">IF(AND(G260&lt;&gt;"",'Historical Score'!$C$6&lt;&gt;""),IF(G260='Historical Score'!$C$6,1,0),0)</f>
        <v>0</v>
      </c>
      <c r="AR260" s="65" t="n">
        <f aca="false">IF(AND(L260&lt;&gt;"",'Historical Score'!$C$5&lt;&gt;""),IF(L260='Historical Score'!$C$5,1,0),0)</f>
        <v>1</v>
      </c>
      <c r="AS260" s="65" t="n">
        <f aca="false">IF(AND(Y260&lt;&gt;"",'Historical Score'!$C$7&lt;&gt;""),IF(Y260='Historical Score'!$C$7,1,0),0)</f>
        <v>0</v>
      </c>
      <c r="AT260" s="65" t="n">
        <f aca="false">IF(AND(K260&lt;&gt;"",'Historical Score'!$C$8&lt;&gt;""),IF(K260='Historical Score'!$C$8,1,0),0)</f>
        <v>1</v>
      </c>
      <c r="AU260" s="65" t="n">
        <f aca="false">IF(AND(J260&lt;&gt;"",'Historical Score'!$C$9&lt;&gt;""),IF(J260='Historical Score'!$C$9,1,0),0)</f>
        <v>0</v>
      </c>
      <c r="AV260" s="65" t="n">
        <f aca="false">AR260*AS260*AQ260</f>
        <v>0</v>
      </c>
      <c r="AW260" s="65" t="n">
        <f aca="false">AR260*AT260*AQ260</f>
        <v>0</v>
      </c>
      <c r="AX260" s="65" t="n">
        <f aca="false">AR260*AS260</f>
        <v>0</v>
      </c>
      <c r="AY260" s="65" t="n">
        <f aca="false">AR260*AT260</f>
        <v>1</v>
      </c>
      <c r="AZ260" s="65" t="n">
        <f aca="false">AR260*AQ260</f>
        <v>0</v>
      </c>
      <c r="BA260" s="65" t="n">
        <f aca="false">AR260</f>
        <v>1</v>
      </c>
      <c r="BB260" s="65" t="n">
        <f aca="false">1</f>
        <v>1</v>
      </c>
      <c r="BC260" s="65" t="n">
        <f aca="false">IF(AV260=1,1,IF(AW260=1,2,IF(AX260=1,3,IF(AY260=1,4,IF(AZ260=1,5,IF(BA260=1,6,7))))))</f>
        <v>4</v>
      </c>
      <c r="BD260" s="65" t="n">
        <f aca="false">IF(AD260=1,CHOOSE('Historical Score'!$C$29,AV260,AW260,AX260,AY260,AZ260,BA260,BB260),0)</f>
        <v>0</v>
      </c>
      <c r="BE260" s="65" t="str">
        <f aca="false">IF(BD260=1,COUNTIF($BD$2:BD260,1),"")</f>
        <v/>
      </c>
    </row>
    <row r="261" customFormat="false" ht="15" hidden="false" customHeight="false" outlineLevel="0" collapsed="false">
      <c r="A261" s="65" t="s">
        <v>1195</v>
      </c>
      <c r="B261" s="65" t="s">
        <v>1196</v>
      </c>
      <c r="C261" s="65" t="s">
        <v>1197</v>
      </c>
      <c r="D261" s="65" t="s">
        <v>371</v>
      </c>
      <c r="E261" s="112" t="n">
        <v>45925</v>
      </c>
      <c r="F261" s="112" t="n">
        <v>46048</v>
      </c>
      <c r="G261" s="65" t="n">
        <v>4</v>
      </c>
      <c r="H261" s="65" t="s">
        <v>1198</v>
      </c>
      <c r="I261" s="65" t="s">
        <v>1199</v>
      </c>
      <c r="J261" s="65" t="s">
        <v>61</v>
      </c>
      <c r="K261" s="65" t="s">
        <v>444</v>
      </c>
      <c r="L261" s="65" t="s">
        <v>64</v>
      </c>
      <c r="M261" s="113" t="n">
        <v>1.499</v>
      </c>
      <c r="N261" s="114" t="n">
        <v>15000</v>
      </c>
      <c r="O261" s="114" t="n">
        <v>2100</v>
      </c>
      <c r="P261" s="114" t="n">
        <v>22485</v>
      </c>
      <c r="Q261" s="114" t="n">
        <v>22485</v>
      </c>
      <c r="R261" s="114" t="n">
        <v>0</v>
      </c>
      <c r="S261" s="115" t="n">
        <v>1</v>
      </c>
      <c r="T261" s="65" t="n">
        <v>18</v>
      </c>
      <c r="U261" s="65" t="n">
        <v>0</v>
      </c>
      <c r="W261" s="115" t="n">
        <v>0.0501</v>
      </c>
      <c r="X261" s="112"/>
      <c r="Y261" s="65" t="str">
        <f aca="false">IF(I261="","No SIC",IFERROR(VLOOKUP(I261,Ref!$A$2:$B$65,2,FALSE()),"Unclassified"))</f>
        <v>Lumber &amp; Wood Products</v>
      </c>
      <c r="Z261" s="65" t="str">
        <f aca="false">IF(T261="","",IF(T261&lt;12,"Daily","Weekly"))</f>
        <v>Weekly</v>
      </c>
      <c r="AA261" s="65" t="n">
        <f aca="false">IF(T261="",0,IF(T261&lt;12,T261*Controls!$B$29,T261*5))</f>
        <v>90</v>
      </c>
      <c r="AB261" s="65" t="n">
        <f aca="false">IF(E261="",0,NETWORKDAYS(E261,Controls!$B$36,Ref!$K$2:$K$42))</f>
        <v>230</v>
      </c>
      <c r="AC261" s="65" t="n">
        <f aca="false">IF(AND(AA261&gt;0,AB261&gt;=Controls!$B$39*AA261),1,0)</f>
        <v>1</v>
      </c>
      <c r="AD261" s="65" t="n">
        <f aca="false">IF(AND(E261&lt;&gt;"",E261&gt;=Controls!$B$37,E261&lt;=Controls!$B$38),1,0)</f>
        <v>1</v>
      </c>
      <c r="AE261" s="65" t="n">
        <f aca="false">IF(IFERROR(VLOOKUP(D261,Controls!$A$64:$E$74,2,FALSE()),"No")="Yes",1,0)</f>
        <v>0</v>
      </c>
      <c r="AF261" s="65" t="n">
        <f aca="false">IF(IFERROR(VLOOKUP(D261,Controls!$A$64:$E$74,3,FALSE()),"No")="Yes",1,0)</f>
        <v>1</v>
      </c>
      <c r="AG261" s="65" t="n">
        <f aca="false">IF(IFERROR(VLOOKUP(D261,Controls!$A$64:$E$74,4,FALSE()),"No")="Yes",1,0)</f>
        <v>1</v>
      </c>
      <c r="AH261" s="65" t="n">
        <f aca="false">IF(IFERROR(VLOOKUP(D261,Controls!$A$64:$E$74,5,FALSE()),"No")="Yes",1,0)</f>
        <v>0</v>
      </c>
      <c r="AI261" s="65" t="n">
        <f aca="false">IF(ISNUMBER(MATCH(D261,Controls!$A$64:$A$74,0)),1,0)</f>
        <v>1</v>
      </c>
      <c r="AJ261" s="65" t="n">
        <f aca="false">Q261-N261</f>
        <v>7485</v>
      </c>
      <c r="AK261" s="65" t="n">
        <f aca="false">IF(AE261=1,MAX(0,N261-Q261),0)</f>
        <v>0</v>
      </c>
      <c r="AL261" s="65" t="n">
        <f aca="false">IF(OR(V261="",V261=0),0,N261/V261)</f>
        <v>0</v>
      </c>
      <c r="AM261" s="65" t="n">
        <f aca="false">IF(OR(V261="",V261=0),0,1)</f>
        <v>0</v>
      </c>
      <c r="AN261" s="65" t="n">
        <f aca="false">IF(OR(E261="",F261=""),0,NETWORKDAYS(E261,F261,Ref!$K$2:$K$42))</f>
        <v>82</v>
      </c>
      <c r="AO261" s="65" t="n">
        <f aca="false">IF(L261="Renewal",1,0)</f>
        <v>0</v>
      </c>
      <c r="AP261" s="65" t="n">
        <f aca="false">AC261*AD261</f>
        <v>1</v>
      </c>
      <c r="AQ261" s="65" t="n">
        <f aca="false">IF(AND(G261&lt;&gt;"",'Historical Score'!$C$6&lt;&gt;""),IF(G261='Historical Score'!$C$6,1,0),0)</f>
        <v>0</v>
      </c>
      <c r="AR261" s="65" t="n">
        <f aca="false">IF(AND(L261&lt;&gt;"",'Historical Score'!$C$5&lt;&gt;""),IF(L261='Historical Score'!$C$5,1,0),0)</f>
        <v>1</v>
      </c>
      <c r="AS261" s="65" t="n">
        <f aca="false">IF(AND(Y261&lt;&gt;"",'Historical Score'!$C$7&lt;&gt;""),IF(Y261='Historical Score'!$C$7,1,0),0)</f>
        <v>0</v>
      </c>
      <c r="AT261" s="65" t="n">
        <f aca="false">IF(AND(K261&lt;&gt;"",'Historical Score'!$C$8&lt;&gt;""),IF(K261='Historical Score'!$C$8,1,0),0)</f>
        <v>0</v>
      </c>
      <c r="AU261" s="65" t="n">
        <f aca="false">IF(AND(J261&lt;&gt;"",'Historical Score'!$C$9&lt;&gt;""),IF(J261='Historical Score'!$C$9,1,0),0)</f>
        <v>1</v>
      </c>
      <c r="AV261" s="65" t="n">
        <f aca="false">AR261*AS261*AQ261</f>
        <v>0</v>
      </c>
      <c r="AW261" s="65" t="n">
        <f aca="false">AR261*AT261*AQ261</f>
        <v>0</v>
      </c>
      <c r="AX261" s="65" t="n">
        <f aca="false">AR261*AS261</f>
        <v>0</v>
      </c>
      <c r="AY261" s="65" t="n">
        <f aca="false">AR261*AT261</f>
        <v>0</v>
      </c>
      <c r="AZ261" s="65" t="n">
        <f aca="false">AR261*AQ261</f>
        <v>0</v>
      </c>
      <c r="BA261" s="65" t="n">
        <f aca="false">AR261</f>
        <v>1</v>
      </c>
      <c r="BB261" s="65" t="n">
        <f aca="false">1</f>
        <v>1</v>
      </c>
      <c r="BC261" s="65" t="n">
        <f aca="false">IF(AV261=1,1,IF(AW261=1,2,IF(AX261=1,3,IF(AY261=1,4,IF(AZ261=1,5,IF(BA261=1,6,7))))))</f>
        <v>6</v>
      </c>
      <c r="BD261" s="65" t="n">
        <f aca="false">IF(AD261=1,CHOOSE('Historical Score'!$C$29,AV261,AW261,AX261,AY261,AZ261,BA261,BB261),0)</f>
        <v>0</v>
      </c>
      <c r="BE261" s="65" t="str">
        <f aca="false">IF(BD261=1,COUNTIF($BD$2:BD261,1),"")</f>
        <v/>
      </c>
    </row>
    <row r="262" customFormat="false" ht="15" hidden="false" customHeight="false" outlineLevel="0" collapsed="false">
      <c r="A262" s="65" t="s">
        <v>1200</v>
      </c>
      <c r="B262" s="65" t="s">
        <v>792</v>
      </c>
      <c r="C262" s="65" t="s">
        <v>793</v>
      </c>
      <c r="D262" s="65" t="s">
        <v>371</v>
      </c>
      <c r="E262" s="112" t="n">
        <v>45925</v>
      </c>
      <c r="F262" s="112" t="n">
        <v>46213</v>
      </c>
      <c r="G262" s="65" t="n">
        <v>3</v>
      </c>
      <c r="H262" s="65" t="s">
        <v>409</v>
      </c>
      <c r="I262" s="65" t="s">
        <v>342</v>
      </c>
      <c r="J262" s="65" t="s">
        <v>380</v>
      </c>
      <c r="K262" s="65" t="s">
        <v>538</v>
      </c>
      <c r="L262" s="65" t="s">
        <v>320</v>
      </c>
      <c r="M262" s="113" t="n">
        <v>1.49</v>
      </c>
      <c r="N262" s="114" t="n">
        <v>40000</v>
      </c>
      <c r="O262" s="114" t="n">
        <v>5600</v>
      </c>
      <c r="P262" s="114" t="n">
        <v>59600</v>
      </c>
      <c r="Q262" s="114" t="n">
        <v>59600</v>
      </c>
      <c r="R262" s="114" t="n">
        <v>0</v>
      </c>
      <c r="S262" s="115" t="n">
        <v>1</v>
      </c>
      <c r="T262" s="65" t="n">
        <v>3.279</v>
      </c>
      <c r="U262" s="65" t="n">
        <v>94</v>
      </c>
      <c r="V262" s="65" t="n">
        <v>92936.79</v>
      </c>
      <c r="W262" s="115" t="n">
        <v>0.1347</v>
      </c>
      <c r="X262" s="112" t="n">
        <v>44567</v>
      </c>
      <c r="Y262" s="65" t="str">
        <f aca="false">IF(I262="","No SIC",IFERROR(VLOOKUP(I262,Ref!$A$2:$B$65,2,FALSE()),"Unclassified"))</f>
        <v>Eating &amp; Drinking Places</v>
      </c>
      <c r="Z262" s="65" t="str">
        <f aca="false">IF(T262="","",IF(T262&lt;12,"Daily","Weekly"))</f>
        <v>Daily</v>
      </c>
      <c r="AA262" s="65" t="n">
        <f aca="false">IF(T262="",0,IF(T262&lt;12,T262*Controls!$B$29,T262*5))</f>
        <v>71.006745</v>
      </c>
      <c r="AB262" s="65" t="n">
        <f aca="false">IF(E262="",0,NETWORKDAYS(E262,Controls!$B$36,Ref!$K$2:$K$42))</f>
        <v>230</v>
      </c>
      <c r="AC262" s="65" t="n">
        <f aca="false">IF(AND(AA262&gt;0,AB262&gt;=Controls!$B$39*AA262),1,0)</f>
        <v>1</v>
      </c>
      <c r="AD262" s="65" t="n">
        <f aca="false">IF(AND(E262&lt;&gt;"",E262&gt;=Controls!$B$37,E262&lt;=Controls!$B$38),1,0)</f>
        <v>1</v>
      </c>
      <c r="AE262" s="65" t="n">
        <f aca="false">IF(IFERROR(VLOOKUP(D262,Controls!$A$64:$E$74,2,FALSE()),"No")="Yes",1,0)</f>
        <v>0</v>
      </c>
      <c r="AF262" s="65" t="n">
        <f aca="false">IF(IFERROR(VLOOKUP(D262,Controls!$A$64:$E$74,3,FALSE()),"No")="Yes",1,0)</f>
        <v>1</v>
      </c>
      <c r="AG262" s="65" t="n">
        <f aca="false">IF(IFERROR(VLOOKUP(D262,Controls!$A$64:$E$74,4,FALSE()),"No")="Yes",1,0)</f>
        <v>1</v>
      </c>
      <c r="AH262" s="65" t="n">
        <f aca="false">IF(IFERROR(VLOOKUP(D262,Controls!$A$64:$E$74,5,FALSE()),"No")="Yes",1,0)</f>
        <v>0</v>
      </c>
      <c r="AI262" s="65" t="n">
        <f aca="false">IF(ISNUMBER(MATCH(D262,Controls!$A$64:$A$74,0)),1,0)</f>
        <v>1</v>
      </c>
      <c r="AJ262" s="65" t="n">
        <f aca="false">Q262-N262</f>
        <v>19600</v>
      </c>
      <c r="AK262" s="65" t="n">
        <f aca="false">IF(AE262=1,MAX(0,N262-Q262),0)</f>
        <v>0</v>
      </c>
      <c r="AL262" s="65" t="n">
        <f aca="false">IF(OR(V262="",V262=0),0,N262/V262)</f>
        <v>0.430400060083848</v>
      </c>
      <c r="AM262" s="65" t="n">
        <f aca="false">IF(OR(V262="",V262=0),0,1)</f>
        <v>1</v>
      </c>
      <c r="AN262" s="65" t="n">
        <f aca="false">IF(OR(E262="",F262=""),0,NETWORKDAYS(E262,F262,Ref!$K$2:$K$42))</f>
        <v>198</v>
      </c>
      <c r="AO262" s="65" t="n">
        <f aca="false">IF(L262="Renewal",1,0)</f>
        <v>1</v>
      </c>
      <c r="AP262" s="65" t="n">
        <f aca="false">AC262*AD262</f>
        <v>1</v>
      </c>
      <c r="AQ262" s="65" t="n">
        <f aca="false">IF(AND(G262&lt;&gt;"",'Historical Score'!$C$6&lt;&gt;""),IF(G262='Historical Score'!$C$6,1,0),0)</f>
        <v>0</v>
      </c>
      <c r="AR262" s="65" t="n">
        <f aca="false">IF(AND(L262&lt;&gt;"",'Historical Score'!$C$5&lt;&gt;""),IF(L262='Historical Score'!$C$5,1,0),0)</f>
        <v>0</v>
      </c>
      <c r="AS262" s="65" t="n">
        <f aca="false">IF(AND(Y262&lt;&gt;"",'Historical Score'!$C$7&lt;&gt;""),IF(Y262='Historical Score'!$C$7,1,0),0)</f>
        <v>0</v>
      </c>
      <c r="AT262" s="65" t="n">
        <f aca="false">IF(AND(K262&lt;&gt;"",'Historical Score'!$C$8&lt;&gt;""),IF(K262='Historical Score'!$C$8,1,0),0)</f>
        <v>0</v>
      </c>
      <c r="AU262" s="65" t="n">
        <f aca="false">IF(AND(J262&lt;&gt;"",'Historical Score'!$C$9&lt;&gt;""),IF(J262='Historical Score'!$C$9,1,0),0)</f>
        <v>0</v>
      </c>
      <c r="AV262" s="65" t="n">
        <f aca="false">AR262*AS262*AQ262</f>
        <v>0</v>
      </c>
      <c r="AW262" s="65" t="n">
        <f aca="false">AR262*AT262*AQ262</f>
        <v>0</v>
      </c>
      <c r="AX262" s="65" t="n">
        <f aca="false">AR262*AS262</f>
        <v>0</v>
      </c>
      <c r="AY262" s="65" t="n">
        <f aca="false">AR262*AT262</f>
        <v>0</v>
      </c>
      <c r="AZ262" s="65" t="n">
        <f aca="false">AR262*AQ262</f>
        <v>0</v>
      </c>
      <c r="BA262" s="65" t="n">
        <f aca="false">AR262</f>
        <v>0</v>
      </c>
      <c r="BB262" s="65" t="n">
        <f aca="false">1</f>
        <v>1</v>
      </c>
      <c r="BC262" s="65" t="n">
        <f aca="false">IF(AV262=1,1,IF(AW262=1,2,IF(AX262=1,3,IF(AY262=1,4,IF(AZ262=1,5,IF(BA262=1,6,7))))))</f>
        <v>7</v>
      </c>
      <c r="BD262" s="65" t="n">
        <f aca="false">IF(AD262=1,CHOOSE('Historical Score'!$C$29,AV262,AW262,AX262,AY262,AZ262,BA262,BB262),0)</f>
        <v>0</v>
      </c>
      <c r="BE262" s="65" t="str">
        <f aca="false">IF(BD262=1,COUNTIF($BD$2:BD262,1),"")</f>
        <v/>
      </c>
    </row>
    <row r="263" customFormat="false" ht="15" hidden="false" customHeight="false" outlineLevel="0" collapsed="false">
      <c r="A263" s="65" t="s">
        <v>1201</v>
      </c>
      <c r="B263" s="65" t="s">
        <v>1202</v>
      </c>
      <c r="C263" s="65" t="s">
        <v>1202</v>
      </c>
      <c r="D263" s="65" t="s">
        <v>371</v>
      </c>
      <c r="E263" s="112" t="n">
        <v>45926</v>
      </c>
      <c r="F263" s="112" t="n">
        <v>46014</v>
      </c>
      <c r="G263" s="65" t="n">
        <v>1</v>
      </c>
      <c r="H263" s="65" t="s">
        <v>436</v>
      </c>
      <c r="I263" s="65" t="s">
        <v>437</v>
      </c>
      <c r="J263" s="65" t="s">
        <v>1203</v>
      </c>
      <c r="K263" s="65" t="s">
        <v>1204</v>
      </c>
      <c r="L263" s="65" t="s">
        <v>64</v>
      </c>
      <c r="M263" s="113" t="n">
        <v>1.39</v>
      </c>
      <c r="N263" s="114" t="n">
        <v>25000</v>
      </c>
      <c r="O263" s="114" t="n">
        <v>2250</v>
      </c>
      <c r="P263" s="114" t="n">
        <v>34750</v>
      </c>
      <c r="Q263" s="114" t="n">
        <v>34750</v>
      </c>
      <c r="R263" s="114" t="n">
        <v>0</v>
      </c>
      <c r="S263" s="115" t="n">
        <v>1</v>
      </c>
      <c r="T263" s="65" t="n">
        <v>22</v>
      </c>
      <c r="U263" s="65" t="n">
        <v>0</v>
      </c>
      <c r="V263" s="65" t="n">
        <v>89837.3</v>
      </c>
      <c r="W263" s="115" t="n">
        <v>0.0703</v>
      </c>
      <c r="X263" s="112"/>
      <c r="Y263" s="65" t="str">
        <f aca="false">IF(I263="","No SIC",IFERROR(VLOOKUP(I263,Ref!$A$2:$B$65,2,FALSE()),"Unclassified"))</f>
        <v>Social Services</v>
      </c>
      <c r="Z263" s="65" t="str">
        <f aca="false">IF(T263="","",IF(T263&lt;12,"Daily","Weekly"))</f>
        <v>Weekly</v>
      </c>
      <c r="AA263" s="65" t="n">
        <f aca="false">IF(T263="",0,IF(T263&lt;12,T263*Controls!$B$29,T263*5))</f>
        <v>110</v>
      </c>
      <c r="AB263" s="65" t="n">
        <f aca="false">IF(E263="",0,NETWORKDAYS(E263,Controls!$B$36,Ref!$K$2:$K$42))</f>
        <v>229</v>
      </c>
      <c r="AC263" s="65" t="n">
        <f aca="false">IF(AND(AA263&gt;0,AB263&gt;=Controls!$B$39*AA263),1,0)</f>
        <v>1</v>
      </c>
      <c r="AD263" s="65" t="n">
        <f aca="false">IF(AND(E263&lt;&gt;"",E263&gt;=Controls!$B$37,E263&lt;=Controls!$B$38),1,0)</f>
        <v>1</v>
      </c>
      <c r="AE263" s="65" t="n">
        <f aca="false">IF(IFERROR(VLOOKUP(D263,Controls!$A$64:$E$74,2,FALSE()),"No")="Yes",1,0)</f>
        <v>0</v>
      </c>
      <c r="AF263" s="65" t="n">
        <f aca="false">IF(IFERROR(VLOOKUP(D263,Controls!$A$64:$E$74,3,FALSE()),"No")="Yes",1,0)</f>
        <v>1</v>
      </c>
      <c r="AG263" s="65" t="n">
        <f aca="false">IF(IFERROR(VLOOKUP(D263,Controls!$A$64:$E$74,4,FALSE()),"No")="Yes",1,0)</f>
        <v>1</v>
      </c>
      <c r="AH263" s="65" t="n">
        <f aca="false">IF(IFERROR(VLOOKUP(D263,Controls!$A$64:$E$74,5,FALSE()),"No")="Yes",1,0)</f>
        <v>0</v>
      </c>
      <c r="AI263" s="65" t="n">
        <f aca="false">IF(ISNUMBER(MATCH(D263,Controls!$A$64:$A$74,0)),1,0)</f>
        <v>1</v>
      </c>
      <c r="AJ263" s="65" t="n">
        <f aca="false">Q263-N263</f>
        <v>9750</v>
      </c>
      <c r="AK263" s="65" t="n">
        <f aca="false">IF(AE263=1,MAX(0,N263-Q263),0)</f>
        <v>0</v>
      </c>
      <c r="AL263" s="65" t="n">
        <f aca="false">IF(OR(V263="",V263=0),0,N263/V263)</f>
        <v>0.27828084771025</v>
      </c>
      <c r="AM263" s="65" t="n">
        <f aca="false">IF(OR(V263="",V263=0),0,1)</f>
        <v>1</v>
      </c>
      <c r="AN263" s="65" t="n">
        <f aca="false">IF(OR(E263="",F263=""),0,NETWORKDAYS(E263,F263,Ref!$K$2:$K$42))</f>
        <v>60</v>
      </c>
      <c r="AO263" s="65" t="n">
        <f aca="false">IF(L263="Renewal",1,0)</f>
        <v>0</v>
      </c>
      <c r="AP263" s="65" t="n">
        <f aca="false">AC263*AD263</f>
        <v>1</v>
      </c>
      <c r="AQ263" s="65" t="n">
        <f aca="false">IF(AND(G263&lt;&gt;"",'Historical Score'!$C$6&lt;&gt;""),IF(G263='Historical Score'!$C$6,1,0),0)</f>
        <v>0</v>
      </c>
      <c r="AR263" s="65" t="n">
        <f aca="false">IF(AND(L263&lt;&gt;"",'Historical Score'!$C$5&lt;&gt;""),IF(L263='Historical Score'!$C$5,1,0),0)</f>
        <v>1</v>
      </c>
      <c r="AS263" s="65" t="n">
        <f aca="false">IF(AND(Y263&lt;&gt;"",'Historical Score'!$C$7&lt;&gt;""),IF(Y263='Historical Score'!$C$7,1,0),0)</f>
        <v>0</v>
      </c>
      <c r="AT263" s="65" t="n">
        <f aca="false">IF(AND(K263&lt;&gt;"",'Historical Score'!$C$8&lt;&gt;""),IF(K263='Historical Score'!$C$8,1,0),0)</f>
        <v>0</v>
      </c>
      <c r="AU263" s="65" t="n">
        <f aca="false">IF(AND(J263&lt;&gt;"",'Historical Score'!$C$9&lt;&gt;""),IF(J263='Historical Score'!$C$9,1,0),0)</f>
        <v>0</v>
      </c>
      <c r="AV263" s="65" t="n">
        <f aca="false">AR263*AS263*AQ263</f>
        <v>0</v>
      </c>
      <c r="AW263" s="65" t="n">
        <f aca="false">AR263*AT263*AQ263</f>
        <v>0</v>
      </c>
      <c r="AX263" s="65" t="n">
        <f aca="false">AR263*AS263</f>
        <v>0</v>
      </c>
      <c r="AY263" s="65" t="n">
        <f aca="false">AR263*AT263</f>
        <v>0</v>
      </c>
      <c r="AZ263" s="65" t="n">
        <f aca="false">AR263*AQ263</f>
        <v>0</v>
      </c>
      <c r="BA263" s="65" t="n">
        <f aca="false">AR263</f>
        <v>1</v>
      </c>
      <c r="BB263" s="65" t="n">
        <f aca="false">1</f>
        <v>1</v>
      </c>
      <c r="BC263" s="65" t="n">
        <f aca="false">IF(AV263=1,1,IF(AW263=1,2,IF(AX263=1,3,IF(AY263=1,4,IF(AZ263=1,5,IF(BA263=1,6,7))))))</f>
        <v>6</v>
      </c>
      <c r="BD263" s="65" t="n">
        <f aca="false">IF(AD263=1,CHOOSE('Historical Score'!$C$29,AV263,AW263,AX263,AY263,AZ263,BA263,BB263),0)</f>
        <v>0</v>
      </c>
      <c r="BE263" s="65" t="str">
        <f aca="false">IF(BD263=1,COUNTIF($BD$2:BD263,1),"")</f>
        <v/>
      </c>
    </row>
    <row r="264" customFormat="false" ht="15" hidden="false" customHeight="false" outlineLevel="0" collapsed="false">
      <c r="A264" s="65" t="s">
        <v>1205</v>
      </c>
      <c r="B264" s="65" t="s">
        <v>1206</v>
      </c>
      <c r="C264" s="65" t="s">
        <v>1206</v>
      </c>
      <c r="D264" s="65" t="s">
        <v>340</v>
      </c>
      <c r="E264" s="112" t="n">
        <v>45926</v>
      </c>
      <c r="F264" s="112" t="n">
        <v>46006</v>
      </c>
      <c r="G264" s="65" t="n">
        <v>2</v>
      </c>
      <c r="H264" s="65" t="s">
        <v>442</v>
      </c>
      <c r="I264" s="65" t="s">
        <v>443</v>
      </c>
      <c r="J264" s="65" t="s">
        <v>638</v>
      </c>
      <c r="K264" s="65" t="s">
        <v>55</v>
      </c>
      <c r="L264" s="65" t="s">
        <v>64</v>
      </c>
      <c r="M264" s="113" t="n">
        <v>1.499</v>
      </c>
      <c r="N264" s="114" t="n">
        <v>7000</v>
      </c>
      <c r="O264" s="114" t="n">
        <v>980</v>
      </c>
      <c r="P264" s="114" t="n">
        <v>10493</v>
      </c>
      <c r="Q264" s="114" t="n">
        <v>3913.5</v>
      </c>
      <c r="R264" s="114" t="n">
        <v>6579.5</v>
      </c>
      <c r="S264" s="115" t="n">
        <v>0.372962927666063</v>
      </c>
      <c r="T264" s="65" t="n">
        <v>2.623</v>
      </c>
      <c r="U264" s="65" t="n">
        <v>14</v>
      </c>
      <c r="V264" s="65" t="n">
        <v>31854.13</v>
      </c>
      <c r="W264" s="115" t="n">
        <v>0.086</v>
      </c>
      <c r="X264" s="112" t="n">
        <v>44197</v>
      </c>
      <c r="Y264" s="65" t="str">
        <f aca="false">IF(I264="","No SIC",IFERROR(VLOOKUP(I264,Ref!$A$2:$B$65,2,FALSE()),"Unclassified"))</f>
        <v>General Building Contractors</v>
      </c>
      <c r="Z264" s="65" t="str">
        <f aca="false">IF(T264="","",IF(T264&lt;12,"Daily","Weekly"))</f>
        <v>Daily</v>
      </c>
      <c r="AA264" s="65" t="n">
        <f aca="false">IF(T264="",0,IF(T264&lt;12,T264*Controls!$B$29,T264*5))</f>
        <v>56.801065</v>
      </c>
      <c r="AB264" s="65" t="n">
        <f aca="false">IF(E264="",0,NETWORKDAYS(E264,Controls!$B$36,Ref!$K$2:$K$42))</f>
        <v>229</v>
      </c>
      <c r="AC264" s="65" t="n">
        <f aca="false">IF(AND(AA264&gt;0,AB264&gt;=Controls!$B$39*AA264),1,0)</f>
        <v>1</v>
      </c>
      <c r="AD264" s="65" t="n">
        <f aca="false">IF(AND(E264&lt;&gt;"",E264&gt;=Controls!$B$37,E264&lt;=Controls!$B$38),1,0)</f>
        <v>1</v>
      </c>
      <c r="AE264" s="65" t="n">
        <f aca="false">IF(IFERROR(VLOOKUP(D264,Controls!$A$64:$E$74,2,FALSE()),"No")="Yes",1,0)</f>
        <v>1</v>
      </c>
      <c r="AF264" s="65" t="n">
        <f aca="false">IF(IFERROR(VLOOKUP(D264,Controls!$A$64:$E$74,3,FALSE()),"No")="Yes",1,0)</f>
        <v>0</v>
      </c>
      <c r="AG264" s="65" t="n">
        <f aca="false">IF(IFERROR(VLOOKUP(D264,Controls!$A$64:$E$74,4,FALSE()),"No")="Yes",1,0)</f>
        <v>0</v>
      </c>
      <c r="AH264" s="65" t="n">
        <f aca="false">IF(IFERROR(VLOOKUP(D264,Controls!$A$64:$E$74,5,FALSE()),"No")="Yes",1,0)</f>
        <v>0</v>
      </c>
      <c r="AI264" s="65" t="n">
        <f aca="false">IF(ISNUMBER(MATCH(D264,Controls!$A$64:$A$74,0)),1,0)</f>
        <v>1</v>
      </c>
      <c r="AJ264" s="65" t="n">
        <f aca="false">Q264-N264</f>
        <v>-3086.5</v>
      </c>
      <c r="AK264" s="65" t="n">
        <f aca="false">IF(AE264=1,MAX(0,N264-Q264),0)</f>
        <v>3086.5</v>
      </c>
      <c r="AL264" s="65" t="n">
        <f aca="false">IF(OR(V264="",V264=0),0,N264/V264)</f>
        <v>0.219751724501658</v>
      </c>
      <c r="AM264" s="65" t="n">
        <f aca="false">IF(OR(V264="",V264=0),0,1)</f>
        <v>1</v>
      </c>
      <c r="AN264" s="65" t="n">
        <f aca="false">IF(OR(E264="",F264=""),0,NETWORKDAYS(E264,F264,Ref!$K$2:$K$42))</f>
        <v>54</v>
      </c>
      <c r="AO264" s="65" t="n">
        <f aca="false">IF(L264="Renewal",1,0)</f>
        <v>0</v>
      </c>
      <c r="AP264" s="65" t="n">
        <f aca="false">AC264*AD264</f>
        <v>1</v>
      </c>
      <c r="AQ264" s="65" t="n">
        <f aca="false">IF(AND(G264&lt;&gt;"",'Historical Score'!$C$6&lt;&gt;""),IF(G264='Historical Score'!$C$6,1,0),0)</f>
        <v>1</v>
      </c>
      <c r="AR264" s="65" t="n">
        <f aca="false">IF(AND(L264&lt;&gt;"",'Historical Score'!$C$5&lt;&gt;""),IF(L264='Historical Score'!$C$5,1,0),0)</f>
        <v>1</v>
      </c>
      <c r="AS264" s="65" t="n">
        <f aca="false">IF(AND(Y264&lt;&gt;"",'Historical Score'!$C$7&lt;&gt;""),IF(Y264='Historical Score'!$C$7,1,0),0)</f>
        <v>1</v>
      </c>
      <c r="AT264" s="65" t="n">
        <f aca="false">IF(AND(K264&lt;&gt;"",'Historical Score'!$C$8&lt;&gt;""),IF(K264='Historical Score'!$C$8,1,0),0)</f>
        <v>1</v>
      </c>
      <c r="AU264" s="65" t="n">
        <f aca="false">IF(AND(J264&lt;&gt;"",'Historical Score'!$C$9&lt;&gt;""),IF(J264='Historical Score'!$C$9,1,0),0)</f>
        <v>0</v>
      </c>
      <c r="AV264" s="65" t="n">
        <f aca="false">AR264*AS264*AQ264</f>
        <v>1</v>
      </c>
      <c r="AW264" s="65" t="n">
        <f aca="false">AR264*AT264*AQ264</f>
        <v>1</v>
      </c>
      <c r="AX264" s="65" t="n">
        <f aca="false">AR264*AS264</f>
        <v>1</v>
      </c>
      <c r="AY264" s="65" t="n">
        <f aca="false">AR264*AT264</f>
        <v>1</v>
      </c>
      <c r="AZ264" s="65" t="n">
        <f aca="false">AR264*AQ264</f>
        <v>1</v>
      </c>
      <c r="BA264" s="65" t="n">
        <f aca="false">AR264</f>
        <v>1</v>
      </c>
      <c r="BB264" s="65" t="n">
        <f aca="false">1</f>
        <v>1</v>
      </c>
      <c r="BC264" s="65" t="n">
        <f aca="false">IF(AV264=1,1,IF(AW264=1,2,IF(AX264=1,3,IF(AY264=1,4,IF(AZ264=1,5,IF(BA264=1,6,7))))))</f>
        <v>1</v>
      </c>
      <c r="BD264" s="65" t="n">
        <f aca="false">IF(AD264=1,CHOOSE('Historical Score'!$C$29,AV264,AW264,AX264,AY264,AZ264,BA264,BB264),0)</f>
        <v>1</v>
      </c>
      <c r="BE264" s="65" t="n">
        <f aca="false">IF(BD264=1,COUNTIF($BD$2:BD264,1),"")</f>
        <v>11</v>
      </c>
    </row>
    <row r="265" customFormat="false" ht="15" hidden="false" customHeight="false" outlineLevel="0" collapsed="false">
      <c r="A265" s="65" t="s">
        <v>1207</v>
      </c>
      <c r="B265" s="65" t="s">
        <v>1208</v>
      </c>
      <c r="C265" s="65" t="s">
        <v>1208</v>
      </c>
      <c r="D265" s="65" t="s">
        <v>371</v>
      </c>
      <c r="E265" s="112" t="n">
        <v>45926</v>
      </c>
      <c r="F265" s="112" t="n">
        <v>45987</v>
      </c>
      <c r="G265" s="65" t="n">
        <v>2</v>
      </c>
      <c r="H265" s="65" t="s">
        <v>596</v>
      </c>
      <c r="I265" s="65" t="s">
        <v>597</v>
      </c>
      <c r="J265" s="65" t="s">
        <v>682</v>
      </c>
      <c r="K265" s="65" t="s">
        <v>581</v>
      </c>
      <c r="L265" s="65" t="s">
        <v>64</v>
      </c>
      <c r="M265" s="113" t="n">
        <v>1.499</v>
      </c>
      <c r="N265" s="114" t="n">
        <v>15000</v>
      </c>
      <c r="O265" s="114" t="n">
        <v>2100</v>
      </c>
      <c r="P265" s="114" t="n">
        <v>22485</v>
      </c>
      <c r="Q265" s="114" t="n">
        <v>22485</v>
      </c>
      <c r="R265" s="114" t="n">
        <v>0</v>
      </c>
      <c r="S265" s="115" t="n">
        <v>1</v>
      </c>
      <c r="T265" s="65" t="n">
        <v>2.623</v>
      </c>
      <c r="U265" s="65" t="n">
        <v>5</v>
      </c>
      <c r="V265" s="65" t="n">
        <v>47795.52</v>
      </c>
      <c r="W265" s="115" t="n">
        <v>0.1221</v>
      </c>
      <c r="X265" s="112" t="n">
        <v>43574</v>
      </c>
      <c r="Y265" s="65" t="str">
        <f aca="false">IF(I265="","No SIC",IFERROR(VLOOKUP(I265,Ref!$A$2:$B$65,2,FALSE()),"Unclassified"))</f>
        <v>Insurance Agents &amp; Brokers</v>
      </c>
      <c r="Z265" s="65" t="str">
        <f aca="false">IF(T265="","",IF(T265&lt;12,"Daily","Weekly"))</f>
        <v>Daily</v>
      </c>
      <c r="AA265" s="65" t="n">
        <f aca="false">IF(T265="",0,IF(T265&lt;12,T265*Controls!$B$29,T265*5))</f>
        <v>56.801065</v>
      </c>
      <c r="AB265" s="65" t="n">
        <f aca="false">IF(E265="",0,NETWORKDAYS(E265,Controls!$B$36,Ref!$K$2:$K$42))</f>
        <v>229</v>
      </c>
      <c r="AC265" s="65" t="n">
        <f aca="false">IF(AND(AA265&gt;0,AB265&gt;=Controls!$B$39*AA265),1,0)</f>
        <v>1</v>
      </c>
      <c r="AD265" s="65" t="n">
        <f aca="false">IF(AND(E265&lt;&gt;"",E265&gt;=Controls!$B$37,E265&lt;=Controls!$B$38),1,0)</f>
        <v>1</v>
      </c>
      <c r="AE265" s="65" t="n">
        <f aca="false">IF(IFERROR(VLOOKUP(D265,Controls!$A$64:$E$74,2,FALSE()),"No")="Yes",1,0)</f>
        <v>0</v>
      </c>
      <c r="AF265" s="65" t="n">
        <f aca="false">IF(IFERROR(VLOOKUP(D265,Controls!$A$64:$E$74,3,FALSE()),"No")="Yes",1,0)</f>
        <v>1</v>
      </c>
      <c r="AG265" s="65" t="n">
        <f aca="false">IF(IFERROR(VLOOKUP(D265,Controls!$A$64:$E$74,4,FALSE()),"No")="Yes",1,0)</f>
        <v>1</v>
      </c>
      <c r="AH265" s="65" t="n">
        <f aca="false">IF(IFERROR(VLOOKUP(D265,Controls!$A$64:$E$74,5,FALSE()),"No")="Yes",1,0)</f>
        <v>0</v>
      </c>
      <c r="AI265" s="65" t="n">
        <f aca="false">IF(ISNUMBER(MATCH(D265,Controls!$A$64:$A$74,0)),1,0)</f>
        <v>1</v>
      </c>
      <c r="AJ265" s="65" t="n">
        <f aca="false">Q265-N265</f>
        <v>7485</v>
      </c>
      <c r="AK265" s="65" t="n">
        <f aca="false">IF(AE265=1,MAX(0,N265-Q265),0)</f>
        <v>0</v>
      </c>
      <c r="AL265" s="65" t="n">
        <f aca="false">IF(OR(V265="",V265=0),0,N265/V265)</f>
        <v>0.31383694538735</v>
      </c>
      <c r="AM265" s="65" t="n">
        <f aca="false">IF(OR(V265="",V265=0),0,1)</f>
        <v>1</v>
      </c>
      <c r="AN265" s="65" t="n">
        <f aca="false">IF(OR(E265="",F265=""),0,NETWORKDAYS(E265,F265,Ref!$K$2:$K$42))</f>
        <v>42</v>
      </c>
      <c r="AO265" s="65" t="n">
        <f aca="false">IF(L265="Renewal",1,0)</f>
        <v>0</v>
      </c>
      <c r="AP265" s="65" t="n">
        <f aca="false">AC265*AD265</f>
        <v>1</v>
      </c>
      <c r="AQ265" s="65" t="n">
        <f aca="false">IF(AND(G265&lt;&gt;"",'Historical Score'!$C$6&lt;&gt;""),IF(G265='Historical Score'!$C$6,1,0),0)</f>
        <v>1</v>
      </c>
      <c r="AR265" s="65" t="n">
        <f aca="false">IF(AND(L265&lt;&gt;"",'Historical Score'!$C$5&lt;&gt;""),IF(L265='Historical Score'!$C$5,1,0),0)</f>
        <v>1</v>
      </c>
      <c r="AS265" s="65" t="n">
        <f aca="false">IF(AND(Y265&lt;&gt;"",'Historical Score'!$C$7&lt;&gt;""),IF(Y265='Historical Score'!$C$7,1,0),0)</f>
        <v>0</v>
      </c>
      <c r="AT265" s="65" t="n">
        <f aca="false">IF(AND(K265&lt;&gt;"",'Historical Score'!$C$8&lt;&gt;""),IF(K265='Historical Score'!$C$8,1,0),0)</f>
        <v>0</v>
      </c>
      <c r="AU265" s="65" t="n">
        <f aca="false">IF(AND(J265&lt;&gt;"",'Historical Score'!$C$9&lt;&gt;""),IF(J265='Historical Score'!$C$9,1,0),0)</f>
        <v>0</v>
      </c>
      <c r="AV265" s="65" t="n">
        <f aca="false">AR265*AS265*AQ265</f>
        <v>0</v>
      </c>
      <c r="AW265" s="65" t="n">
        <f aca="false">AR265*AT265*AQ265</f>
        <v>0</v>
      </c>
      <c r="AX265" s="65" t="n">
        <f aca="false">AR265*AS265</f>
        <v>0</v>
      </c>
      <c r="AY265" s="65" t="n">
        <f aca="false">AR265*AT265</f>
        <v>0</v>
      </c>
      <c r="AZ265" s="65" t="n">
        <f aca="false">AR265*AQ265</f>
        <v>1</v>
      </c>
      <c r="BA265" s="65" t="n">
        <f aca="false">AR265</f>
        <v>1</v>
      </c>
      <c r="BB265" s="65" t="n">
        <f aca="false">1</f>
        <v>1</v>
      </c>
      <c r="BC265" s="65" t="n">
        <f aca="false">IF(AV265=1,1,IF(AW265=1,2,IF(AX265=1,3,IF(AY265=1,4,IF(AZ265=1,5,IF(BA265=1,6,7))))))</f>
        <v>5</v>
      </c>
      <c r="BD265" s="65" t="n">
        <f aca="false">IF(AD265=1,CHOOSE('Historical Score'!$C$29,AV265,AW265,AX265,AY265,AZ265,BA265,BB265),0)</f>
        <v>0</v>
      </c>
      <c r="BE265" s="65" t="str">
        <f aca="false">IF(BD265=1,COUNTIF($BD$2:BD265,1),"")</f>
        <v/>
      </c>
    </row>
    <row r="266" customFormat="false" ht="15" hidden="false" customHeight="false" outlineLevel="0" collapsed="false">
      <c r="A266" s="65" t="s">
        <v>1209</v>
      </c>
      <c r="B266" s="65" t="s">
        <v>1210</v>
      </c>
      <c r="C266" s="65" t="s">
        <v>1211</v>
      </c>
      <c r="D266" s="65" t="s">
        <v>371</v>
      </c>
      <c r="E266" s="112" t="n">
        <v>45929</v>
      </c>
      <c r="F266" s="112" t="n">
        <v>46118</v>
      </c>
      <c r="G266" s="65" t="n">
        <v>4</v>
      </c>
      <c r="H266" s="65" t="s">
        <v>494</v>
      </c>
      <c r="I266" s="65" t="s">
        <v>484</v>
      </c>
      <c r="J266" s="65" t="s">
        <v>61</v>
      </c>
      <c r="K266" s="65" t="s">
        <v>1047</v>
      </c>
      <c r="L266" s="65" t="s">
        <v>64</v>
      </c>
      <c r="M266" s="113" t="n">
        <v>1.49</v>
      </c>
      <c r="N266" s="114" t="n">
        <v>15000</v>
      </c>
      <c r="O266" s="114" t="n">
        <v>2100</v>
      </c>
      <c r="P266" s="114" t="n">
        <v>22350</v>
      </c>
      <c r="Q266" s="114" t="n">
        <v>22350</v>
      </c>
      <c r="R266" s="114" t="n">
        <v>0</v>
      </c>
      <c r="S266" s="115" t="n">
        <v>1</v>
      </c>
      <c r="T266" s="65" t="n">
        <v>3.934</v>
      </c>
      <c r="U266" s="65" t="n">
        <v>10</v>
      </c>
      <c r="V266" s="65" t="n">
        <v>72200.84</v>
      </c>
      <c r="W266" s="115" t="n">
        <v>0.0542</v>
      </c>
      <c r="X266" s="112" t="n">
        <v>44562</v>
      </c>
      <c r="Y266" s="65" t="str">
        <f aca="false">IF(I266="","No SIC",IFERROR(VLOOKUP(I266,Ref!$A$2:$B$65,2,FALSE()),"Unclassified"))</f>
        <v>Special Trade Contractors</v>
      </c>
      <c r="Z266" s="65" t="str">
        <f aca="false">IF(T266="","",IF(T266&lt;12,"Daily","Weekly"))</f>
        <v>Daily</v>
      </c>
      <c r="AA266" s="65" t="n">
        <f aca="false">IF(T266="",0,IF(T266&lt;12,T266*Controls!$B$29,T266*5))</f>
        <v>85.19077</v>
      </c>
      <c r="AB266" s="65" t="n">
        <f aca="false">IF(E266="",0,NETWORKDAYS(E266,Controls!$B$36,Ref!$K$2:$K$42))</f>
        <v>228</v>
      </c>
      <c r="AC266" s="65" t="n">
        <f aca="false">IF(AND(AA266&gt;0,AB266&gt;=Controls!$B$39*AA266),1,0)</f>
        <v>1</v>
      </c>
      <c r="AD266" s="65" t="n">
        <f aca="false">IF(AND(E266&lt;&gt;"",E266&gt;=Controls!$B$37,E266&lt;=Controls!$B$38),1,0)</f>
        <v>1</v>
      </c>
      <c r="AE266" s="65" t="n">
        <f aca="false">IF(IFERROR(VLOOKUP(D266,Controls!$A$64:$E$74,2,FALSE()),"No")="Yes",1,0)</f>
        <v>0</v>
      </c>
      <c r="AF266" s="65" t="n">
        <f aca="false">IF(IFERROR(VLOOKUP(D266,Controls!$A$64:$E$74,3,FALSE()),"No")="Yes",1,0)</f>
        <v>1</v>
      </c>
      <c r="AG266" s="65" t="n">
        <f aca="false">IF(IFERROR(VLOOKUP(D266,Controls!$A$64:$E$74,4,FALSE()),"No")="Yes",1,0)</f>
        <v>1</v>
      </c>
      <c r="AH266" s="65" t="n">
        <f aca="false">IF(IFERROR(VLOOKUP(D266,Controls!$A$64:$E$74,5,FALSE()),"No")="Yes",1,0)</f>
        <v>0</v>
      </c>
      <c r="AI266" s="65" t="n">
        <f aca="false">IF(ISNUMBER(MATCH(D266,Controls!$A$64:$A$74,0)),1,0)</f>
        <v>1</v>
      </c>
      <c r="AJ266" s="65" t="n">
        <f aca="false">Q266-N266</f>
        <v>7350</v>
      </c>
      <c r="AK266" s="65" t="n">
        <f aca="false">IF(AE266=1,MAX(0,N266-Q266),0)</f>
        <v>0</v>
      </c>
      <c r="AL266" s="65" t="n">
        <f aca="false">IF(OR(V266="",V266=0),0,N266/V266)</f>
        <v>0.207753815606577</v>
      </c>
      <c r="AM266" s="65" t="n">
        <f aca="false">IF(OR(V266="",V266=0),0,1)</f>
        <v>1</v>
      </c>
      <c r="AN266" s="65" t="n">
        <f aca="false">IF(OR(E266="",F266=""),0,NETWORKDAYS(E266,F266,Ref!$K$2:$K$42))</f>
        <v>129</v>
      </c>
      <c r="AO266" s="65" t="n">
        <f aca="false">IF(L266="Renewal",1,0)</f>
        <v>0</v>
      </c>
      <c r="AP266" s="65" t="n">
        <f aca="false">AC266*AD266</f>
        <v>1</v>
      </c>
      <c r="AQ266" s="65" t="n">
        <f aca="false">IF(AND(G266&lt;&gt;"",'Historical Score'!$C$6&lt;&gt;""),IF(G266='Historical Score'!$C$6,1,0),0)</f>
        <v>0</v>
      </c>
      <c r="AR266" s="65" t="n">
        <f aca="false">IF(AND(L266&lt;&gt;"",'Historical Score'!$C$5&lt;&gt;""),IF(L266='Historical Score'!$C$5,1,0),0)</f>
        <v>1</v>
      </c>
      <c r="AS266" s="65" t="n">
        <f aca="false">IF(AND(Y266&lt;&gt;"",'Historical Score'!$C$7&lt;&gt;""),IF(Y266='Historical Score'!$C$7,1,0),0)</f>
        <v>0</v>
      </c>
      <c r="AT266" s="65" t="n">
        <f aca="false">IF(AND(K266&lt;&gt;"",'Historical Score'!$C$8&lt;&gt;""),IF(K266='Historical Score'!$C$8,1,0),0)</f>
        <v>0</v>
      </c>
      <c r="AU266" s="65" t="n">
        <f aca="false">IF(AND(J266&lt;&gt;"",'Historical Score'!$C$9&lt;&gt;""),IF(J266='Historical Score'!$C$9,1,0),0)</f>
        <v>1</v>
      </c>
      <c r="AV266" s="65" t="n">
        <f aca="false">AR266*AS266*AQ266</f>
        <v>0</v>
      </c>
      <c r="AW266" s="65" t="n">
        <f aca="false">AR266*AT266*AQ266</f>
        <v>0</v>
      </c>
      <c r="AX266" s="65" t="n">
        <f aca="false">AR266*AS266</f>
        <v>0</v>
      </c>
      <c r="AY266" s="65" t="n">
        <f aca="false">AR266*AT266</f>
        <v>0</v>
      </c>
      <c r="AZ266" s="65" t="n">
        <f aca="false">AR266*AQ266</f>
        <v>0</v>
      </c>
      <c r="BA266" s="65" t="n">
        <f aca="false">AR266</f>
        <v>1</v>
      </c>
      <c r="BB266" s="65" t="n">
        <f aca="false">1</f>
        <v>1</v>
      </c>
      <c r="BC266" s="65" t="n">
        <f aca="false">IF(AV266=1,1,IF(AW266=1,2,IF(AX266=1,3,IF(AY266=1,4,IF(AZ266=1,5,IF(BA266=1,6,7))))))</f>
        <v>6</v>
      </c>
      <c r="BD266" s="65" t="n">
        <f aca="false">IF(AD266=1,CHOOSE('Historical Score'!$C$29,AV266,AW266,AX266,AY266,AZ266,BA266,BB266),0)</f>
        <v>0</v>
      </c>
      <c r="BE266" s="65" t="str">
        <f aca="false">IF(BD266=1,COUNTIF($BD$2:BD266,1),"")</f>
        <v/>
      </c>
    </row>
    <row r="267" customFormat="false" ht="15" hidden="false" customHeight="false" outlineLevel="0" collapsed="false">
      <c r="A267" s="65" t="s">
        <v>1212</v>
      </c>
      <c r="B267" s="65" t="s">
        <v>1213</v>
      </c>
      <c r="C267" s="65" t="s">
        <v>1214</v>
      </c>
      <c r="D267" s="65" t="s">
        <v>371</v>
      </c>
      <c r="E267" s="112" t="n">
        <v>45929</v>
      </c>
      <c r="F267" s="112" t="n">
        <v>46036</v>
      </c>
      <c r="G267" s="65" t="n">
        <v>1</v>
      </c>
      <c r="H267" s="65" t="s">
        <v>409</v>
      </c>
      <c r="I267" s="65" t="s">
        <v>342</v>
      </c>
      <c r="J267" s="65" t="s">
        <v>555</v>
      </c>
      <c r="K267" s="65" t="s">
        <v>578</v>
      </c>
      <c r="L267" s="65" t="s">
        <v>320</v>
      </c>
      <c r="M267" s="113" t="n">
        <v>1.49</v>
      </c>
      <c r="N267" s="114" t="n">
        <v>40000</v>
      </c>
      <c r="O267" s="114" t="n">
        <v>5600</v>
      </c>
      <c r="P267" s="114" t="n">
        <v>59600</v>
      </c>
      <c r="Q267" s="114" t="n">
        <v>59600</v>
      </c>
      <c r="R267" s="114" t="n">
        <v>0</v>
      </c>
      <c r="S267" s="115" t="n">
        <v>1</v>
      </c>
      <c r="T267" s="65" t="n">
        <v>4.59</v>
      </c>
      <c r="U267" s="65" t="n">
        <v>2</v>
      </c>
      <c r="V267" s="65" t="n">
        <v>73218.44</v>
      </c>
      <c r="W267" s="115" t="n">
        <v>0.1221</v>
      </c>
      <c r="X267" s="112"/>
      <c r="Y267" s="65" t="str">
        <f aca="false">IF(I267="","No SIC",IFERROR(VLOOKUP(I267,Ref!$A$2:$B$65,2,FALSE()),"Unclassified"))</f>
        <v>Eating &amp; Drinking Places</v>
      </c>
      <c r="Z267" s="65" t="str">
        <f aca="false">IF(T267="","",IF(T267&lt;12,"Daily","Weekly"))</f>
        <v>Daily</v>
      </c>
      <c r="AA267" s="65" t="n">
        <f aca="false">IF(T267="",0,IF(T267&lt;12,T267*Controls!$B$29,T267*5))</f>
        <v>99.39645</v>
      </c>
      <c r="AB267" s="65" t="n">
        <f aca="false">IF(E267="",0,NETWORKDAYS(E267,Controls!$B$36,Ref!$K$2:$K$42))</f>
        <v>228</v>
      </c>
      <c r="AC267" s="65" t="n">
        <f aca="false">IF(AND(AA267&gt;0,AB267&gt;=Controls!$B$39*AA267),1,0)</f>
        <v>1</v>
      </c>
      <c r="AD267" s="65" t="n">
        <f aca="false">IF(AND(E267&lt;&gt;"",E267&gt;=Controls!$B$37,E267&lt;=Controls!$B$38),1,0)</f>
        <v>1</v>
      </c>
      <c r="AE267" s="65" t="n">
        <f aca="false">IF(IFERROR(VLOOKUP(D267,Controls!$A$64:$E$74,2,FALSE()),"No")="Yes",1,0)</f>
        <v>0</v>
      </c>
      <c r="AF267" s="65" t="n">
        <f aca="false">IF(IFERROR(VLOOKUP(D267,Controls!$A$64:$E$74,3,FALSE()),"No")="Yes",1,0)</f>
        <v>1</v>
      </c>
      <c r="AG267" s="65" t="n">
        <f aca="false">IF(IFERROR(VLOOKUP(D267,Controls!$A$64:$E$74,4,FALSE()),"No")="Yes",1,0)</f>
        <v>1</v>
      </c>
      <c r="AH267" s="65" t="n">
        <f aca="false">IF(IFERROR(VLOOKUP(D267,Controls!$A$64:$E$74,5,FALSE()),"No")="Yes",1,0)</f>
        <v>0</v>
      </c>
      <c r="AI267" s="65" t="n">
        <f aca="false">IF(ISNUMBER(MATCH(D267,Controls!$A$64:$A$74,0)),1,0)</f>
        <v>1</v>
      </c>
      <c r="AJ267" s="65" t="n">
        <f aca="false">Q267-N267</f>
        <v>19600</v>
      </c>
      <c r="AK267" s="65" t="n">
        <f aca="false">IF(AE267=1,MAX(0,N267-Q267),0)</f>
        <v>0</v>
      </c>
      <c r="AL267" s="65" t="n">
        <f aca="false">IF(OR(V267="",V267=0),0,N267/V267)</f>
        <v>0.546310464959374</v>
      </c>
      <c r="AM267" s="65" t="n">
        <f aca="false">IF(OR(V267="",V267=0),0,1)</f>
        <v>1</v>
      </c>
      <c r="AN267" s="65" t="n">
        <f aca="false">IF(OR(E267="",F267=""),0,NETWORKDAYS(E267,F267,Ref!$K$2:$K$42))</f>
        <v>73</v>
      </c>
      <c r="AO267" s="65" t="n">
        <f aca="false">IF(L267="Renewal",1,0)</f>
        <v>1</v>
      </c>
      <c r="AP267" s="65" t="n">
        <f aca="false">AC267*AD267</f>
        <v>1</v>
      </c>
      <c r="AQ267" s="65" t="n">
        <f aca="false">IF(AND(G267&lt;&gt;"",'Historical Score'!$C$6&lt;&gt;""),IF(G267='Historical Score'!$C$6,1,0),0)</f>
        <v>0</v>
      </c>
      <c r="AR267" s="65" t="n">
        <f aca="false">IF(AND(L267&lt;&gt;"",'Historical Score'!$C$5&lt;&gt;""),IF(L267='Historical Score'!$C$5,1,0),0)</f>
        <v>0</v>
      </c>
      <c r="AS267" s="65" t="n">
        <f aca="false">IF(AND(Y267&lt;&gt;"",'Historical Score'!$C$7&lt;&gt;""),IF(Y267='Historical Score'!$C$7,1,0),0)</f>
        <v>0</v>
      </c>
      <c r="AT267" s="65" t="n">
        <f aca="false">IF(AND(K267&lt;&gt;"",'Historical Score'!$C$8&lt;&gt;""),IF(K267='Historical Score'!$C$8,1,0),0)</f>
        <v>0</v>
      </c>
      <c r="AU267" s="65" t="n">
        <f aca="false">IF(AND(J267&lt;&gt;"",'Historical Score'!$C$9&lt;&gt;""),IF(J267='Historical Score'!$C$9,1,0),0)</f>
        <v>0</v>
      </c>
      <c r="AV267" s="65" t="n">
        <f aca="false">AR267*AS267*AQ267</f>
        <v>0</v>
      </c>
      <c r="AW267" s="65" t="n">
        <f aca="false">AR267*AT267*AQ267</f>
        <v>0</v>
      </c>
      <c r="AX267" s="65" t="n">
        <f aca="false">AR267*AS267</f>
        <v>0</v>
      </c>
      <c r="AY267" s="65" t="n">
        <f aca="false">AR267*AT267</f>
        <v>0</v>
      </c>
      <c r="AZ267" s="65" t="n">
        <f aca="false">AR267*AQ267</f>
        <v>0</v>
      </c>
      <c r="BA267" s="65" t="n">
        <f aca="false">AR267</f>
        <v>0</v>
      </c>
      <c r="BB267" s="65" t="n">
        <f aca="false">1</f>
        <v>1</v>
      </c>
      <c r="BC267" s="65" t="n">
        <f aca="false">IF(AV267=1,1,IF(AW267=1,2,IF(AX267=1,3,IF(AY267=1,4,IF(AZ267=1,5,IF(BA267=1,6,7))))))</f>
        <v>7</v>
      </c>
      <c r="BD267" s="65" t="n">
        <f aca="false">IF(AD267=1,CHOOSE('Historical Score'!$C$29,AV267,AW267,AX267,AY267,AZ267,BA267,BB267),0)</f>
        <v>0</v>
      </c>
      <c r="BE267" s="65" t="str">
        <f aca="false">IF(BD267=1,COUNTIF($BD$2:BD267,1),"")</f>
        <v/>
      </c>
    </row>
    <row r="268" customFormat="false" ht="15" hidden="false" customHeight="false" outlineLevel="0" collapsed="false">
      <c r="A268" s="65" t="s">
        <v>1215</v>
      </c>
      <c r="B268" s="65" t="s">
        <v>1216</v>
      </c>
      <c r="C268" s="65" t="s">
        <v>1217</v>
      </c>
      <c r="D268" s="65" t="s">
        <v>371</v>
      </c>
      <c r="E268" s="112" t="n">
        <v>45930</v>
      </c>
      <c r="F268" s="112" t="n">
        <v>46143</v>
      </c>
      <c r="G268" s="65" t="n">
        <v>1</v>
      </c>
      <c r="H268" s="65" t="s">
        <v>1218</v>
      </c>
      <c r="I268" s="65" t="s">
        <v>1199</v>
      </c>
      <c r="J268" s="65" t="s">
        <v>386</v>
      </c>
      <c r="K268" s="65" t="s">
        <v>961</v>
      </c>
      <c r="L268" s="65" t="s">
        <v>64</v>
      </c>
      <c r="M268" s="113" t="n">
        <v>1.38</v>
      </c>
      <c r="N268" s="114" t="n">
        <v>20000</v>
      </c>
      <c r="O268" s="114" t="n">
        <v>2400</v>
      </c>
      <c r="P268" s="114" t="n">
        <v>27600</v>
      </c>
      <c r="Q268" s="114" t="n">
        <v>27600</v>
      </c>
      <c r="R268" s="114" t="n">
        <v>-3.63797880709171E-012</v>
      </c>
      <c r="S268" s="115" t="n">
        <v>1</v>
      </c>
      <c r="T268" s="65" t="n">
        <v>28</v>
      </c>
      <c r="U268" s="65" t="n">
        <v>2</v>
      </c>
      <c r="V268" s="65" t="n">
        <v>115953.51</v>
      </c>
      <c r="W268" s="115" t="n">
        <v>0.034</v>
      </c>
      <c r="X268" s="112" t="n">
        <v>45713</v>
      </c>
      <c r="Y268" s="65" t="str">
        <f aca="false">IF(I268="","No SIC",IFERROR(VLOOKUP(I268,Ref!$A$2:$B$65,2,FALSE()),"Unclassified"))</f>
        <v>Lumber &amp; Wood Products</v>
      </c>
      <c r="Z268" s="65" t="str">
        <f aca="false">IF(T268="","",IF(T268&lt;12,"Daily","Weekly"))</f>
        <v>Weekly</v>
      </c>
      <c r="AA268" s="65" t="n">
        <f aca="false">IF(T268="",0,IF(T268&lt;12,T268*Controls!$B$29,T268*5))</f>
        <v>140</v>
      </c>
      <c r="AB268" s="65" t="n">
        <f aca="false">IF(E268="",0,NETWORKDAYS(E268,Controls!$B$36,Ref!$K$2:$K$42))</f>
        <v>227</v>
      </c>
      <c r="AC268" s="65" t="n">
        <f aca="false">IF(AND(AA268&gt;0,AB268&gt;=Controls!$B$39*AA268),1,0)</f>
        <v>1</v>
      </c>
      <c r="AD268" s="65" t="n">
        <f aca="false">IF(AND(E268&lt;&gt;"",E268&gt;=Controls!$B$37,E268&lt;=Controls!$B$38),1,0)</f>
        <v>1</v>
      </c>
      <c r="AE268" s="65" t="n">
        <f aca="false">IF(IFERROR(VLOOKUP(D268,Controls!$A$64:$E$74,2,FALSE()),"No")="Yes",1,0)</f>
        <v>0</v>
      </c>
      <c r="AF268" s="65" t="n">
        <f aca="false">IF(IFERROR(VLOOKUP(D268,Controls!$A$64:$E$74,3,FALSE()),"No")="Yes",1,0)</f>
        <v>1</v>
      </c>
      <c r="AG268" s="65" t="n">
        <f aca="false">IF(IFERROR(VLOOKUP(D268,Controls!$A$64:$E$74,4,FALSE()),"No")="Yes",1,0)</f>
        <v>1</v>
      </c>
      <c r="AH268" s="65" t="n">
        <f aca="false">IF(IFERROR(VLOOKUP(D268,Controls!$A$64:$E$74,5,FALSE()),"No")="Yes",1,0)</f>
        <v>0</v>
      </c>
      <c r="AI268" s="65" t="n">
        <f aca="false">IF(ISNUMBER(MATCH(D268,Controls!$A$64:$A$74,0)),1,0)</f>
        <v>1</v>
      </c>
      <c r="AJ268" s="65" t="n">
        <f aca="false">Q268-N268</f>
        <v>7600</v>
      </c>
      <c r="AK268" s="65" t="n">
        <f aca="false">IF(AE268=1,MAX(0,N268-Q268),0)</f>
        <v>0</v>
      </c>
      <c r="AL268" s="65" t="n">
        <f aca="false">IF(OR(V268="",V268=0),0,N268/V268)</f>
        <v>0.172482920094441</v>
      </c>
      <c r="AM268" s="65" t="n">
        <f aca="false">IF(OR(V268="",V268=0),0,1)</f>
        <v>1</v>
      </c>
      <c r="AN268" s="65" t="n">
        <f aca="false">IF(OR(E268="",F268=""),0,NETWORKDAYS(E268,F268,Ref!$K$2:$K$42))</f>
        <v>147</v>
      </c>
      <c r="AO268" s="65" t="n">
        <f aca="false">IF(L268="Renewal",1,0)</f>
        <v>0</v>
      </c>
      <c r="AP268" s="65" t="n">
        <f aca="false">AC268*AD268</f>
        <v>1</v>
      </c>
      <c r="AQ268" s="65" t="n">
        <f aca="false">IF(AND(G268&lt;&gt;"",'Historical Score'!$C$6&lt;&gt;""),IF(G268='Historical Score'!$C$6,1,0),0)</f>
        <v>0</v>
      </c>
      <c r="AR268" s="65" t="n">
        <f aca="false">IF(AND(L268&lt;&gt;"",'Historical Score'!$C$5&lt;&gt;""),IF(L268='Historical Score'!$C$5,1,0),0)</f>
        <v>1</v>
      </c>
      <c r="AS268" s="65" t="n">
        <f aca="false">IF(AND(Y268&lt;&gt;"",'Historical Score'!$C$7&lt;&gt;""),IF(Y268='Historical Score'!$C$7,1,0),0)</f>
        <v>0</v>
      </c>
      <c r="AT268" s="65" t="n">
        <f aca="false">IF(AND(K268&lt;&gt;"",'Historical Score'!$C$8&lt;&gt;""),IF(K268='Historical Score'!$C$8,1,0),0)</f>
        <v>0</v>
      </c>
      <c r="AU268" s="65" t="n">
        <f aca="false">IF(AND(J268&lt;&gt;"",'Historical Score'!$C$9&lt;&gt;""),IF(J268='Historical Score'!$C$9,1,0),0)</f>
        <v>0</v>
      </c>
      <c r="AV268" s="65" t="n">
        <f aca="false">AR268*AS268*AQ268</f>
        <v>0</v>
      </c>
      <c r="AW268" s="65" t="n">
        <f aca="false">AR268*AT268*AQ268</f>
        <v>0</v>
      </c>
      <c r="AX268" s="65" t="n">
        <f aca="false">AR268*AS268</f>
        <v>0</v>
      </c>
      <c r="AY268" s="65" t="n">
        <f aca="false">AR268*AT268</f>
        <v>0</v>
      </c>
      <c r="AZ268" s="65" t="n">
        <f aca="false">AR268*AQ268</f>
        <v>0</v>
      </c>
      <c r="BA268" s="65" t="n">
        <f aca="false">AR268</f>
        <v>1</v>
      </c>
      <c r="BB268" s="65" t="n">
        <f aca="false">1</f>
        <v>1</v>
      </c>
      <c r="BC268" s="65" t="n">
        <f aca="false">IF(AV268=1,1,IF(AW268=1,2,IF(AX268=1,3,IF(AY268=1,4,IF(AZ268=1,5,IF(BA268=1,6,7))))))</f>
        <v>6</v>
      </c>
      <c r="BD268" s="65" t="n">
        <f aca="false">IF(AD268=1,CHOOSE('Historical Score'!$C$29,AV268,AW268,AX268,AY268,AZ268,BA268,BB268),0)</f>
        <v>0</v>
      </c>
      <c r="BE268" s="65" t="str">
        <f aca="false">IF(BD268=1,COUNTIF($BD$2:BD268,1),"")</f>
        <v/>
      </c>
    </row>
    <row r="269" customFormat="false" ht="15" hidden="false" customHeight="false" outlineLevel="0" collapsed="false">
      <c r="A269" s="65" t="s">
        <v>1219</v>
      </c>
      <c r="B269" s="65" t="s">
        <v>1220</v>
      </c>
      <c r="C269" s="65" t="s">
        <v>1221</v>
      </c>
      <c r="D269" s="65" t="s">
        <v>340</v>
      </c>
      <c r="E269" s="112" t="n">
        <v>45930</v>
      </c>
      <c r="F269" s="112" t="n">
        <v>46157</v>
      </c>
      <c r="G269" s="65" t="n">
        <v>3</v>
      </c>
      <c r="H269" s="65" t="s">
        <v>409</v>
      </c>
      <c r="I269" s="65" t="s">
        <v>342</v>
      </c>
      <c r="J269" s="65" t="s">
        <v>386</v>
      </c>
      <c r="K269" s="65" t="s">
        <v>1204</v>
      </c>
      <c r="L269" s="65" t="s">
        <v>64</v>
      </c>
      <c r="M269" s="113" t="n">
        <v>1.499</v>
      </c>
      <c r="N269" s="114" t="n">
        <v>12500</v>
      </c>
      <c r="O269" s="114" t="n">
        <v>1750</v>
      </c>
      <c r="P269" s="114" t="n">
        <v>18737.5</v>
      </c>
      <c r="Q269" s="114" t="n">
        <v>2638.91</v>
      </c>
      <c r="R269" s="114" t="n">
        <v>16098.59</v>
      </c>
      <c r="S269" s="115" t="n">
        <v>0.140835757171448</v>
      </c>
      <c r="T269" s="65" t="n">
        <v>3.934</v>
      </c>
      <c r="U269" s="65" t="n">
        <v>20</v>
      </c>
      <c r="V269" s="65" t="n">
        <v>65723.95</v>
      </c>
      <c r="W269" s="115" t="n">
        <v>0.0496</v>
      </c>
      <c r="X269" s="112"/>
      <c r="Y269" s="65" t="str">
        <f aca="false">IF(I269="","No SIC",IFERROR(VLOOKUP(I269,Ref!$A$2:$B$65,2,FALSE()),"Unclassified"))</f>
        <v>Eating &amp; Drinking Places</v>
      </c>
      <c r="Z269" s="65" t="str">
        <f aca="false">IF(T269="","",IF(T269&lt;12,"Daily","Weekly"))</f>
        <v>Daily</v>
      </c>
      <c r="AA269" s="65" t="n">
        <f aca="false">IF(T269="",0,IF(T269&lt;12,T269*Controls!$B$29,T269*5))</f>
        <v>85.19077</v>
      </c>
      <c r="AB269" s="65" t="n">
        <f aca="false">IF(E269="",0,NETWORKDAYS(E269,Controls!$B$36,Ref!$K$2:$K$42))</f>
        <v>227</v>
      </c>
      <c r="AC269" s="65" t="n">
        <f aca="false">IF(AND(AA269&gt;0,AB269&gt;=Controls!$B$39*AA269),1,0)</f>
        <v>1</v>
      </c>
      <c r="AD269" s="65" t="n">
        <f aca="false">IF(AND(E269&lt;&gt;"",E269&gt;=Controls!$B$37,E269&lt;=Controls!$B$38),1,0)</f>
        <v>1</v>
      </c>
      <c r="AE269" s="65" t="n">
        <f aca="false">IF(IFERROR(VLOOKUP(D269,Controls!$A$64:$E$74,2,FALSE()),"No")="Yes",1,0)</f>
        <v>1</v>
      </c>
      <c r="AF269" s="65" t="n">
        <f aca="false">IF(IFERROR(VLOOKUP(D269,Controls!$A$64:$E$74,3,FALSE()),"No")="Yes",1,0)</f>
        <v>0</v>
      </c>
      <c r="AG269" s="65" t="n">
        <f aca="false">IF(IFERROR(VLOOKUP(D269,Controls!$A$64:$E$74,4,FALSE()),"No")="Yes",1,0)</f>
        <v>0</v>
      </c>
      <c r="AH269" s="65" t="n">
        <f aca="false">IF(IFERROR(VLOOKUP(D269,Controls!$A$64:$E$74,5,FALSE()),"No")="Yes",1,0)</f>
        <v>0</v>
      </c>
      <c r="AI269" s="65" t="n">
        <f aca="false">IF(ISNUMBER(MATCH(D269,Controls!$A$64:$A$74,0)),1,0)</f>
        <v>1</v>
      </c>
      <c r="AJ269" s="65" t="n">
        <f aca="false">Q269-N269</f>
        <v>-9861.09</v>
      </c>
      <c r="AK269" s="65" t="n">
        <f aca="false">IF(AE269=1,MAX(0,N269-Q269),0)</f>
        <v>9861.09</v>
      </c>
      <c r="AL269" s="65" t="n">
        <f aca="false">IF(OR(V269="",V269=0),0,N269/V269)</f>
        <v>0.190189421055795</v>
      </c>
      <c r="AM269" s="65" t="n">
        <f aca="false">IF(OR(V269="",V269=0),0,1)</f>
        <v>1</v>
      </c>
      <c r="AN269" s="65" t="n">
        <f aca="false">IF(OR(E269="",F269=""),0,NETWORKDAYS(E269,F269,Ref!$K$2:$K$42))</f>
        <v>157</v>
      </c>
      <c r="AO269" s="65" t="n">
        <f aca="false">IF(L269="Renewal",1,0)</f>
        <v>0</v>
      </c>
      <c r="AP269" s="65" t="n">
        <f aca="false">AC269*AD269</f>
        <v>1</v>
      </c>
      <c r="AQ269" s="65" t="n">
        <f aca="false">IF(AND(G269&lt;&gt;"",'Historical Score'!$C$6&lt;&gt;""),IF(G269='Historical Score'!$C$6,1,0),0)</f>
        <v>0</v>
      </c>
      <c r="AR269" s="65" t="n">
        <f aca="false">IF(AND(L269&lt;&gt;"",'Historical Score'!$C$5&lt;&gt;""),IF(L269='Historical Score'!$C$5,1,0),0)</f>
        <v>1</v>
      </c>
      <c r="AS269" s="65" t="n">
        <f aca="false">IF(AND(Y269&lt;&gt;"",'Historical Score'!$C$7&lt;&gt;""),IF(Y269='Historical Score'!$C$7,1,0),0)</f>
        <v>0</v>
      </c>
      <c r="AT269" s="65" t="n">
        <f aca="false">IF(AND(K269&lt;&gt;"",'Historical Score'!$C$8&lt;&gt;""),IF(K269='Historical Score'!$C$8,1,0),0)</f>
        <v>0</v>
      </c>
      <c r="AU269" s="65" t="n">
        <f aca="false">IF(AND(J269&lt;&gt;"",'Historical Score'!$C$9&lt;&gt;""),IF(J269='Historical Score'!$C$9,1,0),0)</f>
        <v>0</v>
      </c>
      <c r="AV269" s="65" t="n">
        <f aca="false">AR269*AS269*AQ269</f>
        <v>0</v>
      </c>
      <c r="AW269" s="65" t="n">
        <f aca="false">AR269*AT269*AQ269</f>
        <v>0</v>
      </c>
      <c r="AX269" s="65" t="n">
        <f aca="false">AR269*AS269</f>
        <v>0</v>
      </c>
      <c r="AY269" s="65" t="n">
        <f aca="false">AR269*AT269</f>
        <v>0</v>
      </c>
      <c r="AZ269" s="65" t="n">
        <f aca="false">AR269*AQ269</f>
        <v>0</v>
      </c>
      <c r="BA269" s="65" t="n">
        <f aca="false">AR269</f>
        <v>1</v>
      </c>
      <c r="BB269" s="65" t="n">
        <f aca="false">1</f>
        <v>1</v>
      </c>
      <c r="BC269" s="65" t="n">
        <f aca="false">IF(AV269=1,1,IF(AW269=1,2,IF(AX269=1,3,IF(AY269=1,4,IF(AZ269=1,5,IF(BA269=1,6,7))))))</f>
        <v>6</v>
      </c>
      <c r="BD269" s="65" t="n">
        <f aca="false">IF(AD269=1,CHOOSE('Historical Score'!$C$29,AV269,AW269,AX269,AY269,AZ269,BA269,BB269),0)</f>
        <v>0</v>
      </c>
      <c r="BE269" s="65" t="str">
        <f aca="false">IF(BD269=1,COUNTIF($BD$2:BD269,1),"")</f>
        <v/>
      </c>
    </row>
    <row r="270" customFormat="false" ht="15" hidden="false" customHeight="false" outlineLevel="0" collapsed="false">
      <c r="A270" s="65" t="s">
        <v>1222</v>
      </c>
      <c r="B270" s="65" t="s">
        <v>1223</v>
      </c>
      <c r="C270" s="65" t="s">
        <v>1224</v>
      </c>
      <c r="D270" s="65" t="s">
        <v>340</v>
      </c>
      <c r="E270" s="112" t="n">
        <v>45930</v>
      </c>
      <c r="F270" s="112" t="n">
        <v>46133</v>
      </c>
      <c r="G270" s="65" t="n">
        <v>1</v>
      </c>
      <c r="H270" s="65" t="s">
        <v>409</v>
      </c>
      <c r="I270" s="65" t="s">
        <v>342</v>
      </c>
      <c r="J270" s="65" t="s">
        <v>61</v>
      </c>
      <c r="K270" s="65" t="s">
        <v>961</v>
      </c>
      <c r="L270" s="65" t="s">
        <v>64</v>
      </c>
      <c r="M270" s="113" t="n">
        <v>1.35</v>
      </c>
      <c r="N270" s="114" t="n">
        <v>25000</v>
      </c>
      <c r="O270" s="114" t="n">
        <v>1750</v>
      </c>
      <c r="P270" s="114" t="n">
        <v>33750</v>
      </c>
      <c r="Q270" s="114" t="n">
        <v>20232.72</v>
      </c>
      <c r="R270" s="114" t="n">
        <v>13517.28</v>
      </c>
      <c r="S270" s="115" t="n">
        <v>0.599488</v>
      </c>
      <c r="T270" s="65" t="n">
        <v>5.902</v>
      </c>
      <c r="U270" s="65" t="n">
        <v>28</v>
      </c>
      <c r="V270" s="65" t="n">
        <v>108675.02</v>
      </c>
      <c r="W270" s="115" t="n">
        <v>0.0362</v>
      </c>
      <c r="X270" s="112" t="n">
        <v>45474</v>
      </c>
      <c r="Y270" s="65" t="str">
        <f aca="false">IF(I270="","No SIC",IFERROR(VLOOKUP(I270,Ref!$A$2:$B$65,2,FALSE()),"Unclassified"))</f>
        <v>Eating &amp; Drinking Places</v>
      </c>
      <c r="Z270" s="65" t="str">
        <f aca="false">IF(T270="","",IF(T270&lt;12,"Daily","Weekly"))</f>
        <v>Daily</v>
      </c>
      <c r="AA270" s="65" t="n">
        <f aca="false">IF(T270="",0,IF(T270&lt;12,T270*Controls!$B$29,T270*5))</f>
        <v>127.80781</v>
      </c>
      <c r="AB270" s="65" t="n">
        <f aca="false">IF(E270="",0,NETWORKDAYS(E270,Controls!$B$36,Ref!$K$2:$K$42))</f>
        <v>227</v>
      </c>
      <c r="AC270" s="65" t="n">
        <f aca="false">IF(AND(AA270&gt;0,AB270&gt;=Controls!$B$39*AA270),1,0)</f>
        <v>1</v>
      </c>
      <c r="AD270" s="65" t="n">
        <f aca="false">IF(AND(E270&lt;&gt;"",E270&gt;=Controls!$B$37,E270&lt;=Controls!$B$38),1,0)</f>
        <v>1</v>
      </c>
      <c r="AE270" s="65" t="n">
        <f aca="false">IF(IFERROR(VLOOKUP(D270,Controls!$A$64:$E$74,2,FALSE()),"No")="Yes",1,0)</f>
        <v>1</v>
      </c>
      <c r="AF270" s="65" t="n">
        <f aca="false">IF(IFERROR(VLOOKUP(D270,Controls!$A$64:$E$74,3,FALSE()),"No")="Yes",1,0)</f>
        <v>0</v>
      </c>
      <c r="AG270" s="65" t="n">
        <f aca="false">IF(IFERROR(VLOOKUP(D270,Controls!$A$64:$E$74,4,FALSE()),"No")="Yes",1,0)</f>
        <v>0</v>
      </c>
      <c r="AH270" s="65" t="n">
        <f aca="false">IF(IFERROR(VLOOKUP(D270,Controls!$A$64:$E$74,5,FALSE()),"No")="Yes",1,0)</f>
        <v>0</v>
      </c>
      <c r="AI270" s="65" t="n">
        <f aca="false">IF(ISNUMBER(MATCH(D270,Controls!$A$64:$A$74,0)),1,0)</f>
        <v>1</v>
      </c>
      <c r="AJ270" s="65" t="n">
        <f aca="false">Q270-N270</f>
        <v>-4767.28</v>
      </c>
      <c r="AK270" s="65" t="n">
        <f aca="false">IF(AE270=1,MAX(0,N270-Q270),0)</f>
        <v>4767.28</v>
      </c>
      <c r="AL270" s="65" t="n">
        <f aca="false">IF(OR(V270="",V270=0),0,N270/V270)</f>
        <v>0.230043665968499</v>
      </c>
      <c r="AM270" s="65" t="n">
        <f aca="false">IF(OR(V270="",V270=0),0,1)</f>
        <v>1</v>
      </c>
      <c r="AN270" s="65" t="n">
        <f aca="false">IF(OR(E270="",F270=""),0,NETWORKDAYS(E270,F270,Ref!$K$2:$K$42))</f>
        <v>139</v>
      </c>
      <c r="AO270" s="65" t="n">
        <f aca="false">IF(L270="Renewal",1,0)</f>
        <v>0</v>
      </c>
      <c r="AP270" s="65" t="n">
        <f aca="false">AC270*AD270</f>
        <v>1</v>
      </c>
      <c r="AQ270" s="65" t="n">
        <f aca="false">IF(AND(G270&lt;&gt;"",'Historical Score'!$C$6&lt;&gt;""),IF(G270='Historical Score'!$C$6,1,0),0)</f>
        <v>0</v>
      </c>
      <c r="AR270" s="65" t="n">
        <f aca="false">IF(AND(L270&lt;&gt;"",'Historical Score'!$C$5&lt;&gt;""),IF(L270='Historical Score'!$C$5,1,0),0)</f>
        <v>1</v>
      </c>
      <c r="AS270" s="65" t="n">
        <f aca="false">IF(AND(Y270&lt;&gt;"",'Historical Score'!$C$7&lt;&gt;""),IF(Y270='Historical Score'!$C$7,1,0),0)</f>
        <v>0</v>
      </c>
      <c r="AT270" s="65" t="n">
        <f aca="false">IF(AND(K270&lt;&gt;"",'Historical Score'!$C$8&lt;&gt;""),IF(K270='Historical Score'!$C$8,1,0),0)</f>
        <v>0</v>
      </c>
      <c r="AU270" s="65" t="n">
        <f aca="false">IF(AND(J270&lt;&gt;"",'Historical Score'!$C$9&lt;&gt;""),IF(J270='Historical Score'!$C$9,1,0),0)</f>
        <v>1</v>
      </c>
      <c r="AV270" s="65" t="n">
        <f aca="false">AR270*AS270*AQ270</f>
        <v>0</v>
      </c>
      <c r="AW270" s="65" t="n">
        <f aca="false">AR270*AT270*AQ270</f>
        <v>0</v>
      </c>
      <c r="AX270" s="65" t="n">
        <f aca="false">AR270*AS270</f>
        <v>0</v>
      </c>
      <c r="AY270" s="65" t="n">
        <f aca="false">AR270*AT270</f>
        <v>0</v>
      </c>
      <c r="AZ270" s="65" t="n">
        <f aca="false">AR270*AQ270</f>
        <v>0</v>
      </c>
      <c r="BA270" s="65" t="n">
        <f aca="false">AR270</f>
        <v>1</v>
      </c>
      <c r="BB270" s="65" t="n">
        <f aca="false">1</f>
        <v>1</v>
      </c>
      <c r="BC270" s="65" t="n">
        <f aca="false">IF(AV270=1,1,IF(AW270=1,2,IF(AX270=1,3,IF(AY270=1,4,IF(AZ270=1,5,IF(BA270=1,6,7))))))</f>
        <v>6</v>
      </c>
      <c r="BD270" s="65" t="n">
        <f aca="false">IF(AD270=1,CHOOSE('Historical Score'!$C$29,AV270,AW270,AX270,AY270,AZ270,BA270,BB270),0)</f>
        <v>0</v>
      </c>
      <c r="BE270" s="65" t="str">
        <f aca="false">IF(BD270=1,COUNTIF($BD$2:BD270,1),"")</f>
        <v/>
      </c>
    </row>
    <row r="271" customFormat="false" ht="15" hidden="false" customHeight="false" outlineLevel="0" collapsed="false">
      <c r="A271" s="65" t="s">
        <v>1225</v>
      </c>
      <c r="B271" s="65" t="s">
        <v>1226</v>
      </c>
      <c r="C271" s="65" t="s">
        <v>1227</v>
      </c>
      <c r="D271" s="65" t="s">
        <v>371</v>
      </c>
      <c r="E271" s="112" t="n">
        <v>45931</v>
      </c>
      <c r="F271" s="112" t="n">
        <v>46022</v>
      </c>
      <c r="G271" s="65" t="n">
        <v>3</v>
      </c>
      <c r="H271" s="65" t="s">
        <v>1228</v>
      </c>
      <c r="I271" s="65" t="s">
        <v>915</v>
      </c>
      <c r="J271" s="65" t="s">
        <v>61</v>
      </c>
      <c r="K271" s="65" t="s">
        <v>961</v>
      </c>
      <c r="L271" s="65" t="s">
        <v>320</v>
      </c>
      <c r="M271" s="113" t="n">
        <v>1.42</v>
      </c>
      <c r="N271" s="114" t="n">
        <v>8500</v>
      </c>
      <c r="O271" s="114" t="n">
        <v>1190</v>
      </c>
      <c r="P271" s="114" t="n">
        <v>12070</v>
      </c>
      <c r="Q271" s="114" t="n">
        <v>12070</v>
      </c>
      <c r="R271" s="114" t="n">
        <v>0</v>
      </c>
      <c r="S271" s="115" t="n">
        <v>1</v>
      </c>
      <c r="T271" s="65" t="n">
        <v>3.934</v>
      </c>
      <c r="U271" s="65" t="n">
        <v>0</v>
      </c>
      <c r="V271" s="65" t="n">
        <v>7307.91</v>
      </c>
      <c r="W271" s="115" t="n">
        <v>0.2083</v>
      </c>
      <c r="X271" s="112" t="n">
        <v>43299</v>
      </c>
      <c r="Y271" s="65" t="str">
        <f aca="false">IF(I271="","No SIC",IFERROR(VLOOKUP(I271,Ref!$A$2:$B$65,2,FALSE()),"Unclassified"))</f>
        <v>Transportation Services</v>
      </c>
      <c r="Z271" s="65" t="str">
        <f aca="false">IF(T271="","",IF(T271&lt;12,"Daily","Weekly"))</f>
        <v>Daily</v>
      </c>
      <c r="AA271" s="65" t="n">
        <f aca="false">IF(T271="",0,IF(T271&lt;12,T271*Controls!$B$29,T271*5))</f>
        <v>85.19077</v>
      </c>
      <c r="AB271" s="65" t="n">
        <f aca="false">IF(E271="",0,NETWORKDAYS(E271,Controls!$B$36,Ref!$K$2:$K$42))</f>
        <v>226</v>
      </c>
      <c r="AC271" s="65" t="n">
        <f aca="false">IF(AND(AA271&gt;0,AB271&gt;=Controls!$B$39*AA271),1,0)</f>
        <v>1</v>
      </c>
      <c r="AD271" s="65" t="n">
        <f aca="false">IF(AND(E271&lt;&gt;"",E271&gt;=Controls!$B$37,E271&lt;=Controls!$B$38),1,0)</f>
        <v>1</v>
      </c>
      <c r="AE271" s="65" t="n">
        <f aca="false">IF(IFERROR(VLOOKUP(D271,Controls!$A$64:$E$74,2,FALSE()),"No")="Yes",1,0)</f>
        <v>0</v>
      </c>
      <c r="AF271" s="65" t="n">
        <f aca="false">IF(IFERROR(VLOOKUP(D271,Controls!$A$64:$E$74,3,FALSE()),"No")="Yes",1,0)</f>
        <v>1</v>
      </c>
      <c r="AG271" s="65" t="n">
        <f aca="false">IF(IFERROR(VLOOKUP(D271,Controls!$A$64:$E$74,4,FALSE()),"No")="Yes",1,0)</f>
        <v>1</v>
      </c>
      <c r="AH271" s="65" t="n">
        <f aca="false">IF(IFERROR(VLOOKUP(D271,Controls!$A$64:$E$74,5,FALSE()),"No")="Yes",1,0)</f>
        <v>0</v>
      </c>
      <c r="AI271" s="65" t="n">
        <f aca="false">IF(ISNUMBER(MATCH(D271,Controls!$A$64:$A$74,0)),1,0)</f>
        <v>1</v>
      </c>
      <c r="AJ271" s="65" t="n">
        <f aca="false">Q271-N271</f>
        <v>3570</v>
      </c>
      <c r="AK271" s="65" t="n">
        <f aca="false">IF(AE271=1,MAX(0,N271-Q271),0)</f>
        <v>0</v>
      </c>
      <c r="AL271" s="65" t="n">
        <f aca="false">IF(OR(V271="",V271=0),0,N271/V271)</f>
        <v>1.16312324590752</v>
      </c>
      <c r="AM271" s="65" t="n">
        <f aca="false">IF(OR(V271="",V271=0),0,1)</f>
        <v>1</v>
      </c>
      <c r="AN271" s="65" t="n">
        <f aca="false">IF(OR(E271="",F271=""),0,NETWORKDAYS(E271,F271,Ref!$K$2:$K$42))</f>
        <v>62</v>
      </c>
      <c r="AO271" s="65" t="n">
        <f aca="false">IF(L271="Renewal",1,0)</f>
        <v>1</v>
      </c>
      <c r="AP271" s="65" t="n">
        <f aca="false">AC271*AD271</f>
        <v>1</v>
      </c>
      <c r="AQ271" s="65" t="n">
        <f aca="false">IF(AND(G271&lt;&gt;"",'Historical Score'!$C$6&lt;&gt;""),IF(G271='Historical Score'!$C$6,1,0),0)</f>
        <v>0</v>
      </c>
      <c r="AR271" s="65" t="n">
        <f aca="false">IF(AND(L271&lt;&gt;"",'Historical Score'!$C$5&lt;&gt;""),IF(L271='Historical Score'!$C$5,1,0),0)</f>
        <v>0</v>
      </c>
      <c r="AS271" s="65" t="n">
        <f aca="false">IF(AND(Y271&lt;&gt;"",'Historical Score'!$C$7&lt;&gt;""),IF(Y271='Historical Score'!$C$7,1,0),0)</f>
        <v>0</v>
      </c>
      <c r="AT271" s="65" t="n">
        <f aca="false">IF(AND(K271&lt;&gt;"",'Historical Score'!$C$8&lt;&gt;""),IF(K271='Historical Score'!$C$8,1,0),0)</f>
        <v>0</v>
      </c>
      <c r="AU271" s="65" t="n">
        <f aca="false">IF(AND(J271&lt;&gt;"",'Historical Score'!$C$9&lt;&gt;""),IF(J271='Historical Score'!$C$9,1,0),0)</f>
        <v>1</v>
      </c>
      <c r="AV271" s="65" t="n">
        <f aca="false">AR271*AS271*AQ271</f>
        <v>0</v>
      </c>
      <c r="AW271" s="65" t="n">
        <f aca="false">AR271*AT271*AQ271</f>
        <v>0</v>
      </c>
      <c r="AX271" s="65" t="n">
        <f aca="false">AR271*AS271</f>
        <v>0</v>
      </c>
      <c r="AY271" s="65" t="n">
        <f aca="false">AR271*AT271</f>
        <v>0</v>
      </c>
      <c r="AZ271" s="65" t="n">
        <f aca="false">AR271*AQ271</f>
        <v>0</v>
      </c>
      <c r="BA271" s="65" t="n">
        <f aca="false">AR271</f>
        <v>0</v>
      </c>
      <c r="BB271" s="65" t="n">
        <f aca="false">1</f>
        <v>1</v>
      </c>
      <c r="BC271" s="65" t="n">
        <f aca="false">IF(AV271=1,1,IF(AW271=1,2,IF(AX271=1,3,IF(AY271=1,4,IF(AZ271=1,5,IF(BA271=1,6,7))))))</f>
        <v>7</v>
      </c>
      <c r="BD271" s="65" t="n">
        <f aca="false">IF(AD271=1,CHOOSE('Historical Score'!$C$29,AV271,AW271,AX271,AY271,AZ271,BA271,BB271),0)</f>
        <v>0</v>
      </c>
      <c r="BE271" s="65" t="str">
        <f aca="false">IF(BD271=1,COUNTIF($BD$2:BD271,1),"")</f>
        <v/>
      </c>
    </row>
    <row r="272" customFormat="false" ht="15" hidden="false" customHeight="false" outlineLevel="0" collapsed="false">
      <c r="A272" s="65" t="s">
        <v>1229</v>
      </c>
      <c r="B272" s="65" t="s">
        <v>1230</v>
      </c>
      <c r="C272" s="65" t="s">
        <v>1230</v>
      </c>
      <c r="D272" s="65" t="s">
        <v>340</v>
      </c>
      <c r="E272" s="112" t="n">
        <v>45931</v>
      </c>
      <c r="F272" s="112" t="n">
        <v>46133</v>
      </c>
      <c r="G272" s="65" t="n">
        <v>3</v>
      </c>
      <c r="H272" s="65" t="s">
        <v>442</v>
      </c>
      <c r="I272" s="65" t="s">
        <v>443</v>
      </c>
      <c r="J272" s="65" t="s">
        <v>510</v>
      </c>
      <c r="K272" s="65" t="s">
        <v>55</v>
      </c>
      <c r="L272" s="65" t="s">
        <v>64</v>
      </c>
      <c r="M272" s="113" t="n">
        <v>1.49</v>
      </c>
      <c r="N272" s="114" t="n">
        <v>20000</v>
      </c>
      <c r="O272" s="114" t="n">
        <v>2800</v>
      </c>
      <c r="P272" s="114" t="n">
        <v>29800</v>
      </c>
      <c r="Q272" s="114" t="n">
        <v>21955.28</v>
      </c>
      <c r="R272" s="114" t="n">
        <v>7844.72</v>
      </c>
      <c r="S272" s="115" t="n">
        <v>0.736754362416107</v>
      </c>
      <c r="T272" s="65" t="n">
        <v>3.279</v>
      </c>
      <c r="U272" s="65" t="n">
        <v>56</v>
      </c>
      <c r="V272" s="65" t="n">
        <v>83997.5</v>
      </c>
      <c r="W272" s="115" t="n">
        <v>0.0745</v>
      </c>
      <c r="X272" s="112"/>
      <c r="Y272" s="65" t="str">
        <f aca="false">IF(I272="","No SIC",IFERROR(VLOOKUP(I272,Ref!$A$2:$B$65,2,FALSE()),"Unclassified"))</f>
        <v>General Building Contractors</v>
      </c>
      <c r="Z272" s="65" t="str">
        <f aca="false">IF(T272="","",IF(T272&lt;12,"Daily","Weekly"))</f>
        <v>Daily</v>
      </c>
      <c r="AA272" s="65" t="n">
        <f aca="false">IF(T272="",0,IF(T272&lt;12,T272*Controls!$B$29,T272*5))</f>
        <v>71.006745</v>
      </c>
      <c r="AB272" s="65" t="n">
        <f aca="false">IF(E272="",0,NETWORKDAYS(E272,Controls!$B$36,Ref!$K$2:$K$42))</f>
        <v>226</v>
      </c>
      <c r="AC272" s="65" t="n">
        <f aca="false">IF(AND(AA272&gt;0,AB272&gt;=Controls!$B$39*AA272),1,0)</f>
        <v>1</v>
      </c>
      <c r="AD272" s="65" t="n">
        <f aca="false">IF(AND(E272&lt;&gt;"",E272&gt;=Controls!$B$37,E272&lt;=Controls!$B$38),1,0)</f>
        <v>1</v>
      </c>
      <c r="AE272" s="65" t="n">
        <f aca="false">IF(IFERROR(VLOOKUP(D272,Controls!$A$64:$E$74,2,FALSE()),"No")="Yes",1,0)</f>
        <v>1</v>
      </c>
      <c r="AF272" s="65" t="n">
        <f aca="false">IF(IFERROR(VLOOKUP(D272,Controls!$A$64:$E$74,3,FALSE()),"No")="Yes",1,0)</f>
        <v>0</v>
      </c>
      <c r="AG272" s="65" t="n">
        <f aca="false">IF(IFERROR(VLOOKUP(D272,Controls!$A$64:$E$74,4,FALSE()),"No")="Yes",1,0)</f>
        <v>0</v>
      </c>
      <c r="AH272" s="65" t="n">
        <f aca="false">IF(IFERROR(VLOOKUP(D272,Controls!$A$64:$E$74,5,FALSE()),"No")="Yes",1,0)</f>
        <v>0</v>
      </c>
      <c r="AI272" s="65" t="n">
        <f aca="false">IF(ISNUMBER(MATCH(D272,Controls!$A$64:$A$74,0)),1,0)</f>
        <v>1</v>
      </c>
      <c r="AJ272" s="65" t="n">
        <f aca="false">Q272-N272</f>
        <v>1955.28</v>
      </c>
      <c r="AK272" s="65" t="n">
        <f aca="false">IF(AE272=1,MAX(0,N272-Q272),0)</f>
        <v>0</v>
      </c>
      <c r="AL272" s="65" t="n">
        <f aca="false">IF(OR(V272="",V272=0),0,N272/V272)</f>
        <v>0.238102324473943</v>
      </c>
      <c r="AM272" s="65" t="n">
        <f aca="false">IF(OR(V272="",V272=0),0,1)</f>
        <v>1</v>
      </c>
      <c r="AN272" s="65" t="n">
        <f aca="false">IF(OR(E272="",F272=""),0,NETWORKDAYS(E272,F272,Ref!$K$2:$K$42))</f>
        <v>138</v>
      </c>
      <c r="AO272" s="65" t="n">
        <f aca="false">IF(L272="Renewal",1,0)</f>
        <v>0</v>
      </c>
      <c r="AP272" s="65" t="n">
        <f aca="false">AC272*AD272</f>
        <v>1</v>
      </c>
      <c r="AQ272" s="65" t="n">
        <f aca="false">IF(AND(G272&lt;&gt;"",'Historical Score'!$C$6&lt;&gt;""),IF(G272='Historical Score'!$C$6,1,0),0)</f>
        <v>0</v>
      </c>
      <c r="AR272" s="65" t="n">
        <f aca="false">IF(AND(L272&lt;&gt;"",'Historical Score'!$C$5&lt;&gt;""),IF(L272='Historical Score'!$C$5,1,0),0)</f>
        <v>1</v>
      </c>
      <c r="AS272" s="65" t="n">
        <f aca="false">IF(AND(Y272&lt;&gt;"",'Historical Score'!$C$7&lt;&gt;""),IF(Y272='Historical Score'!$C$7,1,0),0)</f>
        <v>1</v>
      </c>
      <c r="AT272" s="65" t="n">
        <f aca="false">IF(AND(K272&lt;&gt;"",'Historical Score'!$C$8&lt;&gt;""),IF(K272='Historical Score'!$C$8,1,0),0)</f>
        <v>1</v>
      </c>
      <c r="AU272" s="65" t="n">
        <f aca="false">IF(AND(J272&lt;&gt;"",'Historical Score'!$C$9&lt;&gt;""),IF(J272='Historical Score'!$C$9,1,0),0)</f>
        <v>0</v>
      </c>
      <c r="AV272" s="65" t="n">
        <f aca="false">AR272*AS272*AQ272</f>
        <v>0</v>
      </c>
      <c r="AW272" s="65" t="n">
        <f aca="false">AR272*AT272*AQ272</f>
        <v>0</v>
      </c>
      <c r="AX272" s="65" t="n">
        <f aca="false">AR272*AS272</f>
        <v>1</v>
      </c>
      <c r="AY272" s="65" t="n">
        <f aca="false">AR272*AT272</f>
        <v>1</v>
      </c>
      <c r="AZ272" s="65" t="n">
        <f aca="false">AR272*AQ272</f>
        <v>0</v>
      </c>
      <c r="BA272" s="65" t="n">
        <f aca="false">AR272</f>
        <v>1</v>
      </c>
      <c r="BB272" s="65" t="n">
        <f aca="false">1</f>
        <v>1</v>
      </c>
      <c r="BC272" s="65" t="n">
        <f aca="false">IF(AV272=1,1,IF(AW272=1,2,IF(AX272=1,3,IF(AY272=1,4,IF(AZ272=1,5,IF(BA272=1,6,7))))))</f>
        <v>3</v>
      </c>
      <c r="BD272" s="65" t="n">
        <f aca="false">IF(AD272=1,CHOOSE('Historical Score'!$C$29,AV272,AW272,AX272,AY272,AZ272,BA272,BB272),0)</f>
        <v>0</v>
      </c>
      <c r="BE272" s="65" t="str">
        <f aca="false">IF(BD272=1,COUNTIF($BD$2:BD272,1),"")</f>
        <v/>
      </c>
    </row>
    <row r="273" customFormat="false" ht="15" hidden="false" customHeight="false" outlineLevel="0" collapsed="false">
      <c r="A273" s="65" t="s">
        <v>1231</v>
      </c>
      <c r="B273" s="65" t="s">
        <v>1232</v>
      </c>
      <c r="C273" s="65" t="s">
        <v>1233</v>
      </c>
      <c r="D273" s="65" t="s">
        <v>371</v>
      </c>
      <c r="E273" s="112" t="n">
        <v>45931</v>
      </c>
      <c r="F273" s="112" t="n">
        <v>45996</v>
      </c>
      <c r="G273" s="65" t="n">
        <v>1</v>
      </c>
      <c r="H273" s="65" t="s">
        <v>1234</v>
      </c>
      <c r="I273" s="65" t="s">
        <v>915</v>
      </c>
      <c r="J273" s="65" t="s">
        <v>61</v>
      </c>
      <c r="K273" s="65" t="s">
        <v>961</v>
      </c>
      <c r="L273" s="65" t="s">
        <v>64</v>
      </c>
      <c r="M273" s="113" t="n">
        <v>1.4</v>
      </c>
      <c r="N273" s="114" t="n">
        <v>15000</v>
      </c>
      <c r="O273" s="114" t="n">
        <v>1950</v>
      </c>
      <c r="P273" s="114" t="n">
        <v>21000</v>
      </c>
      <c r="Q273" s="114" t="n">
        <v>21000</v>
      </c>
      <c r="R273" s="114" t="n">
        <v>0</v>
      </c>
      <c r="S273" s="115" t="n">
        <v>1</v>
      </c>
      <c r="T273" s="65" t="n">
        <v>28</v>
      </c>
      <c r="U273" s="65" t="n">
        <v>0</v>
      </c>
      <c r="W273" s="115" t="n">
        <v>0.0347</v>
      </c>
      <c r="X273" s="112" t="n">
        <v>45931</v>
      </c>
      <c r="Y273" s="65" t="str">
        <f aca="false">IF(I273="","No SIC",IFERROR(VLOOKUP(I273,Ref!$A$2:$B$65,2,FALSE()),"Unclassified"))</f>
        <v>Transportation Services</v>
      </c>
      <c r="Z273" s="65" t="str">
        <f aca="false">IF(T273="","",IF(T273&lt;12,"Daily","Weekly"))</f>
        <v>Weekly</v>
      </c>
      <c r="AA273" s="65" t="n">
        <f aca="false">IF(T273="",0,IF(T273&lt;12,T273*Controls!$B$29,T273*5))</f>
        <v>140</v>
      </c>
      <c r="AB273" s="65" t="n">
        <f aca="false">IF(E273="",0,NETWORKDAYS(E273,Controls!$B$36,Ref!$K$2:$K$42))</f>
        <v>226</v>
      </c>
      <c r="AC273" s="65" t="n">
        <f aca="false">IF(AND(AA273&gt;0,AB273&gt;=Controls!$B$39*AA273),1,0)</f>
        <v>1</v>
      </c>
      <c r="AD273" s="65" t="n">
        <f aca="false">IF(AND(E273&lt;&gt;"",E273&gt;=Controls!$B$37,E273&lt;=Controls!$B$38),1,0)</f>
        <v>1</v>
      </c>
      <c r="AE273" s="65" t="n">
        <f aca="false">IF(IFERROR(VLOOKUP(D273,Controls!$A$64:$E$74,2,FALSE()),"No")="Yes",1,0)</f>
        <v>0</v>
      </c>
      <c r="AF273" s="65" t="n">
        <f aca="false">IF(IFERROR(VLOOKUP(D273,Controls!$A$64:$E$74,3,FALSE()),"No")="Yes",1,0)</f>
        <v>1</v>
      </c>
      <c r="AG273" s="65" t="n">
        <f aca="false">IF(IFERROR(VLOOKUP(D273,Controls!$A$64:$E$74,4,FALSE()),"No")="Yes",1,0)</f>
        <v>1</v>
      </c>
      <c r="AH273" s="65" t="n">
        <f aca="false">IF(IFERROR(VLOOKUP(D273,Controls!$A$64:$E$74,5,FALSE()),"No")="Yes",1,0)</f>
        <v>0</v>
      </c>
      <c r="AI273" s="65" t="n">
        <f aca="false">IF(ISNUMBER(MATCH(D273,Controls!$A$64:$A$74,0)),1,0)</f>
        <v>1</v>
      </c>
      <c r="AJ273" s="65" t="n">
        <f aca="false">Q273-N273</f>
        <v>6000</v>
      </c>
      <c r="AK273" s="65" t="n">
        <f aca="false">IF(AE273=1,MAX(0,N273-Q273),0)</f>
        <v>0</v>
      </c>
      <c r="AL273" s="65" t="n">
        <f aca="false">IF(OR(V273="",V273=0),0,N273/V273)</f>
        <v>0</v>
      </c>
      <c r="AM273" s="65" t="n">
        <f aca="false">IF(OR(V273="",V273=0),0,1)</f>
        <v>0</v>
      </c>
      <c r="AN273" s="65" t="n">
        <f aca="false">IF(OR(E273="",F273=""),0,NETWORKDAYS(E273,F273,Ref!$K$2:$K$42))</f>
        <v>45</v>
      </c>
      <c r="AO273" s="65" t="n">
        <f aca="false">IF(L273="Renewal",1,0)</f>
        <v>0</v>
      </c>
      <c r="AP273" s="65" t="n">
        <f aca="false">AC273*AD273</f>
        <v>1</v>
      </c>
      <c r="AQ273" s="65" t="n">
        <f aca="false">IF(AND(G273&lt;&gt;"",'Historical Score'!$C$6&lt;&gt;""),IF(G273='Historical Score'!$C$6,1,0),0)</f>
        <v>0</v>
      </c>
      <c r="AR273" s="65" t="n">
        <f aca="false">IF(AND(L273&lt;&gt;"",'Historical Score'!$C$5&lt;&gt;""),IF(L273='Historical Score'!$C$5,1,0),0)</f>
        <v>1</v>
      </c>
      <c r="AS273" s="65" t="n">
        <f aca="false">IF(AND(Y273&lt;&gt;"",'Historical Score'!$C$7&lt;&gt;""),IF(Y273='Historical Score'!$C$7,1,0),0)</f>
        <v>0</v>
      </c>
      <c r="AT273" s="65" t="n">
        <f aca="false">IF(AND(K273&lt;&gt;"",'Historical Score'!$C$8&lt;&gt;""),IF(K273='Historical Score'!$C$8,1,0),0)</f>
        <v>0</v>
      </c>
      <c r="AU273" s="65" t="n">
        <f aca="false">IF(AND(J273&lt;&gt;"",'Historical Score'!$C$9&lt;&gt;""),IF(J273='Historical Score'!$C$9,1,0),0)</f>
        <v>1</v>
      </c>
      <c r="AV273" s="65" t="n">
        <f aca="false">AR273*AS273*AQ273</f>
        <v>0</v>
      </c>
      <c r="AW273" s="65" t="n">
        <f aca="false">AR273*AT273*AQ273</f>
        <v>0</v>
      </c>
      <c r="AX273" s="65" t="n">
        <f aca="false">AR273*AS273</f>
        <v>0</v>
      </c>
      <c r="AY273" s="65" t="n">
        <f aca="false">AR273*AT273</f>
        <v>0</v>
      </c>
      <c r="AZ273" s="65" t="n">
        <f aca="false">AR273*AQ273</f>
        <v>0</v>
      </c>
      <c r="BA273" s="65" t="n">
        <f aca="false">AR273</f>
        <v>1</v>
      </c>
      <c r="BB273" s="65" t="n">
        <f aca="false">1</f>
        <v>1</v>
      </c>
      <c r="BC273" s="65" t="n">
        <f aca="false">IF(AV273=1,1,IF(AW273=1,2,IF(AX273=1,3,IF(AY273=1,4,IF(AZ273=1,5,IF(BA273=1,6,7))))))</f>
        <v>6</v>
      </c>
      <c r="BD273" s="65" t="n">
        <f aca="false">IF(AD273=1,CHOOSE('Historical Score'!$C$29,AV273,AW273,AX273,AY273,AZ273,BA273,BB273),0)</f>
        <v>0</v>
      </c>
      <c r="BE273" s="65" t="str">
        <f aca="false">IF(BD273=1,COUNTIF($BD$2:BD273,1),"")</f>
        <v/>
      </c>
    </row>
    <row r="274" customFormat="false" ht="15" hidden="false" customHeight="false" outlineLevel="0" collapsed="false">
      <c r="A274" s="65" t="s">
        <v>1235</v>
      </c>
      <c r="B274" s="65" t="s">
        <v>1236</v>
      </c>
      <c r="C274" s="65" t="s">
        <v>1237</v>
      </c>
      <c r="D274" s="65" t="s">
        <v>371</v>
      </c>
      <c r="E274" s="112" t="n">
        <v>45931</v>
      </c>
      <c r="F274" s="112" t="n">
        <v>46051</v>
      </c>
      <c r="G274" s="65" t="n">
        <v>2</v>
      </c>
      <c r="H274" s="65" t="s">
        <v>409</v>
      </c>
      <c r="I274" s="65" t="s">
        <v>342</v>
      </c>
      <c r="J274" s="65" t="s">
        <v>510</v>
      </c>
      <c r="K274" s="65" t="s">
        <v>501</v>
      </c>
      <c r="L274" s="65" t="s">
        <v>64</v>
      </c>
      <c r="M274" s="113" t="n">
        <v>1.49</v>
      </c>
      <c r="N274" s="114" t="n">
        <v>35000</v>
      </c>
      <c r="O274" s="114" t="n">
        <v>4900</v>
      </c>
      <c r="P274" s="114" t="n">
        <v>52150</v>
      </c>
      <c r="Q274" s="114" t="n">
        <v>52150</v>
      </c>
      <c r="R274" s="114" t="n">
        <v>0</v>
      </c>
      <c r="S274" s="115" t="n">
        <v>1</v>
      </c>
      <c r="T274" s="65" t="n">
        <v>26</v>
      </c>
      <c r="U274" s="65" t="n">
        <v>0</v>
      </c>
      <c r="V274" s="65" t="n">
        <v>131755.44</v>
      </c>
      <c r="W274" s="115" t="n">
        <v>0.0609</v>
      </c>
      <c r="X274" s="112" t="n">
        <v>45320</v>
      </c>
      <c r="Y274" s="65" t="str">
        <f aca="false">IF(I274="","No SIC",IFERROR(VLOOKUP(I274,Ref!$A$2:$B$65,2,FALSE()),"Unclassified"))</f>
        <v>Eating &amp; Drinking Places</v>
      </c>
      <c r="Z274" s="65" t="str">
        <f aca="false">IF(T274="","",IF(T274&lt;12,"Daily","Weekly"))</f>
        <v>Weekly</v>
      </c>
      <c r="AA274" s="65" t="n">
        <f aca="false">IF(T274="",0,IF(T274&lt;12,T274*Controls!$B$29,T274*5))</f>
        <v>130</v>
      </c>
      <c r="AB274" s="65" t="n">
        <f aca="false">IF(E274="",0,NETWORKDAYS(E274,Controls!$B$36,Ref!$K$2:$K$42))</f>
        <v>226</v>
      </c>
      <c r="AC274" s="65" t="n">
        <f aca="false">IF(AND(AA274&gt;0,AB274&gt;=Controls!$B$39*AA274),1,0)</f>
        <v>1</v>
      </c>
      <c r="AD274" s="65" t="n">
        <f aca="false">IF(AND(E274&lt;&gt;"",E274&gt;=Controls!$B$37,E274&lt;=Controls!$B$38),1,0)</f>
        <v>1</v>
      </c>
      <c r="AE274" s="65" t="n">
        <f aca="false">IF(IFERROR(VLOOKUP(D274,Controls!$A$64:$E$74,2,FALSE()),"No")="Yes",1,0)</f>
        <v>0</v>
      </c>
      <c r="AF274" s="65" t="n">
        <f aca="false">IF(IFERROR(VLOOKUP(D274,Controls!$A$64:$E$74,3,FALSE()),"No")="Yes",1,0)</f>
        <v>1</v>
      </c>
      <c r="AG274" s="65" t="n">
        <f aca="false">IF(IFERROR(VLOOKUP(D274,Controls!$A$64:$E$74,4,FALSE()),"No")="Yes",1,0)</f>
        <v>1</v>
      </c>
      <c r="AH274" s="65" t="n">
        <f aca="false">IF(IFERROR(VLOOKUP(D274,Controls!$A$64:$E$74,5,FALSE()),"No")="Yes",1,0)</f>
        <v>0</v>
      </c>
      <c r="AI274" s="65" t="n">
        <f aca="false">IF(ISNUMBER(MATCH(D274,Controls!$A$64:$A$74,0)),1,0)</f>
        <v>1</v>
      </c>
      <c r="AJ274" s="65" t="n">
        <f aca="false">Q274-N274</f>
        <v>17150</v>
      </c>
      <c r="AK274" s="65" t="n">
        <f aca="false">IF(AE274=1,MAX(0,N274-Q274),0)</f>
        <v>0</v>
      </c>
      <c r="AL274" s="65" t="n">
        <f aca="false">IF(OR(V274="",V274=0),0,N274/V274)</f>
        <v>0.2656436804431</v>
      </c>
      <c r="AM274" s="65" t="n">
        <f aca="false">IF(OR(V274="",V274=0),0,1)</f>
        <v>1</v>
      </c>
      <c r="AN274" s="65" t="n">
        <f aca="false">IF(OR(E274="",F274=""),0,NETWORKDAYS(E274,F274,Ref!$K$2:$K$42))</f>
        <v>81</v>
      </c>
      <c r="AO274" s="65" t="n">
        <f aca="false">IF(L274="Renewal",1,0)</f>
        <v>0</v>
      </c>
      <c r="AP274" s="65" t="n">
        <f aca="false">AC274*AD274</f>
        <v>1</v>
      </c>
      <c r="AQ274" s="65" t="n">
        <f aca="false">IF(AND(G274&lt;&gt;"",'Historical Score'!$C$6&lt;&gt;""),IF(G274='Historical Score'!$C$6,1,0),0)</f>
        <v>1</v>
      </c>
      <c r="AR274" s="65" t="n">
        <f aca="false">IF(AND(L274&lt;&gt;"",'Historical Score'!$C$5&lt;&gt;""),IF(L274='Historical Score'!$C$5,1,0),0)</f>
        <v>1</v>
      </c>
      <c r="AS274" s="65" t="n">
        <f aca="false">IF(AND(Y274&lt;&gt;"",'Historical Score'!$C$7&lt;&gt;""),IF(Y274='Historical Score'!$C$7,1,0),0)</f>
        <v>0</v>
      </c>
      <c r="AT274" s="65" t="n">
        <f aca="false">IF(AND(K274&lt;&gt;"",'Historical Score'!$C$8&lt;&gt;""),IF(K274='Historical Score'!$C$8,1,0),0)</f>
        <v>0</v>
      </c>
      <c r="AU274" s="65" t="n">
        <f aca="false">IF(AND(J274&lt;&gt;"",'Historical Score'!$C$9&lt;&gt;""),IF(J274='Historical Score'!$C$9,1,0),0)</f>
        <v>0</v>
      </c>
      <c r="AV274" s="65" t="n">
        <f aca="false">AR274*AS274*AQ274</f>
        <v>0</v>
      </c>
      <c r="AW274" s="65" t="n">
        <f aca="false">AR274*AT274*AQ274</f>
        <v>0</v>
      </c>
      <c r="AX274" s="65" t="n">
        <f aca="false">AR274*AS274</f>
        <v>0</v>
      </c>
      <c r="AY274" s="65" t="n">
        <f aca="false">AR274*AT274</f>
        <v>0</v>
      </c>
      <c r="AZ274" s="65" t="n">
        <f aca="false">AR274*AQ274</f>
        <v>1</v>
      </c>
      <c r="BA274" s="65" t="n">
        <f aca="false">AR274</f>
        <v>1</v>
      </c>
      <c r="BB274" s="65" t="n">
        <f aca="false">1</f>
        <v>1</v>
      </c>
      <c r="BC274" s="65" t="n">
        <f aca="false">IF(AV274=1,1,IF(AW274=1,2,IF(AX274=1,3,IF(AY274=1,4,IF(AZ274=1,5,IF(BA274=1,6,7))))))</f>
        <v>5</v>
      </c>
      <c r="BD274" s="65" t="n">
        <f aca="false">IF(AD274=1,CHOOSE('Historical Score'!$C$29,AV274,AW274,AX274,AY274,AZ274,BA274,BB274),0)</f>
        <v>0</v>
      </c>
      <c r="BE274" s="65" t="str">
        <f aca="false">IF(BD274=1,COUNTIF($BD$2:BD274,1),"")</f>
        <v/>
      </c>
    </row>
    <row r="275" customFormat="false" ht="15" hidden="false" customHeight="false" outlineLevel="0" collapsed="false">
      <c r="A275" s="65" t="s">
        <v>1238</v>
      </c>
      <c r="B275" s="65" t="s">
        <v>1239</v>
      </c>
      <c r="C275" s="65" t="s">
        <v>1240</v>
      </c>
      <c r="D275" s="65" t="s">
        <v>371</v>
      </c>
      <c r="E275" s="112" t="n">
        <v>45932</v>
      </c>
      <c r="F275" s="112" t="n">
        <v>46073</v>
      </c>
      <c r="G275" s="65" t="n">
        <v>1</v>
      </c>
      <c r="H275" s="65" t="s">
        <v>372</v>
      </c>
      <c r="I275" s="65" t="s">
        <v>367</v>
      </c>
      <c r="J275" s="65" t="s">
        <v>452</v>
      </c>
      <c r="K275" s="65" t="s">
        <v>961</v>
      </c>
      <c r="L275" s="65" t="s">
        <v>64</v>
      </c>
      <c r="M275" s="113" t="n">
        <v>1.44</v>
      </c>
      <c r="N275" s="114" t="n">
        <v>30000</v>
      </c>
      <c r="O275" s="114" t="n">
        <v>4350</v>
      </c>
      <c r="P275" s="114" t="n">
        <v>43200</v>
      </c>
      <c r="Q275" s="114" t="n">
        <v>43200</v>
      </c>
      <c r="R275" s="114" t="n">
        <v>0</v>
      </c>
      <c r="S275" s="115" t="n">
        <v>1</v>
      </c>
      <c r="T275" s="65" t="n">
        <v>30</v>
      </c>
      <c r="U275" s="65" t="n">
        <v>0</v>
      </c>
      <c r="V275" s="65" t="n">
        <v>43565.36</v>
      </c>
      <c r="W275" s="115" t="n">
        <v>0.1322</v>
      </c>
      <c r="X275" s="112" t="n">
        <v>38596</v>
      </c>
      <c r="Y275" s="65" t="str">
        <f aca="false">IF(I275="","No SIC",IFERROR(VLOOKUP(I275,Ref!$A$2:$B$65,2,FALSE()),"Unclassified"))</f>
        <v>Engineering, Accounting &amp; Management</v>
      </c>
      <c r="Z275" s="65" t="str">
        <f aca="false">IF(T275="","",IF(T275&lt;12,"Daily","Weekly"))</f>
        <v>Weekly</v>
      </c>
      <c r="AA275" s="65" t="n">
        <f aca="false">IF(T275="",0,IF(T275&lt;12,T275*Controls!$B$29,T275*5))</f>
        <v>150</v>
      </c>
      <c r="AB275" s="65" t="n">
        <f aca="false">IF(E275="",0,NETWORKDAYS(E275,Controls!$B$36,Ref!$K$2:$K$42))</f>
        <v>225</v>
      </c>
      <c r="AC275" s="65" t="n">
        <f aca="false">IF(AND(AA275&gt;0,AB275&gt;=Controls!$B$39*AA275),1,0)</f>
        <v>1</v>
      </c>
      <c r="AD275" s="65" t="n">
        <f aca="false">IF(AND(E275&lt;&gt;"",E275&gt;=Controls!$B$37,E275&lt;=Controls!$B$38),1,0)</f>
        <v>1</v>
      </c>
      <c r="AE275" s="65" t="n">
        <f aca="false">IF(IFERROR(VLOOKUP(D275,Controls!$A$64:$E$74,2,FALSE()),"No")="Yes",1,0)</f>
        <v>0</v>
      </c>
      <c r="AF275" s="65" t="n">
        <f aca="false">IF(IFERROR(VLOOKUP(D275,Controls!$A$64:$E$74,3,FALSE()),"No")="Yes",1,0)</f>
        <v>1</v>
      </c>
      <c r="AG275" s="65" t="n">
        <f aca="false">IF(IFERROR(VLOOKUP(D275,Controls!$A$64:$E$74,4,FALSE()),"No")="Yes",1,0)</f>
        <v>1</v>
      </c>
      <c r="AH275" s="65" t="n">
        <f aca="false">IF(IFERROR(VLOOKUP(D275,Controls!$A$64:$E$74,5,FALSE()),"No")="Yes",1,0)</f>
        <v>0</v>
      </c>
      <c r="AI275" s="65" t="n">
        <f aca="false">IF(ISNUMBER(MATCH(D275,Controls!$A$64:$A$74,0)),1,0)</f>
        <v>1</v>
      </c>
      <c r="AJ275" s="65" t="n">
        <f aca="false">Q275-N275</f>
        <v>13200</v>
      </c>
      <c r="AK275" s="65" t="n">
        <f aca="false">IF(AE275=1,MAX(0,N275-Q275),0)</f>
        <v>0</v>
      </c>
      <c r="AL275" s="65" t="n">
        <f aca="false">IF(OR(V275="",V275=0),0,N275/V275)</f>
        <v>0.688620500324111</v>
      </c>
      <c r="AM275" s="65" t="n">
        <f aca="false">IF(OR(V275="",V275=0),0,1)</f>
        <v>1</v>
      </c>
      <c r="AN275" s="65" t="n">
        <f aca="false">IF(OR(E275="",F275=""),0,NETWORKDAYS(E275,F275,Ref!$K$2:$K$42))</f>
        <v>95</v>
      </c>
      <c r="AO275" s="65" t="n">
        <f aca="false">IF(L275="Renewal",1,0)</f>
        <v>0</v>
      </c>
      <c r="AP275" s="65" t="n">
        <f aca="false">AC275*AD275</f>
        <v>1</v>
      </c>
      <c r="AQ275" s="65" t="n">
        <f aca="false">IF(AND(G275&lt;&gt;"",'Historical Score'!$C$6&lt;&gt;""),IF(G275='Historical Score'!$C$6,1,0),0)</f>
        <v>0</v>
      </c>
      <c r="AR275" s="65" t="n">
        <f aca="false">IF(AND(L275&lt;&gt;"",'Historical Score'!$C$5&lt;&gt;""),IF(L275='Historical Score'!$C$5,1,0),0)</f>
        <v>1</v>
      </c>
      <c r="AS275" s="65" t="n">
        <f aca="false">IF(AND(Y275&lt;&gt;"",'Historical Score'!$C$7&lt;&gt;""),IF(Y275='Historical Score'!$C$7,1,0),0)</f>
        <v>0</v>
      </c>
      <c r="AT275" s="65" t="n">
        <f aca="false">IF(AND(K275&lt;&gt;"",'Historical Score'!$C$8&lt;&gt;""),IF(K275='Historical Score'!$C$8,1,0),0)</f>
        <v>0</v>
      </c>
      <c r="AU275" s="65" t="n">
        <f aca="false">IF(AND(J275&lt;&gt;"",'Historical Score'!$C$9&lt;&gt;""),IF(J275='Historical Score'!$C$9,1,0),0)</f>
        <v>0</v>
      </c>
      <c r="AV275" s="65" t="n">
        <f aca="false">AR275*AS275*AQ275</f>
        <v>0</v>
      </c>
      <c r="AW275" s="65" t="n">
        <f aca="false">AR275*AT275*AQ275</f>
        <v>0</v>
      </c>
      <c r="AX275" s="65" t="n">
        <f aca="false">AR275*AS275</f>
        <v>0</v>
      </c>
      <c r="AY275" s="65" t="n">
        <f aca="false">AR275*AT275</f>
        <v>0</v>
      </c>
      <c r="AZ275" s="65" t="n">
        <f aca="false">AR275*AQ275</f>
        <v>0</v>
      </c>
      <c r="BA275" s="65" t="n">
        <f aca="false">AR275</f>
        <v>1</v>
      </c>
      <c r="BB275" s="65" t="n">
        <f aca="false">1</f>
        <v>1</v>
      </c>
      <c r="BC275" s="65" t="n">
        <f aca="false">IF(AV275=1,1,IF(AW275=1,2,IF(AX275=1,3,IF(AY275=1,4,IF(AZ275=1,5,IF(BA275=1,6,7))))))</f>
        <v>6</v>
      </c>
      <c r="BD275" s="65" t="n">
        <f aca="false">IF(AD275=1,CHOOSE('Historical Score'!$C$29,AV275,AW275,AX275,AY275,AZ275,BA275,BB275),0)</f>
        <v>0</v>
      </c>
      <c r="BE275" s="65" t="str">
        <f aca="false">IF(BD275=1,COUNTIF($BD$2:BD275,1),"")</f>
        <v/>
      </c>
    </row>
    <row r="276" customFormat="false" ht="15" hidden="false" customHeight="false" outlineLevel="0" collapsed="false">
      <c r="A276" s="65" t="s">
        <v>1241</v>
      </c>
      <c r="B276" s="65" t="s">
        <v>1242</v>
      </c>
      <c r="C276" s="65" t="s">
        <v>1242</v>
      </c>
      <c r="D276" s="65" t="s">
        <v>371</v>
      </c>
      <c r="E276" s="112" t="n">
        <v>45933</v>
      </c>
      <c r="F276" s="112" t="n">
        <v>46000</v>
      </c>
      <c r="G276" s="65" t="n">
        <v>5</v>
      </c>
      <c r="H276" s="65" t="s">
        <v>451</v>
      </c>
      <c r="I276" s="65" t="s">
        <v>425</v>
      </c>
      <c r="J276" s="65" t="s">
        <v>61</v>
      </c>
      <c r="K276" s="65" t="s">
        <v>581</v>
      </c>
      <c r="L276" s="65" t="s">
        <v>64</v>
      </c>
      <c r="M276" s="113" t="n">
        <v>1.499</v>
      </c>
      <c r="N276" s="114" t="n">
        <v>20000</v>
      </c>
      <c r="O276" s="114" t="n">
        <v>2800</v>
      </c>
      <c r="P276" s="114" t="n">
        <v>29980</v>
      </c>
      <c r="Q276" s="114" t="n">
        <v>29980</v>
      </c>
      <c r="R276" s="114" t="n">
        <v>3.63797880709171E-012</v>
      </c>
      <c r="S276" s="115" t="n">
        <v>1</v>
      </c>
      <c r="T276" s="65" t="n">
        <v>2.623</v>
      </c>
      <c r="U276" s="65" t="n">
        <v>0</v>
      </c>
      <c r="V276" s="65" t="n">
        <v>54257.4</v>
      </c>
      <c r="W276" s="115" t="n">
        <v>0.1432</v>
      </c>
      <c r="X276" s="112" t="n">
        <v>43910</v>
      </c>
      <c r="Y276" s="65" t="str">
        <f aca="false">IF(I276="","No SIC",IFERROR(VLOOKUP(I276,Ref!$A$2:$B$65,2,FALSE()),"Unclassified"))</f>
        <v>Personal Services</v>
      </c>
      <c r="Z276" s="65" t="str">
        <f aca="false">IF(T276="","",IF(T276&lt;12,"Daily","Weekly"))</f>
        <v>Daily</v>
      </c>
      <c r="AA276" s="65" t="n">
        <f aca="false">IF(T276="",0,IF(T276&lt;12,T276*Controls!$B$29,T276*5))</f>
        <v>56.801065</v>
      </c>
      <c r="AB276" s="65" t="n">
        <f aca="false">IF(E276="",0,NETWORKDAYS(E276,Controls!$B$36,Ref!$K$2:$K$42))</f>
        <v>224</v>
      </c>
      <c r="AC276" s="65" t="n">
        <f aca="false">IF(AND(AA276&gt;0,AB276&gt;=Controls!$B$39*AA276),1,0)</f>
        <v>1</v>
      </c>
      <c r="AD276" s="65" t="n">
        <f aca="false">IF(AND(E276&lt;&gt;"",E276&gt;=Controls!$B$37,E276&lt;=Controls!$B$38),1,0)</f>
        <v>1</v>
      </c>
      <c r="AE276" s="65" t="n">
        <f aca="false">IF(IFERROR(VLOOKUP(D276,Controls!$A$64:$E$74,2,FALSE()),"No")="Yes",1,0)</f>
        <v>0</v>
      </c>
      <c r="AF276" s="65" t="n">
        <f aca="false">IF(IFERROR(VLOOKUP(D276,Controls!$A$64:$E$74,3,FALSE()),"No")="Yes",1,0)</f>
        <v>1</v>
      </c>
      <c r="AG276" s="65" t="n">
        <f aca="false">IF(IFERROR(VLOOKUP(D276,Controls!$A$64:$E$74,4,FALSE()),"No")="Yes",1,0)</f>
        <v>1</v>
      </c>
      <c r="AH276" s="65" t="n">
        <f aca="false">IF(IFERROR(VLOOKUP(D276,Controls!$A$64:$E$74,5,FALSE()),"No")="Yes",1,0)</f>
        <v>0</v>
      </c>
      <c r="AI276" s="65" t="n">
        <f aca="false">IF(ISNUMBER(MATCH(D276,Controls!$A$64:$A$74,0)),1,0)</f>
        <v>1</v>
      </c>
      <c r="AJ276" s="65" t="n">
        <f aca="false">Q276-N276</f>
        <v>9980</v>
      </c>
      <c r="AK276" s="65" t="n">
        <f aca="false">IF(AE276=1,MAX(0,N276-Q276),0)</f>
        <v>0</v>
      </c>
      <c r="AL276" s="65" t="n">
        <f aca="false">IF(OR(V276="",V276=0),0,N276/V276)</f>
        <v>0.36861331357566</v>
      </c>
      <c r="AM276" s="65" t="n">
        <f aca="false">IF(OR(V276="",V276=0),0,1)</f>
        <v>1</v>
      </c>
      <c r="AN276" s="65" t="n">
        <f aca="false">IF(OR(E276="",F276=""),0,NETWORKDAYS(E276,F276,Ref!$K$2:$K$42))</f>
        <v>45</v>
      </c>
      <c r="AO276" s="65" t="n">
        <f aca="false">IF(L276="Renewal",1,0)</f>
        <v>0</v>
      </c>
      <c r="AP276" s="65" t="n">
        <f aca="false">AC276*AD276</f>
        <v>1</v>
      </c>
      <c r="AQ276" s="65" t="n">
        <f aca="false">IF(AND(G276&lt;&gt;"",'Historical Score'!$C$6&lt;&gt;""),IF(G276='Historical Score'!$C$6,1,0),0)</f>
        <v>0</v>
      </c>
      <c r="AR276" s="65" t="n">
        <f aca="false">IF(AND(L276&lt;&gt;"",'Historical Score'!$C$5&lt;&gt;""),IF(L276='Historical Score'!$C$5,1,0),0)</f>
        <v>1</v>
      </c>
      <c r="AS276" s="65" t="n">
        <f aca="false">IF(AND(Y276&lt;&gt;"",'Historical Score'!$C$7&lt;&gt;""),IF(Y276='Historical Score'!$C$7,1,0),0)</f>
        <v>0</v>
      </c>
      <c r="AT276" s="65" t="n">
        <f aca="false">IF(AND(K276&lt;&gt;"",'Historical Score'!$C$8&lt;&gt;""),IF(K276='Historical Score'!$C$8,1,0),0)</f>
        <v>0</v>
      </c>
      <c r="AU276" s="65" t="n">
        <f aca="false">IF(AND(J276&lt;&gt;"",'Historical Score'!$C$9&lt;&gt;""),IF(J276='Historical Score'!$C$9,1,0),0)</f>
        <v>1</v>
      </c>
      <c r="AV276" s="65" t="n">
        <f aca="false">AR276*AS276*AQ276</f>
        <v>0</v>
      </c>
      <c r="AW276" s="65" t="n">
        <f aca="false">AR276*AT276*AQ276</f>
        <v>0</v>
      </c>
      <c r="AX276" s="65" t="n">
        <f aca="false">AR276*AS276</f>
        <v>0</v>
      </c>
      <c r="AY276" s="65" t="n">
        <f aca="false">AR276*AT276</f>
        <v>0</v>
      </c>
      <c r="AZ276" s="65" t="n">
        <f aca="false">AR276*AQ276</f>
        <v>0</v>
      </c>
      <c r="BA276" s="65" t="n">
        <f aca="false">AR276</f>
        <v>1</v>
      </c>
      <c r="BB276" s="65" t="n">
        <f aca="false">1</f>
        <v>1</v>
      </c>
      <c r="BC276" s="65" t="n">
        <f aca="false">IF(AV276=1,1,IF(AW276=1,2,IF(AX276=1,3,IF(AY276=1,4,IF(AZ276=1,5,IF(BA276=1,6,7))))))</f>
        <v>6</v>
      </c>
      <c r="BD276" s="65" t="n">
        <f aca="false">IF(AD276=1,CHOOSE('Historical Score'!$C$29,AV276,AW276,AX276,AY276,AZ276,BA276,BB276),0)</f>
        <v>0</v>
      </c>
      <c r="BE276" s="65" t="str">
        <f aca="false">IF(BD276=1,COUNTIF($BD$2:BD276,1),"")</f>
        <v/>
      </c>
    </row>
    <row r="277" customFormat="false" ht="15" hidden="false" customHeight="false" outlineLevel="0" collapsed="false">
      <c r="A277" s="65" t="s">
        <v>1243</v>
      </c>
      <c r="B277" s="65" t="s">
        <v>1244</v>
      </c>
      <c r="C277" s="65" t="s">
        <v>1245</v>
      </c>
      <c r="D277" s="65" t="s">
        <v>340</v>
      </c>
      <c r="E277" s="112" t="n">
        <v>45933</v>
      </c>
      <c r="F277" s="112" t="n">
        <v>45968</v>
      </c>
      <c r="G277" s="65" t="n">
        <v>1</v>
      </c>
      <c r="H277" s="65" t="s">
        <v>1246</v>
      </c>
      <c r="I277" s="65" t="s">
        <v>405</v>
      </c>
      <c r="J277" s="65" t="s">
        <v>61</v>
      </c>
      <c r="K277" s="65" t="s">
        <v>1047</v>
      </c>
      <c r="L277" s="65" t="s">
        <v>64</v>
      </c>
      <c r="M277" s="113" t="n">
        <v>1.34</v>
      </c>
      <c r="N277" s="114" t="n">
        <v>25000</v>
      </c>
      <c r="O277" s="114" t="n">
        <v>1500</v>
      </c>
      <c r="P277" s="114" t="n">
        <v>33500</v>
      </c>
      <c r="Q277" s="114" t="n">
        <v>2393.62</v>
      </c>
      <c r="R277" s="114" t="n">
        <v>31106.38</v>
      </c>
      <c r="S277" s="115" t="n">
        <v>0.0714513432835821</v>
      </c>
      <c r="T277" s="65" t="n">
        <v>28</v>
      </c>
      <c r="U277" s="65" t="n">
        <v>3</v>
      </c>
      <c r="V277" s="65" t="n">
        <v>35619.4</v>
      </c>
      <c r="W277" s="115" t="n">
        <v>0.1344</v>
      </c>
      <c r="X277" s="112" t="n">
        <v>44393</v>
      </c>
      <c r="Y277" s="65" t="str">
        <f aca="false">IF(I277="","No SIC",IFERROR(VLOOKUP(I277,Ref!$A$2:$B$65,2,FALSE()),"Unclassified"))</f>
        <v>Health Services</v>
      </c>
      <c r="Z277" s="65" t="str">
        <f aca="false">IF(T277="","",IF(T277&lt;12,"Daily","Weekly"))</f>
        <v>Weekly</v>
      </c>
      <c r="AA277" s="65" t="n">
        <f aca="false">IF(T277="",0,IF(T277&lt;12,T277*Controls!$B$29,T277*5))</f>
        <v>140</v>
      </c>
      <c r="AB277" s="65" t="n">
        <f aca="false">IF(E277="",0,NETWORKDAYS(E277,Controls!$B$36,Ref!$K$2:$K$42))</f>
        <v>224</v>
      </c>
      <c r="AC277" s="65" t="n">
        <f aca="false">IF(AND(AA277&gt;0,AB277&gt;=Controls!$B$39*AA277),1,0)</f>
        <v>1</v>
      </c>
      <c r="AD277" s="65" t="n">
        <f aca="false">IF(AND(E277&lt;&gt;"",E277&gt;=Controls!$B$37,E277&lt;=Controls!$B$38),1,0)</f>
        <v>1</v>
      </c>
      <c r="AE277" s="65" t="n">
        <f aca="false">IF(IFERROR(VLOOKUP(D277,Controls!$A$64:$E$74,2,FALSE()),"No")="Yes",1,0)</f>
        <v>1</v>
      </c>
      <c r="AF277" s="65" t="n">
        <f aca="false">IF(IFERROR(VLOOKUP(D277,Controls!$A$64:$E$74,3,FALSE()),"No")="Yes",1,0)</f>
        <v>0</v>
      </c>
      <c r="AG277" s="65" t="n">
        <f aca="false">IF(IFERROR(VLOOKUP(D277,Controls!$A$64:$E$74,4,FALSE()),"No")="Yes",1,0)</f>
        <v>0</v>
      </c>
      <c r="AH277" s="65" t="n">
        <f aca="false">IF(IFERROR(VLOOKUP(D277,Controls!$A$64:$E$74,5,FALSE()),"No")="Yes",1,0)</f>
        <v>0</v>
      </c>
      <c r="AI277" s="65" t="n">
        <f aca="false">IF(ISNUMBER(MATCH(D277,Controls!$A$64:$A$74,0)),1,0)</f>
        <v>1</v>
      </c>
      <c r="AJ277" s="65" t="n">
        <f aca="false">Q277-N277</f>
        <v>-22606.38</v>
      </c>
      <c r="AK277" s="65" t="n">
        <f aca="false">IF(AE277=1,MAX(0,N277-Q277),0)</f>
        <v>22606.38</v>
      </c>
      <c r="AL277" s="65" t="n">
        <f aca="false">IF(OR(V277="",V277=0),0,N277/V277)</f>
        <v>0.701864714172614</v>
      </c>
      <c r="AM277" s="65" t="n">
        <f aca="false">IF(OR(V277="",V277=0),0,1)</f>
        <v>1</v>
      </c>
      <c r="AN277" s="65" t="n">
        <f aca="false">IF(OR(E277="",F277=""),0,NETWORKDAYS(E277,F277,Ref!$K$2:$K$42))</f>
        <v>25</v>
      </c>
      <c r="AO277" s="65" t="n">
        <f aca="false">IF(L277="Renewal",1,0)</f>
        <v>0</v>
      </c>
      <c r="AP277" s="65" t="n">
        <f aca="false">AC277*AD277</f>
        <v>1</v>
      </c>
      <c r="AQ277" s="65" t="n">
        <f aca="false">IF(AND(G277&lt;&gt;"",'Historical Score'!$C$6&lt;&gt;""),IF(G277='Historical Score'!$C$6,1,0),0)</f>
        <v>0</v>
      </c>
      <c r="AR277" s="65" t="n">
        <f aca="false">IF(AND(L277&lt;&gt;"",'Historical Score'!$C$5&lt;&gt;""),IF(L277='Historical Score'!$C$5,1,0),0)</f>
        <v>1</v>
      </c>
      <c r="AS277" s="65" t="n">
        <f aca="false">IF(AND(Y277&lt;&gt;"",'Historical Score'!$C$7&lt;&gt;""),IF(Y277='Historical Score'!$C$7,1,0),0)</f>
        <v>0</v>
      </c>
      <c r="AT277" s="65" t="n">
        <f aca="false">IF(AND(K277&lt;&gt;"",'Historical Score'!$C$8&lt;&gt;""),IF(K277='Historical Score'!$C$8,1,0),0)</f>
        <v>0</v>
      </c>
      <c r="AU277" s="65" t="n">
        <f aca="false">IF(AND(J277&lt;&gt;"",'Historical Score'!$C$9&lt;&gt;""),IF(J277='Historical Score'!$C$9,1,0),0)</f>
        <v>1</v>
      </c>
      <c r="AV277" s="65" t="n">
        <f aca="false">AR277*AS277*AQ277</f>
        <v>0</v>
      </c>
      <c r="AW277" s="65" t="n">
        <f aca="false">AR277*AT277*AQ277</f>
        <v>0</v>
      </c>
      <c r="AX277" s="65" t="n">
        <f aca="false">AR277*AS277</f>
        <v>0</v>
      </c>
      <c r="AY277" s="65" t="n">
        <f aca="false">AR277*AT277</f>
        <v>0</v>
      </c>
      <c r="AZ277" s="65" t="n">
        <f aca="false">AR277*AQ277</f>
        <v>0</v>
      </c>
      <c r="BA277" s="65" t="n">
        <f aca="false">AR277</f>
        <v>1</v>
      </c>
      <c r="BB277" s="65" t="n">
        <f aca="false">1</f>
        <v>1</v>
      </c>
      <c r="BC277" s="65" t="n">
        <f aca="false">IF(AV277=1,1,IF(AW277=1,2,IF(AX277=1,3,IF(AY277=1,4,IF(AZ277=1,5,IF(BA277=1,6,7))))))</f>
        <v>6</v>
      </c>
      <c r="BD277" s="65" t="n">
        <f aca="false">IF(AD277=1,CHOOSE('Historical Score'!$C$29,AV277,AW277,AX277,AY277,AZ277,BA277,BB277),0)</f>
        <v>0</v>
      </c>
      <c r="BE277" s="65" t="str">
        <f aca="false">IF(BD277=1,COUNTIF($BD$2:BD277,1),"")</f>
        <v/>
      </c>
    </row>
    <row r="278" customFormat="false" ht="15" hidden="false" customHeight="false" outlineLevel="0" collapsed="false">
      <c r="A278" s="65" t="s">
        <v>1247</v>
      </c>
      <c r="B278" s="65" t="s">
        <v>1248</v>
      </c>
      <c r="C278" s="65" t="s">
        <v>1248</v>
      </c>
      <c r="D278" s="65" t="s">
        <v>371</v>
      </c>
      <c r="E278" s="112" t="n">
        <v>45933</v>
      </c>
      <c r="F278" s="112" t="n">
        <v>46139</v>
      </c>
      <c r="G278" s="65" t="n">
        <v>4</v>
      </c>
      <c r="H278" s="65" t="s">
        <v>409</v>
      </c>
      <c r="I278" s="65" t="s">
        <v>342</v>
      </c>
      <c r="J278" s="65" t="s">
        <v>399</v>
      </c>
      <c r="K278" s="65" t="s">
        <v>1249</v>
      </c>
      <c r="L278" s="65" t="s">
        <v>64</v>
      </c>
      <c r="M278" s="113" t="n">
        <v>1.49</v>
      </c>
      <c r="N278" s="114" t="n">
        <v>15000</v>
      </c>
      <c r="O278" s="114" t="n">
        <v>2100</v>
      </c>
      <c r="P278" s="114" t="n">
        <v>22350</v>
      </c>
      <c r="Q278" s="114" t="n">
        <v>22350</v>
      </c>
      <c r="R278" s="114" t="n">
        <v>0</v>
      </c>
      <c r="S278" s="115" t="n">
        <v>1</v>
      </c>
      <c r="T278" s="65" t="n">
        <v>2.787</v>
      </c>
      <c r="U278" s="65" t="n">
        <v>54</v>
      </c>
      <c r="V278" s="65" t="n">
        <v>207972</v>
      </c>
      <c r="W278" s="115"/>
      <c r="X278" s="112" t="n">
        <v>44597</v>
      </c>
      <c r="Y278" s="65" t="str">
        <f aca="false">IF(I278="","No SIC",IFERROR(VLOOKUP(I278,Ref!$A$2:$B$65,2,FALSE()),"Unclassified"))</f>
        <v>Eating &amp; Drinking Places</v>
      </c>
      <c r="Z278" s="65" t="str">
        <f aca="false">IF(T278="","",IF(T278&lt;12,"Daily","Weekly"))</f>
        <v>Daily</v>
      </c>
      <c r="AA278" s="65" t="n">
        <f aca="false">IF(T278="",0,IF(T278&lt;12,T278*Controls!$B$29,T278*5))</f>
        <v>60.352485</v>
      </c>
      <c r="AB278" s="65" t="n">
        <f aca="false">IF(E278="",0,NETWORKDAYS(E278,Controls!$B$36,Ref!$K$2:$K$42))</f>
        <v>224</v>
      </c>
      <c r="AC278" s="65" t="n">
        <f aca="false">IF(AND(AA278&gt;0,AB278&gt;=Controls!$B$39*AA278),1,0)</f>
        <v>1</v>
      </c>
      <c r="AD278" s="65" t="n">
        <f aca="false">IF(AND(E278&lt;&gt;"",E278&gt;=Controls!$B$37,E278&lt;=Controls!$B$38),1,0)</f>
        <v>1</v>
      </c>
      <c r="AE278" s="65" t="n">
        <f aca="false">IF(IFERROR(VLOOKUP(D278,Controls!$A$64:$E$74,2,FALSE()),"No")="Yes",1,0)</f>
        <v>0</v>
      </c>
      <c r="AF278" s="65" t="n">
        <f aca="false">IF(IFERROR(VLOOKUP(D278,Controls!$A$64:$E$74,3,FALSE()),"No")="Yes",1,0)</f>
        <v>1</v>
      </c>
      <c r="AG278" s="65" t="n">
        <f aca="false">IF(IFERROR(VLOOKUP(D278,Controls!$A$64:$E$74,4,FALSE()),"No")="Yes",1,0)</f>
        <v>1</v>
      </c>
      <c r="AH278" s="65" t="n">
        <f aca="false">IF(IFERROR(VLOOKUP(D278,Controls!$A$64:$E$74,5,FALSE()),"No")="Yes",1,0)</f>
        <v>0</v>
      </c>
      <c r="AI278" s="65" t="n">
        <f aca="false">IF(ISNUMBER(MATCH(D278,Controls!$A$64:$A$74,0)),1,0)</f>
        <v>1</v>
      </c>
      <c r="AJ278" s="65" t="n">
        <f aca="false">Q278-N278</f>
        <v>7350</v>
      </c>
      <c r="AK278" s="65" t="n">
        <f aca="false">IF(AE278=1,MAX(0,N278-Q278),0)</f>
        <v>0</v>
      </c>
      <c r="AL278" s="65" t="n">
        <f aca="false">IF(OR(V278="",V278=0),0,N278/V278)</f>
        <v>0.0721250937626219</v>
      </c>
      <c r="AM278" s="65" t="n">
        <f aca="false">IF(OR(V278="",V278=0),0,1)</f>
        <v>1</v>
      </c>
      <c r="AN278" s="65" t="n">
        <f aca="false">IF(OR(E278="",F278=""),0,NETWORKDAYS(E278,F278,Ref!$K$2:$K$42))</f>
        <v>140</v>
      </c>
      <c r="AO278" s="65" t="n">
        <f aca="false">IF(L278="Renewal",1,0)</f>
        <v>0</v>
      </c>
      <c r="AP278" s="65" t="n">
        <f aca="false">AC278*AD278</f>
        <v>1</v>
      </c>
      <c r="AQ278" s="65" t="n">
        <f aca="false">IF(AND(G278&lt;&gt;"",'Historical Score'!$C$6&lt;&gt;""),IF(G278='Historical Score'!$C$6,1,0),0)</f>
        <v>0</v>
      </c>
      <c r="AR278" s="65" t="n">
        <f aca="false">IF(AND(L278&lt;&gt;"",'Historical Score'!$C$5&lt;&gt;""),IF(L278='Historical Score'!$C$5,1,0),0)</f>
        <v>1</v>
      </c>
      <c r="AS278" s="65" t="n">
        <f aca="false">IF(AND(Y278&lt;&gt;"",'Historical Score'!$C$7&lt;&gt;""),IF(Y278='Historical Score'!$C$7,1,0),0)</f>
        <v>0</v>
      </c>
      <c r="AT278" s="65" t="n">
        <f aca="false">IF(AND(K278&lt;&gt;"",'Historical Score'!$C$8&lt;&gt;""),IF(K278='Historical Score'!$C$8,1,0),0)</f>
        <v>0</v>
      </c>
      <c r="AU278" s="65" t="n">
        <f aca="false">IF(AND(J278&lt;&gt;"",'Historical Score'!$C$9&lt;&gt;""),IF(J278='Historical Score'!$C$9,1,0),0)</f>
        <v>0</v>
      </c>
      <c r="AV278" s="65" t="n">
        <f aca="false">AR278*AS278*AQ278</f>
        <v>0</v>
      </c>
      <c r="AW278" s="65" t="n">
        <f aca="false">AR278*AT278*AQ278</f>
        <v>0</v>
      </c>
      <c r="AX278" s="65" t="n">
        <f aca="false">AR278*AS278</f>
        <v>0</v>
      </c>
      <c r="AY278" s="65" t="n">
        <f aca="false">AR278*AT278</f>
        <v>0</v>
      </c>
      <c r="AZ278" s="65" t="n">
        <f aca="false">AR278*AQ278</f>
        <v>0</v>
      </c>
      <c r="BA278" s="65" t="n">
        <f aca="false">AR278</f>
        <v>1</v>
      </c>
      <c r="BB278" s="65" t="n">
        <f aca="false">1</f>
        <v>1</v>
      </c>
      <c r="BC278" s="65" t="n">
        <f aca="false">IF(AV278=1,1,IF(AW278=1,2,IF(AX278=1,3,IF(AY278=1,4,IF(AZ278=1,5,IF(BA278=1,6,7))))))</f>
        <v>6</v>
      </c>
      <c r="BD278" s="65" t="n">
        <f aca="false">IF(AD278=1,CHOOSE('Historical Score'!$C$29,AV278,AW278,AX278,AY278,AZ278,BA278,BB278),0)</f>
        <v>0</v>
      </c>
      <c r="BE278" s="65" t="str">
        <f aca="false">IF(BD278=1,COUNTIF($BD$2:BD278,1),"")</f>
        <v/>
      </c>
    </row>
    <row r="279" customFormat="false" ht="15" hidden="false" customHeight="false" outlineLevel="0" collapsed="false">
      <c r="A279" s="65" t="s">
        <v>1250</v>
      </c>
      <c r="B279" s="65" t="s">
        <v>1251</v>
      </c>
      <c r="C279" s="65" t="s">
        <v>1251</v>
      </c>
      <c r="D279" s="65" t="s">
        <v>340</v>
      </c>
      <c r="E279" s="112" t="n">
        <v>45936</v>
      </c>
      <c r="F279" s="112" t="n">
        <v>46127</v>
      </c>
      <c r="G279" s="65" t="n">
        <v>3</v>
      </c>
      <c r="H279" s="65" t="s">
        <v>1149</v>
      </c>
      <c r="I279" s="65" t="s">
        <v>419</v>
      </c>
      <c r="J279" s="65" t="s">
        <v>350</v>
      </c>
      <c r="K279" s="65" t="s">
        <v>1047</v>
      </c>
      <c r="L279" s="65" t="s">
        <v>64</v>
      </c>
      <c r="M279" s="113" t="n">
        <v>1.44</v>
      </c>
      <c r="N279" s="114" t="n">
        <v>6000</v>
      </c>
      <c r="O279" s="114" t="n">
        <v>690</v>
      </c>
      <c r="P279" s="114" t="n">
        <v>8640</v>
      </c>
      <c r="Q279" s="114" t="n">
        <v>4226.63</v>
      </c>
      <c r="R279" s="114" t="n">
        <v>4413.37</v>
      </c>
      <c r="S279" s="115" t="n">
        <v>0.489193287037037</v>
      </c>
      <c r="T279" s="65" t="n">
        <v>2.951</v>
      </c>
      <c r="U279" s="65" t="n">
        <v>21</v>
      </c>
      <c r="V279" s="65" t="n">
        <v>28231.97</v>
      </c>
      <c r="W279" s="115" t="n">
        <v>0.0714</v>
      </c>
      <c r="X279" s="112" t="n">
        <v>44193</v>
      </c>
      <c r="Y279" s="65" t="str">
        <f aca="false">IF(I279="","No SIC",IFERROR(VLOOKUP(I279,Ref!$A$2:$B$65,2,FALSE()),"Unclassified"))</f>
        <v>Business Services</v>
      </c>
      <c r="Z279" s="65" t="str">
        <f aca="false">IF(T279="","",IF(T279&lt;12,"Daily","Weekly"))</f>
        <v>Daily</v>
      </c>
      <c r="AA279" s="65" t="n">
        <f aca="false">IF(T279="",0,IF(T279&lt;12,T279*Controls!$B$29,T279*5))</f>
        <v>63.903905</v>
      </c>
      <c r="AB279" s="65" t="n">
        <f aca="false">IF(E279="",0,NETWORKDAYS(E279,Controls!$B$36,Ref!$K$2:$K$42))</f>
        <v>223</v>
      </c>
      <c r="AC279" s="65" t="n">
        <f aca="false">IF(AND(AA279&gt;0,AB279&gt;=Controls!$B$39*AA279),1,0)</f>
        <v>1</v>
      </c>
      <c r="AD279" s="65" t="n">
        <f aca="false">IF(AND(E279&lt;&gt;"",E279&gt;=Controls!$B$37,E279&lt;=Controls!$B$38),1,0)</f>
        <v>1</v>
      </c>
      <c r="AE279" s="65" t="n">
        <f aca="false">IF(IFERROR(VLOOKUP(D279,Controls!$A$64:$E$74,2,FALSE()),"No")="Yes",1,0)</f>
        <v>1</v>
      </c>
      <c r="AF279" s="65" t="n">
        <f aca="false">IF(IFERROR(VLOOKUP(D279,Controls!$A$64:$E$74,3,FALSE()),"No")="Yes",1,0)</f>
        <v>0</v>
      </c>
      <c r="AG279" s="65" t="n">
        <f aca="false">IF(IFERROR(VLOOKUP(D279,Controls!$A$64:$E$74,4,FALSE()),"No")="Yes",1,0)</f>
        <v>0</v>
      </c>
      <c r="AH279" s="65" t="n">
        <f aca="false">IF(IFERROR(VLOOKUP(D279,Controls!$A$64:$E$74,5,FALSE()),"No")="Yes",1,0)</f>
        <v>0</v>
      </c>
      <c r="AI279" s="65" t="n">
        <f aca="false">IF(ISNUMBER(MATCH(D279,Controls!$A$64:$A$74,0)),1,0)</f>
        <v>1</v>
      </c>
      <c r="AJ279" s="65" t="n">
        <f aca="false">Q279-N279</f>
        <v>-1773.37</v>
      </c>
      <c r="AK279" s="65" t="n">
        <f aca="false">IF(AE279=1,MAX(0,N279-Q279),0)</f>
        <v>1773.37</v>
      </c>
      <c r="AL279" s="65" t="n">
        <f aca="false">IF(OR(V279="",V279=0),0,N279/V279)</f>
        <v>0.212525020393547</v>
      </c>
      <c r="AM279" s="65" t="n">
        <f aca="false">IF(OR(V279="",V279=0),0,1)</f>
        <v>1</v>
      </c>
      <c r="AN279" s="65" t="n">
        <f aca="false">IF(OR(E279="",F279=""),0,NETWORKDAYS(E279,F279,Ref!$K$2:$K$42))</f>
        <v>131</v>
      </c>
      <c r="AO279" s="65" t="n">
        <f aca="false">IF(L279="Renewal",1,0)</f>
        <v>0</v>
      </c>
      <c r="AP279" s="65" t="n">
        <f aca="false">AC279*AD279</f>
        <v>1</v>
      </c>
      <c r="AQ279" s="65" t="n">
        <f aca="false">IF(AND(G279&lt;&gt;"",'Historical Score'!$C$6&lt;&gt;""),IF(G279='Historical Score'!$C$6,1,0),0)</f>
        <v>0</v>
      </c>
      <c r="AR279" s="65" t="n">
        <f aca="false">IF(AND(L279&lt;&gt;"",'Historical Score'!$C$5&lt;&gt;""),IF(L279='Historical Score'!$C$5,1,0),0)</f>
        <v>1</v>
      </c>
      <c r="AS279" s="65" t="n">
        <f aca="false">IF(AND(Y279&lt;&gt;"",'Historical Score'!$C$7&lt;&gt;""),IF(Y279='Historical Score'!$C$7,1,0),0)</f>
        <v>0</v>
      </c>
      <c r="AT279" s="65" t="n">
        <f aca="false">IF(AND(K279&lt;&gt;"",'Historical Score'!$C$8&lt;&gt;""),IF(K279='Historical Score'!$C$8,1,0),0)</f>
        <v>0</v>
      </c>
      <c r="AU279" s="65" t="n">
        <f aca="false">IF(AND(J279&lt;&gt;"",'Historical Score'!$C$9&lt;&gt;""),IF(J279='Historical Score'!$C$9,1,0),0)</f>
        <v>0</v>
      </c>
      <c r="AV279" s="65" t="n">
        <f aca="false">AR279*AS279*AQ279</f>
        <v>0</v>
      </c>
      <c r="AW279" s="65" t="n">
        <f aca="false">AR279*AT279*AQ279</f>
        <v>0</v>
      </c>
      <c r="AX279" s="65" t="n">
        <f aca="false">AR279*AS279</f>
        <v>0</v>
      </c>
      <c r="AY279" s="65" t="n">
        <f aca="false">AR279*AT279</f>
        <v>0</v>
      </c>
      <c r="AZ279" s="65" t="n">
        <f aca="false">AR279*AQ279</f>
        <v>0</v>
      </c>
      <c r="BA279" s="65" t="n">
        <f aca="false">AR279</f>
        <v>1</v>
      </c>
      <c r="BB279" s="65" t="n">
        <f aca="false">1</f>
        <v>1</v>
      </c>
      <c r="BC279" s="65" t="n">
        <f aca="false">IF(AV279=1,1,IF(AW279=1,2,IF(AX279=1,3,IF(AY279=1,4,IF(AZ279=1,5,IF(BA279=1,6,7))))))</f>
        <v>6</v>
      </c>
      <c r="BD279" s="65" t="n">
        <f aca="false">IF(AD279=1,CHOOSE('Historical Score'!$C$29,AV279,AW279,AX279,AY279,AZ279,BA279,BB279),0)</f>
        <v>0</v>
      </c>
      <c r="BE279" s="65" t="str">
        <f aca="false">IF(BD279=1,COUNTIF($BD$2:BD279,1),"")</f>
        <v/>
      </c>
    </row>
    <row r="280" customFormat="false" ht="15" hidden="false" customHeight="false" outlineLevel="0" collapsed="false">
      <c r="A280" s="65" t="s">
        <v>1252</v>
      </c>
      <c r="B280" s="65" t="s">
        <v>1253</v>
      </c>
      <c r="C280" s="65" t="s">
        <v>1253</v>
      </c>
      <c r="D280" s="65" t="s">
        <v>371</v>
      </c>
      <c r="E280" s="112" t="n">
        <v>45936</v>
      </c>
      <c r="F280" s="112" t="n">
        <v>46080</v>
      </c>
      <c r="G280" s="65" t="n">
        <v>1</v>
      </c>
      <c r="H280" s="65" t="s">
        <v>463</v>
      </c>
      <c r="I280" s="65" t="s">
        <v>419</v>
      </c>
      <c r="J280" s="65" t="s">
        <v>1254</v>
      </c>
      <c r="K280" s="65" t="s">
        <v>961</v>
      </c>
      <c r="L280" s="65" t="s">
        <v>64</v>
      </c>
      <c r="M280" s="113" t="n">
        <v>1.46</v>
      </c>
      <c r="N280" s="114" t="n">
        <v>5500</v>
      </c>
      <c r="O280" s="114" t="n">
        <v>825</v>
      </c>
      <c r="P280" s="114" t="n">
        <v>8030</v>
      </c>
      <c r="Q280" s="114" t="n">
        <v>8030</v>
      </c>
      <c r="R280" s="114" t="n">
        <v>0</v>
      </c>
      <c r="S280" s="115" t="n">
        <v>1</v>
      </c>
      <c r="T280" s="65" t="n">
        <v>20</v>
      </c>
      <c r="U280" s="65" t="n">
        <v>0</v>
      </c>
      <c r="V280" s="65" t="n">
        <v>17862.12</v>
      </c>
      <c r="W280" s="115" t="n">
        <v>0.0899</v>
      </c>
      <c r="X280" s="112" t="n">
        <v>35674</v>
      </c>
      <c r="Y280" s="65" t="str">
        <f aca="false">IF(I280="","No SIC",IFERROR(VLOOKUP(I280,Ref!$A$2:$B$65,2,FALSE()),"Unclassified"))</f>
        <v>Business Services</v>
      </c>
      <c r="Z280" s="65" t="str">
        <f aca="false">IF(T280="","",IF(T280&lt;12,"Daily","Weekly"))</f>
        <v>Weekly</v>
      </c>
      <c r="AA280" s="65" t="n">
        <f aca="false">IF(T280="",0,IF(T280&lt;12,T280*Controls!$B$29,T280*5))</f>
        <v>100</v>
      </c>
      <c r="AB280" s="65" t="n">
        <f aca="false">IF(E280="",0,NETWORKDAYS(E280,Controls!$B$36,Ref!$K$2:$K$42))</f>
        <v>223</v>
      </c>
      <c r="AC280" s="65" t="n">
        <f aca="false">IF(AND(AA280&gt;0,AB280&gt;=Controls!$B$39*AA280),1,0)</f>
        <v>1</v>
      </c>
      <c r="AD280" s="65" t="n">
        <f aca="false">IF(AND(E280&lt;&gt;"",E280&gt;=Controls!$B$37,E280&lt;=Controls!$B$38),1,0)</f>
        <v>1</v>
      </c>
      <c r="AE280" s="65" t="n">
        <f aca="false">IF(IFERROR(VLOOKUP(D280,Controls!$A$64:$E$74,2,FALSE()),"No")="Yes",1,0)</f>
        <v>0</v>
      </c>
      <c r="AF280" s="65" t="n">
        <f aca="false">IF(IFERROR(VLOOKUP(D280,Controls!$A$64:$E$74,3,FALSE()),"No")="Yes",1,0)</f>
        <v>1</v>
      </c>
      <c r="AG280" s="65" t="n">
        <f aca="false">IF(IFERROR(VLOOKUP(D280,Controls!$A$64:$E$74,4,FALSE()),"No")="Yes",1,0)</f>
        <v>1</v>
      </c>
      <c r="AH280" s="65" t="n">
        <f aca="false">IF(IFERROR(VLOOKUP(D280,Controls!$A$64:$E$74,5,FALSE()),"No")="Yes",1,0)</f>
        <v>0</v>
      </c>
      <c r="AI280" s="65" t="n">
        <f aca="false">IF(ISNUMBER(MATCH(D280,Controls!$A$64:$A$74,0)),1,0)</f>
        <v>1</v>
      </c>
      <c r="AJ280" s="65" t="n">
        <f aca="false">Q280-N280</f>
        <v>2530</v>
      </c>
      <c r="AK280" s="65" t="n">
        <f aca="false">IF(AE280=1,MAX(0,N280-Q280),0)</f>
        <v>0</v>
      </c>
      <c r="AL280" s="65" t="n">
        <f aca="false">IF(OR(V280="",V280=0),0,N280/V280)</f>
        <v>0.307914178160263</v>
      </c>
      <c r="AM280" s="65" t="n">
        <f aca="false">IF(OR(V280="",V280=0),0,1)</f>
        <v>1</v>
      </c>
      <c r="AN280" s="65" t="n">
        <f aca="false">IF(OR(E280="",F280=""),0,NETWORKDAYS(E280,F280,Ref!$K$2:$K$42))</f>
        <v>98</v>
      </c>
      <c r="AO280" s="65" t="n">
        <f aca="false">IF(L280="Renewal",1,0)</f>
        <v>0</v>
      </c>
      <c r="AP280" s="65" t="n">
        <f aca="false">AC280*AD280</f>
        <v>1</v>
      </c>
      <c r="AQ280" s="65" t="n">
        <f aca="false">IF(AND(G280&lt;&gt;"",'Historical Score'!$C$6&lt;&gt;""),IF(G280='Historical Score'!$C$6,1,0),0)</f>
        <v>0</v>
      </c>
      <c r="AR280" s="65" t="n">
        <f aca="false">IF(AND(L280&lt;&gt;"",'Historical Score'!$C$5&lt;&gt;""),IF(L280='Historical Score'!$C$5,1,0),0)</f>
        <v>1</v>
      </c>
      <c r="AS280" s="65" t="n">
        <f aca="false">IF(AND(Y280&lt;&gt;"",'Historical Score'!$C$7&lt;&gt;""),IF(Y280='Historical Score'!$C$7,1,0),0)</f>
        <v>0</v>
      </c>
      <c r="AT280" s="65" t="n">
        <f aca="false">IF(AND(K280&lt;&gt;"",'Historical Score'!$C$8&lt;&gt;""),IF(K280='Historical Score'!$C$8,1,0),0)</f>
        <v>0</v>
      </c>
      <c r="AU280" s="65" t="n">
        <f aca="false">IF(AND(J280&lt;&gt;"",'Historical Score'!$C$9&lt;&gt;""),IF(J280='Historical Score'!$C$9,1,0),0)</f>
        <v>0</v>
      </c>
      <c r="AV280" s="65" t="n">
        <f aca="false">AR280*AS280*AQ280</f>
        <v>0</v>
      </c>
      <c r="AW280" s="65" t="n">
        <f aca="false">AR280*AT280*AQ280</f>
        <v>0</v>
      </c>
      <c r="AX280" s="65" t="n">
        <f aca="false">AR280*AS280</f>
        <v>0</v>
      </c>
      <c r="AY280" s="65" t="n">
        <f aca="false">AR280*AT280</f>
        <v>0</v>
      </c>
      <c r="AZ280" s="65" t="n">
        <f aca="false">AR280*AQ280</f>
        <v>0</v>
      </c>
      <c r="BA280" s="65" t="n">
        <f aca="false">AR280</f>
        <v>1</v>
      </c>
      <c r="BB280" s="65" t="n">
        <f aca="false">1</f>
        <v>1</v>
      </c>
      <c r="BC280" s="65" t="n">
        <f aca="false">IF(AV280=1,1,IF(AW280=1,2,IF(AX280=1,3,IF(AY280=1,4,IF(AZ280=1,5,IF(BA280=1,6,7))))))</f>
        <v>6</v>
      </c>
      <c r="BD280" s="65" t="n">
        <f aca="false">IF(AD280=1,CHOOSE('Historical Score'!$C$29,AV280,AW280,AX280,AY280,AZ280,BA280,BB280),0)</f>
        <v>0</v>
      </c>
      <c r="BE280" s="65" t="str">
        <f aca="false">IF(BD280=1,COUNTIF($BD$2:BD280,1),"")</f>
        <v/>
      </c>
    </row>
    <row r="281" customFormat="false" ht="15" hidden="false" customHeight="false" outlineLevel="0" collapsed="false">
      <c r="A281" s="65" t="s">
        <v>1255</v>
      </c>
      <c r="B281" s="65" t="s">
        <v>1256</v>
      </c>
      <c r="C281" s="65" t="s">
        <v>1256</v>
      </c>
      <c r="D281" s="65" t="s">
        <v>340</v>
      </c>
      <c r="E281" s="112" t="n">
        <v>45937</v>
      </c>
      <c r="F281" s="112" t="n">
        <v>45939</v>
      </c>
      <c r="G281" s="65" t="n">
        <v>1</v>
      </c>
      <c r="H281" s="65" t="s">
        <v>442</v>
      </c>
      <c r="I281" s="65" t="s">
        <v>443</v>
      </c>
      <c r="J281" s="65" t="s">
        <v>646</v>
      </c>
      <c r="K281" s="65" t="s">
        <v>1257</v>
      </c>
      <c r="L281" s="65" t="s">
        <v>64</v>
      </c>
      <c r="M281" s="113" t="n">
        <v>1.49</v>
      </c>
      <c r="N281" s="114" t="n">
        <v>20000</v>
      </c>
      <c r="O281" s="114" t="n">
        <v>0</v>
      </c>
      <c r="P281" s="114" t="n">
        <v>29800</v>
      </c>
      <c r="Q281" s="114" t="n">
        <v>0</v>
      </c>
      <c r="R281" s="114" t="n">
        <v>29800</v>
      </c>
      <c r="S281" s="115" t="n">
        <v>0</v>
      </c>
      <c r="T281" s="65" t="n">
        <v>0.984</v>
      </c>
      <c r="U281" s="65" t="n">
        <v>2</v>
      </c>
      <c r="V281" s="65" t="n">
        <v>186933.2</v>
      </c>
      <c r="W281" s="115" t="n">
        <v>0.1116</v>
      </c>
      <c r="X281" s="112" t="n">
        <v>45518</v>
      </c>
      <c r="Y281" s="65" t="str">
        <f aca="false">IF(I281="","No SIC",IFERROR(VLOOKUP(I281,Ref!$A$2:$B$65,2,FALSE()),"Unclassified"))</f>
        <v>General Building Contractors</v>
      </c>
      <c r="Z281" s="65" t="str">
        <f aca="false">IF(T281="","",IF(T281&lt;12,"Daily","Weekly"))</f>
        <v>Daily</v>
      </c>
      <c r="AA281" s="65" t="n">
        <f aca="false">IF(T281="",0,IF(T281&lt;12,T281*Controls!$B$29,T281*5))</f>
        <v>21.30852</v>
      </c>
      <c r="AB281" s="65" t="n">
        <f aca="false">IF(E281="",0,NETWORKDAYS(E281,Controls!$B$36,Ref!$K$2:$K$42))</f>
        <v>222</v>
      </c>
      <c r="AC281" s="65" t="n">
        <f aca="false">IF(AND(AA281&gt;0,AB281&gt;=Controls!$B$39*AA281),1,0)</f>
        <v>1</v>
      </c>
      <c r="AD281" s="65" t="n">
        <f aca="false">IF(AND(E281&lt;&gt;"",E281&gt;=Controls!$B$37,E281&lt;=Controls!$B$38),1,0)</f>
        <v>1</v>
      </c>
      <c r="AE281" s="65" t="n">
        <f aca="false">IF(IFERROR(VLOOKUP(D281,Controls!$A$64:$E$74,2,FALSE()),"No")="Yes",1,0)</f>
        <v>1</v>
      </c>
      <c r="AF281" s="65" t="n">
        <f aca="false">IF(IFERROR(VLOOKUP(D281,Controls!$A$64:$E$74,3,FALSE()),"No")="Yes",1,0)</f>
        <v>0</v>
      </c>
      <c r="AG281" s="65" t="n">
        <f aca="false">IF(IFERROR(VLOOKUP(D281,Controls!$A$64:$E$74,4,FALSE()),"No")="Yes",1,0)</f>
        <v>0</v>
      </c>
      <c r="AH281" s="65" t="n">
        <f aca="false">IF(IFERROR(VLOOKUP(D281,Controls!$A$64:$E$74,5,FALSE()),"No")="Yes",1,0)</f>
        <v>0</v>
      </c>
      <c r="AI281" s="65" t="n">
        <f aca="false">IF(ISNUMBER(MATCH(D281,Controls!$A$64:$A$74,0)),1,0)</f>
        <v>1</v>
      </c>
      <c r="AJ281" s="65" t="n">
        <f aca="false">Q281-N281</f>
        <v>-20000</v>
      </c>
      <c r="AK281" s="65" t="n">
        <f aca="false">IF(AE281=1,MAX(0,N281-Q281),0)</f>
        <v>20000</v>
      </c>
      <c r="AL281" s="65" t="n">
        <f aca="false">IF(OR(V281="",V281=0),0,N281/V281)</f>
        <v>0.106990090577811</v>
      </c>
      <c r="AM281" s="65" t="n">
        <f aca="false">IF(OR(V281="",V281=0),0,1)</f>
        <v>1</v>
      </c>
      <c r="AN281" s="65" t="n">
        <f aca="false">IF(OR(E281="",F281=""),0,NETWORKDAYS(E281,F281,Ref!$K$2:$K$42))</f>
        <v>3</v>
      </c>
      <c r="AO281" s="65" t="n">
        <f aca="false">IF(L281="Renewal",1,0)</f>
        <v>0</v>
      </c>
      <c r="AP281" s="65" t="n">
        <f aca="false">AC281*AD281</f>
        <v>1</v>
      </c>
      <c r="AQ281" s="65" t="n">
        <f aca="false">IF(AND(G281&lt;&gt;"",'Historical Score'!$C$6&lt;&gt;""),IF(G281='Historical Score'!$C$6,1,0),0)</f>
        <v>0</v>
      </c>
      <c r="AR281" s="65" t="n">
        <f aca="false">IF(AND(L281&lt;&gt;"",'Historical Score'!$C$5&lt;&gt;""),IF(L281='Historical Score'!$C$5,1,0),0)</f>
        <v>1</v>
      </c>
      <c r="AS281" s="65" t="n">
        <f aca="false">IF(AND(Y281&lt;&gt;"",'Historical Score'!$C$7&lt;&gt;""),IF(Y281='Historical Score'!$C$7,1,0),0)</f>
        <v>1</v>
      </c>
      <c r="AT281" s="65" t="n">
        <f aca="false">IF(AND(K281&lt;&gt;"",'Historical Score'!$C$8&lt;&gt;""),IF(K281='Historical Score'!$C$8,1,0),0)</f>
        <v>0</v>
      </c>
      <c r="AU281" s="65" t="n">
        <f aca="false">IF(AND(J281&lt;&gt;"",'Historical Score'!$C$9&lt;&gt;""),IF(J281='Historical Score'!$C$9,1,0),0)</f>
        <v>0</v>
      </c>
      <c r="AV281" s="65" t="n">
        <f aca="false">AR281*AS281*AQ281</f>
        <v>0</v>
      </c>
      <c r="AW281" s="65" t="n">
        <f aca="false">AR281*AT281*AQ281</f>
        <v>0</v>
      </c>
      <c r="AX281" s="65" t="n">
        <f aca="false">AR281*AS281</f>
        <v>1</v>
      </c>
      <c r="AY281" s="65" t="n">
        <f aca="false">AR281*AT281</f>
        <v>0</v>
      </c>
      <c r="AZ281" s="65" t="n">
        <f aca="false">AR281*AQ281</f>
        <v>0</v>
      </c>
      <c r="BA281" s="65" t="n">
        <f aca="false">AR281</f>
        <v>1</v>
      </c>
      <c r="BB281" s="65" t="n">
        <f aca="false">1</f>
        <v>1</v>
      </c>
      <c r="BC281" s="65" t="n">
        <f aca="false">IF(AV281=1,1,IF(AW281=1,2,IF(AX281=1,3,IF(AY281=1,4,IF(AZ281=1,5,IF(BA281=1,6,7))))))</f>
        <v>3</v>
      </c>
      <c r="BD281" s="65" t="n">
        <f aca="false">IF(AD281=1,CHOOSE('Historical Score'!$C$29,AV281,AW281,AX281,AY281,AZ281,BA281,BB281),0)</f>
        <v>0</v>
      </c>
      <c r="BE281" s="65" t="str">
        <f aca="false">IF(BD281=1,COUNTIF($BD$2:BD281,1),"")</f>
        <v/>
      </c>
    </row>
    <row r="282" customFormat="false" ht="15" hidden="false" customHeight="false" outlineLevel="0" collapsed="false">
      <c r="A282" s="65" t="s">
        <v>1258</v>
      </c>
      <c r="B282" s="65" t="s">
        <v>1259</v>
      </c>
      <c r="C282" s="65" t="s">
        <v>1260</v>
      </c>
      <c r="D282" s="65" t="s">
        <v>340</v>
      </c>
      <c r="E282" s="112" t="n">
        <v>45937</v>
      </c>
      <c r="F282" s="112" t="n">
        <v>46253</v>
      </c>
      <c r="G282" s="65" t="n">
        <v>3</v>
      </c>
      <c r="H282" s="65" t="s">
        <v>748</v>
      </c>
      <c r="I282" s="65" t="s">
        <v>619</v>
      </c>
      <c r="J282" s="65" t="s">
        <v>350</v>
      </c>
      <c r="K282" s="65" t="s">
        <v>961</v>
      </c>
      <c r="L282" s="65" t="s">
        <v>64</v>
      </c>
      <c r="M282" s="113" t="n">
        <v>1.39</v>
      </c>
      <c r="N282" s="114" t="n">
        <v>30000</v>
      </c>
      <c r="O282" s="114" t="n">
        <v>3600</v>
      </c>
      <c r="P282" s="114" t="n">
        <v>41700</v>
      </c>
      <c r="Q282" s="114" t="n">
        <v>23174.5</v>
      </c>
      <c r="R282" s="114" t="n">
        <v>18525.5</v>
      </c>
      <c r="S282" s="115" t="n">
        <v>0.555743405275779</v>
      </c>
      <c r="T282" s="65" t="n">
        <v>26</v>
      </c>
      <c r="U282" s="65" t="n">
        <v>20</v>
      </c>
      <c r="V282" s="65" t="n">
        <v>222750.05</v>
      </c>
      <c r="W282" s="115" t="n">
        <v>0.0288</v>
      </c>
      <c r="X282" s="112" t="n">
        <v>42128</v>
      </c>
      <c r="Y282" s="65" t="str">
        <f aca="false">IF(I282="","No SIC",IFERROR(VLOOKUP(I282,Ref!$A$2:$B$65,2,FALSE()),"Unclassified"))</f>
        <v>Miscellaneous Retail</v>
      </c>
      <c r="Z282" s="65" t="str">
        <f aca="false">IF(T282="","",IF(T282&lt;12,"Daily","Weekly"))</f>
        <v>Weekly</v>
      </c>
      <c r="AA282" s="65" t="n">
        <f aca="false">IF(T282="",0,IF(T282&lt;12,T282*Controls!$B$29,T282*5))</f>
        <v>130</v>
      </c>
      <c r="AB282" s="65" t="n">
        <f aca="false">IF(E282="",0,NETWORKDAYS(E282,Controls!$B$36,Ref!$K$2:$K$42))</f>
        <v>222</v>
      </c>
      <c r="AC282" s="65" t="n">
        <f aca="false">IF(AND(AA282&gt;0,AB282&gt;=Controls!$B$39*AA282),1,0)</f>
        <v>1</v>
      </c>
      <c r="AD282" s="65" t="n">
        <f aca="false">IF(AND(E282&lt;&gt;"",E282&gt;=Controls!$B$37,E282&lt;=Controls!$B$38),1,0)</f>
        <v>1</v>
      </c>
      <c r="AE282" s="65" t="n">
        <f aca="false">IF(IFERROR(VLOOKUP(D282,Controls!$A$64:$E$74,2,FALSE()),"No")="Yes",1,0)</f>
        <v>1</v>
      </c>
      <c r="AF282" s="65" t="n">
        <f aca="false">IF(IFERROR(VLOOKUP(D282,Controls!$A$64:$E$74,3,FALSE()),"No")="Yes",1,0)</f>
        <v>0</v>
      </c>
      <c r="AG282" s="65" t="n">
        <f aca="false">IF(IFERROR(VLOOKUP(D282,Controls!$A$64:$E$74,4,FALSE()),"No")="Yes",1,0)</f>
        <v>0</v>
      </c>
      <c r="AH282" s="65" t="n">
        <f aca="false">IF(IFERROR(VLOOKUP(D282,Controls!$A$64:$E$74,5,FALSE()),"No")="Yes",1,0)</f>
        <v>0</v>
      </c>
      <c r="AI282" s="65" t="n">
        <f aca="false">IF(ISNUMBER(MATCH(D282,Controls!$A$64:$A$74,0)),1,0)</f>
        <v>1</v>
      </c>
      <c r="AJ282" s="65" t="n">
        <f aca="false">Q282-N282</f>
        <v>-6825.5</v>
      </c>
      <c r="AK282" s="65" t="n">
        <f aca="false">IF(AE282=1,MAX(0,N282-Q282),0)</f>
        <v>6825.5</v>
      </c>
      <c r="AL282" s="65" t="n">
        <f aca="false">IF(OR(V282="",V282=0),0,N282/V282)</f>
        <v>0.13468010444891</v>
      </c>
      <c r="AM282" s="65" t="n">
        <f aca="false">IF(OR(V282="",V282=0),0,1)</f>
        <v>1</v>
      </c>
      <c r="AN282" s="65" t="n">
        <f aca="false">IF(OR(E282="",F282=""),0,NETWORKDAYS(E282,F282,Ref!$K$2:$K$42))</f>
        <v>218</v>
      </c>
      <c r="AO282" s="65" t="n">
        <f aca="false">IF(L282="Renewal",1,0)</f>
        <v>0</v>
      </c>
      <c r="AP282" s="65" t="n">
        <f aca="false">AC282*AD282</f>
        <v>1</v>
      </c>
      <c r="AQ282" s="65" t="n">
        <f aca="false">IF(AND(G282&lt;&gt;"",'Historical Score'!$C$6&lt;&gt;""),IF(G282='Historical Score'!$C$6,1,0),0)</f>
        <v>0</v>
      </c>
      <c r="AR282" s="65" t="n">
        <f aca="false">IF(AND(L282&lt;&gt;"",'Historical Score'!$C$5&lt;&gt;""),IF(L282='Historical Score'!$C$5,1,0),0)</f>
        <v>1</v>
      </c>
      <c r="AS282" s="65" t="n">
        <f aca="false">IF(AND(Y282&lt;&gt;"",'Historical Score'!$C$7&lt;&gt;""),IF(Y282='Historical Score'!$C$7,1,0),0)</f>
        <v>0</v>
      </c>
      <c r="AT282" s="65" t="n">
        <f aca="false">IF(AND(K282&lt;&gt;"",'Historical Score'!$C$8&lt;&gt;""),IF(K282='Historical Score'!$C$8,1,0),0)</f>
        <v>0</v>
      </c>
      <c r="AU282" s="65" t="n">
        <f aca="false">IF(AND(J282&lt;&gt;"",'Historical Score'!$C$9&lt;&gt;""),IF(J282='Historical Score'!$C$9,1,0),0)</f>
        <v>0</v>
      </c>
      <c r="AV282" s="65" t="n">
        <f aca="false">AR282*AS282*AQ282</f>
        <v>0</v>
      </c>
      <c r="AW282" s="65" t="n">
        <f aca="false">AR282*AT282*AQ282</f>
        <v>0</v>
      </c>
      <c r="AX282" s="65" t="n">
        <f aca="false">AR282*AS282</f>
        <v>0</v>
      </c>
      <c r="AY282" s="65" t="n">
        <f aca="false">AR282*AT282</f>
        <v>0</v>
      </c>
      <c r="AZ282" s="65" t="n">
        <f aca="false">AR282*AQ282</f>
        <v>0</v>
      </c>
      <c r="BA282" s="65" t="n">
        <f aca="false">AR282</f>
        <v>1</v>
      </c>
      <c r="BB282" s="65" t="n">
        <f aca="false">1</f>
        <v>1</v>
      </c>
      <c r="BC282" s="65" t="n">
        <f aca="false">IF(AV282=1,1,IF(AW282=1,2,IF(AX282=1,3,IF(AY282=1,4,IF(AZ282=1,5,IF(BA282=1,6,7))))))</f>
        <v>6</v>
      </c>
      <c r="BD282" s="65" t="n">
        <f aca="false">IF(AD282=1,CHOOSE('Historical Score'!$C$29,AV282,AW282,AX282,AY282,AZ282,BA282,BB282),0)</f>
        <v>0</v>
      </c>
      <c r="BE282" s="65" t="str">
        <f aca="false">IF(BD282=1,COUNTIF($BD$2:BD282,1),"")</f>
        <v/>
      </c>
    </row>
    <row r="283" customFormat="false" ht="15" hidden="false" customHeight="false" outlineLevel="0" collapsed="false">
      <c r="A283" s="65" t="s">
        <v>1261</v>
      </c>
      <c r="B283" s="65" t="s">
        <v>1262</v>
      </c>
      <c r="C283" s="65" t="s">
        <v>1263</v>
      </c>
      <c r="D283" s="65" t="s">
        <v>959</v>
      </c>
      <c r="E283" s="112" t="n">
        <v>45937</v>
      </c>
      <c r="F283" s="112" t="n">
        <v>46248</v>
      </c>
      <c r="G283" s="65" t="n">
        <v>3</v>
      </c>
      <c r="H283" s="65" t="s">
        <v>463</v>
      </c>
      <c r="I283" s="65" t="s">
        <v>419</v>
      </c>
      <c r="J283" s="65" t="s">
        <v>452</v>
      </c>
      <c r="K283" s="65" t="s">
        <v>961</v>
      </c>
      <c r="L283" s="65" t="s">
        <v>64</v>
      </c>
      <c r="M283" s="113" t="n">
        <v>1.36</v>
      </c>
      <c r="N283" s="114" t="n">
        <v>60000</v>
      </c>
      <c r="O283" s="114" t="n">
        <v>5400</v>
      </c>
      <c r="P283" s="114" t="n">
        <v>81600</v>
      </c>
      <c r="Q283" s="114" t="n">
        <v>47977.95</v>
      </c>
      <c r="R283" s="114" t="n">
        <v>33622.05</v>
      </c>
      <c r="S283" s="115" t="n">
        <v>0.587965073529412</v>
      </c>
      <c r="T283" s="65" t="n">
        <v>40</v>
      </c>
      <c r="U283" s="65" t="n">
        <v>29</v>
      </c>
      <c r="V283" s="65" t="n">
        <v>145091.44</v>
      </c>
      <c r="W283" s="115" t="n">
        <v>0.0562</v>
      </c>
      <c r="X283" s="112" t="n">
        <v>43242</v>
      </c>
      <c r="Y283" s="65" t="str">
        <f aca="false">IF(I283="","No SIC",IFERROR(VLOOKUP(I283,Ref!$A$2:$B$65,2,FALSE()),"Unclassified"))</f>
        <v>Business Services</v>
      </c>
      <c r="Z283" s="65" t="str">
        <f aca="false">IF(T283="","",IF(T283&lt;12,"Daily","Weekly"))</f>
        <v>Weekly</v>
      </c>
      <c r="AA283" s="65" t="n">
        <f aca="false">IF(T283="",0,IF(T283&lt;12,T283*Controls!$B$29,T283*5))</f>
        <v>200</v>
      </c>
      <c r="AB283" s="65" t="n">
        <f aca="false">IF(E283="",0,NETWORKDAYS(E283,Controls!$B$36,Ref!$K$2:$K$42))</f>
        <v>222</v>
      </c>
      <c r="AC283" s="65" t="n">
        <f aca="false">IF(AND(AA283&gt;0,AB283&gt;=Controls!$B$39*AA283),1,0)</f>
        <v>0</v>
      </c>
      <c r="AD283" s="65" t="n">
        <f aca="false">IF(AND(E283&lt;&gt;"",E283&gt;=Controls!$B$37,E283&lt;=Controls!$B$38),1,0)</f>
        <v>1</v>
      </c>
      <c r="AE283" s="65" t="n">
        <f aca="false">IF(IFERROR(VLOOKUP(D283,Controls!$A$64:$E$74,2,FALSE()),"No")="Yes",1,0)</f>
        <v>0</v>
      </c>
      <c r="AF283" s="65" t="n">
        <f aca="false">IF(IFERROR(VLOOKUP(D283,Controls!$A$64:$E$74,3,FALSE()),"No")="Yes",1,0)</f>
        <v>0</v>
      </c>
      <c r="AG283" s="65" t="n">
        <f aca="false">IF(IFERROR(VLOOKUP(D283,Controls!$A$64:$E$74,4,FALSE()),"No")="Yes",1,0)</f>
        <v>0</v>
      </c>
      <c r="AH283" s="65" t="n">
        <f aca="false">IF(IFERROR(VLOOKUP(D283,Controls!$A$64:$E$74,5,FALSE()),"No")="Yes",1,0)</f>
        <v>0</v>
      </c>
      <c r="AI283" s="65" t="n">
        <f aca="false">IF(ISNUMBER(MATCH(D283,Controls!$A$64:$A$74,0)),1,0)</f>
        <v>1</v>
      </c>
      <c r="AJ283" s="65" t="n">
        <f aca="false">Q283-N283</f>
        <v>-12022.05</v>
      </c>
      <c r="AK283" s="65" t="n">
        <f aca="false">IF(AE283=1,MAX(0,N283-Q283),0)</f>
        <v>0</v>
      </c>
      <c r="AL283" s="65" t="n">
        <f aca="false">IF(OR(V283="",V283=0),0,N283/V283)</f>
        <v>0.413532321410553</v>
      </c>
      <c r="AM283" s="65" t="n">
        <f aca="false">IF(OR(V283="",V283=0),0,1)</f>
        <v>1</v>
      </c>
      <c r="AN283" s="65" t="n">
        <f aca="false">IF(OR(E283="",F283=""),0,NETWORKDAYS(E283,F283,Ref!$K$2:$K$42))</f>
        <v>215</v>
      </c>
      <c r="AO283" s="65" t="n">
        <f aca="false">IF(L283="Renewal",1,0)</f>
        <v>0</v>
      </c>
      <c r="AP283" s="65" t="n">
        <f aca="false">AC283*AD283</f>
        <v>0</v>
      </c>
      <c r="AQ283" s="65" t="n">
        <f aca="false">IF(AND(G283&lt;&gt;"",'Historical Score'!$C$6&lt;&gt;""),IF(G283='Historical Score'!$C$6,1,0),0)</f>
        <v>0</v>
      </c>
      <c r="AR283" s="65" t="n">
        <f aca="false">IF(AND(L283&lt;&gt;"",'Historical Score'!$C$5&lt;&gt;""),IF(L283='Historical Score'!$C$5,1,0),0)</f>
        <v>1</v>
      </c>
      <c r="AS283" s="65" t="n">
        <f aca="false">IF(AND(Y283&lt;&gt;"",'Historical Score'!$C$7&lt;&gt;""),IF(Y283='Historical Score'!$C$7,1,0),0)</f>
        <v>0</v>
      </c>
      <c r="AT283" s="65" t="n">
        <f aca="false">IF(AND(K283&lt;&gt;"",'Historical Score'!$C$8&lt;&gt;""),IF(K283='Historical Score'!$C$8,1,0),0)</f>
        <v>0</v>
      </c>
      <c r="AU283" s="65" t="n">
        <f aca="false">IF(AND(J283&lt;&gt;"",'Historical Score'!$C$9&lt;&gt;""),IF(J283='Historical Score'!$C$9,1,0),0)</f>
        <v>0</v>
      </c>
      <c r="AV283" s="65" t="n">
        <f aca="false">AR283*AS283*AQ283</f>
        <v>0</v>
      </c>
      <c r="AW283" s="65" t="n">
        <f aca="false">AR283*AT283*AQ283</f>
        <v>0</v>
      </c>
      <c r="AX283" s="65" t="n">
        <f aca="false">AR283*AS283</f>
        <v>0</v>
      </c>
      <c r="AY283" s="65" t="n">
        <f aca="false">AR283*AT283</f>
        <v>0</v>
      </c>
      <c r="AZ283" s="65" t="n">
        <f aca="false">AR283*AQ283</f>
        <v>0</v>
      </c>
      <c r="BA283" s="65" t="n">
        <f aca="false">AR283</f>
        <v>1</v>
      </c>
      <c r="BB283" s="65" t="n">
        <f aca="false">1</f>
        <v>1</v>
      </c>
      <c r="BC283" s="65" t="n">
        <f aca="false">IF(AV283=1,1,IF(AW283=1,2,IF(AX283=1,3,IF(AY283=1,4,IF(AZ283=1,5,IF(BA283=1,6,7))))))</f>
        <v>6</v>
      </c>
      <c r="BD283" s="65" t="n">
        <f aca="false">IF(AD283=1,CHOOSE('Historical Score'!$C$29,AV283,AW283,AX283,AY283,AZ283,BA283,BB283),0)</f>
        <v>0</v>
      </c>
      <c r="BE283" s="65" t="str">
        <f aca="false">IF(BD283=1,COUNTIF($BD$2:BD283,1),"")</f>
        <v/>
      </c>
    </row>
    <row r="284" customFormat="false" ht="15" hidden="false" customHeight="false" outlineLevel="0" collapsed="false">
      <c r="A284" s="65" t="s">
        <v>1264</v>
      </c>
      <c r="B284" s="65" t="s">
        <v>1054</v>
      </c>
      <c r="C284" s="65" t="s">
        <v>1054</v>
      </c>
      <c r="D284" s="65" t="s">
        <v>295</v>
      </c>
      <c r="E284" s="112" t="n">
        <v>45939</v>
      </c>
      <c r="F284" s="112" t="n">
        <v>46251</v>
      </c>
      <c r="G284" s="65" t="n">
        <v>3</v>
      </c>
      <c r="H284" s="65" t="s">
        <v>1055</v>
      </c>
      <c r="I284" s="65" t="s">
        <v>643</v>
      </c>
      <c r="J284" s="65" t="s">
        <v>399</v>
      </c>
      <c r="K284" s="65" t="s">
        <v>55</v>
      </c>
      <c r="L284" s="65" t="s">
        <v>320</v>
      </c>
      <c r="M284" s="113" t="n">
        <v>1.49</v>
      </c>
      <c r="N284" s="114" t="n">
        <v>20000</v>
      </c>
      <c r="O284" s="114" t="n">
        <v>2800</v>
      </c>
      <c r="P284" s="114" t="n">
        <v>29800</v>
      </c>
      <c r="Q284" s="114" t="n">
        <v>10262.55</v>
      </c>
      <c r="R284" s="114" t="n">
        <v>19537.45</v>
      </c>
      <c r="S284" s="115" t="n">
        <v>0.344380872483222</v>
      </c>
      <c r="T284" s="65" t="n">
        <v>2.951</v>
      </c>
      <c r="U284" s="65" t="n">
        <v>16</v>
      </c>
      <c r="V284" s="65" t="n">
        <v>27587.37</v>
      </c>
      <c r="W284" s="115" t="n">
        <v>0.252</v>
      </c>
      <c r="X284" s="112"/>
      <c r="Y284" s="65" t="str">
        <f aca="false">IF(I284="","No SIC",IFERROR(VLOOKUP(I284,Ref!$A$2:$B$65,2,FALSE()),"Unclassified"))</f>
        <v>Agricultural Services</v>
      </c>
      <c r="Z284" s="65" t="str">
        <f aca="false">IF(T284="","",IF(T284&lt;12,"Daily","Weekly"))</f>
        <v>Daily</v>
      </c>
      <c r="AA284" s="65" t="n">
        <f aca="false">IF(T284="",0,IF(T284&lt;12,T284*Controls!$B$29,T284*5))</f>
        <v>63.903905</v>
      </c>
      <c r="AB284" s="65" t="n">
        <f aca="false">IF(E284="",0,NETWORKDAYS(E284,Controls!$B$36,Ref!$K$2:$K$42))</f>
        <v>220</v>
      </c>
      <c r="AC284" s="65" t="n">
        <f aca="false">IF(AND(AA284&gt;0,AB284&gt;=Controls!$B$39*AA284),1,0)</f>
        <v>1</v>
      </c>
      <c r="AD284" s="65" t="n">
        <f aca="false">IF(AND(E284&lt;&gt;"",E284&gt;=Controls!$B$37,E284&lt;=Controls!$B$38),1,0)</f>
        <v>1</v>
      </c>
      <c r="AE284" s="65" t="n">
        <f aca="false">IF(IFERROR(VLOOKUP(D284,Controls!$A$64:$E$74,2,FALSE()),"No")="Yes",1,0)</f>
        <v>0</v>
      </c>
      <c r="AF284" s="65" t="n">
        <f aca="false">IF(IFERROR(VLOOKUP(D284,Controls!$A$64:$E$74,3,FALSE()),"No")="Yes",1,0)</f>
        <v>0</v>
      </c>
      <c r="AG284" s="65" t="n">
        <f aca="false">IF(IFERROR(VLOOKUP(D284,Controls!$A$64:$E$74,4,FALSE()),"No")="Yes",1,0)</f>
        <v>0</v>
      </c>
      <c r="AH284" s="65" t="n">
        <f aca="false">IF(IFERROR(VLOOKUP(D284,Controls!$A$64:$E$74,5,FALSE()),"No")="Yes",1,0)</f>
        <v>1</v>
      </c>
      <c r="AI284" s="65" t="n">
        <f aca="false">IF(ISNUMBER(MATCH(D284,Controls!$A$64:$A$74,0)),1,0)</f>
        <v>1</v>
      </c>
      <c r="AJ284" s="65" t="n">
        <f aca="false">Q284-N284</f>
        <v>-9737.45</v>
      </c>
      <c r="AK284" s="65" t="n">
        <f aca="false">IF(AE284=1,MAX(0,N284-Q284),0)</f>
        <v>0</v>
      </c>
      <c r="AL284" s="65" t="n">
        <f aca="false">IF(OR(V284="",V284=0),0,N284/V284)</f>
        <v>0.724969433476261</v>
      </c>
      <c r="AM284" s="65" t="n">
        <f aca="false">IF(OR(V284="",V284=0),0,1)</f>
        <v>1</v>
      </c>
      <c r="AN284" s="65" t="n">
        <f aca="false">IF(OR(E284="",F284=""),0,NETWORKDAYS(E284,F284,Ref!$K$2:$K$42))</f>
        <v>214</v>
      </c>
      <c r="AO284" s="65" t="n">
        <f aca="false">IF(L284="Renewal",1,0)</f>
        <v>1</v>
      </c>
      <c r="AP284" s="65" t="n">
        <f aca="false">AC284*AD284</f>
        <v>1</v>
      </c>
      <c r="AQ284" s="65" t="n">
        <f aca="false">IF(AND(G284&lt;&gt;"",'Historical Score'!$C$6&lt;&gt;""),IF(G284='Historical Score'!$C$6,1,0),0)</f>
        <v>0</v>
      </c>
      <c r="AR284" s="65" t="n">
        <f aca="false">IF(AND(L284&lt;&gt;"",'Historical Score'!$C$5&lt;&gt;""),IF(L284='Historical Score'!$C$5,1,0),0)</f>
        <v>0</v>
      </c>
      <c r="AS284" s="65" t="n">
        <f aca="false">IF(AND(Y284&lt;&gt;"",'Historical Score'!$C$7&lt;&gt;""),IF(Y284='Historical Score'!$C$7,1,0),0)</f>
        <v>0</v>
      </c>
      <c r="AT284" s="65" t="n">
        <f aca="false">IF(AND(K284&lt;&gt;"",'Historical Score'!$C$8&lt;&gt;""),IF(K284='Historical Score'!$C$8,1,0),0)</f>
        <v>1</v>
      </c>
      <c r="AU284" s="65" t="n">
        <f aca="false">IF(AND(J284&lt;&gt;"",'Historical Score'!$C$9&lt;&gt;""),IF(J284='Historical Score'!$C$9,1,0),0)</f>
        <v>0</v>
      </c>
      <c r="AV284" s="65" t="n">
        <f aca="false">AR284*AS284*AQ284</f>
        <v>0</v>
      </c>
      <c r="AW284" s="65" t="n">
        <f aca="false">AR284*AT284*AQ284</f>
        <v>0</v>
      </c>
      <c r="AX284" s="65" t="n">
        <f aca="false">AR284*AS284</f>
        <v>0</v>
      </c>
      <c r="AY284" s="65" t="n">
        <f aca="false">AR284*AT284</f>
        <v>0</v>
      </c>
      <c r="AZ284" s="65" t="n">
        <f aca="false">AR284*AQ284</f>
        <v>0</v>
      </c>
      <c r="BA284" s="65" t="n">
        <f aca="false">AR284</f>
        <v>0</v>
      </c>
      <c r="BB284" s="65" t="n">
        <f aca="false">1</f>
        <v>1</v>
      </c>
      <c r="BC284" s="65" t="n">
        <f aca="false">IF(AV284=1,1,IF(AW284=1,2,IF(AX284=1,3,IF(AY284=1,4,IF(AZ284=1,5,IF(BA284=1,6,7))))))</f>
        <v>7</v>
      </c>
      <c r="BD284" s="65" t="n">
        <f aca="false">IF(AD284=1,CHOOSE('Historical Score'!$C$29,AV284,AW284,AX284,AY284,AZ284,BA284,BB284),0)</f>
        <v>0</v>
      </c>
      <c r="BE284" s="65" t="str">
        <f aca="false">IF(BD284=1,COUNTIF($BD$2:BD284,1),"")</f>
        <v/>
      </c>
    </row>
    <row r="285" customFormat="false" ht="15" hidden="false" customHeight="false" outlineLevel="0" collapsed="false">
      <c r="A285" s="65" t="s">
        <v>1265</v>
      </c>
      <c r="B285" s="65" t="s">
        <v>1266</v>
      </c>
      <c r="C285" s="65" t="s">
        <v>1267</v>
      </c>
      <c r="D285" s="65" t="s">
        <v>371</v>
      </c>
      <c r="E285" s="112" t="n">
        <v>45939</v>
      </c>
      <c r="F285" s="112" t="n">
        <v>46157</v>
      </c>
      <c r="G285" s="65" t="n">
        <v>3</v>
      </c>
      <c r="H285" s="65" t="s">
        <v>1268</v>
      </c>
      <c r="I285" s="65" t="s">
        <v>405</v>
      </c>
      <c r="J285" s="65" t="s">
        <v>61</v>
      </c>
      <c r="K285" s="65" t="s">
        <v>961</v>
      </c>
      <c r="L285" s="65" t="s">
        <v>64</v>
      </c>
      <c r="M285" s="113" t="n">
        <v>1.38</v>
      </c>
      <c r="N285" s="114" t="n">
        <v>15000</v>
      </c>
      <c r="O285" s="114" t="n">
        <v>1800</v>
      </c>
      <c r="P285" s="114" t="n">
        <v>20700</v>
      </c>
      <c r="Q285" s="114" t="n">
        <v>20700</v>
      </c>
      <c r="R285" s="114" t="n">
        <v>0</v>
      </c>
      <c r="S285" s="115" t="n">
        <v>1</v>
      </c>
      <c r="T285" s="65" t="n">
        <v>32</v>
      </c>
      <c r="U285" s="65" t="n">
        <v>0</v>
      </c>
      <c r="V285" s="65" t="n">
        <v>46940.92</v>
      </c>
      <c r="W285" s="115" t="n">
        <v>0.0551</v>
      </c>
      <c r="X285" s="112" t="n">
        <v>42227</v>
      </c>
      <c r="Y285" s="65" t="str">
        <f aca="false">IF(I285="","No SIC",IFERROR(VLOOKUP(I285,Ref!$A$2:$B$65,2,FALSE()),"Unclassified"))</f>
        <v>Health Services</v>
      </c>
      <c r="Z285" s="65" t="str">
        <f aca="false">IF(T285="","",IF(T285&lt;12,"Daily","Weekly"))</f>
        <v>Weekly</v>
      </c>
      <c r="AA285" s="65" t="n">
        <f aca="false">IF(T285="",0,IF(T285&lt;12,T285*Controls!$B$29,T285*5))</f>
        <v>160</v>
      </c>
      <c r="AB285" s="65" t="n">
        <f aca="false">IF(E285="",0,NETWORKDAYS(E285,Controls!$B$36,Ref!$K$2:$K$42))</f>
        <v>220</v>
      </c>
      <c r="AC285" s="65" t="n">
        <f aca="false">IF(AND(AA285&gt;0,AB285&gt;=Controls!$B$39*AA285),1,0)</f>
        <v>1</v>
      </c>
      <c r="AD285" s="65" t="n">
        <f aca="false">IF(AND(E285&lt;&gt;"",E285&gt;=Controls!$B$37,E285&lt;=Controls!$B$38),1,0)</f>
        <v>1</v>
      </c>
      <c r="AE285" s="65" t="n">
        <f aca="false">IF(IFERROR(VLOOKUP(D285,Controls!$A$64:$E$74,2,FALSE()),"No")="Yes",1,0)</f>
        <v>0</v>
      </c>
      <c r="AF285" s="65" t="n">
        <f aca="false">IF(IFERROR(VLOOKUP(D285,Controls!$A$64:$E$74,3,FALSE()),"No")="Yes",1,0)</f>
        <v>1</v>
      </c>
      <c r="AG285" s="65" t="n">
        <f aca="false">IF(IFERROR(VLOOKUP(D285,Controls!$A$64:$E$74,4,FALSE()),"No")="Yes",1,0)</f>
        <v>1</v>
      </c>
      <c r="AH285" s="65" t="n">
        <f aca="false">IF(IFERROR(VLOOKUP(D285,Controls!$A$64:$E$74,5,FALSE()),"No")="Yes",1,0)</f>
        <v>0</v>
      </c>
      <c r="AI285" s="65" t="n">
        <f aca="false">IF(ISNUMBER(MATCH(D285,Controls!$A$64:$A$74,0)),1,0)</f>
        <v>1</v>
      </c>
      <c r="AJ285" s="65" t="n">
        <f aca="false">Q285-N285</f>
        <v>5700</v>
      </c>
      <c r="AK285" s="65" t="n">
        <f aca="false">IF(AE285=1,MAX(0,N285-Q285),0)</f>
        <v>0</v>
      </c>
      <c r="AL285" s="65" t="n">
        <f aca="false">IF(OR(V285="",V285=0),0,N285/V285)</f>
        <v>0.319550618096109</v>
      </c>
      <c r="AM285" s="65" t="n">
        <f aca="false">IF(OR(V285="",V285=0),0,1)</f>
        <v>1</v>
      </c>
      <c r="AN285" s="65" t="n">
        <f aca="false">IF(OR(E285="",F285=""),0,NETWORKDAYS(E285,F285,Ref!$K$2:$K$42))</f>
        <v>150</v>
      </c>
      <c r="AO285" s="65" t="n">
        <f aca="false">IF(L285="Renewal",1,0)</f>
        <v>0</v>
      </c>
      <c r="AP285" s="65" t="n">
        <f aca="false">AC285*AD285</f>
        <v>1</v>
      </c>
      <c r="AQ285" s="65" t="n">
        <f aca="false">IF(AND(G285&lt;&gt;"",'Historical Score'!$C$6&lt;&gt;""),IF(G285='Historical Score'!$C$6,1,0),0)</f>
        <v>0</v>
      </c>
      <c r="AR285" s="65" t="n">
        <f aca="false">IF(AND(L285&lt;&gt;"",'Historical Score'!$C$5&lt;&gt;""),IF(L285='Historical Score'!$C$5,1,0),0)</f>
        <v>1</v>
      </c>
      <c r="AS285" s="65" t="n">
        <f aca="false">IF(AND(Y285&lt;&gt;"",'Historical Score'!$C$7&lt;&gt;""),IF(Y285='Historical Score'!$C$7,1,0),0)</f>
        <v>0</v>
      </c>
      <c r="AT285" s="65" t="n">
        <f aca="false">IF(AND(K285&lt;&gt;"",'Historical Score'!$C$8&lt;&gt;""),IF(K285='Historical Score'!$C$8,1,0),0)</f>
        <v>0</v>
      </c>
      <c r="AU285" s="65" t="n">
        <f aca="false">IF(AND(J285&lt;&gt;"",'Historical Score'!$C$9&lt;&gt;""),IF(J285='Historical Score'!$C$9,1,0),0)</f>
        <v>1</v>
      </c>
      <c r="AV285" s="65" t="n">
        <f aca="false">AR285*AS285*AQ285</f>
        <v>0</v>
      </c>
      <c r="AW285" s="65" t="n">
        <f aca="false">AR285*AT285*AQ285</f>
        <v>0</v>
      </c>
      <c r="AX285" s="65" t="n">
        <f aca="false">AR285*AS285</f>
        <v>0</v>
      </c>
      <c r="AY285" s="65" t="n">
        <f aca="false">AR285*AT285</f>
        <v>0</v>
      </c>
      <c r="AZ285" s="65" t="n">
        <f aca="false">AR285*AQ285</f>
        <v>0</v>
      </c>
      <c r="BA285" s="65" t="n">
        <f aca="false">AR285</f>
        <v>1</v>
      </c>
      <c r="BB285" s="65" t="n">
        <f aca="false">1</f>
        <v>1</v>
      </c>
      <c r="BC285" s="65" t="n">
        <f aca="false">IF(AV285=1,1,IF(AW285=1,2,IF(AX285=1,3,IF(AY285=1,4,IF(AZ285=1,5,IF(BA285=1,6,7))))))</f>
        <v>6</v>
      </c>
      <c r="BD285" s="65" t="n">
        <f aca="false">IF(AD285=1,CHOOSE('Historical Score'!$C$29,AV285,AW285,AX285,AY285,AZ285,BA285,BB285),0)</f>
        <v>0</v>
      </c>
      <c r="BE285" s="65" t="str">
        <f aca="false">IF(BD285=1,COUNTIF($BD$2:BD285,1),"")</f>
        <v/>
      </c>
    </row>
    <row r="286" customFormat="false" ht="15" hidden="false" customHeight="false" outlineLevel="0" collapsed="false">
      <c r="A286" s="65" t="s">
        <v>1269</v>
      </c>
      <c r="B286" s="65" t="s">
        <v>1270</v>
      </c>
      <c r="C286" s="65" t="s">
        <v>1271</v>
      </c>
      <c r="D286" s="65" t="s">
        <v>528</v>
      </c>
      <c r="E286" s="112" t="n">
        <v>45939</v>
      </c>
      <c r="F286" s="112" t="n">
        <v>46093</v>
      </c>
      <c r="G286" s="65" t="n">
        <v>1</v>
      </c>
      <c r="H286" s="65" t="s">
        <v>1272</v>
      </c>
      <c r="I286" s="65" t="s">
        <v>415</v>
      </c>
      <c r="J286" s="65" t="s">
        <v>420</v>
      </c>
      <c r="K286" s="65" t="s">
        <v>1047</v>
      </c>
      <c r="L286" s="65" t="s">
        <v>64</v>
      </c>
      <c r="M286" s="113" t="n">
        <v>1.49</v>
      </c>
      <c r="N286" s="114" t="n">
        <v>5000</v>
      </c>
      <c r="O286" s="114" t="n">
        <v>700</v>
      </c>
      <c r="P286" s="114" t="n">
        <v>7450</v>
      </c>
      <c r="Q286" s="114" t="n">
        <v>7450</v>
      </c>
      <c r="R286" s="114" t="n">
        <v>0</v>
      </c>
      <c r="S286" s="115" t="n">
        <v>1</v>
      </c>
      <c r="T286" s="65" t="n">
        <v>2.951</v>
      </c>
      <c r="U286" s="65" t="n">
        <v>12</v>
      </c>
      <c r="V286" s="65" t="n">
        <v>12111.32</v>
      </c>
      <c r="W286" s="115" t="n">
        <v>0.1435</v>
      </c>
      <c r="X286" s="112" t="n">
        <v>45488</v>
      </c>
      <c r="Y286" s="65" t="str">
        <f aca="false">IF(I286="","No SIC",IFERROR(VLOOKUP(I286,Ref!$A$2:$B$65,2,FALSE()),"Unclassified"))</f>
        <v>Wholesale Trade - Durable Goods</v>
      </c>
      <c r="Z286" s="65" t="str">
        <f aca="false">IF(T286="","",IF(T286&lt;12,"Daily","Weekly"))</f>
        <v>Daily</v>
      </c>
      <c r="AA286" s="65" t="n">
        <f aca="false">IF(T286="",0,IF(T286&lt;12,T286*Controls!$B$29,T286*5))</f>
        <v>63.903905</v>
      </c>
      <c r="AB286" s="65" t="n">
        <f aca="false">IF(E286="",0,NETWORKDAYS(E286,Controls!$B$36,Ref!$K$2:$K$42))</f>
        <v>220</v>
      </c>
      <c r="AC286" s="65" t="n">
        <f aca="false">IF(AND(AA286&gt;0,AB286&gt;=Controls!$B$39*AA286),1,0)</f>
        <v>1</v>
      </c>
      <c r="AD286" s="65" t="n">
        <f aca="false">IF(AND(E286&lt;&gt;"",E286&gt;=Controls!$B$37,E286&lt;=Controls!$B$38),1,0)</f>
        <v>1</v>
      </c>
      <c r="AE286" s="65" t="n">
        <f aca="false">IF(IFERROR(VLOOKUP(D286,Controls!$A$64:$E$74,2,FALSE()),"No")="Yes",1,0)</f>
        <v>0</v>
      </c>
      <c r="AF286" s="65" t="n">
        <f aca="false">IF(IFERROR(VLOOKUP(D286,Controls!$A$64:$E$74,3,FALSE()),"No")="Yes",1,0)</f>
        <v>1</v>
      </c>
      <c r="AG286" s="65" t="n">
        <f aca="false">IF(IFERROR(VLOOKUP(D286,Controls!$A$64:$E$74,4,FALSE()),"No")="Yes",1,0)</f>
        <v>1</v>
      </c>
      <c r="AH286" s="65" t="n">
        <f aca="false">IF(IFERROR(VLOOKUP(D286,Controls!$A$64:$E$74,5,FALSE()),"No")="Yes",1,0)</f>
        <v>0</v>
      </c>
      <c r="AI286" s="65" t="n">
        <f aca="false">IF(ISNUMBER(MATCH(D286,Controls!$A$64:$A$74,0)),1,0)</f>
        <v>1</v>
      </c>
      <c r="AJ286" s="65" t="n">
        <f aca="false">Q286-N286</f>
        <v>2450</v>
      </c>
      <c r="AK286" s="65" t="n">
        <f aca="false">IF(AE286=1,MAX(0,N286-Q286),0)</f>
        <v>0</v>
      </c>
      <c r="AL286" s="65" t="n">
        <f aca="false">IF(OR(V286="",V286=0),0,N286/V286)</f>
        <v>0.412836916207317</v>
      </c>
      <c r="AM286" s="65" t="n">
        <f aca="false">IF(OR(V286="",V286=0),0,1)</f>
        <v>1</v>
      </c>
      <c r="AN286" s="65" t="n">
        <f aca="false">IF(OR(E286="",F286=""),0,NETWORKDAYS(E286,F286,Ref!$K$2:$K$42))</f>
        <v>104</v>
      </c>
      <c r="AO286" s="65" t="n">
        <f aca="false">IF(L286="Renewal",1,0)</f>
        <v>0</v>
      </c>
      <c r="AP286" s="65" t="n">
        <f aca="false">AC286*AD286</f>
        <v>1</v>
      </c>
      <c r="AQ286" s="65" t="n">
        <f aca="false">IF(AND(G286&lt;&gt;"",'Historical Score'!$C$6&lt;&gt;""),IF(G286='Historical Score'!$C$6,1,0),0)</f>
        <v>0</v>
      </c>
      <c r="AR286" s="65" t="n">
        <f aca="false">IF(AND(L286&lt;&gt;"",'Historical Score'!$C$5&lt;&gt;""),IF(L286='Historical Score'!$C$5,1,0),0)</f>
        <v>1</v>
      </c>
      <c r="AS286" s="65" t="n">
        <f aca="false">IF(AND(Y286&lt;&gt;"",'Historical Score'!$C$7&lt;&gt;""),IF(Y286='Historical Score'!$C$7,1,0),0)</f>
        <v>0</v>
      </c>
      <c r="AT286" s="65" t="n">
        <f aca="false">IF(AND(K286&lt;&gt;"",'Historical Score'!$C$8&lt;&gt;""),IF(K286='Historical Score'!$C$8,1,0),0)</f>
        <v>0</v>
      </c>
      <c r="AU286" s="65" t="n">
        <f aca="false">IF(AND(J286&lt;&gt;"",'Historical Score'!$C$9&lt;&gt;""),IF(J286='Historical Score'!$C$9,1,0),0)</f>
        <v>0</v>
      </c>
      <c r="AV286" s="65" t="n">
        <f aca="false">AR286*AS286*AQ286</f>
        <v>0</v>
      </c>
      <c r="AW286" s="65" t="n">
        <f aca="false">AR286*AT286*AQ286</f>
        <v>0</v>
      </c>
      <c r="AX286" s="65" t="n">
        <f aca="false">AR286*AS286</f>
        <v>0</v>
      </c>
      <c r="AY286" s="65" t="n">
        <f aca="false">AR286*AT286</f>
        <v>0</v>
      </c>
      <c r="AZ286" s="65" t="n">
        <f aca="false">AR286*AQ286</f>
        <v>0</v>
      </c>
      <c r="BA286" s="65" t="n">
        <f aca="false">AR286</f>
        <v>1</v>
      </c>
      <c r="BB286" s="65" t="n">
        <f aca="false">1</f>
        <v>1</v>
      </c>
      <c r="BC286" s="65" t="n">
        <f aca="false">IF(AV286=1,1,IF(AW286=1,2,IF(AX286=1,3,IF(AY286=1,4,IF(AZ286=1,5,IF(BA286=1,6,7))))))</f>
        <v>6</v>
      </c>
      <c r="BD286" s="65" t="n">
        <f aca="false">IF(AD286=1,CHOOSE('Historical Score'!$C$29,AV286,AW286,AX286,AY286,AZ286,BA286,BB286),0)</f>
        <v>0</v>
      </c>
      <c r="BE286" s="65" t="str">
        <f aca="false">IF(BD286=1,COUNTIF($BD$2:BD286,1),"")</f>
        <v/>
      </c>
    </row>
    <row r="287" customFormat="false" ht="15" hidden="false" customHeight="false" outlineLevel="0" collapsed="false">
      <c r="A287" s="65" t="s">
        <v>1273</v>
      </c>
      <c r="B287" s="65" t="s">
        <v>1274</v>
      </c>
      <c r="C287" s="65" t="s">
        <v>1275</v>
      </c>
      <c r="D287" s="65" t="s">
        <v>689</v>
      </c>
      <c r="E287" s="112" t="n">
        <v>45940</v>
      </c>
      <c r="F287" s="112" t="n">
        <v>46139</v>
      </c>
      <c r="G287" s="65" t="n">
        <v>3</v>
      </c>
      <c r="H287" s="65" t="s">
        <v>409</v>
      </c>
      <c r="I287" s="65" t="s">
        <v>342</v>
      </c>
      <c r="J287" s="65" t="s">
        <v>61</v>
      </c>
      <c r="K287" s="65" t="s">
        <v>961</v>
      </c>
      <c r="L287" s="65" t="s">
        <v>64</v>
      </c>
      <c r="M287" s="113" t="n">
        <v>1.39</v>
      </c>
      <c r="N287" s="114" t="n">
        <v>28500</v>
      </c>
      <c r="O287" s="114" t="n">
        <v>3277.5</v>
      </c>
      <c r="P287" s="114" t="n">
        <v>39615</v>
      </c>
      <c r="Q287" s="114" t="n">
        <v>14814.63</v>
      </c>
      <c r="R287" s="114" t="n">
        <v>24800.37</v>
      </c>
      <c r="S287" s="115" t="n">
        <v>0.373965164710337</v>
      </c>
      <c r="T287" s="65" t="n">
        <v>32</v>
      </c>
      <c r="U287" s="65" t="n">
        <v>9</v>
      </c>
      <c r="V287" s="65" t="n">
        <v>70423.34</v>
      </c>
      <c r="W287" s="115" t="n">
        <v>0.0703</v>
      </c>
      <c r="X287" s="112" t="n">
        <v>44334</v>
      </c>
      <c r="Y287" s="65" t="str">
        <f aca="false">IF(I287="","No SIC",IFERROR(VLOOKUP(I287,Ref!$A$2:$B$65,2,FALSE()),"Unclassified"))</f>
        <v>Eating &amp; Drinking Places</v>
      </c>
      <c r="Z287" s="65" t="str">
        <f aca="false">IF(T287="","",IF(T287&lt;12,"Daily","Weekly"))</f>
        <v>Weekly</v>
      </c>
      <c r="AA287" s="65" t="n">
        <f aca="false">IF(T287="",0,IF(T287&lt;12,T287*Controls!$B$29,T287*5))</f>
        <v>160</v>
      </c>
      <c r="AB287" s="65" t="n">
        <f aca="false">IF(E287="",0,NETWORKDAYS(E287,Controls!$B$36,Ref!$K$2:$K$42))</f>
        <v>219</v>
      </c>
      <c r="AC287" s="65" t="n">
        <f aca="false">IF(AND(AA287&gt;0,AB287&gt;=Controls!$B$39*AA287),1,0)</f>
        <v>1</v>
      </c>
      <c r="AD287" s="65" t="n">
        <f aca="false">IF(AND(E287&lt;&gt;"",E287&gt;=Controls!$B$37,E287&lt;=Controls!$B$38),1,0)</f>
        <v>1</v>
      </c>
      <c r="AE287" s="65" t="n">
        <f aca="false">IF(IFERROR(VLOOKUP(D287,Controls!$A$64:$E$74,2,FALSE()),"No")="Yes",1,0)</f>
        <v>1</v>
      </c>
      <c r="AF287" s="65" t="n">
        <f aca="false">IF(IFERROR(VLOOKUP(D287,Controls!$A$64:$E$74,3,FALSE()),"No")="Yes",1,0)</f>
        <v>1</v>
      </c>
      <c r="AG287" s="65" t="n">
        <f aca="false">IF(IFERROR(VLOOKUP(D287,Controls!$A$64:$E$74,4,FALSE()),"No")="Yes",1,0)</f>
        <v>0</v>
      </c>
      <c r="AH287" s="65" t="n">
        <f aca="false">IF(IFERROR(VLOOKUP(D287,Controls!$A$64:$E$74,5,FALSE()),"No")="Yes",1,0)</f>
        <v>0</v>
      </c>
      <c r="AI287" s="65" t="n">
        <f aca="false">IF(ISNUMBER(MATCH(D287,Controls!$A$64:$A$74,0)),1,0)</f>
        <v>1</v>
      </c>
      <c r="AJ287" s="65" t="n">
        <f aca="false">Q287-N287</f>
        <v>-13685.37</v>
      </c>
      <c r="AK287" s="65" t="n">
        <f aca="false">IF(AE287=1,MAX(0,N287-Q287),0)</f>
        <v>13685.37</v>
      </c>
      <c r="AL287" s="65" t="n">
        <f aca="false">IF(OR(V287="",V287=0),0,N287/V287)</f>
        <v>0.404695375141253</v>
      </c>
      <c r="AM287" s="65" t="n">
        <f aca="false">IF(OR(V287="",V287=0),0,1)</f>
        <v>1</v>
      </c>
      <c r="AN287" s="65" t="n">
        <f aca="false">IF(OR(E287="",F287=""),0,NETWORKDAYS(E287,F287,Ref!$K$2:$K$42))</f>
        <v>135</v>
      </c>
      <c r="AO287" s="65" t="n">
        <f aca="false">IF(L287="Renewal",1,0)</f>
        <v>0</v>
      </c>
      <c r="AP287" s="65" t="n">
        <f aca="false">AC287*AD287</f>
        <v>1</v>
      </c>
      <c r="AQ287" s="65" t="n">
        <f aca="false">IF(AND(G287&lt;&gt;"",'Historical Score'!$C$6&lt;&gt;""),IF(G287='Historical Score'!$C$6,1,0),0)</f>
        <v>0</v>
      </c>
      <c r="AR287" s="65" t="n">
        <f aca="false">IF(AND(L287&lt;&gt;"",'Historical Score'!$C$5&lt;&gt;""),IF(L287='Historical Score'!$C$5,1,0),0)</f>
        <v>1</v>
      </c>
      <c r="AS287" s="65" t="n">
        <f aca="false">IF(AND(Y287&lt;&gt;"",'Historical Score'!$C$7&lt;&gt;""),IF(Y287='Historical Score'!$C$7,1,0),0)</f>
        <v>0</v>
      </c>
      <c r="AT287" s="65" t="n">
        <f aca="false">IF(AND(K287&lt;&gt;"",'Historical Score'!$C$8&lt;&gt;""),IF(K287='Historical Score'!$C$8,1,0),0)</f>
        <v>0</v>
      </c>
      <c r="AU287" s="65" t="n">
        <f aca="false">IF(AND(J287&lt;&gt;"",'Historical Score'!$C$9&lt;&gt;""),IF(J287='Historical Score'!$C$9,1,0),0)</f>
        <v>1</v>
      </c>
      <c r="AV287" s="65" t="n">
        <f aca="false">AR287*AS287*AQ287</f>
        <v>0</v>
      </c>
      <c r="AW287" s="65" t="n">
        <f aca="false">AR287*AT287*AQ287</f>
        <v>0</v>
      </c>
      <c r="AX287" s="65" t="n">
        <f aca="false">AR287*AS287</f>
        <v>0</v>
      </c>
      <c r="AY287" s="65" t="n">
        <f aca="false">AR287*AT287</f>
        <v>0</v>
      </c>
      <c r="AZ287" s="65" t="n">
        <f aca="false">AR287*AQ287</f>
        <v>0</v>
      </c>
      <c r="BA287" s="65" t="n">
        <f aca="false">AR287</f>
        <v>1</v>
      </c>
      <c r="BB287" s="65" t="n">
        <f aca="false">1</f>
        <v>1</v>
      </c>
      <c r="BC287" s="65" t="n">
        <f aca="false">IF(AV287=1,1,IF(AW287=1,2,IF(AX287=1,3,IF(AY287=1,4,IF(AZ287=1,5,IF(BA287=1,6,7))))))</f>
        <v>6</v>
      </c>
      <c r="BD287" s="65" t="n">
        <f aca="false">IF(AD287=1,CHOOSE('Historical Score'!$C$29,AV287,AW287,AX287,AY287,AZ287,BA287,BB287),0)</f>
        <v>0</v>
      </c>
      <c r="BE287" s="65" t="str">
        <f aca="false">IF(BD287=1,COUNTIF($BD$2:BD287,1),"")</f>
        <v/>
      </c>
    </row>
    <row r="288" customFormat="false" ht="15" hidden="false" customHeight="false" outlineLevel="0" collapsed="false">
      <c r="A288" s="65" t="s">
        <v>1276</v>
      </c>
      <c r="B288" s="65" t="s">
        <v>1277</v>
      </c>
      <c r="C288" s="65" t="s">
        <v>1277</v>
      </c>
      <c r="D288" s="65" t="s">
        <v>340</v>
      </c>
      <c r="E288" s="112" t="n">
        <v>45944</v>
      </c>
      <c r="F288" s="112" t="n">
        <v>45994</v>
      </c>
      <c r="G288" s="65" t="n">
        <v>1</v>
      </c>
      <c r="H288" s="65" t="s">
        <v>1278</v>
      </c>
      <c r="I288" s="65" t="s">
        <v>915</v>
      </c>
      <c r="J288" s="65" t="s">
        <v>649</v>
      </c>
      <c r="K288" s="65" t="s">
        <v>1141</v>
      </c>
      <c r="L288" s="65" t="s">
        <v>64</v>
      </c>
      <c r="M288" s="113" t="n">
        <v>1.45</v>
      </c>
      <c r="N288" s="114" t="n">
        <v>7000</v>
      </c>
      <c r="O288" s="114" t="n">
        <v>840</v>
      </c>
      <c r="P288" s="114" t="n">
        <v>10150</v>
      </c>
      <c r="Q288" s="114" t="n">
        <v>4373.32</v>
      </c>
      <c r="R288" s="114" t="n">
        <v>5776.68</v>
      </c>
      <c r="S288" s="115" t="n">
        <v>0.430868965517241</v>
      </c>
      <c r="T288" s="65" t="n">
        <v>2.131</v>
      </c>
      <c r="U288" s="65" t="n">
        <v>5</v>
      </c>
      <c r="W288" s="115" t="n">
        <v>0.082</v>
      </c>
      <c r="X288" s="112" t="n">
        <v>36708</v>
      </c>
      <c r="Y288" s="65" t="str">
        <f aca="false">IF(I288="","No SIC",IFERROR(VLOOKUP(I288,Ref!$A$2:$B$65,2,FALSE()),"Unclassified"))</f>
        <v>Transportation Services</v>
      </c>
      <c r="Z288" s="65" t="str">
        <f aca="false">IF(T288="","",IF(T288&lt;12,"Daily","Weekly"))</f>
        <v>Daily</v>
      </c>
      <c r="AA288" s="65" t="n">
        <f aca="false">IF(T288="",0,IF(T288&lt;12,T288*Controls!$B$29,T288*5))</f>
        <v>46.146805</v>
      </c>
      <c r="AB288" s="65" t="n">
        <f aca="false">IF(E288="",0,NETWORKDAYS(E288,Controls!$B$36,Ref!$K$2:$K$42))</f>
        <v>218</v>
      </c>
      <c r="AC288" s="65" t="n">
        <f aca="false">IF(AND(AA288&gt;0,AB288&gt;=Controls!$B$39*AA288),1,0)</f>
        <v>1</v>
      </c>
      <c r="AD288" s="65" t="n">
        <f aca="false">IF(AND(E288&lt;&gt;"",E288&gt;=Controls!$B$37,E288&lt;=Controls!$B$38),1,0)</f>
        <v>1</v>
      </c>
      <c r="AE288" s="65" t="n">
        <f aca="false">IF(IFERROR(VLOOKUP(D288,Controls!$A$64:$E$74,2,FALSE()),"No")="Yes",1,0)</f>
        <v>1</v>
      </c>
      <c r="AF288" s="65" t="n">
        <f aca="false">IF(IFERROR(VLOOKUP(D288,Controls!$A$64:$E$74,3,FALSE()),"No")="Yes",1,0)</f>
        <v>0</v>
      </c>
      <c r="AG288" s="65" t="n">
        <f aca="false">IF(IFERROR(VLOOKUP(D288,Controls!$A$64:$E$74,4,FALSE()),"No")="Yes",1,0)</f>
        <v>0</v>
      </c>
      <c r="AH288" s="65" t="n">
        <f aca="false">IF(IFERROR(VLOOKUP(D288,Controls!$A$64:$E$74,5,FALSE()),"No")="Yes",1,0)</f>
        <v>0</v>
      </c>
      <c r="AI288" s="65" t="n">
        <f aca="false">IF(ISNUMBER(MATCH(D288,Controls!$A$64:$A$74,0)),1,0)</f>
        <v>1</v>
      </c>
      <c r="AJ288" s="65" t="n">
        <f aca="false">Q288-N288</f>
        <v>-2626.68</v>
      </c>
      <c r="AK288" s="65" t="n">
        <f aca="false">IF(AE288=1,MAX(0,N288-Q288),0)</f>
        <v>2626.68</v>
      </c>
      <c r="AL288" s="65" t="n">
        <f aca="false">IF(OR(V288="",V288=0),0,N288/V288)</f>
        <v>0</v>
      </c>
      <c r="AM288" s="65" t="n">
        <f aca="false">IF(OR(V288="",V288=0),0,1)</f>
        <v>0</v>
      </c>
      <c r="AN288" s="65" t="n">
        <f aca="false">IF(OR(E288="",F288=""),0,NETWORKDAYS(E288,F288,Ref!$K$2:$K$42))</f>
        <v>35</v>
      </c>
      <c r="AO288" s="65" t="n">
        <f aca="false">IF(L288="Renewal",1,0)</f>
        <v>0</v>
      </c>
      <c r="AP288" s="65" t="n">
        <f aca="false">AC288*AD288</f>
        <v>1</v>
      </c>
      <c r="AQ288" s="65" t="n">
        <f aca="false">IF(AND(G288&lt;&gt;"",'Historical Score'!$C$6&lt;&gt;""),IF(G288='Historical Score'!$C$6,1,0),0)</f>
        <v>0</v>
      </c>
      <c r="AR288" s="65" t="n">
        <f aca="false">IF(AND(L288&lt;&gt;"",'Historical Score'!$C$5&lt;&gt;""),IF(L288='Historical Score'!$C$5,1,0),0)</f>
        <v>1</v>
      </c>
      <c r="AS288" s="65" t="n">
        <f aca="false">IF(AND(Y288&lt;&gt;"",'Historical Score'!$C$7&lt;&gt;""),IF(Y288='Historical Score'!$C$7,1,0),0)</f>
        <v>0</v>
      </c>
      <c r="AT288" s="65" t="n">
        <f aca="false">IF(AND(K288&lt;&gt;"",'Historical Score'!$C$8&lt;&gt;""),IF(K288='Historical Score'!$C$8,1,0),0)</f>
        <v>0</v>
      </c>
      <c r="AU288" s="65" t="n">
        <f aca="false">IF(AND(J288&lt;&gt;"",'Historical Score'!$C$9&lt;&gt;""),IF(J288='Historical Score'!$C$9,1,0),0)</f>
        <v>0</v>
      </c>
      <c r="AV288" s="65" t="n">
        <f aca="false">AR288*AS288*AQ288</f>
        <v>0</v>
      </c>
      <c r="AW288" s="65" t="n">
        <f aca="false">AR288*AT288*AQ288</f>
        <v>0</v>
      </c>
      <c r="AX288" s="65" t="n">
        <f aca="false">AR288*AS288</f>
        <v>0</v>
      </c>
      <c r="AY288" s="65" t="n">
        <f aca="false">AR288*AT288</f>
        <v>0</v>
      </c>
      <c r="AZ288" s="65" t="n">
        <f aca="false">AR288*AQ288</f>
        <v>0</v>
      </c>
      <c r="BA288" s="65" t="n">
        <f aca="false">AR288</f>
        <v>1</v>
      </c>
      <c r="BB288" s="65" t="n">
        <f aca="false">1</f>
        <v>1</v>
      </c>
      <c r="BC288" s="65" t="n">
        <f aca="false">IF(AV288=1,1,IF(AW288=1,2,IF(AX288=1,3,IF(AY288=1,4,IF(AZ288=1,5,IF(BA288=1,6,7))))))</f>
        <v>6</v>
      </c>
      <c r="BD288" s="65" t="n">
        <f aca="false">IF(AD288=1,CHOOSE('Historical Score'!$C$29,AV288,AW288,AX288,AY288,AZ288,BA288,BB288),0)</f>
        <v>0</v>
      </c>
      <c r="BE288" s="65" t="str">
        <f aca="false">IF(BD288=1,COUNTIF($BD$2:BD288,1),"")</f>
        <v/>
      </c>
    </row>
    <row r="289" customFormat="false" ht="15" hidden="false" customHeight="false" outlineLevel="0" collapsed="false">
      <c r="A289" s="65" t="s">
        <v>1279</v>
      </c>
      <c r="B289" s="65" t="s">
        <v>1280</v>
      </c>
      <c r="C289" s="65" t="s">
        <v>1280</v>
      </c>
      <c r="D289" s="65" t="s">
        <v>340</v>
      </c>
      <c r="E289" s="112" t="n">
        <v>45944</v>
      </c>
      <c r="F289" s="112" t="n">
        <v>46041</v>
      </c>
      <c r="G289" s="65" t="n">
        <v>1</v>
      </c>
      <c r="H289" s="65" t="s">
        <v>637</v>
      </c>
      <c r="I289" s="65" t="s">
        <v>484</v>
      </c>
      <c r="J289" s="65" t="s">
        <v>373</v>
      </c>
      <c r="K289" s="65" t="s">
        <v>961</v>
      </c>
      <c r="L289" s="65" t="s">
        <v>64</v>
      </c>
      <c r="M289" s="113" t="n">
        <v>1.42</v>
      </c>
      <c r="N289" s="114" t="n">
        <v>20000</v>
      </c>
      <c r="O289" s="114" t="n">
        <v>2800</v>
      </c>
      <c r="P289" s="114" t="n">
        <v>28400</v>
      </c>
      <c r="Q289" s="114" t="n">
        <v>7098.56</v>
      </c>
      <c r="R289" s="114" t="n">
        <v>21301.44</v>
      </c>
      <c r="S289" s="115" t="n">
        <v>0.249949295774648</v>
      </c>
      <c r="T289" s="65" t="n">
        <v>32</v>
      </c>
      <c r="U289" s="65" t="n">
        <v>5</v>
      </c>
      <c r="V289" s="65" t="n">
        <v>48487.6</v>
      </c>
      <c r="W289" s="115" t="n">
        <v>0.0732</v>
      </c>
      <c r="X289" s="112" t="n">
        <v>44533</v>
      </c>
      <c r="Y289" s="65" t="str">
        <f aca="false">IF(I289="","No SIC",IFERROR(VLOOKUP(I289,Ref!$A$2:$B$65,2,FALSE()),"Unclassified"))</f>
        <v>Special Trade Contractors</v>
      </c>
      <c r="Z289" s="65" t="str">
        <f aca="false">IF(T289="","",IF(T289&lt;12,"Daily","Weekly"))</f>
        <v>Weekly</v>
      </c>
      <c r="AA289" s="65" t="n">
        <f aca="false">IF(T289="",0,IF(T289&lt;12,T289*Controls!$B$29,T289*5))</f>
        <v>160</v>
      </c>
      <c r="AB289" s="65" t="n">
        <f aca="false">IF(E289="",0,NETWORKDAYS(E289,Controls!$B$36,Ref!$K$2:$K$42))</f>
        <v>218</v>
      </c>
      <c r="AC289" s="65" t="n">
        <f aca="false">IF(AND(AA289&gt;0,AB289&gt;=Controls!$B$39*AA289),1,0)</f>
        <v>1</v>
      </c>
      <c r="AD289" s="65" t="n">
        <f aca="false">IF(AND(E289&lt;&gt;"",E289&gt;=Controls!$B$37,E289&lt;=Controls!$B$38),1,0)</f>
        <v>1</v>
      </c>
      <c r="AE289" s="65" t="n">
        <f aca="false">IF(IFERROR(VLOOKUP(D289,Controls!$A$64:$E$74,2,FALSE()),"No")="Yes",1,0)</f>
        <v>1</v>
      </c>
      <c r="AF289" s="65" t="n">
        <f aca="false">IF(IFERROR(VLOOKUP(D289,Controls!$A$64:$E$74,3,FALSE()),"No")="Yes",1,0)</f>
        <v>0</v>
      </c>
      <c r="AG289" s="65" t="n">
        <f aca="false">IF(IFERROR(VLOOKUP(D289,Controls!$A$64:$E$74,4,FALSE()),"No")="Yes",1,0)</f>
        <v>0</v>
      </c>
      <c r="AH289" s="65" t="n">
        <f aca="false">IF(IFERROR(VLOOKUP(D289,Controls!$A$64:$E$74,5,FALSE()),"No")="Yes",1,0)</f>
        <v>0</v>
      </c>
      <c r="AI289" s="65" t="n">
        <f aca="false">IF(ISNUMBER(MATCH(D289,Controls!$A$64:$A$74,0)),1,0)</f>
        <v>1</v>
      </c>
      <c r="AJ289" s="65" t="n">
        <f aca="false">Q289-N289</f>
        <v>-12901.44</v>
      </c>
      <c r="AK289" s="65" t="n">
        <f aca="false">IF(AE289=1,MAX(0,N289-Q289),0)</f>
        <v>12901.44</v>
      </c>
      <c r="AL289" s="65" t="n">
        <f aca="false">IF(OR(V289="",V289=0),0,N289/V289)</f>
        <v>0.412476591953407</v>
      </c>
      <c r="AM289" s="65" t="n">
        <f aca="false">IF(OR(V289="",V289=0),0,1)</f>
        <v>1</v>
      </c>
      <c r="AN289" s="65" t="n">
        <f aca="false">IF(OR(E289="",F289=""),0,NETWORKDAYS(E289,F289,Ref!$K$2:$K$42))</f>
        <v>65</v>
      </c>
      <c r="AO289" s="65" t="n">
        <f aca="false">IF(L289="Renewal",1,0)</f>
        <v>0</v>
      </c>
      <c r="AP289" s="65" t="n">
        <f aca="false">AC289*AD289</f>
        <v>1</v>
      </c>
      <c r="AQ289" s="65" t="n">
        <f aca="false">IF(AND(G289&lt;&gt;"",'Historical Score'!$C$6&lt;&gt;""),IF(G289='Historical Score'!$C$6,1,0),0)</f>
        <v>0</v>
      </c>
      <c r="AR289" s="65" t="n">
        <f aca="false">IF(AND(L289&lt;&gt;"",'Historical Score'!$C$5&lt;&gt;""),IF(L289='Historical Score'!$C$5,1,0),0)</f>
        <v>1</v>
      </c>
      <c r="AS289" s="65" t="n">
        <f aca="false">IF(AND(Y289&lt;&gt;"",'Historical Score'!$C$7&lt;&gt;""),IF(Y289='Historical Score'!$C$7,1,0),0)</f>
        <v>0</v>
      </c>
      <c r="AT289" s="65" t="n">
        <f aca="false">IF(AND(K289&lt;&gt;"",'Historical Score'!$C$8&lt;&gt;""),IF(K289='Historical Score'!$C$8,1,0),0)</f>
        <v>0</v>
      </c>
      <c r="AU289" s="65" t="n">
        <f aca="false">IF(AND(J289&lt;&gt;"",'Historical Score'!$C$9&lt;&gt;""),IF(J289='Historical Score'!$C$9,1,0),0)</f>
        <v>0</v>
      </c>
      <c r="AV289" s="65" t="n">
        <f aca="false">AR289*AS289*AQ289</f>
        <v>0</v>
      </c>
      <c r="AW289" s="65" t="n">
        <f aca="false">AR289*AT289*AQ289</f>
        <v>0</v>
      </c>
      <c r="AX289" s="65" t="n">
        <f aca="false">AR289*AS289</f>
        <v>0</v>
      </c>
      <c r="AY289" s="65" t="n">
        <f aca="false">AR289*AT289</f>
        <v>0</v>
      </c>
      <c r="AZ289" s="65" t="n">
        <f aca="false">AR289*AQ289</f>
        <v>0</v>
      </c>
      <c r="BA289" s="65" t="n">
        <f aca="false">AR289</f>
        <v>1</v>
      </c>
      <c r="BB289" s="65" t="n">
        <f aca="false">1</f>
        <v>1</v>
      </c>
      <c r="BC289" s="65" t="n">
        <f aca="false">IF(AV289=1,1,IF(AW289=1,2,IF(AX289=1,3,IF(AY289=1,4,IF(AZ289=1,5,IF(BA289=1,6,7))))))</f>
        <v>6</v>
      </c>
      <c r="BD289" s="65" t="n">
        <f aca="false">IF(AD289=1,CHOOSE('Historical Score'!$C$29,AV289,AW289,AX289,AY289,AZ289,BA289,BB289),0)</f>
        <v>0</v>
      </c>
      <c r="BE289" s="65" t="str">
        <f aca="false">IF(BD289=1,COUNTIF($BD$2:BD289,1),"")</f>
        <v/>
      </c>
    </row>
    <row r="290" customFormat="false" ht="15" hidden="false" customHeight="false" outlineLevel="0" collapsed="false">
      <c r="A290" s="65" t="s">
        <v>1281</v>
      </c>
      <c r="B290" s="65" t="s">
        <v>780</v>
      </c>
      <c r="C290" s="65" t="s">
        <v>780</v>
      </c>
      <c r="D290" s="65" t="s">
        <v>959</v>
      </c>
      <c r="E290" s="112" t="n">
        <v>45944</v>
      </c>
      <c r="F290" s="112" t="n">
        <v>46253</v>
      </c>
      <c r="G290" s="65" t="n">
        <v>3</v>
      </c>
      <c r="H290" s="65" t="s">
        <v>748</v>
      </c>
      <c r="I290" s="65" t="s">
        <v>619</v>
      </c>
      <c r="J290" s="65" t="s">
        <v>464</v>
      </c>
      <c r="K290" s="65" t="s">
        <v>581</v>
      </c>
      <c r="L290" s="65" t="s">
        <v>320</v>
      </c>
      <c r="M290" s="113" t="n">
        <v>1.499</v>
      </c>
      <c r="N290" s="114" t="n">
        <v>35000</v>
      </c>
      <c r="O290" s="114" t="n">
        <v>4900</v>
      </c>
      <c r="P290" s="114" t="n">
        <v>52465</v>
      </c>
      <c r="Q290" s="114" t="n">
        <v>31716.51</v>
      </c>
      <c r="R290" s="114" t="n">
        <v>20748.49</v>
      </c>
      <c r="S290" s="115" t="n">
        <v>0.604527018012008</v>
      </c>
      <c r="T290" s="65" t="n">
        <v>2.951</v>
      </c>
      <c r="U290" s="65" t="n">
        <v>22</v>
      </c>
      <c r="V290" s="65" t="n">
        <v>109868.79</v>
      </c>
      <c r="W290" s="115" t="n">
        <v>0.1107</v>
      </c>
      <c r="X290" s="112" t="n">
        <v>43891</v>
      </c>
      <c r="Y290" s="65" t="str">
        <f aca="false">IF(I290="","No SIC",IFERROR(VLOOKUP(I290,Ref!$A$2:$B$65,2,FALSE()),"Unclassified"))</f>
        <v>Miscellaneous Retail</v>
      </c>
      <c r="Z290" s="65" t="str">
        <f aca="false">IF(T290="","",IF(T290&lt;12,"Daily","Weekly"))</f>
        <v>Daily</v>
      </c>
      <c r="AA290" s="65" t="n">
        <f aca="false">IF(T290="",0,IF(T290&lt;12,T290*Controls!$B$29,T290*5))</f>
        <v>63.903905</v>
      </c>
      <c r="AB290" s="65" t="n">
        <f aca="false">IF(E290="",0,NETWORKDAYS(E290,Controls!$B$36,Ref!$K$2:$K$42))</f>
        <v>218</v>
      </c>
      <c r="AC290" s="65" t="n">
        <f aca="false">IF(AND(AA290&gt;0,AB290&gt;=Controls!$B$39*AA290),1,0)</f>
        <v>1</v>
      </c>
      <c r="AD290" s="65" t="n">
        <f aca="false">IF(AND(E290&lt;&gt;"",E290&gt;=Controls!$B$37,E290&lt;=Controls!$B$38),1,0)</f>
        <v>1</v>
      </c>
      <c r="AE290" s="65" t="n">
        <f aca="false">IF(IFERROR(VLOOKUP(D290,Controls!$A$64:$E$74,2,FALSE()),"No")="Yes",1,0)</f>
        <v>0</v>
      </c>
      <c r="AF290" s="65" t="n">
        <f aca="false">IF(IFERROR(VLOOKUP(D290,Controls!$A$64:$E$74,3,FALSE()),"No")="Yes",1,0)</f>
        <v>0</v>
      </c>
      <c r="AG290" s="65" t="n">
        <f aca="false">IF(IFERROR(VLOOKUP(D290,Controls!$A$64:$E$74,4,FALSE()),"No")="Yes",1,0)</f>
        <v>0</v>
      </c>
      <c r="AH290" s="65" t="n">
        <f aca="false">IF(IFERROR(VLOOKUP(D290,Controls!$A$64:$E$74,5,FALSE()),"No")="Yes",1,0)</f>
        <v>0</v>
      </c>
      <c r="AI290" s="65" t="n">
        <f aca="false">IF(ISNUMBER(MATCH(D290,Controls!$A$64:$A$74,0)),1,0)</f>
        <v>1</v>
      </c>
      <c r="AJ290" s="65" t="n">
        <f aca="false">Q290-N290</f>
        <v>-3283.49</v>
      </c>
      <c r="AK290" s="65" t="n">
        <f aca="false">IF(AE290=1,MAX(0,N290-Q290),0)</f>
        <v>0</v>
      </c>
      <c r="AL290" s="65" t="n">
        <f aca="false">IF(OR(V290="",V290=0),0,N290/V290)</f>
        <v>0.318561804494252</v>
      </c>
      <c r="AM290" s="65" t="n">
        <f aca="false">IF(OR(V290="",V290=0),0,1)</f>
        <v>1</v>
      </c>
      <c r="AN290" s="65" t="n">
        <f aca="false">IF(OR(E290="",F290=""),0,NETWORKDAYS(E290,F290,Ref!$K$2:$K$42))</f>
        <v>214</v>
      </c>
      <c r="AO290" s="65" t="n">
        <f aca="false">IF(L290="Renewal",1,0)</f>
        <v>1</v>
      </c>
      <c r="AP290" s="65" t="n">
        <f aca="false">AC290*AD290</f>
        <v>1</v>
      </c>
      <c r="AQ290" s="65" t="n">
        <f aca="false">IF(AND(G290&lt;&gt;"",'Historical Score'!$C$6&lt;&gt;""),IF(G290='Historical Score'!$C$6,1,0),0)</f>
        <v>0</v>
      </c>
      <c r="AR290" s="65" t="n">
        <f aca="false">IF(AND(L290&lt;&gt;"",'Historical Score'!$C$5&lt;&gt;""),IF(L290='Historical Score'!$C$5,1,0),0)</f>
        <v>0</v>
      </c>
      <c r="AS290" s="65" t="n">
        <f aca="false">IF(AND(Y290&lt;&gt;"",'Historical Score'!$C$7&lt;&gt;""),IF(Y290='Historical Score'!$C$7,1,0),0)</f>
        <v>0</v>
      </c>
      <c r="AT290" s="65" t="n">
        <f aca="false">IF(AND(K290&lt;&gt;"",'Historical Score'!$C$8&lt;&gt;""),IF(K290='Historical Score'!$C$8,1,0),0)</f>
        <v>0</v>
      </c>
      <c r="AU290" s="65" t="n">
        <f aca="false">IF(AND(J290&lt;&gt;"",'Historical Score'!$C$9&lt;&gt;""),IF(J290='Historical Score'!$C$9,1,0),0)</f>
        <v>0</v>
      </c>
      <c r="AV290" s="65" t="n">
        <f aca="false">AR290*AS290*AQ290</f>
        <v>0</v>
      </c>
      <c r="AW290" s="65" t="n">
        <f aca="false">AR290*AT290*AQ290</f>
        <v>0</v>
      </c>
      <c r="AX290" s="65" t="n">
        <f aca="false">AR290*AS290</f>
        <v>0</v>
      </c>
      <c r="AY290" s="65" t="n">
        <f aca="false">AR290*AT290</f>
        <v>0</v>
      </c>
      <c r="AZ290" s="65" t="n">
        <f aca="false">AR290*AQ290</f>
        <v>0</v>
      </c>
      <c r="BA290" s="65" t="n">
        <f aca="false">AR290</f>
        <v>0</v>
      </c>
      <c r="BB290" s="65" t="n">
        <f aca="false">1</f>
        <v>1</v>
      </c>
      <c r="BC290" s="65" t="n">
        <f aca="false">IF(AV290=1,1,IF(AW290=1,2,IF(AX290=1,3,IF(AY290=1,4,IF(AZ290=1,5,IF(BA290=1,6,7))))))</f>
        <v>7</v>
      </c>
      <c r="BD290" s="65" t="n">
        <f aca="false">IF(AD290=1,CHOOSE('Historical Score'!$C$29,AV290,AW290,AX290,AY290,AZ290,BA290,BB290),0)</f>
        <v>0</v>
      </c>
      <c r="BE290" s="65" t="str">
        <f aca="false">IF(BD290=1,COUNTIF($BD$2:BD290,1),"")</f>
        <v/>
      </c>
    </row>
    <row r="291" customFormat="false" ht="15" hidden="false" customHeight="false" outlineLevel="0" collapsed="false">
      <c r="A291" s="65" t="s">
        <v>1282</v>
      </c>
      <c r="B291" s="65" t="s">
        <v>1283</v>
      </c>
      <c r="C291" s="65" t="s">
        <v>1283</v>
      </c>
      <c r="D291" s="65" t="s">
        <v>371</v>
      </c>
      <c r="E291" s="112" t="n">
        <v>45946</v>
      </c>
      <c r="F291" s="112" t="n">
        <v>46121</v>
      </c>
      <c r="G291" s="65" t="n">
        <v>1</v>
      </c>
      <c r="H291" s="65" t="s">
        <v>494</v>
      </c>
      <c r="I291" s="65" t="s">
        <v>484</v>
      </c>
      <c r="J291" s="65" t="s">
        <v>772</v>
      </c>
      <c r="K291" s="65" t="s">
        <v>1284</v>
      </c>
      <c r="L291" s="65" t="s">
        <v>64</v>
      </c>
      <c r="M291" s="113" t="n">
        <v>1.31</v>
      </c>
      <c r="N291" s="114" t="n">
        <v>8000</v>
      </c>
      <c r="O291" s="114" t="n">
        <v>80</v>
      </c>
      <c r="P291" s="114" t="n">
        <v>10480</v>
      </c>
      <c r="Q291" s="114" t="n">
        <v>10480</v>
      </c>
      <c r="R291" s="114" t="n">
        <v>0</v>
      </c>
      <c r="S291" s="115" t="n">
        <v>1</v>
      </c>
      <c r="T291" s="65" t="n">
        <v>24</v>
      </c>
      <c r="U291" s="65" t="n">
        <v>0</v>
      </c>
      <c r="V291" s="65" t="n">
        <v>21170</v>
      </c>
      <c r="W291" s="115" t="n">
        <v>0.0825</v>
      </c>
      <c r="X291" s="112" t="n">
        <v>45946</v>
      </c>
      <c r="Y291" s="65" t="str">
        <f aca="false">IF(I291="","No SIC",IFERROR(VLOOKUP(I291,Ref!$A$2:$B$65,2,FALSE()),"Unclassified"))</f>
        <v>Special Trade Contractors</v>
      </c>
      <c r="Z291" s="65" t="str">
        <f aca="false">IF(T291="","",IF(T291&lt;12,"Daily","Weekly"))</f>
        <v>Weekly</v>
      </c>
      <c r="AA291" s="65" t="n">
        <f aca="false">IF(T291="",0,IF(T291&lt;12,T291*Controls!$B$29,T291*5))</f>
        <v>120</v>
      </c>
      <c r="AB291" s="65" t="n">
        <f aca="false">IF(E291="",0,NETWORKDAYS(E291,Controls!$B$36,Ref!$K$2:$K$42))</f>
        <v>216</v>
      </c>
      <c r="AC291" s="65" t="n">
        <f aca="false">IF(AND(AA291&gt;0,AB291&gt;=Controls!$B$39*AA291),1,0)</f>
        <v>1</v>
      </c>
      <c r="AD291" s="65" t="n">
        <f aca="false">IF(AND(E291&lt;&gt;"",E291&gt;=Controls!$B$37,E291&lt;=Controls!$B$38),1,0)</f>
        <v>1</v>
      </c>
      <c r="AE291" s="65" t="n">
        <f aca="false">IF(IFERROR(VLOOKUP(D291,Controls!$A$64:$E$74,2,FALSE()),"No")="Yes",1,0)</f>
        <v>0</v>
      </c>
      <c r="AF291" s="65" t="n">
        <f aca="false">IF(IFERROR(VLOOKUP(D291,Controls!$A$64:$E$74,3,FALSE()),"No")="Yes",1,0)</f>
        <v>1</v>
      </c>
      <c r="AG291" s="65" t="n">
        <f aca="false">IF(IFERROR(VLOOKUP(D291,Controls!$A$64:$E$74,4,FALSE()),"No")="Yes",1,0)</f>
        <v>1</v>
      </c>
      <c r="AH291" s="65" t="n">
        <f aca="false">IF(IFERROR(VLOOKUP(D291,Controls!$A$64:$E$74,5,FALSE()),"No")="Yes",1,0)</f>
        <v>0</v>
      </c>
      <c r="AI291" s="65" t="n">
        <f aca="false">IF(ISNUMBER(MATCH(D291,Controls!$A$64:$A$74,0)),1,0)</f>
        <v>1</v>
      </c>
      <c r="AJ291" s="65" t="n">
        <f aca="false">Q291-N291</f>
        <v>2480</v>
      </c>
      <c r="AK291" s="65" t="n">
        <f aca="false">IF(AE291=1,MAX(0,N291-Q291),0)</f>
        <v>0</v>
      </c>
      <c r="AL291" s="65" t="n">
        <f aca="false">IF(OR(V291="",V291=0),0,N291/V291)</f>
        <v>0.377893245158243</v>
      </c>
      <c r="AM291" s="65" t="n">
        <f aca="false">IF(OR(V291="",V291=0),0,1)</f>
        <v>1</v>
      </c>
      <c r="AN291" s="65" t="n">
        <f aca="false">IF(OR(E291="",F291=""),0,NETWORKDAYS(E291,F291,Ref!$K$2:$K$42))</f>
        <v>120</v>
      </c>
      <c r="AO291" s="65" t="n">
        <f aca="false">IF(L291="Renewal",1,0)</f>
        <v>0</v>
      </c>
      <c r="AP291" s="65" t="n">
        <f aca="false">AC291*AD291</f>
        <v>1</v>
      </c>
      <c r="AQ291" s="65" t="n">
        <f aca="false">IF(AND(G291&lt;&gt;"",'Historical Score'!$C$6&lt;&gt;""),IF(G291='Historical Score'!$C$6,1,0),0)</f>
        <v>0</v>
      </c>
      <c r="AR291" s="65" t="n">
        <f aca="false">IF(AND(L291&lt;&gt;"",'Historical Score'!$C$5&lt;&gt;""),IF(L291='Historical Score'!$C$5,1,0),0)</f>
        <v>1</v>
      </c>
      <c r="AS291" s="65" t="n">
        <f aca="false">IF(AND(Y291&lt;&gt;"",'Historical Score'!$C$7&lt;&gt;""),IF(Y291='Historical Score'!$C$7,1,0),0)</f>
        <v>0</v>
      </c>
      <c r="AT291" s="65" t="n">
        <f aca="false">IF(AND(K291&lt;&gt;"",'Historical Score'!$C$8&lt;&gt;""),IF(K291='Historical Score'!$C$8,1,0),0)</f>
        <v>0</v>
      </c>
      <c r="AU291" s="65" t="n">
        <f aca="false">IF(AND(J291&lt;&gt;"",'Historical Score'!$C$9&lt;&gt;""),IF(J291='Historical Score'!$C$9,1,0),0)</f>
        <v>0</v>
      </c>
      <c r="AV291" s="65" t="n">
        <f aca="false">AR291*AS291*AQ291</f>
        <v>0</v>
      </c>
      <c r="AW291" s="65" t="n">
        <f aca="false">AR291*AT291*AQ291</f>
        <v>0</v>
      </c>
      <c r="AX291" s="65" t="n">
        <f aca="false">AR291*AS291</f>
        <v>0</v>
      </c>
      <c r="AY291" s="65" t="n">
        <f aca="false">AR291*AT291</f>
        <v>0</v>
      </c>
      <c r="AZ291" s="65" t="n">
        <f aca="false">AR291*AQ291</f>
        <v>0</v>
      </c>
      <c r="BA291" s="65" t="n">
        <f aca="false">AR291</f>
        <v>1</v>
      </c>
      <c r="BB291" s="65" t="n">
        <f aca="false">1</f>
        <v>1</v>
      </c>
      <c r="BC291" s="65" t="n">
        <f aca="false">IF(AV291=1,1,IF(AW291=1,2,IF(AX291=1,3,IF(AY291=1,4,IF(AZ291=1,5,IF(BA291=1,6,7))))))</f>
        <v>6</v>
      </c>
      <c r="BD291" s="65" t="n">
        <f aca="false">IF(AD291=1,CHOOSE('Historical Score'!$C$29,AV291,AW291,AX291,AY291,AZ291,BA291,BB291),0)</f>
        <v>0</v>
      </c>
      <c r="BE291" s="65" t="str">
        <f aca="false">IF(BD291=1,COUNTIF($BD$2:BD291,1),"")</f>
        <v/>
      </c>
    </row>
    <row r="292" customFormat="false" ht="15" hidden="false" customHeight="false" outlineLevel="0" collapsed="false">
      <c r="A292" s="65" t="s">
        <v>1285</v>
      </c>
      <c r="B292" s="65" t="s">
        <v>1286</v>
      </c>
      <c r="C292" s="65" t="s">
        <v>1287</v>
      </c>
      <c r="D292" s="65" t="s">
        <v>371</v>
      </c>
      <c r="E292" s="112" t="n">
        <v>45946</v>
      </c>
      <c r="F292" s="112" t="n">
        <v>46070</v>
      </c>
      <c r="G292" s="65" t="n">
        <v>2</v>
      </c>
      <c r="H292" s="65" t="s">
        <v>904</v>
      </c>
      <c r="I292" s="65" t="s">
        <v>425</v>
      </c>
      <c r="J292" s="65" t="s">
        <v>905</v>
      </c>
      <c r="K292" s="65" t="s">
        <v>906</v>
      </c>
      <c r="L292" s="65" t="s">
        <v>64</v>
      </c>
      <c r="M292" s="113" t="n">
        <v>1.499</v>
      </c>
      <c r="N292" s="114" t="n">
        <v>15000</v>
      </c>
      <c r="O292" s="114" t="n">
        <v>2100</v>
      </c>
      <c r="P292" s="114" t="n">
        <v>22485</v>
      </c>
      <c r="Q292" s="114" t="n">
        <v>22485</v>
      </c>
      <c r="R292" s="114" t="n">
        <v>0</v>
      </c>
      <c r="S292" s="115" t="n">
        <v>1</v>
      </c>
      <c r="T292" s="65" t="n">
        <v>2.951</v>
      </c>
      <c r="U292" s="65" t="n">
        <v>0</v>
      </c>
      <c r="V292" s="65" t="n">
        <v>14958.77</v>
      </c>
      <c r="W292" s="115" t="n">
        <v>0.3507</v>
      </c>
      <c r="X292" s="112" t="n">
        <v>42309</v>
      </c>
      <c r="Y292" s="65" t="str">
        <f aca="false">IF(I292="","No SIC",IFERROR(VLOOKUP(I292,Ref!$A$2:$B$65,2,FALSE()),"Unclassified"))</f>
        <v>Personal Services</v>
      </c>
      <c r="Z292" s="65" t="str">
        <f aca="false">IF(T292="","",IF(T292&lt;12,"Daily","Weekly"))</f>
        <v>Daily</v>
      </c>
      <c r="AA292" s="65" t="n">
        <f aca="false">IF(T292="",0,IF(T292&lt;12,T292*Controls!$B$29,T292*5))</f>
        <v>63.903905</v>
      </c>
      <c r="AB292" s="65" t="n">
        <f aca="false">IF(E292="",0,NETWORKDAYS(E292,Controls!$B$36,Ref!$K$2:$K$42))</f>
        <v>216</v>
      </c>
      <c r="AC292" s="65" t="n">
        <f aca="false">IF(AND(AA292&gt;0,AB292&gt;=Controls!$B$39*AA292),1,0)</f>
        <v>1</v>
      </c>
      <c r="AD292" s="65" t="n">
        <f aca="false">IF(AND(E292&lt;&gt;"",E292&gt;=Controls!$B$37,E292&lt;=Controls!$B$38),1,0)</f>
        <v>1</v>
      </c>
      <c r="AE292" s="65" t="n">
        <f aca="false">IF(IFERROR(VLOOKUP(D292,Controls!$A$64:$E$74,2,FALSE()),"No")="Yes",1,0)</f>
        <v>0</v>
      </c>
      <c r="AF292" s="65" t="n">
        <f aca="false">IF(IFERROR(VLOOKUP(D292,Controls!$A$64:$E$74,3,FALSE()),"No")="Yes",1,0)</f>
        <v>1</v>
      </c>
      <c r="AG292" s="65" t="n">
        <f aca="false">IF(IFERROR(VLOOKUP(D292,Controls!$A$64:$E$74,4,FALSE()),"No")="Yes",1,0)</f>
        <v>1</v>
      </c>
      <c r="AH292" s="65" t="n">
        <f aca="false">IF(IFERROR(VLOOKUP(D292,Controls!$A$64:$E$74,5,FALSE()),"No")="Yes",1,0)</f>
        <v>0</v>
      </c>
      <c r="AI292" s="65" t="n">
        <f aca="false">IF(ISNUMBER(MATCH(D292,Controls!$A$64:$A$74,0)),1,0)</f>
        <v>1</v>
      </c>
      <c r="AJ292" s="65" t="n">
        <f aca="false">Q292-N292</f>
        <v>7485</v>
      </c>
      <c r="AK292" s="65" t="n">
        <f aca="false">IF(AE292=1,MAX(0,N292-Q292),0)</f>
        <v>0</v>
      </c>
      <c r="AL292" s="65" t="n">
        <f aca="false">IF(OR(V292="",V292=0),0,N292/V292)</f>
        <v>1.00275624265899</v>
      </c>
      <c r="AM292" s="65" t="n">
        <f aca="false">IF(OR(V292="",V292=0),0,1)</f>
        <v>1</v>
      </c>
      <c r="AN292" s="65" t="n">
        <f aca="false">IF(OR(E292="",F292=""),0,NETWORKDAYS(E292,F292,Ref!$K$2:$K$42))</f>
        <v>83</v>
      </c>
      <c r="AO292" s="65" t="n">
        <f aca="false">IF(L292="Renewal",1,0)</f>
        <v>0</v>
      </c>
      <c r="AP292" s="65" t="n">
        <f aca="false">AC292*AD292</f>
        <v>1</v>
      </c>
      <c r="AQ292" s="65" t="n">
        <f aca="false">IF(AND(G292&lt;&gt;"",'Historical Score'!$C$6&lt;&gt;""),IF(G292='Historical Score'!$C$6,1,0),0)</f>
        <v>1</v>
      </c>
      <c r="AR292" s="65" t="n">
        <f aca="false">IF(AND(L292&lt;&gt;"",'Historical Score'!$C$5&lt;&gt;""),IF(L292='Historical Score'!$C$5,1,0),0)</f>
        <v>1</v>
      </c>
      <c r="AS292" s="65" t="n">
        <f aca="false">IF(AND(Y292&lt;&gt;"",'Historical Score'!$C$7&lt;&gt;""),IF(Y292='Historical Score'!$C$7,1,0),0)</f>
        <v>0</v>
      </c>
      <c r="AT292" s="65" t="n">
        <f aca="false">IF(AND(K292&lt;&gt;"",'Historical Score'!$C$8&lt;&gt;""),IF(K292='Historical Score'!$C$8,1,0),0)</f>
        <v>0</v>
      </c>
      <c r="AU292" s="65" t="n">
        <f aca="false">IF(AND(J292&lt;&gt;"",'Historical Score'!$C$9&lt;&gt;""),IF(J292='Historical Score'!$C$9,1,0),0)</f>
        <v>0</v>
      </c>
      <c r="AV292" s="65" t="n">
        <f aca="false">AR292*AS292*AQ292</f>
        <v>0</v>
      </c>
      <c r="AW292" s="65" t="n">
        <f aca="false">AR292*AT292*AQ292</f>
        <v>0</v>
      </c>
      <c r="AX292" s="65" t="n">
        <f aca="false">AR292*AS292</f>
        <v>0</v>
      </c>
      <c r="AY292" s="65" t="n">
        <f aca="false">AR292*AT292</f>
        <v>0</v>
      </c>
      <c r="AZ292" s="65" t="n">
        <f aca="false">AR292*AQ292</f>
        <v>1</v>
      </c>
      <c r="BA292" s="65" t="n">
        <f aca="false">AR292</f>
        <v>1</v>
      </c>
      <c r="BB292" s="65" t="n">
        <f aca="false">1</f>
        <v>1</v>
      </c>
      <c r="BC292" s="65" t="n">
        <f aca="false">IF(AV292=1,1,IF(AW292=1,2,IF(AX292=1,3,IF(AY292=1,4,IF(AZ292=1,5,IF(BA292=1,6,7))))))</f>
        <v>5</v>
      </c>
      <c r="BD292" s="65" t="n">
        <f aca="false">IF(AD292=1,CHOOSE('Historical Score'!$C$29,AV292,AW292,AX292,AY292,AZ292,BA292,BB292),0)</f>
        <v>0</v>
      </c>
      <c r="BE292" s="65" t="str">
        <f aca="false">IF(BD292=1,COUNTIF($BD$2:BD292,1),"")</f>
        <v/>
      </c>
    </row>
    <row r="293" customFormat="false" ht="15" hidden="false" customHeight="false" outlineLevel="0" collapsed="false">
      <c r="A293" s="65" t="s">
        <v>1288</v>
      </c>
      <c r="B293" s="65" t="s">
        <v>1289</v>
      </c>
      <c r="C293" s="65" t="s">
        <v>1289</v>
      </c>
      <c r="D293" s="65" t="s">
        <v>371</v>
      </c>
      <c r="E293" s="112" t="n">
        <v>45946</v>
      </c>
      <c r="F293" s="112" t="n">
        <v>46007</v>
      </c>
      <c r="G293" s="65" t="n">
        <v>1</v>
      </c>
      <c r="H293" s="65" t="s">
        <v>409</v>
      </c>
      <c r="I293" s="65" t="s">
        <v>342</v>
      </c>
      <c r="J293" s="65" t="s">
        <v>61</v>
      </c>
      <c r="K293" s="65" t="s">
        <v>581</v>
      </c>
      <c r="L293" s="65" t="s">
        <v>64</v>
      </c>
      <c r="M293" s="113" t="n">
        <v>1.499</v>
      </c>
      <c r="N293" s="114" t="n">
        <v>10000</v>
      </c>
      <c r="O293" s="114" t="n">
        <v>1400</v>
      </c>
      <c r="P293" s="114" t="n">
        <v>14990</v>
      </c>
      <c r="Q293" s="114" t="n">
        <v>14990</v>
      </c>
      <c r="R293" s="114" t="n">
        <v>1.81898940354586E-012</v>
      </c>
      <c r="S293" s="115" t="n">
        <v>1</v>
      </c>
      <c r="T293" s="65" t="n">
        <v>3.279</v>
      </c>
      <c r="U293" s="65" t="n">
        <v>0</v>
      </c>
      <c r="V293" s="65" t="n">
        <v>50000</v>
      </c>
      <c r="W293" s="115" t="n">
        <v>0.0626</v>
      </c>
      <c r="X293" s="112" t="n">
        <v>44977</v>
      </c>
      <c r="Y293" s="65" t="str">
        <f aca="false">IF(I293="","No SIC",IFERROR(VLOOKUP(I293,Ref!$A$2:$B$65,2,FALSE()),"Unclassified"))</f>
        <v>Eating &amp; Drinking Places</v>
      </c>
      <c r="Z293" s="65" t="str">
        <f aca="false">IF(T293="","",IF(T293&lt;12,"Daily","Weekly"))</f>
        <v>Daily</v>
      </c>
      <c r="AA293" s="65" t="n">
        <f aca="false">IF(T293="",0,IF(T293&lt;12,T293*Controls!$B$29,T293*5))</f>
        <v>71.006745</v>
      </c>
      <c r="AB293" s="65" t="n">
        <f aca="false">IF(E293="",0,NETWORKDAYS(E293,Controls!$B$36,Ref!$K$2:$K$42))</f>
        <v>216</v>
      </c>
      <c r="AC293" s="65" t="n">
        <f aca="false">IF(AND(AA293&gt;0,AB293&gt;=Controls!$B$39*AA293),1,0)</f>
        <v>1</v>
      </c>
      <c r="AD293" s="65" t="n">
        <f aca="false">IF(AND(E293&lt;&gt;"",E293&gt;=Controls!$B$37,E293&lt;=Controls!$B$38),1,0)</f>
        <v>1</v>
      </c>
      <c r="AE293" s="65" t="n">
        <f aca="false">IF(IFERROR(VLOOKUP(D293,Controls!$A$64:$E$74,2,FALSE()),"No")="Yes",1,0)</f>
        <v>0</v>
      </c>
      <c r="AF293" s="65" t="n">
        <f aca="false">IF(IFERROR(VLOOKUP(D293,Controls!$A$64:$E$74,3,FALSE()),"No")="Yes",1,0)</f>
        <v>1</v>
      </c>
      <c r="AG293" s="65" t="n">
        <f aca="false">IF(IFERROR(VLOOKUP(D293,Controls!$A$64:$E$74,4,FALSE()),"No")="Yes",1,0)</f>
        <v>1</v>
      </c>
      <c r="AH293" s="65" t="n">
        <f aca="false">IF(IFERROR(VLOOKUP(D293,Controls!$A$64:$E$74,5,FALSE()),"No")="Yes",1,0)</f>
        <v>0</v>
      </c>
      <c r="AI293" s="65" t="n">
        <f aca="false">IF(ISNUMBER(MATCH(D293,Controls!$A$64:$A$74,0)),1,0)</f>
        <v>1</v>
      </c>
      <c r="AJ293" s="65" t="n">
        <f aca="false">Q293-N293</f>
        <v>4990</v>
      </c>
      <c r="AK293" s="65" t="n">
        <f aca="false">IF(AE293=1,MAX(0,N293-Q293),0)</f>
        <v>0</v>
      </c>
      <c r="AL293" s="65" t="n">
        <f aca="false">IF(OR(V293="",V293=0),0,N293/V293)</f>
        <v>0.2</v>
      </c>
      <c r="AM293" s="65" t="n">
        <f aca="false">IF(OR(V293="",V293=0),0,1)</f>
        <v>1</v>
      </c>
      <c r="AN293" s="65" t="n">
        <f aca="false">IF(OR(E293="",F293=""),0,NETWORKDAYS(E293,F293,Ref!$K$2:$K$42))</f>
        <v>42</v>
      </c>
      <c r="AO293" s="65" t="n">
        <f aca="false">IF(L293="Renewal",1,0)</f>
        <v>0</v>
      </c>
      <c r="AP293" s="65" t="n">
        <f aca="false">AC293*AD293</f>
        <v>1</v>
      </c>
      <c r="AQ293" s="65" t="n">
        <f aca="false">IF(AND(G293&lt;&gt;"",'Historical Score'!$C$6&lt;&gt;""),IF(G293='Historical Score'!$C$6,1,0),0)</f>
        <v>0</v>
      </c>
      <c r="AR293" s="65" t="n">
        <f aca="false">IF(AND(L293&lt;&gt;"",'Historical Score'!$C$5&lt;&gt;""),IF(L293='Historical Score'!$C$5,1,0),0)</f>
        <v>1</v>
      </c>
      <c r="AS293" s="65" t="n">
        <f aca="false">IF(AND(Y293&lt;&gt;"",'Historical Score'!$C$7&lt;&gt;""),IF(Y293='Historical Score'!$C$7,1,0),0)</f>
        <v>0</v>
      </c>
      <c r="AT293" s="65" t="n">
        <f aca="false">IF(AND(K293&lt;&gt;"",'Historical Score'!$C$8&lt;&gt;""),IF(K293='Historical Score'!$C$8,1,0),0)</f>
        <v>0</v>
      </c>
      <c r="AU293" s="65" t="n">
        <f aca="false">IF(AND(J293&lt;&gt;"",'Historical Score'!$C$9&lt;&gt;""),IF(J293='Historical Score'!$C$9,1,0),0)</f>
        <v>1</v>
      </c>
      <c r="AV293" s="65" t="n">
        <f aca="false">AR293*AS293*AQ293</f>
        <v>0</v>
      </c>
      <c r="AW293" s="65" t="n">
        <f aca="false">AR293*AT293*AQ293</f>
        <v>0</v>
      </c>
      <c r="AX293" s="65" t="n">
        <f aca="false">AR293*AS293</f>
        <v>0</v>
      </c>
      <c r="AY293" s="65" t="n">
        <f aca="false">AR293*AT293</f>
        <v>0</v>
      </c>
      <c r="AZ293" s="65" t="n">
        <f aca="false">AR293*AQ293</f>
        <v>0</v>
      </c>
      <c r="BA293" s="65" t="n">
        <f aca="false">AR293</f>
        <v>1</v>
      </c>
      <c r="BB293" s="65" t="n">
        <f aca="false">1</f>
        <v>1</v>
      </c>
      <c r="BC293" s="65" t="n">
        <f aca="false">IF(AV293=1,1,IF(AW293=1,2,IF(AX293=1,3,IF(AY293=1,4,IF(AZ293=1,5,IF(BA293=1,6,7))))))</f>
        <v>6</v>
      </c>
      <c r="BD293" s="65" t="n">
        <f aca="false">IF(AD293=1,CHOOSE('Historical Score'!$C$29,AV293,AW293,AX293,AY293,AZ293,BA293,BB293),0)</f>
        <v>0</v>
      </c>
      <c r="BE293" s="65" t="str">
        <f aca="false">IF(BD293=1,COUNTIF($BD$2:BD293,1),"")</f>
        <v/>
      </c>
    </row>
    <row r="294" customFormat="false" ht="15" hidden="false" customHeight="false" outlineLevel="0" collapsed="false">
      <c r="A294" s="65" t="s">
        <v>1290</v>
      </c>
      <c r="B294" s="65" t="s">
        <v>1291</v>
      </c>
      <c r="C294" s="65" t="s">
        <v>1291</v>
      </c>
      <c r="D294" s="65" t="s">
        <v>371</v>
      </c>
      <c r="E294" s="112" t="n">
        <v>45947</v>
      </c>
      <c r="F294" s="112" t="n">
        <v>46178</v>
      </c>
      <c r="G294" s="65" t="n">
        <v>2</v>
      </c>
      <c r="H294" s="65" t="s">
        <v>858</v>
      </c>
      <c r="I294" s="65" t="s">
        <v>484</v>
      </c>
      <c r="J294" s="65" t="s">
        <v>682</v>
      </c>
      <c r="K294" s="65" t="s">
        <v>1047</v>
      </c>
      <c r="L294" s="65" t="s">
        <v>64</v>
      </c>
      <c r="M294" s="113" t="n">
        <v>1.36</v>
      </c>
      <c r="N294" s="114" t="n">
        <v>50000</v>
      </c>
      <c r="O294" s="114" t="n">
        <v>5500</v>
      </c>
      <c r="P294" s="114" t="n">
        <v>68000</v>
      </c>
      <c r="Q294" s="114" t="n">
        <v>68000</v>
      </c>
      <c r="R294" s="114" t="n">
        <v>0</v>
      </c>
      <c r="S294" s="115" t="n">
        <v>1</v>
      </c>
      <c r="T294" s="65" t="n">
        <v>52</v>
      </c>
      <c r="U294" s="65" t="n">
        <v>0</v>
      </c>
      <c r="V294" s="65" t="n">
        <v>46372.53</v>
      </c>
      <c r="W294" s="115" t="n">
        <v>0.1128</v>
      </c>
      <c r="X294" s="112" t="n">
        <v>42979</v>
      </c>
      <c r="Y294" s="65" t="str">
        <f aca="false">IF(I294="","No SIC",IFERROR(VLOOKUP(I294,Ref!$A$2:$B$65,2,FALSE()),"Unclassified"))</f>
        <v>Special Trade Contractors</v>
      </c>
      <c r="Z294" s="65" t="str">
        <f aca="false">IF(T294="","",IF(T294&lt;12,"Daily","Weekly"))</f>
        <v>Weekly</v>
      </c>
      <c r="AA294" s="65" t="n">
        <f aca="false">IF(T294="",0,IF(T294&lt;12,T294*Controls!$B$29,T294*5))</f>
        <v>260</v>
      </c>
      <c r="AB294" s="65" t="n">
        <f aca="false">IF(E294="",0,NETWORKDAYS(E294,Controls!$B$36,Ref!$K$2:$K$42))</f>
        <v>215</v>
      </c>
      <c r="AC294" s="65" t="n">
        <f aca="false">IF(AND(AA294&gt;0,AB294&gt;=Controls!$B$39*AA294),1,0)</f>
        <v>0</v>
      </c>
      <c r="AD294" s="65" t="n">
        <f aca="false">IF(AND(E294&lt;&gt;"",E294&gt;=Controls!$B$37,E294&lt;=Controls!$B$38),1,0)</f>
        <v>1</v>
      </c>
      <c r="AE294" s="65" t="n">
        <f aca="false">IF(IFERROR(VLOOKUP(D294,Controls!$A$64:$E$74,2,FALSE()),"No")="Yes",1,0)</f>
        <v>0</v>
      </c>
      <c r="AF294" s="65" t="n">
        <f aca="false">IF(IFERROR(VLOOKUP(D294,Controls!$A$64:$E$74,3,FALSE()),"No")="Yes",1,0)</f>
        <v>1</v>
      </c>
      <c r="AG294" s="65" t="n">
        <f aca="false">IF(IFERROR(VLOOKUP(D294,Controls!$A$64:$E$74,4,FALSE()),"No")="Yes",1,0)</f>
        <v>1</v>
      </c>
      <c r="AH294" s="65" t="n">
        <f aca="false">IF(IFERROR(VLOOKUP(D294,Controls!$A$64:$E$74,5,FALSE()),"No")="Yes",1,0)</f>
        <v>0</v>
      </c>
      <c r="AI294" s="65" t="n">
        <f aca="false">IF(ISNUMBER(MATCH(D294,Controls!$A$64:$A$74,0)),1,0)</f>
        <v>1</v>
      </c>
      <c r="AJ294" s="65" t="n">
        <f aca="false">Q294-N294</f>
        <v>18000</v>
      </c>
      <c r="AK294" s="65" t="n">
        <f aca="false">IF(AE294=1,MAX(0,N294-Q294),0)</f>
        <v>0</v>
      </c>
      <c r="AL294" s="65" t="n">
        <f aca="false">IF(OR(V294="",V294=0),0,N294/V294)</f>
        <v>1.07822454371155</v>
      </c>
      <c r="AM294" s="65" t="n">
        <f aca="false">IF(OR(V294="",V294=0),0,1)</f>
        <v>1</v>
      </c>
      <c r="AN294" s="65" t="n">
        <f aca="false">IF(OR(E294="",F294=""),0,NETWORKDAYS(E294,F294,Ref!$K$2:$K$42))</f>
        <v>159</v>
      </c>
      <c r="AO294" s="65" t="n">
        <f aca="false">IF(L294="Renewal",1,0)</f>
        <v>0</v>
      </c>
      <c r="AP294" s="65" t="n">
        <f aca="false">AC294*AD294</f>
        <v>0</v>
      </c>
      <c r="AQ294" s="65" t="n">
        <f aca="false">IF(AND(G294&lt;&gt;"",'Historical Score'!$C$6&lt;&gt;""),IF(G294='Historical Score'!$C$6,1,0),0)</f>
        <v>1</v>
      </c>
      <c r="AR294" s="65" t="n">
        <f aca="false">IF(AND(L294&lt;&gt;"",'Historical Score'!$C$5&lt;&gt;""),IF(L294='Historical Score'!$C$5,1,0),0)</f>
        <v>1</v>
      </c>
      <c r="AS294" s="65" t="n">
        <f aca="false">IF(AND(Y294&lt;&gt;"",'Historical Score'!$C$7&lt;&gt;""),IF(Y294='Historical Score'!$C$7,1,0),0)</f>
        <v>0</v>
      </c>
      <c r="AT294" s="65" t="n">
        <f aca="false">IF(AND(K294&lt;&gt;"",'Historical Score'!$C$8&lt;&gt;""),IF(K294='Historical Score'!$C$8,1,0),0)</f>
        <v>0</v>
      </c>
      <c r="AU294" s="65" t="n">
        <f aca="false">IF(AND(J294&lt;&gt;"",'Historical Score'!$C$9&lt;&gt;""),IF(J294='Historical Score'!$C$9,1,0),0)</f>
        <v>0</v>
      </c>
      <c r="AV294" s="65" t="n">
        <f aca="false">AR294*AS294*AQ294</f>
        <v>0</v>
      </c>
      <c r="AW294" s="65" t="n">
        <f aca="false">AR294*AT294*AQ294</f>
        <v>0</v>
      </c>
      <c r="AX294" s="65" t="n">
        <f aca="false">AR294*AS294</f>
        <v>0</v>
      </c>
      <c r="AY294" s="65" t="n">
        <f aca="false">AR294*AT294</f>
        <v>0</v>
      </c>
      <c r="AZ294" s="65" t="n">
        <f aca="false">AR294*AQ294</f>
        <v>1</v>
      </c>
      <c r="BA294" s="65" t="n">
        <f aca="false">AR294</f>
        <v>1</v>
      </c>
      <c r="BB294" s="65" t="n">
        <f aca="false">1</f>
        <v>1</v>
      </c>
      <c r="BC294" s="65" t="n">
        <f aca="false">IF(AV294=1,1,IF(AW294=1,2,IF(AX294=1,3,IF(AY294=1,4,IF(AZ294=1,5,IF(BA294=1,6,7))))))</f>
        <v>5</v>
      </c>
      <c r="BD294" s="65" t="n">
        <f aca="false">IF(AD294=1,CHOOSE('Historical Score'!$C$29,AV294,AW294,AX294,AY294,AZ294,BA294,BB294),0)</f>
        <v>0</v>
      </c>
      <c r="BE294" s="65" t="str">
        <f aca="false">IF(BD294=1,COUNTIF($BD$2:BD294,1),"")</f>
        <v/>
      </c>
    </row>
    <row r="295" customFormat="false" ht="15" hidden="false" customHeight="false" outlineLevel="0" collapsed="false">
      <c r="A295" s="65" t="s">
        <v>1292</v>
      </c>
      <c r="B295" s="65" t="s">
        <v>988</v>
      </c>
      <c r="C295" s="65" t="s">
        <v>988</v>
      </c>
      <c r="D295" s="65" t="s">
        <v>340</v>
      </c>
      <c r="E295" s="112" t="n">
        <v>45947</v>
      </c>
      <c r="F295" s="112" t="n">
        <v>46177</v>
      </c>
      <c r="G295" s="65" t="n">
        <v>7</v>
      </c>
      <c r="H295" s="65" t="s">
        <v>442</v>
      </c>
      <c r="I295" s="65" t="s">
        <v>443</v>
      </c>
      <c r="J295" s="65" t="s">
        <v>61</v>
      </c>
      <c r="K295" s="65" t="s">
        <v>476</v>
      </c>
      <c r="L295" s="65" t="s">
        <v>320</v>
      </c>
      <c r="M295" s="113" t="n">
        <v>1.399</v>
      </c>
      <c r="N295" s="114" t="n">
        <v>7000</v>
      </c>
      <c r="O295" s="114" t="n">
        <v>630</v>
      </c>
      <c r="P295" s="114" t="n">
        <v>9793</v>
      </c>
      <c r="Q295" s="114" t="n">
        <v>4082.62</v>
      </c>
      <c r="R295" s="114" t="n">
        <v>5710.38</v>
      </c>
      <c r="S295" s="115" t="n">
        <v>0.416891657306239</v>
      </c>
      <c r="T295" s="65" t="n">
        <v>2.951</v>
      </c>
      <c r="U295" s="65" t="n">
        <v>22</v>
      </c>
      <c r="V295" s="65" t="n">
        <v>77765.69</v>
      </c>
      <c r="W295" s="115" t="n">
        <v>0.0294</v>
      </c>
      <c r="X295" s="112" t="n">
        <v>40917</v>
      </c>
      <c r="Y295" s="65" t="str">
        <f aca="false">IF(I295="","No SIC",IFERROR(VLOOKUP(I295,Ref!$A$2:$B$65,2,FALSE()),"Unclassified"))</f>
        <v>General Building Contractors</v>
      </c>
      <c r="Z295" s="65" t="str">
        <f aca="false">IF(T295="","",IF(T295&lt;12,"Daily","Weekly"))</f>
        <v>Daily</v>
      </c>
      <c r="AA295" s="65" t="n">
        <f aca="false">IF(T295="",0,IF(T295&lt;12,T295*Controls!$B$29,T295*5))</f>
        <v>63.903905</v>
      </c>
      <c r="AB295" s="65" t="n">
        <f aca="false">IF(E295="",0,NETWORKDAYS(E295,Controls!$B$36,Ref!$K$2:$K$42))</f>
        <v>215</v>
      </c>
      <c r="AC295" s="65" t="n">
        <f aca="false">IF(AND(AA295&gt;0,AB295&gt;=Controls!$B$39*AA295),1,0)</f>
        <v>1</v>
      </c>
      <c r="AD295" s="65" t="n">
        <f aca="false">IF(AND(E295&lt;&gt;"",E295&gt;=Controls!$B$37,E295&lt;=Controls!$B$38),1,0)</f>
        <v>1</v>
      </c>
      <c r="AE295" s="65" t="n">
        <f aca="false">IF(IFERROR(VLOOKUP(D295,Controls!$A$64:$E$74,2,FALSE()),"No")="Yes",1,0)</f>
        <v>1</v>
      </c>
      <c r="AF295" s="65" t="n">
        <f aca="false">IF(IFERROR(VLOOKUP(D295,Controls!$A$64:$E$74,3,FALSE()),"No")="Yes",1,0)</f>
        <v>0</v>
      </c>
      <c r="AG295" s="65" t="n">
        <f aca="false">IF(IFERROR(VLOOKUP(D295,Controls!$A$64:$E$74,4,FALSE()),"No")="Yes",1,0)</f>
        <v>0</v>
      </c>
      <c r="AH295" s="65" t="n">
        <f aca="false">IF(IFERROR(VLOOKUP(D295,Controls!$A$64:$E$74,5,FALSE()),"No")="Yes",1,0)</f>
        <v>0</v>
      </c>
      <c r="AI295" s="65" t="n">
        <f aca="false">IF(ISNUMBER(MATCH(D295,Controls!$A$64:$A$74,0)),1,0)</f>
        <v>1</v>
      </c>
      <c r="AJ295" s="65" t="n">
        <f aca="false">Q295-N295</f>
        <v>-2917.38</v>
      </c>
      <c r="AK295" s="65" t="n">
        <f aca="false">IF(AE295=1,MAX(0,N295-Q295),0)</f>
        <v>2917.38</v>
      </c>
      <c r="AL295" s="65" t="n">
        <f aca="false">IF(OR(V295="",V295=0),0,N295/V295)</f>
        <v>0.0900139894598762</v>
      </c>
      <c r="AM295" s="65" t="n">
        <f aca="false">IF(OR(V295="",V295=0),0,1)</f>
        <v>1</v>
      </c>
      <c r="AN295" s="65" t="n">
        <f aca="false">IF(OR(E295="",F295=""),0,NETWORKDAYS(E295,F295,Ref!$K$2:$K$42))</f>
        <v>158</v>
      </c>
      <c r="AO295" s="65" t="n">
        <f aca="false">IF(L295="Renewal",1,0)</f>
        <v>1</v>
      </c>
      <c r="AP295" s="65" t="n">
        <f aca="false">AC295*AD295</f>
        <v>1</v>
      </c>
      <c r="AQ295" s="65" t="n">
        <f aca="false">IF(AND(G295&lt;&gt;"",'Historical Score'!$C$6&lt;&gt;""),IF(G295='Historical Score'!$C$6,1,0),0)</f>
        <v>0</v>
      </c>
      <c r="AR295" s="65" t="n">
        <f aca="false">IF(AND(L295&lt;&gt;"",'Historical Score'!$C$5&lt;&gt;""),IF(L295='Historical Score'!$C$5,1,0),0)</f>
        <v>0</v>
      </c>
      <c r="AS295" s="65" t="n">
        <f aca="false">IF(AND(Y295&lt;&gt;"",'Historical Score'!$C$7&lt;&gt;""),IF(Y295='Historical Score'!$C$7,1,0),0)</f>
        <v>1</v>
      </c>
      <c r="AT295" s="65" t="n">
        <f aca="false">IF(AND(K295&lt;&gt;"",'Historical Score'!$C$8&lt;&gt;""),IF(K295='Historical Score'!$C$8,1,0),0)</f>
        <v>0</v>
      </c>
      <c r="AU295" s="65" t="n">
        <f aca="false">IF(AND(J295&lt;&gt;"",'Historical Score'!$C$9&lt;&gt;""),IF(J295='Historical Score'!$C$9,1,0),0)</f>
        <v>1</v>
      </c>
      <c r="AV295" s="65" t="n">
        <f aca="false">AR295*AS295*AQ295</f>
        <v>0</v>
      </c>
      <c r="AW295" s="65" t="n">
        <f aca="false">AR295*AT295*AQ295</f>
        <v>0</v>
      </c>
      <c r="AX295" s="65" t="n">
        <f aca="false">AR295*AS295</f>
        <v>0</v>
      </c>
      <c r="AY295" s="65" t="n">
        <f aca="false">AR295*AT295</f>
        <v>0</v>
      </c>
      <c r="AZ295" s="65" t="n">
        <f aca="false">AR295*AQ295</f>
        <v>0</v>
      </c>
      <c r="BA295" s="65" t="n">
        <f aca="false">AR295</f>
        <v>0</v>
      </c>
      <c r="BB295" s="65" t="n">
        <f aca="false">1</f>
        <v>1</v>
      </c>
      <c r="BC295" s="65" t="n">
        <f aca="false">IF(AV295=1,1,IF(AW295=1,2,IF(AX295=1,3,IF(AY295=1,4,IF(AZ295=1,5,IF(BA295=1,6,7))))))</f>
        <v>7</v>
      </c>
      <c r="BD295" s="65" t="n">
        <f aca="false">IF(AD295=1,CHOOSE('Historical Score'!$C$29,AV295,AW295,AX295,AY295,AZ295,BA295,BB295),0)</f>
        <v>0</v>
      </c>
      <c r="BE295" s="65" t="str">
        <f aca="false">IF(BD295=1,COUNTIF($BD$2:BD295,1),"")</f>
        <v/>
      </c>
    </row>
    <row r="296" customFormat="false" ht="15" hidden="false" customHeight="false" outlineLevel="0" collapsed="false">
      <c r="A296" s="65" t="s">
        <v>1293</v>
      </c>
      <c r="B296" s="65" t="s">
        <v>1294</v>
      </c>
      <c r="C296" s="65" t="s">
        <v>1294</v>
      </c>
      <c r="D296" s="65" t="s">
        <v>340</v>
      </c>
      <c r="E296" s="112" t="n">
        <v>45947</v>
      </c>
      <c r="F296" s="112" t="n">
        <v>46154</v>
      </c>
      <c r="G296" s="65" t="n">
        <v>2</v>
      </c>
      <c r="H296" s="65" t="s">
        <v>1295</v>
      </c>
      <c r="I296" s="65" t="s">
        <v>1296</v>
      </c>
      <c r="J296" s="65" t="s">
        <v>399</v>
      </c>
      <c r="K296" s="65" t="s">
        <v>55</v>
      </c>
      <c r="L296" s="65" t="s">
        <v>64</v>
      </c>
      <c r="M296" s="113" t="n">
        <v>1.49</v>
      </c>
      <c r="N296" s="114" t="n">
        <v>5000</v>
      </c>
      <c r="O296" s="114" t="n">
        <v>700</v>
      </c>
      <c r="P296" s="114" t="n">
        <v>7450</v>
      </c>
      <c r="Q296" s="114" t="n">
        <v>1024.32</v>
      </c>
      <c r="R296" s="114" t="n">
        <v>6425.68</v>
      </c>
      <c r="S296" s="115" t="n">
        <v>0.137492617449664</v>
      </c>
      <c r="T296" s="65" t="n">
        <v>2.623</v>
      </c>
      <c r="U296" s="65" t="n">
        <v>17</v>
      </c>
      <c r="V296" s="65" t="n">
        <v>8757.46</v>
      </c>
      <c r="W296" s="115" t="n">
        <v>0.2233</v>
      </c>
      <c r="X296" s="112"/>
      <c r="Y296" s="65" t="str">
        <f aca="false">IF(I296="","No SIC",IFERROR(VLOOKUP(I296,Ref!$A$2:$B$65,2,FALSE()),"Unclassified"))</f>
        <v>Forestry</v>
      </c>
      <c r="Z296" s="65" t="str">
        <f aca="false">IF(T296="","",IF(T296&lt;12,"Daily","Weekly"))</f>
        <v>Daily</v>
      </c>
      <c r="AA296" s="65" t="n">
        <f aca="false">IF(T296="",0,IF(T296&lt;12,T296*Controls!$B$29,T296*5))</f>
        <v>56.801065</v>
      </c>
      <c r="AB296" s="65" t="n">
        <f aca="false">IF(E296="",0,NETWORKDAYS(E296,Controls!$B$36,Ref!$K$2:$K$42))</f>
        <v>215</v>
      </c>
      <c r="AC296" s="65" t="n">
        <f aca="false">IF(AND(AA296&gt;0,AB296&gt;=Controls!$B$39*AA296),1,0)</f>
        <v>1</v>
      </c>
      <c r="AD296" s="65" t="n">
        <f aca="false">IF(AND(E296&lt;&gt;"",E296&gt;=Controls!$B$37,E296&lt;=Controls!$B$38),1,0)</f>
        <v>1</v>
      </c>
      <c r="AE296" s="65" t="n">
        <f aca="false">IF(IFERROR(VLOOKUP(D296,Controls!$A$64:$E$74,2,FALSE()),"No")="Yes",1,0)</f>
        <v>1</v>
      </c>
      <c r="AF296" s="65" t="n">
        <f aca="false">IF(IFERROR(VLOOKUP(D296,Controls!$A$64:$E$74,3,FALSE()),"No")="Yes",1,0)</f>
        <v>0</v>
      </c>
      <c r="AG296" s="65" t="n">
        <f aca="false">IF(IFERROR(VLOOKUP(D296,Controls!$A$64:$E$74,4,FALSE()),"No")="Yes",1,0)</f>
        <v>0</v>
      </c>
      <c r="AH296" s="65" t="n">
        <f aca="false">IF(IFERROR(VLOOKUP(D296,Controls!$A$64:$E$74,5,FALSE()),"No")="Yes",1,0)</f>
        <v>0</v>
      </c>
      <c r="AI296" s="65" t="n">
        <f aca="false">IF(ISNUMBER(MATCH(D296,Controls!$A$64:$A$74,0)),1,0)</f>
        <v>1</v>
      </c>
      <c r="AJ296" s="65" t="n">
        <f aca="false">Q296-N296</f>
        <v>-3975.68</v>
      </c>
      <c r="AK296" s="65" t="n">
        <f aca="false">IF(AE296=1,MAX(0,N296-Q296),0)</f>
        <v>3975.68</v>
      </c>
      <c r="AL296" s="65" t="n">
        <f aca="false">IF(OR(V296="",V296=0),0,N296/V296)</f>
        <v>0.570941802760161</v>
      </c>
      <c r="AM296" s="65" t="n">
        <f aca="false">IF(OR(V296="",V296=0),0,1)</f>
        <v>1</v>
      </c>
      <c r="AN296" s="65" t="n">
        <f aca="false">IF(OR(E296="",F296=""),0,NETWORKDAYS(E296,F296,Ref!$K$2:$K$42))</f>
        <v>142</v>
      </c>
      <c r="AO296" s="65" t="n">
        <f aca="false">IF(L296="Renewal",1,0)</f>
        <v>0</v>
      </c>
      <c r="AP296" s="65" t="n">
        <f aca="false">AC296*AD296</f>
        <v>1</v>
      </c>
      <c r="AQ296" s="65" t="n">
        <f aca="false">IF(AND(G296&lt;&gt;"",'Historical Score'!$C$6&lt;&gt;""),IF(G296='Historical Score'!$C$6,1,0),0)</f>
        <v>1</v>
      </c>
      <c r="AR296" s="65" t="n">
        <f aca="false">IF(AND(L296&lt;&gt;"",'Historical Score'!$C$5&lt;&gt;""),IF(L296='Historical Score'!$C$5,1,0),0)</f>
        <v>1</v>
      </c>
      <c r="AS296" s="65" t="n">
        <f aca="false">IF(AND(Y296&lt;&gt;"",'Historical Score'!$C$7&lt;&gt;""),IF(Y296='Historical Score'!$C$7,1,0),0)</f>
        <v>0</v>
      </c>
      <c r="AT296" s="65" t="n">
        <f aca="false">IF(AND(K296&lt;&gt;"",'Historical Score'!$C$8&lt;&gt;""),IF(K296='Historical Score'!$C$8,1,0),0)</f>
        <v>1</v>
      </c>
      <c r="AU296" s="65" t="n">
        <f aca="false">IF(AND(J296&lt;&gt;"",'Historical Score'!$C$9&lt;&gt;""),IF(J296='Historical Score'!$C$9,1,0),0)</f>
        <v>0</v>
      </c>
      <c r="AV296" s="65" t="n">
        <f aca="false">AR296*AS296*AQ296</f>
        <v>0</v>
      </c>
      <c r="AW296" s="65" t="n">
        <f aca="false">AR296*AT296*AQ296</f>
        <v>1</v>
      </c>
      <c r="AX296" s="65" t="n">
        <f aca="false">AR296*AS296</f>
        <v>0</v>
      </c>
      <c r="AY296" s="65" t="n">
        <f aca="false">AR296*AT296</f>
        <v>1</v>
      </c>
      <c r="AZ296" s="65" t="n">
        <f aca="false">AR296*AQ296</f>
        <v>1</v>
      </c>
      <c r="BA296" s="65" t="n">
        <f aca="false">AR296</f>
        <v>1</v>
      </c>
      <c r="BB296" s="65" t="n">
        <f aca="false">1</f>
        <v>1</v>
      </c>
      <c r="BC296" s="65" t="n">
        <f aca="false">IF(AV296=1,1,IF(AW296=1,2,IF(AX296=1,3,IF(AY296=1,4,IF(AZ296=1,5,IF(BA296=1,6,7))))))</f>
        <v>2</v>
      </c>
      <c r="BD296" s="65" t="n">
        <f aca="false">IF(AD296=1,CHOOSE('Historical Score'!$C$29,AV296,AW296,AX296,AY296,AZ296,BA296,BB296),0)</f>
        <v>0</v>
      </c>
      <c r="BE296" s="65" t="str">
        <f aca="false">IF(BD296=1,COUNTIF($BD$2:BD296,1),"")</f>
        <v/>
      </c>
    </row>
    <row r="297" customFormat="false" ht="15" hidden="false" customHeight="false" outlineLevel="0" collapsed="false">
      <c r="A297" s="65" t="s">
        <v>1297</v>
      </c>
      <c r="B297" s="65" t="s">
        <v>1074</v>
      </c>
      <c r="C297" s="65" t="s">
        <v>1075</v>
      </c>
      <c r="D297" s="65" t="s">
        <v>371</v>
      </c>
      <c r="E297" s="112" t="n">
        <v>45950</v>
      </c>
      <c r="F297" s="112" t="n">
        <v>46020</v>
      </c>
      <c r="G297" s="65" t="n">
        <v>5</v>
      </c>
      <c r="H297" s="65" t="s">
        <v>442</v>
      </c>
      <c r="I297" s="65" t="s">
        <v>443</v>
      </c>
      <c r="J297" s="65" t="s">
        <v>717</v>
      </c>
      <c r="K297" s="65" t="s">
        <v>1076</v>
      </c>
      <c r="L297" s="65" t="s">
        <v>320</v>
      </c>
      <c r="M297" s="113" t="n">
        <v>1.499</v>
      </c>
      <c r="N297" s="114" t="n">
        <v>30000</v>
      </c>
      <c r="O297" s="114" t="n">
        <v>4200</v>
      </c>
      <c r="P297" s="114" t="n">
        <v>44970</v>
      </c>
      <c r="Q297" s="114" t="n">
        <v>44970</v>
      </c>
      <c r="R297" s="114" t="n">
        <v>0</v>
      </c>
      <c r="S297" s="115" t="n">
        <v>1</v>
      </c>
      <c r="T297" s="65" t="n">
        <v>2.951</v>
      </c>
      <c r="U297" s="65" t="n">
        <v>0</v>
      </c>
      <c r="V297" s="65" t="n">
        <v>64267.19</v>
      </c>
      <c r="W297" s="115" t="n">
        <v>0.1479</v>
      </c>
      <c r="X297" s="112" t="n">
        <v>44367</v>
      </c>
      <c r="Y297" s="65" t="str">
        <f aca="false">IF(I297="","No SIC",IFERROR(VLOOKUP(I297,Ref!$A$2:$B$65,2,FALSE()),"Unclassified"))</f>
        <v>General Building Contractors</v>
      </c>
      <c r="Z297" s="65" t="str">
        <f aca="false">IF(T297="","",IF(T297&lt;12,"Daily","Weekly"))</f>
        <v>Daily</v>
      </c>
      <c r="AA297" s="65" t="n">
        <f aca="false">IF(T297="",0,IF(T297&lt;12,T297*Controls!$B$29,T297*5))</f>
        <v>63.903905</v>
      </c>
      <c r="AB297" s="65" t="n">
        <f aca="false">IF(E297="",0,NETWORKDAYS(E297,Controls!$B$36,Ref!$K$2:$K$42))</f>
        <v>214</v>
      </c>
      <c r="AC297" s="65" t="n">
        <f aca="false">IF(AND(AA297&gt;0,AB297&gt;=Controls!$B$39*AA297),1,0)</f>
        <v>1</v>
      </c>
      <c r="AD297" s="65" t="n">
        <f aca="false">IF(AND(E297&lt;&gt;"",E297&gt;=Controls!$B$37,E297&lt;=Controls!$B$38),1,0)</f>
        <v>1</v>
      </c>
      <c r="AE297" s="65" t="n">
        <f aca="false">IF(IFERROR(VLOOKUP(D297,Controls!$A$64:$E$74,2,FALSE()),"No")="Yes",1,0)</f>
        <v>0</v>
      </c>
      <c r="AF297" s="65" t="n">
        <f aca="false">IF(IFERROR(VLOOKUP(D297,Controls!$A$64:$E$74,3,FALSE()),"No")="Yes",1,0)</f>
        <v>1</v>
      </c>
      <c r="AG297" s="65" t="n">
        <f aca="false">IF(IFERROR(VLOOKUP(D297,Controls!$A$64:$E$74,4,FALSE()),"No")="Yes",1,0)</f>
        <v>1</v>
      </c>
      <c r="AH297" s="65" t="n">
        <f aca="false">IF(IFERROR(VLOOKUP(D297,Controls!$A$64:$E$74,5,FALSE()),"No")="Yes",1,0)</f>
        <v>0</v>
      </c>
      <c r="AI297" s="65" t="n">
        <f aca="false">IF(ISNUMBER(MATCH(D297,Controls!$A$64:$A$74,0)),1,0)</f>
        <v>1</v>
      </c>
      <c r="AJ297" s="65" t="n">
        <f aca="false">Q297-N297</f>
        <v>14970</v>
      </c>
      <c r="AK297" s="65" t="n">
        <f aca="false">IF(AE297=1,MAX(0,N297-Q297),0)</f>
        <v>0</v>
      </c>
      <c r="AL297" s="65" t="n">
        <f aca="false">IF(OR(V297="",V297=0),0,N297/V297)</f>
        <v>0.466801178019453</v>
      </c>
      <c r="AM297" s="65" t="n">
        <f aca="false">IF(OR(V297="",V297=0),0,1)</f>
        <v>1</v>
      </c>
      <c r="AN297" s="65" t="n">
        <f aca="false">IF(OR(E297="",F297=""),0,NETWORKDAYS(E297,F297,Ref!$K$2:$K$42))</f>
        <v>48</v>
      </c>
      <c r="AO297" s="65" t="n">
        <f aca="false">IF(L297="Renewal",1,0)</f>
        <v>1</v>
      </c>
      <c r="AP297" s="65" t="n">
        <f aca="false">AC297*AD297</f>
        <v>1</v>
      </c>
      <c r="AQ297" s="65" t="n">
        <f aca="false">IF(AND(G297&lt;&gt;"",'Historical Score'!$C$6&lt;&gt;""),IF(G297='Historical Score'!$C$6,1,0),0)</f>
        <v>0</v>
      </c>
      <c r="AR297" s="65" t="n">
        <f aca="false">IF(AND(L297&lt;&gt;"",'Historical Score'!$C$5&lt;&gt;""),IF(L297='Historical Score'!$C$5,1,0),0)</f>
        <v>0</v>
      </c>
      <c r="AS297" s="65" t="n">
        <f aca="false">IF(AND(Y297&lt;&gt;"",'Historical Score'!$C$7&lt;&gt;""),IF(Y297='Historical Score'!$C$7,1,0),0)</f>
        <v>1</v>
      </c>
      <c r="AT297" s="65" t="n">
        <f aca="false">IF(AND(K297&lt;&gt;"",'Historical Score'!$C$8&lt;&gt;""),IF(K297='Historical Score'!$C$8,1,0),0)</f>
        <v>0</v>
      </c>
      <c r="AU297" s="65" t="n">
        <f aca="false">IF(AND(J297&lt;&gt;"",'Historical Score'!$C$9&lt;&gt;""),IF(J297='Historical Score'!$C$9,1,0),0)</f>
        <v>0</v>
      </c>
      <c r="AV297" s="65" t="n">
        <f aca="false">AR297*AS297*AQ297</f>
        <v>0</v>
      </c>
      <c r="AW297" s="65" t="n">
        <f aca="false">AR297*AT297*AQ297</f>
        <v>0</v>
      </c>
      <c r="AX297" s="65" t="n">
        <f aca="false">AR297*AS297</f>
        <v>0</v>
      </c>
      <c r="AY297" s="65" t="n">
        <f aca="false">AR297*AT297</f>
        <v>0</v>
      </c>
      <c r="AZ297" s="65" t="n">
        <f aca="false">AR297*AQ297</f>
        <v>0</v>
      </c>
      <c r="BA297" s="65" t="n">
        <f aca="false">AR297</f>
        <v>0</v>
      </c>
      <c r="BB297" s="65" t="n">
        <f aca="false">1</f>
        <v>1</v>
      </c>
      <c r="BC297" s="65" t="n">
        <f aca="false">IF(AV297=1,1,IF(AW297=1,2,IF(AX297=1,3,IF(AY297=1,4,IF(AZ297=1,5,IF(BA297=1,6,7))))))</f>
        <v>7</v>
      </c>
      <c r="BD297" s="65" t="n">
        <f aca="false">IF(AD297=1,CHOOSE('Historical Score'!$C$29,AV297,AW297,AX297,AY297,AZ297,BA297,BB297),0)</f>
        <v>0</v>
      </c>
      <c r="BE297" s="65" t="str">
        <f aca="false">IF(BD297=1,COUNTIF($BD$2:BD297,1),"")</f>
        <v/>
      </c>
    </row>
    <row r="298" customFormat="false" ht="15" hidden="false" customHeight="false" outlineLevel="0" collapsed="false">
      <c r="A298" s="65" t="s">
        <v>1298</v>
      </c>
      <c r="B298" s="65" t="s">
        <v>1299</v>
      </c>
      <c r="C298" s="65" t="s">
        <v>1299</v>
      </c>
      <c r="D298" s="65" t="s">
        <v>533</v>
      </c>
      <c r="E298" s="112" t="n">
        <v>45950</v>
      </c>
      <c r="F298" s="112" t="n">
        <v>46171</v>
      </c>
      <c r="G298" s="65" t="n">
        <v>2</v>
      </c>
      <c r="H298" s="65" t="s">
        <v>494</v>
      </c>
      <c r="I298" s="65" t="s">
        <v>484</v>
      </c>
      <c r="J298" s="65" t="s">
        <v>373</v>
      </c>
      <c r="K298" s="65" t="s">
        <v>55</v>
      </c>
      <c r="L298" s="65" t="s">
        <v>64</v>
      </c>
      <c r="M298" s="113" t="n">
        <v>1.499</v>
      </c>
      <c r="N298" s="114" t="n">
        <v>10000</v>
      </c>
      <c r="O298" s="114" t="n">
        <v>1400</v>
      </c>
      <c r="P298" s="114" t="n">
        <v>14990</v>
      </c>
      <c r="Q298" s="114" t="n">
        <v>3576.96</v>
      </c>
      <c r="R298" s="114" t="n">
        <v>11413.04</v>
      </c>
      <c r="S298" s="115" t="n">
        <v>0.238623082054703</v>
      </c>
      <c r="T298" s="65" t="n">
        <v>2.459</v>
      </c>
      <c r="U298" s="65" t="n">
        <v>7</v>
      </c>
      <c r="V298" s="65" t="n">
        <v>33817.98</v>
      </c>
      <c r="W298" s="115" t="n">
        <v>0.1234</v>
      </c>
      <c r="X298" s="112" t="n">
        <v>36892</v>
      </c>
      <c r="Y298" s="65" t="str">
        <f aca="false">IF(I298="","No SIC",IFERROR(VLOOKUP(I298,Ref!$A$2:$B$65,2,FALSE()),"Unclassified"))</f>
        <v>Special Trade Contractors</v>
      </c>
      <c r="Z298" s="65" t="str">
        <f aca="false">IF(T298="","",IF(T298&lt;12,"Daily","Weekly"))</f>
        <v>Daily</v>
      </c>
      <c r="AA298" s="65" t="n">
        <f aca="false">IF(T298="",0,IF(T298&lt;12,T298*Controls!$B$29,T298*5))</f>
        <v>53.249645</v>
      </c>
      <c r="AB298" s="65" t="n">
        <f aca="false">IF(E298="",0,NETWORKDAYS(E298,Controls!$B$36,Ref!$K$2:$K$42))</f>
        <v>214</v>
      </c>
      <c r="AC298" s="65" t="n">
        <f aca="false">IF(AND(AA298&gt;0,AB298&gt;=Controls!$B$39*AA298),1,0)</f>
        <v>1</v>
      </c>
      <c r="AD298" s="65" t="n">
        <f aca="false">IF(AND(E298&lt;&gt;"",E298&gt;=Controls!$B$37,E298&lt;=Controls!$B$38),1,0)</f>
        <v>1</v>
      </c>
      <c r="AE298" s="65" t="n">
        <f aca="false">IF(IFERROR(VLOOKUP(D298,Controls!$A$64:$E$74,2,FALSE()),"No")="Yes",1,0)</f>
        <v>1</v>
      </c>
      <c r="AF298" s="65" t="n">
        <f aca="false">IF(IFERROR(VLOOKUP(D298,Controls!$A$64:$E$74,3,FALSE()),"No")="Yes",1,0)</f>
        <v>0</v>
      </c>
      <c r="AG298" s="65" t="n">
        <f aca="false">IF(IFERROR(VLOOKUP(D298,Controls!$A$64:$E$74,4,FALSE()),"No")="Yes",1,0)</f>
        <v>0</v>
      </c>
      <c r="AH298" s="65" t="n">
        <f aca="false">IF(IFERROR(VLOOKUP(D298,Controls!$A$64:$E$74,5,FALSE()),"No")="Yes",1,0)</f>
        <v>0</v>
      </c>
      <c r="AI298" s="65" t="n">
        <f aca="false">IF(ISNUMBER(MATCH(D298,Controls!$A$64:$A$74,0)),1,0)</f>
        <v>1</v>
      </c>
      <c r="AJ298" s="65" t="n">
        <f aca="false">Q298-N298</f>
        <v>-6423.04</v>
      </c>
      <c r="AK298" s="65" t="n">
        <f aca="false">IF(AE298=1,MAX(0,N298-Q298),0)</f>
        <v>6423.04</v>
      </c>
      <c r="AL298" s="65" t="n">
        <f aca="false">IF(OR(V298="",V298=0),0,N298/V298)</f>
        <v>0.295700689396587</v>
      </c>
      <c r="AM298" s="65" t="n">
        <f aca="false">IF(OR(V298="",V298=0),0,1)</f>
        <v>1</v>
      </c>
      <c r="AN298" s="65" t="n">
        <f aca="false">IF(OR(E298="",F298=""),0,NETWORKDAYS(E298,F298,Ref!$K$2:$K$42))</f>
        <v>153</v>
      </c>
      <c r="AO298" s="65" t="n">
        <f aca="false">IF(L298="Renewal",1,0)</f>
        <v>0</v>
      </c>
      <c r="AP298" s="65" t="n">
        <f aca="false">AC298*AD298</f>
        <v>1</v>
      </c>
      <c r="AQ298" s="65" t="n">
        <f aca="false">IF(AND(G298&lt;&gt;"",'Historical Score'!$C$6&lt;&gt;""),IF(G298='Historical Score'!$C$6,1,0),0)</f>
        <v>1</v>
      </c>
      <c r="AR298" s="65" t="n">
        <f aca="false">IF(AND(L298&lt;&gt;"",'Historical Score'!$C$5&lt;&gt;""),IF(L298='Historical Score'!$C$5,1,0),0)</f>
        <v>1</v>
      </c>
      <c r="AS298" s="65" t="n">
        <f aca="false">IF(AND(Y298&lt;&gt;"",'Historical Score'!$C$7&lt;&gt;""),IF(Y298='Historical Score'!$C$7,1,0),0)</f>
        <v>0</v>
      </c>
      <c r="AT298" s="65" t="n">
        <f aca="false">IF(AND(K298&lt;&gt;"",'Historical Score'!$C$8&lt;&gt;""),IF(K298='Historical Score'!$C$8,1,0),0)</f>
        <v>1</v>
      </c>
      <c r="AU298" s="65" t="n">
        <f aca="false">IF(AND(J298&lt;&gt;"",'Historical Score'!$C$9&lt;&gt;""),IF(J298='Historical Score'!$C$9,1,0),0)</f>
        <v>0</v>
      </c>
      <c r="AV298" s="65" t="n">
        <f aca="false">AR298*AS298*AQ298</f>
        <v>0</v>
      </c>
      <c r="AW298" s="65" t="n">
        <f aca="false">AR298*AT298*AQ298</f>
        <v>1</v>
      </c>
      <c r="AX298" s="65" t="n">
        <f aca="false">AR298*AS298</f>
        <v>0</v>
      </c>
      <c r="AY298" s="65" t="n">
        <f aca="false">AR298*AT298</f>
        <v>1</v>
      </c>
      <c r="AZ298" s="65" t="n">
        <f aca="false">AR298*AQ298</f>
        <v>1</v>
      </c>
      <c r="BA298" s="65" t="n">
        <f aca="false">AR298</f>
        <v>1</v>
      </c>
      <c r="BB298" s="65" t="n">
        <f aca="false">1</f>
        <v>1</v>
      </c>
      <c r="BC298" s="65" t="n">
        <f aca="false">IF(AV298=1,1,IF(AW298=1,2,IF(AX298=1,3,IF(AY298=1,4,IF(AZ298=1,5,IF(BA298=1,6,7))))))</f>
        <v>2</v>
      </c>
      <c r="BD298" s="65" t="n">
        <f aca="false">IF(AD298=1,CHOOSE('Historical Score'!$C$29,AV298,AW298,AX298,AY298,AZ298,BA298,BB298),0)</f>
        <v>0</v>
      </c>
      <c r="BE298" s="65" t="str">
        <f aca="false">IF(BD298=1,COUNTIF($BD$2:BD298,1),"")</f>
        <v/>
      </c>
    </row>
    <row r="299" customFormat="false" ht="15" hidden="false" customHeight="false" outlineLevel="0" collapsed="false">
      <c r="A299" s="65" t="s">
        <v>1300</v>
      </c>
      <c r="B299" s="65" t="s">
        <v>1301</v>
      </c>
      <c r="C299" s="65" t="s">
        <v>1301</v>
      </c>
      <c r="D299" s="65" t="s">
        <v>340</v>
      </c>
      <c r="E299" s="112" t="n">
        <v>45951</v>
      </c>
      <c r="F299" s="112" t="n">
        <v>45981</v>
      </c>
      <c r="G299" s="65" t="n">
        <v>2</v>
      </c>
      <c r="H299" s="65" t="s">
        <v>1302</v>
      </c>
      <c r="I299" s="65" t="s">
        <v>970</v>
      </c>
      <c r="J299" s="65" t="s">
        <v>671</v>
      </c>
      <c r="K299" s="65" t="s">
        <v>426</v>
      </c>
      <c r="L299" s="65" t="s">
        <v>64</v>
      </c>
      <c r="M299" s="113" t="n">
        <v>1.499</v>
      </c>
      <c r="N299" s="114" t="n">
        <v>22000</v>
      </c>
      <c r="O299" s="114" t="n">
        <v>0</v>
      </c>
      <c r="P299" s="114" t="n">
        <v>32978</v>
      </c>
      <c r="Q299" s="114" t="n">
        <v>1966.14</v>
      </c>
      <c r="R299" s="114" t="n">
        <v>31011.86</v>
      </c>
      <c r="S299" s="115" t="n">
        <v>0.0596197464976651</v>
      </c>
      <c r="T299" s="65" t="n">
        <v>3.279</v>
      </c>
      <c r="U299" s="65" t="n">
        <v>14</v>
      </c>
      <c r="V299" s="65" t="n">
        <v>52690.8</v>
      </c>
      <c r="W299" s="115" t="n">
        <v>0.1306</v>
      </c>
      <c r="X299" s="112" t="n">
        <v>44782</v>
      </c>
      <c r="Y299" s="65" t="str">
        <f aca="false">IF(I299="","No SIC",IFERROR(VLOOKUP(I299,Ref!$A$2:$B$65,2,FALSE()),"Unclassified"))</f>
        <v>Industrial Machinery &amp; Equipment</v>
      </c>
      <c r="Z299" s="65" t="str">
        <f aca="false">IF(T299="","",IF(T299&lt;12,"Daily","Weekly"))</f>
        <v>Daily</v>
      </c>
      <c r="AA299" s="65" t="n">
        <f aca="false">IF(T299="",0,IF(T299&lt;12,T299*Controls!$B$29,T299*5))</f>
        <v>71.006745</v>
      </c>
      <c r="AB299" s="65" t="n">
        <f aca="false">IF(E299="",0,NETWORKDAYS(E299,Controls!$B$36,Ref!$K$2:$K$42))</f>
        <v>213</v>
      </c>
      <c r="AC299" s="65" t="n">
        <f aca="false">IF(AND(AA299&gt;0,AB299&gt;=Controls!$B$39*AA299),1,0)</f>
        <v>1</v>
      </c>
      <c r="AD299" s="65" t="n">
        <f aca="false">IF(AND(E299&lt;&gt;"",E299&gt;=Controls!$B$37,E299&lt;=Controls!$B$38),1,0)</f>
        <v>1</v>
      </c>
      <c r="AE299" s="65" t="n">
        <f aca="false">IF(IFERROR(VLOOKUP(D299,Controls!$A$64:$E$74,2,FALSE()),"No")="Yes",1,0)</f>
        <v>1</v>
      </c>
      <c r="AF299" s="65" t="n">
        <f aca="false">IF(IFERROR(VLOOKUP(D299,Controls!$A$64:$E$74,3,FALSE()),"No")="Yes",1,0)</f>
        <v>0</v>
      </c>
      <c r="AG299" s="65" t="n">
        <f aca="false">IF(IFERROR(VLOOKUP(D299,Controls!$A$64:$E$74,4,FALSE()),"No")="Yes",1,0)</f>
        <v>0</v>
      </c>
      <c r="AH299" s="65" t="n">
        <f aca="false">IF(IFERROR(VLOOKUP(D299,Controls!$A$64:$E$74,5,FALSE()),"No")="Yes",1,0)</f>
        <v>0</v>
      </c>
      <c r="AI299" s="65" t="n">
        <f aca="false">IF(ISNUMBER(MATCH(D299,Controls!$A$64:$A$74,0)),1,0)</f>
        <v>1</v>
      </c>
      <c r="AJ299" s="65" t="n">
        <f aca="false">Q299-N299</f>
        <v>-20033.86</v>
      </c>
      <c r="AK299" s="65" t="n">
        <f aca="false">IF(AE299=1,MAX(0,N299-Q299),0)</f>
        <v>20033.86</v>
      </c>
      <c r="AL299" s="65" t="n">
        <f aca="false">IF(OR(V299="",V299=0),0,N299/V299)</f>
        <v>0.417530195024558</v>
      </c>
      <c r="AM299" s="65" t="n">
        <f aca="false">IF(OR(V299="",V299=0),0,1)</f>
        <v>1</v>
      </c>
      <c r="AN299" s="65" t="n">
        <f aca="false">IF(OR(E299="",F299=""),0,NETWORKDAYS(E299,F299,Ref!$K$2:$K$42))</f>
        <v>22</v>
      </c>
      <c r="AO299" s="65" t="n">
        <f aca="false">IF(L299="Renewal",1,0)</f>
        <v>0</v>
      </c>
      <c r="AP299" s="65" t="n">
        <f aca="false">AC299*AD299</f>
        <v>1</v>
      </c>
      <c r="AQ299" s="65" t="n">
        <f aca="false">IF(AND(G299&lt;&gt;"",'Historical Score'!$C$6&lt;&gt;""),IF(G299='Historical Score'!$C$6,1,0),0)</f>
        <v>1</v>
      </c>
      <c r="AR299" s="65" t="n">
        <f aca="false">IF(AND(L299&lt;&gt;"",'Historical Score'!$C$5&lt;&gt;""),IF(L299='Historical Score'!$C$5,1,0),0)</f>
        <v>1</v>
      </c>
      <c r="AS299" s="65" t="n">
        <f aca="false">IF(AND(Y299&lt;&gt;"",'Historical Score'!$C$7&lt;&gt;""),IF(Y299='Historical Score'!$C$7,1,0),0)</f>
        <v>0</v>
      </c>
      <c r="AT299" s="65" t="n">
        <f aca="false">IF(AND(K299&lt;&gt;"",'Historical Score'!$C$8&lt;&gt;""),IF(K299='Historical Score'!$C$8,1,0),0)</f>
        <v>0</v>
      </c>
      <c r="AU299" s="65" t="n">
        <f aca="false">IF(AND(J299&lt;&gt;"",'Historical Score'!$C$9&lt;&gt;""),IF(J299='Historical Score'!$C$9,1,0),0)</f>
        <v>0</v>
      </c>
      <c r="AV299" s="65" t="n">
        <f aca="false">AR299*AS299*AQ299</f>
        <v>0</v>
      </c>
      <c r="AW299" s="65" t="n">
        <f aca="false">AR299*AT299*AQ299</f>
        <v>0</v>
      </c>
      <c r="AX299" s="65" t="n">
        <f aca="false">AR299*AS299</f>
        <v>0</v>
      </c>
      <c r="AY299" s="65" t="n">
        <f aca="false">AR299*AT299</f>
        <v>0</v>
      </c>
      <c r="AZ299" s="65" t="n">
        <f aca="false">AR299*AQ299</f>
        <v>1</v>
      </c>
      <c r="BA299" s="65" t="n">
        <f aca="false">AR299</f>
        <v>1</v>
      </c>
      <c r="BB299" s="65" t="n">
        <f aca="false">1</f>
        <v>1</v>
      </c>
      <c r="BC299" s="65" t="n">
        <f aca="false">IF(AV299=1,1,IF(AW299=1,2,IF(AX299=1,3,IF(AY299=1,4,IF(AZ299=1,5,IF(BA299=1,6,7))))))</f>
        <v>5</v>
      </c>
      <c r="BD299" s="65" t="n">
        <f aca="false">IF(AD299=1,CHOOSE('Historical Score'!$C$29,AV299,AW299,AX299,AY299,AZ299,BA299,BB299),0)</f>
        <v>0</v>
      </c>
      <c r="BE299" s="65" t="str">
        <f aca="false">IF(BD299=1,COUNTIF($BD$2:BD299,1),"")</f>
        <v/>
      </c>
    </row>
    <row r="300" customFormat="false" ht="15" hidden="false" customHeight="false" outlineLevel="0" collapsed="false">
      <c r="A300" s="65" t="s">
        <v>1303</v>
      </c>
      <c r="B300" s="65" t="s">
        <v>1304</v>
      </c>
      <c r="C300" s="65" t="s">
        <v>1305</v>
      </c>
      <c r="D300" s="65" t="s">
        <v>340</v>
      </c>
      <c r="E300" s="112" t="n">
        <v>45951</v>
      </c>
      <c r="F300" s="112" t="n">
        <v>45980</v>
      </c>
      <c r="G300" s="65" t="n">
        <v>2</v>
      </c>
      <c r="H300" s="65" t="s">
        <v>409</v>
      </c>
      <c r="I300" s="65" t="s">
        <v>342</v>
      </c>
      <c r="J300" s="65" t="s">
        <v>1306</v>
      </c>
      <c r="K300" s="65" t="s">
        <v>55</v>
      </c>
      <c r="L300" s="65" t="s">
        <v>64</v>
      </c>
      <c r="M300" s="113" t="n">
        <v>1.5</v>
      </c>
      <c r="N300" s="114" t="n">
        <v>12500</v>
      </c>
      <c r="O300" s="114" t="n">
        <v>1750</v>
      </c>
      <c r="P300" s="114" t="n">
        <v>18750</v>
      </c>
      <c r="Q300" s="114" t="n">
        <v>3518.49</v>
      </c>
      <c r="R300" s="114" t="n">
        <v>15231.51</v>
      </c>
      <c r="S300" s="115" t="n">
        <v>0.1876528</v>
      </c>
      <c r="T300" s="65" t="n">
        <v>2.951</v>
      </c>
      <c r="U300" s="65" t="n">
        <v>3</v>
      </c>
      <c r="V300" s="65" t="n">
        <v>20290.8</v>
      </c>
      <c r="W300" s="115" t="n">
        <v>0.2142</v>
      </c>
      <c r="X300" s="112"/>
      <c r="Y300" s="65" t="str">
        <f aca="false">IF(I300="","No SIC",IFERROR(VLOOKUP(I300,Ref!$A$2:$B$65,2,FALSE()),"Unclassified"))</f>
        <v>Eating &amp; Drinking Places</v>
      </c>
      <c r="Z300" s="65" t="str">
        <f aca="false">IF(T300="","",IF(T300&lt;12,"Daily","Weekly"))</f>
        <v>Daily</v>
      </c>
      <c r="AA300" s="65" t="n">
        <f aca="false">IF(T300="",0,IF(T300&lt;12,T300*Controls!$B$29,T300*5))</f>
        <v>63.903905</v>
      </c>
      <c r="AB300" s="65" t="n">
        <f aca="false">IF(E300="",0,NETWORKDAYS(E300,Controls!$B$36,Ref!$K$2:$K$42))</f>
        <v>213</v>
      </c>
      <c r="AC300" s="65" t="n">
        <f aca="false">IF(AND(AA300&gt;0,AB300&gt;=Controls!$B$39*AA300),1,0)</f>
        <v>1</v>
      </c>
      <c r="AD300" s="65" t="n">
        <f aca="false">IF(AND(E300&lt;&gt;"",E300&gt;=Controls!$B$37,E300&lt;=Controls!$B$38),1,0)</f>
        <v>1</v>
      </c>
      <c r="AE300" s="65" t="n">
        <f aca="false">IF(IFERROR(VLOOKUP(D300,Controls!$A$64:$E$74,2,FALSE()),"No")="Yes",1,0)</f>
        <v>1</v>
      </c>
      <c r="AF300" s="65" t="n">
        <f aca="false">IF(IFERROR(VLOOKUP(D300,Controls!$A$64:$E$74,3,FALSE()),"No")="Yes",1,0)</f>
        <v>0</v>
      </c>
      <c r="AG300" s="65" t="n">
        <f aca="false">IF(IFERROR(VLOOKUP(D300,Controls!$A$64:$E$74,4,FALSE()),"No")="Yes",1,0)</f>
        <v>0</v>
      </c>
      <c r="AH300" s="65" t="n">
        <f aca="false">IF(IFERROR(VLOOKUP(D300,Controls!$A$64:$E$74,5,FALSE()),"No")="Yes",1,0)</f>
        <v>0</v>
      </c>
      <c r="AI300" s="65" t="n">
        <f aca="false">IF(ISNUMBER(MATCH(D300,Controls!$A$64:$A$74,0)),1,0)</f>
        <v>1</v>
      </c>
      <c r="AJ300" s="65" t="n">
        <f aca="false">Q300-N300</f>
        <v>-8981.51</v>
      </c>
      <c r="AK300" s="65" t="n">
        <f aca="false">IF(AE300=1,MAX(0,N300-Q300),0)</f>
        <v>8981.51</v>
      </c>
      <c r="AL300" s="65" t="n">
        <f aca="false">IF(OR(V300="",V300=0),0,N300/V300)</f>
        <v>0.616042738581032</v>
      </c>
      <c r="AM300" s="65" t="n">
        <f aca="false">IF(OR(V300="",V300=0),0,1)</f>
        <v>1</v>
      </c>
      <c r="AN300" s="65" t="n">
        <f aca="false">IF(OR(E300="",F300=""),0,NETWORKDAYS(E300,F300,Ref!$K$2:$K$42))</f>
        <v>21</v>
      </c>
      <c r="AO300" s="65" t="n">
        <f aca="false">IF(L300="Renewal",1,0)</f>
        <v>0</v>
      </c>
      <c r="AP300" s="65" t="n">
        <f aca="false">AC300*AD300</f>
        <v>1</v>
      </c>
      <c r="AQ300" s="65" t="n">
        <f aca="false">IF(AND(G300&lt;&gt;"",'Historical Score'!$C$6&lt;&gt;""),IF(G300='Historical Score'!$C$6,1,0),0)</f>
        <v>1</v>
      </c>
      <c r="AR300" s="65" t="n">
        <f aca="false">IF(AND(L300&lt;&gt;"",'Historical Score'!$C$5&lt;&gt;""),IF(L300='Historical Score'!$C$5,1,0),0)</f>
        <v>1</v>
      </c>
      <c r="AS300" s="65" t="n">
        <f aca="false">IF(AND(Y300&lt;&gt;"",'Historical Score'!$C$7&lt;&gt;""),IF(Y300='Historical Score'!$C$7,1,0),0)</f>
        <v>0</v>
      </c>
      <c r="AT300" s="65" t="n">
        <f aca="false">IF(AND(K300&lt;&gt;"",'Historical Score'!$C$8&lt;&gt;""),IF(K300='Historical Score'!$C$8,1,0),0)</f>
        <v>1</v>
      </c>
      <c r="AU300" s="65" t="n">
        <f aca="false">IF(AND(J300&lt;&gt;"",'Historical Score'!$C$9&lt;&gt;""),IF(J300='Historical Score'!$C$9,1,0),0)</f>
        <v>0</v>
      </c>
      <c r="AV300" s="65" t="n">
        <f aca="false">AR300*AS300*AQ300</f>
        <v>0</v>
      </c>
      <c r="AW300" s="65" t="n">
        <f aca="false">AR300*AT300*AQ300</f>
        <v>1</v>
      </c>
      <c r="AX300" s="65" t="n">
        <f aca="false">AR300*AS300</f>
        <v>0</v>
      </c>
      <c r="AY300" s="65" t="n">
        <f aca="false">AR300*AT300</f>
        <v>1</v>
      </c>
      <c r="AZ300" s="65" t="n">
        <f aca="false">AR300*AQ300</f>
        <v>1</v>
      </c>
      <c r="BA300" s="65" t="n">
        <f aca="false">AR300</f>
        <v>1</v>
      </c>
      <c r="BB300" s="65" t="n">
        <f aca="false">1</f>
        <v>1</v>
      </c>
      <c r="BC300" s="65" t="n">
        <f aca="false">IF(AV300=1,1,IF(AW300=1,2,IF(AX300=1,3,IF(AY300=1,4,IF(AZ300=1,5,IF(BA300=1,6,7))))))</f>
        <v>2</v>
      </c>
      <c r="BD300" s="65" t="n">
        <f aca="false">IF(AD300=1,CHOOSE('Historical Score'!$C$29,AV300,AW300,AX300,AY300,AZ300,BA300,BB300),0)</f>
        <v>0</v>
      </c>
      <c r="BE300" s="65" t="str">
        <f aca="false">IF(BD300=1,COUNTIF($BD$2:BD300,1),"")</f>
        <v/>
      </c>
    </row>
    <row r="301" customFormat="false" ht="15" hidden="false" customHeight="false" outlineLevel="0" collapsed="false">
      <c r="A301" s="65" t="s">
        <v>1307</v>
      </c>
      <c r="B301" s="65" t="s">
        <v>925</v>
      </c>
      <c r="C301" s="65" t="s">
        <v>925</v>
      </c>
      <c r="D301" s="65" t="s">
        <v>371</v>
      </c>
      <c r="E301" s="112" t="n">
        <v>45952</v>
      </c>
      <c r="F301" s="112" t="n">
        <v>46090</v>
      </c>
      <c r="G301" s="65" t="n">
        <v>2</v>
      </c>
      <c r="H301" s="65" t="s">
        <v>926</v>
      </c>
      <c r="I301" s="65" t="s">
        <v>927</v>
      </c>
      <c r="J301" s="65" t="s">
        <v>61</v>
      </c>
      <c r="K301" s="65" t="s">
        <v>55</v>
      </c>
      <c r="L301" s="65" t="s">
        <v>64</v>
      </c>
      <c r="M301" s="113" t="n">
        <v>1.499</v>
      </c>
      <c r="N301" s="114" t="n">
        <v>12500</v>
      </c>
      <c r="O301" s="114" t="n">
        <v>1750</v>
      </c>
      <c r="P301" s="114" t="n">
        <v>18737.5</v>
      </c>
      <c r="Q301" s="114" t="n">
        <v>18737.5</v>
      </c>
      <c r="R301" s="114" t="n">
        <v>0</v>
      </c>
      <c r="S301" s="115" t="n">
        <v>1</v>
      </c>
      <c r="T301" s="65" t="n">
        <v>2.951</v>
      </c>
      <c r="U301" s="65" t="n">
        <v>0</v>
      </c>
      <c r="V301" s="65" t="n">
        <v>37694.01</v>
      </c>
      <c r="W301" s="115" t="n">
        <v>0.1146</v>
      </c>
      <c r="X301" s="112" t="n">
        <v>44338</v>
      </c>
      <c r="Y301" s="65" t="str">
        <f aca="false">IF(I301="","No SIC",IFERROR(VLOOKUP(I301,Ref!$A$2:$B$65,2,FALSE()),"Unclassified"))</f>
        <v>Oil &amp; Gas Extraction</v>
      </c>
      <c r="Z301" s="65" t="str">
        <f aca="false">IF(T301="","",IF(T301&lt;12,"Daily","Weekly"))</f>
        <v>Daily</v>
      </c>
      <c r="AA301" s="65" t="n">
        <f aca="false">IF(T301="",0,IF(T301&lt;12,T301*Controls!$B$29,T301*5))</f>
        <v>63.903905</v>
      </c>
      <c r="AB301" s="65" t="n">
        <f aca="false">IF(E301="",0,NETWORKDAYS(E301,Controls!$B$36,Ref!$K$2:$K$42))</f>
        <v>212</v>
      </c>
      <c r="AC301" s="65" t="n">
        <f aca="false">IF(AND(AA301&gt;0,AB301&gt;=Controls!$B$39*AA301),1,0)</f>
        <v>1</v>
      </c>
      <c r="AD301" s="65" t="n">
        <f aca="false">IF(AND(E301&lt;&gt;"",E301&gt;=Controls!$B$37,E301&lt;=Controls!$B$38),1,0)</f>
        <v>1</v>
      </c>
      <c r="AE301" s="65" t="n">
        <f aca="false">IF(IFERROR(VLOOKUP(D301,Controls!$A$64:$E$74,2,FALSE()),"No")="Yes",1,0)</f>
        <v>0</v>
      </c>
      <c r="AF301" s="65" t="n">
        <f aca="false">IF(IFERROR(VLOOKUP(D301,Controls!$A$64:$E$74,3,FALSE()),"No")="Yes",1,0)</f>
        <v>1</v>
      </c>
      <c r="AG301" s="65" t="n">
        <f aca="false">IF(IFERROR(VLOOKUP(D301,Controls!$A$64:$E$74,4,FALSE()),"No")="Yes",1,0)</f>
        <v>1</v>
      </c>
      <c r="AH301" s="65" t="n">
        <f aca="false">IF(IFERROR(VLOOKUP(D301,Controls!$A$64:$E$74,5,FALSE()),"No")="Yes",1,0)</f>
        <v>0</v>
      </c>
      <c r="AI301" s="65" t="n">
        <f aca="false">IF(ISNUMBER(MATCH(D301,Controls!$A$64:$A$74,0)),1,0)</f>
        <v>1</v>
      </c>
      <c r="AJ301" s="65" t="n">
        <f aca="false">Q301-N301</f>
        <v>6237.5</v>
      </c>
      <c r="AK301" s="65" t="n">
        <f aca="false">IF(AE301=1,MAX(0,N301-Q301),0)</f>
        <v>0</v>
      </c>
      <c r="AL301" s="65" t="n">
        <f aca="false">IF(OR(V301="",V301=0),0,N301/V301)</f>
        <v>0.331617676124137</v>
      </c>
      <c r="AM301" s="65" t="n">
        <f aca="false">IF(OR(V301="",V301=0),0,1)</f>
        <v>1</v>
      </c>
      <c r="AN301" s="65" t="n">
        <f aca="false">IF(OR(E301="",F301=""),0,NETWORKDAYS(E301,F301,Ref!$K$2:$K$42))</f>
        <v>93</v>
      </c>
      <c r="AO301" s="65" t="n">
        <f aca="false">IF(L301="Renewal",1,0)</f>
        <v>0</v>
      </c>
      <c r="AP301" s="65" t="n">
        <f aca="false">AC301*AD301</f>
        <v>1</v>
      </c>
      <c r="AQ301" s="65" t="n">
        <f aca="false">IF(AND(G301&lt;&gt;"",'Historical Score'!$C$6&lt;&gt;""),IF(G301='Historical Score'!$C$6,1,0),0)</f>
        <v>1</v>
      </c>
      <c r="AR301" s="65" t="n">
        <f aca="false">IF(AND(L301&lt;&gt;"",'Historical Score'!$C$5&lt;&gt;""),IF(L301='Historical Score'!$C$5,1,0),0)</f>
        <v>1</v>
      </c>
      <c r="AS301" s="65" t="n">
        <f aca="false">IF(AND(Y301&lt;&gt;"",'Historical Score'!$C$7&lt;&gt;""),IF(Y301='Historical Score'!$C$7,1,0),0)</f>
        <v>0</v>
      </c>
      <c r="AT301" s="65" t="n">
        <f aca="false">IF(AND(K301&lt;&gt;"",'Historical Score'!$C$8&lt;&gt;""),IF(K301='Historical Score'!$C$8,1,0),0)</f>
        <v>1</v>
      </c>
      <c r="AU301" s="65" t="n">
        <f aca="false">IF(AND(J301&lt;&gt;"",'Historical Score'!$C$9&lt;&gt;""),IF(J301='Historical Score'!$C$9,1,0),0)</f>
        <v>1</v>
      </c>
      <c r="AV301" s="65" t="n">
        <f aca="false">AR301*AS301*AQ301</f>
        <v>0</v>
      </c>
      <c r="AW301" s="65" t="n">
        <f aca="false">AR301*AT301*AQ301</f>
        <v>1</v>
      </c>
      <c r="AX301" s="65" t="n">
        <f aca="false">AR301*AS301</f>
        <v>0</v>
      </c>
      <c r="AY301" s="65" t="n">
        <f aca="false">AR301*AT301</f>
        <v>1</v>
      </c>
      <c r="AZ301" s="65" t="n">
        <f aca="false">AR301*AQ301</f>
        <v>1</v>
      </c>
      <c r="BA301" s="65" t="n">
        <f aca="false">AR301</f>
        <v>1</v>
      </c>
      <c r="BB301" s="65" t="n">
        <f aca="false">1</f>
        <v>1</v>
      </c>
      <c r="BC301" s="65" t="n">
        <f aca="false">IF(AV301=1,1,IF(AW301=1,2,IF(AX301=1,3,IF(AY301=1,4,IF(AZ301=1,5,IF(BA301=1,6,7))))))</f>
        <v>2</v>
      </c>
      <c r="BD301" s="65" t="n">
        <f aca="false">IF(AD301=1,CHOOSE('Historical Score'!$C$29,AV301,AW301,AX301,AY301,AZ301,BA301,BB301),0)</f>
        <v>0</v>
      </c>
      <c r="BE301" s="65" t="str">
        <f aca="false">IF(BD301=1,COUNTIF($BD$2:BD301,1),"")</f>
        <v/>
      </c>
    </row>
    <row r="302" customFormat="false" ht="15" hidden="false" customHeight="false" outlineLevel="0" collapsed="false">
      <c r="A302" s="65" t="s">
        <v>1308</v>
      </c>
      <c r="B302" s="65" t="s">
        <v>1309</v>
      </c>
      <c r="C302" s="65" t="s">
        <v>1309</v>
      </c>
      <c r="D302" s="65" t="s">
        <v>295</v>
      </c>
      <c r="E302" s="112" t="n">
        <v>45952</v>
      </c>
      <c r="F302" s="112" t="n">
        <v>46247</v>
      </c>
      <c r="G302" s="65" t="n">
        <v>3</v>
      </c>
      <c r="H302" s="65" t="s">
        <v>748</v>
      </c>
      <c r="I302" s="65" t="s">
        <v>619</v>
      </c>
      <c r="J302" s="65" t="s">
        <v>671</v>
      </c>
      <c r="K302" s="65" t="s">
        <v>501</v>
      </c>
      <c r="L302" s="65" t="s">
        <v>64</v>
      </c>
      <c r="M302" s="113" t="n">
        <v>1.499</v>
      </c>
      <c r="N302" s="114" t="n">
        <v>8500</v>
      </c>
      <c r="O302" s="114" t="n">
        <v>1190</v>
      </c>
      <c r="P302" s="114" t="n">
        <v>12741.5</v>
      </c>
      <c r="Q302" s="114" t="n">
        <v>9449.65</v>
      </c>
      <c r="R302" s="114" t="n">
        <v>3291.85</v>
      </c>
      <c r="S302" s="115" t="n">
        <v>0.741643448573559</v>
      </c>
      <c r="T302" s="65" t="n">
        <v>2.951</v>
      </c>
      <c r="U302" s="65" t="n">
        <v>5</v>
      </c>
      <c r="V302" s="65" t="n">
        <v>78783.37</v>
      </c>
      <c r="W302" s="115" t="n">
        <v>0.0373</v>
      </c>
      <c r="X302" s="112" t="n">
        <v>42795</v>
      </c>
      <c r="Y302" s="65" t="str">
        <f aca="false">IF(I302="","No SIC",IFERROR(VLOOKUP(I302,Ref!$A$2:$B$65,2,FALSE()),"Unclassified"))</f>
        <v>Miscellaneous Retail</v>
      </c>
      <c r="Z302" s="65" t="str">
        <f aca="false">IF(T302="","",IF(T302&lt;12,"Daily","Weekly"))</f>
        <v>Daily</v>
      </c>
      <c r="AA302" s="65" t="n">
        <f aca="false">IF(T302="",0,IF(T302&lt;12,T302*Controls!$B$29,T302*5))</f>
        <v>63.903905</v>
      </c>
      <c r="AB302" s="65" t="n">
        <f aca="false">IF(E302="",0,NETWORKDAYS(E302,Controls!$B$36,Ref!$K$2:$K$42))</f>
        <v>212</v>
      </c>
      <c r="AC302" s="65" t="n">
        <f aca="false">IF(AND(AA302&gt;0,AB302&gt;=Controls!$B$39*AA302),1,0)</f>
        <v>1</v>
      </c>
      <c r="AD302" s="65" t="n">
        <f aca="false">IF(AND(E302&lt;&gt;"",E302&gt;=Controls!$B$37,E302&lt;=Controls!$B$38),1,0)</f>
        <v>1</v>
      </c>
      <c r="AE302" s="65" t="n">
        <f aca="false">IF(IFERROR(VLOOKUP(D302,Controls!$A$64:$E$74,2,FALSE()),"No")="Yes",1,0)</f>
        <v>0</v>
      </c>
      <c r="AF302" s="65" t="n">
        <f aca="false">IF(IFERROR(VLOOKUP(D302,Controls!$A$64:$E$74,3,FALSE()),"No")="Yes",1,0)</f>
        <v>0</v>
      </c>
      <c r="AG302" s="65" t="n">
        <f aca="false">IF(IFERROR(VLOOKUP(D302,Controls!$A$64:$E$74,4,FALSE()),"No")="Yes",1,0)</f>
        <v>0</v>
      </c>
      <c r="AH302" s="65" t="n">
        <f aca="false">IF(IFERROR(VLOOKUP(D302,Controls!$A$64:$E$74,5,FALSE()),"No")="Yes",1,0)</f>
        <v>1</v>
      </c>
      <c r="AI302" s="65" t="n">
        <f aca="false">IF(ISNUMBER(MATCH(D302,Controls!$A$64:$A$74,0)),1,0)</f>
        <v>1</v>
      </c>
      <c r="AJ302" s="65" t="n">
        <f aca="false">Q302-N302</f>
        <v>949.65</v>
      </c>
      <c r="AK302" s="65" t="n">
        <f aca="false">IF(AE302=1,MAX(0,N302-Q302),0)</f>
        <v>0</v>
      </c>
      <c r="AL302" s="65" t="n">
        <f aca="false">IF(OR(V302="",V302=0),0,N302/V302)</f>
        <v>0.107890789642535</v>
      </c>
      <c r="AM302" s="65" t="n">
        <f aca="false">IF(OR(V302="",V302=0),0,1)</f>
        <v>1</v>
      </c>
      <c r="AN302" s="65" t="n">
        <f aca="false">IF(OR(E302="",F302=""),0,NETWORKDAYS(E302,F302,Ref!$K$2:$K$42))</f>
        <v>204</v>
      </c>
      <c r="AO302" s="65" t="n">
        <f aca="false">IF(L302="Renewal",1,0)</f>
        <v>0</v>
      </c>
      <c r="AP302" s="65" t="n">
        <f aca="false">AC302*AD302</f>
        <v>1</v>
      </c>
      <c r="AQ302" s="65" t="n">
        <f aca="false">IF(AND(G302&lt;&gt;"",'Historical Score'!$C$6&lt;&gt;""),IF(G302='Historical Score'!$C$6,1,0),0)</f>
        <v>0</v>
      </c>
      <c r="AR302" s="65" t="n">
        <f aca="false">IF(AND(L302&lt;&gt;"",'Historical Score'!$C$5&lt;&gt;""),IF(L302='Historical Score'!$C$5,1,0),0)</f>
        <v>1</v>
      </c>
      <c r="AS302" s="65" t="n">
        <f aca="false">IF(AND(Y302&lt;&gt;"",'Historical Score'!$C$7&lt;&gt;""),IF(Y302='Historical Score'!$C$7,1,0),0)</f>
        <v>0</v>
      </c>
      <c r="AT302" s="65" t="n">
        <f aca="false">IF(AND(K302&lt;&gt;"",'Historical Score'!$C$8&lt;&gt;""),IF(K302='Historical Score'!$C$8,1,0),0)</f>
        <v>0</v>
      </c>
      <c r="AU302" s="65" t="n">
        <f aca="false">IF(AND(J302&lt;&gt;"",'Historical Score'!$C$9&lt;&gt;""),IF(J302='Historical Score'!$C$9,1,0),0)</f>
        <v>0</v>
      </c>
      <c r="AV302" s="65" t="n">
        <f aca="false">AR302*AS302*AQ302</f>
        <v>0</v>
      </c>
      <c r="AW302" s="65" t="n">
        <f aca="false">AR302*AT302*AQ302</f>
        <v>0</v>
      </c>
      <c r="AX302" s="65" t="n">
        <f aca="false">AR302*AS302</f>
        <v>0</v>
      </c>
      <c r="AY302" s="65" t="n">
        <f aca="false">AR302*AT302</f>
        <v>0</v>
      </c>
      <c r="AZ302" s="65" t="n">
        <f aca="false">AR302*AQ302</f>
        <v>0</v>
      </c>
      <c r="BA302" s="65" t="n">
        <f aca="false">AR302</f>
        <v>1</v>
      </c>
      <c r="BB302" s="65" t="n">
        <f aca="false">1</f>
        <v>1</v>
      </c>
      <c r="BC302" s="65" t="n">
        <f aca="false">IF(AV302=1,1,IF(AW302=1,2,IF(AX302=1,3,IF(AY302=1,4,IF(AZ302=1,5,IF(BA302=1,6,7))))))</f>
        <v>6</v>
      </c>
      <c r="BD302" s="65" t="n">
        <f aca="false">IF(AD302=1,CHOOSE('Historical Score'!$C$29,AV302,AW302,AX302,AY302,AZ302,BA302,BB302),0)</f>
        <v>0</v>
      </c>
      <c r="BE302" s="65" t="str">
        <f aca="false">IF(BD302=1,COUNTIF($BD$2:BD302,1),"")</f>
        <v/>
      </c>
    </row>
    <row r="303" customFormat="false" ht="15" hidden="false" customHeight="false" outlineLevel="0" collapsed="false">
      <c r="A303" s="65" t="s">
        <v>1310</v>
      </c>
      <c r="B303" s="65" t="s">
        <v>1311</v>
      </c>
      <c r="C303" s="65" t="s">
        <v>1311</v>
      </c>
      <c r="D303" s="65" t="s">
        <v>340</v>
      </c>
      <c r="E303" s="112" t="n">
        <v>45953</v>
      </c>
      <c r="F303" s="112" t="n">
        <v>46009</v>
      </c>
      <c r="G303" s="65" t="n">
        <v>2</v>
      </c>
      <c r="H303" s="65" t="s">
        <v>1312</v>
      </c>
      <c r="I303" s="65" t="s">
        <v>703</v>
      </c>
      <c r="J303" s="65" t="s">
        <v>717</v>
      </c>
      <c r="K303" s="65" t="s">
        <v>55</v>
      </c>
      <c r="L303" s="65" t="s">
        <v>64</v>
      </c>
      <c r="M303" s="113" t="n">
        <v>1.49</v>
      </c>
      <c r="N303" s="114" t="n">
        <v>18500</v>
      </c>
      <c r="O303" s="114" t="n">
        <v>0</v>
      </c>
      <c r="P303" s="114" t="n">
        <v>27565</v>
      </c>
      <c r="Q303" s="114" t="n">
        <v>4134.45</v>
      </c>
      <c r="R303" s="114" t="n">
        <v>23430.55</v>
      </c>
      <c r="S303" s="115" t="n">
        <v>0.149989116633412</v>
      </c>
      <c r="T303" s="65" t="n">
        <v>3.279</v>
      </c>
      <c r="U303" s="65" t="n">
        <v>13</v>
      </c>
      <c r="V303" s="65" t="n">
        <v>33189.82</v>
      </c>
      <c r="W303" s="115" t="n">
        <v>0.1744</v>
      </c>
      <c r="X303" s="112" t="n">
        <v>42914</v>
      </c>
      <c r="Y303" s="65" t="str">
        <f aca="false">IF(I303="","No SIC",IFERROR(VLOOKUP(I303,Ref!$A$2:$B$65,2,FALSE()),"Unclassified"))</f>
        <v>Wholesale Trade - Nondurable Goods</v>
      </c>
      <c r="Z303" s="65" t="str">
        <f aca="false">IF(T303="","",IF(T303&lt;12,"Daily","Weekly"))</f>
        <v>Daily</v>
      </c>
      <c r="AA303" s="65" t="n">
        <f aca="false">IF(T303="",0,IF(T303&lt;12,T303*Controls!$B$29,T303*5))</f>
        <v>71.006745</v>
      </c>
      <c r="AB303" s="65" t="n">
        <f aca="false">IF(E303="",0,NETWORKDAYS(E303,Controls!$B$36,Ref!$K$2:$K$42))</f>
        <v>211</v>
      </c>
      <c r="AC303" s="65" t="n">
        <f aca="false">IF(AND(AA303&gt;0,AB303&gt;=Controls!$B$39*AA303),1,0)</f>
        <v>1</v>
      </c>
      <c r="AD303" s="65" t="n">
        <f aca="false">IF(AND(E303&lt;&gt;"",E303&gt;=Controls!$B$37,E303&lt;=Controls!$B$38),1,0)</f>
        <v>1</v>
      </c>
      <c r="AE303" s="65" t="n">
        <f aca="false">IF(IFERROR(VLOOKUP(D303,Controls!$A$64:$E$74,2,FALSE()),"No")="Yes",1,0)</f>
        <v>1</v>
      </c>
      <c r="AF303" s="65" t="n">
        <f aca="false">IF(IFERROR(VLOOKUP(D303,Controls!$A$64:$E$74,3,FALSE()),"No")="Yes",1,0)</f>
        <v>0</v>
      </c>
      <c r="AG303" s="65" t="n">
        <f aca="false">IF(IFERROR(VLOOKUP(D303,Controls!$A$64:$E$74,4,FALSE()),"No")="Yes",1,0)</f>
        <v>0</v>
      </c>
      <c r="AH303" s="65" t="n">
        <f aca="false">IF(IFERROR(VLOOKUP(D303,Controls!$A$64:$E$74,5,FALSE()),"No")="Yes",1,0)</f>
        <v>0</v>
      </c>
      <c r="AI303" s="65" t="n">
        <f aca="false">IF(ISNUMBER(MATCH(D303,Controls!$A$64:$A$74,0)),1,0)</f>
        <v>1</v>
      </c>
      <c r="AJ303" s="65" t="n">
        <f aca="false">Q303-N303</f>
        <v>-14365.55</v>
      </c>
      <c r="AK303" s="65" t="n">
        <f aca="false">IF(AE303=1,MAX(0,N303-Q303),0)</f>
        <v>14365.55</v>
      </c>
      <c r="AL303" s="65" t="n">
        <f aca="false">IF(OR(V303="",V303=0),0,N303/V303)</f>
        <v>0.557399829224744</v>
      </c>
      <c r="AM303" s="65" t="n">
        <f aca="false">IF(OR(V303="",V303=0),0,1)</f>
        <v>1</v>
      </c>
      <c r="AN303" s="65" t="n">
        <f aca="false">IF(OR(E303="",F303=""),0,NETWORKDAYS(E303,F303,Ref!$K$2:$K$42))</f>
        <v>39</v>
      </c>
      <c r="AO303" s="65" t="n">
        <f aca="false">IF(L303="Renewal",1,0)</f>
        <v>0</v>
      </c>
      <c r="AP303" s="65" t="n">
        <f aca="false">AC303*AD303</f>
        <v>1</v>
      </c>
      <c r="AQ303" s="65" t="n">
        <f aca="false">IF(AND(G303&lt;&gt;"",'Historical Score'!$C$6&lt;&gt;""),IF(G303='Historical Score'!$C$6,1,0),0)</f>
        <v>1</v>
      </c>
      <c r="AR303" s="65" t="n">
        <f aca="false">IF(AND(L303&lt;&gt;"",'Historical Score'!$C$5&lt;&gt;""),IF(L303='Historical Score'!$C$5,1,0),0)</f>
        <v>1</v>
      </c>
      <c r="AS303" s="65" t="n">
        <f aca="false">IF(AND(Y303&lt;&gt;"",'Historical Score'!$C$7&lt;&gt;""),IF(Y303='Historical Score'!$C$7,1,0),0)</f>
        <v>0</v>
      </c>
      <c r="AT303" s="65" t="n">
        <f aca="false">IF(AND(K303&lt;&gt;"",'Historical Score'!$C$8&lt;&gt;""),IF(K303='Historical Score'!$C$8,1,0),0)</f>
        <v>1</v>
      </c>
      <c r="AU303" s="65" t="n">
        <f aca="false">IF(AND(J303&lt;&gt;"",'Historical Score'!$C$9&lt;&gt;""),IF(J303='Historical Score'!$C$9,1,0),0)</f>
        <v>0</v>
      </c>
      <c r="AV303" s="65" t="n">
        <f aca="false">AR303*AS303*AQ303</f>
        <v>0</v>
      </c>
      <c r="AW303" s="65" t="n">
        <f aca="false">AR303*AT303*AQ303</f>
        <v>1</v>
      </c>
      <c r="AX303" s="65" t="n">
        <f aca="false">AR303*AS303</f>
        <v>0</v>
      </c>
      <c r="AY303" s="65" t="n">
        <f aca="false">AR303*AT303</f>
        <v>1</v>
      </c>
      <c r="AZ303" s="65" t="n">
        <f aca="false">AR303*AQ303</f>
        <v>1</v>
      </c>
      <c r="BA303" s="65" t="n">
        <f aca="false">AR303</f>
        <v>1</v>
      </c>
      <c r="BB303" s="65" t="n">
        <f aca="false">1</f>
        <v>1</v>
      </c>
      <c r="BC303" s="65" t="n">
        <f aca="false">IF(AV303=1,1,IF(AW303=1,2,IF(AX303=1,3,IF(AY303=1,4,IF(AZ303=1,5,IF(BA303=1,6,7))))))</f>
        <v>2</v>
      </c>
      <c r="BD303" s="65" t="n">
        <f aca="false">IF(AD303=1,CHOOSE('Historical Score'!$C$29,AV303,AW303,AX303,AY303,AZ303,BA303,BB303),0)</f>
        <v>0</v>
      </c>
      <c r="BE303" s="65" t="str">
        <f aca="false">IF(BD303=1,COUNTIF($BD$2:BD303,1),"")</f>
        <v/>
      </c>
    </row>
    <row r="304" customFormat="false" ht="15" hidden="false" customHeight="false" outlineLevel="0" collapsed="false">
      <c r="A304" s="65" t="s">
        <v>1313</v>
      </c>
      <c r="B304" s="65" t="s">
        <v>1314</v>
      </c>
      <c r="C304" s="65" t="s">
        <v>1315</v>
      </c>
      <c r="D304" s="65" t="s">
        <v>371</v>
      </c>
      <c r="E304" s="112" t="n">
        <v>45953</v>
      </c>
      <c r="F304" s="112" t="n">
        <v>46191</v>
      </c>
      <c r="G304" s="65" t="n">
        <v>3</v>
      </c>
      <c r="H304" s="65" t="s">
        <v>1316</v>
      </c>
      <c r="I304" s="65" t="s">
        <v>1317</v>
      </c>
      <c r="J304" s="65" t="s">
        <v>61</v>
      </c>
      <c r="K304" s="65" t="s">
        <v>1204</v>
      </c>
      <c r="L304" s="65" t="s">
        <v>64</v>
      </c>
      <c r="M304" s="113" t="n">
        <v>1.49</v>
      </c>
      <c r="N304" s="114" t="n">
        <v>40000</v>
      </c>
      <c r="O304" s="114" t="n">
        <v>5600</v>
      </c>
      <c r="P304" s="114" t="n">
        <v>59600</v>
      </c>
      <c r="Q304" s="114" t="n">
        <v>59600</v>
      </c>
      <c r="R304" s="114" t="n">
        <v>0</v>
      </c>
      <c r="S304" s="115" t="n">
        <v>1</v>
      </c>
      <c r="T304" s="65" t="n">
        <v>32</v>
      </c>
      <c r="U304" s="65" t="n">
        <v>1</v>
      </c>
      <c r="V304" s="65" t="n">
        <v>108255.14</v>
      </c>
      <c r="W304" s="115" t="n">
        <v>0.0688</v>
      </c>
      <c r="X304" s="112"/>
      <c r="Y304" s="65" t="str">
        <f aca="false">IF(I304="","No SIC",IFERROR(VLOOKUP(I304,Ref!$A$2:$B$65,2,FALSE()),"Unclassified"))</f>
        <v>Apparel &amp; Textile Products</v>
      </c>
      <c r="Z304" s="65" t="str">
        <f aca="false">IF(T304="","",IF(T304&lt;12,"Daily","Weekly"))</f>
        <v>Weekly</v>
      </c>
      <c r="AA304" s="65" t="n">
        <f aca="false">IF(T304="",0,IF(T304&lt;12,T304*Controls!$B$29,T304*5))</f>
        <v>160</v>
      </c>
      <c r="AB304" s="65" t="n">
        <f aca="false">IF(E304="",0,NETWORKDAYS(E304,Controls!$B$36,Ref!$K$2:$K$42))</f>
        <v>211</v>
      </c>
      <c r="AC304" s="65" t="n">
        <f aca="false">IF(AND(AA304&gt;0,AB304&gt;=Controls!$B$39*AA304),1,0)</f>
        <v>1</v>
      </c>
      <c r="AD304" s="65" t="n">
        <f aca="false">IF(AND(E304&lt;&gt;"",E304&gt;=Controls!$B$37,E304&lt;=Controls!$B$38),1,0)</f>
        <v>1</v>
      </c>
      <c r="AE304" s="65" t="n">
        <f aca="false">IF(IFERROR(VLOOKUP(D304,Controls!$A$64:$E$74,2,FALSE()),"No")="Yes",1,0)</f>
        <v>0</v>
      </c>
      <c r="AF304" s="65" t="n">
        <f aca="false">IF(IFERROR(VLOOKUP(D304,Controls!$A$64:$E$74,3,FALSE()),"No")="Yes",1,0)</f>
        <v>1</v>
      </c>
      <c r="AG304" s="65" t="n">
        <f aca="false">IF(IFERROR(VLOOKUP(D304,Controls!$A$64:$E$74,4,FALSE()),"No")="Yes",1,0)</f>
        <v>1</v>
      </c>
      <c r="AH304" s="65" t="n">
        <f aca="false">IF(IFERROR(VLOOKUP(D304,Controls!$A$64:$E$74,5,FALSE()),"No")="Yes",1,0)</f>
        <v>0</v>
      </c>
      <c r="AI304" s="65" t="n">
        <f aca="false">IF(ISNUMBER(MATCH(D304,Controls!$A$64:$A$74,0)),1,0)</f>
        <v>1</v>
      </c>
      <c r="AJ304" s="65" t="n">
        <f aca="false">Q304-N304</f>
        <v>19600</v>
      </c>
      <c r="AK304" s="65" t="n">
        <f aca="false">IF(AE304=1,MAX(0,N304-Q304),0)</f>
        <v>0</v>
      </c>
      <c r="AL304" s="65" t="n">
        <f aca="false">IF(OR(V304="",V304=0),0,N304/V304)</f>
        <v>0.369497466817742</v>
      </c>
      <c r="AM304" s="65" t="n">
        <f aca="false">IF(OR(V304="",V304=0),0,1)</f>
        <v>1</v>
      </c>
      <c r="AN304" s="65" t="n">
        <f aca="false">IF(OR(E304="",F304=""),0,NETWORKDAYS(E304,F304,Ref!$K$2:$K$42))</f>
        <v>164</v>
      </c>
      <c r="AO304" s="65" t="n">
        <f aca="false">IF(L304="Renewal",1,0)</f>
        <v>0</v>
      </c>
      <c r="AP304" s="65" t="n">
        <f aca="false">AC304*AD304</f>
        <v>1</v>
      </c>
      <c r="AQ304" s="65" t="n">
        <f aca="false">IF(AND(G304&lt;&gt;"",'Historical Score'!$C$6&lt;&gt;""),IF(G304='Historical Score'!$C$6,1,0),0)</f>
        <v>0</v>
      </c>
      <c r="AR304" s="65" t="n">
        <f aca="false">IF(AND(L304&lt;&gt;"",'Historical Score'!$C$5&lt;&gt;""),IF(L304='Historical Score'!$C$5,1,0),0)</f>
        <v>1</v>
      </c>
      <c r="AS304" s="65" t="n">
        <f aca="false">IF(AND(Y304&lt;&gt;"",'Historical Score'!$C$7&lt;&gt;""),IF(Y304='Historical Score'!$C$7,1,0),0)</f>
        <v>0</v>
      </c>
      <c r="AT304" s="65" t="n">
        <f aca="false">IF(AND(K304&lt;&gt;"",'Historical Score'!$C$8&lt;&gt;""),IF(K304='Historical Score'!$C$8,1,0),0)</f>
        <v>0</v>
      </c>
      <c r="AU304" s="65" t="n">
        <f aca="false">IF(AND(J304&lt;&gt;"",'Historical Score'!$C$9&lt;&gt;""),IF(J304='Historical Score'!$C$9,1,0),0)</f>
        <v>1</v>
      </c>
      <c r="AV304" s="65" t="n">
        <f aca="false">AR304*AS304*AQ304</f>
        <v>0</v>
      </c>
      <c r="AW304" s="65" t="n">
        <f aca="false">AR304*AT304*AQ304</f>
        <v>0</v>
      </c>
      <c r="AX304" s="65" t="n">
        <f aca="false">AR304*AS304</f>
        <v>0</v>
      </c>
      <c r="AY304" s="65" t="n">
        <f aca="false">AR304*AT304</f>
        <v>0</v>
      </c>
      <c r="AZ304" s="65" t="n">
        <f aca="false">AR304*AQ304</f>
        <v>0</v>
      </c>
      <c r="BA304" s="65" t="n">
        <f aca="false">AR304</f>
        <v>1</v>
      </c>
      <c r="BB304" s="65" t="n">
        <f aca="false">1</f>
        <v>1</v>
      </c>
      <c r="BC304" s="65" t="n">
        <f aca="false">IF(AV304=1,1,IF(AW304=1,2,IF(AX304=1,3,IF(AY304=1,4,IF(AZ304=1,5,IF(BA304=1,6,7))))))</f>
        <v>6</v>
      </c>
      <c r="BD304" s="65" t="n">
        <f aca="false">IF(AD304=1,CHOOSE('Historical Score'!$C$29,AV304,AW304,AX304,AY304,AZ304,BA304,BB304),0)</f>
        <v>0</v>
      </c>
      <c r="BE304" s="65" t="str">
        <f aca="false">IF(BD304=1,COUNTIF($BD$2:BD304,1),"")</f>
        <v/>
      </c>
    </row>
    <row r="305" customFormat="false" ht="15" hidden="false" customHeight="false" outlineLevel="0" collapsed="false">
      <c r="A305" s="65" t="s">
        <v>1318</v>
      </c>
      <c r="B305" s="65" t="s">
        <v>757</v>
      </c>
      <c r="C305" s="65" t="s">
        <v>758</v>
      </c>
      <c r="D305" s="65" t="s">
        <v>295</v>
      </c>
      <c r="E305" s="112" t="n">
        <v>45953</v>
      </c>
      <c r="F305" s="112" t="n">
        <v>46253</v>
      </c>
      <c r="G305" s="65" t="n">
        <v>3</v>
      </c>
      <c r="H305" s="65" t="s">
        <v>409</v>
      </c>
      <c r="I305" s="65" t="s">
        <v>342</v>
      </c>
      <c r="J305" s="65" t="s">
        <v>61</v>
      </c>
      <c r="K305" s="65" t="s">
        <v>543</v>
      </c>
      <c r="L305" s="65" t="s">
        <v>320</v>
      </c>
      <c r="M305" s="113" t="n">
        <v>1.49</v>
      </c>
      <c r="N305" s="114" t="n">
        <v>35000</v>
      </c>
      <c r="O305" s="114" t="n">
        <v>4900</v>
      </c>
      <c r="P305" s="114" t="n">
        <v>52150</v>
      </c>
      <c r="Q305" s="114" t="n">
        <v>39610.36</v>
      </c>
      <c r="R305" s="114" t="n">
        <v>12539.64</v>
      </c>
      <c r="S305" s="115" t="n">
        <v>0.759546692233941</v>
      </c>
      <c r="T305" s="65" t="n">
        <v>4.262</v>
      </c>
      <c r="U305" s="65" t="n">
        <v>45</v>
      </c>
      <c r="V305" s="65" t="n">
        <v>81334.43</v>
      </c>
      <c r="W305" s="115" t="n">
        <v>0.0936</v>
      </c>
      <c r="X305" s="112" t="n">
        <v>44946</v>
      </c>
      <c r="Y305" s="65" t="str">
        <f aca="false">IF(I305="","No SIC",IFERROR(VLOOKUP(I305,Ref!$A$2:$B$65,2,FALSE()),"Unclassified"))</f>
        <v>Eating &amp; Drinking Places</v>
      </c>
      <c r="Z305" s="65" t="str">
        <f aca="false">IF(T305="","",IF(T305&lt;12,"Daily","Weekly"))</f>
        <v>Daily</v>
      </c>
      <c r="AA305" s="65" t="n">
        <f aca="false">IF(T305="",0,IF(T305&lt;12,T305*Controls!$B$29,T305*5))</f>
        <v>92.29361</v>
      </c>
      <c r="AB305" s="65" t="n">
        <f aca="false">IF(E305="",0,NETWORKDAYS(E305,Controls!$B$36,Ref!$K$2:$K$42))</f>
        <v>211</v>
      </c>
      <c r="AC305" s="65" t="n">
        <f aca="false">IF(AND(AA305&gt;0,AB305&gt;=Controls!$B$39*AA305),1,0)</f>
        <v>1</v>
      </c>
      <c r="AD305" s="65" t="n">
        <f aca="false">IF(AND(E305&lt;&gt;"",E305&gt;=Controls!$B$37,E305&lt;=Controls!$B$38),1,0)</f>
        <v>1</v>
      </c>
      <c r="AE305" s="65" t="n">
        <f aca="false">IF(IFERROR(VLOOKUP(D305,Controls!$A$64:$E$74,2,FALSE()),"No")="Yes",1,0)</f>
        <v>0</v>
      </c>
      <c r="AF305" s="65" t="n">
        <f aca="false">IF(IFERROR(VLOOKUP(D305,Controls!$A$64:$E$74,3,FALSE()),"No")="Yes",1,0)</f>
        <v>0</v>
      </c>
      <c r="AG305" s="65" t="n">
        <f aca="false">IF(IFERROR(VLOOKUP(D305,Controls!$A$64:$E$74,4,FALSE()),"No")="Yes",1,0)</f>
        <v>0</v>
      </c>
      <c r="AH305" s="65" t="n">
        <f aca="false">IF(IFERROR(VLOOKUP(D305,Controls!$A$64:$E$74,5,FALSE()),"No")="Yes",1,0)</f>
        <v>1</v>
      </c>
      <c r="AI305" s="65" t="n">
        <f aca="false">IF(ISNUMBER(MATCH(D305,Controls!$A$64:$A$74,0)),1,0)</f>
        <v>1</v>
      </c>
      <c r="AJ305" s="65" t="n">
        <f aca="false">Q305-N305</f>
        <v>4610.36</v>
      </c>
      <c r="AK305" s="65" t="n">
        <f aca="false">IF(AE305=1,MAX(0,N305-Q305),0)</f>
        <v>0</v>
      </c>
      <c r="AL305" s="65" t="n">
        <f aca="false">IF(OR(V305="",V305=0),0,N305/V305)</f>
        <v>0.430322066559021</v>
      </c>
      <c r="AM305" s="65" t="n">
        <f aca="false">IF(OR(V305="",V305=0),0,1)</f>
        <v>1</v>
      </c>
      <c r="AN305" s="65" t="n">
        <f aca="false">IF(OR(E305="",F305=""),0,NETWORKDAYS(E305,F305,Ref!$K$2:$K$42))</f>
        <v>207</v>
      </c>
      <c r="AO305" s="65" t="n">
        <f aca="false">IF(L305="Renewal",1,0)</f>
        <v>1</v>
      </c>
      <c r="AP305" s="65" t="n">
        <f aca="false">AC305*AD305</f>
        <v>1</v>
      </c>
      <c r="AQ305" s="65" t="n">
        <f aca="false">IF(AND(G305&lt;&gt;"",'Historical Score'!$C$6&lt;&gt;""),IF(G305='Historical Score'!$C$6,1,0),0)</f>
        <v>0</v>
      </c>
      <c r="AR305" s="65" t="n">
        <f aca="false">IF(AND(L305&lt;&gt;"",'Historical Score'!$C$5&lt;&gt;""),IF(L305='Historical Score'!$C$5,1,0),0)</f>
        <v>0</v>
      </c>
      <c r="AS305" s="65" t="n">
        <f aca="false">IF(AND(Y305&lt;&gt;"",'Historical Score'!$C$7&lt;&gt;""),IF(Y305='Historical Score'!$C$7,1,0),0)</f>
        <v>0</v>
      </c>
      <c r="AT305" s="65" t="n">
        <f aca="false">IF(AND(K305&lt;&gt;"",'Historical Score'!$C$8&lt;&gt;""),IF(K305='Historical Score'!$C$8,1,0),0)</f>
        <v>0</v>
      </c>
      <c r="AU305" s="65" t="n">
        <f aca="false">IF(AND(J305&lt;&gt;"",'Historical Score'!$C$9&lt;&gt;""),IF(J305='Historical Score'!$C$9,1,0),0)</f>
        <v>1</v>
      </c>
      <c r="AV305" s="65" t="n">
        <f aca="false">AR305*AS305*AQ305</f>
        <v>0</v>
      </c>
      <c r="AW305" s="65" t="n">
        <f aca="false">AR305*AT305*AQ305</f>
        <v>0</v>
      </c>
      <c r="AX305" s="65" t="n">
        <f aca="false">AR305*AS305</f>
        <v>0</v>
      </c>
      <c r="AY305" s="65" t="n">
        <f aca="false">AR305*AT305</f>
        <v>0</v>
      </c>
      <c r="AZ305" s="65" t="n">
        <f aca="false">AR305*AQ305</f>
        <v>0</v>
      </c>
      <c r="BA305" s="65" t="n">
        <f aca="false">AR305</f>
        <v>0</v>
      </c>
      <c r="BB305" s="65" t="n">
        <f aca="false">1</f>
        <v>1</v>
      </c>
      <c r="BC305" s="65" t="n">
        <f aca="false">IF(AV305=1,1,IF(AW305=1,2,IF(AX305=1,3,IF(AY305=1,4,IF(AZ305=1,5,IF(BA305=1,6,7))))))</f>
        <v>7</v>
      </c>
      <c r="BD305" s="65" t="n">
        <f aca="false">IF(AD305=1,CHOOSE('Historical Score'!$C$29,AV305,AW305,AX305,AY305,AZ305,BA305,BB305),0)</f>
        <v>0</v>
      </c>
      <c r="BE305" s="65" t="str">
        <f aca="false">IF(BD305=1,COUNTIF($BD$2:BD305,1),"")</f>
        <v/>
      </c>
    </row>
    <row r="306" customFormat="false" ht="15" hidden="false" customHeight="false" outlineLevel="0" collapsed="false">
      <c r="A306" s="65" t="s">
        <v>1319</v>
      </c>
      <c r="B306" s="65" t="s">
        <v>1320</v>
      </c>
      <c r="C306" s="65" t="s">
        <v>1320</v>
      </c>
      <c r="D306" s="65" t="s">
        <v>340</v>
      </c>
      <c r="E306" s="112" t="n">
        <v>45953</v>
      </c>
      <c r="F306" s="112" t="n">
        <v>46045</v>
      </c>
      <c r="G306" s="65" t="n">
        <v>6</v>
      </c>
      <c r="H306" s="65" t="s">
        <v>409</v>
      </c>
      <c r="I306" s="65" t="s">
        <v>342</v>
      </c>
      <c r="J306" s="65" t="s">
        <v>350</v>
      </c>
      <c r="K306" s="65" t="s">
        <v>55</v>
      </c>
      <c r="L306" s="65" t="s">
        <v>64</v>
      </c>
      <c r="M306" s="113" t="n">
        <v>1.49</v>
      </c>
      <c r="N306" s="114" t="n">
        <v>15000</v>
      </c>
      <c r="O306" s="114" t="n">
        <v>0</v>
      </c>
      <c r="P306" s="114" t="n">
        <v>22350</v>
      </c>
      <c r="Q306" s="114" t="n">
        <v>4190.4</v>
      </c>
      <c r="R306" s="114" t="n">
        <v>18159.6</v>
      </c>
      <c r="S306" s="115" t="n">
        <v>0.187489932885906</v>
      </c>
      <c r="T306" s="65" t="n">
        <v>16</v>
      </c>
      <c r="U306" s="65" t="n">
        <v>10</v>
      </c>
      <c r="V306" s="65" t="n">
        <v>49885.63</v>
      </c>
      <c r="W306" s="115" t="n">
        <v>0.112</v>
      </c>
      <c r="X306" s="112"/>
      <c r="Y306" s="65" t="str">
        <f aca="false">IF(I306="","No SIC",IFERROR(VLOOKUP(I306,Ref!$A$2:$B$65,2,FALSE()),"Unclassified"))</f>
        <v>Eating &amp; Drinking Places</v>
      </c>
      <c r="Z306" s="65" t="str">
        <f aca="false">IF(T306="","",IF(T306&lt;12,"Daily","Weekly"))</f>
        <v>Weekly</v>
      </c>
      <c r="AA306" s="65" t="n">
        <f aca="false">IF(T306="",0,IF(T306&lt;12,T306*Controls!$B$29,T306*5))</f>
        <v>80</v>
      </c>
      <c r="AB306" s="65" t="n">
        <f aca="false">IF(E306="",0,NETWORKDAYS(E306,Controls!$B$36,Ref!$K$2:$K$42))</f>
        <v>211</v>
      </c>
      <c r="AC306" s="65" t="n">
        <f aca="false">IF(AND(AA306&gt;0,AB306&gt;=Controls!$B$39*AA306),1,0)</f>
        <v>1</v>
      </c>
      <c r="AD306" s="65" t="n">
        <f aca="false">IF(AND(E306&lt;&gt;"",E306&gt;=Controls!$B$37,E306&lt;=Controls!$B$38),1,0)</f>
        <v>1</v>
      </c>
      <c r="AE306" s="65" t="n">
        <f aca="false">IF(IFERROR(VLOOKUP(D306,Controls!$A$64:$E$74,2,FALSE()),"No")="Yes",1,0)</f>
        <v>1</v>
      </c>
      <c r="AF306" s="65" t="n">
        <f aca="false">IF(IFERROR(VLOOKUP(D306,Controls!$A$64:$E$74,3,FALSE()),"No")="Yes",1,0)</f>
        <v>0</v>
      </c>
      <c r="AG306" s="65" t="n">
        <f aca="false">IF(IFERROR(VLOOKUP(D306,Controls!$A$64:$E$74,4,FALSE()),"No")="Yes",1,0)</f>
        <v>0</v>
      </c>
      <c r="AH306" s="65" t="n">
        <f aca="false">IF(IFERROR(VLOOKUP(D306,Controls!$A$64:$E$74,5,FALSE()),"No")="Yes",1,0)</f>
        <v>0</v>
      </c>
      <c r="AI306" s="65" t="n">
        <f aca="false">IF(ISNUMBER(MATCH(D306,Controls!$A$64:$A$74,0)),1,0)</f>
        <v>1</v>
      </c>
      <c r="AJ306" s="65" t="n">
        <f aca="false">Q306-N306</f>
        <v>-10809.6</v>
      </c>
      <c r="AK306" s="65" t="n">
        <f aca="false">IF(AE306=1,MAX(0,N306-Q306),0)</f>
        <v>10809.6</v>
      </c>
      <c r="AL306" s="65" t="n">
        <f aca="false">IF(OR(V306="",V306=0),0,N306/V306)</f>
        <v>0.300687793258299</v>
      </c>
      <c r="AM306" s="65" t="n">
        <f aca="false">IF(OR(V306="",V306=0),0,1)</f>
        <v>1</v>
      </c>
      <c r="AN306" s="65" t="n">
        <f aca="false">IF(OR(E306="",F306=""),0,NETWORKDAYS(E306,F306,Ref!$K$2:$K$42))</f>
        <v>62</v>
      </c>
      <c r="AO306" s="65" t="n">
        <f aca="false">IF(L306="Renewal",1,0)</f>
        <v>0</v>
      </c>
      <c r="AP306" s="65" t="n">
        <f aca="false">AC306*AD306</f>
        <v>1</v>
      </c>
      <c r="AQ306" s="65" t="n">
        <f aca="false">IF(AND(G306&lt;&gt;"",'Historical Score'!$C$6&lt;&gt;""),IF(G306='Historical Score'!$C$6,1,0),0)</f>
        <v>0</v>
      </c>
      <c r="AR306" s="65" t="n">
        <f aca="false">IF(AND(L306&lt;&gt;"",'Historical Score'!$C$5&lt;&gt;""),IF(L306='Historical Score'!$C$5,1,0),0)</f>
        <v>1</v>
      </c>
      <c r="AS306" s="65" t="n">
        <f aca="false">IF(AND(Y306&lt;&gt;"",'Historical Score'!$C$7&lt;&gt;""),IF(Y306='Historical Score'!$C$7,1,0),0)</f>
        <v>0</v>
      </c>
      <c r="AT306" s="65" t="n">
        <f aca="false">IF(AND(K306&lt;&gt;"",'Historical Score'!$C$8&lt;&gt;""),IF(K306='Historical Score'!$C$8,1,0),0)</f>
        <v>1</v>
      </c>
      <c r="AU306" s="65" t="n">
        <f aca="false">IF(AND(J306&lt;&gt;"",'Historical Score'!$C$9&lt;&gt;""),IF(J306='Historical Score'!$C$9,1,0),0)</f>
        <v>0</v>
      </c>
      <c r="AV306" s="65" t="n">
        <f aca="false">AR306*AS306*AQ306</f>
        <v>0</v>
      </c>
      <c r="AW306" s="65" t="n">
        <f aca="false">AR306*AT306*AQ306</f>
        <v>0</v>
      </c>
      <c r="AX306" s="65" t="n">
        <f aca="false">AR306*AS306</f>
        <v>0</v>
      </c>
      <c r="AY306" s="65" t="n">
        <f aca="false">AR306*AT306</f>
        <v>1</v>
      </c>
      <c r="AZ306" s="65" t="n">
        <f aca="false">AR306*AQ306</f>
        <v>0</v>
      </c>
      <c r="BA306" s="65" t="n">
        <f aca="false">AR306</f>
        <v>1</v>
      </c>
      <c r="BB306" s="65" t="n">
        <f aca="false">1</f>
        <v>1</v>
      </c>
      <c r="BC306" s="65" t="n">
        <f aca="false">IF(AV306=1,1,IF(AW306=1,2,IF(AX306=1,3,IF(AY306=1,4,IF(AZ306=1,5,IF(BA306=1,6,7))))))</f>
        <v>4</v>
      </c>
      <c r="BD306" s="65" t="n">
        <f aca="false">IF(AD306=1,CHOOSE('Historical Score'!$C$29,AV306,AW306,AX306,AY306,AZ306,BA306,BB306),0)</f>
        <v>0</v>
      </c>
      <c r="BE306" s="65" t="str">
        <f aca="false">IF(BD306=1,COUNTIF($BD$2:BD306,1),"")</f>
        <v/>
      </c>
    </row>
    <row r="307" customFormat="false" ht="15" hidden="false" customHeight="false" outlineLevel="0" collapsed="false">
      <c r="A307" s="65" t="s">
        <v>1321</v>
      </c>
      <c r="B307" s="65" t="s">
        <v>670</v>
      </c>
      <c r="C307" s="65" t="s">
        <v>670</v>
      </c>
      <c r="D307" s="65" t="s">
        <v>371</v>
      </c>
      <c r="E307" s="112" t="n">
        <v>45953</v>
      </c>
      <c r="F307" s="112" t="n">
        <v>46101</v>
      </c>
      <c r="G307" s="65" t="n">
        <v>5</v>
      </c>
      <c r="H307" s="65" t="s">
        <v>409</v>
      </c>
      <c r="I307" s="65" t="s">
        <v>342</v>
      </c>
      <c r="J307" s="65" t="s">
        <v>671</v>
      </c>
      <c r="K307" s="65" t="s">
        <v>672</v>
      </c>
      <c r="L307" s="65" t="s">
        <v>320</v>
      </c>
      <c r="M307" s="113" t="n">
        <v>1.45</v>
      </c>
      <c r="N307" s="114" t="n">
        <v>22000</v>
      </c>
      <c r="O307" s="114" t="n">
        <v>2640</v>
      </c>
      <c r="P307" s="114" t="n">
        <v>31900</v>
      </c>
      <c r="Q307" s="114" t="n">
        <v>31900</v>
      </c>
      <c r="R307" s="114" t="n">
        <v>0</v>
      </c>
      <c r="S307" s="115" t="n">
        <v>1</v>
      </c>
      <c r="T307" s="65" t="n">
        <v>3.77</v>
      </c>
      <c r="U307" s="65" t="n">
        <v>1</v>
      </c>
      <c r="V307" s="65" t="n">
        <v>82755.78</v>
      </c>
      <c r="W307" s="115" t="n">
        <v>0.1026</v>
      </c>
      <c r="X307" s="112" t="n">
        <v>44378</v>
      </c>
      <c r="Y307" s="65" t="str">
        <f aca="false">IF(I307="","No SIC",IFERROR(VLOOKUP(I307,Ref!$A$2:$B$65,2,FALSE()),"Unclassified"))</f>
        <v>Eating &amp; Drinking Places</v>
      </c>
      <c r="Z307" s="65" t="str">
        <f aca="false">IF(T307="","",IF(T307&lt;12,"Daily","Weekly"))</f>
        <v>Daily</v>
      </c>
      <c r="AA307" s="65" t="n">
        <f aca="false">IF(T307="",0,IF(T307&lt;12,T307*Controls!$B$29,T307*5))</f>
        <v>81.63935</v>
      </c>
      <c r="AB307" s="65" t="n">
        <f aca="false">IF(E307="",0,NETWORKDAYS(E307,Controls!$B$36,Ref!$K$2:$K$42))</f>
        <v>211</v>
      </c>
      <c r="AC307" s="65" t="n">
        <f aca="false">IF(AND(AA307&gt;0,AB307&gt;=Controls!$B$39*AA307),1,0)</f>
        <v>1</v>
      </c>
      <c r="AD307" s="65" t="n">
        <f aca="false">IF(AND(E307&lt;&gt;"",E307&gt;=Controls!$B$37,E307&lt;=Controls!$B$38),1,0)</f>
        <v>1</v>
      </c>
      <c r="AE307" s="65" t="n">
        <f aca="false">IF(IFERROR(VLOOKUP(D307,Controls!$A$64:$E$74,2,FALSE()),"No")="Yes",1,0)</f>
        <v>0</v>
      </c>
      <c r="AF307" s="65" t="n">
        <f aca="false">IF(IFERROR(VLOOKUP(D307,Controls!$A$64:$E$74,3,FALSE()),"No")="Yes",1,0)</f>
        <v>1</v>
      </c>
      <c r="AG307" s="65" t="n">
        <f aca="false">IF(IFERROR(VLOOKUP(D307,Controls!$A$64:$E$74,4,FALSE()),"No")="Yes",1,0)</f>
        <v>1</v>
      </c>
      <c r="AH307" s="65" t="n">
        <f aca="false">IF(IFERROR(VLOOKUP(D307,Controls!$A$64:$E$74,5,FALSE()),"No")="Yes",1,0)</f>
        <v>0</v>
      </c>
      <c r="AI307" s="65" t="n">
        <f aca="false">IF(ISNUMBER(MATCH(D307,Controls!$A$64:$A$74,0)),1,0)</f>
        <v>1</v>
      </c>
      <c r="AJ307" s="65" t="n">
        <f aca="false">Q307-N307</f>
        <v>9900</v>
      </c>
      <c r="AK307" s="65" t="n">
        <f aca="false">IF(AE307=1,MAX(0,N307-Q307),0)</f>
        <v>0</v>
      </c>
      <c r="AL307" s="65" t="n">
        <f aca="false">IF(OR(V307="",V307=0),0,N307/V307)</f>
        <v>0.265842458375717</v>
      </c>
      <c r="AM307" s="65" t="n">
        <f aca="false">IF(OR(V307="",V307=0),0,1)</f>
        <v>1</v>
      </c>
      <c r="AN307" s="65" t="n">
        <f aca="false">IF(OR(E307="",F307=""),0,NETWORKDAYS(E307,F307,Ref!$K$2:$K$42))</f>
        <v>101</v>
      </c>
      <c r="AO307" s="65" t="n">
        <f aca="false">IF(L307="Renewal",1,0)</f>
        <v>1</v>
      </c>
      <c r="AP307" s="65" t="n">
        <f aca="false">AC307*AD307</f>
        <v>1</v>
      </c>
      <c r="AQ307" s="65" t="n">
        <f aca="false">IF(AND(G307&lt;&gt;"",'Historical Score'!$C$6&lt;&gt;""),IF(G307='Historical Score'!$C$6,1,0),0)</f>
        <v>0</v>
      </c>
      <c r="AR307" s="65" t="n">
        <f aca="false">IF(AND(L307&lt;&gt;"",'Historical Score'!$C$5&lt;&gt;""),IF(L307='Historical Score'!$C$5,1,0),0)</f>
        <v>0</v>
      </c>
      <c r="AS307" s="65" t="n">
        <f aca="false">IF(AND(Y307&lt;&gt;"",'Historical Score'!$C$7&lt;&gt;""),IF(Y307='Historical Score'!$C$7,1,0),0)</f>
        <v>0</v>
      </c>
      <c r="AT307" s="65" t="n">
        <f aca="false">IF(AND(K307&lt;&gt;"",'Historical Score'!$C$8&lt;&gt;""),IF(K307='Historical Score'!$C$8,1,0),0)</f>
        <v>0</v>
      </c>
      <c r="AU307" s="65" t="n">
        <f aca="false">IF(AND(J307&lt;&gt;"",'Historical Score'!$C$9&lt;&gt;""),IF(J307='Historical Score'!$C$9,1,0),0)</f>
        <v>0</v>
      </c>
      <c r="AV307" s="65" t="n">
        <f aca="false">AR307*AS307*AQ307</f>
        <v>0</v>
      </c>
      <c r="AW307" s="65" t="n">
        <f aca="false">AR307*AT307*AQ307</f>
        <v>0</v>
      </c>
      <c r="AX307" s="65" t="n">
        <f aca="false">AR307*AS307</f>
        <v>0</v>
      </c>
      <c r="AY307" s="65" t="n">
        <f aca="false">AR307*AT307</f>
        <v>0</v>
      </c>
      <c r="AZ307" s="65" t="n">
        <f aca="false">AR307*AQ307</f>
        <v>0</v>
      </c>
      <c r="BA307" s="65" t="n">
        <f aca="false">AR307</f>
        <v>0</v>
      </c>
      <c r="BB307" s="65" t="n">
        <f aca="false">1</f>
        <v>1</v>
      </c>
      <c r="BC307" s="65" t="n">
        <f aca="false">IF(AV307=1,1,IF(AW307=1,2,IF(AX307=1,3,IF(AY307=1,4,IF(AZ307=1,5,IF(BA307=1,6,7))))))</f>
        <v>7</v>
      </c>
      <c r="BD307" s="65" t="n">
        <f aca="false">IF(AD307=1,CHOOSE('Historical Score'!$C$29,AV307,AW307,AX307,AY307,AZ307,BA307,BB307),0)</f>
        <v>0</v>
      </c>
      <c r="BE307" s="65" t="str">
        <f aca="false">IF(BD307=1,COUNTIF($BD$2:BD307,1),"")</f>
        <v/>
      </c>
    </row>
    <row r="308" customFormat="false" ht="15" hidden="false" customHeight="false" outlineLevel="0" collapsed="false">
      <c r="A308" s="65" t="s">
        <v>1322</v>
      </c>
      <c r="B308" s="65" t="s">
        <v>1323</v>
      </c>
      <c r="C308" s="65" t="s">
        <v>1323</v>
      </c>
      <c r="D308" s="65" t="s">
        <v>371</v>
      </c>
      <c r="E308" s="112" t="n">
        <v>45954</v>
      </c>
      <c r="F308" s="112" t="n">
        <v>46168</v>
      </c>
      <c r="G308" s="65" t="n">
        <v>3</v>
      </c>
      <c r="H308" s="65" t="s">
        <v>1324</v>
      </c>
      <c r="I308" s="65" t="s">
        <v>1325</v>
      </c>
      <c r="J308" s="65" t="s">
        <v>555</v>
      </c>
      <c r="K308" s="65" t="s">
        <v>983</v>
      </c>
      <c r="L308" s="65" t="s">
        <v>64</v>
      </c>
      <c r="M308" s="113" t="n">
        <v>1.459</v>
      </c>
      <c r="N308" s="114" t="n">
        <v>150000</v>
      </c>
      <c r="O308" s="114" t="n">
        <v>18000</v>
      </c>
      <c r="P308" s="114" t="n">
        <v>218850</v>
      </c>
      <c r="Q308" s="114" t="n">
        <v>218850</v>
      </c>
      <c r="R308" s="114" t="n">
        <v>0</v>
      </c>
      <c r="S308" s="115" t="n">
        <v>1</v>
      </c>
      <c r="T308" s="65" t="n">
        <v>27</v>
      </c>
      <c r="U308" s="65" t="n">
        <v>7</v>
      </c>
      <c r="V308" s="65" t="n">
        <v>1194272.49</v>
      </c>
      <c r="W308" s="115" t="n">
        <v>0.0271</v>
      </c>
      <c r="X308" s="112" t="n">
        <v>44958</v>
      </c>
      <c r="Y308" s="65" t="str">
        <f aca="false">IF(I308="","No SIC",IFERROR(VLOOKUP(I308,Ref!$A$2:$B$65,2,FALSE()),"Unclassified"))</f>
        <v>Administration of Economic Programs</v>
      </c>
      <c r="Z308" s="65" t="str">
        <f aca="false">IF(T308="","",IF(T308&lt;12,"Daily","Weekly"))</f>
        <v>Weekly</v>
      </c>
      <c r="AA308" s="65" t="n">
        <f aca="false">IF(T308="",0,IF(T308&lt;12,T308*Controls!$B$29,T308*5))</f>
        <v>135</v>
      </c>
      <c r="AB308" s="65" t="n">
        <f aca="false">IF(E308="",0,NETWORKDAYS(E308,Controls!$B$36,Ref!$K$2:$K$42))</f>
        <v>210</v>
      </c>
      <c r="AC308" s="65" t="n">
        <f aca="false">IF(AND(AA308&gt;0,AB308&gt;=Controls!$B$39*AA308),1,0)</f>
        <v>1</v>
      </c>
      <c r="AD308" s="65" t="n">
        <f aca="false">IF(AND(E308&lt;&gt;"",E308&gt;=Controls!$B$37,E308&lt;=Controls!$B$38),1,0)</f>
        <v>1</v>
      </c>
      <c r="AE308" s="65" t="n">
        <f aca="false">IF(IFERROR(VLOOKUP(D308,Controls!$A$64:$E$74,2,FALSE()),"No")="Yes",1,0)</f>
        <v>0</v>
      </c>
      <c r="AF308" s="65" t="n">
        <f aca="false">IF(IFERROR(VLOOKUP(D308,Controls!$A$64:$E$74,3,FALSE()),"No")="Yes",1,0)</f>
        <v>1</v>
      </c>
      <c r="AG308" s="65" t="n">
        <f aca="false">IF(IFERROR(VLOOKUP(D308,Controls!$A$64:$E$74,4,FALSE()),"No")="Yes",1,0)</f>
        <v>1</v>
      </c>
      <c r="AH308" s="65" t="n">
        <f aca="false">IF(IFERROR(VLOOKUP(D308,Controls!$A$64:$E$74,5,FALSE()),"No")="Yes",1,0)</f>
        <v>0</v>
      </c>
      <c r="AI308" s="65" t="n">
        <f aca="false">IF(ISNUMBER(MATCH(D308,Controls!$A$64:$A$74,0)),1,0)</f>
        <v>1</v>
      </c>
      <c r="AJ308" s="65" t="n">
        <f aca="false">Q308-N308</f>
        <v>68850</v>
      </c>
      <c r="AK308" s="65" t="n">
        <f aca="false">IF(AE308=1,MAX(0,N308-Q308),0)</f>
        <v>0</v>
      </c>
      <c r="AL308" s="65" t="n">
        <f aca="false">IF(OR(V308="",V308=0),0,N308/V308)</f>
        <v>0.125599476883203</v>
      </c>
      <c r="AM308" s="65" t="n">
        <f aca="false">IF(OR(V308="",V308=0),0,1)</f>
        <v>1</v>
      </c>
      <c r="AN308" s="65" t="n">
        <f aca="false">IF(OR(E308="",F308=""),0,NETWORKDAYS(E308,F308,Ref!$K$2:$K$42))</f>
        <v>146</v>
      </c>
      <c r="AO308" s="65" t="n">
        <f aca="false">IF(L308="Renewal",1,0)</f>
        <v>0</v>
      </c>
      <c r="AP308" s="65" t="n">
        <f aca="false">AC308*AD308</f>
        <v>1</v>
      </c>
      <c r="AQ308" s="65" t="n">
        <f aca="false">IF(AND(G308&lt;&gt;"",'Historical Score'!$C$6&lt;&gt;""),IF(G308='Historical Score'!$C$6,1,0),0)</f>
        <v>0</v>
      </c>
      <c r="AR308" s="65" t="n">
        <f aca="false">IF(AND(L308&lt;&gt;"",'Historical Score'!$C$5&lt;&gt;""),IF(L308='Historical Score'!$C$5,1,0),0)</f>
        <v>1</v>
      </c>
      <c r="AS308" s="65" t="n">
        <f aca="false">IF(AND(Y308&lt;&gt;"",'Historical Score'!$C$7&lt;&gt;""),IF(Y308='Historical Score'!$C$7,1,0),0)</f>
        <v>0</v>
      </c>
      <c r="AT308" s="65" t="n">
        <f aca="false">IF(AND(K308&lt;&gt;"",'Historical Score'!$C$8&lt;&gt;""),IF(K308='Historical Score'!$C$8,1,0),0)</f>
        <v>0</v>
      </c>
      <c r="AU308" s="65" t="n">
        <f aca="false">IF(AND(J308&lt;&gt;"",'Historical Score'!$C$9&lt;&gt;""),IF(J308='Historical Score'!$C$9,1,0),0)</f>
        <v>0</v>
      </c>
      <c r="AV308" s="65" t="n">
        <f aca="false">AR308*AS308*AQ308</f>
        <v>0</v>
      </c>
      <c r="AW308" s="65" t="n">
        <f aca="false">AR308*AT308*AQ308</f>
        <v>0</v>
      </c>
      <c r="AX308" s="65" t="n">
        <f aca="false">AR308*AS308</f>
        <v>0</v>
      </c>
      <c r="AY308" s="65" t="n">
        <f aca="false">AR308*AT308</f>
        <v>0</v>
      </c>
      <c r="AZ308" s="65" t="n">
        <f aca="false">AR308*AQ308</f>
        <v>0</v>
      </c>
      <c r="BA308" s="65" t="n">
        <f aca="false">AR308</f>
        <v>1</v>
      </c>
      <c r="BB308" s="65" t="n">
        <f aca="false">1</f>
        <v>1</v>
      </c>
      <c r="BC308" s="65" t="n">
        <f aca="false">IF(AV308=1,1,IF(AW308=1,2,IF(AX308=1,3,IF(AY308=1,4,IF(AZ308=1,5,IF(BA308=1,6,7))))))</f>
        <v>6</v>
      </c>
      <c r="BD308" s="65" t="n">
        <f aca="false">IF(AD308=1,CHOOSE('Historical Score'!$C$29,AV308,AW308,AX308,AY308,AZ308,BA308,BB308),0)</f>
        <v>0</v>
      </c>
      <c r="BE308" s="65" t="str">
        <f aca="false">IF(BD308=1,COUNTIF($BD$2:BD308,1),"")</f>
        <v/>
      </c>
    </row>
    <row r="309" customFormat="false" ht="15" hidden="false" customHeight="false" outlineLevel="0" collapsed="false">
      <c r="A309" s="65" t="s">
        <v>1326</v>
      </c>
      <c r="B309" s="65" t="s">
        <v>1327</v>
      </c>
      <c r="C309" s="65" t="s">
        <v>1328</v>
      </c>
      <c r="D309" s="65" t="s">
        <v>340</v>
      </c>
      <c r="E309" s="112" t="n">
        <v>45954</v>
      </c>
      <c r="F309" s="112" t="n">
        <v>46038</v>
      </c>
      <c r="G309" s="65" t="n">
        <v>3</v>
      </c>
      <c r="H309" s="65" t="s">
        <v>1329</v>
      </c>
      <c r="I309" s="65" t="s">
        <v>1330</v>
      </c>
      <c r="J309" s="65" t="s">
        <v>420</v>
      </c>
      <c r="K309" s="65" t="s">
        <v>961</v>
      </c>
      <c r="L309" s="65" t="s">
        <v>64</v>
      </c>
      <c r="M309" s="113" t="n">
        <v>1.4</v>
      </c>
      <c r="N309" s="114" t="n">
        <v>150000</v>
      </c>
      <c r="O309" s="114" t="n">
        <v>19500</v>
      </c>
      <c r="P309" s="114" t="n">
        <v>210000</v>
      </c>
      <c r="Q309" s="114" t="n">
        <v>42962.67</v>
      </c>
      <c r="R309" s="114" t="n">
        <v>167037.33</v>
      </c>
      <c r="S309" s="115" t="n">
        <v>0.204584142857143</v>
      </c>
      <c r="T309" s="65" t="n">
        <v>44</v>
      </c>
      <c r="U309" s="65" t="n">
        <v>2</v>
      </c>
      <c r="V309" s="65" t="n">
        <v>349077.34</v>
      </c>
      <c r="W309" s="115" t="n">
        <v>0.0547</v>
      </c>
      <c r="X309" s="112" t="n">
        <v>43466</v>
      </c>
      <c r="Y309" s="65" t="str">
        <f aca="false">IF(I309="","No SIC",IFERROR(VLOOKUP(I309,Ref!$A$2:$B$65,2,FALSE()),"Unclassified"))</f>
        <v>Building Materials &amp; Garden Supply</v>
      </c>
      <c r="Z309" s="65" t="str">
        <f aca="false">IF(T309="","",IF(T309&lt;12,"Daily","Weekly"))</f>
        <v>Weekly</v>
      </c>
      <c r="AA309" s="65" t="n">
        <f aca="false">IF(T309="",0,IF(T309&lt;12,T309*Controls!$B$29,T309*5))</f>
        <v>220</v>
      </c>
      <c r="AB309" s="65" t="n">
        <f aca="false">IF(E309="",0,NETWORKDAYS(E309,Controls!$B$36,Ref!$K$2:$K$42))</f>
        <v>210</v>
      </c>
      <c r="AC309" s="65" t="n">
        <f aca="false">IF(AND(AA309&gt;0,AB309&gt;=Controls!$B$39*AA309),1,0)</f>
        <v>0</v>
      </c>
      <c r="AD309" s="65" t="n">
        <f aca="false">IF(AND(E309&lt;&gt;"",E309&gt;=Controls!$B$37,E309&lt;=Controls!$B$38),1,0)</f>
        <v>1</v>
      </c>
      <c r="AE309" s="65" t="n">
        <f aca="false">IF(IFERROR(VLOOKUP(D309,Controls!$A$64:$E$74,2,FALSE()),"No")="Yes",1,0)</f>
        <v>1</v>
      </c>
      <c r="AF309" s="65" t="n">
        <f aca="false">IF(IFERROR(VLOOKUP(D309,Controls!$A$64:$E$74,3,FALSE()),"No")="Yes",1,0)</f>
        <v>0</v>
      </c>
      <c r="AG309" s="65" t="n">
        <f aca="false">IF(IFERROR(VLOOKUP(D309,Controls!$A$64:$E$74,4,FALSE()),"No")="Yes",1,0)</f>
        <v>0</v>
      </c>
      <c r="AH309" s="65" t="n">
        <f aca="false">IF(IFERROR(VLOOKUP(D309,Controls!$A$64:$E$74,5,FALSE()),"No")="Yes",1,0)</f>
        <v>0</v>
      </c>
      <c r="AI309" s="65" t="n">
        <f aca="false">IF(ISNUMBER(MATCH(D309,Controls!$A$64:$A$74,0)),1,0)</f>
        <v>1</v>
      </c>
      <c r="AJ309" s="65" t="n">
        <f aca="false">Q309-N309</f>
        <v>-107037.33</v>
      </c>
      <c r="AK309" s="65" t="n">
        <f aca="false">IF(AE309=1,MAX(0,N309-Q309),0)</f>
        <v>107037.33</v>
      </c>
      <c r="AL309" s="65" t="n">
        <f aca="false">IF(OR(V309="",V309=0),0,N309/V309)</f>
        <v>0.42970420251283</v>
      </c>
      <c r="AM309" s="65" t="n">
        <f aca="false">IF(OR(V309="",V309=0),0,1)</f>
        <v>1</v>
      </c>
      <c r="AN309" s="65" t="n">
        <f aca="false">IF(OR(E309="",F309=""),0,NETWORKDAYS(E309,F309,Ref!$K$2:$K$42))</f>
        <v>57</v>
      </c>
      <c r="AO309" s="65" t="n">
        <f aca="false">IF(L309="Renewal",1,0)</f>
        <v>0</v>
      </c>
      <c r="AP309" s="65" t="n">
        <f aca="false">AC309*AD309</f>
        <v>0</v>
      </c>
      <c r="AQ309" s="65" t="n">
        <f aca="false">IF(AND(G309&lt;&gt;"",'Historical Score'!$C$6&lt;&gt;""),IF(G309='Historical Score'!$C$6,1,0),0)</f>
        <v>0</v>
      </c>
      <c r="AR309" s="65" t="n">
        <f aca="false">IF(AND(L309&lt;&gt;"",'Historical Score'!$C$5&lt;&gt;""),IF(L309='Historical Score'!$C$5,1,0),0)</f>
        <v>1</v>
      </c>
      <c r="AS309" s="65" t="n">
        <f aca="false">IF(AND(Y309&lt;&gt;"",'Historical Score'!$C$7&lt;&gt;""),IF(Y309='Historical Score'!$C$7,1,0),0)</f>
        <v>0</v>
      </c>
      <c r="AT309" s="65" t="n">
        <f aca="false">IF(AND(K309&lt;&gt;"",'Historical Score'!$C$8&lt;&gt;""),IF(K309='Historical Score'!$C$8,1,0),0)</f>
        <v>0</v>
      </c>
      <c r="AU309" s="65" t="n">
        <f aca="false">IF(AND(J309&lt;&gt;"",'Historical Score'!$C$9&lt;&gt;""),IF(J309='Historical Score'!$C$9,1,0),0)</f>
        <v>0</v>
      </c>
      <c r="AV309" s="65" t="n">
        <f aca="false">AR309*AS309*AQ309</f>
        <v>0</v>
      </c>
      <c r="AW309" s="65" t="n">
        <f aca="false">AR309*AT309*AQ309</f>
        <v>0</v>
      </c>
      <c r="AX309" s="65" t="n">
        <f aca="false">AR309*AS309</f>
        <v>0</v>
      </c>
      <c r="AY309" s="65" t="n">
        <f aca="false">AR309*AT309</f>
        <v>0</v>
      </c>
      <c r="AZ309" s="65" t="n">
        <f aca="false">AR309*AQ309</f>
        <v>0</v>
      </c>
      <c r="BA309" s="65" t="n">
        <f aca="false">AR309</f>
        <v>1</v>
      </c>
      <c r="BB309" s="65" t="n">
        <f aca="false">1</f>
        <v>1</v>
      </c>
      <c r="BC309" s="65" t="n">
        <f aca="false">IF(AV309=1,1,IF(AW309=1,2,IF(AX309=1,3,IF(AY309=1,4,IF(AZ309=1,5,IF(BA309=1,6,7))))))</f>
        <v>6</v>
      </c>
      <c r="BD309" s="65" t="n">
        <f aca="false">IF(AD309=1,CHOOSE('Historical Score'!$C$29,AV309,AW309,AX309,AY309,AZ309,BA309,BB309),0)</f>
        <v>0</v>
      </c>
      <c r="BE309" s="65" t="str">
        <f aca="false">IF(BD309=1,COUNTIF($BD$2:BD309,1),"")</f>
        <v/>
      </c>
    </row>
    <row r="310" customFormat="false" ht="15" hidden="false" customHeight="false" outlineLevel="0" collapsed="false">
      <c r="A310" s="65" t="s">
        <v>1331</v>
      </c>
      <c r="B310" s="65" t="s">
        <v>708</v>
      </c>
      <c r="C310" s="65" t="s">
        <v>709</v>
      </c>
      <c r="D310" s="65" t="s">
        <v>371</v>
      </c>
      <c r="E310" s="112" t="n">
        <v>45957</v>
      </c>
      <c r="F310" s="112" t="n">
        <v>46076</v>
      </c>
      <c r="G310" s="65" t="n">
        <v>2</v>
      </c>
      <c r="H310" s="65" t="s">
        <v>748</v>
      </c>
      <c r="I310" s="65" t="s">
        <v>619</v>
      </c>
      <c r="J310" s="65" t="s">
        <v>452</v>
      </c>
      <c r="K310" s="65" t="s">
        <v>501</v>
      </c>
      <c r="L310" s="65" t="s">
        <v>64</v>
      </c>
      <c r="M310" s="113" t="n">
        <v>1.49</v>
      </c>
      <c r="N310" s="114" t="n">
        <v>7500</v>
      </c>
      <c r="O310" s="114" t="n">
        <v>1050</v>
      </c>
      <c r="P310" s="114" t="n">
        <v>11175</v>
      </c>
      <c r="Q310" s="114" t="n">
        <v>11175</v>
      </c>
      <c r="R310" s="114" t="n">
        <v>0</v>
      </c>
      <c r="S310" s="115" t="n">
        <v>1</v>
      </c>
      <c r="T310" s="65" t="n">
        <v>2.623</v>
      </c>
      <c r="U310" s="65" t="n">
        <v>0</v>
      </c>
      <c r="V310" s="65" t="n">
        <v>17544.28</v>
      </c>
      <c r="W310" s="115" t="n">
        <v>0.1672</v>
      </c>
      <c r="X310" s="112" t="n">
        <v>43757</v>
      </c>
      <c r="Y310" s="65" t="str">
        <f aca="false">IF(I310="","No SIC",IFERROR(VLOOKUP(I310,Ref!$A$2:$B$65,2,FALSE()),"Unclassified"))</f>
        <v>Miscellaneous Retail</v>
      </c>
      <c r="Z310" s="65" t="str">
        <f aca="false">IF(T310="","",IF(T310&lt;12,"Daily","Weekly"))</f>
        <v>Daily</v>
      </c>
      <c r="AA310" s="65" t="n">
        <f aca="false">IF(T310="",0,IF(T310&lt;12,T310*Controls!$B$29,T310*5))</f>
        <v>56.801065</v>
      </c>
      <c r="AB310" s="65" t="n">
        <f aca="false">IF(E310="",0,NETWORKDAYS(E310,Controls!$B$36,Ref!$K$2:$K$42))</f>
        <v>209</v>
      </c>
      <c r="AC310" s="65" t="n">
        <f aca="false">IF(AND(AA310&gt;0,AB310&gt;=Controls!$B$39*AA310),1,0)</f>
        <v>1</v>
      </c>
      <c r="AD310" s="65" t="n">
        <f aca="false">IF(AND(E310&lt;&gt;"",E310&gt;=Controls!$B$37,E310&lt;=Controls!$B$38),1,0)</f>
        <v>1</v>
      </c>
      <c r="AE310" s="65" t="n">
        <f aca="false">IF(IFERROR(VLOOKUP(D310,Controls!$A$64:$E$74,2,FALSE()),"No")="Yes",1,0)</f>
        <v>0</v>
      </c>
      <c r="AF310" s="65" t="n">
        <f aca="false">IF(IFERROR(VLOOKUP(D310,Controls!$A$64:$E$74,3,FALSE()),"No")="Yes",1,0)</f>
        <v>1</v>
      </c>
      <c r="AG310" s="65" t="n">
        <f aca="false">IF(IFERROR(VLOOKUP(D310,Controls!$A$64:$E$74,4,FALSE()),"No")="Yes",1,0)</f>
        <v>1</v>
      </c>
      <c r="AH310" s="65" t="n">
        <f aca="false">IF(IFERROR(VLOOKUP(D310,Controls!$A$64:$E$74,5,FALSE()),"No")="Yes",1,0)</f>
        <v>0</v>
      </c>
      <c r="AI310" s="65" t="n">
        <f aca="false">IF(ISNUMBER(MATCH(D310,Controls!$A$64:$A$74,0)),1,0)</f>
        <v>1</v>
      </c>
      <c r="AJ310" s="65" t="n">
        <f aca="false">Q310-N310</f>
        <v>3675</v>
      </c>
      <c r="AK310" s="65" t="n">
        <f aca="false">IF(AE310=1,MAX(0,N310-Q310),0)</f>
        <v>0</v>
      </c>
      <c r="AL310" s="65" t="n">
        <f aca="false">IF(OR(V310="",V310=0),0,N310/V310)</f>
        <v>0.427489757345414</v>
      </c>
      <c r="AM310" s="65" t="n">
        <f aca="false">IF(OR(V310="",V310=0),0,1)</f>
        <v>1</v>
      </c>
      <c r="AN310" s="65" t="n">
        <f aca="false">IF(OR(E310="",F310=""),0,NETWORKDAYS(E310,F310,Ref!$K$2:$K$42))</f>
        <v>80</v>
      </c>
      <c r="AO310" s="65" t="n">
        <f aca="false">IF(L310="Renewal",1,0)</f>
        <v>0</v>
      </c>
      <c r="AP310" s="65" t="n">
        <f aca="false">AC310*AD310</f>
        <v>1</v>
      </c>
      <c r="AQ310" s="65" t="n">
        <f aca="false">IF(AND(G310&lt;&gt;"",'Historical Score'!$C$6&lt;&gt;""),IF(G310='Historical Score'!$C$6,1,0),0)</f>
        <v>1</v>
      </c>
      <c r="AR310" s="65" t="n">
        <f aca="false">IF(AND(L310&lt;&gt;"",'Historical Score'!$C$5&lt;&gt;""),IF(L310='Historical Score'!$C$5,1,0),0)</f>
        <v>1</v>
      </c>
      <c r="AS310" s="65" t="n">
        <f aca="false">IF(AND(Y310&lt;&gt;"",'Historical Score'!$C$7&lt;&gt;""),IF(Y310='Historical Score'!$C$7,1,0),0)</f>
        <v>0</v>
      </c>
      <c r="AT310" s="65" t="n">
        <f aca="false">IF(AND(K310&lt;&gt;"",'Historical Score'!$C$8&lt;&gt;""),IF(K310='Historical Score'!$C$8,1,0),0)</f>
        <v>0</v>
      </c>
      <c r="AU310" s="65" t="n">
        <f aca="false">IF(AND(J310&lt;&gt;"",'Historical Score'!$C$9&lt;&gt;""),IF(J310='Historical Score'!$C$9,1,0),0)</f>
        <v>0</v>
      </c>
      <c r="AV310" s="65" t="n">
        <f aca="false">AR310*AS310*AQ310</f>
        <v>0</v>
      </c>
      <c r="AW310" s="65" t="n">
        <f aca="false">AR310*AT310*AQ310</f>
        <v>0</v>
      </c>
      <c r="AX310" s="65" t="n">
        <f aca="false">AR310*AS310</f>
        <v>0</v>
      </c>
      <c r="AY310" s="65" t="n">
        <f aca="false">AR310*AT310</f>
        <v>0</v>
      </c>
      <c r="AZ310" s="65" t="n">
        <f aca="false">AR310*AQ310</f>
        <v>1</v>
      </c>
      <c r="BA310" s="65" t="n">
        <f aca="false">AR310</f>
        <v>1</v>
      </c>
      <c r="BB310" s="65" t="n">
        <f aca="false">1</f>
        <v>1</v>
      </c>
      <c r="BC310" s="65" t="n">
        <f aca="false">IF(AV310=1,1,IF(AW310=1,2,IF(AX310=1,3,IF(AY310=1,4,IF(AZ310=1,5,IF(BA310=1,6,7))))))</f>
        <v>5</v>
      </c>
      <c r="BD310" s="65" t="n">
        <f aca="false">IF(AD310=1,CHOOSE('Historical Score'!$C$29,AV310,AW310,AX310,AY310,AZ310,BA310,BB310),0)</f>
        <v>0</v>
      </c>
      <c r="BE310" s="65" t="str">
        <f aca="false">IF(BD310=1,COUNTIF($BD$2:BD310,1),"")</f>
        <v/>
      </c>
    </row>
    <row r="311" customFormat="false" ht="15" hidden="false" customHeight="false" outlineLevel="0" collapsed="false">
      <c r="A311" s="65" t="s">
        <v>1332</v>
      </c>
      <c r="B311" s="65" t="s">
        <v>1333</v>
      </c>
      <c r="C311" s="65" t="s">
        <v>1333</v>
      </c>
      <c r="D311" s="65" t="s">
        <v>371</v>
      </c>
      <c r="E311" s="112" t="n">
        <v>45957</v>
      </c>
      <c r="F311" s="112" t="n">
        <v>46071</v>
      </c>
      <c r="G311" s="65" t="n">
        <v>7</v>
      </c>
      <c r="H311" s="65" t="s">
        <v>748</v>
      </c>
      <c r="I311" s="65" t="s">
        <v>619</v>
      </c>
      <c r="J311" s="65" t="s">
        <v>61</v>
      </c>
      <c r="K311" s="65" t="s">
        <v>444</v>
      </c>
      <c r="L311" s="65" t="s">
        <v>64</v>
      </c>
      <c r="M311" s="113" t="n">
        <v>1.499</v>
      </c>
      <c r="N311" s="114" t="n">
        <v>15000</v>
      </c>
      <c r="O311" s="114" t="n">
        <v>2100</v>
      </c>
      <c r="P311" s="114" t="n">
        <v>22485</v>
      </c>
      <c r="Q311" s="114" t="n">
        <v>22485</v>
      </c>
      <c r="R311" s="114" t="n">
        <v>0</v>
      </c>
      <c r="S311" s="115" t="n">
        <v>1</v>
      </c>
      <c r="T311" s="65" t="n">
        <v>2.951</v>
      </c>
      <c r="U311" s="65" t="n">
        <v>0</v>
      </c>
      <c r="V311" s="65" t="n">
        <v>25610.61</v>
      </c>
      <c r="W311" s="115" t="n">
        <v>0.2025</v>
      </c>
      <c r="X311" s="112"/>
      <c r="Y311" s="65" t="str">
        <f aca="false">IF(I311="","No SIC",IFERROR(VLOOKUP(I311,Ref!$A$2:$B$65,2,FALSE()),"Unclassified"))</f>
        <v>Miscellaneous Retail</v>
      </c>
      <c r="Z311" s="65" t="str">
        <f aca="false">IF(T311="","",IF(T311&lt;12,"Daily","Weekly"))</f>
        <v>Daily</v>
      </c>
      <c r="AA311" s="65" t="n">
        <f aca="false">IF(T311="",0,IF(T311&lt;12,T311*Controls!$B$29,T311*5))</f>
        <v>63.903905</v>
      </c>
      <c r="AB311" s="65" t="n">
        <f aca="false">IF(E311="",0,NETWORKDAYS(E311,Controls!$B$36,Ref!$K$2:$K$42))</f>
        <v>209</v>
      </c>
      <c r="AC311" s="65" t="n">
        <f aca="false">IF(AND(AA311&gt;0,AB311&gt;=Controls!$B$39*AA311),1,0)</f>
        <v>1</v>
      </c>
      <c r="AD311" s="65" t="n">
        <f aca="false">IF(AND(E311&lt;&gt;"",E311&gt;=Controls!$B$37,E311&lt;=Controls!$B$38),1,0)</f>
        <v>1</v>
      </c>
      <c r="AE311" s="65" t="n">
        <f aca="false">IF(IFERROR(VLOOKUP(D311,Controls!$A$64:$E$74,2,FALSE()),"No")="Yes",1,0)</f>
        <v>0</v>
      </c>
      <c r="AF311" s="65" t="n">
        <f aca="false">IF(IFERROR(VLOOKUP(D311,Controls!$A$64:$E$74,3,FALSE()),"No")="Yes",1,0)</f>
        <v>1</v>
      </c>
      <c r="AG311" s="65" t="n">
        <f aca="false">IF(IFERROR(VLOOKUP(D311,Controls!$A$64:$E$74,4,FALSE()),"No")="Yes",1,0)</f>
        <v>1</v>
      </c>
      <c r="AH311" s="65" t="n">
        <f aca="false">IF(IFERROR(VLOOKUP(D311,Controls!$A$64:$E$74,5,FALSE()),"No")="Yes",1,0)</f>
        <v>0</v>
      </c>
      <c r="AI311" s="65" t="n">
        <f aca="false">IF(ISNUMBER(MATCH(D311,Controls!$A$64:$A$74,0)),1,0)</f>
        <v>1</v>
      </c>
      <c r="AJ311" s="65" t="n">
        <f aca="false">Q311-N311</f>
        <v>7485</v>
      </c>
      <c r="AK311" s="65" t="n">
        <f aca="false">IF(AE311=1,MAX(0,N311-Q311),0)</f>
        <v>0</v>
      </c>
      <c r="AL311" s="65" t="n">
        <f aca="false">IF(OR(V311="",V311=0),0,N311/V311)</f>
        <v>0.585694756977675</v>
      </c>
      <c r="AM311" s="65" t="n">
        <f aca="false">IF(OR(V311="",V311=0),0,1)</f>
        <v>1</v>
      </c>
      <c r="AN311" s="65" t="n">
        <f aca="false">IF(OR(E311="",F311=""),0,NETWORKDAYS(E311,F311,Ref!$K$2:$K$42))</f>
        <v>77</v>
      </c>
      <c r="AO311" s="65" t="n">
        <f aca="false">IF(L311="Renewal",1,0)</f>
        <v>0</v>
      </c>
      <c r="AP311" s="65" t="n">
        <f aca="false">AC311*AD311</f>
        <v>1</v>
      </c>
      <c r="AQ311" s="65" t="n">
        <f aca="false">IF(AND(G311&lt;&gt;"",'Historical Score'!$C$6&lt;&gt;""),IF(G311='Historical Score'!$C$6,1,0),0)</f>
        <v>0</v>
      </c>
      <c r="AR311" s="65" t="n">
        <f aca="false">IF(AND(L311&lt;&gt;"",'Historical Score'!$C$5&lt;&gt;""),IF(L311='Historical Score'!$C$5,1,0),0)</f>
        <v>1</v>
      </c>
      <c r="AS311" s="65" t="n">
        <f aca="false">IF(AND(Y311&lt;&gt;"",'Historical Score'!$C$7&lt;&gt;""),IF(Y311='Historical Score'!$C$7,1,0),0)</f>
        <v>0</v>
      </c>
      <c r="AT311" s="65" t="n">
        <f aca="false">IF(AND(K311&lt;&gt;"",'Historical Score'!$C$8&lt;&gt;""),IF(K311='Historical Score'!$C$8,1,0),0)</f>
        <v>0</v>
      </c>
      <c r="AU311" s="65" t="n">
        <f aca="false">IF(AND(J311&lt;&gt;"",'Historical Score'!$C$9&lt;&gt;""),IF(J311='Historical Score'!$C$9,1,0),0)</f>
        <v>1</v>
      </c>
      <c r="AV311" s="65" t="n">
        <f aca="false">AR311*AS311*AQ311</f>
        <v>0</v>
      </c>
      <c r="AW311" s="65" t="n">
        <f aca="false">AR311*AT311*AQ311</f>
        <v>0</v>
      </c>
      <c r="AX311" s="65" t="n">
        <f aca="false">AR311*AS311</f>
        <v>0</v>
      </c>
      <c r="AY311" s="65" t="n">
        <f aca="false">AR311*AT311</f>
        <v>0</v>
      </c>
      <c r="AZ311" s="65" t="n">
        <f aca="false">AR311*AQ311</f>
        <v>0</v>
      </c>
      <c r="BA311" s="65" t="n">
        <f aca="false">AR311</f>
        <v>1</v>
      </c>
      <c r="BB311" s="65" t="n">
        <f aca="false">1</f>
        <v>1</v>
      </c>
      <c r="BC311" s="65" t="n">
        <f aca="false">IF(AV311=1,1,IF(AW311=1,2,IF(AX311=1,3,IF(AY311=1,4,IF(AZ311=1,5,IF(BA311=1,6,7))))))</f>
        <v>6</v>
      </c>
      <c r="BD311" s="65" t="n">
        <f aca="false">IF(AD311=1,CHOOSE('Historical Score'!$C$29,AV311,AW311,AX311,AY311,AZ311,BA311,BB311),0)</f>
        <v>0</v>
      </c>
      <c r="BE311" s="65" t="str">
        <f aca="false">IF(BD311=1,COUNTIF($BD$2:BD311,1),"")</f>
        <v/>
      </c>
    </row>
    <row r="312" customFormat="false" ht="15" hidden="false" customHeight="false" outlineLevel="0" collapsed="false">
      <c r="A312" s="65" t="s">
        <v>1334</v>
      </c>
      <c r="B312" s="65" t="s">
        <v>1335</v>
      </c>
      <c r="C312" s="65" t="s">
        <v>1335</v>
      </c>
      <c r="D312" s="65" t="s">
        <v>340</v>
      </c>
      <c r="E312" s="112" t="n">
        <v>45958</v>
      </c>
      <c r="F312" s="112" t="n">
        <v>46051</v>
      </c>
      <c r="G312" s="65" t="n">
        <v>1</v>
      </c>
      <c r="H312" s="65" t="s">
        <v>1336</v>
      </c>
      <c r="I312" s="65" t="s">
        <v>379</v>
      </c>
      <c r="J312" s="65" t="s">
        <v>350</v>
      </c>
      <c r="K312" s="65" t="s">
        <v>961</v>
      </c>
      <c r="L312" s="65" t="s">
        <v>64</v>
      </c>
      <c r="M312" s="113" t="n">
        <v>1.46</v>
      </c>
      <c r="N312" s="114" t="n">
        <v>8000</v>
      </c>
      <c r="O312" s="114" t="n">
        <v>1200</v>
      </c>
      <c r="P312" s="114" t="n">
        <v>11680</v>
      </c>
      <c r="Q312" s="114" t="n">
        <v>4904.34</v>
      </c>
      <c r="R312" s="114" t="n">
        <v>6775.66</v>
      </c>
      <c r="S312" s="115" t="n">
        <v>0.419892123287671</v>
      </c>
      <c r="T312" s="65" t="n">
        <v>3.279</v>
      </c>
      <c r="U312" s="65" t="n">
        <v>21</v>
      </c>
      <c r="V312" s="65" t="n">
        <v>31357.62</v>
      </c>
      <c r="W312" s="115" t="n">
        <v>0.0782</v>
      </c>
      <c r="X312" s="112" t="n">
        <v>45600</v>
      </c>
      <c r="Y312" s="65" t="str">
        <f aca="false">IF(I312="","No SIC",IFERROR(VLOOKUP(I312,Ref!$A$2:$B$65,2,FALSE()),"Unclassified"))</f>
        <v>Food Stores</v>
      </c>
      <c r="Z312" s="65" t="str">
        <f aca="false">IF(T312="","",IF(T312&lt;12,"Daily","Weekly"))</f>
        <v>Daily</v>
      </c>
      <c r="AA312" s="65" t="n">
        <f aca="false">IF(T312="",0,IF(T312&lt;12,T312*Controls!$B$29,T312*5))</f>
        <v>71.006745</v>
      </c>
      <c r="AB312" s="65" t="n">
        <f aca="false">IF(E312="",0,NETWORKDAYS(E312,Controls!$B$36,Ref!$K$2:$K$42))</f>
        <v>208</v>
      </c>
      <c r="AC312" s="65" t="n">
        <f aca="false">IF(AND(AA312&gt;0,AB312&gt;=Controls!$B$39*AA312),1,0)</f>
        <v>1</v>
      </c>
      <c r="AD312" s="65" t="n">
        <f aca="false">IF(AND(E312&lt;&gt;"",E312&gt;=Controls!$B$37,E312&lt;=Controls!$B$38),1,0)</f>
        <v>1</v>
      </c>
      <c r="AE312" s="65" t="n">
        <f aca="false">IF(IFERROR(VLOOKUP(D312,Controls!$A$64:$E$74,2,FALSE()),"No")="Yes",1,0)</f>
        <v>1</v>
      </c>
      <c r="AF312" s="65" t="n">
        <f aca="false">IF(IFERROR(VLOOKUP(D312,Controls!$A$64:$E$74,3,FALSE()),"No")="Yes",1,0)</f>
        <v>0</v>
      </c>
      <c r="AG312" s="65" t="n">
        <f aca="false">IF(IFERROR(VLOOKUP(D312,Controls!$A$64:$E$74,4,FALSE()),"No")="Yes",1,0)</f>
        <v>0</v>
      </c>
      <c r="AH312" s="65" t="n">
        <f aca="false">IF(IFERROR(VLOOKUP(D312,Controls!$A$64:$E$74,5,FALSE()),"No")="Yes",1,0)</f>
        <v>0</v>
      </c>
      <c r="AI312" s="65" t="n">
        <f aca="false">IF(ISNUMBER(MATCH(D312,Controls!$A$64:$A$74,0)),1,0)</f>
        <v>1</v>
      </c>
      <c r="AJ312" s="65" t="n">
        <f aca="false">Q312-N312</f>
        <v>-3095.66</v>
      </c>
      <c r="AK312" s="65" t="n">
        <f aca="false">IF(AE312=1,MAX(0,N312-Q312),0)</f>
        <v>3095.66</v>
      </c>
      <c r="AL312" s="65" t="n">
        <f aca="false">IF(OR(V312="",V312=0),0,N312/V312)</f>
        <v>0.255121402708496</v>
      </c>
      <c r="AM312" s="65" t="n">
        <f aca="false">IF(OR(V312="",V312=0),0,1)</f>
        <v>1</v>
      </c>
      <c r="AN312" s="65" t="n">
        <f aca="false">IF(OR(E312="",F312=""),0,NETWORKDAYS(E312,F312,Ref!$K$2:$K$42))</f>
        <v>63</v>
      </c>
      <c r="AO312" s="65" t="n">
        <f aca="false">IF(L312="Renewal",1,0)</f>
        <v>0</v>
      </c>
      <c r="AP312" s="65" t="n">
        <f aca="false">AC312*AD312</f>
        <v>1</v>
      </c>
      <c r="AQ312" s="65" t="n">
        <f aca="false">IF(AND(G312&lt;&gt;"",'Historical Score'!$C$6&lt;&gt;""),IF(G312='Historical Score'!$C$6,1,0),0)</f>
        <v>0</v>
      </c>
      <c r="AR312" s="65" t="n">
        <f aca="false">IF(AND(L312&lt;&gt;"",'Historical Score'!$C$5&lt;&gt;""),IF(L312='Historical Score'!$C$5,1,0),0)</f>
        <v>1</v>
      </c>
      <c r="AS312" s="65" t="n">
        <f aca="false">IF(AND(Y312&lt;&gt;"",'Historical Score'!$C$7&lt;&gt;""),IF(Y312='Historical Score'!$C$7,1,0),0)</f>
        <v>0</v>
      </c>
      <c r="AT312" s="65" t="n">
        <f aca="false">IF(AND(K312&lt;&gt;"",'Historical Score'!$C$8&lt;&gt;""),IF(K312='Historical Score'!$C$8,1,0),0)</f>
        <v>0</v>
      </c>
      <c r="AU312" s="65" t="n">
        <f aca="false">IF(AND(J312&lt;&gt;"",'Historical Score'!$C$9&lt;&gt;""),IF(J312='Historical Score'!$C$9,1,0),0)</f>
        <v>0</v>
      </c>
      <c r="AV312" s="65" t="n">
        <f aca="false">AR312*AS312*AQ312</f>
        <v>0</v>
      </c>
      <c r="AW312" s="65" t="n">
        <f aca="false">AR312*AT312*AQ312</f>
        <v>0</v>
      </c>
      <c r="AX312" s="65" t="n">
        <f aca="false">AR312*AS312</f>
        <v>0</v>
      </c>
      <c r="AY312" s="65" t="n">
        <f aca="false">AR312*AT312</f>
        <v>0</v>
      </c>
      <c r="AZ312" s="65" t="n">
        <f aca="false">AR312*AQ312</f>
        <v>0</v>
      </c>
      <c r="BA312" s="65" t="n">
        <f aca="false">AR312</f>
        <v>1</v>
      </c>
      <c r="BB312" s="65" t="n">
        <f aca="false">1</f>
        <v>1</v>
      </c>
      <c r="BC312" s="65" t="n">
        <f aca="false">IF(AV312=1,1,IF(AW312=1,2,IF(AX312=1,3,IF(AY312=1,4,IF(AZ312=1,5,IF(BA312=1,6,7))))))</f>
        <v>6</v>
      </c>
      <c r="BD312" s="65" t="n">
        <f aca="false">IF(AD312=1,CHOOSE('Historical Score'!$C$29,AV312,AW312,AX312,AY312,AZ312,BA312,BB312),0)</f>
        <v>0</v>
      </c>
      <c r="BE312" s="65" t="str">
        <f aca="false">IF(BD312=1,COUNTIF($BD$2:BD312,1),"")</f>
        <v/>
      </c>
    </row>
    <row r="313" customFormat="false" ht="15" hidden="false" customHeight="false" outlineLevel="0" collapsed="false">
      <c r="A313" s="65" t="s">
        <v>1337</v>
      </c>
      <c r="B313" s="65" t="s">
        <v>1338</v>
      </c>
      <c r="C313" s="65" t="s">
        <v>1338</v>
      </c>
      <c r="D313" s="65" t="s">
        <v>533</v>
      </c>
      <c r="E313" s="112" t="n">
        <v>45958</v>
      </c>
      <c r="F313" s="112" t="n">
        <v>46248</v>
      </c>
      <c r="G313" s="65" t="n">
        <v>2</v>
      </c>
      <c r="H313" s="65" t="s">
        <v>442</v>
      </c>
      <c r="I313" s="65" t="s">
        <v>443</v>
      </c>
      <c r="J313" s="65" t="s">
        <v>432</v>
      </c>
      <c r="K313" s="65" t="s">
        <v>672</v>
      </c>
      <c r="L313" s="65" t="s">
        <v>64</v>
      </c>
      <c r="M313" s="113" t="n">
        <v>1.45</v>
      </c>
      <c r="N313" s="114" t="n">
        <v>3500</v>
      </c>
      <c r="O313" s="114" t="n">
        <v>420</v>
      </c>
      <c r="P313" s="114" t="n">
        <v>5075</v>
      </c>
      <c r="Q313" s="114" t="n">
        <v>2067.06</v>
      </c>
      <c r="R313" s="114" t="n">
        <v>3007.94</v>
      </c>
      <c r="S313" s="115" t="n">
        <v>0.407302463054187</v>
      </c>
      <c r="T313" s="65" t="n">
        <v>16</v>
      </c>
      <c r="U313" s="65" t="n">
        <v>12</v>
      </c>
      <c r="V313" s="65" t="n">
        <v>16360.2</v>
      </c>
      <c r="W313" s="115" t="n">
        <v>0.0776</v>
      </c>
      <c r="X313" s="112" t="n">
        <v>44247</v>
      </c>
      <c r="Y313" s="65" t="str">
        <f aca="false">IF(I313="","No SIC",IFERROR(VLOOKUP(I313,Ref!$A$2:$B$65,2,FALSE()),"Unclassified"))</f>
        <v>General Building Contractors</v>
      </c>
      <c r="Z313" s="65" t="str">
        <f aca="false">IF(T313="","",IF(T313&lt;12,"Daily","Weekly"))</f>
        <v>Weekly</v>
      </c>
      <c r="AA313" s="65" t="n">
        <f aca="false">IF(T313="",0,IF(T313&lt;12,T313*Controls!$B$29,T313*5))</f>
        <v>80</v>
      </c>
      <c r="AB313" s="65" t="n">
        <f aca="false">IF(E313="",0,NETWORKDAYS(E313,Controls!$B$36,Ref!$K$2:$K$42))</f>
        <v>208</v>
      </c>
      <c r="AC313" s="65" t="n">
        <f aca="false">IF(AND(AA313&gt;0,AB313&gt;=Controls!$B$39*AA313),1,0)</f>
        <v>1</v>
      </c>
      <c r="AD313" s="65" t="n">
        <f aca="false">IF(AND(E313&lt;&gt;"",E313&gt;=Controls!$B$37,E313&lt;=Controls!$B$38),1,0)</f>
        <v>1</v>
      </c>
      <c r="AE313" s="65" t="n">
        <f aca="false">IF(IFERROR(VLOOKUP(D313,Controls!$A$64:$E$74,2,FALSE()),"No")="Yes",1,0)</f>
        <v>1</v>
      </c>
      <c r="AF313" s="65" t="n">
        <f aca="false">IF(IFERROR(VLOOKUP(D313,Controls!$A$64:$E$74,3,FALSE()),"No")="Yes",1,0)</f>
        <v>0</v>
      </c>
      <c r="AG313" s="65" t="n">
        <f aca="false">IF(IFERROR(VLOOKUP(D313,Controls!$A$64:$E$74,4,FALSE()),"No")="Yes",1,0)</f>
        <v>0</v>
      </c>
      <c r="AH313" s="65" t="n">
        <f aca="false">IF(IFERROR(VLOOKUP(D313,Controls!$A$64:$E$74,5,FALSE()),"No")="Yes",1,0)</f>
        <v>0</v>
      </c>
      <c r="AI313" s="65" t="n">
        <f aca="false">IF(ISNUMBER(MATCH(D313,Controls!$A$64:$A$74,0)),1,0)</f>
        <v>1</v>
      </c>
      <c r="AJ313" s="65" t="n">
        <f aca="false">Q313-N313</f>
        <v>-1432.94</v>
      </c>
      <c r="AK313" s="65" t="n">
        <f aca="false">IF(AE313=1,MAX(0,N313-Q313),0)</f>
        <v>1432.94</v>
      </c>
      <c r="AL313" s="65" t="n">
        <f aca="false">IF(OR(V313="",V313=0),0,N313/V313)</f>
        <v>0.213933814990037</v>
      </c>
      <c r="AM313" s="65" t="n">
        <f aca="false">IF(OR(V313="",V313=0),0,1)</f>
        <v>1</v>
      </c>
      <c r="AN313" s="65" t="n">
        <f aca="false">IF(OR(E313="",F313=""),0,NETWORKDAYS(E313,F313,Ref!$K$2:$K$42))</f>
        <v>201</v>
      </c>
      <c r="AO313" s="65" t="n">
        <f aca="false">IF(L313="Renewal",1,0)</f>
        <v>0</v>
      </c>
      <c r="AP313" s="65" t="n">
        <f aca="false">AC313*AD313</f>
        <v>1</v>
      </c>
      <c r="AQ313" s="65" t="n">
        <f aca="false">IF(AND(G313&lt;&gt;"",'Historical Score'!$C$6&lt;&gt;""),IF(G313='Historical Score'!$C$6,1,0),0)</f>
        <v>1</v>
      </c>
      <c r="AR313" s="65" t="n">
        <f aca="false">IF(AND(L313&lt;&gt;"",'Historical Score'!$C$5&lt;&gt;""),IF(L313='Historical Score'!$C$5,1,0),0)</f>
        <v>1</v>
      </c>
      <c r="AS313" s="65" t="n">
        <f aca="false">IF(AND(Y313&lt;&gt;"",'Historical Score'!$C$7&lt;&gt;""),IF(Y313='Historical Score'!$C$7,1,0),0)</f>
        <v>1</v>
      </c>
      <c r="AT313" s="65" t="n">
        <f aca="false">IF(AND(K313&lt;&gt;"",'Historical Score'!$C$8&lt;&gt;""),IF(K313='Historical Score'!$C$8,1,0),0)</f>
        <v>0</v>
      </c>
      <c r="AU313" s="65" t="n">
        <f aca="false">IF(AND(J313&lt;&gt;"",'Historical Score'!$C$9&lt;&gt;""),IF(J313='Historical Score'!$C$9,1,0),0)</f>
        <v>0</v>
      </c>
      <c r="AV313" s="65" t="n">
        <f aca="false">AR313*AS313*AQ313</f>
        <v>1</v>
      </c>
      <c r="AW313" s="65" t="n">
        <f aca="false">AR313*AT313*AQ313</f>
        <v>0</v>
      </c>
      <c r="AX313" s="65" t="n">
        <f aca="false">AR313*AS313</f>
        <v>1</v>
      </c>
      <c r="AY313" s="65" t="n">
        <f aca="false">AR313*AT313</f>
        <v>0</v>
      </c>
      <c r="AZ313" s="65" t="n">
        <f aca="false">AR313*AQ313</f>
        <v>1</v>
      </c>
      <c r="BA313" s="65" t="n">
        <f aca="false">AR313</f>
        <v>1</v>
      </c>
      <c r="BB313" s="65" t="n">
        <f aca="false">1</f>
        <v>1</v>
      </c>
      <c r="BC313" s="65" t="n">
        <f aca="false">IF(AV313=1,1,IF(AW313=1,2,IF(AX313=1,3,IF(AY313=1,4,IF(AZ313=1,5,IF(BA313=1,6,7))))))</f>
        <v>1</v>
      </c>
      <c r="BD313" s="65" t="n">
        <f aca="false">IF(AD313=1,CHOOSE('Historical Score'!$C$29,AV313,AW313,AX313,AY313,AZ313,BA313,BB313),0)</f>
        <v>1</v>
      </c>
      <c r="BE313" s="65" t="n">
        <f aca="false">IF(BD313=1,COUNTIF($BD$2:BD313,1),"")</f>
        <v>12</v>
      </c>
    </row>
    <row r="314" customFormat="false" ht="15" hidden="false" customHeight="false" outlineLevel="0" collapsed="false">
      <c r="A314" s="65" t="s">
        <v>1339</v>
      </c>
      <c r="B314" s="65" t="s">
        <v>1340</v>
      </c>
      <c r="C314" s="65" t="s">
        <v>1340</v>
      </c>
      <c r="D314" s="65" t="s">
        <v>295</v>
      </c>
      <c r="E314" s="112" t="n">
        <v>45958</v>
      </c>
      <c r="F314" s="112" t="n">
        <v>46252</v>
      </c>
      <c r="G314" s="65" t="n">
        <v>5</v>
      </c>
      <c r="H314" s="65" t="s">
        <v>1341</v>
      </c>
      <c r="I314" s="65" t="s">
        <v>564</v>
      </c>
      <c r="J314" s="65" t="s">
        <v>420</v>
      </c>
      <c r="K314" s="65" t="s">
        <v>961</v>
      </c>
      <c r="L314" s="65" t="s">
        <v>64</v>
      </c>
      <c r="M314" s="113" t="n">
        <v>1.42</v>
      </c>
      <c r="N314" s="114" t="n">
        <v>15000</v>
      </c>
      <c r="O314" s="114" t="n">
        <v>2100</v>
      </c>
      <c r="P314" s="114" t="n">
        <v>21300</v>
      </c>
      <c r="Q314" s="114" t="n">
        <v>12771.84</v>
      </c>
      <c r="R314" s="114" t="n">
        <v>8528.16</v>
      </c>
      <c r="S314" s="115" t="n">
        <v>0.599616901408451</v>
      </c>
      <c r="T314" s="65" t="n">
        <v>20</v>
      </c>
      <c r="U314" s="65" t="n">
        <v>30</v>
      </c>
      <c r="V314" s="65" t="n">
        <v>74168.49</v>
      </c>
      <c r="W314" s="115" t="n">
        <v>0.0574</v>
      </c>
      <c r="X314" s="112" t="n">
        <v>34121</v>
      </c>
      <c r="Y314" s="65" t="str">
        <f aca="false">IF(I314="","No SIC",IFERROR(VLOOKUP(I314,Ref!$A$2:$B$65,2,FALSE()),"Unclassified"))</f>
        <v>Transportation Equipment</v>
      </c>
      <c r="Z314" s="65" t="str">
        <f aca="false">IF(T314="","",IF(T314&lt;12,"Daily","Weekly"))</f>
        <v>Weekly</v>
      </c>
      <c r="AA314" s="65" t="n">
        <f aca="false">IF(T314="",0,IF(T314&lt;12,T314*Controls!$B$29,T314*5))</f>
        <v>100</v>
      </c>
      <c r="AB314" s="65" t="n">
        <f aca="false">IF(E314="",0,NETWORKDAYS(E314,Controls!$B$36,Ref!$K$2:$K$42))</f>
        <v>208</v>
      </c>
      <c r="AC314" s="65" t="n">
        <f aca="false">IF(AND(AA314&gt;0,AB314&gt;=Controls!$B$39*AA314),1,0)</f>
        <v>1</v>
      </c>
      <c r="AD314" s="65" t="n">
        <f aca="false">IF(AND(E314&lt;&gt;"",E314&gt;=Controls!$B$37,E314&lt;=Controls!$B$38),1,0)</f>
        <v>1</v>
      </c>
      <c r="AE314" s="65" t="n">
        <f aca="false">IF(IFERROR(VLOOKUP(D314,Controls!$A$64:$E$74,2,FALSE()),"No")="Yes",1,0)</f>
        <v>0</v>
      </c>
      <c r="AF314" s="65" t="n">
        <f aca="false">IF(IFERROR(VLOOKUP(D314,Controls!$A$64:$E$74,3,FALSE()),"No")="Yes",1,0)</f>
        <v>0</v>
      </c>
      <c r="AG314" s="65" t="n">
        <f aca="false">IF(IFERROR(VLOOKUP(D314,Controls!$A$64:$E$74,4,FALSE()),"No")="Yes",1,0)</f>
        <v>0</v>
      </c>
      <c r="AH314" s="65" t="n">
        <f aca="false">IF(IFERROR(VLOOKUP(D314,Controls!$A$64:$E$74,5,FALSE()),"No")="Yes",1,0)</f>
        <v>1</v>
      </c>
      <c r="AI314" s="65" t="n">
        <f aca="false">IF(ISNUMBER(MATCH(D314,Controls!$A$64:$A$74,0)),1,0)</f>
        <v>1</v>
      </c>
      <c r="AJ314" s="65" t="n">
        <f aca="false">Q314-N314</f>
        <v>-2228.16</v>
      </c>
      <c r="AK314" s="65" t="n">
        <f aca="false">IF(AE314=1,MAX(0,N314-Q314),0)</f>
        <v>0</v>
      </c>
      <c r="AL314" s="65" t="n">
        <f aca="false">IF(OR(V314="",V314=0),0,N314/V314)</f>
        <v>0.202242219033986</v>
      </c>
      <c r="AM314" s="65" t="n">
        <f aca="false">IF(OR(V314="",V314=0),0,1)</f>
        <v>1</v>
      </c>
      <c r="AN314" s="65" t="n">
        <f aca="false">IF(OR(E314="",F314=""),0,NETWORKDAYS(E314,F314,Ref!$K$2:$K$42))</f>
        <v>203</v>
      </c>
      <c r="AO314" s="65" t="n">
        <f aca="false">IF(L314="Renewal",1,0)</f>
        <v>0</v>
      </c>
      <c r="AP314" s="65" t="n">
        <f aca="false">AC314*AD314</f>
        <v>1</v>
      </c>
      <c r="AQ314" s="65" t="n">
        <f aca="false">IF(AND(G314&lt;&gt;"",'Historical Score'!$C$6&lt;&gt;""),IF(G314='Historical Score'!$C$6,1,0),0)</f>
        <v>0</v>
      </c>
      <c r="AR314" s="65" t="n">
        <f aca="false">IF(AND(L314&lt;&gt;"",'Historical Score'!$C$5&lt;&gt;""),IF(L314='Historical Score'!$C$5,1,0),0)</f>
        <v>1</v>
      </c>
      <c r="AS314" s="65" t="n">
        <f aca="false">IF(AND(Y314&lt;&gt;"",'Historical Score'!$C$7&lt;&gt;""),IF(Y314='Historical Score'!$C$7,1,0),0)</f>
        <v>0</v>
      </c>
      <c r="AT314" s="65" t="n">
        <f aca="false">IF(AND(K314&lt;&gt;"",'Historical Score'!$C$8&lt;&gt;""),IF(K314='Historical Score'!$C$8,1,0),0)</f>
        <v>0</v>
      </c>
      <c r="AU314" s="65" t="n">
        <f aca="false">IF(AND(J314&lt;&gt;"",'Historical Score'!$C$9&lt;&gt;""),IF(J314='Historical Score'!$C$9,1,0),0)</f>
        <v>0</v>
      </c>
      <c r="AV314" s="65" t="n">
        <f aca="false">AR314*AS314*AQ314</f>
        <v>0</v>
      </c>
      <c r="AW314" s="65" t="n">
        <f aca="false">AR314*AT314*AQ314</f>
        <v>0</v>
      </c>
      <c r="AX314" s="65" t="n">
        <f aca="false">AR314*AS314</f>
        <v>0</v>
      </c>
      <c r="AY314" s="65" t="n">
        <f aca="false">AR314*AT314</f>
        <v>0</v>
      </c>
      <c r="AZ314" s="65" t="n">
        <f aca="false">AR314*AQ314</f>
        <v>0</v>
      </c>
      <c r="BA314" s="65" t="n">
        <f aca="false">AR314</f>
        <v>1</v>
      </c>
      <c r="BB314" s="65" t="n">
        <f aca="false">1</f>
        <v>1</v>
      </c>
      <c r="BC314" s="65" t="n">
        <f aca="false">IF(AV314=1,1,IF(AW314=1,2,IF(AX314=1,3,IF(AY314=1,4,IF(AZ314=1,5,IF(BA314=1,6,7))))))</f>
        <v>6</v>
      </c>
      <c r="BD314" s="65" t="n">
        <f aca="false">IF(AD314=1,CHOOSE('Historical Score'!$C$29,AV314,AW314,AX314,AY314,AZ314,BA314,BB314),0)</f>
        <v>0</v>
      </c>
      <c r="BE314" s="65" t="str">
        <f aca="false">IF(BD314=1,COUNTIF($BD$2:BD314,1),"")</f>
        <v/>
      </c>
    </row>
    <row r="315" customFormat="false" ht="15" hidden="false" customHeight="false" outlineLevel="0" collapsed="false">
      <c r="A315" s="65" t="s">
        <v>1342</v>
      </c>
      <c r="B315" s="65" t="s">
        <v>1343</v>
      </c>
      <c r="C315" s="65" t="s">
        <v>1343</v>
      </c>
      <c r="D315" s="65" t="s">
        <v>340</v>
      </c>
      <c r="E315" s="112" t="n">
        <v>45959</v>
      </c>
      <c r="F315" s="112" t="n">
        <v>45987</v>
      </c>
      <c r="G315" s="65" t="n">
        <v>4</v>
      </c>
      <c r="H315" s="65" t="s">
        <v>1344</v>
      </c>
      <c r="I315" s="65" t="s">
        <v>425</v>
      </c>
      <c r="J315" s="65" t="s">
        <v>61</v>
      </c>
      <c r="K315" s="65" t="s">
        <v>538</v>
      </c>
      <c r="L315" s="65" t="s">
        <v>64</v>
      </c>
      <c r="M315" s="113" t="n">
        <v>1.49</v>
      </c>
      <c r="N315" s="114" t="n">
        <v>15000</v>
      </c>
      <c r="O315" s="114" t="n">
        <v>2100</v>
      </c>
      <c r="P315" s="114" t="n">
        <v>22350</v>
      </c>
      <c r="Q315" s="114" t="n">
        <v>2459</v>
      </c>
      <c r="R315" s="114" t="n">
        <v>19891</v>
      </c>
      <c r="S315" s="115" t="n">
        <v>0.110022371364653</v>
      </c>
      <c r="T315" s="65" t="n">
        <v>3.279</v>
      </c>
      <c r="U315" s="65" t="n">
        <v>7</v>
      </c>
      <c r="V315" s="65" t="n">
        <v>43557.72</v>
      </c>
      <c r="W315" s="115" t="n">
        <v>0.1078</v>
      </c>
      <c r="X315" s="112" t="n">
        <v>44217</v>
      </c>
      <c r="Y315" s="65" t="str">
        <f aca="false">IF(I315="","No SIC",IFERROR(VLOOKUP(I315,Ref!$A$2:$B$65,2,FALSE()),"Unclassified"))</f>
        <v>Personal Services</v>
      </c>
      <c r="Z315" s="65" t="str">
        <f aca="false">IF(T315="","",IF(T315&lt;12,"Daily","Weekly"))</f>
        <v>Daily</v>
      </c>
      <c r="AA315" s="65" t="n">
        <f aca="false">IF(T315="",0,IF(T315&lt;12,T315*Controls!$B$29,T315*5))</f>
        <v>71.006745</v>
      </c>
      <c r="AB315" s="65" t="n">
        <f aca="false">IF(E315="",0,NETWORKDAYS(E315,Controls!$B$36,Ref!$K$2:$K$42))</f>
        <v>207</v>
      </c>
      <c r="AC315" s="65" t="n">
        <f aca="false">IF(AND(AA315&gt;0,AB315&gt;=Controls!$B$39*AA315),1,0)</f>
        <v>1</v>
      </c>
      <c r="AD315" s="65" t="n">
        <f aca="false">IF(AND(E315&lt;&gt;"",E315&gt;=Controls!$B$37,E315&lt;=Controls!$B$38),1,0)</f>
        <v>1</v>
      </c>
      <c r="AE315" s="65" t="n">
        <f aca="false">IF(IFERROR(VLOOKUP(D315,Controls!$A$64:$E$74,2,FALSE()),"No")="Yes",1,0)</f>
        <v>1</v>
      </c>
      <c r="AF315" s="65" t="n">
        <f aca="false">IF(IFERROR(VLOOKUP(D315,Controls!$A$64:$E$74,3,FALSE()),"No")="Yes",1,0)</f>
        <v>0</v>
      </c>
      <c r="AG315" s="65" t="n">
        <f aca="false">IF(IFERROR(VLOOKUP(D315,Controls!$A$64:$E$74,4,FALSE()),"No")="Yes",1,0)</f>
        <v>0</v>
      </c>
      <c r="AH315" s="65" t="n">
        <f aca="false">IF(IFERROR(VLOOKUP(D315,Controls!$A$64:$E$74,5,FALSE()),"No")="Yes",1,0)</f>
        <v>0</v>
      </c>
      <c r="AI315" s="65" t="n">
        <f aca="false">IF(ISNUMBER(MATCH(D315,Controls!$A$64:$A$74,0)),1,0)</f>
        <v>1</v>
      </c>
      <c r="AJ315" s="65" t="n">
        <f aca="false">Q315-N315</f>
        <v>-12541</v>
      </c>
      <c r="AK315" s="65" t="n">
        <f aca="false">IF(AE315=1,MAX(0,N315-Q315),0)</f>
        <v>12541</v>
      </c>
      <c r="AL315" s="65" t="n">
        <f aca="false">IF(OR(V315="",V315=0),0,N315/V315)</f>
        <v>0.344370641989526</v>
      </c>
      <c r="AM315" s="65" t="n">
        <f aca="false">IF(OR(V315="",V315=0),0,1)</f>
        <v>1</v>
      </c>
      <c r="AN315" s="65" t="n">
        <f aca="false">IF(OR(E315="",F315=""),0,NETWORKDAYS(E315,F315,Ref!$K$2:$K$42))</f>
        <v>20</v>
      </c>
      <c r="AO315" s="65" t="n">
        <f aca="false">IF(L315="Renewal",1,0)</f>
        <v>0</v>
      </c>
      <c r="AP315" s="65" t="n">
        <f aca="false">AC315*AD315</f>
        <v>1</v>
      </c>
      <c r="AQ315" s="65" t="n">
        <f aca="false">IF(AND(G315&lt;&gt;"",'Historical Score'!$C$6&lt;&gt;""),IF(G315='Historical Score'!$C$6,1,0),0)</f>
        <v>0</v>
      </c>
      <c r="AR315" s="65" t="n">
        <f aca="false">IF(AND(L315&lt;&gt;"",'Historical Score'!$C$5&lt;&gt;""),IF(L315='Historical Score'!$C$5,1,0),0)</f>
        <v>1</v>
      </c>
      <c r="AS315" s="65" t="n">
        <f aca="false">IF(AND(Y315&lt;&gt;"",'Historical Score'!$C$7&lt;&gt;""),IF(Y315='Historical Score'!$C$7,1,0),0)</f>
        <v>0</v>
      </c>
      <c r="AT315" s="65" t="n">
        <f aca="false">IF(AND(K315&lt;&gt;"",'Historical Score'!$C$8&lt;&gt;""),IF(K315='Historical Score'!$C$8,1,0),0)</f>
        <v>0</v>
      </c>
      <c r="AU315" s="65" t="n">
        <f aca="false">IF(AND(J315&lt;&gt;"",'Historical Score'!$C$9&lt;&gt;""),IF(J315='Historical Score'!$C$9,1,0),0)</f>
        <v>1</v>
      </c>
      <c r="AV315" s="65" t="n">
        <f aca="false">AR315*AS315*AQ315</f>
        <v>0</v>
      </c>
      <c r="AW315" s="65" t="n">
        <f aca="false">AR315*AT315*AQ315</f>
        <v>0</v>
      </c>
      <c r="AX315" s="65" t="n">
        <f aca="false">AR315*AS315</f>
        <v>0</v>
      </c>
      <c r="AY315" s="65" t="n">
        <f aca="false">AR315*AT315</f>
        <v>0</v>
      </c>
      <c r="AZ315" s="65" t="n">
        <f aca="false">AR315*AQ315</f>
        <v>0</v>
      </c>
      <c r="BA315" s="65" t="n">
        <f aca="false">AR315</f>
        <v>1</v>
      </c>
      <c r="BB315" s="65" t="n">
        <f aca="false">1</f>
        <v>1</v>
      </c>
      <c r="BC315" s="65" t="n">
        <f aca="false">IF(AV315=1,1,IF(AW315=1,2,IF(AX315=1,3,IF(AY315=1,4,IF(AZ315=1,5,IF(BA315=1,6,7))))))</f>
        <v>6</v>
      </c>
      <c r="BD315" s="65" t="n">
        <f aca="false">IF(AD315=1,CHOOSE('Historical Score'!$C$29,AV315,AW315,AX315,AY315,AZ315,BA315,BB315),0)</f>
        <v>0</v>
      </c>
      <c r="BE315" s="65" t="str">
        <f aca="false">IF(BD315=1,COUNTIF($BD$2:BD315,1),"")</f>
        <v/>
      </c>
    </row>
    <row r="316" customFormat="false" ht="15" hidden="false" customHeight="false" outlineLevel="0" collapsed="false">
      <c r="A316" s="65" t="s">
        <v>1345</v>
      </c>
      <c r="B316" s="65" t="s">
        <v>1346</v>
      </c>
      <c r="C316" s="65" t="s">
        <v>1347</v>
      </c>
      <c r="D316" s="65" t="s">
        <v>1348</v>
      </c>
      <c r="E316" s="112" t="n">
        <v>45959</v>
      </c>
      <c r="F316" s="112" t="n">
        <v>46239</v>
      </c>
      <c r="G316" s="65" t="n">
        <v>1</v>
      </c>
      <c r="H316" s="65" t="s">
        <v>391</v>
      </c>
      <c r="I316" s="65" t="s">
        <v>392</v>
      </c>
      <c r="J316" s="65" t="s">
        <v>1349</v>
      </c>
      <c r="K316" s="65" t="s">
        <v>961</v>
      </c>
      <c r="L316" s="65" t="s">
        <v>64</v>
      </c>
      <c r="M316" s="113" t="n">
        <v>1.38</v>
      </c>
      <c r="N316" s="114" t="n">
        <v>60000</v>
      </c>
      <c r="O316" s="114" t="n">
        <v>6600</v>
      </c>
      <c r="P316" s="114" t="n">
        <v>82800</v>
      </c>
      <c r="Q316" s="114" t="n">
        <v>82800</v>
      </c>
      <c r="R316" s="114" t="n">
        <v>0</v>
      </c>
      <c r="S316" s="115" t="n">
        <v>1</v>
      </c>
      <c r="T316" s="65" t="n">
        <v>36</v>
      </c>
      <c r="U316" s="65" t="n">
        <v>4</v>
      </c>
      <c r="V316" s="65" t="n">
        <v>159036.62</v>
      </c>
      <c r="W316" s="115" t="n">
        <v>0.0578</v>
      </c>
      <c r="X316" s="112" t="n">
        <v>41334</v>
      </c>
      <c r="Y316" s="65" t="str">
        <f aca="false">IF(I316="","No SIC",IFERROR(VLOOKUP(I316,Ref!$A$2:$B$65,2,FALSE()),"Unclassified"))</f>
        <v>Real Estate</v>
      </c>
      <c r="Z316" s="65" t="str">
        <f aca="false">IF(T316="","",IF(T316&lt;12,"Daily","Weekly"))</f>
        <v>Weekly</v>
      </c>
      <c r="AA316" s="65" t="n">
        <f aca="false">IF(T316="",0,IF(T316&lt;12,T316*Controls!$B$29,T316*5))</f>
        <v>180</v>
      </c>
      <c r="AB316" s="65" t="n">
        <f aca="false">IF(E316="",0,NETWORKDAYS(E316,Controls!$B$36,Ref!$K$2:$K$42))</f>
        <v>207</v>
      </c>
      <c r="AC316" s="65" t="n">
        <f aca="false">IF(AND(AA316&gt;0,AB316&gt;=Controls!$B$39*AA316),1,0)</f>
        <v>0</v>
      </c>
      <c r="AD316" s="65" t="n">
        <f aca="false">IF(AND(E316&lt;&gt;"",E316&gt;=Controls!$B$37,E316&lt;=Controls!$B$38),1,0)</f>
        <v>1</v>
      </c>
      <c r="AE316" s="65" t="n">
        <f aca="false">IF(IFERROR(VLOOKUP(D316,Controls!$A$64:$E$74,2,FALSE()),"No")="Yes",1,0)</f>
        <v>0</v>
      </c>
      <c r="AF316" s="65" t="n">
        <f aca="false">IF(IFERROR(VLOOKUP(D316,Controls!$A$64:$E$74,3,FALSE()),"No")="Yes",1,0)</f>
        <v>1</v>
      </c>
      <c r="AG316" s="65" t="n">
        <f aca="false">IF(IFERROR(VLOOKUP(D316,Controls!$A$64:$E$74,4,FALSE()),"No")="Yes",1,0)</f>
        <v>1</v>
      </c>
      <c r="AH316" s="65" t="n">
        <f aca="false">IF(IFERROR(VLOOKUP(D316,Controls!$A$64:$E$74,5,FALSE()),"No")="Yes",1,0)</f>
        <v>0</v>
      </c>
      <c r="AI316" s="65" t="n">
        <f aca="false">IF(ISNUMBER(MATCH(D316,Controls!$A$64:$A$74,0)),1,0)</f>
        <v>1</v>
      </c>
      <c r="AJ316" s="65" t="n">
        <f aca="false">Q316-N316</f>
        <v>22800</v>
      </c>
      <c r="AK316" s="65" t="n">
        <f aca="false">IF(AE316=1,MAX(0,N316-Q316),0)</f>
        <v>0</v>
      </c>
      <c r="AL316" s="65" t="n">
        <f aca="false">IF(OR(V316="",V316=0),0,N316/V316)</f>
        <v>0.377271599459294</v>
      </c>
      <c r="AM316" s="65" t="n">
        <f aca="false">IF(OR(V316="",V316=0),0,1)</f>
        <v>1</v>
      </c>
      <c r="AN316" s="65" t="n">
        <f aca="false">IF(OR(E316="",F316=""),0,NETWORKDAYS(E316,F316,Ref!$K$2:$K$42))</f>
        <v>193</v>
      </c>
      <c r="AO316" s="65" t="n">
        <f aca="false">IF(L316="Renewal",1,0)</f>
        <v>0</v>
      </c>
      <c r="AP316" s="65" t="n">
        <f aca="false">AC316*AD316</f>
        <v>0</v>
      </c>
      <c r="AQ316" s="65" t="n">
        <f aca="false">IF(AND(G316&lt;&gt;"",'Historical Score'!$C$6&lt;&gt;""),IF(G316='Historical Score'!$C$6,1,0),0)</f>
        <v>0</v>
      </c>
      <c r="AR316" s="65" t="n">
        <f aca="false">IF(AND(L316&lt;&gt;"",'Historical Score'!$C$5&lt;&gt;""),IF(L316='Historical Score'!$C$5,1,0),0)</f>
        <v>1</v>
      </c>
      <c r="AS316" s="65" t="n">
        <f aca="false">IF(AND(Y316&lt;&gt;"",'Historical Score'!$C$7&lt;&gt;""),IF(Y316='Historical Score'!$C$7,1,0),0)</f>
        <v>0</v>
      </c>
      <c r="AT316" s="65" t="n">
        <f aca="false">IF(AND(K316&lt;&gt;"",'Historical Score'!$C$8&lt;&gt;""),IF(K316='Historical Score'!$C$8,1,0),0)</f>
        <v>0</v>
      </c>
      <c r="AU316" s="65" t="n">
        <f aca="false">IF(AND(J316&lt;&gt;"",'Historical Score'!$C$9&lt;&gt;""),IF(J316='Historical Score'!$C$9,1,0),0)</f>
        <v>0</v>
      </c>
      <c r="AV316" s="65" t="n">
        <f aca="false">AR316*AS316*AQ316</f>
        <v>0</v>
      </c>
      <c r="AW316" s="65" t="n">
        <f aca="false">AR316*AT316*AQ316</f>
        <v>0</v>
      </c>
      <c r="AX316" s="65" t="n">
        <f aca="false">AR316*AS316</f>
        <v>0</v>
      </c>
      <c r="AY316" s="65" t="n">
        <f aca="false">AR316*AT316</f>
        <v>0</v>
      </c>
      <c r="AZ316" s="65" t="n">
        <f aca="false">AR316*AQ316</f>
        <v>0</v>
      </c>
      <c r="BA316" s="65" t="n">
        <f aca="false">AR316</f>
        <v>1</v>
      </c>
      <c r="BB316" s="65" t="n">
        <f aca="false">1</f>
        <v>1</v>
      </c>
      <c r="BC316" s="65" t="n">
        <f aca="false">IF(AV316=1,1,IF(AW316=1,2,IF(AX316=1,3,IF(AY316=1,4,IF(AZ316=1,5,IF(BA316=1,6,7))))))</f>
        <v>6</v>
      </c>
      <c r="BD316" s="65" t="n">
        <f aca="false">IF(AD316=1,CHOOSE('Historical Score'!$C$29,AV316,AW316,AX316,AY316,AZ316,BA316,BB316),0)</f>
        <v>0</v>
      </c>
      <c r="BE316" s="65" t="str">
        <f aca="false">IF(BD316=1,COUNTIF($BD$2:BD316,1),"")</f>
        <v/>
      </c>
    </row>
    <row r="317" customFormat="false" ht="15" hidden="false" customHeight="false" outlineLevel="0" collapsed="false">
      <c r="A317" s="65" t="s">
        <v>1350</v>
      </c>
      <c r="B317" s="65" t="s">
        <v>1351</v>
      </c>
      <c r="C317" s="65" t="s">
        <v>1351</v>
      </c>
      <c r="D317" s="65" t="s">
        <v>371</v>
      </c>
      <c r="E317" s="112" t="n">
        <v>45959</v>
      </c>
      <c r="F317" s="112" t="n">
        <v>46090</v>
      </c>
      <c r="G317" s="65" t="n">
        <v>1</v>
      </c>
      <c r="H317" s="65" t="s">
        <v>1352</v>
      </c>
      <c r="I317" s="65" t="s">
        <v>657</v>
      </c>
      <c r="J317" s="65" t="s">
        <v>410</v>
      </c>
      <c r="K317" s="65" t="s">
        <v>961</v>
      </c>
      <c r="L317" s="65" t="s">
        <v>64</v>
      </c>
      <c r="M317" s="113" t="n">
        <v>1.46</v>
      </c>
      <c r="N317" s="114" t="n">
        <v>100000</v>
      </c>
      <c r="O317" s="114" t="n">
        <v>15000</v>
      </c>
      <c r="P317" s="114" t="n">
        <v>146000</v>
      </c>
      <c r="Q317" s="114" t="n">
        <v>146000</v>
      </c>
      <c r="R317" s="114" t="n">
        <v>0</v>
      </c>
      <c r="S317" s="115" t="n">
        <v>1</v>
      </c>
      <c r="T317" s="65" t="n">
        <v>32</v>
      </c>
      <c r="U317" s="65" t="n">
        <v>0</v>
      </c>
      <c r="V317" s="65" t="n">
        <v>356120.58</v>
      </c>
      <c r="W317" s="115" t="n">
        <v>0.0512</v>
      </c>
      <c r="X317" s="112" t="n">
        <v>43945</v>
      </c>
      <c r="Y317" s="65" t="str">
        <f aca="false">IF(I317="","No SIC",IFERROR(VLOOKUP(I317,Ref!$A$2:$B$65,2,FALSE()),"Unclassified"))</f>
        <v>Fabricated Metal Products</v>
      </c>
      <c r="Z317" s="65" t="str">
        <f aca="false">IF(T317="","",IF(T317&lt;12,"Daily","Weekly"))</f>
        <v>Weekly</v>
      </c>
      <c r="AA317" s="65" t="n">
        <f aca="false">IF(T317="",0,IF(T317&lt;12,T317*Controls!$B$29,T317*5))</f>
        <v>160</v>
      </c>
      <c r="AB317" s="65" t="n">
        <f aca="false">IF(E317="",0,NETWORKDAYS(E317,Controls!$B$36,Ref!$K$2:$K$42))</f>
        <v>207</v>
      </c>
      <c r="AC317" s="65" t="n">
        <f aca="false">IF(AND(AA317&gt;0,AB317&gt;=Controls!$B$39*AA317),1,0)</f>
        <v>1</v>
      </c>
      <c r="AD317" s="65" t="n">
        <f aca="false">IF(AND(E317&lt;&gt;"",E317&gt;=Controls!$B$37,E317&lt;=Controls!$B$38),1,0)</f>
        <v>1</v>
      </c>
      <c r="AE317" s="65" t="n">
        <f aca="false">IF(IFERROR(VLOOKUP(D317,Controls!$A$64:$E$74,2,FALSE()),"No")="Yes",1,0)</f>
        <v>0</v>
      </c>
      <c r="AF317" s="65" t="n">
        <f aca="false">IF(IFERROR(VLOOKUP(D317,Controls!$A$64:$E$74,3,FALSE()),"No")="Yes",1,0)</f>
        <v>1</v>
      </c>
      <c r="AG317" s="65" t="n">
        <f aca="false">IF(IFERROR(VLOOKUP(D317,Controls!$A$64:$E$74,4,FALSE()),"No")="Yes",1,0)</f>
        <v>1</v>
      </c>
      <c r="AH317" s="65" t="n">
        <f aca="false">IF(IFERROR(VLOOKUP(D317,Controls!$A$64:$E$74,5,FALSE()),"No")="Yes",1,0)</f>
        <v>0</v>
      </c>
      <c r="AI317" s="65" t="n">
        <f aca="false">IF(ISNUMBER(MATCH(D317,Controls!$A$64:$A$74,0)),1,0)</f>
        <v>1</v>
      </c>
      <c r="AJ317" s="65" t="n">
        <f aca="false">Q317-N317</f>
        <v>46000</v>
      </c>
      <c r="AK317" s="65" t="n">
        <f aca="false">IF(AE317=1,MAX(0,N317-Q317),0)</f>
        <v>0</v>
      </c>
      <c r="AL317" s="65" t="n">
        <f aca="false">IF(OR(V317="",V317=0),0,N317/V317)</f>
        <v>0.280803765960395</v>
      </c>
      <c r="AM317" s="65" t="n">
        <f aca="false">IF(OR(V317="",V317=0),0,1)</f>
        <v>1</v>
      </c>
      <c r="AN317" s="65" t="n">
        <f aca="false">IF(OR(E317="",F317=""),0,NETWORKDAYS(E317,F317,Ref!$K$2:$K$42))</f>
        <v>88</v>
      </c>
      <c r="AO317" s="65" t="n">
        <f aca="false">IF(L317="Renewal",1,0)</f>
        <v>0</v>
      </c>
      <c r="AP317" s="65" t="n">
        <f aca="false">AC317*AD317</f>
        <v>1</v>
      </c>
      <c r="AQ317" s="65" t="n">
        <f aca="false">IF(AND(G317&lt;&gt;"",'Historical Score'!$C$6&lt;&gt;""),IF(G317='Historical Score'!$C$6,1,0),0)</f>
        <v>0</v>
      </c>
      <c r="AR317" s="65" t="n">
        <f aca="false">IF(AND(L317&lt;&gt;"",'Historical Score'!$C$5&lt;&gt;""),IF(L317='Historical Score'!$C$5,1,0),0)</f>
        <v>1</v>
      </c>
      <c r="AS317" s="65" t="n">
        <f aca="false">IF(AND(Y317&lt;&gt;"",'Historical Score'!$C$7&lt;&gt;""),IF(Y317='Historical Score'!$C$7,1,0),0)</f>
        <v>0</v>
      </c>
      <c r="AT317" s="65" t="n">
        <f aca="false">IF(AND(K317&lt;&gt;"",'Historical Score'!$C$8&lt;&gt;""),IF(K317='Historical Score'!$C$8,1,0),0)</f>
        <v>0</v>
      </c>
      <c r="AU317" s="65" t="n">
        <f aca="false">IF(AND(J317&lt;&gt;"",'Historical Score'!$C$9&lt;&gt;""),IF(J317='Historical Score'!$C$9,1,0),0)</f>
        <v>0</v>
      </c>
      <c r="AV317" s="65" t="n">
        <f aca="false">AR317*AS317*AQ317</f>
        <v>0</v>
      </c>
      <c r="AW317" s="65" t="n">
        <f aca="false">AR317*AT317*AQ317</f>
        <v>0</v>
      </c>
      <c r="AX317" s="65" t="n">
        <f aca="false">AR317*AS317</f>
        <v>0</v>
      </c>
      <c r="AY317" s="65" t="n">
        <f aca="false">AR317*AT317</f>
        <v>0</v>
      </c>
      <c r="AZ317" s="65" t="n">
        <f aca="false">AR317*AQ317</f>
        <v>0</v>
      </c>
      <c r="BA317" s="65" t="n">
        <f aca="false">AR317</f>
        <v>1</v>
      </c>
      <c r="BB317" s="65" t="n">
        <f aca="false">1</f>
        <v>1</v>
      </c>
      <c r="BC317" s="65" t="n">
        <f aca="false">IF(AV317=1,1,IF(AW317=1,2,IF(AX317=1,3,IF(AY317=1,4,IF(AZ317=1,5,IF(BA317=1,6,7))))))</f>
        <v>6</v>
      </c>
      <c r="BD317" s="65" t="n">
        <f aca="false">IF(AD317=1,CHOOSE('Historical Score'!$C$29,AV317,AW317,AX317,AY317,AZ317,BA317,BB317),0)</f>
        <v>0</v>
      </c>
      <c r="BE317" s="65" t="str">
        <f aca="false">IF(BD317=1,COUNTIF($BD$2:BD317,1),"")</f>
        <v/>
      </c>
    </row>
    <row r="318" customFormat="false" ht="15" hidden="false" customHeight="false" outlineLevel="0" collapsed="false">
      <c r="A318" s="65" t="s">
        <v>1353</v>
      </c>
      <c r="B318" s="65" t="s">
        <v>1033</v>
      </c>
      <c r="C318" s="65" t="s">
        <v>1033</v>
      </c>
      <c r="D318" s="65" t="s">
        <v>295</v>
      </c>
      <c r="E318" s="112" t="n">
        <v>45960</v>
      </c>
      <c r="F318" s="112" t="n">
        <v>46248</v>
      </c>
      <c r="G318" s="65" t="n">
        <v>3</v>
      </c>
      <c r="H318" s="65" t="s">
        <v>748</v>
      </c>
      <c r="I318" s="65" t="s">
        <v>619</v>
      </c>
      <c r="J318" s="65" t="s">
        <v>386</v>
      </c>
      <c r="K318" s="65" t="s">
        <v>394</v>
      </c>
      <c r="L318" s="65" t="s">
        <v>320</v>
      </c>
      <c r="M318" s="113" t="n">
        <v>1.43</v>
      </c>
      <c r="N318" s="114" t="n">
        <v>20000</v>
      </c>
      <c r="O318" s="114" t="n">
        <v>2200</v>
      </c>
      <c r="P318" s="114" t="n">
        <v>28600</v>
      </c>
      <c r="Q318" s="114" t="n">
        <v>17468.76</v>
      </c>
      <c r="R318" s="114" t="n">
        <v>11131.24</v>
      </c>
      <c r="S318" s="115" t="n">
        <v>0.610795804195804</v>
      </c>
      <c r="T318" s="65" t="n">
        <v>3.279</v>
      </c>
      <c r="U318" s="65" t="n">
        <v>0</v>
      </c>
      <c r="V318" s="65" t="n">
        <v>33782.45</v>
      </c>
      <c r="W318" s="115" t="n">
        <v>0.1778</v>
      </c>
      <c r="X318" s="112"/>
      <c r="Y318" s="65" t="str">
        <f aca="false">IF(I318="","No SIC",IFERROR(VLOOKUP(I318,Ref!$A$2:$B$65,2,FALSE()),"Unclassified"))</f>
        <v>Miscellaneous Retail</v>
      </c>
      <c r="Z318" s="65" t="str">
        <f aca="false">IF(T318="","",IF(T318&lt;12,"Daily","Weekly"))</f>
        <v>Daily</v>
      </c>
      <c r="AA318" s="65" t="n">
        <f aca="false">IF(T318="",0,IF(T318&lt;12,T318*Controls!$B$29,T318*5))</f>
        <v>71.006745</v>
      </c>
      <c r="AB318" s="65" t="n">
        <f aca="false">IF(E318="",0,NETWORKDAYS(E318,Controls!$B$36,Ref!$K$2:$K$42))</f>
        <v>206</v>
      </c>
      <c r="AC318" s="65" t="n">
        <f aca="false">IF(AND(AA318&gt;0,AB318&gt;=Controls!$B$39*AA318),1,0)</f>
        <v>1</v>
      </c>
      <c r="AD318" s="65" t="n">
        <f aca="false">IF(AND(E318&lt;&gt;"",E318&gt;=Controls!$B$37,E318&lt;=Controls!$B$38),1,0)</f>
        <v>1</v>
      </c>
      <c r="AE318" s="65" t="n">
        <f aca="false">IF(IFERROR(VLOOKUP(D318,Controls!$A$64:$E$74,2,FALSE()),"No")="Yes",1,0)</f>
        <v>0</v>
      </c>
      <c r="AF318" s="65" t="n">
        <f aca="false">IF(IFERROR(VLOOKUP(D318,Controls!$A$64:$E$74,3,FALSE()),"No")="Yes",1,0)</f>
        <v>0</v>
      </c>
      <c r="AG318" s="65" t="n">
        <f aca="false">IF(IFERROR(VLOOKUP(D318,Controls!$A$64:$E$74,4,FALSE()),"No")="Yes",1,0)</f>
        <v>0</v>
      </c>
      <c r="AH318" s="65" t="n">
        <f aca="false">IF(IFERROR(VLOOKUP(D318,Controls!$A$64:$E$74,5,FALSE()),"No")="Yes",1,0)</f>
        <v>1</v>
      </c>
      <c r="AI318" s="65" t="n">
        <f aca="false">IF(ISNUMBER(MATCH(D318,Controls!$A$64:$A$74,0)),1,0)</f>
        <v>1</v>
      </c>
      <c r="AJ318" s="65" t="n">
        <f aca="false">Q318-N318</f>
        <v>-2531.24</v>
      </c>
      <c r="AK318" s="65" t="n">
        <f aca="false">IF(AE318=1,MAX(0,N318-Q318),0)</f>
        <v>0</v>
      </c>
      <c r="AL318" s="65" t="n">
        <f aca="false">IF(OR(V318="",V318=0),0,N318/V318)</f>
        <v>0.592023373082769</v>
      </c>
      <c r="AM318" s="65" t="n">
        <f aca="false">IF(OR(V318="",V318=0),0,1)</f>
        <v>1</v>
      </c>
      <c r="AN318" s="65" t="n">
        <f aca="false">IF(OR(E318="",F318=""),0,NETWORKDAYS(E318,F318,Ref!$K$2:$K$42))</f>
        <v>199</v>
      </c>
      <c r="AO318" s="65" t="n">
        <f aca="false">IF(L318="Renewal",1,0)</f>
        <v>1</v>
      </c>
      <c r="AP318" s="65" t="n">
        <f aca="false">AC318*AD318</f>
        <v>1</v>
      </c>
      <c r="AQ318" s="65" t="n">
        <f aca="false">IF(AND(G318&lt;&gt;"",'Historical Score'!$C$6&lt;&gt;""),IF(G318='Historical Score'!$C$6,1,0),0)</f>
        <v>0</v>
      </c>
      <c r="AR318" s="65" t="n">
        <f aca="false">IF(AND(L318&lt;&gt;"",'Historical Score'!$C$5&lt;&gt;""),IF(L318='Historical Score'!$C$5,1,0),0)</f>
        <v>0</v>
      </c>
      <c r="AS318" s="65" t="n">
        <f aca="false">IF(AND(Y318&lt;&gt;"",'Historical Score'!$C$7&lt;&gt;""),IF(Y318='Historical Score'!$C$7,1,0),0)</f>
        <v>0</v>
      </c>
      <c r="AT318" s="65" t="n">
        <f aca="false">IF(AND(K318&lt;&gt;"",'Historical Score'!$C$8&lt;&gt;""),IF(K318='Historical Score'!$C$8,1,0),0)</f>
        <v>0</v>
      </c>
      <c r="AU318" s="65" t="n">
        <f aca="false">IF(AND(J318&lt;&gt;"",'Historical Score'!$C$9&lt;&gt;""),IF(J318='Historical Score'!$C$9,1,0),0)</f>
        <v>0</v>
      </c>
      <c r="AV318" s="65" t="n">
        <f aca="false">AR318*AS318*AQ318</f>
        <v>0</v>
      </c>
      <c r="AW318" s="65" t="n">
        <f aca="false">AR318*AT318*AQ318</f>
        <v>0</v>
      </c>
      <c r="AX318" s="65" t="n">
        <f aca="false">AR318*AS318</f>
        <v>0</v>
      </c>
      <c r="AY318" s="65" t="n">
        <f aca="false">AR318*AT318</f>
        <v>0</v>
      </c>
      <c r="AZ318" s="65" t="n">
        <f aca="false">AR318*AQ318</f>
        <v>0</v>
      </c>
      <c r="BA318" s="65" t="n">
        <f aca="false">AR318</f>
        <v>0</v>
      </c>
      <c r="BB318" s="65" t="n">
        <f aca="false">1</f>
        <v>1</v>
      </c>
      <c r="BC318" s="65" t="n">
        <f aca="false">IF(AV318=1,1,IF(AW318=1,2,IF(AX318=1,3,IF(AY318=1,4,IF(AZ318=1,5,IF(BA318=1,6,7))))))</f>
        <v>7</v>
      </c>
      <c r="BD318" s="65" t="n">
        <f aca="false">IF(AD318=1,CHOOSE('Historical Score'!$C$29,AV318,AW318,AX318,AY318,AZ318,BA318,BB318),0)</f>
        <v>0</v>
      </c>
      <c r="BE318" s="65" t="str">
        <f aca="false">IF(BD318=1,COUNTIF($BD$2:BD318,1),"")</f>
        <v/>
      </c>
    </row>
    <row r="319" customFormat="false" ht="15" hidden="false" customHeight="false" outlineLevel="0" collapsed="false">
      <c r="A319" s="65" t="s">
        <v>1354</v>
      </c>
      <c r="B319" s="65" t="s">
        <v>1355</v>
      </c>
      <c r="C319" s="65" t="s">
        <v>1355</v>
      </c>
      <c r="D319" s="65" t="s">
        <v>340</v>
      </c>
      <c r="E319" s="112" t="n">
        <v>45960</v>
      </c>
      <c r="F319" s="112" t="n">
        <v>46056</v>
      </c>
      <c r="G319" s="65" t="n">
        <v>4</v>
      </c>
      <c r="H319" s="65" t="s">
        <v>1356</v>
      </c>
      <c r="I319" s="65" t="s">
        <v>1357</v>
      </c>
      <c r="J319" s="65" t="s">
        <v>452</v>
      </c>
      <c r="K319" s="65" t="s">
        <v>1358</v>
      </c>
      <c r="L319" s="65" t="s">
        <v>64</v>
      </c>
      <c r="M319" s="113" t="n">
        <v>1.499</v>
      </c>
      <c r="N319" s="114" t="n">
        <v>10000</v>
      </c>
      <c r="O319" s="114" t="n">
        <v>1400</v>
      </c>
      <c r="P319" s="114" t="n">
        <v>14990</v>
      </c>
      <c r="Q319" s="114" t="n">
        <v>5512.16</v>
      </c>
      <c r="R319" s="114" t="n">
        <v>9477.84</v>
      </c>
      <c r="S319" s="115" t="n">
        <v>0.367722481654436</v>
      </c>
      <c r="T319" s="65" t="n">
        <v>2.787</v>
      </c>
      <c r="U319" s="65" t="n">
        <v>25</v>
      </c>
      <c r="V319" s="65" t="n">
        <v>82025.95</v>
      </c>
      <c r="W319" s="115" t="n">
        <v>0.0448</v>
      </c>
      <c r="X319" s="112" t="n">
        <v>44317</v>
      </c>
      <c r="Y319" s="65" t="str">
        <f aca="false">IF(I319="","No SIC",IFERROR(VLOOKUP(I319,Ref!$A$2:$B$65,2,FALSE()),"Unclassified"))</f>
        <v>Insurance Carriers</v>
      </c>
      <c r="Z319" s="65" t="str">
        <f aca="false">IF(T319="","",IF(T319&lt;12,"Daily","Weekly"))</f>
        <v>Daily</v>
      </c>
      <c r="AA319" s="65" t="n">
        <f aca="false">IF(T319="",0,IF(T319&lt;12,T319*Controls!$B$29,T319*5))</f>
        <v>60.352485</v>
      </c>
      <c r="AB319" s="65" t="n">
        <f aca="false">IF(E319="",0,NETWORKDAYS(E319,Controls!$B$36,Ref!$K$2:$K$42))</f>
        <v>206</v>
      </c>
      <c r="AC319" s="65" t="n">
        <f aca="false">IF(AND(AA319&gt;0,AB319&gt;=Controls!$B$39*AA319),1,0)</f>
        <v>1</v>
      </c>
      <c r="AD319" s="65" t="n">
        <f aca="false">IF(AND(E319&lt;&gt;"",E319&gt;=Controls!$B$37,E319&lt;=Controls!$B$38),1,0)</f>
        <v>1</v>
      </c>
      <c r="AE319" s="65" t="n">
        <f aca="false">IF(IFERROR(VLOOKUP(D319,Controls!$A$64:$E$74,2,FALSE()),"No")="Yes",1,0)</f>
        <v>1</v>
      </c>
      <c r="AF319" s="65" t="n">
        <f aca="false">IF(IFERROR(VLOOKUP(D319,Controls!$A$64:$E$74,3,FALSE()),"No")="Yes",1,0)</f>
        <v>0</v>
      </c>
      <c r="AG319" s="65" t="n">
        <f aca="false">IF(IFERROR(VLOOKUP(D319,Controls!$A$64:$E$74,4,FALSE()),"No")="Yes",1,0)</f>
        <v>0</v>
      </c>
      <c r="AH319" s="65" t="n">
        <f aca="false">IF(IFERROR(VLOOKUP(D319,Controls!$A$64:$E$74,5,FALSE()),"No")="Yes",1,0)</f>
        <v>0</v>
      </c>
      <c r="AI319" s="65" t="n">
        <f aca="false">IF(ISNUMBER(MATCH(D319,Controls!$A$64:$A$74,0)),1,0)</f>
        <v>1</v>
      </c>
      <c r="AJ319" s="65" t="n">
        <f aca="false">Q319-N319</f>
        <v>-4487.84</v>
      </c>
      <c r="AK319" s="65" t="n">
        <f aca="false">IF(AE319=1,MAX(0,N319-Q319),0)</f>
        <v>4487.84</v>
      </c>
      <c r="AL319" s="65" t="n">
        <f aca="false">IF(OR(V319="",V319=0),0,N319/V319)</f>
        <v>0.12191263862229</v>
      </c>
      <c r="AM319" s="65" t="n">
        <f aca="false">IF(OR(V319="",V319=0),0,1)</f>
        <v>1</v>
      </c>
      <c r="AN319" s="65" t="n">
        <f aca="false">IF(OR(E319="",F319=""),0,NETWORKDAYS(E319,F319,Ref!$K$2:$K$42))</f>
        <v>64</v>
      </c>
      <c r="AO319" s="65" t="n">
        <f aca="false">IF(L319="Renewal",1,0)</f>
        <v>0</v>
      </c>
      <c r="AP319" s="65" t="n">
        <f aca="false">AC319*AD319</f>
        <v>1</v>
      </c>
      <c r="AQ319" s="65" t="n">
        <f aca="false">IF(AND(G319&lt;&gt;"",'Historical Score'!$C$6&lt;&gt;""),IF(G319='Historical Score'!$C$6,1,0),0)</f>
        <v>0</v>
      </c>
      <c r="AR319" s="65" t="n">
        <f aca="false">IF(AND(L319&lt;&gt;"",'Historical Score'!$C$5&lt;&gt;""),IF(L319='Historical Score'!$C$5,1,0),0)</f>
        <v>1</v>
      </c>
      <c r="AS319" s="65" t="n">
        <f aca="false">IF(AND(Y319&lt;&gt;"",'Historical Score'!$C$7&lt;&gt;""),IF(Y319='Historical Score'!$C$7,1,0),0)</f>
        <v>0</v>
      </c>
      <c r="AT319" s="65" t="n">
        <f aca="false">IF(AND(K319&lt;&gt;"",'Historical Score'!$C$8&lt;&gt;""),IF(K319='Historical Score'!$C$8,1,0),0)</f>
        <v>0</v>
      </c>
      <c r="AU319" s="65" t="n">
        <f aca="false">IF(AND(J319&lt;&gt;"",'Historical Score'!$C$9&lt;&gt;""),IF(J319='Historical Score'!$C$9,1,0),0)</f>
        <v>0</v>
      </c>
      <c r="AV319" s="65" t="n">
        <f aca="false">AR319*AS319*AQ319</f>
        <v>0</v>
      </c>
      <c r="AW319" s="65" t="n">
        <f aca="false">AR319*AT319*AQ319</f>
        <v>0</v>
      </c>
      <c r="AX319" s="65" t="n">
        <f aca="false">AR319*AS319</f>
        <v>0</v>
      </c>
      <c r="AY319" s="65" t="n">
        <f aca="false">AR319*AT319</f>
        <v>0</v>
      </c>
      <c r="AZ319" s="65" t="n">
        <f aca="false">AR319*AQ319</f>
        <v>0</v>
      </c>
      <c r="BA319" s="65" t="n">
        <f aca="false">AR319</f>
        <v>1</v>
      </c>
      <c r="BB319" s="65" t="n">
        <f aca="false">1</f>
        <v>1</v>
      </c>
      <c r="BC319" s="65" t="n">
        <f aca="false">IF(AV319=1,1,IF(AW319=1,2,IF(AX319=1,3,IF(AY319=1,4,IF(AZ319=1,5,IF(BA319=1,6,7))))))</f>
        <v>6</v>
      </c>
      <c r="BD319" s="65" t="n">
        <f aca="false">IF(AD319=1,CHOOSE('Historical Score'!$C$29,AV319,AW319,AX319,AY319,AZ319,BA319,BB319),0)</f>
        <v>0</v>
      </c>
      <c r="BE319" s="65" t="str">
        <f aca="false">IF(BD319=1,COUNTIF($BD$2:BD319,1),"")</f>
        <v/>
      </c>
    </row>
    <row r="320" customFormat="false" ht="15" hidden="false" customHeight="false" outlineLevel="0" collapsed="false">
      <c r="A320" s="65" t="s">
        <v>1359</v>
      </c>
      <c r="B320" s="65" t="s">
        <v>1360</v>
      </c>
      <c r="C320" s="65" t="s">
        <v>1361</v>
      </c>
      <c r="D320" s="65" t="s">
        <v>340</v>
      </c>
      <c r="E320" s="112" t="n">
        <v>45960</v>
      </c>
      <c r="F320" s="112" t="n">
        <v>45980</v>
      </c>
      <c r="G320" s="65" t="n">
        <v>2</v>
      </c>
      <c r="H320" s="65" t="s">
        <v>409</v>
      </c>
      <c r="I320" s="65" t="s">
        <v>342</v>
      </c>
      <c r="J320" s="65" t="s">
        <v>350</v>
      </c>
      <c r="K320" s="65" t="s">
        <v>1076</v>
      </c>
      <c r="L320" s="65" t="s">
        <v>64</v>
      </c>
      <c r="M320" s="113" t="n">
        <v>1.499</v>
      </c>
      <c r="N320" s="114" t="n">
        <v>35000</v>
      </c>
      <c r="O320" s="114" t="n">
        <v>0</v>
      </c>
      <c r="P320" s="114" t="n">
        <v>52465</v>
      </c>
      <c r="Q320" s="114" t="n">
        <v>579.35</v>
      </c>
      <c r="R320" s="114" t="n">
        <v>51885.65</v>
      </c>
      <c r="S320" s="115" t="n">
        <v>0.0110425998284571</v>
      </c>
      <c r="T320" s="65" t="n">
        <v>2.951</v>
      </c>
      <c r="U320" s="65" t="n">
        <v>12</v>
      </c>
      <c r="V320" s="65" t="n">
        <v>111823.08</v>
      </c>
      <c r="W320" s="115" t="n">
        <v>0.1088</v>
      </c>
      <c r="X320" s="112" t="n">
        <v>39741</v>
      </c>
      <c r="Y320" s="65" t="str">
        <f aca="false">IF(I320="","No SIC",IFERROR(VLOOKUP(I320,Ref!$A$2:$B$65,2,FALSE()),"Unclassified"))</f>
        <v>Eating &amp; Drinking Places</v>
      </c>
      <c r="Z320" s="65" t="str">
        <f aca="false">IF(T320="","",IF(T320&lt;12,"Daily","Weekly"))</f>
        <v>Daily</v>
      </c>
      <c r="AA320" s="65" t="n">
        <f aca="false">IF(T320="",0,IF(T320&lt;12,T320*Controls!$B$29,T320*5))</f>
        <v>63.903905</v>
      </c>
      <c r="AB320" s="65" t="n">
        <f aca="false">IF(E320="",0,NETWORKDAYS(E320,Controls!$B$36,Ref!$K$2:$K$42))</f>
        <v>206</v>
      </c>
      <c r="AC320" s="65" t="n">
        <f aca="false">IF(AND(AA320&gt;0,AB320&gt;=Controls!$B$39*AA320),1,0)</f>
        <v>1</v>
      </c>
      <c r="AD320" s="65" t="n">
        <f aca="false">IF(AND(E320&lt;&gt;"",E320&gt;=Controls!$B$37,E320&lt;=Controls!$B$38),1,0)</f>
        <v>1</v>
      </c>
      <c r="AE320" s="65" t="n">
        <f aca="false">IF(IFERROR(VLOOKUP(D320,Controls!$A$64:$E$74,2,FALSE()),"No")="Yes",1,0)</f>
        <v>1</v>
      </c>
      <c r="AF320" s="65" t="n">
        <f aca="false">IF(IFERROR(VLOOKUP(D320,Controls!$A$64:$E$74,3,FALSE()),"No")="Yes",1,0)</f>
        <v>0</v>
      </c>
      <c r="AG320" s="65" t="n">
        <f aca="false">IF(IFERROR(VLOOKUP(D320,Controls!$A$64:$E$74,4,FALSE()),"No")="Yes",1,0)</f>
        <v>0</v>
      </c>
      <c r="AH320" s="65" t="n">
        <f aca="false">IF(IFERROR(VLOOKUP(D320,Controls!$A$64:$E$74,5,FALSE()),"No")="Yes",1,0)</f>
        <v>0</v>
      </c>
      <c r="AI320" s="65" t="n">
        <f aca="false">IF(ISNUMBER(MATCH(D320,Controls!$A$64:$A$74,0)),1,0)</f>
        <v>1</v>
      </c>
      <c r="AJ320" s="65" t="n">
        <f aca="false">Q320-N320</f>
        <v>-34420.65</v>
      </c>
      <c r="AK320" s="65" t="n">
        <f aca="false">IF(AE320=1,MAX(0,N320-Q320),0)</f>
        <v>34420.65</v>
      </c>
      <c r="AL320" s="65" t="n">
        <f aca="false">IF(OR(V320="",V320=0),0,N320/V320)</f>
        <v>0.312994419398929</v>
      </c>
      <c r="AM320" s="65" t="n">
        <f aca="false">IF(OR(V320="",V320=0),0,1)</f>
        <v>1</v>
      </c>
      <c r="AN320" s="65" t="n">
        <f aca="false">IF(OR(E320="",F320=""),0,NETWORKDAYS(E320,F320,Ref!$K$2:$K$42))</f>
        <v>14</v>
      </c>
      <c r="AO320" s="65" t="n">
        <f aca="false">IF(L320="Renewal",1,0)</f>
        <v>0</v>
      </c>
      <c r="AP320" s="65" t="n">
        <f aca="false">AC320*AD320</f>
        <v>1</v>
      </c>
      <c r="AQ320" s="65" t="n">
        <f aca="false">IF(AND(G320&lt;&gt;"",'Historical Score'!$C$6&lt;&gt;""),IF(G320='Historical Score'!$C$6,1,0),0)</f>
        <v>1</v>
      </c>
      <c r="AR320" s="65" t="n">
        <f aca="false">IF(AND(L320&lt;&gt;"",'Historical Score'!$C$5&lt;&gt;""),IF(L320='Historical Score'!$C$5,1,0),0)</f>
        <v>1</v>
      </c>
      <c r="AS320" s="65" t="n">
        <f aca="false">IF(AND(Y320&lt;&gt;"",'Historical Score'!$C$7&lt;&gt;""),IF(Y320='Historical Score'!$C$7,1,0),0)</f>
        <v>0</v>
      </c>
      <c r="AT320" s="65" t="n">
        <f aca="false">IF(AND(K320&lt;&gt;"",'Historical Score'!$C$8&lt;&gt;""),IF(K320='Historical Score'!$C$8,1,0),0)</f>
        <v>0</v>
      </c>
      <c r="AU320" s="65" t="n">
        <f aca="false">IF(AND(J320&lt;&gt;"",'Historical Score'!$C$9&lt;&gt;""),IF(J320='Historical Score'!$C$9,1,0),0)</f>
        <v>0</v>
      </c>
      <c r="AV320" s="65" t="n">
        <f aca="false">AR320*AS320*AQ320</f>
        <v>0</v>
      </c>
      <c r="AW320" s="65" t="n">
        <f aca="false">AR320*AT320*AQ320</f>
        <v>0</v>
      </c>
      <c r="AX320" s="65" t="n">
        <f aca="false">AR320*AS320</f>
        <v>0</v>
      </c>
      <c r="AY320" s="65" t="n">
        <f aca="false">AR320*AT320</f>
        <v>0</v>
      </c>
      <c r="AZ320" s="65" t="n">
        <f aca="false">AR320*AQ320</f>
        <v>1</v>
      </c>
      <c r="BA320" s="65" t="n">
        <f aca="false">AR320</f>
        <v>1</v>
      </c>
      <c r="BB320" s="65" t="n">
        <f aca="false">1</f>
        <v>1</v>
      </c>
      <c r="BC320" s="65" t="n">
        <f aca="false">IF(AV320=1,1,IF(AW320=1,2,IF(AX320=1,3,IF(AY320=1,4,IF(AZ320=1,5,IF(BA320=1,6,7))))))</f>
        <v>5</v>
      </c>
      <c r="BD320" s="65" t="n">
        <f aca="false">IF(AD320=1,CHOOSE('Historical Score'!$C$29,AV320,AW320,AX320,AY320,AZ320,BA320,BB320),0)</f>
        <v>0</v>
      </c>
      <c r="BE320" s="65" t="str">
        <f aca="false">IF(BD320=1,COUNTIF($BD$2:BD320,1),"")</f>
        <v/>
      </c>
    </row>
    <row r="321" customFormat="false" ht="15" hidden="false" customHeight="false" outlineLevel="0" collapsed="false">
      <c r="A321" s="65" t="s">
        <v>1362</v>
      </c>
      <c r="B321" s="65" t="s">
        <v>1363</v>
      </c>
      <c r="C321" s="65" t="s">
        <v>1363</v>
      </c>
      <c r="D321" s="65" t="s">
        <v>340</v>
      </c>
      <c r="E321" s="112" t="n">
        <v>45961</v>
      </c>
      <c r="F321" s="112" t="n">
        <v>46111</v>
      </c>
      <c r="G321" s="65" t="n">
        <v>1</v>
      </c>
      <c r="H321" s="65" t="s">
        <v>348</v>
      </c>
      <c r="I321" s="65" t="s">
        <v>349</v>
      </c>
      <c r="J321" s="65" t="s">
        <v>61</v>
      </c>
      <c r="K321" s="65" t="s">
        <v>961</v>
      </c>
      <c r="L321" s="65" t="s">
        <v>64</v>
      </c>
      <c r="M321" s="113" t="n">
        <v>1.34</v>
      </c>
      <c r="N321" s="114" t="n">
        <v>45000</v>
      </c>
      <c r="O321" s="114" t="n">
        <v>3600</v>
      </c>
      <c r="P321" s="114" t="n">
        <v>60300</v>
      </c>
      <c r="Q321" s="114" t="n">
        <v>14393</v>
      </c>
      <c r="R321" s="114" t="n">
        <v>45907</v>
      </c>
      <c r="S321" s="115" t="n">
        <v>0.238689883913765</v>
      </c>
      <c r="T321" s="65" t="n">
        <v>36</v>
      </c>
      <c r="U321" s="65" t="n">
        <v>7</v>
      </c>
      <c r="V321" s="65" t="n">
        <v>128687</v>
      </c>
      <c r="W321" s="115" t="n">
        <v>0.0558</v>
      </c>
      <c r="X321" s="112" t="n">
        <v>40661</v>
      </c>
      <c r="Y321" s="65" t="str">
        <f aca="false">IF(I321="","No SIC",IFERROR(VLOOKUP(I321,Ref!$A$2:$B$65,2,FALSE()),"Unclassified"))</f>
        <v>Nonmetallic Minerals Mining</v>
      </c>
      <c r="Z321" s="65" t="str">
        <f aca="false">IF(T321="","",IF(T321&lt;12,"Daily","Weekly"))</f>
        <v>Weekly</v>
      </c>
      <c r="AA321" s="65" t="n">
        <f aca="false">IF(T321="",0,IF(T321&lt;12,T321*Controls!$B$29,T321*5))</f>
        <v>180</v>
      </c>
      <c r="AB321" s="65" t="n">
        <f aca="false">IF(E321="",0,NETWORKDAYS(E321,Controls!$B$36,Ref!$K$2:$K$42))</f>
        <v>205</v>
      </c>
      <c r="AC321" s="65" t="n">
        <f aca="false">IF(AND(AA321&gt;0,AB321&gt;=Controls!$B$39*AA321),1,0)</f>
        <v>0</v>
      </c>
      <c r="AD321" s="65" t="n">
        <f aca="false">IF(AND(E321&lt;&gt;"",E321&gt;=Controls!$B$37,E321&lt;=Controls!$B$38),1,0)</f>
        <v>1</v>
      </c>
      <c r="AE321" s="65" t="n">
        <f aca="false">IF(IFERROR(VLOOKUP(D321,Controls!$A$64:$E$74,2,FALSE()),"No")="Yes",1,0)</f>
        <v>1</v>
      </c>
      <c r="AF321" s="65" t="n">
        <f aca="false">IF(IFERROR(VLOOKUP(D321,Controls!$A$64:$E$74,3,FALSE()),"No")="Yes",1,0)</f>
        <v>0</v>
      </c>
      <c r="AG321" s="65" t="n">
        <f aca="false">IF(IFERROR(VLOOKUP(D321,Controls!$A$64:$E$74,4,FALSE()),"No")="Yes",1,0)</f>
        <v>0</v>
      </c>
      <c r="AH321" s="65" t="n">
        <f aca="false">IF(IFERROR(VLOOKUP(D321,Controls!$A$64:$E$74,5,FALSE()),"No")="Yes",1,0)</f>
        <v>0</v>
      </c>
      <c r="AI321" s="65" t="n">
        <f aca="false">IF(ISNUMBER(MATCH(D321,Controls!$A$64:$A$74,0)),1,0)</f>
        <v>1</v>
      </c>
      <c r="AJ321" s="65" t="n">
        <f aca="false">Q321-N321</f>
        <v>-30607</v>
      </c>
      <c r="AK321" s="65" t="n">
        <f aca="false">IF(AE321=1,MAX(0,N321-Q321),0)</f>
        <v>30607</v>
      </c>
      <c r="AL321" s="65" t="n">
        <f aca="false">IF(OR(V321="",V321=0),0,N321/V321)</f>
        <v>0.349685671435343</v>
      </c>
      <c r="AM321" s="65" t="n">
        <f aca="false">IF(OR(V321="",V321=0),0,1)</f>
        <v>1</v>
      </c>
      <c r="AN321" s="65" t="n">
        <f aca="false">IF(OR(E321="",F321=""),0,NETWORKDAYS(E321,F321,Ref!$K$2:$K$42))</f>
        <v>101</v>
      </c>
      <c r="AO321" s="65" t="n">
        <f aca="false">IF(L321="Renewal",1,0)</f>
        <v>0</v>
      </c>
      <c r="AP321" s="65" t="n">
        <f aca="false">AC321*AD321</f>
        <v>0</v>
      </c>
      <c r="AQ321" s="65" t="n">
        <f aca="false">IF(AND(G321&lt;&gt;"",'Historical Score'!$C$6&lt;&gt;""),IF(G321='Historical Score'!$C$6,1,0),0)</f>
        <v>0</v>
      </c>
      <c r="AR321" s="65" t="n">
        <f aca="false">IF(AND(L321&lt;&gt;"",'Historical Score'!$C$5&lt;&gt;""),IF(L321='Historical Score'!$C$5,1,0),0)</f>
        <v>1</v>
      </c>
      <c r="AS321" s="65" t="n">
        <f aca="false">IF(AND(Y321&lt;&gt;"",'Historical Score'!$C$7&lt;&gt;""),IF(Y321='Historical Score'!$C$7,1,0),0)</f>
        <v>0</v>
      </c>
      <c r="AT321" s="65" t="n">
        <f aca="false">IF(AND(K321&lt;&gt;"",'Historical Score'!$C$8&lt;&gt;""),IF(K321='Historical Score'!$C$8,1,0),0)</f>
        <v>0</v>
      </c>
      <c r="AU321" s="65" t="n">
        <f aca="false">IF(AND(J321&lt;&gt;"",'Historical Score'!$C$9&lt;&gt;""),IF(J321='Historical Score'!$C$9,1,0),0)</f>
        <v>1</v>
      </c>
      <c r="AV321" s="65" t="n">
        <f aca="false">AR321*AS321*AQ321</f>
        <v>0</v>
      </c>
      <c r="AW321" s="65" t="n">
        <f aca="false">AR321*AT321*AQ321</f>
        <v>0</v>
      </c>
      <c r="AX321" s="65" t="n">
        <f aca="false">AR321*AS321</f>
        <v>0</v>
      </c>
      <c r="AY321" s="65" t="n">
        <f aca="false">AR321*AT321</f>
        <v>0</v>
      </c>
      <c r="AZ321" s="65" t="n">
        <f aca="false">AR321*AQ321</f>
        <v>0</v>
      </c>
      <c r="BA321" s="65" t="n">
        <f aca="false">AR321</f>
        <v>1</v>
      </c>
      <c r="BB321" s="65" t="n">
        <f aca="false">1</f>
        <v>1</v>
      </c>
      <c r="BC321" s="65" t="n">
        <f aca="false">IF(AV321=1,1,IF(AW321=1,2,IF(AX321=1,3,IF(AY321=1,4,IF(AZ321=1,5,IF(BA321=1,6,7))))))</f>
        <v>6</v>
      </c>
      <c r="BD321" s="65" t="n">
        <f aca="false">IF(AD321=1,CHOOSE('Historical Score'!$C$29,AV321,AW321,AX321,AY321,AZ321,BA321,BB321),0)</f>
        <v>0</v>
      </c>
      <c r="BE321" s="65" t="str">
        <f aca="false">IF(BD321=1,COUNTIF($BD$2:BD321,1),"")</f>
        <v/>
      </c>
    </row>
    <row r="322" customFormat="false" ht="15" hidden="false" customHeight="false" outlineLevel="0" collapsed="false">
      <c r="A322" s="65" t="s">
        <v>1364</v>
      </c>
      <c r="B322" s="65" t="s">
        <v>1365</v>
      </c>
      <c r="C322" s="65" t="s">
        <v>1366</v>
      </c>
      <c r="D322" s="65" t="s">
        <v>371</v>
      </c>
      <c r="E322" s="112" t="n">
        <v>45961</v>
      </c>
      <c r="F322" s="112" t="n">
        <v>46125</v>
      </c>
      <c r="G322" s="65" t="n">
        <v>2</v>
      </c>
      <c r="H322" s="65" t="s">
        <v>1055</v>
      </c>
      <c r="I322" s="65" t="s">
        <v>643</v>
      </c>
      <c r="J322" s="65" t="s">
        <v>452</v>
      </c>
      <c r="K322" s="65" t="s">
        <v>961</v>
      </c>
      <c r="L322" s="65" t="s">
        <v>64</v>
      </c>
      <c r="M322" s="113" t="n">
        <v>1.4</v>
      </c>
      <c r="N322" s="114" t="n">
        <v>11000</v>
      </c>
      <c r="O322" s="114" t="n">
        <v>1430</v>
      </c>
      <c r="P322" s="114" t="n">
        <v>15400</v>
      </c>
      <c r="Q322" s="114" t="n">
        <v>15400</v>
      </c>
      <c r="R322" s="114" t="n">
        <v>-1.81898940354586E-012</v>
      </c>
      <c r="S322" s="115" t="n">
        <v>1</v>
      </c>
      <c r="T322" s="65" t="n">
        <v>2.951</v>
      </c>
      <c r="U322" s="65" t="n">
        <v>7</v>
      </c>
      <c r="V322" s="65" t="n">
        <v>37442.06</v>
      </c>
      <c r="W322" s="115" t="n">
        <v>0.096</v>
      </c>
      <c r="X322" s="112" t="n">
        <v>45260</v>
      </c>
      <c r="Y322" s="65" t="str">
        <f aca="false">IF(I322="","No SIC",IFERROR(VLOOKUP(I322,Ref!$A$2:$B$65,2,FALSE()),"Unclassified"))</f>
        <v>Agricultural Services</v>
      </c>
      <c r="Z322" s="65" t="str">
        <f aca="false">IF(T322="","",IF(T322&lt;12,"Daily","Weekly"))</f>
        <v>Daily</v>
      </c>
      <c r="AA322" s="65" t="n">
        <f aca="false">IF(T322="",0,IF(T322&lt;12,T322*Controls!$B$29,T322*5))</f>
        <v>63.903905</v>
      </c>
      <c r="AB322" s="65" t="n">
        <f aca="false">IF(E322="",0,NETWORKDAYS(E322,Controls!$B$36,Ref!$K$2:$K$42))</f>
        <v>205</v>
      </c>
      <c r="AC322" s="65" t="n">
        <f aca="false">IF(AND(AA322&gt;0,AB322&gt;=Controls!$B$39*AA322),1,0)</f>
        <v>1</v>
      </c>
      <c r="AD322" s="65" t="n">
        <f aca="false">IF(AND(E322&lt;&gt;"",E322&gt;=Controls!$B$37,E322&lt;=Controls!$B$38),1,0)</f>
        <v>1</v>
      </c>
      <c r="AE322" s="65" t="n">
        <f aca="false">IF(IFERROR(VLOOKUP(D322,Controls!$A$64:$E$74,2,FALSE()),"No")="Yes",1,0)</f>
        <v>0</v>
      </c>
      <c r="AF322" s="65" t="n">
        <f aca="false">IF(IFERROR(VLOOKUP(D322,Controls!$A$64:$E$74,3,FALSE()),"No")="Yes",1,0)</f>
        <v>1</v>
      </c>
      <c r="AG322" s="65" t="n">
        <f aca="false">IF(IFERROR(VLOOKUP(D322,Controls!$A$64:$E$74,4,FALSE()),"No")="Yes",1,0)</f>
        <v>1</v>
      </c>
      <c r="AH322" s="65" t="n">
        <f aca="false">IF(IFERROR(VLOOKUP(D322,Controls!$A$64:$E$74,5,FALSE()),"No")="Yes",1,0)</f>
        <v>0</v>
      </c>
      <c r="AI322" s="65" t="n">
        <f aca="false">IF(ISNUMBER(MATCH(D322,Controls!$A$64:$A$74,0)),1,0)</f>
        <v>1</v>
      </c>
      <c r="AJ322" s="65" t="n">
        <f aca="false">Q322-N322</f>
        <v>4400</v>
      </c>
      <c r="AK322" s="65" t="n">
        <f aca="false">IF(AE322=1,MAX(0,N322-Q322),0)</f>
        <v>0</v>
      </c>
      <c r="AL322" s="65" t="n">
        <f aca="false">IF(OR(V322="",V322=0),0,N322/V322)</f>
        <v>0.293787254226931</v>
      </c>
      <c r="AM322" s="65" t="n">
        <f aca="false">IF(OR(V322="",V322=0),0,1)</f>
        <v>1</v>
      </c>
      <c r="AN322" s="65" t="n">
        <f aca="false">IF(OR(E322="",F322=""),0,NETWORKDAYS(E322,F322,Ref!$K$2:$K$42))</f>
        <v>111</v>
      </c>
      <c r="AO322" s="65" t="n">
        <f aca="false">IF(L322="Renewal",1,0)</f>
        <v>0</v>
      </c>
      <c r="AP322" s="65" t="n">
        <f aca="false">AC322*AD322</f>
        <v>1</v>
      </c>
      <c r="AQ322" s="65" t="n">
        <f aca="false">IF(AND(G322&lt;&gt;"",'Historical Score'!$C$6&lt;&gt;""),IF(G322='Historical Score'!$C$6,1,0),0)</f>
        <v>1</v>
      </c>
      <c r="AR322" s="65" t="n">
        <f aca="false">IF(AND(L322&lt;&gt;"",'Historical Score'!$C$5&lt;&gt;""),IF(L322='Historical Score'!$C$5,1,0),0)</f>
        <v>1</v>
      </c>
      <c r="AS322" s="65" t="n">
        <f aca="false">IF(AND(Y322&lt;&gt;"",'Historical Score'!$C$7&lt;&gt;""),IF(Y322='Historical Score'!$C$7,1,0),0)</f>
        <v>0</v>
      </c>
      <c r="AT322" s="65" t="n">
        <f aca="false">IF(AND(K322&lt;&gt;"",'Historical Score'!$C$8&lt;&gt;""),IF(K322='Historical Score'!$C$8,1,0),0)</f>
        <v>0</v>
      </c>
      <c r="AU322" s="65" t="n">
        <f aca="false">IF(AND(J322&lt;&gt;"",'Historical Score'!$C$9&lt;&gt;""),IF(J322='Historical Score'!$C$9,1,0),0)</f>
        <v>0</v>
      </c>
      <c r="AV322" s="65" t="n">
        <f aca="false">AR322*AS322*AQ322</f>
        <v>0</v>
      </c>
      <c r="AW322" s="65" t="n">
        <f aca="false">AR322*AT322*AQ322</f>
        <v>0</v>
      </c>
      <c r="AX322" s="65" t="n">
        <f aca="false">AR322*AS322</f>
        <v>0</v>
      </c>
      <c r="AY322" s="65" t="n">
        <f aca="false">AR322*AT322</f>
        <v>0</v>
      </c>
      <c r="AZ322" s="65" t="n">
        <f aca="false">AR322*AQ322</f>
        <v>1</v>
      </c>
      <c r="BA322" s="65" t="n">
        <f aca="false">AR322</f>
        <v>1</v>
      </c>
      <c r="BB322" s="65" t="n">
        <f aca="false">1</f>
        <v>1</v>
      </c>
      <c r="BC322" s="65" t="n">
        <f aca="false">IF(AV322=1,1,IF(AW322=1,2,IF(AX322=1,3,IF(AY322=1,4,IF(AZ322=1,5,IF(BA322=1,6,7))))))</f>
        <v>5</v>
      </c>
      <c r="BD322" s="65" t="n">
        <f aca="false">IF(AD322=1,CHOOSE('Historical Score'!$C$29,AV322,AW322,AX322,AY322,AZ322,BA322,BB322),0)</f>
        <v>0</v>
      </c>
      <c r="BE322" s="65" t="str">
        <f aca="false">IF(BD322=1,COUNTIF($BD$2:BD322,1),"")</f>
        <v/>
      </c>
    </row>
    <row r="323" customFormat="false" ht="15" hidden="false" customHeight="false" outlineLevel="0" collapsed="false">
      <c r="A323" s="65" t="s">
        <v>1367</v>
      </c>
      <c r="B323" s="65" t="s">
        <v>1368</v>
      </c>
      <c r="C323" s="65" t="s">
        <v>1368</v>
      </c>
      <c r="D323" s="65" t="s">
        <v>371</v>
      </c>
      <c r="E323" s="112" t="n">
        <v>45961</v>
      </c>
      <c r="F323" s="112" t="n">
        <v>46029</v>
      </c>
      <c r="G323" s="65" t="n">
        <v>5</v>
      </c>
      <c r="H323" s="65" t="s">
        <v>1010</v>
      </c>
      <c r="I323" s="65" t="s">
        <v>405</v>
      </c>
      <c r="J323" s="65" t="s">
        <v>410</v>
      </c>
      <c r="K323" s="65" t="s">
        <v>827</v>
      </c>
      <c r="L323" s="65" t="s">
        <v>64</v>
      </c>
      <c r="M323" s="113" t="n">
        <v>1.499</v>
      </c>
      <c r="N323" s="114" t="n">
        <v>15000</v>
      </c>
      <c r="O323" s="114" t="n">
        <v>2100</v>
      </c>
      <c r="P323" s="114" t="n">
        <v>22485</v>
      </c>
      <c r="Q323" s="114" t="n">
        <v>22485</v>
      </c>
      <c r="R323" s="114" t="n">
        <v>0</v>
      </c>
      <c r="S323" s="115" t="n">
        <v>1</v>
      </c>
      <c r="T323" s="65" t="n">
        <v>2.951</v>
      </c>
      <c r="U323" s="65" t="n">
        <v>0</v>
      </c>
      <c r="V323" s="65" t="n">
        <v>37783.29</v>
      </c>
      <c r="W323" s="115" t="n">
        <v>0.1381</v>
      </c>
      <c r="X323" s="112" t="n">
        <v>42515</v>
      </c>
      <c r="Y323" s="65" t="str">
        <f aca="false">IF(I323="","No SIC",IFERROR(VLOOKUP(I323,Ref!$A$2:$B$65,2,FALSE()),"Unclassified"))</f>
        <v>Health Services</v>
      </c>
      <c r="Z323" s="65" t="str">
        <f aca="false">IF(T323="","",IF(T323&lt;12,"Daily","Weekly"))</f>
        <v>Daily</v>
      </c>
      <c r="AA323" s="65" t="n">
        <f aca="false">IF(T323="",0,IF(T323&lt;12,T323*Controls!$B$29,T323*5))</f>
        <v>63.903905</v>
      </c>
      <c r="AB323" s="65" t="n">
        <f aca="false">IF(E323="",0,NETWORKDAYS(E323,Controls!$B$36,Ref!$K$2:$K$42))</f>
        <v>205</v>
      </c>
      <c r="AC323" s="65" t="n">
        <f aca="false">IF(AND(AA323&gt;0,AB323&gt;=Controls!$B$39*AA323),1,0)</f>
        <v>1</v>
      </c>
      <c r="AD323" s="65" t="n">
        <f aca="false">IF(AND(E323&lt;&gt;"",E323&gt;=Controls!$B$37,E323&lt;=Controls!$B$38),1,0)</f>
        <v>1</v>
      </c>
      <c r="AE323" s="65" t="n">
        <f aca="false">IF(IFERROR(VLOOKUP(D323,Controls!$A$64:$E$74,2,FALSE()),"No")="Yes",1,0)</f>
        <v>0</v>
      </c>
      <c r="AF323" s="65" t="n">
        <f aca="false">IF(IFERROR(VLOOKUP(D323,Controls!$A$64:$E$74,3,FALSE()),"No")="Yes",1,0)</f>
        <v>1</v>
      </c>
      <c r="AG323" s="65" t="n">
        <f aca="false">IF(IFERROR(VLOOKUP(D323,Controls!$A$64:$E$74,4,FALSE()),"No")="Yes",1,0)</f>
        <v>1</v>
      </c>
      <c r="AH323" s="65" t="n">
        <f aca="false">IF(IFERROR(VLOOKUP(D323,Controls!$A$64:$E$74,5,FALSE()),"No")="Yes",1,0)</f>
        <v>0</v>
      </c>
      <c r="AI323" s="65" t="n">
        <f aca="false">IF(ISNUMBER(MATCH(D323,Controls!$A$64:$A$74,0)),1,0)</f>
        <v>1</v>
      </c>
      <c r="AJ323" s="65" t="n">
        <f aca="false">Q323-N323</f>
        <v>7485</v>
      </c>
      <c r="AK323" s="65" t="n">
        <f aca="false">IF(AE323=1,MAX(0,N323-Q323),0)</f>
        <v>0</v>
      </c>
      <c r="AL323" s="65" t="n">
        <f aca="false">IF(OR(V323="",V323=0),0,N323/V323)</f>
        <v>0.397000896428024</v>
      </c>
      <c r="AM323" s="65" t="n">
        <f aca="false">IF(OR(V323="",V323=0),0,1)</f>
        <v>1</v>
      </c>
      <c r="AN323" s="65" t="n">
        <f aca="false">IF(OR(E323="",F323=""),0,NETWORKDAYS(E323,F323,Ref!$K$2:$K$42))</f>
        <v>45</v>
      </c>
      <c r="AO323" s="65" t="n">
        <f aca="false">IF(L323="Renewal",1,0)</f>
        <v>0</v>
      </c>
      <c r="AP323" s="65" t="n">
        <f aca="false">AC323*AD323</f>
        <v>1</v>
      </c>
      <c r="AQ323" s="65" t="n">
        <f aca="false">IF(AND(G323&lt;&gt;"",'Historical Score'!$C$6&lt;&gt;""),IF(G323='Historical Score'!$C$6,1,0),0)</f>
        <v>0</v>
      </c>
      <c r="AR323" s="65" t="n">
        <f aca="false">IF(AND(L323&lt;&gt;"",'Historical Score'!$C$5&lt;&gt;""),IF(L323='Historical Score'!$C$5,1,0),0)</f>
        <v>1</v>
      </c>
      <c r="AS323" s="65" t="n">
        <f aca="false">IF(AND(Y323&lt;&gt;"",'Historical Score'!$C$7&lt;&gt;""),IF(Y323='Historical Score'!$C$7,1,0),0)</f>
        <v>0</v>
      </c>
      <c r="AT323" s="65" t="n">
        <f aca="false">IF(AND(K323&lt;&gt;"",'Historical Score'!$C$8&lt;&gt;""),IF(K323='Historical Score'!$C$8,1,0),0)</f>
        <v>0</v>
      </c>
      <c r="AU323" s="65" t="n">
        <f aca="false">IF(AND(J323&lt;&gt;"",'Historical Score'!$C$9&lt;&gt;""),IF(J323='Historical Score'!$C$9,1,0),0)</f>
        <v>0</v>
      </c>
      <c r="AV323" s="65" t="n">
        <f aca="false">AR323*AS323*AQ323</f>
        <v>0</v>
      </c>
      <c r="AW323" s="65" t="n">
        <f aca="false">AR323*AT323*AQ323</f>
        <v>0</v>
      </c>
      <c r="AX323" s="65" t="n">
        <f aca="false">AR323*AS323</f>
        <v>0</v>
      </c>
      <c r="AY323" s="65" t="n">
        <f aca="false">AR323*AT323</f>
        <v>0</v>
      </c>
      <c r="AZ323" s="65" t="n">
        <f aca="false">AR323*AQ323</f>
        <v>0</v>
      </c>
      <c r="BA323" s="65" t="n">
        <f aca="false">AR323</f>
        <v>1</v>
      </c>
      <c r="BB323" s="65" t="n">
        <f aca="false">1</f>
        <v>1</v>
      </c>
      <c r="BC323" s="65" t="n">
        <f aca="false">IF(AV323=1,1,IF(AW323=1,2,IF(AX323=1,3,IF(AY323=1,4,IF(AZ323=1,5,IF(BA323=1,6,7))))))</f>
        <v>6</v>
      </c>
      <c r="BD323" s="65" t="n">
        <f aca="false">IF(AD323=1,CHOOSE('Historical Score'!$C$29,AV323,AW323,AX323,AY323,AZ323,BA323,BB323),0)</f>
        <v>0</v>
      </c>
      <c r="BE323" s="65" t="str">
        <f aca="false">IF(BD323=1,COUNTIF($BD$2:BD323,1),"")</f>
        <v/>
      </c>
    </row>
    <row r="324" customFormat="false" ht="15" hidden="false" customHeight="false" outlineLevel="0" collapsed="false">
      <c r="A324" s="65" t="s">
        <v>1369</v>
      </c>
      <c r="B324" s="65" t="s">
        <v>913</v>
      </c>
      <c r="C324" s="65" t="s">
        <v>913</v>
      </c>
      <c r="D324" s="65" t="s">
        <v>371</v>
      </c>
      <c r="E324" s="112" t="n">
        <v>45961</v>
      </c>
      <c r="F324" s="112" t="n">
        <v>46051</v>
      </c>
      <c r="G324" s="65" t="n">
        <v>2</v>
      </c>
      <c r="H324" s="65" t="s">
        <v>914</v>
      </c>
      <c r="I324" s="65" t="s">
        <v>915</v>
      </c>
      <c r="J324" s="65" t="s">
        <v>350</v>
      </c>
      <c r="K324" s="65" t="s">
        <v>581</v>
      </c>
      <c r="L324" s="65" t="s">
        <v>64</v>
      </c>
      <c r="M324" s="113" t="n">
        <v>1.499</v>
      </c>
      <c r="N324" s="114" t="n">
        <v>22500</v>
      </c>
      <c r="O324" s="114" t="n">
        <v>3150</v>
      </c>
      <c r="P324" s="114" t="n">
        <v>33727.5</v>
      </c>
      <c r="Q324" s="114" t="n">
        <v>33727.5</v>
      </c>
      <c r="R324" s="114" t="n">
        <v>0</v>
      </c>
      <c r="S324" s="115" t="n">
        <v>1</v>
      </c>
      <c r="T324" s="65" t="n">
        <v>2.951</v>
      </c>
      <c r="U324" s="65" t="n">
        <v>8</v>
      </c>
      <c r="V324" s="65" t="n">
        <v>48699.19</v>
      </c>
      <c r="W324" s="115" t="n">
        <v>0.1606</v>
      </c>
      <c r="X324" s="112" t="n">
        <v>42917</v>
      </c>
      <c r="Y324" s="65" t="str">
        <f aca="false">IF(I324="","No SIC",IFERROR(VLOOKUP(I324,Ref!$A$2:$B$65,2,FALSE()),"Unclassified"))</f>
        <v>Transportation Services</v>
      </c>
      <c r="Z324" s="65" t="str">
        <f aca="false">IF(T324="","",IF(T324&lt;12,"Daily","Weekly"))</f>
        <v>Daily</v>
      </c>
      <c r="AA324" s="65" t="n">
        <f aca="false">IF(T324="",0,IF(T324&lt;12,T324*Controls!$B$29,T324*5))</f>
        <v>63.903905</v>
      </c>
      <c r="AB324" s="65" t="n">
        <f aca="false">IF(E324="",0,NETWORKDAYS(E324,Controls!$B$36,Ref!$K$2:$K$42))</f>
        <v>205</v>
      </c>
      <c r="AC324" s="65" t="n">
        <f aca="false">IF(AND(AA324&gt;0,AB324&gt;=Controls!$B$39*AA324),1,0)</f>
        <v>1</v>
      </c>
      <c r="AD324" s="65" t="n">
        <f aca="false">IF(AND(E324&lt;&gt;"",E324&gt;=Controls!$B$37,E324&lt;=Controls!$B$38),1,0)</f>
        <v>1</v>
      </c>
      <c r="AE324" s="65" t="n">
        <f aca="false">IF(IFERROR(VLOOKUP(D324,Controls!$A$64:$E$74,2,FALSE()),"No")="Yes",1,0)</f>
        <v>0</v>
      </c>
      <c r="AF324" s="65" t="n">
        <f aca="false">IF(IFERROR(VLOOKUP(D324,Controls!$A$64:$E$74,3,FALSE()),"No")="Yes",1,0)</f>
        <v>1</v>
      </c>
      <c r="AG324" s="65" t="n">
        <f aca="false">IF(IFERROR(VLOOKUP(D324,Controls!$A$64:$E$74,4,FALSE()),"No")="Yes",1,0)</f>
        <v>1</v>
      </c>
      <c r="AH324" s="65" t="n">
        <f aca="false">IF(IFERROR(VLOOKUP(D324,Controls!$A$64:$E$74,5,FALSE()),"No")="Yes",1,0)</f>
        <v>0</v>
      </c>
      <c r="AI324" s="65" t="n">
        <f aca="false">IF(ISNUMBER(MATCH(D324,Controls!$A$64:$A$74,0)),1,0)</f>
        <v>1</v>
      </c>
      <c r="AJ324" s="65" t="n">
        <f aca="false">Q324-N324</f>
        <v>11227.5</v>
      </c>
      <c r="AK324" s="65" t="n">
        <f aca="false">IF(AE324=1,MAX(0,N324-Q324),0)</f>
        <v>0</v>
      </c>
      <c r="AL324" s="65" t="n">
        <f aca="false">IF(OR(V324="",V324=0),0,N324/V324)</f>
        <v>0.462020004850183</v>
      </c>
      <c r="AM324" s="65" t="n">
        <f aca="false">IF(OR(V324="",V324=0),0,1)</f>
        <v>1</v>
      </c>
      <c r="AN324" s="65" t="n">
        <f aca="false">IF(OR(E324="",F324=""),0,NETWORKDAYS(E324,F324,Ref!$K$2:$K$42))</f>
        <v>60</v>
      </c>
      <c r="AO324" s="65" t="n">
        <f aca="false">IF(L324="Renewal",1,0)</f>
        <v>0</v>
      </c>
      <c r="AP324" s="65" t="n">
        <f aca="false">AC324*AD324</f>
        <v>1</v>
      </c>
      <c r="AQ324" s="65" t="n">
        <f aca="false">IF(AND(G324&lt;&gt;"",'Historical Score'!$C$6&lt;&gt;""),IF(G324='Historical Score'!$C$6,1,0),0)</f>
        <v>1</v>
      </c>
      <c r="AR324" s="65" t="n">
        <f aca="false">IF(AND(L324&lt;&gt;"",'Historical Score'!$C$5&lt;&gt;""),IF(L324='Historical Score'!$C$5,1,0),0)</f>
        <v>1</v>
      </c>
      <c r="AS324" s="65" t="n">
        <f aca="false">IF(AND(Y324&lt;&gt;"",'Historical Score'!$C$7&lt;&gt;""),IF(Y324='Historical Score'!$C$7,1,0),0)</f>
        <v>0</v>
      </c>
      <c r="AT324" s="65" t="n">
        <f aca="false">IF(AND(K324&lt;&gt;"",'Historical Score'!$C$8&lt;&gt;""),IF(K324='Historical Score'!$C$8,1,0),0)</f>
        <v>0</v>
      </c>
      <c r="AU324" s="65" t="n">
        <f aca="false">IF(AND(J324&lt;&gt;"",'Historical Score'!$C$9&lt;&gt;""),IF(J324='Historical Score'!$C$9,1,0),0)</f>
        <v>0</v>
      </c>
      <c r="AV324" s="65" t="n">
        <f aca="false">AR324*AS324*AQ324</f>
        <v>0</v>
      </c>
      <c r="AW324" s="65" t="n">
        <f aca="false">AR324*AT324*AQ324</f>
        <v>0</v>
      </c>
      <c r="AX324" s="65" t="n">
        <f aca="false">AR324*AS324</f>
        <v>0</v>
      </c>
      <c r="AY324" s="65" t="n">
        <f aca="false">AR324*AT324</f>
        <v>0</v>
      </c>
      <c r="AZ324" s="65" t="n">
        <f aca="false">AR324*AQ324</f>
        <v>1</v>
      </c>
      <c r="BA324" s="65" t="n">
        <f aca="false">AR324</f>
        <v>1</v>
      </c>
      <c r="BB324" s="65" t="n">
        <f aca="false">1</f>
        <v>1</v>
      </c>
      <c r="BC324" s="65" t="n">
        <f aca="false">IF(AV324=1,1,IF(AW324=1,2,IF(AX324=1,3,IF(AY324=1,4,IF(AZ324=1,5,IF(BA324=1,6,7))))))</f>
        <v>5</v>
      </c>
      <c r="BD324" s="65" t="n">
        <f aca="false">IF(AD324=1,CHOOSE('Historical Score'!$C$29,AV324,AW324,AX324,AY324,AZ324,BA324,BB324),0)</f>
        <v>0</v>
      </c>
      <c r="BE324" s="65" t="str">
        <f aca="false">IF(BD324=1,COUNTIF($BD$2:BD324,1),"")</f>
        <v/>
      </c>
    </row>
    <row r="325" customFormat="false" ht="15" hidden="false" customHeight="false" outlineLevel="0" collapsed="false">
      <c r="A325" s="65" t="s">
        <v>1370</v>
      </c>
      <c r="B325" s="65" t="s">
        <v>1371</v>
      </c>
      <c r="C325" s="65" t="s">
        <v>1372</v>
      </c>
      <c r="D325" s="65" t="s">
        <v>371</v>
      </c>
      <c r="E325" s="112" t="n">
        <v>45964</v>
      </c>
      <c r="F325" s="112" t="n">
        <v>46112</v>
      </c>
      <c r="G325" s="65" t="n">
        <v>2</v>
      </c>
      <c r="H325" s="65" t="s">
        <v>1373</v>
      </c>
      <c r="I325" s="65" t="s">
        <v>488</v>
      </c>
      <c r="J325" s="65" t="s">
        <v>61</v>
      </c>
      <c r="K325" s="65" t="s">
        <v>363</v>
      </c>
      <c r="L325" s="65" t="s">
        <v>64</v>
      </c>
      <c r="M325" s="113" t="n">
        <v>1.39</v>
      </c>
      <c r="N325" s="114" t="n">
        <v>40000</v>
      </c>
      <c r="O325" s="114" t="n">
        <v>3600</v>
      </c>
      <c r="P325" s="114" t="n">
        <v>55600</v>
      </c>
      <c r="Q325" s="114" t="n">
        <v>55600</v>
      </c>
      <c r="R325" s="114" t="n">
        <v>-7.27595761418343E-012</v>
      </c>
      <c r="S325" s="115" t="n">
        <v>1</v>
      </c>
      <c r="T325" s="65" t="n">
        <v>28</v>
      </c>
      <c r="U325" s="65" t="n">
        <v>0</v>
      </c>
      <c r="V325" s="65" t="n">
        <v>94974</v>
      </c>
      <c r="W325" s="115" t="n">
        <v>0.0836</v>
      </c>
      <c r="X325" s="112"/>
      <c r="Y325" s="65" t="str">
        <f aca="false">IF(I325="","No SIC",IFERROR(VLOOKUP(I325,Ref!$A$2:$B$65,2,FALSE()),"Unclassified"))</f>
        <v>Food &amp; Kindred Products</v>
      </c>
      <c r="Z325" s="65" t="str">
        <f aca="false">IF(T325="","",IF(T325&lt;12,"Daily","Weekly"))</f>
        <v>Weekly</v>
      </c>
      <c r="AA325" s="65" t="n">
        <f aca="false">IF(T325="",0,IF(T325&lt;12,T325*Controls!$B$29,T325*5))</f>
        <v>140</v>
      </c>
      <c r="AB325" s="65" t="n">
        <f aca="false">IF(E325="",0,NETWORKDAYS(E325,Controls!$B$36,Ref!$K$2:$K$42))</f>
        <v>204</v>
      </c>
      <c r="AC325" s="65" t="n">
        <f aca="false">IF(AND(AA325&gt;0,AB325&gt;=Controls!$B$39*AA325),1,0)</f>
        <v>1</v>
      </c>
      <c r="AD325" s="65" t="n">
        <f aca="false">IF(AND(E325&lt;&gt;"",E325&gt;=Controls!$B$37,E325&lt;=Controls!$B$38),1,0)</f>
        <v>1</v>
      </c>
      <c r="AE325" s="65" t="n">
        <f aca="false">IF(IFERROR(VLOOKUP(D325,Controls!$A$64:$E$74,2,FALSE()),"No")="Yes",1,0)</f>
        <v>0</v>
      </c>
      <c r="AF325" s="65" t="n">
        <f aca="false">IF(IFERROR(VLOOKUP(D325,Controls!$A$64:$E$74,3,FALSE()),"No")="Yes",1,0)</f>
        <v>1</v>
      </c>
      <c r="AG325" s="65" t="n">
        <f aca="false">IF(IFERROR(VLOOKUP(D325,Controls!$A$64:$E$74,4,FALSE()),"No")="Yes",1,0)</f>
        <v>1</v>
      </c>
      <c r="AH325" s="65" t="n">
        <f aca="false">IF(IFERROR(VLOOKUP(D325,Controls!$A$64:$E$74,5,FALSE()),"No")="Yes",1,0)</f>
        <v>0</v>
      </c>
      <c r="AI325" s="65" t="n">
        <f aca="false">IF(ISNUMBER(MATCH(D325,Controls!$A$64:$A$74,0)),1,0)</f>
        <v>1</v>
      </c>
      <c r="AJ325" s="65" t="n">
        <f aca="false">Q325-N325</f>
        <v>15600</v>
      </c>
      <c r="AK325" s="65" t="n">
        <f aca="false">IF(AE325=1,MAX(0,N325-Q325),0)</f>
        <v>0</v>
      </c>
      <c r="AL325" s="65" t="n">
        <f aca="false">IF(OR(V325="",V325=0),0,N325/V325)</f>
        <v>0.42116789858277</v>
      </c>
      <c r="AM325" s="65" t="n">
        <f aca="false">IF(OR(V325="",V325=0),0,1)</f>
        <v>1</v>
      </c>
      <c r="AN325" s="65" t="n">
        <f aca="false">IF(OR(E325="",F325=""),0,NETWORKDAYS(E325,F325,Ref!$K$2:$K$42))</f>
        <v>101</v>
      </c>
      <c r="AO325" s="65" t="n">
        <f aca="false">IF(L325="Renewal",1,0)</f>
        <v>0</v>
      </c>
      <c r="AP325" s="65" t="n">
        <f aca="false">AC325*AD325</f>
        <v>1</v>
      </c>
      <c r="AQ325" s="65" t="n">
        <f aca="false">IF(AND(G325&lt;&gt;"",'Historical Score'!$C$6&lt;&gt;""),IF(G325='Historical Score'!$C$6,1,0),0)</f>
        <v>1</v>
      </c>
      <c r="AR325" s="65" t="n">
        <f aca="false">IF(AND(L325&lt;&gt;"",'Historical Score'!$C$5&lt;&gt;""),IF(L325='Historical Score'!$C$5,1,0),0)</f>
        <v>1</v>
      </c>
      <c r="AS325" s="65" t="n">
        <f aca="false">IF(AND(Y325&lt;&gt;"",'Historical Score'!$C$7&lt;&gt;""),IF(Y325='Historical Score'!$C$7,1,0),0)</f>
        <v>0</v>
      </c>
      <c r="AT325" s="65" t="n">
        <f aca="false">IF(AND(K325&lt;&gt;"",'Historical Score'!$C$8&lt;&gt;""),IF(K325='Historical Score'!$C$8,1,0),0)</f>
        <v>0</v>
      </c>
      <c r="AU325" s="65" t="n">
        <f aca="false">IF(AND(J325&lt;&gt;"",'Historical Score'!$C$9&lt;&gt;""),IF(J325='Historical Score'!$C$9,1,0),0)</f>
        <v>1</v>
      </c>
      <c r="AV325" s="65" t="n">
        <f aca="false">AR325*AS325*AQ325</f>
        <v>0</v>
      </c>
      <c r="AW325" s="65" t="n">
        <f aca="false">AR325*AT325*AQ325</f>
        <v>0</v>
      </c>
      <c r="AX325" s="65" t="n">
        <f aca="false">AR325*AS325</f>
        <v>0</v>
      </c>
      <c r="AY325" s="65" t="n">
        <f aca="false">AR325*AT325</f>
        <v>0</v>
      </c>
      <c r="AZ325" s="65" t="n">
        <f aca="false">AR325*AQ325</f>
        <v>1</v>
      </c>
      <c r="BA325" s="65" t="n">
        <f aca="false">AR325</f>
        <v>1</v>
      </c>
      <c r="BB325" s="65" t="n">
        <f aca="false">1</f>
        <v>1</v>
      </c>
      <c r="BC325" s="65" t="n">
        <f aca="false">IF(AV325=1,1,IF(AW325=1,2,IF(AX325=1,3,IF(AY325=1,4,IF(AZ325=1,5,IF(BA325=1,6,7))))))</f>
        <v>5</v>
      </c>
      <c r="BD325" s="65" t="n">
        <f aca="false">IF(AD325=1,CHOOSE('Historical Score'!$C$29,AV325,AW325,AX325,AY325,AZ325,BA325,BB325),0)</f>
        <v>0</v>
      </c>
      <c r="BE325" s="65" t="str">
        <f aca="false">IF(BD325=1,COUNTIF($BD$2:BD325,1),"")</f>
        <v/>
      </c>
    </row>
    <row r="326" customFormat="false" ht="15" hidden="false" customHeight="false" outlineLevel="0" collapsed="false">
      <c r="A326" s="65" t="s">
        <v>1374</v>
      </c>
      <c r="B326" s="65" t="s">
        <v>1375</v>
      </c>
      <c r="C326" s="65" t="s">
        <v>1375</v>
      </c>
      <c r="D326" s="65" t="s">
        <v>340</v>
      </c>
      <c r="E326" s="112" t="n">
        <v>45964</v>
      </c>
      <c r="F326" s="112" t="n">
        <v>46175</v>
      </c>
      <c r="G326" s="65" t="n">
        <v>3</v>
      </c>
      <c r="H326" s="65" t="s">
        <v>748</v>
      </c>
      <c r="I326" s="65" t="s">
        <v>619</v>
      </c>
      <c r="J326" s="65" t="s">
        <v>386</v>
      </c>
      <c r="K326" s="65" t="s">
        <v>1376</v>
      </c>
      <c r="L326" s="65" t="s">
        <v>64</v>
      </c>
      <c r="M326" s="113" t="n">
        <v>1.499</v>
      </c>
      <c r="N326" s="114" t="n">
        <v>15000</v>
      </c>
      <c r="O326" s="114" t="n">
        <v>2100</v>
      </c>
      <c r="P326" s="114" t="n">
        <v>22485</v>
      </c>
      <c r="Q326" s="114" t="n">
        <v>2603.23</v>
      </c>
      <c r="R326" s="114" t="n">
        <v>19881.77</v>
      </c>
      <c r="S326" s="115" t="n">
        <v>0.115776295307983</v>
      </c>
      <c r="T326" s="65" t="n">
        <v>1.967</v>
      </c>
      <c r="U326" s="65" t="n">
        <v>11</v>
      </c>
      <c r="V326" s="65" t="n">
        <v>182896.32</v>
      </c>
      <c r="W326" s="115" t="n">
        <v>0.0427</v>
      </c>
      <c r="X326" s="112" t="n">
        <v>44002</v>
      </c>
      <c r="Y326" s="65" t="str">
        <f aca="false">IF(I326="","No SIC",IFERROR(VLOOKUP(I326,Ref!$A$2:$B$65,2,FALSE()),"Unclassified"))</f>
        <v>Miscellaneous Retail</v>
      </c>
      <c r="Z326" s="65" t="str">
        <f aca="false">IF(T326="","",IF(T326&lt;12,"Daily","Weekly"))</f>
        <v>Daily</v>
      </c>
      <c r="AA326" s="65" t="n">
        <f aca="false">IF(T326="",0,IF(T326&lt;12,T326*Controls!$B$29,T326*5))</f>
        <v>42.595385</v>
      </c>
      <c r="AB326" s="65" t="n">
        <f aca="false">IF(E326="",0,NETWORKDAYS(E326,Controls!$B$36,Ref!$K$2:$K$42))</f>
        <v>204</v>
      </c>
      <c r="AC326" s="65" t="n">
        <f aca="false">IF(AND(AA326&gt;0,AB326&gt;=Controls!$B$39*AA326),1,0)</f>
        <v>1</v>
      </c>
      <c r="AD326" s="65" t="n">
        <f aca="false">IF(AND(E326&lt;&gt;"",E326&gt;=Controls!$B$37,E326&lt;=Controls!$B$38),1,0)</f>
        <v>1</v>
      </c>
      <c r="AE326" s="65" t="n">
        <f aca="false">IF(IFERROR(VLOOKUP(D326,Controls!$A$64:$E$74,2,FALSE()),"No")="Yes",1,0)</f>
        <v>1</v>
      </c>
      <c r="AF326" s="65" t="n">
        <f aca="false">IF(IFERROR(VLOOKUP(D326,Controls!$A$64:$E$74,3,FALSE()),"No")="Yes",1,0)</f>
        <v>0</v>
      </c>
      <c r="AG326" s="65" t="n">
        <f aca="false">IF(IFERROR(VLOOKUP(D326,Controls!$A$64:$E$74,4,FALSE()),"No")="Yes",1,0)</f>
        <v>0</v>
      </c>
      <c r="AH326" s="65" t="n">
        <f aca="false">IF(IFERROR(VLOOKUP(D326,Controls!$A$64:$E$74,5,FALSE()),"No")="Yes",1,0)</f>
        <v>0</v>
      </c>
      <c r="AI326" s="65" t="n">
        <f aca="false">IF(ISNUMBER(MATCH(D326,Controls!$A$64:$A$74,0)),1,0)</f>
        <v>1</v>
      </c>
      <c r="AJ326" s="65" t="n">
        <f aca="false">Q326-N326</f>
        <v>-12396.77</v>
      </c>
      <c r="AK326" s="65" t="n">
        <f aca="false">IF(AE326=1,MAX(0,N326-Q326),0)</f>
        <v>12396.77</v>
      </c>
      <c r="AL326" s="65" t="n">
        <f aca="false">IF(OR(V326="",V326=0),0,N326/V326)</f>
        <v>0.0820136785693665</v>
      </c>
      <c r="AM326" s="65" t="n">
        <f aca="false">IF(OR(V326="",V326=0),0,1)</f>
        <v>1</v>
      </c>
      <c r="AN326" s="65" t="n">
        <f aca="false">IF(OR(E326="",F326=""),0,NETWORKDAYS(E326,F326,Ref!$K$2:$K$42))</f>
        <v>145</v>
      </c>
      <c r="AO326" s="65" t="n">
        <f aca="false">IF(L326="Renewal",1,0)</f>
        <v>0</v>
      </c>
      <c r="AP326" s="65" t="n">
        <f aca="false">AC326*AD326</f>
        <v>1</v>
      </c>
      <c r="AQ326" s="65" t="n">
        <f aca="false">IF(AND(G326&lt;&gt;"",'Historical Score'!$C$6&lt;&gt;""),IF(G326='Historical Score'!$C$6,1,0),0)</f>
        <v>0</v>
      </c>
      <c r="AR326" s="65" t="n">
        <f aca="false">IF(AND(L326&lt;&gt;"",'Historical Score'!$C$5&lt;&gt;""),IF(L326='Historical Score'!$C$5,1,0),0)</f>
        <v>1</v>
      </c>
      <c r="AS326" s="65" t="n">
        <f aca="false">IF(AND(Y326&lt;&gt;"",'Historical Score'!$C$7&lt;&gt;""),IF(Y326='Historical Score'!$C$7,1,0),0)</f>
        <v>0</v>
      </c>
      <c r="AT326" s="65" t="n">
        <f aca="false">IF(AND(K326&lt;&gt;"",'Historical Score'!$C$8&lt;&gt;""),IF(K326='Historical Score'!$C$8,1,0),0)</f>
        <v>0</v>
      </c>
      <c r="AU326" s="65" t="n">
        <f aca="false">IF(AND(J326&lt;&gt;"",'Historical Score'!$C$9&lt;&gt;""),IF(J326='Historical Score'!$C$9,1,0),0)</f>
        <v>0</v>
      </c>
      <c r="AV326" s="65" t="n">
        <f aca="false">AR326*AS326*AQ326</f>
        <v>0</v>
      </c>
      <c r="AW326" s="65" t="n">
        <f aca="false">AR326*AT326*AQ326</f>
        <v>0</v>
      </c>
      <c r="AX326" s="65" t="n">
        <f aca="false">AR326*AS326</f>
        <v>0</v>
      </c>
      <c r="AY326" s="65" t="n">
        <f aca="false">AR326*AT326</f>
        <v>0</v>
      </c>
      <c r="AZ326" s="65" t="n">
        <f aca="false">AR326*AQ326</f>
        <v>0</v>
      </c>
      <c r="BA326" s="65" t="n">
        <f aca="false">AR326</f>
        <v>1</v>
      </c>
      <c r="BB326" s="65" t="n">
        <f aca="false">1</f>
        <v>1</v>
      </c>
      <c r="BC326" s="65" t="n">
        <f aca="false">IF(AV326=1,1,IF(AW326=1,2,IF(AX326=1,3,IF(AY326=1,4,IF(AZ326=1,5,IF(BA326=1,6,7))))))</f>
        <v>6</v>
      </c>
      <c r="BD326" s="65" t="n">
        <f aca="false">IF(AD326=1,CHOOSE('Historical Score'!$C$29,AV326,AW326,AX326,AY326,AZ326,BA326,BB326),0)</f>
        <v>0</v>
      </c>
      <c r="BE326" s="65" t="str">
        <f aca="false">IF(BD326=1,COUNTIF($BD$2:BD326,1),"")</f>
        <v/>
      </c>
    </row>
    <row r="327" customFormat="false" ht="15" hidden="false" customHeight="false" outlineLevel="0" collapsed="false">
      <c r="A327" s="65" t="s">
        <v>1377</v>
      </c>
      <c r="B327" s="65" t="s">
        <v>711</v>
      </c>
      <c r="C327" s="65" t="s">
        <v>1378</v>
      </c>
      <c r="D327" s="65" t="s">
        <v>533</v>
      </c>
      <c r="E327" s="112" t="n">
        <v>45964</v>
      </c>
      <c r="F327" s="112" t="n">
        <v>46248</v>
      </c>
      <c r="G327" s="65" t="n">
        <v>5</v>
      </c>
      <c r="H327" s="65" t="s">
        <v>451</v>
      </c>
      <c r="I327" s="65" t="s">
        <v>425</v>
      </c>
      <c r="J327" s="65" t="s">
        <v>506</v>
      </c>
      <c r="K327" s="65" t="s">
        <v>1379</v>
      </c>
      <c r="L327" s="65" t="s">
        <v>64</v>
      </c>
      <c r="M327" s="113" t="n">
        <v>1.499</v>
      </c>
      <c r="N327" s="114" t="n">
        <v>25000</v>
      </c>
      <c r="O327" s="114" t="n">
        <v>3500</v>
      </c>
      <c r="P327" s="114" t="n">
        <v>37475</v>
      </c>
      <c r="Q327" s="114" t="n">
        <v>35806.96</v>
      </c>
      <c r="R327" s="114" t="n">
        <v>1668.04</v>
      </c>
      <c r="S327" s="115" t="n">
        <v>0.955489259506338</v>
      </c>
      <c r="T327" s="65" t="n">
        <v>2.951</v>
      </c>
      <c r="U327" s="65" t="n">
        <v>61</v>
      </c>
      <c r="V327" s="65" t="n">
        <v>102024.64</v>
      </c>
      <c r="W327" s="115" t="n">
        <v>0.0857</v>
      </c>
      <c r="X327" s="112" t="n">
        <v>43166</v>
      </c>
      <c r="Y327" s="65" t="str">
        <f aca="false">IF(I327="","No SIC",IFERROR(VLOOKUP(I327,Ref!$A$2:$B$65,2,FALSE()),"Unclassified"))</f>
        <v>Personal Services</v>
      </c>
      <c r="Z327" s="65" t="str">
        <f aca="false">IF(T327="","",IF(T327&lt;12,"Daily","Weekly"))</f>
        <v>Daily</v>
      </c>
      <c r="AA327" s="65" t="n">
        <f aca="false">IF(T327="",0,IF(T327&lt;12,T327*Controls!$B$29,T327*5))</f>
        <v>63.903905</v>
      </c>
      <c r="AB327" s="65" t="n">
        <f aca="false">IF(E327="",0,NETWORKDAYS(E327,Controls!$B$36,Ref!$K$2:$K$42))</f>
        <v>204</v>
      </c>
      <c r="AC327" s="65" t="n">
        <f aca="false">IF(AND(AA327&gt;0,AB327&gt;=Controls!$B$39*AA327),1,0)</f>
        <v>1</v>
      </c>
      <c r="AD327" s="65" t="n">
        <f aca="false">IF(AND(E327&lt;&gt;"",E327&gt;=Controls!$B$37,E327&lt;=Controls!$B$38),1,0)</f>
        <v>1</v>
      </c>
      <c r="AE327" s="65" t="n">
        <f aca="false">IF(IFERROR(VLOOKUP(D327,Controls!$A$64:$E$74,2,FALSE()),"No")="Yes",1,0)</f>
        <v>1</v>
      </c>
      <c r="AF327" s="65" t="n">
        <f aca="false">IF(IFERROR(VLOOKUP(D327,Controls!$A$64:$E$74,3,FALSE()),"No")="Yes",1,0)</f>
        <v>0</v>
      </c>
      <c r="AG327" s="65" t="n">
        <f aca="false">IF(IFERROR(VLOOKUP(D327,Controls!$A$64:$E$74,4,FALSE()),"No")="Yes",1,0)</f>
        <v>0</v>
      </c>
      <c r="AH327" s="65" t="n">
        <f aca="false">IF(IFERROR(VLOOKUP(D327,Controls!$A$64:$E$74,5,FALSE()),"No")="Yes",1,0)</f>
        <v>0</v>
      </c>
      <c r="AI327" s="65" t="n">
        <f aca="false">IF(ISNUMBER(MATCH(D327,Controls!$A$64:$A$74,0)),1,0)</f>
        <v>1</v>
      </c>
      <c r="AJ327" s="65" t="n">
        <f aca="false">Q327-N327</f>
        <v>10806.96</v>
      </c>
      <c r="AK327" s="65" t="n">
        <f aca="false">IF(AE327=1,MAX(0,N327-Q327),0)</f>
        <v>0</v>
      </c>
      <c r="AL327" s="65" t="n">
        <f aca="false">IF(OR(V327="",V327=0),0,N327/V327)</f>
        <v>0.245038845518102</v>
      </c>
      <c r="AM327" s="65" t="n">
        <f aca="false">IF(OR(V327="",V327=0),0,1)</f>
        <v>1</v>
      </c>
      <c r="AN327" s="65" t="n">
        <f aca="false">IF(OR(E327="",F327=""),0,NETWORKDAYS(E327,F327,Ref!$K$2:$K$42))</f>
        <v>197</v>
      </c>
      <c r="AO327" s="65" t="n">
        <f aca="false">IF(L327="Renewal",1,0)</f>
        <v>0</v>
      </c>
      <c r="AP327" s="65" t="n">
        <f aca="false">AC327*AD327</f>
        <v>1</v>
      </c>
      <c r="AQ327" s="65" t="n">
        <f aca="false">IF(AND(G327&lt;&gt;"",'Historical Score'!$C$6&lt;&gt;""),IF(G327='Historical Score'!$C$6,1,0),0)</f>
        <v>0</v>
      </c>
      <c r="AR327" s="65" t="n">
        <f aca="false">IF(AND(L327&lt;&gt;"",'Historical Score'!$C$5&lt;&gt;""),IF(L327='Historical Score'!$C$5,1,0),0)</f>
        <v>1</v>
      </c>
      <c r="AS327" s="65" t="n">
        <f aca="false">IF(AND(Y327&lt;&gt;"",'Historical Score'!$C$7&lt;&gt;""),IF(Y327='Historical Score'!$C$7,1,0),0)</f>
        <v>0</v>
      </c>
      <c r="AT327" s="65" t="n">
        <f aca="false">IF(AND(K327&lt;&gt;"",'Historical Score'!$C$8&lt;&gt;""),IF(K327='Historical Score'!$C$8,1,0),0)</f>
        <v>0</v>
      </c>
      <c r="AU327" s="65" t="n">
        <f aca="false">IF(AND(J327&lt;&gt;"",'Historical Score'!$C$9&lt;&gt;""),IF(J327='Historical Score'!$C$9,1,0),0)</f>
        <v>0</v>
      </c>
      <c r="AV327" s="65" t="n">
        <f aca="false">AR327*AS327*AQ327</f>
        <v>0</v>
      </c>
      <c r="AW327" s="65" t="n">
        <f aca="false">AR327*AT327*AQ327</f>
        <v>0</v>
      </c>
      <c r="AX327" s="65" t="n">
        <f aca="false">AR327*AS327</f>
        <v>0</v>
      </c>
      <c r="AY327" s="65" t="n">
        <f aca="false">AR327*AT327</f>
        <v>0</v>
      </c>
      <c r="AZ327" s="65" t="n">
        <f aca="false">AR327*AQ327</f>
        <v>0</v>
      </c>
      <c r="BA327" s="65" t="n">
        <f aca="false">AR327</f>
        <v>1</v>
      </c>
      <c r="BB327" s="65" t="n">
        <f aca="false">1</f>
        <v>1</v>
      </c>
      <c r="BC327" s="65" t="n">
        <f aca="false">IF(AV327=1,1,IF(AW327=1,2,IF(AX327=1,3,IF(AY327=1,4,IF(AZ327=1,5,IF(BA327=1,6,7))))))</f>
        <v>6</v>
      </c>
      <c r="BD327" s="65" t="n">
        <f aca="false">IF(AD327=1,CHOOSE('Historical Score'!$C$29,AV327,AW327,AX327,AY327,AZ327,BA327,BB327),0)</f>
        <v>0</v>
      </c>
      <c r="BE327" s="65" t="str">
        <f aca="false">IF(BD327=1,COUNTIF($BD$2:BD327,1),"")</f>
        <v/>
      </c>
    </row>
    <row r="328" customFormat="false" ht="15" hidden="false" customHeight="false" outlineLevel="0" collapsed="false">
      <c r="A328" s="65" t="s">
        <v>1380</v>
      </c>
      <c r="B328" s="65" t="s">
        <v>1381</v>
      </c>
      <c r="C328" s="65" t="s">
        <v>1381</v>
      </c>
      <c r="D328" s="65" t="s">
        <v>340</v>
      </c>
      <c r="E328" s="112" t="n">
        <v>45964</v>
      </c>
      <c r="F328" s="112" t="n">
        <v>45967</v>
      </c>
      <c r="G328" s="65" t="n">
        <v>3</v>
      </c>
      <c r="H328" s="65" t="s">
        <v>442</v>
      </c>
      <c r="I328" s="65" t="s">
        <v>443</v>
      </c>
      <c r="J328" s="65" t="s">
        <v>452</v>
      </c>
      <c r="K328" s="65" t="s">
        <v>55</v>
      </c>
      <c r="L328" s="65" t="s">
        <v>64</v>
      </c>
      <c r="M328" s="113" t="n">
        <v>1.499</v>
      </c>
      <c r="N328" s="114" t="n">
        <v>7000</v>
      </c>
      <c r="O328" s="114" t="n">
        <v>0</v>
      </c>
      <c r="P328" s="114" t="n">
        <v>10493</v>
      </c>
      <c r="Q328" s="114" t="n">
        <v>0</v>
      </c>
      <c r="R328" s="114" t="n">
        <v>10493</v>
      </c>
      <c r="S328" s="115" t="n">
        <v>0</v>
      </c>
      <c r="T328" s="65" t="n">
        <v>2.787</v>
      </c>
      <c r="U328" s="65" t="n">
        <v>3</v>
      </c>
      <c r="V328" s="65" t="n">
        <v>34054.45</v>
      </c>
      <c r="W328" s="115" t="n">
        <v>0.0756</v>
      </c>
      <c r="X328" s="112" t="n">
        <v>42917</v>
      </c>
      <c r="Y328" s="65" t="str">
        <f aca="false">IF(I328="","No SIC",IFERROR(VLOOKUP(I328,Ref!$A$2:$B$65,2,FALSE()),"Unclassified"))</f>
        <v>General Building Contractors</v>
      </c>
      <c r="Z328" s="65" t="str">
        <f aca="false">IF(T328="","",IF(T328&lt;12,"Daily","Weekly"))</f>
        <v>Daily</v>
      </c>
      <c r="AA328" s="65" t="n">
        <f aca="false">IF(T328="",0,IF(T328&lt;12,T328*Controls!$B$29,T328*5))</f>
        <v>60.352485</v>
      </c>
      <c r="AB328" s="65" t="n">
        <f aca="false">IF(E328="",0,NETWORKDAYS(E328,Controls!$B$36,Ref!$K$2:$K$42))</f>
        <v>204</v>
      </c>
      <c r="AC328" s="65" t="n">
        <f aca="false">IF(AND(AA328&gt;0,AB328&gt;=Controls!$B$39*AA328),1,0)</f>
        <v>1</v>
      </c>
      <c r="AD328" s="65" t="n">
        <f aca="false">IF(AND(E328&lt;&gt;"",E328&gt;=Controls!$B$37,E328&lt;=Controls!$B$38),1,0)</f>
        <v>1</v>
      </c>
      <c r="AE328" s="65" t="n">
        <f aca="false">IF(IFERROR(VLOOKUP(D328,Controls!$A$64:$E$74,2,FALSE()),"No")="Yes",1,0)</f>
        <v>1</v>
      </c>
      <c r="AF328" s="65" t="n">
        <f aca="false">IF(IFERROR(VLOOKUP(D328,Controls!$A$64:$E$74,3,FALSE()),"No")="Yes",1,0)</f>
        <v>0</v>
      </c>
      <c r="AG328" s="65" t="n">
        <f aca="false">IF(IFERROR(VLOOKUP(D328,Controls!$A$64:$E$74,4,FALSE()),"No")="Yes",1,0)</f>
        <v>0</v>
      </c>
      <c r="AH328" s="65" t="n">
        <f aca="false">IF(IFERROR(VLOOKUP(D328,Controls!$A$64:$E$74,5,FALSE()),"No")="Yes",1,0)</f>
        <v>0</v>
      </c>
      <c r="AI328" s="65" t="n">
        <f aca="false">IF(ISNUMBER(MATCH(D328,Controls!$A$64:$A$74,0)),1,0)</f>
        <v>1</v>
      </c>
      <c r="AJ328" s="65" t="n">
        <f aca="false">Q328-N328</f>
        <v>-7000</v>
      </c>
      <c r="AK328" s="65" t="n">
        <f aca="false">IF(AE328=1,MAX(0,N328-Q328),0)</f>
        <v>7000</v>
      </c>
      <c r="AL328" s="65" t="n">
        <f aca="false">IF(OR(V328="",V328=0),0,N328/V328)</f>
        <v>0.205553165592162</v>
      </c>
      <c r="AM328" s="65" t="n">
        <f aca="false">IF(OR(V328="",V328=0),0,1)</f>
        <v>1</v>
      </c>
      <c r="AN328" s="65" t="n">
        <f aca="false">IF(OR(E328="",F328=""),0,NETWORKDAYS(E328,F328,Ref!$K$2:$K$42))</f>
        <v>4</v>
      </c>
      <c r="AO328" s="65" t="n">
        <f aca="false">IF(L328="Renewal",1,0)</f>
        <v>0</v>
      </c>
      <c r="AP328" s="65" t="n">
        <f aca="false">AC328*AD328</f>
        <v>1</v>
      </c>
      <c r="AQ328" s="65" t="n">
        <f aca="false">IF(AND(G328&lt;&gt;"",'Historical Score'!$C$6&lt;&gt;""),IF(G328='Historical Score'!$C$6,1,0),0)</f>
        <v>0</v>
      </c>
      <c r="AR328" s="65" t="n">
        <f aca="false">IF(AND(L328&lt;&gt;"",'Historical Score'!$C$5&lt;&gt;""),IF(L328='Historical Score'!$C$5,1,0),0)</f>
        <v>1</v>
      </c>
      <c r="AS328" s="65" t="n">
        <f aca="false">IF(AND(Y328&lt;&gt;"",'Historical Score'!$C$7&lt;&gt;""),IF(Y328='Historical Score'!$C$7,1,0),0)</f>
        <v>1</v>
      </c>
      <c r="AT328" s="65" t="n">
        <f aca="false">IF(AND(K328&lt;&gt;"",'Historical Score'!$C$8&lt;&gt;""),IF(K328='Historical Score'!$C$8,1,0),0)</f>
        <v>1</v>
      </c>
      <c r="AU328" s="65" t="n">
        <f aca="false">IF(AND(J328&lt;&gt;"",'Historical Score'!$C$9&lt;&gt;""),IF(J328='Historical Score'!$C$9,1,0),0)</f>
        <v>0</v>
      </c>
      <c r="AV328" s="65" t="n">
        <f aca="false">AR328*AS328*AQ328</f>
        <v>0</v>
      </c>
      <c r="AW328" s="65" t="n">
        <f aca="false">AR328*AT328*AQ328</f>
        <v>0</v>
      </c>
      <c r="AX328" s="65" t="n">
        <f aca="false">AR328*AS328</f>
        <v>1</v>
      </c>
      <c r="AY328" s="65" t="n">
        <f aca="false">AR328*AT328</f>
        <v>1</v>
      </c>
      <c r="AZ328" s="65" t="n">
        <f aca="false">AR328*AQ328</f>
        <v>0</v>
      </c>
      <c r="BA328" s="65" t="n">
        <f aca="false">AR328</f>
        <v>1</v>
      </c>
      <c r="BB328" s="65" t="n">
        <f aca="false">1</f>
        <v>1</v>
      </c>
      <c r="BC328" s="65" t="n">
        <f aca="false">IF(AV328=1,1,IF(AW328=1,2,IF(AX328=1,3,IF(AY328=1,4,IF(AZ328=1,5,IF(BA328=1,6,7))))))</f>
        <v>3</v>
      </c>
      <c r="BD328" s="65" t="n">
        <f aca="false">IF(AD328=1,CHOOSE('Historical Score'!$C$29,AV328,AW328,AX328,AY328,AZ328,BA328,BB328),0)</f>
        <v>0</v>
      </c>
      <c r="BE328" s="65" t="str">
        <f aca="false">IF(BD328=1,COUNTIF($BD$2:BD328,1),"")</f>
        <v/>
      </c>
    </row>
    <row r="329" customFormat="false" ht="15" hidden="false" customHeight="false" outlineLevel="0" collapsed="false">
      <c r="A329" s="65" t="s">
        <v>1382</v>
      </c>
      <c r="B329" s="65" t="s">
        <v>1383</v>
      </c>
      <c r="C329" s="65" t="s">
        <v>1383</v>
      </c>
      <c r="D329" s="65" t="s">
        <v>533</v>
      </c>
      <c r="E329" s="112" t="n">
        <v>45964</v>
      </c>
      <c r="F329" s="112" t="n">
        <v>46247</v>
      </c>
      <c r="G329" s="65" t="n">
        <v>2</v>
      </c>
      <c r="H329" s="65" t="s">
        <v>451</v>
      </c>
      <c r="I329" s="65" t="s">
        <v>425</v>
      </c>
      <c r="J329" s="65" t="s">
        <v>386</v>
      </c>
      <c r="K329" s="65" t="s">
        <v>55</v>
      </c>
      <c r="L329" s="65" t="s">
        <v>64</v>
      </c>
      <c r="M329" s="113" t="n">
        <v>1.49</v>
      </c>
      <c r="N329" s="114" t="n">
        <v>15000</v>
      </c>
      <c r="O329" s="114" t="n">
        <v>2100</v>
      </c>
      <c r="P329" s="114" t="n">
        <v>22350</v>
      </c>
      <c r="Q329" s="114" t="n">
        <v>7011.92</v>
      </c>
      <c r="R329" s="114" t="n">
        <v>15338.08</v>
      </c>
      <c r="S329" s="115" t="n">
        <v>0.313732438478747</v>
      </c>
      <c r="T329" s="65" t="n">
        <v>3.934</v>
      </c>
      <c r="U329" s="65" t="n">
        <v>2</v>
      </c>
      <c r="V329" s="65" t="n">
        <v>29212.74</v>
      </c>
      <c r="W329" s="115" t="n">
        <v>0.1303</v>
      </c>
      <c r="X329" s="112" t="n">
        <v>45220</v>
      </c>
      <c r="Y329" s="65" t="str">
        <f aca="false">IF(I329="","No SIC",IFERROR(VLOOKUP(I329,Ref!$A$2:$B$65,2,FALSE()),"Unclassified"))</f>
        <v>Personal Services</v>
      </c>
      <c r="Z329" s="65" t="str">
        <f aca="false">IF(T329="","",IF(T329&lt;12,"Daily","Weekly"))</f>
        <v>Daily</v>
      </c>
      <c r="AA329" s="65" t="n">
        <f aca="false">IF(T329="",0,IF(T329&lt;12,T329*Controls!$B$29,T329*5))</f>
        <v>85.19077</v>
      </c>
      <c r="AB329" s="65" t="n">
        <f aca="false">IF(E329="",0,NETWORKDAYS(E329,Controls!$B$36,Ref!$K$2:$K$42))</f>
        <v>204</v>
      </c>
      <c r="AC329" s="65" t="n">
        <f aca="false">IF(AND(AA329&gt;0,AB329&gt;=Controls!$B$39*AA329),1,0)</f>
        <v>1</v>
      </c>
      <c r="AD329" s="65" t="n">
        <f aca="false">IF(AND(E329&lt;&gt;"",E329&gt;=Controls!$B$37,E329&lt;=Controls!$B$38),1,0)</f>
        <v>1</v>
      </c>
      <c r="AE329" s="65" t="n">
        <f aca="false">IF(IFERROR(VLOOKUP(D329,Controls!$A$64:$E$74,2,FALSE()),"No")="Yes",1,0)</f>
        <v>1</v>
      </c>
      <c r="AF329" s="65" t="n">
        <f aca="false">IF(IFERROR(VLOOKUP(D329,Controls!$A$64:$E$74,3,FALSE()),"No")="Yes",1,0)</f>
        <v>0</v>
      </c>
      <c r="AG329" s="65" t="n">
        <f aca="false">IF(IFERROR(VLOOKUP(D329,Controls!$A$64:$E$74,4,FALSE()),"No")="Yes",1,0)</f>
        <v>0</v>
      </c>
      <c r="AH329" s="65" t="n">
        <f aca="false">IF(IFERROR(VLOOKUP(D329,Controls!$A$64:$E$74,5,FALSE()),"No")="Yes",1,0)</f>
        <v>0</v>
      </c>
      <c r="AI329" s="65" t="n">
        <f aca="false">IF(ISNUMBER(MATCH(D329,Controls!$A$64:$A$74,0)),1,0)</f>
        <v>1</v>
      </c>
      <c r="AJ329" s="65" t="n">
        <f aca="false">Q329-N329</f>
        <v>-7988.08</v>
      </c>
      <c r="AK329" s="65" t="n">
        <f aca="false">IF(AE329=1,MAX(0,N329-Q329),0)</f>
        <v>7988.08</v>
      </c>
      <c r="AL329" s="65" t="n">
        <f aca="false">IF(OR(V329="",V329=0),0,N329/V329)</f>
        <v>0.513474600465413</v>
      </c>
      <c r="AM329" s="65" t="n">
        <f aca="false">IF(OR(V329="",V329=0),0,1)</f>
        <v>1</v>
      </c>
      <c r="AN329" s="65" t="n">
        <f aca="false">IF(OR(E329="",F329=""),0,NETWORKDAYS(E329,F329,Ref!$K$2:$K$42))</f>
        <v>196</v>
      </c>
      <c r="AO329" s="65" t="n">
        <f aca="false">IF(L329="Renewal",1,0)</f>
        <v>0</v>
      </c>
      <c r="AP329" s="65" t="n">
        <f aca="false">AC329*AD329</f>
        <v>1</v>
      </c>
      <c r="AQ329" s="65" t="n">
        <f aca="false">IF(AND(G329&lt;&gt;"",'Historical Score'!$C$6&lt;&gt;""),IF(G329='Historical Score'!$C$6,1,0),0)</f>
        <v>1</v>
      </c>
      <c r="AR329" s="65" t="n">
        <f aca="false">IF(AND(L329&lt;&gt;"",'Historical Score'!$C$5&lt;&gt;""),IF(L329='Historical Score'!$C$5,1,0),0)</f>
        <v>1</v>
      </c>
      <c r="AS329" s="65" t="n">
        <f aca="false">IF(AND(Y329&lt;&gt;"",'Historical Score'!$C$7&lt;&gt;""),IF(Y329='Historical Score'!$C$7,1,0),0)</f>
        <v>0</v>
      </c>
      <c r="AT329" s="65" t="n">
        <f aca="false">IF(AND(K329&lt;&gt;"",'Historical Score'!$C$8&lt;&gt;""),IF(K329='Historical Score'!$C$8,1,0),0)</f>
        <v>1</v>
      </c>
      <c r="AU329" s="65" t="n">
        <f aca="false">IF(AND(J329&lt;&gt;"",'Historical Score'!$C$9&lt;&gt;""),IF(J329='Historical Score'!$C$9,1,0),0)</f>
        <v>0</v>
      </c>
      <c r="AV329" s="65" t="n">
        <f aca="false">AR329*AS329*AQ329</f>
        <v>0</v>
      </c>
      <c r="AW329" s="65" t="n">
        <f aca="false">AR329*AT329*AQ329</f>
        <v>1</v>
      </c>
      <c r="AX329" s="65" t="n">
        <f aca="false">AR329*AS329</f>
        <v>0</v>
      </c>
      <c r="AY329" s="65" t="n">
        <f aca="false">AR329*AT329</f>
        <v>1</v>
      </c>
      <c r="AZ329" s="65" t="n">
        <f aca="false">AR329*AQ329</f>
        <v>1</v>
      </c>
      <c r="BA329" s="65" t="n">
        <f aca="false">AR329</f>
        <v>1</v>
      </c>
      <c r="BB329" s="65" t="n">
        <f aca="false">1</f>
        <v>1</v>
      </c>
      <c r="BC329" s="65" t="n">
        <f aca="false">IF(AV329=1,1,IF(AW329=1,2,IF(AX329=1,3,IF(AY329=1,4,IF(AZ329=1,5,IF(BA329=1,6,7))))))</f>
        <v>2</v>
      </c>
      <c r="BD329" s="65" t="n">
        <f aca="false">IF(AD329=1,CHOOSE('Historical Score'!$C$29,AV329,AW329,AX329,AY329,AZ329,BA329,BB329),0)</f>
        <v>0</v>
      </c>
      <c r="BE329" s="65" t="str">
        <f aca="false">IF(BD329=1,COUNTIF($BD$2:BD329,1),"")</f>
        <v/>
      </c>
    </row>
    <row r="330" customFormat="false" ht="15" hidden="false" customHeight="false" outlineLevel="0" collapsed="false">
      <c r="A330" s="65" t="s">
        <v>1384</v>
      </c>
      <c r="B330" s="65" t="s">
        <v>1385</v>
      </c>
      <c r="C330" s="65" t="s">
        <v>1385</v>
      </c>
      <c r="D330" s="65" t="s">
        <v>340</v>
      </c>
      <c r="E330" s="112" t="n">
        <v>45965</v>
      </c>
      <c r="F330" s="112" t="n">
        <v>46031</v>
      </c>
      <c r="G330" s="65" t="n">
        <v>3</v>
      </c>
      <c r="H330" s="65" t="s">
        <v>479</v>
      </c>
      <c r="I330" s="65" t="s">
        <v>356</v>
      </c>
      <c r="J330" s="65" t="s">
        <v>772</v>
      </c>
      <c r="K330" s="65" t="s">
        <v>1386</v>
      </c>
      <c r="L330" s="65" t="s">
        <v>64</v>
      </c>
      <c r="M330" s="113" t="n">
        <v>1.499</v>
      </c>
      <c r="N330" s="114" t="n">
        <v>5000</v>
      </c>
      <c r="O330" s="114" t="n">
        <v>700</v>
      </c>
      <c r="P330" s="114" t="n">
        <v>7495</v>
      </c>
      <c r="Q330" s="114" t="n">
        <v>319.17</v>
      </c>
      <c r="R330" s="114" t="n">
        <v>7175.83</v>
      </c>
      <c r="S330" s="115" t="n">
        <v>0.042584389593062</v>
      </c>
      <c r="T330" s="65" t="n">
        <v>2.295</v>
      </c>
      <c r="U330" s="65" t="n">
        <v>15</v>
      </c>
      <c r="V330" s="65" t="n">
        <v>110057.44</v>
      </c>
      <c r="W330" s="115" t="n">
        <v>0.0203</v>
      </c>
      <c r="X330" s="112" t="n">
        <v>45323</v>
      </c>
      <c r="Y330" s="65" t="str">
        <f aca="false">IF(I330="","No SIC",IFERROR(VLOOKUP(I330,Ref!$A$2:$B$65,2,FALSE()),"Unclassified"))</f>
        <v>Trucking &amp; Warehousing</v>
      </c>
      <c r="Z330" s="65" t="str">
        <f aca="false">IF(T330="","",IF(T330&lt;12,"Daily","Weekly"))</f>
        <v>Daily</v>
      </c>
      <c r="AA330" s="65" t="n">
        <f aca="false">IF(T330="",0,IF(T330&lt;12,T330*Controls!$B$29,T330*5))</f>
        <v>49.698225</v>
      </c>
      <c r="AB330" s="65" t="n">
        <f aca="false">IF(E330="",0,NETWORKDAYS(E330,Controls!$B$36,Ref!$K$2:$K$42))</f>
        <v>203</v>
      </c>
      <c r="AC330" s="65" t="n">
        <f aca="false">IF(AND(AA330&gt;0,AB330&gt;=Controls!$B$39*AA330),1,0)</f>
        <v>1</v>
      </c>
      <c r="AD330" s="65" t="n">
        <f aca="false">IF(AND(E330&lt;&gt;"",E330&gt;=Controls!$B$37,E330&lt;=Controls!$B$38),1,0)</f>
        <v>1</v>
      </c>
      <c r="AE330" s="65" t="n">
        <f aca="false">IF(IFERROR(VLOOKUP(D330,Controls!$A$64:$E$74,2,FALSE()),"No")="Yes",1,0)</f>
        <v>1</v>
      </c>
      <c r="AF330" s="65" t="n">
        <f aca="false">IF(IFERROR(VLOOKUP(D330,Controls!$A$64:$E$74,3,FALSE()),"No")="Yes",1,0)</f>
        <v>0</v>
      </c>
      <c r="AG330" s="65" t="n">
        <f aca="false">IF(IFERROR(VLOOKUP(D330,Controls!$A$64:$E$74,4,FALSE()),"No")="Yes",1,0)</f>
        <v>0</v>
      </c>
      <c r="AH330" s="65" t="n">
        <f aca="false">IF(IFERROR(VLOOKUP(D330,Controls!$A$64:$E$74,5,FALSE()),"No")="Yes",1,0)</f>
        <v>0</v>
      </c>
      <c r="AI330" s="65" t="n">
        <f aca="false">IF(ISNUMBER(MATCH(D330,Controls!$A$64:$A$74,0)),1,0)</f>
        <v>1</v>
      </c>
      <c r="AJ330" s="65" t="n">
        <f aca="false">Q330-N330</f>
        <v>-4680.83</v>
      </c>
      <c r="AK330" s="65" t="n">
        <f aca="false">IF(AE330=1,MAX(0,N330-Q330),0)</f>
        <v>4680.83</v>
      </c>
      <c r="AL330" s="65" t="n">
        <f aca="false">IF(OR(V330="",V330=0),0,N330/V330)</f>
        <v>0.0454308223051527</v>
      </c>
      <c r="AM330" s="65" t="n">
        <f aca="false">IF(OR(V330="",V330=0),0,1)</f>
        <v>1</v>
      </c>
      <c r="AN330" s="65" t="n">
        <f aca="false">IF(OR(E330="",F330=""),0,NETWORKDAYS(E330,F330,Ref!$K$2:$K$42))</f>
        <v>45</v>
      </c>
      <c r="AO330" s="65" t="n">
        <f aca="false">IF(L330="Renewal",1,0)</f>
        <v>0</v>
      </c>
      <c r="AP330" s="65" t="n">
        <f aca="false">AC330*AD330</f>
        <v>1</v>
      </c>
      <c r="AQ330" s="65" t="n">
        <f aca="false">IF(AND(G330&lt;&gt;"",'Historical Score'!$C$6&lt;&gt;""),IF(G330='Historical Score'!$C$6,1,0),0)</f>
        <v>0</v>
      </c>
      <c r="AR330" s="65" t="n">
        <f aca="false">IF(AND(L330&lt;&gt;"",'Historical Score'!$C$5&lt;&gt;""),IF(L330='Historical Score'!$C$5,1,0),0)</f>
        <v>1</v>
      </c>
      <c r="AS330" s="65" t="n">
        <f aca="false">IF(AND(Y330&lt;&gt;"",'Historical Score'!$C$7&lt;&gt;""),IF(Y330='Historical Score'!$C$7,1,0),0)</f>
        <v>0</v>
      </c>
      <c r="AT330" s="65" t="n">
        <f aca="false">IF(AND(K330&lt;&gt;"",'Historical Score'!$C$8&lt;&gt;""),IF(K330='Historical Score'!$C$8,1,0),0)</f>
        <v>0</v>
      </c>
      <c r="AU330" s="65" t="n">
        <f aca="false">IF(AND(J330&lt;&gt;"",'Historical Score'!$C$9&lt;&gt;""),IF(J330='Historical Score'!$C$9,1,0),0)</f>
        <v>0</v>
      </c>
      <c r="AV330" s="65" t="n">
        <f aca="false">AR330*AS330*AQ330</f>
        <v>0</v>
      </c>
      <c r="AW330" s="65" t="n">
        <f aca="false">AR330*AT330*AQ330</f>
        <v>0</v>
      </c>
      <c r="AX330" s="65" t="n">
        <f aca="false">AR330*AS330</f>
        <v>0</v>
      </c>
      <c r="AY330" s="65" t="n">
        <f aca="false">AR330*AT330</f>
        <v>0</v>
      </c>
      <c r="AZ330" s="65" t="n">
        <f aca="false">AR330*AQ330</f>
        <v>0</v>
      </c>
      <c r="BA330" s="65" t="n">
        <f aca="false">AR330</f>
        <v>1</v>
      </c>
      <c r="BB330" s="65" t="n">
        <f aca="false">1</f>
        <v>1</v>
      </c>
      <c r="BC330" s="65" t="n">
        <f aca="false">IF(AV330=1,1,IF(AW330=1,2,IF(AX330=1,3,IF(AY330=1,4,IF(AZ330=1,5,IF(BA330=1,6,7))))))</f>
        <v>6</v>
      </c>
      <c r="BD330" s="65" t="n">
        <f aca="false">IF(AD330=1,CHOOSE('Historical Score'!$C$29,AV330,AW330,AX330,AY330,AZ330,BA330,BB330),0)</f>
        <v>0</v>
      </c>
      <c r="BE330" s="65" t="str">
        <f aca="false">IF(BD330=1,COUNTIF($BD$2:BD330,1),"")</f>
        <v/>
      </c>
    </row>
    <row r="331" customFormat="false" ht="15" hidden="false" customHeight="false" outlineLevel="0" collapsed="false">
      <c r="A331" s="65" t="s">
        <v>1387</v>
      </c>
      <c r="B331" s="65" t="s">
        <v>1388</v>
      </c>
      <c r="C331" s="65" t="s">
        <v>1389</v>
      </c>
      <c r="D331" s="65" t="s">
        <v>371</v>
      </c>
      <c r="E331" s="112" t="n">
        <v>45965</v>
      </c>
      <c r="F331" s="112" t="n">
        <v>46051</v>
      </c>
      <c r="G331" s="65" t="n">
        <v>4</v>
      </c>
      <c r="H331" s="65" t="s">
        <v>451</v>
      </c>
      <c r="I331" s="65" t="s">
        <v>425</v>
      </c>
      <c r="J331" s="65" t="s">
        <v>772</v>
      </c>
      <c r="K331" s="65" t="s">
        <v>1390</v>
      </c>
      <c r="L331" s="65" t="s">
        <v>64</v>
      </c>
      <c r="M331" s="113" t="n">
        <v>1.499</v>
      </c>
      <c r="N331" s="114" t="n">
        <v>5000</v>
      </c>
      <c r="O331" s="114" t="n">
        <v>700</v>
      </c>
      <c r="P331" s="114" t="n">
        <v>7495</v>
      </c>
      <c r="Q331" s="114" t="n">
        <v>7495</v>
      </c>
      <c r="R331" s="114" t="n">
        <v>9.09494701772928E-013</v>
      </c>
      <c r="S331" s="115" t="n">
        <v>1</v>
      </c>
      <c r="T331" s="65" t="n">
        <v>1.639</v>
      </c>
      <c r="U331" s="65" t="n">
        <v>7</v>
      </c>
      <c r="W331" s="115" t="n">
        <v>0.065</v>
      </c>
      <c r="X331" s="112" t="n">
        <v>36557</v>
      </c>
      <c r="Y331" s="65" t="str">
        <f aca="false">IF(I331="","No SIC",IFERROR(VLOOKUP(I331,Ref!$A$2:$B$65,2,FALSE()),"Unclassified"))</f>
        <v>Personal Services</v>
      </c>
      <c r="Z331" s="65" t="str">
        <f aca="false">IF(T331="","",IF(T331&lt;12,"Daily","Weekly"))</f>
        <v>Daily</v>
      </c>
      <c r="AA331" s="65" t="n">
        <f aca="false">IF(T331="",0,IF(T331&lt;12,T331*Controls!$B$29,T331*5))</f>
        <v>35.492545</v>
      </c>
      <c r="AB331" s="65" t="n">
        <f aca="false">IF(E331="",0,NETWORKDAYS(E331,Controls!$B$36,Ref!$K$2:$K$42))</f>
        <v>203</v>
      </c>
      <c r="AC331" s="65" t="n">
        <f aca="false">IF(AND(AA331&gt;0,AB331&gt;=Controls!$B$39*AA331),1,0)</f>
        <v>1</v>
      </c>
      <c r="AD331" s="65" t="n">
        <f aca="false">IF(AND(E331&lt;&gt;"",E331&gt;=Controls!$B$37,E331&lt;=Controls!$B$38),1,0)</f>
        <v>1</v>
      </c>
      <c r="AE331" s="65" t="n">
        <f aca="false">IF(IFERROR(VLOOKUP(D331,Controls!$A$64:$E$74,2,FALSE()),"No")="Yes",1,0)</f>
        <v>0</v>
      </c>
      <c r="AF331" s="65" t="n">
        <f aca="false">IF(IFERROR(VLOOKUP(D331,Controls!$A$64:$E$74,3,FALSE()),"No")="Yes",1,0)</f>
        <v>1</v>
      </c>
      <c r="AG331" s="65" t="n">
        <f aca="false">IF(IFERROR(VLOOKUP(D331,Controls!$A$64:$E$74,4,FALSE()),"No")="Yes",1,0)</f>
        <v>1</v>
      </c>
      <c r="AH331" s="65" t="n">
        <f aca="false">IF(IFERROR(VLOOKUP(D331,Controls!$A$64:$E$74,5,FALSE()),"No")="Yes",1,0)</f>
        <v>0</v>
      </c>
      <c r="AI331" s="65" t="n">
        <f aca="false">IF(ISNUMBER(MATCH(D331,Controls!$A$64:$A$74,0)),1,0)</f>
        <v>1</v>
      </c>
      <c r="AJ331" s="65" t="n">
        <f aca="false">Q331-N331</f>
        <v>2495</v>
      </c>
      <c r="AK331" s="65" t="n">
        <f aca="false">IF(AE331=1,MAX(0,N331-Q331),0)</f>
        <v>0</v>
      </c>
      <c r="AL331" s="65" t="n">
        <f aca="false">IF(OR(V331="",V331=0),0,N331/V331)</f>
        <v>0</v>
      </c>
      <c r="AM331" s="65" t="n">
        <f aca="false">IF(OR(V331="",V331=0),0,1)</f>
        <v>0</v>
      </c>
      <c r="AN331" s="65" t="n">
        <f aca="false">IF(OR(E331="",F331=""),0,NETWORKDAYS(E331,F331,Ref!$K$2:$K$42))</f>
        <v>58</v>
      </c>
      <c r="AO331" s="65" t="n">
        <f aca="false">IF(L331="Renewal",1,0)</f>
        <v>0</v>
      </c>
      <c r="AP331" s="65" t="n">
        <f aca="false">AC331*AD331</f>
        <v>1</v>
      </c>
      <c r="AQ331" s="65" t="n">
        <f aca="false">IF(AND(G331&lt;&gt;"",'Historical Score'!$C$6&lt;&gt;""),IF(G331='Historical Score'!$C$6,1,0),0)</f>
        <v>0</v>
      </c>
      <c r="AR331" s="65" t="n">
        <f aca="false">IF(AND(L331&lt;&gt;"",'Historical Score'!$C$5&lt;&gt;""),IF(L331='Historical Score'!$C$5,1,0),0)</f>
        <v>1</v>
      </c>
      <c r="AS331" s="65" t="n">
        <f aca="false">IF(AND(Y331&lt;&gt;"",'Historical Score'!$C$7&lt;&gt;""),IF(Y331='Historical Score'!$C$7,1,0),0)</f>
        <v>0</v>
      </c>
      <c r="AT331" s="65" t="n">
        <f aca="false">IF(AND(K331&lt;&gt;"",'Historical Score'!$C$8&lt;&gt;""),IF(K331='Historical Score'!$C$8,1,0),0)</f>
        <v>0</v>
      </c>
      <c r="AU331" s="65" t="n">
        <f aca="false">IF(AND(J331&lt;&gt;"",'Historical Score'!$C$9&lt;&gt;""),IF(J331='Historical Score'!$C$9,1,0),0)</f>
        <v>0</v>
      </c>
      <c r="AV331" s="65" t="n">
        <f aca="false">AR331*AS331*AQ331</f>
        <v>0</v>
      </c>
      <c r="AW331" s="65" t="n">
        <f aca="false">AR331*AT331*AQ331</f>
        <v>0</v>
      </c>
      <c r="AX331" s="65" t="n">
        <f aca="false">AR331*AS331</f>
        <v>0</v>
      </c>
      <c r="AY331" s="65" t="n">
        <f aca="false">AR331*AT331</f>
        <v>0</v>
      </c>
      <c r="AZ331" s="65" t="n">
        <f aca="false">AR331*AQ331</f>
        <v>0</v>
      </c>
      <c r="BA331" s="65" t="n">
        <f aca="false">AR331</f>
        <v>1</v>
      </c>
      <c r="BB331" s="65" t="n">
        <f aca="false">1</f>
        <v>1</v>
      </c>
      <c r="BC331" s="65" t="n">
        <f aca="false">IF(AV331=1,1,IF(AW331=1,2,IF(AX331=1,3,IF(AY331=1,4,IF(AZ331=1,5,IF(BA331=1,6,7))))))</f>
        <v>6</v>
      </c>
      <c r="BD331" s="65" t="n">
        <f aca="false">IF(AD331=1,CHOOSE('Historical Score'!$C$29,AV331,AW331,AX331,AY331,AZ331,BA331,BB331),0)</f>
        <v>0</v>
      </c>
      <c r="BE331" s="65" t="str">
        <f aca="false">IF(BD331=1,COUNTIF($BD$2:BD331,1),"")</f>
        <v/>
      </c>
    </row>
    <row r="332" customFormat="false" ht="15" hidden="false" customHeight="false" outlineLevel="0" collapsed="false">
      <c r="A332" s="65" t="s">
        <v>1391</v>
      </c>
      <c r="B332" s="65" t="s">
        <v>1392</v>
      </c>
      <c r="C332" s="65" t="s">
        <v>1393</v>
      </c>
      <c r="D332" s="65" t="s">
        <v>347</v>
      </c>
      <c r="E332" s="112" t="n">
        <v>45966</v>
      </c>
      <c r="F332" s="112" t="n">
        <v>46071</v>
      </c>
      <c r="G332" s="65" t="n">
        <v>1</v>
      </c>
      <c r="H332" s="65" t="s">
        <v>1394</v>
      </c>
      <c r="I332" s="65" t="s">
        <v>619</v>
      </c>
      <c r="J332" s="65" t="s">
        <v>350</v>
      </c>
      <c r="K332" s="65" t="s">
        <v>961</v>
      </c>
      <c r="L332" s="65" t="s">
        <v>64</v>
      </c>
      <c r="M332" s="113" t="n">
        <v>1.38</v>
      </c>
      <c r="N332" s="114" t="n">
        <v>5000</v>
      </c>
      <c r="O332" s="114" t="n">
        <v>600</v>
      </c>
      <c r="P332" s="114" t="n">
        <v>6900</v>
      </c>
      <c r="Q332" s="114" t="n">
        <v>6585.61</v>
      </c>
      <c r="R332" s="114" t="n">
        <v>314.389999999999</v>
      </c>
      <c r="S332" s="115" t="n">
        <v>0.954436231884058</v>
      </c>
      <c r="T332" s="65" t="n">
        <v>24</v>
      </c>
      <c r="U332" s="65" t="n">
        <v>1</v>
      </c>
      <c r="V332" s="65" t="n">
        <v>17464.36</v>
      </c>
      <c r="W332" s="115" t="n">
        <v>0.0658</v>
      </c>
      <c r="X332" s="112" t="n">
        <v>44777</v>
      </c>
      <c r="Y332" s="65" t="str">
        <f aca="false">IF(I332="","No SIC",IFERROR(VLOOKUP(I332,Ref!$A$2:$B$65,2,FALSE()),"Unclassified"))</f>
        <v>Miscellaneous Retail</v>
      </c>
      <c r="Z332" s="65" t="str">
        <f aca="false">IF(T332="","",IF(T332&lt;12,"Daily","Weekly"))</f>
        <v>Weekly</v>
      </c>
      <c r="AA332" s="65" t="n">
        <f aca="false">IF(T332="",0,IF(T332&lt;12,T332*Controls!$B$29,T332*5))</f>
        <v>120</v>
      </c>
      <c r="AB332" s="65" t="n">
        <f aca="false">IF(E332="",0,NETWORKDAYS(E332,Controls!$B$36,Ref!$K$2:$K$42))</f>
        <v>202</v>
      </c>
      <c r="AC332" s="65" t="n">
        <f aca="false">IF(AND(AA332&gt;0,AB332&gt;=Controls!$B$39*AA332),1,0)</f>
        <v>1</v>
      </c>
      <c r="AD332" s="65" t="n">
        <f aca="false">IF(AND(E332&lt;&gt;"",E332&gt;=Controls!$B$37,E332&lt;=Controls!$B$38),1,0)</f>
        <v>1</v>
      </c>
      <c r="AE332" s="65" t="n">
        <f aca="false">IF(IFERROR(VLOOKUP(D332,Controls!$A$64:$E$74,2,FALSE()),"No")="Yes",1,0)</f>
        <v>1</v>
      </c>
      <c r="AF332" s="65" t="n">
        <f aca="false">IF(IFERROR(VLOOKUP(D332,Controls!$A$64:$E$74,3,FALSE()),"No")="Yes",1,0)</f>
        <v>1</v>
      </c>
      <c r="AG332" s="65" t="n">
        <f aca="false">IF(IFERROR(VLOOKUP(D332,Controls!$A$64:$E$74,4,FALSE()),"No")="Yes",1,0)</f>
        <v>0</v>
      </c>
      <c r="AH332" s="65" t="n">
        <f aca="false">IF(IFERROR(VLOOKUP(D332,Controls!$A$64:$E$74,5,FALSE()),"No")="Yes",1,0)</f>
        <v>0</v>
      </c>
      <c r="AI332" s="65" t="n">
        <f aca="false">IF(ISNUMBER(MATCH(D332,Controls!$A$64:$A$74,0)),1,0)</f>
        <v>1</v>
      </c>
      <c r="AJ332" s="65" t="n">
        <f aca="false">Q332-N332</f>
        <v>1585.61</v>
      </c>
      <c r="AK332" s="65" t="n">
        <f aca="false">IF(AE332=1,MAX(0,N332-Q332),0)</f>
        <v>0</v>
      </c>
      <c r="AL332" s="65" t="n">
        <f aca="false">IF(OR(V332="",V332=0),0,N332/V332)</f>
        <v>0.286297350718835</v>
      </c>
      <c r="AM332" s="65" t="n">
        <f aca="false">IF(OR(V332="",V332=0),0,1)</f>
        <v>1</v>
      </c>
      <c r="AN332" s="65" t="n">
        <f aca="false">IF(OR(E332="",F332=""),0,NETWORKDAYS(E332,F332,Ref!$K$2:$K$42))</f>
        <v>70</v>
      </c>
      <c r="AO332" s="65" t="n">
        <f aca="false">IF(L332="Renewal",1,0)</f>
        <v>0</v>
      </c>
      <c r="AP332" s="65" t="n">
        <f aca="false">AC332*AD332</f>
        <v>1</v>
      </c>
      <c r="AQ332" s="65" t="n">
        <f aca="false">IF(AND(G332&lt;&gt;"",'Historical Score'!$C$6&lt;&gt;""),IF(G332='Historical Score'!$C$6,1,0),0)</f>
        <v>0</v>
      </c>
      <c r="AR332" s="65" t="n">
        <f aca="false">IF(AND(L332&lt;&gt;"",'Historical Score'!$C$5&lt;&gt;""),IF(L332='Historical Score'!$C$5,1,0),0)</f>
        <v>1</v>
      </c>
      <c r="AS332" s="65" t="n">
        <f aca="false">IF(AND(Y332&lt;&gt;"",'Historical Score'!$C$7&lt;&gt;""),IF(Y332='Historical Score'!$C$7,1,0),0)</f>
        <v>0</v>
      </c>
      <c r="AT332" s="65" t="n">
        <f aca="false">IF(AND(K332&lt;&gt;"",'Historical Score'!$C$8&lt;&gt;""),IF(K332='Historical Score'!$C$8,1,0),0)</f>
        <v>0</v>
      </c>
      <c r="AU332" s="65" t="n">
        <f aca="false">IF(AND(J332&lt;&gt;"",'Historical Score'!$C$9&lt;&gt;""),IF(J332='Historical Score'!$C$9,1,0),0)</f>
        <v>0</v>
      </c>
      <c r="AV332" s="65" t="n">
        <f aca="false">AR332*AS332*AQ332</f>
        <v>0</v>
      </c>
      <c r="AW332" s="65" t="n">
        <f aca="false">AR332*AT332*AQ332</f>
        <v>0</v>
      </c>
      <c r="AX332" s="65" t="n">
        <f aca="false">AR332*AS332</f>
        <v>0</v>
      </c>
      <c r="AY332" s="65" t="n">
        <f aca="false">AR332*AT332</f>
        <v>0</v>
      </c>
      <c r="AZ332" s="65" t="n">
        <f aca="false">AR332*AQ332</f>
        <v>0</v>
      </c>
      <c r="BA332" s="65" t="n">
        <f aca="false">AR332</f>
        <v>1</v>
      </c>
      <c r="BB332" s="65" t="n">
        <f aca="false">1</f>
        <v>1</v>
      </c>
      <c r="BC332" s="65" t="n">
        <f aca="false">IF(AV332=1,1,IF(AW332=1,2,IF(AX332=1,3,IF(AY332=1,4,IF(AZ332=1,5,IF(BA332=1,6,7))))))</f>
        <v>6</v>
      </c>
      <c r="BD332" s="65" t="n">
        <f aca="false">IF(AD332=1,CHOOSE('Historical Score'!$C$29,AV332,AW332,AX332,AY332,AZ332,BA332,BB332),0)</f>
        <v>0</v>
      </c>
      <c r="BE332" s="65" t="str">
        <f aca="false">IF(BD332=1,COUNTIF($BD$2:BD332,1),"")</f>
        <v/>
      </c>
    </row>
    <row r="333" customFormat="false" ht="15" hidden="false" customHeight="false" outlineLevel="0" collapsed="false">
      <c r="A333" s="65" t="s">
        <v>1395</v>
      </c>
      <c r="B333" s="65" t="s">
        <v>1396</v>
      </c>
      <c r="C333" s="65" t="s">
        <v>1396</v>
      </c>
      <c r="D333" s="65" t="s">
        <v>371</v>
      </c>
      <c r="E333" s="112" t="n">
        <v>45966</v>
      </c>
      <c r="F333" s="112" t="n">
        <v>46225</v>
      </c>
      <c r="G333" s="65" t="n">
        <v>3</v>
      </c>
      <c r="H333" s="65" t="s">
        <v>372</v>
      </c>
      <c r="I333" s="65" t="s">
        <v>367</v>
      </c>
      <c r="J333" s="65" t="s">
        <v>410</v>
      </c>
      <c r="K333" s="65" t="s">
        <v>961</v>
      </c>
      <c r="L333" s="65" t="s">
        <v>64</v>
      </c>
      <c r="M333" s="113" t="n">
        <v>1.36</v>
      </c>
      <c r="N333" s="114" t="n">
        <v>65000</v>
      </c>
      <c r="O333" s="114" t="n">
        <v>5850</v>
      </c>
      <c r="P333" s="114" t="n">
        <v>88400</v>
      </c>
      <c r="Q333" s="114" t="n">
        <v>88400</v>
      </c>
      <c r="R333" s="114" t="n">
        <v>0</v>
      </c>
      <c r="S333" s="115" t="n">
        <v>1</v>
      </c>
      <c r="T333" s="65" t="n">
        <v>36</v>
      </c>
      <c r="U333" s="65" t="n">
        <v>0</v>
      </c>
      <c r="V333" s="65" t="n">
        <v>145421.7</v>
      </c>
      <c r="W333" s="115" t="n">
        <v>0.0675</v>
      </c>
      <c r="X333" s="112" t="n">
        <v>42526</v>
      </c>
      <c r="Y333" s="65" t="str">
        <f aca="false">IF(I333="","No SIC",IFERROR(VLOOKUP(I333,Ref!$A$2:$B$65,2,FALSE()),"Unclassified"))</f>
        <v>Engineering, Accounting &amp; Management</v>
      </c>
      <c r="Z333" s="65" t="str">
        <f aca="false">IF(T333="","",IF(T333&lt;12,"Daily","Weekly"))</f>
        <v>Weekly</v>
      </c>
      <c r="AA333" s="65" t="n">
        <f aca="false">IF(T333="",0,IF(T333&lt;12,T333*Controls!$B$29,T333*5))</f>
        <v>180</v>
      </c>
      <c r="AB333" s="65" t="n">
        <f aca="false">IF(E333="",0,NETWORKDAYS(E333,Controls!$B$36,Ref!$K$2:$K$42))</f>
        <v>202</v>
      </c>
      <c r="AC333" s="65" t="n">
        <f aca="false">IF(AND(AA333&gt;0,AB333&gt;=Controls!$B$39*AA333),1,0)</f>
        <v>0</v>
      </c>
      <c r="AD333" s="65" t="n">
        <f aca="false">IF(AND(E333&lt;&gt;"",E333&gt;=Controls!$B$37,E333&lt;=Controls!$B$38),1,0)</f>
        <v>1</v>
      </c>
      <c r="AE333" s="65" t="n">
        <f aca="false">IF(IFERROR(VLOOKUP(D333,Controls!$A$64:$E$74,2,FALSE()),"No")="Yes",1,0)</f>
        <v>0</v>
      </c>
      <c r="AF333" s="65" t="n">
        <f aca="false">IF(IFERROR(VLOOKUP(D333,Controls!$A$64:$E$74,3,FALSE()),"No")="Yes",1,0)</f>
        <v>1</v>
      </c>
      <c r="AG333" s="65" t="n">
        <f aca="false">IF(IFERROR(VLOOKUP(D333,Controls!$A$64:$E$74,4,FALSE()),"No")="Yes",1,0)</f>
        <v>1</v>
      </c>
      <c r="AH333" s="65" t="n">
        <f aca="false">IF(IFERROR(VLOOKUP(D333,Controls!$A$64:$E$74,5,FALSE()),"No")="Yes",1,0)</f>
        <v>0</v>
      </c>
      <c r="AI333" s="65" t="n">
        <f aca="false">IF(ISNUMBER(MATCH(D333,Controls!$A$64:$A$74,0)),1,0)</f>
        <v>1</v>
      </c>
      <c r="AJ333" s="65" t="n">
        <f aca="false">Q333-N333</f>
        <v>23400</v>
      </c>
      <c r="AK333" s="65" t="n">
        <f aca="false">IF(AE333=1,MAX(0,N333-Q333),0)</f>
        <v>0</v>
      </c>
      <c r="AL333" s="65" t="n">
        <f aca="false">IF(OR(V333="",V333=0),0,N333/V333)</f>
        <v>0.446975932752815</v>
      </c>
      <c r="AM333" s="65" t="n">
        <f aca="false">IF(OR(V333="",V333=0),0,1)</f>
        <v>1</v>
      </c>
      <c r="AN333" s="65" t="n">
        <f aca="false">IF(OR(E333="",F333=""),0,NETWORKDAYS(E333,F333,Ref!$K$2:$K$42))</f>
        <v>178</v>
      </c>
      <c r="AO333" s="65" t="n">
        <f aca="false">IF(L333="Renewal",1,0)</f>
        <v>0</v>
      </c>
      <c r="AP333" s="65" t="n">
        <f aca="false">AC333*AD333</f>
        <v>0</v>
      </c>
      <c r="AQ333" s="65" t="n">
        <f aca="false">IF(AND(G333&lt;&gt;"",'Historical Score'!$C$6&lt;&gt;""),IF(G333='Historical Score'!$C$6,1,0),0)</f>
        <v>0</v>
      </c>
      <c r="AR333" s="65" t="n">
        <f aca="false">IF(AND(L333&lt;&gt;"",'Historical Score'!$C$5&lt;&gt;""),IF(L333='Historical Score'!$C$5,1,0),0)</f>
        <v>1</v>
      </c>
      <c r="AS333" s="65" t="n">
        <f aca="false">IF(AND(Y333&lt;&gt;"",'Historical Score'!$C$7&lt;&gt;""),IF(Y333='Historical Score'!$C$7,1,0),0)</f>
        <v>0</v>
      </c>
      <c r="AT333" s="65" t="n">
        <f aca="false">IF(AND(K333&lt;&gt;"",'Historical Score'!$C$8&lt;&gt;""),IF(K333='Historical Score'!$C$8,1,0),0)</f>
        <v>0</v>
      </c>
      <c r="AU333" s="65" t="n">
        <f aca="false">IF(AND(J333&lt;&gt;"",'Historical Score'!$C$9&lt;&gt;""),IF(J333='Historical Score'!$C$9,1,0),0)</f>
        <v>0</v>
      </c>
      <c r="AV333" s="65" t="n">
        <f aca="false">AR333*AS333*AQ333</f>
        <v>0</v>
      </c>
      <c r="AW333" s="65" t="n">
        <f aca="false">AR333*AT333*AQ333</f>
        <v>0</v>
      </c>
      <c r="AX333" s="65" t="n">
        <f aca="false">AR333*AS333</f>
        <v>0</v>
      </c>
      <c r="AY333" s="65" t="n">
        <f aca="false">AR333*AT333</f>
        <v>0</v>
      </c>
      <c r="AZ333" s="65" t="n">
        <f aca="false">AR333*AQ333</f>
        <v>0</v>
      </c>
      <c r="BA333" s="65" t="n">
        <f aca="false">AR333</f>
        <v>1</v>
      </c>
      <c r="BB333" s="65" t="n">
        <f aca="false">1</f>
        <v>1</v>
      </c>
      <c r="BC333" s="65" t="n">
        <f aca="false">IF(AV333=1,1,IF(AW333=1,2,IF(AX333=1,3,IF(AY333=1,4,IF(AZ333=1,5,IF(BA333=1,6,7))))))</f>
        <v>6</v>
      </c>
      <c r="BD333" s="65" t="n">
        <f aca="false">IF(AD333=1,CHOOSE('Historical Score'!$C$29,AV333,AW333,AX333,AY333,AZ333,BA333,BB333),0)</f>
        <v>0</v>
      </c>
      <c r="BE333" s="65" t="str">
        <f aca="false">IF(BD333=1,COUNTIF($BD$2:BD333,1),"")</f>
        <v/>
      </c>
    </row>
    <row r="334" customFormat="false" ht="15" hidden="false" customHeight="false" outlineLevel="0" collapsed="false">
      <c r="A334" s="65" t="s">
        <v>1397</v>
      </c>
      <c r="B334" s="65" t="s">
        <v>1398</v>
      </c>
      <c r="C334" s="65" t="s">
        <v>1399</v>
      </c>
      <c r="D334" s="65" t="s">
        <v>371</v>
      </c>
      <c r="E334" s="112" t="n">
        <v>45966</v>
      </c>
      <c r="F334" s="112" t="n">
        <v>46139</v>
      </c>
      <c r="G334" s="65" t="n">
        <v>1</v>
      </c>
      <c r="H334" s="65" t="s">
        <v>409</v>
      </c>
      <c r="I334" s="65" t="s">
        <v>342</v>
      </c>
      <c r="J334" s="65" t="s">
        <v>905</v>
      </c>
      <c r="K334" s="65" t="s">
        <v>55</v>
      </c>
      <c r="L334" s="65" t="s">
        <v>64</v>
      </c>
      <c r="M334" s="113" t="n">
        <v>1.499</v>
      </c>
      <c r="N334" s="114" t="n">
        <v>10000</v>
      </c>
      <c r="O334" s="114" t="n">
        <v>1400</v>
      </c>
      <c r="P334" s="114" t="n">
        <v>14990</v>
      </c>
      <c r="Q334" s="114" t="n">
        <v>14990</v>
      </c>
      <c r="R334" s="114" t="n">
        <v>1.81898940354586E-012</v>
      </c>
      <c r="S334" s="115" t="n">
        <v>1</v>
      </c>
      <c r="T334" s="65" t="n">
        <v>2.623</v>
      </c>
      <c r="U334" s="65" t="n">
        <v>36</v>
      </c>
      <c r="V334" s="65" t="n">
        <v>40000</v>
      </c>
      <c r="W334" s="115" t="n">
        <v>0.0869</v>
      </c>
      <c r="X334" s="112"/>
      <c r="Y334" s="65" t="str">
        <f aca="false">IF(I334="","No SIC",IFERROR(VLOOKUP(I334,Ref!$A$2:$B$65,2,FALSE()),"Unclassified"))</f>
        <v>Eating &amp; Drinking Places</v>
      </c>
      <c r="Z334" s="65" t="str">
        <f aca="false">IF(T334="","",IF(T334&lt;12,"Daily","Weekly"))</f>
        <v>Daily</v>
      </c>
      <c r="AA334" s="65" t="n">
        <f aca="false">IF(T334="",0,IF(T334&lt;12,T334*Controls!$B$29,T334*5))</f>
        <v>56.801065</v>
      </c>
      <c r="AB334" s="65" t="n">
        <f aca="false">IF(E334="",0,NETWORKDAYS(E334,Controls!$B$36,Ref!$K$2:$K$42))</f>
        <v>202</v>
      </c>
      <c r="AC334" s="65" t="n">
        <f aca="false">IF(AND(AA334&gt;0,AB334&gt;=Controls!$B$39*AA334),1,0)</f>
        <v>1</v>
      </c>
      <c r="AD334" s="65" t="n">
        <f aca="false">IF(AND(E334&lt;&gt;"",E334&gt;=Controls!$B$37,E334&lt;=Controls!$B$38),1,0)</f>
        <v>1</v>
      </c>
      <c r="AE334" s="65" t="n">
        <f aca="false">IF(IFERROR(VLOOKUP(D334,Controls!$A$64:$E$74,2,FALSE()),"No")="Yes",1,0)</f>
        <v>0</v>
      </c>
      <c r="AF334" s="65" t="n">
        <f aca="false">IF(IFERROR(VLOOKUP(D334,Controls!$A$64:$E$74,3,FALSE()),"No")="Yes",1,0)</f>
        <v>1</v>
      </c>
      <c r="AG334" s="65" t="n">
        <f aca="false">IF(IFERROR(VLOOKUP(D334,Controls!$A$64:$E$74,4,FALSE()),"No")="Yes",1,0)</f>
        <v>1</v>
      </c>
      <c r="AH334" s="65" t="n">
        <f aca="false">IF(IFERROR(VLOOKUP(D334,Controls!$A$64:$E$74,5,FALSE()),"No")="Yes",1,0)</f>
        <v>0</v>
      </c>
      <c r="AI334" s="65" t="n">
        <f aca="false">IF(ISNUMBER(MATCH(D334,Controls!$A$64:$A$74,0)),1,0)</f>
        <v>1</v>
      </c>
      <c r="AJ334" s="65" t="n">
        <f aca="false">Q334-N334</f>
        <v>4990</v>
      </c>
      <c r="AK334" s="65" t="n">
        <f aca="false">IF(AE334=1,MAX(0,N334-Q334),0)</f>
        <v>0</v>
      </c>
      <c r="AL334" s="65" t="n">
        <f aca="false">IF(OR(V334="",V334=0),0,N334/V334)</f>
        <v>0.25</v>
      </c>
      <c r="AM334" s="65" t="n">
        <f aca="false">IF(OR(V334="",V334=0),0,1)</f>
        <v>1</v>
      </c>
      <c r="AN334" s="65" t="n">
        <f aca="false">IF(OR(E334="",F334=""),0,NETWORKDAYS(E334,F334,Ref!$K$2:$K$42))</f>
        <v>118</v>
      </c>
      <c r="AO334" s="65" t="n">
        <f aca="false">IF(L334="Renewal",1,0)</f>
        <v>0</v>
      </c>
      <c r="AP334" s="65" t="n">
        <f aca="false">AC334*AD334</f>
        <v>1</v>
      </c>
      <c r="AQ334" s="65" t="n">
        <f aca="false">IF(AND(G334&lt;&gt;"",'Historical Score'!$C$6&lt;&gt;""),IF(G334='Historical Score'!$C$6,1,0),0)</f>
        <v>0</v>
      </c>
      <c r="AR334" s="65" t="n">
        <f aca="false">IF(AND(L334&lt;&gt;"",'Historical Score'!$C$5&lt;&gt;""),IF(L334='Historical Score'!$C$5,1,0),0)</f>
        <v>1</v>
      </c>
      <c r="AS334" s="65" t="n">
        <f aca="false">IF(AND(Y334&lt;&gt;"",'Historical Score'!$C$7&lt;&gt;""),IF(Y334='Historical Score'!$C$7,1,0),0)</f>
        <v>0</v>
      </c>
      <c r="AT334" s="65" t="n">
        <f aca="false">IF(AND(K334&lt;&gt;"",'Historical Score'!$C$8&lt;&gt;""),IF(K334='Historical Score'!$C$8,1,0),0)</f>
        <v>1</v>
      </c>
      <c r="AU334" s="65" t="n">
        <f aca="false">IF(AND(J334&lt;&gt;"",'Historical Score'!$C$9&lt;&gt;""),IF(J334='Historical Score'!$C$9,1,0),0)</f>
        <v>0</v>
      </c>
      <c r="AV334" s="65" t="n">
        <f aca="false">AR334*AS334*AQ334</f>
        <v>0</v>
      </c>
      <c r="AW334" s="65" t="n">
        <f aca="false">AR334*AT334*AQ334</f>
        <v>0</v>
      </c>
      <c r="AX334" s="65" t="n">
        <f aca="false">AR334*AS334</f>
        <v>0</v>
      </c>
      <c r="AY334" s="65" t="n">
        <f aca="false">AR334*AT334</f>
        <v>1</v>
      </c>
      <c r="AZ334" s="65" t="n">
        <f aca="false">AR334*AQ334</f>
        <v>0</v>
      </c>
      <c r="BA334" s="65" t="n">
        <f aca="false">AR334</f>
        <v>1</v>
      </c>
      <c r="BB334" s="65" t="n">
        <f aca="false">1</f>
        <v>1</v>
      </c>
      <c r="BC334" s="65" t="n">
        <f aca="false">IF(AV334=1,1,IF(AW334=1,2,IF(AX334=1,3,IF(AY334=1,4,IF(AZ334=1,5,IF(BA334=1,6,7))))))</f>
        <v>4</v>
      </c>
      <c r="BD334" s="65" t="n">
        <f aca="false">IF(AD334=1,CHOOSE('Historical Score'!$C$29,AV334,AW334,AX334,AY334,AZ334,BA334,BB334),0)</f>
        <v>0</v>
      </c>
      <c r="BE334" s="65" t="str">
        <f aca="false">IF(BD334=1,COUNTIF($BD$2:BD334,1),"")</f>
        <v/>
      </c>
    </row>
    <row r="335" customFormat="false" ht="15" hidden="false" customHeight="false" outlineLevel="0" collapsed="false">
      <c r="A335" s="65" t="s">
        <v>1400</v>
      </c>
      <c r="B335" s="65" t="s">
        <v>1401</v>
      </c>
      <c r="C335" s="65" t="s">
        <v>1401</v>
      </c>
      <c r="D335" s="65" t="s">
        <v>959</v>
      </c>
      <c r="E335" s="112" t="n">
        <v>45966</v>
      </c>
      <c r="F335" s="112" t="n">
        <v>46248</v>
      </c>
      <c r="G335" s="65" t="n">
        <v>2</v>
      </c>
      <c r="H335" s="65" t="s">
        <v>1100</v>
      </c>
      <c r="I335" s="65" t="s">
        <v>816</v>
      </c>
      <c r="J335" s="65" t="s">
        <v>470</v>
      </c>
      <c r="K335" s="65" t="s">
        <v>55</v>
      </c>
      <c r="L335" s="65" t="s">
        <v>64</v>
      </c>
      <c r="M335" s="113" t="n">
        <v>1.49</v>
      </c>
      <c r="N335" s="114" t="n">
        <v>12500</v>
      </c>
      <c r="O335" s="114" t="n">
        <v>1750</v>
      </c>
      <c r="P335" s="114" t="n">
        <v>18625</v>
      </c>
      <c r="Q335" s="114" t="n">
        <v>17104.94</v>
      </c>
      <c r="R335" s="114" t="n">
        <v>1520.06</v>
      </c>
      <c r="S335" s="115" t="n">
        <v>0.918386040268456</v>
      </c>
      <c r="T335" s="65" t="n">
        <v>18</v>
      </c>
      <c r="U335" s="65" t="n">
        <v>9</v>
      </c>
      <c r="V335" s="65" t="n">
        <v>25151.5</v>
      </c>
      <c r="W335" s="115" t="n">
        <v>0.1646</v>
      </c>
      <c r="X335" s="112"/>
      <c r="Y335" s="65" t="str">
        <f aca="false">IF(I335="","No SIC",IFERROR(VLOOKUP(I335,Ref!$A$2:$B$65,2,FALSE()),"Unclassified"))</f>
        <v>Local &amp; Interurban Passenger Transit</v>
      </c>
      <c r="Z335" s="65" t="str">
        <f aca="false">IF(T335="","",IF(T335&lt;12,"Daily","Weekly"))</f>
        <v>Weekly</v>
      </c>
      <c r="AA335" s="65" t="n">
        <f aca="false">IF(T335="",0,IF(T335&lt;12,T335*Controls!$B$29,T335*5))</f>
        <v>90</v>
      </c>
      <c r="AB335" s="65" t="n">
        <f aca="false">IF(E335="",0,NETWORKDAYS(E335,Controls!$B$36,Ref!$K$2:$K$42))</f>
        <v>202</v>
      </c>
      <c r="AC335" s="65" t="n">
        <f aca="false">IF(AND(AA335&gt;0,AB335&gt;=Controls!$B$39*AA335),1,0)</f>
        <v>1</v>
      </c>
      <c r="AD335" s="65" t="n">
        <f aca="false">IF(AND(E335&lt;&gt;"",E335&gt;=Controls!$B$37,E335&lt;=Controls!$B$38),1,0)</f>
        <v>1</v>
      </c>
      <c r="AE335" s="65" t="n">
        <f aca="false">IF(IFERROR(VLOOKUP(D335,Controls!$A$64:$E$74,2,FALSE()),"No")="Yes",1,0)</f>
        <v>0</v>
      </c>
      <c r="AF335" s="65" t="n">
        <f aca="false">IF(IFERROR(VLOOKUP(D335,Controls!$A$64:$E$74,3,FALSE()),"No")="Yes",1,0)</f>
        <v>0</v>
      </c>
      <c r="AG335" s="65" t="n">
        <f aca="false">IF(IFERROR(VLOOKUP(D335,Controls!$A$64:$E$74,4,FALSE()),"No")="Yes",1,0)</f>
        <v>0</v>
      </c>
      <c r="AH335" s="65" t="n">
        <f aca="false">IF(IFERROR(VLOOKUP(D335,Controls!$A$64:$E$74,5,FALSE()),"No")="Yes",1,0)</f>
        <v>0</v>
      </c>
      <c r="AI335" s="65" t="n">
        <f aca="false">IF(ISNUMBER(MATCH(D335,Controls!$A$64:$A$74,0)),1,0)</f>
        <v>1</v>
      </c>
      <c r="AJ335" s="65" t="n">
        <f aca="false">Q335-N335</f>
        <v>4604.94</v>
      </c>
      <c r="AK335" s="65" t="n">
        <f aca="false">IF(AE335=1,MAX(0,N335-Q335),0)</f>
        <v>0</v>
      </c>
      <c r="AL335" s="65" t="n">
        <f aca="false">IF(OR(V335="",V335=0),0,N335/V335)</f>
        <v>0.496988251197742</v>
      </c>
      <c r="AM335" s="65" t="n">
        <f aca="false">IF(OR(V335="",V335=0),0,1)</f>
        <v>1</v>
      </c>
      <c r="AN335" s="65" t="n">
        <f aca="false">IF(OR(E335="",F335=""),0,NETWORKDAYS(E335,F335,Ref!$K$2:$K$42))</f>
        <v>195</v>
      </c>
      <c r="AO335" s="65" t="n">
        <f aca="false">IF(L335="Renewal",1,0)</f>
        <v>0</v>
      </c>
      <c r="AP335" s="65" t="n">
        <f aca="false">AC335*AD335</f>
        <v>1</v>
      </c>
      <c r="AQ335" s="65" t="n">
        <f aca="false">IF(AND(G335&lt;&gt;"",'Historical Score'!$C$6&lt;&gt;""),IF(G335='Historical Score'!$C$6,1,0),0)</f>
        <v>1</v>
      </c>
      <c r="AR335" s="65" t="n">
        <f aca="false">IF(AND(L335&lt;&gt;"",'Historical Score'!$C$5&lt;&gt;""),IF(L335='Historical Score'!$C$5,1,0),0)</f>
        <v>1</v>
      </c>
      <c r="AS335" s="65" t="n">
        <f aca="false">IF(AND(Y335&lt;&gt;"",'Historical Score'!$C$7&lt;&gt;""),IF(Y335='Historical Score'!$C$7,1,0),0)</f>
        <v>0</v>
      </c>
      <c r="AT335" s="65" t="n">
        <f aca="false">IF(AND(K335&lt;&gt;"",'Historical Score'!$C$8&lt;&gt;""),IF(K335='Historical Score'!$C$8,1,0),0)</f>
        <v>1</v>
      </c>
      <c r="AU335" s="65" t="n">
        <f aca="false">IF(AND(J335&lt;&gt;"",'Historical Score'!$C$9&lt;&gt;""),IF(J335='Historical Score'!$C$9,1,0),0)</f>
        <v>0</v>
      </c>
      <c r="AV335" s="65" t="n">
        <f aca="false">AR335*AS335*AQ335</f>
        <v>0</v>
      </c>
      <c r="AW335" s="65" t="n">
        <f aca="false">AR335*AT335*AQ335</f>
        <v>1</v>
      </c>
      <c r="AX335" s="65" t="n">
        <f aca="false">AR335*AS335</f>
        <v>0</v>
      </c>
      <c r="AY335" s="65" t="n">
        <f aca="false">AR335*AT335</f>
        <v>1</v>
      </c>
      <c r="AZ335" s="65" t="n">
        <f aca="false">AR335*AQ335</f>
        <v>1</v>
      </c>
      <c r="BA335" s="65" t="n">
        <f aca="false">AR335</f>
        <v>1</v>
      </c>
      <c r="BB335" s="65" t="n">
        <f aca="false">1</f>
        <v>1</v>
      </c>
      <c r="BC335" s="65" t="n">
        <f aca="false">IF(AV335=1,1,IF(AW335=1,2,IF(AX335=1,3,IF(AY335=1,4,IF(AZ335=1,5,IF(BA335=1,6,7))))))</f>
        <v>2</v>
      </c>
      <c r="BD335" s="65" t="n">
        <f aca="false">IF(AD335=1,CHOOSE('Historical Score'!$C$29,AV335,AW335,AX335,AY335,AZ335,BA335,BB335),0)</f>
        <v>0</v>
      </c>
      <c r="BE335" s="65" t="str">
        <f aca="false">IF(BD335=1,COUNTIF($BD$2:BD335,1),"")</f>
        <v/>
      </c>
    </row>
    <row r="336" customFormat="false" ht="15" hidden="false" customHeight="false" outlineLevel="0" collapsed="false">
      <c r="A336" s="65" t="s">
        <v>1402</v>
      </c>
      <c r="B336" s="65" t="s">
        <v>1403</v>
      </c>
      <c r="C336" s="65" t="s">
        <v>1403</v>
      </c>
      <c r="D336" s="65" t="s">
        <v>371</v>
      </c>
      <c r="E336" s="112" t="n">
        <v>45967</v>
      </c>
      <c r="F336" s="112" t="n">
        <v>46013</v>
      </c>
      <c r="G336" s="65" t="n">
        <v>3</v>
      </c>
      <c r="H336" s="65" t="s">
        <v>1404</v>
      </c>
      <c r="I336" s="65" t="s">
        <v>405</v>
      </c>
      <c r="J336" s="65" t="s">
        <v>61</v>
      </c>
      <c r="K336" s="65" t="s">
        <v>961</v>
      </c>
      <c r="L336" s="65" t="s">
        <v>64</v>
      </c>
      <c r="M336" s="113" t="n">
        <v>1.38</v>
      </c>
      <c r="N336" s="114" t="n">
        <v>20000</v>
      </c>
      <c r="O336" s="114" t="n">
        <v>2400</v>
      </c>
      <c r="P336" s="114" t="n">
        <v>27600</v>
      </c>
      <c r="Q336" s="114" t="n">
        <v>27600</v>
      </c>
      <c r="R336" s="114" t="n">
        <v>-3.63797880709171E-012</v>
      </c>
      <c r="S336" s="115" t="n">
        <v>1</v>
      </c>
      <c r="T336" s="65" t="n">
        <v>28</v>
      </c>
      <c r="U336" s="65" t="n">
        <v>1</v>
      </c>
      <c r="V336" s="65" t="n">
        <v>38940.09</v>
      </c>
      <c r="W336" s="115" t="n">
        <v>0.1013</v>
      </c>
      <c r="X336" s="112" t="n">
        <v>44574</v>
      </c>
      <c r="Y336" s="65" t="str">
        <f aca="false">IF(I336="","No SIC",IFERROR(VLOOKUP(I336,Ref!$A$2:$B$65,2,FALSE()),"Unclassified"))</f>
        <v>Health Services</v>
      </c>
      <c r="Z336" s="65" t="str">
        <f aca="false">IF(T336="","",IF(T336&lt;12,"Daily","Weekly"))</f>
        <v>Weekly</v>
      </c>
      <c r="AA336" s="65" t="n">
        <f aca="false">IF(T336="",0,IF(T336&lt;12,T336*Controls!$B$29,T336*5))</f>
        <v>140</v>
      </c>
      <c r="AB336" s="65" t="n">
        <f aca="false">IF(E336="",0,NETWORKDAYS(E336,Controls!$B$36,Ref!$K$2:$K$42))</f>
        <v>201</v>
      </c>
      <c r="AC336" s="65" t="n">
        <f aca="false">IF(AND(AA336&gt;0,AB336&gt;=Controls!$B$39*AA336),1,0)</f>
        <v>1</v>
      </c>
      <c r="AD336" s="65" t="n">
        <f aca="false">IF(AND(E336&lt;&gt;"",E336&gt;=Controls!$B$37,E336&lt;=Controls!$B$38),1,0)</f>
        <v>1</v>
      </c>
      <c r="AE336" s="65" t="n">
        <f aca="false">IF(IFERROR(VLOOKUP(D336,Controls!$A$64:$E$74,2,FALSE()),"No")="Yes",1,0)</f>
        <v>0</v>
      </c>
      <c r="AF336" s="65" t="n">
        <f aca="false">IF(IFERROR(VLOOKUP(D336,Controls!$A$64:$E$74,3,FALSE()),"No")="Yes",1,0)</f>
        <v>1</v>
      </c>
      <c r="AG336" s="65" t="n">
        <f aca="false">IF(IFERROR(VLOOKUP(D336,Controls!$A$64:$E$74,4,FALSE()),"No")="Yes",1,0)</f>
        <v>1</v>
      </c>
      <c r="AH336" s="65" t="n">
        <f aca="false">IF(IFERROR(VLOOKUP(D336,Controls!$A$64:$E$74,5,FALSE()),"No")="Yes",1,0)</f>
        <v>0</v>
      </c>
      <c r="AI336" s="65" t="n">
        <f aca="false">IF(ISNUMBER(MATCH(D336,Controls!$A$64:$A$74,0)),1,0)</f>
        <v>1</v>
      </c>
      <c r="AJ336" s="65" t="n">
        <f aca="false">Q336-N336</f>
        <v>7600</v>
      </c>
      <c r="AK336" s="65" t="n">
        <f aca="false">IF(AE336=1,MAX(0,N336-Q336),0)</f>
        <v>0</v>
      </c>
      <c r="AL336" s="65" t="n">
        <f aca="false">IF(OR(V336="",V336=0),0,N336/V336)</f>
        <v>0.51360949602325</v>
      </c>
      <c r="AM336" s="65" t="n">
        <f aca="false">IF(OR(V336="",V336=0),0,1)</f>
        <v>1</v>
      </c>
      <c r="AN336" s="65" t="n">
        <f aca="false">IF(OR(E336="",F336=""),0,NETWORKDAYS(E336,F336,Ref!$K$2:$K$42))</f>
        <v>31</v>
      </c>
      <c r="AO336" s="65" t="n">
        <f aca="false">IF(L336="Renewal",1,0)</f>
        <v>0</v>
      </c>
      <c r="AP336" s="65" t="n">
        <f aca="false">AC336*AD336</f>
        <v>1</v>
      </c>
      <c r="AQ336" s="65" t="n">
        <f aca="false">IF(AND(G336&lt;&gt;"",'Historical Score'!$C$6&lt;&gt;""),IF(G336='Historical Score'!$C$6,1,0),0)</f>
        <v>0</v>
      </c>
      <c r="AR336" s="65" t="n">
        <f aca="false">IF(AND(L336&lt;&gt;"",'Historical Score'!$C$5&lt;&gt;""),IF(L336='Historical Score'!$C$5,1,0),0)</f>
        <v>1</v>
      </c>
      <c r="AS336" s="65" t="n">
        <f aca="false">IF(AND(Y336&lt;&gt;"",'Historical Score'!$C$7&lt;&gt;""),IF(Y336='Historical Score'!$C$7,1,0),0)</f>
        <v>0</v>
      </c>
      <c r="AT336" s="65" t="n">
        <f aca="false">IF(AND(K336&lt;&gt;"",'Historical Score'!$C$8&lt;&gt;""),IF(K336='Historical Score'!$C$8,1,0),0)</f>
        <v>0</v>
      </c>
      <c r="AU336" s="65" t="n">
        <f aca="false">IF(AND(J336&lt;&gt;"",'Historical Score'!$C$9&lt;&gt;""),IF(J336='Historical Score'!$C$9,1,0),0)</f>
        <v>1</v>
      </c>
      <c r="AV336" s="65" t="n">
        <f aca="false">AR336*AS336*AQ336</f>
        <v>0</v>
      </c>
      <c r="AW336" s="65" t="n">
        <f aca="false">AR336*AT336*AQ336</f>
        <v>0</v>
      </c>
      <c r="AX336" s="65" t="n">
        <f aca="false">AR336*AS336</f>
        <v>0</v>
      </c>
      <c r="AY336" s="65" t="n">
        <f aca="false">AR336*AT336</f>
        <v>0</v>
      </c>
      <c r="AZ336" s="65" t="n">
        <f aca="false">AR336*AQ336</f>
        <v>0</v>
      </c>
      <c r="BA336" s="65" t="n">
        <f aca="false">AR336</f>
        <v>1</v>
      </c>
      <c r="BB336" s="65" t="n">
        <f aca="false">1</f>
        <v>1</v>
      </c>
      <c r="BC336" s="65" t="n">
        <f aca="false">IF(AV336=1,1,IF(AW336=1,2,IF(AX336=1,3,IF(AY336=1,4,IF(AZ336=1,5,IF(BA336=1,6,7))))))</f>
        <v>6</v>
      </c>
      <c r="BD336" s="65" t="n">
        <f aca="false">IF(AD336=1,CHOOSE('Historical Score'!$C$29,AV336,AW336,AX336,AY336,AZ336,BA336,BB336),0)</f>
        <v>0</v>
      </c>
      <c r="BE336" s="65" t="str">
        <f aca="false">IF(BD336=1,COUNTIF($BD$2:BD336,1),"")</f>
        <v/>
      </c>
    </row>
    <row r="337" customFormat="false" ht="15" hidden="false" customHeight="false" outlineLevel="0" collapsed="false">
      <c r="A337" s="65" t="s">
        <v>1405</v>
      </c>
      <c r="B337" s="65" t="s">
        <v>1009</v>
      </c>
      <c r="C337" s="65" t="s">
        <v>1009</v>
      </c>
      <c r="D337" s="65" t="s">
        <v>371</v>
      </c>
      <c r="E337" s="112" t="n">
        <v>45967</v>
      </c>
      <c r="F337" s="112" t="n">
        <v>46035</v>
      </c>
      <c r="G337" s="65" t="n">
        <v>6</v>
      </c>
      <c r="H337" s="65" t="s">
        <v>1010</v>
      </c>
      <c r="I337" s="65" t="s">
        <v>405</v>
      </c>
      <c r="J337" s="65" t="s">
        <v>671</v>
      </c>
      <c r="K337" s="65" t="s">
        <v>578</v>
      </c>
      <c r="L337" s="65" t="s">
        <v>320</v>
      </c>
      <c r="M337" s="113" t="n">
        <v>1.5</v>
      </c>
      <c r="N337" s="114" t="n">
        <v>40000</v>
      </c>
      <c r="O337" s="114" t="n">
        <v>5600</v>
      </c>
      <c r="P337" s="114" t="n">
        <v>60000</v>
      </c>
      <c r="Q337" s="114" t="n">
        <v>60000</v>
      </c>
      <c r="R337" s="114" t="n">
        <v>0</v>
      </c>
      <c r="S337" s="115" t="n">
        <v>1</v>
      </c>
      <c r="T337" s="65" t="n">
        <v>20</v>
      </c>
      <c r="U337" s="65" t="n">
        <v>1</v>
      </c>
      <c r="V337" s="65" t="n">
        <v>122458.04</v>
      </c>
      <c r="W337" s="115" t="n">
        <v>0.1025</v>
      </c>
      <c r="X337" s="112"/>
      <c r="Y337" s="65" t="str">
        <f aca="false">IF(I337="","No SIC",IFERROR(VLOOKUP(I337,Ref!$A$2:$B$65,2,FALSE()),"Unclassified"))</f>
        <v>Health Services</v>
      </c>
      <c r="Z337" s="65" t="str">
        <f aca="false">IF(T337="","",IF(T337&lt;12,"Daily","Weekly"))</f>
        <v>Weekly</v>
      </c>
      <c r="AA337" s="65" t="n">
        <f aca="false">IF(T337="",0,IF(T337&lt;12,T337*Controls!$B$29,T337*5))</f>
        <v>100</v>
      </c>
      <c r="AB337" s="65" t="n">
        <f aca="false">IF(E337="",0,NETWORKDAYS(E337,Controls!$B$36,Ref!$K$2:$K$42))</f>
        <v>201</v>
      </c>
      <c r="AC337" s="65" t="n">
        <f aca="false">IF(AND(AA337&gt;0,AB337&gt;=Controls!$B$39*AA337),1,0)</f>
        <v>1</v>
      </c>
      <c r="AD337" s="65" t="n">
        <f aca="false">IF(AND(E337&lt;&gt;"",E337&gt;=Controls!$B$37,E337&lt;=Controls!$B$38),1,0)</f>
        <v>1</v>
      </c>
      <c r="AE337" s="65" t="n">
        <f aca="false">IF(IFERROR(VLOOKUP(D337,Controls!$A$64:$E$74,2,FALSE()),"No")="Yes",1,0)</f>
        <v>0</v>
      </c>
      <c r="AF337" s="65" t="n">
        <f aca="false">IF(IFERROR(VLOOKUP(D337,Controls!$A$64:$E$74,3,FALSE()),"No")="Yes",1,0)</f>
        <v>1</v>
      </c>
      <c r="AG337" s="65" t="n">
        <f aca="false">IF(IFERROR(VLOOKUP(D337,Controls!$A$64:$E$74,4,FALSE()),"No")="Yes",1,0)</f>
        <v>1</v>
      </c>
      <c r="AH337" s="65" t="n">
        <f aca="false">IF(IFERROR(VLOOKUP(D337,Controls!$A$64:$E$74,5,FALSE()),"No")="Yes",1,0)</f>
        <v>0</v>
      </c>
      <c r="AI337" s="65" t="n">
        <f aca="false">IF(ISNUMBER(MATCH(D337,Controls!$A$64:$A$74,0)),1,0)</f>
        <v>1</v>
      </c>
      <c r="AJ337" s="65" t="n">
        <f aca="false">Q337-N337</f>
        <v>20000</v>
      </c>
      <c r="AK337" s="65" t="n">
        <f aca="false">IF(AE337=1,MAX(0,N337-Q337),0)</f>
        <v>0</v>
      </c>
      <c r="AL337" s="65" t="n">
        <f aca="false">IF(OR(V337="",V337=0),0,N337/V337)</f>
        <v>0.326642497299483</v>
      </c>
      <c r="AM337" s="65" t="n">
        <f aca="false">IF(OR(V337="",V337=0),0,1)</f>
        <v>1</v>
      </c>
      <c r="AN337" s="65" t="n">
        <f aca="false">IF(OR(E337="",F337=""),0,NETWORKDAYS(E337,F337,Ref!$K$2:$K$42))</f>
        <v>45</v>
      </c>
      <c r="AO337" s="65" t="n">
        <f aca="false">IF(L337="Renewal",1,0)</f>
        <v>1</v>
      </c>
      <c r="AP337" s="65" t="n">
        <f aca="false">AC337*AD337</f>
        <v>1</v>
      </c>
      <c r="AQ337" s="65" t="n">
        <f aca="false">IF(AND(G337&lt;&gt;"",'Historical Score'!$C$6&lt;&gt;""),IF(G337='Historical Score'!$C$6,1,0),0)</f>
        <v>0</v>
      </c>
      <c r="AR337" s="65" t="n">
        <f aca="false">IF(AND(L337&lt;&gt;"",'Historical Score'!$C$5&lt;&gt;""),IF(L337='Historical Score'!$C$5,1,0),0)</f>
        <v>0</v>
      </c>
      <c r="AS337" s="65" t="n">
        <f aca="false">IF(AND(Y337&lt;&gt;"",'Historical Score'!$C$7&lt;&gt;""),IF(Y337='Historical Score'!$C$7,1,0),0)</f>
        <v>0</v>
      </c>
      <c r="AT337" s="65" t="n">
        <f aca="false">IF(AND(K337&lt;&gt;"",'Historical Score'!$C$8&lt;&gt;""),IF(K337='Historical Score'!$C$8,1,0),0)</f>
        <v>0</v>
      </c>
      <c r="AU337" s="65" t="n">
        <f aca="false">IF(AND(J337&lt;&gt;"",'Historical Score'!$C$9&lt;&gt;""),IF(J337='Historical Score'!$C$9,1,0),0)</f>
        <v>0</v>
      </c>
      <c r="AV337" s="65" t="n">
        <f aca="false">AR337*AS337*AQ337</f>
        <v>0</v>
      </c>
      <c r="AW337" s="65" t="n">
        <f aca="false">AR337*AT337*AQ337</f>
        <v>0</v>
      </c>
      <c r="AX337" s="65" t="n">
        <f aca="false">AR337*AS337</f>
        <v>0</v>
      </c>
      <c r="AY337" s="65" t="n">
        <f aca="false">AR337*AT337</f>
        <v>0</v>
      </c>
      <c r="AZ337" s="65" t="n">
        <f aca="false">AR337*AQ337</f>
        <v>0</v>
      </c>
      <c r="BA337" s="65" t="n">
        <f aca="false">AR337</f>
        <v>0</v>
      </c>
      <c r="BB337" s="65" t="n">
        <f aca="false">1</f>
        <v>1</v>
      </c>
      <c r="BC337" s="65" t="n">
        <f aca="false">IF(AV337=1,1,IF(AW337=1,2,IF(AX337=1,3,IF(AY337=1,4,IF(AZ337=1,5,IF(BA337=1,6,7))))))</f>
        <v>7</v>
      </c>
      <c r="BD337" s="65" t="n">
        <f aca="false">IF(AD337=1,CHOOSE('Historical Score'!$C$29,AV337,AW337,AX337,AY337,AZ337,BA337,BB337),0)</f>
        <v>0</v>
      </c>
      <c r="BE337" s="65" t="str">
        <f aca="false">IF(BD337=1,COUNTIF($BD$2:BD337,1),"")</f>
        <v/>
      </c>
    </row>
    <row r="338" customFormat="false" ht="15" hidden="false" customHeight="false" outlineLevel="0" collapsed="false">
      <c r="A338" s="65" t="s">
        <v>1406</v>
      </c>
      <c r="B338" s="65" t="s">
        <v>1164</v>
      </c>
      <c r="C338" s="65" t="s">
        <v>1164</v>
      </c>
      <c r="D338" s="65" t="s">
        <v>371</v>
      </c>
      <c r="E338" s="112" t="n">
        <v>45967</v>
      </c>
      <c r="F338" s="112" t="n">
        <v>46030</v>
      </c>
      <c r="G338" s="65" t="n">
        <v>6</v>
      </c>
      <c r="H338" s="65" t="s">
        <v>1407</v>
      </c>
      <c r="I338" s="65" t="s">
        <v>679</v>
      </c>
      <c r="J338" s="65" t="s">
        <v>350</v>
      </c>
      <c r="K338" s="65" t="s">
        <v>1047</v>
      </c>
      <c r="L338" s="65" t="s">
        <v>320</v>
      </c>
      <c r="M338" s="113" t="n">
        <v>1.49</v>
      </c>
      <c r="N338" s="114" t="n">
        <v>7500</v>
      </c>
      <c r="O338" s="114" t="n">
        <v>1050</v>
      </c>
      <c r="P338" s="114" t="n">
        <v>11175</v>
      </c>
      <c r="Q338" s="114" t="n">
        <v>11175</v>
      </c>
      <c r="R338" s="114" t="n">
        <v>0</v>
      </c>
      <c r="S338" s="115" t="n">
        <v>1</v>
      </c>
      <c r="T338" s="65" t="n">
        <v>2.295</v>
      </c>
      <c r="U338" s="65" t="n">
        <v>4</v>
      </c>
      <c r="V338" s="65" t="n">
        <v>15635.79</v>
      </c>
      <c r="W338" s="115" t="n">
        <v>0.2144</v>
      </c>
      <c r="X338" s="112" t="n">
        <v>43863</v>
      </c>
      <c r="Y338" s="65" t="str">
        <f aca="false">IF(I338="","No SIC",IFERROR(VLOOKUP(I338,Ref!$A$2:$B$65,2,FALSE()),"Unclassified"))</f>
        <v>Amusement &amp; Recreation Services</v>
      </c>
      <c r="Z338" s="65" t="str">
        <f aca="false">IF(T338="","",IF(T338&lt;12,"Daily","Weekly"))</f>
        <v>Daily</v>
      </c>
      <c r="AA338" s="65" t="n">
        <f aca="false">IF(T338="",0,IF(T338&lt;12,T338*Controls!$B$29,T338*5))</f>
        <v>49.698225</v>
      </c>
      <c r="AB338" s="65" t="n">
        <f aca="false">IF(E338="",0,NETWORKDAYS(E338,Controls!$B$36,Ref!$K$2:$K$42))</f>
        <v>201</v>
      </c>
      <c r="AC338" s="65" t="n">
        <f aca="false">IF(AND(AA338&gt;0,AB338&gt;=Controls!$B$39*AA338),1,0)</f>
        <v>1</v>
      </c>
      <c r="AD338" s="65" t="n">
        <f aca="false">IF(AND(E338&lt;&gt;"",E338&gt;=Controls!$B$37,E338&lt;=Controls!$B$38),1,0)</f>
        <v>1</v>
      </c>
      <c r="AE338" s="65" t="n">
        <f aca="false">IF(IFERROR(VLOOKUP(D338,Controls!$A$64:$E$74,2,FALSE()),"No")="Yes",1,0)</f>
        <v>0</v>
      </c>
      <c r="AF338" s="65" t="n">
        <f aca="false">IF(IFERROR(VLOOKUP(D338,Controls!$A$64:$E$74,3,FALSE()),"No")="Yes",1,0)</f>
        <v>1</v>
      </c>
      <c r="AG338" s="65" t="n">
        <f aca="false">IF(IFERROR(VLOOKUP(D338,Controls!$A$64:$E$74,4,FALSE()),"No")="Yes",1,0)</f>
        <v>1</v>
      </c>
      <c r="AH338" s="65" t="n">
        <f aca="false">IF(IFERROR(VLOOKUP(D338,Controls!$A$64:$E$74,5,FALSE()),"No")="Yes",1,0)</f>
        <v>0</v>
      </c>
      <c r="AI338" s="65" t="n">
        <f aca="false">IF(ISNUMBER(MATCH(D338,Controls!$A$64:$A$74,0)),1,0)</f>
        <v>1</v>
      </c>
      <c r="AJ338" s="65" t="n">
        <f aca="false">Q338-N338</f>
        <v>3675</v>
      </c>
      <c r="AK338" s="65" t="n">
        <f aca="false">IF(AE338=1,MAX(0,N338-Q338),0)</f>
        <v>0</v>
      </c>
      <c r="AL338" s="65" t="n">
        <f aca="false">IF(OR(V338="",V338=0),0,N338/V338)</f>
        <v>0.479668759941135</v>
      </c>
      <c r="AM338" s="65" t="n">
        <f aca="false">IF(OR(V338="",V338=0),0,1)</f>
        <v>1</v>
      </c>
      <c r="AN338" s="65" t="n">
        <f aca="false">IF(OR(E338="",F338=""),0,NETWORKDAYS(E338,F338,Ref!$K$2:$K$42))</f>
        <v>42</v>
      </c>
      <c r="AO338" s="65" t="n">
        <f aca="false">IF(L338="Renewal",1,0)</f>
        <v>1</v>
      </c>
      <c r="AP338" s="65" t="n">
        <f aca="false">AC338*AD338</f>
        <v>1</v>
      </c>
      <c r="AQ338" s="65" t="n">
        <f aca="false">IF(AND(G338&lt;&gt;"",'Historical Score'!$C$6&lt;&gt;""),IF(G338='Historical Score'!$C$6,1,0),0)</f>
        <v>0</v>
      </c>
      <c r="AR338" s="65" t="n">
        <f aca="false">IF(AND(L338&lt;&gt;"",'Historical Score'!$C$5&lt;&gt;""),IF(L338='Historical Score'!$C$5,1,0),0)</f>
        <v>0</v>
      </c>
      <c r="AS338" s="65" t="n">
        <f aca="false">IF(AND(Y338&lt;&gt;"",'Historical Score'!$C$7&lt;&gt;""),IF(Y338='Historical Score'!$C$7,1,0),0)</f>
        <v>0</v>
      </c>
      <c r="AT338" s="65" t="n">
        <f aca="false">IF(AND(K338&lt;&gt;"",'Historical Score'!$C$8&lt;&gt;""),IF(K338='Historical Score'!$C$8,1,0),0)</f>
        <v>0</v>
      </c>
      <c r="AU338" s="65" t="n">
        <f aca="false">IF(AND(J338&lt;&gt;"",'Historical Score'!$C$9&lt;&gt;""),IF(J338='Historical Score'!$C$9,1,0),0)</f>
        <v>0</v>
      </c>
      <c r="AV338" s="65" t="n">
        <f aca="false">AR338*AS338*AQ338</f>
        <v>0</v>
      </c>
      <c r="AW338" s="65" t="n">
        <f aca="false">AR338*AT338*AQ338</f>
        <v>0</v>
      </c>
      <c r="AX338" s="65" t="n">
        <f aca="false">AR338*AS338</f>
        <v>0</v>
      </c>
      <c r="AY338" s="65" t="n">
        <f aca="false">AR338*AT338</f>
        <v>0</v>
      </c>
      <c r="AZ338" s="65" t="n">
        <f aca="false">AR338*AQ338</f>
        <v>0</v>
      </c>
      <c r="BA338" s="65" t="n">
        <f aca="false">AR338</f>
        <v>0</v>
      </c>
      <c r="BB338" s="65" t="n">
        <f aca="false">1</f>
        <v>1</v>
      </c>
      <c r="BC338" s="65" t="n">
        <f aca="false">IF(AV338=1,1,IF(AW338=1,2,IF(AX338=1,3,IF(AY338=1,4,IF(AZ338=1,5,IF(BA338=1,6,7))))))</f>
        <v>7</v>
      </c>
      <c r="BD338" s="65" t="n">
        <f aca="false">IF(AD338=1,CHOOSE('Historical Score'!$C$29,AV338,AW338,AX338,AY338,AZ338,BA338,BB338),0)</f>
        <v>0</v>
      </c>
      <c r="BE338" s="65" t="str">
        <f aca="false">IF(BD338=1,COUNTIF($BD$2:BD338,1),"")</f>
        <v/>
      </c>
    </row>
    <row r="339" customFormat="false" ht="15" hidden="false" customHeight="false" outlineLevel="0" collapsed="false">
      <c r="A339" s="65" t="s">
        <v>1408</v>
      </c>
      <c r="B339" s="65" t="s">
        <v>1409</v>
      </c>
      <c r="C339" s="65" t="s">
        <v>1410</v>
      </c>
      <c r="D339" s="65" t="s">
        <v>371</v>
      </c>
      <c r="E339" s="112" t="n">
        <v>45967</v>
      </c>
      <c r="F339" s="112" t="n">
        <v>46133</v>
      </c>
      <c r="G339" s="65" t="n">
        <v>2</v>
      </c>
      <c r="H339" s="65" t="s">
        <v>1411</v>
      </c>
      <c r="I339" s="65" t="s">
        <v>488</v>
      </c>
      <c r="J339" s="65" t="s">
        <v>386</v>
      </c>
      <c r="K339" s="65" t="s">
        <v>961</v>
      </c>
      <c r="L339" s="65" t="s">
        <v>64</v>
      </c>
      <c r="M339" s="113" t="n">
        <v>1.4</v>
      </c>
      <c r="N339" s="114" t="n">
        <v>20000</v>
      </c>
      <c r="O339" s="114" t="n">
        <v>2600</v>
      </c>
      <c r="P339" s="114" t="n">
        <v>28000</v>
      </c>
      <c r="Q339" s="114" t="n">
        <v>28000</v>
      </c>
      <c r="R339" s="114" t="n">
        <v>0</v>
      </c>
      <c r="S339" s="115" t="n">
        <v>1</v>
      </c>
      <c r="T339" s="65" t="n">
        <v>32</v>
      </c>
      <c r="U339" s="65" t="n">
        <v>0</v>
      </c>
      <c r="V339" s="65" t="n">
        <v>33287.84</v>
      </c>
      <c r="W339" s="115" t="n">
        <v>0.1051</v>
      </c>
      <c r="X339" s="112" t="n">
        <v>43518</v>
      </c>
      <c r="Y339" s="65" t="str">
        <f aca="false">IF(I339="","No SIC",IFERROR(VLOOKUP(I339,Ref!$A$2:$B$65,2,FALSE()),"Unclassified"))</f>
        <v>Food &amp; Kindred Products</v>
      </c>
      <c r="Z339" s="65" t="str">
        <f aca="false">IF(T339="","",IF(T339&lt;12,"Daily","Weekly"))</f>
        <v>Weekly</v>
      </c>
      <c r="AA339" s="65" t="n">
        <f aca="false">IF(T339="",0,IF(T339&lt;12,T339*Controls!$B$29,T339*5))</f>
        <v>160</v>
      </c>
      <c r="AB339" s="65" t="n">
        <f aca="false">IF(E339="",0,NETWORKDAYS(E339,Controls!$B$36,Ref!$K$2:$K$42))</f>
        <v>201</v>
      </c>
      <c r="AC339" s="65" t="n">
        <f aca="false">IF(AND(AA339&gt;0,AB339&gt;=Controls!$B$39*AA339),1,0)</f>
        <v>1</v>
      </c>
      <c r="AD339" s="65" t="n">
        <f aca="false">IF(AND(E339&lt;&gt;"",E339&gt;=Controls!$B$37,E339&lt;=Controls!$B$38),1,0)</f>
        <v>1</v>
      </c>
      <c r="AE339" s="65" t="n">
        <f aca="false">IF(IFERROR(VLOOKUP(D339,Controls!$A$64:$E$74,2,FALSE()),"No")="Yes",1,0)</f>
        <v>0</v>
      </c>
      <c r="AF339" s="65" t="n">
        <f aca="false">IF(IFERROR(VLOOKUP(D339,Controls!$A$64:$E$74,3,FALSE()),"No")="Yes",1,0)</f>
        <v>1</v>
      </c>
      <c r="AG339" s="65" t="n">
        <f aca="false">IF(IFERROR(VLOOKUP(D339,Controls!$A$64:$E$74,4,FALSE()),"No")="Yes",1,0)</f>
        <v>1</v>
      </c>
      <c r="AH339" s="65" t="n">
        <f aca="false">IF(IFERROR(VLOOKUP(D339,Controls!$A$64:$E$74,5,FALSE()),"No")="Yes",1,0)</f>
        <v>0</v>
      </c>
      <c r="AI339" s="65" t="n">
        <f aca="false">IF(ISNUMBER(MATCH(D339,Controls!$A$64:$A$74,0)),1,0)</f>
        <v>1</v>
      </c>
      <c r="AJ339" s="65" t="n">
        <f aca="false">Q339-N339</f>
        <v>8000</v>
      </c>
      <c r="AK339" s="65" t="n">
        <f aca="false">IF(AE339=1,MAX(0,N339-Q339),0)</f>
        <v>0</v>
      </c>
      <c r="AL339" s="65" t="n">
        <f aca="false">IF(OR(V339="",V339=0),0,N339/V339)</f>
        <v>0.600819999134819</v>
      </c>
      <c r="AM339" s="65" t="n">
        <f aca="false">IF(OR(V339="",V339=0),0,1)</f>
        <v>1</v>
      </c>
      <c r="AN339" s="65" t="n">
        <f aca="false">IF(OR(E339="",F339=""),0,NETWORKDAYS(E339,F339,Ref!$K$2:$K$42))</f>
        <v>113</v>
      </c>
      <c r="AO339" s="65" t="n">
        <f aca="false">IF(L339="Renewal",1,0)</f>
        <v>0</v>
      </c>
      <c r="AP339" s="65" t="n">
        <f aca="false">AC339*AD339</f>
        <v>1</v>
      </c>
      <c r="AQ339" s="65" t="n">
        <f aca="false">IF(AND(G339&lt;&gt;"",'Historical Score'!$C$6&lt;&gt;""),IF(G339='Historical Score'!$C$6,1,0),0)</f>
        <v>1</v>
      </c>
      <c r="AR339" s="65" t="n">
        <f aca="false">IF(AND(L339&lt;&gt;"",'Historical Score'!$C$5&lt;&gt;""),IF(L339='Historical Score'!$C$5,1,0),0)</f>
        <v>1</v>
      </c>
      <c r="AS339" s="65" t="n">
        <f aca="false">IF(AND(Y339&lt;&gt;"",'Historical Score'!$C$7&lt;&gt;""),IF(Y339='Historical Score'!$C$7,1,0),0)</f>
        <v>0</v>
      </c>
      <c r="AT339" s="65" t="n">
        <f aca="false">IF(AND(K339&lt;&gt;"",'Historical Score'!$C$8&lt;&gt;""),IF(K339='Historical Score'!$C$8,1,0),0)</f>
        <v>0</v>
      </c>
      <c r="AU339" s="65" t="n">
        <f aca="false">IF(AND(J339&lt;&gt;"",'Historical Score'!$C$9&lt;&gt;""),IF(J339='Historical Score'!$C$9,1,0),0)</f>
        <v>0</v>
      </c>
      <c r="AV339" s="65" t="n">
        <f aca="false">AR339*AS339*AQ339</f>
        <v>0</v>
      </c>
      <c r="AW339" s="65" t="n">
        <f aca="false">AR339*AT339*AQ339</f>
        <v>0</v>
      </c>
      <c r="AX339" s="65" t="n">
        <f aca="false">AR339*AS339</f>
        <v>0</v>
      </c>
      <c r="AY339" s="65" t="n">
        <f aca="false">AR339*AT339</f>
        <v>0</v>
      </c>
      <c r="AZ339" s="65" t="n">
        <f aca="false">AR339*AQ339</f>
        <v>1</v>
      </c>
      <c r="BA339" s="65" t="n">
        <f aca="false">AR339</f>
        <v>1</v>
      </c>
      <c r="BB339" s="65" t="n">
        <f aca="false">1</f>
        <v>1</v>
      </c>
      <c r="BC339" s="65" t="n">
        <f aca="false">IF(AV339=1,1,IF(AW339=1,2,IF(AX339=1,3,IF(AY339=1,4,IF(AZ339=1,5,IF(BA339=1,6,7))))))</f>
        <v>5</v>
      </c>
      <c r="BD339" s="65" t="n">
        <f aca="false">IF(AD339=1,CHOOSE('Historical Score'!$C$29,AV339,AW339,AX339,AY339,AZ339,BA339,BB339),0)</f>
        <v>0</v>
      </c>
      <c r="BE339" s="65" t="str">
        <f aca="false">IF(BD339=1,COUNTIF($BD$2:BD339,1),"")</f>
        <v/>
      </c>
    </row>
    <row r="340" customFormat="false" ht="15" hidden="false" customHeight="false" outlineLevel="0" collapsed="false">
      <c r="A340" s="65" t="s">
        <v>1412</v>
      </c>
      <c r="B340" s="65" t="s">
        <v>1413</v>
      </c>
      <c r="C340" s="65" t="s">
        <v>1413</v>
      </c>
      <c r="D340" s="65" t="s">
        <v>689</v>
      </c>
      <c r="E340" s="112" t="n">
        <v>45968</v>
      </c>
      <c r="F340" s="112" t="n">
        <v>46162</v>
      </c>
      <c r="G340" s="65" t="n">
        <v>5</v>
      </c>
      <c r="H340" s="65" t="s">
        <v>1414</v>
      </c>
      <c r="I340" s="65" t="s">
        <v>1415</v>
      </c>
      <c r="J340" s="65" t="s">
        <v>350</v>
      </c>
      <c r="K340" s="65" t="s">
        <v>961</v>
      </c>
      <c r="L340" s="65" t="s">
        <v>64</v>
      </c>
      <c r="M340" s="113" t="n">
        <v>1.34</v>
      </c>
      <c r="N340" s="114" t="n">
        <v>40000</v>
      </c>
      <c r="O340" s="114" t="n">
        <v>3200</v>
      </c>
      <c r="P340" s="114" t="n">
        <v>53600</v>
      </c>
      <c r="Q340" s="114" t="n">
        <v>37374.46</v>
      </c>
      <c r="R340" s="114" t="n">
        <v>16225.54</v>
      </c>
      <c r="S340" s="115" t="n">
        <v>0.697284701492537</v>
      </c>
      <c r="T340" s="65" t="n">
        <v>26</v>
      </c>
      <c r="U340" s="65" t="n">
        <v>2</v>
      </c>
      <c r="V340" s="65" t="n">
        <v>180238.59</v>
      </c>
      <c r="W340" s="115" t="n">
        <v>0.0641</v>
      </c>
      <c r="X340" s="112" t="n">
        <v>40299</v>
      </c>
      <c r="Y340" s="65" t="str">
        <f aca="false">IF(I340="","No SIC",IFERROR(VLOOKUP(I340,Ref!$A$2:$B$65,2,FALSE()),"Unclassified"))</f>
        <v>Miscellaneous Manufacturing</v>
      </c>
      <c r="Z340" s="65" t="str">
        <f aca="false">IF(T340="","",IF(T340&lt;12,"Daily","Weekly"))</f>
        <v>Weekly</v>
      </c>
      <c r="AA340" s="65" t="n">
        <f aca="false">IF(T340="",0,IF(T340&lt;12,T340*Controls!$B$29,T340*5))</f>
        <v>130</v>
      </c>
      <c r="AB340" s="65" t="n">
        <f aca="false">IF(E340="",0,NETWORKDAYS(E340,Controls!$B$36,Ref!$K$2:$K$42))</f>
        <v>200</v>
      </c>
      <c r="AC340" s="65" t="n">
        <f aca="false">IF(AND(AA340&gt;0,AB340&gt;=Controls!$B$39*AA340),1,0)</f>
        <v>1</v>
      </c>
      <c r="AD340" s="65" t="n">
        <f aca="false">IF(AND(E340&lt;&gt;"",E340&gt;=Controls!$B$37,E340&lt;=Controls!$B$38),1,0)</f>
        <v>1</v>
      </c>
      <c r="AE340" s="65" t="n">
        <f aca="false">IF(IFERROR(VLOOKUP(D340,Controls!$A$64:$E$74,2,FALSE()),"No")="Yes",1,0)</f>
        <v>1</v>
      </c>
      <c r="AF340" s="65" t="n">
        <f aca="false">IF(IFERROR(VLOOKUP(D340,Controls!$A$64:$E$74,3,FALSE()),"No")="Yes",1,0)</f>
        <v>1</v>
      </c>
      <c r="AG340" s="65" t="n">
        <f aca="false">IF(IFERROR(VLOOKUP(D340,Controls!$A$64:$E$74,4,FALSE()),"No")="Yes",1,0)</f>
        <v>0</v>
      </c>
      <c r="AH340" s="65" t="n">
        <f aca="false">IF(IFERROR(VLOOKUP(D340,Controls!$A$64:$E$74,5,FALSE()),"No")="Yes",1,0)</f>
        <v>0</v>
      </c>
      <c r="AI340" s="65" t="n">
        <f aca="false">IF(ISNUMBER(MATCH(D340,Controls!$A$64:$A$74,0)),1,0)</f>
        <v>1</v>
      </c>
      <c r="AJ340" s="65" t="n">
        <f aca="false">Q340-N340</f>
        <v>-2625.54</v>
      </c>
      <c r="AK340" s="65" t="n">
        <f aca="false">IF(AE340=1,MAX(0,N340-Q340),0)</f>
        <v>2625.54</v>
      </c>
      <c r="AL340" s="65" t="n">
        <f aca="false">IF(OR(V340="",V340=0),0,N340/V340)</f>
        <v>0.221928056583221</v>
      </c>
      <c r="AM340" s="65" t="n">
        <f aca="false">IF(OR(V340="",V340=0),0,1)</f>
        <v>1</v>
      </c>
      <c r="AN340" s="65" t="n">
        <f aca="false">IF(OR(E340="",F340=""),0,NETWORKDAYS(E340,F340,Ref!$K$2:$K$42))</f>
        <v>133</v>
      </c>
      <c r="AO340" s="65" t="n">
        <f aca="false">IF(L340="Renewal",1,0)</f>
        <v>0</v>
      </c>
      <c r="AP340" s="65" t="n">
        <f aca="false">AC340*AD340</f>
        <v>1</v>
      </c>
      <c r="AQ340" s="65" t="n">
        <f aca="false">IF(AND(G340&lt;&gt;"",'Historical Score'!$C$6&lt;&gt;""),IF(G340='Historical Score'!$C$6,1,0),0)</f>
        <v>0</v>
      </c>
      <c r="AR340" s="65" t="n">
        <f aca="false">IF(AND(L340&lt;&gt;"",'Historical Score'!$C$5&lt;&gt;""),IF(L340='Historical Score'!$C$5,1,0),0)</f>
        <v>1</v>
      </c>
      <c r="AS340" s="65" t="n">
        <f aca="false">IF(AND(Y340&lt;&gt;"",'Historical Score'!$C$7&lt;&gt;""),IF(Y340='Historical Score'!$C$7,1,0),0)</f>
        <v>0</v>
      </c>
      <c r="AT340" s="65" t="n">
        <f aca="false">IF(AND(K340&lt;&gt;"",'Historical Score'!$C$8&lt;&gt;""),IF(K340='Historical Score'!$C$8,1,0),0)</f>
        <v>0</v>
      </c>
      <c r="AU340" s="65" t="n">
        <f aca="false">IF(AND(J340&lt;&gt;"",'Historical Score'!$C$9&lt;&gt;""),IF(J340='Historical Score'!$C$9,1,0),0)</f>
        <v>0</v>
      </c>
      <c r="AV340" s="65" t="n">
        <f aca="false">AR340*AS340*AQ340</f>
        <v>0</v>
      </c>
      <c r="AW340" s="65" t="n">
        <f aca="false">AR340*AT340*AQ340</f>
        <v>0</v>
      </c>
      <c r="AX340" s="65" t="n">
        <f aca="false">AR340*AS340</f>
        <v>0</v>
      </c>
      <c r="AY340" s="65" t="n">
        <f aca="false">AR340*AT340</f>
        <v>0</v>
      </c>
      <c r="AZ340" s="65" t="n">
        <f aca="false">AR340*AQ340</f>
        <v>0</v>
      </c>
      <c r="BA340" s="65" t="n">
        <f aca="false">AR340</f>
        <v>1</v>
      </c>
      <c r="BB340" s="65" t="n">
        <f aca="false">1</f>
        <v>1</v>
      </c>
      <c r="BC340" s="65" t="n">
        <f aca="false">IF(AV340=1,1,IF(AW340=1,2,IF(AX340=1,3,IF(AY340=1,4,IF(AZ340=1,5,IF(BA340=1,6,7))))))</f>
        <v>6</v>
      </c>
      <c r="BD340" s="65" t="n">
        <f aca="false">IF(AD340=1,CHOOSE('Historical Score'!$C$29,AV340,AW340,AX340,AY340,AZ340,BA340,BB340),0)</f>
        <v>0</v>
      </c>
      <c r="BE340" s="65" t="str">
        <f aca="false">IF(BD340=1,COUNTIF($BD$2:BD340,1),"")</f>
        <v/>
      </c>
    </row>
    <row r="341" customFormat="false" ht="15" hidden="false" customHeight="false" outlineLevel="0" collapsed="false">
      <c r="A341" s="65" t="s">
        <v>1416</v>
      </c>
      <c r="B341" s="65" t="s">
        <v>1417</v>
      </c>
      <c r="C341" s="65" t="s">
        <v>1417</v>
      </c>
      <c r="D341" s="65" t="s">
        <v>371</v>
      </c>
      <c r="E341" s="112" t="n">
        <v>45968</v>
      </c>
      <c r="F341" s="112" t="n">
        <v>46083</v>
      </c>
      <c r="G341" s="65" t="n">
        <v>6</v>
      </c>
      <c r="H341" s="65" t="s">
        <v>409</v>
      </c>
      <c r="I341" s="65" t="s">
        <v>342</v>
      </c>
      <c r="J341" s="65" t="s">
        <v>61</v>
      </c>
      <c r="K341" s="65" t="s">
        <v>581</v>
      </c>
      <c r="L341" s="65" t="s">
        <v>64</v>
      </c>
      <c r="M341" s="113" t="n">
        <v>1.49</v>
      </c>
      <c r="N341" s="114" t="n">
        <v>5000</v>
      </c>
      <c r="O341" s="114" t="n">
        <v>700</v>
      </c>
      <c r="P341" s="114" t="n">
        <v>7450</v>
      </c>
      <c r="Q341" s="114" t="n">
        <v>7450</v>
      </c>
      <c r="R341" s="114" t="n">
        <v>0</v>
      </c>
      <c r="S341" s="115" t="n">
        <v>1</v>
      </c>
      <c r="T341" s="65" t="n">
        <v>2.459</v>
      </c>
      <c r="U341" s="65" t="n">
        <v>0</v>
      </c>
      <c r="V341" s="65" t="n">
        <v>16177.88</v>
      </c>
      <c r="W341" s="115" t="n">
        <v>0.1289</v>
      </c>
      <c r="X341" s="112" t="n">
        <v>44593</v>
      </c>
      <c r="Y341" s="65" t="str">
        <f aca="false">IF(I341="","No SIC",IFERROR(VLOOKUP(I341,Ref!$A$2:$B$65,2,FALSE()),"Unclassified"))</f>
        <v>Eating &amp; Drinking Places</v>
      </c>
      <c r="Z341" s="65" t="str">
        <f aca="false">IF(T341="","",IF(T341&lt;12,"Daily","Weekly"))</f>
        <v>Daily</v>
      </c>
      <c r="AA341" s="65" t="n">
        <f aca="false">IF(T341="",0,IF(T341&lt;12,T341*Controls!$B$29,T341*5))</f>
        <v>53.249645</v>
      </c>
      <c r="AB341" s="65" t="n">
        <f aca="false">IF(E341="",0,NETWORKDAYS(E341,Controls!$B$36,Ref!$K$2:$K$42))</f>
        <v>200</v>
      </c>
      <c r="AC341" s="65" t="n">
        <f aca="false">IF(AND(AA341&gt;0,AB341&gt;=Controls!$B$39*AA341),1,0)</f>
        <v>1</v>
      </c>
      <c r="AD341" s="65" t="n">
        <f aca="false">IF(AND(E341&lt;&gt;"",E341&gt;=Controls!$B$37,E341&lt;=Controls!$B$38),1,0)</f>
        <v>1</v>
      </c>
      <c r="AE341" s="65" t="n">
        <f aca="false">IF(IFERROR(VLOOKUP(D341,Controls!$A$64:$E$74,2,FALSE()),"No")="Yes",1,0)</f>
        <v>0</v>
      </c>
      <c r="AF341" s="65" t="n">
        <f aca="false">IF(IFERROR(VLOOKUP(D341,Controls!$A$64:$E$74,3,FALSE()),"No")="Yes",1,0)</f>
        <v>1</v>
      </c>
      <c r="AG341" s="65" t="n">
        <f aca="false">IF(IFERROR(VLOOKUP(D341,Controls!$A$64:$E$74,4,FALSE()),"No")="Yes",1,0)</f>
        <v>1</v>
      </c>
      <c r="AH341" s="65" t="n">
        <f aca="false">IF(IFERROR(VLOOKUP(D341,Controls!$A$64:$E$74,5,FALSE()),"No")="Yes",1,0)</f>
        <v>0</v>
      </c>
      <c r="AI341" s="65" t="n">
        <f aca="false">IF(ISNUMBER(MATCH(D341,Controls!$A$64:$A$74,0)),1,0)</f>
        <v>1</v>
      </c>
      <c r="AJ341" s="65" t="n">
        <f aca="false">Q341-N341</f>
        <v>2450</v>
      </c>
      <c r="AK341" s="65" t="n">
        <f aca="false">IF(AE341=1,MAX(0,N341-Q341),0)</f>
        <v>0</v>
      </c>
      <c r="AL341" s="65" t="n">
        <f aca="false">IF(OR(V341="",V341=0),0,N341/V341)</f>
        <v>0.30906398118913</v>
      </c>
      <c r="AM341" s="65" t="n">
        <f aca="false">IF(OR(V341="",V341=0),0,1)</f>
        <v>1</v>
      </c>
      <c r="AN341" s="65" t="n">
        <f aca="false">IF(OR(E341="",F341=""),0,NETWORKDAYS(E341,F341,Ref!$K$2:$K$42))</f>
        <v>76</v>
      </c>
      <c r="AO341" s="65" t="n">
        <f aca="false">IF(L341="Renewal",1,0)</f>
        <v>0</v>
      </c>
      <c r="AP341" s="65" t="n">
        <f aca="false">AC341*AD341</f>
        <v>1</v>
      </c>
      <c r="AQ341" s="65" t="n">
        <f aca="false">IF(AND(G341&lt;&gt;"",'Historical Score'!$C$6&lt;&gt;""),IF(G341='Historical Score'!$C$6,1,0),0)</f>
        <v>0</v>
      </c>
      <c r="AR341" s="65" t="n">
        <f aca="false">IF(AND(L341&lt;&gt;"",'Historical Score'!$C$5&lt;&gt;""),IF(L341='Historical Score'!$C$5,1,0),0)</f>
        <v>1</v>
      </c>
      <c r="AS341" s="65" t="n">
        <f aca="false">IF(AND(Y341&lt;&gt;"",'Historical Score'!$C$7&lt;&gt;""),IF(Y341='Historical Score'!$C$7,1,0),0)</f>
        <v>0</v>
      </c>
      <c r="AT341" s="65" t="n">
        <f aca="false">IF(AND(K341&lt;&gt;"",'Historical Score'!$C$8&lt;&gt;""),IF(K341='Historical Score'!$C$8,1,0),0)</f>
        <v>0</v>
      </c>
      <c r="AU341" s="65" t="n">
        <f aca="false">IF(AND(J341&lt;&gt;"",'Historical Score'!$C$9&lt;&gt;""),IF(J341='Historical Score'!$C$9,1,0),0)</f>
        <v>1</v>
      </c>
      <c r="AV341" s="65" t="n">
        <f aca="false">AR341*AS341*AQ341</f>
        <v>0</v>
      </c>
      <c r="AW341" s="65" t="n">
        <f aca="false">AR341*AT341*AQ341</f>
        <v>0</v>
      </c>
      <c r="AX341" s="65" t="n">
        <f aca="false">AR341*AS341</f>
        <v>0</v>
      </c>
      <c r="AY341" s="65" t="n">
        <f aca="false">AR341*AT341</f>
        <v>0</v>
      </c>
      <c r="AZ341" s="65" t="n">
        <f aca="false">AR341*AQ341</f>
        <v>0</v>
      </c>
      <c r="BA341" s="65" t="n">
        <f aca="false">AR341</f>
        <v>1</v>
      </c>
      <c r="BB341" s="65" t="n">
        <f aca="false">1</f>
        <v>1</v>
      </c>
      <c r="BC341" s="65" t="n">
        <f aca="false">IF(AV341=1,1,IF(AW341=1,2,IF(AX341=1,3,IF(AY341=1,4,IF(AZ341=1,5,IF(BA341=1,6,7))))))</f>
        <v>6</v>
      </c>
      <c r="BD341" s="65" t="n">
        <f aca="false">IF(AD341=1,CHOOSE('Historical Score'!$C$29,AV341,AW341,AX341,AY341,AZ341,BA341,BB341),0)</f>
        <v>0</v>
      </c>
      <c r="BE341" s="65" t="str">
        <f aca="false">IF(BD341=1,COUNTIF($BD$2:BD341,1),"")</f>
        <v/>
      </c>
    </row>
    <row r="342" customFormat="false" ht="15" hidden="false" customHeight="false" outlineLevel="0" collapsed="false">
      <c r="A342" s="65" t="s">
        <v>1418</v>
      </c>
      <c r="B342" s="65" t="s">
        <v>1419</v>
      </c>
      <c r="C342" s="65" t="s">
        <v>1419</v>
      </c>
      <c r="D342" s="65" t="s">
        <v>340</v>
      </c>
      <c r="E342" s="112" t="n">
        <v>45968</v>
      </c>
      <c r="F342" s="112" t="n">
        <v>46176</v>
      </c>
      <c r="G342" s="65" t="n">
        <v>4</v>
      </c>
      <c r="H342" s="65" t="s">
        <v>1420</v>
      </c>
      <c r="I342" s="65" t="s">
        <v>405</v>
      </c>
      <c r="J342" s="65" t="s">
        <v>1421</v>
      </c>
      <c r="K342" s="65" t="s">
        <v>433</v>
      </c>
      <c r="L342" s="65" t="s">
        <v>64</v>
      </c>
      <c r="M342" s="113" t="n">
        <v>1.49</v>
      </c>
      <c r="N342" s="114" t="n">
        <v>20000</v>
      </c>
      <c r="O342" s="114" t="n">
        <v>2800</v>
      </c>
      <c r="P342" s="114" t="n">
        <v>29800</v>
      </c>
      <c r="Q342" s="114" t="n">
        <v>6228.63</v>
      </c>
      <c r="R342" s="114" t="n">
        <v>23571.37</v>
      </c>
      <c r="S342" s="115" t="n">
        <v>0.209014429530201</v>
      </c>
      <c r="T342" s="65" t="n">
        <v>3.607</v>
      </c>
      <c r="U342" s="65" t="n">
        <v>20</v>
      </c>
      <c r="V342" s="65" t="n">
        <v>57041.39</v>
      </c>
      <c r="W342" s="115" t="n">
        <v>0.0997</v>
      </c>
      <c r="X342" s="112" t="n">
        <v>43800</v>
      </c>
      <c r="Y342" s="65" t="str">
        <f aca="false">IF(I342="","No SIC",IFERROR(VLOOKUP(I342,Ref!$A$2:$B$65,2,FALSE()),"Unclassified"))</f>
        <v>Health Services</v>
      </c>
      <c r="Z342" s="65" t="str">
        <f aca="false">IF(T342="","",IF(T342&lt;12,"Daily","Weekly"))</f>
        <v>Daily</v>
      </c>
      <c r="AA342" s="65" t="n">
        <f aca="false">IF(T342="",0,IF(T342&lt;12,T342*Controls!$B$29,T342*5))</f>
        <v>78.109585</v>
      </c>
      <c r="AB342" s="65" t="n">
        <f aca="false">IF(E342="",0,NETWORKDAYS(E342,Controls!$B$36,Ref!$K$2:$K$42))</f>
        <v>200</v>
      </c>
      <c r="AC342" s="65" t="n">
        <f aca="false">IF(AND(AA342&gt;0,AB342&gt;=Controls!$B$39*AA342),1,0)</f>
        <v>1</v>
      </c>
      <c r="AD342" s="65" t="n">
        <f aca="false">IF(AND(E342&lt;&gt;"",E342&gt;=Controls!$B$37,E342&lt;=Controls!$B$38),1,0)</f>
        <v>1</v>
      </c>
      <c r="AE342" s="65" t="n">
        <f aca="false">IF(IFERROR(VLOOKUP(D342,Controls!$A$64:$E$74,2,FALSE()),"No")="Yes",1,0)</f>
        <v>1</v>
      </c>
      <c r="AF342" s="65" t="n">
        <f aca="false">IF(IFERROR(VLOOKUP(D342,Controls!$A$64:$E$74,3,FALSE()),"No")="Yes",1,0)</f>
        <v>0</v>
      </c>
      <c r="AG342" s="65" t="n">
        <f aca="false">IF(IFERROR(VLOOKUP(D342,Controls!$A$64:$E$74,4,FALSE()),"No")="Yes",1,0)</f>
        <v>0</v>
      </c>
      <c r="AH342" s="65" t="n">
        <f aca="false">IF(IFERROR(VLOOKUP(D342,Controls!$A$64:$E$74,5,FALSE()),"No")="Yes",1,0)</f>
        <v>0</v>
      </c>
      <c r="AI342" s="65" t="n">
        <f aca="false">IF(ISNUMBER(MATCH(D342,Controls!$A$64:$A$74,0)),1,0)</f>
        <v>1</v>
      </c>
      <c r="AJ342" s="65" t="n">
        <f aca="false">Q342-N342</f>
        <v>-13771.37</v>
      </c>
      <c r="AK342" s="65" t="n">
        <f aca="false">IF(AE342=1,MAX(0,N342-Q342),0)</f>
        <v>13771.37</v>
      </c>
      <c r="AL342" s="65" t="n">
        <f aca="false">IF(OR(V342="",V342=0),0,N342/V342)</f>
        <v>0.350622591770642</v>
      </c>
      <c r="AM342" s="65" t="n">
        <f aca="false">IF(OR(V342="",V342=0),0,1)</f>
        <v>1</v>
      </c>
      <c r="AN342" s="65" t="n">
        <f aca="false">IF(OR(E342="",F342=""),0,NETWORKDAYS(E342,F342,Ref!$K$2:$K$42))</f>
        <v>142</v>
      </c>
      <c r="AO342" s="65" t="n">
        <f aca="false">IF(L342="Renewal",1,0)</f>
        <v>0</v>
      </c>
      <c r="AP342" s="65" t="n">
        <f aca="false">AC342*AD342</f>
        <v>1</v>
      </c>
      <c r="AQ342" s="65" t="n">
        <f aca="false">IF(AND(G342&lt;&gt;"",'Historical Score'!$C$6&lt;&gt;""),IF(G342='Historical Score'!$C$6,1,0),0)</f>
        <v>0</v>
      </c>
      <c r="AR342" s="65" t="n">
        <f aca="false">IF(AND(L342&lt;&gt;"",'Historical Score'!$C$5&lt;&gt;""),IF(L342='Historical Score'!$C$5,1,0),0)</f>
        <v>1</v>
      </c>
      <c r="AS342" s="65" t="n">
        <f aca="false">IF(AND(Y342&lt;&gt;"",'Historical Score'!$C$7&lt;&gt;""),IF(Y342='Historical Score'!$C$7,1,0),0)</f>
        <v>0</v>
      </c>
      <c r="AT342" s="65" t="n">
        <f aca="false">IF(AND(K342&lt;&gt;"",'Historical Score'!$C$8&lt;&gt;""),IF(K342='Historical Score'!$C$8,1,0),0)</f>
        <v>0</v>
      </c>
      <c r="AU342" s="65" t="n">
        <f aca="false">IF(AND(J342&lt;&gt;"",'Historical Score'!$C$9&lt;&gt;""),IF(J342='Historical Score'!$C$9,1,0),0)</f>
        <v>0</v>
      </c>
      <c r="AV342" s="65" t="n">
        <f aca="false">AR342*AS342*AQ342</f>
        <v>0</v>
      </c>
      <c r="AW342" s="65" t="n">
        <f aca="false">AR342*AT342*AQ342</f>
        <v>0</v>
      </c>
      <c r="AX342" s="65" t="n">
        <f aca="false">AR342*AS342</f>
        <v>0</v>
      </c>
      <c r="AY342" s="65" t="n">
        <f aca="false">AR342*AT342</f>
        <v>0</v>
      </c>
      <c r="AZ342" s="65" t="n">
        <f aca="false">AR342*AQ342</f>
        <v>0</v>
      </c>
      <c r="BA342" s="65" t="n">
        <f aca="false">AR342</f>
        <v>1</v>
      </c>
      <c r="BB342" s="65" t="n">
        <f aca="false">1</f>
        <v>1</v>
      </c>
      <c r="BC342" s="65" t="n">
        <f aca="false">IF(AV342=1,1,IF(AW342=1,2,IF(AX342=1,3,IF(AY342=1,4,IF(AZ342=1,5,IF(BA342=1,6,7))))))</f>
        <v>6</v>
      </c>
      <c r="BD342" s="65" t="n">
        <f aca="false">IF(AD342=1,CHOOSE('Historical Score'!$C$29,AV342,AW342,AX342,AY342,AZ342,BA342,BB342),0)</f>
        <v>0</v>
      </c>
      <c r="BE342" s="65" t="str">
        <f aca="false">IF(BD342=1,COUNTIF($BD$2:BD342,1),"")</f>
        <v/>
      </c>
    </row>
    <row r="343" customFormat="false" ht="15" hidden="false" customHeight="false" outlineLevel="0" collapsed="false">
      <c r="A343" s="65" t="s">
        <v>1422</v>
      </c>
      <c r="B343" s="65" t="s">
        <v>1423</v>
      </c>
      <c r="C343" s="65" t="s">
        <v>1424</v>
      </c>
      <c r="D343" s="65" t="s">
        <v>533</v>
      </c>
      <c r="E343" s="112" t="n">
        <v>45971</v>
      </c>
      <c r="F343" s="112" t="n">
        <v>46253</v>
      </c>
      <c r="G343" s="65" t="n">
        <v>6</v>
      </c>
      <c r="H343" s="65" t="s">
        <v>1425</v>
      </c>
      <c r="I343" s="65" t="s">
        <v>419</v>
      </c>
      <c r="J343" s="65" t="s">
        <v>1426</v>
      </c>
      <c r="K343" s="65" t="s">
        <v>1204</v>
      </c>
      <c r="L343" s="65" t="s">
        <v>64</v>
      </c>
      <c r="M343" s="113" t="n">
        <v>1.499</v>
      </c>
      <c r="N343" s="114" t="n">
        <v>20000</v>
      </c>
      <c r="O343" s="114" t="n">
        <v>2800</v>
      </c>
      <c r="P343" s="114" t="n">
        <v>29980</v>
      </c>
      <c r="Q343" s="114" t="n">
        <v>8202.1</v>
      </c>
      <c r="R343" s="114" t="n">
        <v>21777.9</v>
      </c>
      <c r="S343" s="115" t="n">
        <v>0.273585723815877</v>
      </c>
      <c r="T343" s="65" t="n">
        <v>16</v>
      </c>
      <c r="U343" s="65" t="n">
        <v>29</v>
      </c>
      <c r="V343" s="65" t="n">
        <v>197275.44</v>
      </c>
      <c r="W343" s="115" t="n">
        <v>0.0378</v>
      </c>
      <c r="X343" s="112"/>
      <c r="Y343" s="65" t="str">
        <f aca="false">IF(I343="","No SIC",IFERROR(VLOOKUP(I343,Ref!$A$2:$B$65,2,FALSE()),"Unclassified"))</f>
        <v>Business Services</v>
      </c>
      <c r="Z343" s="65" t="str">
        <f aca="false">IF(T343="","",IF(T343&lt;12,"Daily","Weekly"))</f>
        <v>Weekly</v>
      </c>
      <c r="AA343" s="65" t="n">
        <f aca="false">IF(T343="",0,IF(T343&lt;12,T343*Controls!$B$29,T343*5))</f>
        <v>80</v>
      </c>
      <c r="AB343" s="65" t="n">
        <f aca="false">IF(E343="",0,NETWORKDAYS(E343,Controls!$B$36,Ref!$K$2:$K$42))</f>
        <v>199</v>
      </c>
      <c r="AC343" s="65" t="n">
        <f aca="false">IF(AND(AA343&gt;0,AB343&gt;=Controls!$B$39*AA343),1,0)</f>
        <v>1</v>
      </c>
      <c r="AD343" s="65" t="n">
        <f aca="false">IF(AND(E343&lt;&gt;"",E343&gt;=Controls!$B$37,E343&lt;=Controls!$B$38),1,0)</f>
        <v>1</v>
      </c>
      <c r="AE343" s="65" t="n">
        <f aca="false">IF(IFERROR(VLOOKUP(D343,Controls!$A$64:$E$74,2,FALSE()),"No")="Yes",1,0)</f>
        <v>1</v>
      </c>
      <c r="AF343" s="65" t="n">
        <f aca="false">IF(IFERROR(VLOOKUP(D343,Controls!$A$64:$E$74,3,FALSE()),"No")="Yes",1,0)</f>
        <v>0</v>
      </c>
      <c r="AG343" s="65" t="n">
        <f aca="false">IF(IFERROR(VLOOKUP(D343,Controls!$A$64:$E$74,4,FALSE()),"No")="Yes",1,0)</f>
        <v>0</v>
      </c>
      <c r="AH343" s="65" t="n">
        <f aca="false">IF(IFERROR(VLOOKUP(D343,Controls!$A$64:$E$74,5,FALSE()),"No")="Yes",1,0)</f>
        <v>0</v>
      </c>
      <c r="AI343" s="65" t="n">
        <f aca="false">IF(ISNUMBER(MATCH(D343,Controls!$A$64:$A$74,0)),1,0)</f>
        <v>1</v>
      </c>
      <c r="AJ343" s="65" t="n">
        <f aca="false">Q343-N343</f>
        <v>-11797.9</v>
      </c>
      <c r="AK343" s="65" t="n">
        <f aca="false">IF(AE343=1,MAX(0,N343-Q343),0)</f>
        <v>11797.9</v>
      </c>
      <c r="AL343" s="65" t="n">
        <f aca="false">IF(OR(V343="",V343=0),0,N343/V343)</f>
        <v>0.101381094372417</v>
      </c>
      <c r="AM343" s="65" t="n">
        <f aca="false">IF(OR(V343="",V343=0),0,1)</f>
        <v>1</v>
      </c>
      <c r="AN343" s="65" t="n">
        <f aca="false">IF(OR(E343="",F343=""),0,NETWORKDAYS(E343,F343,Ref!$K$2:$K$42))</f>
        <v>195</v>
      </c>
      <c r="AO343" s="65" t="n">
        <f aca="false">IF(L343="Renewal",1,0)</f>
        <v>0</v>
      </c>
      <c r="AP343" s="65" t="n">
        <f aca="false">AC343*AD343</f>
        <v>1</v>
      </c>
      <c r="AQ343" s="65" t="n">
        <f aca="false">IF(AND(G343&lt;&gt;"",'Historical Score'!$C$6&lt;&gt;""),IF(G343='Historical Score'!$C$6,1,0),0)</f>
        <v>0</v>
      </c>
      <c r="AR343" s="65" t="n">
        <f aca="false">IF(AND(L343&lt;&gt;"",'Historical Score'!$C$5&lt;&gt;""),IF(L343='Historical Score'!$C$5,1,0),0)</f>
        <v>1</v>
      </c>
      <c r="AS343" s="65" t="n">
        <f aca="false">IF(AND(Y343&lt;&gt;"",'Historical Score'!$C$7&lt;&gt;""),IF(Y343='Historical Score'!$C$7,1,0),0)</f>
        <v>0</v>
      </c>
      <c r="AT343" s="65" t="n">
        <f aca="false">IF(AND(K343&lt;&gt;"",'Historical Score'!$C$8&lt;&gt;""),IF(K343='Historical Score'!$C$8,1,0),0)</f>
        <v>0</v>
      </c>
      <c r="AU343" s="65" t="n">
        <f aca="false">IF(AND(J343&lt;&gt;"",'Historical Score'!$C$9&lt;&gt;""),IF(J343='Historical Score'!$C$9,1,0),0)</f>
        <v>0</v>
      </c>
      <c r="AV343" s="65" t="n">
        <f aca="false">AR343*AS343*AQ343</f>
        <v>0</v>
      </c>
      <c r="AW343" s="65" t="n">
        <f aca="false">AR343*AT343*AQ343</f>
        <v>0</v>
      </c>
      <c r="AX343" s="65" t="n">
        <f aca="false">AR343*AS343</f>
        <v>0</v>
      </c>
      <c r="AY343" s="65" t="n">
        <f aca="false">AR343*AT343</f>
        <v>0</v>
      </c>
      <c r="AZ343" s="65" t="n">
        <f aca="false">AR343*AQ343</f>
        <v>0</v>
      </c>
      <c r="BA343" s="65" t="n">
        <f aca="false">AR343</f>
        <v>1</v>
      </c>
      <c r="BB343" s="65" t="n">
        <f aca="false">1</f>
        <v>1</v>
      </c>
      <c r="BC343" s="65" t="n">
        <f aca="false">IF(AV343=1,1,IF(AW343=1,2,IF(AX343=1,3,IF(AY343=1,4,IF(AZ343=1,5,IF(BA343=1,6,7))))))</f>
        <v>6</v>
      </c>
      <c r="BD343" s="65" t="n">
        <f aca="false">IF(AD343=1,CHOOSE('Historical Score'!$C$29,AV343,AW343,AX343,AY343,AZ343,BA343,BB343),0)</f>
        <v>0</v>
      </c>
      <c r="BE343" s="65" t="str">
        <f aca="false">IF(BD343=1,COUNTIF($BD$2:BD343,1),"")</f>
        <v/>
      </c>
    </row>
    <row r="344" customFormat="false" ht="15" hidden="false" customHeight="false" outlineLevel="0" collapsed="false">
      <c r="A344" s="65" t="s">
        <v>1427</v>
      </c>
      <c r="B344" s="65" t="s">
        <v>1428</v>
      </c>
      <c r="C344" s="65" t="s">
        <v>1428</v>
      </c>
      <c r="D344" s="65" t="s">
        <v>340</v>
      </c>
      <c r="E344" s="112" t="n">
        <v>45971</v>
      </c>
      <c r="F344" s="112" t="n">
        <v>46210</v>
      </c>
      <c r="G344" s="65" t="n">
        <v>5</v>
      </c>
      <c r="H344" s="65" t="s">
        <v>442</v>
      </c>
      <c r="I344" s="65" t="s">
        <v>443</v>
      </c>
      <c r="J344" s="65" t="s">
        <v>1349</v>
      </c>
      <c r="K344" s="65" t="s">
        <v>55</v>
      </c>
      <c r="L344" s="65" t="s">
        <v>64</v>
      </c>
      <c r="M344" s="113" t="n">
        <v>1.49</v>
      </c>
      <c r="N344" s="114" t="n">
        <v>10000</v>
      </c>
      <c r="O344" s="114" t="n">
        <v>1400</v>
      </c>
      <c r="P344" s="114" t="n">
        <v>14900</v>
      </c>
      <c r="Q344" s="114" t="n">
        <v>366.17</v>
      </c>
      <c r="R344" s="114" t="n">
        <v>14533.83</v>
      </c>
      <c r="S344" s="115" t="n">
        <v>0.0245751677852349</v>
      </c>
      <c r="T344" s="65" t="n">
        <v>2.623</v>
      </c>
      <c r="U344" s="65" t="n">
        <v>8</v>
      </c>
      <c r="V344" s="65" t="n">
        <v>61143.08</v>
      </c>
      <c r="W344" s="115" t="n">
        <v>0.064</v>
      </c>
      <c r="X344" s="112"/>
      <c r="Y344" s="65" t="str">
        <f aca="false">IF(I344="","No SIC",IFERROR(VLOOKUP(I344,Ref!$A$2:$B$65,2,FALSE()),"Unclassified"))</f>
        <v>General Building Contractors</v>
      </c>
      <c r="Z344" s="65" t="str">
        <f aca="false">IF(T344="","",IF(T344&lt;12,"Daily","Weekly"))</f>
        <v>Daily</v>
      </c>
      <c r="AA344" s="65" t="n">
        <f aca="false">IF(T344="",0,IF(T344&lt;12,T344*Controls!$B$29,T344*5))</f>
        <v>56.801065</v>
      </c>
      <c r="AB344" s="65" t="n">
        <f aca="false">IF(E344="",0,NETWORKDAYS(E344,Controls!$B$36,Ref!$K$2:$K$42))</f>
        <v>199</v>
      </c>
      <c r="AC344" s="65" t="n">
        <f aca="false">IF(AND(AA344&gt;0,AB344&gt;=Controls!$B$39*AA344),1,0)</f>
        <v>1</v>
      </c>
      <c r="AD344" s="65" t="n">
        <f aca="false">IF(AND(E344&lt;&gt;"",E344&gt;=Controls!$B$37,E344&lt;=Controls!$B$38),1,0)</f>
        <v>1</v>
      </c>
      <c r="AE344" s="65" t="n">
        <f aca="false">IF(IFERROR(VLOOKUP(D344,Controls!$A$64:$E$74,2,FALSE()),"No")="Yes",1,0)</f>
        <v>1</v>
      </c>
      <c r="AF344" s="65" t="n">
        <f aca="false">IF(IFERROR(VLOOKUP(D344,Controls!$A$64:$E$74,3,FALSE()),"No")="Yes",1,0)</f>
        <v>0</v>
      </c>
      <c r="AG344" s="65" t="n">
        <f aca="false">IF(IFERROR(VLOOKUP(D344,Controls!$A$64:$E$74,4,FALSE()),"No")="Yes",1,0)</f>
        <v>0</v>
      </c>
      <c r="AH344" s="65" t="n">
        <f aca="false">IF(IFERROR(VLOOKUP(D344,Controls!$A$64:$E$74,5,FALSE()),"No")="Yes",1,0)</f>
        <v>0</v>
      </c>
      <c r="AI344" s="65" t="n">
        <f aca="false">IF(ISNUMBER(MATCH(D344,Controls!$A$64:$A$74,0)),1,0)</f>
        <v>1</v>
      </c>
      <c r="AJ344" s="65" t="n">
        <f aca="false">Q344-N344</f>
        <v>-9633.83</v>
      </c>
      <c r="AK344" s="65" t="n">
        <f aca="false">IF(AE344=1,MAX(0,N344-Q344),0)</f>
        <v>9633.83</v>
      </c>
      <c r="AL344" s="65" t="n">
        <f aca="false">IF(OR(V344="",V344=0),0,N344/V344)</f>
        <v>0.1635508057494</v>
      </c>
      <c r="AM344" s="65" t="n">
        <f aca="false">IF(OR(V344="",V344=0),0,1)</f>
        <v>1</v>
      </c>
      <c r="AN344" s="65" t="n">
        <f aca="false">IF(OR(E344="",F344=""),0,NETWORKDAYS(E344,F344,Ref!$K$2:$K$42))</f>
        <v>164</v>
      </c>
      <c r="AO344" s="65" t="n">
        <f aca="false">IF(L344="Renewal",1,0)</f>
        <v>0</v>
      </c>
      <c r="AP344" s="65" t="n">
        <f aca="false">AC344*AD344</f>
        <v>1</v>
      </c>
      <c r="AQ344" s="65" t="n">
        <f aca="false">IF(AND(G344&lt;&gt;"",'Historical Score'!$C$6&lt;&gt;""),IF(G344='Historical Score'!$C$6,1,0),0)</f>
        <v>0</v>
      </c>
      <c r="AR344" s="65" t="n">
        <f aca="false">IF(AND(L344&lt;&gt;"",'Historical Score'!$C$5&lt;&gt;""),IF(L344='Historical Score'!$C$5,1,0),0)</f>
        <v>1</v>
      </c>
      <c r="AS344" s="65" t="n">
        <f aca="false">IF(AND(Y344&lt;&gt;"",'Historical Score'!$C$7&lt;&gt;""),IF(Y344='Historical Score'!$C$7,1,0),0)</f>
        <v>1</v>
      </c>
      <c r="AT344" s="65" t="n">
        <f aca="false">IF(AND(K344&lt;&gt;"",'Historical Score'!$C$8&lt;&gt;""),IF(K344='Historical Score'!$C$8,1,0),0)</f>
        <v>1</v>
      </c>
      <c r="AU344" s="65" t="n">
        <f aca="false">IF(AND(J344&lt;&gt;"",'Historical Score'!$C$9&lt;&gt;""),IF(J344='Historical Score'!$C$9,1,0),0)</f>
        <v>0</v>
      </c>
      <c r="AV344" s="65" t="n">
        <f aca="false">AR344*AS344*AQ344</f>
        <v>0</v>
      </c>
      <c r="AW344" s="65" t="n">
        <f aca="false">AR344*AT344*AQ344</f>
        <v>0</v>
      </c>
      <c r="AX344" s="65" t="n">
        <f aca="false">AR344*AS344</f>
        <v>1</v>
      </c>
      <c r="AY344" s="65" t="n">
        <f aca="false">AR344*AT344</f>
        <v>1</v>
      </c>
      <c r="AZ344" s="65" t="n">
        <f aca="false">AR344*AQ344</f>
        <v>0</v>
      </c>
      <c r="BA344" s="65" t="n">
        <f aca="false">AR344</f>
        <v>1</v>
      </c>
      <c r="BB344" s="65" t="n">
        <f aca="false">1</f>
        <v>1</v>
      </c>
      <c r="BC344" s="65" t="n">
        <f aca="false">IF(AV344=1,1,IF(AW344=1,2,IF(AX344=1,3,IF(AY344=1,4,IF(AZ344=1,5,IF(BA344=1,6,7))))))</f>
        <v>3</v>
      </c>
      <c r="BD344" s="65" t="n">
        <f aca="false">IF(AD344=1,CHOOSE('Historical Score'!$C$29,AV344,AW344,AX344,AY344,AZ344,BA344,BB344),0)</f>
        <v>0</v>
      </c>
      <c r="BE344" s="65" t="str">
        <f aca="false">IF(BD344=1,COUNTIF($BD$2:BD344,1),"")</f>
        <v/>
      </c>
    </row>
    <row r="345" customFormat="false" ht="15" hidden="false" customHeight="false" outlineLevel="0" collapsed="false">
      <c r="A345" s="65" t="s">
        <v>1429</v>
      </c>
      <c r="B345" s="65" t="s">
        <v>1430</v>
      </c>
      <c r="C345" s="65" t="s">
        <v>1431</v>
      </c>
      <c r="D345" s="65" t="s">
        <v>371</v>
      </c>
      <c r="E345" s="112" t="n">
        <v>45973</v>
      </c>
      <c r="F345" s="112" t="n">
        <v>46051</v>
      </c>
      <c r="G345" s="65" t="n">
        <v>2</v>
      </c>
      <c r="H345" s="65" t="s">
        <v>1432</v>
      </c>
      <c r="I345" s="65" t="s">
        <v>1433</v>
      </c>
      <c r="J345" s="65" t="s">
        <v>61</v>
      </c>
      <c r="K345" s="65" t="s">
        <v>55</v>
      </c>
      <c r="L345" s="65" t="s">
        <v>64</v>
      </c>
      <c r="M345" s="113" t="n">
        <v>1.49</v>
      </c>
      <c r="N345" s="114" t="n">
        <v>15000</v>
      </c>
      <c r="O345" s="114" t="n">
        <v>2100</v>
      </c>
      <c r="P345" s="114" t="n">
        <v>22350</v>
      </c>
      <c r="Q345" s="114" t="n">
        <v>22350</v>
      </c>
      <c r="R345" s="114" t="n">
        <v>0</v>
      </c>
      <c r="S345" s="115" t="n">
        <v>1</v>
      </c>
      <c r="T345" s="65" t="n">
        <v>3.607</v>
      </c>
      <c r="U345" s="65" t="n">
        <v>0</v>
      </c>
      <c r="V345" s="65" t="n">
        <v>57074.76</v>
      </c>
      <c r="W345" s="115" t="n">
        <v>0.0748</v>
      </c>
      <c r="X345" s="112"/>
      <c r="Y345" s="65" t="str">
        <f aca="false">IF(I345="","No SIC",IFERROR(VLOOKUP(I345,Ref!$A$2:$B$65,2,FALSE()),"Unclassified"))</f>
        <v>Membership Organizations</v>
      </c>
      <c r="Z345" s="65" t="str">
        <f aca="false">IF(T345="","",IF(T345&lt;12,"Daily","Weekly"))</f>
        <v>Daily</v>
      </c>
      <c r="AA345" s="65" t="n">
        <f aca="false">IF(T345="",0,IF(T345&lt;12,T345*Controls!$B$29,T345*5))</f>
        <v>78.109585</v>
      </c>
      <c r="AB345" s="65" t="n">
        <f aca="false">IF(E345="",0,NETWORKDAYS(E345,Controls!$B$36,Ref!$K$2:$K$42))</f>
        <v>198</v>
      </c>
      <c r="AC345" s="65" t="n">
        <f aca="false">IF(AND(AA345&gt;0,AB345&gt;=Controls!$B$39*AA345),1,0)</f>
        <v>1</v>
      </c>
      <c r="AD345" s="65" t="n">
        <f aca="false">IF(AND(E345&lt;&gt;"",E345&gt;=Controls!$B$37,E345&lt;=Controls!$B$38),1,0)</f>
        <v>1</v>
      </c>
      <c r="AE345" s="65" t="n">
        <f aca="false">IF(IFERROR(VLOOKUP(D345,Controls!$A$64:$E$74,2,FALSE()),"No")="Yes",1,0)</f>
        <v>0</v>
      </c>
      <c r="AF345" s="65" t="n">
        <f aca="false">IF(IFERROR(VLOOKUP(D345,Controls!$A$64:$E$74,3,FALSE()),"No")="Yes",1,0)</f>
        <v>1</v>
      </c>
      <c r="AG345" s="65" t="n">
        <f aca="false">IF(IFERROR(VLOOKUP(D345,Controls!$A$64:$E$74,4,FALSE()),"No")="Yes",1,0)</f>
        <v>1</v>
      </c>
      <c r="AH345" s="65" t="n">
        <f aca="false">IF(IFERROR(VLOOKUP(D345,Controls!$A$64:$E$74,5,FALSE()),"No")="Yes",1,0)</f>
        <v>0</v>
      </c>
      <c r="AI345" s="65" t="n">
        <f aca="false">IF(ISNUMBER(MATCH(D345,Controls!$A$64:$A$74,0)),1,0)</f>
        <v>1</v>
      </c>
      <c r="AJ345" s="65" t="n">
        <f aca="false">Q345-N345</f>
        <v>7350</v>
      </c>
      <c r="AK345" s="65" t="n">
        <f aca="false">IF(AE345=1,MAX(0,N345-Q345),0)</f>
        <v>0</v>
      </c>
      <c r="AL345" s="65" t="n">
        <f aca="false">IF(OR(V345="",V345=0),0,N345/V345)</f>
        <v>0.262813194483866</v>
      </c>
      <c r="AM345" s="65" t="n">
        <f aca="false">IF(OR(V345="",V345=0),0,1)</f>
        <v>1</v>
      </c>
      <c r="AN345" s="65" t="n">
        <f aca="false">IF(OR(E345="",F345=""),0,NETWORKDAYS(E345,F345,Ref!$K$2:$K$42))</f>
        <v>53</v>
      </c>
      <c r="AO345" s="65" t="n">
        <f aca="false">IF(L345="Renewal",1,0)</f>
        <v>0</v>
      </c>
      <c r="AP345" s="65" t="n">
        <f aca="false">AC345*AD345</f>
        <v>1</v>
      </c>
      <c r="AQ345" s="65" t="n">
        <f aca="false">IF(AND(G345&lt;&gt;"",'Historical Score'!$C$6&lt;&gt;""),IF(G345='Historical Score'!$C$6,1,0),0)</f>
        <v>1</v>
      </c>
      <c r="AR345" s="65" t="n">
        <f aca="false">IF(AND(L345&lt;&gt;"",'Historical Score'!$C$5&lt;&gt;""),IF(L345='Historical Score'!$C$5,1,0),0)</f>
        <v>1</v>
      </c>
      <c r="AS345" s="65" t="n">
        <f aca="false">IF(AND(Y345&lt;&gt;"",'Historical Score'!$C$7&lt;&gt;""),IF(Y345='Historical Score'!$C$7,1,0),0)</f>
        <v>0</v>
      </c>
      <c r="AT345" s="65" t="n">
        <f aca="false">IF(AND(K345&lt;&gt;"",'Historical Score'!$C$8&lt;&gt;""),IF(K345='Historical Score'!$C$8,1,0),0)</f>
        <v>1</v>
      </c>
      <c r="AU345" s="65" t="n">
        <f aca="false">IF(AND(J345&lt;&gt;"",'Historical Score'!$C$9&lt;&gt;""),IF(J345='Historical Score'!$C$9,1,0),0)</f>
        <v>1</v>
      </c>
      <c r="AV345" s="65" t="n">
        <f aca="false">AR345*AS345*AQ345</f>
        <v>0</v>
      </c>
      <c r="AW345" s="65" t="n">
        <f aca="false">AR345*AT345*AQ345</f>
        <v>1</v>
      </c>
      <c r="AX345" s="65" t="n">
        <f aca="false">AR345*AS345</f>
        <v>0</v>
      </c>
      <c r="AY345" s="65" t="n">
        <f aca="false">AR345*AT345</f>
        <v>1</v>
      </c>
      <c r="AZ345" s="65" t="n">
        <f aca="false">AR345*AQ345</f>
        <v>1</v>
      </c>
      <c r="BA345" s="65" t="n">
        <f aca="false">AR345</f>
        <v>1</v>
      </c>
      <c r="BB345" s="65" t="n">
        <f aca="false">1</f>
        <v>1</v>
      </c>
      <c r="BC345" s="65" t="n">
        <f aca="false">IF(AV345=1,1,IF(AW345=1,2,IF(AX345=1,3,IF(AY345=1,4,IF(AZ345=1,5,IF(BA345=1,6,7))))))</f>
        <v>2</v>
      </c>
      <c r="BD345" s="65" t="n">
        <f aca="false">IF(AD345=1,CHOOSE('Historical Score'!$C$29,AV345,AW345,AX345,AY345,AZ345,BA345,BB345),0)</f>
        <v>0</v>
      </c>
      <c r="BE345" s="65" t="str">
        <f aca="false">IF(BD345=1,COUNTIF($BD$2:BD345,1),"")</f>
        <v/>
      </c>
    </row>
    <row r="346" customFormat="false" ht="15" hidden="false" customHeight="false" outlineLevel="0" collapsed="false">
      <c r="A346" s="65" t="s">
        <v>1434</v>
      </c>
      <c r="B346" s="65" t="s">
        <v>1435</v>
      </c>
      <c r="C346" s="65" t="s">
        <v>1436</v>
      </c>
      <c r="D346" s="65" t="s">
        <v>340</v>
      </c>
      <c r="E346" s="112" t="n">
        <v>45973</v>
      </c>
      <c r="F346" s="112" t="n">
        <v>46048</v>
      </c>
      <c r="G346" s="65" t="n">
        <v>2</v>
      </c>
      <c r="H346" s="65" t="s">
        <v>442</v>
      </c>
      <c r="I346" s="65" t="s">
        <v>443</v>
      </c>
      <c r="J346" s="65" t="s">
        <v>393</v>
      </c>
      <c r="K346" s="65" t="s">
        <v>1047</v>
      </c>
      <c r="L346" s="65" t="s">
        <v>64</v>
      </c>
      <c r="M346" s="113" t="n">
        <v>1.49</v>
      </c>
      <c r="N346" s="114" t="n">
        <v>20000</v>
      </c>
      <c r="O346" s="114" t="n">
        <v>0</v>
      </c>
      <c r="P346" s="114" t="n">
        <v>29800</v>
      </c>
      <c r="Q346" s="114" t="n">
        <v>0</v>
      </c>
      <c r="R346" s="114" t="n">
        <v>29800</v>
      </c>
      <c r="S346" s="115" t="n">
        <v>0</v>
      </c>
      <c r="T346" s="65" t="n">
        <v>20</v>
      </c>
      <c r="U346" s="65" t="n">
        <v>11</v>
      </c>
      <c r="V346" s="65" t="n">
        <v>71311.88</v>
      </c>
      <c r="W346" s="115" t="n">
        <v>0.0836</v>
      </c>
      <c r="X346" s="112" t="n">
        <v>44774</v>
      </c>
      <c r="Y346" s="65" t="str">
        <f aca="false">IF(I346="","No SIC",IFERROR(VLOOKUP(I346,Ref!$A$2:$B$65,2,FALSE()),"Unclassified"))</f>
        <v>General Building Contractors</v>
      </c>
      <c r="Z346" s="65" t="str">
        <f aca="false">IF(T346="","",IF(T346&lt;12,"Daily","Weekly"))</f>
        <v>Weekly</v>
      </c>
      <c r="AA346" s="65" t="n">
        <f aca="false">IF(T346="",0,IF(T346&lt;12,T346*Controls!$B$29,T346*5))</f>
        <v>100</v>
      </c>
      <c r="AB346" s="65" t="n">
        <f aca="false">IF(E346="",0,NETWORKDAYS(E346,Controls!$B$36,Ref!$K$2:$K$42))</f>
        <v>198</v>
      </c>
      <c r="AC346" s="65" t="n">
        <f aca="false">IF(AND(AA346&gt;0,AB346&gt;=Controls!$B$39*AA346),1,0)</f>
        <v>1</v>
      </c>
      <c r="AD346" s="65" t="n">
        <f aca="false">IF(AND(E346&lt;&gt;"",E346&gt;=Controls!$B$37,E346&lt;=Controls!$B$38),1,0)</f>
        <v>1</v>
      </c>
      <c r="AE346" s="65" t="n">
        <f aca="false">IF(IFERROR(VLOOKUP(D346,Controls!$A$64:$E$74,2,FALSE()),"No")="Yes",1,0)</f>
        <v>1</v>
      </c>
      <c r="AF346" s="65" t="n">
        <f aca="false">IF(IFERROR(VLOOKUP(D346,Controls!$A$64:$E$74,3,FALSE()),"No")="Yes",1,0)</f>
        <v>0</v>
      </c>
      <c r="AG346" s="65" t="n">
        <f aca="false">IF(IFERROR(VLOOKUP(D346,Controls!$A$64:$E$74,4,FALSE()),"No")="Yes",1,0)</f>
        <v>0</v>
      </c>
      <c r="AH346" s="65" t="n">
        <f aca="false">IF(IFERROR(VLOOKUP(D346,Controls!$A$64:$E$74,5,FALSE()),"No")="Yes",1,0)</f>
        <v>0</v>
      </c>
      <c r="AI346" s="65" t="n">
        <f aca="false">IF(ISNUMBER(MATCH(D346,Controls!$A$64:$A$74,0)),1,0)</f>
        <v>1</v>
      </c>
      <c r="AJ346" s="65" t="n">
        <f aca="false">Q346-N346</f>
        <v>-20000</v>
      </c>
      <c r="AK346" s="65" t="n">
        <f aca="false">IF(AE346=1,MAX(0,N346-Q346),0)</f>
        <v>20000</v>
      </c>
      <c r="AL346" s="65" t="n">
        <f aca="false">IF(OR(V346="",V346=0),0,N346/V346)</f>
        <v>0.280458178917734</v>
      </c>
      <c r="AM346" s="65" t="n">
        <f aca="false">IF(OR(V346="",V346=0),0,1)</f>
        <v>1</v>
      </c>
      <c r="AN346" s="65" t="n">
        <f aca="false">IF(OR(E346="",F346=""),0,NETWORKDAYS(E346,F346,Ref!$K$2:$K$42))</f>
        <v>50</v>
      </c>
      <c r="AO346" s="65" t="n">
        <f aca="false">IF(L346="Renewal",1,0)</f>
        <v>0</v>
      </c>
      <c r="AP346" s="65" t="n">
        <f aca="false">AC346*AD346</f>
        <v>1</v>
      </c>
      <c r="AQ346" s="65" t="n">
        <f aca="false">IF(AND(G346&lt;&gt;"",'Historical Score'!$C$6&lt;&gt;""),IF(G346='Historical Score'!$C$6,1,0),0)</f>
        <v>1</v>
      </c>
      <c r="AR346" s="65" t="n">
        <f aca="false">IF(AND(L346&lt;&gt;"",'Historical Score'!$C$5&lt;&gt;""),IF(L346='Historical Score'!$C$5,1,0),0)</f>
        <v>1</v>
      </c>
      <c r="AS346" s="65" t="n">
        <f aca="false">IF(AND(Y346&lt;&gt;"",'Historical Score'!$C$7&lt;&gt;""),IF(Y346='Historical Score'!$C$7,1,0),0)</f>
        <v>1</v>
      </c>
      <c r="AT346" s="65" t="n">
        <f aca="false">IF(AND(K346&lt;&gt;"",'Historical Score'!$C$8&lt;&gt;""),IF(K346='Historical Score'!$C$8,1,0),0)</f>
        <v>0</v>
      </c>
      <c r="AU346" s="65" t="n">
        <f aca="false">IF(AND(J346&lt;&gt;"",'Historical Score'!$C$9&lt;&gt;""),IF(J346='Historical Score'!$C$9,1,0),0)</f>
        <v>0</v>
      </c>
      <c r="AV346" s="65" t="n">
        <f aca="false">AR346*AS346*AQ346</f>
        <v>1</v>
      </c>
      <c r="AW346" s="65" t="n">
        <f aca="false">AR346*AT346*AQ346</f>
        <v>0</v>
      </c>
      <c r="AX346" s="65" t="n">
        <f aca="false">AR346*AS346</f>
        <v>1</v>
      </c>
      <c r="AY346" s="65" t="n">
        <f aca="false">AR346*AT346</f>
        <v>0</v>
      </c>
      <c r="AZ346" s="65" t="n">
        <f aca="false">AR346*AQ346</f>
        <v>1</v>
      </c>
      <c r="BA346" s="65" t="n">
        <f aca="false">AR346</f>
        <v>1</v>
      </c>
      <c r="BB346" s="65" t="n">
        <f aca="false">1</f>
        <v>1</v>
      </c>
      <c r="BC346" s="65" t="n">
        <f aca="false">IF(AV346=1,1,IF(AW346=1,2,IF(AX346=1,3,IF(AY346=1,4,IF(AZ346=1,5,IF(BA346=1,6,7))))))</f>
        <v>1</v>
      </c>
      <c r="BD346" s="65" t="n">
        <f aca="false">IF(AD346=1,CHOOSE('Historical Score'!$C$29,AV346,AW346,AX346,AY346,AZ346,BA346,BB346),0)</f>
        <v>1</v>
      </c>
      <c r="BE346" s="65" t="n">
        <f aca="false">IF(BD346=1,COUNTIF($BD$2:BD346,1),"")</f>
        <v>13</v>
      </c>
    </row>
    <row r="347" customFormat="false" ht="15" hidden="false" customHeight="false" outlineLevel="0" collapsed="false">
      <c r="A347" s="65" t="s">
        <v>1437</v>
      </c>
      <c r="B347" s="65" t="s">
        <v>879</v>
      </c>
      <c r="C347" s="65" t="s">
        <v>880</v>
      </c>
      <c r="D347" s="65" t="s">
        <v>371</v>
      </c>
      <c r="E347" s="112" t="n">
        <v>45973</v>
      </c>
      <c r="F347" s="112" t="n">
        <v>46059</v>
      </c>
      <c r="G347" s="65" t="n">
        <v>4</v>
      </c>
      <c r="H347" s="65" t="s">
        <v>748</v>
      </c>
      <c r="I347" s="65" t="s">
        <v>619</v>
      </c>
      <c r="J347" s="65" t="s">
        <v>432</v>
      </c>
      <c r="K347" s="65" t="s">
        <v>55</v>
      </c>
      <c r="L347" s="65" t="s">
        <v>320</v>
      </c>
      <c r="M347" s="113" t="n">
        <v>1.49</v>
      </c>
      <c r="N347" s="114" t="n">
        <v>35000</v>
      </c>
      <c r="O347" s="114" t="n">
        <v>4900</v>
      </c>
      <c r="P347" s="114" t="n">
        <v>52150</v>
      </c>
      <c r="Q347" s="114" t="n">
        <v>52150</v>
      </c>
      <c r="R347" s="114" t="n">
        <v>0</v>
      </c>
      <c r="S347" s="115" t="n">
        <v>1</v>
      </c>
      <c r="T347" s="65" t="n">
        <v>3.279</v>
      </c>
      <c r="U347" s="65" t="n">
        <v>0</v>
      </c>
      <c r="V347" s="65" t="n">
        <v>104379.99</v>
      </c>
      <c r="W347" s="115" t="n">
        <v>0.155</v>
      </c>
      <c r="X347" s="112" t="n">
        <v>43221</v>
      </c>
      <c r="Y347" s="65" t="str">
        <f aca="false">IF(I347="","No SIC",IFERROR(VLOOKUP(I347,Ref!$A$2:$B$65,2,FALSE()),"Unclassified"))</f>
        <v>Miscellaneous Retail</v>
      </c>
      <c r="Z347" s="65" t="str">
        <f aca="false">IF(T347="","",IF(T347&lt;12,"Daily","Weekly"))</f>
        <v>Daily</v>
      </c>
      <c r="AA347" s="65" t="n">
        <f aca="false">IF(T347="",0,IF(T347&lt;12,T347*Controls!$B$29,T347*5))</f>
        <v>71.006745</v>
      </c>
      <c r="AB347" s="65" t="n">
        <f aca="false">IF(E347="",0,NETWORKDAYS(E347,Controls!$B$36,Ref!$K$2:$K$42))</f>
        <v>198</v>
      </c>
      <c r="AC347" s="65" t="n">
        <f aca="false">IF(AND(AA347&gt;0,AB347&gt;=Controls!$B$39*AA347),1,0)</f>
        <v>1</v>
      </c>
      <c r="AD347" s="65" t="n">
        <f aca="false">IF(AND(E347&lt;&gt;"",E347&gt;=Controls!$B$37,E347&lt;=Controls!$B$38),1,0)</f>
        <v>1</v>
      </c>
      <c r="AE347" s="65" t="n">
        <f aca="false">IF(IFERROR(VLOOKUP(D347,Controls!$A$64:$E$74,2,FALSE()),"No")="Yes",1,0)</f>
        <v>0</v>
      </c>
      <c r="AF347" s="65" t="n">
        <f aca="false">IF(IFERROR(VLOOKUP(D347,Controls!$A$64:$E$74,3,FALSE()),"No")="Yes",1,0)</f>
        <v>1</v>
      </c>
      <c r="AG347" s="65" t="n">
        <f aca="false">IF(IFERROR(VLOOKUP(D347,Controls!$A$64:$E$74,4,FALSE()),"No")="Yes",1,0)</f>
        <v>1</v>
      </c>
      <c r="AH347" s="65" t="n">
        <f aca="false">IF(IFERROR(VLOOKUP(D347,Controls!$A$64:$E$74,5,FALSE()),"No")="Yes",1,0)</f>
        <v>0</v>
      </c>
      <c r="AI347" s="65" t="n">
        <f aca="false">IF(ISNUMBER(MATCH(D347,Controls!$A$64:$A$74,0)),1,0)</f>
        <v>1</v>
      </c>
      <c r="AJ347" s="65" t="n">
        <f aca="false">Q347-N347</f>
        <v>17150</v>
      </c>
      <c r="AK347" s="65" t="n">
        <f aca="false">IF(AE347=1,MAX(0,N347-Q347),0)</f>
        <v>0</v>
      </c>
      <c r="AL347" s="65" t="n">
        <f aca="false">IF(OR(V347="",V347=0),0,N347/V347)</f>
        <v>0.335313310530112</v>
      </c>
      <c r="AM347" s="65" t="n">
        <f aca="false">IF(OR(V347="",V347=0),0,1)</f>
        <v>1</v>
      </c>
      <c r="AN347" s="65" t="n">
        <f aca="false">IF(OR(E347="",F347=""),0,NETWORKDAYS(E347,F347,Ref!$K$2:$K$42))</f>
        <v>59</v>
      </c>
      <c r="AO347" s="65" t="n">
        <f aca="false">IF(L347="Renewal",1,0)</f>
        <v>1</v>
      </c>
      <c r="AP347" s="65" t="n">
        <f aca="false">AC347*AD347</f>
        <v>1</v>
      </c>
      <c r="AQ347" s="65" t="n">
        <f aca="false">IF(AND(G347&lt;&gt;"",'Historical Score'!$C$6&lt;&gt;""),IF(G347='Historical Score'!$C$6,1,0),0)</f>
        <v>0</v>
      </c>
      <c r="AR347" s="65" t="n">
        <f aca="false">IF(AND(L347&lt;&gt;"",'Historical Score'!$C$5&lt;&gt;""),IF(L347='Historical Score'!$C$5,1,0),0)</f>
        <v>0</v>
      </c>
      <c r="AS347" s="65" t="n">
        <f aca="false">IF(AND(Y347&lt;&gt;"",'Historical Score'!$C$7&lt;&gt;""),IF(Y347='Historical Score'!$C$7,1,0),0)</f>
        <v>0</v>
      </c>
      <c r="AT347" s="65" t="n">
        <f aca="false">IF(AND(K347&lt;&gt;"",'Historical Score'!$C$8&lt;&gt;""),IF(K347='Historical Score'!$C$8,1,0),0)</f>
        <v>1</v>
      </c>
      <c r="AU347" s="65" t="n">
        <f aca="false">IF(AND(J347&lt;&gt;"",'Historical Score'!$C$9&lt;&gt;""),IF(J347='Historical Score'!$C$9,1,0),0)</f>
        <v>0</v>
      </c>
      <c r="AV347" s="65" t="n">
        <f aca="false">AR347*AS347*AQ347</f>
        <v>0</v>
      </c>
      <c r="AW347" s="65" t="n">
        <f aca="false">AR347*AT347*AQ347</f>
        <v>0</v>
      </c>
      <c r="AX347" s="65" t="n">
        <f aca="false">AR347*AS347</f>
        <v>0</v>
      </c>
      <c r="AY347" s="65" t="n">
        <f aca="false">AR347*AT347</f>
        <v>0</v>
      </c>
      <c r="AZ347" s="65" t="n">
        <f aca="false">AR347*AQ347</f>
        <v>0</v>
      </c>
      <c r="BA347" s="65" t="n">
        <f aca="false">AR347</f>
        <v>0</v>
      </c>
      <c r="BB347" s="65" t="n">
        <f aca="false">1</f>
        <v>1</v>
      </c>
      <c r="BC347" s="65" t="n">
        <f aca="false">IF(AV347=1,1,IF(AW347=1,2,IF(AX347=1,3,IF(AY347=1,4,IF(AZ347=1,5,IF(BA347=1,6,7))))))</f>
        <v>7</v>
      </c>
      <c r="BD347" s="65" t="n">
        <f aca="false">IF(AD347=1,CHOOSE('Historical Score'!$C$29,AV347,AW347,AX347,AY347,AZ347,BA347,BB347),0)</f>
        <v>0</v>
      </c>
      <c r="BE347" s="65" t="str">
        <f aca="false">IF(BD347=1,COUNTIF($BD$2:BD347,1),"")</f>
        <v/>
      </c>
    </row>
    <row r="348" customFormat="false" ht="15" hidden="false" customHeight="false" outlineLevel="0" collapsed="false">
      <c r="A348" s="65" t="s">
        <v>1438</v>
      </c>
      <c r="B348" s="65" t="s">
        <v>1439</v>
      </c>
      <c r="C348" s="65" t="s">
        <v>1440</v>
      </c>
      <c r="D348" s="65" t="s">
        <v>959</v>
      </c>
      <c r="E348" s="112" t="n">
        <v>45973</v>
      </c>
      <c r="F348" s="112" t="n">
        <v>46252</v>
      </c>
      <c r="G348" s="65" t="n">
        <v>3</v>
      </c>
      <c r="H348" s="65" t="s">
        <v>637</v>
      </c>
      <c r="I348" s="65" t="s">
        <v>484</v>
      </c>
      <c r="J348" s="65" t="s">
        <v>373</v>
      </c>
      <c r="K348" s="65" t="s">
        <v>961</v>
      </c>
      <c r="L348" s="65" t="s">
        <v>64</v>
      </c>
      <c r="M348" s="113" t="n">
        <v>1.42</v>
      </c>
      <c r="N348" s="114" t="n">
        <v>70000</v>
      </c>
      <c r="O348" s="114" t="n">
        <v>9800</v>
      </c>
      <c r="P348" s="114" t="n">
        <v>99400</v>
      </c>
      <c r="Q348" s="114" t="n">
        <v>81587.49</v>
      </c>
      <c r="R348" s="114" t="n">
        <v>17812.51</v>
      </c>
      <c r="S348" s="115" t="n">
        <v>0.820799698189135</v>
      </c>
      <c r="T348" s="65" t="n">
        <v>33</v>
      </c>
      <c r="U348" s="65" t="n">
        <v>0</v>
      </c>
      <c r="V348" s="65" t="n">
        <v>163465.58</v>
      </c>
      <c r="W348" s="115" t="n">
        <v>0.0737</v>
      </c>
      <c r="X348" s="112" t="n">
        <v>45478</v>
      </c>
      <c r="Y348" s="65" t="str">
        <f aca="false">IF(I348="","No SIC",IFERROR(VLOOKUP(I348,Ref!$A$2:$B$65,2,FALSE()),"Unclassified"))</f>
        <v>Special Trade Contractors</v>
      </c>
      <c r="Z348" s="65" t="str">
        <f aca="false">IF(T348="","",IF(T348&lt;12,"Daily","Weekly"))</f>
        <v>Weekly</v>
      </c>
      <c r="AA348" s="65" t="n">
        <f aca="false">IF(T348="",0,IF(T348&lt;12,T348*Controls!$B$29,T348*5))</f>
        <v>165</v>
      </c>
      <c r="AB348" s="65" t="n">
        <f aca="false">IF(E348="",0,NETWORKDAYS(E348,Controls!$B$36,Ref!$K$2:$K$42))</f>
        <v>198</v>
      </c>
      <c r="AC348" s="65" t="n">
        <f aca="false">IF(AND(AA348&gt;0,AB348&gt;=Controls!$B$39*AA348),1,0)</f>
        <v>0</v>
      </c>
      <c r="AD348" s="65" t="n">
        <f aca="false">IF(AND(E348&lt;&gt;"",E348&gt;=Controls!$B$37,E348&lt;=Controls!$B$38),1,0)</f>
        <v>1</v>
      </c>
      <c r="AE348" s="65" t="n">
        <f aca="false">IF(IFERROR(VLOOKUP(D348,Controls!$A$64:$E$74,2,FALSE()),"No")="Yes",1,0)</f>
        <v>0</v>
      </c>
      <c r="AF348" s="65" t="n">
        <f aca="false">IF(IFERROR(VLOOKUP(D348,Controls!$A$64:$E$74,3,FALSE()),"No")="Yes",1,0)</f>
        <v>0</v>
      </c>
      <c r="AG348" s="65" t="n">
        <f aca="false">IF(IFERROR(VLOOKUP(D348,Controls!$A$64:$E$74,4,FALSE()),"No")="Yes",1,0)</f>
        <v>0</v>
      </c>
      <c r="AH348" s="65" t="n">
        <f aca="false">IF(IFERROR(VLOOKUP(D348,Controls!$A$64:$E$74,5,FALSE()),"No")="Yes",1,0)</f>
        <v>0</v>
      </c>
      <c r="AI348" s="65" t="n">
        <f aca="false">IF(ISNUMBER(MATCH(D348,Controls!$A$64:$A$74,0)),1,0)</f>
        <v>1</v>
      </c>
      <c r="AJ348" s="65" t="n">
        <f aca="false">Q348-N348</f>
        <v>11587.49</v>
      </c>
      <c r="AK348" s="65" t="n">
        <f aca="false">IF(AE348=1,MAX(0,N348-Q348),0)</f>
        <v>0</v>
      </c>
      <c r="AL348" s="65" t="n">
        <f aca="false">IF(OR(V348="",V348=0),0,N348/V348)</f>
        <v>0.42822470638773</v>
      </c>
      <c r="AM348" s="65" t="n">
        <f aca="false">IF(OR(V348="",V348=0),0,1)</f>
        <v>1</v>
      </c>
      <c r="AN348" s="65" t="n">
        <f aca="false">IF(OR(E348="",F348=""),0,NETWORKDAYS(E348,F348,Ref!$K$2:$K$42))</f>
        <v>193</v>
      </c>
      <c r="AO348" s="65" t="n">
        <f aca="false">IF(L348="Renewal",1,0)</f>
        <v>0</v>
      </c>
      <c r="AP348" s="65" t="n">
        <f aca="false">AC348*AD348</f>
        <v>0</v>
      </c>
      <c r="AQ348" s="65" t="n">
        <f aca="false">IF(AND(G348&lt;&gt;"",'Historical Score'!$C$6&lt;&gt;""),IF(G348='Historical Score'!$C$6,1,0),0)</f>
        <v>0</v>
      </c>
      <c r="AR348" s="65" t="n">
        <f aca="false">IF(AND(L348&lt;&gt;"",'Historical Score'!$C$5&lt;&gt;""),IF(L348='Historical Score'!$C$5,1,0),0)</f>
        <v>1</v>
      </c>
      <c r="AS348" s="65" t="n">
        <f aca="false">IF(AND(Y348&lt;&gt;"",'Historical Score'!$C$7&lt;&gt;""),IF(Y348='Historical Score'!$C$7,1,0),0)</f>
        <v>0</v>
      </c>
      <c r="AT348" s="65" t="n">
        <f aca="false">IF(AND(K348&lt;&gt;"",'Historical Score'!$C$8&lt;&gt;""),IF(K348='Historical Score'!$C$8,1,0),0)</f>
        <v>0</v>
      </c>
      <c r="AU348" s="65" t="n">
        <f aca="false">IF(AND(J348&lt;&gt;"",'Historical Score'!$C$9&lt;&gt;""),IF(J348='Historical Score'!$C$9,1,0),0)</f>
        <v>0</v>
      </c>
      <c r="AV348" s="65" t="n">
        <f aca="false">AR348*AS348*AQ348</f>
        <v>0</v>
      </c>
      <c r="AW348" s="65" t="n">
        <f aca="false">AR348*AT348*AQ348</f>
        <v>0</v>
      </c>
      <c r="AX348" s="65" t="n">
        <f aca="false">AR348*AS348</f>
        <v>0</v>
      </c>
      <c r="AY348" s="65" t="n">
        <f aca="false">AR348*AT348</f>
        <v>0</v>
      </c>
      <c r="AZ348" s="65" t="n">
        <f aca="false">AR348*AQ348</f>
        <v>0</v>
      </c>
      <c r="BA348" s="65" t="n">
        <f aca="false">AR348</f>
        <v>1</v>
      </c>
      <c r="BB348" s="65" t="n">
        <f aca="false">1</f>
        <v>1</v>
      </c>
      <c r="BC348" s="65" t="n">
        <f aca="false">IF(AV348=1,1,IF(AW348=1,2,IF(AX348=1,3,IF(AY348=1,4,IF(AZ348=1,5,IF(BA348=1,6,7))))))</f>
        <v>6</v>
      </c>
      <c r="BD348" s="65" t="n">
        <f aca="false">IF(AD348=1,CHOOSE('Historical Score'!$C$29,AV348,AW348,AX348,AY348,AZ348,BA348,BB348),0)</f>
        <v>0</v>
      </c>
      <c r="BE348" s="65" t="str">
        <f aca="false">IF(BD348=1,COUNTIF($BD$2:BD348,1),"")</f>
        <v/>
      </c>
    </row>
    <row r="349" customFormat="false" ht="15" hidden="false" customHeight="false" outlineLevel="0" collapsed="false">
      <c r="A349" s="65" t="s">
        <v>1441</v>
      </c>
      <c r="B349" s="65" t="s">
        <v>1442</v>
      </c>
      <c r="C349" s="65" t="s">
        <v>1443</v>
      </c>
      <c r="D349" s="65" t="s">
        <v>295</v>
      </c>
      <c r="E349" s="112" t="n">
        <v>45973</v>
      </c>
      <c r="F349" s="112" t="n">
        <v>46253</v>
      </c>
      <c r="G349" s="65" t="n">
        <v>3</v>
      </c>
      <c r="H349" s="65" t="s">
        <v>1316</v>
      </c>
      <c r="I349" s="65" t="s">
        <v>1317</v>
      </c>
      <c r="J349" s="65" t="s">
        <v>452</v>
      </c>
      <c r="K349" s="65" t="s">
        <v>961</v>
      </c>
      <c r="L349" s="65" t="s">
        <v>64</v>
      </c>
      <c r="M349" s="113" t="n">
        <v>1.36</v>
      </c>
      <c r="N349" s="114" t="n">
        <v>75000</v>
      </c>
      <c r="O349" s="114" t="n">
        <v>7500</v>
      </c>
      <c r="P349" s="114" t="n">
        <v>102000</v>
      </c>
      <c r="Q349" s="114" t="n">
        <v>85018.4</v>
      </c>
      <c r="R349" s="114" t="n">
        <v>16981.6</v>
      </c>
      <c r="S349" s="115" t="n">
        <v>0.833513725490196</v>
      </c>
      <c r="T349" s="65" t="n">
        <v>48</v>
      </c>
      <c r="U349" s="65" t="n">
        <v>0</v>
      </c>
      <c r="V349" s="65" t="n">
        <v>92411.35</v>
      </c>
      <c r="W349" s="115" t="n">
        <v>0.092</v>
      </c>
      <c r="X349" s="112" t="n">
        <v>43221</v>
      </c>
      <c r="Y349" s="65" t="str">
        <f aca="false">IF(I349="","No SIC",IFERROR(VLOOKUP(I349,Ref!$A$2:$B$65,2,FALSE()),"Unclassified"))</f>
        <v>Apparel &amp; Textile Products</v>
      </c>
      <c r="Z349" s="65" t="str">
        <f aca="false">IF(T349="","",IF(T349&lt;12,"Daily","Weekly"))</f>
        <v>Weekly</v>
      </c>
      <c r="AA349" s="65" t="n">
        <f aca="false">IF(T349="",0,IF(T349&lt;12,T349*Controls!$B$29,T349*5))</f>
        <v>240</v>
      </c>
      <c r="AB349" s="65" t="n">
        <f aca="false">IF(E349="",0,NETWORKDAYS(E349,Controls!$B$36,Ref!$K$2:$K$42))</f>
        <v>198</v>
      </c>
      <c r="AC349" s="65" t="n">
        <f aca="false">IF(AND(AA349&gt;0,AB349&gt;=Controls!$B$39*AA349),1,0)</f>
        <v>0</v>
      </c>
      <c r="AD349" s="65" t="n">
        <f aca="false">IF(AND(E349&lt;&gt;"",E349&gt;=Controls!$B$37,E349&lt;=Controls!$B$38),1,0)</f>
        <v>1</v>
      </c>
      <c r="AE349" s="65" t="n">
        <f aca="false">IF(IFERROR(VLOOKUP(D349,Controls!$A$64:$E$74,2,FALSE()),"No")="Yes",1,0)</f>
        <v>0</v>
      </c>
      <c r="AF349" s="65" t="n">
        <f aca="false">IF(IFERROR(VLOOKUP(D349,Controls!$A$64:$E$74,3,FALSE()),"No")="Yes",1,0)</f>
        <v>0</v>
      </c>
      <c r="AG349" s="65" t="n">
        <f aca="false">IF(IFERROR(VLOOKUP(D349,Controls!$A$64:$E$74,4,FALSE()),"No")="Yes",1,0)</f>
        <v>0</v>
      </c>
      <c r="AH349" s="65" t="n">
        <f aca="false">IF(IFERROR(VLOOKUP(D349,Controls!$A$64:$E$74,5,FALSE()),"No")="Yes",1,0)</f>
        <v>1</v>
      </c>
      <c r="AI349" s="65" t="n">
        <f aca="false">IF(ISNUMBER(MATCH(D349,Controls!$A$64:$A$74,0)),1,0)</f>
        <v>1</v>
      </c>
      <c r="AJ349" s="65" t="n">
        <f aca="false">Q349-N349</f>
        <v>10018.4</v>
      </c>
      <c r="AK349" s="65" t="n">
        <f aca="false">IF(AE349=1,MAX(0,N349-Q349),0)</f>
        <v>0</v>
      </c>
      <c r="AL349" s="65" t="n">
        <f aca="false">IF(OR(V349="",V349=0),0,N349/V349)</f>
        <v>0.811588619796161</v>
      </c>
      <c r="AM349" s="65" t="n">
        <f aca="false">IF(OR(V349="",V349=0),0,1)</f>
        <v>1</v>
      </c>
      <c r="AN349" s="65" t="n">
        <f aca="false">IF(OR(E349="",F349=""),0,NETWORKDAYS(E349,F349,Ref!$K$2:$K$42))</f>
        <v>194</v>
      </c>
      <c r="AO349" s="65" t="n">
        <f aca="false">IF(L349="Renewal",1,0)</f>
        <v>0</v>
      </c>
      <c r="AP349" s="65" t="n">
        <f aca="false">AC349*AD349</f>
        <v>0</v>
      </c>
      <c r="AQ349" s="65" t="n">
        <f aca="false">IF(AND(G349&lt;&gt;"",'Historical Score'!$C$6&lt;&gt;""),IF(G349='Historical Score'!$C$6,1,0),0)</f>
        <v>0</v>
      </c>
      <c r="AR349" s="65" t="n">
        <f aca="false">IF(AND(L349&lt;&gt;"",'Historical Score'!$C$5&lt;&gt;""),IF(L349='Historical Score'!$C$5,1,0),0)</f>
        <v>1</v>
      </c>
      <c r="AS349" s="65" t="n">
        <f aca="false">IF(AND(Y349&lt;&gt;"",'Historical Score'!$C$7&lt;&gt;""),IF(Y349='Historical Score'!$C$7,1,0),0)</f>
        <v>0</v>
      </c>
      <c r="AT349" s="65" t="n">
        <f aca="false">IF(AND(K349&lt;&gt;"",'Historical Score'!$C$8&lt;&gt;""),IF(K349='Historical Score'!$C$8,1,0),0)</f>
        <v>0</v>
      </c>
      <c r="AU349" s="65" t="n">
        <f aca="false">IF(AND(J349&lt;&gt;"",'Historical Score'!$C$9&lt;&gt;""),IF(J349='Historical Score'!$C$9,1,0),0)</f>
        <v>0</v>
      </c>
      <c r="AV349" s="65" t="n">
        <f aca="false">AR349*AS349*AQ349</f>
        <v>0</v>
      </c>
      <c r="AW349" s="65" t="n">
        <f aca="false">AR349*AT349*AQ349</f>
        <v>0</v>
      </c>
      <c r="AX349" s="65" t="n">
        <f aca="false">AR349*AS349</f>
        <v>0</v>
      </c>
      <c r="AY349" s="65" t="n">
        <f aca="false">AR349*AT349</f>
        <v>0</v>
      </c>
      <c r="AZ349" s="65" t="n">
        <f aca="false">AR349*AQ349</f>
        <v>0</v>
      </c>
      <c r="BA349" s="65" t="n">
        <f aca="false">AR349</f>
        <v>1</v>
      </c>
      <c r="BB349" s="65" t="n">
        <f aca="false">1</f>
        <v>1</v>
      </c>
      <c r="BC349" s="65" t="n">
        <f aca="false">IF(AV349=1,1,IF(AW349=1,2,IF(AX349=1,3,IF(AY349=1,4,IF(AZ349=1,5,IF(BA349=1,6,7))))))</f>
        <v>6</v>
      </c>
      <c r="BD349" s="65" t="n">
        <f aca="false">IF(AD349=1,CHOOSE('Historical Score'!$C$29,AV349,AW349,AX349,AY349,AZ349,BA349,BB349),0)</f>
        <v>0</v>
      </c>
      <c r="BE349" s="65" t="str">
        <f aca="false">IF(BD349=1,COUNTIF($BD$2:BD349,1),"")</f>
        <v/>
      </c>
    </row>
    <row r="350" customFormat="false" ht="15" hidden="false" customHeight="false" outlineLevel="0" collapsed="false">
      <c r="A350" s="65" t="s">
        <v>1444</v>
      </c>
      <c r="B350" s="65" t="s">
        <v>1445</v>
      </c>
      <c r="C350" s="65" t="s">
        <v>1445</v>
      </c>
      <c r="D350" s="65" t="s">
        <v>371</v>
      </c>
      <c r="E350" s="112" t="n">
        <v>45974</v>
      </c>
      <c r="F350" s="112" t="n">
        <v>46043</v>
      </c>
      <c r="G350" s="65" t="n">
        <v>3</v>
      </c>
      <c r="H350" s="65" t="s">
        <v>1446</v>
      </c>
      <c r="I350" s="65" t="s">
        <v>1447</v>
      </c>
      <c r="J350" s="65" t="s">
        <v>350</v>
      </c>
      <c r="K350" s="65" t="s">
        <v>961</v>
      </c>
      <c r="L350" s="65" t="s">
        <v>64</v>
      </c>
      <c r="M350" s="113" t="n">
        <v>1.4</v>
      </c>
      <c r="N350" s="114" t="n">
        <v>20000</v>
      </c>
      <c r="O350" s="114" t="n">
        <v>2600</v>
      </c>
      <c r="P350" s="114" t="n">
        <v>28000</v>
      </c>
      <c r="Q350" s="114" t="n">
        <v>28000</v>
      </c>
      <c r="R350" s="114" t="n">
        <v>0</v>
      </c>
      <c r="S350" s="115" t="n">
        <v>1</v>
      </c>
      <c r="T350" s="65" t="n">
        <v>2.623</v>
      </c>
      <c r="U350" s="65" t="n">
        <v>1</v>
      </c>
      <c r="V350" s="65" t="n">
        <v>136915.86</v>
      </c>
      <c r="W350" s="115" t="n">
        <v>0.0537</v>
      </c>
      <c r="X350" s="112"/>
      <c r="Y350" s="65" t="str">
        <f aca="false">IF(I350="","No SIC",IFERROR(VLOOKUP(I350,Ref!$A$2:$B$65,2,FALSE()),"Unclassified"))</f>
        <v>Instruments &amp; Related Products</v>
      </c>
      <c r="Z350" s="65" t="str">
        <f aca="false">IF(T350="","",IF(T350&lt;12,"Daily","Weekly"))</f>
        <v>Daily</v>
      </c>
      <c r="AA350" s="65" t="n">
        <f aca="false">IF(T350="",0,IF(T350&lt;12,T350*Controls!$B$29,T350*5))</f>
        <v>56.801065</v>
      </c>
      <c r="AB350" s="65" t="n">
        <f aca="false">IF(E350="",0,NETWORKDAYS(E350,Controls!$B$36,Ref!$K$2:$K$42))</f>
        <v>197</v>
      </c>
      <c r="AC350" s="65" t="n">
        <f aca="false">IF(AND(AA350&gt;0,AB350&gt;=Controls!$B$39*AA350),1,0)</f>
        <v>1</v>
      </c>
      <c r="AD350" s="65" t="n">
        <f aca="false">IF(AND(E350&lt;&gt;"",E350&gt;=Controls!$B$37,E350&lt;=Controls!$B$38),1,0)</f>
        <v>1</v>
      </c>
      <c r="AE350" s="65" t="n">
        <f aca="false">IF(IFERROR(VLOOKUP(D350,Controls!$A$64:$E$74,2,FALSE()),"No")="Yes",1,0)</f>
        <v>0</v>
      </c>
      <c r="AF350" s="65" t="n">
        <f aca="false">IF(IFERROR(VLOOKUP(D350,Controls!$A$64:$E$74,3,FALSE()),"No")="Yes",1,0)</f>
        <v>1</v>
      </c>
      <c r="AG350" s="65" t="n">
        <f aca="false">IF(IFERROR(VLOOKUP(D350,Controls!$A$64:$E$74,4,FALSE()),"No")="Yes",1,0)</f>
        <v>1</v>
      </c>
      <c r="AH350" s="65" t="n">
        <f aca="false">IF(IFERROR(VLOOKUP(D350,Controls!$A$64:$E$74,5,FALSE()),"No")="Yes",1,0)</f>
        <v>0</v>
      </c>
      <c r="AI350" s="65" t="n">
        <f aca="false">IF(ISNUMBER(MATCH(D350,Controls!$A$64:$A$74,0)),1,0)</f>
        <v>1</v>
      </c>
      <c r="AJ350" s="65" t="n">
        <f aca="false">Q350-N350</f>
        <v>8000</v>
      </c>
      <c r="AK350" s="65" t="n">
        <f aca="false">IF(AE350=1,MAX(0,N350-Q350),0)</f>
        <v>0</v>
      </c>
      <c r="AL350" s="65" t="n">
        <f aca="false">IF(OR(V350="",V350=0),0,N350/V350)</f>
        <v>0.146075115037805</v>
      </c>
      <c r="AM350" s="65" t="n">
        <f aca="false">IF(OR(V350="",V350=0),0,1)</f>
        <v>1</v>
      </c>
      <c r="AN350" s="65" t="n">
        <f aca="false">IF(OR(E350="",F350=""),0,NETWORKDAYS(E350,F350,Ref!$K$2:$K$42))</f>
        <v>46</v>
      </c>
      <c r="AO350" s="65" t="n">
        <f aca="false">IF(L350="Renewal",1,0)</f>
        <v>0</v>
      </c>
      <c r="AP350" s="65" t="n">
        <f aca="false">AC350*AD350</f>
        <v>1</v>
      </c>
      <c r="AQ350" s="65" t="n">
        <f aca="false">IF(AND(G350&lt;&gt;"",'Historical Score'!$C$6&lt;&gt;""),IF(G350='Historical Score'!$C$6,1,0),0)</f>
        <v>0</v>
      </c>
      <c r="AR350" s="65" t="n">
        <f aca="false">IF(AND(L350&lt;&gt;"",'Historical Score'!$C$5&lt;&gt;""),IF(L350='Historical Score'!$C$5,1,0),0)</f>
        <v>1</v>
      </c>
      <c r="AS350" s="65" t="n">
        <f aca="false">IF(AND(Y350&lt;&gt;"",'Historical Score'!$C$7&lt;&gt;""),IF(Y350='Historical Score'!$C$7,1,0),0)</f>
        <v>0</v>
      </c>
      <c r="AT350" s="65" t="n">
        <f aca="false">IF(AND(K350&lt;&gt;"",'Historical Score'!$C$8&lt;&gt;""),IF(K350='Historical Score'!$C$8,1,0),0)</f>
        <v>0</v>
      </c>
      <c r="AU350" s="65" t="n">
        <f aca="false">IF(AND(J350&lt;&gt;"",'Historical Score'!$C$9&lt;&gt;""),IF(J350='Historical Score'!$C$9,1,0),0)</f>
        <v>0</v>
      </c>
      <c r="AV350" s="65" t="n">
        <f aca="false">AR350*AS350*AQ350</f>
        <v>0</v>
      </c>
      <c r="AW350" s="65" t="n">
        <f aca="false">AR350*AT350*AQ350</f>
        <v>0</v>
      </c>
      <c r="AX350" s="65" t="n">
        <f aca="false">AR350*AS350</f>
        <v>0</v>
      </c>
      <c r="AY350" s="65" t="n">
        <f aca="false">AR350*AT350</f>
        <v>0</v>
      </c>
      <c r="AZ350" s="65" t="n">
        <f aca="false">AR350*AQ350</f>
        <v>0</v>
      </c>
      <c r="BA350" s="65" t="n">
        <f aca="false">AR350</f>
        <v>1</v>
      </c>
      <c r="BB350" s="65" t="n">
        <f aca="false">1</f>
        <v>1</v>
      </c>
      <c r="BC350" s="65" t="n">
        <f aca="false">IF(AV350=1,1,IF(AW350=1,2,IF(AX350=1,3,IF(AY350=1,4,IF(AZ350=1,5,IF(BA350=1,6,7))))))</f>
        <v>6</v>
      </c>
      <c r="BD350" s="65" t="n">
        <f aca="false">IF(AD350=1,CHOOSE('Historical Score'!$C$29,AV350,AW350,AX350,AY350,AZ350,BA350,BB350),0)</f>
        <v>0</v>
      </c>
      <c r="BE350" s="65" t="str">
        <f aca="false">IF(BD350=1,COUNTIF($BD$2:BD350,1),"")</f>
        <v/>
      </c>
    </row>
    <row r="351" customFormat="false" ht="15" hidden="false" customHeight="false" outlineLevel="0" collapsed="false">
      <c r="A351" s="65" t="s">
        <v>1448</v>
      </c>
      <c r="B351" s="65" t="s">
        <v>1449</v>
      </c>
      <c r="C351" s="65" t="s">
        <v>1449</v>
      </c>
      <c r="D351" s="65" t="s">
        <v>340</v>
      </c>
      <c r="E351" s="112" t="n">
        <v>45974</v>
      </c>
      <c r="F351" s="112" t="n">
        <v>46048</v>
      </c>
      <c r="G351" s="65" t="n">
        <v>3</v>
      </c>
      <c r="H351" s="65" t="s">
        <v>479</v>
      </c>
      <c r="I351" s="65" t="s">
        <v>356</v>
      </c>
      <c r="J351" s="65" t="s">
        <v>373</v>
      </c>
      <c r="K351" s="65" t="s">
        <v>848</v>
      </c>
      <c r="L351" s="65" t="s">
        <v>64</v>
      </c>
      <c r="M351" s="113" t="n">
        <v>1.5</v>
      </c>
      <c r="N351" s="114" t="n">
        <v>5000</v>
      </c>
      <c r="O351" s="114" t="n">
        <v>700</v>
      </c>
      <c r="P351" s="114" t="n">
        <v>7500</v>
      </c>
      <c r="Q351" s="114" t="n">
        <v>3095.74</v>
      </c>
      <c r="R351" s="114" t="n">
        <v>4404.26</v>
      </c>
      <c r="S351" s="115" t="n">
        <v>0.412765333333333</v>
      </c>
      <c r="T351" s="65" t="n">
        <v>1.967</v>
      </c>
      <c r="U351" s="65" t="n">
        <v>23</v>
      </c>
      <c r="V351" s="65" t="n">
        <v>20583.2</v>
      </c>
      <c r="W351" s="115" t="n">
        <v>0.1266</v>
      </c>
      <c r="X351" s="112" t="n">
        <v>44911</v>
      </c>
      <c r="Y351" s="65" t="str">
        <f aca="false">IF(I351="","No SIC",IFERROR(VLOOKUP(I351,Ref!$A$2:$B$65,2,FALSE()),"Unclassified"))</f>
        <v>Trucking &amp; Warehousing</v>
      </c>
      <c r="Z351" s="65" t="str">
        <f aca="false">IF(T351="","",IF(T351&lt;12,"Daily","Weekly"))</f>
        <v>Daily</v>
      </c>
      <c r="AA351" s="65" t="n">
        <f aca="false">IF(T351="",0,IF(T351&lt;12,T351*Controls!$B$29,T351*5))</f>
        <v>42.595385</v>
      </c>
      <c r="AB351" s="65" t="n">
        <f aca="false">IF(E351="",0,NETWORKDAYS(E351,Controls!$B$36,Ref!$K$2:$K$42))</f>
        <v>197</v>
      </c>
      <c r="AC351" s="65" t="n">
        <f aca="false">IF(AND(AA351&gt;0,AB351&gt;=Controls!$B$39*AA351),1,0)</f>
        <v>1</v>
      </c>
      <c r="AD351" s="65" t="n">
        <f aca="false">IF(AND(E351&lt;&gt;"",E351&gt;=Controls!$B$37,E351&lt;=Controls!$B$38),1,0)</f>
        <v>1</v>
      </c>
      <c r="AE351" s="65" t="n">
        <f aca="false">IF(IFERROR(VLOOKUP(D351,Controls!$A$64:$E$74,2,FALSE()),"No")="Yes",1,0)</f>
        <v>1</v>
      </c>
      <c r="AF351" s="65" t="n">
        <f aca="false">IF(IFERROR(VLOOKUP(D351,Controls!$A$64:$E$74,3,FALSE()),"No")="Yes",1,0)</f>
        <v>0</v>
      </c>
      <c r="AG351" s="65" t="n">
        <f aca="false">IF(IFERROR(VLOOKUP(D351,Controls!$A$64:$E$74,4,FALSE()),"No")="Yes",1,0)</f>
        <v>0</v>
      </c>
      <c r="AH351" s="65" t="n">
        <f aca="false">IF(IFERROR(VLOOKUP(D351,Controls!$A$64:$E$74,5,FALSE()),"No")="Yes",1,0)</f>
        <v>0</v>
      </c>
      <c r="AI351" s="65" t="n">
        <f aca="false">IF(ISNUMBER(MATCH(D351,Controls!$A$64:$A$74,0)),1,0)</f>
        <v>1</v>
      </c>
      <c r="AJ351" s="65" t="n">
        <f aca="false">Q351-N351</f>
        <v>-1904.26</v>
      </c>
      <c r="AK351" s="65" t="n">
        <f aca="false">IF(AE351=1,MAX(0,N351-Q351),0)</f>
        <v>1904.26</v>
      </c>
      <c r="AL351" s="65" t="n">
        <f aca="false">IF(OR(V351="",V351=0),0,N351/V351)</f>
        <v>0.242916553305608</v>
      </c>
      <c r="AM351" s="65" t="n">
        <f aca="false">IF(OR(V351="",V351=0),0,1)</f>
        <v>1</v>
      </c>
      <c r="AN351" s="65" t="n">
        <f aca="false">IF(OR(E351="",F351=""),0,NETWORKDAYS(E351,F351,Ref!$K$2:$K$42))</f>
        <v>49</v>
      </c>
      <c r="AO351" s="65" t="n">
        <f aca="false">IF(L351="Renewal",1,0)</f>
        <v>0</v>
      </c>
      <c r="AP351" s="65" t="n">
        <f aca="false">AC351*AD351</f>
        <v>1</v>
      </c>
      <c r="AQ351" s="65" t="n">
        <f aca="false">IF(AND(G351&lt;&gt;"",'Historical Score'!$C$6&lt;&gt;""),IF(G351='Historical Score'!$C$6,1,0),0)</f>
        <v>0</v>
      </c>
      <c r="AR351" s="65" t="n">
        <f aca="false">IF(AND(L351&lt;&gt;"",'Historical Score'!$C$5&lt;&gt;""),IF(L351='Historical Score'!$C$5,1,0),0)</f>
        <v>1</v>
      </c>
      <c r="AS351" s="65" t="n">
        <f aca="false">IF(AND(Y351&lt;&gt;"",'Historical Score'!$C$7&lt;&gt;""),IF(Y351='Historical Score'!$C$7,1,0),0)</f>
        <v>0</v>
      </c>
      <c r="AT351" s="65" t="n">
        <f aca="false">IF(AND(K351&lt;&gt;"",'Historical Score'!$C$8&lt;&gt;""),IF(K351='Historical Score'!$C$8,1,0),0)</f>
        <v>0</v>
      </c>
      <c r="AU351" s="65" t="n">
        <f aca="false">IF(AND(J351&lt;&gt;"",'Historical Score'!$C$9&lt;&gt;""),IF(J351='Historical Score'!$C$9,1,0),0)</f>
        <v>0</v>
      </c>
      <c r="AV351" s="65" t="n">
        <f aca="false">AR351*AS351*AQ351</f>
        <v>0</v>
      </c>
      <c r="AW351" s="65" t="n">
        <f aca="false">AR351*AT351*AQ351</f>
        <v>0</v>
      </c>
      <c r="AX351" s="65" t="n">
        <f aca="false">AR351*AS351</f>
        <v>0</v>
      </c>
      <c r="AY351" s="65" t="n">
        <f aca="false">AR351*AT351</f>
        <v>0</v>
      </c>
      <c r="AZ351" s="65" t="n">
        <f aca="false">AR351*AQ351</f>
        <v>0</v>
      </c>
      <c r="BA351" s="65" t="n">
        <f aca="false">AR351</f>
        <v>1</v>
      </c>
      <c r="BB351" s="65" t="n">
        <f aca="false">1</f>
        <v>1</v>
      </c>
      <c r="BC351" s="65" t="n">
        <f aca="false">IF(AV351=1,1,IF(AW351=1,2,IF(AX351=1,3,IF(AY351=1,4,IF(AZ351=1,5,IF(BA351=1,6,7))))))</f>
        <v>6</v>
      </c>
      <c r="BD351" s="65" t="n">
        <f aca="false">IF(AD351=1,CHOOSE('Historical Score'!$C$29,AV351,AW351,AX351,AY351,AZ351,BA351,BB351),0)</f>
        <v>0</v>
      </c>
      <c r="BE351" s="65" t="str">
        <f aca="false">IF(BD351=1,COUNTIF($BD$2:BD351,1),"")</f>
        <v/>
      </c>
    </row>
    <row r="352" customFormat="false" ht="15" hidden="false" customHeight="false" outlineLevel="0" collapsed="false">
      <c r="A352" s="65" t="s">
        <v>1450</v>
      </c>
      <c r="B352" s="65" t="s">
        <v>1451</v>
      </c>
      <c r="C352" s="65" t="s">
        <v>1451</v>
      </c>
      <c r="D352" s="65" t="s">
        <v>340</v>
      </c>
      <c r="E352" s="112" t="n">
        <v>45975</v>
      </c>
      <c r="F352" s="112" t="n">
        <v>46237</v>
      </c>
      <c r="G352" s="65" t="n">
        <v>1</v>
      </c>
      <c r="H352" s="65" t="s">
        <v>752</v>
      </c>
      <c r="I352" s="65" t="s">
        <v>405</v>
      </c>
      <c r="J352" s="65" t="s">
        <v>658</v>
      </c>
      <c r="K352" s="65" t="s">
        <v>827</v>
      </c>
      <c r="L352" s="65" t="s">
        <v>64</v>
      </c>
      <c r="M352" s="113" t="n">
        <v>1.499</v>
      </c>
      <c r="N352" s="114" t="n">
        <v>30000</v>
      </c>
      <c r="O352" s="114" t="n">
        <v>4200</v>
      </c>
      <c r="P352" s="114" t="n">
        <v>44970</v>
      </c>
      <c r="Q352" s="114" t="n">
        <v>32790.72</v>
      </c>
      <c r="R352" s="114" t="n">
        <v>12179.28</v>
      </c>
      <c r="S352" s="115" t="n">
        <v>0.729168779186124</v>
      </c>
      <c r="T352" s="65" t="n">
        <v>2.951</v>
      </c>
      <c r="U352" s="65" t="n">
        <v>3</v>
      </c>
      <c r="W352" s="115" t="n">
        <v>0.095</v>
      </c>
      <c r="X352" s="112" t="n">
        <v>45420</v>
      </c>
      <c r="Y352" s="65" t="str">
        <f aca="false">IF(I352="","No SIC",IFERROR(VLOOKUP(I352,Ref!$A$2:$B$65,2,FALSE()),"Unclassified"))</f>
        <v>Health Services</v>
      </c>
      <c r="Z352" s="65" t="str">
        <f aca="false">IF(T352="","",IF(T352&lt;12,"Daily","Weekly"))</f>
        <v>Daily</v>
      </c>
      <c r="AA352" s="65" t="n">
        <f aca="false">IF(T352="",0,IF(T352&lt;12,T352*Controls!$B$29,T352*5))</f>
        <v>63.903905</v>
      </c>
      <c r="AB352" s="65" t="n">
        <f aca="false">IF(E352="",0,NETWORKDAYS(E352,Controls!$B$36,Ref!$K$2:$K$42))</f>
        <v>196</v>
      </c>
      <c r="AC352" s="65" t="n">
        <f aca="false">IF(AND(AA352&gt;0,AB352&gt;=Controls!$B$39*AA352),1,0)</f>
        <v>1</v>
      </c>
      <c r="AD352" s="65" t="n">
        <f aca="false">IF(AND(E352&lt;&gt;"",E352&gt;=Controls!$B$37,E352&lt;=Controls!$B$38),1,0)</f>
        <v>1</v>
      </c>
      <c r="AE352" s="65" t="n">
        <f aca="false">IF(IFERROR(VLOOKUP(D352,Controls!$A$64:$E$74,2,FALSE()),"No")="Yes",1,0)</f>
        <v>1</v>
      </c>
      <c r="AF352" s="65" t="n">
        <f aca="false">IF(IFERROR(VLOOKUP(D352,Controls!$A$64:$E$74,3,FALSE()),"No")="Yes",1,0)</f>
        <v>0</v>
      </c>
      <c r="AG352" s="65" t="n">
        <f aca="false">IF(IFERROR(VLOOKUP(D352,Controls!$A$64:$E$74,4,FALSE()),"No")="Yes",1,0)</f>
        <v>0</v>
      </c>
      <c r="AH352" s="65" t="n">
        <f aca="false">IF(IFERROR(VLOOKUP(D352,Controls!$A$64:$E$74,5,FALSE()),"No")="Yes",1,0)</f>
        <v>0</v>
      </c>
      <c r="AI352" s="65" t="n">
        <f aca="false">IF(ISNUMBER(MATCH(D352,Controls!$A$64:$A$74,0)),1,0)</f>
        <v>1</v>
      </c>
      <c r="AJ352" s="65" t="n">
        <f aca="false">Q352-N352</f>
        <v>2790.72</v>
      </c>
      <c r="AK352" s="65" t="n">
        <f aca="false">IF(AE352=1,MAX(0,N352-Q352),0)</f>
        <v>0</v>
      </c>
      <c r="AL352" s="65" t="n">
        <f aca="false">IF(OR(V352="",V352=0),0,N352/V352)</f>
        <v>0</v>
      </c>
      <c r="AM352" s="65" t="n">
        <f aca="false">IF(OR(V352="",V352=0),0,1)</f>
        <v>0</v>
      </c>
      <c r="AN352" s="65" t="n">
        <f aca="false">IF(OR(E352="",F352=""),0,NETWORKDAYS(E352,F352,Ref!$K$2:$K$42))</f>
        <v>180</v>
      </c>
      <c r="AO352" s="65" t="n">
        <f aca="false">IF(L352="Renewal",1,0)</f>
        <v>0</v>
      </c>
      <c r="AP352" s="65" t="n">
        <f aca="false">AC352*AD352</f>
        <v>1</v>
      </c>
      <c r="AQ352" s="65" t="n">
        <f aca="false">IF(AND(G352&lt;&gt;"",'Historical Score'!$C$6&lt;&gt;""),IF(G352='Historical Score'!$C$6,1,0),0)</f>
        <v>0</v>
      </c>
      <c r="AR352" s="65" t="n">
        <f aca="false">IF(AND(L352&lt;&gt;"",'Historical Score'!$C$5&lt;&gt;""),IF(L352='Historical Score'!$C$5,1,0),0)</f>
        <v>1</v>
      </c>
      <c r="AS352" s="65" t="n">
        <f aca="false">IF(AND(Y352&lt;&gt;"",'Historical Score'!$C$7&lt;&gt;""),IF(Y352='Historical Score'!$C$7,1,0),0)</f>
        <v>0</v>
      </c>
      <c r="AT352" s="65" t="n">
        <f aca="false">IF(AND(K352&lt;&gt;"",'Historical Score'!$C$8&lt;&gt;""),IF(K352='Historical Score'!$C$8,1,0),0)</f>
        <v>0</v>
      </c>
      <c r="AU352" s="65" t="n">
        <f aca="false">IF(AND(J352&lt;&gt;"",'Historical Score'!$C$9&lt;&gt;""),IF(J352='Historical Score'!$C$9,1,0),0)</f>
        <v>0</v>
      </c>
      <c r="AV352" s="65" t="n">
        <f aca="false">AR352*AS352*AQ352</f>
        <v>0</v>
      </c>
      <c r="AW352" s="65" t="n">
        <f aca="false">AR352*AT352*AQ352</f>
        <v>0</v>
      </c>
      <c r="AX352" s="65" t="n">
        <f aca="false">AR352*AS352</f>
        <v>0</v>
      </c>
      <c r="AY352" s="65" t="n">
        <f aca="false">AR352*AT352</f>
        <v>0</v>
      </c>
      <c r="AZ352" s="65" t="n">
        <f aca="false">AR352*AQ352</f>
        <v>0</v>
      </c>
      <c r="BA352" s="65" t="n">
        <f aca="false">AR352</f>
        <v>1</v>
      </c>
      <c r="BB352" s="65" t="n">
        <f aca="false">1</f>
        <v>1</v>
      </c>
      <c r="BC352" s="65" t="n">
        <f aca="false">IF(AV352=1,1,IF(AW352=1,2,IF(AX352=1,3,IF(AY352=1,4,IF(AZ352=1,5,IF(BA352=1,6,7))))))</f>
        <v>6</v>
      </c>
      <c r="BD352" s="65" t="n">
        <f aca="false">IF(AD352=1,CHOOSE('Historical Score'!$C$29,AV352,AW352,AX352,AY352,AZ352,BA352,BB352),0)</f>
        <v>0</v>
      </c>
      <c r="BE352" s="65" t="str">
        <f aca="false">IF(BD352=1,COUNTIF($BD$2:BD352,1),"")</f>
        <v/>
      </c>
    </row>
    <row r="353" customFormat="false" ht="15" hidden="false" customHeight="false" outlineLevel="0" collapsed="false">
      <c r="A353" s="65" t="s">
        <v>1452</v>
      </c>
      <c r="B353" s="65" t="s">
        <v>1453</v>
      </c>
      <c r="C353" s="65" t="s">
        <v>1454</v>
      </c>
      <c r="D353" s="65" t="s">
        <v>340</v>
      </c>
      <c r="E353" s="112" t="n">
        <v>45975</v>
      </c>
      <c r="F353" s="112" t="n">
        <v>46080</v>
      </c>
      <c r="G353" s="65" t="n">
        <v>2</v>
      </c>
      <c r="H353" s="65" t="s">
        <v>391</v>
      </c>
      <c r="I353" s="65" t="s">
        <v>392</v>
      </c>
      <c r="J353" s="65" t="s">
        <v>682</v>
      </c>
      <c r="K353" s="65" t="s">
        <v>827</v>
      </c>
      <c r="L353" s="65" t="s">
        <v>64</v>
      </c>
      <c r="M353" s="113" t="n">
        <v>1.37</v>
      </c>
      <c r="N353" s="114" t="n">
        <v>175000</v>
      </c>
      <c r="O353" s="114" t="n">
        <v>15750</v>
      </c>
      <c r="P353" s="114" t="n">
        <v>239750</v>
      </c>
      <c r="Q353" s="114" t="n">
        <v>77278.04</v>
      </c>
      <c r="R353" s="114" t="n">
        <v>162471.96</v>
      </c>
      <c r="S353" s="115" t="n">
        <v>0.322327591240876</v>
      </c>
      <c r="T353" s="65" t="n">
        <v>36</v>
      </c>
      <c r="U353" s="65" t="n">
        <v>7</v>
      </c>
      <c r="V353" s="65" t="n">
        <v>383970.98</v>
      </c>
      <c r="W353" s="115" t="n">
        <v>0.0694</v>
      </c>
      <c r="X353" s="112" t="n">
        <v>39625</v>
      </c>
      <c r="Y353" s="65" t="str">
        <f aca="false">IF(I353="","No SIC",IFERROR(VLOOKUP(I353,Ref!$A$2:$B$65,2,FALSE()),"Unclassified"))</f>
        <v>Real Estate</v>
      </c>
      <c r="Z353" s="65" t="str">
        <f aca="false">IF(T353="","",IF(T353&lt;12,"Daily","Weekly"))</f>
        <v>Weekly</v>
      </c>
      <c r="AA353" s="65" t="n">
        <f aca="false">IF(T353="",0,IF(T353&lt;12,T353*Controls!$B$29,T353*5))</f>
        <v>180</v>
      </c>
      <c r="AB353" s="65" t="n">
        <f aca="false">IF(E353="",0,NETWORKDAYS(E353,Controls!$B$36,Ref!$K$2:$K$42))</f>
        <v>196</v>
      </c>
      <c r="AC353" s="65" t="n">
        <f aca="false">IF(AND(AA353&gt;0,AB353&gt;=Controls!$B$39*AA353),1,0)</f>
        <v>0</v>
      </c>
      <c r="AD353" s="65" t="n">
        <f aca="false">IF(AND(E353&lt;&gt;"",E353&gt;=Controls!$B$37,E353&lt;=Controls!$B$38),1,0)</f>
        <v>1</v>
      </c>
      <c r="AE353" s="65" t="n">
        <f aca="false">IF(IFERROR(VLOOKUP(D353,Controls!$A$64:$E$74,2,FALSE()),"No")="Yes",1,0)</f>
        <v>1</v>
      </c>
      <c r="AF353" s="65" t="n">
        <f aca="false">IF(IFERROR(VLOOKUP(D353,Controls!$A$64:$E$74,3,FALSE()),"No")="Yes",1,0)</f>
        <v>0</v>
      </c>
      <c r="AG353" s="65" t="n">
        <f aca="false">IF(IFERROR(VLOOKUP(D353,Controls!$A$64:$E$74,4,FALSE()),"No")="Yes",1,0)</f>
        <v>0</v>
      </c>
      <c r="AH353" s="65" t="n">
        <f aca="false">IF(IFERROR(VLOOKUP(D353,Controls!$A$64:$E$74,5,FALSE()),"No")="Yes",1,0)</f>
        <v>0</v>
      </c>
      <c r="AI353" s="65" t="n">
        <f aca="false">IF(ISNUMBER(MATCH(D353,Controls!$A$64:$A$74,0)),1,0)</f>
        <v>1</v>
      </c>
      <c r="AJ353" s="65" t="n">
        <f aca="false">Q353-N353</f>
        <v>-97721.96</v>
      </c>
      <c r="AK353" s="65" t="n">
        <f aca="false">IF(AE353=1,MAX(0,N353-Q353),0)</f>
        <v>97721.96</v>
      </c>
      <c r="AL353" s="65" t="n">
        <f aca="false">IF(OR(V353="",V353=0),0,N353/V353)</f>
        <v>0.455763610051989</v>
      </c>
      <c r="AM353" s="65" t="n">
        <f aca="false">IF(OR(V353="",V353=0),0,1)</f>
        <v>1</v>
      </c>
      <c r="AN353" s="65" t="n">
        <f aca="false">IF(OR(E353="",F353=""),0,NETWORKDAYS(E353,F353,Ref!$K$2:$K$42))</f>
        <v>71</v>
      </c>
      <c r="AO353" s="65" t="n">
        <f aca="false">IF(L353="Renewal",1,0)</f>
        <v>0</v>
      </c>
      <c r="AP353" s="65" t="n">
        <f aca="false">AC353*AD353</f>
        <v>0</v>
      </c>
      <c r="AQ353" s="65" t="n">
        <f aca="false">IF(AND(G353&lt;&gt;"",'Historical Score'!$C$6&lt;&gt;""),IF(G353='Historical Score'!$C$6,1,0),0)</f>
        <v>1</v>
      </c>
      <c r="AR353" s="65" t="n">
        <f aca="false">IF(AND(L353&lt;&gt;"",'Historical Score'!$C$5&lt;&gt;""),IF(L353='Historical Score'!$C$5,1,0),0)</f>
        <v>1</v>
      </c>
      <c r="AS353" s="65" t="n">
        <f aca="false">IF(AND(Y353&lt;&gt;"",'Historical Score'!$C$7&lt;&gt;""),IF(Y353='Historical Score'!$C$7,1,0),0)</f>
        <v>0</v>
      </c>
      <c r="AT353" s="65" t="n">
        <f aca="false">IF(AND(K353&lt;&gt;"",'Historical Score'!$C$8&lt;&gt;""),IF(K353='Historical Score'!$C$8,1,0),0)</f>
        <v>0</v>
      </c>
      <c r="AU353" s="65" t="n">
        <f aca="false">IF(AND(J353&lt;&gt;"",'Historical Score'!$C$9&lt;&gt;""),IF(J353='Historical Score'!$C$9,1,0),0)</f>
        <v>0</v>
      </c>
      <c r="AV353" s="65" t="n">
        <f aca="false">AR353*AS353*AQ353</f>
        <v>0</v>
      </c>
      <c r="AW353" s="65" t="n">
        <f aca="false">AR353*AT353*AQ353</f>
        <v>0</v>
      </c>
      <c r="AX353" s="65" t="n">
        <f aca="false">AR353*AS353</f>
        <v>0</v>
      </c>
      <c r="AY353" s="65" t="n">
        <f aca="false">AR353*AT353</f>
        <v>0</v>
      </c>
      <c r="AZ353" s="65" t="n">
        <f aca="false">AR353*AQ353</f>
        <v>1</v>
      </c>
      <c r="BA353" s="65" t="n">
        <f aca="false">AR353</f>
        <v>1</v>
      </c>
      <c r="BB353" s="65" t="n">
        <f aca="false">1</f>
        <v>1</v>
      </c>
      <c r="BC353" s="65" t="n">
        <f aca="false">IF(AV353=1,1,IF(AW353=1,2,IF(AX353=1,3,IF(AY353=1,4,IF(AZ353=1,5,IF(BA353=1,6,7))))))</f>
        <v>5</v>
      </c>
      <c r="BD353" s="65" t="n">
        <f aca="false">IF(AD353=1,CHOOSE('Historical Score'!$C$29,AV353,AW353,AX353,AY353,AZ353,BA353,BB353),0)</f>
        <v>0</v>
      </c>
      <c r="BE353" s="65" t="str">
        <f aca="false">IF(BD353=1,COUNTIF($BD$2:BD353,1),"")</f>
        <v/>
      </c>
    </row>
    <row r="354" customFormat="false" ht="15" hidden="false" customHeight="false" outlineLevel="0" collapsed="false">
      <c r="A354" s="65" t="s">
        <v>1455</v>
      </c>
      <c r="B354" s="65" t="s">
        <v>1456</v>
      </c>
      <c r="C354" s="65" t="s">
        <v>1457</v>
      </c>
      <c r="D354" s="65" t="s">
        <v>1348</v>
      </c>
      <c r="E354" s="112" t="n">
        <v>45978</v>
      </c>
      <c r="F354" s="112" t="n">
        <v>46245</v>
      </c>
      <c r="G354" s="65" t="n">
        <v>2</v>
      </c>
      <c r="H354" s="65" t="s">
        <v>479</v>
      </c>
      <c r="I354" s="65" t="s">
        <v>356</v>
      </c>
      <c r="J354" s="65" t="s">
        <v>555</v>
      </c>
      <c r="K354" s="65" t="s">
        <v>1047</v>
      </c>
      <c r="L354" s="65" t="s">
        <v>64</v>
      </c>
      <c r="M354" s="113" t="n">
        <v>1.49</v>
      </c>
      <c r="N354" s="114" t="n">
        <v>32000</v>
      </c>
      <c r="O354" s="114" t="n">
        <v>4480</v>
      </c>
      <c r="P354" s="114" t="n">
        <v>47680</v>
      </c>
      <c r="Q354" s="114" t="n">
        <v>47680</v>
      </c>
      <c r="R354" s="114" t="n">
        <v>0</v>
      </c>
      <c r="S354" s="115" t="n">
        <v>1</v>
      </c>
      <c r="T354" s="65" t="n">
        <v>24</v>
      </c>
      <c r="U354" s="65" t="n">
        <v>35</v>
      </c>
      <c r="V354" s="65" t="n">
        <v>53092.66</v>
      </c>
      <c r="W354" s="115" t="n">
        <v>0.1497</v>
      </c>
      <c r="X354" s="112" t="n">
        <v>43466</v>
      </c>
      <c r="Y354" s="65" t="str">
        <f aca="false">IF(I354="","No SIC",IFERROR(VLOOKUP(I354,Ref!$A$2:$B$65,2,FALSE()),"Unclassified"))</f>
        <v>Trucking &amp; Warehousing</v>
      </c>
      <c r="Z354" s="65" t="str">
        <f aca="false">IF(T354="","",IF(T354&lt;12,"Daily","Weekly"))</f>
        <v>Weekly</v>
      </c>
      <c r="AA354" s="65" t="n">
        <f aca="false">IF(T354="",0,IF(T354&lt;12,T354*Controls!$B$29,T354*5))</f>
        <v>120</v>
      </c>
      <c r="AB354" s="65" t="n">
        <f aca="false">IF(E354="",0,NETWORKDAYS(E354,Controls!$B$36,Ref!$K$2:$K$42))</f>
        <v>195</v>
      </c>
      <c r="AC354" s="65" t="n">
        <f aca="false">IF(AND(AA354&gt;0,AB354&gt;=Controls!$B$39*AA354),1,0)</f>
        <v>1</v>
      </c>
      <c r="AD354" s="65" t="n">
        <f aca="false">IF(AND(E354&lt;&gt;"",E354&gt;=Controls!$B$37,E354&lt;=Controls!$B$38),1,0)</f>
        <v>1</v>
      </c>
      <c r="AE354" s="65" t="n">
        <f aca="false">IF(IFERROR(VLOOKUP(D354,Controls!$A$64:$E$74,2,FALSE()),"No")="Yes",1,0)</f>
        <v>0</v>
      </c>
      <c r="AF354" s="65" t="n">
        <f aca="false">IF(IFERROR(VLOOKUP(D354,Controls!$A$64:$E$74,3,FALSE()),"No")="Yes",1,0)</f>
        <v>1</v>
      </c>
      <c r="AG354" s="65" t="n">
        <f aca="false">IF(IFERROR(VLOOKUP(D354,Controls!$A$64:$E$74,4,FALSE()),"No")="Yes",1,0)</f>
        <v>1</v>
      </c>
      <c r="AH354" s="65" t="n">
        <f aca="false">IF(IFERROR(VLOOKUP(D354,Controls!$A$64:$E$74,5,FALSE()),"No")="Yes",1,0)</f>
        <v>0</v>
      </c>
      <c r="AI354" s="65" t="n">
        <f aca="false">IF(ISNUMBER(MATCH(D354,Controls!$A$64:$A$74,0)),1,0)</f>
        <v>1</v>
      </c>
      <c r="AJ354" s="65" t="n">
        <f aca="false">Q354-N354</f>
        <v>15680</v>
      </c>
      <c r="AK354" s="65" t="n">
        <f aca="false">IF(AE354=1,MAX(0,N354-Q354),0)</f>
        <v>0</v>
      </c>
      <c r="AL354" s="65" t="n">
        <f aca="false">IF(OR(V354="",V354=0),0,N354/V354)</f>
        <v>0.602719848657046</v>
      </c>
      <c r="AM354" s="65" t="n">
        <f aca="false">IF(OR(V354="",V354=0),0,1)</f>
        <v>1</v>
      </c>
      <c r="AN354" s="65" t="n">
        <f aca="false">IF(OR(E354="",F354=""),0,NETWORKDAYS(E354,F354,Ref!$K$2:$K$42))</f>
        <v>185</v>
      </c>
      <c r="AO354" s="65" t="n">
        <f aca="false">IF(L354="Renewal",1,0)</f>
        <v>0</v>
      </c>
      <c r="AP354" s="65" t="n">
        <f aca="false">AC354*AD354</f>
        <v>1</v>
      </c>
      <c r="AQ354" s="65" t="n">
        <f aca="false">IF(AND(G354&lt;&gt;"",'Historical Score'!$C$6&lt;&gt;""),IF(G354='Historical Score'!$C$6,1,0),0)</f>
        <v>1</v>
      </c>
      <c r="AR354" s="65" t="n">
        <f aca="false">IF(AND(L354&lt;&gt;"",'Historical Score'!$C$5&lt;&gt;""),IF(L354='Historical Score'!$C$5,1,0),0)</f>
        <v>1</v>
      </c>
      <c r="AS354" s="65" t="n">
        <f aca="false">IF(AND(Y354&lt;&gt;"",'Historical Score'!$C$7&lt;&gt;""),IF(Y354='Historical Score'!$C$7,1,0),0)</f>
        <v>0</v>
      </c>
      <c r="AT354" s="65" t="n">
        <f aca="false">IF(AND(K354&lt;&gt;"",'Historical Score'!$C$8&lt;&gt;""),IF(K354='Historical Score'!$C$8,1,0),0)</f>
        <v>0</v>
      </c>
      <c r="AU354" s="65" t="n">
        <f aca="false">IF(AND(J354&lt;&gt;"",'Historical Score'!$C$9&lt;&gt;""),IF(J354='Historical Score'!$C$9,1,0),0)</f>
        <v>0</v>
      </c>
      <c r="AV354" s="65" t="n">
        <f aca="false">AR354*AS354*AQ354</f>
        <v>0</v>
      </c>
      <c r="AW354" s="65" t="n">
        <f aca="false">AR354*AT354*AQ354</f>
        <v>0</v>
      </c>
      <c r="AX354" s="65" t="n">
        <f aca="false">AR354*AS354</f>
        <v>0</v>
      </c>
      <c r="AY354" s="65" t="n">
        <f aca="false">AR354*AT354</f>
        <v>0</v>
      </c>
      <c r="AZ354" s="65" t="n">
        <f aca="false">AR354*AQ354</f>
        <v>1</v>
      </c>
      <c r="BA354" s="65" t="n">
        <f aca="false">AR354</f>
        <v>1</v>
      </c>
      <c r="BB354" s="65" t="n">
        <f aca="false">1</f>
        <v>1</v>
      </c>
      <c r="BC354" s="65" t="n">
        <f aca="false">IF(AV354=1,1,IF(AW354=1,2,IF(AX354=1,3,IF(AY354=1,4,IF(AZ354=1,5,IF(BA354=1,6,7))))))</f>
        <v>5</v>
      </c>
      <c r="BD354" s="65" t="n">
        <f aca="false">IF(AD354=1,CHOOSE('Historical Score'!$C$29,AV354,AW354,AX354,AY354,AZ354,BA354,BB354),0)</f>
        <v>0</v>
      </c>
      <c r="BE354" s="65" t="str">
        <f aca="false">IF(BD354=1,COUNTIF($BD$2:BD354,1),"")</f>
        <v/>
      </c>
    </row>
    <row r="355" customFormat="false" ht="15" hidden="false" customHeight="false" outlineLevel="0" collapsed="false">
      <c r="A355" s="65" t="s">
        <v>1458</v>
      </c>
      <c r="B355" s="65" t="s">
        <v>1459</v>
      </c>
      <c r="C355" s="65" t="s">
        <v>1460</v>
      </c>
      <c r="D355" s="65" t="s">
        <v>340</v>
      </c>
      <c r="E355" s="112" t="n">
        <v>45979</v>
      </c>
      <c r="F355" s="112" t="n">
        <v>46044</v>
      </c>
      <c r="G355" s="65" t="n">
        <v>3</v>
      </c>
      <c r="H355" s="65" t="s">
        <v>409</v>
      </c>
      <c r="I355" s="65" t="s">
        <v>342</v>
      </c>
      <c r="J355" s="65" t="s">
        <v>432</v>
      </c>
      <c r="K355" s="65" t="s">
        <v>1461</v>
      </c>
      <c r="L355" s="65" t="s">
        <v>64</v>
      </c>
      <c r="M355" s="113" t="n">
        <v>1.49</v>
      </c>
      <c r="N355" s="114" t="n">
        <v>20000</v>
      </c>
      <c r="O355" s="114" t="n">
        <v>2800</v>
      </c>
      <c r="P355" s="114" t="n">
        <v>29800</v>
      </c>
      <c r="Q355" s="114" t="n">
        <v>9396.8</v>
      </c>
      <c r="R355" s="114" t="n">
        <v>20403.2</v>
      </c>
      <c r="S355" s="115" t="n">
        <v>0.315328859060403</v>
      </c>
      <c r="T355" s="65" t="n">
        <v>3.934</v>
      </c>
      <c r="U355" s="65" t="n">
        <v>4</v>
      </c>
      <c r="V355" s="65" t="n">
        <v>52818.19</v>
      </c>
      <c r="W355" s="115" t="n">
        <v>0.0934</v>
      </c>
      <c r="X355" s="112" t="n">
        <v>45047</v>
      </c>
      <c r="Y355" s="65" t="str">
        <f aca="false">IF(I355="","No SIC",IFERROR(VLOOKUP(I355,Ref!$A$2:$B$65,2,FALSE()),"Unclassified"))</f>
        <v>Eating &amp; Drinking Places</v>
      </c>
      <c r="Z355" s="65" t="str">
        <f aca="false">IF(T355="","",IF(T355&lt;12,"Daily","Weekly"))</f>
        <v>Daily</v>
      </c>
      <c r="AA355" s="65" t="n">
        <f aca="false">IF(T355="",0,IF(T355&lt;12,T355*Controls!$B$29,T355*5))</f>
        <v>85.19077</v>
      </c>
      <c r="AB355" s="65" t="n">
        <f aca="false">IF(E355="",0,NETWORKDAYS(E355,Controls!$B$36,Ref!$K$2:$K$42))</f>
        <v>194</v>
      </c>
      <c r="AC355" s="65" t="n">
        <f aca="false">IF(AND(AA355&gt;0,AB355&gt;=Controls!$B$39*AA355),1,0)</f>
        <v>1</v>
      </c>
      <c r="AD355" s="65" t="n">
        <f aca="false">IF(AND(E355&lt;&gt;"",E355&gt;=Controls!$B$37,E355&lt;=Controls!$B$38),1,0)</f>
        <v>1</v>
      </c>
      <c r="AE355" s="65" t="n">
        <f aca="false">IF(IFERROR(VLOOKUP(D355,Controls!$A$64:$E$74,2,FALSE()),"No")="Yes",1,0)</f>
        <v>1</v>
      </c>
      <c r="AF355" s="65" t="n">
        <f aca="false">IF(IFERROR(VLOOKUP(D355,Controls!$A$64:$E$74,3,FALSE()),"No")="Yes",1,0)</f>
        <v>0</v>
      </c>
      <c r="AG355" s="65" t="n">
        <f aca="false">IF(IFERROR(VLOOKUP(D355,Controls!$A$64:$E$74,4,FALSE()),"No")="Yes",1,0)</f>
        <v>0</v>
      </c>
      <c r="AH355" s="65" t="n">
        <f aca="false">IF(IFERROR(VLOOKUP(D355,Controls!$A$64:$E$74,5,FALSE()),"No")="Yes",1,0)</f>
        <v>0</v>
      </c>
      <c r="AI355" s="65" t="n">
        <f aca="false">IF(ISNUMBER(MATCH(D355,Controls!$A$64:$A$74,0)),1,0)</f>
        <v>1</v>
      </c>
      <c r="AJ355" s="65" t="n">
        <f aca="false">Q355-N355</f>
        <v>-10603.2</v>
      </c>
      <c r="AK355" s="65" t="n">
        <f aca="false">IF(AE355=1,MAX(0,N355-Q355),0)</f>
        <v>10603.2</v>
      </c>
      <c r="AL355" s="65" t="n">
        <f aca="false">IF(OR(V355="",V355=0),0,N355/V355)</f>
        <v>0.378657428435166</v>
      </c>
      <c r="AM355" s="65" t="n">
        <f aca="false">IF(OR(V355="",V355=0),0,1)</f>
        <v>1</v>
      </c>
      <c r="AN355" s="65" t="n">
        <f aca="false">IF(OR(E355="",F355=""),0,NETWORKDAYS(E355,F355,Ref!$K$2:$K$42))</f>
        <v>44</v>
      </c>
      <c r="AO355" s="65" t="n">
        <f aca="false">IF(L355="Renewal",1,0)</f>
        <v>0</v>
      </c>
      <c r="AP355" s="65" t="n">
        <f aca="false">AC355*AD355</f>
        <v>1</v>
      </c>
      <c r="AQ355" s="65" t="n">
        <f aca="false">IF(AND(G355&lt;&gt;"",'Historical Score'!$C$6&lt;&gt;""),IF(G355='Historical Score'!$C$6,1,0),0)</f>
        <v>0</v>
      </c>
      <c r="AR355" s="65" t="n">
        <f aca="false">IF(AND(L355&lt;&gt;"",'Historical Score'!$C$5&lt;&gt;""),IF(L355='Historical Score'!$C$5,1,0),0)</f>
        <v>1</v>
      </c>
      <c r="AS355" s="65" t="n">
        <f aca="false">IF(AND(Y355&lt;&gt;"",'Historical Score'!$C$7&lt;&gt;""),IF(Y355='Historical Score'!$C$7,1,0),0)</f>
        <v>0</v>
      </c>
      <c r="AT355" s="65" t="n">
        <f aca="false">IF(AND(K355&lt;&gt;"",'Historical Score'!$C$8&lt;&gt;""),IF(K355='Historical Score'!$C$8,1,0),0)</f>
        <v>0</v>
      </c>
      <c r="AU355" s="65" t="n">
        <f aca="false">IF(AND(J355&lt;&gt;"",'Historical Score'!$C$9&lt;&gt;""),IF(J355='Historical Score'!$C$9,1,0),0)</f>
        <v>0</v>
      </c>
      <c r="AV355" s="65" t="n">
        <f aca="false">AR355*AS355*AQ355</f>
        <v>0</v>
      </c>
      <c r="AW355" s="65" t="n">
        <f aca="false">AR355*AT355*AQ355</f>
        <v>0</v>
      </c>
      <c r="AX355" s="65" t="n">
        <f aca="false">AR355*AS355</f>
        <v>0</v>
      </c>
      <c r="AY355" s="65" t="n">
        <f aca="false">AR355*AT355</f>
        <v>0</v>
      </c>
      <c r="AZ355" s="65" t="n">
        <f aca="false">AR355*AQ355</f>
        <v>0</v>
      </c>
      <c r="BA355" s="65" t="n">
        <f aca="false">AR355</f>
        <v>1</v>
      </c>
      <c r="BB355" s="65" t="n">
        <f aca="false">1</f>
        <v>1</v>
      </c>
      <c r="BC355" s="65" t="n">
        <f aca="false">IF(AV355=1,1,IF(AW355=1,2,IF(AX355=1,3,IF(AY355=1,4,IF(AZ355=1,5,IF(BA355=1,6,7))))))</f>
        <v>6</v>
      </c>
      <c r="BD355" s="65" t="n">
        <f aca="false">IF(AD355=1,CHOOSE('Historical Score'!$C$29,AV355,AW355,AX355,AY355,AZ355,BA355,BB355),0)</f>
        <v>0</v>
      </c>
      <c r="BE355" s="65" t="str">
        <f aca="false">IF(BD355=1,COUNTIF($BD$2:BD355,1),"")</f>
        <v/>
      </c>
    </row>
    <row r="356" customFormat="false" ht="15" hidden="false" customHeight="false" outlineLevel="0" collapsed="false">
      <c r="A356" s="65" t="s">
        <v>1462</v>
      </c>
      <c r="B356" s="65" t="s">
        <v>1463</v>
      </c>
      <c r="C356" s="65" t="s">
        <v>1463</v>
      </c>
      <c r="D356" s="65" t="s">
        <v>340</v>
      </c>
      <c r="E356" s="112" t="n">
        <v>45979</v>
      </c>
      <c r="F356" s="112" t="n">
        <v>46045</v>
      </c>
      <c r="G356" s="65" t="n">
        <v>4</v>
      </c>
      <c r="H356" s="65" t="s">
        <v>479</v>
      </c>
      <c r="I356" s="65" t="s">
        <v>356</v>
      </c>
      <c r="J356" s="65" t="s">
        <v>61</v>
      </c>
      <c r="K356" s="65" t="s">
        <v>1464</v>
      </c>
      <c r="L356" s="65" t="s">
        <v>64</v>
      </c>
      <c r="M356" s="113" t="n">
        <v>1.499</v>
      </c>
      <c r="N356" s="114" t="n">
        <v>10000</v>
      </c>
      <c r="O356" s="114" t="n">
        <v>1400</v>
      </c>
      <c r="P356" s="114" t="n">
        <v>14990</v>
      </c>
      <c r="Q356" s="114" t="n">
        <v>2513.2</v>
      </c>
      <c r="R356" s="114" t="n">
        <v>12476.8</v>
      </c>
      <c r="S356" s="115" t="n">
        <v>0.167658438959306</v>
      </c>
      <c r="T356" s="65" t="n">
        <v>2.623</v>
      </c>
      <c r="U356" s="65" t="n">
        <v>20</v>
      </c>
      <c r="V356" s="65" t="n">
        <v>66037.17</v>
      </c>
      <c r="W356" s="115" t="n">
        <v>0.0592</v>
      </c>
      <c r="X356" s="112"/>
      <c r="Y356" s="65" t="str">
        <f aca="false">IF(I356="","No SIC",IFERROR(VLOOKUP(I356,Ref!$A$2:$B$65,2,FALSE()),"Unclassified"))</f>
        <v>Trucking &amp; Warehousing</v>
      </c>
      <c r="Z356" s="65" t="str">
        <f aca="false">IF(T356="","",IF(T356&lt;12,"Daily","Weekly"))</f>
        <v>Daily</v>
      </c>
      <c r="AA356" s="65" t="n">
        <f aca="false">IF(T356="",0,IF(T356&lt;12,T356*Controls!$B$29,T356*5))</f>
        <v>56.801065</v>
      </c>
      <c r="AB356" s="65" t="n">
        <f aca="false">IF(E356="",0,NETWORKDAYS(E356,Controls!$B$36,Ref!$K$2:$K$42))</f>
        <v>194</v>
      </c>
      <c r="AC356" s="65" t="n">
        <f aca="false">IF(AND(AA356&gt;0,AB356&gt;=Controls!$B$39*AA356),1,0)</f>
        <v>1</v>
      </c>
      <c r="AD356" s="65" t="n">
        <f aca="false">IF(AND(E356&lt;&gt;"",E356&gt;=Controls!$B$37,E356&lt;=Controls!$B$38),1,0)</f>
        <v>1</v>
      </c>
      <c r="AE356" s="65" t="n">
        <f aca="false">IF(IFERROR(VLOOKUP(D356,Controls!$A$64:$E$74,2,FALSE()),"No")="Yes",1,0)</f>
        <v>1</v>
      </c>
      <c r="AF356" s="65" t="n">
        <f aca="false">IF(IFERROR(VLOOKUP(D356,Controls!$A$64:$E$74,3,FALSE()),"No")="Yes",1,0)</f>
        <v>0</v>
      </c>
      <c r="AG356" s="65" t="n">
        <f aca="false">IF(IFERROR(VLOOKUP(D356,Controls!$A$64:$E$74,4,FALSE()),"No")="Yes",1,0)</f>
        <v>0</v>
      </c>
      <c r="AH356" s="65" t="n">
        <f aca="false">IF(IFERROR(VLOOKUP(D356,Controls!$A$64:$E$74,5,FALSE()),"No")="Yes",1,0)</f>
        <v>0</v>
      </c>
      <c r="AI356" s="65" t="n">
        <f aca="false">IF(ISNUMBER(MATCH(D356,Controls!$A$64:$A$74,0)),1,0)</f>
        <v>1</v>
      </c>
      <c r="AJ356" s="65" t="n">
        <f aca="false">Q356-N356</f>
        <v>-7486.8</v>
      </c>
      <c r="AK356" s="65" t="n">
        <f aca="false">IF(AE356=1,MAX(0,N356-Q356),0)</f>
        <v>7486.8</v>
      </c>
      <c r="AL356" s="65" t="n">
        <f aca="false">IF(OR(V356="",V356=0),0,N356/V356)</f>
        <v>0.15142986896622</v>
      </c>
      <c r="AM356" s="65" t="n">
        <f aca="false">IF(OR(V356="",V356=0),0,1)</f>
        <v>1</v>
      </c>
      <c r="AN356" s="65" t="n">
        <f aca="false">IF(OR(E356="",F356=""),0,NETWORKDAYS(E356,F356,Ref!$K$2:$K$42))</f>
        <v>45</v>
      </c>
      <c r="AO356" s="65" t="n">
        <f aca="false">IF(L356="Renewal",1,0)</f>
        <v>0</v>
      </c>
      <c r="AP356" s="65" t="n">
        <f aca="false">AC356*AD356</f>
        <v>1</v>
      </c>
      <c r="AQ356" s="65" t="n">
        <f aca="false">IF(AND(G356&lt;&gt;"",'Historical Score'!$C$6&lt;&gt;""),IF(G356='Historical Score'!$C$6,1,0),0)</f>
        <v>0</v>
      </c>
      <c r="AR356" s="65" t="n">
        <f aca="false">IF(AND(L356&lt;&gt;"",'Historical Score'!$C$5&lt;&gt;""),IF(L356='Historical Score'!$C$5,1,0),0)</f>
        <v>1</v>
      </c>
      <c r="AS356" s="65" t="n">
        <f aca="false">IF(AND(Y356&lt;&gt;"",'Historical Score'!$C$7&lt;&gt;""),IF(Y356='Historical Score'!$C$7,1,0),0)</f>
        <v>0</v>
      </c>
      <c r="AT356" s="65" t="n">
        <f aca="false">IF(AND(K356&lt;&gt;"",'Historical Score'!$C$8&lt;&gt;""),IF(K356='Historical Score'!$C$8,1,0),0)</f>
        <v>0</v>
      </c>
      <c r="AU356" s="65" t="n">
        <f aca="false">IF(AND(J356&lt;&gt;"",'Historical Score'!$C$9&lt;&gt;""),IF(J356='Historical Score'!$C$9,1,0),0)</f>
        <v>1</v>
      </c>
      <c r="AV356" s="65" t="n">
        <f aca="false">AR356*AS356*AQ356</f>
        <v>0</v>
      </c>
      <c r="AW356" s="65" t="n">
        <f aca="false">AR356*AT356*AQ356</f>
        <v>0</v>
      </c>
      <c r="AX356" s="65" t="n">
        <f aca="false">AR356*AS356</f>
        <v>0</v>
      </c>
      <c r="AY356" s="65" t="n">
        <f aca="false">AR356*AT356</f>
        <v>0</v>
      </c>
      <c r="AZ356" s="65" t="n">
        <f aca="false">AR356*AQ356</f>
        <v>0</v>
      </c>
      <c r="BA356" s="65" t="n">
        <f aca="false">AR356</f>
        <v>1</v>
      </c>
      <c r="BB356" s="65" t="n">
        <f aca="false">1</f>
        <v>1</v>
      </c>
      <c r="BC356" s="65" t="n">
        <f aca="false">IF(AV356=1,1,IF(AW356=1,2,IF(AX356=1,3,IF(AY356=1,4,IF(AZ356=1,5,IF(BA356=1,6,7))))))</f>
        <v>6</v>
      </c>
      <c r="BD356" s="65" t="n">
        <f aca="false">IF(AD356=1,CHOOSE('Historical Score'!$C$29,AV356,AW356,AX356,AY356,AZ356,BA356,BB356),0)</f>
        <v>0</v>
      </c>
      <c r="BE356" s="65" t="str">
        <f aca="false">IF(BD356=1,COUNTIF($BD$2:BD356,1),"")</f>
        <v/>
      </c>
    </row>
    <row r="357" customFormat="false" ht="15" hidden="false" customHeight="false" outlineLevel="0" collapsed="false">
      <c r="A357" s="65" t="s">
        <v>1465</v>
      </c>
      <c r="B357" s="65" t="s">
        <v>1466</v>
      </c>
      <c r="C357" s="65" t="s">
        <v>1466</v>
      </c>
      <c r="D357" s="65" t="s">
        <v>1467</v>
      </c>
      <c r="E357" s="112" t="n">
        <v>45979</v>
      </c>
      <c r="F357" s="112" t="n">
        <v>46251</v>
      </c>
      <c r="G357" s="65" t="n">
        <v>4</v>
      </c>
      <c r="H357" s="65" t="s">
        <v>409</v>
      </c>
      <c r="I357" s="65" t="s">
        <v>342</v>
      </c>
      <c r="J357" s="65" t="s">
        <v>506</v>
      </c>
      <c r="K357" s="65" t="s">
        <v>1386</v>
      </c>
      <c r="L357" s="65" t="s">
        <v>64</v>
      </c>
      <c r="M357" s="113" t="n">
        <v>1.49</v>
      </c>
      <c r="N357" s="114" t="n">
        <v>22000</v>
      </c>
      <c r="O357" s="114" t="n">
        <v>3080</v>
      </c>
      <c r="P357" s="114" t="n">
        <v>32780</v>
      </c>
      <c r="Q357" s="114" t="n">
        <v>24449.85</v>
      </c>
      <c r="R357" s="114" t="n">
        <v>8330.15</v>
      </c>
      <c r="S357" s="115" t="n">
        <v>0.745877059182428</v>
      </c>
      <c r="T357" s="65" t="n">
        <v>2.951</v>
      </c>
      <c r="U357" s="65" t="n">
        <v>24</v>
      </c>
      <c r="V357" s="65" t="n">
        <v>101663.55</v>
      </c>
      <c r="W357" s="115" t="n">
        <v>0.0752</v>
      </c>
      <c r="X357" s="112" t="n">
        <v>45456</v>
      </c>
      <c r="Y357" s="65" t="str">
        <f aca="false">IF(I357="","No SIC",IFERROR(VLOOKUP(I357,Ref!$A$2:$B$65,2,FALSE()),"Unclassified"))</f>
        <v>Eating &amp; Drinking Places</v>
      </c>
      <c r="Z357" s="65" t="str">
        <f aca="false">IF(T357="","",IF(T357&lt;12,"Daily","Weekly"))</f>
        <v>Daily</v>
      </c>
      <c r="AA357" s="65" t="n">
        <f aca="false">IF(T357="",0,IF(T357&lt;12,T357*Controls!$B$29,T357*5))</f>
        <v>63.903905</v>
      </c>
      <c r="AB357" s="65" t="n">
        <f aca="false">IF(E357="",0,NETWORKDAYS(E357,Controls!$B$36,Ref!$K$2:$K$42))</f>
        <v>194</v>
      </c>
      <c r="AC357" s="65" t="n">
        <f aca="false">IF(AND(AA357&gt;0,AB357&gt;=Controls!$B$39*AA357),1,0)</f>
        <v>1</v>
      </c>
      <c r="AD357" s="65" t="n">
        <f aca="false">IF(AND(E357&lt;&gt;"",E357&gt;=Controls!$B$37,E357&lt;=Controls!$B$38),1,0)</f>
        <v>1</v>
      </c>
      <c r="AE357" s="65" t="n">
        <f aca="false">IF(IFERROR(VLOOKUP(D357,Controls!$A$64:$E$74,2,FALSE()),"No")="Yes",1,0)</f>
        <v>1</v>
      </c>
      <c r="AF357" s="65" t="n">
        <f aca="false">IF(IFERROR(VLOOKUP(D357,Controls!$A$64:$E$74,3,FALSE()),"No")="Yes",1,0)</f>
        <v>1</v>
      </c>
      <c r="AG357" s="65" t="n">
        <f aca="false">IF(IFERROR(VLOOKUP(D357,Controls!$A$64:$E$74,4,FALSE()),"No")="Yes",1,0)</f>
        <v>0</v>
      </c>
      <c r="AH357" s="65" t="n">
        <f aca="false">IF(IFERROR(VLOOKUP(D357,Controls!$A$64:$E$74,5,FALSE()),"No")="Yes",1,0)</f>
        <v>0</v>
      </c>
      <c r="AI357" s="65" t="n">
        <f aca="false">IF(ISNUMBER(MATCH(D357,Controls!$A$64:$A$74,0)),1,0)</f>
        <v>1</v>
      </c>
      <c r="AJ357" s="65" t="n">
        <f aca="false">Q357-N357</f>
        <v>2449.85</v>
      </c>
      <c r="AK357" s="65" t="n">
        <f aca="false">IF(AE357=1,MAX(0,N357-Q357),0)</f>
        <v>0</v>
      </c>
      <c r="AL357" s="65" t="n">
        <f aca="false">IF(OR(V357="",V357=0),0,N357/V357)</f>
        <v>0.216400076526936</v>
      </c>
      <c r="AM357" s="65" t="n">
        <f aca="false">IF(OR(V357="",V357=0),0,1)</f>
        <v>1</v>
      </c>
      <c r="AN357" s="65" t="n">
        <f aca="false">IF(OR(E357="",F357=""),0,NETWORKDAYS(E357,F357,Ref!$K$2:$K$42))</f>
        <v>188</v>
      </c>
      <c r="AO357" s="65" t="n">
        <f aca="false">IF(L357="Renewal",1,0)</f>
        <v>0</v>
      </c>
      <c r="AP357" s="65" t="n">
        <f aca="false">AC357*AD357</f>
        <v>1</v>
      </c>
      <c r="AQ357" s="65" t="n">
        <f aca="false">IF(AND(G357&lt;&gt;"",'Historical Score'!$C$6&lt;&gt;""),IF(G357='Historical Score'!$C$6,1,0),0)</f>
        <v>0</v>
      </c>
      <c r="AR357" s="65" t="n">
        <f aca="false">IF(AND(L357&lt;&gt;"",'Historical Score'!$C$5&lt;&gt;""),IF(L357='Historical Score'!$C$5,1,0),0)</f>
        <v>1</v>
      </c>
      <c r="AS357" s="65" t="n">
        <f aca="false">IF(AND(Y357&lt;&gt;"",'Historical Score'!$C$7&lt;&gt;""),IF(Y357='Historical Score'!$C$7,1,0),0)</f>
        <v>0</v>
      </c>
      <c r="AT357" s="65" t="n">
        <f aca="false">IF(AND(K357&lt;&gt;"",'Historical Score'!$C$8&lt;&gt;""),IF(K357='Historical Score'!$C$8,1,0),0)</f>
        <v>0</v>
      </c>
      <c r="AU357" s="65" t="n">
        <f aca="false">IF(AND(J357&lt;&gt;"",'Historical Score'!$C$9&lt;&gt;""),IF(J357='Historical Score'!$C$9,1,0),0)</f>
        <v>0</v>
      </c>
      <c r="AV357" s="65" t="n">
        <f aca="false">AR357*AS357*AQ357</f>
        <v>0</v>
      </c>
      <c r="AW357" s="65" t="n">
        <f aca="false">AR357*AT357*AQ357</f>
        <v>0</v>
      </c>
      <c r="AX357" s="65" t="n">
        <f aca="false">AR357*AS357</f>
        <v>0</v>
      </c>
      <c r="AY357" s="65" t="n">
        <f aca="false">AR357*AT357</f>
        <v>0</v>
      </c>
      <c r="AZ357" s="65" t="n">
        <f aca="false">AR357*AQ357</f>
        <v>0</v>
      </c>
      <c r="BA357" s="65" t="n">
        <f aca="false">AR357</f>
        <v>1</v>
      </c>
      <c r="BB357" s="65" t="n">
        <f aca="false">1</f>
        <v>1</v>
      </c>
      <c r="BC357" s="65" t="n">
        <f aca="false">IF(AV357=1,1,IF(AW357=1,2,IF(AX357=1,3,IF(AY357=1,4,IF(AZ357=1,5,IF(BA357=1,6,7))))))</f>
        <v>6</v>
      </c>
      <c r="BD357" s="65" t="n">
        <f aca="false">IF(AD357=1,CHOOSE('Historical Score'!$C$29,AV357,AW357,AX357,AY357,AZ357,BA357,BB357),0)</f>
        <v>0</v>
      </c>
      <c r="BE357" s="65" t="str">
        <f aca="false">IF(BD357=1,COUNTIF($BD$2:BD357,1),"")</f>
        <v/>
      </c>
    </row>
    <row r="358" customFormat="false" ht="15" hidden="false" customHeight="false" outlineLevel="0" collapsed="false">
      <c r="A358" s="65" t="s">
        <v>1468</v>
      </c>
      <c r="B358" s="65" t="s">
        <v>1469</v>
      </c>
      <c r="C358" s="65" t="s">
        <v>1470</v>
      </c>
      <c r="D358" s="65" t="s">
        <v>340</v>
      </c>
      <c r="E358" s="112" t="n">
        <v>45979</v>
      </c>
      <c r="F358" s="112" t="n">
        <v>46202</v>
      </c>
      <c r="G358" s="65" t="n">
        <v>3</v>
      </c>
      <c r="H358" s="65" t="s">
        <v>1471</v>
      </c>
      <c r="I358" s="65" t="s">
        <v>1093</v>
      </c>
      <c r="J358" s="65" t="s">
        <v>452</v>
      </c>
      <c r="K358" s="65" t="s">
        <v>961</v>
      </c>
      <c r="L358" s="65" t="s">
        <v>64</v>
      </c>
      <c r="M358" s="113" t="n">
        <v>1.42</v>
      </c>
      <c r="N358" s="114" t="n">
        <v>150000</v>
      </c>
      <c r="O358" s="114" t="n">
        <v>21000</v>
      </c>
      <c r="P358" s="114" t="n">
        <v>213000</v>
      </c>
      <c r="Q358" s="114" t="n">
        <v>146909.96</v>
      </c>
      <c r="R358" s="114" t="n">
        <v>66090.04</v>
      </c>
      <c r="S358" s="115" t="n">
        <v>0.689718122065728</v>
      </c>
      <c r="T358" s="65" t="n">
        <v>36</v>
      </c>
      <c r="U358" s="65" t="n">
        <v>1</v>
      </c>
      <c r="V358" s="65" t="n">
        <v>301146.98</v>
      </c>
      <c r="W358" s="115" t="n">
        <v>0.0786</v>
      </c>
      <c r="X358" s="112"/>
      <c r="Y358" s="65" t="str">
        <f aca="false">IF(I358="","No SIC",IFERROR(VLOOKUP(I358,Ref!$A$2:$B$65,2,FALSE()),"Unclassified"))</f>
        <v>Electric, Gas &amp; Sanitary Services</v>
      </c>
      <c r="Z358" s="65" t="str">
        <f aca="false">IF(T358="","",IF(T358&lt;12,"Daily","Weekly"))</f>
        <v>Weekly</v>
      </c>
      <c r="AA358" s="65" t="n">
        <f aca="false">IF(T358="",0,IF(T358&lt;12,T358*Controls!$B$29,T358*5))</f>
        <v>180</v>
      </c>
      <c r="AB358" s="65" t="n">
        <f aca="false">IF(E358="",0,NETWORKDAYS(E358,Controls!$B$36,Ref!$K$2:$K$42))</f>
        <v>194</v>
      </c>
      <c r="AC358" s="65" t="n">
        <f aca="false">IF(AND(AA358&gt;0,AB358&gt;=Controls!$B$39*AA358),1,0)</f>
        <v>0</v>
      </c>
      <c r="AD358" s="65" t="n">
        <f aca="false">IF(AND(E358&lt;&gt;"",E358&gt;=Controls!$B$37,E358&lt;=Controls!$B$38),1,0)</f>
        <v>1</v>
      </c>
      <c r="AE358" s="65" t="n">
        <f aca="false">IF(IFERROR(VLOOKUP(D358,Controls!$A$64:$E$74,2,FALSE()),"No")="Yes",1,0)</f>
        <v>1</v>
      </c>
      <c r="AF358" s="65" t="n">
        <f aca="false">IF(IFERROR(VLOOKUP(D358,Controls!$A$64:$E$74,3,FALSE()),"No")="Yes",1,0)</f>
        <v>0</v>
      </c>
      <c r="AG358" s="65" t="n">
        <f aca="false">IF(IFERROR(VLOOKUP(D358,Controls!$A$64:$E$74,4,FALSE()),"No")="Yes",1,0)</f>
        <v>0</v>
      </c>
      <c r="AH358" s="65" t="n">
        <f aca="false">IF(IFERROR(VLOOKUP(D358,Controls!$A$64:$E$74,5,FALSE()),"No")="Yes",1,0)</f>
        <v>0</v>
      </c>
      <c r="AI358" s="65" t="n">
        <f aca="false">IF(ISNUMBER(MATCH(D358,Controls!$A$64:$A$74,0)),1,0)</f>
        <v>1</v>
      </c>
      <c r="AJ358" s="65" t="n">
        <f aca="false">Q358-N358</f>
        <v>-3090.04000000001</v>
      </c>
      <c r="AK358" s="65" t="n">
        <f aca="false">IF(AE358=1,MAX(0,N358-Q358),0)</f>
        <v>3090.04000000001</v>
      </c>
      <c r="AL358" s="65" t="n">
        <f aca="false">IF(OR(V358="",V358=0),0,N358/V358)</f>
        <v>0.498095647514048</v>
      </c>
      <c r="AM358" s="65" t="n">
        <f aca="false">IF(OR(V358="",V358=0),0,1)</f>
        <v>1</v>
      </c>
      <c r="AN358" s="65" t="n">
        <f aca="false">IF(OR(E358="",F358=""),0,NETWORKDAYS(E358,F358,Ref!$K$2:$K$42))</f>
        <v>153</v>
      </c>
      <c r="AO358" s="65" t="n">
        <f aca="false">IF(L358="Renewal",1,0)</f>
        <v>0</v>
      </c>
      <c r="AP358" s="65" t="n">
        <f aca="false">AC358*AD358</f>
        <v>0</v>
      </c>
      <c r="AQ358" s="65" t="n">
        <f aca="false">IF(AND(G358&lt;&gt;"",'Historical Score'!$C$6&lt;&gt;""),IF(G358='Historical Score'!$C$6,1,0),0)</f>
        <v>0</v>
      </c>
      <c r="AR358" s="65" t="n">
        <f aca="false">IF(AND(L358&lt;&gt;"",'Historical Score'!$C$5&lt;&gt;""),IF(L358='Historical Score'!$C$5,1,0),0)</f>
        <v>1</v>
      </c>
      <c r="AS358" s="65" t="n">
        <f aca="false">IF(AND(Y358&lt;&gt;"",'Historical Score'!$C$7&lt;&gt;""),IF(Y358='Historical Score'!$C$7,1,0),0)</f>
        <v>0</v>
      </c>
      <c r="AT358" s="65" t="n">
        <f aca="false">IF(AND(K358&lt;&gt;"",'Historical Score'!$C$8&lt;&gt;""),IF(K358='Historical Score'!$C$8,1,0),0)</f>
        <v>0</v>
      </c>
      <c r="AU358" s="65" t="n">
        <f aca="false">IF(AND(J358&lt;&gt;"",'Historical Score'!$C$9&lt;&gt;""),IF(J358='Historical Score'!$C$9,1,0),0)</f>
        <v>0</v>
      </c>
      <c r="AV358" s="65" t="n">
        <f aca="false">AR358*AS358*AQ358</f>
        <v>0</v>
      </c>
      <c r="AW358" s="65" t="n">
        <f aca="false">AR358*AT358*AQ358</f>
        <v>0</v>
      </c>
      <c r="AX358" s="65" t="n">
        <f aca="false">AR358*AS358</f>
        <v>0</v>
      </c>
      <c r="AY358" s="65" t="n">
        <f aca="false">AR358*AT358</f>
        <v>0</v>
      </c>
      <c r="AZ358" s="65" t="n">
        <f aca="false">AR358*AQ358</f>
        <v>0</v>
      </c>
      <c r="BA358" s="65" t="n">
        <f aca="false">AR358</f>
        <v>1</v>
      </c>
      <c r="BB358" s="65" t="n">
        <f aca="false">1</f>
        <v>1</v>
      </c>
      <c r="BC358" s="65" t="n">
        <f aca="false">IF(AV358=1,1,IF(AW358=1,2,IF(AX358=1,3,IF(AY358=1,4,IF(AZ358=1,5,IF(BA358=1,6,7))))))</f>
        <v>6</v>
      </c>
      <c r="BD358" s="65" t="n">
        <f aca="false">IF(AD358=1,CHOOSE('Historical Score'!$C$29,AV358,AW358,AX358,AY358,AZ358,BA358,BB358),0)</f>
        <v>0</v>
      </c>
      <c r="BE358" s="65" t="str">
        <f aca="false">IF(BD358=1,COUNTIF($BD$2:BD358,1),"")</f>
        <v/>
      </c>
    </row>
    <row r="359" customFormat="false" ht="15" hidden="false" customHeight="false" outlineLevel="0" collapsed="false">
      <c r="A359" s="65" t="s">
        <v>1472</v>
      </c>
      <c r="B359" s="65" t="s">
        <v>1473</v>
      </c>
      <c r="C359" s="65" t="s">
        <v>1473</v>
      </c>
      <c r="D359" s="65" t="s">
        <v>340</v>
      </c>
      <c r="E359" s="112" t="n">
        <v>45979</v>
      </c>
      <c r="F359" s="112" t="n">
        <v>46036</v>
      </c>
      <c r="G359" s="65" t="n">
        <v>2</v>
      </c>
      <c r="H359" s="65" t="s">
        <v>442</v>
      </c>
      <c r="I359" s="65" t="s">
        <v>443</v>
      </c>
      <c r="J359" s="65" t="s">
        <v>373</v>
      </c>
      <c r="K359" s="65" t="s">
        <v>374</v>
      </c>
      <c r="L359" s="65" t="s">
        <v>64</v>
      </c>
      <c r="M359" s="113" t="n">
        <v>1.499</v>
      </c>
      <c r="N359" s="114" t="n">
        <v>5000</v>
      </c>
      <c r="O359" s="114" t="n">
        <v>700</v>
      </c>
      <c r="P359" s="114" t="n">
        <v>7495</v>
      </c>
      <c r="Q359" s="114" t="n">
        <v>653.52</v>
      </c>
      <c r="R359" s="114" t="n">
        <v>6841.48</v>
      </c>
      <c r="S359" s="115" t="n">
        <v>0.0871941294196131</v>
      </c>
      <c r="T359" s="65" t="n">
        <v>2.623</v>
      </c>
      <c r="U359" s="65" t="n">
        <v>24</v>
      </c>
      <c r="V359" s="65" t="n">
        <v>20088.64</v>
      </c>
      <c r="W359" s="115" t="n">
        <v>0.0976</v>
      </c>
      <c r="X359" s="112" t="n">
        <v>42401</v>
      </c>
      <c r="Y359" s="65" t="str">
        <f aca="false">IF(I359="","No SIC",IFERROR(VLOOKUP(I359,Ref!$A$2:$B$65,2,FALSE()),"Unclassified"))</f>
        <v>General Building Contractors</v>
      </c>
      <c r="Z359" s="65" t="str">
        <f aca="false">IF(T359="","",IF(T359&lt;12,"Daily","Weekly"))</f>
        <v>Daily</v>
      </c>
      <c r="AA359" s="65" t="n">
        <f aca="false">IF(T359="",0,IF(T359&lt;12,T359*Controls!$B$29,T359*5))</f>
        <v>56.801065</v>
      </c>
      <c r="AB359" s="65" t="n">
        <f aca="false">IF(E359="",0,NETWORKDAYS(E359,Controls!$B$36,Ref!$K$2:$K$42))</f>
        <v>194</v>
      </c>
      <c r="AC359" s="65" t="n">
        <f aca="false">IF(AND(AA359&gt;0,AB359&gt;=Controls!$B$39*AA359),1,0)</f>
        <v>1</v>
      </c>
      <c r="AD359" s="65" t="n">
        <f aca="false">IF(AND(E359&lt;&gt;"",E359&gt;=Controls!$B$37,E359&lt;=Controls!$B$38),1,0)</f>
        <v>1</v>
      </c>
      <c r="AE359" s="65" t="n">
        <f aca="false">IF(IFERROR(VLOOKUP(D359,Controls!$A$64:$E$74,2,FALSE()),"No")="Yes",1,0)</f>
        <v>1</v>
      </c>
      <c r="AF359" s="65" t="n">
        <f aca="false">IF(IFERROR(VLOOKUP(D359,Controls!$A$64:$E$74,3,FALSE()),"No")="Yes",1,0)</f>
        <v>0</v>
      </c>
      <c r="AG359" s="65" t="n">
        <f aca="false">IF(IFERROR(VLOOKUP(D359,Controls!$A$64:$E$74,4,FALSE()),"No")="Yes",1,0)</f>
        <v>0</v>
      </c>
      <c r="AH359" s="65" t="n">
        <f aca="false">IF(IFERROR(VLOOKUP(D359,Controls!$A$64:$E$74,5,FALSE()),"No")="Yes",1,0)</f>
        <v>0</v>
      </c>
      <c r="AI359" s="65" t="n">
        <f aca="false">IF(ISNUMBER(MATCH(D359,Controls!$A$64:$A$74,0)),1,0)</f>
        <v>1</v>
      </c>
      <c r="AJ359" s="65" t="n">
        <f aca="false">Q359-N359</f>
        <v>-4346.48</v>
      </c>
      <c r="AK359" s="65" t="n">
        <f aca="false">IF(AE359=1,MAX(0,N359-Q359),0)</f>
        <v>4346.48</v>
      </c>
      <c r="AL359" s="65" t="n">
        <f aca="false">IF(OR(V359="",V359=0),0,N359/V359)</f>
        <v>0.248896888988005</v>
      </c>
      <c r="AM359" s="65" t="n">
        <f aca="false">IF(OR(V359="",V359=0),0,1)</f>
        <v>1</v>
      </c>
      <c r="AN359" s="65" t="n">
        <f aca="false">IF(OR(E359="",F359=""),0,NETWORKDAYS(E359,F359,Ref!$K$2:$K$42))</f>
        <v>39</v>
      </c>
      <c r="AO359" s="65" t="n">
        <f aca="false">IF(L359="Renewal",1,0)</f>
        <v>0</v>
      </c>
      <c r="AP359" s="65" t="n">
        <f aca="false">AC359*AD359</f>
        <v>1</v>
      </c>
      <c r="AQ359" s="65" t="n">
        <f aca="false">IF(AND(G359&lt;&gt;"",'Historical Score'!$C$6&lt;&gt;""),IF(G359='Historical Score'!$C$6,1,0),0)</f>
        <v>1</v>
      </c>
      <c r="AR359" s="65" t="n">
        <f aca="false">IF(AND(L359&lt;&gt;"",'Historical Score'!$C$5&lt;&gt;""),IF(L359='Historical Score'!$C$5,1,0),0)</f>
        <v>1</v>
      </c>
      <c r="AS359" s="65" t="n">
        <f aca="false">IF(AND(Y359&lt;&gt;"",'Historical Score'!$C$7&lt;&gt;""),IF(Y359='Historical Score'!$C$7,1,0),0)</f>
        <v>1</v>
      </c>
      <c r="AT359" s="65" t="n">
        <f aca="false">IF(AND(K359&lt;&gt;"",'Historical Score'!$C$8&lt;&gt;""),IF(K359='Historical Score'!$C$8,1,0),0)</f>
        <v>0</v>
      </c>
      <c r="AU359" s="65" t="n">
        <f aca="false">IF(AND(J359&lt;&gt;"",'Historical Score'!$C$9&lt;&gt;""),IF(J359='Historical Score'!$C$9,1,0),0)</f>
        <v>0</v>
      </c>
      <c r="AV359" s="65" t="n">
        <f aca="false">AR359*AS359*AQ359</f>
        <v>1</v>
      </c>
      <c r="AW359" s="65" t="n">
        <f aca="false">AR359*AT359*AQ359</f>
        <v>0</v>
      </c>
      <c r="AX359" s="65" t="n">
        <f aca="false">AR359*AS359</f>
        <v>1</v>
      </c>
      <c r="AY359" s="65" t="n">
        <f aca="false">AR359*AT359</f>
        <v>0</v>
      </c>
      <c r="AZ359" s="65" t="n">
        <f aca="false">AR359*AQ359</f>
        <v>1</v>
      </c>
      <c r="BA359" s="65" t="n">
        <f aca="false">AR359</f>
        <v>1</v>
      </c>
      <c r="BB359" s="65" t="n">
        <f aca="false">1</f>
        <v>1</v>
      </c>
      <c r="BC359" s="65" t="n">
        <f aca="false">IF(AV359=1,1,IF(AW359=1,2,IF(AX359=1,3,IF(AY359=1,4,IF(AZ359=1,5,IF(BA359=1,6,7))))))</f>
        <v>1</v>
      </c>
      <c r="BD359" s="65" t="n">
        <f aca="false">IF(AD359=1,CHOOSE('Historical Score'!$C$29,AV359,AW359,AX359,AY359,AZ359,BA359,BB359),0)</f>
        <v>1</v>
      </c>
      <c r="BE359" s="65" t="n">
        <f aca="false">IF(BD359=1,COUNTIF($BD$2:BD359,1),"")</f>
        <v>14</v>
      </c>
    </row>
    <row r="360" customFormat="false" ht="15" hidden="false" customHeight="false" outlineLevel="0" collapsed="false">
      <c r="A360" s="65" t="s">
        <v>1474</v>
      </c>
      <c r="B360" s="65" t="s">
        <v>1475</v>
      </c>
      <c r="C360" s="65" t="s">
        <v>1476</v>
      </c>
      <c r="D360" s="65" t="s">
        <v>371</v>
      </c>
      <c r="E360" s="112" t="n">
        <v>45979</v>
      </c>
      <c r="F360" s="112" t="n">
        <v>46050</v>
      </c>
      <c r="G360" s="65" t="n">
        <v>3</v>
      </c>
      <c r="H360" s="65" t="s">
        <v>1477</v>
      </c>
      <c r="I360" s="65" t="s">
        <v>1478</v>
      </c>
      <c r="J360" s="65" t="s">
        <v>350</v>
      </c>
      <c r="K360" s="65" t="s">
        <v>961</v>
      </c>
      <c r="L360" s="65" t="s">
        <v>64</v>
      </c>
      <c r="M360" s="113" t="n">
        <v>1.4</v>
      </c>
      <c r="N360" s="114" t="n">
        <v>20000</v>
      </c>
      <c r="O360" s="114" t="n">
        <v>2500</v>
      </c>
      <c r="P360" s="114" t="n">
        <v>28000</v>
      </c>
      <c r="Q360" s="114" t="n">
        <v>28000</v>
      </c>
      <c r="R360" s="114" t="n">
        <v>0</v>
      </c>
      <c r="S360" s="115" t="n">
        <v>1</v>
      </c>
      <c r="T360" s="65" t="n">
        <v>20</v>
      </c>
      <c r="U360" s="65" t="n">
        <v>0</v>
      </c>
      <c r="V360" s="65" t="n">
        <v>37366.03</v>
      </c>
      <c r="W360" s="115" t="n">
        <v>0.1499</v>
      </c>
      <c r="X360" s="112" t="n">
        <v>45170</v>
      </c>
      <c r="Y360" s="65" t="str">
        <f aca="false">IF(I360="","No SIC",IFERROR(VLOOKUP(I360,Ref!$A$2:$B$65,2,FALSE()),"Unclassified"))</f>
        <v>Educational Services</v>
      </c>
      <c r="Z360" s="65" t="str">
        <f aca="false">IF(T360="","",IF(T360&lt;12,"Daily","Weekly"))</f>
        <v>Weekly</v>
      </c>
      <c r="AA360" s="65" t="n">
        <f aca="false">IF(T360="",0,IF(T360&lt;12,T360*Controls!$B$29,T360*5))</f>
        <v>100</v>
      </c>
      <c r="AB360" s="65" t="n">
        <f aca="false">IF(E360="",0,NETWORKDAYS(E360,Controls!$B$36,Ref!$K$2:$K$42))</f>
        <v>194</v>
      </c>
      <c r="AC360" s="65" t="n">
        <f aca="false">IF(AND(AA360&gt;0,AB360&gt;=Controls!$B$39*AA360),1,0)</f>
        <v>1</v>
      </c>
      <c r="AD360" s="65" t="n">
        <f aca="false">IF(AND(E360&lt;&gt;"",E360&gt;=Controls!$B$37,E360&lt;=Controls!$B$38),1,0)</f>
        <v>1</v>
      </c>
      <c r="AE360" s="65" t="n">
        <f aca="false">IF(IFERROR(VLOOKUP(D360,Controls!$A$64:$E$74,2,FALSE()),"No")="Yes",1,0)</f>
        <v>0</v>
      </c>
      <c r="AF360" s="65" t="n">
        <f aca="false">IF(IFERROR(VLOOKUP(D360,Controls!$A$64:$E$74,3,FALSE()),"No")="Yes",1,0)</f>
        <v>1</v>
      </c>
      <c r="AG360" s="65" t="n">
        <f aca="false">IF(IFERROR(VLOOKUP(D360,Controls!$A$64:$E$74,4,FALSE()),"No")="Yes",1,0)</f>
        <v>1</v>
      </c>
      <c r="AH360" s="65" t="n">
        <f aca="false">IF(IFERROR(VLOOKUP(D360,Controls!$A$64:$E$74,5,FALSE()),"No")="Yes",1,0)</f>
        <v>0</v>
      </c>
      <c r="AI360" s="65" t="n">
        <f aca="false">IF(ISNUMBER(MATCH(D360,Controls!$A$64:$A$74,0)),1,0)</f>
        <v>1</v>
      </c>
      <c r="AJ360" s="65" t="n">
        <f aca="false">Q360-N360</f>
        <v>8000</v>
      </c>
      <c r="AK360" s="65" t="n">
        <f aca="false">IF(AE360=1,MAX(0,N360-Q360),0)</f>
        <v>0</v>
      </c>
      <c r="AL360" s="65" t="n">
        <f aca="false">IF(OR(V360="",V360=0),0,N360/V360)</f>
        <v>0.535245515779975</v>
      </c>
      <c r="AM360" s="65" t="n">
        <f aca="false">IF(OR(V360="",V360=0),0,1)</f>
        <v>1</v>
      </c>
      <c r="AN360" s="65" t="n">
        <f aca="false">IF(OR(E360="",F360=""),0,NETWORKDAYS(E360,F360,Ref!$K$2:$K$42))</f>
        <v>48</v>
      </c>
      <c r="AO360" s="65" t="n">
        <f aca="false">IF(L360="Renewal",1,0)</f>
        <v>0</v>
      </c>
      <c r="AP360" s="65" t="n">
        <f aca="false">AC360*AD360</f>
        <v>1</v>
      </c>
      <c r="AQ360" s="65" t="n">
        <f aca="false">IF(AND(G360&lt;&gt;"",'Historical Score'!$C$6&lt;&gt;""),IF(G360='Historical Score'!$C$6,1,0),0)</f>
        <v>0</v>
      </c>
      <c r="AR360" s="65" t="n">
        <f aca="false">IF(AND(L360&lt;&gt;"",'Historical Score'!$C$5&lt;&gt;""),IF(L360='Historical Score'!$C$5,1,0),0)</f>
        <v>1</v>
      </c>
      <c r="AS360" s="65" t="n">
        <f aca="false">IF(AND(Y360&lt;&gt;"",'Historical Score'!$C$7&lt;&gt;""),IF(Y360='Historical Score'!$C$7,1,0),0)</f>
        <v>0</v>
      </c>
      <c r="AT360" s="65" t="n">
        <f aca="false">IF(AND(K360&lt;&gt;"",'Historical Score'!$C$8&lt;&gt;""),IF(K360='Historical Score'!$C$8,1,0),0)</f>
        <v>0</v>
      </c>
      <c r="AU360" s="65" t="n">
        <f aca="false">IF(AND(J360&lt;&gt;"",'Historical Score'!$C$9&lt;&gt;""),IF(J360='Historical Score'!$C$9,1,0),0)</f>
        <v>0</v>
      </c>
      <c r="AV360" s="65" t="n">
        <f aca="false">AR360*AS360*AQ360</f>
        <v>0</v>
      </c>
      <c r="AW360" s="65" t="n">
        <f aca="false">AR360*AT360*AQ360</f>
        <v>0</v>
      </c>
      <c r="AX360" s="65" t="n">
        <f aca="false">AR360*AS360</f>
        <v>0</v>
      </c>
      <c r="AY360" s="65" t="n">
        <f aca="false">AR360*AT360</f>
        <v>0</v>
      </c>
      <c r="AZ360" s="65" t="n">
        <f aca="false">AR360*AQ360</f>
        <v>0</v>
      </c>
      <c r="BA360" s="65" t="n">
        <f aca="false">AR360</f>
        <v>1</v>
      </c>
      <c r="BB360" s="65" t="n">
        <f aca="false">1</f>
        <v>1</v>
      </c>
      <c r="BC360" s="65" t="n">
        <f aca="false">IF(AV360=1,1,IF(AW360=1,2,IF(AX360=1,3,IF(AY360=1,4,IF(AZ360=1,5,IF(BA360=1,6,7))))))</f>
        <v>6</v>
      </c>
      <c r="BD360" s="65" t="n">
        <f aca="false">IF(AD360=1,CHOOSE('Historical Score'!$C$29,AV360,AW360,AX360,AY360,AZ360,BA360,BB360),0)</f>
        <v>0</v>
      </c>
      <c r="BE360" s="65" t="str">
        <f aca="false">IF(BD360=1,COUNTIF($BD$2:BD360,1),"")</f>
        <v/>
      </c>
    </row>
    <row r="361" customFormat="false" ht="15" hidden="false" customHeight="false" outlineLevel="0" collapsed="false">
      <c r="A361" s="65" t="s">
        <v>1479</v>
      </c>
      <c r="B361" s="65" t="s">
        <v>1480</v>
      </c>
      <c r="C361" s="65" t="s">
        <v>1481</v>
      </c>
      <c r="D361" s="65" t="s">
        <v>689</v>
      </c>
      <c r="E361" s="112" t="n">
        <v>45980</v>
      </c>
      <c r="F361" s="112" t="n">
        <v>46168</v>
      </c>
      <c r="G361" s="65" t="n">
        <v>1</v>
      </c>
      <c r="H361" s="65" t="s">
        <v>341</v>
      </c>
      <c r="I361" s="65" t="s">
        <v>342</v>
      </c>
      <c r="J361" s="65" t="s">
        <v>510</v>
      </c>
      <c r="K361" s="65" t="s">
        <v>1482</v>
      </c>
      <c r="L361" s="65" t="s">
        <v>64</v>
      </c>
      <c r="M361" s="113" t="n">
        <v>1.41</v>
      </c>
      <c r="N361" s="114" t="n">
        <v>100000</v>
      </c>
      <c r="O361" s="114" t="n">
        <v>10000</v>
      </c>
      <c r="P361" s="114" t="n">
        <v>141000</v>
      </c>
      <c r="Q361" s="114" t="n">
        <v>47517.15</v>
      </c>
      <c r="R361" s="114" t="n">
        <v>93482.85</v>
      </c>
      <c r="S361" s="115" t="n">
        <v>0.337001063829787</v>
      </c>
      <c r="T361" s="65" t="n">
        <v>35</v>
      </c>
      <c r="U361" s="65" t="n">
        <v>64</v>
      </c>
      <c r="V361" s="65" t="n">
        <v>309166.2</v>
      </c>
      <c r="W361" s="115" t="n">
        <v>0.0521</v>
      </c>
      <c r="X361" s="112" t="n">
        <v>44256</v>
      </c>
      <c r="Y361" s="65" t="str">
        <f aca="false">IF(I361="","No SIC",IFERROR(VLOOKUP(I361,Ref!$A$2:$B$65,2,FALSE()),"Unclassified"))</f>
        <v>Eating &amp; Drinking Places</v>
      </c>
      <c r="Z361" s="65" t="str">
        <f aca="false">IF(T361="","",IF(T361&lt;12,"Daily","Weekly"))</f>
        <v>Weekly</v>
      </c>
      <c r="AA361" s="65" t="n">
        <f aca="false">IF(T361="",0,IF(T361&lt;12,T361*Controls!$B$29,T361*5))</f>
        <v>175</v>
      </c>
      <c r="AB361" s="65" t="n">
        <f aca="false">IF(E361="",0,NETWORKDAYS(E361,Controls!$B$36,Ref!$K$2:$K$42))</f>
        <v>193</v>
      </c>
      <c r="AC361" s="65" t="n">
        <f aca="false">IF(AND(AA361&gt;0,AB361&gt;=Controls!$B$39*AA361),1,0)</f>
        <v>0</v>
      </c>
      <c r="AD361" s="65" t="n">
        <f aca="false">IF(AND(E361&lt;&gt;"",E361&gt;=Controls!$B$37,E361&lt;=Controls!$B$38),1,0)</f>
        <v>1</v>
      </c>
      <c r="AE361" s="65" t="n">
        <f aca="false">IF(IFERROR(VLOOKUP(D361,Controls!$A$64:$E$74,2,FALSE()),"No")="Yes",1,0)</f>
        <v>1</v>
      </c>
      <c r="AF361" s="65" t="n">
        <f aca="false">IF(IFERROR(VLOOKUP(D361,Controls!$A$64:$E$74,3,FALSE()),"No")="Yes",1,0)</f>
        <v>1</v>
      </c>
      <c r="AG361" s="65" t="n">
        <f aca="false">IF(IFERROR(VLOOKUP(D361,Controls!$A$64:$E$74,4,FALSE()),"No")="Yes",1,0)</f>
        <v>0</v>
      </c>
      <c r="AH361" s="65" t="n">
        <f aca="false">IF(IFERROR(VLOOKUP(D361,Controls!$A$64:$E$74,5,FALSE()),"No")="Yes",1,0)</f>
        <v>0</v>
      </c>
      <c r="AI361" s="65" t="n">
        <f aca="false">IF(ISNUMBER(MATCH(D361,Controls!$A$64:$A$74,0)),1,0)</f>
        <v>1</v>
      </c>
      <c r="AJ361" s="65" t="n">
        <f aca="false">Q361-N361</f>
        <v>-52482.85</v>
      </c>
      <c r="AK361" s="65" t="n">
        <f aca="false">IF(AE361=1,MAX(0,N361-Q361),0)</f>
        <v>52482.85</v>
      </c>
      <c r="AL361" s="65" t="n">
        <f aca="false">IF(OR(V361="",V361=0),0,N361/V361)</f>
        <v>0.323450622998245</v>
      </c>
      <c r="AM361" s="65" t="n">
        <f aca="false">IF(OR(V361="",V361=0),0,1)</f>
        <v>1</v>
      </c>
      <c r="AN361" s="65" t="n">
        <f aca="false">IF(OR(E361="",F361=""),0,NETWORKDAYS(E361,F361,Ref!$K$2:$K$42))</f>
        <v>129</v>
      </c>
      <c r="AO361" s="65" t="n">
        <f aca="false">IF(L361="Renewal",1,0)</f>
        <v>0</v>
      </c>
      <c r="AP361" s="65" t="n">
        <f aca="false">AC361*AD361</f>
        <v>0</v>
      </c>
      <c r="AQ361" s="65" t="n">
        <f aca="false">IF(AND(G361&lt;&gt;"",'Historical Score'!$C$6&lt;&gt;""),IF(G361='Historical Score'!$C$6,1,0),0)</f>
        <v>0</v>
      </c>
      <c r="AR361" s="65" t="n">
        <f aca="false">IF(AND(L361&lt;&gt;"",'Historical Score'!$C$5&lt;&gt;""),IF(L361='Historical Score'!$C$5,1,0),0)</f>
        <v>1</v>
      </c>
      <c r="AS361" s="65" t="n">
        <f aca="false">IF(AND(Y361&lt;&gt;"",'Historical Score'!$C$7&lt;&gt;""),IF(Y361='Historical Score'!$C$7,1,0),0)</f>
        <v>0</v>
      </c>
      <c r="AT361" s="65" t="n">
        <f aca="false">IF(AND(K361&lt;&gt;"",'Historical Score'!$C$8&lt;&gt;""),IF(K361='Historical Score'!$C$8,1,0),0)</f>
        <v>0</v>
      </c>
      <c r="AU361" s="65" t="n">
        <f aca="false">IF(AND(J361&lt;&gt;"",'Historical Score'!$C$9&lt;&gt;""),IF(J361='Historical Score'!$C$9,1,0),0)</f>
        <v>0</v>
      </c>
      <c r="AV361" s="65" t="n">
        <f aca="false">AR361*AS361*AQ361</f>
        <v>0</v>
      </c>
      <c r="AW361" s="65" t="n">
        <f aca="false">AR361*AT361*AQ361</f>
        <v>0</v>
      </c>
      <c r="AX361" s="65" t="n">
        <f aca="false">AR361*AS361</f>
        <v>0</v>
      </c>
      <c r="AY361" s="65" t="n">
        <f aca="false">AR361*AT361</f>
        <v>0</v>
      </c>
      <c r="AZ361" s="65" t="n">
        <f aca="false">AR361*AQ361</f>
        <v>0</v>
      </c>
      <c r="BA361" s="65" t="n">
        <f aca="false">AR361</f>
        <v>1</v>
      </c>
      <c r="BB361" s="65" t="n">
        <f aca="false">1</f>
        <v>1</v>
      </c>
      <c r="BC361" s="65" t="n">
        <f aca="false">IF(AV361=1,1,IF(AW361=1,2,IF(AX361=1,3,IF(AY361=1,4,IF(AZ361=1,5,IF(BA361=1,6,7))))))</f>
        <v>6</v>
      </c>
      <c r="BD361" s="65" t="n">
        <f aca="false">IF(AD361=1,CHOOSE('Historical Score'!$C$29,AV361,AW361,AX361,AY361,AZ361,BA361,BB361),0)</f>
        <v>0</v>
      </c>
      <c r="BE361" s="65" t="str">
        <f aca="false">IF(BD361=1,COUNTIF($BD$2:BD361,1),"")</f>
        <v/>
      </c>
    </row>
    <row r="362" customFormat="false" ht="15" hidden="false" customHeight="false" outlineLevel="0" collapsed="false">
      <c r="A362" s="65" t="s">
        <v>1483</v>
      </c>
      <c r="B362" s="65" t="s">
        <v>1484</v>
      </c>
      <c r="C362" s="65" t="s">
        <v>1484</v>
      </c>
      <c r="D362" s="65" t="s">
        <v>371</v>
      </c>
      <c r="E362" s="112" t="n">
        <v>45980</v>
      </c>
      <c r="F362" s="112" t="n">
        <v>46029</v>
      </c>
      <c r="G362" s="65" t="n">
        <v>1</v>
      </c>
      <c r="H362" s="65" t="s">
        <v>748</v>
      </c>
      <c r="I362" s="65" t="s">
        <v>619</v>
      </c>
      <c r="J362" s="65" t="s">
        <v>61</v>
      </c>
      <c r="K362" s="65" t="s">
        <v>765</v>
      </c>
      <c r="L362" s="65" t="s">
        <v>64</v>
      </c>
      <c r="M362" s="113" t="n">
        <v>1.499</v>
      </c>
      <c r="N362" s="114" t="n">
        <v>10000</v>
      </c>
      <c r="O362" s="114" t="n">
        <v>1400</v>
      </c>
      <c r="P362" s="114" t="n">
        <v>14990</v>
      </c>
      <c r="Q362" s="114" t="n">
        <v>14990</v>
      </c>
      <c r="R362" s="114" t="n">
        <v>1.81898940354586E-012</v>
      </c>
      <c r="S362" s="115" t="n">
        <v>1</v>
      </c>
      <c r="T362" s="65" t="n">
        <v>2.951</v>
      </c>
      <c r="U362" s="65" t="n">
        <v>8</v>
      </c>
      <c r="V362" s="65" t="n">
        <v>38438.18</v>
      </c>
      <c r="W362" s="115" t="n">
        <v>0.0905</v>
      </c>
      <c r="X362" s="112" t="n">
        <v>44562</v>
      </c>
      <c r="Y362" s="65" t="str">
        <f aca="false">IF(I362="","No SIC",IFERROR(VLOOKUP(I362,Ref!$A$2:$B$65,2,FALSE()),"Unclassified"))</f>
        <v>Miscellaneous Retail</v>
      </c>
      <c r="Z362" s="65" t="str">
        <f aca="false">IF(T362="","",IF(T362&lt;12,"Daily","Weekly"))</f>
        <v>Daily</v>
      </c>
      <c r="AA362" s="65" t="n">
        <f aca="false">IF(T362="",0,IF(T362&lt;12,T362*Controls!$B$29,T362*5))</f>
        <v>63.903905</v>
      </c>
      <c r="AB362" s="65" t="n">
        <f aca="false">IF(E362="",0,NETWORKDAYS(E362,Controls!$B$36,Ref!$K$2:$K$42))</f>
        <v>193</v>
      </c>
      <c r="AC362" s="65" t="n">
        <f aca="false">IF(AND(AA362&gt;0,AB362&gt;=Controls!$B$39*AA362),1,0)</f>
        <v>1</v>
      </c>
      <c r="AD362" s="65" t="n">
        <f aca="false">IF(AND(E362&lt;&gt;"",E362&gt;=Controls!$B$37,E362&lt;=Controls!$B$38),1,0)</f>
        <v>1</v>
      </c>
      <c r="AE362" s="65" t="n">
        <f aca="false">IF(IFERROR(VLOOKUP(D362,Controls!$A$64:$E$74,2,FALSE()),"No")="Yes",1,0)</f>
        <v>0</v>
      </c>
      <c r="AF362" s="65" t="n">
        <f aca="false">IF(IFERROR(VLOOKUP(D362,Controls!$A$64:$E$74,3,FALSE()),"No")="Yes",1,0)</f>
        <v>1</v>
      </c>
      <c r="AG362" s="65" t="n">
        <f aca="false">IF(IFERROR(VLOOKUP(D362,Controls!$A$64:$E$74,4,FALSE()),"No")="Yes",1,0)</f>
        <v>1</v>
      </c>
      <c r="AH362" s="65" t="n">
        <f aca="false">IF(IFERROR(VLOOKUP(D362,Controls!$A$64:$E$74,5,FALSE()),"No")="Yes",1,0)</f>
        <v>0</v>
      </c>
      <c r="AI362" s="65" t="n">
        <f aca="false">IF(ISNUMBER(MATCH(D362,Controls!$A$64:$A$74,0)),1,0)</f>
        <v>1</v>
      </c>
      <c r="AJ362" s="65" t="n">
        <f aca="false">Q362-N362</f>
        <v>4990</v>
      </c>
      <c r="AK362" s="65" t="n">
        <f aca="false">IF(AE362=1,MAX(0,N362-Q362),0)</f>
        <v>0</v>
      </c>
      <c r="AL362" s="65" t="n">
        <f aca="false">IF(OR(V362="",V362=0),0,N362/V362)</f>
        <v>0.260157999156047</v>
      </c>
      <c r="AM362" s="65" t="n">
        <f aca="false">IF(OR(V362="",V362=0),0,1)</f>
        <v>1</v>
      </c>
      <c r="AN362" s="65" t="n">
        <f aca="false">IF(OR(E362="",F362=""),0,NETWORKDAYS(E362,F362,Ref!$K$2:$K$42))</f>
        <v>33</v>
      </c>
      <c r="AO362" s="65" t="n">
        <f aca="false">IF(L362="Renewal",1,0)</f>
        <v>0</v>
      </c>
      <c r="AP362" s="65" t="n">
        <f aca="false">AC362*AD362</f>
        <v>1</v>
      </c>
      <c r="AQ362" s="65" t="n">
        <f aca="false">IF(AND(G362&lt;&gt;"",'Historical Score'!$C$6&lt;&gt;""),IF(G362='Historical Score'!$C$6,1,0),0)</f>
        <v>0</v>
      </c>
      <c r="AR362" s="65" t="n">
        <f aca="false">IF(AND(L362&lt;&gt;"",'Historical Score'!$C$5&lt;&gt;""),IF(L362='Historical Score'!$C$5,1,0),0)</f>
        <v>1</v>
      </c>
      <c r="AS362" s="65" t="n">
        <f aca="false">IF(AND(Y362&lt;&gt;"",'Historical Score'!$C$7&lt;&gt;""),IF(Y362='Historical Score'!$C$7,1,0),0)</f>
        <v>0</v>
      </c>
      <c r="AT362" s="65" t="n">
        <f aca="false">IF(AND(K362&lt;&gt;"",'Historical Score'!$C$8&lt;&gt;""),IF(K362='Historical Score'!$C$8,1,0),0)</f>
        <v>0</v>
      </c>
      <c r="AU362" s="65" t="n">
        <f aca="false">IF(AND(J362&lt;&gt;"",'Historical Score'!$C$9&lt;&gt;""),IF(J362='Historical Score'!$C$9,1,0),0)</f>
        <v>1</v>
      </c>
      <c r="AV362" s="65" t="n">
        <f aca="false">AR362*AS362*AQ362</f>
        <v>0</v>
      </c>
      <c r="AW362" s="65" t="n">
        <f aca="false">AR362*AT362*AQ362</f>
        <v>0</v>
      </c>
      <c r="AX362" s="65" t="n">
        <f aca="false">AR362*AS362</f>
        <v>0</v>
      </c>
      <c r="AY362" s="65" t="n">
        <f aca="false">AR362*AT362</f>
        <v>0</v>
      </c>
      <c r="AZ362" s="65" t="n">
        <f aca="false">AR362*AQ362</f>
        <v>0</v>
      </c>
      <c r="BA362" s="65" t="n">
        <f aca="false">AR362</f>
        <v>1</v>
      </c>
      <c r="BB362" s="65" t="n">
        <f aca="false">1</f>
        <v>1</v>
      </c>
      <c r="BC362" s="65" t="n">
        <f aca="false">IF(AV362=1,1,IF(AW362=1,2,IF(AX362=1,3,IF(AY362=1,4,IF(AZ362=1,5,IF(BA362=1,6,7))))))</f>
        <v>6</v>
      </c>
      <c r="BD362" s="65" t="n">
        <f aca="false">IF(AD362=1,CHOOSE('Historical Score'!$C$29,AV362,AW362,AX362,AY362,AZ362,BA362,BB362),0)</f>
        <v>0</v>
      </c>
      <c r="BE362" s="65" t="str">
        <f aca="false">IF(BD362=1,COUNTIF($BD$2:BD362,1),"")</f>
        <v/>
      </c>
    </row>
    <row r="363" customFormat="false" ht="15" hidden="false" customHeight="false" outlineLevel="0" collapsed="false">
      <c r="A363" s="65" t="s">
        <v>1485</v>
      </c>
      <c r="B363" s="65" t="s">
        <v>1486</v>
      </c>
      <c r="C363" s="65" t="s">
        <v>1486</v>
      </c>
      <c r="D363" s="65" t="s">
        <v>340</v>
      </c>
      <c r="E363" s="112" t="n">
        <v>45980</v>
      </c>
      <c r="F363" s="112" t="n">
        <v>45995</v>
      </c>
      <c r="G363" s="65" t="n">
        <v>3</v>
      </c>
      <c r="H363" s="65" t="s">
        <v>568</v>
      </c>
      <c r="I363" s="65" t="s">
        <v>569</v>
      </c>
      <c r="J363" s="65" t="s">
        <v>717</v>
      </c>
      <c r="K363" s="65" t="s">
        <v>1461</v>
      </c>
      <c r="L363" s="65" t="s">
        <v>64</v>
      </c>
      <c r="M363" s="113" t="n">
        <v>1.5</v>
      </c>
      <c r="N363" s="114" t="n">
        <v>3000</v>
      </c>
      <c r="O363" s="114" t="n">
        <v>0</v>
      </c>
      <c r="P363" s="114" t="n">
        <v>4500</v>
      </c>
      <c r="Q363" s="114" t="n">
        <v>382.8</v>
      </c>
      <c r="R363" s="114" t="n">
        <v>4117.2</v>
      </c>
      <c r="S363" s="115" t="n">
        <v>0.0850666666666667</v>
      </c>
      <c r="T363" s="65" t="n">
        <v>2.295</v>
      </c>
      <c r="U363" s="65" t="n">
        <v>4</v>
      </c>
      <c r="V363" s="65" t="n">
        <v>31822.32</v>
      </c>
      <c r="W363" s="115" t="n">
        <v>0.0421</v>
      </c>
      <c r="X363" s="112" t="n">
        <v>44719</v>
      </c>
      <c r="Y363" s="65" t="str">
        <f aca="false">IF(I363="","No SIC",IFERROR(VLOOKUP(I363,Ref!$A$2:$B$65,2,FALSE()),"Unclassified"))</f>
        <v>General Merchandise Stores</v>
      </c>
      <c r="Z363" s="65" t="str">
        <f aca="false">IF(T363="","",IF(T363&lt;12,"Daily","Weekly"))</f>
        <v>Daily</v>
      </c>
      <c r="AA363" s="65" t="n">
        <f aca="false">IF(T363="",0,IF(T363&lt;12,T363*Controls!$B$29,T363*5))</f>
        <v>49.698225</v>
      </c>
      <c r="AB363" s="65" t="n">
        <f aca="false">IF(E363="",0,NETWORKDAYS(E363,Controls!$B$36,Ref!$K$2:$K$42))</f>
        <v>193</v>
      </c>
      <c r="AC363" s="65" t="n">
        <f aca="false">IF(AND(AA363&gt;0,AB363&gt;=Controls!$B$39*AA363),1,0)</f>
        <v>1</v>
      </c>
      <c r="AD363" s="65" t="n">
        <f aca="false">IF(AND(E363&lt;&gt;"",E363&gt;=Controls!$B$37,E363&lt;=Controls!$B$38),1,0)</f>
        <v>1</v>
      </c>
      <c r="AE363" s="65" t="n">
        <f aca="false">IF(IFERROR(VLOOKUP(D363,Controls!$A$64:$E$74,2,FALSE()),"No")="Yes",1,0)</f>
        <v>1</v>
      </c>
      <c r="AF363" s="65" t="n">
        <f aca="false">IF(IFERROR(VLOOKUP(D363,Controls!$A$64:$E$74,3,FALSE()),"No")="Yes",1,0)</f>
        <v>0</v>
      </c>
      <c r="AG363" s="65" t="n">
        <f aca="false">IF(IFERROR(VLOOKUP(D363,Controls!$A$64:$E$74,4,FALSE()),"No")="Yes",1,0)</f>
        <v>0</v>
      </c>
      <c r="AH363" s="65" t="n">
        <f aca="false">IF(IFERROR(VLOOKUP(D363,Controls!$A$64:$E$74,5,FALSE()),"No")="Yes",1,0)</f>
        <v>0</v>
      </c>
      <c r="AI363" s="65" t="n">
        <f aca="false">IF(ISNUMBER(MATCH(D363,Controls!$A$64:$A$74,0)),1,0)</f>
        <v>1</v>
      </c>
      <c r="AJ363" s="65" t="n">
        <f aca="false">Q363-N363</f>
        <v>-2617.2</v>
      </c>
      <c r="AK363" s="65" t="n">
        <f aca="false">IF(AE363=1,MAX(0,N363-Q363),0)</f>
        <v>2617.2</v>
      </c>
      <c r="AL363" s="65" t="n">
        <f aca="false">IF(OR(V363="",V363=0),0,N363/V363)</f>
        <v>0.0942734533497243</v>
      </c>
      <c r="AM363" s="65" t="n">
        <f aca="false">IF(OR(V363="",V363=0),0,1)</f>
        <v>1</v>
      </c>
      <c r="AN363" s="65" t="n">
        <f aca="false">IF(OR(E363="",F363=""),0,NETWORKDAYS(E363,F363,Ref!$K$2:$K$42))</f>
        <v>11</v>
      </c>
      <c r="AO363" s="65" t="n">
        <f aca="false">IF(L363="Renewal",1,0)</f>
        <v>0</v>
      </c>
      <c r="AP363" s="65" t="n">
        <f aca="false">AC363*AD363</f>
        <v>1</v>
      </c>
      <c r="AQ363" s="65" t="n">
        <f aca="false">IF(AND(G363&lt;&gt;"",'Historical Score'!$C$6&lt;&gt;""),IF(G363='Historical Score'!$C$6,1,0),0)</f>
        <v>0</v>
      </c>
      <c r="AR363" s="65" t="n">
        <f aca="false">IF(AND(L363&lt;&gt;"",'Historical Score'!$C$5&lt;&gt;""),IF(L363='Historical Score'!$C$5,1,0),0)</f>
        <v>1</v>
      </c>
      <c r="AS363" s="65" t="n">
        <f aca="false">IF(AND(Y363&lt;&gt;"",'Historical Score'!$C$7&lt;&gt;""),IF(Y363='Historical Score'!$C$7,1,0),0)</f>
        <v>0</v>
      </c>
      <c r="AT363" s="65" t="n">
        <f aca="false">IF(AND(K363&lt;&gt;"",'Historical Score'!$C$8&lt;&gt;""),IF(K363='Historical Score'!$C$8,1,0),0)</f>
        <v>0</v>
      </c>
      <c r="AU363" s="65" t="n">
        <f aca="false">IF(AND(J363&lt;&gt;"",'Historical Score'!$C$9&lt;&gt;""),IF(J363='Historical Score'!$C$9,1,0),0)</f>
        <v>0</v>
      </c>
      <c r="AV363" s="65" t="n">
        <f aca="false">AR363*AS363*AQ363</f>
        <v>0</v>
      </c>
      <c r="AW363" s="65" t="n">
        <f aca="false">AR363*AT363*AQ363</f>
        <v>0</v>
      </c>
      <c r="AX363" s="65" t="n">
        <f aca="false">AR363*AS363</f>
        <v>0</v>
      </c>
      <c r="AY363" s="65" t="n">
        <f aca="false">AR363*AT363</f>
        <v>0</v>
      </c>
      <c r="AZ363" s="65" t="n">
        <f aca="false">AR363*AQ363</f>
        <v>0</v>
      </c>
      <c r="BA363" s="65" t="n">
        <f aca="false">AR363</f>
        <v>1</v>
      </c>
      <c r="BB363" s="65" t="n">
        <f aca="false">1</f>
        <v>1</v>
      </c>
      <c r="BC363" s="65" t="n">
        <f aca="false">IF(AV363=1,1,IF(AW363=1,2,IF(AX363=1,3,IF(AY363=1,4,IF(AZ363=1,5,IF(BA363=1,6,7))))))</f>
        <v>6</v>
      </c>
      <c r="BD363" s="65" t="n">
        <f aca="false">IF(AD363=1,CHOOSE('Historical Score'!$C$29,AV363,AW363,AX363,AY363,AZ363,BA363,BB363),0)</f>
        <v>0</v>
      </c>
      <c r="BE363" s="65" t="str">
        <f aca="false">IF(BD363=1,COUNTIF($BD$2:BD363,1),"")</f>
        <v/>
      </c>
    </row>
    <row r="364" customFormat="false" ht="15" hidden="false" customHeight="false" outlineLevel="0" collapsed="false">
      <c r="A364" s="65" t="s">
        <v>1487</v>
      </c>
      <c r="B364" s="65" t="s">
        <v>1082</v>
      </c>
      <c r="C364" s="65" t="s">
        <v>1082</v>
      </c>
      <c r="D364" s="65" t="s">
        <v>371</v>
      </c>
      <c r="E364" s="112" t="n">
        <v>45981</v>
      </c>
      <c r="F364" s="112" t="n">
        <v>46051</v>
      </c>
      <c r="G364" s="65" t="n">
        <v>7</v>
      </c>
      <c r="H364" s="65" t="s">
        <v>409</v>
      </c>
      <c r="I364" s="65" t="s">
        <v>342</v>
      </c>
      <c r="J364" s="65" t="s">
        <v>343</v>
      </c>
      <c r="K364" s="65" t="s">
        <v>55</v>
      </c>
      <c r="L364" s="65" t="s">
        <v>320</v>
      </c>
      <c r="M364" s="113" t="n">
        <v>1.499</v>
      </c>
      <c r="N364" s="114" t="n">
        <v>25000</v>
      </c>
      <c r="O364" s="114" t="n">
        <v>3500</v>
      </c>
      <c r="P364" s="114" t="n">
        <v>37475</v>
      </c>
      <c r="Q364" s="114" t="n">
        <v>37475</v>
      </c>
      <c r="R364" s="114" t="n">
        <v>0</v>
      </c>
      <c r="S364" s="115" t="n">
        <v>1</v>
      </c>
      <c r="T364" s="65" t="n">
        <v>3.934</v>
      </c>
      <c r="U364" s="65" t="n">
        <v>0</v>
      </c>
      <c r="V364" s="65" t="n">
        <v>42013.9</v>
      </c>
      <c r="W364" s="115" t="n">
        <v>0.1561</v>
      </c>
      <c r="X364" s="112"/>
      <c r="Y364" s="65" t="str">
        <f aca="false">IF(I364="","No SIC",IFERROR(VLOOKUP(I364,Ref!$A$2:$B$65,2,FALSE()),"Unclassified"))</f>
        <v>Eating &amp; Drinking Places</v>
      </c>
      <c r="Z364" s="65" t="str">
        <f aca="false">IF(T364="","",IF(T364&lt;12,"Daily","Weekly"))</f>
        <v>Daily</v>
      </c>
      <c r="AA364" s="65" t="n">
        <f aca="false">IF(T364="",0,IF(T364&lt;12,T364*Controls!$B$29,T364*5))</f>
        <v>85.19077</v>
      </c>
      <c r="AB364" s="65" t="n">
        <f aca="false">IF(E364="",0,NETWORKDAYS(E364,Controls!$B$36,Ref!$K$2:$K$42))</f>
        <v>192</v>
      </c>
      <c r="AC364" s="65" t="n">
        <f aca="false">IF(AND(AA364&gt;0,AB364&gt;=Controls!$B$39*AA364),1,0)</f>
        <v>1</v>
      </c>
      <c r="AD364" s="65" t="n">
        <f aca="false">IF(AND(E364&lt;&gt;"",E364&gt;=Controls!$B$37,E364&lt;=Controls!$B$38),1,0)</f>
        <v>1</v>
      </c>
      <c r="AE364" s="65" t="n">
        <f aca="false">IF(IFERROR(VLOOKUP(D364,Controls!$A$64:$E$74,2,FALSE()),"No")="Yes",1,0)</f>
        <v>0</v>
      </c>
      <c r="AF364" s="65" t="n">
        <f aca="false">IF(IFERROR(VLOOKUP(D364,Controls!$A$64:$E$74,3,FALSE()),"No")="Yes",1,0)</f>
        <v>1</v>
      </c>
      <c r="AG364" s="65" t="n">
        <f aca="false">IF(IFERROR(VLOOKUP(D364,Controls!$A$64:$E$74,4,FALSE()),"No")="Yes",1,0)</f>
        <v>1</v>
      </c>
      <c r="AH364" s="65" t="n">
        <f aca="false">IF(IFERROR(VLOOKUP(D364,Controls!$A$64:$E$74,5,FALSE()),"No")="Yes",1,0)</f>
        <v>0</v>
      </c>
      <c r="AI364" s="65" t="n">
        <f aca="false">IF(ISNUMBER(MATCH(D364,Controls!$A$64:$A$74,0)),1,0)</f>
        <v>1</v>
      </c>
      <c r="AJ364" s="65" t="n">
        <f aca="false">Q364-N364</f>
        <v>12475</v>
      </c>
      <c r="AK364" s="65" t="n">
        <f aca="false">IF(AE364=1,MAX(0,N364-Q364),0)</f>
        <v>0</v>
      </c>
      <c r="AL364" s="65" t="n">
        <f aca="false">IF(OR(V364="",V364=0),0,N364/V364)</f>
        <v>0.595041164947791</v>
      </c>
      <c r="AM364" s="65" t="n">
        <f aca="false">IF(OR(V364="",V364=0),0,1)</f>
        <v>1</v>
      </c>
      <c r="AN364" s="65" t="n">
        <f aca="false">IF(OR(E364="",F364=""),0,NETWORKDAYS(E364,F364,Ref!$K$2:$K$42))</f>
        <v>47</v>
      </c>
      <c r="AO364" s="65" t="n">
        <f aca="false">IF(L364="Renewal",1,0)</f>
        <v>1</v>
      </c>
      <c r="AP364" s="65" t="n">
        <f aca="false">AC364*AD364</f>
        <v>1</v>
      </c>
      <c r="AQ364" s="65" t="n">
        <f aca="false">IF(AND(G364&lt;&gt;"",'Historical Score'!$C$6&lt;&gt;""),IF(G364='Historical Score'!$C$6,1,0),0)</f>
        <v>0</v>
      </c>
      <c r="AR364" s="65" t="n">
        <f aca="false">IF(AND(L364&lt;&gt;"",'Historical Score'!$C$5&lt;&gt;""),IF(L364='Historical Score'!$C$5,1,0),0)</f>
        <v>0</v>
      </c>
      <c r="AS364" s="65" t="n">
        <f aca="false">IF(AND(Y364&lt;&gt;"",'Historical Score'!$C$7&lt;&gt;""),IF(Y364='Historical Score'!$C$7,1,0),0)</f>
        <v>0</v>
      </c>
      <c r="AT364" s="65" t="n">
        <f aca="false">IF(AND(K364&lt;&gt;"",'Historical Score'!$C$8&lt;&gt;""),IF(K364='Historical Score'!$C$8,1,0),0)</f>
        <v>1</v>
      </c>
      <c r="AU364" s="65" t="n">
        <f aca="false">IF(AND(J364&lt;&gt;"",'Historical Score'!$C$9&lt;&gt;""),IF(J364='Historical Score'!$C$9,1,0),0)</f>
        <v>0</v>
      </c>
      <c r="AV364" s="65" t="n">
        <f aca="false">AR364*AS364*AQ364</f>
        <v>0</v>
      </c>
      <c r="AW364" s="65" t="n">
        <f aca="false">AR364*AT364*AQ364</f>
        <v>0</v>
      </c>
      <c r="AX364" s="65" t="n">
        <f aca="false">AR364*AS364</f>
        <v>0</v>
      </c>
      <c r="AY364" s="65" t="n">
        <f aca="false">AR364*AT364</f>
        <v>0</v>
      </c>
      <c r="AZ364" s="65" t="n">
        <f aca="false">AR364*AQ364</f>
        <v>0</v>
      </c>
      <c r="BA364" s="65" t="n">
        <f aca="false">AR364</f>
        <v>0</v>
      </c>
      <c r="BB364" s="65" t="n">
        <f aca="false">1</f>
        <v>1</v>
      </c>
      <c r="BC364" s="65" t="n">
        <f aca="false">IF(AV364=1,1,IF(AW364=1,2,IF(AX364=1,3,IF(AY364=1,4,IF(AZ364=1,5,IF(BA364=1,6,7))))))</f>
        <v>7</v>
      </c>
      <c r="BD364" s="65" t="n">
        <f aca="false">IF(AD364=1,CHOOSE('Historical Score'!$C$29,AV364,AW364,AX364,AY364,AZ364,BA364,BB364),0)</f>
        <v>0</v>
      </c>
      <c r="BE364" s="65" t="str">
        <f aca="false">IF(BD364=1,COUNTIF($BD$2:BD364,1),"")</f>
        <v/>
      </c>
    </row>
    <row r="365" customFormat="false" ht="15" hidden="false" customHeight="false" outlineLevel="0" collapsed="false">
      <c r="A365" s="65" t="s">
        <v>1488</v>
      </c>
      <c r="B365" s="65" t="s">
        <v>1111</v>
      </c>
      <c r="C365" s="65" t="s">
        <v>1111</v>
      </c>
      <c r="D365" s="65" t="s">
        <v>371</v>
      </c>
      <c r="E365" s="112" t="n">
        <v>45981</v>
      </c>
      <c r="F365" s="112" t="n">
        <v>46078</v>
      </c>
      <c r="G365" s="65" t="n">
        <v>3</v>
      </c>
      <c r="H365" s="65" t="s">
        <v>1489</v>
      </c>
      <c r="I365" s="65" t="s">
        <v>1490</v>
      </c>
      <c r="J365" s="65" t="s">
        <v>649</v>
      </c>
      <c r="K365" s="65" t="s">
        <v>855</v>
      </c>
      <c r="L365" s="65" t="s">
        <v>320</v>
      </c>
      <c r="M365" s="113" t="n">
        <v>1.45</v>
      </c>
      <c r="N365" s="114" t="n">
        <v>30000</v>
      </c>
      <c r="O365" s="114" t="n">
        <v>3600</v>
      </c>
      <c r="P365" s="114" t="n">
        <v>43500</v>
      </c>
      <c r="Q365" s="114" t="n">
        <v>43500</v>
      </c>
      <c r="R365" s="114" t="n">
        <v>0</v>
      </c>
      <c r="S365" s="115" t="n">
        <v>1</v>
      </c>
      <c r="T365" s="65" t="n">
        <v>34</v>
      </c>
      <c r="U365" s="65" t="n">
        <v>1</v>
      </c>
      <c r="V365" s="65" t="n">
        <v>56713.1</v>
      </c>
      <c r="W365" s="115" t="n">
        <v>0.0902</v>
      </c>
      <c r="X365" s="112" t="n">
        <v>42308</v>
      </c>
      <c r="Y365" s="65" t="str">
        <f aca="false">IF(I365="","No SIC",IFERROR(VLOOKUP(I365,Ref!$A$2:$B$65,2,FALSE()),"Unclassified"))</f>
        <v>Furniture &amp; Fixtures</v>
      </c>
      <c r="Z365" s="65" t="str">
        <f aca="false">IF(T365="","",IF(T365&lt;12,"Daily","Weekly"))</f>
        <v>Weekly</v>
      </c>
      <c r="AA365" s="65" t="n">
        <f aca="false">IF(T365="",0,IF(T365&lt;12,T365*Controls!$B$29,T365*5))</f>
        <v>170</v>
      </c>
      <c r="AB365" s="65" t="n">
        <f aca="false">IF(E365="",0,NETWORKDAYS(E365,Controls!$B$36,Ref!$K$2:$K$42))</f>
        <v>192</v>
      </c>
      <c r="AC365" s="65" t="n">
        <f aca="false">IF(AND(AA365&gt;0,AB365&gt;=Controls!$B$39*AA365),1,0)</f>
        <v>0</v>
      </c>
      <c r="AD365" s="65" t="n">
        <f aca="false">IF(AND(E365&lt;&gt;"",E365&gt;=Controls!$B$37,E365&lt;=Controls!$B$38),1,0)</f>
        <v>1</v>
      </c>
      <c r="AE365" s="65" t="n">
        <f aca="false">IF(IFERROR(VLOOKUP(D365,Controls!$A$64:$E$74,2,FALSE()),"No")="Yes",1,0)</f>
        <v>0</v>
      </c>
      <c r="AF365" s="65" t="n">
        <f aca="false">IF(IFERROR(VLOOKUP(D365,Controls!$A$64:$E$74,3,FALSE()),"No")="Yes",1,0)</f>
        <v>1</v>
      </c>
      <c r="AG365" s="65" t="n">
        <f aca="false">IF(IFERROR(VLOOKUP(D365,Controls!$A$64:$E$74,4,FALSE()),"No")="Yes",1,0)</f>
        <v>1</v>
      </c>
      <c r="AH365" s="65" t="n">
        <f aca="false">IF(IFERROR(VLOOKUP(D365,Controls!$A$64:$E$74,5,FALSE()),"No")="Yes",1,0)</f>
        <v>0</v>
      </c>
      <c r="AI365" s="65" t="n">
        <f aca="false">IF(ISNUMBER(MATCH(D365,Controls!$A$64:$A$74,0)),1,0)</f>
        <v>1</v>
      </c>
      <c r="AJ365" s="65" t="n">
        <f aca="false">Q365-N365</f>
        <v>13500</v>
      </c>
      <c r="AK365" s="65" t="n">
        <f aca="false">IF(AE365=1,MAX(0,N365-Q365),0)</f>
        <v>0</v>
      </c>
      <c r="AL365" s="65" t="n">
        <f aca="false">IF(OR(V365="",V365=0),0,N365/V365)</f>
        <v>0.528978313652401</v>
      </c>
      <c r="AM365" s="65" t="n">
        <f aca="false">IF(OR(V365="",V365=0),0,1)</f>
        <v>1</v>
      </c>
      <c r="AN365" s="65" t="n">
        <f aca="false">IF(OR(E365="",F365=""),0,NETWORKDAYS(E365,F365,Ref!$K$2:$K$42))</f>
        <v>65</v>
      </c>
      <c r="AO365" s="65" t="n">
        <f aca="false">IF(L365="Renewal",1,0)</f>
        <v>1</v>
      </c>
      <c r="AP365" s="65" t="n">
        <f aca="false">AC365*AD365</f>
        <v>0</v>
      </c>
      <c r="AQ365" s="65" t="n">
        <f aca="false">IF(AND(G365&lt;&gt;"",'Historical Score'!$C$6&lt;&gt;""),IF(G365='Historical Score'!$C$6,1,0),0)</f>
        <v>0</v>
      </c>
      <c r="AR365" s="65" t="n">
        <f aca="false">IF(AND(L365&lt;&gt;"",'Historical Score'!$C$5&lt;&gt;""),IF(L365='Historical Score'!$C$5,1,0),0)</f>
        <v>0</v>
      </c>
      <c r="AS365" s="65" t="n">
        <f aca="false">IF(AND(Y365&lt;&gt;"",'Historical Score'!$C$7&lt;&gt;""),IF(Y365='Historical Score'!$C$7,1,0),0)</f>
        <v>0</v>
      </c>
      <c r="AT365" s="65" t="n">
        <f aca="false">IF(AND(K365&lt;&gt;"",'Historical Score'!$C$8&lt;&gt;""),IF(K365='Historical Score'!$C$8,1,0),0)</f>
        <v>0</v>
      </c>
      <c r="AU365" s="65" t="n">
        <f aca="false">IF(AND(J365&lt;&gt;"",'Historical Score'!$C$9&lt;&gt;""),IF(J365='Historical Score'!$C$9,1,0),0)</f>
        <v>0</v>
      </c>
      <c r="AV365" s="65" t="n">
        <f aca="false">AR365*AS365*AQ365</f>
        <v>0</v>
      </c>
      <c r="AW365" s="65" t="n">
        <f aca="false">AR365*AT365*AQ365</f>
        <v>0</v>
      </c>
      <c r="AX365" s="65" t="n">
        <f aca="false">AR365*AS365</f>
        <v>0</v>
      </c>
      <c r="AY365" s="65" t="n">
        <f aca="false">AR365*AT365</f>
        <v>0</v>
      </c>
      <c r="AZ365" s="65" t="n">
        <f aca="false">AR365*AQ365</f>
        <v>0</v>
      </c>
      <c r="BA365" s="65" t="n">
        <f aca="false">AR365</f>
        <v>0</v>
      </c>
      <c r="BB365" s="65" t="n">
        <f aca="false">1</f>
        <v>1</v>
      </c>
      <c r="BC365" s="65" t="n">
        <f aca="false">IF(AV365=1,1,IF(AW365=1,2,IF(AX365=1,3,IF(AY365=1,4,IF(AZ365=1,5,IF(BA365=1,6,7))))))</f>
        <v>7</v>
      </c>
      <c r="BD365" s="65" t="n">
        <f aca="false">IF(AD365=1,CHOOSE('Historical Score'!$C$29,AV365,AW365,AX365,AY365,AZ365,BA365,BB365),0)</f>
        <v>0</v>
      </c>
      <c r="BE365" s="65" t="str">
        <f aca="false">IF(BD365=1,COUNTIF($BD$2:BD365,1),"")</f>
        <v/>
      </c>
    </row>
    <row r="366" customFormat="false" ht="15" hidden="false" customHeight="false" outlineLevel="0" collapsed="false">
      <c r="A366" s="65" t="s">
        <v>1491</v>
      </c>
      <c r="B366" s="65" t="s">
        <v>1492</v>
      </c>
      <c r="C366" s="65" t="s">
        <v>1493</v>
      </c>
      <c r="D366" s="65" t="s">
        <v>340</v>
      </c>
      <c r="E366" s="112" t="n">
        <v>45981</v>
      </c>
      <c r="F366" s="112" t="n">
        <v>46203</v>
      </c>
      <c r="G366" s="65" t="n">
        <v>3</v>
      </c>
      <c r="H366" s="65" t="s">
        <v>1041</v>
      </c>
      <c r="I366" s="65" t="s">
        <v>367</v>
      </c>
      <c r="J366" s="65" t="s">
        <v>61</v>
      </c>
      <c r="K366" s="65" t="s">
        <v>55</v>
      </c>
      <c r="L366" s="65" t="s">
        <v>64</v>
      </c>
      <c r="M366" s="113" t="n">
        <v>1.45</v>
      </c>
      <c r="N366" s="114" t="n">
        <v>75000</v>
      </c>
      <c r="O366" s="114" t="n">
        <v>9000</v>
      </c>
      <c r="P366" s="114" t="n">
        <v>108750</v>
      </c>
      <c r="Q366" s="114" t="n">
        <v>72422.85</v>
      </c>
      <c r="R366" s="114" t="n">
        <v>36327.15</v>
      </c>
      <c r="S366" s="115" t="n">
        <v>0.66595724137931</v>
      </c>
      <c r="T366" s="65" t="n">
        <v>24</v>
      </c>
      <c r="U366" s="65" t="n">
        <v>4</v>
      </c>
      <c r="V366" s="65" t="n">
        <v>570923.31</v>
      </c>
      <c r="W366" s="115" t="n">
        <v>0.0317</v>
      </c>
      <c r="X366" s="112" t="n">
        <v>44394</v>
      </c>
      <c r="Y366" s="65" t="str">
        <f aca="false">IF(I366="","No SIC",IFERROR(VLOOKUP(I366,Ref!$A$2:$B$65,2,FALSE()),"Unclassified"))</f>
        <v>Engineering, Accounting &amp; Management</v>
      </c>
      <c r="Z366" s="65" t="str">
        <f aca="false">IF(T366="","",IF(T366&lt;12,"Daily","Weekly"))</f>
        <v>Weekly</v>
      </c>
      <c r="AA366" s="65" t="n">
        <f aca="false">IF(T366="",0,IF(T366&lt;12,T366*Controls!$B$29,T366*5))</f>
        <v>120</v>
      </c>
      <c r="AB366" s="65" t="n">
        <f aca="false">IF(E366="",0,NETWORKDAYS(E366,Controls!$B$36,Ref!$K$2:$K$42))</f>
        <v>192</v>
      </c>
      <c r="AC366" s="65" t="n">
        <f aca="false">IF(AND(AA366&gt;0,AB366&gt;=Controls!$B$39*AA366),1,0)</f>
        <v>1</v>
      </c>
      <c r="AD366" s="65" t="n">
        <f aca="false">IF(AND(E366&lt;&gt;"",E366&gt;=Controls!$B$37,E366&lt;=Controls!$B$38),1,0)</f>
        <v>1</v>
      </c>
      <c r="AE366" s="65" t="n">
        <f aca="false">IF(IFERROR(VLOOKUP(D366,Controls!$A$64:$E$74,2,FALSE()),"No")="Yes",1,0)</f>
        <v>1</v>
      </c>
      <c r="AF366" s="65" t="n">
        <f aca="false">IF(IFERROR(VLOOKUP(D366,Controls!$A$64:$E$74,3,FALSE()),"No")="Yes",1,0)</f>
        <v>0</v>
      </c>
      <c r="AG366" s="65" t="n">
        <f aca="false">IF(IFERROR(VLOOKUP(D366,Controls!$A$64:$E$74,4,FALSE()),"No")="Yes",1,0)</f>
        <v>0</v>
      </c>
      <c r="AH366" s="65" t="n">
        <f aca="false">IF(IFERROR(VLOOKUP(D366,Controls!$A$64:$E$74,5,FALSE()),"No")="Yes",1,0)</f>
        <v>0</v>
      </c>
      <c r="AI366" s="65" t="n">
        <f aca="false">IF(ISNUMBER(MATCH(D366,Controls!$A$64:$A$74,0)),1,0)</f>
        <v>1</v>
      </c>
      <c r="AJ366" s="65" t="n">
        <f aca="false">Q366-N366</f>
        <v>-2577.14999999999</v>
      </c>
      <c r="AK366" s="65" t="n">
        <f aca="false">IF(AE366=1,MAX(0,N366-Q366),0)</f>
        <v>2577.14999999999</v>
      </c>
      <c r="AL366" s="65" t="n">
        <f aca="false">IF(OR(V366="",V366=0),0,N366/V366)</f>
        <v>0.131366154939444</v>
      </c>
      <c r="AM366" s="65" t="n">
        <f aca="false">IF(OR(V366="",V366=0),0,1)</f>
        <v>1</v>
      </c>
      <c r="AN366" s="65" t="n">
        <f aca="false">IF(OR(E366="",F366=""),0,NETWORKDAYS(E366,F366,Ref!$K$2:$K$42))</f>
        <v>152</v>
      </c>
      <c r="AO366" s="65" t="n">
        <f aca="false">IF(L366="Renewal",1,0)</f>
        <v>0</v>
      </c>
      <c r="AP366" s="65" t="n">
        <f aca="false">AC366*AD366</f>
        <v>1</v>
      </c>
      <c r="AQ366" s="65" t="n">
        <f aca="false">IF(AND(G366&lt;&gt;"",'Historical Score'!$C$6&lt;&gt;""),IF(G366='Historical Score'!$C$6,1,0),0)</f>
        <v>0</v>
      </c>
      <c r="AR366" s="65" t="n">
        <f aca="false">IF(AND(L366&lt;&gt;"",'Historical Score'!$C$5&lt;&gt;""),IF(L366='Historical Score'!$C$5,1,0),0)</f>
        <v>1</v>
      </c>
      <c r="AS366" s="65" t="n">
        <f aca="false">IF(AND(Y366&lt;&gt;"",'Historical Score'!$C$7&lt;&gt;""),IF(Y366='Historical Score'!$C$7,1,0),0)</f>
        <v>0</v>
      </c>
      <c r="AT366" s="65" t="n">
        <f aca="false">IF(AND(K366&lt;&gt;"",'Historical Score'!$C$8&lt;&gt;""),IF(K366='Historical Score'!$C$8,1,0),0)</f>
        <v>1</v>
      </c>
      <c r="AU366" s="65" t="n">
        <f aca="false">IF(AND(J366&lt;&gt;"",'Historical Score'!$C$9&lt;&gt;""),IF(J366='Historical Score'!$C$9,1,0),0)</f>
        <v>1</v>
      </c>
      <c r="AV366" s="65" t="n">
        <f aca="false">AR366*AS366*AQ366</f>
        <v>0</v>
      </c>
      <c r="AW366" s="65" t="n">
        <f aca="false">AR366*AT366*AQ366</f>
        <v>0</v>
      </c>
      <c r="AX366" s="65" t="n">
        <f aca="false">AR366*AS366</f>
        <v>0</v>
      </c>
      <c r="AY366" s="65" t="n">
        <f aca="false">AR366*AT366</f>
        <v>1</v>
      </c>
      <c r="AZ366" s="65" t="n">
        <f aca="false">AR366*AQ366</f>
        <v>0</v>
      </c>
      <c r="BA366" s="65" t="n">
        <f aca="false">AR366</f>
        <v>1</v>
      </c>
      <c r="BB366" s="65" t="n">
        <f aca="false">1</f>
        <v>1</v>
      </c>
      <c r="BC366" s="65" t="n">
        <f aca="false">IF(AV366=1,1,IF(AW366=1,2,IF(AX366=1,3,IF(AY366=1,4,IF(AZ366=1,5,IF(BA366=1,6,7))))))</f>
        <v>4</v>
      </c>
      <c r="BD366" s="65" t="n">
        <f aca="false">IF(AD366=1,CHOOSE('Historical Score'!$C$29,AV366,AW366,AX366,AY366,AZ366,BA366,BB366),0)</f>
        <v>0</v>
      </c>
      <c r="BE366" s="65" t="str">
        <f aca="false">IF(BD366=1,COUNTIF($BD$2:BD366,1),"")</f>
        <v/>
      </c>
    </row>
    <row r="367" customFormat="false" ht="15" hidden="false" customHeight="false" outlineLevel="0" collapsed="false">
      <c r="A367" s="65" t="s">
        <v>1494</v>
      </c>
      <c r="B367" s="65" t="s">
        <v>1495</v>
      </c>
      <c r="C367" s="65" t="s">
        <v>1495</v>
      </c>
      <c r="D367" s="65" t="s">
        <v>347</v>
      </c>
      <c r="E367" s="112" t="n">
        <v>45981</v>
      </c>
      <c r="F367" s="112" t="n">
        <v>46113</v>
      </c>
      <c r="G367" s="65" t="n">
        <v>3</v>
      </c>
      <c r="H367" s="65" t="s">
        <v>748</v>
      </c>
      <c r="I367" s="65" t="s">
        <v>619</v>
      </c>
      <c r="J367" s="65" t="s">
        <v>61</v>
      </c>
      <c r="K367" s="65" t="s">
        <v>1496</v>
      </c>
      <c r="L367" s="65" t="s">
        <v>64</v>
      </c>
      <c r="M367" s="113" t="n">
        <v>1.49</v>
      </c>
      <c r="N367" s="114" t="n">
        <v>25000</v>
      </c>
      <c r="O367" s="114" t="n">
        <v>3500</v>
      </c>
      <c r="P367" s="114" t="n">
        <v>37250</v>
      </c>
      <c r="Q367" s="114" t="n">
        <v>27182</v>
      </c>
      <c r="R367" s="114" t="n">
        <v>10068</v>
      </c>
      <c r="S367" s="115" t="n">
        <v>0.729718120805369</v>
      </c>
      <c r="T367" s="65" t="n">
        <v>2.951</v>
      </c>
      <c r="U367" s="65" t="n">
        <v>6</v>
      </c>
      <c r="V367" s="65" t="n">
        <v>244687.48</v>
      </c>
      <c r="W367" s="115" t="n">
        <v>0.0355</v>
      </c>
      <c r="X367" s="112"/>
      <c r="Y367" s="65" t="str">
        <f aca="false">IF(I367="","No SIC",IFERROR(VLOOKUP(I367,Ref!$A$2:$B$65,2,FALSE()),"Unclassified"))</f>
        <v>Miscellaneous Retail</v>
      </c>
      <c r="Z367" s="65" t="str">
        <f aca="false">IF(T367="","",IF(T367&lt;12,"Daily","Weekly"))</f>
        <v>Daily</v>
      </c>
      <c r="AA367" s="65" t="n">
        <f aca="false">IF(T367="",0,IF(T367&lt;12,T367*Controls!$B$29,T367*5))</f>
        <v>63.903905</v>
      </c>
      <c r="AB367" s="65" t="n">
        <f aca="false">IF(E367="",0,NETWORKDAYS(E367,Controls!$B$36,Ref!$K$2:$K$42))</f>
        <v>192</v>
      </c>
      <c r="AC367" s="65" t="n">
        <f aca="false">IF(AND(AA367&gt;0,AB367&gt;=Controls!$B$39*AA367),1,0)</f>
        <v>1</v>
      </c>
      <c r="AD367" s="65" t="n">
        <f aca="false">IF(AND(E367&lt;&gt;"",E367&gt;=Controls!$B$37,E367&lt;=Controls!$B$38),1,0)</f>
        <v>1</v>
      </c>
      <c r="AE367" s="65" t="n">
        <f aca="false">IF(IFERROR(VLOOKUP(D367,Controls!$A$64:$E$74,2,FALSE()),"No")="Yes",1,0)</f>
        <v>1</v>
      </c>
      <c r="AF367" s="65" t="n">
        <f aca="false">IF(IFERROR(VLOOKUP(D367,Controls!$A$64:$E$74,3,FALSE()),"No")="Yes",1,0)</f>
        <v>1</v>
      </c>
      <c r="AG367" s="65" t="n">
        <f aca="false">IF(IFERROR(VLOOKUP(D367,Controls!$A$64:$E$74,4,FALSE()),"No")="Yes",1,0)</f>
        <v>0</v>
      </c>
      <c r="AH367" s="65" t="n">
        <f aca="false">IF(IFERROR(VLOOKUP(D367,Controls!$A$64:$E$74,5,FALSE()),"No")="Yes",1,0)</f>
        <v>0</v>
      </c>
      <c r="AI367" s="65" t="n">
        <f aca="false">IF(ISNUMBER(MATCH(D367,Controls!$A$64:$A$74,0)),1,0)</f>
        <v>1</v>
      </c>
      <c r="AJ367" s="65" t="n">
        <f aca="false">Q367-N367</f>
        <v>2182</v>
      </c>
      <c r="AK367" s="65" t="n">
        <f aca="false">IF(AE367=1,MAX(0,N367-Q367),0)</f>
        <v>0</v>
      </c>
      <c r="AL367" s="65" t="n">
        <f aca="false">IF(OR(V367="",V367=0),0,N367/V367)</f>
        <v>0.102171145005049</v>
      </c>
      <c r="AM367" s="65" t="n">
        <f aca="false">IF(OR(V367="",V367=0),0,1)</f>
        <v>1</v>
      </c>
      <c r="AN367" s="65" t="n">
        <f aca="false">IF(OR(E367="",F367=""),0,NETWORKDAYS(E367,F367,Ref!$K$2:$K$42))</f>
        <v>90</v>
      </c>
      <c r="AO367" s="65" t="n">
        <f aca="false">IF(L367="Renewal",1,0)</f>
        <v>0</v>
      </c>
      <c r="AP367" s="65" t="n">
        <f aca="false">AC367*AD367</f>
        <v>1</v>
      </c>
      <c r="AQ367" s="65" t="n">
        <f aca="false">IF(AND(G367&lt;&gt;"",'Historical Score'!$C$6&lt;&gt;""),IF(G367='Historical Score'!$C$6,1,0),0)</f>
        <v>0</v>
      </c>
      <c r="AR367" s="65" t="n">
        <f aca="false">IF(AND(L367&lt;&gt;"",'Historical Score'!$C$5&lt;&gt;""),IF(L367='Historical Score'!$C$5,1,0),0)</f>
        <v>1</v>
      </c>
      <c r="AS367" s="65" t="n">
        <f aca="false">IF(AND(Y367&lt;&gt;"",'Historical Score'!$C$7&lt;&gt;""),IF(Y367='Historical Score'!$C$7,1,0),0)</f>
        <v>0</v>
      </c>
      <c r="AT367" s="65" t="n">
        <f aca="false">IF(AND(K367&lt;&gt;"",'Historical Score'!$C$8&lt;&gt;""),IF(K367='Historical Score'!$C$8,1,0),0)</f>
        <v>0</v>
      </c>
      <c r="AU367" s="65" t="n">
        <f aca="false">IF(AND(J367&lt;&gt;"",'Historical Score'!$C$9&lt;&gt;""),IF(J367='Historical Score'!$C$9,1,0),0)</f>
        <v>1</v>
      </c>
      <c r="AV367" s="65" t="n">
        <f aca="false">AR367*AS367*AQ367</f>
        <v>0</v>
      </c>
      <c r="AW367" s="65" t="n">
        <f aca="false">AR367*AT367*AQ367</f>
        <v>0</v>
      </c>
      <c r="AX367" s="65" t="n">
        <f aca="false">AR367*AS367</f>
        <v>0</v>
      </c>
      <c r="AY367" s="65" t="n">
        <f aca="false">AR367*AT367</f>
        <v>0</v>
      </c>
      <c r="AZ367" s="65" t="n">
        <f aca="false">AR367*AQ367</f>
        <v>0</v>
      </c>
      <c r="BA367" s="65" t="n">
        <f aca="false">AR367</f>
        <v>1</v>
      </c>
      <c r="BB367" s="65" t="n">
        <f aca="false">1</f>
        <v>1</v>
      </c>
      <c r="BC367" s="65" t="n">
        <f aca="false">IF(AV367=1,1,IF(AW367=1,2,IF(AX367=1,3,IF(AY367=1,4,IF(AZ367=1,5,IF(BA367=1,6,7))))))</f>
        <v>6</v>
      </c>
      <c r="BD367" s="65" t="n">
        <f aca="false">IF(AD367=1,CHOOSE('Historical Score'!$C$29,AV367,AW367,AX367,AY367,AZ367,BA367,BB367),0)</f>
        <v>0</v>
      </c>
      <c r="BE367" s="65" t="str">
        <f aca="false">IF(BD367=1,COUNTIF($BD$2:BD367,1),"")</f>
        <v/>
      </c>
    </row>
    <row r="368" customFormat="false" ht="15" hidden="false" customHeight="false" outlineLevel="0" collapsed="false">
      <c r="A368" s="65" t="s">
        <v>1497</v>
      </c>
      <c r="B368" s="65" t="s">
        <v>1498</v>
      </c>
      <c r="C368" s="65" t="s">
        <v>1499</v>
      </c>
      <c r="D368" s="65" t="s">
        <v>533</v>
      </c>
      <c r="E368" s="112" t="n">
        <v>45981</v>
      </c>
      <c r="F368" s="112" t="n">
        <v>46253</v>
      </c>
      <c r="G368" s="65" t="n">
        <v>3</v>
      </c>
      <c r="H368" s="65" t="s">
        <v>1500</v>
      </c>
      <c r="I368" s="65" t="s">
        <v>484</v>
      </c>
      <c r="J368" s="65" t="s">
        <v>410</v>
      </c>
      <c r="K368" s="65" t="s">
        <v>1047</v>
      </c>
      <c r="L368" s="65" t="s">
        <v>64</v>
      </c>
      <c r="M368" s="113" t="n">
        <v>1.49</v>
      </c>
      <c r="N368" s="114" t="n">
        <v>30000</v>
      </c>
      <c r="O368" s="114" t="n">
        <v>4200</v>
      </c>
      <c r="P368" s="114" t="n">
        <v>44700</v>
      </c>
      <c r="Q368" s="114" t="n">
        <v>20154.55</v>
      </c>
      <c r="R368" s="114" t="n">
        <v>24545.45</v>
      </c>
      <c r="S368" s="115" t="n">
        <v>0.450884787472036</v>
      </c>
      <c r="T368" s="65" t="n">
        <v>26</v>
      </c>
      <c r="U368" s="65" t="n">
        <v>22</v>
      </c>
      <c r="V368" s="65" t="n">
        <v>101173.27</v>
      </c>
      <c r="W368" s="115" t="n">
        <v>0.068</v>
      </c>
      <c r="X368" s="112" t="n">
        <v>44470</v>
      </c>
      <c r="Y368" s="65" t="str">
        <f aca="false">IF(I368="","No SIC",IFERROR(VLOOKUP(I368,Ref!$A$2:$B$65,2,FALSE()),"Unclassified"))</f>
        <v>Special Trade Contractors</v>
      </c>
      <c r="Z368" s="65" t="str">
        <f aca="false">IF(T368="","",IF(T368&lt;12,"Daily","Weekly"))</f>
        <v>Weekly</v>
      </c>
      <c r="AA368" s="65" t="n">
        <f aca="false">IF(T368="",0,IF(T368&lt;12,T368*Controls!$B$29,T368*5))</f>
        <v>130</v>
      </c>
      <c r="AB368" s="65" t="n">
        <f aca="false">IF(E368="",0,NETWORKDAYS(E368,Controls!$B$36,Ref!$K$2:$K$42))</f>
        <v>192</v>
      </c>
      <c r="AC368" s="65" t="n">
        <f aca="false">IF(AND(AA368&gt;0,AB368&gt;=Controls!$B$39*AA368),1,0)</f>
        <v>1</v>
      </c>
      <c r="AD368" s="65" t="n">
        <f aca="false">IF(AND(E368&lt;&gt;"",E368&gt;=Controls!$B$37,E368&lt;=Controls!$B$38),1,0)</f>
        <v>1</v>
      </c>
      <c r="AE368" s="65" t="n">
        <f aca="false">IF(IFERROR(VLOOKUP(D368,Controls!$A$64:$E$74,2,FALSE()),"No")="Yes",1,0)</f>
        <v>1</v>
      </c>
      <c r="AF368" s="65" t="n">
        <f aca="false">IF(IFERROR(VLOOKUP(D368,Controls!$A$64:$E$74,3,FALSE()),"No")="Yes",1,0)</f>
        <v>0</v>
      </c>
      <c r="AG368" s="65" t="n">
        <f aca="false">IF(IFERROR(VLOOKUP(D368,Controls!$A$64:$E$74,4,FALSE()),"No")="Yes",1,0)</f>
        <v>0</v>
      </c>
      <c r="AH368" s="65" t="n">
        <f aca="false">IF(IFERROR(VLOOKUP(D368,Controls!$A$64:$E$74,5,FALSE()),"No")="Yes",1,0)</f>
        <v>0</v>
      </c>
      <c r="AI368" s="65" t="n">
        <f aca="false">IF(ISNUMBER(MATCH(D368,Controls!$A$64:$A$74,0)),1,0)</f>
        <v>1</v>
      </c>
      <c r="AJ368" s="65" t="n">
        <f aca="false">Q368-N368</f>
        <v>-9845.45</v>
      </c>
      <c r="AK368" s="65" t="n">
        <f aca="false">IF(AE368=1,MAX(0,N368-Q368),0)</f>
        <v>9845.45</v>
      </c>
      <c r="AL368" s="65" t="n">
        <f aca="false">IF(OR(V368="",V368=0),0,N368/V368)</f>
        <v>0.296521007969793</v>
      </c>
      <c r="AM368" s="65" t="n">
        <f aca="false">IF(OR(V368="",V368=0),0,1)</f>
        <v>1</v>
      </c>
      <c r="AN368" s="65" t="n">
        <f aca="false">IF(OR(E368="",F368=""),0,NETWORKDAYS(E368,F368,Ref!$K$2:$K$42))</f>
        <v>188</v>
      </c>
      <c r="AO368" s="65" t="n">
        <f aca="false">IF(L368="Renewal",1,0)</f>
        <v>0</v>
      </c>
      <c r="AP368" s="65" t="n">
        <f aca="false">AC368*AD368</f>
        <v>1</v>
      </c>
      <c r="AQ368" s="65" t="n">
        <f aca="false">IF(AND(G368&lt;&gt;"",'Historical Score'!$C$6&lt;&gt;""),IF(G368='Historical Score'!$C$6,1,0),0)</f>
        <v>0</v>
      </c>
      <c r="AR368" s="65" t="n">
        <f aca="false">IF(AND(L368&lt;&gt;"",'Historical Score'!$C$5&lt;&gt;""),IF(L368='Historical Score'!$C$5,1,0),0)</f>
        <v>1</v>
      </c>
      <c r="AS368" s="65" t="n">
        <f aca="false">IF(AND(Y368&lt;&gt;"",'Historical Score'!$C$7&lt;&gt;""),IF(Y368='Historical Score'!$C$7,1,0),0)</f>
        <v>0</v>
      </c>
      <c r="AT368" s="65" t="n">
        <f aca="false">IF(AND(K368&lt;&gt;"",'Historical Score'!$C$8&lt;&gt;""),IF(K368='Historical Score'!$C$8,1,0),0)</f>
        <v>0</v>
      </c>
      <c r="AU368" s="65" t="n">
        <f aca="false">IF(AND(J368&lt;&gt;"",'Historical Score'!$C$9&lt;&gt;""),IF(J368='Historical Score'!$C$9,1,0),0)</f>
        <v>0</v>
      </c>
      <c r="AV368" s="65" t="n">
        <f aca="false">AR368*AS368*AQ368</f>
        <v>0</v>
      </c>
      <c r="AW368" s="65" t="n">
        <f aca="false">AR368*AT368*AQ368</f>
        <v>0</v>
      </c>
      <c r="AX368" s="65" t="n">
        <f aca="false">AR368*AS368</f>
        <v>0</v>
      </c>
      <c r="AY368" s="65" t="n">
        <f aca="false">AR368*AT368</f>
        <v>0</v>
      </c>
      <c r="AZ368" s="65" t="n">
        <f aca="false">AR368*AQ368</f>
        <v>0</v>
      </c>
      <c r="BA368" s="65" t="n">
        <f aca="false">AR368</f>
        <v>1</v>
      </c>
      <c r="BB368" s="65" t="n">
        <f aca="false">1</f>
        <v>1</v>
      </c>
      <c r="BC368" s="65" t="n">
        <f aca="false">IF(AV368=1,1,IF(AW368=1,2,IF(AX368=1,3,IF(AY368=1,4,IF(AZ368=1,5,IF(BA368=1,6,7))))))</f>
        <v>6</v>
      </c>
      <c r="BD368" s="65" t="n">
        <f aca="false">IF(AD368=1,CHOOSE('Historical Score'!$C$29,AV368,AW368,AX368,AY368,AZ368,BA368,BB368),0)</f>
        <v>0</v>
      </c>
      <c r="BE368" s="65" t="str">
        <f aca="false">IF(BD368=1,COUNTIF($BD$2:BD368,1),"")</f>
        <v/>
      </c>
    </row>
    <row r="369" customFormat="false" ht="15" hidden="false" customHeight="false" outlineLevel="0" collapsed="false">
      <c r="A369" s="65" t="s">
        <v>1501</v>
      </c>
      <c r="B369" s="65" t="s">
        <v>1502</v>
      </c>
      <c r="C369" s="65" t="s">
        <v>1502</v>
      </c>
      <c r="D369" s="65" t="s">
        <v>340</v>
      </c>
      <c r="E369" s="112" t="n">
        <v>45981</v>
      </c>
      <c r="F369" s="112" t="n">
        <v>46048</v>
      </c>
      <c r="G369" s="65" t="n">
        <v>1</v>
      </c>
      <c r="H369" s="65" t="s">
        <v>494</v>
      </c>
      <c r="I369" s="65" t="s">
        <v>484</v>
      </c>
      <c r="J369" s="65" t="s">
        <v>506</v>
      </c>
      <c r="K369" s="65" t="s">
        <v>55</v>
      </c>
      <c r="L369" s="65" t="s">
        <v>64</v>
      </c>
      <c r="M369" s="113" t="n">
        <v>1.49</v>
      </c>
      <c r="N369" s="114" t="n">
        <v>11500</v>
      </c>
      <c r="O369" s="114" t="n">
        <v>1610</v>
      </c>
      <c r="P369" s="114" t="n">
        <v>17135</v>
      </c>
      <c r="Q369" s="114" t="n">
        <v>7237.1</v>
      </c>
      <c r="R369" s="114" t="n">
        <v>9897.9</v>
      </c>
      <c r="S369" s="115" t="n">
        <v>0.422357747300846</v>
      </c>
      <c r="T369" s="65" t="n">
        <v>2.951</v>
      </c>
      <c r="U369" s="65" t="n">
        <v>5</v>
      </c>
      <c r="V369" s="65" t="n">
        <v>46130.09</v>
      </c>
      <c r="W369" s="115" t="n">
        <v>0.0867</v>
      </c>
      <c r="X369" s="112" t="n">
        <v>44411</v>
      </c>
      <c r="Y369" s="65" t="str">
        <f aca="false">IF(I369="","No SIC",IFERROR(VLOOKUP(I369,Ref!$A$2:$B$65,2,FALSE()),"Unclassified"))</f>
        <v>Special Trade Contractors</v>
      </c>
      <c r="Z369" s="65" t="str">
        <f aca="false">IF(T369="","",IF(T369&lt;12,"Daily","Weekly"))</f>
        <v>Daily</v>
      </c>
      <c r="AA369" s="65" t="n">
        <f aca="false">IF(T369="",0,IF(T369&lt;12,T369*Controls!$B$29,T369*5))</f>
        <v>63.903905</v>
      </c>
      <c r="AB369" s="65" t="n">
        <f aca="false">IF(E369="",0,NETWORKDAYS(E369,Controls!$B$36,Ref!$K$2:$K$42))</f>
        <v>192</v>
      </c>
      <c r="AC369" s="65" t="n">
        <f aca="false">IF(AND(AA369&gt;0,AB369&gt;=Controls!$B$39*AA369),1,0)</f>
        <v>1</v>
      </c>
      <c r="AD369" s="65" t="n">
        <f aca="false">IF(AND(E369&lt;&gt;"",E369&gt;=Controls!$B$37,E369&lt;=Controls!$B$38),1,0)</f>
        <v>1</v>
      </c>
      <c r="AE369" s="65" t="n">
        <f aca="false">IF(IFERROR(VLOOKUP(D369,Controls!$A$64:$E$74,2,FALSE()),"No")="Yes",1,0)</f>
        <v>1</v>
      </c>
      <c r="AF369" s="65" t="n">
        <f aca="false">IF(IFERROR(VLOOKUP(D369,Controls!$A$64:$E$74,3,FALSE()),"No")="Yes",1,0)</f>
        <v>0</v>
      </c>
      <c r="AG369" s="65" t="n">
        <f aca="false">IF(IFERROR(VLOOKUP(D369,Controls!$A$64:$E$74,4,FALSE()),"No")="Yes",1,0)</f>
        <v>0</v>
      </c>
      <c r="AH369" s="65" t="n">
        <f aca="false">IF(IFERROR(VLOOKUP(D369,Controls!$A$64:$E$74,5,FALSE()),"No")="Yes",1,0)</f>
        <v>0</v>
      </c>
      <c r="AI369" s="65" t="n">
        <f aca="false">IF(ISNUMBER(MATCH(D369,Controls!$A$64:$A$74,0)),1,0)</f>
        <v>1</v>
      </c>
      <c r="AJ369" s="65" t="n">
        <f aca="false">Q369-N369</f>
        <v>-4262.9</v>
      </c>
      <c r="AK369" s="65" t="n">
        <f aca="false">IF(AE369=1,MAX(0,N369-Q369),0)</f>
        <v>4262.9</v>
      </c>
      <c r="AL369" s="65" t="n">
        <f aca="false">IF(OR(V369="",V369=0),0,N369/V369)</f>
        <v>0.249294982949307</v>
      </c>
      <c r="AM369" s="65" t="n">
        <f aca="false">IF(OR(V369="",V369=0),0,1)</f>
        <v>1</v>
      </c>
      <c r="AN369" s="65" t="n">
        <f aca="false">IF(OR(E369="",F369=""),0,NETWORKDAYS(E369,F369,Ref!$K$2:$K$42))</f>
        <v>44</v>
      </c>
      <c r="AO369" s="65" t="n">
        <f aca="false">IF(L369="Renewal",1,0)</f>
        <v>0</v>
      </c>
      <c r="AP369" s="65" t="n">
        <f aca="false">AC369*AD369</f>
        <v>1</v>
      </c>
      <c r="AQ369" s="65" t="n">
        <f aca="false">IF(AND(G369&lt;&gt;"",'Historical Score'!$C$6&lt;&gt;""),IF(G369='Historical Score'!$C$6,1,0),0)</f>
        <v>0</v>
      </c>
      <c r="AR369" s="65" t="n">
        <f aca="false">IF(AND(L369&lt;&gt;"",'Historical Score'!$C$5&lt;&gt;""),IF(L369='Historical Score'!$C$5,1,0),0)</f>
        <v>1</v>
      </c>
      <c r="AS369" s="65" t="n">
        <f aca="false">IF(AND(Y369&lt;&gt;"",'Historical Score'!$C$7&lt;&gt;""),IF(Y369='Historical Score'!$C$7,1,0),0)</f>
        <v>0</v>
      </c>
      <c r="AT369" s="65" t="n">
        <f aca="false">IF(AND(K369&lt;&gt;"",'Historical Score'!$C$8&lt;&gt;""),IF(K369='Historical Score'!$C$8,1,0),0)</f>
        <v>1</v>
      </c>
      <c r="AU369" s="65" t="n">
        <f aca="false">IF(AND(J369&lt;&gt;"",'Historical Score'!$C$9&lt;&gt;""),IF(J369='Historical Score'!$C$9,1,0),0)</f>
        <v>0</v>
      </c>
      <c r="AV369" s="65" t="n">
        <f aca="false">AR369*AS369*AQ369</f>
        <v>0</v>
      </c>
      <c r="AW369" s="65" t="n">
        <f aca="false">AR369*AT369*AQ369</f>
        <v>0</v>
      </c>
      <c r="AX369" s="65" t="n">
        <f aca="false">AR369*AS369</f>
        <v>0</v>
      </c>
      <c r="AY369" s="65" t="n">
        <f aca="false">AR369*AT369</f>
        <v>1</v>
      </c>
      <c r="AZ369" s="65" t="n">
        <f aca="false">AR369*AQ369</f>
        <v>0</v>
      </c>
      <c r="BA369" s="65" t="n">
        <f aca="false">AR369</f>
        <v>1</v>
      </c>
      <c r="BB369" s="65" t="n">
        <f aca="false">1</f>
        <v>1</v>
      </c>
      <c r="BC369" s="65" t="n">
        <f aca="false">IF(AV369=1,1,IF(AW369=1,2,IF(AX369=1,3,IF(AY369=1,4,IF(AZ369=1,5,IF(BA369=1,6,7))))))</f>
        <v>4</v>
      </c>
      <c r="BD369" s="65" t="n">
        <f aca="false">IF(AD369=1,CHOOSE('Historical Score'!$C$29,AV369,AW369,AX369,AY369,AZ369,BA369,BB369),0)</f>
        <v>0</v>
      </c>
      <c r="BE369" s="65" t="str">
        <f aca="false">IF(BD369=1,COUNTIF($BD$2:BD369,1),"")</f>
        <v/>
      </c>
    </row>
    <row r="370" customFormat="false" ht="15" hidden="false" customHeight="false" outlineLevel="0" collapsed="false">
      <c r="A370" s="65" t="s">
        <v>1503</v>
      </c>
      <c r="B370" s="65" t="s">
        <v>1504</v>
      </c>
      <c r="C370" s="65" t="s">
        <v>1504</v>
      </c>
      <c r="D370" s="65" t="s">
        <v>371</v>
      </c>
      <c r="E370" s="112" t="n">
        <v>45982</v>
      </c>
      <c r="F370" s="112" t="n">
        <v>46178</v>
      </c>
      <c r="G370" s="65" t="n">
        <v>1</v>
      </c>
      <c r="H370" s="65" t="s">
        <v>1505</v>
      </c>
      <c r="I370" s="65" t="s">
        <v>1506</v>
      </c>
      <c r="J370" s="65" t="s">
        <v>61</v>
      </c>
      <c r="K370" s="65" t="s">
        <v>961</v>
      </c>
      <c r="L370" s="65" t="s">
        <v>64</v>
      </c>
      <c r="M370" s="113" t="n">
        <v>1.42</v>
      </c>
      <c r="N370" s="114" t="n">
        <v>85000</v>
      </c>
      <c r="O370" s="114" t="n">
        <v>11900</v>
      </c>
      <c r="P370" s="114" t="n">
        <v>120700</v>
      </c>
      <c r="Q370" s="114" t="n">
        <v>120700</v>
      </c>
      <c r="R370" s="114" t="n">
        <v>0</v>
      </c>
      <c r="S370" s="115" t="n">
        <v>1</v>
      </c>
      <c r="T370" s="65" t="n">
        <v>28</v>
      </c>
      <c r="U370" s="65" t="n">
        <v>0</v>
      </c>
      <c r="V370" s="65" t="n">
        <v>128693.84</v>
      </c>
      <c r="W370" s="115" t="n">
        <v>0.134</v>
      </c>
      <c r="X370" s="112" t="n">
        <v>45544</v>
      </c>
      <c r="Y370" s="65" t="str">
        <f aca="false">IF(I370="","No SIC",IFERROR(VLOOKUP(I370,Ref!$A$2:$B$65,2,FALSE()),"Unclassified"))</f>
        <v>Environmental Quality &amp; Housing</v>
      </c>
      <c r="Z370" s="65" t="str">
        <f aca="false">IF(T370="","",IF(T370&lt;12,"Daily","Weekly"))</f>
        <v>Weekly</v>
      </c>
      <c r="AA370" s="65" t="n">
        <f aca="false">IF(T370="",0,IF(T370&lt;12,T370*Controls!$B$29,T370*5))</f>
        <v>140</v>
      </c>
      <c r="AB370" s="65" t="n">
        <f aca="false">IF(E370="",0,NETWORKDAYS(E370,Controls!$B$36,Ref!$K$2:$K$42))</f>
        <v>191</v>
      </c>
      <c r="AC370" s="65" t="n">
        <f aca="false">IF(AND(AA370&gt;0,AB370&gt;=Controls!$B$39*AA370),1,0)</f>
        <v>1</v>
      </c>
      <c r="AD370" s="65" t="n">
        <f aca="false">IF(AND(E370&lt;&gt;"",E370&gt;=Controls!$B$37,E370&lt;=Controls!$B$38),1,0)</f>
        <v>1</v>
      </c>
      <c r="AE370" s="65" t="n">
        <f aca="false">IF(IFERROR(VLOOKUP(D370,Controls!$A$64:$E$74,2,FALSE()),"No")="Yes",1,0)</f>
        <v>0</v>
      </c>
      <c r="AF370" s="65" t="n">
        <f aca="false">IF(IFERROR(VLOOKUP(D370,Controls!$A$64:$E$74,3,FALSE()),"No")="Yes",1,0)</f>
        <v>1</v>
      </c>
      <c r="AG370" s="65" t="n">
        <f aca="false">IF(IFERROR(VLOOKUP(D370,Controls!$A$64:$E$74,4,FALSE()),"No")="Yes",1,0)</f>
        <v>1</v>
      </c>
      <c r="AH370" s="65" t="n">
        <f aca="false">IF(IFERROR(VLOOKUP(D370,Controls!$A$64:$E$74,5,FALSE()),"No")="Yes",1,0)</f>
        <v>0</v>
      </c>
      <c r="AI370" s="65" t="n">
        <f aca="false">IF(ISNUMBER(MATCH(D370,Controls!$A$64:$A$74,0)),1,0)</f>
        <v>1</v>
      </c>
      <c r="AJ370" s="65" t="n">
        <f aca="false">Q370-N370</f>
        <v>35700</v>
      </c>
      <c r="AK370" s="65" t="n">
        <f aca="false">IF(AE370=1,MAX(0,N370-Q370),0)</f>
        <v>0</v>
      </c>
      <c r="AL370" s="65" t="n">
        <f aca="false">IF(OR(V370="",V370=0),0,N370/V370)</f>
        <v>0.660482273277416</v>
      </c>
      <c r="AM370" s="65" t="n">
        <f aca="false">IF(OR(V370="",V370=0),0,1)</f>
        <v>1</v>
      </c>
      <c r="AN370" s="65" t="n">
        <f aca="false">IF(OR(E370="",F370=""),0,NETWORKDAYS(E370,F370,Ref!$K$2:$K$42))</f>
        <v>135</v>
      </c>
      <c r="AO370" s="65" t="n">
        <f aca="false">IF(L370="Renewal",1,0)</f>
        <v>0</v>
      </c>
      <c r="AP370" s="65" t="n">
        <f aca="false">AC370*AD370</f>
        <v>1</v>
      </c>
      <c r="AQ370" s="65" t="n">
        <f aca="false">IF(AND(G370&lt;&gt;"",'Historical Score'!$C$6&lt;&gt;""),IF(G370='Historical Score'!$C$6,1,0),0)</f>
        <v>0</v>
      </c>
      <c r="AR370" s="65" t="n">
        <f aca="false">IF(AND(L370&lt;&gt;"",'Historical Score'!$C$5&lt;&gt;""),IF(L370='Historical Score'!$C$5,1,0),0)</f>
        <v>1</v>
      </c>
      <c r="AS370" s="65" t="n">
        <f aca="false">IF(AND(Y370&lt;&gt;"",'Historical Score'!$C$7&lt;&gt;""),IF(Y370='Historical Score'!$C$7,1,0),0)</f>
        <v>0</v>
      </c>
      <c r="AT370" s="65" t="n">
        <f aca="false">IF(AND(K370&lt;&gt;"",'Historical Score'!$C$8&lt;&gt;""),IF(K370='Historical Score'!$C$8,1,0),0)</f>
        <v>0</v>
      </c>
      <c r="AU370" s="65" t="n">
        <f aca="false">IF(AND(J370&lt;&gt;"",'Historical Score'!$C$9&lt;&gt;""),IF(J370='Historical Score'!$C$9,1,0),0)</f>
        <v>1</v>
      </c>
      <c r="AV370" s="65" t="n">
        <f aca="false">AR370*AS370*AQ370</f>
        <v>0</v>
      </c>
      <c r="AW370" s="65" t="n">
        <f aca="false">AR370*AT370*AQ370</f>
        <v>0</v>
      </c>
      <c r="AX370" s="65" t="n">
        <f aca="false">AR370*AS370</f>
        <v>0</v>
      </c>
      <c r="AY370" s="65" t="n">
        <f aca="false">AR370*AT370</f>
        <v>0</v>
      </c>
      <c r="AZ370" s="65" t="n">
        <f aca="false">AR370*AQ370</f>
        <v>0</v>
      </c>
      <c r="BA370" s="65" t="n">
        <f aca="false">AR370</f>
        <v>1</v>
      </c>
      <c r="BB370" s="65" t="n">
        <f aca="false">1</f>
        <v>1</v>
      </c>
      <c r="BC370" s="65" t="n">
        <f aca="false">IF(AV370=1,1,IF(AW370=1,2,IF(AX370=1,3,IF(AY370=1,4,IF(AZ370=1,5,IF(BA370=1,6,7))))))</f>
        <v>6</v>
      </c>
      <c r="BD370" s="65" t="n">
        <f aca="false">IF(AD370=1,CHOOSE('Historical Score'!$C$29,AV370,AW370,AX370,AY370,AZ370,BA370,BB370),0)</f>
        <v>0</v>
      </c>
      <c r="BE370" s="65" t="str">
        <f aca="false">IF(BD370=1,COUNTIF($BD$2:BD370,1),"")</f>
        <v/>
      </c>
    </row>
    <row r="371" customFormat="false" ht="15" hidden="false" customHeight="false" outlineLevel="0" collapsed="false">
      <c r="A371" s="65" t="s">
        <v>1507</v>
      </c>
      <c r="B371" s="65" t="s">
        <v>1508</v>
      </c>
      <c r="C371" s="65" t="s">
        <v>1509</v>
      </c>
      <c r="D371" s="65" t="s">
        <v>371</v>
      </c>
      <c r="E371" s="112" t="n">
        <v>45982</v>
      </c>
      <c r="F371" s="112" t="n">
        <v>46101</v>
      </c>
      <c r="G371" s="65" t="n">
        <v>4</v>
      </c>
      <c r="H371" s="65" t="s">
        <v>409</v>
      </c>
      <c r="I371" s="65" t="s">
        <v>342</v>
      </c>
      <c r="J371" s="65" t="s">
        <v>350</v>
      </c>
      <c r="K371" s="65" t="s">
        <v>1204</v>
      </c>
      <c r="L371" s="65" t="s">
        <v>64</v>
      </c>
      <c r="M371" s="113" t="n">
        <v>1.4</v>
      </c>
      <c r="N371" s="114" t="n">
        <v>20000</v>
      </c>
      <c r="O371" s="114" t="n">
        <v>1900</v>
      </c>
      <c r="P371" s="114" t="n">
        <v>28000</v>
      </c>
      <c r="Q371" s="114" t="n">
        <v>28000</v>
      </c>
      <c r="R371" s="114" t="n">
        <v>0</v>
      </c>
      <c r="S371" s="115" t="n">
        <v>1</v>
      </c>
      <c r="T371" s="65" t="n">
        <v>2.623</v>
      </c>
      <c r="U371" s="65" t="n">
        <v>0</v>
      </c>
      <c r="V371" s="65" t="n">
        <v>131910.62</v>
      </c>
      <c r="W371" s="115" t="n">
        <v>0.0557</v>
      </c>
      <c r="X371" s="112"/>
      <c r="Y371" s="65" t="str">
        <f aca="false">IF(I371="","No SIC",IFERROR(VLOOKUP(I371,Ref!$A$2:$B$65,2,FALSE()),"Unclassified"))</f>
        <v>Eating &amp; Drinking Places</v>
      </c>
      <c r="Z371" s="65" t="str">
        <f aca="false">IF(T371="","",IF(T371&lt;12,"Daily","Weekly"))</f>
        <v>Daily</v>
      </c>
      <c r="AA371" s="65" t="n">
        <f aca="false">IF(T371="",0,IF(T371&lt;12,T371*Controls!$B$29,T371*5))</f>
        <v>56.801065</v>
      </c>
      <c r="AB371" s="65" t="n">
        <f aca="false">IF(E371="",0,NETWORKDAYS(E371,Controls!$B$36,Ref!$K$2:$K$42))</f>
        <v>191</v>
      </c>
      <c r="AC371" s="65" t="n">
        <f aca="false">IF(AND(AA371&gt;0,AB371&gt;=Controls!$B$39*AA371),1,0)</f>
        <v>1</v>
      </c>
      <c r="AD371" s="65" t="n">
        <f aca="false">IF(AND(E371&lt;&gt;"",E371&gt;=Controls!$B$37,E371&lt;=Controls!$B$38),1,0)</f>
        <v>1</v>
      </c>
      <c r="AE371" s="65" t="n">
        <f aca="false">IF(IFERROR(VLOOKUP(D371,Controls!$A$64:$E$74,2,FALSE()),"No")="Yes",1,0)</f>
        <v>0</v>
      </c>
      <c r="AF371" s="65" t="n">
        <f aca="false">IF(IFERROR(VLOOKUP(D371,Controls!$A$64:$E$74,3,FALSE()),"No")="Yes",1,0)</f>
        <v>1</v>
      </c>
      <c r="AG371" s="65" t="n">
        <f aca="false">IF(IFERROR(VLOOKUP(D371,Controls!$A$64:$E$74,4,FALSE()),"No")="Yes",1,0)</f>
        <v>1</v>
      </c>
      <c r="AH371" s="65" t="n">
        <f aca="false">IF(IFERROR(VLOOKUP(D371,Controls!$A$64:$E$74,5,FALSE()),"No")="Yes",1,0)</f>
        <v>0</v>
      </c>
      <c r="AI371" s="65" t="n">
        <f aca="false">IF(ISNUMBER(MATCH(D371,Controls!$A$64:$A$74,0)),1,0)</f>
        <v>1</v>
      </c>
      <c r="AJ371" s="65" t="n">
        <f aca="false">Q371-N371</f>
        <v>8000</v>
      </c>
      <c r="AK371" s="65" t="n">
        <f aca="false">IF(AE371=1,MAX(0,N371-Q371),0)</f>
        <v>0</v>
      </c>
      <c r="AL371" s="65" t="n">
        <f aca="false">IF(OR(V371="",V371=0),0,N371/V371)</f>
        <v>0.151617815153928</v>
      </c>
      <c r="AM371" s="65" t="n">
        <f aca="false">IF(OR(V371="",V371=0),0,1)</f>
        <v>1</v>
      </c>
      <c r="AN371" s="65" t="n">
        <f aca="false">IF(OR(E371="",F371=""),0,NETWORKDAYS(E371,F371,Ref!$K$2:$K$42))</f>
        <v>81</v>
      </c>
      <c r="AO371" s="65" t="n">
        <f aca="false">IF(L371="Renewal",1,0)</f>
        <v>0</v>
      </c>
      <c r="AP371" s="65" t="n">
        <f aca="false">AC371*AD371</f>
        <v>1</v>
      </c>
      <c r="AQ371" s="65" t="n">
        <f aca="false">IF(AND(G371&lt;&gt;"",'Historical Score'!$C$6&lt;&gt;""),IF(G371='Historical Score'!$C$6,1,0),0)</f>
        <v>0</v>
      </c>
      <c r="AR371" s="65" t="n">
        <f aca="false">IF(AND(L371&lt;&gt;"",'Historical Score'!$C$5&lt;&gt;""),IF(L371='Historical Score'!$C$5,1,0),0)</f>
        <v>1</v>
      </c>
      <c r="AS371" s="65" t="n">
        <f aca="false">IF(AND(Y371&lt;&gt;"",'Historical Score'!$C$7&lt;&gt;""),IF(Y371='Historical Score'!$C$7,1,0),0)</f>
        <v>0</v>
      </c>
      <c r="AT371" s="65" t="n">
        <f aca="false">IF(AND(K371&lt;&gt;"",'Historical Score'!$C$8&lt;&gt;""),IF(K371='Historical Score'!$C$8,1,0),0)</f>
        <v>0</v>
      </c>
      <c r="AU371" s="65" t="n">
        <f aca="false">IF(AND(J371&lt;&gt;"",'Historical Score'!$C$9&lt;&gt;""),IF(J371='Historical Score'!$C$9,1,0),0)</f>
        <v>0</v>
      </c>
      <c r="AV371" s="65" t="n">
        <f aca="false">AR371*AS371*AQ371</f>
        <v>0</v>
      </c>
      <c r="AW371" s="65" t="n">
        <f aca="false">AR371*AT371*AQ371</f>
        <v>0</v>
      </c>
      <c r="AX371" s="65" t="n">
        <f aca="false">AR371*AS371</f>
        <v>0</v>
      </c>
      <c r="AY371" s="65" t="n">
        <f aca="false">AR371*AT371</f>
        <v>0</v>
      </c>
      <c r="AZ371" s="65" t="n">
        <f aca="false">AR371*AQ371</f>
        <v>0</v>
      </c>
      <c r="BA371" s="65" t="n">
        <f aca="false">AR371</f>
        <v>1</v>
      </c>
      <c r="BB371" s="65" t="n">
        <f aca="false">1</f>
        <v>1</v>
      </c>
      <c r="BC371" s="65" t="n">
        <f aca="false">IF(AV371=1,1,IF(AW371=1,2,IF(AX371=1,3,IF(AY371=1,4,IF(AZ371=1,5,IF(BA371=1,6,7))))))</f>
        <v>6</v>
      </c>
      <c r="BD371" s="65" t="n">
        <f aca="false">IF(AD371=1,CHOOSE('Historical Score'!$C$29,AV371,AW371,AX371,AY371,AZ371,BA371,BB371),0)</f>
        <v>0</v>
      </c>
      <c r="BE371" s="65" t="str">
        <f aca="false">IF(BD371=1,COUNTIF($BD$2:BD371,1),"")</f>
        <v/>
      </c>
    </row>
    <row r="372" customFormat="false" ht="15" hidden="false" customHeight="false" outlineLevel="0" collapsed="false">
      <c r="A372" s="65" t="s">
        <v>1510</v>
      </c>
      <c r="B372" s="65" t="s">
        <v>1511</v>
      </c>
      <c r="C372" s="65" t="s">
        <v>1512</v>
      </c>
      <c r="D372" s="65" t="s">
        <v>340</v>
      </c>
      <c r="E372" s="112" t="n">
        <v>45982</v>
      </c>
      <c r="F372" s="112" t="n">
        <v>46050</v>
      </c>
      <c r="G372" s="65" t="n">
        <v>1</v>
      </c>
      <c r="H372" s="65" t="s">
        <v>409</v>
      </c>
      <c r="I372" s="65" t="s">
        <v>342</v>
      </c>
      <c r="J372" s="65" t="s">
        <v>1421</v>
      </c>
      <c r="K372" s="65" t="s">
        <v>538</v>
      </c>
      <c r="L372" s="65" t="s">
        <v>64</v>
      </c>
      <c r="M372" s="113" t="n">
        <v>1.49</v>
      </c>
      <c r="N372" s="114" t="n">
        <v>15000</v>
      </c>
      <c r="O372" s="114" t="n">
        <v>0</v>
      </c>
      <c r="P372" s="114" t="n">
        <v>22350</v>
      </c>
      <c r="Q372" s="114" t="n">
        <v>1015.42</v>
      </c>
      <c r="R372" s="114" t="n">
        <v>21334.58</v>
      </c>
      <c r="S372" s="115" t="n">
        <v>0.0454326621923937</v>
      </c>
      <c r="T372" s="65" t="n">
        <v>22</v>
      </c>
      <c r="U372" s="65" t="n">
        <v>18</v>
      </c>
      <c r="V372" s="65" t="n">
        <v>51807.24</v>
      </c>
      <c r="W372" s="115" t="n">
        <v>0.0784</v>
      </c>
      <c r="X372" s="112" t="n">
        <v>45642</v>
      </c>
      <c r="Y372" s="65" t="str">
        <f aca="false">IF(I372="","No SIC",IFERROR(VLOOKUP(I372,Ref!$A$2:$B$65,2,FALSE()),"Unclassified"))</f>
        <v>Eating &amp; Drinking Places</v>
      </c>
      <c r="Z372" s="65" t="str">
        <f aca="false">IF(T372="","",IF(T372&lt;12,"Daily","Weekly"))</f>
        <v>Weekly</v>
      </c>
      <c r="AA372" s="65" t="n">
        <f aca="false">IF(T372="",0,IF(T372&lt;12,T372*Controls!$B$29,T372*5))</f>
        <v>110</v>
      </c>
      <c r="AB372" s="65" t="n">
        <f aca="false">IF(E372="",0,NETWORKDAYS(E372,Controls!$B$36,Ref!$K$2:$K$42))</f>
        <v>191</v>
      </c>
      <c r="AC372" s="65" t="n">
        <f aca="false">IF(AND(AA372&gt;0,AB372&gt;=Controls!$B$39*AA372),1,0)</f>
        <v>1</v>
      </c>
      <c r="AD372" s="65" t="n">
        <f aca="false">IF(AND(E372&lt;&gt;"",E372&gt;=Controls!$B$37,E372&lt;=Controls!$B$38),1,0)</f>
        <v>1</v>
      </c>
      <c r="AE372" s="65" t="n">
        <f aca="false">IF(IFERROR(VLOOKUP(D372,Controls!$A$64:$E$74,2,FALSE()),"No")="Yes",1,0)</f>
        <v>1</v>
      </c>
      <c r="AF372" s="65" t="n">
        <f aca="false">IF(IFERROR(VLOOKUP(D372,Controls!$A$64:$E$74,3,FALSE()),"No")="Yes",1,0)</f>
        <v>0</v>
      </c>
      <c r="AG372" s="65" t="n">
        <f aca="false">IF(IFERROR(VLOOKUP(D372,Controls!$A$64:$E$74,4,FALSE()),"No")="Yes",1,0)</f>
        <v>0</v>
      </c>
      <c r="AH372" s="65" t="n">
        <f aca="false">IF(IFERROR(VLOOKUP(D372,Controls!$A$64:$E$74,5,FALSE()),"No")="Yes",1,0)</f>
        <v>0</v>
      </c>
      <c r="AI372" s="65" t="n">
        <f aca="false">IF(ISNUMBER(MATCH(D372,Controls!$A$64:$A$74,0)),1,0)</f>
        <v>1</v>
      </c>
      <c r="AJ372" s="65" t="n">
        <f aca="false">Q372-N372</f>
        <v>-13984.58</v>
      </c>
      <c r="AK372" s="65" t="n">
        <f aca="false">IF(AE372=1,MAX(0,N372-Q372),0)</f>
        <v>13984.58</v>
      </c>
      <c r="AL372" s="65" t="n">
        <f aca="false">IF(OR(V372="",V372=0),0,N372/V372)</f>
        <v>0.289534821773945</v>
      </c>
      <c r="AM372" s="65" t="n">
        <f aca="false">IF(OR(V372="",V372=0),0,1)</f>
        <v>1</v>
      </c>
      <c r="AN372" s="65" t="n">
        <f aca="false">IF(OR(E372="",F372=""),0,NETWORKDAYS(E372,F372,Ref!$K$2:$K$42))</f>
        <v>45</v>
      </c>
      <c r="AO372" s="65" t="n">
        <f aca="false">IF(L372="Renewal",1,0)</f>
        <v>0</v>
      </c>
      <c r="AP372" s="65" t="n">
        <f aca="false">AC372*AD372</f>
        <v>1</v>
      </c>
      <c r="AQ372" s="65" t="n">
        <f aca="false">IF(AND(G372&lt;&gt;"",'Historical Score'!$C$6&lt;&gt;""),IF(G372='Historical Score'!$C$6,1,0),0)</f>
        <v>0</v>
      </c>
      <c r="AR372" s="65" t="n">
        <f aca="false">IF(AND(L372&lt;&gt;"",'Historical Score'!$C$5&lt;&gt;""),IF(L372='Historical Score'!$C$5,1,0),0)</f>
        <v>1</v>
      </c>
      <c r="AS372" s="65" t="n">
        <f aca="false">IF(AND(Y372&lt;&gt;"",'Historical Score'!$C$7&lt;&gt;""),IF(Y372='Historical Score'!$C$7,1,0),0)</f>
        <v>0</v>
      </c>
      <c r="AT372" s="65" t="n">
        <f aca="false">IF(AND(K372&lt;&gt;"",'Historical Score'!$C$8&lt;&gt;""),IF(K372='Historical Score'!$C$8,1,0),0)</f>
        <v>0</v>
      </c>
      <c r="AU372" s="65" t="n">
        <f aca="false">IF(AND(J372&lt;&gt;"",'Historical Score'!$C$9&lt;&gt;""),IF(J372='Historical Score'!$C$9,1,0),0)</f>
        <v>0</v>
      </c>
      <c r="AV372" s="65" t="n">
        <f aca="false">AR372*AS372*AQ372</f>
        <v>0</v>
      </c>
      <c r="AW372" s="65" t="n">
        <f aca="false">AR372*AT372*AQ372</f>
        <v>0</v>
      </c>
      <c r="AX372" s="65" t="n">
        <f aca="false">AR372*AS372</f>
        <v>0</v>
      </c>
      <c r="AY372" s="65" t="n">
        <f aca="false">AR372*AT372</f>
        <v>0</v>
      </c>
      <c r="AZ372" s="65" t="n">
        <f aca="false">AR372*AQ372</f>
        <v>0</v>
      </c>
      <c r="BA372" s="65" t="n">
        <f aca="false">AR372</f>
        <v>1</v>
      </c>
      <c r="BB372" s="65" t="n">
        <f aca="false">1</f>
        <v>1</v>
      </c>
      <c r="BC372" s="65" t="n">
        <f aca="false">IF(AV372=1,1,IF(AW372=1,2,IF(AX372=1,3,IF(AY372=1,4,IF(AZ372=1,5,IF(BA372=1,6,7))))))</f>
        <v>6</v>
      </c>
      <c r="BD372" s="65" t="n">
        <f aca="false">IF(AD372=1,CHOOSE('Historical Score'!$C$29,AV372,AW372,AX372,AY372,AZ372,BA372,BB372),0)</f>
        <v>0</v>
      </c>
      <c r="BE372" s="65" t="str">
        <f aca="false">IF(BD372=1,COUNTIF($BD$2:BD372,1),"")</f>
        <v/>
      </c>
    </row>
    <row r="373" customFormat="false" ht="15" hidden="false" customHeight="false" outlineLevel="0" collapsed="false">
      <c r="A373" s="65" t="s">
        <v>1513</v>
      </c>
      <c r="B373" s="65" t="s">
        <v>1514</v>
      </c>
      <c r="C373" s="65" t="s">
        <v>1514</v>
      </c>
      <c r="D373" s="65" t="s">
        <v>371</v>
      </c>
      <c r="E373" s="112" t="n">
        <v>45982</v>
      </c>
      <c r="F373" s="112" t="n">
        <v>46071</v>
      </c>
      <c r="G373" s="65" t="n">
        <v>1</v>
      </c>
      <c r="H373" s="65" t="s">
        <v>752</v>
      </c>
      <c r="I373" s="65" t="s">
        <v>405</v>
      </c>
      <c r="J373" s="65" t="s">
        <v>452</v>
      </c>
      <c r="K373" s="65" t="s">
        <v>55</v>
      </c>
      <c r="L373" s="65" t="s">
        <v>64</v>
      </c>
      <c r="M373" s="113" t="n">
        <v>1.5</v>
      </c>
      <c r="N373" s="114" t="n">
        <v>30000</v>
      </c>
      <c r="O373" s="114" t="n">
        <v>4200</v>
      </c>
      <c r="P373" s="114" t="n">
        <v>45000</v>
      </c>
      <c r="Q373" s="114" t="n">
        <v>45000</v>
      </c>
      <c r="R373" s="114" t="n">
        <v>0</v>
      </c>
      <c r="S373" s="115" t="n">
        <v>1</v>
      </c>
      <c r="T373" s="65" t="n">
        <v>3.934</v>
      </c>
      <c r="U373" s="65" t="n">
        <v>3</v>
      </c>
      <c r="V373" s="65" t="n">
        <v>151117.26</v>
      </c>
      <c r="W373" s="115" t="n">
        <v>0.0518</v>
      </c>
      <c r="X373" s="112" t="n">
        <v>36749</v>
      </c>
      <c r="Y373" s="65" t="str">
        <f aca="false">IF(I373="","No SIC",IFERROR(VLOOKUP(I373,Ref!$A$2:$B$65,2,FALSE()),"Unclassified"))</f>
        <v>Health Services</v>
      </c>
      <c r="Z373" s="65" t="str">
        <f aca="false">IF(T373="","",IF(T373&lt;12,"Daily","Weekly"))</f>
        <v>Daily</v>
      </c>
      <c r="AA373" s="65" t="n">
        <f aca="false">IF(T373="",0,IF(T373&lt;12,T373*Controls!$B$29,T373*5))</f>
        <v>85.19077</v>
      </c>
      <c r="AB373" s="65" t="n">
        <f aca="false">IF(E373="",0,NETWORKDAYS(E373,Controls!$B$36,Ref!$K$2:$K$42))</f>
        <v>191</v>
      </c>
      <c r="AC373" s="65" t="n">
        <f aca="false">IF(AND(AA373&gt;0,AB373&gt;=Controls!$B$39*AA373),1,0)</f>
        <v>1</v>
      </c>
      <c r="AD373" s="65" t="n">
        <f aca="false">IF(AND(E373&lt;&gt;"",E373&gt;=Controls!$B$37,E373&lt;=Controls!$B$38),1,0)</f>
        <v>1</v>
      </c>
      <c r="AE373" s="65" t="n">
        <f aca="false">IF(IFERROR(VLOOKUP(D373,Controls!$A$64:$E$74,2,FALSE()),"No")="Yes",1,0)</f>
        <v>0</v>
      </c>
      <c r="AF373" s="65" t="n">
        <f aca="false">IF(IFERROR(VLOOKUP(D373,Controls!$A$64:$E$74,3,FALSE()),"No")="Yes",1,0)</f>
        <v>1</v>
      </c>
      <c r="AG373" s="65" t="n">
        <f aca="false">IF(IFERROR(VLOOKUP(D373,Controls!$A$64:$E$74,4,FALSE()),"No")="Yes",1,0)</f>
        <v>1</v>
      </c>
      <c r="AH373" s="65" t="n">
        <f aca="false">IF(IFERROR(VLOOKUP(D373,Controls!$A$64:$E$74,5,FALSE()),"No")="Yes",1,0)</f>
        <v>0</v>
      </c>
      <c r="AI373" s="65" t="n">
        <f aca="false">IF(ISNUMBER(MATCH(D373,Controls!$A$64:$A$74,0)),1,0)</f>
        <v>1</v>
      </c>
      <c r="AJ373" s="65" t="n">
        <f aca="false">Q373-N373</f>
        <v>15000</v>
      </c>
      <c r="AK373" s="65" t="n">
        <f aca="false">IF(AE373=1,MAX(0,N373-Q373),0)</f>
        <v>0</v>
      </c>
      <c r="AL373" s="65" t="n">
        <f aca="false">IF(OR(V373="",V373=0),0,N373/V373)</f>
        <v>0.198521333698083</v>
      </c>
      <c r="AM373" s="65" t="n">
        <f aca="false">IF(OR(V373="",V373=0),0,1)</f>
        <v>1</v>
      </c>
      <c r="AN373" s="65" t="n">
        <f aca="false">IF(OR(E373="",F373=""),0,NETWORKDAYS(E373,F373,Ref!$K$2:$K$42))</f>
        <v>59</v>
      </c>
      <c r="AO373" s="65" t="n">
        <f aca="false">IF(L373="Renewal",1,0)</f>
        <v>0</v>
      </c>
      <c r="AP373" s="65" t="n">
        <f aca="false">AC373*AD373</f>
        <v>1</v>
      </c>
      <c r="AQ373" s="65" t="n">
        <f aca="false">IF(AND(G373&lt;&gt;"",'Historical Score'!$C$6&lt;&gt;""),IF(G373='Historical Score'!$C$6,1,0),0)</f>
        <v>0</v>
      </c>
      <c r="AR373" s="65" t="n">
        <f aca="false">IF(AND(L373&lt;&gt;"",'Historical Score'!$C$5&lt;&gt;""),IF(L373='Historical Score'!$C$5,1,0),0)</f>
        <v>1</v>
      </c>
      <c r="AS373" s="65" t="n">
        <f aca="false">IF(AND(Y373&lt;&gt;"",'Historical Score'!$C$7&lt;&gt;""),IF(Y373='Historical Score'!$C$7,1,0),0)</f>
        <v>0</v>
      </c>
      <c r="AT373" s="65" t="n">
        <f aca="false">IF(AND(K373&lt;&gt;"",'Historical Score'!$C$8&lt;&gt;""),IF(K373='Historical Score'!$C$8,1,0),0)</f>
        <v>1</v>
      </c>
      <c r="AU373" s="65" t="n">
        <f aca="false">IF(AND(J373&lt;&gt;"",'Historical Score'!$C$9&lt;&gt;""),IF(J373='Historical Score'!$C$9,1,0),0)</f>
        <v>0</v>
      </c>
      <c r="AV373" s="65" t="n">
        <f aca="false">AR373*AS373*AQ373</f>
        <v>0</v>
      </c>
      <c r="AW373" s="65" t="n">
        <f aca="false">AR373*AT373*AQ373</f>
        <v>0</v>
      </c>
      <c r="AX373" s="65" t="n">
        <f aca="false">AR373*AS373</f>
        <v>0</v>
      </c>
      <c r="AY373" s="65" t="n">
        <f aca="false">AR373*AT373</f>
        <v>1</v>
      </c>
      <c r="AZ373" s="65" t="n">
        <f aca="false">AR373*AQ373</f>
        <v>0</v>
      </c>
      <c r="BA373" s="65" t="n">
        <f aca="false">AR373</f>
        <v>1</v>
      </c>
      <c r="BB373" s="65" t="n">
        <f aca="false">1</f>
        <v>1</v>
      </c>
      <c r="BC373" s="65" t="n">
        <f aca="false">IF(AV373=1,1,IF(AW373=1,2,IF(AX373=1,3,IF(AY373=1,4,IF(AZ373=1,5,IF(BA373=1,6,7))))))</f>
        <v>4</v>
      </c>
      <c r="BD373" s="65" t="n">
        <f aca="false">IF(AD373=1,CHOOSE('Historical Score'!$C$29,AV373,AW373,AX373,AY373,AZ373,BA373,BB373),0)</f>
        <v>0</v>
      </c>
      <c r="BE373" s="65" t="str">
        <f aca="false">IF(BD373=1,COUNTIF($BD$2:BD373,1),"")</f>
        <v/>
      </c>
    </row>
    <row r="374" customFormat="false" ht="15" hidden="false" customHeight="false" outlineLevel="0" collapsed="false">
      <c r="A374" s="65" t="s">
        <v>1515</v>
      </c>
      <c r="B374" s="65" t="s">
        <v>1516</v>
      </c>
      <c r="C374" s="65" t="s">
        <v>1517</v>
      </c>
      <c r="D374" s="65" t="s">
        <v>371</v>
      </c>
      <c r="E374" s="112" t="n">
        <v>45982</v>
      </c>
      <c r="F374" s="112" t="n">
        <v>46080</v>
      </c>
      <c r="G374" s="65" t="n">
        <v>1</v>
      </c>
      <c r="H374" s="65" t="s">
        <v>451</v>
      </c>
      <c r="I374" s="65" t="s">
        <v>425</v>
      </c>
      <c r="J374" s="65" t="s">
        <v>343</v>
      </c>
      <c r="K374" s="65" t="s">
        <v>961</v>
      </c>
      <c r="L374" s="65" t="s">
        <v>64</v>
      </c>
      <c r="M374" s="113" t="n">
        <v>1.39</v>
      </c>
      <c r="N374" s="114" t="n">
        <v>40000</v>
      </c>
      <c r="O374" s="114" t="n">
        <v>5000</v>
      </c>
      <c r="P374" s="114" t="n">
        <v>55600</v>
      </c>
      <c r="Q374" s="114" t="n">
        <v>55600</v>
      </c>
      <c r="R374" s="114" t="n">
        <v>-7.27595761418343E-012</v>
      </c>
      <c r="S374" s="115" t="n">
        <v>1</v>
      </c>
      <c r="T374" s="65" t="n">
        <v>36</v>
      </c>
      <c r="U374" s="65" t="n">
        <v>0</v>
      </c>
      <c r="V374" s="65" t="n">
        <v>54378.42</v>
      </c>
      <c r="W374" s="115" t="n">
        <v>0.169</v>
      </c>
      <c r="X374" s="112" t="n">
        <v>45191</v>
      </c>
      <c r="Y374" s="65" t="str">
        <f aca="false">IF(I374="","No SIC",IFERROR(VLOOKUP(I374,Ref!$A$2:$B$65,2,FALSE()),"Unclassified"))</f>
        <v>Personal Services</v>
      </c>
      <c r="Z374" s="65" t="str">
        <f aca="false">IF(T374="","",IF(T374&lt;12,"Daily","Weekly"))</f>
        <v>Weekly</v>
      </c>
      <c r="AA374" s="65" t="n">
        <f aca="false">IF(T374="",0,IF(T374&lt;12,T374*Controls!$B$29,T374*5))</f>
        <v>180</v>
      </c>
      <c r="AB374" s="65" t="n">
        <f aca="false">IF(E374="",0,NETWORKDAYS(E374,Controls!$B$36,Ref!$K$2:$K$42))</f>
        <v>191</v>
      </c>
      <c r="AC374" s="65" t="n">
        <f aca="false">IF(AND(AA374&gt;0,AB374&gt;=Controls!$B$39*AA374),1,0)</f>
        <v>0</v>
      </c>
      <c r="AD374" s="65" t="n">
        <f aca="false">IF(AND(E374&lt;&gt;"",E374&gt;=Controls!$B$37,E374&lt;=Controls!$B$38),1,0)</f>
        <v>1</v>
      </c>
      <c r="AE374" s="65" t="n">
        <f aca="false">IF(IFERROR(VLOOKUP(D374,Controls!$A$64:$E$74,2,FALSE()),"No")="Yes",1,0)</f>
        <v>0</v>
      </c>
      <c r="AF374" s="65" t="n">
        <f aca="false">IF(IFERROR(VLOOKUP(D374,Controls!$A$64:$E$74,3,FALSE()),"No")="Yes",1,0)</f>
        <v>1</v>
      </c>
      <c r="AG374" s="65" t="n">
        <f aca="false">IF(IFERROR(VLOOKUP(D374,Controls!$A$64:$E$74,4,FALSE()),"No")="Yes",1,0)</f>
        <v>1</v>
      </c>
      <c r="AH374" s="65" t="n">
        <f aca="false">IF(IFERROR(VLOOKUP(D374,Controls!$A$64:$E$74,5,FALSE()),"No")="Yes",1,0)</f>
        <v>0</v>
      </c>
      <c r="AI374" s="65" t="n">
        <f aca="false">IF(ISNUMBER(MATCH(D374,Controls!$A$64:$A$74,0)),1,0)</f>
        <v>1</v>
      </c>
      <c r="AJ374" s="65" t="n">
        <f aca="false">Q374-N374</f>
        <v>15600</v>
      </c>
      <c r="AK374" s="65" t="n">
        <f aca="false">IF(AE374=1,MAX(0,N374-Q374),0)</f>
        <v>0</v>
      </c>
      <c r="AL374" s="65" t="n">
        <f aca="false">IF(OR(V374="",V374=0),0,N374/V374)</f>
        <v>0.735585918090301</v>
      </c>
      <c r="AM374" s="65" t="n">
        <f aca="false">IF(OR(V374="",V374=0),0,1)</f>
        <v>1</v>
      </c>
      <c r="AN374" s="65" t="n">
        <f aca="false">IF(OR(E374="",F374=""),0,NETWORKDAYS(E374,F374,Ref!$K$2:$K$42))</f>
        <v>66</v>
      </c>
      <c r="AO374" s="65" t="n">
        <f aca="false">IF(L374="Renewal",1,0)</f>
        <v>0</v>
      </c>
      <c r="AP374" s="65" t="n">
        <f aca="false">AC374*AD374</f>
        <v>0</v>
      </c>
      <c r="AQ374" s="65" t="n">
        <f aca="false">IF(AND(G374&lt;&gt;"",'Historical Score'!$C$6&lt;&gt;""),IF(G374='Historical Score'!$C$6,1,0),0)</f>
        <v>0</v>
      </c>
      <c r="AR374" s="65" t="n">
        <f aca="false">IF(AND(L374&lt;&gt;"",'Historical Score'!$C$5&lt;&gt;""),IF(L374='Historical Score'!$C$5,1,0),0)</f>
        <v>1</v>
      </c>
      <c r="AS374" s="65" t="n">
        <f aca="false">IF(AND(Y374&lt;&gt;"",'Historical Score'!$C$7&lt;&gt;""),IF(Y374='Historical Score'!$C$7,1,0),0)</f>
        <v>0</v>
      </c>
      <c r="AT374" s="65" t="n">
        <f aca="false">IF(AND(K374&lt;&gt;"",'Historical Score'!$C$8&lt;&gt;""),IF(K374='Historical Score'!$C$8,1,0),0)</f>
        <v>0</v>
      </c>
      <c r="AU374" s="65" t="n">
        <f aca="false">IF(AND(J374&lt;&gt;"",'Historical Score'!$C$9&lt;&gt;""),IF(J374='Historical Score'!$C$9,1,0),0)</f>
        <v>0</v>
      </c>
      <c r="AV374" s="65" t="n">
        <f aca="false">AR374*AS374*AQ374</f>
        <v>0</v>
      </c>
      <c r="AW374" s="65" t="n">
        <f aca="false">AR374*AT374*AQ374</f>
        <v>0</v>
      </c>
      <c r="AX374" s="65" t="n">
        <f aca="false">AR374*AS374</f>
        <v>0</v>
      </c>
      <c r="AY374" s="65" t="n">
        <f aca="false">AR374*AT374</f>
        <v>0</v>
      </c>
      <c r="AZ374" s="65" t="n">
        <f aca="false">AR374*AQ374</f>
        <v>0</v>
      </c>
      <c r="BA374" s="65" t="n">
        <f aca="false">AR374</f>
        <v>1</v>
      </c>
      <c r="BB374" s="65" t="n">
        <f aca="false">1</f>
        <v>1</v>
      </c>
      <c r="BC374" s="65" t="n">
        <f aca="false">IF(AV374=1,1,IF(AW374=1,2,IF(AX374=1,3,IF(AY374=1,4,IF(AZ374=1,5,IF(BA374=1,6,7))))))</f>
        <v>6</v>
      </c>
      <c r="BD374" s="65" t="n">
        <f aca="false">IF(AD374=1,CHOOSE('Historical Score'!$C$29,AV374,AW374,AX374,AY374,AZ374,BA374,BB374),0)</f>
        <v>0</v>
      </c>
      <c r="BE374" s="65" t="str">
        <f aca="false">IF(BD374=1,COUNTIF($BD$2:BD374,1),"")</f>
        <v/>
      </c>
    </row>
    <row r="375" customFormat="false" ht="15" hidden="false" customHeight="false" outlineLevel="0" collapsed="false">
      <c r="A375" s="65" t="s">
        <v>1518</v>
      </c>
      <c r="B375" s="65" t="s">
        <v>1519</v>
      </c>
      <c r="C375" s="65" t="s">
        <v>1520</v>
      </c>
      <c r="D375" s="65" t="s">
        <v>533</v>
      </c>
      <c r="E375" s="112" t="n">
        <v>45985</v>
      </c>
      <c r="F375" s="112" t="n">
        <v>46203</v>
      </c>
      <c r="G375" s="65" t="n">
        <v>1</v>
      </c>
      <c r="H375" s="65" t="s">
        <v>1272</v>
      </c>
      <c r="I375" s="65" t="s">
        <v>415</v>
      </c>
      <c r="J375" s="65" t="s">
        <v>399</v>
      </c>
      <c r="K375" s="65" t="s">
        <v>1521</v>
      </c>
      <c r="L375" s="65" t="s">
        <v>64</v>
      </c>
      <c r="M375" s="113" t="n">
        <v>1.49</v>
      </c>
      <c r="N375" s="114" t="n">
        <v>3500</v>
      </c>
      <c r="O375" s="114" t="n">
        <v>490</v>
      </c>
      <c r="P375" s="114" t="n">
        <v>5215</v>
      </c>
      <c r="Q375" s="114" t="n">
        <v>325.83</v>
      </c>
      <c r="R375" s="114" t="n">
        <v>4889.17</v>
      </c>
      <c r="S375" s="115" t="n">
        <v>0.0624793863854267</v>
      </c>
      <c r="T375" s="65" t="n">
        <v>16</v>
      </c>
      <c r="U375" s="65" t="n">
        <v>14</v>
      </c>
      <c r="V375" s="65" t="n">
        <v>10056.39</v>
      </c>
      <c r="W375" s="115" t="n">
        <v>0.1296</v>
      </c>
      <c r="X375" s="112" t="n">
        <v>45788</v>
      </c>
      <c r="Y375" s="65" t="str">
        <f aca="false">IF(I375="","No SIC",IFERROR(VLOOKUP(I375,Ref!$A$2:$B$65,2,FALSE()),"Unclassified"))</f>
        <v>Wholesale Trade - Durable Goods</v>
      </c>
      <c r="Z375" s="65" t="str">
        <f aca="false">IF(T375="","",IF(T375&lt;12,"Daily","Weekly"))</f>
        <v>Weekly</v>
      </c>
      <c r="AA375" s="65" t="n">
        <f aca="false">IF(T375="",0,IF(T375&lt;12,T375*Controls!$B$29,T375*5))</f>
        <v>80</v>
      </c>
      <c r="AB375" s="65" t="n">
        <f aca="false">IF(E375="",0,NETWORKDAYS(E375,Controls!$B$36,Ref!$K$2:$K$42))</f>
        <v>190</v>
      </c>
      <c r="AC375" s="65" t="n">
        <f aca="false">IF(AND(AA375&gt;0,AB375&gt;=Controls!$B$39*AA375),1,0)</f>
        <v>1</v>
      </c>
      <c r="AD375" s="65" t="n">
        <f aca="false">IF(AND(E375&lt;&gt;"",E375&gt;=Controls!$B$37,E375&lt;=Controls!$B$38),1,0)</f>
        <v>1</v>
      </c>
      <c r="AE375" s="65" t="n">
        <f aca="false">IF(IFERROR(VLOOKUP(D375,Controls!$A$64:$E$74,2,FALSE()),"No")="Yes",1,0)</f>
        <v>1</v>
      </c>
      <c r="AF375" s="65" t="n">
        <f aca="false">IF(IFERROR(VLOOKUP(D375,Controls!$A$64:$E$74,3,FALSE()),"No")="Yes",1,0)</f>
        <v>0</v>
      </c>
      <c r="AG375" s="65" t="n">
        <f aca="false">IF(IFERROR(VLOOKUP(D375,Controls!$A$64:$E$74,4,FALSE()),"No")="Yes",1,0)</f>
        <v>0</v>
      </c>
      <c r="AH375" s="65" t="n">
        <f aca="false">IF(IFERROR(VLOOKUP(D375,Controls!$A$64:$E$74,5,FALSE()),"No")="Yes",1,0)</f>
        <v>0</v>
      </c>
      <c r="AI375" s="65" t="n">
        <f aca="false">IF(ISNUMBER(MATCH(D375,Controls!$A$64:$A$74,0)),1,0)</f>
        <v>1</v>
      </c>
      <c r="AJ375" s="65" t="n">
        <f aca="false">Q375-N375</f>
        <v>-3174.17</v>
      </c>
      <c r="AK375" s="65" t="n">
        <f aca="false">IF(AE375=1,MAX(0,N375-Q375),0)</f>
        <v>3174.17</v>
      </c>
      <c r="AL375" s="65" t="n">
        <f aca="false">IF(OR(V375="",V375=0),0,N375/V375)</f>
        <v>0.348037417005506</v>
      </c>
      <c r="AM375" s="65" t="n">
        <f aca="false">IF(OR(V375="",V375=0),0,1)</f>
        <v>1</v>
      </c>
      <c r="AN375" s="65" t="n">
        <f aca="false">IF(OR(E375="",F375=""),0,NETWORKDAYS(E375,F375,Ref!$K$2:$K$42))</f>
        <v>150</v>
      </c>
      <c r="AO375" s="65" t="n">
        <f aca="false">IF(L375="Renewal",1,0)</f>
        <v>0</v>
      </c>
      <c r="AP375" s="65" t="n">
        <f aca="false">AC375*AD375</f>
        <v>1</v>
      </c>
      <c r="AQ375" s="65" t="n">
        <f aca="false">IF(AND(G375&lt;&gt;"",'Historical Score'!$C$6&lt;&gt;""),IF(G375='Historical Score'!$C$6,1,0),0)</f>
        <v>0</v>
      </c>
      <c r="AR375" s="65" t="n">
        <f aca="false">IF(AND(L375&lt;&gt;"",'Historical Score'!$C$5&lt;&gt;""),IF(L375='Historical Score'!$C$5,1,0),0)</f>
        <v>1</v>
      </c>
      <c r="AS375" s="65" t="n">
        <f aca="false">IF(AND(Y375&lt;&gt;"",'Historical Score'!$C$7&lt;&gt;""),IF(Y375='Historical Score'!$C$7,1,0),0)</f>
        <v>0</v>
      </c>
      <c r="AT375" s="65" t="n">
        <f aca="false">IF(AND(K375&lt;&gt;"",'Historical Score'!$C$8&lt;&gt;""),IF(K375='Historical Score'!$C$8,1,0),0)</f>
        <v>0</v>
      </c>
      <c r="AU375" s="65" t="n">
        <f aca="false">IF(AND(J375&lt;&gt;"",'Historical Score'!$C$9&lt;&gt;""),IF(J375='Historical Score'!$C$9,1,0),0)</f>
        <v>0</v>
      </c>
      <c r="AV375" s="65" t="n">
        <f aca="false">AR375*AS375*AQ375</f>
        <v>0</v>
      </c>
      <c r="AW375" s="65" t="n">
        <f aca="false">AR375*AT375*AQ375</f>
        <v>0</v>
      </c>
      <c r="AX375" s="65" t="n">
        <f aca="false">AR375*AS375</f>
        <v>0</v>
      </c>
      <c r="AY375" s="65" t="n">
        <f aca="false">AR375*AT375</f>
        <v>0</v>
      </c>
      <c r="AZ375" s="65" t="n">
        <f aca="false">AR375*AQ375</f>
        <v>0</v>
      </c>
      <c r="BA375" s="65" t="n">
        <f aca="false">AR375</f>
        <v>1</v>
      </c>
      <c r="BB375" s="65" t="n">
        <f aca="false">1</f>
        <v>1</v>
      </c>
      <c r="BC375" s="65" t="n">
        <f aca="false">IF(AV375=1,1,IF(AW375=1,2,IF(AX375=1,3,IF(AY375=1,4,IF(AZ375=1,5,IF(BA375=1,6,7))))))</f>
        <v>6</v>
      </c>
      <c r="BD375" s="65" t="n">
        <f aca="false">IF(AD375=1,CHOOSE('Historical Score'!$C$29,AV375,AW375,AX375,AY375,AZ375,BA375,BB375),0)</f>
        <v>0</v>
      </c>
      <c r="BE375" s="65" t="str">
        <f aca="false">IF(BD375=1,COUNTIF($BD$2:BD375,1),"")</f>
        <v/>
      </c>
    </row>
    <row r="376" customFormat="false" ht="15" hidden="false" customHeight="false" outlineLevel="0" collapsed="false">
      <c r="A376" s="65" t="s">
        <v>1522</v>
      </c>
      <c r="B376" s="65" t="s">
        <v>1523</v>
      </c>
      <c r="C376" s="65" t="s">
        <v>1523</v>
      </c>
      <c r="D376" s="65" t="s">
        <v>371</v>
      </c>
      <c r="E376" s="112" t="n">
        <v>45985</v>
      </c>
      <c r="F376" s="112" t="n">
        <v>46073</v>
      </c>
      <c r="G376" s="65" t="n">
        <v>1</v>
      </c>
      <c r="H376" s="65" t="s">
        <v>348</v>
      </c>
      <c r="I376" s="65" t="s">
        <v>349</v>
      </c>
      <c r="J376" s="65" t="s">
        <v>61</v>
      </c>
      <c r="K376" s="65" t="s">
        <v>1461</v>
      </c>
      <c r="L376" s="65" t="s">
        <v>64</v>
      </c>
      <c r="M376" s="113" t="n">
        <v>1.499</v>
      </c>
      <c r="N376" s="114" t="n">
        <v>5000</v>
      </c>
      <c r="O376" s="114" t="n">
        <v>700</v>
      </c>
      <c r="P376" s="114" t="n">
        <v>7495</v>
      </c>
      <c r="Q376" s="114" t="n">
        <v>7495</v>
      </c>
      <c r="R376" s="114" t="n">
        <v>9.09494701772928E-013</v>
      </c>
      <c r="S376" s="115" t="n">
        <v>1</v>
      </c>
      <c r="T376" s="65" t="n">
        <v>2.295</v>
      </c>
      <c r="U376" s="65" t="n">
        <v>5</v>
      </c>
      <c r="V376" s="65" t="n">
        <v>24710.48</v>
      </c>
      <c r="W376" s="115" t="n">
        <v>0.0905</v>
      </c>
      <c r="X376" s="112" t="n">
        <v>45289</v>
      </c>
      <c r="Y376" s="65" t="str">
        <f aca="false">IF(I376="","No SIC",IFERROR(VLOOKUP(I376,Ref!$A$2:$B$65,2,FALSE()),"Unclassified"))</f>
        <v>Nonmetallic Minerals Mining</v>
      </c>
      <c r="Z376" s="65" t="str">
        <f aca="false">IF(T376="","",IF(T376&lt;12,"Daily","Weekly"))</f>
        <v>Daily</v>
      </c>
      <c r="AA376" s="65" t="n">
        <f aca="false">IF(T376="",0,IF(T376&lt;12,T376*Controls!$B$29,T376*5))</f>
        <v>49.698225</v>
      </c>
      <c r="AB376" s="65" t="n">
        <f aca="false">IF(E376="",0,NETWORKDAYS(E376,Controls!$B$36,Ref!$K$2:$K$42))</f>
        <v>190</v>
      </c>
      <c r="AC376" s="65" t="n">
        <f aca="false">IF(AND(AA376&gt;0,AB376&gt;=Controls!$B$39*AA376),1,0)</f>
        <v>1</v>
      </c>
      <c r="AD376" s="65" t="n">
        <f aca="false">IF(AND(E376&lt;&gt;"",E376&gt;=Controls!$B$37,E376&lt;=Controls!$B$38),1,0)</f>
        <v>1</v>
      </c>
      <c r="AE376" s="65" t="n">
        <f aca="false">IF(IFERROR(VLOOKUP(D376,Controls!$A$64:$E$74,2,FALSE()),"No")="Yes",1,0)</f>
        <v>0</v>
      </c>
      <c r="AF376" s="65" t="n">
        <f aca="false">IF(IFERROR(VLOOKUP(D376,Controls!$A$64:$E$74,3,FALSE()),"No")="Yes",1,0)</f>
        <v>1</v>
      </c>
      <c r="AG376" s="65" t="n">
        <f aca="false">IF(IFERROR(VLOOKUP(D376,Controls!$A$64:$E$74,4,FALSE()),"No")="Yes",1,0)</f>
        <v>1</v>
      </c>
      <c r="AH376" s="65" t="n">
        <f aca="false">IF(IFERROR(VLOOKUP(D376,Controls!$A$64:$E$74,5,FALSE()),"No")="Yes",1,0)</f>
        <v>0</v>
      </c>
      <c r="AI376" s="65" t="n">
        <f aca="false">IF(ISNUMBER(MATCH(D376,Controls!$A$64:$A$74,0)),1,0)</f>
        <v>1</v>
      </c>
      <c r="AJ376" s="65" t="n">
        <f aca="false">Q376-N376</f>
        <v>2495</v>
      </c>
      <c r="AK376" s="65" t="n">
        <f aca="false">IF(AE376=1,MAX(0,N376-Q376),0)</f>
        <v>0</v>
      </c>
      <c r="AL376" s="65" t="n">
        <f aca="false">IF(OR(V376="",V376=0),0,N376/V376)</f>
        <v>0.202343297256872</v>
      </c>
      <c r="AM376" s="65" t="n">
        <f aca="false">IF(OR(V376="",V376=0),0,1)</f>
        <v>1</v>
      </c>
      <c r="AN376" s="65" t="n">
        <f aca="false">IF(OR(E376="",F376=""),0,NETWORKDAYS(E376,F376,Ref!$K$2:$K$42))</f>
        <v>60</v>
      </c>
      <c r="AO376" s="65" t="n">
        <f aca="false">IF(L376="Renewal",1,0)</f>
        <v>0</v>
      </c>
      <c r="AP376" s="65" t="n">
        <f aca="false">AC376*AD376</f>
        <v>1</v>
      </c>
      <c r="AQ376" s="65" t="n">
        <f aca="false">IF(AND(G376&lt;&gt;"",'Historical Score'!$C$6&lt;&gt;""),IF(G376='Historical Score'!$C$6,1,0),0)</f>
        <v>0</v>
      </c>
      <c r="AR376" s="65" t="n">
        <f aca="false">IF(AND(L376&lt;&gt;"",'Historical Score'!$C$5&lt;&gt;""),IF(L376='Historical Score'!$C$5,1,0),0)</f>
        <v>1</v>
      </c>
      <c r="AS376" s="65" t="n">
        <f aca="false">IF(AND(Y376&lt;&gt;"",'Historical Score'!$C$7&lt;&gt;""),IF(Y376='Historical Score'!$C$7,1,0),0)</f>
        <v>0</v>
      </c>
      <c r="AT376" s="65" t="n">
        <f aca="false">IF(AND(K376&lt;&gt;"",'Historical Score'!$C$8&lt;&gt;""),IF(K376='Historical Score'!$C$8,1,0),0)</f>
        <v>0</v>
      </c>
      <c r="AU376" s="65" t="n">
        <f aca="false">IF(AND(J376&lt;&gt;"",'Historical Score'!$C$9&lt;&gt;""),IF(J376='Historical Score'!$C$9,1,0),0)</f>
        <v>1</v>
      </c>
      <c r="AV376" s="65" t="n">
        <f aca="false">AR376*AS376*AQ376</f>
        <v>0</v>
      </c>
      <c r="AW376" s="65" t="n">
        <f aca="false">AR376*AT376*AQ376</f>
        <v>0</v>
      </c>
      <c r="AX376" s="65" t="n">
        <f aca="false">AR376*AS376</f>
        <v>0</v>
      </c>
      <c r="AY376" s="65" t="n">
        <f aca="false">AR376*AT376</f>
        <v>0</v>
      </c>
      <c r="AZ376" s="65" t="n">
        <f aca="false">AR376*AQ376</f>
        <v>0</v>
      </c>
      <c r="BA376" s="65" t="n">
        <f aca="false">AR376</f>
        <v>1</v>
      </c>
      <c r="BB376" s="65" t="n">
        <f aca="false">1</f>
        <v>1</v>
      </c>
      <c r="BC376" s="65" t="n">
        <f aca="false">IF(AV376=1,1,IF(AW376=1,2,IF(AX376=1,3,IF(AY376=1,4,IF(AZ376=1,5,IF(BA376=1,6,7))))))</f>
        <v>6</v>
      </c>
      <c r="BD376" s="65" t="n">
        <f aca="false">IF(AD376=1,CHOOSE('Historical Score'!$C$29,AV376,AW376,AX376,AY376,AZ376,BA376,BB376),0)</f>
        <v>0</v>
      </c>
      <c r="BE376" s="65" t="str">
        <f aca="false">IF(BD376=1,COUNTIF($BD$2:BD376,1),"")</f>
        <v/>
      </c>
    </row>
    <row r="377" customFormat="false" ht="15" hidden="false" customHeight="false" outlineLevel="0" collapsed="false">
      <c r="A377" s="65" t="s">
        <v>1524</v>
      </c>
      <c r="B377" s="65" t="s">
        <v>1525</v>
      </c>
      <c r="C377" s="65" t="s">
        <v>1525</v>
      </c>
      <c r="D377" s="65" t="s">
        <v>371</v>
      </c>
      <c r="E377" s="112" t="n">
        <v>45985</v>
      </c>
      <c r="F377" s="112" t="n">
        <v>46062</v>
      </c>
      <c r="G377" s="65" t="n">
        <v>3</v>
      </c>
      <c r="H377" s="65" t="s">
        <v>409</v>
      </c>
      <c r="I377" s="65" t="s">
        <v>342</v>
      </c>
      <c r="J377" s="65" t="s">
        <v>506</v>
      </c>
      <c r="K377" s="65" t="s">
        <v>55</v>
      </c>
      <c r="L377" s="65" t="s">
        <v>64</v>
      </c>
      <c r="M377" s="113" t="n">
        <v>1.499</v>
      </c>
      <c r="N377" s="114" t="n">
        <v>10000</v>
      </c>
      <c r="O377" s="114" t="n">
        <v>1400</v>
      </c>
      <c r="P377" s="114" t="n">
        <v>14990</v>
      </c>
      <c r="Q377" s="114" t="n">
        <v>14990</v>
      </c>
      <c r="R377" s="114" t="n">
        <v>1.81898940354586E-012</v>
      </c>
      <c r="S377" s="115" t="n">
        <v>1</v>
      </c>
      <c r="T377" s="65" t="n">
        <v>2.623</v>
      </c>
      <c r="U377" s="65" t="n">
        <v>1</v>
      </c>
      <c r="V377" s="65" t="n">
        <v>37733.39</v>
      </c>
      <c r="W377" s="115" t="n">
        <v>0.1037</v>
      </c>
      <c r="X377" s="112"/>
      <c r="Y377" s="65" t="str">
        <f aca="false">IF(I377="","No SIC",IFERROR(VLOOKUP(I377,Ref!$A$2:$B$65,2,FALSE()),"Unclassified"))</f>
        <v>Eating &amp; Drinking Places</v>
      </c>
      <c r="Z377" s="65" t="str">
        <f aca="false">IF(T377="","",IF(T377&lt;12,"Daily","Weekly"))</f>
        <v>Daily</v>
      </c>
      <c r="AA377" s="65" t="n">
        <f aca="false">IF(T377="",0,IF(T377&lt;12,T377*Controls!$B$29,T377*5))</f>
        <v>56.801065</v>
      </c>
      <c r="AB377" s="65" t="n">
        <f aca="false">IF(E377="",0,NETWORKDAYS(E377,Controls!$B$36,Ref!$K$2:$K$42))</f>
        <v>190</v>
      </c>
      <c r="AC377" s="65" t="n">
        <f aca="false">IF(AND(AA377&gt;0,AB377&gt;=Controls!$B$39*AA377),1,0)</f>
        <v>1</v>
      </c>
      <c r="AD377" s="65" t="n">
        <f aca="false">IF(AND(E377&lt;&gt;"",E377&gt;=Controls!$B$37,E377&lt;=Controls!$B$38),1,0)</f>
        <v>1</v>
      </c>
      <c r="AE377" s="65" t="n">
        <f aca="false">IF(IFERROR(VLOOKUP(D377,Controls!$A$64:$E$74,2,FALSE()),"No")="Yes",1,0)</f>
        <v>0</v>
      </c>
      <c r="AF377" s="65" t="n">
        <f aca="false">IF(IFERROR(VLOOKUP(D377,Controls!$A$64:$E$74,3,FALSE()),"No")="Yes",1,0)</f>
        <v>1</v>
      </c>
      <c r="AG377" s="65" t="n">
        <f aca="false">IF(IFERROR(VLOOKUP(D377,Controls!$A$64:$E$74,4,FALSE()),"No")="Yes",1,0)</f>
        <v>1</v>
      </c>
      <c r="AH377" s="65" t="n">
        <f aca="false">IF(IFERROR(VLOOKUP(D377,Controls!$A$64:$E$74,5,FALSE()),"No")="Yes",1,0)</f>
        <v>0</v>
      </c>
      <c r="AI377" s="65" t="n">
        <f aca="false">IF(ISNUMBER(MATCH(D377,Controls!$A$64:$A$74,0)),1,0)</f>
        <v>1</v>
      </c>
      <c r="AJ377" s="65" t="n">
        <f aca="false">Q377-N377</f>
        <v>4990</v>
      </c>
      <c r="AK377" s="65" t="n">
        <f aca="false">IF(AE377=1,MAX(0,N377-Q377),0)</f>
        <v>0</v>
      </c>
      <c r="AL377" s="65" t="n">
        <f aca="false">IF(OR(V377="",V377=0),0,N377/V377)</f>
        <v>0.26501726985039</v>
      </c>
      <c r="AM377" s="65" t="n">
        <f aca="false">IF(OR(V377="",V377=0),0,1)</f>
        <v>1</v>
      </c>
      <c r="AN377" s="65" t="n">
        <f aca="false">IF(OR(E377="",F377=""),0,NETWORKDAYS(E377,F377,Ref!$K$2:$K$42))</f>
        <v>52</v>
      </c>
      <c r="AO377" s="65" t="n">
        <f aca="false">IF(L377="Renewal",1,0)</f>
        <v>0</v>
      </c>
      <c r="AP377" s="65" t="n">
        <f aca="false">AC377*AD377</f>
        <v>1</v>
      </c>
      <c r="AQ377" s="65" t="n">
        <f aca="false">IF(AND(G377&lt;&gt;"",'Historical Score'!$C$6&lt;&gt;""),IF(G377='Historical Score'!$C$6,1,0),0)</f>
        <v>0</v>
      </c>
      <c r="AR377" s="65" t="n">
        <f aca="false">IF(AND(L377&lt;&gt;"",'Historical Score'!$C$5&lt;&gt;""),IF(L377='Historical Score'!$C$5,1,0),0)</f>
        <v>1</v>
      </c>
      <c r="AS377" s="65" t="n">
        <f aca="false">IF(AND(Y377&lt;&gt;"",'Historical Score'!$C$7&lt;&gt;""),IF(Y377='Historical Score'!$C$7,1,0),0)</f>
        <v>0</v>
      </c>
      <c r="AT377" s="65" t="n">
        <f aca="false">IF(AND(K377&lt;&gt;"",'Historical Score'!$C$8&lt;&gt;""),IF(K377='Historical Score'!$C$8,1,0),0)</f>
        <v>1</v>
      </c>
      <c r="AU377" s="65" t="n">
        <f aca="false">IF(AND(J377&lt;&gt;"",'Historical Score'!$C$9&lt;&gt;""),IF(J377='Historical Score'!$C$9,1,0),0)</f>
        <v>0</v>
      </c>
      <c r="AV377" s="65" t="n">
        <f aca="false">AR377*AS377*AQ377</f>
        <v>0</v>
      </c>
      <c r="AW377" s="65" t="n">
        <f aca="false">AR377*AT377*AQ377</f>
        <v>0</v>
      </c>
      <c r="AX377" s="65" t="n">
        <f aca="false">AR377*AS377</f>
        <v>0</v>
      </c>
      <c r="AY377" s="65" t="n">
        <f aca="false">AR377*AT377</f>
        <v>1</v>
      </c>
      <c r="AZ377" s="65" t="n">
        <f aca="false">AR377*AQ377</f>
        <v>0</v>
      </c>
      <c r="BA377" s="65" t="n">
        <f aca="false">AR377</f>
        <v>1</v>
      </c>
      <c r="BB377" s="65" t="n">
        <f aca="false">1</f>
        <v>1</v>
      </c>
      <c r="BC377" s="65" t="n">
        <f aca="false">IF(AV377=1,1,IF(AW377=1,2,IF(AX377=1,3,IF(AY377=1,4,IF(AZ377=1,5,IF(BA377=1,6,7))))))</f>
        <v>4</v>
      </c>
      <c r="BD377" s="65" t="n">
        <f aca="false">IF(AD377=1,CHOOSE('Historical Score'!$C$29,AV377,AW377,AX377,AY377,AZ377,BA377,BB377),0)</f>
        <v>0</v>
      </c>
      <c r="BE377" s="65" t="str">
        <f aca="false">IF(BD377=1,COUNTIF($BD$2:BD377,1),"")</f>
        <v/>
      </c>
    </row>
    <row r="378" customFormat="false" ht="15" hidden="false" customHeight="false" outlineLevel="0" collapsed="false">
      <c r="A378" s="65" t="s">
        <v>1526</v>
      </c>
      <c r="B378" s="65" t="s">
        <v>1527</v>
      </c>
      <c r="C378" s="65" t="s">
        <v>1528</v>
      </c>
      <c r="D378" s="65" t="s">
        <v>371</v>
      </c>
      <c r="E378" s="112" t="n">
        <v>45985</v>
      </c>
      <c r="F378" s="112" t="n">
        <v>46161</v>
      </c>
      <c r="G378" s="65" t="n">
        <v>2</v>
      </c>
      <c r="H378" s="65" t="s">
        <v>596</v>
      </c>
      <c r="I378" s="65" t="s">
        <v>597</v>
      </c>
      <c r="J378" s="65" t="s">
        <v>452</v>
      </c>
      <c r="K378" s="65" t="s">
        <v>1529</v>
      </c>
      <c r="L378" s="65" t="s">
        <v>320</v>
      </c>
      <c r="M378" s="113" t="n">
        <v>1.35</v>
      </c>
      <c r="N378" s="114" t="n">
        <v>36500</v>
      </c>
      <c r="O378" s="114" t="n">
        <v>2555</v>
      </c>
      <c r="P378" s="114" t="n">
        <v>49275</v>
      </c>
      <c r="Q378" s="114" t="n">
        <v>49275</v>
      </c>
      <c r="R378" s="114" t="n">
        <v>0</v>
      </c>
      <c r="S378" s="115" t="n">
        <v>1</v>
      </c>
      <c r="T378" s="65" t="n">
        <v>4.623</v>
      </c>
      <c r="U378" s="65" t="n">
        <v>0</v>
      </c>
      <c r="V378" s="65" t="n">
        <v>14792.77</v>
      </c>
      <c r="W378" s="115" t="n">
        <v>0.4969</v>
      </c>
      <c r="X378" s="112" t="n">
        <v>42217</v>
      </c>
      <c r="Y378" s="65" t="str">
        <f aca="false">IF(I378="","No SIC",IFERROR(VLOOKUP(I378,Ref!$A$2:$B$65,2,FALSE()),"Unclassified"))</f>
        <v>Insurance Agents &amp; Brokers</v>
      </c>
      <c r="Z378" s="65" t="str">
        <f aca="false">IF(T378="","",IF(T378&lt;12,"Daily","Weekly"))</f>
        <v>Daily</v>
      </c>
      <c r="AA378" s="65" t="n">
        <f aca="false">IF(T378="",0,IF(T378&lt;12,T378*Controls!$B$29,T378*5))</f>
        <v>100.111065</v>
      </c>
      <c r="AB378" s="65" t="n">
        <f aca="false">IF(E378="",0,NETWORKDAYS(E378,Controls!$B$36,Ref!$K$2:$K$42))</f>
        <v>190</v>
      </c>
      <c r="AC378" s="65" t="n">
        <f aca="false">IF(AND(AA378&gt;0,AB378&gt;=Controls!$B$39*AA378),1,0)</f>
        <v>1</v>
      </c>
      <c r="AD378" s="65" t="n">
        <f aca="false">IF(AND(E378&lt;&gt;"",E378&gt;=Controls!$B$37,E378&lt;=Controls!$B$38),1,0)</f>
        <v>1</v>
      </c>
      <c r="AE378" s="65" t="n">
        <f aca="false">IF(IFERROR(VLOOKUP(D378,Controls!$A$64:$E$74,2,FALSE()),"No")="Yes",1,0)</f>
        <v>0</v>
      </c>
      <c r="AF378" s="65" t="n">
        <f aca="false">IF(IFERROR(VLOOKUP(D378,Controls!$A$64:$E$74,3,FALSE()),"No")="Yes",1,0)</f>
        <v>1</v>
      </c>
      <c r="AG378" s="65" t="n">
        <f aca="false">IF(IFERROR(VLOOKUP(D378,Controls!$A$64:$E$74,4,FALSE()),"No")="Yes",1,0)</f>
        <v>1</v>
      </c>
      <c r="AH378" s="65" t="n">
        <f aca="false">IF(IFERROR(VLOOKUP(D378,Controls!$A$64:$E$74,5,FALSE()),"No")="Yes",1,0)</f>
        <v>0</v>
      </c>
      <c r="AI378" s="65" t="n">
        <f aca="false">IF(ISNUMBER(MATCH(D378,Controls!$A$64:$A$74,0)),1,0)</f>
        <v>1</v>
      </c>
      <c r="AJ378" s="65" t="n">
        <f aca="false">Q378-N378</f>
        <v>12775</v>
      </c>
      <c r="AK378" s="65" t="n">
        <f aca="false">IF(AE378=1,MAX(0,N378-Q378),0)</f>
        <v>0</v>
      </c>
      <c r="AL378" s="65" t="n">
        <f aca="false">IF(OR(V378="",V378=0),0,N378/V378)</f>
        <v>2.46742158500403</v>
      </c>
      <c r="AM378" s="65" t="n">
        <f aca="false">IF(OR(V378="",V378=0),0,1)</f>
        <v>1</v>
      </c>
      <c r="AN378" s="65" t="n">
        <f aca="false">IF(OR(E378="",F378=""),0,NETWORKDAYS(E378,F378,Ref!$K$2:$K$42))</f>
        <v>122</v>
      </c>
      <c r="AO378" s="65" t="n">
        <f aca="false">IF(L378="Renewal",1,0)</f>
        <v>1</v>
      </c>
      <c r="AP378" s="65" t="n">
        <f aca="false">AC378*AD378</f>
        <v>1</v>
      </c>
      <c r="AQ378" s="65" t="n">
        <f aca="false">IF(AND(G378&lt;&gt;"",'Historical Score'!$C$6&lt;&gt;""),IF(G378='Historical Score'!$C$6,1,0),0)</f>
        <v>1</v>
      </c>
      <c r="AR378" s="65" t="n">
        <f aca="false">IF(AND(L378&lt;&gt;"",'Historical Score'!$C$5&lt;&gt;""),IF(L378='Historical Score'!$C$5,1,0),0)</f>
        <v>0</v>
      </c>
      <c r="AS378" s="65" t="n">
        <f aca="false">IF(AND(Y378&lt;&gt;"",'Historical Score'!$C$7&lt;&gt;""),IF(Y378='Historical Score'!$C$7,1,0),0)</f>
        <v>0</v>
      </c>
      <c r="AT378" s="65" t="n">
        <f aca="false">IF(AND(K378&lt;&gt;"",'Historical Score'!$C$8&lt;&gt;""),IF(K378='Historical Score'!$C$8,1,0),0)</f>
        <v>0</v>
      </c>
      <c r="AU378" s="65" t="n">
        <f aca="false">IF(AND(J378&lt;&gt;"",'Historical Score'!$C$9&lt;&gt;""),IF(J378='Historical Score'!$C$9,1,0),0)</f>
        <v>0</v>
      </c>
      <c r="AV378" s="65" t="n">
        <f aca="false">AR378*AS378*AQ378</f>
        <v>0</v>
      </c>
      <c r="AW378" s="65" t="n">
        <f aca="false">AR378*AT378*AQ378</f>
        <v>0</v>
      </c>
      <c r="AX378" s="65" t="n">
        <f aca="false">AR378*AS378</f>
        <v>0</v>
      </c>
      <c r="AY378" s="65" t="n">
        <f aca="false">AR378*AT378</f>
        <v>0</v>
      </c>
      <c r="AZ378" s="65" t="n">
        <f aca="false">AR378*AQ378</f>
        <v>0</v>
      </c>
      <c r="BA378" s="65" t="n">
        <f aca="false">AR378</f>
        <v>0</v>
      </c>
      <c r="BB378" s="65" t="n">
        <f aca="false">1</f>
        <v>1</v>
      </c>
      <c r="BC378" s="65" t="n">
        <f aca="false">IF(AV378=1,1,IF(AW378=1,2,IF(AX378=1,3,IF(AY378=1,4,IF(AZ378=1,5,IF(BA378=1,6,7))))))</f>
        <v>7</v>
      </c>
      <c r="BD378" s="65" t="n">
        <f aca="false">IF(AD378=1,CHOOSE('Historical Score'!$C$29,AV378,AW378,AX378,AY378,AZ378,BA378,BB378),0)</f>
        <v>0</v>
      </c>
      <c r="BE378" s="65" t="str">
        <f aca="false">IF(BD378=1,COUNTIF($BD$2:BD378,1),"")</f>
        <v/>
      </c>
    </row>
    <row r="379" customFormat="false" ht="15" hidden="false" customHeight="false" outlineLevel="0" collapsed="false">
      <c r="A379" s="65" t="s">
        <v>1530</v>
      </c>
      <c r="B379" s="65" t="s">
        <v>1531</v>
      </c>
      <c r="C379" s="65" t="s">
        <v>1531</v>
      </c>
      <c r="D379" s="65" t="s">
        <v>340</v>
      </c>
      <c r="E379" s="112" t="n">
        <v>45985</v>
      </c>
      <c r="F379" s="112" t="n">
        <v>46029</v>
      </c>
      <c r="G379" s="65" t="n">
        <v>4</v>
      </c>
      <c r="H379" s="65" t="s">
        <v>409</v>
      </c>
      <c r="I379" s="65" t="s">
        <v>342</v>
      </c>
      <c r="J379" s="65" t="s">
        <v>555</v>
      </c>
      <c r="K379" s="65" t="s">
        <v>476</v>
      </c>
      <c r="L379" s="65" t="s">
        <v>64</v>
      </c>
      <c r="M379" s="113" t="n">
        <v>1.499</v>
      </c>
      <c r="N379" s="114" t="n">
        <v>7500</v>
      </c>
      <c r="O379" s="114" t="n">
        <v>1050</v>
      </c>
      <c r="P379" s="114" t="n">
        <v>11242.5</v>
      </c>
      <c r="Q379" s="114" t="n">
        <v>3610.1</v>
      </c>
      <c r="R379" s="114" t="n">
        <v>7632.4</v>
      </c>
      <c r="S379" s="115" t="n">
        <v>0.321111852346008</v>
      </c>
      <c r="T379" s="65" t="n">
        <v>2.623</v>
      </c>
      <c r="U379" s="65" t="n">
        <v>3</v>
      </c>
      <c r="V379" s="65" t="n">
        <v>32383.4</v>
      </c>
      <c r="W379" s="115" t="n">
        <v>0.1015</v>
      </c>
      <c r="X379" s="112" t="n">
        <v>42476</v>
      </c>
      <c r="Y379" s="65" t="str">
        <f aca="false">IF(I379="","No SIC",IFERROR(VLOOKUP(I379,Ref!$A$2:$B$65,2,FALSE()),"Unclassified"))</f>
        <v>Eating &amp; Drinking Places</v>
      </c>
      <c r="Z379" s="65" t="str">
        <f aca="false">IF(T379="","",IF(T379&lt;12,"Daily","Weekly"))</f>
        <v>Daily</v>
      </c>
      <c r="AA379" s="65" t="n">
        <f aca="false">IF(T379="",0,IF(T379&lt;12,T379*Controls!$B$29,T379*5))</f>
        <v>56.801065</v>
      </c>
      <c r="AB379" s="65" t="n">
        <f aca="false">IF(E379="",0,NETWORKDAYS(E379,Controls!$B$36,Ref!$K$2:$K$42))</f>
        <v>190</v>
      </c>
      <c r="AC379" s="65" t="n">
        <f aca="false">IF(AND(AA379&gt;0,AB379&gt;=Controls!$B$39*AA379),1,0)</f>
        <v>1</v>
      </c>
      <c r="AD379" s="65" t="n">
        <f aca="false">IF(AND(E379&lt;&gt;"",E379&gt;=Controls!$B$37,E379&lt;=Controls!$B$38),1,0)</f>
        <v>1</v>
      </c>
      <c r="AE379" s="65" t="n">
        <f aca="false">IF(IFERROR(VLOOKUP(D379,Controls!$A$64:$E$74,2,FALSE()),"No")="Yes",1,0)</f>
        <v>1</v>
      </c>
      <c r="AF379" s="65" t="n">
        <f aca="false">IF(IFERROR(VLOOKUP(D379,Controls!$A$64:$E$74,3,FALSE()),"No")="Yes",1,0)</f>
        <v>0</v>
      </c>
      <c r="AG379" s="65" t="n">
        <f aca="false">IF(IFERROR(VLOOKUP(D379,Controls!$A$64:$E$74,4,FALSE()),"No")="Yes",1,0)</f>
        <v>0</v>
      </c>
      <c r="AH379" s="65" t="n">
        <f aca="false">IF(IFERROR(VLOOKUP(D379,Controls!$A$64:$E$74,5,FALSE()),"No")="Yes",1,0)</f>
        <v>0</v>
      </c>
      <c r="AI379" s="65" t="n">
        <f aca="false">IF(ISNUMBER(MATCH(D379,Controls!$A$64:$A$74,0)),1,0)</f>
        <v>1</v>
      </c>
      <c r="AJ379" s="65" t="n">
        <f aca="false">Q379-N379</f>
        <v>-3889.9</v>
      </c>
      <c r="AK379" s="65" t="n">
        <f aca="false">IF(AE379=1,MAX(0,N379-Q379),0)</f>
        <v>3889.9</v>
      </c>
      <c r="AL379" s="65" t="n">
        <f aca="false">IF(OR(V379="",V379=0),0,N379/V379)</f>
        <v>0.231600140812886</v>
      </c>
      <c r="AM379" s="65" t="n">
        <f aca="false">IF(OR(V379="",V379=0),0,1)</f>
        <v>1</v>
      </c>
      <c r="AN379" s="65" t="n">
        <f aca="false">IF(OR(E379="",F379=""),0,NETWORKDAYS(E379,F379,Ref!$K$2:$K$42))</f>
        <v>30</v>
      </c>
      <c r="AO379" s="65" t="n">
        <f aca="false">IF(L379="Renewal",1,0)</f>
        <v>0</v>
      </c>
      <c r="AP379" s="65" t="n">
        <f aca="false">AC379*AD379</f>
        <v>1</v>
      </c>
      <c r="AQ379" s="65" t="n">
        <f aca="false">IF(AND(G379&lt;&gt;"",'Historical Score'!$C$6&lt;&gt;""),IF(G379='Historical Score'!$C$6,1,0),0)</f>
        <v>0</v>
      </c>
      <c r="AR379" s="65" t="n">
        <f aca="false">IF(AND(L379&lt;&gt;"",'Historical Score'!$C$5&lt;&gt;""),IF(L379='Historical Score'!$C$5,1,0),0)</f>
        <v>1</v>
      </c>
      <c r="AS379" s="65" t="n">
        <f aca="false">IF(AND(Y379&lt;&gt;"",'Historical Score'!$C$7&lt;&gt;""),IF(Y379='Historical Score'!$C$7,1,0),0)</f>
        <v>0</v>
      </c>
      <c r="AT379" s="65" t="n">
        <f aca="false">IF(AND(K379&lt;&gt;"",'Historical Score'!$C$8&lt;&gt;""),IF(K379='Historical Score'!$C$8,1,0),0)</f>
        <v>0</v>
      </c>
      <c r="AU379" s="65" t="n">
        <f aca="false">IF(AND(J379&lt;&gt;"",'Historical Score'!$C$9&lt;&gt;""),IF(J379='Historical Score'!$C$9,1,0),0)</f>
        <v>0</v>
      </c>
      <c r="AV379" s="65" t="n">
        <f aca="false">AR379*AS379*AQ379</f>
        <v>0</v>
      </c>
      <c r="AW379" s="65" t="n">
        <f aca="false">AR379*AT379*AQ379</f>
        <v>0</v>
      </c>
      <c r="AX379" s="65" t="n">
        <f aca="false">AR379*AS379</f>
        <v>0</v>
      </c>
      <c r="AY379" s="65" t="n">
        <f aca="false">AR379*AT379</f>
        <v>0</v>
      </c>
      <c r="AZ379" s="65" t="n">
        <f aca="false">AR379*AQ379</f>
        <v>0</v>
      </c>
      <c r="BA379" s="65" t="n">
        <f aca="false">AR379</f>
        <v>1</v>
      </c>
      <c r="BB379" s="65" t="n">
        <f aca="false">1</f>
        <v>1</v>
      </c>
      <c r="BC379" s="65" t="n">
        <f aca="false">IF(AV379=1,1,IF(AW379=1,2,IF(AX379=1,3,IF(AY379=1,4,IF(AZ379=1,5,IF(BA379=1,6,7))))))</f>
        <v>6</v>
      </c>
      <c r="BD379" s="65" t="n">
        <f aca="false">IF(AD379=1,CHOOSE('Historical Score'!$C$29,AV379,AW379,AX379,AY379,AZ379,BA379,BB379),0)</f>
        <v>0</v>
      </c>
      <c r="BE379" s="65" t="str">
        <f aca="false">IF(BD379=1,COUNTIF($BD$2:BD379,1),"")</f>
        <v/>
      </c>
    </row>
    <row r="380" customFormat="false" ht="15" hidden="false" customHeight="false" outlineLevel="0" collapsed="false">
      <c r="A380" s="65" t="s">
        <v>1532</v>
      </c>
      <c r="B380" s="65" t="s">
        <v>1129</v>
      </c>
      <c r="C380" s="65" t="s">
        <v>1129</v>
      </c>
      <c r="D380" s="65" t="s">
        <v>533</v>
      </c>
      <c r="E380" s="112" t="n">
        <v>45985</v>
      </c>
      <c r="F380" s="112" t="n">
        <v>46009</v>
      </c>
      <c r="G380" s="65" t="n">
        <v>2</v>
      </c>
      <c r="H380" s="65" t="s">
        <v>1130</v>
      </c>
      <c r="I380" s="65" t="s">
        <v>668</v>
      </c>
      <c r="J380" s="65" t="s">
        <v>399</v>
      </c>
      <c r="K380" s="65" t="s">
        <v>55</v>
      </c>
      <c r="L380" s="65" t="s">
        <v>320</v>
      </c>
      <c r="M380" s="113" t="n">
        <v>1.49</v>
      </c>
      <c r="N380" s="114" t="n">
        <v>45000</v>
      </c>
      <c r="O380" s="114" t="n">
        <v>0</v>
      </c>
      <c r="P380" s="114" t="n">
        <v>67050</v>
      </c>
      <c r="Q380" s="114" t="n">
        <v>3726.7</v>
      </c>
      <c r="R380" s="114" t="n">
        <v>63323.3</v>
      </c>
      <c r="S380" s="115" t="n">
        <v>0.0555809097688292</v>
      </c>
      <c r="T380" s="65" t="n">
        <v>36</v>
      </c>
      <c r="U380" s="65" t="n">
        <v>2</v>
      </c>
      <c r="V380" s="65" t="n">
        <v>78209.86</v>
      </c>
      <c r="W380" s="115" t="n">
        <v>0.0953</v>
      </c>
      <c r="X380" s="112"/>
      <c r="Y380" s="65" t="str">
        <f aca="false">IF(I380="","No SIC",IFERROR(VLOOKUP(I380,Ref!$A$2:$B$65,2,FALSE()),"Unclassified"))</f>
        <v>Auto Dealers &amp; Gas Stations</v>
      </c>
      <c r="Z380" s="65" t="str">
        <f aca="false">IF(T380="","",IF(T380&lt;12,"Daily","Weekly"))</f>
        <v>Weekly</v>
      </c>
      <c r="AA380" s="65" t="n">
        <f aca="false">IF(T380="",0,IF(T380&lt;12,T380*Controls!$B$29,T380*5))</f>
        <v>180</v>
      </c>
      <c r="AB380" s="65" t="n">
        <f aca="false">IF(E380="",0,NETWORKDAYS(E380,Controls!$B$36,Ref!$K$2:$K$42))</f>
        <v>190</v>
      </c>
      <c r="AC380" s="65" t="n">
        <f aca="false">IF(AND(AA380&gt;0,AB380&gt;=Controls!$B$39*AA380),1,0)</f>
        <v>0</v>
      </c>
      <c r="AD380" s="65" t="n">
        <f aca="false">IF(AND(E380&lt;&gt;"",E380&gt;=Controls!$B$37,E380&lt;=Controls!$B$38),1,0)</f>
        <v>1</v>
      </c>
      <c r="AE380" s="65" t="n">
        <f aca="false">IF(IFERROR(VLOOKUP(D380,Controls!$A$64:$E$74,2,FALSE()),"No")="Yes",1,0)</f>
        <v>1</v>
      </c>
      <c r="AF380" s="65" t="n">
        <f aca="false">IF(IFERROR(VLOOKUP(D380,Controls!$A$64:$E$74,3,FALSE()),"No")="Yes",1,0)</f>
        <v>0</v>
      </c>
      <c r="AG380" s="65" t="n">
        <f aca="false">IF(IFERROR(VLOOKUP(D380,Controls!$A$64:$E$74,4,FALSE()),"No")="Yes",1,0)</f>
        <v>0</v>
      </c>
      <c r="AH380" s="65" t="n">
        <f aca="false">IF(IFERROR(VLOOKUP(D380,Controls!$A$64:$E$74,5,FALSE()),"No")="Yes",1,0)</f>
        <v>0</v>
      </c>
      <c r="AI380" s="65" t="n">
        <f aca="false">IF(ISNUMBER(MATCH(D380,Controls!$A$64:$A$74,0)),1,0)</f>
        <v>1</v>
      </c>
      <c r="AJ380" s="65" t="n">
        <f aca="false">Q380-N380</f>
        <v>-41273.3</v>
      </c>
      <c r="AK380" s="65" t="n">
        <f aca="false">IF(AE380=1,MAX(0,N380-Q380),0)</f>
        <v>41273.3</v>
      </c>
      <c r="AL380" s="65" t="n">
        <f aca="false">IF(OR(V380="",V380=0),0,N380/V380)</f>
        <v>0.575375023046966</v>
      </c>
      <c r="AM380" s="65" t="n">
        <f aca="false">IF(OR(V380="",V380=0),0,1)</f>
        <v>1</v>
      </c>
      <c r="AN380" s="65" t="n">
        <f aca="false">IF(OR(E380="",F380=""),0,NETWORKDAYS(E380,F380,Ref!$K$2:$K$42))</f>
        <v>18</v>
      </c>
      <c r="AO380" s="65" t="n">
        <f aca="false">IF(L380="Renewal",1,0)</f>
        <v>1</v>
      </c>
      <c r="AP380" s="65" t="n">
        <f aca="false">AC380*AD380</f>
        <v>0</v>
      </c>
      <c r="AQ380" s="65" t="n">
        <f aca="false">IF(AND(G380&lt;&gt;"",'Historical Score'!$C$6&lt;&gt;""),IF(G380='Historical Score'!$C$6,1,0),0)</f>
        <v>1</v>
      </c>
      <c r="AR380" s="65" t="n">
        <f aca="false">IF(AND(L380&lt;&gt;"",'Historical Score'!$C$5&lt;&gt;""),IF(L380='Historical Score'!$C$5,1,0),0)</f>
        <v>0</v>
      </c>
      <c r="AS380" s="65" t="n">
        <f aca="false">IF(AND(Y380&lt;&gt;"",'Historical Score'!$C$7&lt;&gt;""),IF(Y380='Historical Score'!$C$7,1,0),0)</f>
        <v>0</v>
      </c>
      <c r="AT380" s="65" t="n">
        <f aca="false">IF(AND(K380&lt;&gt;"",'Historical Score'!$C$8&lt;&gt;""),IF(K380='Historical Score'!$C$8,1,0),0)</f>
        <v>1</v>
      </c>
      <c r="AU380" s="65" t="n">
        <f aca="false">IF(AND(J380&lt;&gt;"",'Historical Score'!$C$9&lt;&gt;""),IF(J380='Historical Score'!$C$9,1,0),0)</f>
        <v>0</v>
      </c>
      <c r="AV380" s="65" t="n">
        <f aca="false">AR380*AS380*AQ380</f>
        <v>0</v>
      </c>
      <c r="AW380" s="65" t="n">
        <f aca="false">AR380*AT380*AQ380</f>
        <v>0</v>
      </c>
      <c r="AX380" s="65" t="n">
        <f aca="false">AR380*AS380</f>
        <v>0</v>
      </c>
      <c r="AY380" s="65" t="n">
        <f aca="false">AR380*AT380</f>
        <v>0</v>
      </c>
      <c r="AZ380" s="65" t="n">
        <f aca="false">AR380*AQ380</f>
        <v>0</v>
      </c>
      <c r="BA380" s="65" t="n">
        <f aca="false">AR380</f>
        <v>0</v>
      </c>
      <c r="BB380" s="65" t="n">
        <f aca="false">1</f>
        <v>1</v>
      </c>
      <c r="BC380" s="65" t="n">
        <f aca="false">IF(AV380=1,1,IF(AW380=1,2,IF(AX380=1,3,IF(AY380=1,4,IF(AZ380=1,5,IF(BA380=1,6,7))))))</f>
        <v>7</v>
      </c>
      <c r="BD380" s="65" t="n">
        <f aca="false">IF(AD380=1,CHOOSE('Historical Score'!$C$29,AV380,AW380,AX380,AY380,AZ380,BA380,BB380),0)</f>
        <v>0</v>
      </c>
      <c r="BE380" s="65" t="str">
        <f aca="false">IF(BD380=1,COUNTIF($BD$2:BD380,1),"")</f>
        <v/>
      </c>
    </row>
    <row r="381" customFormat="false" ht="15" hidden="false" customHeight="false" outlineLevel="0" collapsed="false">
      <c r="A381" s="65" t="s">
        <v>1533</v>
      </c>
      <c r="B381" s="65" t="s">
        <v>1040</v>
      </c>
      <c r="C381" s="65" t="s">
        <v>1040</v>
      </c>
      <c r="D381" s="65" t="s">
        <v>371</v>
      </c>
      <c r="E381" s="112" t="n">
        <v>45985</v>
      </c>
      <c r="F381" s="112" t="n">
        <v>46190</v>
      </c>
      <c r="G381" s="65" t="n">
        <v>1</v>
      </c>
      <c r="H381" s="65" t="s">
        <v>463</v>
      </c>
      <c r="I381" s="65" t="s">
        <v>419</v>
      </c>
      <c r="J381" s="65" t="s">
        <v>350</v>
      </c>
      <c r="K381" s="65" t="s">
        <v>1042</v>
      </c>
      <c r="L381" s="65" t="s">
        <v>320</v>
      </c>
      <c r="M381" s="113" t="n">
        <v>1.49</v>
      </c>
      <c r="N381" s="114" t="n">
        <v>65000</v>
      </c>
      <c r="O381" s="114" t="n">
        <v>9100</v>
      </c>
      <c r="P381" s="114" t="n">
        <v>96850</v>
      </c>
      <c r="Q381" s="114" t="n">
        <v>96850</v>
      </c>
      <c r="R381" s="114" t="n">
        <v>0</v>
      </c>
      <c r="S381" s="115" t="n">
        <v>1</v>
      </c>
      <c r="T381" s="65" t="n">
        <v>4.59</v>
      </c>
      <c r="U381" s="65" t="n">
        <v>0</v>
      </c>
      <c r="V381" s="65" t="n">
        <v>496879.88</v>
      </c>
      <c r="W381" s="115" t="n">
        <v>0.0292</v>
      </c>
      <c r="X381" s="112"/>
      <c r="Y381" s="65" t="str">
        <f aca="false">IF(I381="","No SIC",IFERROR(VLOOKUP(I381,Ref!$A$2:$B$65,2,FALSE()),"Unclassified"))</f>
        <v>Business Services</v>
      </c>
      <c r="Z381" s="65" t="str">
        <f aca="false">IF(T381="","",IF(T381&lt;12,"Daily","Weekly"))</f>
        <v>Daily</v>
      </c>
      <c r="AA381" s="65" t="n">
        <f aca="false">IF(T381="",0,IF(T381&lt;12,T381*Controls!$B$29,T381*5))</f>
        <v>99.39645</v>
      </c>
      <c r="AB381" s="65" t="n">
        <f aca="false">IF(E381="",0,NETWORKDAYS(E381,Controls!$B$36,Ref!$K$2:$K$42))</f>
        <v>190</v>
      </c>
      <c r="AC381" s="65" t="n">
        <f aca="false">IF(AND(AA381&gt;0,AB381&gt;=Controls!$B$39*AA381),1,0)</f>
        <v>1</v>
      </c>
      <c r="AD381" s="65" t="n">
        <f aca="false">IF(AND(E381&lt;&gt;"",E381&gt;=Controls!$B$37,E381&lt;=Controls!$B$38),1,0)</f>
        <v>1</v>
      </c>
      <c r="AE381" s="65" t="n">
        <f aca="false">IF(IFERROR(VLOOKUP(D381,Controls!$A$64:$E$74,2,FALSE()),"No")="Yes",1,0)</f>
        <v>0</v>
      </c>
      <c r="AF381" s="65" t="n">
        <f aca="false">IF(IFERROR(VLOOKUP(D381,Controls!$A$64:$E$74,3,FALSE()),"No")="Yes",1,0)</f>
        <v>1</v>
      </c>
      <c r="AG381" s="65" t="n">
        <f aca="false">IF(IFERROR(VLOOKUP(D381,Controls!$A$64:$E$74,4,FALSE()),"No")="Yes",1,0)</f>
        <v>1</v>
      </c>
      <c r="AH381" s="65" t="n">
        <f aca="false">IF(IFERROR(VLOOKUP(D381,Controls!$A$64:$E$74,5,FALSE()),"No")="Yes",1,0)</f>
        <v>0</v>
      </c>
      <c r="AI381" s="65" t="n">
        <f aca="false">IF(ISNUMBER(MATCH(D381,Controls!$A$64:$A$74,0)),1,0)</f>
        <v>1</v>
      </c>
      <c r="AJ381" s="65" t="n">
        <f aca="false">Q381-N381</f>
        <v>31850</v>
      </c>
      <c r="AK381" s="65" t="n">
        <f aca="false">IF(AE381=1,MAX(0,N381-Q381),0)</f>
        <v>0</v>
      </c>
      <c r="AL381" s="65" t="n">
        <f aca="false">IF(OR(V381="",V381=0),0,N381/V381)</f>
        <v>0.130816325265575</v>
      </c>
      <c r="AM381" s="65" t="n">
        <f aca="false">IF(OR(V381="",V381=0),0,1)</f>
        <v>1</v>
      </c>
      <c r="AN381" s="65" t="n">
        <f aca="false">IF(OR(E381="",F381=""),0,NETWORKDAYS(E381,F381,Ref!$K$2:$K$42))</f>
        <v>142</v>
      </c>
      <c r="AO381" s="65" t="n">
        <f aca="false">IF(L381="Renewal",1,0)</f>
        <v>1</v>
      </c>
      <c r="AP381" s="65" t="n">
        <f aca="false">AC381*AD381</f>
        <v>1</v>
      </c>
      <c r="AQ381" s="65" t="n">
        <f aca="false">IF(AND(G381&lt;&gt;"",'Historical Score'!$C$6&lt;&gt;""),IF(G381='Historical Score'!$C$6,1,0),0)</f>
        <v>0</v>
      </c>
      <c r="AR381" s="65" t="n">
        <f aca="false">IF(AND(L381&lt;&gt;"",'Historical Score'!$C$5&lt;&gt;""),IF(L381='Historical Score'!$C$5,1,0),0)</f>
        <v>0</v>
      </c>
      <c r="AS381" s="65" t="n">
        <f aca="false">IF(AND(Y381&lt;&gt;"",'Historical Score'!$C$7&lt;&gt;""),IF(Y381='Historical Score'!$C$7,1,0),0)</f>
        <v>0</v>
      </c>
      <c r="AT381" s="65" t="n">
        <f aca="false">IF(AND(K381&lt;&gt;"",'Historical Score'!$C$8&lt;&gt;""),IF(K381='Historical Score'!$C$8,1,0),0)</f>
        <v>0</v>
      </c>
      <c r="AU381" s="65" t="n">
        <f aca="false">IF(AND(J381&lt;&gt;"",'Historical Score'!$C$9&lt;&gt;""),IF(J381='Historical Score'!$C$9,1,0),0)</f>
        <v>0</v>
      </c>
      <c r="AV381" s="65" t="n">
        <f aca="false">AR381*AS381*AQ381</f>
        <v>0</v>
      </c>
      <c r="AW381" s="65" t="n">
        <f aca="false">AR381*AT381*AQ381</f>
        <v>0</v>
      </c>
      <c r="AX381" s="65" t="n">
        <f aca="false">AR381*AS381</f>
        <v>0</v>
      </c>
      <c r="AY381" s="65" t="n">
        <f aca="false">AR381*AT381</f>
        <v>0</v>
      </c>
      <c r="AZ381" s="65" t="n">
        <f aca="false">AR381*AQ381</f>
        <v>0</v>
      </c>
      <c r="BA381" s="65" t="n">
        <f aca="false">AR381</f>
        <v>0</v>
      </c>
      <c r="BB381" s="65" t="n">
        <f aca="false">1</f>
        <v>1</v>
      </c>
      <c r="BC381" s="65" t="n">
        <f aca="false">IF(AV381=1,1,IF(AW381=1,2,IF(AX381=1,3,IF(AY381=1,4,IF(AZ381=1,5,IF(BA381=1,6,7))))))</f>
        <v>7</v>
      </c>
      <c r="BD381" s="65" t="n">
        <f aca="false">IF(AD381=1,CHOOSE('Historical Score'!$C$29,AV381,AW381,AX381,AY381,AZ381,BA381,BB381),0)</f>
        <v>0</v>
      </c>
      <c r="BE381" s="65" t="str">
        <f aca="false">IF(BD381=1,COUNTIF($BD$2:BD381,1),"")</f>
        <v/>
      </c>
    </row>
    <row r="382" customFormat="false" ht="15" hidden="false" customHeight="false" outlineLevel="0" collapsed="false">
      <c r="A382" s="65" t="s">
        <v>1534</v>
      </c>
      <c r="B382" s="65" t="s">
        <v>1535</v>
      </c>
      <c r="C382" s="65" t="s">
        <v>1536</v>
      </c>
      <c r="D382" s="65" t="s">
        <v>340</v>
      </c>
      <c r="E382" s="112" t="n">
        <v>45985</v>
      </c>
      <c r="F382" s="112" t="n">
        <v>46108</v>
      </c>
      <c r="G382" s="65" t="n">
        <v>1</v>
      </c>
      <c r="H382" s="65" t="s">
        <v>748</v>
      </c>
      <c r="I382" s="65" t="s">
        <v>619</v>
      </c>
      <c r="J382" s="65" t="s">
        <v>399</v>
      </c>
      <c r="K382" s="65" t="s">
        <v>501</v>
      </c>
      <c r="L382" s="65" t="s">
        <v>64</v>
      </c>
      <c r="M382" s="113" t="n">
        <v>1.499</v>
      </c>
      <c r="N382" s="114" t="n">
        <v>16000</v>
      </c>
      <c r="O382" s="114" t="n">
        <v>2240</v>
      </c>
      <c r="P382" s="114" t="n">
        <v>23984</v>
      </c>
      <c r="Q382" s="114" t="n">
        <v>3926.56</v>
      </c>
      <c r="R382" s="114" t="n">
        <v>20057.44</v>
      </c>
      <c r="S382" s="115" t="n">
        <v>0.16371581054036</v>
      </c>
      <c r="T382" s="65" t="n">
        <v>25</v>
      </c>
      <c r="U382" s="65" t="n">
        <v>13</v>
      </c>
      <c r="V382" s="65" t="n">
        <v>31082.6</v>
      </c>
      <c r="W382" s="115" t="n">
        <v>0.1227</v>
      </c>
      <c r="X382" s="112" t="n">
        <v>43831</v>
      </c>
      <c r="Y382" s="65" t="str">
        <f aca="false">IF(I382="","No SIC",IFERROR(VLOOKUP(I382,Ref!$A$2:$B$65,2,FALSE()),"Unclassified"))</f>
        <v>Miscellaneous Retail</v>
      </c>
      <c r="Z382" s="65" t="str">
        <f aca="false">IF(T382="","",IF(T382&lt;12,"Daily","Weekly"))</f>
        <v>Weekly</v>
      </c>
      <c r="AA382" s="65" t="n">
        <f aca="false">IF(T382="",0,IF(T382&lt;12,T382*Controls!$B$29,T382*5))</f>
        <v>125</v>
      </c>
      <c r="AB382" s="65" t="n">
        <f aca="false">IF(E382="",0,NETWORKDAYS(E382,Controls!$B$36,Ref!$K$2:$K$42))</f>
        <v>190</v>
      </c>
      <c r="AC382" s="65" t="n">
        <f aca="false">IF(AND(AA382&gt;0,AB382&gt;=Controls!$B$39*AA382),1,0)</f>
        <v>1</v>
      </c>
      <c r="AD382" s="65" t="n">
        <f aca="false">IF(AND(E382&lt;&gt;"",E382&gt;=Controls!$B$37,E382&lt;=Controls!$B$38),1,0)</f>
        <v>1</v>
      </c>
      <c r="AE382" s="65" t="n">
        <f aca="false">IF(IFERROR(VLOOKUP(D382,Controls!$A$64:$E$74,2,FALSE()),"No")="Yes",1,0)</f>
        <v>1</v>
      </c>
      <c r="AF382" s="65" t="n">
        <f aca="false">IF(IFERROR(VLOOKUP(D382,Controls!$A$64:$E$74,3,FALSE()),"No")="Yes",1,0)</f>
        <v>0</v>
      </c>
      <c r="AG382" s="65" t="n">
        <f aca="false">IF(IFERROR(VLOOKUP(D382,Controls!$A$64:$E$74,4,FALSE()),"No")="Yes",1,0)</f>
        <v>0</v>
      </c>
      <c r="AH382" s="65" t="n">
        <f aca="false">IF(IFERROR(VLOOKUP(D382,Controls!$A$64:$E$74,5,FALSE()),"No")="Yes",1,0)</f>
        <v>0</v>
      </c>
      <c r="AI382" s="65" t="n">
        <f aca="false">IF(ISNUMBER(MATCH(D382,Controls!$A$64:$A$74,0)),1,0)</f>
        <v>1</v>
      </c>
      <c r="AJ382" s="65" t="n">
        <f aca="false">Q382-N382</f>
        <v>-12073.44</v>
      </c>
      <c r="AK382" s="65" t="n">
        <f aca="false">IF(AE382=1,MAX(0,N382-Q382),0)</f>
        <v>12073.44</v>
      </c>
      <c r="AL382" s="65" t="n">
        <f aca="false">IF(OR(V382="",V382=0),0,N382/V382)</f>
        <v>0.514757452722745</v>
      </c>
      <c r="AM382" s="65" t="n">
        <f aca="false">IF(OR(V382="",V382=0),0,1)</f>
        <v>1</v>
      </c>
      <c r="AN382" s="65" t="n">
        <f aca="false">IF(OR(E382="",F382=""),0,NETWORKDAYS(E382,F382,Ref!$K$2:$K$42))</f>
        <v>85</v>
      </c>
      <c r="AO382" s="65" t="n">
        <f aca="false">IF(L382="Renewal",1,0)</f>
        <v>0</v>
      </c>
      <c r="AP382" s="65" t="n">
        <f aca="false">AC382*AD382</f>
        <v>1</v>
      </c>
      <c r="AQ382" s="65" t="n">
        <f aca="false">IF(AND(G382&lt;&gt;"",'Historical Score'!$C$6&lt;&gt;""),IF(G382='Historical Score'!$C$6,1,0),0)</f>
        <v>0</v>
      </c>
      <c r="AR382" s="65" t="n">
        <f aca="false">IF(AND(L382&lt;&gt;"",'Historical Score'!$C$5&lt;&gt;""),IF(L382='Historical Score'!$C$5,1,0),0)</f>
        <v>1</v>
      </c>
      <c r="AS382" s="65" t="n">
        <f aca="false">IF(AND(Y382&lt;&gt;"",'Historical Score'!$C$7&lt;&gt;""),IF(Y382='Historical Score'!$C$7,1,0),0)</f>
        <v>0</v>
      </c>
      <c r="AT382" s="65" t="n">
        <f aca="false">IF(AND(K382&lt;&gt;"",'Historical Score'!$C$8&lt;&gt;""),IF(K382='Historical Score'!$C$8,1,0),0)</f>
        <v>0</v>
      </c>
      <c r="AU382" s="65" t="n">
        <f aca="false">IF(AND(J382&lt;&gt;"",'Historical Score'!$C$9&lt;&gt;""),IF(J382='Historical Score'!$C$9,1,0),0)</f>
        <v>0</v>
      </c>
      <c r="AV382" s="65" t="n">
        <f aca="false">AR382*AS382*AQ382</f>
        <v>0</v>
      </c>
      <c r="AW382" s="65" t="n">
        <f aca="false">AR382*AT382*AQ382</f>
        <v>0</v>
      </c>
      <c r="AX382" s="65" t="n">
        <f aca="false">AR382*AS382</f>
        <v>0</v>
      </c>
      <c r="AY382" s="65" t="n">
        <f aca="false">AR382*AT382</f>
        <v>0</v>
      </c>
      <c r="AZ382" s="65" t="n">
        <f aca="false">AR382*AQ382</f>
        <v>0</v>
      </c>
      <c r="BA382" s="65" t="n">
        <f aca="false">AR382</f>
        <v>1</v>
      </c>
      <c r="BB382" s="65" t="n">
        <f aca="false">1</f>
        <v>1</v>
      </c>
      <c r="BC382" s="65" t="n">
        <f aca="false">IF(AV382=1,1,IF(AW382=1,2,IF(AX382=1,3,IF(AY382=1,4,IF(AZ382=1,5,IF(BA382=1,6,7))))))</f>
        <v>6</v>
      </c>
      <c r="BD382" s="65" t="n">
        <f aca="false">IF(AD382=1,CHOOSE('Historical Score'!$C$29,AV382,AW382,AX382,AY382,AZ382,BA382,BB382),0)</f>
        <v>0</v>
      </c>
      <c r="BE382" s="65" t="str">
        <f aca="false">IF(BD382=1,COUNTIF($BD$2:BD382,1),"")</f>
        <v/>
      </c>
    </row>
    <row r="383" customFormat="false" ht="15" hidden="false" customHeight="false" outlineLevel="0" collapsed="false">
      <c r="A383" s="65" t="s">
        <v>1537</v>
      </c>
      <c r="B383" s="65" t="s">
        <v>1538</v>
      </c>
      <c r="C383" s="65" t="s">
        <v>1539</v>
      </c>
      <c r="D383" s="65" t="s">
        <v>371</v>
      </c>
      <c r="E383" s="112" t="n">
        <v>45986</v>
      </c>
      <c r="F383" s="112" t="n">
        <v>46224</v>
      </c>
      <c r="G383" s="65" t="n">
        <v>1</v>
      </c>
      <c r="H383" s="65" t="s">
        <v>1540</v>
      </c>
      <c r="I383" s="65" t="s">
        <v>1357</v>
      </c>
      <c r="J383" s="65" t="s">
        <v>638</v>
      </c>
      <c r="K383" s="65" t="s">
        <v>1047</v>
      </c>
      <c r="L383" s="65" t="s">
        <v>64</v>
      </c>
      <c r="M383" s="113" t="n">
        <v>1.37</v>
      </c>
      <c r="N383" s="114" t="n">
        <v>60000</v>
      </c>
      <c r="O383" s="114" t="n">
        <v>4800</v>
      </c>
      <c r="P383" s="114" t="n">
        <v>82200</v>
      </c>
      <c r="Q383" s="114" t="n">
        <v>82200</v>
      </c>
      <c r="R383" s="114" t="n">
        <v>0</v>
      </c>
      <c r="S383" s="115" t="n">
        <v>1</v>
      </c>
      <c r="T383" s="65" t="n">
        <v>32</v>
      </c>
      <c r="U383" s="65" t="n">
        <v>0</v>
      </c>
      <c r="V383" s="65" t="n">
        <v>94249.28</v>
      </c>
      <c r="W383" s="115" t="n">
        <v>0.109</v>
      </c>
      <c r="X383" s="112" t="n">
        <v>44938</v>
      </c>
      <c r="Y383" s="65" t="str">
        <f aca="false">IF(I383="","No SIC",IFERROR(VLOOKUP(I383,Ref!$A$2:$B$65,2,FALSE()),"Unclassified"))</f>
        <v>Insurance Carriers</v>
      </c>
      <c r="Z383" s="65" t="str">
        <f aca="false">IF(T383="","",IF(T383&lt;12,"Daily","Weekly"))</f>
        <v>Weekly</v>
      </c>
      <c r="AA383" s="65" t="n">
        <f aca="false">IF(T383="",0,IF(T383&lt;12,T383*Controls!$B$29,T383*5))</f>
        <v>160</v>
      </c>
      <c r="AB383" s="65" t="n">
        <f aca="false">IF(E383="",0,NETWORKDAYS(E383,Controls!$B$36,Ref!$K$2:$K$42))</f>
        <v>189</v>
      </c>
      <c r="AC383" s="65" t="n">
        <f aca="false">IF(AND(AA383&gt;0,AB383&gt;=Controls!$B$39*AA383),1,0)</f>
        <v>0</v>
      </c>
      <c r="AD383" s="65" t="n">
        <f aca="false">IF(AND(E383&lt;&gt;"",E383&gt;=Controls!$B$37,E383&lt;=Controls!$B$38),1,0)</f>
        <v>1</v>
      </c>
      <c r="AE383" s="65" t="n">
        <f aca="false">IF(IFERROR(VLOOKUP(D383,Controls!$A$64:$E$74,2,FALSE()),"No")="Yes",1,0)</f>
        <v>0</v>
      </c>
      <c r="AF383" s="65" t="n">
        <f aca="false">IF(IFERROR(VLOOKUP(D383,Controls!$A$64:$E$74,3,FALSE()),"No")="Yes",1,0)</f>
        <v>1</v>
      </c>
      <c r="AG383" s="65" t="n">
        <f aca="false">IF(IFERROR(VLOOKUP(D383,Controls!$A$64:$E$74,4,FALSE()),"No")="Yes",1,0)</f>
        <v>1</v>
      </c>
      <c r="AH383" s="65" t="n">
        <f aca="false">IF(IFERROR(VLOOKUP(D383,Controls!$A$64:$E$74,5,FALSE()),"No")="Yes",1,0)</f>
        <v>0</v>
      </c>
      <c r="AI383" s="65" t="n">
        <f aca="false">IF(ISNUMBER(MATCH(D383,Controls!$A$64:$A$74,0)),1,0)</f>
        <v>1</v>
      </c>
      <c r="AJ383" s="65" t="n">
        <f aca="false">Q383-N383</f>
        <v>22200</v>
      </c>
      <c r="AK383" s="65" t="n">
        <f aca="false">IF(AE383=1,MAX(0,N383-Q383),0)</f>
        <v>0</v>
      </c>
      <c r="AL383" s="65" t="n">
        <f aca="false">IF(OR(V383="",V383=0),0,N383/V383)</f>
        <v>0.636609637760628</v>
      </c>
      <c r="AM383" s="65" t="n">
        <f aca="false">IF(OR(V383="",V383=0),0,1)</f>
        <v>1</v>
      </c>
      <c r="AN383" s="65" t="n">
        <f aca="false">IF(OR(E383="",F383=""),0,NETWORKDAYS(E383,F383,Ref!$K$2:$K$42))</f>
        <v>164</v>
      </c>
      <c r="AO383" s="65" t="n">
        <f aca="false">IF(L383="Renewal",1,0)</f>
        <v>0</v>
      </c>
      <c r="AP383" s="65" t="n">
        <f aca="false">AC383*AD383</f>
        <v>0</v>
      </c>
      <c r="AQ383" s="65" t="n">
        <f aca="false">IF(AND(G383&lt;&gt;"",'Historical Score'!$C$6&lt;&gt;""),IF(G383='Historical Score'!$C$6,1,0),0)</f>
        <v>0</v>
      </c>
      <c r="AR383" s="65" t="n">
        <f aca="false">IF(AND(L383&lt;&gt;"",'Historical Score'!$C$5&lt;&gt;""),IF(L383='Historical Score'!$C$5,1,0),0)</f>
        <v>1</v>
      </c>
      <c r="AS383" s="65" t="n">
        <f aca="false">IF(AND(Y383&lt;&gt;"",'Historical Score'!$C$7&lt;&gt;""),IF(Y383='Historical Score'!$C$7,1,0),0)</f>
        <v>0</v>
      </c>
      <c r="AT383" s="65" t="n">
        <f aca="false">IF(AND(K383&lt;&gt;"",'Historical Score'!$C$8&lt;&gt;""),IF(K383='Historical Score'!$C$8,1,0),0)</f>
        <v>0</v>
      </c>
      <c r="AU383" s="65" t="n">
        <f aca="false">IF(AND(J383&lt;&gt;"",'Historical Score'!$C$9&lt;&gt;""),IF(J383='Historical Score'!$C$9,1,0),0)</f>
        <v>0</v>
      </c>
      <c r="AV383" s="65" t="n">
        <f aca="false">AR383*AS383*AQ383</f>
        <v>0</v>
      </c>
      <c r="AW383" s="65" t="n">
        <f aca="false">AR383*AT383*AQ383</f>
        <v>0</v>
      </c>
      <c r="AX383" s="65" t="n">
        <f aca="false">AR383*AS383</f>
        <v>0</v>
      </c>
      <c r="AY383" s="65" t="n">
        <f aca="false">AR383*AT383</f>
        <v>0</v>
      </c>
      <c r="AZ383" s="65" t="n">
        <f aca="false">AR383*AQ383</f>
        <v>0</v>
      </c>
      <c r="BA383" s="65" t="n">
        <f aca="false">AR383</f>
        <v>1</v>
      </c>
      <c r="BB383" s="65" t="n">
        <f aca="false">1</f>
        <v>1</v>
      </c>
      <c r="BC383" s="65" t="n">
        <f aca="false">IF(AV383=1,1,IF(AW383=1,2,IF(AX383=1,3,IF(AY383=1,4,IF(AZ383=1,5,IF(BA383=1,6,7))))))</f>
        <v>6</v>
      </c>
      <c r="BD383" s="65" t="n">
        <f aca="false">IF(AD383=1,CHOOSE('Historical Score'!$C$29,AV383,AW383,AX383,AY383,AZ383,BA383,BB383),0)</f>
        <v>0</v>
      </c>
      <c r="BE383" s="65" t="str">
        <f aca="false">IF(BD383=1,COUNTIF($BD$2:BD383,1),"")</f>
        <v/>
      </c>
    </row>
    <row r="384" customFormat="false" ht="15" hidden="false" customHeight="false" outlineLevel="0" collapsed="false">
      <c r="A384" s="65" t="s">
        <v>1541</v>
      </c>
      <c r="B384" s="65" t="s">
        <v>861</v>
      </c>
      <c r="C384" s="65" t="s">
        <v>861</v>
      </c>
      <c r="D384" s="65" t="s">
        <v>533</v>
      </c>
      <c r="E384" s="112" t="n">
        <v>45986</v>
      </c>
      <c r="F384" s="112" t="n">
        <v>46099</v>
      </c>
      <c r="G384" s="65" t="n">
        <v>3</v>
      </c>
      <c r="H384" s="65" t="s">
        <v>442</v>
      </c>
      <c r="I384" s="65" t="s">
        <v>443</v>
      </c>
      <c r="J384" s="65" t="s">
        <v>452</v>
      </c>
      <c r="K384" s="65" t="s">
        <v>862</v>
      </c>
      <c r="L384" s="65" t="s">
        <v>320</v>
      </c>
      <c r="M384" s="113" t="n">
        <v>1.499</v>
      </c>
      <c r="N384" s="114" t="n">
        <v>28000</v>
      </c>
      <c r="O384" s="114" t="n">
        <v>3920</v>
      </c>
      <c r="P384" s="114" t="n">
        <v>41972</v>
      </c>
      <c r="Q384" s="114" t="n">
        <v>8299.48</v>
      </c>
      <c r="R384" s="114" t="n">
        <v>33672.52</v>
      </c>
      <c r="S384" s="115" t="n">
        <v>0.197738492328219</v>
      </c>
      <c r="T384" s="65" t="n">
        <v>24</v>
      </c>
      <c r="U384" s="65" t="n">
        <v>18</v>
      </c>
      <c r="V384" s="65" t="n">
        <v>50449.57</v>
      </c>
      <c r="W384" s="115" t="n">
        <v>0.1226</v>
      </c>
      <c r="X384" s="112" t="n">
        <v>43647</v>
      </c>
      <c r="Y384" s="65" t="str">
        <f aca="false">IF(I384="","No SIC",IFERROR(VLOOKUP(I384,Ref!$A$2:$B$65,2,FALSE()),"Unclassified"))</f>
        <v>General Building Contractors</v>
      </c>
      <c r="Z384" s="65" t="str">
        <f aca="false">IF(T384="","",IF(T384&lt;12,"Daily","Weekly"))</f>
        <v>Weekly</v>
      </c>
      <c r="AA384" s="65" t="n">
        <f aca="false">IF(T384="",0,IF(T384&lt;12,T384*Controls!$B$29,T384*5))</f>
        <v>120</v>
      </c>
      <c r="AB384" s="65" t="n">
        <f aca="false">IF(E384="",0,NETWORKDAYS(E384,Controls!$B$36,Ref!$K$2:$K$42))</f>
        <v>189</v>
      </c>
      <c r="AC384" s="65" t="n">
        <f aca="false">IF(AND(AA384&gt;0,AB384&gt;=Controls!$B$39*AA384),1,0)</f>
        <v>1</v>
      </c>
      <c r="AD384" s="65" t="n">
        <f aca="false">IF(AND(E384&lt;&gt;"",E384&gt;=Controls!$B$37,E384&lt;=Controls!$B$38),1,0)</f>
        <v>1</v>
      </c>
      <c r="AE384" s="65" t="n">
        <f aca="false">IF(IFERROR(VLOOKUP(D384,Controls!$A$64:$E$74,2,FALSE()),"No")="Yes",1,0)</f>
        <v>1</v>
      </c>
      <c r="AF384" s="65" t="n">
        <f aca="false">IF(IFERROR(VLOOKUP(D384,Controls!$A$64:$E$74,3,FALSE()),"No")="Yes",1,0)</f>
        <v>0</v>
      </c>
      <c r="AG384" s="65" t="n">
        <f aca="false">IF(IFERROR(VLOOKUP(D384,Controls!$A$64:$E$74,4,FALSE()),"No")="Yes",1,0)</f>
        <v>0</v>
      </c>
      <c r="AH384" s="65" t="n">
        <f aca="false">IF(IFERROR(VLOOKUP(D384,Controls!$A$64:$E$74,5,FALSE()),"No")="Yes",1,0)</f>
        <v>0</v>
      </c>
      <c r="AI384" s="65" t="n">
        <f aca="false">IF(ISNUMBER(MATCH(D384,Controls!$A$64:$A$74,0)),1,0)</f>
        <v>1</v>
      </c>
      <c r="AJ384" s="65" t="n">
        <f aca="false">Q384-N384</f>
        <v>-19700.52</v>
      </c>
      <c r="AK384" s="65" t="n">
        <f aca="false">IF(AE384=1,MAX(0,N384-Q384),0)</f>
        <v>19700.52</v>
      </c>
      <c r="AL384" s="65" t="n">
        <f aca="false">IF(OR(V384="",V384=0),0,N384/V384)</f>
        <v>0.555009685910108</v>
      </c>
      <c r="AM384" s="65" t="n">
        <f aca="false">IF(OR(V384="",V384=0),0,1)</f>
        <v>1</v>
      </c>
      <c r="AN384" s="65" t="n">
        <f aca="false">IF(OR(E384="",F384=""),0,NETWORKDAYS(E384,F384,Ref!$K$2:$K$42))</f>
        <v>77</v>
      </c>
      <c r="AO384" s="65" t="n">
        <f aca="false">IF(L384="Renewal",1,0)</f>
        <v>1</v>
      </c>
      <c r="AP384" s="65" t="n">
        <f aca="false">AC384*AD384</f>
        <v>1</v>
      </c>
      <c r="AQ384" s="65" t="n">
        <f aca="false">IF(AND(G384&lt;&gt;"",'Historical Score'!$C$6&lt;&gt;""),IF(G384='Historical Score'!$C$6,1,0),0)</f>
        <v>0</v>
      </c>
      <c r="AR384" s="65" t="n">
        <f aca="false">IF(AND(L384&lt;&gt;"",'Historical Score'!$C$5&lt;&gt;""),IF(L384='Historical Score'!$C$5,1,0),0)</f>
        <v>0</v>
      </c>
      <c r="AS384" s="65" t="n">
        <f aca="false">IF(AND(Y384&lt;&gt;"",'Historical Score'!$C$7&lt;&gt;""),IF(Y384='Historical Score'!$C$7,1,0),0)</f>
        <v>1</v>
      </c>
      <c r="AT384" s="65" t="n">
        <f aca="false">IF(AND(K384&lt;&gt;"",'Historical Score'!$C$8&lt;&gt;""),IF(K384='Historical Score'!$C$8,1,0),0)</f>
        <v>0</v>
      </c>
      <c r="AU384" s="65" t="n">
        <f aca="false">IF(AND(J384&lt;&gt;"",'Historical Score'!$C$9&lt;&gt;""),IF(J384='Historical Score'!$C$9,1,0),0)</f>
        <v>0</v>
      </c>
      <c r="AV384" s="65" t="n">
        <f aca="false">AR384*AS384*AQ384</f>
        <v>0</v>
      </c>
      <c r="AW384" s="65" t="n">
        <f aca="false">AR384*AT384*AQ384</f>
        <v>0</v>
      </c>
      <c r="AX384" s="65" t="n">
        <f aca="false">AR384*AS384</f>
        <v>0</v>
      </c>
      <c r="AY384" s="65" t="n">
        <f aca="false">AR384*AT384</f>
        <v>0</v>
      </c>
      <c r="AZ384" s="65" t="n">
        <f aca="false">AR384*AQ384</f>
        <v>0</v>
      </c>
      <c r="BA384" s="65" t="n">
        <f aca="false">AR384</f>
        <v>0</v>
      </c>
      <c r="BB384" s="65" t="n">
        <f aca="false">1</f>
        <v>1</v>
      </c>
      <c r="BC384" s="65" t="n">
        <f aca="false">IF(AV384=1,1,IF(AW384=1,2,IF(AX384=1,3,IF(AY384=1,4,IF(AZ384=1,5,IF(BA384=1,6,7))))))</f>
        <v>7</v>
      </c>
      <c r="BD384" s="65" t="n">
        <f aca="false">IF(AD384=1,CHOOSE('Historical Score'!$C$29,AV384,AW384,AX384,AY384,AZ384,BA384,BB384),0)</f>
        <v>0</v>
      </c>
      <c r="BE384" s="65" t="str">
        <f aca="false">IF(BD384=1,COUNTIF($BD$2:BD384,1),"")</f>
        <v/>
      </c>
    </row>
    <row r="385" customFormat="false" ht="15" hidden="false" customHeight="false" outlineLevel="0" collapsed="false">
      <c r="A385" s="65" t="s">
        <v>1542</v>
      </c>
      <c r="B385" s="65" t="s">
        <v>801</v>
      </c>
      <c r="C385" s="65" t="s">
        <v>801</v>
      </c>
      <c r="D385" s="65" t="s">
        <v>347</v>
      </c>
      <c r="E385" s="112" t="n">
        <v>45986</v>
      </c>
      <c r="F385" s="112" t="n">
        <v>46177</v>
      </c>
      <c r="G385" s="65" t="n">
        <v>3</v>
      </c>
      <c r="H385" s="65" t="s">
        <v>409</v>
      </c>
      <c r="I385" s="65" t="s">
        <v>342</v>
      </c>
      <c r="J385" s="65" t="s">
        <v>452</v>
      </c>
      <c r="K385" s="65" t="s">
        <v>538</v>
      </c>
      <c r="L385" s="65" t="s">
        <v>320</v>
      </c>
      <c r="M385" s="113" t="n">
        <v>1.499</v>
      </c>
      <c r="N385" s="114" t="n">
        <v>40000</v>
      </c>
      <c r="O385" s="114" t="n">
        <v>5600</v>
      </c>
      <c r="P385" s="114" t="n">
        <v>59960</v>
      </c>
      <c r="Q385" s="114" t="n">
        <v>58680.32</v>
      </c>
      <c r="R385" s="114" t="n">
        <v>1279.68000000001</v>
      </c>
      <c r="S385" s="115" t="n">
        <v>0.978657771847899</v>
      </c>
      <c r="T385" s="65" t="n">
        <v>4.262</v>
      </c>
      <c r="U385" s="65" t="n">
        <v>3</v>
      </c>
      <c r="V385" s="65" t="n">
        <v>138520.32</v>
      </c>
      <c r="W385" s="115" t="n">
        <v>0.0695</v>
      </c>
      <c r="X385" s="112" t="n">
        <v>42430</v>
      </c>
      <c r="Y385" s="65" t="str">
        <f aca="false">IF(I385="","No SIC",IFERROR(VLOOKUP(I385,Ref!$A$2:$B$65,2,FALSE()),"Unclassified"))</f>
        <v>Eating &amp; Drinking Places</v>
      </c>
      <c r="Z385" s="65" t="str">
        <f aca="false">IF(T385="","",IF(T385&lt;12,"Daily","Weekly"))</f>
        <v>Daily</v>
      </c>
      <c r="AA385" s="65" t="n">
        <f aca="false">IF(T385="",0,IF(T385&lt;12,T385*Controls!$B$29,T385*5))</f>
        <v>92.29361</v>
      </c>
      <c r="AB385" s="65" t="n">
        <f aca="false">IF(E385="",0,NETWORKDAYS(E385,Controls!$B$36,Ref!$K$2:$K$42))</f>
        <v>189</v>
      </c>
      <c r="AC385" s="65" t="n">
        <f aca="false">IF(AND(AA385&gt;0,AB385&gt;=Controls!$B$39*AA385),1,0)</f>
        <v>1</v>
      </c>
      <c r="AD385" s="65" t="n">
        <f aca="false">IF(AND(E385&lt;&gt;"",E385&gt;=Controls!$B$37,E385&lt;=Controls!$B$38),1,0)</f>
        <v>1</v>
      </c>
      <c r="AE385" s="65" t="n">
        <f aca="false">IF(IFERROR(VLOOKUP(D385,Controls!$A$64:$E$74,2,FALSE()),"No")="Yes",1,0)</f>
        <v>1</v>
      </c>
      <c r="AF385" s="65" t="n">
        <f aca="false">IF(IFERROR(VLOOKUP(D385,Controls!$A$64:$E$74,3,FALSE()),"No")="Yes",1,0)</f>
        <v>1</v>
      </c>
      <c r="AG385" s="65" t="n">
        <f aca="false">IF(IFERROR(VLOOKUP(D385,Controls!$A$64:$E$74,4,FALSE()),"No")="Yes",1,0)</f>
        <v>0</v>
      </c>
      <c r="AH385" s="65" t="n">
        <f aca="false">IF(IFERROR(VLOOKUP(D385,Controls!$A$64:$E$74,5,FALSE()),"No")="Yes",1,0)</f>
        <v>0</v>
      </c>
      <c r="AI385" s="65" t="n">
        <f aca="false">IF(ISNUMBER(MATCH(D385,Controls!$A$64:$A$74,0)),1,0)</f>
        <v>1</v>
      </c>
      <c r="AJ385" s="65" t="n">
        <f aca="false">Q385-N385</f>
        <v>18680.32</v>
      </c>
      <c r="AK385" s="65" t="n">
        <f aca="false">IF(AE385=1,MAX(0,N385-Q385),0)</f>
        <v>0</v>
      </c>
      <c r="AL385" s="65" t="n">
        <f aca="false">IF(OR(V385="",V385=0),0,N385/V385)</f>
        <v>0.288766297969857</v>
      </c>
      <c r="AM385" s="65" t="n">
        <f aca="false">IF(OR(V385="",V385=0),0,1)</f>
        <v>1</v>
      </c>
      <c r="AN385" s="65" t="n">
        <f aca="false">IF(OR(E385="",F385=""),0,NETWORKDAYS(E385,F385,Ref!$K$2:$K$42))</f>
        <v>132</v>
      </c>
      <c r="AO385" s="65" t="n">
        <f aca="false">IF(L385="Renewal",1,0)</f>
        <v>1</v>
      </c>
      <c r="AP385" s="65" t="n">
        <f aca="false">AC385*AD385</f>
        <v>1</v>
      </c>
      <c r="AQ385" s="65" t="n">
        <f aca="false">IF(AND(G385&lt;&gt;"",'Historical Score'!$C$6&lt;&gt;""),IF(G385='Historical Score'!$C$6,1,0),0)</f>
        <v>0</v>
      </c>
      <c r="AR385" s="65" t="n">
        <f aca="false">IF(AND(L385&lt;&gt;"",'Historical Score'!$C$5&lt;&gt;""),IF(L385='Historical Score'!$C$5,1,0),0)</f>
        <v>0</v>
      </c>
      <c r="AS385" s="65" t="n">
        <f aca="false">IF(AND(Y385&lt;&gt;"",'Historical Score'!$C$7&lt;&gt;""),IF(Y385='Historical Score'!$C$7,1,0),0)</f>
        <v>0</v>
      </c>
      <c r="AT385" s="65" t="n">
        <f aca="false">IF(AND(K385&lt;&gt;"",'Historical Score'!$C$8&lt;&gt;""),IF(K385='Historical Score'!$C$8,1,0),0)</f>
        <v>0</v>
      </c>
      <c r="AU385" s="65" t="n">
        <f aca="false">IF(AND(J385&lt;&gt;"",'Historical Score'!$C$9&lt;&gt;""),IF(J385='Historical Score'!$C$9,1,0),0)</f>
        <v>0</v>
      </c>
      <c r="AV385" s="65" t="n">
        <f aca="false">AR385*AS385*AQ385</f>
        <v>0</v>
      </c>
      <c r="AW385" s="65" t="n">
        <f aca="false">AR385*AT385*AQ385</f>
        <v>0</v>
      </c>
      <c r="AX385" s="65" t="n">
        <f aca="false">AR385*AS385</f>
        <v>0</v>
      </c>
      <c r="AY385" s="65" t="n">
        <f aca="false">AR385*AT385</f>
        <v>0</v>
      </c>
      <c r="AZ385" s="65" t="n">
        <f aca="false">AR385*AQ385</f>
        <v>0</v>
      </c>
      <c r="BA385" s="65" t="n">
        <f aca="false">AR385</f>
        <v>0</v>
      </c>
      <c r="BB385" s="65" t="n">
        <f aca="false">1</f>
        <v>1</v>
      </c>
      <c r="BC385" s="65" t="n">
        <f aca="false">IF(AV385=1,1,IF(AW385=1,2,IF(AX385=1,3,IF(AY385=1,4,IF(AZ385=1,5,IF(BA385=1,6,7))))))</f>
        <v>7</v>
      </c>
      <c r="BD385" s="65" t="n">
        <f aca="false">IF(AD385=1,CHOOSE('Historical Score'!$C$29,AV385,AW385,AX385,AY385,AZ385,BA385,BB385),0)</f>
        <v>0</v>
      </c>
      <c r="BE385" s="65" t="str">
        <f aca="false">IF(BD385=1,COUNTIF($BD$2:BD385,1),"")</f>
        <v/>
      </c>
    </row>
    <row r="386" customFormat="false" ht="15" hidden="false" customHeight="false" outlineLevel="0" collapsed="false">
      <c r="A386" s="65" t="s">
        <v>1543</v>
      </c>
      <c r="B386" s="65" t="s">
        <v>1544</v>
      </c>
      <c r="C386" s="65" t="s">
        <v>1545</v>
      </c>
      <c r="D386" s="65" t="s">
        <v>295</v>
      </c>
      <c r="E386" s="112" t="n">
        <v>45986</v>
      </c>
      <c r="F386" s="112" t="n">
        <v>46251</v>
      </c>
      <c r="G386" s="65" t="n">
        <v>2</v>
      </c>
      <c r="H386" s="65" t="s">
        <v>442</v>
      </c>
      <c r="I386" s="65" t="s">
        <v>443</v>
      </c>
      <c r="J386" s="65" t="s">
        <v>61</v>
      </c>
      <c r="K386" s="65" t="s">
        <v>433</v>
      </c>
      <c r="L386" s="65" t="s">
        <v>64</v>
      </c>
      <c r="M386" s="113" t="n">
        <v>1.499</v>
      </c>
      <c r="N386" s="114" t="n">
        <v>20000</v>
      </c>
      <c r="O386" s="114" t="n">
        <v>2800</v>
      </c>
      <c r="P386" s="114" t="n">
        <v>29980</v>
      </c>
      <c r="Q386" s="114" t="n">
        <v>25246.76</v>
      </c>
      <c r="R386" s="114" t="n">
        <v>4733.24000000001</v>
      </c>
      <c r="S386" s="115" t="n">
        <v>0.842120080053369</v>
      </c>
      <c r="T386" s="65" t="n">
        <v>26</v>
      </c>
      <c r="U386" s="65" t="n">
        <v>15</v>
      </c>
      <c r="V386" s="65" t="n">
        <v>185093.76</v>
      </c>
      <c r="W386" s="115" t="n">
        <v>0.0248</v>
      </c>
      <c r="X386" s="112" t="n">
        <v>45064</v>
      </c>
      <c r="Y386" s="65" t="str">
        <f aca="false">IF(I386="","No SIC",IFERROR(VLOOKUP(I386,Ref!$A$2:$B$65,2,FALSE()),"Unclassified"))</f>
        <v>General Building Contractors</v>
      </c>
      <c r="Z386" s="65" t="str">
        <f aca="false">IF(T386="","",IF(T386&lt;12,"Daily","Weekly"))</f>
        <v>Weekly</v>
      </c>
      <c r="AA386" s="65" t="n">
        <f aca="false">IF(T386="",0,IF(T386&lt;12,T386*Controls!$B$29,T386*5))</f>
        <v>130</v>
      </c>
      <c r="AB386" s="65" t="n">
        <f aca="false">IF(E386="",0,NETWORKDAYS(E386,Controls!$B$36,Ref!$K$2:$K$42))</f>
        <v>189</v>
      </c>
      <c r="AC386" s="65" t="n">
        <f aca="false">IF(AND(AA386&gt;0,AB386&gt;=Controls!$B$39*AA386),1,0)</f>
        <v>1</v>
      </c>
      <c r="AD386" s="65" t="n">
        <f aca="false">IF(AND(E386&lt;&gt;"",E386&gt;=Controls!$B$37,E386&lt;=Controls!$B$38),1,0)</f>
        <v>1</v>
      </c>
      <c r="AE386" s="65" t="n">
        <f aca="false">IF(IFERROR(VLOOKUP(D386,Controls!$A$64:$E$74,2,FALSE()),"No")="Yes",1,0)</f>
        <v>0</v>
      </c>
      <c r="AF386" s="65" t="n">
        <f aca="false">IF(IFERROR(VLOOKUP(D386,Controls!$A$64:$E$74,3,FALSE()),"No")="Yes",1,0)</f>
        <v>0</v>
      </c>
      <c r="AG386" s="65" t="n">
        <f aca="false">IF(IFERROR(VLOOKUP(D386,Controls!$A$64:$E$74,4,FALSE()),"No")="Yes",1,0)</f>
        <v>0</v>
      </c>
      <c r="AH386" s="65" t="n">
        <f aca="false">IF(IFERROR(VLOOKUP(D386,Controls!$A$64:$E$74,5,FALSE()),"No")="Yes",1,0)</f>
        <v>1</v>
      </c>
      <c r="AI386" s="65" t="n">
        <f aca="false">IF(ISNUMBER(MATCH(D386,Controls!$A$64:$A$74,0)),1,0)</f>
        <v>1</v>
      </c>
      <c r="AJ386" s="65" t="n">
        <f aca="false">Q386-N386</f>
        <v>5246.76</v>
      </c>
      <c r="AK386" s="65" t="n">
        <f aca="false">IF(AE386=1,MAX(0,N386-Q386),0)</f>
        <v>0</v>
      </c>
      <c r="AL386" s="65" t="n">
        <f aca="false">IF(OR(V386="",V386=0),0,N386/V386)</f>
        <v>0.108053345504462</v>
      </c>
      <c r="AM386" s="65" t="n">
        <f aca="false">IF(OR(V386="",V386=0),0,1)</f>
        <v>1</v>
      </c>
      <c r="AN386" s="65" t="n">
        <f aca="false">IF(OR(E386="",F386=""),0,NETWORKDAYS(E386,F386,Ref!$K$2:$K$42))</f>
        <v>183</v>
      </c>
      <c r="AO386" s="65" t="n">
        <f aca="false">IF(L386="Renewal",1,0)</f>
        <v>0</v>
      </c>
      <c r="AP386" s="65" t="n">
        <f aca="false">AC386*AD386</f>
        <v>1</v>
      </c>
      <c r="AQ386" s="65" t="n">
        <f aca="false">IF(AND(G386&lt;&gt;"",'Historical Score'!$C$6&lt;&gt;""),IF(G386='Historical Score'!$C$6,1,0),0)</f>
        <v>1</v>
      </c>
      <c r="AR386" s="65" t="n">
        <f aca="false">IF(AND(L386&lt;&gt;"",'Historical Score'!$C$5&lt;&gt;""),IF(L386='Historical Score'!$C$5,1,0),0)</f>
        <v>1</v>
      </c>
      <c r="AS386" s="65" t="n">
        <f aca="false">IF(AND(Y386&lt;&gt;"",'Historical Score'!$C$7&lt;&gt;""),IF(Y386='Historical Score'!$C$7,1,0),0)</f>
        <v>1</v>
      </c>
      <c r="AT386" s="65" t="n">
        <f aca="false">IF(AND(K386&lt;&gt;"",'Historical Score'!$C$8&lt;&gt;""),IF(K386='Historical Score'!$C$8,1,0),0)</f>
        <v>0</v>
      </c>
      <c r="AU386" s="65" t="n">
        <f aca="false">IF(AND(J386&lt;&gt;"",'Historical Score'!$C$9&lt;&gt;""),IF(J386='Historical Score'!$C$9,1,0),0)</f>
        <v>1</v>
      </c>
      <c r="AV386" s="65" t="n">
        <f aca="false">AR386*AS386*AQ386</f>
        <v>1</v>
      </c>
      <c r="AW386" s="65" t="n">
        <f aca="false">AR386*AT386*AQ386</f>
        <v>0</v>
      </c>
      <c r="AX386" s="65" t="n">
        <f aca="false">AR386*AS386</f>
        <v>1</v>
      </c>
      <c r="AY386" s="65" t="n">
        <f aca="false">AR386*AT386</f>
        <v>0</v>
      </c>
      <c r="AZ386" s="65" t="n">
        <f aca="false">AR386*AQ386</f>
        <v>1</v>
      </c>
      <c r="BA386" s="65" t="n">
        <f aca="false">AR386</f>
        <v>1</v>
      </c>
      <c r="BB386" s="65" t="n">
        <f aca="false">1</f>
        <v>1</v>
      </c>
      <c r="BC386" s="65" t="n">
        <f aca="false">IF(AV386=1,1,IF(AW386=1,2,IF(AX386=1,3,IF(AY386=1,4,IF(AZ386=1,5,IF(BA386=1,6,7))))))</f>
        <v>1</v>
      </c>
      <c r="BD386" s="65" t="n">
        <f aca="false">IF(AD386=1,CHOOSE('Historical Score'!$C$29,AV386,AW386,AX386,AY386,AZ386,BA386,BB386),0)</f>
        <v>1</v>
      </c>
      <c r="BE386" s="65" t="n">
        <f aca="false">IF(BD386=1,COUNTIF($BD$2:BD386,1),"")</f>
        <v>15</v>
      </c>
    </row>
    <row r="387" customFormat="false" ht="15" hidden="false" customHeight="false" outlineLevel="0" collapsed="false">
      <c r="A387" s="65" t="s">
        <v>1546</v>
      </c>
      <c r="B387" s="65" t="s">
        <v>1547</v>
      </c>
      <c r="C387" s="65" t="s">
        <v>1547</v>
      </c>
      <c r="D387" s="65" t="s">
        <v>340</v>
      </c>
      <c r="E387" s="112" t="n">
        <v>45986</v>
      </c>
      <c r="F387" s="112" t="n">
        <v>46002</v>
      </c>
      <c r="G387" s="65" t="n">
        <v>3</v>
      </c>
      <c r="H387" s="65" t="s">
        <v>442</v>
      </c>
      <c r="I387" s="65" t="s">
        <v>443</v>
      </c>
      <c r="J387" s="65" t="s">
        <v>61</v>
      </c>
      <c r="K387" s="65" t="s">
        <v>1548</v>
      </c>
      <c r="L387" s="65" t="s">
        <v>64</v>
      </c>
      <c r="M387" s="113" t="n">
        <v>1.49</v>
      </c>
      <c r="N387" s="114" t="n">
        <v>16000</v>
      </c>
      <c r="O387" s="114" t="n">
        <v>0</v>
      </c>
      <c r="P387" s="114" t="n">
        <v>23840</v>
      </c>
      <c r="Q387" s="114" t="n">
        <v>917.22</v>
      </c>
      <c r="R387" s="114" t="n">
        <v>22922.78</v>
      </c>
      <c r="S387" s="115" t="n">
        <v>0.0384739932885906</v>
      </c>
      <c r="T387" s="65" t="n">
        <v>26</v>
      </c>
      <c r="U387" s="65" t="n">
        <v>1</v>
      </c>
      <c r="V387" s="65" t="n">
        <v>52941.75</v>
      </c>
      <c r="W387" s="115" t="n">
        <v>0.0693</v>
      </c>
      <c r="X387" s="112" t="n">
        <v>36161</v>
      </c>
      <c r="Y387" s="65" t="str">
        <f aca="false">IF(I387="","No SIC",IFERROR(VLOOKUP(I387,Ref!$A$2:$B$65,2,FALSE()),"Unclassified"))</f>
        <v>General Building Contractors</v>
      </c>
      <c r="Z387" s="65" t="str">
        <f aca="false">IF(T387="","",IF(T387&lt;12,"Daily","Weekly"))</f>
        <v>Weekly</v>
      </c>
      <c r="AA387" s="65" t="n">
        <f aca="false">IF(T387="",0,IF(T387&lt;12,T387*Controls!$B$29,T387*5))</f>
        <v>130</v>
      </c>
      <c r="AB387" s="65" t="n">
        <f aca="false">IF(E387="",0,NETWORKDAYS(E387,Controls!$B$36,Ref!$K$2:$K$42))</f>
        <v>189</v>
      </c>
      <c r="AC387" s="65" t="n">
        <f aca="false">IF(AND(AA387&gt;0,AB387&gt;=Controls!$B$39*AA387),1,0)</f>
        <v>1</v>
      </c>
      <c r="AD387" s="65" t="n">
        <f aca="false">IF(AND(E387&lt;&gt;"",E387&gt;=Controls!$B$37,E387&lt;=Controls!$B$38),1,0)</f>
        <v>1</v>
      </c>
      <c r="AE387" s="65" t="n">
        <f aca="false">IF(IFERROR(VLOOKUP(D387,Controls!$A$64:$E$74,2,FALSE()),"No")="Yes",1,0)</f>
        <v>1</v>
      </c>
      <c r="AF387" s="65" t="n">
        <f aca="false">IF(IFERROR(VLOOKUP(D387,Controls!$A$64:$E$74,3,FALSE()),"No")="Yes",1,0)</f>
        <v>0</v>
      </c>
      <c r="AG387" s="65" t="n">
        <f aca="false">IF(IFERROR(VLOOKUP(D387,Controls!$A$64:$E$74,4,FALSE()),"No")="Yes",1,0)</f>
        <v>0</v>
      </c>
      <c r="AH387" s="65" t="n">
        <f aca="false">IF(IFERROR(VLOOKUP(D387,Controls!$A$64:$E$74,5,FALSE()),"No")="Yes",1,0)</f>
        <v>0</v>
      </c>
      <c r="AI387" s="65" t="n">
        <f aca="false">IF(ISNUMBER(MATCH(D387,Controls!$A$64:$A$74,0)),1,0)</f>
        <v>1</v>
      </c>
      <c r="AJ387" s="65" t="n">
        <f aca="false">Q387-N387</f>
        <v>-15082.78</v>
      </c>
      <c r="AK387" s="65" t="n">
        <f aca="false">IF(AE387=1,MAX(0,N387-Q387),0)</f>
        <v>15082.78</v>
      </c>
      <c r="AL387" s="65" t="n">
        <f aca="false">IF(OR(V387="",V387=0),0,N387/V387)</f>
        <v>0.302218948183617</v>
      </c>
      <c r="AM387" s="65" t="n">
        <f aca="false">IF(OR(V387="",V387=0),0,1)</f>
        <v>1</v>
      </c>
      <c r="AN387" s="65" t="n">
        <f aca="false">IF(OR(E387="",F387=""),0,NETWORKDAYS(E387,F387,Ref!$K$2:$K$42))</f>
        <v>12</v>
      </c>
      <c r="AO387" s="65" t="n">
        <f aca="false">IF(L387="Renewal",1,0)</f>
        <v>0</v>
      </c>
      <c r="AP387" s="65" t="n">
        <f aca="false">AC387*AD387</f>
        <v>1</v>
      </c>
      <c r="AQ387" s="65" t="n">
        <f aca="false">IF(AND(G387&lt;&gt;"",'Historical Score'!$C$6&lt;&gt;""),IF(G387='Historical Score'!$C$6,1,0),0)</f>
        <v>0</v>
      </c>
      <c r="AR387" s="65" t="n">
        <f aca="false">IF(AND(L387&lt;&gt;"",'Historical Score'!$C$5&lt;&gt;""),IF(L387='Historical Score'!$C$5,1,0),0)</f>
        <v>1</v>
      </c>
      <c r="AS387" s="65" t="n">
        <f aca="false">IF(AND(Y387&lt;&gt;"",'Historical Score'!$C$7&lt;&gt;""),IF(Y387='Historical Score'!$C$7,1,0),0)</f>
        <v>1</v>
      </c>
      <c r="AT387" s="65" t="n">
        <f aca="false">IF(AND(K387&lt;&gt;"",'Historical Score'!$C$8&lt;&gt;""),IF(K387='Historical Score'!$C$8,1,0),0)</f>
        <v>0</v>
      </c>
      <c r="AU387" s="65" t="n">
        <f aca="false">IF(AND(J387&lt;&gt;"",'Historical Score'!$C$9&lt;&gt;""),IF(J387='Historical Score'!$C$9,1,0),0)</f>
        <v>1</v>
      </c>
      <c r="AV387" s="65" t="n">
        <f aca="false">AR387*AS387*AQ387</f>
        <v>0</v>
      </c>
      <c r="AW387" s="65" t="n">
        <f aca="false">AR387*AT387*AQ387</f>
        <v>0</v>
      </c>
      <c r="AX387" s="65" t="n">
        <f aca="false">AR387*AS387</f>
        <v>1</v>
      </c>
      <c r="AY387" s="65" t="n">
        <f aca="false">AR387*AT387</f>
        <v>0</v>
      </c>
      <c r="AZ387" s="65" t="n">
        <f aca="false">AR387*AQ387</f>
        <v>0</v>
      </c>
      <c r="BA387" s="65" t="n">
        <f aca="false">AR387</f>
        <v>1</v>
      </c>
      <c r="BB387" s="65" t="n">
        <f aca="false">1</f>
        <v>1</v>
      </c>
      <c r="BC387" s="65" t="n">
        <f aca="false">IF(AV387=1,1,IF(AW387=1,2,IF(AX387=1,3,IF(AY387=1,4,IF(AZ387=1,5,IF(BA387=1,6,7))))))</f>
        <v>3</v>
      </c>
      <c r="BD387" s="65" t="n">
        <f aca="false">IF(AD387=1,CHOOSE('Historical Score'!$C$29,AV387,AW387,AX387,AY387,AZ387,BA387,BB387),0)</f>
        <v>0</v>
      </c>
      <c r="BE387" s="65" t="str">
        <f aca="false">IF(BD387=1,COUNTIF($BD$2:BD387,1),"")</f>
        <v/>
      </c>
    </row>
    <row r="388" customFormat="false" ht="15" hidden="false" customHeight="false" outlineLevel="0" collapsed="false">
      <c r="A388" s="65" t="s">
        <v>1549</v>
      </c>
      <c r="B388" s="65" t="s">
        <v>1550</v>
      </c>
      <c r="C388" s="65" t="s">
        <v>1551</v>
      </c>
      <c r="D388" s="65" t="s">
        <v>371</v>
      </c>
      <c r="E388" s="112" t="n">
        <v>45987</v>
      </c>
      <c r="F388" s="112" t="n">
        <v>46132</v>
      </c>
      <c r="G388" s="65" t="n">
        <v>4</v>
      </c>
      <c r="H388" s="65" t="s">
        <v>409</v>
      </c>
      <c r="I388" s="65" t="s">
        <v>342</v>
      </c>
      <c r="J388" s="65" t="s">
        <v>410</v>
      </c>
      <c r="K388" s="65" t="s">
        <v>538</v>
      </c>
      <c r="L388" s="65" t="s">
        <v>320</v>
      </c>
      <c r="M388" s="113" t="n">
        <v>1.499</v>
      </c>
      <c r="N388" s="114" t="n">
        <v>100000</v>
      </c>
      <c r="O388" s="114" t="n">
        <v>14000</v>
      </c>
      <c r="P388" s="114" t="n">
        <v>149900</v>
      </c>
      <c r="Q388" s="114" t="n">
        <v>149900</v>
      </c>
      <c r="R388" s="114" t="n">
        <v>0</v>
      </c>
      <c r="S388" s="115" t="n">
        <v>1</v>
      </c>
      <c r="T388" s="65" t="n">
        <v>30</v>
      </c>
      <c r="U388" s="65" t="n">
        <v>0</v>
      </c>
      <c r="V388" s="65" t="n">
        <v>103686.75</v>
      </c>
      <c r="W388" s="115" t="n">
        <v>0.1278</v>
      </c>
      <c r="X388" s="112" t="n">
        <v>37135</v>
      </c>
      <c r="Y388" s="65" t="str">
        <f aca="false">IF(I388="","No SIC",IFERROR(VLOOKUP(I388,Ref!$A$2:$B$65,2,FALSE()),"Unclassified"))</f>
        <v>Eating &amp; Drinking Places</v>
      </c>
      <c r="Z388" s="65" t="str">
        <f aca="false">IF(T388="","",IF(T388&lt;12,"Daily","Weekly"))</f>
        <v>Weekly</v>
      </c>
      <c r="AA388" s="65" t="n">
        <f aca="false">IF(T388="",0,IF(T388&lt;12,T388*Controls!$B$29,T388*5))</f>
        <v>150</v>
      </c>
      <c r="AB388" s="65" t="n">
        <f aca="false">IF(E388="",0,NETWORKDAYS(E388,Controls!$B$36,Ref!$K$2:$K$42))</f>
        <v>188</v>
      </c>
      <c r="AC388" s="65" t="n">
        <f aca="false">IF(AND(AA388&gt;0,AB388&gt;=Controls!$B$39*AA388),1,0)</f>
        <v>1</v>
      </c>
      <c r="AD388" s="65" t="n">
        <f aca="false">IF(AND(E388&lt;&gt;"",E388&gt;=Controls!$B$37,E388&lt;=Controls!$B$38),1,0)</f>
        <v>1</v>
      </c>
      <c r="AE388" s="65" t="n">
        <f aca="false">IF(IFERROR(VLOOKUP(D388,Controls!$A$64:$E$74,2,FALSE()),"No")="Yes",1,0)</f>
        <v>0</v>
      </c>
      <c r="AF388" s="65" t="n">
        <f aca="false">IF(IFERROR(VLOOKUP(D388,Controls!$A$64:$E$74,3,FALSE()),"No")="Yes",1,0)</f>
        <v>1</v>
      </c>
      <c r="AG388" s="65" t="n">
        <f aca="false">IF(IFERROR(VLOOKUP(D388,Controls!$A$64:$E$74,4,FALSE()),"No")="Yes",1,0)</f>
        <v>1</v>
      </c>
      <c r="AH388" s="65" t="n">
        <f aca="false">IF(IFERROR(VLOOKUP(D388,Controls!$A$64:$E$74,5,FALSE()),"No")="Yes",1,0)</f>
        <v>0</v>
      </c>
      <c r="AI388" s="65" t="n">
        <f aca="false">IF(ISNUMBER(MATCH(D388,Controls!$A$64:$A$74,0)),1,0)</f>
        <v>1</v>
      </c>
      <c r="AJ388" s="65" t="n">
        <f aca="false">Q388-N388</f>
        <v>49900</v>
      </c>
      <c r="AK388" s="65" t="n">
        <f aca="false">IF(AE388=1,MAX(0,N388-Q388),0)</f>
        <v>0</v>
      </c>
      <c r="AL388" s="65" t="n">
        <f aca="false">IF(OR(V388="",V388=0),0,N388/V388)</f>
        <v>0.964443383556723</v>
      </c>
      <c r="AM388" s="65" t="n">
        <f aca="false">IF(OR(V388="",V388=0),0,1)</f>
        <v>1</v>
      </c>
      <c r="AN388" s="65" t="n">
        <f aca="false">IF(OR(E388="",F388=""),0,NETWORKDAYS(E388,F388,Ref!$K$2:$K$42))</f>
        <v>99</v>
      </c>
      <c r="AO388" s="65" t="n">
        <f aca="false">IF(L388="Renewal",1,0)</f>
        <v>1</v>
      </c>
      <c r="AP388" s="65" t="n">
        <f aca="false">AC388*AD388</f>
        <v>1</v>
      </c>
      <c r="AQ388" s="65" t="n">
        <f aca="false">IF(AND(G388&lt;&gt;"",'Historical Score'!$C$6&lt;&gt;""),IF(G388='Historical Score'!$C$6,1,0),0)</f>
        <v>0</v>
      </c>
      <c r="AR388" s="65" t="n">
        <f aca="false">IF(AND(L388&lt;&gt;"",'Historical Score'!$C$5&lt;&gt;""),IF(L388='Historical Score'!$C$5,1,0),0)</f>
        <v>0</v>
      </c>
      <c r="AS388" s="65" t="n">
        <f aca="false">IF(AND(Y388&lt;&gt;"",'Historical Score'!$C$7&lt;&gt;""),IF(Y388='Historical Score'!$C$7,1,0),0)</f>
        <v>0</v>
      </c>
      <c r="AT388" s="65" t="n">
        <f aca="false">IF(AND(K388&lt;&gt;"",'Historical Score'!$C$8&lt;&gt;""),IF(K388='Historical Score'!$C$8,1,0),0)</f>
        <v>0</v>
      </c>
      <c r="AU388" s="65" t="n">
        <f aca="false">IF(AND(J388&lt;&gt;"",'Historical Score'!$C$9&lt;&gt;""),IF(J388='Historical Score'!$C$9,1,0),0)</f>
        <v>0</v>
      </c>
      <c r="AV388" s="65" t="n">
        <f aca="false">AR388*AS388*AQ388</f>
        <v>0</v>
      </c>
      <c r="AW388" s="65" t="n">
        <f aca="false">AR388*AT388*AQ388</f>
        <v>0</v>
      </c>
      <c r="AX388" s="65" t="n">
        <f aca="false">AR388*AS388</f>
        <v>0</v>
      </c>
      <c r="AY388" s="65" t="n">
        <f aca="false">AR388*AT388</f>
        <v>0</v>
      </c>
      <c r="AZ388" s="65" t="n">
        <f aca="false">AR388*AQ388</f>
        <v>0</v>
      </c>
      <c r="BA388" s="65" t="n">
        <f aca="false">AR388</f>
        <v>0</v>
      </c>
      <c r="BB388" s="65" t="n">
        <f aca="false">1</f>
        <v>1</v>
      </c>
      <c r="BC388" s="65" t="n">
        <f aca="false">IF(AV388=1,1,IF(AW388=1,2,IF(AX388=1,3,IF(AY388=1,4,IF(AZ388=1,5,IF(BA388=1,6,7))))))</f>
        <v>7</v>
      </c>
      <c r="BD388" s="65" t="n">
        <f aca="false">IF(AD388=1,CHOOSE('Historical Score'!$C$29,AV388,AW388,AX388,AY388,AZ388,BA388,BB388),0)</f>
        <v>0</v>
      </c>
      <c r="BE388" s="65" t="str">
        <f aca="false">IF(BD388=1,COUNTIF($BD$2:BD388,1),"")</f>
        <v/>
      </c>
    </row>
    <row r="389" customFormat="false" ht="15" hidden="false" customHeight="false" outlineLevel="0" collapsed="false">
      <c r="A389" s="65" t="s">
        <v>1552</v>
      </c>
      <c r="B389" s="65" t="s">
        <v>1553</v>
      </c>
      <c r="C389" s="65" t="s">
        <v>1553</v>
      </c>
      <c r="D389" s="65" t="s">
        <v>371</v>
      </c>
      <c r="E389" s="112" t="n">
        <v>45987</v>
      </c>
      <c r="F389" s="112" t="n">
        <v>46142</v>
      </c>
      <c r="G389" s="65" t="n">
        <v>3</v>
      </c>
      <c r="H389" s="65" t="s">
        <v>568</v>
      </c>
      <c r="I389" s="65" t="s">
        <v>569</v>
      </c>
      <c r="J389" s="65" t="s">
        <v>61</v>
      </c>
      <c r="K389" s="65" t="s">
        <v>538</v>
      </c>
      <c r="L389" s="65" t="s">
        <v>64</v>
      </c>
      <c r="M389" s="113" t="n">
        <v>1.49</v>
      </c>
      <c r="N389" s="114" t="n">
        <v>4000</v>
      </c>
      <c r="O389" s="114" t="n">
        <v>560</v>
      </c>
      <c r="P389" s="114" t="n">
        <v>5960</v>
      </c>
      <c r="Q389" s="114" t="n">
        <v>5960</v>
      </c>
      <c r="R389" s="114" t="n">
        <v>0</v>
      </c>
      <c r="S389" s="115" t="n">
        <v>1</v>
      </c>
      <c r="T389" s="65" t="n">
        <v>2.295</v>
      </c>
      <c r="U389" s="65" t="n">
        <v>15</v>
      </c>
      <c r="V389" s="65" t="n">
        <v>19288.41</v>
      </c>
      <c r="W389" s="115" t="n">
        <v>0.0927</v>
      </c>
      <c r="X389" s="112" t="n">
        <v>44356</v>
      </c>
      <c r="Y389" s="65" t="str">
        <f aca="false">IF(I389="","No SIC",IFERROR(VLOOKUP(I389,Ref!$A$2:$B$65,2,FALSE()),"Unclassified"))</f>
        <v>General Merchandise Stores</v>
      </c>
      <c r="Z389" s="65" t="str">
        <f aca="false">IF(T389="","",IF(T389&lt;12,"Daily","Weekly"))</f>
        <v>Daily</v>
      </c>
      <c r="AA389" s="65" t="n">
        <f aca="false">IF(T389="",0,IF(T389&lt;12,T389*Controls!$B$29,T389*5))</f>
        <v>49.698225</v>
      </c>
      <c r="AB389" s="65" t="n">
        <f aca="false">IF(E389="",0,NETWORKDAYS(E389,Controls!$B$36,Ref!$K$2:$K$42))</f>
        <v>188</v>
      </c>
      <c r="AC389" s="65" t="n">
        <f aca="false">IF(AND(AA389&gt;0,AB389&gt;=Controls!$B$39*AA389),1,0)</f>
        <v>1</v>
      </c>
      <c r="AD389" s="65" t="n">
        <f aca="false">IF(AND(E389&lt;&gt;"",E389&gt;=Controls!$B$37,E389&lt;=Controls!$B$38),1,0)</f>
        <v>1</v>
      </c>
      <c r="AE389" s="65" t="n">
        <f aca="false">IF(IFERROR(VLOOKUP(D389,Controls!$A$64:$E$74,2,FALSE()),"No")="Yes",1,0)</f>
        <v>0</v>
      </c>
      <c r="AF389" s="65" t="n">
        <f aca="false">IF(IFERROR(VLOOKUP(D389,Controls!$A$64:$E$74,3,FALSE()),"No")="Yes",1,0)</f>
        <v>1</v>
      </c>
      <c r="AG389" s="65" t="n">
        <f aca="false">IF(IFERROR(VLOOKUP(D389,Controls!$A$64:$E$74,4,FALSE()),"No")="Yes",1,0)</f>
        <v>1</v>
      </c>
      <c r="AH389" s="65" t="n">
        <f aca="false">IF(IFERROR(VLOOKUP(D389,Controls!$A$64:$E$74,5,FALSE()),"No")="Yes",1,0)</f>
        <v>0</v>
      </c>
      <c r="AI389" s="65" t="n">
        <f aca="false">IF(ISNUMBER(MATCH(D389,Controls!$A$64:$A$74,0)),1,0)</f>
        <v>1</v>
      </c>
      <c r="AJ389" s="65" t="n">
        <f aca="false">Q389-N389</f>
        <v>1960</v>
      </c>
      <c r="AK389" s="65" t="n">
        <f aca="false">IF(AE389=1,MAX(0,N389-Q389),0)</f>
        <v>0</v>
      </c>
      <c r="AL389" s="65" t="n">
        <f aca="false">IF(OR(V389="",V389=0),0,N389/V389)</f>
        <v>0.207378420512629</v>
      </c>
      <c r="AM389" s="65" t="n">
        <f aca="false">IF(OR(V389="",V389=0),0,1)</f>
        <v>1</v>
      </c>
      <c r="AN389" s="65" t="n">
        <f aca="false">IF(OR(E389="",F389=""),0,NETWORKDAYS(E389,F389,Ref!$K$2:$K$42))</f>
        <v>107</v>
      </c>
      <c r="AO389" s="65" t="n">
        <f aca="false">IF(L389="Renewal",1,0)</f>
        <v>0</v>
      </c>
      <c r="AP389" s="65" t="n">
        <f aca="false">AC389*AD389</f>
        <v>1</v>
      </c>
      <c r="AQ389" s="65" t="n">
        <f aca="false">IF(AND(G389&lt;&gt;"",'Historical Score'!$C$6&lt;&gt;""),IF(G389='Historical Score'!$C$6,1,0),0)</f>
        <v>0</v>
      </c>
      <c r="AR389" s="65" t="n">
        <f aca="false">IF(AND(L389&lt;&gt;"",'Historical Score'!$C$5&lt;&gt;""),IF(L389='Historical Score'!$C$5,1,0),0)</f>
        <v>1</v>
      </c>
      <c r="AS389" s="65" t="n">
        <f aca="false">IF(AND(Y389&lt;&gt;"",'Historical Score'!$C$7&lt;&gt;""),IF(Y389='Historical Score'!$C$7,1,0),0)</f>
        <v>0</v>
      </c>
      <c r="AT389" s="65" t="n">
        <f aca="false">IF(AND(K389&lt;&gt;"",'Historical Score'!$C$8&lt;&gt;""),IF(K389='Historical Score'!$C$8,1,0),0)</f>
        <v>0</v>
      </c>
      <c r="AU389" s="65" t="n">
        <f aca="false">IF(AND(J389&lt;&gt;"",'Historical Score'!$C$9&lt;&gt;""),IF(J389='Historical Score'!$C$9,1,0),0)</f>
        <v>1</v>
      </c>
      <c r="AV389" s="65" t="n">
        <f aca="false">AR389*AS389*AQ389</f>
        <v>0</v>
      </c>
      <c r="AW389" s="65" t="n">
        <f aca="false">AR389*AT389*AQ389</f>
        <v>0</v>
      </c>
      <c r="AX389" s="65" t="n">
        <f aca="false">AR389*AS389</f>
        <v>0</v>
      </c>
      <c r="AY389" s="65" t="n">
        <f aca="false">AR389*AT389</f>
        <v>0</v>
      </c>
      <c r="AZ389" s="65" t="n">
        <f aca="false">AR389*AQ389</f>
        <v>0</v>
      </c>
      <c r="BA389" s="65" t="n">
        <f aca="false">AR389</f>
        <v>1</v>
      </c>
      <c r="BB389" s="65" t="n">
        <f aca="false">1</f>
        <v>1</v>
      </c>
      <c r="BC389" s="65" t="n">
        <f aca="false">IF(AV389=1,1,IF(AW389=1,2,IF(AX389=1,3,IF(AY389=1,4,IF(AZ389=1,5,IF(BA389=1,6,7))))))</f>
        <v>6</v>
      </c>
      <c r="BD389" s="65" t="n">
        <f aca="false">IF(AD389=1,CHOOSE('Historical Score'!$C$29,AV389,AW389,AX389,AY389,AZ389,BA389,BB389),0)</f>
        <v>0</v>
      </c>
      <c r="BE389" s="65" t="str">
        <f aca="false">IF(BD389=1,COUNTIF($BD$2:BD389,1),"")</f>
        <v/>
      </c>
    </row>
    <row r="390" customFormat="false" ht="15" hidden="false" customHeight="false" outlineLevel="0" collapsed="false">
      <c r="A390" s="65" t="s">
        <v>1554</v>
      </c>
      <c r="B390" s="65" t="s">
        <v>1555</v>
      </c>
      <c r="C390" s="65" t="s">
        <v>1555</v>
      </c>
      <c r="D390" s="65" t="s">
        <v>371</v>
      </c>
      <c r="E390" s="112" t="n">
        <v>45987</v>
      </c>
      <c r="F390" s="112" t="n">
        <v>46080</v>
      </c>
      <c r="G390" s="65" t="n">
        <v>8</v>
      </c>
      <c r="H390" s="65" t="s">
        <v>1356</v>
      </c>
      <c r="I390" s="65" t="s">
        <v>1357</v>
      </c>
      <c r="J390" s="65" t="s">
        <v>470</v>
      </c>
      <c r="K390" s="65" t="s">
        <v>1556</v>
      </c>
      <c r="L390" s="65" t="s">
        <v>64</v>
      </c>
      <c r="M390" s="113" t="n">
        <v>1.42</v>
      </c>
      <c r="N390" s="114" t="n">
        <v>40000</v>
      </c>
      <c r="O390" s="114" t="n">
        <v>4600</v>
      </c>
      <c r="P390" s="114" t="n">
        <v>56800</v>
      </c>
      <c r="Q390" s="114" t="n">
        <v>56800</v>
      </c>
      <c r="R390" s="114" t="n">
        <v>0</v>
      </c>
      <c r="S390" s="115" t="n">
        <v>1</v>
      </c>
      <c r="T390" s="65" t="n">
        <v>30</v>
      </c>
      <c r="U390" s="65" t="n">
        <v>0</v>
      </c>
      <c r="V390" s="65" t="n">
        <v>452493.41</v>
      </c>
      <c r="W390" s="115" t="n">
        <v>0.0167</v>
      </c>
      <c r="X390" s="112" t="n">
        <v>40360</v>
      </c>
      <c r="Y390" s="65" t="str">
        <f aca="false">IF(I390="","No SIC",IFERROR(VLOOKUP(I390,Ref!$A$2:$B$65,2,FALSE()),"Unclassified"))</f>
        <v>Insurance Carriers</v>
      </c>
      <c r="Z390" s="65" t="str">
        <f aca="false">IF(T390="","",IF(T390&lt;12,"Daily","Weekly"))</f>
        <v>Weekly</v>
      </c>
      <c r="AA390" s="65" t="n">
        <f aca="false">IF(T390="",0,IF(T390&lt;12,T390*Controls!$B$29,T390*5))</f>
        <v>150</v>
      </c>
      <c r="AB390" s="65" t="n">
        <f aca="false">IF(E390="",0,NETWORKDAYS(E390,Controls!$B$36,Ref!$K$2:$K$42))</f>
        <v>188</v>
      </c>
      <c r="AC390" s="65" t="n">
        <f aca="false">IF(AND(AA390&gt;0,AB390&gt;=Controls!$B$39*AA390),1,0)</f>
        <v>1</v>
      </c>
      <c r="AD390" s="65" t="n">
        <f aca="false">IF(AND(E390&lt;&gt;"",E390&gt;=Controls!$B$37,E390&lt;=Controls!$B$38),1,0)</f>
        <v>1</v>
      </c>
      <c r="AE390" s="65" t="n">
        <f aca="false">IF(IFERROR(VLOOKUP(D390,Controls!$A$64:$E$74,2,FALSE()),"No")="Yes",1,0)</f>
        <v>0</v>
      </c>
      <c r="AF390" s="65" t="n">
        <f aca="false">IF(IFERROR(VLOOKUP(D390,Controls!$A$64:$E$74,3,FALSE()),"No")="Yes",1,0)</f>
        <v>1</v>
      </c>
      <c r="AG390" s="65" t="n">
        <f aca="false">IF(IFERROR(VLOOKUP(D390,Controls!$A$64:$E$74,4,FALSE()),"No")="Yes",1,0)</f>
        <v>1</v>
      </c>
      <c r="AH390" s="65" t="n">
        <f aca="false">IF(IFERROR(VLOOKUP(D390,Controls!$A$64:$E$74,5,FALSE()),"No")="Yes",1,0)</f>
        <v>0</v>
      </c>
      <c r="AI390" s="65" t="n">
        <f aca="false">IF(ISNUMBER(MATCH(D390,Controls!$A$64:$A$74,0)),1,0)</f>
        <v>1</v>
      </c>
      <c r="AJ390" s="65" t="n">
        <f aca="false">Q390-N390</f>
        <v>16800</v>
      </c>
      <c r="AK390" s="65" t="n">
        <f aca="false">IF(AE390=1,MAX(0,N390-Q390),0)</f>
        <v>0</v>
      </c>
      <c r="AL390" s="65" t="n">
        <f aca="false">IF(OR(V390="",V390=0),0,N390/V390)</f>
        <v>0.0883990774583877</v>
      </c>
      <c r="AM390" s="65" t="n">
        <f aca="false">IF(OR(V390="",V390=0),0,1)</f>
        <v>1</v>
      </c>
      <c r="AN390" s="65" t="n">
        <f aca="false">IF(OR(E390="",F390=""),0,NETWORKDAYS(E390,F390,Ref!$K$2:$K$42))</f>
        <v>63</v>
      </c>
      <c r="AO390" s="65" t="n">
        <f aca="false">IF(L390="Renewal",1,0)</f>
        <v>0</v>
      </c>
      <c r="AP390" s="65" t="n">
        <f aca="false">AC390*AD390</f>
        <v>1</v>
      </c>
      <c r="AQ390" s="65" t="n">
        <f aca="false">IF(AND(G390&lt;&gt;"",'Historical Score'!$C$6&lt;&gt;""),IF(G390='Historical Score'!$C$6,1,0),0)</f>
        <v>0</v>
      </c>
      <c r="AR390" s="65" t="n">
        <f aca="false">IF(AND(L390&lt;&gt;"",'Historical Score'!$C$5&lt;&gt;""),IF(L390='Historical Score'!$C$5,1,0),0)</f>
        <v>1</v>
      </c>
      <c r="AS390" s="65" t="n">
        <f aca="false">IF(AND(Y390&lt;&gt;"",'Historical Score'!$C$7&lt;&gt;""),IF(Y390='Historical Score'!$C$7,1,0),0)</f>
        <v>0</v>
      </c>
      <c r="AT390" s="65" t="n">
        <f aca="false">IF(AND(K390&lt;&gt;"",'Historical Score'!$C$8&lt;&gt;""),IF(K390='Historical Score'!$C$8,1,0),0)</f>
        <v>0</v>
      </c>
      <c r="AU390" s="65" t="n">
        <f aca="false">IF(AND(J390&lt;&gt;"",'Historical Score'!$C$9&lt;&gt;""),IF(J390='Historical Score'!$C$9,1,0),0)</f>
        <v>0</v>
      </c>
      <c r="AV390" s="65" t="n">
        <f aca="false">AR390*AS390*AQ390</f>
        <v>0</v>
      </c>
      <c r="AW390" s="65" t="n">
        <f aca="false">AR390*AT390*AQ390</f>
        <v>0</v>
      </c>
      <c r="AX390" s="65" t="n">
        <f aca="false">AR390*AS390</f>
        <v>0</v>
      </c>
      <c r="AY390" s="65" t="n">
        <f aca="false">AR390*AT390</f>
        <v>0</v>
      </c>
      <c r="AZ390" s="65" t="n">
        <f aca="false">AR390*AQ390</f>
        <v>0</v>
      </c>
      <c r="BA390" s="65" t="n">
        <f aca="false">AR390</f>
        <v>1</v>
      </c>
      <c r="BB390" s="65" t="n">
        <f aca="false">1</f>
        <v>1</v>
      </c>
      <c r="BC390" s="65" t="n">
        <f aca="false">IF(AV390=1,1,IF(AW390=1,2,IF(AX390=1,3,IF(AY390=1,4,IF(AZ390=1,5,IF(BA390=1,6,7))))))</f>
        <v>6</v>
      </c>
      <c r="BD390" s="65" t="n">
        <f aca="false">IF(AD390=1,CHOOSE('Historical Score'!$C$29,AV390,AW390,AX390,AY390,AZ390,BA390,BB390),0)</f>
        <v>0</v>
      </c>
      <c r="BE390" s="65" t="str">
        <f aca="false">IF(BD390=1,COUNTIF($BD$2:BD390,1),"")</f>
        <v/>
      </c>
    </row>
    <row r="391" customFormat="false" ht="15" hidden="false" customHeight="false" outlineLevel="0" collapsed="false">
      <c r="A391" s="65" t="s">
        <v>1557</v>
      </c>
      <c r="B391" s="65" t="s">
        <v>1558</v>
      </c>
      <c r="C391" s="65" t="s">
        <v>1559</v>
      </c>
      <c r="D391" s="65" t="s">
        <v>689</v>
      </c>
      <c r="E391" s="112" t="n">
        <v>45987</v>
      </c>
      <c r="F391" s="112" t="n">
        <v>46142</v>
      </c>
      <c r="G391" s="65" t="n">
        <v>1</v>
      </c>
      <c r="H391" s="65" t="s">
        <v>1560</v>
      </c>
      <c r="I391" s="65" t="s">
        <v>419</v>
      </c>
      <c r="J391" s="65" t="s">
        <v>61</v>
      </c>
      <c r="K391" s="65" t="s">
        <v>961</v>
      </c>
      <c r="L391" s="65" t="s">
        <v>64</v>
      </c>
      <c r="M391" s="113" t="n">
        <v>1.42</v>
      </c>
      <c r="N391" s="114" t="n">
        <v>75000</v>
      </c>
      <c r="O391" s="114" t="n">
        <v>10500</v>
      </c>
      <c r="P391" s="114" t="n">
        <v>106500</v>
      </c>
      <c r="Q391" s="114" t="n">
        <v>24370.99</v>
      </c>
      <c r="R391" s="114" t="n">
        <v>82129.01</v>
      </c>
      <c r="S391" s="115" t="n">
        <v>0.22883558685446</v>
      </c>
      <c r="T391" s="65" t="n">
        <v>28</v>
      </c>
      <c r="U391" s="65" t="n">
        <v>6</v>
      </c>
      <c r="V391" s="65" t="n">
        <v>241551.35</v>
      </c>
      <c r="W391" s="115" t="n">
        <v>0.063</v>
      </c>
      <c r="X391" s="112" t="n">
        <v>39541</v>
      </c>
      <c r="Y391" s="65" t="str">
        <f aca="false">IF(I391="","No SIC",IFERROR(VLOOKUP(I391,Ref!$A$2:$B$65,2,FALSE()),"Unclassified"))</f>
        <v>Business Services</v>
      </c>
      <c r="Z391" s="65" t="str">
        <f aca="false">IF(T391="","",IF(T391&lt;12,"Daily","Weekly"))</f>
        <v>Weekly</v>
      </c>
      <c r="AA391" s="65" t="n">
        <f aca="false">IF(T391="",0,IF(T391&lt;12,T391*Controls!$B$29,T391*5))</f>
        <v>140</v>
      </c>
      <c r="AB391" s="65" t="n">
        <f aca="false">IF(E391="",0,NETWORKDAYS(E391,Controls!$B$36,Ref!$K$2:$K$42))</f>
        <v>188</v>
      </c>
      <c r="AC391" s="65" t="n">
        <f aca="false">IF(AND(AA391&gt;0,AB391&gt;=Controls!$B$39*AA391),1,0)</f>
        <v>1</v>
      </c>
      <c r="AD391" s="65" t="n">
        <f aca="false">IF(AND(E391&lt;&gt;"",E391&gt;=Controls!$B$37,E391&lt;=Controls!$B$38),1,0)</f>
        <v>1</v>
      </c>
      <c r="AE391" s="65" t="n">
        <f aca="false">IF(IFERROR(VLOOKUP(D391,Controls!$A$64:$E$74,2,FALSE()),"No")="Yes",1,0)</f>
        <v>1</v>
      </c>
      <c r="AF391" s="65" t="n">
        <f aca="false">IF(IFERROR(VLOOKUP(D391,Controls!$A$64:$E$74,3,FALSE()),"No")="Yes",1,0)</f>
        <v>1</v>
      </c>
      <c r="AG391" s="65" t="n">
        <f aca="false">IF(IFERROR(VLOOKUP(D391,Controls!$A$64:$E$74,4,FALSE()),"No")="Yes",1,0)</f>
        <v>0</v>
      </c>
      <c r="AH391" s="65" t="n">
        <f aca="false">IF(IFERROR(VLOOKUP(D391,Controls!$A$64:$E$74,5,FALSE()),"No")="Yes",1,0)</f>
        <v>0</v>
      </c>
      <c r="AI391" s="65" t="n">
        <f aca="false">IF(ISNUMBER(MATCH(D391,Controls!$A$64:$A$74,0)),1,0)</f>
        <v>1</v>
      </c>
      <c r="AJ391" s="65" t="n">
        <f aca="false">Q391-N391</f>
        <v>-50629.01</v>
      </c>
      <c r="AK391" s="65" t="n">
        <f aca="false">IF(AE391=1,MAX(0,N391-Q391),0)</f>
        <v>50629.01</v>
      </c>
      <c r="AL391" s="65" t="n">
        <f aca="false">IF(OR(V391="",V391=0),0,N391/V391)</f>
        <v>0.310492986273933</v>
      </c>
      <c r="AM391" s="65" t="n">
        <f aca="false">IF(OR(V391="",V391=0),0,1)</f>
        <v>1</v>
      </c>
      <c r="AN391" s="65" t="n">
        <f aca="false">IF(OR(E391="",F391=""),0,NETWORKDAYS(E391,F391,Ref!$K$2:$K$42))</f>
        <v>107</v>
      </c>
      <c r="AO391" s="65" t="n">
        <f aca="false">IF(L391="Renewal",1,0)</f>
        <v>0</v>
      </c>
      <c r="AP391" s="65" t="n">
        <f aca="false">AC391*AD391</f>
        <v>1</v>
      </c>
      <c r="AQ391" s="65" t="n">
        <f aca="false">IF(AND(G391&lt;&gt;"",'Historical Score'!$C$6&lt;&gt;""),IF(G391='Historical Score'!$C$6,1,0),0)</f>
        <v>0</v>
      </c>
      <c r="AR391" s="65" t="n">
        <f aca="false">IF(AND(L391&lt;&gt;"",'Historical Score'!$C$5&lt;&gt;""),IF(L391='Historical Score'!$C$5,1,0),0)</f>
        <v>1</v>
      </c>
      <c r="AS391" s="65" t="n">
        <f aca="false">IF(AND(Y391&lt;&gt;"",'Historical Score'!$C$7&lt;&gt;""),IF(Y391='Historical Score'!$C$7,1,0),0)</f>
        <v>0</v>
      </c>
      <c r="AT391" s="65" t="n">
        <f aca="false">IF(AND(K391&lt;&gt;"",'Historical Score'!$C$8&lt;&gt;""),IF(K391='Historical Score'!$C$8,1,0),0)</f>
        <v>0</v>
      </c>
      <c r="AU391" s="65" t="n">
        <f aca="false">IF(AND(J391&lt;&gt;"",'Historical Score'!$C$9&lt;&gt;""),IF(J391='Historical Score'!$C$9,1,0),0)</f>
        <v>1</v>
      </c>
      <c r="AV391" s="65" t="n">
        <f aca="false">AR391*AS391*AQ391</f>
        <v>0</v>
      </c>
      <c r="AW391" s="65" t="n">
        <f aca="false">AR391*AT391*AQ391</f>
        <v>0</v>
      </c>
      <c r="AX391" s="65" t="n">
        <f aca="false">AR391*AS391</f>
        <v>0</v>
      </c>
      <c r="AY391" s="65" t="n">
        <f aca="false">AR391*AT391</f>
        <v>0</v>
      </c>
      <c r="AZ391" s="65" t="n">
        <f aca="false">AR391*AQ391</f>
        <v>0</v>
      </c>
      <c r="BA391" s="65" t="n">
        <f aca="false">AR391</f>
        <v>1</v>
      </c>
      <c r="BB391" s="65" t="n">
        <f aca="false">1</f>
        <v>1</v>
      </c>
      <c r="BC391" s="65" t="n">
        <f aca="false">IF(AV391=1,1,IF(AW391=1,2,IF(AX391=1,3,IF(AY391=1,4,IF(AZ391=1,5,IF(BA391=1,6,7))))))</f>
        <v>6</v>
      </c>
      <c r="BD391" s="65" t="n">
        <f aca="false">IF(AD391=1,CHOOSE('Historical Score'!$C$29,AV391,AW391,AX391,AY391,AZ391,BA391,BB391),0)</f>
        <v>0</v>
      </c>
      <c r="BE391" s="65" t="str">
        <f aca="false">IF(BD391=1,COUNTIF($BD$2:BD391,1),"")</f>
        <v/>
      </c>
    </row>
    <row r="392" customFormat="false" ht="15" hidden="false" customHeight="false" outlineLevel="0" collapsed="false">
      <c r="A392" s="65" t="s">
        <v>1561</v>
      </c>
      <c r="B392" s="65" t="s">
        <v>1562</v>
      </c>
      <c r="C392" s="65" t="s">
        <v>1563</v>
      </c>
      <c r="D392" s="65" t="s">
        <v>340</v>
      </c>
      <c r="E392" s="112" t="n">
        <v>45987</v>
      </c>
      <c r="F392" s="112" t="n">
        <v>46217</v>
      </c>
      <c r="G392" s="65" t="n">
        <v>1</v>
      </c>
      <c r="H392" s="65" t="s">
        <v>409</v>
      </c>
      <c r="I392" s="65" t="s">
        <v>342</v>
      </c>
      <c r="J392" s="65" t="s">
        <v>658</v>
      </c>
      <c r="K392" s="65" t="s">
        <v>1564</v>
      </c>
      <c r="L392" s="65" t="s">
        <v>64</v>
      </c>
      <c r="M392" s="113" t="n">
        <v>1.49</v>
      </c>
      <c r="N392" s="114" t="n">
        <v>30000</v>
      </c>
      <c r="O392" s="114" t="n">
        <v>4200</v>
      </c>
      <c r="P392" s="114" t="n">
        <v>44700</v>
      </c>
      <c r="Q392" s="114" t="n">
        <v>42051.4</v>
      </c>
      <c r="R392" s="114" t="n">
        <v>2648.6</v>
      </c>
      <c r="S392" s="115" t="n">
        <v>0.940747203579418</v>
      </c>
      <c r="T392" s="65" t="n">
        <v>3.934</v>
      </c>
      <c r="U392" s="65" t="n">
        <v>30</v>
      </c>
      <c r="V392" s="65" t="n">
        <v>180000</v>
      </c>
      <c r="W392" s="115" t="n">
        <v>0.0521</v>
      </c>
      <c r="X392" s="112" t="n">
        <v>45369</v>
      </c>
      <c r="Y392" s="65" t="str">
        <f aca="false">IF(I392="","No SIC",IFERROR(VLOOKUP(I392,Ref!$A$2:$B$65,2,FALSE()),"Unclassified"))</f>
        <v>Eating &amp; Drinking Places</v>
      </c>
      <c r="Z392" s="65" t="str">
        <f aca="false">IF(T392="","",IF(T392&lt;12,"Daily","Weekly"))</f>
        <v>Daily</v>
      </c>
      <c r="AA392" s="65" t="n">
        <f aca="false">IF(T392="",0,IF(T392&lt;12,T392*Controls!$B$29,T392*5))</f>
        <v>85.19077</v>
      </c>
      <c r="AB392" s="65" t="n">
        <f aca="false">IF(E392="",0,NETWORKDAYS(E392,Controls!$B$36,Ref!$K$2:$K$42))</f>
        <v>188</v>
      </c>
      <c r="AC392" s="65" t="n">
        <f aca="false">IF(AND(AA392&gt;0,AB392&gt;=Controls!$B$39*AA392),1,0)</f>
        <v>1</v>
      </c>
      <c r="AD392" s="65" t="n">
        <f aca="false">IF(AND(E392&lt;&gt;"",E392&gt;=Controls!$B$37,E392&lt;=Controls!$B$38),1,0)</f>
        <v>1</v>
      </c>
      <c r="AE392" s="65" t="n">
        <f aca="false">IF(IFERROR(VLOOKUP(D392,Controls!$A$64:$E$74,2,FALSE()),"No")="Yes",1,0)</f>
        <v>1</v>
      </c>
      <c r="AF392" s="65" t="n">
        <f aca="false">IF(IFERROR(VLOOKUP(D392,Controls!$A$64:$E$74,3,FALSE()),"No")="Yes",1,0)</f>
        <v>0</v>
      </c>
      <c r="AG392" s="65" t="n">
        <f aca="false">IF(IFERROR(VLOOKUP(D392,Controls!$A$64:$E$74,4,FALSE()),"No")="Yes",1,0)</f>
        <v>0</v>
      </c>
      <c r="AH392" s="65" t="n">
        <f aca="false">IF(IFERROR(VLOOKUP(D392,Controls!$A$64:$E$74,5,FALSE()),"No")="Yes",1,0)</f>
        <v>0</v>
      </c>
      <c r="AI392" s="65" t="n">
        <f aca="false">IF(ISNUMBER(MATCH(D392,Controls!$A$64:$A$74,0)),1,0)</f>
        <v>1</v>
      </c>
      <c r="AJ392" s="65" t="n">
        <f aca="false">Q392-N392</f>
        <v>12051.4</v>
      </c>
      <c r="AK392" s="65" t="n">
        <f aca="false">IF(AE392=1,MAX(0,N392-Q392),0)</f>
        <v>0</v>
      </c>
      <c r="AL392" s="65" t="n">
        <f aca="false">IF(OR(V392="",V392=0),0,N392/V392)</f>
        <v>0.166666666666667</v>
      </c>
      <c r="AM392" s="65" t="n">
        <f aca="false">IF(OR(V392="",V392=0),0,1)</f>
        <v>1</v>
      </c>
      <c r="AN392" s="65" t="n">
        <f aca="false">IF(OR(E392="",F392=""),0,NETWORKDAYS(E392,F392,Ref!$K$2:$K$42))</f>
        <v>158</v>
      </c>
      <c r="AO392" s="65" t="n">
        <f aca="false">IF(L392="Renewal",1,0)</f>
        <v>0</v>
      </c>
      <c r="AP392" s="65" t="n">
        <f aca="false">AC392*AD392</f>
        <v>1</v>
      </c>
      <c r="AQ392" s="65" t="n">
        <f aca="false">IF(AND(G392&lt;&gt;"",'Historical Score'!$C$6&lt;&gt;""),IF(G392='Historical Score'!$C$6,1,0),0)</f>
        <v>0</v>
      </c>
      <c r="AR392" s="65" t="n">
        <f aca="false">IF(AND(L392&lt;&gt;"",'Historical Score'!$C$5&lt;&gt;""),IF(L392='Historical Score'!$C$5,1,0),0)</f>
        <v>1</v>
      </c>
      <c r="AS392" s="65" t="n">
        <f aca="false">IF(AND(Y392&lt;&gt;"",'Historical Score'!$C$7&lt;&gt;""),IF(Y392='Historical Score'!$C$7,1,0),0)</f>
        <v>0</v>
      </c>
      <c r="AT392" s="65" t="n">
        <f aca="false">IF(AND(K392&lt;&gt;"",'Historical Score'!$C$8&lt;&gt;""),IF(K392='Historical Score'!$C$8,1,0),0)</f>
        <v>0</v>
      </c>
      <c r="AU392" s="65" t="n">
        <f aca="false">IF(AND(J392&lt;&gt;"",'Historical Score'!$C$9&lt;&gt;""),IF(J392='Historical Score'!$C$9,1,0),0)</f>
        <v>0</v>
      </c>
      <c r="AV392" s="65" t="n">
        <f aca="false">AR392*AS392*AQ392</f>
        <v>0</v>
      </c>
      <c r="AW392" s="65" t="n">
        <f aca="false">AR392*AT392*AQ392</f>
        <v>0</v>
      </c>
      <c r="AX392" s="65" t="n">
        <f aca="false">AR392*AS392</f>
        <v>0</v>
      </c>
      <c r="AY392" s="65" t="n">
        <f aca="false">AR392*AT392</f>
        <v>0</v>
      </c>
      <c r="AZ392" s="65" t="n">
        <f aca="false">AR392*AQ392</f>
        <v>0</v>
      </c>
      <c r="BA392" s="65" t="n">
        <f aca="false">AR392</f>
        <v>1</v>
      </c>
      <c r="BB392" s="65" t="n">
        <f aca="false">1</f>
        <v>1</v>
      </c>
      <c r="BC392" s="65" t="n">
        <f aca="false">IF(AV392=1,1,IF(AW392=1,2,IF(AX392=1,3,IF(AY392=1,4,IF(AZ392=1,5,IF(BA392=1,6,7))))))</f>
        <v>6</v>
      </c>
      <c r="BD392" s="65" t="n">
        <f aca="false">IF(AD392=1,CHOOSE('Historical Score'!$C$29,AV392,AW392,AX392,AY392,AZ392,BA392,BB392),0)</f>
        <v>0</v>
      </c>
      <c r="BE392" s="65" t="str">
        <f aca="false">IF(BD392=1,COUNTIF($BD$2:BD392,1),"")</f>
        <v/>
      </c>
    </row>
    <row r="393" customFormat="false" ht="15" hidden="false" customHeight="false" outlineLevel="0" collapsed="false">
      <c r="A393" s="65" t="s">
        <v>1565</v>
      </c>
      <c r="B393" s="65" t="s">
        <v>1208</v>
      </c>
      <c r="C393" s="65" t="s">
        <v>1208</v>
      </c>
      <c r="D393" s="65" t="s">
        <v>371</v>
      </c>
      <c r="E393" s="112" t="n">
        <v>45987</v>
      </c>
      <c r="F393" s="112" t="n">
        <v>46118</v>
      </c>
      <c r="G393" s="65" t="n">
        <v>2</v>
      </c>
      <c r="H393" s="65" t="s">
        <v>596</v>
      </c>
      <c r="I393" s="65" t="s">
        <v>597</v>
      </c>
      <c r="J393" s="65" t="s">
        <v>682</v>
      </c>
      <c r="K393" s="65" t="s">
        <v>581</v>
      </c>
      <c r="L393" s="65" t="s">
        <v>64</v>
      </c>
      <c r="M393" s="113" t="n">
        <v>1.49</v>
      </c>
      <c r="N393" s="114" t="n">
        <v>22000</v>
      </c>
      <c r="O393" s="114" t="n">
        <v>3080</v>
      </c>
      <c r="P393" s="114" t="n">
        <v>32780</v>
      </c>
      <c r="Q393" s="114" t="n">
        <v>32780</v>
      </c>
      <c r="R393" s="114" t="n">
        <v>0</v>
      </c>
      <c r="S393" s="115" t="n">
        <v>1</v>
      </c>
      <c r="T393" s="65" t="n">
        <v>2.951</v>
      </c>
      <c r="U393" s="65" t="n">
        <v>19</v>
      </c>
      <c r="V393" s="65" t="n">
        <v>47795.52</v>
      </c>
      <c r="W393" s="115" t="n">
        <v>0.16</v>
      </c>
      <c r="X393" s="112" t="n">
        <v>43574</v>
      </c>
      <c r="Y393" s="65" t="str">
        <f aca="false">IF(I393="","No SIC",IFERROR(VLOOKUP(I393,Ref!$A$2:$B$65,2,FALSE()),"Unclassified"))</f>
        <v>Insurance Agents &amp; Brokers</v>
      </c>
      <c r="Z393" s="65" t="str">
        <f aca="false">IF(T393="","",IF(T393&lt;12,"Daily","Weekly"))</f>
        <v>Daily</v>
      </c>
      <c r="AA393" s="65" t="n">
        <f aca="false">IF(T393="",0,IF(T393&lt;12,T393*Controls!$B$29,T393*5))</f>
        <v>63.903905</v>
      </c>
      <c r="AB393" s="65" t="n">
        <f aca="false">IF(E393="",0,NETWORKDAYS(E393,Controls!$B$36,Ref!$K$2:$K$42))</f>
        <v>188</v>
      </c>
      <c r="AC393" s="65" t="n">
        <f aca="false">IF(AND(AA393&gt;0,AB393&gt;=Controls!$B$39*AA393),1,0)</f>
        <v>1</v>
      </c>
      <c r="AD393" s="65" t="n">
        <f aca="false">IF(AND(E393&lt;&gt;"",E393&gt;=Controls!$B$37,E393&lt;=Controls!$B$38),1,0)</f>
        <v>1</v>
      </c>
      <c r="AE393" s="65" t="n">
        <f aca="false">IF(IFERROR(VLOOKUP(D393,Controls!$A$64:$E$74,2,FALSE()),"No")="Yes",1,0)</f>
        <v>0</v>
      </c>
      <c r="AF393" s="65" t="n">
        <f aca="false">IF(IFERROR(VLOOKUP(D393,Controls!$A$64:$E$74,3,FALSE()),"No")="Yes",1,0)</f>
        <v>1</v>
      </c>
      <c r="AG393" s="65" t="n">
        <f aca="false">IF(IFERROR(VLOOKUP(D393,Controls!$A$64:$E$74,4,FALSE()),"No")="Yes",1,0)</f>
        <v>1</v>
      </c>
      <c r="AH393" s="65" t="n">
        <f aca="false">IF(IFERROR(VLOOKUP(D393,Controls!$A$64:$E$74,5,FALSE()),"No")="Yes",1,0)</f>
        <v>0</v>
      </c>
      <c r="AI393" s="65" t="n">
        <f aca="false">IF(ISNUMBER(MATCH(D393,Controls!$A$64:$A$74,0)),1,0)</f>
        <v>1</v>
      </c>
      <c r="AJ393" s="65" t="n">
        <f aca="false">Q393-N393</f>
        <v>10780</v>
      </c>
      <c r="AK393" s="65" t="n">
        <f aca="false">IF(AE393=1,MAX(0,N393-Q393),0)</f>
        <v>0</v>
      </c>
      <c r="AL393" s="65" t="n">
        <f aca="false">IF(OR(V393="",V393=0),0,N393/V393)</f>
        <v>0.460294186568114</v>
      </c>
      <c r="AM393" s="65" t="n">
        <f aca="false">IF(OR(V393="",V393=0),0,1)</f>
        <v>1</v>
      </c>
      <c r="AN393" s="65" t="n">
        <f aca="false">IF(OR(E393="",F393=""),0,NETWORKDAYS(E393,F393,Ref!$K$2:$K$42))</f>
        <v>89</v>
      </c>
      <c r="AO393" s="65" t="n">
        <f aca="false">IF(L393="Renewal",1,0)</f>
        <v>0</v>
      </c>
      <c r="AP393" s="65" t="n">
        <f aca="false">AC393*AD393</f>
        <v>1</v>
      </c>
      <c r="AQ393" s="65" t="n">
        <f aca="false">IF(AND(G393&lt;&gt;"",'Historical Score'!$C$6&lt;&gt;""),IF(G393='Historical Score'!$C$6,1,0),0)</f>
        <v>1</v>
      </c>
      <c r="AR393" s="65" t="n">
        <f aca="false">IF(AND(L393&lt;&gt;"",'Historical Score'!$C$5&lt;&gt;""),IF(L393='Historical Score'!$C$5,1,0),0)</f>
        <v>1</v>
      </c>
      <c r="AS393" s="65" t="n">
        <f aca="false">IF(AND(Y393&lt;&gt;"",'Historical Score'!$C$7&lt;&gt;""),IF(Y393='Historical Score'!$C$7,1,0),0)</f>
        <v>0</v>
      </c>
      <c r="AT393" s="65" t="n">
        <f aca="false">IF(AND(K393&lt;&gt;"",'Historical Score'!$C$8&lt;&gt;""),IF(K393='Historical Score'!$C$8,1,0),0)</f>
        <v>0</v>
      </c>
      <c r="AU393" s="65" t="n">
        <f aca="false">IF(AND(J393&lt;&gt;"",'Historical Score'!$C$9&lt;&gt;""),IF(J393='Historical Score'!$C$9,1,0),0)</f>
        <v>0</v>
      </c>
      <c r="AV393" s="65" t="n">
        <f aca="false">AR393*AS393*AQ393</f>
        <v>0</v>
      </c>
      <c r="AW393" s="65" t="n">
        <f aca="false">AR393*AT393*AQ393</f>
        <v>0</v>
      </c>
      <c r="AX393" s="65" t="n">
        <f aca="false">AR393*AS393</f>
        <v>0</v>
      </c>
      <c r="AY393" s="65" t="n">
        <f aca="false">AR393*AT393</f>
        <v>0</v>
      </c>
      <c r="AZ393" s="65" t="n">
        <f aca="false">AR393*AQ393</f>
        <v>1</v>
      </c>
      <c r="BA393" s="65" t="n">
        <f aca="false">AR393</f>
        <v>1</v>
      </c>
      <c r="BB393" s="65" t="n">
        <f aca="false">1</f>
        <v>1</v>
      </c>
      <c r="BC393" s="65" t="n">
        <f aca="false">IF(AV393=1,1,IF(AW393=1,2,IF(AX393=1,3,IF(AY393=1,4,IF(AZ393=1,5,IF(BA393=1,6,7))))))</f>
        <v>5</v>
      </c>
      <c r="BD393" s="65" t="n">
        <f aca="false">IF(AD393=1,CHOOSE('Historical Score'!$C$29,AV393,AW393,AX393,AY393,AZ393,BA393,BB393),0)</f>
        <v>0</v>
      </c>
      <c r="BE393" s="65" t="str">
        <f aca="false">IF(BD393=1,COUNTIF($BD$2:BD393,1),"")</f>
        <v/>
      </c>
    </row>
    <row r="394" customFormat="false" ht="15" hidden="false" customHeight="false" outlineLevel="0" collapsed="false">
      <c r="A394" s="65" t="s">
        <v>1566</v>
      </c>
      <c r="B394" s="65" t="s">
        <v>1567</v>
      </c>
      <c r="C394" s="65" t="s">
        <v>1568</v>
      </c>
      <c r="D394" s="65" t="s">
        <v>371</v>
      </c>
      <c r="E394" s="112" t="n">
        <v>45989</v>
      </c>
      <c r="F394" s="112" t="n">
        <v>46134</v>
      </c>
      <c r="G394" s="65" t="n">
        <v>3</v>
      </c>
      <c r="H394" s="65" t="s">
        <v>409</v>
      </c>
      <c r="I394" s="65" t="s">
        <v>342</v>
      </c>
      <c r="J394" s="65" t="s">
        <v>61</v>
      </c>
      <c r="K394" s="65" t="s">
        <v>344</v>
      </c>
      <c r="L394" s="65" t="s">
        <v>64</v>
      </c>
      <c r="M394" s="113" t="n">
        <v>1.49</v>
      </c>
      <c r="N394" s="114" t="n">
        <v>8500</v>
      </c>
      <c r="O394" s="114" t="n">
        <v>1190</v>
      </c>
      <c r="P394" s="114" t="n">
        <v>12665</v>
      </c>
      <c r="Q394" s="114" t="n">
        <v>12665</v>
      </c>
      <c r="R394" s="114" t="n">
        <v>0</v>
      </c>
      <c r="S394" s="115" t="n">
        <v>1</v>
      </c>
      <c r="T394" s="65" t="n">
        <v>3.279</v>
      </c>
      <c r="U394" s="65" t="n">
        <v>0</v>
      </c>
      <c r="V394" s="65" t="n">
        <v>37309.67</v>
      </c>
      <c r="W394" s="115" t="n">
        <v>0.0713</v>
      </c>
      <c r="X394" s="112" t="n">
        <v>38473</v>
      </c>
      <c r="Y394" s="65" t="str">
        <f aca="false">IF(I394="","No SIC",IFERROR(VLOOKUP(I394,Ref!$A$2:$B$65,2,FALSE()),"Unclassified"))</f>
        <v>Eating &amp; Drinking Places</v>
      </c>
      <c r="Z394" s="65" t="str">
        <f aca="false">IF(T394="","",IF(T394&lt;12,"Daily","Weekly"))</f>
        <v>Daily</v>
      </c>
      <c r="AA394" s="65" t="n">
        <f aca="false">IF(T394="",0,IF(T394&lt;12,T394*Controls!$B$29,T394*5))</f>
        <v>71.006745</v>
      </c>
      <c r="AB394" s="65" t="n">
        <f aca="false">IF(E394="",0,NETWORKDAYS(E394,Controls!$B$36,Ref!$K$2:$K$42))</f>
        <v>187</v>
      </c>
      <c r="AC394" s="65" t="n">
        <f aca="false">IF(AND(AA394&gt;0,AB394&gt;=Controls!$B$39*AA394),1,0)</f>
        <v>1</v>
      </c>
      <c r="AD394" s="65" t="n">
        <f aca="false">IF(AND(E394&lt;&gt;"",E394&gt;=Controls!$B$37,E394&lt;=Controls!$B$38),1,0)</f>
        <v>1</v>
      </c>
      <c r="AE394" s="65" t="n">
        <f aca="false">IF(IFERROR(VLOOKUP(D394,Controls!$A$64:$E$74,2,FALSE()),"No")="Yes",1,0)</f>
        <v>0</v>
      </c>
      <c r="AF394" s="65" t="n">
        <f aca="false">IF(IFERROR(VLOOKUP(D394,Controls!$A$64:$E$74,3,FALSE()),"No")="Yes",1,0)</f>
        <v>1</v>
      </c>
      <c r="AG394" s="65" t="n">
        <f aca="false">IF(IFERROR(VLOOKUP(D394,Controls!$A$64:$E$74,4,FALSE()),"No")="Yes",1,0)</f>
        <v>1</v>
      </c>
      <c r="AH394" s="65" t="n">
        <f aca="false">IF(IFERROR(VLOOKUP(D394,Controls!$A$64:$E$74,5,FALSE()),"No")="Yes",1,0)</f>
        <v>0</v>
      </c>
      <c r="AI394" s="65" t="n">
        <f aca="false">IF(ISNUMBER(MATCH(D394,Controls!$A$64:$A$74,0)),1,0)</f>
        <v>1</v>
      </c>
      <c r="AJ394" s="65" t="n">
        <f aca="false">Q394-N394</f>
        <v>4165</v>
      </c>
      <c r="AK394" s="65" t="n">
        <f aca="false">IF(AE394=1,MAX(0,N394-Q394),0)</f>
        <v>0</v>
      </c>
      <c r="AL394" s="65" t="n">
        <f aca="false">IF(OR(V394="",V394=0),0,N394/V394)</f>
        <v>0.227822974580049</v>
      </c>
      <c r="AM394" s="65" t="n">
        <f aca="false">IF(OR(V394="",V394=0),0,1)</f>
        <v>1</v>
      </c>
      <c r="AN394" s="65" t="n">
        <f aca="false">IF(OR(E394="",F394=""),0,NETWORKDAYS(E394,F394,Ref!$K$2:$K$42))</f>
        <v>100</v>
      </c>
      <c r="AO394" s="65" t="n">
        <f aca="false">IF(L394="Renewal",1,0)</f>
        <v>0</v>
      </c>
      <c r="AP394" s="65" t="n">
        <f aca="false">AC394*AD394</f>
        <v>1</v>
      </c>
      <c r="AQ394" s="65" t="n">
        <f aca="false">IF(AND(G394&lt;&gt;"",'Historical Score'!$C$6&lt;&gt;""),IF(G394='Historical Score'!$C$6,1,0),0)</f>
        <v>0</v>
      </c>
      <c r="AR394" s="65" t="n">
        <f aca="false">IF(AND(L394&lt;&gt;"",'Historical Score'!$C$5&lt;&gt;""),IF(L394='Historical Score'!$C$5,1,0),0)</f>
        <v>1</v>
      </c>
      <c r="AS394" s="65" t="n">
        <f aca="false">IF(AND(Y394&lt;&gt;"",'Historical Score'!$C$7&lt;&gt;""),IF(Y394='Historical Score'!$C$7,1,0),0)</f>
        <v>0</v>
      </c>
      <c r="AT394" s="65" t="n">
        <f aca="false">IF(AND(K394&lt;&gt;"",'Historical Score'!$C$8&lt;&gt;""),IF(K394='Historical Score'!$C$8,1,0),0)</f>
        <v>0</v>
      </c>
      <c r="AU394" s="65" t="n">
        <f aca="false">IF(AND(J394&lt;&gt;"",'Historical Score'!$C$9&lt;&gt;""),IF(J394='Historical Score'!$C$9,1,0),0)</f>
        <v>1</v>
      </c>
      <c r="AV394" s="65" t="n">
        <f aca="false">AR394*AS394*AQ394</f>
        <v>0</v>
      </c>
      <c r="AW394" s="65" t="n">
        <f aca="false">AR394*AT394*AQ394</f>
        <v>0</v>
      </c>
      <c r="AX394" s="65" t="n">
        <f aca="false">AR394*AS394</f>
        <v>0</v>
      </c>
      <c r="AY394" s="65" t="n">
        <f aca="false">AR394*AT394</f>
        <v>0</v>
      </c>
      <c r="AZ394" s="65" t="n">
        <f aca="false">AR394*AQ394</f>
        <v>0</v>
      </c>
      <c r="BA394" s="65" t="n">
        <f aca="false">AR394</f>
        <v>1</v>
      </c>
      <c r="BB394" s="65" t="n">
        <f aca="false">1</f>
        <v>1</v>
      </c>
      <c r="BC394" s="65" t="n">
        <f aca="false">IF(AV394=1,1,IF(AW394=1,2,IF(AX394=1,3,IF(AY394=1,4,IF(AZ394=1,5,IF(BA394=1,6,7))))))</f>
        <v>6</v>
      </c>
      <c r="BD394" s="65" t="n">
        <f aca="false">IF(AD394=1,CHOOSE('Historical Score'!$C$29,AV394,AW394,AX394,AY394,AZ394,BA394,BB394),0)</f>
        <v>0</v>
      </c>
      <c r="BE394" s="65" t="str">
        <f aca="false">IF(BD394=1,COUNTIF($BD$2:BD394,1),"")</f>
        <v/>
      </c>
    </row>
    <row r="395" customFormat="false" ht="15" hidden="false" customHeight="false" outlineLevel="0" collapsed="false">
      <c r="A395" s="65" t="s">
        <v>1569</v>
      </c>
      <c r="B395" s="65" t="s">
        <v>1570</v>
      </c>
      <c r="C395" s="65" t="s">
        <v>1570</v>
      </c>
      <c r="D395" s="65" t="s">
        <v>371</v>
      </c>
      <c r="E395" s="112" t="n">
        <v>45989</v>
      </c>
      <c r="F395" s="112" t="n">
        <v>46077</v>
      </c>
      <c r="G395" s="65" t="n">
        <v>6</v>
      </c>
      <c r="H395" s="65" t="s">
        <v>752</v>
      </c>
      <c r="I395" s="65" t="s">
        <v>405</v>
      </c>
      <c r="J395" s="65" t="s">
        <v>380</v>
      </c>
      <c r="K395" s="65" t="s">
        <v>55</v>
      </c>
      <c r="L395" s="65" t="s">
        <v>64</v>
      </c>
      <c r="M395" s="113" t="n">
        <v>1.49</v>
      </c>
      <c r="N395" s="114" t="n">
        <v>25000</v>
      </c>
      <c r="O395" s="114" t="n">
        <v>3500</v>
      </c>
      <c r="P395" s="114" t="n">
        <v>37250</v>
      </c>
      <c r="Q395" s="114" t="n">
        <v>37250</v>
      </c>
      <c r="R395" s="114" t="n">
        <v>0</v>
      </c>
      <c r="S395" s="115" t="n">
        <v>1</v>
      </c>
      <c r="T395" s="65" t="n">
        <v>2.951</v>
      </c>
      <c r="U395" s="65" t="n">
        <v>12</v>
      </c>
      <c r="V395" s="65" t="n">
        <v>123266.6</v>
      </c>
      <c r="W395" s="115" t="n">
        <v>0.107</v>
      </c>
      <c r="X395" s="112" t="n">
        <v>45989</v>
      </c>
      <c r="Y395" s="65" t="str">
        <f aca="false">IF(I395="","No SIC",IFERROR(VLOOKUP(I395,Ref!$A$2:$B$65,2,FALSE()),"Unclassified"))</f>
        <v>Health Services</v>
      </c>
      <c r="Z395" s="65" t="str">
        <f aca="false">IF(T395="","",IF(T395&lt;12,"Daily","Weekly"))</f>
        <v>Daily</v>
      </c>
      <c r="AA395" s="65" t="n">
        <f aca="false">IF(T395="",0,IF(T395&lt;12,T395*Controls!$B$29,T395*5))</f>
        <v>63.903905</v>
      </c>
      <c r="AB395" s="65" t="n">
        <f aca="false">IF(E395="",0,NETWORKDAYS(E395,Controls!$B$36,Ref!$K$2:$K$42))</f>
        <v>187</v>
      </c>
      <c r="AC395" s="65" t="n">
        <f aca="false">IF(AND(AA395&gt;0,AB395&gt;=Controls!$B$39*AA395),1,0)</f>
        <v>1</v>
      </c>
      <c r="AD395" s="65" t="n">
        <f aca="false">IF(AND(E395&lt;&gt;"",E395&gt;=Controls!$B$37,E395&lt;=Controls!$B$38),1,0)</f>
        <v>1</v>
      </c>
      <c r="AE395" s="65" t="n">
        <f aca="false">IF(IFERROR(VLOOKUP(D395,Controls!$A$64:$E$74,2,FALSE()),"No")="Yes",1,0)</f>
        <v>0</v>
      </c>
      <c r="AF395" s="65" t="n">
        <f aca="false">IF(IFERROR(VLOOKUP(D395,Controls!$A$64:$E$74,3,FALSE()),"No")="Yes",1,0)</f>
        <v>1</v>
      </c>
      <c r="AG395" s="65" t="n">
        <f aca="false">IF(IFERROR(VLOOKUP(D395,Controls!$A$64:$E$74,4,FALSE()),"No")="Yes",1,0)</f>
        <v>1</v>
      </c>
      <c r="AH395" s="65" t="n">
        <f aca="false">IF(IFERROR(VLOOKUP(D395,Controls!$A$64:$E$74,5,FALSE()),"No")="Yes",1,0)</f>
        <v>0</v>
      </c>
      <c r="AI395" s="65" t="n">
        <f aca="false">IF(ISNUMBER(MATCH(D395,Controls!$A$64:$A$74,0)),1,0)</f>
        <v>1</v>
      </c>
      <c r="AJ395" s="65" t="n">
        <f aca="false">Q395-N395</f>
        <v>12250</v>
      </c>
      <c r="AK395" s="65" t="n">
        <f aca="false">IF(AE395=1,MAX(0,N395-Q395),0)</f>
        <v>0</v>
      </c>
      <c r="AL395" s="65" t="n">
        <f aca="false">IF(OR(V395="",V395=0),0,N395/V395)</f>
        <v>0.202812440677361</v>
      </c>
      <c r="AM395" s="65" t="n">
        <f aca="false">IF(OR(V395="",V395=0),0,1)</f>
        <v>1</v>
      </c>
      <c r="AN395" s="65" t="n">
        <f aca="false">IF(OR(E395="",F395=""),0,NETWORKDAYS(E395,F395,Ref!$K$2:$K$42))</f>
        <v>59</v>
      </c>
      <c r="AO395" s="65" t="n">
        <f aca="false">IF(L395="Renewal",1,0)</f>
        <v>0</v>
      </c>
      <c r="AP395" s="65" t="n">
        <f aca="false">AC395*AD395</f>
        <v>1</v>
      </c>
      <c r="AQ395" s="65" t="n">
        <f aca="false">IF(AND(G395&lt;&gt;"",'Historical Score'!$C$6&lt;&gt;""),IF(G395='Historical Score'!$C$6,1,0),0)</f>
        <v>0</v>
      </c>
      <c r="AR395" s="65" t="n">
        <f aca="false">IF(AND(L395&lt;&gt;"",'Historical Score'!$C$5&lt;&gt;""),IF(L395='Historical Score'!$C$5,1,0),0)</f>
        <v>1</v>
      </c>
      <c r="AS395" s="65" t="n">
        <f aca="false">IF(AND(Y395&lt;&gt;"",'Historical Score'!$C$7&lt;&gt;""),IF(Y395='Historical Score'!$C$7,1,0),0)</f>
        <v>0</v>
      </c>
      <c r="AT395" s="65" t="n">
        <f aca="false">IF(AND(K395&lt;&gt;"",'Historical Score'!$C$8&lt;&gt;""),IF(K395='Historical Score'!$C$8,1,0),0)</f>
        <v>1</v>
      </c>
      <c r="AU395" s="65" t="n">
        <f aca="false">IF(AND(J395&lt;&gt;"",'Historical Score'!$C$9&lt;&gt;""),IF(J395='Historical Score'!$C$9,1,0),0)</f>
        <v>0</v>
      </c>
      <c r="AV395" s="65" t="n">
        <f aca="false">AR395*AS395*AQ395</f>
        <v>0</v>
      </c>
      <c r="AW395" s="65" t="n">
        <f aca="false">AR395*AT395*AQ395</f>
        <v>0</v>
      </c>
      <c r="AX395" s="65" t="n">
        <f aca="false">AR395*AS395</f>
        <v>0</v>
      </c>
      <c r="AY395" s="65" t="n">
        <f aca="false">AR395*AT395</f>
        <v>1</v>
      </c>
      <c r="AZ395" s="65" t="n">
        <f aca="false">AR395*AQ395</f>
        <v>0</v>
      </c>
      <c r="BA395" s="65" t="n">
        <f aca="false">AR395</f>
        <v>1</v>
      </c>
      <c r="BB395" s="65" t="n">
        <f aca="false">1</f>
        <v>1</v>
      </c>
      <c r="BC395" s="65" t="n">
        <f aca="false">IF(AV395=1,1,IF(AW395=1,2,IF(AX395=1,3,IF(AY395=1,4,IF(AZ395=1,5,IF(BA395=1,6,7))))))</f>
        <v>4</v>
      </c>
      <c r="BD395" s="65" t="n">
        <f aca="false">IF(AD395=1,CHOOSE('Historical Score'!$C$29,AV395,AW395,AX395,AY395,AZ395,BA395,BB395),0)</f>
        <v>0</v>
      </c>
      <c r="BE395" s="65" t="str">
        <f aca="false">IF(BD395=1,COUNTIF($BD$2:BD395,1),"")</f>
        <v/>
      </c>
    </row>
    <row r="396" customFormat="false" ht="15" hidden="false" customHeight="false" outlineLevel="0" collapsed="false">
      <c r="A396" s="65" t="s">
        <v>1571</v>
      </c>
      <c r="B396" s="65" t="s">
        <v>1572</v>
      </c>
      <c r="C396" s="65" t="s">
        <v>1572</v>
      </c>
      <c r="D396" s="65" t="s">
        <v>371</v>
      </c>
      <c r="E396" s="112" t="n">
        <v>45992</v>
      </c>
      <c r="F396" s="112" t="n">
        <v>46129</v>
      </c>
      <c r="G396" s="65" t="n">
        <v>3</v>
      </c>
      <c r="H396" s="65" t="s">
        <v>418</v>
      </c>
      <c r="I396" s="65" t="s">
        <v>419</v>
      </c>
      <c r="J396" s="65" t="s">
        <v>61</v>
      </c>
      <c r="K396" s="65" t="s">
        <v>1204</v>
      </c>
      <c r="L396" s="65" t="s">
        <v>64</v>
      </c>
      <c r="M396" s="113" t="n">
        <v>1.49</v>
      </c>
      <c r="N396" s="114" t="n">
        <v>10000</v>
      </c>
      <c r="O396" s="114" t="n">
        <v>1400</v>
      </c>
      <c r="P396" s="114" t="n">
        <v>14900</v>
      </c>
      <c r="Q396" s="114" t="n">
        <v>14900</v>
      </c>
      <c r="R396" s="114" t="n">
        <v>0</v>
      </c>
      <c r="S396" s="115" t="n">
        <v>1</v>
      </c>
      <c r="T396" s="65" t="n">
        <v>20</v>
      </c>
      <c r="U396" s="65" t="n">
        <v>0</v>
      </c>
      <c r="V396" s="65" t="n">
        <v>83502.16</v>
      </c>
      <c r="W396" s="115" t="n">
        <v>0.0357</v>
      </c>
      <c r="X396" s="112"/>
      <c r="Y396" s="65" t="str">
        <f aca="false">IF(I396="","No SIC",IFERROR(VLOOKUP(I396,Ref!$A$2:$B$65,2,FALSE()),"Unclassified"))</f>
        <v>Business Services</v>
      </c>
      <c r="Z396" s="65" t="str">
        <f aca="false">IF(T396="","",IF(T396&lt;12,"Daily","Weekly"))</f>
        <v>Weekly</v>
      </c>
      <c r="AA396" s="65" t="n">
        <f aca="false">IF(T396="",0,IF(T396&lt;12,T396*Controls!$B$29,T396*5))</f>
        <v>100</v>
      </c>
      <c r="AB396" s="65" t="n">
        <f aca="false">IF(E396="",0,NETWORKDAYS(E396,Controls!$B$36,Ref!$K$2:$K$42))</f>
        <v>186</v>
      </c>
      <c r="AC396" s="65" t="n">
        <f aca="false">IF(AND(AA396&gt;0,AB396&gt;=Controls!$B$39*AA396),1,0)</f>
        <v>1</v>
      </c>
      <c r="AD396" s="65" t="n">
        <f aca="false">IF(AND(E396&lt;&gt;"",E396&gt;=Controls!$B$37,E396&lt;=Controls!$B$38),1,0)</f>
        <v>1</v>
      </c>
      <c r="AE396" s="65" t="n">
        <f aca="false">IF(IFERROR(VLOOKUP(D396,Controls!$A$64:$E$74,2,FALSE()),"No")="Yes",1,0)</f>
        <v>0</v>
      </c>
      <c r="AF396" s="65" t="n">
        <f aca="false">IF(IFERROR(VLOOKUP(D396,Controls!$A$64:$E$74,3,FALSE()),"No")="Yes",1,0)</f>
        <v>1</v>
      </c>
      <c r="AG396" s="65" t="n">
        <f aca="false">IF(IFERROR(VLOOKUP(D396,Controls!$A$64:$E$74,4,FALSE()),"No")="Yes",1,0)</f>
        <v>1</v>
      </c>
      <c r="AH396" s="65" t="n">
        <f aca="false">IF(IFERROR(VLOOKUP(D396,Controls!$A$64:$E$74,5,FALSE()),"No")="Yes",1,0)</f>
        <v>0</v>
      </c>
      <c r="AI396" s="65" t="n">
        <f aca="false">IF(ISNUMBER(MATCH(D396,Controls!$A$64:$A$74,0)),1,0)</f>
        <v>1</v>
      </c>
      <c r="AJ396" s="65" t="n">
        <f aca="false">Q396-N396</f>
        <v>4900</v>
      </c>
      <c r="AK396" s="65" t="n">
        <f aca="false">IF(AE396=1,MAX(0,N396-Q396),0)</f>
        <v>0</v>
      </c>
      <c r="AL396" s="65" t="n">
        <f aca="false">IF(OR(V396="",V396=0),0,N396/V396)</f>
        <v>0.119757381126428</v>
      </c>
      <c r="AM396" s="65" t="n">
        <f aca="false">IF(OR(V396="",V396=0),0,1)</f>
        <v>1</v>
      </c>
      <c r="AN396" s="65" t="n">
        <f aca="false">IF(OR(E396="",F396=""),0,NETWORKDAYS(E396,F396,Ref!$K$2:$K$42))</f>
        <v>96</v>
      </c>
      <c r="AO396" s="65" t="n">
        <f aca="false">IF(L396="Renewal",1,0)</f>
        <v>0</v>
      </c>
      <c r="AP396" s="65" t="n">
        <f aca="false">AC396*AD396</f>
        <v>1</v>
      </c>
      <c r="AQ396" s="65" t="n">
        <f aca="false">IF(AND(G396&lt;&gt;"",'Historical Score'!$C$6&lt;&gt;""),IF(G396='Historical Score'!$C$6,1,0),0)</f>
        <v>0</v>
      </c>
      <c r="AR396" s="65" t="n">
        <f aca="false">IF(AND(L396&lt;&gt;"",'Historical Score'!$C$5&lt;&gt;""),IF(L396='Historical Score'!$C$5,1,0),0)</f>
        <v>1</v>
      </c>
      <c r="AS396" s="65" t="n">
        <f aca="false">IF(AND(Y396&lt;&gt;"",'Historical Score'!$C$7&lt;&gt;""),IF(Y396='Historical Score'!$C$7,1,0),0)</f>
        <v>0</v>
      </c>
      <c r="AT396" s="65" t="n">
        <f aca="false">IF(AND(K396&lt;&gt;"",'Historical Score'!$C$8&lt;&gt;""),IF(K396='Historical Score'!$C$8,1,0),0)</f>
        <v>0</v>
      </c>
      <c r="AU396" s="65" t="n">
        <f aca="false">IF(AND(J396&lt;&gt;"",'Historical Score'!$C$9&lt;&gt;""),IF(J396='Historical Score'!$C$9,1,0),0)</f>
        <v>1</v>
      </c>
      <c r="AV396" s="65" t="n">
        <f aca="false">AR396*AS396*AQ396</f>
        <v>0</v>
      </c>
      <c r="AW396" s="65" t="n">
        <f aca="false">AR396*AT396*AQ396</f>
        <v>0</v>
      </c>
      <c r="AX396" s="65" t="n">
        <f aca="false">AR396*AS396</f>
        <v>0</v>
      </c>
      <c r="AY396" s="65" t="n">
        <f aca="false">AR396*AT396</f>
        <v>0</v>
      </c>
      <c r="AZ396" s="65" t="n">
        <f aca="false">AR396*AQ396</f>
        <v>0</v>
      </c>
      <c r="BA396" s="65" t="n">
        <f aca="false">AR396</f>
        <v>1</v>
      </c>
      <c r="BB396" s="65" t="n">
        <f aca="false">1</f>
        <v>1</v>
      </c>
      <c r="BC396" s="65" t="n">
        <f aca="false">IF(AV396=1,1,IF(AW396=1,2,IF(AX396=1,3,IF(AY396=1,4,IF(AZ396=1,5,IF(BA396=1,6,7))))))</f>
        <v>6</v>
      </c>
      <c r="BD396" s="65" t="n">
        <f aca="false">IF(AD396=1,CHOOSE('Historical Score'!$C$29,AV396,AW396,AX396,AY396,AZ396,BA396,BB396),0)</f>
        <v>0</v>
      </c>
      <c r="BE396" s="65" t="str">
        <f aca="false">IF(BD396=1,COUNTIF($BD$2:BD396,1),"")</f>
        <v/>
      </c>
    </row>
    <row r="397" customFormat="false" ht="15" hidden="false" customHeight="false" outlineLevel="0" collapsed="false">
      <c r="A397" s="65" t="s">
        <v>1573</v>
      </c>
      <c r="B397" s="65" t="s">
        <v>1574</v>
      </c>
      <c r="C397" s="65" t="s">
        <v>1574</v>
      </c>
      <c r="D397" s="65" t="s">
        <v>371</v>
      </c>
      <c r="E397" s="112" t="n">
        <v>45992</v>
      </c>
      <c r="F397" s="112" t="n">
        <v>46136</v>
      </c>
      <c r="G397" s="65" t="n">
        <v>2</v>
      </c>
      <c r="H397" s="65" t="s">
        <v>500</v>
      </c>
      <c r="I397" s="65" t="s">
        <v>475</v>
      </c>
      <c r="J397" s="65" t="s">
        <v>350</v>
      </c>
      <c r="K397" s="65" t="s">
        <v>848</v>
      </c>
      <c r="L397" s="65" t="s">
        <v>64</v>
      </c>
      <c r="M397" s="113" t="n">
        <v>1.39</v>
      </c>
      <c r="N397" s="114" t="n">
        <v>10000</v>
      </c>
      <c r="O397" s="114" t="n">
        <v>900</v>
      </c>
      <c r="P397" s="114" t="n">
        <v>13900</v>
      </c>
      <c r="Q397" s="114" t="n">
        <v>13900</v>
      </c>
      <c r="R397" s="114" t="n">
        <v>-1.81898940354586E-012</v>
      </c>
      <c r="S397" s="115" t="n">
        <v>1</v>
      </c>
      <c r="T397" s="65" t="n">
        <v>20</v>
      </c>
      <c r="U397" s="65" t="n">
        <v>0</v>
      </c>
      <c r="V397" s="65" t="n">
        <v>29347.75</v>
      </c>
      <c r="W397" s="115" t="n">
        <v>0.0947</v>
      </c>
      <c r="X397" s="112" t="n">
        <v>45047</v>
      </c>
      <c r="Y397" s="65" t="str">
        <f aca="false">IF(I397="","No SIC",IFERROR(VLOOKUP(I397,Ref!$A$2:$B$65,2,FALSE()),"Unclassified"))</f>
        <v>Auto Repair &amp; Services</v>
      </c>
      <c r="Z397" s="65" t="str">
        <f aca="false">IF(T397="","",IF(T397&lt;12,"Daily","Weekly"))</f>
        <v>Weekly</v>
      </c>
      <c r="AA397" s="65" t="n">
        <f aca="false">IF(T397="",0,IF(T397&lt;12,T397*Controls!$B$29,T397*5))</f>
        <v>100</v>
      </c>
      <c r="AB397" s="65" t="n">
        <f aca="false">IF(E397="",0,NETWORKDAYS(E397,Controls!$B$36,Ref!$K$2:$K$42))</f>
        <v>186</v>
      </c>
      <c r="AC397" s="65" t="n">
        <f aca="false">IF(AND(AA397&gt;0,AB397&gt;=Controls!$B$39*AA397),1,0)</f>
        <v>1</v>
      </c>
      <c r="AD397" s="65" t="n">
        <f aca="false">IF(AND(E397&lt;&gt;"",E397&gt;=Controls!$B$37,E397&lt;=Controls!$B$38),1,0)</f>
        <v>1</v>
      </c>
      <c r="AE397" s="65" t="n">
        <f aca="false">IF(IFERROR(VLOOKUP(D397,Controls!$A$64:$E$74,2,FALSE()),"No")="Yes",1,0)</f>
        <v>0</v>
      </c>
      <c r="AF397" s="65" t="n">
        <f aca="false">IF(IFERROR(VLOOKUP(D397,Controls!$A$64:$E$74,3,FALSE()),"No")="Yes",1,0)</f>
        <v>1</v>
      </c>
      <c r="AG397" s="65" t="n">
        <f aca="false">IF(IFERROR(VLOOKUP(D397,Controls!$A$64:$E$74,4,FALSE()),"No")="Yes",1,0)</f>
        <v>1</v>
      </c>
      <c r="AH397" s="65" t="n">
        <f aca="false">IF(IFERROR(VLOOKUP(D397,Controls!$A$64:$E$74,5,FALSE()),"No")="Yes",1,0)</f>
        <v>0</v>
      </c>
      <c r="AI397" s="65" t="n">
        <f aca="false">IF(ISNUMBER(MATCH(D397,Controls!$A$64:$A$74,0)),1,0)</f>
        <v>1</v>
      </c>
      <c r="AJ397" s="65" t="n">
        <f aca="false">Q397-N397</f>
        <v>3900</v>
      </c>
      <c r="AK397" s="65" t="n">
        <f aca="false">IF(AE397=1,MAX(0,N397-Q397),0)</f>
        <v>0</v>
      </c>
      <c r="AL397" s="65" t="n">
        <f aca="false">IF(OR(V397="",V397=0),0,N397/V397)</f>
        <v>0.340741624144951</v>
      </c>
      <c r="AM397" s="65" t="n">
        <f aca="false">IF(OR(V397="",V397=0),0,1)</f>
        <v>1</v>
      </c>
      <c r="AN397" s="65" t="n">
        <f aca="false">IF(OR(E397="",F397=""),0,NETWORKDAYS(E397,F397,Ref!$K$2:$K$42))</f>
        <v>101</v>
      </c>
      <c r="AO397" s="65" t="n">
        <f aca="false">IF(L397="Renewal",1,0)</f>
        <v>0</v>
      </c>
      <c r="AP397" s="65" t="n">
        <f aca="false">AC397*AD397</f>
        <v>1</v>
      </c>
      <c r="AQ397" s="65" t="n">
        <f aca="false">IF(AND(G397&lt;&gt;"",'Historical Score'!$C$6&lt;&gt;""),IF(G397='Historical Score'!$C$6,1,0),0)</f>
        <v>1</v>
      </c>
      <c r="AR397" s="65" t="n">
        <f aca="false">IF(AND(L397&lt;&gt;"",'Historical Score'!$C$5&lt;&gt;""),IF(L397='Historical Score'!$C$5,1,0),0)</f>
        <v>1</v>
      </c>
      <c r="AS397" s="65" t="n">
        <f aca="false">IF(AND(Y397&lt;&gt;"",'Historical Score'!$C$7&lt;&gt;""),IF(Y397='Historical Score'!$C$7,1,0),0)</f>
        <v>0</v>
      </c>
      <c r="AT397" s="65" t="n">
        <f aca="false">IF(AND(K397&lt;&gt;"",'Historical Score'!$C$8&lt;&gt;""),IF(K397='Historical Score'!$C$8,1,0),0)</f>
        <v>0</v>
      </c>
      <c r="AU397" s="65" t="n">
        <f aca="false">IF(AND(J397&lt;&gt;"",'Historical Score'!$C$9&lt;&gt;""),IF(J397='Historical Score'!$C$9,1,0),0)</f>
        <v>0</v>
      </c>
      <c r="AV397" s="65" t="n">
        <f aca="false">AR397*AS397*AQ397</f>
        <v>0</v>
      </c>
      <c r="AW397" s="65" t="n">
        <f aca="false">AR397*AT397*AQ397</f>
        <v>0</v>
      </c>
      <c r="AX397" s="65" t="n">
        <f aca="false">AR397*AS397</f>
        <v>0</v>
      </c>
      <c r="AY397" s="65" t="n">
        <f aca="false">AR397*AT397</f>
        <v>0</v>
      </c>
      <c r="AZ397" s="65" t="n">
        <f aca="false">AR397*AQ397</f>
        <v>1</v>
      </c>
      <c r="BA397" s="65" t="n">
        <f aca="false">AR397</f>
        <v>1</v>
      </c>
      <c r="BB397" s="65" t="n">
        <f aca="false">1</f>
        <v>1</v>
      </c>
      <c r="BC397" s="65" t="n">
        <f aca="false">IF(AV397=1,1,IF(AW397=1,2,IF(AX397=1,3,IF(AY397=1,4,IF(AZ397=1,5,IF(BA397=1,6,7))))))</f>
        <v>5</v>
      </c>
      <c r="BD397" s="65" t="n">
        <f aca="false">IF(AD397=1,CHOOSE('Historical Score'!$C$29,AV397,AW397,AX397,AY397,AZ397,BA397,BB397),0)</f>
        <v>0</v>
      </c>
      <c r="BE397" s="65" t="str">
        <f aca="false">IF(BD397=1,COUNTIF($BD$2:BD397,1),"")</f>
        <v/>
      </c>
    </row>
    <row r="398" customFormat="false" ht="15" hidden="false" customHeight="false" outlineLevel="0" collapsed="false">
      <c r="A398" s="65" t="s">
        <v>1575</v>
      </c>
      <c r="B398" s="65" t="s">
        <v>1576</v>
      </c>
      <c r="C398" s="65" t="s">
        <v>1576</v>
      </c>
      <c r="D398" s="65" t="s">
        <v>371</v>
      </c>
      <c r="E398" s="112" t="n">
        <v>45993</v>
      </c>
      <c r="F398" s="112" t="n">
        <v>46093</v>
      </c>
      <c r="G398" s="65" t="n">
        <v>6</v>
      </c>
      <c r="H398" s="65" t="s">
        <v>479</v>
      </c>
      <c r="I398" s="65" t="s">
        <v>356</v>
      </c>
      <c r="J398" s="65" t="s">
        <v>343</v>
      </c>
      <c r="K398" s="65" t="s">
        <v>374</v>
      </c>
      <c r="L398" s="65" t="s">
        <v>64</v>
      </c>
      <c r="M398" s="113" t="n">
        <v>1.49</v>
      </c>
      <c r="N398" s="114" t="n">
        <v>30000</v>
      </c>
      <c r="O398" s="114" t="n">
        <v>4200</v>
      </c>
      <c r="P398" s="114" t="n">
        <v>44700</v>
      </c>
      <c r="Q398" s="114" t="n">
        <v>44700</v>
      </c>
      <c r="R398" s="114" t="n">
        <v>0</v>
      </c>
      <c r="S398" s="115" t="n">
        <v>1</v>
      </c>
      <c r="T398" s="65" t="n">
        <v>18</v>
      </c>
      <c r="U398" s="65" t="n">
        <v>1</v>
      </c>
      <c r="V398" s="65" t="n">
        <v>380215.95</v>
      </c>
      <c r="W398" s="115" t="n">
        <v>0.0261</v>
      </c>
      <c r="X398" s="112" t="n">
        <v>45227</v>
      </c>
      <c r="Y398" s="65" t="str">
        <f aca="false">IF(I398="","No SIC",IFERROR(VLOOKUP(I398,Ref!$A$2:$B$65,2,FALSE()),"Unclassified"))</f>
        <v>Trucking &amp; Warehousing</v>
      </c>
      <c r="Z398" s="65" t="str">
        <f aca="false">IF(T398="","",IF(T398&lt;12,"Daily","Weekly"))</f>
        <v>Weekly</v>
      </c>
      <c r="AA398" s="65" t="n">
        <f aca="false">IF(T398="",0,IF(T398&lt;12,T398*Controls!$B$29,T398*5))</f>
        <v>90</v>
      </c>
      <c r="AB398" s="65" t="n">
        <f aca="false">IF(E398="",0,NETWORKDAYS(E398,Controls!$B$36,Ref!$K$2:$K$42))</f>
        <v>185</v>
      </c>
      <c r="AC398" s="65" t="n">
        <f aca="false">IF(AND(AA398&gt;0,AB398&gt;=Controls!$B$39*AA398),1,0)</f>
        <v>1</v>
      </c>
      <c r="AD398" s="65" t="n">
        <f aca="false">IF(AND(E398&lt;&gt;"",E398&gt;=Controls!$B$37,E398&lt;=Controls!$B$38),1,0)</f>
        <v>1</v>
      </c>
      <c r="AE398" s="65" t="n">
        <f aca="false">IF(IFERROR(VLOOKUP(D398,Controls!$A$64:$E$74,2,FALSE()),"No")="Yes",1,0)</f>
        <v>0</v>
      </c>
      <c r="AF398" s="65" t="n">
        <f aca="false">IF(IFERROR(VLOOKUP(D398,Controls!$A$64:$E$74,3,FALSE()),"No")="Yes",1,0)</f>
        <v>1</v>
      </c>
      <c r="AG398" s="65" t="n">
        <f aca="false">IF(IFERROR(VLOOKUP(D398,Controls!$A$64:$E$74,4,FALSE()),"No")="Yes",1,0)</f>
        <v>1</v>
      </c>
      <c r="AH398" s="65" t="n">
        <f aca="false">IF(IFERROR(VLOOKUP(D398,Controls!$A$64:$E$74,5,FALSE()),"No")="Yes",1,0)</f>
        <v>0</v>
      </c>
      <c r="AI398" s="65" t="n">
        <f aca="false">IF(ISNUMBER(MATCH(D398,Controls!$A$64:$A$74,0)),1,0)</f>
        <v>1</v>
      </c>
      <c r="AJ398" s="65" t="n">
        <f aca="false">Q398-N398</f>
        <v>14700</v>
      </c>
      <c r="AK398" s="65" t="n">
        <f aca="false">IF(AE398=1,MAX(0,N398-Q398),0)</f>
        <v>0</v>
      </c>
      <c r="AL398" s="65" t="n">
        <f aca="false">IF(OR(V398="",V398=0),0,N398/V398)</f>
        <v>0.0789025289444065</v>
      </c>
      <c r="AM398" s="65" t="n">
        <f aca="false">IF(OR(V398="",V398=0),0,1)</f>
        <v>1</v>
      </c>
      <c r="AN398" s="65" t="n">
        <f aca="false">IF(OR(E398="",F398=""),0,NETWORKDAYS(E398,F398,Ref!$K$2:$K$42))</f>
        <v>69</v>
      </c>
      <c r="AO398" s="65" t="n">
        <f aca="false">IF(L398="Renewal",1,0)</f>
        <v>0</v>
      </c>
      <c r="AP398" s="65" t="n">
        <f aca="false">AC398*AD398</f>
        <v>1</v>
      </c>
      <c r="AQ398" s="65" t="n">
        <f aca="false">IF(AND(G398&lt;&gt;"",'Historical Score'!$C$6&lt;&gt;""),IF(G398='Historical Score'!$C$6,1,0),0)</f>
        <v>0</v>
      </c>
      <c r="AR398" s="65" t="n">
        <f aca="false">IF(AND(L398&lt;&gt;"",'Historical Score'!$C$5&lt;&gt;""),IF(L398='Historical Score'!$C$5,1,0),0)</f>
        <v>1</v>
      </c>
      <c r="AS398" s="65" t="n">
        <f aca="false">IF(AND(Y398&lt;&gt;"",'Historical Score'!$C$7&lt;&gt;""),IF(Y398='Historical Score'!$C$7,1,0),0)</f>
        <v>0</v>
      </c>
      <c r="AT398" s="65" t="n">
        <f aca="false">IF(AND(K398&lt;&gt;"",'Historical Score'!$C$8&lt;&gt;""),IF(K398='Historical Score'!$C$8,1,0),0)</f>
        <v>0</v>
      </c>
      <c r="AU398" s="65" t="n">
        <f aca="false">IF(AND(J398&lt;&gt;"",'Historical Score'!$C$9&lt;&gt;""),IF(J398='Historical Score'!$C$9,1,0),0)</f>
        <v>0</v>
      </c>
      <c r="AV398" s="65" t="n">
        <f aca="false">AR398*AS398*AQ398</f>
        <v>0</v>
      </c>
      <c r="AW398" s="65" t="n">
        <f aca="false">AR398*AT398*AQ398</f>
        <v>0</v>
      </c>
      <c r="AX398" s="65" t="n">
        <f aca="false">AR398*AS398</f>
        <v>0</v>
      </c>
      <c r="AY398" s="65" t="n">
        <f aca="false">AR398*AT398</f>
        <v>0</v>
      </c>
      <c r="AZ398" s="65" t="n">
        <f aca="false">AR398*AQ398</f>
        <v>0</v>
      </c>
      <c r="BA398" s="65" t="n">
        <f aca="false">AR398</f>
        <v>1</v>
      </c>
      <c r="BB398" s="65" t="n">
        <f aca="false">1</f>
        <v>1</v>
      </c>
      <c r="BC398" s="65" t="n">
        <f aca="false">IF(AV398=1,1,IF(AW398=1,2,IF(AX398=1,3,IF(AY398=1,4,IF(AZ398=1,5,IF(BA398=1,6,7))))))</f>
        <v>6</v>
      </c>
      <c r="BD398" s="65" t="n">
        <f aca="false">IF(AD398=1,CHOOSE('Historical Score'!$C$29,AV398,AW398,AX398,AY398,AZ398,BA398,BB398),0)</f>
        <v>0</v>
      </c>
      <c r="BE398" s="65" t="str">
        <f aca="false">IF(BD398=1,COUNTIF($BD$2:BD398,1),"")</f>
        <v/>
      </c>
    </row>
    <row r="399" customFormat="false" ht="15" hidden="false" customHeight="false" outlineLevel="0" collapsed="false">
      <c r="A399" s="65" t="s">
        <v>1577</v>
      </c>
      <c r="B399" s="65" t="s">
        <v>1578</v>
      </c>
      <c r="C399" s="65" t="s">
        <v>1579</v>
      </c>
      <c r="D399" s="65" t="s">
        <v>689</v>
      </c>
      <c r="E399" s="112" t="n">
        <v>45993</v>
      </c>
      <c r="F399" s="112" t="n">
        <v>46153</v>
      </c>
      <c r="G399" s="65" t="n">
        <v>3</v>
      </c>
      <c r="H399" s="65" t="s">
        <v>409</v>
      </c>
      <c r="I399" s="65" t="s">
        <v>342</v>
      </c>
      <c r="J399" s="65" t="s">
        <v>61</v>
      </c>
      <c r="K399" s="65" t="s">
        <v>1461</v>
      </c>
      <c r="L399" s="65" t="s">
        <v>64</v>
      </c>
      <c r="M399" s="113" t="n">
        <v>1.499</v>
      </c>
      <c r="N399" s="114" t="n">
        <v>5000</v>
      </c>
      <c r="O399" s="114" t="n">
        <v>700</v>
      </c>
      <c r="P399" s="114" t="n">
        <v>7495</v>
      </c>
      <c r="Q399" s="114" t="n">
        <v>3853.52</v>
      </c>
      <c r="R399" s="114" t="n">
        <v>3641.48</v>
      </c>
      <c r="S399" s="115" t="n">
        <v>0.514145430286858</v>
      </c>
      <c r="T399" s="65" t="n">
        <v>2.787</v>
      </c>
      <c r="U399" s="65" t="n">
        <v>16</v>
      </c>
      <c r="V399" s="65" t="n">
        <v>28918.69</v>
      </c>
      <c r="W399" s="115" t="n">
        <v>0.0636</v>
      </c>
      <c r="X399" s="112" t="n">
        <v>44278</v>
      </c>
      <c r="Y399" s="65" t="str">
        <f aca="false">IF(I399="","No SIC",IFERROR(VLOOKUP(I399,Ref!$A$2:$B$65,2,FALSE()),"Unclassified"))</f>
        <v>Eating &amp; Drinking Places</v>
      </c>
      <c r="Z399" s="65" t="str">
        <f aca="false">IF(T399="","",IF(T399&lt;12,"Daily","Weekly"))</f>
        <v>Daily</v>
      </c>
      <c r="AA399" s="65" t="n">
        <f aca="false">IF(T399="",0,IF(T399&lt;12,T399*Controls!$B$29,T399*5))</f>
        <v>60.352485</v>
      </c>
      <c r="AB399" s="65" t="n">
        <f aca="false">IF(E399="",0,NETWORKDAYS(E399,Controls!$B$36,Ref!$K$2:$K$42))</f>
        <v>185</v>
      </c>
      <c r="AC399" s="65" t="n">
        <f aca="false">IF(AND(AA399&gt;0,AB399&gt;=Controls!$B$39*AA399),1,0)</f>
        <v>1</v>
      </c>
      <c r="AD399" s="65" t="n">
        <f aca="false">IF(AND(E399&lt;&gt;"",E399&gt;=Controls!$B$37,E399&lt;=Controls!$B$38),1,0)</f>
        <v>1</v>
      </c>
      <c r="AE399" s="65" t="n">
        <f aca="false">IF(IFERROR(VLOOKUP(D399,Controls!$A$64:$E$74,2,FALSE()),"No")="Yes",1,0)</f>
        <v>1</v>
      </c>
      <c r="AF399" s="65" t="n">
        <f aca="false">IF(IFERROR(VLOOKUP(D399,Controls!$A$64:$E$74,3,FALSE()),"No")="Yes",1,0)</f>
        <v>1</v>
      </c>
      <c r="AG399" s="65" t="n">
        <f aca="false">IF(IFERROR(VLOOKUP(D399,Controls!$A$64:$E$74,4,FALSE()),"No")="Yes",1,0)</f>
        <v>0</v>
      </c>
      <c r="AH399" s="65" t="n">
        <f aca="false">IF(IFERROR(VLOOKUP(D399,Controls!$A$64:$E$74,5,FALSE()),"No")="Yes",1,0)</f>
        <v>0</v>
      </c>
      <c r="AI399" s="65" t="n">
        <f aca="false">IF(ISNUMBER(MATCH(D399,Controls!$A$64:$A$74,0)),1,0)</f>
        <v>1</v>
      </c>
      <c r="AJ399" s="65" t="n">
        <f aca="false">Q399-N399</f>
        <v>-1146.48</v>
      </c>
      <c r="AK399" s="65" t="n">
        <f aca="false">IF(AE399=1,MAX(0,N399-Q399),0)</f>
        <v>1146.48</v>
      </c>
      <c r="AL399" s="65" t="n">
        <f aca="false">IF(OR(V399="",V399=0),0,N399/V399)</f>
        <v>0.172898564907332</v>
      </c>
      <c r="AM399" s="65" t="n">
        <f aca="false">IF(OR(V399="",V399=0),0,1)</f>
        <v>1</v>
      </c>
      <c r="AN399" s="65" t="n">
        <f aca="false">IF(OR(E399="",F399=""),0,NETWORKDAYS(E399,F399,Ref!$K$2:$K$42))</f>
        <v>111</v>
      </c>
      <c r="AO399" s="65" t="n">
        <f aca="false">IF(L399="Renewal",1,0)</f>
        <v>0</v>
      </c>
      <c r="AP399" s="65" t="n">
        <f aca="false">AC399*AD399</f>
        <v>1</v>
      </c>
      <c r="AQ399" s="65" t="n">
        <f aca="false">IF(AND(G399&lt;&gt;"",'Historical Score'!$C$6&lt;&gt;""),IF(G399='Historical Score'!$C$6,1,0),0)</f>
        <v>0</v>
      </c>
      <c r="AR399" s="65" t="n">
        <f aca="false">IF(AND(L399&lt;&gt;"",'Historical Score'!$C$5&lt;&gt;""),IF(L399='Historical Score'!$C$5,1,0),0)</f>
        <v>1</v>
      </c>
      <c r="AS399" s="65" t="n">
        <f aca="false">IF(AND(Y399&lt;&gt;"",'Historical Score'!$C$7&lt;&gt;""),IF(Y399='Historical Score'!$C$7,1,0),0)</f>
        <v>0</v>
      </c>
      <c r="AT399" s="65" t="n">
        <f aca="false">IF(AND(K399&lt;&gt;"",'Historical Score'!$C$8&lt;&gt;""),IF(K399='Historical Score'!$C$8,1,0),0)</f>
        <v>0</v>
      </c>
      <c r="AU399" s="65" t="n">
        <f aca="false">IF(AND(J399&lt;&gt;"",'Historical Score'!$C$9&lt;&gt;""),IF(J399='Historical Score'!$C$9,1,0),0)</f>
        <v>1</v>
      </c>
      <c r="AV399" s="65" t="n">
        <f aca="false">AR399*AS399*AQ399</f>
        <v>0</v>
      </c>
      <c r="AW399" s="65" t="n">
        <f aca="false">AR399*AT399*AQ399</f>
        <v>0</v>
      </c>
      <c r="AX399" s="65" t="n">
        <f aca="false">AR399*AS399</f>
        <v>0</v>
      </c>
      <c r="AY399" s="65" t="n">
        <f aca="false">AR399*AT399</f>
        <v>0</v>
      </c>
      <c r="AZ399" s="65" t="n">
        <f aca="false">AR399*AQ399</f>
        <v>0</v>
      </c>
      <c r="BA399" s="65" t="n">
        <f aca="false">AR399</f>
        <v>1</v>
      </c>
      <c r="BB399" s="65" t="n">
        <f aca="false">1</f>
        <v>1</v>
      </c>
      <c r="BC399" s="65" t="n">
        <f aca="false">IF(AV399=1,1,IF(AW399=1,2,IF(AX399=1,3,IF(AY399=1,4,IF(AZ399=1,5,IF(BA399=1,6,7))))))</f>
        <v>6</v>
      </c>
      <c r="BD399" s="65" t="n">
        <f aca="false">IF(AD399=1,CHOOSE('Historical Score'!$C$29,AV399,AW399,AX399,AY399,AZ399,BA399,BB399),0)</f>
        <v>0</v>
      </c>
      <c r="BE399" s="65" t="str">
        <f aca="false">IF(BD399=1,COUNTIF($BD$2:BD399,1),"")</f>
        <v/>
      </c>
    </row>
    <row r="400" customFormat="false" ht="15" hidden="false" customHeight="false" outlineLevel="0" collapsed="false">
      <c r="A400" s="65" t="s">
        <v>1580</v>
      </c>
      <c r="B400" s="65" t="s">
        <v>1581</v>
      </c>
      <c r="C400" s="65" t="s">
        <v>1582</v>
      </c>
      <c r="D400" s="65" t="s">
        <v>371</v>
      </c>
      <c r="E400" s="112" t="n">
        <v>45993</v>
      </c>
      <c r="F400" s="112" t="n">
        <v>46164</v>
      </c>
      <c r="G400" s="65" t="n">
        <v>4</v>
      </c>
      <c r="H400" s="65" t="s">
        <v>348</v>
      </c>
      <c r="I400" s="65" t="s">
        <v>349</v>
      </c>
      <c r="J400" s="65" t="s">
        <v>61</v>
      </c>
      <c r="K400" s="65" t="s">
        <v>1583</v>
      </c>
      <c r="L400" s="65" t="s">
        <v>64</v>
      </c>
      <c r="M400" s="113" t="n">
        <v>1.46</v>
      </c>
      <c r="N400" s="114" t="n">
        <v>25000</v>
      </c>
      <c r="O400" s="114" t="n">
        <v>3125</v>
      </c>
      <c r="P400" s="114" t="n">
        <v>36500</v>
      </c>
      <c r="Q400" s="114" t="n">
        <v>36500</v>
      </c>
      <c r="R400" s="114" t="n">
        <v>0</v>
      </c>
      <c r="S400" s="115" t="n">
        <v>1</v>
      </c>
      <c r="T400" s="65" t="n">
        <v>22</v>
      </c>
      <c r="U400" s="65" t="n">
        <v>3</v>
      </c>
      <c r="V400" s="65" t="n">
        <v>236224.68</v>
      </c>
      <c r="W400" s="115" t="n">
        <v>0.0359</v>
      </c>
      <c r="X400" s="112" t="n">
        <v>41640</v>
      </c>
      <c r="Y400" s="65" t="str">
        <f aca="false">IF(I400="","No SIC",IFERROR(VLOOKUP(I400,Ref!$A$2:$B$65,2,FALSE()),"Unclassified"))</f>
        <v>Nonmetallic Minerals Mining</v>
      </c>
      <c r="Z400" s="65" t="str">
        <f aca="false">IF(T400="","",IF(T400&lt;12,"Daily","Weekly"))</f>
        <v>Weekly</v>
      </c>
      <c r="AA400" s="65" t="n">
        <f aca="false">IF(T400="",0,IF(T400&lt;12,T400*Controls!$B$29,T400*5))</f>
        <v>110</v>
      </c>
      <c r="AB400" s="65" t="n">
        <f aca="false">IF(E400="",0,NETWORKDAYS(E400,Controls!$B$36,Ref!$K$2:$K$42))</f>
        <v>185</v>
      </c>
      <c r="AC400" s="65" t="n">
        <f aca="false">IF(AND(AA400&gt;0,AB400&gt;=Controls!$B$39*AA400),1,0)</f>
        <v>1</v>
      </c>
      <c r="AD400" s="65" t="n">
        <f aca="false">IF(AND(E400&lt;&gt;"",E400&gt;=Controls!$B$37,E400&lt;=Controls!$B$38),1,0)</f>
        <v>1</v>
      </c>
      <c r="AE400" s="65" t="n">
        <f aca="false">IF(IFERROR(VLOOKUP(D400,Controls!$A$64:$E$74,2,FALSE()),"No")="Yes",1,0)</f>
        <v>0</v>
      </c>
      <c r="AF400" s="65" t="n">
        <f aca="false">IF(IFERROR(VLOOKUP(D400,Controls!$A$64:$E$74,3,FALSE()),"No")="Yes",1,0)</f>
        <v>1</v>
      </c>
      <c r="AG400" s="65" t="n">
        <f aca="false">IF(IFERROR(VLOOKUP(D400,Controls!$A$64:$E$74,4,FALSE()),"No")="Yes",1,0)</f>
        <v>1</v>
      </c>
      <c r="AH400" s="65" t="n">
        <f aca="false">IF(IFERROR(VLOOKUP(D400,Controls!$A$64:$E$74,5,FALSE()),"No")="Yes",1,0)</f>
        <v>0</v>
      </c>
      <c r="AI400" s="65" t="n">
        <f aca="false">IF(ISNUMBER(MATCH(D400,Controls!$A$64:$A$74,0)),1,0)</f>
        <v>1</v>
      </c>
      <c r="AJ400" s="65" t="n">
        <f aca="false">Q400-N400</f>
        <v>11500</v>
      </c>
      <c r="AK400" s="65" t="n">
        <f aca="false">IF(AE400=1,MAX(0,N400-Q400),0)</f>
        <v>0</v>
      </c>
      <c r="AL400" s="65" t="n">
        <f aca="false">IF(OR(V400="",V400=0),0,N400/V400)</f>
        <v>0.105831448263577</v>
      </c>
      <c r="AM400" s="65" t="n">
        <f aca="false">IF(OR(V400="",V400=0),0,1)</f>
        <v>1</v>
      </c>
      <c r="AN400" s="65" t="n">
        <f aca="false">IF(OR(E400="",F400=""),0,NETWORKDAYS(E400,F400,Ref!$K$2:$K$42))</f>
        <v>120</v>
      </c>
      <c r="AO400" s="65" t="n">
        <f aca="false">IF(L400="Renewal",1,0)</f>
        <v>0</v>
      </c>
      <c r="AP400" s="65" t="n">
        <f aca="false">AC400*AD400</f>
        <v>1</v>
      </c>
      <c r="AQ400" s="65" t="n">
        <f aca="false">IF(AND(G400&lt;&gt;"",'Historical Score'!$C$6&lt;&gt;""),IF(G400='Historical Score'!$C$6,1,0),0)</f>
        <v>0</v>
      </c>
      <c r="AR400" s="65" t="n">
        <f aca="false">IF(AND(L400&lt;&gt;"",'Historical Score'!$C$5&lt;&gt;""),IF(L400='Historical Score'!$C$5,1,0),0)</f>
        <v>1</v>
      </c>
      <c r="AS400" s="65" t="n">
        <f aca="false">IF(AND(Y400&lt;&gt;"",'Historical Score'!$C$7&lt;&gt;""),IF(Y400='Historical Score'!$C$7,1,0),0)</f>
        <v>0</v>
      </c>
      <c r="AT400" s="65" t="n">
        <f aca="false">IF(AND(K400&lt;&gt;"",'Historical Score'!$C$8&lt;&gt;""),IF(K400='Historical Score'!$C$8,1,0),0)</f>
        <v>0</v>
      </c>
      <c r="AU400" s="65" t="n">
        <f aca="false">IF(AND(J400&lt;&gt;"",'Historical Score'!$C$9&lt;&gt;""),IF(J400='Historical Score'!$C$9,1,0),0)</f>
        <v>1</v>
      </c>
      <c r="AV400" s="65" t="n">
        <f aca="false">AR400*AS400*AQ400</f>
        <v>0</v>
      </c>
      <c r="AW400" s="65" t="n">
        <f aca="false">AR400*AT400*AQ400</f>
        <v>0</v>
      </c>
      <c r="AX400" s="65" t="n">
        <f aca="false">AR400*AS400</f>
        <v>0</v>
      </c>
      <c r="AY400" s="65" t="n">
        <f aca="false">AR400*AT400</f>
        <v>0</v>
      </c>
      <c r="AZ400" s="65" t="n">
        <f aca="false">AR400*AQ400</f>
        <v>0</v>
      </c>
      <c r="BA400" s="65" t="n">
        <f aca="false">AR400</f>
        <v>1</v>
      </c>
      <c r="BB400" s="65" t="n">
        <f aca="false">1</f>
        <v>1</v>
      </c>
      <c r="BC400" s="65" t="n">
        <f aca="false">IF(AV400=1,1,IF(AW400=1,2,IF(AX400=1,3,IF(AY400=1,4,IF(AZ400=1,5,IF(BA400=1,6,7))))))</f>
        <v>6</v>
      </c>
      <c r="BD400" s="65" t="n">
        <f aca="false">IF(AD400=1,CHOOSE('Historical Score'!$C$29,AV400,AW400,AX400,AY400,AZ400,BA400,BB400),0)</f>
        <v>0</v>
      </c>
      <c r="BE400" s="65" t="str">
        <f aca="false">IF(BD400=1,COUNTIF($BD$2:BD400,1),"")</f>
        <v/>
      </c>
    </row>
    <row r="401" customFormat="false" ht="15" hidden="false" customHeight="false" outlineLevel="0" collapsed="false">
      <c r="A401" s="65" t="s">
        <v>1584</v>
      </c>
      <c r="B401" s="65" t="s">
        <v>1585</v>
      </c>
      <c r="C401" s="65" t="s">
        <v>1585</v>
      </c>
      <c r="D401" s="65" t="s">
        <v>371</v>
      </c>
      <c r="E401" s="112" t="n">
        <v>45994</v>
      </c>
      <c r="F401" s="112" t="n">
        <v>46115</v>
      </c>
      <c r="G401" s="65" t="n">
        <v>1</v>
      </c>
      <c r="H401" s="65" t="s">
        <v>525</v>
      </c>
      <c r="I401" s="65" t="s">
        <v>367</v>
      </c>
      <c r="J401" s="65" t="s">
        <v>1586</v>
      </c>
      <c r="K401" s="65" t="s">
        <v>433</v>
      </c>
      <c r="L401" s="65" t="s">
        <v>64</v>
      </c>
      <c r="M401" s="113" t="n">
        <v>1.49</v>
      </c>
      <c r="N401" s="114" t="n">
        <v>5000</v>
      </c>
      <c r="O401" s="114" t="n">
        <v>700</v>
      </c>
      <c r="P401" s="114" t="n">
        <v>7450</v>
      </c>
      <c r="Q401" s="114" t="n">
        <v>7450</v>
      </c>
      <c r="R401" s="114" t="n">
        <v>0</v>
      </c>
      <c r="S401" s="115" t="n">
        <v>1</v>
      </c>
      <c r="T401" s="65" t="n">
        <v>18</v>
      </c>
      <c r="U401" s="65" t="n">
        <v>0</v>
      </c>
      <c r="V401" s="65" t="n">
        <v>14839.46</v>
      </c>
      <c r="W401" s="115" t="n">
        <v>0.1116</v>
      </c>
      <c r="X401" s="112" t="n">
        <v>44125</v>
      </c>
      <c r="Y401" s="65" t="str">
        <f aca="false">IF(I401="","No SIC",IFERROR(VLOOKUP(I401,Ref!$A$2:$B$65,2,FALSE()),"Unclassified"))</f>
        <v>Engineering, Accounting &amp; Management</v>
      </c>
      <c r="Z401" s="65" t="str">
        <f aca="false">IF(T401="","",IF(T401&lt;12,"Daily","Weekly"))</f>
        <v>Weekly</v>
      </c>
      <c r="AA401" s="65" t="n">
        <f aca="false">IF(T401="",0,IF(T401&lt;12,T401*Controls!$B$29,T401*5))</f>
        <v>90</v>
      </c>
      <c r="AB401" s="65" t="n">
        <f aca="false">IF(E401="",0,NETWORKDAYS(E401,Controls!$B$36,Ref!$K$2:$K$42))</f>
        <v>184</v>
      </c>
      <c r="AC401" s="65" t="n">
        <f aca="false">IF(AND(AA401&gt;0,AB401&gt;=Controls!$B$39*AA401),1,0)</f>
        <v>1</v>
      </c>
      <c r="AD401" s="65" t="n">
        <f aca="false">IF(AND(E401&lt;&gt;"",E401&gt;=Controls!$B$37,E401&lt;=Controls!$B$38),1,0)</f>
        <v>1</v>
      </c>
      <c r="AE401" s="65" t="n">
        <f aca="false">IF(IFERROR(VLOOKUP(D401,Controls!$A$64:$E$74,2,FALSE()),"No")="Yes",1,0)</f>
        <v>0</v>
      </c>
      <c r="AF401" s="65" t="n">
        <f aca="false">IF(IFERROR(VLOOKUP(D401,Controls!$A$64:$E$74,3,FALSE()),"No")="Yes",1,0)</f>
        <v>1</v>
      </c>
      <c r="AG401" s="65" t="n">
        <f aca="false">IF(IFERROR(VLOOKUP(D401,Controls!$A$64:$E$74,4,FALSE()),"No")="Yes",1,0)</f>
        <v>1</v>
      </c>
      <c r="AH401" s="65" t="n">
        <f aca="false">IF(IFERROR(VLOOKUP(D401,Controls!$A$64:$E$74,5,FALSE()),"No")="Yes",1,0)</f>
        <v>0</v>
      </c>
      <c r="AI401" s="65" t="n">
        <f aca="false">IF(ISNUMBER(MATCH(D401,Controls!$A$64:$A$74,0)),1,0)</f>
        <v>1</v>
      </c>
      <c r="AJ401" s="65" t="n">
        <f aca="false">Q401-N401</f>
        <v>2450</v>
      </c>
      <c r="AK401" s="65" t="n">
        <f aca="false">IF(AE401=1,MAX(0,N401-Q401),0)</f>
        <v>0</v>
      </c>
      <c r="AL401" s="65" t="n">
        <f aca="false">IF(OR(V401="",V401=0),0,N401/V401)</f>
        <v>0.336939484320858</v>
      </c>
      <c r="AM401" s="65" t="n">
        <f aca="false">IF(OR(V401="",V401=0),0,1)</f>
        <v>1</v>
      </c>
      <c r="AN401" s="65" t="n">
        <f aca="false">IF(OR(E401="",F401=""),0,NETWORKDAYS(E401,F401,Ref!$K$2:$K$42))</f>
        <v>84</v>
      </c>
      <c r="AO401" s="65" t="n">
        <f aca="false">IF(L401="Renewal",1,0)</f>
        <v>0</v>
      </c>
      <c r="AP401" s="65" t="n">
        <f aca="false">AC401*AD401</f>
        <v>1</v>
      </c>
      <c r="AQ401" s="65" t="n">
        <f aca="false">IF(AND(G401&lt;&gt;"",'Historical Score'!$C$6&lt;&gt;""),IF(G401='Historical Score'!$C$6,1,0),0)</f>
        <v>0</v>
      </c>
      <c r="AR401" s="65" t="n">
        <f aca="false">IF(AND(L401&lt;&gt;"",'Historical Score'!$C$5&lt;&gt;""),IF(L401='Historical Score'!$C$5,1,0),0)</f>
        <v>1</v>
      </c>
      <c r="AS401" s="65" t="n">
        <f aca="false">IF(AND(Y401&lt;&gt;"",'Historical Score'!$C$7&lt;&gt;""),IF(Y401='Historical Score'!$C$7,1,0),0)</f>
        <v>0</v>
      </c>
      <c r="AT401" s="65" t="n">
        <f aca="false">IF(AND(K401&lt;&gt;"",'Historical Score'!$C$8&lt;&gt;""),IF(K401='Historical Score'!$C$8,1,0),0)</f>
        <v>0</v>
      </c>
      <c r="AU401" s="65" t="n">
        <f aca="false">IF(AND(J401&lt;&gt;"",'Historical Score'!$C$9&lt;&gt;""),IF(J401='Historical Score'!$C$9,1,0),0)</f>
        <v>0</v>
      </c>
      <c r="AV401" s="65" t="n">
        <f aca="false">AR401*AS401*AQ401</f>
        <v>0</v>
      </c>
      <c r="AW401" s="65" t="n">
        <f aca="false">AR401*AT401*AQ401</f>
        <v>0</v>
      </c>
      <c r="AX401" s="65" t="n">
        <f aca="false">AR401*AS401</f>
        <v>0</v>
      </c>
      <c r="AY401" s="65" t="n">
        <f aca="false">AR401*AT401</f>
        <v>0</v>
      </c>
      <c r="AZ401" s="65" t="n">
        <f aca="false">AR401*AQ401</f>
        <v>0</v>
      </c>
      <c r="BA401" s="65" t="n">
        <f aca="false">AR401</f>
        <v>1</v>
      </c>
      <c r="BB401" s="65" t="n">
        <f aca="false">1</f>
        <v>1</v>
      </c>
      <c r="BC401" s="65" t="n">
        <f aca="false">IF(AV401=1,1,IF(AW401=1,2,IF(AX401=1,3,IF(AY401=1,4,IF(AZ401=1,5,IF(BA401=1,6,7))))))</f>
        <v>6</v>
      </c>
      <c r="BD401" s="65" t="n">
        <f aca="false">IF(AD401=1,CHOOSE('Historical Score'!$C$29,AV401,AW401,AX401,AY401,AZ401,BA401,BB401),0)</f>
        <v>0</v>
      </c>
      <c r="BE401" s="65" t="str">
        <f aca="false">IF(BD401=1,COUNTIF($BD$2:BD401,1),"")</f>
        <v/>
      </c>
    </row>
    <row r="402" customFormat="false" ht="15" hidden="false" customHeight="false" outlineLevel="0" collapsed="false">
      <c r="A402" s="65" t="s">
        <v>1587</v>
      </c>
      <c r="B402" s="65" t="s">
        <v>1588</v>
      </c>
      <c r="C402" s="65" t="s">
        <v>1588</v>
      </c>
      <c r="D402" s="65" t="s">
        <v>371</v>
      </c>
      <c r="E402" s="112" t="n">
        <v>45994</v>
      </c>
      <c r="F402" s="112" t="n">
        <v>46170</v>
      </c>
      <c r="G402" s="65" t="n">
        <v>2</v>
      </c>
      <c r="H402" s="65" t="s">
        <v>1589</v>
      </c>
      <c r="I402" s="65" t="s">
        <v>1590</v>
      </c>
      <c r="J402" s="65" t="s">
        <v>1254</v>
      </c>
      <c r="K402" s="65" t="s">
        <v>1591</v>
      </c>
      <c r="L402" s="65" t="s">
        <v>64</v>
      </c>
      <c r="M402" s="113" t="n">
        <v>1.49</v>
      </c>
      <c r="N402" s="114" t="n">
        <v>5000</v>
      </c>
      <c r="O402" s="114" t="n">
        <v>700</v>
      </c>
      <c r="P402" s="114" t="n">
        <v>7450</v>
      </c>
      <c r="Q402" s="114" t="n">
        <v>7450</v>
      </c>
      <c r="R402" s="114" t="n">
        <v>0</v>
      </c>
      <c r="S402" s="115" t="n">
        <v>1</v>
      </c>
      <c r="T402" s="65" t="n">
        <v>3.279</v>
      </c>
      <c r="U402" s="65" t="n">
        <v>6</v>
      </c>
      <c r="V402" s="65" t="n">
        <v>14600.1</v>
      </c>
      <c r="W402" s="115" t="n">
        <v>0.1072</v>
      </c>
      <c r="X402" s="112" t="n">
        <v>40349</v>
      </c>
      <c r="Y402" s="65" t="str">
        <f aca="false">IF(I402="","No SIC",IFERROR(VLOOKUP(I402,Ref!$A$2:$B$65,2,FALSE()),"Unclassified"))</f>
        <v>Legal Services</v>
      </c>
      <c r="Z402" s="65" t="str">
        <f aca="false">IF(T402="","",IF(T402&lt;12,"Daily","Weekly"))</f>
        <v>Daily</v>
      </c>
      <c r="AA402" s="65" t="n">
        <f aca="false">IF(T402="",0,IF(T402&lt;12,T402*Controls!$B$29,T402*5))</f>
        <v>71.006745</v>
      </c>
      <c r="AB402" s="65" t="n">
        <f aca="false">IF(E402="",0,NETWORKDAYS(E402,Controls!$B$36,Ref!$K$2:$K$42))</f>
        <v>184</v>
      </c>
      <c r="AC402" s="65" t="n">
        <f aca="false">IF(AND(AA402&gt;0,AB402&gt;=Controls!$B$39*AA402),1,0)</f>
        <v>1</v>
      </c>
      <c r="AD402" s="65" t="n">
        <f aca="false">IF(AND(E402&lt;&gt;"",E402&gt;=Controls!$B$37,E402&lt;=Controls!$B$38),1,0)</f>
        <v>1</v>
      </c>
      <c r="AE402" s="65" t="n">
        <f aca="false">IF(IFERROR(VLOOKUP(D402,Controls!$A$64:$E$74,2,FALSE()),"No")="Yes",1,0)</f>
        <v>0</v>
      </c>
      <c r="AF402" s="65" t="n">
        <f aca="false">IF(IFERROR(VLOOKUP(D402,Controls!$A$64:$E$74,3,FALSE()),"No")="Yes",1,0)</f>
        <v>1</v>
      </c>
      <c r="AG402" s="65" t="n">
        <f aca="false">IF(IFERROR(VLOOKUP(D402,Controls!$A$64:$E$74,4,FALSE()),"No")="Yes",1,0)</f>
        <v>1</v>
      </c>
      <c r="AH402" s="65" t="n">
        <f aca="false">IF(IFERROR(VLOOKUP(D402,Controls!$A$64:$E$74,5,FALSE()),"No")="Yes",1,0)</f>
        <v>0</v>
      </c>
      <c r="AI402" s="65" t="n">
        <f aca="false">IF(ISNUMBER(MATCH(D402,Controls!$A$64:$A$74,0)),1,0)</f>
        <v>1</v>
      </c>
      <c r="AJ402" s="65" t="n">
        <f aca="false">Q402-N402</f>
        <v>2450</v>
      </c>
      <c r="AK402" s="65" t="n">
        <f aca="false">IF(AE402=1,MAX(0,N402-Q402),0)</f>
        <v>0</v>
      </c>
      <c r="AL402" s="65" t="n">
        <f aca="false">IF(OR(V402="",V402=0),0,N402/V402)</f>
        <v>0.342463407784878</v>
      </c>
      <c r="AM402" s="65" t="n">
        <f aca="false">IF(OR(V402="",V402=0),0,1)</f>
        <v>1</v>
      </c>
      <c r="AN402" s="65" t="n">
        <f aca="false">IF(OR(E402="",F402=""),0,NETWORKDAYS(E402,F402,Ref!$K$2:$K$42))</f>
        <v>122</v>
      </c>
      <c r="AO402" s="65" t="n">
        <f aca="false">IF(L402="Renewal",1,0)</f>
        <v>0</v>
      </c>
      <c r="AP402" s="65" t="n">
        <f aca="false">AC402*AD402</f>
        <v>1</v>
      </c>
      <c r="AQ402" s="65" t="n">
        <f aca="false">IF(AND(G402&lt;&gt;"",'Historical Score'!$C$6&lt;&gt;""),IF(G402='Historical Score'!$C$6,1,0),0)</f>
        <v>1</v>
      </c>
      <c r="AR402" s="65" t="n">
        <f aca="false">IF(AND(L402&lt;&gt;"",'Historical Score'!$C$5&lt;&gt;""),IF(L402='Historical Score'!$C$5,1,0),0)</f>
        <v>1</v>
      </c>
      <c r="AS402" s="65" t="n">
        <f aca="false">IF(AND(Y402&lt;&gt;"",'Historical Score'!$C$7&lt;&gt;""),IF(Y402='Historical Score'!$C$7,1,0),0)</f>
        <v>0</v>
      </c>
      <c r="AT402" s="65" t="n">
        <f aca="false">IF(AND(K402&lt;&gt;"",'Historical Score'!$C$8&lt;&gt;""),IF(K402='Historical Score'!$C$8,1,0),0)</f>
        <v>0</v>
      </c>
      <c r="AU402" s="65" t="n">
        <f aca="false">IF(AND(J402&lt;&gt;"",'Historical Score'!$C$9&lt;&gt;""),IF(J402='Historical Score'!$C$9,1,0),0)</f>
        <v>0</v>
      </c>
      <c r="AV402" s="65" t="n">
        <f aca="false">AR402*AS402*AQ402</f>
        <v>0</v>
      </c>
      <c r="AW402" s="65" t="n">
        <f aca="false">AR402*AT402*AQ402</f>
        <v>0</v>
      </c>
      <c r="AX402" s="65" t="n">
        <f aca="false">AR402*AS402</f>
        <v>0</v>
      </c>
      <c r="AY402" s="65" t="n">
        <f aca="false">AR402*AT402</f>
        <v>0</v>
      </c>
      <c r="AZ402" s="65" t="n">
        <f aca="false">AR402*AQ402</f>
        <v>1</v>
      </c>
      <c r="BA402" s="65" t="n">
        <f aca="false">AR402</f>
        <v>1</v>
      </c>
      <c r="BB402" s="65" t="n">
        <f aca="false">1</f>
        <v>1</v>
      </c>
      <c r="BC402" s="65" t="n">
        <f aca="false">IF(AV402=1,1,IF(AW402=1,2,IF(AX402=1,3,IF(AY402=1,4,IF(AZ402=1,5,IF(BA402=1,6,7))))))</f>
        <v>5</v>
      </c>
      <c r="BD402" s="65" t="n">
        <f aca="false">IF(AD402=1,CHOOSE('Historical Score'!$C$29,AV402,AW402,AX402,AY402,AZ402,BA402,BB402),0)</f>
        <v>0</v>
      </c>
      <c r="BE402" s="65" t="str">
        <f aca="false">IF(BD402=1,COUNTIF($BD$2:BD402,1),"")</f>
        <v/>
      </c>
    </row>
    <row r="403" customFormat="false" ht="15" hidden="false" customHeight="false" outlineLevel="0" collapsed="false">
      <c r="A403" s="65" t="s">
        <v>1592</v>
      </c>
      <c r="B403" s="65" t="s">
        <v>1593</v>
      </c>
      <c r="C403" s="65" t="s">
        <v>1593</v>
      </c>
      <c r="D403" s="65" t="s">
        <v>371</v>
      </c>
      <c r="E403" s="112" t="n">
        <v>45994</v>
      </c>
      <c r="F403" s="112" t="n">
        <v>46079</v>
      </c>
      <c r="G403" s="65" t="n">
        <v>3</v>
      </c>
      <c r="H403" s="65" t="s">
        <v>1594</v>
      </c>
      <c r="I403" s="65" t="s">
        <v>1595</v>
      </c>
      <c r="J403" s="65" t="s">
        <v>682</v>
      </c>
      <c r="K403" s="65" t="s">
        <v>1461</v>
      </c>
      <c r="L403" s="65" t="s">
        <v>64</v>
      </c>
      <c r="M403" s="113" t="n">
        <v>1.5</v>
      </c>
      <c r="N403" s="114" t="n">
        <v>7500</v>
      </c>
      <c r="O403" s="114" t="n">
        <v>1050</v>
      </c>
      <c r="P403" s="114" t="n">
        <v>11250</v>
      </c>
      <c r="Q403" s="114" t="n">
        <v>11250</v>
      </c>
      <c r="R403" s="114" t="n">
        <v>0</v>
      </c>
      <c r="S403" s="115" t="n">
        <v>1</v>
      </c>
      <c r="T403" s="65" t="n">
        <v>2.951</v>
      </c>
      <c r="U403" s="65" t="n">
        <v>0</v>
      </c>
      <c r="V403" s="65" t="n">
        <v>38306.63</v>
      </c>
      <c r="W403" s="115" t="n">
        <v>0.068</v>
      </c>
      <c r="X403" s="112" t="n">
        <v>43374</v>
      </c>
      <c r="Y403" s="65" t="str">
        <f aca="false">IF(I403="","No SIC",IFERROR(VLOOKUP(I403,Ref!$A$2:$B$65,2,FALSE()),"Unclassified"))</f>
        <v>Miscellaneous Repair Services</v>
      </c>
      <c r="Z403" s="65" t="str">
        <f aca="false">IF(T403="","",IF(T403&lt;12,"Daily","Weekly"))</f>
        <v>Daily</v>
      </c>
      <c r="AA403" s="65" t="n">
        <f aca="false">IF(T403="",0,IF(T403&lt;12,T403*Controls!$B$29,T403*5))</f>
        <v>63.903905</v>
      </c>
      <c r="AB403" s="65" t="n">
        <f aca="false">IF(E403="",0,NETWORKDAYS(E403,Controls!$B$36,Ref!$K$2:$K$42))</f>
        <v>184</v>
      </c>
      <c r="AC403" s="65" t="n">
        <f aca="false">IF(AND(AA403&gt;0,AB403&gt;=Controls!$B$39*AA403),1,0)</f>
        <v>1</v>
      </c>
      <c r="AD403" s="65" t="n">
        <f aca="false">IF(AND(E403&lt;&gt;"",E403&gt;=Controls!$B$37,E403&lt;=Controls!$B$38),1,0)</f>
        <v>1</v>
      </c>
      <c r="AE403" s="65" t="n">
        <f aca="false">IF(IFERROR(VLOOKUP(D403,Controls!$A$64:$E$74,2,FALSE()),"No")="Yes",1,0)</f>
        <v>0</v>
      </c>
      <c r="AF403" s="65" t="n">
        <f aca="false">IF(IFERROR(VLOOKUP(D403,Controls!$A$64:$E$74,3,FALSE()),"No")="Yes",1,0)</f>
        <v>1</v>
      </c>
      <c r="AG403" s="65" t="n">
        <f aca="false">IF(IFERROR(VLOOKUP(D403,Controls!$A$64:$E$74,4,FALSE()),"No")="Yes",1,0)</f>
        <v>1</v>
      </c>
      <c r="AH403" s="65" t="n">
        <f aca="false">IF(IFERROR(VLOOKUP(D403,Controls!$A$64:$E$74,5,FALSE()),"No")="Yes",1,0)</f>
        <v>0</v>
      </c>
      <c r="AI403" s="65" t="n">
        <f aca="false">IF(ISNUMBER(MATCH(D403,Controls!$A$64:$A$74,0)),1,0)</f>
        <v>1</v>
      </c>
      <c r="AJ403" s="65" t="n">
        <f aca="false">Q403-N403</f>
        <v>3750</v>
      </c>
      <c r="AK403" s="65" t="n">
        <f aca="false">IF(AE403=1,MAX(0,N403-Q403),0)</f>
        <v>0</v>
      </c>
      <c r="AL403" s="65" t="n">
        <f aca="false">IF(OR(V403="",V403=0),0,N403/V403)</f>
        <v>0.195788561927792</v>
      </c>
      <c r="AM403" s="65" t="n">
        <f aca="false">IF(OR(V403="",V403=0),0,1)</f>
        <v>1</v>
      </c>
      <c r="AN403" s="65" t="n">
        <f aca="false">IF(OR(E403="",F403=""),0,NETWORKDAYS(E403,F403,Ref!$K$2:$K$42))</f>
        <v>58</v>
      </c>
      <c r="AO403" s="65" t="n">
        <f aca="false">IF(L403="Renewal",1,0)</f>
        <v>0</v>
      </c>
      <c r="AP403" s="65" t="n">
        <f aca="false">AC403*AD403</f>
        <v>1</v>
      </c>
      <c r="AQ403" s="65" t="n">
        <f aca="false">IF(AND(G403&lt;&gt;"",'Historical Score'!$C$6&lt;&gt;""),IF(G403='Historical Score'!$C$6,1,0),0)</f>
        <v>0</v>
      </c>
      <c r="AR403" s="65" t="n">
        <f aca="false">IF(AND(L403&lt;&gt;"",'Historical Score'!$C$5&lt;&gt;""),IF(L403='Historical Score'!$C$5,1,0),0)</f>
        <v>1</v>
      </c>
      <c r="AS403" s="65" t="n">
        <f aca="false">IF(AND(Y403&lt;&gt;"",'Historical Score'!$C$7&lt;&gt;""),IF(Y403='Historical Score'!$C$7,1,0),0)</f>
        <v>0</v>
      </c>
      <c r="AT403" s="65" t="n">
        <f aca="false">IF(AND(K403&lt;&gt;"",'Historical Score'!$C$8&lt;&gt;""),IF(K403='Historical Score'!$C$8,1,0),0)</f>
        <v>0</v>
      </c>
      <c r="AU403" s="65" t="n">
        <f aca="false">IF(AND(J403&lt;&gt;"",'Historical Score'!$C$9&lt;&gt;""),IF(J403='Historical Score'!$C$9,1,0),0)</f>
        <v>0</v>
      </c>
      <c r="AV403" s="65" t="n">
        <f aca="false">AR403*AS403*AQ403</f>
        <v>0</v>
      </c>
      <c r="AW403" s="65" t="n">
        <f aca="false">AR403*AT403*AQ403</f>
        <v>0</v>
      </c>
      <c r="AX403" s="65" t="n">
        <f aca="false">AR403*AS403</f>
        <v>0</v>
      </c>
      <c r="AY403" s="65" t="n">
        <f aca="false">AR403*AT403</f>
        <v>0</v>
      </c>
      <c r="AZ403" s="65" t="n">
        <f aca="false">AR403*AQ403</f>
        <v>0</v>
      </c>
      <c r="BA403" s="65" t="n">
        <f aca="false">AR403</f>
        <v>1</v>
      </c>
      <c r="BB403" s="65" t="n">
        <f aca="false">1</f>
        <v>1</v>
      </c>
      <c r="BC403" s="65" t="n">
        <f aca="false">IF(AV403=1,1,IF(AW403=1,2,IF(AX403=1,3,IF(AY403=1,4,IF(AZ403=1,5,IF(BA403=1,6,7))))))</f>
        <v>6</v>
      </c>
      <c r="BD403" s="65" t="n">
        <f aca="false">IF(AD403=1,CHOOSE('Historical Score'!$C$29,AV403,AW403,AX403,AY403,AZ403,BA403,BB403),0)</f>
        <v>0</v>
      </c>
      <c r="BE403" s="65" t="str">
        <f aca="false">IF(BD403=1,COUNTIF($BD$2:BD403,1),"")</f>
        <v/>
      </c>
    </row>
    <row r="404" customFormat="false" ht="15" hidden="false" customHeight="false" outlineLevel="0" collapsed="false">
      <c r="A404" s="65" t="s">
        <v>1596</v>
      </c>
      <c r="B404" s="65" t="s">
        <v>1597</v>
      </c>
      <c r="C404" s="65" t="s">
        <v>1597</v>
      </c>
      <c r="D404" s="65" t="s">
        <v>340</v>
      </c>
      <c r="E404" s="112" t="n">
        <v>45994</v>
      </c>
      <c r="F404" s="112" t="n">
        <v>46029</v>
      </c>
      <c r="G404" s="65" t="n">
        <v>4</v>
      </c>
      <c r="H404" s="65" t="s">
        <v>1071</v>
      </c>
      <c r="I404" s="65" t="s">
        <v>1072</v>
      </c>
      <c r="J404" s="65" t="s">
        <v>61</v>
      </c>
      <c r="K404" s="65" t="s">
        <v>961</v>
      </c>
      <c r="L404" s="65" t="s">
        <v>64</v>
      </c>
      <c r="M404" s="113" t="n">
        <v>1.39</v>
      </c>
      <c r="N404" s="114" t="n">
        <v>50000</v>
      </c>
      <c r="O404" s="114" t="n">
        <v>6750</v>
      </c>
      <c r="P404" s="114" t="n">
        <v>69500</v>
      </c>
      <c r="Q404" s="114" t="n">
        <v>7721.72</v>
      </c>
      <c r="R404" s="114" t="n">
        <v>61778.28</v>
      </c>
      <c r="S404" s="115" t="n">
        <v>0.111103884892086</v>
      </c>
      <c r="T404" s="65" t="n">
        <v>36</v>
      </c>
      <c r="U404" s="65" t="n">
        <v>1</v>
      </c>
      <c r="V404" s="65" t="n">
        <v>142205.11</v>
      </c>
      <c r="W404" s="115" t="n">
        <v>0.0543</v>
      </c>
      <c r="X404" s="112"/>
      <c r="Y404" s="65" t="str">
        <f aca="false">IF(I404="","No SIC",IFERROR(VLOOKUP(I404,Ref!$A$2:$B$65,2,FALSE()),"Unclassified"))</f>
        <v>Air Transportation</v>
      </c>
      <c r="Z404" s="65" t="str">
        <f aca="false">IF(T404="","",IF(T404&lt;12,"Daily","Weekly"))</f>
        <v>Weekly</v>
      </c>
      <c r="AA404" s="65" t="n">
        <f aca="false">IF(T404="",0,IF(T404&lt;12,T404*Controls!$B$29,T404*5))</f>
        <v>180</v>
      </c>
      <c r="AB404" s="65" t="n">
        <f aca="false">IF(E404="",0,NETWORKDAYS(E404,Controls!$B$36,Ref!$K$2:$K$42))</f>
        <v>184</v>
      </c>
      <c r="AC404" s="65" t="n">
        <f aca="false">IF(AND(AA404&gt;0,AB404&gt;=Controls!$B$39*AA404),1,0)</f>
        <v>0</v>
      </c>
      <c r="AD404" s="65" t="n">
        <f aca="false">IF(AND(E404&lt;&gt;"",E404&gt;=Controls!$B$37,E404&lt;=Controls!$B$38),1,0)</f>
        <v>1</v>
      </c>
      <c r="AE404" s="65" t="n">
        <f aca="false">IF(IFERROR(VLOOKUP(D404,Controls!$A$64:$E$74,2,FALSE()),"No")="Yes",1,0)</f>
        <v>1</v>
      </c>
      <c r="AF404" s="65" t="n">
        <f aca="false">IF(IFERROR(VLOOKUP(D404,Controls!$A$64:$E$74,3,FALSE()),"No")="Yes",1,0)</f>
        <v>0</v>
      </c>
      <c r="AG404" s="65" t="n">
        <f aca="false">IF(IFERROR(VLOOKUP(D404,Controls!$A$64:$E$74,4,FALSE()),"No")="Yes",1,0)</f>
        <v>0</v>
      </c>
      <c r="AH404" s="65" t="n">
        <f aca="false">IF(IFERROR(VLOOKUP(D404,Controls!$A$64:$E$74,5,FALSE()),"No")="Yes",1,0)</f>
        <v>0</v>
      </c>
      <c r="AI404" s="65" t="n">
        <f aca="false">IF(ISNUMBER(MATCH(D404,Controls!$A$64:$A$74,0)),1,0)</f>
        <v>1</v>
      </c>
      <c r="AJ404" s="65" t="n">
        <f aca="false">Q404-N404</f>
        <v>-42278.28</v>
      </c>
      <c r="AK404" s="65" t="n">
        <f aca="false">IF(AE404=1,MAX(0,N404-Q404),0)</f>
        <v>42278.28</v>
      </c>
      <c r="AL404" s="65" t="n">
        <f aca="false">IF(OR(V404="",V404=0),0,N404/V404)</f>
        <v>0.351604805200038</v>
      </c>
      <c r="AM404" s="65" t="n">
        <f aca="false">IF(OR(V404="",V404=0),0,1)</f>
        <v>1</v>
      </c>
      <c r="AN404" s="65" t="n">
        <f aca="false">IF(OR(E404="",F404=""),0,NETWORKDAYS(E404,F404,Ref!$K$2:$K$42))</f>
        <v>24</v>
      </c>
      <c r="AO404" s="65" t="n">
        <f aca="false">IF(L404="Renewal",1,0)</f>
        <v>0</v>
      </c>
      <c r="AP404" s="65" t="n">
        <f aca="false">AC404*AD404</f>
        <v>0</v>
      </c>
      <c r="AQ404" s="65" t="n">
        <f aca="false">IF(AND(G404&lt;&gt;"",'Historical Score'!$C$6&lt;&gt;""),IF(G404='Historical Score'!$C$6,1,0),0)</f>
        <v>0</v>
      </c>
      <c r="AR404" s="65" t="n">
        <f aca="false">IF(AND(L404&lt;&gt;"",'Historical Score'!$C$5&lt;&gt;""),IF(L404='Historical Score'!$C$5,1,0),0)</f>
        <v>1</v>
      </c>
      <c r="AS404" s="65" t="n">
        <f aca="false">IF(AND(Y404&lt;&gt;"",'Historical Score'!$C$7&lt;&gt;""),IF(Y404='Historical Score'!$C$7,1,0),0)</f>
        <v>0</v>
      </c>
      <c r="AT404" s="65" t="n">
        <f aca="false">IF(AND(K404&lt;&gt;"",'Historical Score'!$C$8&lt;&gt;""),IF(K404='Historical Score'!$C$8,1,0),0)</f>
        <v>0</v>
      </c>
      <c r="AU404" s="65" t="n">
        <f aca="false">IF(AND(J404&lt;&gt;"",'Historical Score'!$C$9&lt;&gt;""),IF(J404='Historical Score'!$C$9,1,0),0)</f>
        <v>1</v>
      </c>
      <c r="AV404" s="65" t="n">
        <f aca="false">AR404*AS404*AQ404</f>
        <v>0</v>
      </c>
      <c r="AW404" s="65" t="n">
        <f aca="false">AR404*AT404*AQ404</f>
        <v>0</v>
      </c>
      <c r="AX404" s="65" t="n">
        <f aca="false">AR404*AS404</f>
        <v>0</v>
      </c>
      <c r="AY404" s="65" t="n">
        <f aca="false">AR404*AT404</f>
        <v>0</v>
      </c>
      <c r="AZ404" s="65" t="n">
        <f aca="false">AR404*AQ404</f>
        <v>0</v>
      </c>
      <c r="BA404" s="65" t="n">
        <f aca="false">AR404</f>
        <v>1</v>
      </c>
      <c r="BB404" s="65" t="n">
        <f aca="false">1</f>
        <v>1</v>
      </c>
      <c r="BC404" s="65" t="n">
        <f aca="false">IF(AV404=1,1,IF(AW404=1,2,IF(AX404=1,3,IF(AY404=1,4,IF(AZ404=1,5,IF(BA404=1,6,7))))))</f>
        <v>6</v>
      </c>
      <c r="BD404" s="65" t="n">
        <f aca="false">IF(AD404=1,CHOOSE('Historical Score'!$C$29,AV404,AW404,AX404,AY404,AZ404,BA404,BB404),0)</f>
        <v>0</v>
      </c>
      <c r="BE404" s="65" t="str">
        <f aca="false">IF(BD404=1,COUNTIF($BD$2:BD404,1),"")</f>
        <v/>
      </c>
    </row>
    <row r="405" customFormat="false" ht="15" hidden="false" customHeight="false" outlineLevel="0" collapsed="false">
      <c r="A405" s="65" t="s">
        <v>1598</v>
      </c>
      <c r="B405" s="65" t="s">
        <v>1599</v>
      </c>
      <c r="C405" s="65" t="s">
        <v>1599</v>
      </c>
      <c r="D405" s="65" t="s">
        <v>533</v>
      </c>
      <c r="E405" s="112" t="n">
        <v>45995</v>
      </c>
      <c r="F405" s="112" t="n">
        <v>46178</v>
      </c>
      <c r="G405" s="65" t="n">
        <v>2</v>
      </c>
      <c r="H405" s="65" t="s">
        <v>404</v>
      </c>
      <c r="I405" s="65" t="s">
        <v>405</v>
      </c>
      <c r="J405" s="65" t="s">
        <v>438</v>
      </c>
      <c r="K405" s="65" t="s">
        <v>581</v>
      </c>
      <c r="L405" s="65" t="s">
        <v>64</v>
      </c>
      <c r="M405" s="113" t="n">
        <v>1.49</v>
      </c>
      <c r="N405" s="114" t="n">
        <v>12000</v>
      </c>
      <c r="O405" s="114" t="n">
        <v>1680</v>
      </c>
      <c r="P405" s="114" t="n">
        <v>17880</v>
      </c>
      <c r="Q405" s="114" t="n">
        <v>7947.39</v>
      </c>
      <c r="R405" s="114" t="n">
        <v>9932.61</v>
      </c>
      <c r="S405" s="115" t="n">
        <v>0.444484899328859</v>
      </c>
      <c r="T405" s="65" t="n">
        <v>18</v>
      </c>
      <c r="U405" s="65" t="n">
        <v>14</v>
      </c>
      <c r="V405" s="65" t="n">
        <v>45727.67</v>
      </c>
      <c r="W405" s="115" t="n">
        <v>0.0869</v>
      </c>
      <c r="X405" s="112" t="n">
        <v>43831</v>
      </c>
      <c r="Y405" s="65" t="str">
        <f aca="false">IF(I405="","No SIC",IFERROR(VLOOKUP(I405,Ref!$A$2:$B$65,2,FALSE()),"Unclassified"))</f>
        <v>Health Services</v>
      </c>
      <c r="Z405" s="65" t="str">
        <f aca="false">IF(T405="","",IF(T405&lt;12,"Daily","Weekly"))</f>
        <v>Weekly</v>
      </c>
      <c r="AA405" s="65" t="n">
        <f aca="false">IF(T405="",0,IF(T405&lt;12,T405*Controls!$B$29,T405*5))</f>
        <v>90</v>
      </c>
      <c r="AB405" s="65" t="n">
        <f aca="false">IF(E405="",0,NETWORKDAYS(E405,Controls!$B$36,Ref!$K$2:$K$42))</f>
        <v>183</v>
      </c>
      <c r="AC405" s="65" t="n">
        <f aca="false">IF(AND(AA405&gt;0,AB405&gt;=Controls!$B$39*AA405),1,0)</f>
        <v>1</v>
      </c>
      <c r="AD405" s="65" t="n">
        <f aca="false">IF(AND(E405&lt;&gt;"",E405&gt;=Controls!$B$37,E405&lt;=Controls!$B$38),1,0)</f>
        <v>1</v>
      </c>
      <c r="AE405" s="65" t="n">
        <f aca="false">IF(IFERROR(VLOOKUP(D405,Controls!$A$64:$E$74,2,FALSE()),"No")="Yes",1,0)</f>
        <v>1</v>
      </c>
      <c r="AF405" s="65" t="n">
        <f aca="false">IF(IFERROR(VLOOKUP(D405,Controls!$A$64:$E$74,3,FALSE()),"No")="Yes",1,0)</f>
        <v>0</v>
      </c>
      <c r="AG405" s="65" t="n">
        <f aca="false">IF(IFERROR(VLOOKUP(D405,Controls!$A$64:$E$74,4,FALSE()),"No")="Yes",1,0)</f>
        <v>0</v>
      </c>
      <c r="AH405" s="65" t="n">
        <f aca="false">IF(IFERROR(VLOOKUP(D405,Controls!$A$64:$E$74,5,FALSE()),"No")="Yes",1,0)</f>
        <v>0</v>
      </c>
      <c r="AI405" s="65" t="n">
        <f aca="false">IF(ISNUMBER(MATCH(D405,Controls!$A$64:$A$74,0)),1,0)</f>
        <v>1</v>
      </c>
      <c r="AJ405" s="65" t="n">
        <f aca="false">Q405-N405</f>
        <v>-4052.61</v>
      </c>
      <c r="AK405" s="65" t="n">
        <f aca="false">IF(AE405=1,MAX(0,N405-Q405),0)</f>
        <v>4052.61</v>
      </c>
      <c r="AL405" s="65" t="n">
        <f aca="false">IF(OR(V405="",V405=0),0,N405/V405)</f>
        <v>0.262423167417015</v>
      </c>
      <c r="AM405" s="65" t="n">
        <f aca="false">IF(OR(V405="",V405=0),0,1)</f>
        <v>1</v>
      </c>
      <c r="AN405" s="65" t="n">
        <f aca="false">IF(OR(E405="",F405=""),0,NETWORKDAYS(E405,F405,Ref!$K$2:$K$42))</f>
        <v>127</v>
      </c>
      <c r="AO405" s="65" t="n">
        <f aca="false">IF(L405="Renewal",1,0)</f>
        <v>0</v>
      </c>
      <c r="AP405" s="65" t="n">
        <f aca="false">AC405*AD405</f>
        <v>1</v>
      </c>
      <c r="AQ405" s="65" t="n">
        <f aca="false">IF(AND(G405&lt;&gt;"",'Historical Score'!$C$6&lt;&gt;""),IF(G405='Historical Score'!$C$6,1,0),0)</f>
        <v>1</v>
      </c>
      <c r="AR405" s="65" t="n">
        <f aca="false">IF(AND(L405&lt;&gt;"",'Historical Score'!$C$5&lt;&gt;""),IF(L405='Historical Score'!$C$5,1,0),0)</f>
        <v>1</v>
      </c>
      <c r="AS405" s="65" t="n">
        <f aca="false">IF(AND(Y405&lt;&gt;"",'Historical Score'!$C$7&lt;&gt;""),IF(Y405='Historical Score'!$C$7,1,0),0)</f>
        <v>0</v>
      </c>
      <c r="AT405" s="65" t="n">
        <f aca="false">IF(AND(K405&lt;&gt;"",'Historical Score'!$C$8&lt;&gt;""),IF(K405='Historical Score'!$C$8,1,0),0)</f>
        <v>0</v>
      </c>
      <c r="AU405" s="65" t="n">
        <f aca="false">IF(AND(J405&lt;&gt;"",'Historical Score'!$C$9&lt;&gt;""),IF(J405='Historical Score'!$C$9,1,0),0)</f>
        <v>0</v>
      </c>
      <c r="AV405" s="65" t="n">
        <f aca="false">AR405*AS405*AQ405</f>
        <v>0</v>
      </c>
      <c r="AW405" s="65" t="n">
        <f aca="false">AR405*AT405*AQ405</f>
        <v>0</v>
      </c>
      <c r="AX405" s="65" t="n">
        <f aca="false">AR405*AS405</f>
        <v>0</v>
      </c>
      <c r="AY405" s="65" t="n">
        <f aca="false">AR405*AT405</f>
        <v>0</v>
      </c>
      <c r="AZ405" s="65" t="n">
        <f aca="false">AR405*AQ405</f>
        <v>1</v>
      </c>
      <c r="BA405" s="65" t="n">
        <f aca="false">AR405</f>
        <v>1</v>
      </c>
      <c r="BB405" s="65" t="n">
        <f aca="false">1</f>
        <v>1</v>
      </c>
      <c r="BC405" s="65" t="n">
        <f aca="false">IF(AV405=1,1,IF(AW405=1,2,IF(AX405=1,3,IF(AY405=1,4,IF(AZ405=1,5,IF(BA405=1,6,7))))))</f>
        <v>5</v>
      </c>
      <c r="BD405" s="65" t="n">
        <f aca="false">IF(AD405=1,CHOOSE('Historical Score'!$C$29,AV405,AW405,AX405,AY405,AZ405,BA405,BB405),0)</f>
        <v>0</v>
      </c>
      <c r="BE405" s="65" t="str">
        <f aca="false">IF(BD405=1,COUNTIF($BD$2:BD405,1),"")</f>
        <v/>
      </c>
    </row>
    <row r="406" customFormat="false" ht="15" hidden="false" customHeight="false" outlineLevel="0" collapsed="false">
      <c r="A406" s="65" t="s">
        <v>1600</v>
      </c>
      <c r="B406" s="65" t="s">
        <v>1601</v>
      </c>
      <c r="C406" s="65" t="s">
        <v>1601</v>
      </c>
      <c r="D406" s="65" t="s">
        <v>371</v>
      </c>
      <c r="E406" s="112" t="n">
        <v>45995</v>
      </c>
      <c r="F406" s="112" t="n">
        <v>46051</v>
      </c>
      <c r="G406" s="65" t="n">
        <v>2</v>
      </c>
      <c r="H406" s="65" t="s">
        <v>479</v>
      </c>
      <c r="I406" s="65" t="s">
        <v>356</v>
      </c>
      <c r="J406" s="65" t="s">
        <v>682</v>
      </c>
      <c r="K406" s="65" t="s">
        <v>55</v>
      </c>
      <c r="L406" s="65" t="s">
        <v>64</v>
      </c>
      <c r="M406" s="113" t="n">
        <v>1.499</v>
      </c>
      <c r="N406" s="114" t="n">
        <v>8000</v>
      </c>
      <c r="O406" s="114" t="n">
        <v>1120</v>
      </c>
      <c r="P406" s="114" t="n">
        <v>11992</v>
      </c>
      <c r="Q406" s="114" t="n">
        <v>11992</v>
      </c>
      <c r="R406" s="114" t="n">
        <v>0</v>
      </c>
      <c r="S406" s="115" t="n">
        <v>1</v>
      </c>
      <c r="T406" s="65" t="n">
        <v>2.295</v>
      </c>
      <c r="U406" s="65" t="n">
        <v>0</v>
      </c>
      <c r="V406" s="65" t="n">
        <v>8926.51</v>
      </c>
      <c r="W406" s="115" t="n">
        <v>0.4006</v>
      </c>
      <c r="X406" s="112"/>
      <c r="Y406" s="65" t="str">
        <f aca="false">IF(I406="","No SIC",IFERROR(VLOOKUP(I406,Ref!$A$2:$B$65,2,FALSE()),"Unclassified"))</f>
        <v>Trucking &amp; Warehousing</v>
      </c>
      <c r="Z406" s="65" t="str">
        <f aca="false">IF(T406="","",IF(T406&lt;12,"Daily","Weekly"))</f>
        <v>Daily</v>
      </c>
      <c r="AA406" s="65" t="n">
        <f aca="false">IF(T406="",0,IF(T406&lt;12,T406*Controls!$B$29,T406*5))</f>
        <v>49.698225</v>
      </c>
      <c r="AB406" s="65" t="n">
        <f aca="false">IF(E406="",0,NETWORKDAYS(E406,Controls!$B$36,Ref!$K$2:$K$42))</f>
        <v>183</v>
      </c>
      <c r="AC406" s="65" t="n">
        <f aca="false">IF(AND(AA406&gt;0,AB406&gt;=Controls!$B$39*AA406),1,0)</f>
        <v>1</v>
      </c>
      <c r="AD406" s="65" t="n">
        <f aca="false">IF(AND(E406&lt;&gt;"",E406&gt;=Controls!$B$37,E406&lt;=Controls!$B$38),1,0)</f>
        <v>1</v>
      </c>
      <c r="AE406" s="65" t="n">
        <f aca="false">IF(IFERROR(VLOOKUP(D406,Controls!$A$64:$E$74,2,FALSE()),"No")="Yes",1,0)</f>
        <v>0</v>
      </c>
      <c r="AF406" s="65" t="n">
        <f aca="false">IF(IFERROR(VLOOKUP(D406,Controls!$A$64:$E$74,3,FALSE()),"No")="Yes",1,0)</f>
        <v>1</v>
      </c>
      <c r="AG406" s="65" t="n">
        <f aca="false">IF(IFERROR(VLOOKUP(D406,Controls!$A$64:$E$74,4,FALSE()),"No")="Yes",1,0)</f>
        <v>1</v>
      </c>
      <c r="AH406" s="65" t="n">
        <f aca="false">IF(IFERROR(VLOOKUP(D406,Controls!$A$64:$E$74,5,FALSE()),"No")="Yes",1,0)</f>
        <v>0</v>
      </c>
      <c r="AI406" s="65" t="n">
        <f aca="false">IF(ISNUMBER(MATCH(D406,Controls!$A$64:$A$74,0)),1,0)</f>
        <v>1</v>
      </c>
      <c r="AJ406" s="65" t="n">
        <f aca="false">Q406-N406</f>
        <v>3992</v>
      </c>
      <c r="AK406" s="65" t="n">
        <f aca="false">IF(AE406=1,MAX(0,N406-Q406),0)</f>
        <v>0</v>
      </c>
      <c r="AL406" s="65" t="n">
        <f aca="false">IF(OR(V406="",V406=0),0,N406/V406)</f>
        <v>0.896206916252824</v>
      </c>
      <c r="AM406" s="65" t="n">
        <f aca="false">IF(OR(V406="",V406=0),0,1)</f>
        <v>1</v>
      </c>
      <c r="AN406" s="65" t="n">
        <f aca="false">IF(OR(E406="",F406=""),0,NETWORKDAYS(E406,F406,Ref!$K$2:$K$42))</f>
        <v>38</v>
      </c>
      <c r="AO406" s="65" t="n">
        <f aca="false">IF(L406="Renewal",1,0)</f>
        <v>0</v>
      </c>
      <c r="AP406" s="65" t="n">
        <f aca="false">AC406*AD406</f>
        <v>1</v>
      </c>
      <c r="AQ406" s="65" t="n">
        <f aca="false">IF(AND(G406&lt;&gt;"",'Historical Score'!$C$6&lt;&gt;""),IF(G406='Historical Score'!$C$6,1,0),0)</f>
        <v>1</v>
      </c>
      <c r="AR406" s="65" t="n">
        <f aca="false">IF(AND(L406&lt;&gt;"",'Historical Score'!$C$5&lt;&gt;""),IF(L406='Historical Score'!$C$5,1,0),0)</f>
        <v>1</v>
      </c>
      <c r="AS406" s="65" t="n">
        <f aca="false">IF(AND(Y406&lt;&gt;"",'Historical Score'!$C$7&lt;&gt;""),IF(Y406='Historical Score'!$C$7,1,0),0)</f>
        <v>0</v>
      </c>
      <c r="AT406" s="65" t="n">
        <f aca="false">IF(AND(K406&lt;&gt;"",'Historical Score'!$C$8&lt;&gt;""),IF(K406='Historical Score'!$C$8,1,0),0)</f>
        <v>1</v>
      </c>
      <c r="AU406" s="65" t="n">
        <f aca="false">IF(AND(J406&lt;&gt;"",'Historical Score'!$C$9&lt;&gt;""),IF(J406='Historical Score'!$C$9,1,0),0)</f>
        <v>0</v>
      </c>
      <c r="AV406" s="65" t="n">
        <f aca="false">AR406*AS406*AQ406</f>
        <v>0</v>
      </c>
      <c r="AW406" s="65" t="n">
        <f aca="false">AR406*AT406*AQ406</f>
        <v>1</v>
      </c>
      <c r="AX406" s="65" t="n">
        <f aca="false">AR406*AS406</f>
        <v>0</v>
      </c>
      <c r="AY406" s="65" t="n">
        <f aca="false">AR406*AT406</f>
        <v>1</v>
      </c>
      <c r="AZ406" s="65" t="n">
        <f aca="false">AR406*AQ406</f>
        <v>1</v>
      </c>
      <c r="BA406" s="65" t="n">
        <f aca="false">AR406</f>
        <v>1</v>
      </c>
      <c r="BB406" s="65" t="n">
        <f aca="false">1</f>
        <v>1</v>
      </c>
      <c r="BC406" s="65" t="n">
        <f aca="false">IF(AV406=1,1,IF(AW406=1,2,IF(AX406=1,3,IF(AY406=1,4,IF(AZ406=1,5,IF(BA406=1,6,7))))))</f>
        <v>2</v>
      </c>
      <c r="BD406" s="65" t="n">
        <f aca="false">IF(AD406=1,CHOOSE('Historical Score'!$C$29,AV406,AW406,AX406,AY406,AZ406,BA406,BB406),0)</f>
        <v>0</v>
      </c>
      <c r="BE406" s="65" t="str">
        <f aca="false">IF(BD406=1,COUNTIF($BD$2:BD406,1),"")</f>
        <v/>
      </c>
    </row>
    <row r="407" customFormat="false" ht="15" hidden="false" customHeight="false" outlineLevel="0" collapsed="false">
      <c r="A407" s="65" t="s">
        <v>1602</v>
      </c>
      <c r="B407" s="65" t="s">
        <v>1603</v>
      </c>
      <c r="C407" s="65" t="s">
        <v>1604</v>
      </c>
      <c r="D407" s="65" t="s">
        <v>295</v>
      </c>
      <c r="E407" s="112" t="n">
        <v>45995</v>
      </c>
      <c r="F407" s="112" t="n">
        <v>46248</v>
      </c>
      <c r="G407" s="65" t="n">
        <v>3</v>
      </c>
      <c r="H407" s="65" t="s">
        <v>348</v>
      </c>
      <c r="I407" s="65" t="s">
        <v>349</v>
      </c>
      <c r="J407" s="65" t="s">
        <v>769</v>
      </c>
      <c r="K407" s="65" t="s">
        <v>961</v>
      </c>
      <c r="L407" s="65" t="s">
        <v>64</v>
      </c>
      <c r="M407" s="113" t="n">
        <v>1.46</v>
      </c>
      <c r="N407" s="114" t="n">
        <v>40000</v>
      </c>
      <c r="O407" s="114" t="n">
        <v>6200</v>
      </c>
      <c r="P407" s="114" t="n">
        <v>58400</v>
      </c>
      <c r="Q407" s="114" t="n">
        <v>58400</v>
      </c>
      <c r="R407" s="114" t="n">
        <v>0</v>
      </c>
      <c r="S407" s="115" t="n">
        <v>1</v>
      </c>
      <c r="T407" s="65" t="n">
        <v>40</v>
      </c>
      <c r="U407" s="65" t="n">
        <v>1</v>
      </c>
      <c r="V407" s="65" t="n">
        <v>100259.01</v>
      </c>
      <c r="W407" s="115" t="n">
        <v>0.0582</v>
      </c>
      <c r="X407" s="112" t="n">
        <v>42382</v>
      </c>
      <c r="Y407" s="65" t="str">
        <f aca="false">IF(I407="","No SIC",IFERROR(VLOOKUP(I407,Ref!$A$2:$B$65,2,FALSE()),"Unclassified"))</f>
        <v>Nonmetallic Minerals Mining</v>
      </c>
      <c r="Z407" s="65" t="str">
        <f aca="false">IF(T407="","",IF(T407&lt;12,"Daily","Weekly"))</f>
        <v>Weekly</v>
      </c>
      <c r="AA407" s="65" t="n">
        <f aca="false">IF(T407="",0,IF(T407&lt;12,T407*Controls!$B$29,T407*5))</f>
        <v>200</v>
      </c>
      <c r="AB407" s="65" t="n">
        <f aca="false">IF(E407="",0,NETWORKDAYS(E407,Controls!$B$36,Ref!$K$2:$K$42))</f>
        <v>183</v>
      </c>
      <c r="AC407" s="65" t="n">
        <f aca="false">IF(AND(AA407&gt;0,AB407&gt;=Controls!$B$39*AA407),1,0)</f>
        <v>0</v>
      </c>
      <c r="AD407" s="65" t="n">
        <f aca="false">IF(AND(E407&lt;&gt;"",E407&gt;=Controls!$B$37,E407&lt;=Controls!$B$38),1,0)</f>
        <v>1</v>
      </c>
      <c r="AE407" s="65" t="n">
        <f aca="false">IF(IFERROR(VLOOKUP(D407,Controls!$A$64:$E$74,2,FALSE()),"No")="Yes",1,0)</f>
        <v>0</v>
      </c>
      <c r="AF407" s="65" t="n">
        <f aca="false">IF(IFERROR(VLOOKUP(D407,Controls!$A$64:$E$74,3,FALSE()),"No")="Yes",1,0)</f>
        <v>0</v>
      </c>
      <c r="AG407" s="65" t="n">
        <f aca="false">IF(IFERROR(VLOOKUP(D407,Controls!$A$64:$E$74,4,FALSE()),"No")="Yes",1,0)</f>
        <v>0</v>
      </c>
      <c r="AH407" s="65" t="n">
        <f aca="false">IF(IFERROR(VLOOKUP(D407,Controls!$A$64:$E$74,5,FALSE()),"No")="Yes",1,0)</f>
        <v>1</v>
      </c>
      <c r="AI407" s="65" t="n">
        <f aca="false">IF(ISNUMBER(MATCH(D407,Controls!$A$64:$A$74,0)),1,0)</f>
        <v>1</v>
      </c>
      <c r="AJ407" s="65" t="n">
        <f aca="false">Q407-N407</f>
        <v>18400</v>
      </c>
      <c r="AK407" s="65" t="n">
        <f aca="false">IF(AE407=1,MAX(0,N407-Q407),0)</f>
        <v>0</v>
      </c>
      <c r="AL407" s="65" t="n">
        <f aca="false">IF(OR(V407="",V407=0),0,N407/V407)</f>
        <v>0.398966636514763</v>
      </c>
      <c r="AM407" s="65" t="n">
        <f aca="false">IF(OR(V407="",V407=0),0,1)</f>
        <v>1</v>
      </c>
      <c r="AN407" s="65" t="n">
        <f aca="false">IF(OR(E407="",F407=""),0,NETWORKDAYS(E407,F407,Ref!$K$2:$K$42))</f>
        <v>176</v>
      </c>
      <c r="AO407" s="65" t="n">
        <f aca="false">IF(L407="Renewal",1,0)</f>
        <v>0</v>
      </c>
      <c r="AP407" s="65" t="n">
        <f aca="false">AC407*AD407</f>
        <v>0</v>
      </c>
      <c r="AQ407" s="65" t="n">
        <f aca="false">IF(AND(G407&lt;&gt;"",'Historical Score'!$C$6&lt;&gt;""),IF(G407='Historical Score'!$C$6,1,0),0)</f>
        <v>0</v>
      </c>
      <c r="AR407" s="65" t="n">
        <f aca="false">IF(AND(L407&lt;&gt;"",'Historical Score'!$C$5&lt;&gt;""),IF(L407='Historical Score'!$C$5,1,0),0)</f>
        <v>1</v>
      </c>
      <c r="AS407" s="65" t="n">
        <f aca="false">IF(AND(Y407&lt;&gt;"",'Historical Score'!$C$7&lt;&gt;""),IF(Y407='Historical Score'!$C$7,1,0),0)</f>
        <v>0</v>
      </c>
      <c r="AT407" s="65" t="n">
        <f aca="false">IF(AND(K407&lt;&gt;"",'Historical Score'!$C$8&lt;&gt;""),IF(K407='Historical Score'!$C$8,1,0),0)</f>
        <v>0</v>
      </c>
      <c r="AU407" s="65" t="n">
        <f aca="false">IF(AND(J407&lt;&gt;"",'Historical Score'!$C$9&lt;&gt;""),IF(J407='Historical Score'!$C$9,1,0),0)</f>
        <v>0</v>
      </c>
      <c r="AV407" s="65" t="n">
        <f aca="false">AR407*AS407*AQ407</f>
        <v>0</v>
      </c>
      <c r="AW407" s="65" t="n">
        <f aca="false">AR407*AT407*AQ407</f>
        <v>0</v>
      </c>
      <c r="AX407" s="65" t="n">
        <f aca="false">AR407*AS407</f>
        <v>0</v>
      </c>
      <c r="AY407" s="65" t="n">
        <f aca="false">AR407*AT407</f>
        <v>0</v>
      </c>
      <c r="AZ407" s="65" t="n">
        <f aca="false">AR407*AQ407</f>
        <v>0</v>
      </c>
      <c r="BA407" s="65" t="n">
        <f aca="false">AR407</f>
        <v>1</v>
      </c>
      <c r="BB407" s="65" t="n">
        <f aca="false">1</f>
        <v>1</v>
      </c>
      <c r="BC407" s="65" t="n">
        <f aca="false">IF(AV407=1,1,IF(AW407=1,2,IF(AX407=1,3,IF(AY407=1,4,IF(AZ407=1,5,IF(BA407=1,6,7))))))</f>
        <v>6</v>
      </c>
      <c r="BD407" s="65" t="n">
        <f aca="false">IF(AD407=1,CHOOSE('Historical Score'!$C$29,AV407,AW407,AX407,AY407,AZ407,BA407,BB407),0)</f>
        <v>0</v>
      </c>
      <c r="BE407" s="65" t="str">
        <f aca="false">IF(BD407=1,COUNTIF($BD$2:BD407,1),"")</f>
        <v/>
      </c>
    </row>
    <row r="408" customFormat="false" ht="15" hidden="false" customHeight="false" outlineLevel="0" collapsed="false">
      <c r="A408" s="65" t="s">
        <v>1605</v>
      </c>
      <c r="B408" s="65" t="s">
        <v>1606</v>
      </c>
      <c r="C408" s="65" t="s">
        <v>1606</v>
      </c>
      <c r="D408" s="65" t="s">
        <v>340</v>
      </c>
      <c r="E408" s="112" t="n">
        <v>45995</v>
      </c>
      <c r="F408" s="112" t="n">
        <v>46112</v>
      </c>
      <c r="G408" s="65" t="n">
        <v>2</v>
      </c>
      <c r="H408" s="65" t="s">
        <v>442</v>
      </c>
      <c r="I408" s="65" t="s">
        <v>443</v>
      </c>
      <c r="J408" s="65" t="s">
        <v>350</v>
      </c>
      <c r="K408" s="65" t="s">
        <v>1607</v>
      </c>
      <c r="L408" s="65" t="s">
        <v>64</v>
      </c>
      <c r="M408" s="113" t="n">
        <v>1.49</v>
      </c>
      <c r="N408" s="114" t="n">
        <v>7500</v>
      </c>
      <c r="O408" s="114" t="n">
        <v>1050</v>
      </c>
      <c r="P408" s="114" t="n">
        <v>11175</v>
      </c>
      <c r="Q408" s="114" t="n">
        <v>3916.15</v>
      </c>
      <c r="R408" s="114" t="n">
        <v>7258.85</v>
      </c>
      <c r="S408" s="115" t="n">
        <v>0.350438478747204</v>
      </c>
      <c r="T408" s="65" t="n">
        <v>20</v>
      </c>
      <c r="U408" s="65" t="n">
        <v>13</v>
      </c>
      <c r="V408" s="65" t="n">
        <v>78518.78</v>
      </c>
      <c r="W408" s="115" t="n">
        <v>0.0285</v>
      </c>
      <c r="X408" s="112" t="n">
        <v>44358</v>
      </c>
      <c r="Y408" s="65" t="str">
        <f aca="false">IF(I408="","No SIC",IFERROR(VLOOKUP(I408,Ref!$A$2:$B$65,2,FALSE()),"Unclassified"))</f>
        <v>General Building Contractors</v>
      </c>
      <c r="Z408" s="65" t="str">
        <f aca="false">IF(T408="","",IF(T408&lt;12,"Daily","Weekly"))</f>
        <v>Weekly</v>
      </c>
      <c r="AA408" s="65" t="n">
        <f aca="false">IF(T408="",0,IF(T408&lt;12,T408*Controls!$B$29,T408*5))</f>
        <v>100</v>
      </c>
      <c r="AB408" s="65" t="n">
        <f aca="false">IF(E408="",0,NETWORKDAYS(E408,Controls!$B$36,Ref!$K$2:$K$42))</f>
        <v>183</v>
      </c>
      <c r="AC408" s="65" t="n">
        <f aca="false">IF(AND(AA408&gt;0,AB408&gt;=Controls!$B$39*AA408),1,0)</f>
        <v>1</v>
      </c>
      <c r="AD408" s="65" t="n">
        <f aca="false">IF(AND(E408&lt;&gt;"",E408&gt;=Controls!$B$37,E408&lt;=Controls!$B$38),1,0)</f>
        <v>1</v>
      </c>
      <c r="AE408" s="65" t="n">
        <f aca="false">IF(IFERROR(VLOOKUP(D408,Controls!$A$64:$E$74,2,FALSE()),"No")="Yes",1,0)</f>
        <v>1</v>
      </c>
      <c r="AF408" s="65" t="n">
        <f aca="false">IF(IFERROR(VLOOKUP(D408,Controls!$A$64:$E$74,3,FALSE()),"No")="Yes",1,0)</f>
        <v>0</v>
      </c>
      <c r="AG408" s="65" t="n">
        <f aca="false">IF(IFERROR(VLOOKUP(D408,Controls!$A$64:$E$74,4,FALSE()),"No")="Yes",1,0)</f>
        <v>0</v>
      </c>
      <c r="AH408" s="65" t="n">
        <f aca="false">IF(IFERROR(VLOOKUP(D408,Controls!$A$64:$E$74,5,FALSE()),"No")="Yes",1,0)</f>
        <v>0</v>
      </c>
      <c r="AI408" s="65" t="n">
        <f aca="false">IF(ISNUMBER(MATCH(D408,Controls!$A$64:$A$74,0)),1,0)</f>
        <v>1</v>
      </c>
      <c r="AJ408" s="65" t="n">
        <f aca="false">Q408-N408</f>
        <v>-3583.85</v>
      </c>
      <c r="AK408" s="65" t="n">
        <f aca="false">IF(AE408=1,MAX(0,N408-Q408),0)</f>
        <v>3583.85</v>
      </c>
      <c r="AL408" s="65" t="n">
        <f aca="false">IF(OR(V408="",V408=0),0,N408/V408)</f>
        <v>0.095518549829735</v>
      </c>
      <c r="AM408" s="65" t="n">
        <f aca="false">IF(OR(V408="",V408=0),0,1)</f>
        <v>1</v>
      </c>
      <c r="AN408" s="65" t="n">
        <f aca="false">IF(OR(E408="",F408=""),0,NETWORKDAYS(E408,F408,Ref!$K$2:$K$42))</f>
        <v>80</v>
      </c>
      <c r="AO408" s="65" t="n">
        <f aca="false">IF(L408="Renewal",1,0)</f>
        <v>0</v>
      </c>
      <c r="AP408" s="65" t="n">
        <f aca="false">AC408*AD408</f>
        <v>1</v>
      </c>
      <c r="AQ408" s="65" t="n">
        <f aca="false">IF(AND(G408&lt;&gt;"",'Historical Score'!$C$6&lt;&gt;""),IF(G408='Historical Score'!$C$6,1,0),0)</f>
        <v>1</v>
      </c>
      <c r="AR408" s="65" t="n">
        <f aca="false">IF(AND(L408&lt;&gt;"",'Historical Score'!$C$5&lt;&gt;""),IF(L408='Historical Score'!$C$5,1,0),0)</f>
        <v>1</v>
      </c>
      <c r="AS408" s="65" t="n">
        <f aca="false">IF(AND(Y408&lt;&gt;"",'Historical Score'!$C$7&lt;&gt;""),IF(Y408='Historical Score'!$C$7,1,0),0)</f>
        <v>1</v>
      </c>
      <c r="AT408" s="65" t="n">
        <f aca="false">IF(AND(K408&lt;&gt;"",'Historical Score'!$C$8&lt;&gt;""),IF(K408='Historical Score'!$C$8,1,0),0)</f>
        <v>0</v>
      </c>
      <c r="AU408" s="65" t="n">
        <f aca="false">IF(AND(J408&lt;&gt;"",'Historical Score'!$C$9&lt;&gt;""),IF(J408='Historical Score'!$C$9,1,0),0)</f>
        <v>0</v>
      </c>
      <c r="AV408" s="65" t="n">
        <f aca="false">AR408*AS408*AQ408</f>
        <v>1</v>
      </c>
      <c r="AW408" s="65" t="n">
        <f aca="false">AR408*AT408*AQ408</f>
        <v>0</v>
      </c>
      <c r="AX408" s="65" t="n">
        <f aca="false">AR408*AS408</f>
        <v>1</v>
      </c>
      <c r="AY408" s="65" t="n">
        <f aca="false">AR408*AT408</f>
        <v>0</v>
      </c>
      <c r="AZ408" s="65" t="n">
        <f aca="false">AR408*AQ408</f>
        <v>1</v>
      </c>
      <c r="BA408" s="65" t="n">
        <f aca="false">AR408</f>
        <v>1</v>
      </c>
      <c r="BB408" s="65" t="n">
        <f aca="false">1</f>
        <v>1</v>
      </c>
      <c r="BC408" s="65" t="n">
        <f aca="false">IF(AV408=1,1,IF(AW408=1,2,IF(AX408=1,3,IF(AY408=1,4,IF(AZ408=1,5,IF(BA408=1,6,7))))))</f>
        <v>1</v>
      </c>
      <c r="BD408" s="65" t="n">
        <f aca="false">IF(AD408=1,CHOOSE('Historical Score'!$C$29,AV408,AW408,AX408,AY408,AZ408,BA408,BB408),0)</f>
        <v>1</v>
      </c>
      <c r="BE408" s="65" t="n">
        <f aca="false">IF(BD408=1,COUNTIF($BD$2:BD408,1),"")</f>
        <v>16</v>
      </c>
    </row>
    <row r="409" customFormat="false" ht="15" hidden="false" customHeight="false" outlineLevel="0" collapsed="false">
      <c r="A409" s="65" t="s">
        <v>1608</v>
      </c>
      <c r="B409" s="65" t="s">
        <v>1609</v>
      </c>
      <c r="C409" s="65" t="s">
        <v>1609</v>
      </c>
      <c r="D409" s="65" t="s">
        <v>959</v>
      </c>
      <c r="E409" s="112" t="n">
        <v>45995</v>
      </c>
      <c r="F409" s="112" t="n">
        <v>46247</v>
      </c>
      <c r="G409" s="65" t="n">
        <v>1</v>
      </c>
      <c r="H409" s="65" t="s">
        <v>1316</v>
      </c>
      <c r="I409" s="65" t="s">
        <v>1317</v>
      </c>
      <c r="J409" s="65" t="s">
        <v>658</v>
      </c>
      <c r="K409" s="65" t="s">
        <v>961</v>
      </c>
      <c r="L409" s="65" t="s">
        <v>64</v>
      </c>
      <c r="M409" s="113" t="n">
        <v>1.44</v>
      </c>
      <c r="N409" s="114" t="n">
        <v>16000</v>
      </c>
      <c r="O409" s="114" t="n">
        <v>2400</v>
      </c>
      <c r="P409" s="114" t="n">
        <v>23040</v>
      </c>
      <c r="Q409" s="114" t="n">
        <v>5760.6</v>
      </c>
      <c r="R409" s="114" t="n">
        <v>17279.4</v>
      </c>
      <c r="S409" s="115" t="n">
        <v>0.250026041666667</v>
      </c>
      <c r="T409" s="65" t="n">
        <v>20</v>
      </c>
      <c r="U409" s="65" t="n">
        <v>26</v>
      </c>
      <c r="V409" s="65" t="n">
        <v>9644.16</v>
      </c>
      <c r="W409" s="115"/>
      <c r="X409" s="112" t="n">
        <v>45218</v>
      </c>
      <c r="Y409" s="65" t="str">
        <f aca="false">IF(I409="","No SIC",IFERROR(VLOOKUP(I409,Ref!$A$2:$B$65,2,FALSE()),"Unclassified"))</f>
        <v>Apparel &amp; Textile Products</v>
      </c>
      <c r="Z409" s="65" t="str">
        <f aca="false">IF(T409="","",IF(T409&lt;12,"Daily","Weekly"))</f>
        <v>Weekly</v>
      </c>
      <c r="AA409" s="65" t="n">
        <f aca="false">IF(T409="",0,IF(T409&lt;12,T409*Controls!$B$29,T409*5))</f>
        <v>100</v>
      </c>
      <c r="AB409" s="65" t="n">
        <f aca="false">IF(E409="",0,NETWORKDAYS(E409,Controls!$B$36,Ref!$K$2:$K$42))</f>
        <v>183</v>
      </c>
      <c r="AC409" s="65" t="n">
        <f aca="false">IF(AND(AA409&gt;0,AB409&gt;=Controls!$B$39*AA409),1,0)</f>
        <v>1</v>
      </c>
      <c r="AD409" s="65" t="n">
        <f aca="false">IF(AND(E409&lt;&gt;"",E409&gt;=Controls!$B$37,E409&lt;=Controls!$B$38),1,0)</f>
        <v>1</v>
      </c>
      <c r="AE409" s="65" t="n">
        <f aca="false">IF(IFERROR(VLOOKUP(D409,Controls!$A$64:$E$74,2,FALSE()),"No")="Yes",1,0)</f>
        <v>0</v>
      </c>
      <c r="AF409" s="65" t="n">
        <f aca="false">IF(IFERROR(VLOOKUP(D409,Controls!$A$64:$E$74,3,FALSE()),"No")="Yes",1,0)</f>
        <v>0</v>
      </c>
      <c r="AG409" s="65" t="n">
        <f aca="false">IF(IFERROR(VLOOKUP(D409,Controls!$A$64:$E$74,4,FALSE()),"No")="Yes",1,0)</f>
        <v>0</v>
      </c>
      <c r="AH409" s="65" t="n">
        <f aca="false">IF(IFERROR(VLOOKUP(D409,Controls!$A$64:$E$74,5,FALSE()),"No")="Yes",1,0)</f>
        <v>0</v>
      </c>
      <c r="AI409" s="65" t="n">
        <f aca="false">IF(ISNUMBER(MATCH(D409,Controls!$A$64:$A$74,0)),1,0)</f>
        <v>1</v>
      </c>
      <c r="AJ409" s="65" t="n">
        <f aca="false">Q409-N409</f>
        <v>-10239.4</v>
      </c>
      <c r="AK409" s="65" t="n">
        <f aca="false">IF(AE409=1,MAX(0,N409-Q409),0)</f>
        <v>0</v>
      </c>
      <c r="AL409" s="65" t="n">
        <f aca="false">IF(OR(V409="",V409=0),0,N409/V409)</f>
        <v>1.65903510518283</v>
      </c>
      <c r="AM409" s="65" t="n">
        <f aca="false">IF(OR(V409="",V409=0),0,1)</f>
        <v>1</v>
      </c>
      <c r="AN409" s="65" t="n">
        <f aca="false">IF(OR(E409="",F409=""),0,NETWORKDAYS(E409,F409,Ref!$K$2:$K$42))</f>
        <v>175</v>
      </c>
      <c r="AO409" s="65" t="n">
        <f aca="false">IF(L409="Renewal",1,0)</f>
        <v>0</v>
      </c>
      <c r="AP409" s="65" t="n">
        <f aca="false">AC409*AD409</f>
        <v>1</v>
      </c>
      <c r="AQ409" s="65" t="n">
        <f aca="false">IF(AND(G409&lt;&gt;"",'Historical Score'!$C$6&lt;&gt;""),IF(G409='Historical Score'!$C$6,1,0),0)</f>
        <v>0</v>
      </c>
      <c r="AR409" s="65" t="n">
        <f aca="false">IF(AND(L409&lt;&gt;"",'Historical Score'!$C$5&lt;&gt;""),IF(L409='Historical Score'!$C$5,1,0),0)</f>
        <v>1</v>
      </c>
      <c r="AS409" s="65" t="n">
        <f aca="false">IF(AND(Y409&lt;&gt;"",'Historical Score'!$C$7&lt;&gt;""),IF(Y409='Historical Score'!$C$7,1,0),0)</f>
        <v>0</v>
      </c>
      <c r="AT409" s="65" t="n">
        <f aca="false">IF(AND(K409&lt;&gt;"",'Historical Score'!$C$8&lt;&gt;""),IF(K409='Historical Score'!$C$8,1,0),0)</f>
        <v>0</v>
      </c>
      <c r="AU409" s="65" t="n">
        <f aca="false">IF(AND(J409&lt;&gt;"",'Historical Score'!$C$9&lt;&gt;""),IF(J409='Historical Score'!$C$9,1,0),0)</f>
        <v>0</v>
      </c>
      <c r="AV409" s="65" t="n">
        <f aca="false">AR409*AS409*AQ409</f>
        <v>0</v>
      </c>
      <c r="AW409" s="65" t="n">
        <f aca="false">AR409*AT409*AQ409</f>
        <v>0</v>
      </c>
      <c r="AX409" s="65" t="n">
        <f aca="false">AR409*AS409</f>
        <v>0</v>
      </c>
      <c r="AY409" s="65" t="n">
        <f aca="false">AR409*AT409</f>
        <v>0</v>
      </c>
      <c r="AZ409" s="65" t="n">
        <f aca="false">AR409*AQ409</f>
        <v>0</v>
      </c>
      <c r="BA409" s="65" t="n">
        <f aca="false">AR409</f>
        <v>1</v>
      </c>
      <c r="BB409" s="65" t="n">
        <f aca="false">1</f>
        <v>1</v>
      </c>
      <c r="BC409" s="65" t="n">
        <f aca="false">IF(AV409=1,1,IF(AW409=1,2,IF(AX409=1,3,IF(AY409=1,4,IF(AZ409=1,5,IF(BA409=1,6,7))))))</f>
        <v>6</v>
      </c>
      <c r="BD409" s="65" t="n">
        <f aca="false">IF(AD409=1,CHOOSE('Historical Score'!$C$29,AV409,AW409,AX409,AY409,AZ409,BA409,BB409),0)</f>
        <v>0</v>
      </c>
      <c r="BE409" s="65" t="str">
        <f aca="false">IF(BD409=1,COUNTIF($BD$2:BD409,1),"")</f>
        <v/>
      </c>
    </row>
    <row r="410" customFormat="false" ht="15" hidden="false" customHeight="false" outlineLevel="0" collapsed="false">
      <c r="A410" s="65" t="s">
        <v>1610</v>
      </c>
      <c r="B410" s="65" t="s">
        <v>1611</v>
      </c>
      <c r="C410" s="65" t="s">
        <v>1611</v>
      </c>
      <c r="D410" s="65" t="s">
        <v>340</v>
      </c>
      <c r="E410" s="112" t="n">
        <v>45995</v>
      </c>
      <c r="F410" s="112" t="n">
        <v>46024</v>
      </c>
      <c r="G410" s="65" t="n">
        <v>8</v>
      </c>
      <c r="H410" s="65" t="s">
        <v>409</v>
      </c>
      <c r="I410" s="65" t="s">
        <v>342</v>
      </c>
      <c r="J410" s="65" t="s">
        <v>717</v>
      </c>
      <c r="K410" s="65" t="s">
        <v>55</v>
      </c>
      <c r="L410" s="65" t="s">
        <v>64</v>
      </c>
      <c r="M410" s="113" t="n">
        <v>1.499</v>
      </c>
      <c r="N410" s="114" t="n">
        <v>15000</v>
      </c>
      <c r="O410" s="114" t="n">
        <v>2100</v>
      </c>
      <c r="P410" s="114" t="n">
        <v>22485</v>
      </c>
      <c r="Q410" s="114" t="n">
        <v>7159.04</v>
      </c>
      <c r="R410" s="114" t="n">
        <v>15325.96</v>
      </c>
      <c r="S410" s="115" t="n">
        <v>0.318391816766733</v>
      </c>
      <c r="T410" s="65" t="n">
        <v>1.639</v>
      </c>
      <c r="U410" s="65" t="n">
        <v>3</v>
      </c>
      <c r="V410" s="65" t="n">
        <v>130322.36</v>
      </c>
      <c r="W410" s="115" t="n">
        <v>0.0721</v>
      </c>
      <c r="X410" s="112" t="n">
        <v>45017</v>
      </c>
      <c r="Y410" s="65" t="str">
        <f aca="false">IF(I410="","No SIC",IFERROR(VLOOKUP(I410,Ref!$A$2:$B$65,2,FALSE()),"Unclassified"))</f>
        <v>Eating &amp; Drinking Places</v>
      </c>
      <c r="Z410" s="65" t="str">
        <f aca="false">IF(T410="","",IF(T410&lt;12,"Daily","Weekly"))</f>
        <v>Daily</v>
      </c>
      <c r="AA410" s="65" t="n">
        <f aca="false">IF(T410="",0,IF(T410&lt;12,T410*Controls!$B$29,T410*5))</f>
        <v>35.492545</v>
      </c>
      <c r="AB410" s="65" t="n">
        <f aca="false">IF(E410="",0,NETWORKDAYS(E410,Controls!$B$36,Ref!$K$2:$K$42))</f>
        <v>183</v>
      </c>
      <c r="AC410" s="65" t="n">
        <f aca="false">IF(AND(AA410&gt;0,AB410&gt;=Controls!$B$39*AA410),1,0)</f>
        <v>1</v>
      </c>
      <c r="AD410" s="65" t="n">
        <f aca="false">IF(AND(E410&lt;&gt;"",E410&gt;=Controls!$B$37,E410&lt;=Controls!$B$38),1,0)</f>
        <v>1</v>
      </c>
      <c r="AE410" s="65" t="n">
        <f aca="false">IF(IFERROR(VLOOKUP(D410,Controls!$A$64:$E$74,2,FALSE()),"No")="Yes",1,0)</f>
        <v>1</v>
      </c>
      <c r="AF410" s="65" t="n">
        <f aca="false">IF(IFERROR(VLOOKUP(D410,Controls!$A$64:$E$74,3,FALSE()),"No")="Yes",1,0)</f>
        <v>0</v>
      </c>
      <c r="AG410" s="65" t="n">
        <f aca="false">IF(IFERROR(VLOOKUP(D410,Controls!$A$64:$E$74,4,FALSE()),"No")="Yes",1,0)</f>
        <v>0</v>
      </c>
      <c r="AH410" s="65" t="n">
        <f aca="false">IF(IFERROR(VLOOKUP(D410,Controls!$A$64:$E$74,5,FALSE()),"No")="Yes",1,0)</f>
        <v>0</v>
      </c>
      <c r="AI410" s="65" t="n">
        <f aca="false">IF(ISNUMBER(MATCH(D410,Controls!$A$64:$A$74,0)),1,0)</f>
        <v>1</v>
      </c>
      <c r="AJ410" s="65" t="n">
        <f aca="false">Q410-N410</f>
        <v>-7840.96</v>
      </c>
      <c r="AK410" s="65" t="n">
        <f aca="false">IF(AE410=1,MAX(0,N410-Q410),0)</f>
        <v>7840.96</v>
      </c>
      <c r="AL410" s="65" t="n">
        <f aca="false">IF(OR(V410="",V410=0),0,N410/V410)</f>
        <v>0.115099204771921</v>
      </c>
      <c r="AM410" s="65" t="n">
        <f aca="false">IF(OR(V410="",V410=0),0,1)</f>
        <v>1</v>
      </c>
      <c r="AN410" s="65" t="n">
        <f aca="false">IF(OR(E410="",F410=""),0,NETWORKDAYS(E410,F410,Ref!$K$2:$K$42))</f>
        <v>20</v>
      </c>
      <c r="AO410" s="65" t="n">
        <f aca="false">IF(L410="Renewal",1,0)</f>
        <v>0</v>
      </c>
      <c r="AP410" s="65" t="n">
        <f aca="false">AC410*AD410</f>
        <v>1</v>
      </c>
      <c r="AQ410" s="65" t="n">
        <f aca="false">IF(AND(G410&lt;&gt;"",'Historical Score'!$C$6&lt;&gt;""),IF(G410='Historical Score'!$C$6,1,0),0)</f>
        <v>0</v>
      </c>
      <c r="AR410" s="65" t="n">
        <f aca="false">IF(AND(L410&lt;&gt;"",'Historical Score'!$C$5&lt;&gt;""),IF(L410='Historical Score'!$C$5,1,0),0)</f>
        <v>1</v>
      </c>
      <c r="AS410" s="65" t="n">
        <f aca="false">IF(AND(Y410&lt;&gt;"",'Historical Score'!$C$7&lt;&gt;""),IF(Y410='Historical Score'!$C$7,1,0),0)</f>
        <v>0</v>
      </c>
      <c r="AT410" s="65" t="n">
        <f aca="false">IF(AND(K410&lt;&gt;"",'Historical Score'!$C$8&lt;&gt;""),IF(K410='Historical Score'!$C$8,1,0),0)</f>
        <v>1</v>
      </c>
      <c r="AU410" s="65" t="n">
        <f aca="false">IF(AND(J410&lt;&gt;"",'Historical Score'!$C$9&lt;&gt;""),IF(J410='Historical Score'!$C$9,1,0),0)</f>
        <v>0</v>
      </c>
      <c r="AV410" s="65" t="n">
        <f aca="false">AR410*AS410*AQ410</f>
        <v>0</v>
      </c>
      <c r="AW410" s="65" t="n">
        <f aca="false">AR410*AT410*AQ410</f>
        <v>0</v>
      </c>
      <c r="AX410" s="65" t="n">
        <f aca="false">AR410*AS410</f>
        <v>0</v>
      </c>
      <c r="AY410" s="65" t="n">
        <f aca="false">AR410*AT410</f>
        <v>1</v>
      </c>
      <c r="AZ410" s="65" t="n">
        <f aca="false">AR410*AQ410</f>
        <v>0</v>
      </c>
      <c r="BA410" s="65" t="n">
        <f aca="false">AR410</f>
        <v>1</v>
      </c>
      <c r="BB410" s="65" t="n">
        <f aca="false">1</f>
        <v>1</v>
      </c>
      <c r="BC410" s="65" t="n">
        <f aca="false">IF(AV410=1,1,IF(AW410=1,2,IF(AX410=1,3,IF(AY410=1,4,IF(AZ410=1,5,IF(BA410=1,6,7))))))</f>
        <v>4</v>
      </c>
      <c r="BD410" s="65" t="n">
        <f aca="false">IF(AD410=1,CHOOSE('Historical Score'!$C$29,AV410,AW410,AX410,AY410,AZ410,BA410,BB410),0)</f>
        <v>0</v>
      </c>
      <c r="BE410" s="65" t="str">
        <f aca="false">IF(BD410=1,COUNTIF($BD$2:BD410,1),"")</f>
        <v/>
      </c>
    </row>
    <row r="411" customFormat="false" ht="15" hidden="false" customHeight="false" outlineLevel="0" collapsed="false">
      <c r="A411" s="65" t="s">
        <v>1612</v>
      </c>
      <c r="B411" s="65" t="s">
        <v>1613</v>
      </c>
      <c r="C411" s="65" t="s">
        <v>1614</v>
      </c>
      <c r="D411" s="65" t="s">
        <v>528</v>
      </c>
      <c r="E411" s="112" t="n">
        <v>45995</v>
      </c>
      <c r="F411" s="112" t="n">
        <v>46154</v>
      </c>
      <c r="G411" s="65" t="n">
        <v>3</v>
      </c>
      <c r="H411" s="65" t="s">
        <v>500</v>
      </c>
      <c r="I411" s="65" t="s">
        <v>475</v>
      </c>
      <c r="J411" s="65" t="s">
        <v>350</v>
      </c>
      <c r="K411" s="65" t="s">
        <v>1591</v>
      </c>
      <c r="L411" s="65" t="s">
        <v>64</v>
      </c>
      <c r="M411" s="113" t="n">
        <v>1.44</v>
      </c>
      <c r="N411" s="114" t="n">
        <v>20000</v>
      </c>
      <c r="O411" s="114" t="n">
        <v>2300</v>
      </c>
      <c r="P411" s="114" t="n">
        <v>28800</v>
      </c>
      <c r="Q411" s="114" t="n">
        <v>28800</v>
      </c>
      <c r="R411" s="114" t="n">
        <v>0</v>
      </c>
      <c r="S411" s="115" t="n">
        <v>1</v>
      </c>
      <c r="T411" s="65" t="n">
        <v>2.951</v>
      </c>
      <c r="U411" s="65" t="n">
        <v>18</v>
      </c>
      <c r="V411" s="65" t="n">
        <v>55841.27</v>
      </c>
      <c r="W411" s="115" t="n">
        <v>0.1203</v>
      </c>
      <c r="X411" s="112" t="n">
        <v>44550</v>
      </c>
      <c r="Y411" s="65" t="str">
        <f aca="false">IF(I411="","No SIC",IFERROR(VLOOKUP(I411,Ref!$A$2:$B$65,2,FALSE()),"Unclassified"))</f>
        <v>Auto Repair &amp; Services</v>
      </c>
      <c r="Z411" s="65" t="str">
        <f aca="false">IF(T411="","",IF(T411&lt;12,"Daily","Weekly"))</f>
        <v>Daily</v>
      </c>
      <c r="AA411" s="65" t="n">
        <f aca="false">IF(T411="",0,IF(T411&lt;12,T411*Controls!$B$29,T411*5))</f>
        <v>63.903905</v>
      </c>
      <c r="AB411" s="65" t="n">
        <f aca="false">IF(E411="",0,NETWORKDAYS(E411,Controls!$B$36,Ref!$K$2:$K$42))</f>
        <v>183</v>
      </c>
      <c r="AC411" s="65" t="n">
        <f aca="false">IF(AND(AA411&gt;0,AB411&gt;=Controls!$B$39*AA411),1,0)</f>
        <v>1</v>
      </c>
      <c r="AD411" s="65" t="n">
        <f aca="false">IF(AND(E411&lt;&gt;"",E411&gt;=Controls!$B$37,E411&lt;=Controls!$B$38),1,0)</f>
        <v>1</v>
      </c>
      <c r="AE411" s="65" t="n">
        <f aca="false">IF(IFERROR(VLOOKUP(D411,Controls!$A$64:$E$74,2,FALSE()),"No")="Yes",1,0)</f>
        <v>0</v>
      </c>
      <c r="AF411" s="65" t="n">
        <f aca="false">IF(IFERROR(VLOOKUP(D411,Controls!$A$64:$E$74,3,FALSE()),"No")="Yes",1,0)</f>
        <v>1</v>
      </c>
      <c r="AG411" s="65" t="n">
        <f aca="false">IF(IFERROR(VLOOKUP(D411,Controls!$A$64:$E$74,4,FALSE()),"No")="Yes",1,0)</f>
        <v>1</v>
      </c>
      <c r="AH411" s="65" t="n">
        <f aca="false">IF(IFERROR(VLOOKUP(D411,Controls!$A$64:$E$74,5,FALSE()),"No")="Yes",1,0)</f>
        <v>0</v>
      </c>
      <c r="AI411" s="65" t="n">
        <f aca="false">IF(ISNUMBER(MATCH(D411,Controls!$A$64:$A$74,0)),1,0)</f>
        <v>1</v>
      </c>
      <c r="AJ411" s="65" t="n">
        <f aca="false">Q411-N411</f>
        <v>8800</v>
      </c>
      <c r="AK411" s="65" t="n">
        <f aca="false">IF(AE411=1,MAX(0,N411-Q411),0)</f>
        <v>0</v>
      </c>
      <c r="AL411" s="65" t="n">
        <f aca="false">IF(OR(V411="",V411=0),0,N411/V411)</f>
        <v>0.358158043325304</v>
      </c>
      <c r="AM411" s="65" t="n">
        <f aca="false">IF(OR(V411="",V411=0),0,1)</f>
        <v>1</v>
      </c>
      <c r="AN411" s="65" t="n">
        <f aca="false">IF(OR(E411="",F411=""),0,NETWORKDAYS(E411,F411,Ref!$K$2:$K$42))</f>
        <v>110</v>
      </c>
      <c r="AO411" s="65" t="n">
        <f aca="false">IF(L411="Renewal",1,0)</f>
        <v>0</v>
      </c>
      <c r="AP411" s="65" t="n">
        <f aca="false">AC411*AD411</f>
        <v>1</v>
      </c>
      <c r="AQ411" s="65" t="n">
        <f aca="false">IF(AND(G411&lt;&gt;"",'Historical Score'!$C$6&lt;&gt;""),IF(G411='Historical Score'!$C$6,1,0),0)</f>
        <v>0</v>
      </c>
      <c r="AR411" s="65" t="n">
        <f aca="false">IF(AND(L411&lt;&gt;"",'Historical Score'!$C$5&lt;&gt;""),IF(L411='Historical Score'!$C$5,1,0),0)</f>
        <v>1</v>
      </c>
      <c r="AS411" s="65" t="n">
        <f aca="false">IF(AND(Y411&lt;&gt;"",'Historical Score'!$C$7&lt;&gt;""),IF(Y411='Historical Score'!$C$7,1,0),0)</f>
        <v>0</v>
      </c>
      <c r="AT411" s="65" t="n">
        <f aca="false">IF(AND(K411&lt;&gt;"",'Historical Score'!$C$8&lt;&gt;""),IF(K411='Historical Score'!$C$8,1,0),0)</f>
        <v>0</v>
      </c>
      <c r="AU411" s="65" t="n">
        <f aca="false">IF(AND(J411&lt;&gt;"",'Historical Score'!$C$9&lt;&gt;""),IF(J411='Historical Score'!$C$9,1,0),0)</f>
        <v>0</v>
      </c>
      <c r="AV411" s="65" t="n">
        <f aca="false">AR411*AS411*AQ411</f>
        <v>0</v>
      </c>
      <c r="AW411" s="65" t="n">
        <f aca="false">AR411*AT411*AQ411</f>
        <v>0</v>
      </c>
      <c r="AX411" s="65" t="n">
        <f aca="false">AR411*AS411</f>
        <v>0</v>
      </c>
      <c r="AY411" s="65" t="n">
        <f aca="false">AR411*AT411</f>
        <v>0</v>
      </c>
      <c r="AZ411" s="65" t="n">
        <f aca="false">AR411*AQ411</f>
        <v>0</v>
      </c>
      <c r="BA411" s="65" t="n">
        <f aca="false">AR411</f>
        <v>1</v>
      </c>
      <c r="BB411" s="65" t="n">
        <f aca="false">1</f>
        <v>1</v>
      </c>
      <c r="BC411" s="65" t="n">
        <f aca="false">IF(AV411=1,1,IF(AW411=1,2,IF(AX411=1,3,IF(AY411=1,4,IF(AZ411=1,5,IF(BA411=1,6,7))))))</f>
        <v>6</v>
      </c>
      <c r="BD411" s="65" t="n">
        <f aca="false">IF(AD411=1,CHOOSE('Historical Score'!$C$29,AV411,AW411,AX411,AY411,AZ411,BA411,BB411),0)</f>
        <v>0</v>
      </c>
      <c r="BE411" s="65" t="str">
        <f aca="false">IF(BD411=1,COUNTIF($BD$2:BD411,1),"")</f>
        <v/>
      </c>
    </row>
    <row r="412" customFormat="false" ht="15" hidden="false" customHeight="false" outlineLevel="0" collapsed="false">
      <c r="A412" s="65" t="s">
        <v>1615</v>
      </c>
      <c r="B412" s="65" t="s">
        <v>1616</v>
      </c>
      <c r="C412" s="65" t="s">
        <v>1617</v>
      </c>
      <c r="D412" s="65" t="s">
        <v>371</v>
      </c>
      <c r="E412" s="112" t="n">
        <v>45996</v>
      </c>
      <c r="F412" s="112" t="n">
        <v>46087</v>
      </c>
      <c r="G412" s="65" t="n">
        <v>2</v>
      </c>
      <c r="H412" s="65" t="s">
        <v>752</v>
      </c>
      <c r="I412" s="65" t="s">
        <v>405</v>
      </c>
      <c r="J412" s="65" t="s">
        <v>452</v>
      </c>
      <c r="K412" s="65" t="s">
        <v>1042</v>
      </c>
      <c r="L412" s="65" t="s">
        <v>64</v>
      </c>
      <c r="M412" s="113" t="n">
        <v>1.45</v>
      </c>
      <c r="N412" s="114" t="n">
        <v>20000</v>
      </c>
      <c r="O412" s="114" t="n">
        <v>2400</v>
      </c>
      <c r="P412" s="114" t="n">
        <v>29000</v>
      </c>
      <c r="Q412" s="114" t="n">
        <v>29000</v>
      </c>
      <c r="R412" s="114" t="n">
        <v>0</v>
      </c>
      <c r="S412" s="115" t="n">
        <v>1</v>
      </c>
      <c r="T412" s="65" t="n">
        <v>3.934</v>
      </c>
      <c r="U412" s="65" t="n">
        <v>1</v>
      </c>
      <c r="V412" s="65" t="n">
        <v>22922.57</v>
      </c>
      <c r="W412" s="115" t="n">
        <v>0.2214</v>
      </c>
      <c r="X412" s="112"/>
      <c r="Y412" s="65" t="str">
        <f aca="false">IF(I412="","No SIC",IFERROR(VLOOKUP(I412,Ref!$A$2:$B$65,2,FALSE()),"Unclassified"))</f>
        <v>Health Services</v>
      </c>
      <c r="Z412" s="65" t="str">
        <f aca="false">IF(T412="","",IF(T412&lt;12,"Daily","Weekly"))</f>
        <v>Daily</v>
      </c>
      <c r="AA412" s="65" t="n">
        <f aca="false">IF(T412="",0,IF(T412&lt;12,T412*Controls!$B$29,T412*5))</f>
        <v>85.19077</v>
      </c>
      <c r="AB412" s="65" t="n">
        <f aca="false">IF(E412="",0,NETWORKDAYS(E412,Controls!$B$36,Ref!$K$2:$K$42))</f>
        <v>182</v>
      </c>
      <c r="AC412" s="65" t="n">
        <f aca="false">IF(AND(AA412&gt;0,AB412&gt;=Controls!$B$39*AA412),1,0)</f>
        <v>1</v>
      </c>
      <c r="AD412" s="65" t="n">
        <f aca="false">IF(AND(E412&lt;&gt;"",E412&gt;=Controls!$B$37,E412&lt;=Controls!$B$38),1,0)</f>
        <v>1</v>
      </c>
      <c r="AE412" s="65" t="n">
        <f aca="false">IF(IFERROR(VLOOKUP(D412,Controls!$A$64:$E$74,2,FALSE()),"No")="Yes",1,0)</f>
        <v>0</v>
      </c>
      <c r="AF412" s="65" t="n">
        <f aca="false">IF(IFERROR(VLOOKUP(D412,Controls!$A$64:$E$74,3,FALSE()),"No")="Yes",1,0)</f>
        <v>1</v>
      </c>
      <c r="AG412" s="65" t="n">
        <f aca="false">IF(IFERROR(VLOOKUP(D412,Controls!$A$64:$E$74,4,FALSE()),"No")="Yes",1,0)</f>
        <v>1</v>
      </c>
      <c r="AH412" s="65" t="n">
        <f aca="false">IF(IFERROR(VLOOKUP(D412,Controls!$A$64:$E$74,5,FALSE()),"No")="Yes",1,0)</f>
        <v>0</v>
      </c>
      <c r="AI412" s="65" t="n">
        <f aca="false">IF(ISNUMBER(MATCH(D412,Controls!$A$64:$A$74,0)),1,0)</f>
        <v>1</v>
      </c>
      <c r="AJ412" s="65" t="n">
        <f aca="false">Q412-N412</f>
        <v>9000</v>
      </c>
      <c r="AK412" s="65" t="n">
        <f aca="false">IF(AE412=1,MAX(0,N412-Q412),0)</f>
        <v>0</v>
      </c>
      <c r="AL412" s="65" t="n">
        <f aca="false">IF(OR(V412="",V412=0),0,N412/V412)</f>
        <v>0.872502516079131</v>
      </c>
      <c r="AM412" s="65" t="n">
        <f aca="false">IF(OR(V412="",V412=0),0,1)</f>
        <v>1</v>
      </c>
      <c r="AN412" s="65" t="n">
        <f aca="false">IF(OR(E412="",F412=""),0,NETWORKDAYS(E412,F412,Ref!$K$2:$K$42))</f>
        <v>62</v>
      </c>
      <c r="AO412" s="65" t="n">
        <f aca="false">IF(L412="Renewal",1,0)</f>
        <v>0</v>
      </c>
      <c r="AP412" s="65" t="n">
        <f aca="false">AC412*AD412</f>
        <v>1</v>
      </c>
      <c r="AQ412" s="65" t="n">
        <f aca="false">IF(AND(G412&lt;&gt;"",'Historical Score'!$C$6&lt;&gt;""),IF(G412='Historical Score'!$C$6,1,0),0)</f>
        <v>1</v>
      </c>
      <c r="AR412" s="65" t="n">
        <f aca="false">IF(AND(L412&lt;&gt;"",'Historical Score'!$C$5&lt;&gt;""),IF(L412='Historical Score'!$C$5,1,0),0)</f>
        <v>1</v>
      </c>
      <c r="AS412" s="65" t="n">
        <f aca="false">IF(AND(Y412&lt;&gt;"",'Historical Score'!$C$7&lt;&gt;""),IF(Y412='Historical Score'!$C$7,1,0),0)</f>
        <v>0</v>
      </c>
      <c r="AT412" s="65" t="n">
        <f aca="false">IF(AND(K412&lt;&gt;"",'Historical Score'!$C$8&lt;&gt;""),IF(K412='Historical Score'!$C$8,1,0),0)</f>
        <v>0</v>
      </c>
      <c r="AU412" s="65" t="n">
        <f aca="false">IF(AND(J412&lt;&gt;"",'Historical Score'!$C$9&lt;&gt;""),IF(J412='Historical Score'!$C$9,1,0),0)</f>
        <v>0</v>
      </c>
      <c r="AV412" s="65" t="n">
        <f aca="false">AR412*AS412*AQ412</f>
        <v>0</v>
      </c>
      <c r="AW412" s="65" t="n">
        <f aca="false">AR412*AT412*AQ412</f>
        <v>0</v>
      </c>
      <c r="AX412" s="65" t="n">
        <f aca="false">AR412*AS412</f>
        <v>0</v>
      </c>
      <c r="AY412" s="65" t="n">
        <f aca="false">AR412*AT412</f>
        <v>0</v>
      </c>
      <c r="AZ412" s="65" t="n">
        <f aca="false">AR412*AQ412</f>
        <v>1</v>
      </c>
      <c r="BA412" s="65" t="n">
        <f aca="false">AR412</f>
        <v>1</v>
      </c>
      <c r="BB412" s="65" t="n">
        <f aca="false">1</f>
        <v>1</v>
      </c>
      <c r="BC412" s="65" t="n">
        <f aca="false">IF(AV412=1,1,IF(AW412=1,2,IF(AX412=1,3,IF(AY412=1,4,IF(AZ412=1,5,IF(BA412=1,6,7))))))</f>
        <v>5</v>
      </c>
      <c r="BD412" s="65" t="n">
        <f aca="false">IF(AD412=1,CHOOSE('Historical Score'!$C$29,AV412,AW412,AX412,AY412,AZ412,BA412,BB412),0)</f>
        <v>0</v>
      </c>
      <c r="BE412" s="65" t="str">
        <f aca="false">IF(BD412=1,COUNTIF($BD$2:BD412,1),"")</f>
        <v/>
      </c>
    </row>
    <row r="413" customFormat="false" ht="15" hidden="false" customHeight="false" outlineLevel="0" collapsed="false">
      <c r="A413" s="65" t="s">
        <v>1618</v>
      </c>
      <c r="B413" s="65" t="s">
        <v>1619</v>
      </c>
      <c r="C413" s="65" t="s">
        <v>1620</v>
      </c>
      <c r="D413" s="65" t="s">
        <v>371</v>
      </c>
      <c r="E413" s="112" t="n">
        <v>45996</v>
      </c>
      <c r="F413" s="112" t="n">
        <v>46174</v>
      </c>
      <c r="G413" s="65" t="n">
        <v>1</v>
      </c>
      <c r="H413" s="65" t="s">
        <v>1621</v>
      </c>
      <c r="I413" s="65" t="s">
        <v>657</v>
      </c>
      <c r="J413" s="65" t="s">
        <v>61</v>
      </c>
      <c r="K413" s="65" t="s">
        <v>1622</v>
      </c>
      <c r="L413" s="65" t="s">
        <v>64</v>
      </c>
      <c r="M413" s="113" t="n">
        <v>1.46</v>
      </c>
      <c r="N413" s="114" t="n">
        <v>100000</v>
      </c>
      <c r="O413" s="114" t="n">
        <v>15000</v>
      </c>
      <c r="P413" s="114" t="n">
        <v>146000</v>
      </c>
      <c r="Q413" s="114" t="n">
        <v>146000</v>
      </c>
      <c r="R413" s="114" t="n">
        <v>0</v>
      </c>
      <c r="S413" s="115" t="n">
        <v>1</v>
      </c>
      <c r="T413" s="65" t="n">
        <v>24</v>
      </c>
      <c r="U413" s="65" t="n">
        <v>0</v>
      </c>
      <c r="V413" s="65" t="n">
        <v>328464.36</v>
      </c>
      <c r="W413" s="115" t="n">
        <v>0.074</v>
      </c>
      <c r="X413" s="112" t="n">
        <v>43619</v>
      </c>
      <c r="Y413" s="65" t="str">
        <f aca="false">IF(I413="","No SIC",IFERROR(VLOOKUP(I413,Ref!$A$2:$B$65,2,FALSE()),"Unclassified"))</f>
        <v>Fabricated Metal Products</v>
      </c>
      <c r="Z413" s="65" t="str">
        <f aca="false">IF(T413="","",IF(T413&lt;12,"Daily","Weekly"))</f>
        <v>Weekly</v>
      </c>
      <c r="AA413" s="65" t="n">
        <f aca="false">IF(T413="",0,IF(T413&lt;12,T413*Controls!$B$29,T413*5))</f>
        <v>120</v>
      </c>
      <c r="AB413" s="65" t="n">
        <f aca="false">IF(E413="",0,NETWORKDAYS(E413,Controls!$B$36,Ref!$K$2:$K$42))</f>
        <v>182</v>
      </c>
      <c r="AC413" s="65" t="n">
        <f aca="false">IF(AND(AA413&gt;0,AB413&gt;=Controls!$B$39*AA413),1,0)</f>
        <v>1</v>
      </c>
      <c r="AD413" s="65" t="n">
        <f aca="false">IF(AND(E413&lt;&gt;"",E413&gt;=Controls!$B$37,E413&lt;=Controls!$B$38),1,0)</f>
        <v>1</v>
      </c>
      <c r="AE413" s="65" t="n">
        <f aca="false">IF(IFERROR(VLOOKUP(D413,Controls!$A$64:$E$74,2,FALSE()),"No")="Yes",1,0)</f>
        <v>0</v>
      </c>
      <c r="AF413" s="65" t="n">
        <f aca="false">IF(IFERROR(VLOOKUP(D413,Controls!$A$64:$E$74,3,FALSE()),"No")="Yes",1,0)</f>
        <v>1</v>
      </c>
      <c r="AG413" s="65" t="n">
        <f aca="false">IF(IFERROR(VLOOKUP(D413,Controls!$A$64:$E$74,4,FALSE()),"No")="Yes",1,0)</f>
        <v>1</v>
      </c>
      <c r="AH413" s="65" t="n">
        <f aca="false">IF(IFERROR(VLOOKUP(D413,Controls!$A$64:$E$74,5,FALSE()),"No")="Yes",1,0)</f>
        <v>0</v>
      </c>
      <c r="AI413" s="65" t="n">
        <f aca="false">IF(ISNUMBER(MATCH(D413,Controls!$A$64:$A$74,0)),1,0)</f>
        <v>1</v>
      </c>
      <c r="AJ413" s="65" t="n">
        <f aca="false">Q413-N413</f>
        <v>46000</v>
      </c>
      <c r="AK413" s="65" t="n">
        <f aca="false">IF(AE413=1,MAX(0,N413-Q413),0)</f>
        <v>0</v>
      </c>
      <c r="AL413" s="65" t="n">
        <f aca="false">IF(OR(V413="",V413=0),0,N413/V413)</f>
        <v>0.304447033462017</v>
      </c>
      <c r="AM413" s="65" t="n">
        <f aca="false">IF(OR(V413="",V413=0),0,1)</f>
        <v>1</v>
      </c>
      <c r="AN413" s="65" t="n">
        <f aca="false">IF(OR(E413="",F413=""),0,NETWORKDAYS(E413,F413,Ref!$K$2:$K$42))</f>
        <v>122</v>
      </c>
      <c r="AO413" s="65" t="n">
        <f aca="false">IF(L413="Renewal",1,0)</f>
        <v>0</v>
      </c>
      <c r="AP413" s="65" t="n">
        <f aca="false">AC413*AD413</f>
        <v>1</v>
      </c>
      <c r="AQ413" s="65" t="n">
        <f aca="false">IF(AND(G413&lt;&gt;"",'Historical Score'!$C$6&lt;&gt;""),IF(G413='Historical Score'!$C$6,1,0),0)</f>
        <v>0</v>
      </c>
      <c r="AR413" s="65" t="n">
        <f aca="false">IF(AND(L413&lt;&gt;"",'Historical Score'!$C$5&lt;&gt;""),IF(L413='Historical Score'!$C$5,1,0),0)</f>
        <v>1</v>
      </c>
      <c r="AS413" s="65" t="n">
        <f aca="false">IF(AND(Y413&lt;&gt;"",'Historical Score'!$C$7&lt;&gt;""),IF(Y413='Historical Score'!$C$7,1,0),0)</f>
        <v>0</v>
      </c>
      <c r="AT413" s="65" t="n">
        <f aca="false">IF(AND(K413&lt;&gt;"",'Historical Score'!$C$8&lt;&gt;""),IF(K413='Historical Score'!$C$8,1,0),0)</f>
        <v>0</v>
      </c>
      <c r="AU413" s="65" t="n">
        <f aca="false">IF(AND(J413&lt;&gt;"",'Historical Score'!$C$9&lt;&gt;""),IF(J413='Historical Score'!$C$9,1,0),0)</f>
        <v>1</v>
      </c>
      <c r="AV413" s="65" t="n">
        <f aca="false">AR413*AS413*AQ413</f>
        <v>0</v>
      </c>
      <c r="AW413" s="65" t="n">
        <f aca="false">AR413*AT413*AQ413</f>
        <v>0</v>
      </c>
      <c r="AX413" s="65" t="n">
        <f aca="false">AR413*AS413</f>
        <v>0</v>
      </c>
      <c r="AY413" s="65" t="n">
        <f aca="false">AR413*AT413</f>
        <v>0</v>
      </c>
      <c r="AZ413" s="65" t="n">
        <f aca="false">AR413*AQ413</f>
        <v>0</v>
      </c>
      <c r="BA413" s="65" t="n">
        <f aca="false">AR413</f>
        <v>1</v>
      </c>
      <c r="BB413" s="65" t="n">
        <f aca="false">1</f>
        <v>1</v>
      </c>
      <c r="BC413" s="65" t="n">
        <f aca="false">IF(AV413=1,1,IF(AW413=1,2,IF(AX413=1,3,IF(AY413=1,4,IF(AZ413=1,5,IF(BA413=1,6,7))))))</f>
        <v>6</v>
      </c>
      <c r="BD413" s="65" t="n">
        <f aca="false">IF(AD413=1,CHOOSE('Historical Score'!$C$29,AV413,AW413,AX413,AY413,AZ413,BA413,BB413),0)</f>
        <v>0</v>
      </c>
      <c r="BE413" s="65" t="str">
        <f aca="false">IF(BD413=1,COUNTIF($BD$2:BD413,1),"")</f>
        <v/>
      </c>
    </row>
    <row r="414" customFormat="false" ht="15" hidden="false" customHeight="false" outlineLevel="0" collapsed="false">
      <c r="A414" s="65" t="s">
        <v>1623</v>
      </c>
      <c r="B414" s="65" t="s">
        <v>1624</v>
      </c>
      <c r="C414" s="65" t="s">
        <v>1624</v>
      </c>
      <c r="D414" s="65" t="s">
        <v>340</v>
      </c>
      <c r="E414" s="112" t="n">
        <v>45996</v>
      </c>
      <c r="F414" s="112" t="n">
        <v>46174</v>
      </c>
      <c r="G414" s="65" t="n">
        <v>2</v>
      </c>
      <c r="H414" s="65" t="s">
        <v>748</v>
      </c>
      <c r="I414" s="65" t="s">
        <v>619</v>
      </c>
      <c r="J414" s="65" t="s">
        <v>452</v>
      </c>
      <c r="K414" s="65" t="s">
        <v>1529</v>
      </c>
      <c r="L414" s="65" t="s">
        <v>64</v>
      </c>
      <c r="M414" s="113" t="n">
        <v>1.36</v>
      </c>
      <c r="N414" s="114" t="n">
        <v>10000</v>
      </c>
      <c r="O414" s="114" t="n">
        <v>750</v>
      </c>
      <c r="P414" s="114" t="n">
        <v>13600</v>
      </c>
      <c r="Q414" s="114" t="n">
        <v>6508.46</v>
      </c>
      <c r="R414" s="114" t="n">
        <v>7091.54</v>
      </c>
      <c r="S414" s="115" t="n">
        <v>0.478563235294118</v>
      </c>
      <c r="T414" s="65" t="n">
        <v>2.623</v>
      </c>
      <c r="U414" s="65" t="n">
        <v>18</v>
      </c>
      <c r="V414" s="65" t="n">
        <v>43908.19</v>
      </c>
      <c r="W414" s="115" t="n">
        <v>0.0813</v>
      </c>
      <c r="X414" s="112" t="n">
        <v>43371</v>
      </c>
      <c r="Y414" s="65" t="str">
        <f aca="false">IF(I414="","No SIC",IFERROR(VLOOKUP(I414,Ref!$A$2:$B$65,2,FALSE()),"Unclassified"))</f>
        <v>Miscellaneous Retail</v>
      </c>
      <c r="Z414" s="65" t="str">
        <f aca="false">IF(T414="","",IF(T414&lt;12,"Daily","Weekly"))</f>
        <v>Daily</v>
      </c>
      <c r="AA414" s="65" t="n">
        <f aca="false">IF(T414="",0,IF(T414&lt;12,T414*Controls!$B$29,T414*5))</f>
        <v>56.801065</v>
      </c>
      <c r="AB414" s="65" t="n">
        <f aca="false">IF(E414="",0,NETWORKDAYS(E414,Controls!$B$36,Ref!$K$2:$K$42))</f>
        <v>182</v>
      </c>
      <c r="AC414" s="65" t="n">
        <f aca="false">IF(AND(AA414&gt;0,AB414&gt;=Controls!$B$39*AA414),1,0)</f>
        <v>1</v>
      </c>
      <c r="AD414" s="65" t="n">
        <f aca="false">IF(AND(E414&lt;&gt;"",E414&gt;=Controls!$B$37,E414&lt;=Controls!$B$38),1,0)</f>
        <v>1</v>
      </c>
      <c r="AE414" s="65" t="n">
        <f aca="false">IF(IFERROR(VLOOKUP(D414,Controls!$A$64:$E$74,2,FALSE()),"No")="Yes",1,0)</f>
        <v>1</v>
      </c>
      <c r="AF414" s="65" t="n">
        <f aca="false">IF(IFERROR(VLOOKUP(D414,Controls!$A$64:$E$74,3,FALSE()),"No")="Yes",1,0)</f>
        <v>0</v>
      </c>
      <c r="AG414" s="65" t="n">
        <f aca="false">IF(IFERROR(VLOOKUP(D414,Controls!$A$64:$E$74,4,FALSE()),"No")="Yes",1,0)</f>
        <v>0</v>
      </c>
      <c r="AH414" s="65" t="n">
        <f aca="false">IF(IFERROR(VLOOKUP(D414,Controls!$A$64:$E$74,5,FALSE()),"No")="Yes",1,0)</f>
        <v>0</v>
      </c>
      <c r="AI414" s="65" t="n">
        <f aca="false">IF(ISNUMBER(MATCH(D414,Controls!$A$64:$A$74,0)),1,0)</f>
        <v>1</v>
      </c>
      <c r="AJ414" s="65" t="n">
        <f aca="false">Q414-N414</f>
        <v>-3491.54</v>
      </c>
      <c r="AK414" s="65" t="n">
        <f aca="false">IF(AE414=1,MAX(0,N414-Q414),0)</f>
        <v>3491.54</v>
      </c>
      <c r="AL414" s="65" t="n">
        <f aca="false">IF(OR(V414="",V414=0),0,N414/V414)</f>
        <v>0.227747944062372</v>
      </c>
      <c r="AM414" s="65" t="n">
        <f aca="false">IF(OR(V414="",V414=0),0,1)</f>
        <v>1</v>
      </c>
      <c r="AN414" s="65" t="n">
        <f aca="false">IF(OR(E414="",F414=""),0,NETWORKDAYS(E414,F414,Ref!$K$2:$K$42))</f>
        <v>122</v>
      </c>
      <c r="AO414" s="65" t="n">
        <f aca="false">IF(L414="Renewal",1,0)</f>
        <v>0</v>
      </c>
      <c r="AP414" s="65" t="n">
        <f aca="false">AC414*AD414</f>
        <v>1</v>
      </c>
      <c r="AQ414" s="65" t="n">
        <f aca="false">IF(AND(G414&lt;&gt;"",'Historical Score'!$C$6&lt;&gt;""),IF(G414='Historical Score'!$C$6,1,0),0)</f>
        <v>1</v>
      </c>
      <c r="AR414" s="65" t="n">
        <f aca="false">IF(AND(L414&lt;&gt;"",'Historical Score'!$C$5&lt;&gt;""),IF(L414='Historical Score'!$C$5,1,0),0)</f>
        <v>1</v>
      </c>
      <c r="AS414" s="65" t="n">
        <f aca="false">IF(AND(Y414&lt;&gt;"",'Historical Score'!$C$7&lt;&gt;""),IF(Y414='Historical Score'!$C$7,1,0),0)</f>
        <v>0</v>
      </c>
      <c r="AT414" s="65" t="n">
        <f aca="false">IF(AND(K414&lt;&gt;"",'Historical Score'!$C$8&lt;&gt;""),IF(K414='Historical Score'!$C$8,1,0),0)</f>
        <v>0</v>
      </c>
      <c r="AU414" s="65" t="n">
        <f aca="false">IF(AND(J414&lt;&gt;"",'Historical Score'!$C$9&lt;&gt;""),IF(J414='Historical Score'!$C$9,1,0),0)</f>
        <v>0</v>
      </c>
      <c r="AV414" s="65" t="n">
        <f aca="false">AR414*AS414*AQ414</f>
        <v>0</v>
      </c>
      <c r="AW414" s="65" t="n">
        <f aca="false">AR414*AT414*AQ414</f>
        <v>0</v>
      </c>
      <c r="AX414" s="65" t="n">
        <f aca="false">AR414*AS414</f>
        <v>0</v>
      </c>
      <c r="AY414" s="65" t="n">
        <f aca="false">AR414*AT414</f>
        <v>0</v>
      </c>
      <c r="AZ414" s="65" t="n">
        <f aca="false">AR414*AQ414</f>
        <v>1</v>
      </c>
      <c r="BA414" s="65" t="n">
        <f aca="false">AR414</f>
        <v>1</v>
      </c>
      <c r="BB414" s="65" t="n">
        <f aca="false">1</f>
        <v>1</v>
      </c>
      <c r="BC414" s="65" t="n">
        <f aca="false">IF(AV414=1,1,IF(AW414=1,2,IF(AX414=1,3,IF(AY414=1,4,IF(AZ414=1,5,IF(BA414=1,6,7))))))</f>
        <v>5</v>
      </c>
      <c r="BD414" s="65" t="n">
        <f aca="false">IF(AD414=1,CHOOSE('Historical Score'!$C$29,AV414,AW414,AX414,AY414,AZ414,BA414,BB414),0)</f>
        <v>0</v>
      </c>
      <c r="BE414" s="65" t="str">
        <f aca="false">IF(BD414=1,COUNTIF($BD$2:BD414,1),"")</f>
        <v/>
      </c>
    </row>
    <row r="415" customFormat="false" ht="15" hidden="false" customHeight="false" outlineLevel="0" collapsed="false">
      <c r="A415" s="65" t="s">
        <v>1625</v>
      </c>
      <c r="B415" s="65" t="s">
        <v>790</v>
      </c>
      <c r="C415" s="65" t="s">
        <v>790</v>
      </c>
      <c r="D415" s="65" t="s">
        <v>689</v>
      </c>
      <c r="E415" s="112" t="n">
        <v>45996</v>
      </c>
      <c r="F415" s="112" t="n">
        <v>46153</v>
      </c>
      <c r="G415" s="65" t="n">
        <v>3</v>
      </c>
      <c r="H415" s="65" t="s">
        <v>409</v>
      </c>
      <c r="I415" s="65" t="s">
        <v>342</v>
      </c>
      <c r="J415" s="65" t="s">
        <v>373</v>
      </c>
      <c r="K415" s="65" t="s">
        <v>672</v>
      </c>
      <c r="L415" s="65" t="s">
        <v>320</v>
      </c>
      <c r="M415" s="113" t="n">
        <v>1.42</v>
      </c>
      <c r="N415" s="114" t="n">
        <v>25000</v>
      </c>
      <c r="O415" s="114" t="n">
        <v>2625</v>
      </c>
      <c r="P415" s="114" t="n">
        <v>35500</v>
      </c>
      <c r="Q415" s="114" t="n">
        <v>14205.36</v>
      </c>
      <c r="R415" s="114" t="n">
        <v>21294.64</v>
      </c>
      <c r="S415" s="115" t="n">
        <v>0.400150985915493</v>
      </c>
      <c r="T415" s="65" t="n">
        <v>4.262</v>
      </c>
      <c r="U415" s="65" t="n">
        <v>8</v>
      </c>
      <c r="V415" s="65" t="n">
        <v>51823.33</v>
      </c>
      <c r="W415" s="115" t="n">
        <v>0.1107</v>
      </c>
      <c r="X415" s="112"/>
      <c r="Y415" s="65" t="str">
        <f aca="false">IF(I415="","No SIC",IFERROR(VLOOKUP(I415,Ref!$A$2:$B$65,2,FALSE()),"Unclassified"))</f>
        <v>Eating &amp; Drinking Places</v>
      </c>
      <c r="Z415" s="65" t="str">
        <f aca="false">IF(T415="","",IF(T415&lt;12,"Daily","Weekly"))</f>
        <v>Daily</v>
      </c>
      <c r="AA415" s="65" t="n">
        <f aca="false">IF(T415="",0,IF(T415&lt;12,T415*Controls!$B$29,T415*5))</f>
        <v>92.29361</v>
      </c>
      <c r="AB415" s="65" t="n">
        <f aca="false">IF(E415="",0,NETWORKDAYS(E415,Controls!$B$36,Ref!$K$2:$K$42))</f>
        <v>182</v>
      </c>
      <c r="AC415" s="65" t="n">
        <f aca="false">IF(AND(AA415&gt;0,AB415&gt;=Controls!$B$39*AA415),1,0)</f>
        <v>1</v>
      </c>
      <c r="AD415" s="65" t="n">
        <f aca="false">IF(AND(E415&lt;&gt;"",E415&gt;=Controls!$B$37,E415&lt;=Controls!$B$38),1,0)</f>
        <v>1</v>
      </c>
      <c r="AE415" s="65" t="n">
        <f aca="false">IF(IFERROR(VLOOKUP(D415,Controls!$A$64:$E$74,2,FALSE()),"No")="Yes",1,0)</f>
        <v>1</v>
      </c>
      <c r="AF415" s="65" t="n">
        <f aca="false">IF(IFERROR(VLOOKUP(D415,Controls!$A$64:$E$74,3,FALSE()),"No")="Yes",1,0)</f>
        <v>1</v>
      </c>
      <c r="AG415" s="65" t="n">
        <f aca="false">IF(IFERROR(VLOOKUP(D415,Controls!$A$64:$E$74,4,FALSE()),"No")="Yes",1,0)</f>
        <v>0</v>
      </c>
      <c r="AH415" s="65" t="n">
        <f aca="false">IF(IFERROR(VLOOKUP(D415,Controls!$A$64:$E$74,5,FALSE()),"No")="Yes",1,0)</f>
        <v>0</v>
      </c>
      <c r="AI415" s="65" t="n">
        <f aca="false">IF(ISNUMBER(MATCH(D415,Controls!$A$64:$A$74,0)),1,0)</f>
        <v>1</v>
      </c>
      <c r="AJ415" s="65" t="n">
        <f aca="false">Q415-N415</f>
        <v>-10794.64</v>
      </c>
      <c r="AK415" s="65" t="n">
        <f aca="false">IF(AE415=1,MAX(0,N415-Q415),0)</f>
        <v>10794.64</v>
      </c>
      <c r="AL415" s="65" t="n">
        <f aca="false">IF(OR(V415="",V415=0),0,N415/V415)</f>
        <v>0.482408212671783</v>
      </c>
      <c r="AM415" s="65" t="n">
        <f aca="false">IF(OR(V415="",V415=0),0,1)</f>
        <v>1</v>
      </c>
      <c r="AN415" s="65" t="n">
        <f aca="false">IF(OR(E415="",F415=""),0,NETWORKDAYS(E415,F415,Ref!$K$2:$K$42))</f>
        <v>108</v>
      </c>
      <c r="AO415" s="65" t="n">
        <f aca="false">IF(L415="Renewal",1,0)</f>
        <v>1</v>
      </c>
      <c r="AP415" s="65" t="n">
        <f aca="false">AC415*AD415</f>
        <v>1</v>
      </c>
      <c r="AQ415" s="65" t="n">
        <f aca="false">IF(AND(G415&lt;&gt;"",'Historical Score'!$C$6&lt;&gt;""),IF(G415='Historical Score'!$C$6,1,0),0)</f>
        <v>0</v>
      </c>
      <c r="AR415" s="65" t="n">
        <f aca="false">IF(AND(L415&lt;&gt;"",'Historical Score'!$C$5&lt;&gt;""),IF(L415='Historical Score'!$C$5,1,0),0)</f>
        <v>0</v>
      </c>
      <c r="AS415" s="65" t="n">
        <f aca="false">IF(AND(Y415&lt;&gt;"",'Historical Score'!$C$7&lt;&gt;""),IF(Y415='Historical Score'!$C$7,1,0),0)</f>
        <v>0</v>
      </c>
      <c r="AT415" s="65" t="n">
        <f aca="false">IF(AND(K415&lt;&gt;"",'Historical Score'!$C$8&lt;&gt;""),IF(K415='Historical Score'!$C$8,1,0),0)</f>
        <v>0</v>
      </c>
      <c r="AU415" s="65" t="n">
        <f aca="false">IF(AND(J415&lt;&gt;"",'Historical Score'!$C$9&lt;&gt;""),IF(J415='Historical Score'!$C$9,1,0),0)</f>
        <v>0</v>
      </c>
      <c r="AV415" s="65" t="n">
        <f aca="false">AR415*AS415*AQ415</f>
        <v>0</v>
      </c>
      <c r="AW415" s="65" t="n">
        <f aca="false">AR415*AT415*AQ415</f>
        <v>0</v>
      </c>
      <c r="AX415" s="65" t="n">
        <f aca="false">AR415*AS415</f>
        <v>0</v>
      </c>
      <c r="AY415" s="65" t="n">
        <f aca="false">AR415*AT415</f>
        <v>0</v>
      </c>
      <c r="AZ415" s="65" t="n">
        <f aca="false">AR415*AQ415</f>
        <v>0</v>
      </c>
      <c r="BA415" s="65" t="n">
        <f aca="false">AR415</f>
        <v>0</v>
      </c>
      <c r="BB415" s="65" t="n">
        <f aca="false">1</f>
        <v>1</v>
      </c>
      <c r="BC415" s="65" t="n">
        <f aca="false">IF(AV415=1,1,IF(AW415=1,2,IF(AX415=1,3,IF(AY415=1,4,IF(AZ415=1,5,IF(BA415=1,6,7))))))</f>
        <v>7</v>
      </c>
      <c r="BD415" s="65" t="n">
        <f aca="false">IF(AD415=1,CHOOSE('Historical Score'!$C$29,AV415,AW415,AX415,AY415,AZ415,BA415,BB415),0)</f>
        <v>0</v>
      </c>
      <c r="BE415" s="65" t="str">
        <f aca="false">IF(BD415=1,COUNTIF($BD$2:BD415,1),"")</f>
        <v/>
      </c>
    </row>
    <row r="416" customFormat="false" ht="15" hidden="false" customHeight="false" outlineLevel="0" collapsed="false">
      <c r="A416" s="65" t="s">
        <v>1626</v>
      </c>
      <c r="B416" s="65" t="s">
        <v>864</v>
      </c>
      <c r="C416" s="65" t="s">
        <v>865</v>
      </c>
      <c r="D416" s="65" t="s">
        <v>371</v>
      </c>
      <c r="E416" s="112" t="n">
        <v>45996</v>
      </c>
      <c r="F416" s="112" t="n">
        <v>46106</v>
      </c>
      <c r="G416" s="65" t="n">
        <v>4</v>
      </c>
      <c r="H416" s="65" t="s">
        <v>500</v>
      </c>
      <c r="I416" s="65" t="s">
        <v>475</v>
      </c>
      <c r="J416" s="65" t="s">
        <v>555</v>
      </c>
      <c r="K416" s="65" t="s">
        <v>411</v>
      </c>
      <c r="L416" s="65" t="s">
        <v>64</v>
      </c>
      <c r="M416" s="113" t="n">
        <v>1.49</v>
      </c>
      <c r="N416" s="114" t="n">
        <v>15000</v>
      </c>
      <c r="O416" s="114" t="n">
        <v>2100</v>
      </c>
      <c r="P416" s="114" t="n">
        <v>22350</v>
      </c>
      <c r="Q416" s="114" t="n">
        <v>22350</v>
      </c>
      <c r="R416" s="114" t="n">
        <v>0</v>
      </c>
      <c r="S416" s="115" t="n">
        <v>1</v>
      </c>
      <c r="T416" s="65" t="n">
        <v>3.279</v>
      </c>
      <c r="U416" s="65" t="n">
        <v>0</v>
      </c>
      <c r="V416" s="65" t="n">
        <v>49372.77</v>
      </c>
      <c r="W416" s="115" t="n">
        <v>0.1285</v>
      </c>
      <c r="X416" s="112" t="n">
        <v>30767</v>
      </c>
      <c r="Y416" s="65" t="str">
        <f aca="false">IF(I416="","No SIC",IFERROR(VLOOKUP(I416,Ref!$A$2:$B$65,2,FALSE()),"Unclassified"))</f>
        <v>Auto Repair &amp; Services</v>
      </c>
      <c r="Z416" s="65" t="str">
        <f aca="false">IF(T416="","",IF(T416&lt;12,"Daily","Weekly"))</f>
        <v>Daily</v>
      </c>
      <c r="AA416" s="65" t="n">
        <f aca="false">IF(T416="",0,IF(T416&lt;12,T416*Controls!$B$29,T416*5))</f>
        <v>71.006745</v>
      </c>
      <c r="AB416" s="65" t="n">
        <f aca="false">IF(E416="",0,NETWORKDAYS(E416,Controls!$B$36,Ref!$K$2:$K$42))</f>
        <v>182</v>
      </c>
      <c r="AC416" s="65" t="n">
        <f aca="false">IF(AND(AA416&gt;0,AB416&gt;=Controls!$B$39*AA416),1,0)</f>
        <v>1</v>
      </c>
      <c r="AD416" s="65" t="n">
        <f aca="false">IF(AND(E416&lt;&gt;"",E416&gt;=Controls!$B$37,E416&lt;=Controls!$B$38),1,0)</f>
        <v>1</v>
      </c>
      <c r="AE416" s="65" t="n">
        <f aca="false">IF(IFERROR(VLOOKUP(D416,Controls!$A$64:$E$74,2,FALSE()),"No")="Yes",1,0)</f>
        <v>0</v>
      </c>
      <c r="AF416" s="65" t="n">
        <f aca="false">IF(IFERROR(VLOOKUP(D416,Controls!$A$64:$E$74,3,FALSE()),"No")="Yes",1,0)</f>
        <v>1</v>
      </c>
      <c r="AG416" s="65" t="n">
        <f aca="false">IF(IFERROR(VLOOKUP(D416,Controls!$A$64:$E$74,4,FALSE()),"No")="Yes",1,0)</f>
        <v>1</v>
      </c>
      <c r="AH416" s="65" t="n">
        <f aca="false">IF(IFERROR(VLOOKUP(D416,Controls!$A$64:$E$74,5,FALSE()),"No")="Yes",1,0)</f>
        <v>0</v>
      </c>
      <c r="AI416" s="65" t="n">
        <f aca="false">IF(ISNUMBER(MATCH(D416,Controls!$A$64:$A$74,0)),1,0)</f>
        <v>1</v>
      </c>
      <c r="AJ416" s="65" t="n">
        <f aca="false">Q416-N416</f>
        <v>7350</v>
      </c>
      <c r="AK416" s="65" t="n">
        <f aca="false">IF(AE416=1,MAX(0,N416-Q416),0)</f>
        <v>0</v>
      </c>
      <c r="AL416" s="65" t="n">
        <f aca="false">IF(OR(V416="",V416=0),0,N416/V416)</f>
        <v>0.30381118985222</v>
      </c>
      <c r="AM416" s="65" t="n">
        <f aca="false">IF(OR(V416="",V416=0),0,1)</f>
        <v>1</v>
      </c>
      <c r="AN416" s="65" t="n">
        <f aca="false">IF(OR(E416="",F416=""),0,NETWORKDAYS(E416,F416,Ref!$K$2:$K$42))</f>
        <v>75</v>
      </c>
      <c r="AO416" s="65" t="n">
        <f aca="false">IF(L416="Renewal",1,0)</f>
        <v>0</v>
      </c>
      <c r="AP416" s="65" t="n">
        <f aca="false">AC416*AD416</f>
        <v>1</v>
      </c>
      <c r="AQ416" s="65" t="n">
        <f aca="false">IF(AND(G416&lt;&gt;"",'Historical Score'!$C$6&lt;&gt;""),IF(G416='Historical Score'!$C$6,1,0),0)</f>
        <v>0</v>
      </c>
      <c r="AR416" s="65" t="n">
        <f aca="false">IF(AND(L416&lt;&gt;"",'Historical Score'!$C$5&lt;&gt;""),IF(L416='Historical Score'!$C$5,1,0),0)</f>
        <v>1</v>
      </c>
      <c r="AS416" s="65" t="n">
        <f aca="false">IF(AND(Y416&lt;&gt;"",'Historical Score'!$C$7&lt;&gt;""),IF(Y416='Historical Score'!$C$7,1,0),0)</f>
        <v>0</v>
      </c>
      <c r="AT416" s="65" t="n">
        <f aca="false">IF(AND(K416&lt;&gt;"",'Historical Score'!$C$8&lt;&gt;""),IF(K416='Historical Score'!$C$8,1,0),0)</f>
        <v>0</v>
      </c>
      <c r="AU416" s="65" t="n">
        <f aca="false">IF(AND(J416&lt;&gt;"",'Historical Score'!$C$9&lt;&gt;""),IF(J416='Historical Score'!$C$9,1,0),0)</f>
        <v>0</v>
      </c>
      <c r="AV416" s="65" t="n">
        <f aca="false">AR416*AS416*AQ416</f>
        <v>0</v>
      </c>
      <c r="AW416" s="65" t="n">
        <f aca="false">AR416*AT416*AQ416</f>
        <v>0</v>
      </c>
      <c r="AX416" s="65" t="n">
        <f aca="false">AR416*AS416</f>
        <v>0</v>
      </c>
      <c r="AY416" s="65" t="n">
        <f aca="false">AR416*AT416</f>
        <v>0</v>
      </c>
      <c r="AZ416" s="65" t="n">
        <f aca="false">AR416*AQ416</f>
        <v>0</v>
      </c>
      <c r="BA416" s="65" t="n">
        <f aca="false">AR416</f>
        <v>1</v>
      </c>
      <c r="BB416" s="65" t="n">
        <f aca="false">1</f>
        <v>1</v>
      </c>
      <c r="BC416" s="65" t="n">
        <f aca="false">IF(AV416=1,1,IF(AW416=1,2,IF(AX416=1,3,IF(AY416=1,4,IF(AZ416=1,5,IF(BA416=1,6,7))))))</f>
        <v>6</v>
      </c>
      <c r="BD416" s="65" t="n">
        <f aca="false">IF(AD416=1,CHOOSE('Historical Score'!$C$29,AV416,AW416,AX416,AY416,AZ416,BA416,BB416),0)</f>
        <v>0</v>
      </c>
      <c r="BE416" s="65" t="str">
        <f aca="false">IF(BD416=1,COUNTIF($BD$2:BD416,1),"")</f>
        <v/>
      </c>
    </row>
    <row r="417" customFormat="false" ht="15" hidden="false" customHeight="false" outlineLevel="0" collapsed="false">
      <c r="A417" s="65" t="s">
        <v>1627</v>
      </c>
      <c r="B417" s="65" t="s">
        <v>1628</v>
      </c>
      <c r="C417" s="65" t="s">
        <v>1628</v>
      </c>
      <c r="D417" s="65" t="s">
        <v>371</v>
      </c>
      <c r="E417" s="112" t="n">
        <v>45996</v>
      </c>
      <c r="F417" s="112" t="n">
        <v>46120</v>
      </c>
      <c r="G417" s="65" t="n">
        <v>3</v>
      </c>
      <c r="H417" s="65" t="s">
        <v>479</v>
      </c>
      <c r="I417" s="65" t="s">
        <v>356</v>
      </c>
      <c r="J417" s="65" t="s">
        <v>732</v>
      </c>
      <c r="K417" s="65" t="s">
        <v>581</v>
      </c>
      <c r="L417" s="65" t="s">
        <v>64</v>
      </c>
      <c r="M417" s="113" t="n">
        <v>1.35</v>
      </c>
      <c r="N417" s="114" t="n">
        <v>17000</v>
      </c>
      <c r="O417" s="114" t="n">
        <v>1190</v>
      </c>
      <c r="P417" s="114" t="n">
        <v>22950</v>
      </c>
      <c r="Q417" s="114" t="n">
        <v>22950</v>
      </c>
      <c r="R417" s="114" t="n">
        <v>0</v>
      </c>
      <c r="S417" s="115" t="n">
        <v>1</v>
      </c>
      <c r="T417" s="65" t="n">
        <v>24</v>
      </c>
      <c r="U417" s="65" t="n">
        <v>1</v>
      </c>
      <c r="V417" s="65" t="n">
        <v>99070.63</v>
      </c>
      <c r="W417" s="115" t="n">
        <v>0.0386</v>
      </c>
      <c r="X417" s="112"/>
      <c r="Y417" s="65" t="str">
        <f aca="false">IF(I417="","No SIC",IFERROR(VLOOKUP(I417,Ref!$A$2:$B$65,2,FALSE()),"Unclassified"))</f>
        <v>Trucking &amp; Warehousing</v>
      </c>
      <c r="Z417" s="65" t="str">
        <f aca="false">IF(T417="","",IF(T417&lt;12,"Daily","Weekly"))</f>
        <v>Weekly</v>
      </c>
      <c r="AA417" s="65" t="n">
        <f aca="false">IF(T417="",0,IF(T417&lt;12,T417*Controls!$B$29,T417*5))</f>
        <v>120</v>
      </c>
      <c r="AB417" s="65" t="n">
        <f aca="false">IF(E417="",0,NETWORKDAYS(E417,Controls!$B$36,Ref!$K$2:$K$42))</f>
        <v>182</v>
      </c>
      <c r="AC417" s="65" t="n">
        <f aca="false">IF(AND(AA417&gt;0,AB417&gt;=Controls!$B$39*AA417),1,0)</f>
        <v>1</v>
      </c>
      <c r="AD417" s="65" t="n">
        <f aca="false">IF(AND(E417&lt;&gt;"",E417&gt;=Controls!$B$37,E417&lt;=Controls!$B$38),1,0)</f>
        <v>1</v>
      </c>
      <c r="AE417" s="65" t="n">
        <f aca="false">IF(IFERROR(VLOOKUP(D417,Controls!$A$64:$E$74,2,FALSE()),"No")="Yes",1,0)</f>
        <v>0</v>
      </c>
      <c r="AF417" s="65" t="n">
        <f aca="false">IF(IFERROR(VLOOKUP(D417,Controls!$A$64:$E$74,3,FALSE()),"No")="Yes",1,0)</f>
        <v>1</v>
      </c>
      <c r="AG417" s="65" t="n">
        <f aca="false">IF(IFERROR(VLOOKUP(D417,Controls!$A$64:$E$74,4,FALSE()),"No")="Yes",1,0)</f>
        <v>1</v>
      </c>
      <c r="AH417" s="65" t="n">
        <f aca="false">IF(IFERROR(VLOOKUP(D417,Controls!$A$64:$E$74,5,FALSE()),"No")="Yes",1,0)</f>
        <v>0</v>
      </c>
      <c r="AI417" s="65" t="n">
        <f aca="false">IF(ISNUMBER(MATCH(D417,Controls!$A$64:$A$74,0)),1,0)</f>
        <v>1</v>
      </c>
      <c r="AJ417" s="65" t="n">
        <f aca="false">Q417-N417</f>
        <v>5950</v>
      </c>
      <c r="AK417" s="65" t="n">
        <f aca="false">IF(AE417=1,MAX(0,N417-Q417),0)</f>
        <v>0</v>
      </c>
      <c r="AL417" s="65" t="n">
        <f aca="false">IF(OR(V417="",V417=0),0,N417/V417)</f>
        <v>0.171594750129276</v>
      </c>
      <c r="AM417" s="65" t="n">
        <f aca="false">IF(OR(V417="",V417=0),0,1)</f>
        <v>1</v>
      </c>
      <c r="AN417" s="65" t="n">
        <f aca="false">IF(OR(E417="",F417=""),0,NETWORKDAYS(E417,F417,Ref!$K$2:$K$42))</f>
        <v>85</v>
      </c>
      <c r="AO417" s="65" t="n">
        <f aca="false">IF(L417="Renewal",1,0)</f>
        <v>0</v>
      </c>
      <c r="AP417" s="65" t="n">
        <f aca="false">AC417*AD417</f>
        <v>1</v>
      </c>
      <c r="AQ417" s="65" t="n">
        <f aca="false">IF(AND(G417&lt;&gt;"",'Historical Score'!$C$6&lt;&gt;""),IF(G417='Historical Score'!$C$6,1,0),0)</f>
        <v>0</v>
      </c>
      <c r="AR417" s="65" t="n">
        <f aca="false">IF(AND(L417&lt;&gt;"",'Historical Score'!$C$5&lt;&gt;""),IF(L417='Historical Score'!$C$5,1,0),0)</f>
        <v>1</v>
      </c>
      <c r="AS417" s="65" t="n">
        <f aca="false">IF(AND(Y417&lt;&gt;"",'Historical Score'!$C$7&lt;&gt;""),IF(Y417='Historical Score'!$C$7,1,0),0)</f>
        <v>0</v>
      </c>
      <c r="AT417" s="65" t="n">
        <f aca="false">IF(AND(K417&lt;&gt;"",'Historical Score'!$C$8&lt;&gt;""),IF(K417='Historical Score'!$C$8,1,0),0)</f>
        <v>0</v>
      </c>
      <c r="AU417" s="65" t="n">
        <f aca="false">IF(AND(J417&lt;&gt;"",'Historical Score'!$C$9&lt;&gt;""),IF(J417='Historical Score'!$C$9,1,0),0)</f>
        <v>0</v>
      </c>
      <c r="AV417" s="65" t="n">
        <f aca="false">AR417*AS417*AQ417</f>
        <v>0</v>
      </c>
      <c r="AW417" s="65" t="n">
        <f aca="false">AR417*AT417*AQ417</f>
        <v>0</v>
      </c>
      <c r="AX417" s="65" t="n">
        <f aca="false">AR417*AS417</f>
        <v>0</v>
      </c>
      <c r="AY417" s="65" t="n">
        <f aca="false">AR417*AT417</f>
        <v>0</v>
      </c>
      <c r="AZ417" s="65" t="n">
        <f aca="false">AR417*AQ417</f>
        <v>0</v>
      </c>
      <c r="BA417" s="65" t="n">
        <f aca="false">AR417</f>
        <v>1</v>
      </c>
      <c r="BB417" s="65" t="n">
        <f aca="false">1</f>
        <v>1</v>
      </c>
      <c r="BC417" s="65" t="n">
        <f aca="false">IF(AV417=1,1,IF(AW417=1,2,IF(AX417=1,3,IF(AY417=1,4,IF(AZ417=1,5,IF(BA417=1,6,7))))))</f>
        <v>6</v>
      </c>
      <c r="BD417" s="65" t="n">
        <f aca="false">IF(AD417=1,CHOOSE('Historical Score'!$C$29,AV417,AW417,AX417,AY417,AZ417,BA417,BB417),0)</f>
        <v>0</v>
      </c>
      <c r="BE417" s="65" t="str">
        <f aca="false">IF(BD417=1,COUNTIF($BD$2:BD417,1),"")</f>
        <v/>
      </c>
    </row>
    <row r="418" customFormat="false" ht="15" hidden="false" customHeight="false" outlineLevel="0" collapsed="false">
      <c r="A418" s="65" t="s">
        <v>1629</v>
      </c>
      <c r="B418" s="65" t="s">
        <v>1630</v>
      </c>
      <c r="C418" s="65" t="s">
        <v>1630</v>
      </c>
      <c r="D418" s="65" t="s">
        <v>371</v>
      </c>
      <c r="E418" s="112" t="n">
        <v>45996</v>
      </c>
      <c r="F418" s="112" t="n">
        <v>46048</v>
      </c>
      <c r="G418" s="65" t="n">
        <v>2</v>
      </c>
      <c r="H418" s="65" t="s">
        <v>748</v>
      </c>
      <c r="I418" s="65" t="s">
        <v>619</v>
      </c>
      <c r="J418" s="65" t="s">
        <v>649</v>
      </c>
      <c r="K418" s="65" t="s">
        <v>55</v>
      </c>
      <c r="L418" s="65" t="s">
        <v>64</v>
      </c>
      <c r="M418" s="113" t="n">
        <v>1.49</v>
      </c>
      <c r="N418" s="114" t="n">
        <v>10000</v>
      </c>
      <c r="O418" s="114" t="n">
        <v>1400</v>
      </c>
      <c r="P418" s="114" t="n">
        <v>14900</v>
      </c>
      <c r="Q418" s="114" t="n">
        <v>14900</v>
      </c>
      <c r="R418" s="114" t="n">
        <v>0</v>
      </c>
      <c r="S418" s="115" t="n">
        <v>1</v>
      </c>
      <c r="T418" s="65" t="n">
        <v>2.295</v>
      </c>
      <c r="U418" s="65" t="n">
        <v>7</v>
      </c>
      <c r="V418" s="65" t="n">
        <v>93274.12</v>
      </c>
      <c r="W418" s="115" t="n">
        <v>0.0479</v>
      </c>
      <c r="X418" s="112"/>
      <c r="Y418" s="65" t="str">
        <f aca="false">IF(I418="","No SIC",IFERROR(VLOOKUP(I418,Ref!$A$2:$B$65,2,FALSE()),"Unclassified"))</f>
        <v>Miscellaneous Retail</v>
      </c>
      <c r="Z418" s="65" t="str">
        <f aca="false">IF(T418="","",IF(T418&lt;12,"Daily","Weekly"))</f>
        <v>Daily</v>
      </c>
      <c r="AA418" s="65" t="n">
        <f aca="false">IF(T418="",0,IF(T418&lt;12,T418*Controls!$B$29,T418*5))</f>
        <v>49.698225</v>
      </c>
      <c r="AB418" s="65" t="n">
        <f aca="false">IF(E418="",0,NETWORKDAYS(E418,Controls!$B$36,Ref!$K$2:$K$42))</f>
        <v>182</v>
      </c>
      <c r="AC418" s="65" t="n">
        <f aca="false">IF(AND(AA418&gt;0,AB418&gt;=Controls!$B$39*AA418),1,0)</f>
        <v>1</v>
      </c>
      <c r="AD418" s="65" t="n">
        <f aca="false">IF(AND(E418&lt;&gt;"",E418&gt;=Controls!$B$37,E418&lt;=Controls!$B$38),1,0)</f>
        <v>1</v>
      </c>
      <c r="AE418" s="65" t="n">
        <f aca="false">IF(IFERROR(VLOOKUP(D418,Controls!$A$64:$E$74,2,FALSE()),"No")="Yes",1,0)</f>
        <v>0</v>
      </c>
      <c r="AF418" s="65" t="n">
        <f aca="false">IF(IFERROR(VLOOKUP(D418,Controls!$A$64:$E$74,3,FALSE()),"No")="Yes",1,0)</f>
        <v>1</v>
      </c>
      <c r="AG418" s="65" t="n">
        <f aca="false">IF(IFERROR(VLOOKUP(D418,Controls!$A$64:$E$74,4,FALSE()),"No")="Yes",1,0)</f>
        <v>1</v>
      </c>
      <c r="AH418" s="65" t="n">
        <f aca="false">IF(IFERROR(VLOOKUP(D418,Controls!$A$64:$E$74,5,FALSE()),"No")="Yes",1,0)</f>
        <v>0</v>
      </c>
      <c r="AI418" s="65" t="n">
        <f aca="false">IF(ISNUMBER(MATCH(D418,Controls!$A$64:$A$74,0)),1,0)</f>
        <v>1</v>
      </c>
      <c r="AJ418" s="65" t="n">
        <f aca="false">Q418-N418</f>
        <v>4900</v>
      </c>
      <c r="AK418" s="65" t="n">
        <f aca="false">IF(AE418=1,MAX(0,N418-Q418),0)</f>
        <v>0</v>
      </c>
      <c r="AL418" s="65" t="n">
        <f aca="false">IF(OR(V418="",V418=0),0,N418/V418)</f>
        <v>0.107210874784989</v>
      </c>
      <c r="AM418" s="65" t="n">
        <f aca="false">IF(OR(V418="",V418=0),0,1)</f>
        <v>1</v>
      </c>
      <c r="AN418" s="65" t="n">
        <f aca="false">IF(OR(E418="",F418=""),0,NETWORKDAYS(E418,F418,Ref!$K$2:$K$42))</f>
        <v>34</v>
      </c>
      <c r="AO418" s="65" t="n">
        <f aca="false">IF(L418="Renewal",1,0)</f>
        <v>0</v>
      </c>
      <c r="AP418" s="65" t="n">
        <f aca="false">AC418*AD418</f>
        <v>1</v>
      </c>
      <c r="AQ418" s="65" t="n">
        <f aca="false">IF(AND(G418&lt;&gt;"",'Historical Score'!$C$6&lt;&gt;""),IF(G418='Historical Score'!$C$6,1,0),0)</f>
        <v>1</v>
      </c>
      <c r="AR418" s="65" t="n">
        <f aca="false">IF(AND(L418&lt;&gt;"",'Historical Score'!$C$5&lt;&gt;""),IF(L418='Historical Score'!$C$5,1,0),0)</f>
        <v>1</v>
      </c>
      <c r="AS418" s="65" t="n">
        <f aca="false">IF(AND(Y418&lt;&gt;"",'Historical Score'!$C$7&lt;&gt;""),IF(Y418='Historical Score'!$C$7,1,0),0)</f>
        <v>0</v>
      </c>
      <c r="AT418" s="65" t="n">
        <f aca="false">IF(AND(K418&lt;&gt;"",'Historical Score'!$C$8&lt;&gt;""),IF(K418='Historical Score'!$C$8,1,0),0)</f>
        <v>1</v>
      </c>
      <c r="AU418" s="65" t="n">
        <f aca="false">IF(AND(J418&lt;&gt;"",'Historical Score'!$C$9&lt;&gt;""),IF(J418='Historical Score'!$C$9,1,0),0)</f>
        <v>0</v>
      </c>
      <c r="AV418" s="65" t="n">
        <f aca="false">AR418*AS418*AQ418</f>
        <v>0</v>
      </c>
      <c r="AW418" s="65" t="n">
        <f aca="false">AR418*AT418*AQ418</f>
        <v>1</v>
      </c>
      <c r="AX418" s="65" t="n">
        <f aca="false">AR418*AS418</f>
        <v>0</v>
      </c>
      <c r="AY418" s="65" t="n">
        <f aca="false">AR418*AT418</f>
        <v>1</v>
      </c>
      <c r="AZ418" s="65" t="n">
        <f aca="false">AR418*AQ418</f>
        <v>1</v>
      </c>
      <c r="BA418" s="65" t="n">
        <f aca="false">AR418</f>
        <v>1</v>
      </c>
      <c r="BB418" s="65" t="n">
        <f aca="false">1</f>
        <v>1</v>
      </c>
      <c r="BC418" s="65" t="n">
        <f aca="false">IF(AV418=1,1,IF(AW418=1,2,IF(AX418=1,3,IF(AY418=1,4,IF(AZ418=1,5,IF(BA418=1,6,7))))))</f>
        <v>2</v>
      </c>
      <c r="BD418" s="65" t="n">
        <f aca="false">IF(AD418=1,CHOOSE('Historical Score'!$C$29,AV418,AW418,AX418,AY418,AZ418,BA418,BB418),0)</f>
        <v>0</v>
      </c>
      <c r="BE418" s="65" t="str">
        <f aca="false">IF(BD418=1,COUNTIF($BD$2:BD418,1),"")</f>
        <v/>
      </c>
    </row>
    <row r="419" customFormat="false" ht="15" hidden="false" customHeight="false" outlineLevel="0" collapsed="false">
      <c r="A419" s="65" t="s">
        <v>1631</v>
      </c>
      <c r="B419" s="65" t="s">
        <v>1632</v>
      </c>
      <c r="C419" s="65" t="s">
        <v>1633</v>
      </c>
      <c r="D419" s="65" t="s">
        <v>295</v>
      </c>
      <c r="E419" s="112" t="n">
        <v>45996</v>
      </c>
      <c r="F419" s="112" t="n">
        <v>46253</v>
      </c>
      <c r="G419" s="65" t="n">
        <v>4</v>
      </c>
      <c r="H419" s="65" t="s">
        <v>1634</v>
      </c>
      <c r="I419" s="65" t="s">
        <v>778</v>
      </c>
      <c r="J419" s="65" t="s">
        <v>452</v>
      </c>
      <c r="K419" s="65" t="s">
        <v>368</v>
      </c>
      <c r="L419" s="65" t="s">
        <v>64</v>
      </c>
      <c r="M419" s="113" t="n">
        <v>1.48</v>
      </c>
      <c r="N419" s="114" t="n">
        <v>150000</v>
      </c>
      <c r="O419" s="114" t="n">
        <v>20250</v>
      </c>
      <c r="P419" s="114" t="n">
        <v>222000</v>
      </c>
      <c r="Q419" s="114" t="n">
        <v>145825.7</v>
      </c>
      <c r="R419" s="114" t="n">
        <v>76174.3</v>
      </c>
      <c r="S419" s="115" t="n">
        <v>0.656872522522523</v>
      </c>
      <c r="T419" s="65" t="n">
        <v>28</v>
      </c>
      <c r="U419" s="65" t="n">
        <v>74</v>
      </c>
      <c r="V419" s="65" t="n">
        <v>425520.28</v>
      </c>
      <c r="W419" s="115" t="n">
        <v>0.0745</v>
      </c>
      <c r="X419" s="112"/>
      <c r="Y419" s="65" t="str">
        <f aca="false">IF(I419="","No SIC",IFERROR(VLOOKUP(I419,Ref!$A$2:$B$65,2,FALSE()),"Unclassified"))</f>
        <v>Electronic &amp; Electrical Equipment</v>
      </c>
      <c r="Z419" s="65" t="str">
        <f aca="false">IF(T419="","",IF(T419&lt;12,"Daily","Weekly"))</f>
        <v>Weekly</v>
      </c>
      <c r="AA419" s="65" t="n">
        <f aca="false">IF(T419="",0,IF(T419&lt;12,T419*Controls!$B$29,T419*5))</f>
        <v>140</v>
      </c>
      <c r="AB419" s="65" t="n">
        <f aca="false">IF(E419="",0,NETWORKDAYS(E419,Controls!$B$36,Ref!$K$2:$K$42))</f>
        <v>182</v>
      </c>
      <c r="AC419" s="65" t="n">
        <f aca="false">IF(AND(AA419&gt;0,AB419&gt;=Controls!$B$39*AA419),1,0)</f>
        <v>1</v>
      </c>
      <c r="AD419" s="65" t="n">
        <f aca="false">IF(AND(E419&lt;&gt;"",E419&gt;=Controls!$B$37,E419&lt;=Controls!$B$38),1,0)</f>
        <v>1</v>
      </c>
      <c r="AE419" s="65" t="n">
        <f aca="false">IF(IFERROR(VLOOKUP(D419,Controls!$A$64:$E$74,2,FALSE()),"No")="Yes",1,0)</f>
        <v>0</v>
      </c>
      <c r="AF419" s="65" t="n">
        <f aca="false">IF(IFERROR(VLOOKUP(D419,Controls!$A$64:$E$74,3,FALSE()),"No")="Yes",1,0)</f>
        <v>0</v>
      </c>
      <c r="AG419" s="65" t="n">
        <f aca="false">IF(IFERROR(VLOOKUP(D419,Controls!$A$64:$E$74,4,FALSE()),"No")="Yes",1,0)</f>
        <v>0</v>
      </c>
      <c r="AH419" s="65" t="n">
        <f aca="false">IF(IFERROR(VLOOKUP(D419,Controls!$A$64:$E$74,5,FALSE()),"No")="Yes",1,0)</f>
        <v>1</v>
      </c>
      <c r="AI419" s="65" t="n">
        <f aca="false">IF(ISNUMBER(MATCH(D419,Controls!$A$64:$A$74,0)),1,0)</f>
        <v>1</v>
      </c>
      <c r="AJ419" s="65" t="n">
        <f aca="false">Q419-N419</f>
        <v>-4174.29999999999</v>
      </c>
      <c r="AK419" s="65" t="n">
        <f aca="false">IF(AE419=1,MAX(0,N419-Q419),0)</f>
        <v>0</v>
      </c>
      <c r="AL419" s="65" t="n">
        <f aca="false">IF(OR(V419="",V419=0),0,N419/V419)</f>
        <v>0.352509638318531</v>
      </c>
      <c r="AM419" s="65" t="n">
        <f aca="false">IF(OR(V419="",V419=0),0,1)</f>
        <v>1</v>
      </c>
      <c r="AN419" s="65" t="n">
        <f aca="false">IF(OR(E419="",F419=""),0,NETWORKDAYS(E419,F419,Ref!$K$2:$K$42))</f>
        <v>178</v>
      </c>
      <c r="AO419" s="65" t="n">
        <f aca="false">IF(L419="Renewal",1,0)</f>
        <v>0</v>
      </c>
      <c r="AP419" s="65" t="n">
        <f aca="false">AC419*AD419</f>
        <v>1</v>
      </c>
      <c r="AQ419" s="65" t="n">
        <f aca="false">IF(AND(G419&lt;&gt;"",'Historical Score'!$C$6&lt;&gt;""),IF(G419='Historical Score'!$C$6,1,0),0)</f>
        <v>0</v>
      </c>
      <c r="AR419" s="65" t="n">
        <f aca="false">IF(AND(L419&lt;&gt;"",'Historical Score'!$C$5&lt;&gt;""),IF(L419='Historical Score'!$C$5,1,0),0)</f>
        <v>1</v>
      </c>
      <c r="AS419" s="65" t="n">
        <f aca="false">IF(AND(Y419&lt;&gt;"",'Historical Score'!$C$7&lt;&gt;""),IF(Y419='Historical Score'!$C$7,1,0),0)</f>
        <v>0</v>
      </c>
      <c r="AT419" s="65" t="n">
        <f aca="false">IF(AND(K419&lt;&gt;"",'Historical Score'!$C$8&lt;&gt;""),IF(K419='Historical Score'!$C$8,1,0),0)</f>
        <v>0</v>
      </c>
      <c r="AU419" s="65" t="n">
        <f aca="false">IF(AND(J419&lt;&gt;"",'Historical Score'!$C$9&lt;&gt;""),IF(J419='Historical Score'!$C$9,1,0),0)</f>
        <v>0</v>
      </c>
      <c r="AV419" s="65" t="n">
        <f aca="false">AR419*AS419*AQ419</f>
        <v>0</v>
      </c>
      <c r="AW419" s="65" t="n">
        <f aca="false">AR419*AT419*AQ419</f>
        <v>0</v>
      </c>
      <c r="AX419" s="65" t="n">
        <f aca="false">AR419*AS419</f>
        <v>0</v>
      </c>
      <c r="AY419" s="65" t="n">
        <f aca="false">AR419*AT419</f>
        <v>0</v>
      </c>
      <c r="AZ419" s="65" t="n">
        <f aca="false">AR419*AQ419</f>
        <v>0</v>
      </c>
      <c r="BA419" s="65" t="n">
        <f aca="false">AR419</f>
        <v>1</v>
      </c>
      <c r="BB419" s="65" t="n">
        <f aca="false">1</f>
        <v>1</v>
      </c>
      <c r="BC419" s="65" t="n">
        <f aca="false">IF(AV419=1,1,IF(AW419=1,2,IF(AX419=1,3,IF(AY419=1,4,IF(AZ419=1,5,IF(BA419=1,6,7))))))</f>
        <v>6</v>
      </c>
      <c r="BD419" s="65" t="n">
        <f aca="false">IF(AD419=1,CHOOSE('Historical Score'!$C$29,AV419,AW419,AX419,AY419,AZ419,BA419,BB419),0)</f>
        <v>0</v>
      </c>
      <c r="BE419" s="65" t="str">
        <f aca="false">IF(BD419=1,COUNTIF($BD$2:BD419,1),"")</f>
        <v/>
      </c>
    </row>
    <row r="420" customFormat="false" ht="15" hidden="false" customHeight="false" outlineLevel="0" collapsed="false">
      <c r="A420" s="65" t="s">
        <v>1635</v>
      </c>
      <c r="B420" s="65" t="s">
        <v>1636</v>
      </c>
      <c r="C420" s="65" t="s">
        <v>1636</v>
      </c>
      <c r="D420" s="65" t="s">
        <v>1467</v>
      </c>
      <c r="E420" s="112" t="n">
        <v>45999</v>
      </c>
      <c r="F420" s="112" t="n">
        <v>46246</v>
      </c>
      <c r="G420" s="65" t="n">
        <v>2</v>
      </c>
      <c r="H420" s="65" t="s">
        <v>1637</v>
      </c>
      <c r="I420" s="65" t="s">
        <v>469</v>
      </c>
      <c r="J420" s="65" t="s">
        <v>704</v>
      </c>
      <c r="K420" s="65" t="s">
        <v>433</v>
      </c>
      <c r="L420" s="65" t="s">
        <v>64</v>
      </c>
      <c r="M420" s="113" t="n">
        <v>1.499</v>
      </c>
      <c r="N420" s="114" t="n">
        <v>20000</v>
      </c>
      <c r="O420" s="114" t="n">
        <v>2800</v>
      </c>
      <c r="P420" s="114" t="n">
        <v>29980</v>
      </c>
      <c r="Q420" s="114" t="n">
        <v>22769.95</v>
      </c>
      <c r="R420" s="114" t="n">
        <v>7210.05</v>
      </c>
      <c r="S420" s="115" t="n">
        <v>0.759504669779853</v>
      </c>
      <c r="T420" s="65" t="n">
        <v>2.787</v>
      </c>
      <c r="U420" s="65" t="n">
        <v>40</v>
      </c>
      <c r="V420" s="65" t="n">
        <v>80290.6</v>
      </c>
      <c r="W420" s="115" t="n">
        <v>0.1619</v>
      </c>
      <c r="X420" s="112" t="n">
        <v>40970</v>
      </c>
      <c r="Y420" s="65" t="str">
        <f aca="false">IF(I420="","No SIC",IFERROR(VLOOKUP(I420,Ref!$A$2:$B$65,2,FALSE()),"Unclassified"))</f>
        <v>Heavy Construction</v>
      </c>
      <c r="Z420" s="65" t="str">
        <f aca="false">IF(T420="","",IF(T420&lt;12,"Daily","Weekly"))</f>
        <v>Daily</v>
      </c>
      <c r="AA420" s="65" t="n">
        <f aca="false">IF(T420="",0,IF(T420&lt;12,T420*Controls!$B$29,T420*5))</f>
        <v>60.352485</v>
      </c>
      <c r="AB420" s="65" t="n">
        <f aca="false">IF(E420="",0,NETWORKDAYS(E420,Controls!$B$36,Ref!$K$2:$K$42))</f>
        <v>181</v>
      </c>
      <c r="AC420" s="65" t="n">
        <f aca="false">IF(AND(AA420&gt;0,AB420&gt;=Controls!$B$39*AA420),1,0)</f>
        <v>1</v>
      </c>
      <c r="AD420" s="65" t="n">
        <f aca="false">IF(AND(E420&lt;&gt;"",E420&gt;=Controls!$B$37,E420&lt;=Controls!$B$38),1,0)</f>
        <v>1</v>
      </c>
      <c r="AE420" s="65" t="n">
        <f aca="false">IF(IFERROR(VLOOKUP(D420,Controls!$A$64:$E$74,2,FALSE()),"No")="Yes",1,0)</f>
        <v>1</v>
      </c>
      <c r="AF420" s="65" t="n">
        <f aca="false">IF(IFERROR(VLOOKUP(D420,Controls!$A$64:$E$74,3,FALSE()),"No")="Yes",1,0)</f>
        <v>1</v>
      </c>
      <c r="AG420" s="65" t="n">
        <f aca="false">IF(IFERROR(VLOOKUP(D420,Controls!$A$64:$E$74,4,FALSE()),"No")="Yes",1,0)</f>
        <v>0</v>
      </c>
      <c r="AH420" s="65" t="n">
        <f aca="false">IF(IFERROR(VLOOKUP(D420,Controls!$A$64:$E$74,5,FALSE()),"No")="Yes",1,0)</f>
        <v>0</v>
      </c>
      <c r="AI420" s="65" t="n">
        <f aca="false">IF(ISNUMBER(MATCH(D420,Controls!$A$64:$A$74,0)),1,0)</f>
        <v>1</v>
      </c>
      <c r="AJ420" s="65" t="n">
        <f aca="false">Q420-N420</f>
        <v>2769.95</v>
      </c>
      <c r="AK420" s="65" t="n">
        <f aca="false">IF(AE420=1,MAX(0,N420-Q420),0)</f>
        <v>0</v>
      </c>
      <c r="AL420" s="65" t="n">
        <f aca="false">IF(OR(V420="",V420=0),0,N420/V420)</f>
        <v>0.249095161824672</v>
      </c>
      <c r="AM420" s="65" t="n">
        <f aca="false">IF(OR(V420="",V420=0),0,1)</f>
        <v>1</v>
      </c>
      <c r="AN420" s="65" t="n">
        <f aca="false">IF(OR(E420="",F420=""),0,NETWORKDAYS(E420,F420,Ref!$K$2:$K$42))</f>
        <v>172</v>
      </c>
      <c r="AO420" s="65" t="n">
        <f aca="false">IF(L420="Renewal",1,0)</f>
        <v>0</v>
      </c>
      <c r="AP420" s="65" t="n">
        <f aca="false">AC420*AD420</f>
        <v>1</v>
      </c>
      <c r="AQ420" s="65" t="n">
        <f aca="false">IF(AND(G420&lt;&gt;"",'Historical Score'!$C$6&lt;&gt;""),IF(G420='Historical Score'!$C$6,1,0),0)</f>
        <v>1</v>
      </c>
      <c r="AR420" s="65" t="n">
        <f aca="false">IF(AND(L420&lt;&gt;"",'Historical Score'!$C$5&lt;&gt;""),IF(L420='Historical Score'!$C$5,1,0),0)</f>
        <v>1</v>
      </c>
      <c r="AS420" s="65" t="n">
        <f aca="false">IF(AND(Y420&lt;&gt;"",'Historical Score'!$C$7&lt;&gt;""),IF(Y420='Historical Score'!$C$7,1,0),0)</f>
        <v>0</v>
      </c>
      <c r="AT420" s="65" t="n">
        <f aca="false">IF(AND(K420&lt;&gt;"",'Historical Score'!$C$8&lt;&gt;""),IF(K420='Historical Score'!$C$8,1,0),0)</f>
        <v>0</v>
      </c>
      <c r="AU420" s="65" t="n">
        <f aca="false">IF(AND(J420&lt;&gt;"",'Historical Score'!$C$9&lt;&gt;""),IF(J420='Historical Score'!$C$9,1,0),0)</f>
        <v>0</v>
      </c>
      <c r="AV420" s="65" t="n">
        <f aca="false">AR420*AS420*AQ420</f>
        <v>0</v>
      </c>
      <c r="AW420" s="65" t="n">
        <f aca="false">AR420*AT420*AQ420</f>
        <v>0</v>
      </c>
      <c r="AX420" s="65" t="n">
        <f aca="false">AR420*AS420</f>
        <v>0</v>
      </c>
      <c r="AY420" s="65" t="n">
        <f aca="false">AR420*AT420</f>
        <v>0</v>
      </c>
      <c r="AZ420" s="65" t="n">
        <f aca="false">AR420*AQ420</f>
        <v>1</v>
      </c>
      <c r="BA420" s="65" t="n">
        <f aca="false">AR420</f>
        <v>1</v>
      </c>
      <c r="BB420" s="65" t="n">
        <f aca="false">1</f>
        <v>1</v>
      </c>
      <c r="BC420" s="65" t="n">
        <f aca="false">IF(AV420=1,1,IF(AW420=1,2,IF(AX420=1,3,IF(AY420=1,4,IF(AZ420=1,5,IF(BA420=1,6,7))))))</f>
        <v>5</v>
      </c>
      <c r="BD420" s="65" t="n">
        <f aca="false">IF(AD420=1,CHOOSE('Historical Score'!$C$29,AV420,AW420,AX420,AY420,AZ420,BA420,BB420),0)</f>
        <v>0</v>
      </c>
      <c r="BE420" s="65" t="str">
        <f aca="false">IF(BD420=1,COUNTIF($BD$2:BD420,1),"")</f>
        <v/>
      </c>
    </row>
    <row r="421" customFormat="false" ht="15" hidden="false" customHeight="false" outlineLevel="0" collapsed="false">
      <c r="A421" s="65" t="s">
        <v>1638</v>
      </c>
      <c r="B421" s="65" t="s">
        <v>1639</v>
      </c>
      <c r="C421" s="65" t="s">
        <v>1640</v>
      </c>
      <c r="D421" s="65" t="s">
        <v>371</v>
      </c>
      <c r="E421" s="112" t="n">
        <v>45999</v>
      </c>
      <c r="F421" s="112" t="n">
        <v>46106</v>
      </c>
      <c r="G421" s="65" t="n">
        <v>2</v>
      </c>
      <c r="H421" s="65" t="s">
        <v>348</v>
      </c>
      <c r="I421" s="65" t="s">
        <v>349</v>
      </c>
      <c r="J421" s="65" t="s">
        <v>61</v>
      </c>
      <c r="K421" s="65" t="s">
        <v>827</v>
      </c>
      <c r="L421" s="65" t="s">
        <v>64</v>
      </c>
      <c r="M421" s="113" t="n">
        <v>1.434095</v>
      </c>
      <c r="N421" s="114" t="n">
        <v>30000</v>
      </c>
      <c r="O421" s="114" t="n">
        <v>4200</v>
      </c>
      <c r="P421" s="114" t="n">
        <v>43022.85</v>
      </c>
      <c r="Q421" s="114" t="n">
        <v>43022.85</v>
      </c>
      <c r="R421" s="114" t="n">
        <v>0</v>
      </c>
      <c r="S421" s="115" t="n">
        <v>1</v>
      </c>
      <c r="T421" s="65" t="n">
        <v>24</v>
      </c>
      <c r="U421" s="65" t="n">
        <v>0</v>
      </c>
      <c r="V421" s="65" t="n">
        <v>31354.76</v>
      </c>
      <c r="W421" s="115" t="n">
        <v>0.2376</v>
      </c>
      <c r="X421" s="112"/>
      <c r="Y421" s="65" t="str">
        <f aca="false">IF(I421="","No SIC",IFERROR(VLOOKUP(I421,Ref!$A$2:$B$65,2,FALSE()),"Unclassified"))</f>
        <v>Nonmetallic Minerals Mining</v>
      </c>
      <c r="Z421" s="65" t="str">
        <f aca="false">IF(T421="","",IF(T421&lt;12,"Daily","Weekly"))</f>
        <v>Weekly</v>
      </c>
      <c r="AA421" s="65" t="n">
        <f aca="false">IF(T421="",0,IF(T421&lt;12,T421*Controls!$B$29,T421*5))</f>
        <v>120</v>
      </c>
      <c r="AB421" s="65" t="n">
        <f aca="false">IF(E421="",0,NETWORKDAYS(E421,Controls!$B$36,Ref!$K$2:$K$42))</f>
        <v>181</v>
      </c>
      <c r="AC421" s="65" t="n">
        <f aca="false">IF(AND(AA421&gt;0,AB421&gt;=Controls!$B$39*AA421),1,0)</f>
        <v>1</v>
      </c>
      <c r="AD421" s="65" t="n">
        <f aca="false">IF(AND(E421&lt;&gt;"",E421&gt;=Controls!$B$37,E421&lt;=Controls!$B$38),1,0)</f>
        <v>1</v>
      </c>
      <c r="AE421" s="65" t="n">
        <f aca="false">IF(IFERROR(VLOOKUP(D421,Controls!$A$64:$E$74,2,FALSE()),"No")="Yes",1,0)</f>
        <v>0</v>
      </c>
      <c r="AF421" s="65" t="n">
        <f aca="false">IF(IFERROR(VLOOKUP(D421,Controls!$A$64:$E$74,3,FALSE()),"No")="Yes",1,0)</f>
        <v>1</v>
      </c>
      <c r="AG421" s="65" t="n">
        <f aca="false">IF(IFERROR(VLOOKUP(D421,Controls!$A$64:$E$74,4,FALSE()),"No")="Yes",1,0)</f>
        <v>1</v>
      </c>
      <c r="AH421" s="65" t="n">
        <f aca="false">IF(IFERROR(VLOOKUP(D421,Controls!$A$64:$E$74,5,FALSE()),"No")="Yes",1,0)</f>
        <v>0</v>
      </c>
      <c r="AI421" s="65" t="n">
        <f aca="false">IF(ISNUMBER(MATCH(D421,Controls!$A$64:$A$74,0)),1,0)</f>
        <v>1</v>
      </c>
      <c r="AJ421" s="65" t="n">
        <f aca="false">Q421-N421</f>
        <v>13022.85</v>
      </c>
      <c r="AK421" s="65" t="n">
        <f aca="false">IF(AE421=1,MAX(0,N421-Q421),0)</f>
        <v>0</v>
      </c>
      <c r="AL421" s="65" t="n">
        <f aca="false">IF(OR(V421="",V421=0),0,N421/V421)</f>
        <v>0.956792525281648</v>
      </c>
      <c r="AM421" s="65" t="n">
        <f aca="false">IF(OR(V421="",V421=0),0,1)</f>
        <v>1</v>
      </c>
      <c r="AN421" s="65" t="n">
        <f aca="false">IF(OR(E421="",F421=""),0,NETWORKDAYS(E421,F421,Ref!$K$2:$K$42))</f>
        <v>74</v>
      </c>
      <c r="AO421" s="65" t="n">
        <f aca="false">IF(L421="Renewal",1,0)</f>
        <v>0</v>
      </c>
      <c r="AP421" s="65" t="n">
        <f aca="false">AC421*AD421</f>
        <v>1</v>
      </c>
      <c r="AQ421" s="65" t="n">
        <f aca="false">IF(AND(G421&lt;&gt;"",'Historical Score'!$C$6&lt;&gt;""),IF(G421='Historical Score'!$C$6,1,0),0)</f>
        <v>1</v>
      </c>
      <c r="AR421" s="65" t="n">
        <f aca="false">IF(AND(L421&lt;&gt;"",'Historical Score'!$C$5&lt;&gt;""),IF(L421='Historical Score'!$C$5,1,0),0)</f>
        <v>1</v>
      </c>
      <c r="AS421" s="65" t="n">
        <f aca="false">IF(AND(Y421&lt;&gt;"",'Historical Score'!$C$7&lt;&gt;""),IF(Y421='Historical Score'!$C$7,1,0),0)</f>
        <v>0</v>
      </c>
      <c r="AT421" s="65" t="n">
        <f aca="false">IF(AND(K421&lt;&gt;"",'Historical Score'!$C$8&lt;&gt;""),IF(K421='Historical Score'!$C$8,1,0),0)</f>
        <v>0</v>
      </c>
      <c r="AU421" s="65" t="n">
        <f aca="false">IF(AND(J421&lt;&gt;"",'Historical Score'!$C$9&lt;&gt;""),IF(J421='Historical Score'!$C$9,1,0),0)</f>
        <v>1</v>
      </c>
      <c r="AV421" s="65" t="n">
        <f aca="false">AR421*AS421*AQ421</f>
        <v>0</v>
      </c>
      <c r="AW421" s="65" t="n">
        <f aca="false">AR421*AT421*AQ421</f>
        <v>0</v>
      </c>
      <c r="AX421" s="65" t="n">
        <f aca="false">AR421*AS421</f>
        <v>0</v>
      </c>
      <c r="AY421" s="65" t="n">
        <f aca="false">AR421*AT421</f>
        <v>0</v>
      </c>
      <c r="AZ421" s="65" t="n">
        <f aca="false">AR421*AQ421</f>
        <v>1</v>
      </c>
      <c r="BA421" s="65" t="n">
        <f aca="false">AR421</f>
        <v>1</v>
      </c>
      <c r="BB421" s="65" t="n">
        <f aca="false">1</f>
        <v>1</v>
      </c>
      <c r="BC421" s="65" t="n">
        <f aca="false">IF(AV421=1,1,IF(AW421=1,2,IF(AX421=1,3,IF(AY421=1,4,IF(AZ421=1,5,IF(BA421=1,6,7))))))</f>
        <v>5</v>
      </c>
      <c r="BD421" s="65" t="n">
        <f aca="false">IF(AD421=1,CHOOSE('Historical Score'!$C$29,AV421,AW421,AX421,AY421,AZ421,BA421,BB421),0)</f>
        <v>0</v>
      </c>
      <c r="BE421" s="65" t="str">
        <f aca="false">IF(BD421=1,COUNTIF($BD$2:BD421,1),"")</f>
        <v/>
      </c>
    </row>
    <row r="422" customFormat="false" ht="15" hidden="false" customHeight="false" outlineLevel="0" collapsed="false">
      <c r="A422" s="65" t="s">
        <v>1641</v>
      </c>
      <c r="B422" s="65" t="s">
        <v>1642</v>
      </c>
      <c r="C422" s="65" t="s">
        <v>1642</v>
      </c>
      <c r="D422" s="65" t="s">
        <v>371</v>
      </c>
      <c r="E422" s="112" t="n">
        <v>45999</v>
      </c>
      <c r="F422" s="112" t="n">
        <v>46129</v>
      </c>
      <c r="G422" s="65" t="n">
        <v>1</v>
      </c>
      <c r="H422" s="65" t="s">
        <v>525</v>
      </c>
      <c r="I422" s="65" t="s">
        <v>367</v>
      </c>
      <c r="J422" s="65" t="s">
        <v>452</v>
      </c>
      <c r="K422" s="65" t="s">
        <v>1461</v>
      </c>
      <c r="L422" s="65" t="s">
        <v>64</v>
      </c>
      <c r="M422" s="113" t="n">
        <v>1.49</v>
      </c>
      <c r="N422" s="114" t="n">
        <v>3500</v>
      </c>
      <c r="O422" s="114" t="n">
        <v>490</v>
      </c>
      <c r="P422" s="114" t="n">
        <v>5215</v>
      </c>
      <c r="Q422" s="114" t="n">
        <v>5215</v>
      </c>
      <c r="R422" s="114" t="n">
        <v>0</v>
      </c>
      <c r="S422" s="115" t="n">
        <v>1</v>
      </c>
      <c r="T422" s="65" t="n">
        <v>18</v>
      </c>
      <c r="U422" s="65" t="n">
        <v>1</v>
      </c>
      <c r="V422" s="65" t="n">
        <v>6400.67</v>
      </c>
      <c r="W422" s="115" t="n">
        <v>0.1811</v>
      </c>
      <c r="X422" s="112" t="n">
        <v>45627</v>
      </c>
      <c r="Y422" s="65" t="str">
        <f aca="false">IF(I422="","No SIC",IFERROR(VLOOKUP(I422,Ref!$A$2:$B$65,2,FALSE()),"Unclassified"))</f>
        <v>Engineering, Accounting &amp; Management</v>
      </c>
      <c r="Z422" s="65" t="str">
        <f aca="false">IF(T422="","",IF(T422&lt;12,"Daily","Weekly"))</f>
        <v>Weekly</v>
      </c>
      <c r="AA422" s="65" t="n">
        <f aca="false">IF(T422="",0,IF(T422&lt;12,T422*Controls!$B$29,T422*5))</f>
        <v>90</v>
      </c>
      <c r="AB422" s="65" t="n">
        <f aca="false">IF(E422="",0,NETWORKDAYS(E422,Controls!$B$36,Ref!$K$2:$K$42))</f>
        <v>181</v>
      </c>
      <c r="AC422" s="65" t="n">
        <f aca="false">IF(AND(AA422&gt;0,AB422&gt;=Controls!$B$39*AA422),1,0)</f>
        <v>1</v>
      </c>
      <c r="AD422" s="65" t="n">
        <f aca="false">IF(AND(E422&lt;&gt;"",E422&gt;=Controls!$B$37,E422&lt;=Controls!$B$38),1,0)</f>
        <v>1</v>
      </c>
      <c r="AE422" s="65" t="n">
        <f aca="false">IF(IFERROR(VLOOKUP(D422,Controls!$A$64:$E$74,2,FALSE()),"No")="Yes",1,0)</f>
        <v>0</v>
      </c>
      <c r="AF422" s="65" t="n">
        <f aca="false">IF(IFERROR(VLOOKUP(D422,Controls!$A$64:$E$74,3,FALSE()),"No")="Yes",1,0)</f>
        <v>1</v>
      </c>
      <c r="AG422" s="65" t="n">
        <f aca="false">IF(IFERROR(VLOOKUP(D422,Controls!$A$64:$E$74,4,FALSE()),"No")="Yes",1,0)</f>
        <v>1</v>
      </c>
      <c r="AH422" s="65" t="n">
        <f aca="false">IF(IFERROR(VLOOKUP(D422,Controls!$A$64:$E$74,5,FALSE()),"No")="Yes",1,0)</f>
        <v>0</v>
      </c>
      <c r="AI422" s="65" t="n">
        <f aca="false">IF(ISNUMBER(MATCH(D422,Controls!$A$64:$A$74,0)),1,0)</f>
        <v>1</v>
      </c>
      <c r="AJ422" s="65" t="n">
        <f aca="false">Q422-N422</f>
        <v>1715</v>
      </c>
      <c r="AK422" s="65" t="n">
        <f aca="false">IF(AE422=1,MAX(0,N422-Q422),0)</f>
        <v>0</v>
      </c>
      <c r="AL422" s="65" t="n">
        <f aca="false">IF(OR(V422="",V422=0),0,N422/V422)</f>
        <v>0.546817755016272</v>
      </c>
      <c r="AM422" s="65" t="n">
        <f aca="false">IF(OR(V422="",V422=0),0,1)</f>
        <v>1</v>
      </c>
      <c r="AN422" s="65" t="n">
        <f aca="false">IF(OR(E422="",F422=""),0,NETWORKDAYS(E422,F422,Ref!$K$2:$K$42))</f>
        <v>91</v>
      </c>
      <c r="AO422" s="65" t="n">
        <f aca="false">IF(L422="Renewal",1,0)</f>
        <v>0</v>
      </c>
      <c r="AP422" s="65" t="n">
        <f aca="false">AC422*AD422</f>
        <v>1</v>
      </c>
      <c r="AQ422" s="65" t="n">
        <f aca="false">IF(AND(G422&lt;&gt;"",'Historical Score'!$C$6&lt;&gt;""),IF(G422='Historical Score'!$C$6,1,0),0)</f>
        <v>0</v>
      </c>
      <c r="AR422" s="65" t="n">
        <f aca="false">IF(AND(L422&lt;&gt;"",'Historical Score'!$C$5&lt;&gt;""),IF(L422='Historical Score'!$C$5,1,0),0)</f>
        <v>1</v>
      </c>
      <c r="AS422" s="65" t="n">
        <f aca="false">IF(AND(Y422&lt;&gt;"",'Historical Score'!$C$7&lt;&gt;""),IF(Y422='Historical Score'!$C$7,1,0),0)</f>
        <v>0</v>
      </c>
      <c r="AT422" s="65" t="n">
        <f aca="false">IF(AND(K422&lt;&gt;"",'Historical Score'!$C$8&lt;&gt;""),IF(K422='Historical Score'!$C$8,1,0),0)</f>
        <v>0</v>
      </c>
      <c r="AU422" s="65" t="n">
        <f aca="false">IF(AND(J422&lt;&gt;"",'Historical Score'!$C$9&lt;&gt;""),IF(J422='Historical Score'!$C$9,1,0),0)</f>
        <v>0</v>
      </c>
      <c r="AV422" s="65" t="n">
        <f aca="false">AR422*AS422*AQ422</f>
        <v>0</v>
      </c>
      <c r="AW422" s="65" t="n">
        <f aca="false">AR422*AT422*AQ422</f>
        <v>0</v>
      </c>
      <c r="AX422" s="65" t="n">
        <f aca="false">AR422*AS422</f>
        <v>0</v>
      </c>
      <c r="AY422" s="65" t="n">
        <f aca="false">AR422*AT422</f>
        <v>0</v>
      </c>
      <c r="AZ422" s="65" t="n">
        <f aca="false">AR422*AQ422</f>
        <v>0</v>
      </c>
      <c r="BA422" s="65" t="n">
        <f aca="false">AR422</f>
        <v>1</v>
      </c>
      <c r="BB422" s="65" t="n">
        <f aca="false">1</f>
        <v>1</v>
      </c>
      <c r="BC422" s="65" t="n">
        <f aca="false">IF(AV422=1,1,IF(AW422=1,2,IF(AX422=1,3,IF(AY422=1,4,IF(AZ422=1,5,IF(BA422=1,6,7))))))</f>
        <v>6</v>
      </c>
      <c r="BD422" s="65" t="n">
        <f aca="false">IF(AD422=1,CHOOSE('Historical Score'!$C$29,AV422,AW422,AX422,AY422,AZ422,BA422,BB422),0)</f>
        <v>0</v>
      </c>
      <c r="BE422" s="65" t="str">
        <f aca="false">IF(BD422=1,COUNTIF($BD$2:BD422,1),"")</f>
        <v/>
      </c>
    </row>
    <row r="423" customFormat="false" ht="15" hidden="false" customHeight="false" outlineLevel="0" collapsed="false">
      <c r="A423" s="65" t="s">
        <v>1643</v>
      </c>
      <c r="B423" s="65" t="s">
        <v>1644</v>
      </c>
      <c r="C423" s="65" t="s">
        <v>1645</v>
      </c>
      <c r="D423" s="65" t="s">
        <v>371</v>
      </c>
      <c r="E423" s="112" t="n">
        <v>46000</v>
      </c>
      <c r="F423" s="112" t="n">
        <v>46196</v>
      </c>
      <c r="G423" s="65" t="n">
        <v>2</v>
      </c>
      <c r="H423" s="65" t="s">
        <v>1646</v>
      </c>
      <c r="I423" s="65" t="s">
        <v>679</v>
      </c>
      <c r="J423" s="65" t="s">
        <v>61</v>
      </c>
      <c r="K423" s="65" t="s">
        <v>961</v>
      </c>
      <c r="L423" s="65" t="s">
        <v>64</v>
      </c>
      <c r="M423" s="113" t="n">
        <v>1.42</v>
      </c>
      <c r="N423" s="114" t="n">
        <v>70000</v>
      </c>
      <c r="O423" s="114" t="n">
        <v>10150</v>
      </c>
      <c r="P423" s="114" t="n">
        <v>99400</v>
      </c>
      <c r="Q423" s="114" t="n">
        <v>99400</v>
      </c>
      <c r="R423" s="114" t="n">
        <v>0</v>
      </c>
      <c r="S423" s="115" t="n">
        <v>1</v>
      </c>
      <c r="T423" s="65" t="n">
        <v>28</v>
      </c>
      <c r="U423" s="65" t="n">
        <v>2</v>
      </c>
      <c r="V423" s="65" t="n">
        <v>189356.07</v>
      </c>
      <c r="W423" s="115" t="n">
        <v>0.075</v>
      </c>
      <c r="X423" s="112" t="n">
        <v>45460</v>
      </c>
      <c r="Y423" s="65" t="str">
        <f aca="false">IF(I423="","No SIC",IFERROR(VLOOKUP(I423,Ref!$A$2:$B$65,2,FALSE()),"Unclassified"))</f>
        <v>Amusement &amp; Recreation Services</v>
      </c>
      <c r="Z423" s="65" t="str">
        <f aca="false">IF(T423="","",IF(T423&lt;12,"Daily","Weekly"))</f>
        <v>Weekly</v>
      </c>
      <c r="AA423" s="65" t="n">
        <f aca="false">IF(T423="",0,IF(T423&lt;12,T423*Controls!$B$29,T423*5))</f>
        <v>140</v>
      </c>
      <c r="AB423" s="65" t="n">
        <f aca="false">IF(E423="",0,NETWORKDAYS(E423,Controls!$B$36,Ref!$K$2:$K$42))</f>
        <v>180</v>
      </c>
      <c r="AC423" s="65" t="n">
        <f aca="false">IF(AND(AA423&gt;0,AB423&gt;=Controls!$B$39*AA423),1,0)</f>
        <v>1</v>
      </c>
      <c r="AD423" s="65" t="n">
        <f aca="false">IF(AND(E423&lt;&gt;"",E423&gt;=Controls!$B$37,E423&lt;=Controls!$B$38),1,0)</f>
        <v>1</v>
      </c>
      <c r="AE423" s="65" t="n">
        <f aca="false">IF(IFERROR(VLOOKUP(D423,Controls!$A$64:$E$74,2,FALSE()),"No")="Yes",1,0)</f>
        <v>0</v>
      </c>
      <c r="AF423" s="65" t="n">
        <f aca="false">IF(IFERROR(VLOOKUP(D423,Controls!$A$64:$E$74,3,FALSE()),"No")="Yes",1,0)</f>
        <v>1</v>
      </c>
      <c r="AG423" s="65" t="n">
        <f aca="false">IF(IFERROR(VLOOKUP(D423,Controls!$A$64:$E$74,4,FALSE()),"No")="Yes",1,0)</f>
        <v>1</v>
      </c>
      <c r="AH423" s="65" t="n">
        <f aca="false">IF(IFERROR(VLOOKUP(D423,Controls!$A$64:$E$74,5,FALSE()),"No")="Yes",1,0)</f>
        <v>0</v>
      </c>
      <c r="AI423" s="65" t="n">
        <f aca="false">IF(ISNUMBER(MATCH(D423,Controls!$A$64:$A$74,0)),1,0)</f>
        <v>1</v>
      </c>
      <c r="AJ423" s="65" t="n">
        <f aca="false">Q423-N423</f>
        <v>29400</v>
      </c>
      <c r="AK423" s="65" t="n">
        <f aca="false">IF(AE423=1,MAX(0,N423-Q423),0)</f>
        <v>0</v>
      </c>
      <c r="AL423" s="65" t="n">
        <f aca="false">IF(OR(V423="",V423=0),0,N423/V423)</f>
        <v>0.369673916447463</v>
      </c>
      <c r="AM423" s="65" t="n">
        <f aca="false">IF(OR(V423="",V423=0),0,1)</f>
        <v>1</v>
      </c>
      <c r="AN423" s="65" t="n">
        <f aca="false">IF(OR(E423="",F423=""),0,NETWORKDAYS(E423,F423,Ref!$K$2:$K$42))</f>
        <v>135</v>
      </c>
      <c r="AO423" s="65" t="n">
        <f aca="false">IF(L423="Renewal",1,0)</f>
        <v>0</v>
      </c>
      <c r="AP423" s="65" t="n">
        <f aca="false">AC423*AD423</f>
        <v>1</v>
      </c>
      <c r="AQ423" s="65" t="n">
        <f aca="false">IF(AND(G423&lt;&gt;"",'Historical Score'!$C$6&lt;&gt;""),IF(G423='Historical Score'!$C$6,1,0),0)</f>
        <v>1</v>
      </c>
      <c r="AR423" s="65" t="n">
        <f aca="false">IF(AND(L423&lt;&gt;"",'Historical Score'!$C$5&lt;&gt;""),IF(L423='Historical Score'!$C$5,1,0),0)</f>
        <v>1</v>
      </c>
      <c r="AS423" s="65" t="n">
        <f aca="false">IF(AND(Y423&lt;&gt;"",'Historical Score'!$C$7&lt;&gt;""),IF(Y423='Historical Score'!$C$7,1,0),0)</f>
        <v>0</v>
      </c>
      <c r="AT423" s="65" t="n">
        <f aca="false">IF(AND(K423&lt;&gt;"",'Historical Score'!$C$8&lt;&gt;""),IF(K423='Historical Score'!$C$8,1,0),0)</f>
        <v>0</v>
      </c>
      <c r="AU423" s="65" t="n">
        <f aca="false">IF(AND(J423&lt;&gt;"",'Historical Score'!$C$9&lt;&gt;""),IF(J423='Historical Score'!$C$9,1,0),0)</f>
        <v>1</v>
      </c>
      <c r="AV423" s="65" t="n">
        <f aca="false">AR423*AS423*AQ423</f>
        <v>0</v>
      </c>
      <c r="AW423" s="65" t="n">
        <f aca="false">AR423*AT423*AQ423</f>
        <v>0</v>
      </c>
      <c r="AX423" s="65" t="n">
        <f aca="false">AR423*AS423</f>
        <v>0</v>
      </c>
      <c r="AY423" s="65" t="n">
        <f aca="false">AR423*AT423</f>
        <v>0</v>
      </c>
      <c r="AZ423" s="65" t="n">
        <f aca="false">AR423*AQ423</f>
        <v>1</v>
      </c>
      <c r="BA423" s="65" t="n">
        <f aca="false">AR423</f>
        <v>1</v>
      </c>
      <c r="BB423" s="65" t="n">
        <f aca="false">1</f>
        <v>1</v>
      </c>
      <c r="BC423" s="65" t="n">
        <f aca="false">IF(AV423=1,1,IF(AW423=1,2,IF(AX423=1,3,IF(AY423=1,4,IF(AZ423=1,5,IF(BA423=1,6,7))))))</f>
        <v>5</v>
      </c>
      <c r="BD423" s="65" t="n">
        <f aca="false">IF(AD423=1,CHOOSE('Historical Score'!$C$29,AV423,AW423,AX423,AY423,AZ423,BA423,BB423),0)</f>
        <v>0</v>
      </c>
      <c r="BE423" s="65" t="str">
        <f aca="false">IF(BD423=1,COUNTIF($BD$2:BD423,1),"")</f>
        <v/>
      </c>
    </row>
    <row r="424" customFormat="false" ht="15" hidden="false" customHeight="false" outlineLevel="0" collapsed="false">
      <c r="A424" s="65" t="s">
        <v>1647</v>
      </c>
      <c r="B424" s="65" t="s">
        <v>1648</v>
      </c>
      <c r="C424" s="65" t="s">
        <v>1649</v>
      </c>
      <c r="D424" s="65" t="s">
        <v>340</v>
      </c>
      <c r="E424" s="112" t="n">
        <v>46000</v>
      </c>
      <c r="F424" s="112" t="n">
        <v>46079</v>
      </c>
      <c r="G424" s="65" t="n">
        <v>2</v>
      </c>
      <c r="H424" s="65" t="s">
        <v>1650</v>
      </c>
      <c r="I424" s="65" t="s">
        <v>425</v>
      </c>
      <c r="J424" s="65" t="s">
        <v>464</v>
      </c>
      <c r="K424" s="65" t="s">
        <v>961</v>
      </c>
      <c r="L424" s="65" t="s">
        <v>64</v>
      </c>
      <c r="M424" s="113" t="n">
        <v>1.42</v>
      </c>
      <c r="N424" s="114" t="n">
        <v>20000</v>
      </c>
      <c r="O424" s="114" t="n">
        <v>2900</v>
      </c>
      <c r="P424" s="114" t="n">
        <v>28400</v>
      </c>
      <c r="Q424" s="114" t="n">
        <v>5917.3</v>
      </c>
      <c r="R424" s="114" t="n">
        <v>22482.7</v>
      </c>
      <c r="S424" s="115" t="n">
        <v>0.208355633802817</v>
      </c>
      <c r="T424" s="65" t="n">
        <v>24</v>
      </c>
      <c r="U424" s="65" t="n">
        <v>7</v>
      </c>
      <c r="V424" s="65" t="n">
        <v>30980.57</v>
      </c>
      <c r="W424" s="115" t="n">
        <v>0.1528</v>
      </c>
      <c r="X424" s="112" t="n">
        <v>44095</v>
      </c>
      <c r="Y424" s="65" t="str">
        <f aca="false">IF(I424="","No SIC",IFERROR(VLOOKUP(I424,Ref!$A$2:$B$65,2,FALSE()),"Unclassified"))</f>
        <v>Personal Services</v>
      </c>
      <c r="Z424" s="65" t="str">
        <f aca="false">IF(T424="","",IF(T424&lt;12,"Daily","Weekly"))</f>
        <v>Weekly</v>
      </c>
      <c r="AA424" s="65" t="n">
        <f aca="false">IF(T424="",0,IF(T424&lt;12,T424*Controls!$B$29,T424*5))</f>
        <v>120</v>
      </c>
      <c r="AB424" s="65" t="n">
        <f aca="false">IF(E424="",0,NETWORKDAYS(E424,Controls!$B$36,Ref!$K$2:$K$42))</f>
        <v>180</v>
      </c>
      <c r="AC424" s="65" t="n">
        <f aca="false">IF(AND(AA424&gt;0,AB424&gt;=Controls!$B$39*AA424),1,0)</f>
        <v>1</v>
      </c>
      <c r="AD424" s="65" t="n">
        <f aca="false">IF(AND(E424&lt;&gt;"",E424&gt;=Controls!$B$37,E424&lt;=Controls!$B$38),1,0)</f>
        <v>1</v>
      </c>
      <c r="AE424" s="65" t="n">
        <f aca="false">IF(IFERROR(VLOOKUP(D424,Controls!$A$64:$E$74,2,FALSE()),"No")="Yes",1,0)</f>
        <v>1</v>
      </c>
      <c r="AF424" s="65" t="n">
        <f aca="false">IF(IFERROR(VLOOKUP(D424,Controls!$A$64:$E$74,3,FALSE()),"No")="Yes",1,0)</f>
        <v>0</v>
      </c>
      <c r="AG424" s="65" t="n">
        <f aca="false">IF(IFERROR(VLOOKUP(D424,Controls!$A$64:$E$74,4,FALSE()),"No")="Yes",1,0)</f>
        <v>0</v>
      </c>
      <c r="AH424" s="65" t="n">
        <f aca="false">IF(IFERROR(VLOOKUP(D424,Controls!$A$64:$E$74,5,FALSE()),"No")="Yes",1,0)</f>
        <v>0</v>
      </c>
      <c r="AI424" s="65" t="n">
        <f aca="false">IF(ISNUMBER(MATCH(D424,Controls!$A$64:$A$74,0)),1,0)</f>
        <v>1</v>
      </c>
      <c r="AJ424" s="65" t="n">
        <f aca="false">Q424-N424</f>
        <v>-14082.7</v>
      </c>
      <c r="AK424" s="65" t="n">
        <f aca="false">IF(AE424=1,MAX(0,N424-Q424),0)</f>
        <v>14082.7</v>
      </c>
      <c r="AL424" s="65" t="n">
        <f aca="false">IF(OR(V424="",V424=0),0,N424/V424)</f>
        <v>0.645565914377947</v>
      </c>
      <c r="AM424" s="65" t="n">
        <f aca="false">IF(OR(V424="",V424=0),0,1)</f>
        <v>1</v>
      </c>
      <c r="AN424" s="65" t="n">
        <f aca="false">IF(OR(E424="",F424=""),0,NETWORKDAYS(E424,F424,Ref!$K$2:$K$42))</f>
        <v>54</v>
      </c>
      <c r="AO424" s="65" t="n">
        <f aca="false">IF(L424="Renewal",1,0)</f>
        <v>0</v>
      </c>
      <c r="AP424" s="65" t="n">
        <f aca="false">AC424*AD424</f>
        <v>1</v>
      </c>
      <c r="AQ424" s="65" t="n">
        <f aca="false">IF(AND(G424&lt;&gt;"",'Historical Score'!$C$6&lt;&gt;""),IF(G424='Historical Score'!$C$6,1,0),0)</f>
        <v>1</v>
      </c>
      <c r="AR424" s="65" t="n">
        <f aca="false">IF(AND(L424&lt;&gt;"",'Historical Score'!$C$5&lt;&gt;""),IF(L424='Historical Score'!$C$5,1,0),0)</f>
        <v>1</v>
      </c>
      <c r="AS424" s="65" t="n">
        <f aca="false">IF(AND(Y424&lt;&gt;"",'Historical Score'!$C$7&lt;&gt;""),IF(Y424='Historical Score'!$C$7,1,0),0)</f>
        <v>0</v>
      </c>
      <c r="AT424" s="65" t="n">
        <f aca="false">IF(AND(K424&lt;&gt;"",'Historical Score'!$C$8&lt;&gt;""),IF(K424='Historical Score'!$C$8,1,0),0)</f>
        <v>0</v>
      </c>
      <c r="AU424" s="65" t="n">
        <f aca="false">IF(AND(J424&lt;&gt;"",'Historical Score'!$C$9&lt;&gt;""),IF(J424='Historical Score'!$C$9,1,0),0)</f>
        <v>0</v>
      </c>
      <c r="AV424" s="65" t="n">
        <f aca="false">AR424*AS424*AQ424</f>
        <v>0</v>
      </c>
      <c r="AW424" s="65" t="n">
        <f aca="false">AR424*AT424*AQ424</f>
        <v>0</v>
      </c>
      <c r="AX424" s="65" t="n">
        <f aca="false">AR424*AS424</f>
        <v>0</v>
      </c>
      <c r="AY424" s="65" t="n">
        <f aca="false">AR424*AT424</f>
        <v>0</v>
      </c>
      <c r="AZ424" s="65" t="n">
        <f aca="false">AR424*AQ424</f>
        <v>1</v>
      </c>
      <c r="BA424" s="65" t="n">
        <f aca="false">AR424</f>
        <v>1</v>
      </c>
      <c r="BB424" s="65" t="n">
        <f aca="false">1</f>
        <v>1</v>
      </c>
      <c r="BC424" s="65" t="n">
        <f aca="false">IF(AV424=1,1,IF(AW424=1,2,IF(AX424=1,3,IF(AY424=1,4,IF(AZ424=1,5,IF(BA424=1,6,7))))))</f>
        <v>5</v>
      </c>
      <c r="BD424" s="65" t="n">
        <f aca="false">IF(AD424=1,CHOOSE('Historical Score'!$C$29,AV424,AW424,AX424,AY424,AZ424,BA424,BB424),0)</f>
        <v>0</v>
      </c>
      <c r="BE424" s="65" t="str">
        <f aca="false">IF(BD424=1,COUNTIF($BD$2:BD424,1),"")</f>
        <v/>
      </c>
    </row>
    <row r="425" customFormat="false" ht="15" hidden="false" customHeight="false" outlineLevel="0" collapsed="false">
      <c r="A425" s="65" t="s">
        <v>1651</v>
      </c>
      <c r="B425" s="65" t="s">
        <v>1652</v>
      </c>
      <c r="C425" s="65" t="s">
        <v>1652</v>
      </c>
      <c r="D425" s="65" t="s">
        <v>340</v>
      </c>
      <c r="E425" s="112" t="n">
        <v>46000</v>
      </c>
      <c r="F425" s="112" t="n">
        <v>46177</v>
      </c>
      <c r="G425" s="65" t="n">
        <v>1</v>
      </c>
      <c r="H425" s="65" t="s">
        <v>409</v>
      </c>
      <c r="I425" s="65" t="s">
        <v>342</v>
      </c>
      <c r="J425" s="65" t="s">
        <v>350</v>
      </c>
      <c r="K425" s="65" t="s">
        <v>55</v>
      </c>
      <c r="L425" s="65" t="s">
        <v>64</v>
      </c>
      <c r="M425" s="113" t="n">
        <v>1.499</v>
      </c>
      <c r="N425" s="114" t="n">
        <v>15000</v>
      </c>
      <c r="O425" s="114" t="n">
        <v>0</v>
      </c>
      <c r="P425" s="114" t="n">
        <v>22485</v>
      </c>
      <c r="Q425" s="114" t="n">
        <v>248.47</v>
      </c>
      <c r="R425" s="114" t="n">
        <v>22236.53</v>
      </c>
      <c r="S425" s="115" t="n">
        <v>0.0110504780965088</v>
      </c>
      <c r="T425" s="65" t="n">
        <v>2.951</v>
      </c>
      <c r="U425" s="65" t="n">
        <v>23</v>
      </c>
      <c r="V425" s="65" t="n">
        <v>43266.17</v>
      </c>
      <c r="W425" s="115" t="n">
        <v>0.1206</v>
      </c>
      <c r="X425" s="112" t="n">
        <v>45222</v>
      </c>
      <c r="Y425" s="65" t="str">
        <f aca="false">IF(I425="","No SIC",IFERROR(VLOOKUP(I425,Ref!$A$2:$B$65,2,FALSE()),"Unclassified"))</f>
        <v>Eating &amp; Drinking Places</v>
      </c>
      <c r="Z425" s="65" t="str">
        <f aca="false">IF(T425="","",IF(T425&lt;12,"Daily","Weekly"))</f>
        <v>Daily</v>
      </c>
      <c r="AA425" s="65" t="n">
        <f aca="false">IF(T425="",0,IF(T425&lt;12,T425*Controls!$B$29,T425*5))</f>
        <v>63.903905</v>
      </c>
      <c r="AB425" s="65" t="n">
        <f aca="false">IF(E425="",0,NETWORKDAYS(E425,Controls!$B$36,Ref!$K$2:$K$42))</f>
        <v>180</v>
      </c>
      <c r="AC425" s="65" t="n">
        <f aca="false">IF(AND(AA425&gt;0,AB425&gt;=Controls!$B$39*AA425),1,0)</f>
        <v>1</v>
      </c>
      <c r="AD425" s="65" t="n">
        <f aca="false">IF(AND(E425&lt;&gt;"",E425&gt;=Controls!$B$37,E425&lt;=Controls!$B$38),1,0)</f>
        <v>1</v>
      </c>
      <c r="AE425" s="65" t="n">
        <f aca="false">IF(IFERROR(VLOOKUP(D425,Controls!$A$64:$E$74,2,FALSE()),"No")="Yes",1,0)</f>
        <v>1</v>
      </c>
      <c r="AF425" s="65" t="n">
        <f aca="false">IF(IFERROR(VLOOKUP(D425,Controls!$A$64:$E$74,3,FALSE()),"No")="Yes",1,0)</f>
        <v>0</v>
      </c>
      <c r="AG425" s="65" t="n">
        <f aca="false">IF(IFERROR(VLOOKUP(D425,Controls!$A$64:$E$74,4,FALSE()),"No")="Yes",1,0)</f>
        <v>0</v>
      </c>
      <c r="AH425" s="65" t="n">
        <f aca="false">IF(IFERROR(VLOOKUP(D425,Controls!$A$64:$E$74,5,FALSE()),"No")="Yes",1,0)</f>
        <v>0</v>
      </c>
      <c r="AI425" s="65" t="n">
        <f aca="false">IF(ISNUMBER(MATCH(D425,Controls!$A$64:$A$74,0)),1,0)</f>
        <v>1</v>
      </c>
      <c r="AJ425" s="65" t="n">
        <f aca="false">Q425-N425</f>
        <v>-14751.53</v>
      </c>
      <c r="AK425" s="65" t="n">
        <f aca="false">IF(AE425=1,MAX(0,N425-Q425),0)</f>
        <v>14751.53</v>
      </c>
      <c r="AL425" s="65" t="n">
        <f aca="false">IF(OR(V425="",V425=0),0,N425/V425)</f>
        <v>0.346691190831081</v>
      </c>
      <c r="AM425" s="65" t="n">
        <f aca="false">IF(OR(V425="",V425=0),0,1)</f>
        <v>1</v>
      </c>
      <c r="AN425" s="65" t="n">
        <f aca="false">IF(OR(E425="",F425=""),0,NETWORKDAYS(E425,F425,Ref!$K$2:$K$42))</f>
        <v>123</v>
      </c>
      <c r="AO425" s="65" t="n">
        <f aca="false">IF(L425="Renewal",1,0)</f>
        <v>0</v>
      </c>
      <c r="AP425" s="65" t="n">
        <f aca="false">AC425*AD425</f>
        <v>1</v>
      </c>
      <c r="AQ425" s="65" t="n">
        <f aca="false">IF(AND(G425&lt;&gt;"",'Historical Score'!$C$6&lt;&gt;""),IF(G425='Historical Score'!$C$6,1,0),0)</f>
        <v>0</v>
      </c>
      <c r="AR425" s="65" t="n">
        <f aca="false">IF(AND(L425&lt;&gt;"",'Historical Score'!$C$5&lt;&gt;""),IF(L425='Historical Score'!$C$5,1,0),0)</f>
        <v>1</v>
      </c>
      <c r="AS425" s="65" t="n">
        <f aca="false">IF(AND(Y425&lt;&gt;"",'Historical Score'!$C$7&lt;&gt;""),IF(Y425='Historical Score'!$C$7,1,0),0)</f>
        <v>0</v>
      </c>
      <c r="AT425" s="65" t="n">
        <f aca="false">IF(AND(K425&lt;&gt;"",'Historical Score'!$C$8&lt;&gt;""),IF(K425='Historical Score'!$C$8,1,0),0)</f>
        <v>1</v>
      </c>
      <c r="AU425" s="65" t="n">
        <f aca="false">IF(AND(J425&lt;&gt;"",'Historical Score'!$C$9&lt;&gt;""),IF(J425='Historical Score'!$C$9,1,0),0)</f>
        <v>0</v>
      </c>
      <c r="AV425" s="65" t="n">
        <f aca="false">AR425*AS425*AQ425</f>
        <v>0</v>
      </c>
      <c r="AW425" s="65" t="n">
        <f aca="false">AR425*AT425*AQ425</f>
        <v>0</v>
      </c>
      <c r="AX425" s="65" t="n">
        <f aca="false">AR425*AS425</f>
        <v>0</v>
      </c>
      <c r="AY425" s="65" t="n">
        <f aca="false">AR425*AT425</f>
        <v>1</v>
      </c>
      <c r="AZ425" s="65" t="n">
        <f aca="false">AR425*AQ425</f>
        <v>0</v>
      </c>
      <c r="BA425" s="65" t="n">
        <f aca="false">AR425</f>
        <v>1</v>
      </c>
      <c r="BB425" s="65" t="n">
        <f aca="false">1</f>
        <v>1</v>
      </c>
      <c r="BC425" s="65" t="n">
        <f aca="false">IF(AV425=1,1,IF(AW425=1,2,IF(AX425=1,3,IF(AY425=1,4,IF(AZ425=1,5,IF(BA425=1,6,7))))))</f>
        <v>4</v>
      </c>
      <c r="BD425" s="65" t="n">
        <f aca="false">IF(AD425=1,CHOOSE('Historical Score'!$C$29,AV425,AW425,AX425,AY425,AZ425,BA425,BB425),0)</f>
        <v>0</v>
      </c>
      <c r="BE425" s="65" t="str">
        <f aca="false">IF(BD425=1,COUNTIF($BD$2:BD425,1),"")</f>
        <v/>
      </c>
    </row>
    <row r="426" customFormat="false" ht="15" hidden="false" customHeight="false" outlineLevel="0" collapsed="false">
      <c r="A426" s="65" t="s">
        <v>1653</v>
      </c>
      <c r="B426" s="65" t="s">
        <v>1654</v>
      </c>
      <c r="C426" s="65" t="s">
        <v>1654</v>
      </c>
      <c r="D426" s="65" t="s">
        <v>295</v>
      </c>
      <c r="E426" s="112" t="n">
        <v>46000</v>
      </c>
      <c r="F426" s="112" t="n">
        <v>46253</v>
      </c>
      <c r="G426" s="65" t="n">
        <v>2</v>
      </c>
      <c r="H426" s="65" t="s">
        <v>409</v>
      </c>
      <c r="I426" s="65" t="s">
        <v>342</v>
      </c>
      <c r="J426" s="65" t="s">
        <v>420</v>
      </c>
      <c r="K426" s="65" t="s">
        <v>55</v>
      </c>
      <c r="L426" s="65" t="s">
        <v>64</v>
      </c>
      <c r="M426" s="113" t="n">
        <v>1.49</v>
      </c>
      <c r="N426" s="114" t="n">
        <v>15000</v>
      </c>
      <c r="O426" s="114" t="n">
        <v>2100</v>
      </c>
      <c r="P426" s="114" t="n">
        <v>22350</v>
      </c>
      <c r="Q426" s="114" t="n">
        <v>21081.62</v>
      </c>
      <c r="R426" s="114" t="n">
        <v>1268.38</v>
      </c>
      <c r="S426" s="115" t="n">
        <v>0.943249217002237</v>
      </c>
      <c r="T426" s="65" t="n">
        <v>18</v>
      </c>
      <c r="U426" s="65" t="n">
        <v>13</v>
      </c>
      <c r="V426" s="65" t="n">
        <v>58844.77</v>
      </c>
      <c r="W426" s="115" t="n">
        <v>0.0844</v>
      </c>
      <c r="X426" s="112" t="n">
        <v>43879</v>
      </c>
      <c r="Y426" s="65" t="str">
        <f aca="false">IF(I426="","No SIC",IFERROR(VLOOKUP(I426,Ref!$A$2:$B$65,2,FALSE()),"Unclassified"))</f>
        <v>Eating &amp; Drinking Places</v>
      </c>
      <c r="Z426" s="65" t="str">
        <f aca="false">IF(T426="","",IF(T426&lt;12,"Daily","Weekly"))</f>
        <v>Weekly</v>
      </c>
      <c r="AA426" s="65" t="n">
        <f aca="false">IF(T426="",0,IF(T426&lt;12,T426*Controls!$B$29,T426*5))</f>
        <v>90</v>
      </c>
      <c r="AB426" s="65" t="n">
        <f aca="false">IF(E426="",0,NETWORKDAYS(E426,Controls!$B$36,Ref!$K$2:$K$42))</f>
        <v>180</v>
      </c>
      <c r="AC426" s="65" t="n">
        <f aca="false">IF(AND(AA426&gt;0,AB426&gt;=Controls!$B$39*AA426),1,0)</f>
        <v>1</v>
      </c>
      <c r="AD426" s="65" t="n">
        <f aca="false">IF(AND(E426&lt;&gt;"",E426&gt;=Controls!$B$37,E426&lt;=Controls!$B$38),1,0)</f>
        <v>1</v>
      </c>
      <c r="AE426" s="65" t="n">
        <f aca="false">IF(IFERROR(VLOOKUP(D426,Controls!$A$64:$E$74,2,FALSE()),"No")="Yes",1,0)</f>
        <v>0</v>
      </c>
      <c r="AF426" s="65" t="n">
        <f aca="false">IF(IFERROR(VLOOKUP(D426,Controls!$A$64:$E$74,3,FALSE()),"No")="Yes",1,0)</f>
        <v>0</v>
      </c>
      <c r="AG426" s="65" t="n">
        <f aca="false">IF(IFERROR(VLOOKUP(D426,Controls!$A$64:$E$74,4,FALSE()),"No")="Yes",1,0)</f>
        <v>0</v>
      </c>
      <c r="AH426" s="65" t="n">
        <f aca="false">IF(IFERROR(VLOOKUP(D426,Controls!$A$64:$E$74,5,FALSE()),"No")="Yes",1,0)</f>
        <v>1</v>
      </c>
      <c r="AI426" s="65" t="n">
        <f aca="false">IF(ISNUMBER(MATCH(D426,Controls!$A$64:$A$74,0)),1,0)</f>
        <v>1</v>
      </c>
      <c r="AJ426" s="65" t="n">
        <f aca="false">Q426-N426</f>
        <v>6081.62</v>
      </c>
      <c r="AK426" s="65" t="n">
        <f aca="false">IF(AE426=1,MAX(0,N426-Q426),0)</f>
        <v>0</v>
      </c>
      <c r="AL426" s="65" t="n">
        <f aca="false">IF(OR(V426="",V426=0),0,N426/V426)</f>
        <v>0.254907955286426</v>
      </c>
      <c r="AM426" s="65" t="n">
        <f aca="false">IF(OR(V426="",V426=0),0,1)</f>
        <v>1</v>
      </c>
      <c r="AN426" s="65" t="n">
        <f aca="false">IF(OR(E426="",F426=""),0,NETWORKDAYS(E426,F426,Ref!$K$2:$K$42))</f>
        <v>176</v>
      </c>
      <c r="AO426" s="65" t="n">
        <f aca="false">IF(L426="Renewal",1,0)</f>
        <v>0</v>
      </c>
      <c r="AP426" s="65" t="n">
        <f aca="false">AC426*AD426</f>
        <v>1</v>
      </c>
      <c r="AQ426" s="65" t="n">
        <f aca="false">IF(AND(G426&lt;&gt;"",'Historical Score'!$C$6&lt;&gt;""),IF(G426='Historical Score'!$C$6,1,0),0)</f>
        <v>1</v>
      </c>
      <c r="AR426" s="65" t="n">
        <f aca="false">IF(AND(L426&lt;&gt;"",'Historical Score'!$C$5&lt;&gt;""),IF(L426='Historical Score'!$C$5,1,0),0)</f>
        <v>1</v>
      </c>
      <c r="AS426" s="65" t="n">
        <f aca="false">IF(AND(Y426&lt;&gt;"",'Historical Score'!$C$7&lt;&gt;""),IF(Y426='Historical Score'!$C$7,1,0),0)</f>
        <v>0</v>
      </c>
      <c r="AT426" s="65" t="n">
        <f aca="false">IF(AND(K426&lt;&gt;"",'Historical Score'!$C$8&lt;&gt;""),IF(K426='Historical Score'!$C$8,1,0),0)</f>
        <v>1</v>
      </c>
      <c r="AU426" s="65" t="n">
        <f aca="false">IF(AND(J426&lt;&gt;"",'Historical Score'!$C$9&lt;&gt;""),IF(J426='Historical Score'!$C$9,1,0),0)</f>
        <v>0</v>
      </c>
      <c r="AV426" s="65" t="n">
        <f aca="false">AR426*AS426*AQ426</f>
        <v>0</v>
      </c>
      <c r="AW426" s="65" t="n">
        <f aca="false">AR426*AT426*AQ426</f>
        <v>1</v>
      </c>
      <c r="AX426" s="65" t="n">
        <f aca="false">AR426*AS426</f>
        <v>0</v>
      </c>
      <c r="AY426" s="65" t="n">
        <f aca="false">AR426*AT426</f>
        <v>1</v>
      </c>
      <c r="AZ426" s="65" t="n">
        <f aca="false">AR426*AQ426</f>
        <v>1</v>
      </c>
      <c r="BA426" s="65" t="n">
        <f aca="false">AR426</f>
        <v>1</v>
      </c>
      <c r="BB426" s="65" t="n">
        <f aca="false">1</f>
        <v>1</v>
      </c>
      <c r="BC426" s="65" t="n">
        <f aca="false">IF(AV426=1,1,IF(AW426=1,2,IF(AX426=1,3,IF(AY426=1,4,IF(AZ426=1,5,IF(BA426=1,6,7))))))</f>
        <v>2</v>
      </c>
      <c r="BD426" s="65" t="n">
        <f aca="false">IF(AD426=1,CHOOSE('Historical Score'!$C$29,AV426,AW426,AX426,AY426,AZ426,BA426,BB426),0)</f>
        <v>0</v>
      </c>
      <c r="BE426" s="65" t="str">
        <f aca="false">IF(BD426=1,COUNTIF($BD$2:BD426,1),"")</f>
        <v/>
      </c>
    </row>
    <row r="427" customFormat="false" ht="15" hidden="false" customHeight="false" outlineLevel="0" collapsed="false">
      <c r="A427" s="65" t="s">
        <v>1655</v>
      </c>
      <c r="B427" s="65" t="s">
        <v>1242</v>
      </c>
      <c r="C427" s="65" t="s">
        <v>1242</v>
      </c>
      <c r="D427" s="65" t="s">
        <v>371</v>
      </c>
      <c r="E427" s="112" t="n">
        <v>46000</v>
      </c>
      <c r="F427" s="112" t="n">
        <v>46086</v>
      </c>
      <c r="G427" s="65" t="n">
        <v>4</v>
      </c>
      <c r="H427" s="65" t="s">
        <v>442</v>
      </c>
      <c r="I427" s="65" t="s">
        <v>443</v>
      </c>
      <c r="J427" s="65" t="s">
        <v>61</v>
      </c>
      <c r="K427" s="65" t="s">
        <v>581</v>
      </c>
      <c r="L427" s="65" t="s">
        <v>320</v>
      </c>
      <c r="M427" s="113" t="n">
        <v>1.499</v>
      </c>
      <c r="N427" s="114" t="n">
        <v>35000</v>
      </c>
      <c r="O427" s="114" t="n">
        <v>4900</v>
      </c>
      <c r="P427" s="114" t="n">
        <v>52465</v>
      </c>
      <c r="Q427" s="114" t="n">
        <v>52465</v>
      </c>
      <c r="R427" s="114" t="n">
        <v>7.27595761418343E-012</v>
      </c>
      <c r="S427" s="115" t="n">
        <v>1</v>
      </c>
      <c r="T427" s="65" t="n">
        <v>3.607</v>
      </c>
      <c r="U427" s="65" t="n">
        <v>0</v>
      </c>
      <c r="V427" s="65" t="n">
        <v>54257.4</v>
      </c>
      <c r="W427" s="115" t="n">
        <v>0.1824</v>
      </c>
      <c r="X427" s="112" t="n">
        <v>43910</v>
      </c>
      <c r="Y427" s="65" t="str">
        <f aca="false">IF(I427="","No SIC",IFERROR(VLOOKUP(I427,Ref!$A$2:$B$65,2,FALSE()),"Unclassified"))</f>
        <v>General Building Contractors</v>
      </c>
      <c r="Z427" s="65" t="str">
        <f aca="false">IF(T427="","",IF(T427&lt;12,"Daily","Weekly"))</f>
        <v>Daily</v>
      </c>
      <c r="AA427" s="65" t="n">
        <f aca="false">IF(T427="",0,IF(T427&lt;12,T427*Controls!$B$29,T427*5))</f>
        <v>78.109585</v>
      </c>
      <c r="AB427" s="65" t="n">
        <f aca="false">IF(E427="",0,NETWORKDAYS(E427,Controls!$B$36,Ref!$K$2:$K$42))</f>
        <v>180</v>
      </c>
      <c r="AC427" s="65" t="n">
        <f aca="false">IF(AND(AA427&gt;0,AB427&gt;=Controls!$B$39*AA427),1,0)</f>
        <v>1</v>
      </c>
      <c r="AD427" s="65" t="n">
        <f aca="false">IF(AND(E427&lt;&gt;"",E427&gt;=Controls!$B$37,E427&lt;=Controls!$B$38),1,0)</f>
        <v>1</v>
      </c>
      <c r="AE427" s="65" t="n">
        <f aca="false">IF(IFERROR(VLOOKUP(D427,Controls!$A$64:$E$74,2,FALSE()),"No")="Yes",1,0)</f>
        <v>0</v>
      </c>
      <c r="AF427" s="65" t="n">
        <f aca="false">IF(IFERROR(VLOOKUP(D427,Controls!$A$64:$E$74,3,FALSE()),"No")="Yes",1,0)</f>
        <v>1</v>
      </c>
      <c r="AG427" s="65" t="n">
        <f aca="false">IF(IFERROR(VLOOKUP(D427,Controls!$A$64:$E$74,4,FALSE()),"No")="Yes",1,0)</f>
        <v>1</v>
      </c>
      <c r="AH427" s="65" t="n">
        <f aca="false">IF(IFERROR(VLOOKUP(D427,Controls!$A$64:$E$74,5,FALSE()),"No")="Yes",1,0)</f>
        <v>0</v>
      </c>
      <c r="AI427" s="65" t="n">
        <f aca="false">IF(ISNUMBER(MATCH(D427,Controls!$A$64:$A$74,0)),1,0)</f>
        <v>1</v>
      </c>
      <c r="AJ427" s="65" t="n">
        <f aca="false">Q427-N427</f>
        <v>17465</v>
      </c>
      <c r="AK427" s="65" t="n">
        <f aca="false">IF(AE427=1,MAX(0,N427-Q427),0)</f>
        <v>0</v>
      </c>
      <c r="AL427" s="65" t="n">
        <f aca="false">IF(OR(V427="",V427=0),0,N427/V427)</f>
        <v>0.645073298757405</v>
      </c>
      <c r="AM427" s="65" t="n">
        <f aca="false">IF(OR(V427="",V427=0),0,1)</f>
        <v>1</v>
      </c>
      <c r="AN427" s="65" t="n">
        <f aca="false">IF(OR(E427="",F427=""),0,NETWORKDAYS(E427,F427,Ref!$K$2:$K$42))</f>
        <v>59</v>
      </c>
      <c r="AO427" s="65" t="n">
        <f aca="false">IF(L427="Renewal",1,0)</f>
        <v>1</v>
      </c>
      <c r="AP427" s="65" t="n">
        <f aca="false">AC427*AD427</f>
        <v>1</v>
      </c>
      <c r="AQ427" s="65" t="n">
        <f aca="false">IF(AND(G427&lt;&gt;"",'Historical Score'!$C$6&lt;&gt;""),IF(G427='Historical Score'!$C$6,1,0),0)</f>
        <v>0</v>
      </c>
      <c r="AR427" s="65" t="n">
        <f aca="false">IF(AND(L427&lt;&gt;"",'Historical Score'!$C$5&lt;&gt;""),IF(L427='Historical Score'!$C$5,1,0),0)</f>
        <v>0</v>
      </c>
      <c r="AS427" s="65" t="n">
        <f aca="false">IF(AND(Y427&lt;&gt;"",'Historical Score'!$C$7&lt;&gt;""),IF(Y427='Historical Score'!$C$7,1,0),0)</f>
        <v>1</v>
      </c>
      <c r="AT427" s="65" t="n">
        <f aca="false">IF(AND(K427&lt;&gt;"",'Historical Score'!$C$8&lt;&gt;""),IF(K427='Historical Score'!$C$8,1,0),0)</f>
        <v>0</v>
      </c>
      <c r="AU427" s="65" t="n">
        <f aca="false">IF(AND(J427&lt;&gt;"",'Historical Score'!$C$9&lt;&gt;""),IF(J427='Historical Score'!$C$9,1,0),0)</f>
        <v>1</v>
      </c>
      <c r="AV427" s="65" t="n">
        <f aca="false">AR427*AS427*AQ427</f>
        <v>0</v>
      </c>
      <c r="AW427" s="65" t="n">
        <f aca="false">AR427*AT427*AQ427</f>
        <v>0</v>
      </c>
      <c r="AX427" s="65" t="n">
        <f aca="false">AR427*AS427</f>
        <v>0</v>
      </c>
      <c r="AY427" s="65" t="n">
        <f aca="false">AR427*AT427</f>
        <v>0</v>
      </c>
      <c r="AZ427" s="65" t="n">
        <f aca="false">AR427*AQ427</f>
        <v>0</v>
      </c>
      <c r="BA427" s="65" t="n">
        <f aca="false">AR427</f>
        <v>0</v>
      </c>
      <c r="BB427" s="65" t="n">
        <f aca="false">1</f>
        <v>1</v>
      </c>
      <c r="BC427" s="65" t="n">
        <f aca="false">IF(AV427=1,1,IF(AW427=1,2,IF(AX427=1,3,IF(AY427=1,4,IF(AZ427=1,5,IF(BA427=1,6,7))))))</f>
        <v>7</v>
      </c>
      <c r="BD427" s="65" t="n">
        <f aca="false">IF(AD427=1,CHOOSE('Historical Score'!$C$29,AV427,AW427,AX427,AY427,AZ427,BA427,BB427),0)</f>
        <v>0</v>
      </c>
      <c r="BE427" s="65" t="str">
        <f aca="false">IF(BD427=1,COUNTIF($BD$2:BD427,1),"")</f>
        <v/>
      </c>
    </row>
    <row r="428" customFormat="false" ht="15" hidden="false" customHeight="false" outlineLevel="0" collapsed="false">
      <c r="A428" s="65" t="s">
        <v>1656</v>
      </c>
      <c r="B428" s="65" t="s">
        <v>1657</v>
      </c>
      <c r="C428" s="65" t="s">
        <v>1658</v>
      </c>
      <c r="D428" s="65" t="s">
        <v>295</v>
      </c>
      <c r="E428" s="112" t="n">
        <v>46000</v>
      </c>
      <c r="F428" s="112" t="n">
        <v>46244</v>
      </c>
      <c r="G428" s="65" t="n">
        <v>1</v>
      </c>
      <c r="H428" s="65" t="s">
        <v>1659</v>
      </c>
      <c r="I428" s="65" t="s">
        <v>885</v>
      </c>
      <c r="J428" s="65" t="s">
        <v>732</v>
      </c>
      <c r="K428" s="65" t="s">
        <v>961</v>
      </c>
      <c r="L428" s="65" t="s">
        <v>64</v>
      </c>
      <c r="M428" s="113" t="n">
        <v>1.42</v>
      </c>
      <c r="N428" s="114" t="n">
        <v>100000</v>
      </c>
      <c r="O428" s="114" t="n">
        <v>14500</v>
      </c>
      <c r="P428" s="114" t="n">
        <v>142000</v>
      </c>
      <c r="Q428" s="114" t="n">
        <v>130009.44</v>
      </c>
      <c r="R428" s="114" t="n">
        <v>11990.56</v>
      </c>
      <c r="S428" s="115" t="n">
        <v>0.915559436619718</v>
      </c>
      <c r="T428" s="65" t="n">
        <v>36</v>
      </c>
      <c r="U428" s="65" t="n">
        <v>2</v>
      </c>
      <c r="V428" s="65" t="n">
        <v>454141.36</v>
      </c>
      <c r="W428" s="115" t="n">
        <v>0.0347</v>
      </c>
      <c r="X428" s="112" t="n">
        <v>43191</v>
      </c>
      <c r="Y428" s="65" t="str">
        <f aca="false">IF(I428="","No SIC",IFERROR(VLOOKUP(I428,Ref!$A$2:$B$65,2,FALSE()),"Unclassified"))</f>
        <v>Communications</v>
      </c>
      <c r="Z428" s="65" t="str">
        <f aca="false">IF(T428="","",IF(T428&lt;12,"Daily","Weekly"))</f>
        <v>Weekly</v>
      </c>
      <c r="AA428" s="65" t="n">
        <f aca="false">IF(T428="",0,IF(T428&lt;12,T428*Controls!$B$29,T428*5))</f>
        <v>180</v>
      </c>
      <c r="AB428" s="65" t="n">
        <f aca="false">IF(E428="",0,NETWORKDAYS(E428,Controls!$B$36,Ref!$K$2:$K$42))</f>
        <v>180</v>
      </c>
      <c r="AC428" s="65" t="n">
        <f aca="false">IF(AND(AA428&gt;0,AB428&gt;=Controls!$B$39*AA428),1,0)</f>
        <v>0</v>
      </c>
      <c r="AD428" s="65" t="n">
        <f aca="false">IF(AND(E428&lt;&gt;"",E428&gt;=Controls!$B$37,E428&lt;=Controls!$B$38),1,0)</f>
        <v>1</v>
      </c>
      <c r="AE428" s="65" t="n">
        <f aca="false">IF(IFERROR(VLOOKUP(D428,Controls!$A$64:$E$74,2,FALSE()),"No")="Yes",1,0)</f>
        <v>0</v>
      </c>
      <c r="AF428" s="65" t="n">
        <f aca="false">IF(IFERROR(VLOOKUP(D428,Controls!$A$64:$E$74,3,FALSE()),"No")="Yes",1,0)</f>
        <v>0</v>
      </c>
      <c r="AG428" s="65" t="n">
        <f aca="false">IF(IFERROR(VLOOKUP(D428,Controls!$A$64:$E$74,4,FALSE()),"No")="Yes",1,0)</f>
        <v>0</v>
      </c>
      <c r="AH428" s="65" t="n">
        <f aca="false">IF(IFERROR(VLOOKUP(D428,Controls!$A$64:$E$74,5,FALSE()),"No")="Yes",1,0)</f>
        <v>1</v>
      </c>
      <c r="AI428" s="65" t="n">
        <f aca="false">IF(ISNUMBER(MATCH(D428,Controls!$A$64:$A$74,0)),1,0)</f>
        <v>1</v>
      </c>
      <c r="AJ428" s="65" t="n">
        <f aca="false">Q428-N428</f>
        <v>30009.44</v>
      </c>
      <c r="AK428" s="65" t="n">
        <f aca="false">IF(AE428=1,MAX(0,N428-Q428),0)</f>
        <v>0</v>
      </c>
      <c r="AL428" s="65" t="n">
        <f aca="false">IF(OR(V428="",V428=0),0,N428/V428)</f>
        <v>0.220195755788462</v>
      </c>
      <c r="AM428" s="65" t="n">
        <f aca="false">IF(OR(V428="",V428=0),0,1)</f>
        <v>1</v>
      </c>
      <c r="AN428" s="65" t="n">
        <f aca="false">IF(OR(E428="",F428=""),0,NETWORKDAYS(E428,F428,Ref!$K$2:$K$42))</f>
        <v>169</v>
      </c>
      <c r="AO428" s="65" t="n">
        <f aca="false">IF(L428="Renewal",1,0)</f>
        <v>0</v>
      </c>
      <c r="AP428" s="65" t="n">
        <f aca="false">AC428*AD428</f>
        <v>0</v>
      </c>
      <c r="AQ428" s="65" t="n">
        <f aca="false">IF(AND(G428&lt;&gt;"",'Historical Score'!$C$6&lt;&gt;""),IF(G428='Historical Score'!$C$6,1,0),0)</f>
        <v>0</v>
      </c>
      <c r="AR428" s="65" t="n">
        <f aca="false">IF(AND(L428&lt;&gt;"",'Historical Score'!$C$5&lt;&gt;""),IF(L428='Historical Score'!$C$5,1,0),0)</f>
        <v>1</v>
      </c>
      <c r="AS428" s="65" t="n">
        <f aca="false">IF(AND(Y428&lt;&gt;"",'Historical Score'!$C$7&lt;&gt;""),IF(Y428='Historical Score'!$C$7,1,0),0)</f>
        <v>0</v>
      </c>
      <c r="AT428" s="65" t="n">
        <f aca="false">IF(AND(K428&lt;&gt;"",'Historical Score'!$C$8&lt;&gt;""),IF(K428='Historical Score'!$C$8,1,0),0)</f>
        <v>0</v>
      </c>
      <c r="AU428" s="65" t="n">
        <f aca="false">IF(AND(J428&lt;&gt;"",'Historical Score'!$C$9&lt;&gt;""),IF(J428='Historical Score'!$C$9,1,0),0)</f>
        <v>0</v>
      </c>
      <c r="AV428" s="65" t="n">
        <f aca="false">AR428*AS428*AQ428</f>
        <v>0</v>
      </c>
      <c r="AW428" s="65" t="n">
        <f aca="false">AR428*AT428*AQ428</f>
        <v>0</v>
      </c>
      <c r="AX428" s="65" t="n">
        <f aca="false">AR428*AS428</f>
        <v>0</v>
      </c>
      <c r="AY428" s="65" t="n">
        <f aca="false">AR428*AT428</f>
        <v>0</v>
      </c>
      <c r="AZ428" s="65" t="n">
        <f aca="false">AR428*AQ428</f>
        <v>0</v>
      </c>
      <c r="BA428" s="65" t="n">
        <f aca="false">AR428</f>
        <v>1</v>
      </c>
      <c r="BB428" s="65" t="n">
        <f aca="false">1</f>
        <v>1</v>
      </c>
      <c r="BC428" s="65" t="n">
        <f aca="false">IF(AV428=1,1,IF(AW428=1,2,IF(AX428=1,3,IF(AY428=1,4,IF(AZ428=1,5,IF(BA428=1,6,7))))))</f>
        <v>6</v>
      </c>
      <c r="BD428" s="65" t="n">
        <f aca="false">IF(AD428=1,CHOOSE('Historical Score'!$C$29,AV428,AW428,AX428,AY428,AZ428,BA428,BB428),0)</f>
        <v>0</v>
      </c>
      <c r="BE428" s="65" t="str">
        <f aca="false">IF(BD428=1,COUNTIF($BD$2:BD428,1),"")</f>
        <v/>
      </c>
    </row>
    <row r="429" customFormat="false" ht="15" hidden="false" customHeight="false" outlineLevel="0" collapsed="false">
      <c r="A429" s="65" t="s">
        <v>1660</v>
      </c>
      <c r="B429" s="65" t="s">
        <v>1661</v>
      </c>
      <c r="C429" s="65" t="s">
        <v>1661</v>
      </c>
      <c r="D429" s="65" t="s">
        <v>533</v>
      </c>
      <c r="E429" s="112" t="n">
        <v>46000</v>
      </c>
      <c r="F429" s="112" t="n">
        <v>46217</v>
      </c>
      <c r="G429" s="65" t="n">
        <v>1</v>
      </c>
      <c r="H429" s="65" t="s">
        <v>1662</v>
      </c>
      <c r="I429" s="65" t="s">
        <v>970</v>
      </c>
      <c r="J429" s="65" t="s">
        <v>464</v>
      </c>
      <c r="K429" s="65" t="s">
        <v>961</v>
      </c>
      <c r="L429" s="65" t="s">
        <v>64</v>
      </c>
      <c r="M429" s="113" t="n">
        <v>1.4</v>
      </c>
      <c r="N429" s="114" t="n">
        <v>10000</v>
      </c>
      <c r="O429" s="114" t="n">
        <v>1350</v>
      </c>
      <c r="P429" s="114" t="n">
        <v>14000</v>
      </c>
      <c r="Q429" s="114" t="n">
        <v>4122.34</v>
      </c>
      <c r="R429" s="114" t="n">
        <v>9877.66</v>
      </c>
      <c r="S429" s="115" t="n">
        <v>0.294452857142857</v>
      </c>
      <c r="T429" s="65" t="n">
        <v>2.951</v>
      </c>
      <c r="U429" s="65" t="n">
        <v>79</v>
      </c>
      <c r="V429" s="65" t="n">
        <v>15548.18</v>
      </c>
      <c r="W429" s="115" t="n">
        <v>0.2101</v>
      </c>
      <c r="X429" s="112" t="n">
        <v>44219</v>
      </c>
      <c r="Y429" s="65" t="str">
        <f aca="false">IF(I429="","No SIC",IFERROR(VLOOKUP(I429,Ref!$A$2:$B$65,2,FALSE()),"Unclassified"))</f>
        <v>Industrial Machinery &amp; Equipment</v>
      </c>
      <c r="Z429" s="65" t="str">
        <f aca="false">IF(T429="","",IF(T429&lt;12,"Daily","Weekly"))</f>
        <v>Daily</v>
      </c>
      <c r="AA429" s="65" t="n">
        <f aca="false">IF(T429="",0,IF(T429&lt;12,T429*Controls!$B$29,T429*5))</f>
        <v>63.903905</v>
      </c>
      <c r="AB429" s="65" t="n">
        <f aca="false">IF(E429="",0,NETWORKDAYS(E429,Controls!$B$36,Ref!$K$2:$K$42))</f>
        <v>180</v>
      </c>
      <c r="AC429" s="65" t="n">
        <f aca="false">IF(AND(AA429&gt;0,AB429&gt;=Controls!$B$39*AA429),1,0)</f>
        <v>1</v>
      </c>
      <c r="AD429" s="65" t="n">
        <f aca="false">IF(AND(E429&lt;&gt;"",E429&gt;=Controls!$B$37,E429&lt;=Controls!$B$38),1,0)</f>
        <v>1</v>
      </c>
      <c r="AE429" s="65" t="n">
        <f aca="false">IF(IFERROR(VLOOKUP(D429,Controls!$A$64:$E$74,2,FALSE()),"No")="Yes",1,0)</f>
        <v>1</v>
      </c>
      <c r="AF429" s="65" t="n">
        <f aca="false">IF(IFERROR(VLOOKUP(D429,Controls!$A$64:$E$74,3,FALSE()),"No")="Yes",1,0)</f>
        <v>0</v>
      </c>
      <c r="AG429" s="65" t="n">
        <f aca="false">IF(IFERROR(VLOOKUP(D429,Controls!$A$64:$E$74,4,FALSE()),"No")="Yes",1,0)</f>
        <v>0</v>
      </c>
      <c r="AH429" s="65" t="n">
        <f aca="false">IF(IFERROR(VLOOKUP(D429,Controls!$A$64:$E$74,5,FALSE()),"No")="Yes",1,0)</f>
        <v>0</v>
      </c>
      <c r="AI429" s="65" t="n">
        <f aca="false">IF(ISNUMBER(MATCH(D429,Controls!$A$64:$A$74,0)),1,0)</f>
        <v>1</v>
      </c>
      <c r="AJ429" s="65" t="n">
        <f aca="false">Q429-N429</f>
        <v>-5877.66</v>
      </c>
      <c r="AK429" s="65" t="n">
        <f aca="false">IF(AE429=1,MAX(0,N429-Q429),0)</f>
        <v>5877.66</v>
      </c>
      <c r="AL429" s="65" t="n">
        <f aca="false">IF(OR(V429="",V429=0),0,N429/V429)</f>
        <v>0.643162093569794</v>
      </c>
      <c r="AM429" s="65" t="n">
        <f aca="false">IF(OR(V429="",V429=0),0,1)</f>
        <v>1</v>
      </c>
      <c r="AN429" s="65" t="n">
        <f aca="false">IF(OR(E429="",F429=""),0,NETWORKDAYS(E429,F429,Ref!$K$2:$K$42))</f>
        <v>150</v>
      </c>
      <c r="AO429" s="65" t="n">
        <f aca="false">IF(L429="Renewal",1,0)</f>
        <v>0</v>
      </c>
      <c r="AP429" s="65" t="n">
        <f aca="false">AC429*AD429</f>
        <v>1</v>
      </c>
      <c r="AQ429" s="65" t="n">
        <f aca="false">IF(AND(G429&lt;&gt;"",'Historical Score'!$C$6&lt;&gt;""),IF(G429='Historical Score'!$C$6,1,0),0)</f>
        <v>0</v>
      </c>
      <c r="AR429" s="65" t="n">
        <f aca="false">IF(AND(L429&lt;&gt;"",'Historical Score'!$C$5&lt;&gt;""),IF(L429='Historical Score'!$C$5,1,0),0)</f>
        <v>1</v>
      </c>
      <c r="AS429" s="65" t="n">
        <f aca="false">IF(AND(Y429&lt;&gt;"",'Historical Score'!$C$7&lt;&gt;""),IF(Y429='Historical Score'!$C$7,1,0),0)</f>
        <v>0</v>
      </c>
      <c r="AT429" s="65" t="n">
        <f aca="false">IF(AND(K429&lt;&gt;"",'Historical Score'!$C$8&lt;&gt;""),IF(K429='Historical Score'!$C$8,1,0),0)</f>
        <v>0</v>
      </c>
      <c r="AU429" s="65" t="n">
        <f aca="false">IF(AND(J429&lt;&gt;"",'Historical Score'!$C$9&lt;&gt;""),IF(J429='Historical Score'!$C$9,1,0),0)</f>
        <v>0</v>
      </c>
      <c r="AV429" s="65" t="n">
        <f aca="false">AR429*AS429*AQ429</f>
        <v>0</v>
      </c>
      <c r="AW429" s="65" t="n">
        <f aca="false">AR429*AT429*AQ429</f>
        <v>0</v>
      </c>
      <c r="AX429" s="65" t="n">
        <f aca="false">AR429*AS429</f>
        <v>0</v>
      </c>
      <c r="AY429" s="65" t="n">
        <f aca="false">AR429*AT429</f>
        <v>0</v>
      </c>
      <c r="AZ429" s="65" t="n">
        <f aca="false">AR429*AQ429</f>
        <v>0</v>
      </c>
      <c r="BA429" s="65" t="n">
        <f aca="false">AR429</f>
        <v>1</v>
      </c>
      <c r="BB429" s="65" t="n">
        <f aca="false">1</f>
        <v>1</v>
      </c>
      <c r="BC429" s="65" t="n">
        <f aca="false">IF(AV429=1,1,IF(AW429=1,2,IF(AX429=1,3,IF(AY429=1,4,IF(AZ429=1,5,IF(BA429=1,6,7))))))</f>
        <v>6</v>
      </c>
      <c r="BD429" s="65" t="n">
        <f aca="false">IF(AD429=1,CHOOSE('Historical Score'!$C$29,AV429,AW429,AX429,AY429,AZ429,BA429,BB429),0)</f>
        <v>0</v>
      </c>
      <c r="BE429" s="65" t="str">
        <f aca="false">IF(BD429=1,COUNTIF($BD$2:BD429,1),"")</f>
        <v/>
      </c>
    </row>
    <row r="430" customFormat="false" ht="15" hidden="false" customHeight="false" outlineLevel="0" collapsed="false">
      <c r="A430" s="65" t="s">
        <v>1663</v>
      </c>
      <c r="B430" s="65" t="s">
        <v>1664</v>
      </c>
      <c r="C430" s="65" t="s">
        <v>1665</v>
      </c>
      <c r="D430" s="65" t="s">
        <v>371</v>
      </c>
      <c r="E430" s="112" t="n">
        <v>46001</v>
      </c>
      <c r="F430" s="112" t="n">
        <v>46097</v>
      </c>
      <c r="G430" s="65" t="n">
        <v>1</v>
      </c>
      <c r="H430" s="65" t="s">
        <v>1666</v>
      </c>
      <c r="I430" s="65" t="s">
        <v>1447</v>
      </c>
      <c r="J430" s="65" t="s">
        <v>638</v>
      </c>
      <c r="K430" s="65" t="s">
        <v>961</v>
      </c>
      <c r="L430" s="65" t="s">
        <v>64</v>
      </c>
      <c r="M430" s="113" t="n">
        <v>1.46</v>
      </c>
      <c r="N430" s="114" t="n">
        <v>15000</v>
      </c>
      <c r="O430" s="114" t="n">
        <v>2325</v>
      </c>
      <c r="P430" s="114" t="n">
        <v>21900</v>
      </c>
      <c r="Q430" s="114" t="n">
        <v>21900</v>
      </c>
      <c r="R430" s="114" t="n">
        <v>0</v>
      </c>
      <c r="S430" s="115" t="n">
        <v>1</v>
      </c>
      <c r="T430" s="65" t="n">
        <v>3.607</v>
      </c>
      <c r="U430" s="65" t="n">
        <v>0</v>
      </c>
      <c r="V430" s="65" t="n">
        <v>28564.11</v>
      </c>
      <c r="W430" s="115" t="n">
        <v>0.1464</v>
      </c>
      <c r="X430" s="112" t="n">
        <v>45527</v>
      </c>
      <c r="Y430" s="65" t="str">
        <f aca="false">IF(I430="","No SIC",IFERROR(VLOOKUP(I430,Ref!$A$2:$B$65,2,FALSE()),"Unclassified"))</f>
        <v>Instruments &amp; Related Products</v>
      </c>
      <c r="Z430" s="65" t="str">
        <f aca="false">IF(T430="","",IF(T430&lt;12,"Daily","Weekly"))</f>
        <v>Daily</v>
      </c>
      <c r="AA430" s="65" t="n">
        <f aca="false">IF(T430="",0,IF(T430&lt;12,T430*Controls!$B$29,T430*5))</f>
        <v>78.109585</v>
      </c>
      <c r="AB430" s="65" t="n">
        <f aca="false">IF(E430="",0,NETWORKDAYS(E430,Controls!$B$36,Ref!$K$2:$K$42))</f>
        <v>179</v>
      </c>
      <c r="AC430" s="65" t="n">
        <f aca="false">IF(AND(AA430&gt;0,AB430&gt;=Controls!$B$39*AA430),1,0)</f>
        <v>1</v>
      </c>
      <c r="AD430" s="65" t="n">
        <f aca="false">IF(AND(E430&lt;&gt;"",E430&gt;=Controls!$B$37,E430&lt;=Controls!$B$38),1,0)</f>
        <v>1</v>
      </c>
      <c r="AE430" s="65" t="n">
        <f aca="false">IF(IFERROR(VLOOKUP(D430,Controls!$A$64:$E$74,2,FALSE()),"No")="Yes",1,0)</f>
        <v>0</v>
      </c>
      <c r="AF430" s="65" t="n">
        <f aca="false">IF(IFERROR(VLOOKUP(D430,Controls!$A$64:$E$74,3,FALSE()),"No")="Yes",1,0)</f>
        <v>1</v>
      </c>
      <c r="AG430" s="65" t="n">
        <f aca="false">IF(IFERROR(VLOOKUP(D430,Controls!$A$64:$E$74,4,FALSE()),"No")="Yes",1,0)</f>
        <v>1</v>
      </c>
      <c r="AH430" s="65" t="n">
        <f aca="false">IF(IFERROR(VLOOKUP(D430,Controls!$A$64:$E$74,5,FALSE()),"No")="Yes",1,0)</f>
        <v>0</v>
      </c>
      <c r="AI430" s="65" t="n">
        <f aca="false">IF(ISNUMBER(MATCH(D430,Controls!$A$64:$A$74,0)),1,0)</f>
        <v>1</v>
      </c>
      <c r="AJ430" s="65" t="n">
        <f aca="false">Q430-N430</f>
        <v>6900</v>
      </c>
      <c r="AK430" s="65" t="n">
        <f aca="false">IF(AE430=1,MAX(0,N430-Q430),0)</f>
        <v>0</v>
      </c>
      <c r="AL430" s="65" t="n">
        <f aca="false">IF(OR(V430="",V430=0),0,N430/V430)</f>
        <v>0.525134513205558</v>
      </c>
      <c r="AM430" s="65" t="n">
        <f aca="false">IF(OR(V430="",V430=0),0,1)</f>
        <v>1</v>
      </c>
      <c r="AN430" s="65" t="n">
        <f aca="false">IF(OR(E430="",F430=""),0,NETWORKDAYS(E430,F430,Ref!$K$2:$K$42))</f>
        <v>65</v>
      </c>
      <c r="AO430" s="65" t="n">
        <f aca="false">IF(L430="Renewal",1,0)</f>
        <v>0</v>
      </c>
      <c r="AP430" s="65" t="n">
        <f aca="false">AC430*AD430</f>
        <v>1</v>
      </c>
      <c r="AQ430" s="65" t="n">
        <f aca="false">IF(AND(G430&lt;&gt;"",'Historical Score'!$C$6&lt;&gt;""),IF(G430='Historical Score'!$C$6,1,0),0)</f>
        <v>0</v>
      </c>
      <c r="AR430" s="65" t="n">
        <f aca="false">IF(AND(L430&lt;&gt;"",'Historical Score'!$C$5&lt;&gt;""),IF(L430='Historical Score'!$C$5,1,0),0)</f>
        <v>1</v>
      </c>
      <c r="AS430" s="65" t="n">
        <f aca="false">IF(AND(Y430&lt;&gt;"",'Historical Score'!$C$7&lt;&gt;""),IF(Y430='Historical Score'!$C$7,1,0),0)</f>
        <v>0</v>
      </c>
      <c r="AT430" s="65" t="n">
        <f aca="false">IF(AND(K430&lt;&gt;"",'Historical Score'!$C$8&lt;&gt;""),IF(K430='Historical Score'!$C$8,1,0),0)</f>
        <v>0</v>
      </c>
      <c r="AU430" s="65" t="n">
        <f aca="false">IF(AND(J430&lt;&gt;"",'Historical Score'!$C$9&lt;&gt;""),IF(J430='Historical Score'!$C$9,1,0),0)</f>
        <v>0</v>
      </c>
      <c r="AV430" s="65" t="n">
        <f aca="false">AR430*AS430*AQ430</f>
        <v>0</v>
      </c>
      <c r="AW430" s="65" t="n">
        <f aca="false">AR430*AT430*AQ430</f>
        <v>0</v>
      </c>
      <c r="AX430" s="65" t="n">
        <f aca="false">AR430*AS430</f>
        <v>0</v>
      </c>
      <c r="AY430" s="65" t="n">
        <f aca="false">AR430*AT430</f>
        <v>0</v>
      </c>
      <c r="AZ430" s="65" t="n">
        <f aca="false">AR430*AQ430</f>
        <v>0</v>
      </c>
      <c r="BA430" s="65" t="n">
        <f aca="false">AR430</f>
        <v>1</v>
      </c>
      <c r="BB430" s="65" t="n">
        <f aca="false">1</f>
        <v>1</v>
      </c>
      <c r="BC430" s="65" t="n">
        <f aca="false">IF(AV430=1,1,IF(AW430=1,2,IF(AX430=1,3,IF(AY430=1,4,IF(AZ430=1,5,IF(BA430=1,6,7))))))</f>
        <v>6</v>
      </c>
      <c r="BD430" s="65" t="n">
        <f aca="false">IF(AD430=1,CHOOSE('Historical Score'!$C$29,AV430,AW430,AX430,AY430,AZ430,BA430,BB430),0)</f>
        <v>0</v>
      </c>
      <c r="BE430" s="65" t="str">
        <f aca="false">IF(BD430=1,COUNTIF($BD$2:BD430,1),"")</f>
        <v/>
      </c>
    </row>
    <row r="431" customFormat="false" ht="15" hidden="false" customHeight="false" outlineLevel="0" collapsed="false">
      <c r="A431" s="65" t="s">
        <v>1667</v>
      </c>
      <c r="B431" s="65" t="s">
        <v>1668</v>
      </c>
      <c r="C431" s="65" t="s">
        <v>1669</v>
      </c>
      <c r="D431" s="65" t="s">
        <v>347</v>
      </c>
      <c r="E431" s="112" t="n">
        <v>46001</v>
      </c>
      <c r="F431" s="112" t="n">
        <v>46132</v>
      </c>
      <c r="G431" s="65" t="n">
        <v>5</v>
      </c>
      <c r="H431" s="65" t="s">
        <v>568</v>
      </c>
      <c r="I431" s="65" t="s">
        <v>569</v>
      </c>
      <c r="J431" s="65" t="s">
        <v>386</v>
      </c>
      <c r="K431" s="65" t="s">
        <v>55</v>
      </c>
      <c r="L431" s="65" t="s">
        <v>64</v>
      </c>
      <c r="M431" s="113" t="n">
        <v>1.5</v>
      </c>
      <c r="N431" s="114" t="n">
        <v>7000</v>
      </c>
      <c r="O431" s="114" t="n">
        <v>980</v>
      </c>
      <c r="P431" s="114" t="n">
        <v>10500</v>
      </c>
      <c r="Q431" s="114" t="n">
        <v>2682.54</v>
      </c>
      <c r="R431" s="114" t="n">
        <v>7817.46</v>
      </c>
      <c r="S431" s="115" t="n">
        <v>0.25548</v>
      </c>
      <c r="T431" s="65" t="n">
        <v>2.295</v>
      </c>
      <c r="U431" s="65" t="n">
        <v>22</v>
      </c>
      <c r="W431" s="115" t="n">
        <v>0.0514</v>
      </c>
      <c r="X431" s="112"/>
      <c r="Y431" s="65" t="str">
        <f aca="false">IF(I431="","No SIC",IFERROR(VLOOKUP(I431,Ref!$A$2:$B$65,2,FALSE()),"Unclassified"))</f>
        <v>General Merchandise Stores</v>
      </c>
      <c r="Z431" s="65" t="str">
        <f aca="false">IF(T431="","",IF(T431&lt;12,"Daily","Weekly"))</f>
        <v>Daily</v>
      </c>
      <c r="AA431" s="65" t="n">
        <f aca="false">IF(T431="",0,IF(T431&lt;12,T431*Controls!$B$29,T431*5))</f>
        <v>49.698225</v>
      </c>
      <c r="AB431" s="65" t="n">
        <f aca="false">IF(E431="",0,NETWORKDAYS(E431,Controls!$B$36,Ref!$K$2:$K$42))</f>
        <v>179</v>
      </c>
      <c r="AC431" s="65" t="n">
        <f aca="false">IF(AND(AA431&gt;0,AB431&gt;=Controls!$B$39*AA431),1,0)</f>
        <v>1</v>
      </c>
      <c r="AD431" s="65" t="n">
        <f aca="false">IF(AND(E431&lt;&gt;"",E431&gt;=Controls!$B$37,E431&lt;=Controls!$B$38),1,0)</f>
        <v>1</v>
      </c>
      <c r="AE431" s="65" t="n">
        <f aca="false">IF(IFERROR(VLOOKUP(D431,Controls!$A$64:$E$74,2,FALSE()),"No")="Yes",1,0)</f>
        <v>1</v>
      </c>
      <c r="AF431" s="65" t="n">
        <f aca="false">IF(IFERROR(VLOOKUP(D431,Controls!$A$64:$E$74,3,FALSE()),"No")="Yes",1,0)</f>
        <v>1</v>
      </c>
      <c r="AG431" s="65" t="n">
        <f aca="false">IF(IFERROR(VLOOKUP(D431,Controls!$A$64:$E$74,4,FALSE()),"No")="Yes",1,0)</f>
        <v>0</v>
      </c>
      <c r="AH431" s="65" t="n">
        <f aca="false">IF(IFERROR(VLOOKUP(D431,Controls!$A$64:$E$74,5,FALSE()),"No")="Yes",1,0)</f>
        <v>0</v>
      </c>
      <c r="AI431" s="65" t="n">
        <f aca="false">IF(ISNUMBER(MATCH(D431,Controls!$A$64:$A$74,0)),1,0)</f>
        <v>1</v>
      </c>
      <c r="AJ431" s="65" t="n">
        <f aca="false">Q431-N431</f>
        <v>-4317.46</v>
      </c>
      <c r="AK431" s="65" t="n">
        <f aca="false">IF(AE431=1,MAX(0,N431-Q431),0)</f>
        <v>4317.46</v>
      </c>
      <c r="AL431" s="65" t="n">
        <f aca="false">IF(OR(V431="",V431=0),0,N431/V431)</f>
        <v>0</v>
      </c>
      <c r="AM431" s="65" t="n">
        <f aca="false">IF(OR(V431="",V431=0),0,1)</f>
        <v>0</v>
      </c>
      <c r="AN431" s="65" t="n">
        <f aca="false">IF(OR(E431="",F431=""),0,NETWORKDAYS(E431,F431,Ref!$K$2:$K$42))</f>
        <v>90</v>
      </c>
      <c r="AO431" s="65" t="n">
        <f aca="false">IF(L431="Renewal",1,0)</f>
        <v>0</v>
      </c>
      <c r="AP431" s="65" t="n">
        <f aca="false">AC431*AD431</f>
        <v>1</v>
      </c>
      <c r="AQ431" s="65" t="n">
        <f aca="false">IF(AND(G431&lt;&gt;"",'Historical Score'!$C$6&lt;&gt;""),IF(G431='Historical Score'!$C$6,1,0),0)</f>
        <v>0</v>
      </c>
      <c r="AR431" s="65" t="n">
        <f aca="false">IF(AND(L431&lt;&gt;"",'Historical Score'!$C$5&lt;&gt;""),IF(L431='Historical Score'!$C$5,1,0),0)</f>
        <v>1</v>
      </c>
      <c r="AS431" s="65" t="n">
        <f aca="false">IF(AND(Y431&lt;&gt;"",'Historical Score'!$C$7&lt;&gt;""),IF(Y431='Historical Score'!$C$7,1,0),0)</f>
        <v>0</v>
      </c>
      <c r="AT431" s="65" t="n">
        <f aca="false">IF(AND(K431&lt;&gt;"",'Historical Score'!$C$8&lt;&gt;""),IF(K431='Historical Score'!$C$8,1,0),0)</f>
        <v>1</v>
      </c>
      <c r="AU431" s="65" t="n">
        <f aca="false">IF(AND(J431&lt;&gt;"",'Historical Score'!$C$9&lt;&gt;""),IF(J431='Historical Score'!$C$9,1,0),0)</f>
        <v>0</v>
      </c>
      <c r="AV431" s="65" t="n">
        <f aca="false">AR431*AS431*AQ431</f>
        <v>0</v>
      </c>
      <c r="AW431" s="65" t="n">
        <f aca="false">AR431*AT431*AQ431</f>
        <v>0</v>
      </c>
      <c r="AX431" s="65" t="n">
        <f aca="false">AR431*AS431</f>
        <v>0</v>
      </c>
      <c r="AY431" s="65" t="n">
        <f aca="false">AR431*AT431</f>
        <v>1</v>
      </c>
      <c r="AZ431" s="65" t="n">
        <f aca="false">AR431*AQ431</f>
        <v>0</v>
      </c>
      <c r="BA431" s="65" t="n">
        <f aca="false">AR431</f>
        <v>1</v>
      </c>
      <c r="BB431" s="65" t="n">
        <f aca="false">1</f>
        <v>1</v>
      </c>
      <c r="BC431" s="65" t="n">
        <f aca="false">IF(AV431=1,1,IF(AW431=1,2,IF(AX431=1,3,IF(AY431=1,4,IF(AZ431=1,5,IF(BA431=1,6,7))))))</f>
        <v>4</v>
      </c>
      <c r="BD431" s="65" t="n">
        <f aca="false">IF(AD431=1,CHOOSE('Historical Score'!$C$29,AV431,AW431,AX431,AY431,AZ431,BA431,BB431),0)</f>
        <v>0</v>
      </c>
      <c r="BE431" s="65" t="str">
        <f aca="false">IF(BD431=1,COUNTIF($BD$2:BD431,1),"")</f>
        <v/>
      </c>
    </row>
    <row r="432" customFormat="false" ht="15" hidden="false" customHeight="false" outlineLevel="0" collapsed="false">
      <c r="A432" s="65" t="s">
        <v>1670</v>
      </c>
      <c r="B432" s="65" t="s">
        <v>1671</v>
      </c>
      <c r="C432" s="65" t="s">
        <v>1671</v>
      </c>
      <c r="D432" s="65" t="s">
        <v>371</v>
      </c>
      <c r="E432" s="112" t="n">
        <v>46001</v>
      </c>
      <c r="F432" s="112" t="n">
        <v>46157</v>
      </c>
      <c r="G432" s="65" t="n">
        <v>3</v>
      </c>
      <c r="H432" s="65" t="s">
        <v>442</v>
      </c>
      <c r="I432" s="65" t="s">
        <v>443</v>
      </c>
      <c r="J432" s="65" t="s">
        <v>452</v>
      </c>
      <c r="K432" s="65" t="s">
        <v>55</v>
      </c>
      <c r="L432" s="65" t="s">
        <v>64</v>
      </c>
      <c r="M432" s="113" t="n">
        <v>1.49</v>
      </c>
      <c r="N432" s="114" t="n">
        <v>30000</v>
      </c>
      <c r="O432" s="114" t="n">
        <v>4200</v>
      </c>
      <c r="P432" s="114" t="n">
        <v>44700</v>
      </c>
      <c r="Q432" s="114" t="n">
        <v>44700</v>
      </c>
      <c r="R432" s="114" t="n">
        <v>0</v>
      </c>
      <c r="S432" s="115" t="n">
        <v>1</v>
      </c>
      <c r="T432" s="65" t="n">
        <v>25</v>
      </c>
      <c r="U432" s="65" t="n">
        <v>2</v>
      </c>
      <c r="V432" s="65" t="n">
        <v>40722.38</v>
      </c>
      <c r="W432" s="115" t="n">
        <v>0.1709</v>
      </c>
      <c r="X432" s="112" t="n">
        <v>44835</v>
      </c>
      <c r="Y432" s="65" t="str">
        <f aca="false">IF(I432="","No SIC",IFERROR(VLOOKUP(I432,Ref!$A$2:$B$65,2,FALSE()),"Unclassified"))</f>
        <v>General Building Contractors</v>
      </c>
      <c r="Z432" s="65" t="str">
        <f aca="false">IF(T432="","",IF(T432&lt;12,"Daily","Weekly"))</f>
        <v>Weekly</v>
      </c>
      <c r="AA432" s="65" t="n">
        <f aca="false">IF(T432="",0,IF(T432&lt;12,T432*Controls!$B$29,T432*5))</f>
        <v>125</v>
      </c>
      <c r="AB432" s="65" t="n">
        <f aca="false">IF(E432="",0,NETWORKDAYS(E432,Controls!$B$36,Ref!$K$2:$K$42))</f>
        <v>179</v>
      </c>
      <c r="AC432" s="65" t="n">
        <f aca="false">IF(AND(AA432&gt;0,AB432&gt;=Controls!$B$39*AA432),1,0)</f>
        <v>1</v>
      </c>
      <c r="AD432" s="65" t="n">
        <f aca="false">IF(AND(E432&lt;&gt;"",E432&gt;=Controls!$B$37,E432&lt;=Controls!$B$38),1,0)</f>
        <v>1</v>
      </c>
      <c r="AE432" s="65" t="n">
        <f aca="false">IF(IFERROR(VLOOKUP(D432,Controls!$A$64:$E$74,2,FALSE()),"No")="Yes",1,0)</f>
        <v>0</v>
      </c>
      <c r="AF432" s="65" t="n">
        <f aca="false">IF(IFERROR(VLOOKUP(D432,Controls!$A$64:$E$74,3,FALSE()),"No")="Yes",1,0)</f>
        <v>1</v>
      </c>
      <c r="AG432" s="65" t="n">
        <f aca="false">IF(IFERROR(VLOOKUP(D432,Controls!$A$64:$E$74,4,FALSE()),"No")="Yes",1,0)</f>
        <v>1</v>
      </c>
      <c r="AH432" s="65" t="n">
        <f aca="false">IF(IFERROR(VLOOKUP(D432,Controls!$A$64:$E$74,5,FALSE()),"No")="Yes",1,0)</f>
        <v>0</v>
      </c>
      <c r="AI432" s="65" t="n">
        <f aca="false">IF(ISNUMBER(MATCH(D432,Controls!$A$64:$A$74,0)),1,0)</f>
        <v>1</v>
      </c>
      <c r="AJ432" s="65" t="n">
        <f aca="false">Q432-N432</f>
        <v>14700</v>
      </c>
      <c r="AK432" s="65" t="n">
        <f aca="false">IF(AE432=1,MAX(0,N432-Q432),0)</f>
        <v>0</v>
      </c>
      <c r="AL432" s="65" t="n">
        <f aca="false">IF(OR(V432="",V432=0),0,N432/V432)</f>
        <v>0.736695644999138</v>
      </c>
      <c r="AM432" s="65" t="n">
        <f aca="false">IF(OR(V432="",V432=0),0,1)</f>
        <v>1</v>
      </c>
      <c r="AN432" s="65" t="n">
        <f aca="false">IF(OR(E432="",F432=""),0,NETWORKDAYS(E432,F432,Ref!$K$2:$K$42))</f>
        <v>109</v>
      </c>
      <c r="AO432" s="65" t="n">
        <f aca="false">IF(L432="Renewal",1,0)</f>
        <v>0</v>
      </c>
      <c r="AP432" s="65" t="n">
        <f aca="false">AC432*AD432</f>
        <v>1</v>
      </c>
      <c r="AQ432" s="65" t="n">
        <f aca="false">IF(AND(G432&lt;&gt;"",'Historical Score'!$C$6&lt;&gt;""),IF(G432='Historical Score'!$C$6,1,0),0)</f>
        <v>0</v>
      </c>
      <c r="AR432" s="65" t="n">
        <f aca="false">IF(AND(L432&lt;&gt;"",'Historical Score'!$C$5&lt;&gt;""),IF(L432='Historical Score'!$C$5,1,0),0)</f>
        <v>1</v>
      </c>
      <c r="AS432" s="65" t="n">
        <f aca="false">IF(AND(Y432&lt;&gt;"",'Historical Score'!$C$7&lt;&gt;""),IF(Y432='Historical Score'!$C$7,1,0),0)</f>
        <v>1</v>
      </c>
      <c r="AT432" s="65" t="n">
        <f aca="false">IF(AND(K432&lt;&gt;"",'Historical Score'!$C$8&lt;&gt;""),IF(K432='Historical Score'!$C$8,1,0),0)</f>
        <v>1</v>
      </c>
      <c r="AU432" s="65" t="n">
        <f aca="false">IF(AND(J432&lt;&gt;"",'Historical Score'!$C$9&lt;&gt;""),IF(J432='Historical Score'!$C$9,1,0),0)</f>
        <v>0</v>
      </c>
      <c r="AV432" s="65" t="n">
        <f aca="false">AR432*AS432*AQ432</f>
        <v>0</v>
      </c>
      <c r="AW432" s="65" t="n">
        <f aca="false">AR432*AT432*AQ432</f>
        <v>0</v>
      </c>
      <c r="AX432" s="65" t="n">
        <f aca="false">AR432*AS432</f>
        <v>1</v>
      </c>
      <c r="AY432" s="65" t="n">
        <f aca="false">AR432*AT432</f>
        <v>1</v>
      </c>
      <c r="AZ432" s="65" t="n">
        <f aca="false">AR432*AQ432</f>
        <v>0</v>
      </c>
      <c r="BA432" s="65" t="n">
        <f aca="false">AR432</f>
        <v>1</v>
      </c>
      <c r="BB432" s="65" t="n">
        <f aca="false">1</f>
        <v>1</v>
      </c>
      <c r="BC432" s="65" t="n">
        <f aca="false">IF(AV432=1,1,IF(AW432=1,2,IF(AX432=1,3,IF(AY432=1,4,IF(AZ432=1,5,IF(BA432=1,6,7))))))</f>
        <v>3</v>
      </c>
      <c r="BD432" s="65" t="n">
        <f aca="false">IF(AD432=1,CHOOSE('Historical Score'!$C$29,AV432,AW432,AX432,AY432,AZ432,BA432,BB432),0)</f>
        <v>0</v>
      </c>
      <c r="BE432" s="65" t="str">
        <f aca="false">IF(BD432=1,COUNTIF($BD$2:BD432,1),"")</f>
        <v/>
      </c>
    </row>
    <row r="433" customFormat="false" ht="15" hidden="false" customHeight="false" outlineLevel="0" collapsed="false">
      <c r="A433" s="65" t="s">
        <v>1672</v>
      </c>
      <c r="B433" s="65" t="s">
        <v>1673</v>
      </c>
      <c r="C433" s="65" t="s">
        <v>1674</v>
      </c>
      <c r="D433" s="65" t="s">
        <v>295</v>
      </c>
      <c r="E433" s="112" t="n">
        <v>46001</v>
      </c>
      <c r="F433" s="112" t="n">
        <v>46253</v>
      </c>
      <c r="G433" s="65" t="n">
        <v>4</v>
      </c>
      <c r="H433" s="65" t="s">
        <v>637</v>
      </c>
      <c r="I433" s="65" t="s">
        <v>484</v>
      </c>
      <c r="J433" s="65" t="s">
        <v>380</v>
      </c>
      <c r="K433" s="65" t="s">
        <v>538</v>
      </c>
      <c r="L433" s="65" t="s">
        <v>64</v>
      </c>
      <c r="M433" s="113" t="n">
        <v>1.44</v>
      </c>
      <c r="N433" s="114" t="n">
        <v>175000</v>
      </c>
      <c r="O433" s="114" t="n">
        <v>19250</v>
      </c>
      <c r="P433" s="114" t="n">
        <v>252000</v>
      </c>
      <c r="Q433" s="114" t="n">
        <v>226786.68</v>
      </c>
      <c r="R433" s="114" t="n">
        <v>25213.32</v>
      </c>
      <c r="S433" s="115" t="n">
        <v>0.899947142857143</v>
      </c>
      <c r="T433" s="65" t="n">
        <v>40</v>
      </c>
      <c r="U433" s="65" t="n">
        <v>0</v>
      </c>
      <c r="V433" s="65" t="n">
        <v>415741.38</v>
      </c>
      <c r="W433" s="115" t="n">
        <v>0.0507</v>
      </c>
      <c r="X433" s="112" t="n">
        <v>43313</v>
      </c>
      <c r="Y433" s="65" t="str">
        <f aca="false">IF(I433="","No SIC",IFERROR(VLOOKUP(I433,Ref!$A$2:$B$65,2,FALSE()),"Unclassified"))</f>
        <v>Special Trade Contractors</v>
      </c>
      <c r="Z433" s="65" t="str">
        <f aca="false">IF(T433="","",IF(T433&lt;12,"Daily","Weekly"))</f>
        <v>Weekly</v>
      </c>
      <c r="AA433" s="65" t="n">
        <f aca="false">IF(T433="",0,IF(T433&lt;12,T433*Controls!$B$29,T433*5))</f>
        <v>200</v>
      </c>
      <c r="AB433" s="65" t="n">
        <f aca="false">IF(E433="",0,NETWORKDAYS(E433,Controls!$B$36,Ref!$K$2:$K$42))</f>
        <v>179</v>
      </c>
      <c r="AC433" s="65" t="n">
        <f aca="false">IF(AND(AA433&gt;0,AB433&gt;=Controls!$B$39*AA433),1,0)</f>
        <v>0</v>
      </c>
      <c r="AD433" s="65" t="n">
        <f aca="false">IF(AND(E433&lt;&gt;"",E433&gt;=Controls!$B$37,E433&lt;=Controls!$B$38),1,0)</f>
        <v>1</v>
      </c>
      <c r="AE433" s="65" t="n">
        <f aca="false">IF(IFERROR(VLOOKUP(D433,Controls!$A$64:$E$74,2,FALSE()),"No")="Yes",1,0)</f>
        <v>0</v>
      </c>
      <c r="AF433" s="65" t="n">
        <f aca="false">IF(IFERROR(VLOOKUP(D433,Controls!$A$64:$E$74,3,FALSE()),"No")="Yes",1,0)</f>
        <v>0</v>
      </c>
      <c r="AG433" s="65" t="n">
        <f aca="false">IF(IFERROR(VLOOKUP(D433,Controls!$A$64:$E$74,4,FALSE()),"No")="Yes",1,0)</f>
        <v>0</v>
      </c>
      <c r="AH433" s="65" t="n">
        <f aca="false">IF(IFERROR(VLOOKUP(D433,Controls!$A$64:$E$74,5,FALSE()),"No")="Yes",1,0)</f>
        <v>1</v>
      </c>
      <c r="AI433" s="65" t="n">
        <f aca="false">IF(ISNUMBER(MATCH(D433,Controls!$A$64:$A$74,0)),1,0)</f>
        <v>1</v>
      </c>
      <c r="AJ433" s="65" t="n">
        <f aca="false">Q433-N433</f>
        <v>51786.68</v>
      </c>
      <c r="AK433" s="65" t="n">
        <f aca="false">IF(AE433=1,MAX(0,N433-Q433),0)</f>
        <v>0</v>
      </c>
      <c r="AL433" s="65" t="n">
        <f aca="false">IF(OR(V433="",V433=0),0,N433/V433)</f>
        <v>0.420934764780932</v>
      </c>
      <c r="AM433" s="65" t="n">
        <f aca="false">IF(OR(V433="",V433=0),0,1)</f>
        <v>1</v>
      </c>
      <c r="AN433" s="65" t="n">
        <f aca="false">IF(OR(E433="",F433=""),0,NETWORKDAYS(E433,F433,Ref!$K$2:$K$42))</f>
        <v>175</v>
      </c>
      <c r="AO433" s="65" t="n">
        <f aca="false">IF(L433="Renewal",1,0)</f>
        <v>0</v>
      </c>
      <c r="AP433" s="65" t="n">
        <f aca="false">AC433*AD433</f>
        <v>0</v>
      </c>
      <c r="AQ433" s="65" t="n">
        <f aca="false">IF(AND(G433&lt;&gt;"",'Historical Score'!$C$6&lt;&gt;""),IF(G433='Historical Score'!$C$6,1,0),0)</f>
        <v>0</v>
      </c>
      <c r="AR433" s="65" t="n">
        <f aca="false">IF(AND(L433&lt;&gt;"",'Historical Score'!$C$5&lt;&gt;""),IF(L433='Historical Score'!$C$5,1,0),0)</f>
        <v>1</v>
      </c>
      <c r="AS433" s="65" t="n">
        <f aca="false">IF(AND(Y433&lt;&gt;"",'Historical Score'!$C$7&lt;&gt;""),IF(Y433='Historical Score'!$C$7,1,0),0)</f>
        <v>0</v>
      </c>
      <c r="AT433" s="65" t="n">
        <f aca="false">IF(AND(K433&lt;&gt;"",'Historical Score'!$C$8&lt;&gt;""),IF(K433='Historical Score'!$C$8,1,0),0)</f>
        <v>0</v>
      </c>
      <c r="AU433" s="65" t="n">
        <f aca="false">IF(AND(J433&lt;&gt;"",'Historical Score'!$C$9&lt;&gt;""),IF(J433='Historical Score'!$C$9,1,0),0)</f>
        <v>0</v>
      </c>
      <c r="AV433" s="65" t="n">
        <f aca="false">AR433*AS433*AQ433</f>
        <v>0</v>
      </c>
      <c r="AW433" s="65" t="n">
        <f aca="false">AR433*AT433*AQ433</f>
        <v>0</v>
      </c>
      <c r="AX433" s="65" t="n">
        <f aca="false">AR433*AS433</f>
        <v>0</v>
      </c>
      <c r="AY433" s="65" t="n">
        <f aca="false">AR433*AT433</f>
        <v>0</v>
      </c>
      <c r="AZ433" s="65" t="n">
        <f aca="false">AR433*AQ433</f>
        <v>0</v>
      </c>
      <c r="BA433" s="65" t="n">
        <f aca="false">AR433</f>
        <v>1</v>
      </c>
      <c r="BB433" s="65" t="n">
        <f aca="false">1</f>
        <v>1</v>
      </c>
      <c r="BC433" s="65" t="n">
        <f aca="false">IF(AV433=1,1,IF(AW433=1,2,IF(AX433=1,3,IF(AY433=1,4,IF(AZ433=1,5,IF(BA433=1,6,7))))))</f>
        <v>6</v>
      </c>
      <c r="BD433" s="65" t="n">
        <f aca="false">IF(AD433=1,CHOOSE('Historical Score'!$C$29,AV433,AW433,AX433,AY433,AZ433,BA433,BB433),0)</f>
        <v>0</v>
      </c>
      <c r="BE433" s="65" t="str">
        <f aca="false">IF(BD433=1,COUNTIF($BD$2:BD433,1),"")</f>
        <v/>
      </c>
    </row>
    <row r="434" customFormat="false" ht="15" hidden="false" customHeight="false" outlineLevel="0" collapsed="false">
      <c r="A434" s="65" t="s">
        <v>1675</v>
      </c>
      <c r="B434" s="65" t="s">
        <v>1676</v>
      </c>
      <c r="C434" s="65" t="s">
        <v>1677</v>
      </c>
      <c r="D434" s="65" t="s">
        <v>340</v>
      </c>
      <c r="E434" s="112" t="n">
        <v>46001</v>
      </c>
      <c r="F434" s="112" t="n">
        <v>46178</v>
      </c>
      <c r="G434" s="65" t="n">
        <v>2</v>
      </c>
      <c r="H434" s="65" t="s">
        <v>637</v>
      </c>
      <c r="I434" s="65" t="s">
        <v>484</v>
      </c>
      <c r="J434" s="65" t="s">
        <v>61</v>
      </c>
      <c r="K434" s="65" t="s">
        <v>363</v>
      </c>
      <c r="L434" s="65" t="s">
        <v>64</v>
      </c>
      <c r="M434" s="113" t="n">
        <v>1.49</v>
      </c>
      <c r="N434" s="114" t="n">
        <v>20000</v>
      </c>
      <c r="O434" s="114" t="n">
        <v>2800</v>
      </c>
      <c r="P434" s="114" t="n">
        <v>29800</v>
      </c>
      <c r="Q434" s="114" t="n">
        <v>16244.27</v>
      </c>
      <c r="R434" s="114" t="n">
        <v>13555.73</v>
      </c>
      <c r="S434" s="115" t="n">
        <v>0.545109731543624</v>
      </c>
      <c r="T434" s="65" t="n">
        <v>3.279</v>
      </c>
      <c r="U434" s="65" t="n">
        <v>55</v>
      </c>
      <c r="V434" s="65" t="n">
        <v>46296.11</v>
      </c>
      <c r="W434" s="115" t="n">
        <v>0.1352</v>
      </c>
      <c r="X434" s="112" t="n">
        <v>42673</v>
      </c>
      <c r="Y434" s="65" t="str">
        <f aca="false">IF(I434="","No SIC",IFERROR(VLOOKUP(I434,Ref!$A$2:$B$65,2,FALSE()),"Unclassified"))</f>
        <v>Special Trade Contractors</v>
      </c>
      <c r="Z434" s="65" t="str">
        <f aca="false">IF(T434="","",IF(T434&lt;12,"Daily","Weekly"))</f>
        <v>Daily</v>
      </c>
      <c r="AA434" s="65" t="n">
        <f aca="false">IF(T434="",0,IF(T434&lt;12,T434*Controls!$B$29,T434*5))</f>
        <v>71.006745</v>
      </c>
      <c r="AB434" s="65" t="n">
        <f aca="false">IF(E434="",0,NETWORKDAYS(E434,Controls!$B$36,Ref!$K$2:$K$42))</f>
        <v>179</v>
      </c>
      <c r="AC434" s="65" t="n">
        <f aca="false">IF(AND(AA434&gt;0,AB434&gt;=Controls!$B$39*AA434),1,0)</f>
        <v>1</v>
      </c>
      <c r="AD434" s="65" t="n">
        <f aca="false">IF(AND(E434&lt;&gt;"",E434&gt;=Controls!$B$37,E434&lt;=Controls!$B$38),1,0)</f>
        <v>1</v>
      </c>
      <c r="AE434" s="65" t="n">
        <f aca="false">IF(IFERROR(VLOOKUP(D434,Controls!$A$64:$E$74,2,FALSE()),"No")="Yes",1,0)</f>
        <v>1</v>
      </c>
      <c r="AF434" s="65" t="n">
        <f aca="false">IF(IFERROR(VLOOKUP(D434,Controls!$A$64:$E$74,3,FALSE()),"No")="Yes",1,0)</f>
        <v>0</v>
      </c>
      <c r="AG434" s="65" t="n">
        <f aca="false">IF(IFERROR(VLOOKUP(D434,Controls!$A$64:$E$74,4,FALSE()),"No")="Yes",1,0)</f>
        <v>0</v>
      </c>
      <c r="AH434" s="65" t="n">
        <f aca="false">IF(IFERROR(VLOOKUP(D434,Controls!$A$64:$E$74,5,FALSE()),"No")="Yes",1,0)</f>
        <v>0</v>
      </c>
      <c r="AI434" s="65" t="n">
        <f aca="false">IF(ISNUMBER(MATCH(D434,Controls!$A$64:$A$74,0)),1,0)</f>
        <v>1</v>
      </c>
      <c r="AJ434" s="65" t="n">
        <f aca="false">Q434-N434</f>
        <v>-3755.73</v>
      </c>
      <c r="AK434" s="65" t="n">
        <f aca="false">IF(AE434=1,MAX(0,N434-Q434),0)</f>
        <v>3755.73</v>
      </c>
      <c r="AL434" s="65" t="n">
        <f aca="false">IF(OR(V434="",V434=0),0,N434/V434)</f>
        <v>0.432001738374995</v>
      </c>
      <c r="AM434" s="65" t="n">
        <f aca="false">IF(OR(V434="",V434=0),0,1)</f>
        <v>1</v>
      </c>
      <c r="AN434" s="65" t="n">
        <f aca="false">IF(OR(E434="",F434=""),0,NETWORKDAYS(E434,F434,Ref!$K$2:$K$42))</f>
        <v>123</v>
      </c>
      <c r="AO434" s="65" t="n">
        <f aca="false">IF(L434="Renewal",1,0)</f>
        <v>0</v>
      </c>
      <c r="AP434" s="65" t="n">
        <f aca="false">AC434*AD434</f>
        <v>1</v>
      </c>
      <c r="AQ434" s="65" t="n">
        <f aca="false">IF(AND(G434&lt;&gt;"",'Historical Score'!$C$6&lt;&gt;""),IF(G434='Historical Score'!$C$6,1,0),0)</f>
        <v>1</v>
      </c>
      <c r="AR434" s="65" t="n">
        <f aca="false">IF(AND(L434&lt;&gt;"",'Historical Score'!$C$5&lt;&gt;""),IF(L434='Historical Score'!$C$5,1,0),0)</f>
        <v>1</v>
      </c>
      <c r="AS434" s="65" t="n">
        <f aca="false">IF(AND(Y434&lt;&gt;"",'Historical Score'!$C$7&lt;&gt;""),IF(Y434='Historical Score'!$C$7,1,0),0)</f>
        <v>0</v>
      </c>
      <c r="AT434" s="65" t="n">
        <f aca="false">IF(AND(K434&lt;&gt;"",'Historical Score'!$C$8&lt;&gt;""),IF(K434='Historical Score'!$C$8,1,0),0)</f>
        <v>0</v>
      </c>
      <c r="AU434" s="65" t="n">
        <f aca="false">IF(AND(J434&lt;&gt;"",'Historical Score'!$C$9&lt;&gt;""),IF(J434='Historical Score'!$C$9,1,0),0)</f>
        <v>1</v>
      </c>
      <c r="AV434" s="65" t="n">
        <f aca="false">AR434*AS434*AQ434</f>
        <v>0</v>
      </c>
      <c r="AW434" s="65" t="n">
        <f aca="false">AR434*AT434*AQ434</f>
        <v>0</v>
      </c>
      <c r="AX434" s="65" t="n">
        <f aca="false">AR434*AS434</f>
        <v>0</v>
      </c>
      <c r="AY434" s="65" t="n">
        <f aca="false">AR434*AT434</f>
        <v>0</v>
      </c>
      <c r="AZ434" s="65" t="n">
        <f aca="false">AR434*AQ434</f>
        <v>1</v>
      </c>
      <c r="BA434" s="65" t="n">
        <f aca="false">AR434</f>
        <v>1</v>
      </c>
      <c r="BB434" s="65" t="n">
        <f aca="false">1</f>
        <v>1</v>
      </c>
      <c r="BC434" s="65" t="n">
        <f aca="false">IF(AV434=1,1,IF(AW434=1,2,IF(AX434=1,3,IF(AY434=1,4,IF(AZ434=1,5,IF(BA434=1,6,7))))))</f>
        <v>5</v>
      </c>
      <c r="BD434" s="65" t="n">
        <f aca="false">IF(AD434=1,CHOOSE('Historical Score'!$C$29,AV434,AW434,AX434,AY434,AZ434,BA434,BB434),0)</f>
        <v>0</v>
      </c>
      <c r="BE434" s="65" t="str">
        <f aca="false">IF(BD434=1,COUNTIF($BD$2:BD434,1),"")</f>
        <v/>
      </c>
    </row>
    <row r="435" customFormat="false" ht="15" hidden="false" customHeight="false" outlineLevel="0" collapsed="false">
      <c r="A435" s="65" t="s">
        <v>1678</v>
      </c>
      <c r="B435" s="65" t="s">
        <v>1679</v>
      </c>
      <c r="C435" s="65" t="s">
        <v>1680</v>
      </c>
      <c r="D435" s="65" t="s">
        <v>371</v>
      </c>
      <c r="E435" s="112" t="n">
        <v>46002</v>
      </c>
      <c r="F435" s="112" t="n">
        <v>46136</v>
      </c>
      <c r="G435" s="65" t="n">
        <v>3</v>
      </c>
      <c r="H435" s="65" t="s">
        <v>414</v>
      </c>
      <c r="I435" s="65" t="s">
        <v>415</v>
      </c>
      <c r="J435" s="65" t="s">
        <v>373</v>
      </c>
      <c r="K435" s="65" t="s">
        <v>581</v>
      </c>
      <c r="L435" s="65" t="s">
        <v>320</v>
      </c>
      <c r="M435" s="113" t="n">
        <v>1.459</v>
      </c>
      <c r="N435" s="114" t="n">
        <v>165000</v>
      </c>
      <c r="O435" s="114" t="n">
        <v>21450</v>
      </c>
      <c r="P435" s="114" t="n">
        <v>240735</v>
      </c>
      <c r="Q435" s="114" t="n">
        <v>240735</v>
      </c>
      <c r="R435" s="114" t="n">
        <v>0</v>
      </c>
      <c r="S435" s="115" t="n">
        <v>1</v>
      </c>
      <c r="T435" s="65" t="n">
        <v>5.738</v>
      </c>
      <c r="U435" s="65" t="n">
        <v>2</v>
      </c>
      <c r="V435" s="65" t="n">
        <v>237338.07</v>
      </c>
      <c r="W435" s="115" t="n">
        <v>0.1208</v>
      </c>
      <c r="X435" s="112" t="n">
        <v>43714</v>
      </c>
      <c r="Y435" s="65" t="str">
        <f aca="false">IF(I435="","No SIC",IFERROR(VLOOKUP(I435,Ref!$A$2:$B$65,2,FALSE()),"Unclassified"))</f>
        <v>Wholesale Trade - Durable Goods</v>
      </c>
      <c r="Z435" s="65" t="str">
        <f aca="false">IF(T435="","",IF(T435&lt;12,"Daily","Weekly"))</f>
        <v>Daily</v>
      </c>
      <c r="AA435" s="65" t="n">
        <f aca="false">IF(T435="",0,IF(T435&lt;12,T435*Controls!$B$29,T435*5))</f>
        <v>124.25639</v>
      </c>
      <c r="AB435" s="65" t="n">
        <f aca="false">IF(E435="",0,NETWORKDAYS(E435,Controls!$B$36,Ref!$K$2:$K$42))</f>
        <v>178</v>
      </c>
      <c r="AC435" s="65" t="n">
        <f aca="false">IF(AND(AA435&gt;0,AB435&gt;=Controls!$B$39*AA435),1,0)</f>
        <v>1</v>
      </c>
      <c r="AD435" s="65" t="n">
        <f aca="false">IF(AND(E435&lt;&gt;"",E435&gt;=Controls!$B$37,E435&lt;=Controls!$B$38),1,0)</f>
        <v>1</v>
      </c>
      <c r="AE435" s="65" t="n">
        <f aca="false">IF(IFERROR(VLOOKUP(D435,Controls!$A$64:$E$74,2,FALSE()),"No")="Yes",1,0)</f>
        <v>0</v>
      </c>
      <c r="AF435" s="65" t="n">
        <f aca="false">IF(IFERROR(VLOOKUP(D435,Controls!$A$64:$E$74,3,FALSE()),"No")="Yes",1,0)</f>
        <v>1</v>
      </c>
      <c r="AG435" s="65" t="n">
        <f aca="false">IF(IFERROR(VLOOKUP(D435,Controls!$A$64:$E$74,4,FALSE()),"No")="Yes",1,0)</f>
        <v>1</v>
      </c>
      <c r="AH435" s="65" t="n">
        <f aca="false">IF(IFERROR(VLOOKUP(D435,Controls!$A$64:$E$74,5,FALSE()),"No")="Yes",1,0)</f>
        <v>0</v>
      </c>
      <c r="AI435" s="65" t="n">
        <f aca="false">IF(ISNUMBER(MATCH(D435,Controls!$A$64:$A$74,0)),1,0)</f>
        <v>1</v>
      </c>
      <c r="AJ435" s="65" t="n">
        <f aca="false">Q435-N435</f>
        <v>75735</v>
      </c>
      <c r="AK435" s="65" t="n">
        <f aca="false">IF(AE435=1,MAX(0,N435-Q435),0)</f>
        <v>0</v>
      </c>
      <c r="AL435" s="65" t="n">
        <f aca="false">IF(OR(V435="",V435=0),0,N435/V435)</f>
        <v>0.695210844176832</v>
      </c>
      <c r="AM435" s="65" t="n">
        <f aca="false">IF(OR(V435="",V435=0),0,1)</f>
        <v>1</v>
      </c>
      <c r="AN435" s="65" t="n">
        <f aca="false">IF(OR(E435="",F435=""),0,NETWORKDAYS(E435,F435,Ref!$K$2:$K$42))</f>
        <v>93</v>
      </c>
      <c r="AO435" s="65" t="n">
        <f aca="false">IF(L435="Renewal",1,0)</f>
        <v>1</v>
      </c>
      <c r="AP435" s="65" t="n">
        <f aca="false">AC435*AD435</f>
        <v>1</v>
      </c>
      <c r="AQ435" s="65" t="n">
        <f aca="false">IF(AND(G435&lt;&gt;"",'Historical Score'!$C$6&lt;&gt;""),IF(G435='Historical Score'!$C$6,1,0),0)</f>
        <v>0</v>
      </c>
      <c r="AR435" s="65" t="n">
        <f aca="false">IF(AND(L435&lt;&gt;"",'Historical Score'!$C$5&lt;&gt;""),IF(L435='Historical Score'!$C$5,1,0),0)</f>
        <v>0</v>
      </c>
      <c r="AS435" s="65" t="n">
        <f aca="false">IF(AND(Y435&lt;&gt;"",'Historical Score'!$C$7&lt;&gt;""),IF(Y435='Historical Score'!$C$7,1,0),0)</f>
        <v>0</v>
      </c>
      <c r="AT435" s="65" t="n">
        <f aca="false">IF(AND(K435&lt;&gt;"",'Historical Score'!$C$8&lt;&gt;""),IF(K435='Historical Score'!$C$8,1,0),0)</f>
        <v>0</v>
      </c>
      <c r="AU435" s="65" t="n">
        <f aca="false">IF(AND(J435&lt;&gt;"",'Historical Score'!$C$9&lt;&gt;""),IF(J435='Historical Score'!$C$9,1,0),0)</f>
        <v>0</v>
      </c>
      <c r="AV435" s="65" t="n">
        <f aca="false">AR435*AS435*AQ435</f>
        <v>0</v>
      </c>
      <c r="AW435" s="65" t="n">
        <f aca="false">AR435*AT435*AQ435</f>
        <v>0</v>
      </c>
      <c r="AX435" s="65" t="n">
        <f aca="false">AR435*AS435</f>
        <v>0</v>
      </c>
      <c r="AY435" s="65" t="n">
        <f aca="false">AR435*AT435</f>
        <v>0</v>
      </c>
      <c r="AZ435" s="65" t="n">
        <f aca="false">AR435*AQ435</f>
        <v>0</v>
      </c>
      <c r="BA435" s="65" t="n">
        <f aca="false">AR435</f>
        <v>0</v>
      </c>
      <c r="BB435" s="65" t="n">
        <f aca="false">1</f>
        <v>1</v>
      </c>
      <c r="BC435" s="65" t="n">
        <f aca="false">IF(AV435=1,1,IF(AW435=1,2,IF(AX435=1,3,IF(AY435=1,4,IF(AZ435=1,5,IF(BA435=1,6,7))))))</f>
        <v>7</v>
      </c>
      <c r="BD435" s="65" t="n">
        <f aca="false">IF(AD435=1,CHOOSE('Historical Score'!$C$29,AV435,AW435,AX435,AY435,AZ435,BA435,BB435),0)</f>
        <v>0</v>
      </c>
      <c r="BE435" s="65" t="str">
        <f aca="false">IF(BD435=1,COUNTIF($BD$2:BD435,1),"")</f>
        <v/>
      </c>
    </row>
    <row r="436" customFormat="false" ht="15" hidden="false" customHeight="false" outlineLevel="0" collapsed="false">
      <c r="A436" s="65" t="s">
        <v>1681</v>
      </c>
      <c r="B436" s="65" t="s">
        <v>1682</v>
      </c>
      <c r="C436" s="65" t="s">
        <v>1683</v>
      </c>
      <c r="D436" s="65" t="s">
        <v>371</v>
      </c>
      <c r="E436" s="112" t="n">
        <v>46002</v>
      </c>
      <c r="F436" s="112" t="n">
        <v>46043</v>
      </c>
      <c r="G436" s="65" t="n">
        <v>2</v>
      </c>
      <c r="H436" s="65" t="s">
        <v>568</v>
      </c>
      <c r="I436" s="65" t="s">
        <v>569</v>
      </c>
      <c r="J436" s="65" t="s">
        <v>452</v>
      </c>
      <c r="K436" s="65" t="s">
        <v>961</v>
      </c>
      <c r="L436" s="65" t="s">
        <v>64</v>
      </c>
      <c r="M436" s="113" t="n">
        <v>1.15</v>
      </c>
      <c r="N436" s="114" t="n">
        <v>12000</v>
      </c>
      <c r="O436" s="114" t="n">
        <v>1200</v>
      </c>
      <c r="P436" s="114" t="n">
        <v>13800</v>
      </c>
      <c r="Q436" s="114" t="n">
        <v>13800</v>
      </c>
      <c r="R436" s="114" t="n">
        <v>-1.81898940354586E-012</v>
      </c>
      <c r="S436" s="115" t="n">
        <v>1</v>
      </c>
      <c r="T436" s="65" t="n">
        <v>22</v>
      </c>
      <c r="U436" s="65" t="n">
        <v>0</v>
      </c>
      <c r="V436" s="65" t="n">
        <v>29244.59</v>
      </c>
      <c r="W436" s="115" t="n">
        <v>0.1112</v>
      </c>
      <c r="X436" s="112" t="n">
        <v>45573</v>
      </c>
      <c r="Y436" s="65" t="str">
        <f aca="false">IF(I436="","No SIC",IFERROR(VLOOKUP(I436,Ref!$A$2:$B$65,2,FALSE()),"Unclassified"))</f>
        <v>General Merchandise Stores</v>
      </c>
      <c r="Z436" s="65" t="str">
        <f aca="false">IF(T436="","",IF(T436&lt;12,"Daily","Weekly"))</f>
        <v>Weekly</v>
      </c>
      <c r="AA436" s="65" t="n">
        <f aca="false">IF(T436="",0,IF(T436&lt;12,T436*Controls!$B$29,T436*5))</f>
        <v>110</v>
      </c>
      <c r="AB436" s="65" t="n">
        <f aca="false">IF(E436="",0,NETWORKDAYS(E436,Controls!$B$36,Ref!$K$2:$K$42))</f>
        <v>178</v>
      </c>
      <c r="AC436" s="65" t="n">
        <f aca="false">IF(AND(AA436&gt;0,AB436&gt;=Controls!$B$39*AA436),1,0)</f>
        <v>1</v>
      </c>
      <c r="AD436" s="65" t="n">
        <f aca="false">IF(AND(E436&lt;&gt;"",E436&gt;=Controls!$B$37,E436&lt;=Controls!$B$38),1,0)</f>
        <v>1</v>
      </c>
      <c r="AE436" s="65" t="n">
        <f aca="false">IF(IFERROR(VLOOKUP(D436,Controls!$A$64:$E$74,2,FALSE()),"No")="Yes",1,0)</f>
        <v>0</v>
      </c>
      <c r="AF436" s="65" t="n">
        <f aca="false">IF(IFERROR(VLOOKUP(D436,Controls!$A$64:$E$74,3,FALSE()),"No")="Yes",1,0)</f>
        <v>1</v>
      </c>
      <c r="AG436" s="65" t="n">
        <f aca="false">IF(IFERROR(VLOOKUP(D436,Controls!$A$64:$E$74,4,FALSE()),"No")="Yes",1,0)</f>
        <v>1</v>
      </c>
      <c r="AH436" s="65" t="n">
        <f aca="false">IF(IFERROR(VLOOKUP(D436,Controls!$A$64:$E$74,5,FALSE()),"No")="Yes",1,0)</f>
        <v>0</v>
      </c>
      <c r="AI436" s="65" t="n">
        <f aca="false">IF(ISNUMBER(MATCH(D436,Controls!$A$64:$A$74,0)),1,0)</f>
        <v>1</v>
      </c>
      <c r="AJ436" s="65" t="n">
        <f aca="false">Q436-N436</f>
        <v>1800</v>
      </c>
      <c r="AK436" s="65" t="n">
        <f aca="false">IF(AE436=1,MAX(0,N436-Q436),0)</f>
        <v>0</v>
      </c>
      <c r="AL436" s="65" t="n">
        <f aca="false">IF(OR(V436="",V436=0),0,N436/V436)</f>
        <v>0.410332304197118</v>
      </c>
      <c r="AM436" s="65" t="n">
        <f aca="false">IF(OR(V436="",V436=0),0,1)</f>
        <v>1</v>
      </c>
      <c r="AN436" s="65" t="n">
        <f aca="false">IF(OR(E436="",F436=""),0,NETWORKDAYS(E436,F436,Ref!$K$2:$K$42))</f>
        <v>27</v>
      </c>
      <c r="AO436" s="65" t="n">
        <f aca="false">IF(L436="Renewal",1,0)</f>
        <v>0</v>
      </c>
      <c r="AP436" s="65" t="n">
        <f aca="false">AC436*AD436</f>
        <v>1</v>
      </c>
      <c r="AQ436" s="65" t="n">
        <f aca="false">IF(AND(G436&lt;&gt;"",'Historical Score'!$C$6&lt;&gt;""),IF(G436='Historical Score'!$C$6,1,0),0)</f>
        <v>1</v>
      </c>
      <c r="AR436" s="65" t="n">
        <f aca="false">IF(AND(L436&lt;&gt;"",'Historical Score'!$C$5&lt;&gt;""),IF(L436='Historical Score'!$C$5,1,0),0)</f>
        <v>1</v>
      </c>
      <c r="AS436" s="65" t="n">
        <f aca="false">IF(AND(Y436&lt;&gt;"",'Historical Score'!$C$7&lt;&gt;""),IF(Y436='Historical Score'!$C$7,1,0),0)</f>
        <v>0</v>
      </c>
      <c r="AT436" s="65" t="n">
        <f aca="false">IF(AND(K436&lt;&gt;"",'Historical Score'!$C$8&lt;&gt;""),IF(K436='Historical Score'!$C$8,1,0),0)</f>
        <v>0</v>
      </c>
      <c r="AU436" s="65" t="n">
        <f aca="false">IF(AND(J436&lt;&gt;"",'Historical Score'!$C$9&lt;&gt;""),IF(J436='Historical Score'!$C$9,1,0),0)</f>
        <v>0</v>
      </c>
      <c r="AV436" s="65" t="n">
        <f aca="false">AR436*AS436*AQ436</f>
        <v>0</v>
      </c>
      <c r="AW436" s="65" t="n">
        <f aca="false">AR436*AT436*AQ436</f>
        <v>0</v>
      </c>
      <c r="AX436" s="65" t="n">
        <f aca="false">AR436*AS436</f>
        <v>0</v>
      </c>
      <c r="AY436" s="65" t="n">
        <f aca="false">AR436*AT436</f>
        <v>0</v>
      </c>
      <c r="AZ436" s="65" t="n">
        <f aca="false">AR436*AQ436</f>
        <v>1</v>
      </c>
      <c r="BA436" s="65" t="n">
        <f aca="false">AR436</f>
        <v>1</v>
      </c>
      <c r="BB436" s="65" t="n">
        <f aca="false">1</f>
        <v>1</v>
      </c>
      <c r="BC436" s="65" t="n">
        <f aca="false">IF(AV436=1,1,IF(AW436=1,2,IF(AX436=1,3,IF(AY436=1,4,IF(AZ436=1,5,IF(BA436=1,6,7))))))</f>
        <v>5</v>
      </c>
      <c r="BD436" s="65" t="n">
        <f aca="false">IF(AD436=1,CHOOSE('Historical Score'!$C$29,AV436,AW436,AX436,AY436,AZ436,BA436,BB436),0)</f>
        <v>0</v>
      </c>
      <c r="BE436" s="65" t="str">
        <f aca="false">IF(BD436=1,COUNTIF($BD$2:BD436,1),"")</f>
        <v/>
      </c>
    </row>
    <row r="437" customFormat="false" ht="15" hidden="false" customHeight="false" outlineLevel="0" collapsed="false">
      <c r="A437" s="65" t="s">
        <v>1684</v>
      </c>
      <c r="B437" s="65" t="s">
        <v>1685</v>
      </c>
      <c r="C437" s="65" t="s">
        <v>1686</v>
      </c>
      <c r="D437" s="65" t="s">
        <v>371</v>
      </c>
      <c r="E437" s="112" t="n">
        <v>46002</v>
      </c>
      <c r="F437" s="112" t="n">
        <v>46083</v>
      </c>
      <c r="G437" s="65" t="n">
        <v>1</v>
      </c>
      <c r="H437" s="65" t="s">
        <v>568</v>
      </c>
      <c r="I437" s="65" t="s">
        <v>569</v>
      </c>
      <c r="J437" s="65" t="s">
        <v>1254</v>
      </c>
      <c r="K437" s="65" t="s">
        <v>55</v>
      </c>
      <c r="L437" s="65" t="s">
        <v>64</v>
      </c>
      <c r="M437" s="113" t="n">
        <v>1.499</v>
      </c>
      <c r="N437" s="114" t="n">
        <v>12500</v>
      </c>
      <c r="O437" s="114" t="n">
        <v>1750</v>
      </c>
      <c r="P437" s="114" t="n">
        <v>18737.5</v>
      </c>
      <c r="Q437" s="114" t="n">
        <v>18737.5</v>
      </c>
      <c r="R437" s="114" t="n">
        <v>0</v>
      </c>
      <c r="S437" s="115" t="n">
        <v>1</v>
      </c>
      <c r="T437" s="65" t="n">
        <v>18</v>
      </c>
      <c r="U437" s="65" t="n">
        <v>0</v>
      </c>
      <c r="V437" s="65" t="n">
        <v>63273.55</v>
      </c>
      <c r="W437" s="115" t="n">
        <v>0.0654</v>
      </c>
      <c r="X437" s="112" t="n">
        <v>45686</v>
      </c>
      <c r="Y437" s="65" t="str">
        <f aca="false">IF(I437="","No SIC",IFERROR(VLOOKUP(I437,Ref!$A$2:$B$65,2,FALSE()),"Unclassified"))</f>
        <v>General Merchandise Stores</v>
      </c>
      <c r="Z437" s="65" t="str">
        <f aca="false">IF(T437="","",IF(T437&lt;12,"Daily","Weekly"))</f>
        <v>Weekly</v>
      </c>
      <c r="AA437" s="65" t="n">
        <f aca="false">IF(T437="",0,IF(T437&lt;12,T437*Controls!$B$29,T437*5))</f>
        <v>90</v>
      </c>
      <c r="AB437" s="65" t="n">
        <f aca="false">IF(E437="",0,NETWORKDAYS(E437,Controls!$B$36,Ref!$K$2:$K$42))</f>
        <v>178</v>
      </c>
      <c r="AC437" s="65" t="n">
        <f aca="false">IF(AND(AA437&gt;0,AB437&gt;=Controls!$B$39*AA437),1,0)</f>
        <v>1</v>
      </c>
      <c r="AD437" s="65" t="n">
        <f aca="false">IF(AND(E437&lt;&gt;"",E437&gt;=Controls!$B$37,E437&lt;=Controls!$B$38),1,0)</f>
        <v>1</v>
      </c>
      <c r="AE437" s="65" t="n">
        <f aca="false">IF(IFERROR(VLOOKUP(D437,Controls!$A$64:$E$74,2,FALSE()),"No")="Yes",1,0)</f>
        <v>0</v>
      </c>
      <c r="AF437" s="65" t="n">
        <f aca="false">IF(IFERROR(VLOOKUP(D437,Controls!$A$64:$E$74,3,FALSE()),"No")="Yes",1,0)</f>
        <v>1</v>
      </c>
      <c r="AG437" s="65" t="n">
        <f aca="false">IF(IFERROR(VLOOKUP(D437,Controls!$A$64:$E$74,4,FALSE()),"No")="Yes",1,0)</f>
        <v>1</v>
      </c>
      <c r="AH437" s="65" t="n">
        <f aca="false">IF(IFERROR(VLOOKUP(D437,Controls!$A$64:$E$74,5,FALSE()),"No")="Yes",1,0)</f>
        <v>0</v>
      </c>
      <c r="AI437" s="65" t="n">
        <f aca="false">IF(ISNUMBER(MATCH(D437,Controls!$A$64:$A$74,0)),1,0)</f>
        <v>1</v>
      </c>
      <c r="AJ437" s="65" t="n">
        <f aca="false">Q437-N437</f>
        <v>6237.5</v>
      </c>
      <c r="AK437" s="65" t="n">
        <f aca="false">IF(AE437=1,MAX(0,N437-Q437),0)</f>
        <v>0</v>
      </c>
      <c r="AL437" s="65" t="n">
        <f aca="false">IF(OR(V437="",V437=0),0,N437/V437)</f>
        <v>0.197554902482949</v>
      </c>
      <c r="AM437" s="65" t="n">
        <f aca="false">IF(OR(V437="",V437=0),0,1)</f>
        <v>1</v>
      </c>
      <c r="AN437" s="65" t="n">
        <f aca="false">IF(OR(E437="",F437=""),0,NETWORKDAYS(E437,F437,Ref!$K$2:$K$42))</f>
        <v>54</v>
      </c>
      <c r="AO437" s="65" t="n">
        <f aca="false">IF(L437="Renewal",1,0)</f>
        <v>0</v>
      </c>
      <c r="AP437" s="65" t="n">
        <f aca="false">AC437*AD437</f>
        <v>1</v>
      </c>
      <c r="AQ437" s="65" t="n">
        <f aca="false">IF(AND(G437&lt;&gt;"",'Historical Score'!$C$6&lt;&gt;""),IF(G437='Historical Score'!$C$6,1,0),0)</f>
        <v>0</v>
      </c>
      <c r="AR437" s="65" t="n">
        <f aca="false">IF(AND(L437&lt;&gt;"",'Historical Score'!$C$5&lt;&gt;""),IF(L437='Historical Score'!$C$5,1,0),0)</f>
        <v>1</v>
      </c>
      <c r="AS437" s="65" t="n">
        <f aca="false">IF(AND(Y437&lt;&gt;"",'Historical Score'!$C$7&lt;&gt;""),IF(Y437='Historical Score'!$C$7,1,0),0)</f>
        <v>0</v>
      </c>
      <c r="AT437" s="65" t="n">
        <f aca="false">IF(AND(K437&lt;&gt;"",'Historical Score'!$C$8&lt;&gt;""),IF(K437='Historical Score'!$C$8,1,0),0)</f>
        <v>1</v>
      </c>
      <c r="AU437" s="65" t="n">
        <f aca="false">IF(AND(J437&lt;&gt;"",'Historical Score'!$C$9&lt;&gt;""),IF(J437='Historical Score'!$C$9,1,0),0)</f>
        <v>0</v>
      </c>
      <c r="AV437" s="65" t="n">
        <f aca="false">AR437*AS437*AQ437</f>
        <v>0</v>
      </c>
      <c r="AW437" s="65" t="n">
        <f aca="false">AR437*AT437*AQ437</f>
        <v>0</v>
      </c>
      <c r="AX437" s="65" t="n">
        <f aca="false">AR437*AS437</f>
        <v>0</v>
      </c>
      <c r="AY437" s="65" t="n">
        <f aca="false">AR437*AT437</f>
        <v>1</v>
      </c>
      <c r="AZ437" s="65" t="n">
        <f aca="false">AR437*AQ437</f>
        <v>0</v>
      </c>
      <c r="BA437" s="65" t="n">
        <f aca="false">AR437</f>
        <v>1</v>
      </c>
      <c r="BB437" s="65" t="n">
        <f aca="false">1</f>
        <v>1</v>
      </c>
      <c r="BC437" s="65" t="n">
        <f aca="false">IF(AV437=1,1,IF(AW437=1,2,IF(AX437=1,3,IF(AY437=1,4,IF(AZ437=1,5,IF(BA437=1,6,7))))))</f>
        <v>4</v>
      </c>
      <c r="BD437" s="65" t="n">
        <f aca="false">IF(AD437=1,CHOOSE('Historical Score'!$C$29,AV437,AW437,AX437,AY437,AZ437,BA437,BB437),0)</f>
        <v>0</v>
      </c>
      <c r="BE437" s="65" t="str">
        <f aca="false">IF(BD437=1,COUNTIF($BD$2:BD437,1),"")</f>
        <v/>
      </c>
    </row>
    <row r="438" customFormat="false" ht="15" hidden="false" customHeight="false" outlineLevel="0" collapsed="false">
      <c r="A438" s="65" t="s">
        <v>1687</v>
      </c>
      <c r="B438" s="65" t="s">
        <v>1688</v>
      </c>
      <c r="C438" s="65" t="s">
        <v>1689</v>
      </c>
      <c r="D438" s="65" t="s">
        <v>533</v>
      </c>
      <c r="E438" s="112" t="n">
        <v>46002</v>
      </c>
      <c r="F438" s="112" t="n">
        <v>46052</v>
      </c>
      <c r="G438" s="65" t="n">
        <v>2</v>
      </c>
      <c r="H438" s="65" t="s">
        <v>442</v>
      </c>
      <c r="I438" s="65" t="s">
        <v>443</v>
      </c>
      <c r="J438" s="65" t="s">
        <v>799</v>
      </c>
      <c r="K438" s="65" t="s">
        <v>1204</v>
      </c>
      <c r="L438" s="65" t="s">
        <v>64</v>
      </c>
      <c r="M438" s="113" t="n">
        <v>1.49</v>
      </c>
      <c r="N438" s="114" t="n">
        <v>20000</v>
      </c>
      <c r="O438" s="114" t="n">
        <v>0</v>
      </c>
      <c r="P438" s="114" t="n">
        <v>29800</v>
      </c>
      <c r="Q438" s="114" t="n">
        <v>3724.59</v>
      </c>
      <c r="R438" s="114" t="n">
        <v>26075.41</v>
      </c>
      <c r="S438" s="115" t="n">
        <v>0.124986241610738</v>
      </c>
      <c r="T438" s="65" t="n">
        <v>24</v>
      </c>
      <c r="U438" s="65" t="n">
        <v>5</v>
      </c>
      <c r="V438" s="65" t="n">
        <v>50417.29</v>
      </c>
      <c r="W438" s="115" t="n">
        <v>0.0985</v>
      </c>
      <c r="X438" s="112"/>
      <c r="Y438" s="65" t="str">
        <f aca="false">IF(I438="","No SIC",IFERROR(VLOOKUP(I438,Ref!$A$2:$B$65,2,FALSE()),"Unclassified"))</f>
        <v>General Building Contractors</v>
      </c>
      <c r="Z438" s="65" t="str">
        <f aca="false">IF(T438="","",IF(T438&lt;12,"Daily","Weekly"))</f>
        <v>Weekly</v>
      </c>
      <c r="AA438" s="65" t="n">
        <f aca="false">IF(T438="",0,IF(T438&lt;12,T438*Controls!$B$29,T438*5))</f>
        <v>120</v>
      </c>
      <c r="AB438" s="65" t="n">
        <f aca="false">IF(E438="",0,NETWORKDAYS(E438,Controls!$B$36,Ref!$K$2:$K$42))</f>
        <v>178</v>
      </c>
      <c r="AC438" s="65" t="n">
        <f aca="false">IF(AND(AA438&gt;0,AB438&gt;=Controls!$B$39*AA438),1,0)</f>
        <v>1</v>
      </c>
      <c r="AD438" s="65" t="n">
        <f aca="false">IF(AND(E438&lt;&gt;"",E438&gt;=Controls!$B$37,E438&lt;=Controls!$B$38),1,0)</f>
        <v>1</v>
      </c>
      <c r="AE438" s="65" t="n">
        <f aca="false">IF(IFERROR(VLOOKUP(D438,Controls!$A$64:$E$74,2,FALSE()),"No")="Yes",1,0)</f>
        <v>1</v>
      </c>
      <c r="AF438" s="65" t="n">
        <f aca="false">IF(IFERROR(VLOOKUP(D438,Controls!$A$64:$E$74,3,FALSE()),"No")="Yes",1,0)</f>
        <v>0</v>
      </c>
      <c r="AG438" s="65" t="n">
        <f aca="false">IF(IFERROR(VLOOKUP(D438,Controls!$A$64:$E$74,4,FALSE()),"No")="Yes",1,0)</f>
        <v>0</v>
      </c>
      <c r="AH438" s="65" t="n">
        <f aca="false">IF(IFERROR(VLOOKUP(D438,Controls!$A$64:$E$74,5,FALSE()),"No")="Yes",1,0)</f>
        <v>0</v>
      </c>
      <c r="AI438" s="65" t="n">
        <f aca="false">IF(ISNUMBER(MATCH(D438,Controls!$A$64:$A$74,0)),1,0)</f>
        <v>1</v>
      </c>
      <c r="AJ438" s="65" t="n">
        <f aca="false">Q438-N438</f>
        <v>-16275.41</v>
      </c>
      <c r="AK438" s="65" t="n">
        <f aca="false">IF(AE438=1,MAX(0,N438-Q438),0)</f>
        <v>16275.41</v>
      </c>
      <c r="AL438" s="65" t="n">
        <f aca="false">IF(OR(V438="",V438=0),0,N438/V438)</f>
        <v>0.396689310353651</v>
      </c>
      <c r="AM438" s="65" t="n">
        <f aca="false">IF(OR(V438="",V438=0),0,1)</f>
        <v>1</v>
      </c>
      <c r="AN438" s="65" t="n">
        <f aca="false">IF(OR(E438="",F438=""),0,NETWORKDAYS(E438,F438,Ref!$K$2:$K$42))</f>
        <v>34</v>
      </c>
      <c r="AO438" s="65" t="n">
        <f aca="false">IF(L438="Renewal",1,0)</f>
        <v>0</v>
      </c>
      <c r="AP438" s="65" t="n">
        <f aca="false">AC438*AD438</f>
        <v>1</v>
      </c>
      <c r="AQ438" s="65" t="n">
        <f aca="false">IF(AND(G438&lt;&gt;"",'Historical Score'!$C$6&lt;&gt;""),IF(G438='Historical Score'!$C$6,1,0),0)</f>
        <v>1</v>
      </c>
      <c r="AR438" s="65" t="n">
        <f aca="false">IF(AND(L438&lt;&gt;"",'Historical Score'!$C$5&lt;&gt;""),IF(L438='Historical Score'!$C$5,1,0),0)</f>
        <v>1</v>
      </c>
      <c r="AS438" s="65" t="n">
        <f aca="false">IF(AND(Y438&lt;&gt;"",'Historical Score'!$C$7&lt;&gt;""),IF(Y438='Historical Score'!$C$7,1,0),0)</f>
        <v>1</v>
      </c>
      <c r="AT438" s="65" t="n">
        <f aca="false">IF(AND(K438&lt;&gt;"",'Historical Score'!$C$8&lt;&gt;""),IF(K438='Historical Score'!$C$8,1,0),0)</f>
        <v>0</v>
      </c>
      <c r="AU438" s="65" t="n">
        <f aca="false">IF(AND(J438&lt;&gt;"",'Historical Score'!$C$9&lt;&gt;""),IF(J438='Historical Score'!$C$9,1,0),0)</f>
        <v>0</v>
      </c>
      <c r="AV438" s="65" t="n">
        <f aca="false">AR438*AS438*AQ438</f>
        <v>1</v>
      </c>
      <c r="AW438" s="65" t="n">
        <f aca="false">AR438*AT438*AQ438</f>
        <v>0</v>
      </c>
      <c r="AX438" s="65" t="n">
        <f aca="false">AR438*AS438</f>
        <v>1</v>
      </c>
      <c r="AY438" s="65" t="n">
        <f aca="false">AR438*AT438</f>
        <v>0</v>
      </c>
      <c r="AZ438" s="65" t="n">
        <f aca="false">AR438*AQ438</f>
        <v>1</v>
      </c>
      <c r="BA438" s="65" t="n">
        <f aca="false">AR438</f>
        <v>1</v>
      </c>
      <c r="BB438" s="65" t="n">
        <f aca="false">1</f>
        <v>1</v>
      </c>
      <c r="BC438" s="65" t="n">
        <f aca="false">IF(AV438=1,1,IF(AW438=1,2,IF(AX438=1,3,IF(AY438=1,4,IF(AZ438=1,5,IF(BA438=1,6,7))))))</f>
        <v>1</v>
      </c>
      <c r="BD438" s="65" t="n">
        <f aca="false">IF(AD438=1,CHOOSE('Historical Score'!$C$29,AV438,AW438,AX438,AY438,AZ438,BA438,BB438),0)</f>
        <v>1</v>
      </c>
      <c r="BE438" s="65" t="n">
        <f aca="false">IF(BD438=1,COUNTIF($BD$2:BD438,1),"")</f>
        <v>17</v>
      </c>
    </row>
    <row r="439" customFormat="false" ht="15" hidden="false" customHeight="false" outlineLevel="0" collapsed="false">
      <c r="A439" s="65" t="s">
        <v>1690</v>
      </c>
      <c r="B439" s="65" t="s">
        <v>1691</v>
      </c>
      <c r="C439" s="65" t="s">
        <v>1692</v>
      </c>
      <c r="D439" s="65" t="s">
        <v>295</v>
      </c>
      <c r="E439" s="112" t="n">
        <v>46003</v>
      </c>
      <c r="F439" s="112" t="n">
        <v>46248</v>
      </c>
      <c r="G439" s="65" t="n">
        <v>3</v>
      </c>
      <c r="H439" s="65" t="s">
        <v>1010</v>
      </c>
      <c r="I439" s="65" t="s">
        <v>405</v>
      </c>
      <c r="J439" s="65" t="s">
        <v>762</v>
      </c>
      <c r="K439" s="65" t="s">
        <v>961</v>
      </c>
      <c r="L439" s="65" t="s">
        <v>64</v>
      </c>
      <c r="M439" s="113" t="n">
        <v>1.38</v>
      </c>
      <c r="N439" s="114" t="n">
        <v>160000</v>
      </c>
      <c r="O439" s="114" t="n">
        <v>20000</v>
      </c>
      <c r="P439" s="114" t="n">
        <v>220800</v>
      </c>
      <c r="Q439" s="114" t="n">
        <v>137948.65</v>
      </c>
      <c r="R439" s="114" t="n">
        <v>82851.35</v>
      </c>
      <c r="S439" s="115" t="n">
        <v>0.624767436594203</v>
      </c>
      <c r="T439" s="65" t="n">
        <v>56</v>
      </c>
      <c r="U439" s="65" t="n">
        <v>0</v>
      </c>
      <c r="V439" s="65" t="n">
        <v>310957.45</v>
      </c>
      <c r="W439" s="115" t="n">
        <v>0.0507</v>
      </c>
      <c r="X439" s="112" t="n">
        <v>43647</v>
      </c>
      <c r="Y439" s="65" t="str">
        <f aca="false">IF(I439="","No SIC",IFERROR(VLOOKUP(I439,Ref!$A$2:$B$65,2,FALSE()),"Unclassified"))</f>
        <v>Health Services</v>
      </c>
      <c r="Z439" s="65" t="str">
        <f aca="false">IF(T439="","",IF(T439&lt;12,"Daily","Weekly"))</f>
        <v>Weekly</v>
      </c>
      <c r="AA439" s="65" t="n">
        <f aca="false">IF(T439="",0,IF(T439&lt;12,T439*Controls!$B$29,T439*5))</f>
        <v>280</v>
      </c>
      <c r="AB439" s="65" t="n">
        <f aca="false">IF(E439="",0,NETWORKDAYS(E439,Controls!$B$36,Ref!$K$2:$K$42))</f>
        <v>177</v>
      </c>
      <c r="AC439" s="65" t="n">
        <f aca="false">IF(AND(AA439&gt;0,AB439&gt;=Controls!$B$39*AA439),1,0)</f>
        <v>0</v>
      </c>
      <c r="AD439" s="65" t="n">
        <f aca="false">IF(AND(E439&lt;&gt;"",E439&gt;=Controls!$B$37,E439&lt;=Controls!$B$38),1,0)</f>
        <v>1</v>
      </c>
      <c r="AE439" s="65" t="n">
        <f aca="false">IF(IFERROR(VLOOKUP(D439,Controls!$A$64:$E$74,2,FALSE()),"No")="Yes",1,0)</f>
        <v>0</v>
      </c>
      <c r="AF439" s="65" t="n">
        <f aca="false">IF(IFERROR(VLOOKUP(D439,Controls!$A$64:$E$74,3,FALSE()),"No")="Yes",1,0)</f>
        <v>0</v>
      </c>
      <c r="AG439" s="65" t="n">
        <f aca="false">IF(IFERROR(VLOOKUP(D439,Controls!$A$64:$E$74,4,FALSE()),"No")="Yes",1,0)</f>
        <v>0</v>
      </c>
      <c r="AH439" s="65" t="n">
        <f aca="false">IF(IFERROR(VLOOKUP(D439,Controls!$A$64:$E$74,5,FALSE()),"No")="Yes",1,0)</f>
        <v>1</v>
      </c>
      <c r="AI439" s="65" t="n">
        <f aca="false">IF(ISNUMBER(MATCH(D439,Controls!$A$64:$A$74,0)),1,0)</f>
        <v>1</v>
      </c>
      <c r="AJ439" s="65" t="n">
        <f aca="false">Q439-N439</f>
        <v>-22051.35</v>
      </c>
      <c r="AK439" s="65" t="n">
        <f aca="false">IF(AE439=1,MAX(0,N439-Q439),0)</f>
        <v>0</v>
      </c>
      <c r="AL439" s="65" t="n">
        <f aca="false">IF(OR(V439="",V439=0),0,N439/V439)</f>
        <v>0.514539851031066</v>
      </c>
      <c r="AM439" s="65" t="n">
        <f aca="false">IF(OR(V439="",V439=0),0,1)</f>
        <v>1</v>
      </c>
      <c r="AN439" s="65" t="n">
        <f aca="false">IF(OR(E439="",F439=""),0,NETWORKDAYS(E439,F439,Ref!$K$2:$K$42))</f>
        <v>170</v>
      </c>
      <c r="AO439" s="65" t="n">
        <f aca="false">IF(L439="Renewal",1,0)</f>
        <v>0</v>
      </c>
      <c r="AP439" s="65" t="n">
        <f aca="false">AC439*AD439</f>
        <v>0</v>
      </c>
      <c r="AQ439" s="65" t="n">
        <f aca="false">IF(AND(G439&lt;&gt;"",'Historical Score'!$C$6&lt;&gt;""),IF(G439='Historical Score'!$C$6,1,0),0)</f>
        <v>0</v>
      </c>
      <c r="AR439" s="65" t="n">
        <f aca="false">IF(AND(L439&lt;&gt;"",'Historical Score'!$C$5&lt;&gt;""),IF(L439='Historical Score'!$C$5,1,0),0)</f>
        <v>1</v>
      </c>
      <c r="AS439" s="65" t="n">
        <f aca="false">IF(AND(Y439&lt;&gt;"",'Historical Score'!$C$7&lt;&gt;""),IF(Y439='Historical Score'!$C$7,1,0),0)</f>
        <v>0</v>
      </c>
      <c r="AT439" s="65" t="n">
        <f aca="false">IF(AND(K439&lt;&gt;"",'Historical Score'!$C$8&lt;&gt;""),IF(K439='Historical Score'!$C$8,1,0),0)</f>
        <v>0</v>
      </c>
      <c r="AU439" s="65" t="n">
        <f aca="false">IF(AND(J439&lt;&gt;"",'Historical Score'!$C$9&lt;&gt;""),IF(J439='Historical Score'!$C$9,1,0),0)</f>
        <v>0</v>
      </c>
      <c r="AV439" s="65" t="n">
        <f aca="false">AR439*AS439*AQ439</f>
        <v>0</v>
      </c>
      <c r="AW439" s="65" t="n">
        <f aca="false">AR439*AT439*AQ439</f>
        <v>0</v>
      </c>
      <c r="AX439" s="65" t="n">
        <f aca="false">AR439*AS439</f>
        <v>0</v>
      </c>
      <c r="AY439" s="65" t="n">
        <f aca="false">AR439*AT439</f>
        <v>0</v>
      </c>
      <c r="AZ439" s="65" t="n">
        <f aca="false">AR439*AQ439</f>
        <v>0</v>
      </c>
      <c r="BA439" s="65" t="n">
        <f aca="false">AR439</f>
        <v>1</v>
      </c>
      <c r="BB439" s="65" t="n">
        <f aca="false">1</f>
        <v>1</v>
      </c>
      <c r="BC439" s="65" t="n">
        <f aca="false">IF(AV439=1,1,IF(AW439=1,2,IF(AX439=1,3,IF(AY439=1,4,IF(AZ439=1,5,IF(BA439=1,6,7))))))</f>
        <v>6</v>
      </c>
      <c r="BD439" s="65" t="n">
        <f aca="false">IF(AD439=1,CHOOSE('Historical Score'!$C$29,AV439,AW439,AX439,AY439,AZ439,BA439,BB439),0)</f>
        <v>0</v>
      </c>
      <c r="BE439" s="65" t="str">
        <f aca="false">IF(BD439=1,COUNTIF($BD$2:BD439,1),"")</f>
        <v/>
      </c>
    </row>
    <row r="440" customFormat="false" ht="15" hidden="false" customHeight="false" outlineLevel="0" collapsed="false">
      <c r="A440" s="65" t="s">
        <v>1693</v>
      </c>
      <c r="B440" s="65" t="s">
        <v>1694</v>
      </c>
      <c r="C440" s="65" t="s">
        <v>1694</v>
      </c>
      <c r="D440" s="65" t="s">
        <v>371</v>
      </c>
      <c r="E440" s="112" t="n">
        <v>46003</v>
      </c>
      <c r="F440" s="112" t="n">
        <v>46216</v>
      </c>
      <c r="G440" s="65" t="n">
        <v>3</v>
      </c>
      <c r="H440" s="65" t="s">
        <v>409</v>
      </c>
      <c r="I440" s="65" t="s">
        <v>342</v>
      </c>
      <c r="J440" s="65" t="s">
        <v>61</v>
      </c>
      <c r="K440" s="65" t="s">
        <v>581</v>
      </c>
      <c r="L440" s="65" t="s">
        <v>64</v>
      </c>
      <c r="M440" s="113" t="n">
        <v>1.37</v>
      </c>
      <c r="N440" s="114" t="n">
        <v>22000</v>
      </c>
      <c r="O440" s="114" t="n">
        <v>1760</v>
      </c>
      <c r="P440" s="114" t="n">
        <v>30140</v>
      </c>
      <c r="Q440" s="114" t="n">
        <v>30140</v>
      </c>
      <c r="R440" s="114" t="n">
        <v>3.63797880709171E-012</v>
      </c>
      <c r="S440" s="115" t="n">
        <v>1</v>
      </c>
      <c r="T440" s="65" t="n">
        <v>2.623</v>
      </c>
      <c r="U440" s="65" t="n">
        <v>10</v>
      </c>
      <c r="V440" s="65" t="n">
        <v>62114.87</v>
      </c>
      <c r="W440" s="115" t="n">
        <v>0.1274</v>
      </c>
      <c r="X440" s="112" t="n">
        <v>40625</v>
      </c>
      <c r="Y440" s="65" t="str">
        <f aca="false">IF(I440="","No SIC",IFERROR(VLOOKUP(I440,Ref!$A$2:$B$65,2,FALSE()),"Unclassified"))</f>
        <v>Eating &amp; Drinking Places</v>
      </c>
      <c r="Z440" s="65" t="str">
        <f aca="false">IF(T440="","",IF(T440&lt;12,"Daily","Weekly"))</f>
        <v>Daily</v>
      </c>
      <c r="AA440" s="65" t="n">
        <f aca="false">IF(T440="",0,IF(T440&lt;12,T440*Controls!$B$29,T440*5))</f>
        <v>56.801065</v>
      </c>
      <c r="AB440" s="65" t="n">
        <f aca="false">IF(E440="",0,NETWORKDAYS(E440,Controls!$B$36,Ref!$K$2:$K$42))</f>
        <v>177</v>
      </c>
      <c r="AC440" s="65" t="n">
        <f aca="false">IF(AND(AA440&gt;0,AB440&gt;=Controls!$B$39*AA440),1,0)</f>
        <v>1</v>
      </c>
      <c r="AD440" s="65" t="n">
        <f aca="false">IF(AND(E440&lt;&gt;"",E440&gt;=Controls!$B$37,E440&lt;=Controls!$B$38),1,0)</f>
        <v>1</v>
      </c>
      <c r="AE440" s="65" t="n">
        <f aca="false">IF(IFERROR(VLOOKUP(D440,Controls!$A$64:$E$74,2,FALSE()),"No")="Yes",1,0)</f>
        <v>0</v>
      </c>
      <c r="AF440" s="65" t="n">
        <f aca="false">IF(IFERROR(VLOOKUP(D440,Controls!$A$64:$E$74,3,FALSE()),"No")="Yes",1,0)</f>
        <v>1</v>
      </c>
      <c r="AG440" s="65" t="n">
        <f aca="false">IF(IFERROR(VLOOKUP(D440,Controls!$A$64:$E$74,4,FALSE()),"No")="Yes",1,0)</f>
        <v>1</v>
      </c>
      <c r="AH440" s="65" t="n">
        <f aca="false">IF(IFERROR(VLOOKUP(D440,Controls!$A$64:$E$74,5,FALSE()),"No")="Yes",1,0)</f>
        <v>0</v>
      </c>
      <c r="AI440" s="65" t="n">
        <f aca="false">IF(ISNUMBER(MATCH(D440,Controls!$A$64:$A$74,0)),1,0)</f>
        <v>1</v>
      </c>
      <c r="AJ440" s="65" t="n">
        <f aca="false">Q440-N440</f>
        <v>8140</v>
      </c>
      <c r="AK440" s="65" t="n">
        <f aca="false">IF(AE440=1,MAX(0,N440-Q440),0)</f>
        <v>0</v>
      </c>
      <c r="AL440" s="65" t="n">
        <f aca="false">IF(OR(V440="",V440=0),0,N440/V440)</f>
        <v>0.354182500905178</v>
      </c>
      <c r="AM440" s="65" t="n">
        <f aca="false">IF(OR(V440="",V440=0),0,1)</f>
        <v>1</v>
      </c>
      <c r="AN440" s="65" t="n">
        <f aca="false">IF(OR(E440="",F440=""),0,NETWORKDAYS(E440,F440,Ref!$K$2:$K$42))</f>
        <v>146</v>
      </c>
      <c r="AO440" s="65" t="n">
        <f aca="false">IF(L440="Renewal",1,0)</f>
        <v>0</v>
      </c>
      <c r="AP440" s="65" t="n">
        <f aca="false">AC440*AD440</f>
        <v>1</v>
      </c>
      <c r="AQ440" s="65" t="n">
        <f aca="false">IF(AND(G440&lt;&gt;"",'Historical Score'!$C$6&lt;&gt;""),IF(G440='Historical Score'!$C$6,1,0),0)</f>
        <v>0</v>
      </c>
      <c r="AR440" s="65" t="n">
        <f aca="false">IF(AND(L440&lt;&gt;"",'Historical Score'!$C$5&lt;&gt;""),IF(L440='Historical Score'!$C$5,1,0),0)</f>
        <v>1</v>
      </c>
      <c r="AS440" s="65" t="n">
        <f aca="false">IF(AND(Y440&lt;&gt;"",'Historical Score'!$C$7&lt;&gt;""),IF(Y440='Historical Score'!$C$7,1,0),0)</f>
        <v>0</v>
      </c>
      <c r="AT440" s="65" t="n">
        <f aca="false">IF(AND(K440&lt;&gt;"",'Historical Score'!$C$8&lt;&gt;""),IF(K440='Historical Score'!$C$8,1,0),0)</f>
        <v>0</v>
      </c>
      <c r="AU440" s="65" t="n">
        <f aca="false">IF(AND(J440&lt;&gt;"",'Historical Score'!$C$9&lt;&gt;""),IF(J440='Historical Score'!$C$9,1,0),0)</f>
        <v>1</v>
      </c>
      <c r="AV440" s="65" t="n">
        <f aca="false">AR440*AS440*AQ440</f>
        <v>0</v>
      </c>
      <c r="AW440" s="65" t="n">
        <f aca="false">AR440*AT440*AQ440</f>
        <v>0</v>
      </c>
      <c r="AX440" s="65" t="n">
        <f aca="false">AR440*AS440</f>
        <v>0</v>
      </c>
      <c r="AY440" s="65" t="n">
        <f aca="false">AR440*AT440</f>
        <v>0</v>
      </c>
      <c r="AZ440" s="65" t="n">
        <f aca="false">AR440*AQ440</f>
        <v>0</v>
      </c>
      <c r="BA440" s="65" t="n">
        <f aca="false">AR440</f>
        <v>1</v>
      </c>
      <c r="BB440" s="65" t="n">
        <f aca="false">1</f>
        <v>1</v>
      </c>
      <c r="BC440" s="65" t="n">
        <f aca="false">IF(AV440=1,1,IF(AW440=1,2,IF(AX440=1,3,IF(AY440=1,4,IF(AZ440=1,5,IF(BA440=1,6,7))))))</f>
        <v>6</v>
      </c>
      <c r="BD440" s="65" t="n">
        <f aca="false">IF(AD440=1,CHOOSE('Historical Score'!$C$29,AV440,AW440,AX440,AY440,AZ440,BA440,BB440),0)</f>
        <v>0</v>
      </c>
      <c r="BE440" s="65" t="str">
        <f aca="false">IF(BD440=1,COUNTIF($BD$2:BD440,1),"")</f>
        <v/>
      </c>
    </row>
    <row r="441" customFormat="false" ht="15" hidden="false" customHeight="false" outlineLevel="0" collapsed="false">
      <c r="A441" s="65" t="s">
        <v>1695</v>
      </c>
      <c r="B441" s="65" t="s">
        <v>1696</v>
      </c>
      <c r="C441" s="65" t="s">
        <v>1696</v>
      </c>
      <c r="D441" s="65" t="s">
        <v>340</v>
      </c>
      <c r="E441" s="112" t="n">
        <v>46006</v>
      </c>
      <c r="F441" s="112" t="n">
        <v>46234</v>
      </c>
      <c r="G441" s="65" t="n">
        <v>4</v>
      </c>
      <c r="H441" s="65" t="s">
        <v>568</v>
      </c>
      <c r="I441" s="65" t="s">
        <v>569</v>
      </c>
      <c r="J441" s="65" t="s">
        <v>452</v>
      </c>
      <c r="K441" s="65" t="s">
        <v>538</v>
      </c>
      <c r="L441" s="65" t="s">
        <v>64</v>
      </c>
      <c r="M441" s="113" t="n">
        <v>1.5</v>
      </c>
      <c r="N441" s="114" t="n">
        <v>15000</v>
      </c>
      <c r="O441" s="114" t="n">
        <v>2100</v>
      </c>
      <c r="P441" s="114" t="n">
        <v>22500</v>
      </c>
      <c r="Q441" s="114" t="n">
        <v>7080.48</v>
      </c>
      <c r="R441" s="114" t="n">
        <v>15419.52</v>
      </c>
      <c r="S441" s="115" t="n">
        <v>0.314688</v>
      </c>
      <c r="T441" s="65" t="n">
        <v>2.787</v>
      </c>
      <c r="U441" s="65" t="n">
        <v>40</v>
      </c>
      <c r="V441" s="65" t="n">
        <v>45042.55</v>
      </c>
      <c r="W441" s="115" t="n">
        <v>0.1226</v>
      </c>
      <c r="X441" s="112" t="n">
        <v>44652</v>
      </c>
      <c r="Y441" s="65" t="str">
        <f aca="false">IF(I441="","No SIC",IFERROR(VLOOKUP(I441,Ref!$A$2:$B$65,2,FALSE()),"Unclassified"))</f>
        <v>General Merchandise Stores</v>
      </c>
      <c r="Z441" s="65" t="str">
        <f aca="false">IF(T441="","",IF(T441&lt;12,"Daily","Weekly"))</f>
        <v>Daily</v>
      </c>
      <c r="AA441" s="65" t="n">
        <f aca="false">IF(T441="",0,IF(T441&lt;12,T441*Controls!$B$29,T441*5))</f>
        <v>60.352485</v>
      </c>
      <c r="AB441" s="65" t="n">
        <f aca="false">IF(E441="",0,NETWORKDAYS(E441,Controls!$B$36,Ref!$K$2:$K$42))</f>
        <v>176</v>
      </c>
      <c r="AC441" s="65" t="n">
        <f aca="false">IF(AND(AA441&gt;0,AB441&gt;=Controls!$B$39*AA441),1,0)</f>
        <v>1</v>
      </c>
      <c r="AD441" s="65" t="n">
        <f aca="false">IF(AND(E441&lt;&gt;"",E441&gt;=Controls!$B$37,E441&lt;=Controls!$B$38),1,0)</f>
        <v>1</v>
      </c>
      <c r="AE441" s="65" t="n">
        <f aca="false">IF(IFERROR(VLOOKUP(D441,Controls!$A$64:$E$74,2,FALSE()),"No")="Yes",1,0)</f>
        <v>1</v>
      </c>
      <c r="AF441" s="65" t="n">
        <f aca="false">IF(IFERROR(VLOOKUP(D441,Controls!$A$64:$E$74,3,FALSE()),"No")="Yes",1,0)</f>
        <v>0</v>
      </c>
      <c r="AG441" s="65" t="n">
        <f aca="false">IF(IFERROR(VLOOKUP(D441,Controls!$A$64:$E$74,4,FALSE()),"No")="Yes",1,0)</f>
        <v>0</v>
      </c>
      <c r="AH441" s="65" t="n">
        <f aca="false">IF(IFERROR(VLOOKUP(D441,Controls!$A$64:$E$74,5,FALSE()),"No")="Yes",1,0)</f>
        <v>0</v>
      </c>
      <c r="AI441" s="65" t="n">
        <f aca="false">IF(ISNUMBER(MATCH(D441,Controls!$A$64:$A$74,0)),1,0)</f>
        <v>1</v>
      </c>
      <c r="AJ441" s="65" t="n">
        <f aca="false">Q441-N441</f>
        <v>-7919.52</v>
      </c>
      <c r="AK441" s="65" t="n">
        <f aca="false">IF(AE441=1,MAX(0,N441-Q441),0)</f>
        <v>7919.52</v>
      </c>
      <c r="AL441" s="65" t="n">
        <f aca="false">IF(OR(V441="",V441=0),0,N441/V441)</f>
        <v>0.333018445891718</v>
      </c>
      <c r="AM441" s="65" t="n">
        <f aca="false">IF(OR(V441="",V441=0),0,1)</f>
        <v>1</v>
      </c>
      <c r="AN441" s="65" t="n">
        <f aca="false">IF(OR(E441="",F441=""),0,NETWORKDAYS(E441,F441,Ref!$K$2:$K$42))</f>
        <v>159</v>
      </c>
      <c r="AO441" s="65" t="n">
        <f aca="false">IF(L441="Renewal",1,0)</f>
        <v>0</v>
      </c>
      <c r="AP441" s="65" t="n">
        <f aca="false">AC441*AD441</f>
        <v>1</v>
      </c>
      <c r="AQ441" s="65" t="n">
        <f aca="false">IF(AND(G441&lt;&gt;"",'Historical Score'!$C$6&lt;&gt;""),IF(G441='Historical Score'!$C$6,1,0),0)</f>
        <v>0</v>
      </c>
      <c r="AR441" s="65" t="n">
        <f aca="false">IF(AND(L441&lt;&gt;"",'Historical Score'!$C$5&lt;&gt;""),IF(L441='Historical Score'!$C$5,1,0),0)</f>
        <v>1</v>
      </c>
      <c r="AS441" s="65" t="n">
        <f aca="false">IF(AND(Y441&lt;&gt;"",'Historical Score'!$C$7&lt;&gt;""),IF(Y441='Historical Score'!$C$7,1,0),0)</f>
        <v>0</v>
      </c>
      <c r="AT441" s="65" t="n">
        <f aca="false">IF(AND(K441&lt;&gt;"",'Historical Score'!$C$8&lt;&gt;""),IF(K441='Historical Score'!$C$8,1,0),0)</f>
        <v>0</v>
      </c>
      <c r="AU441" s="65" t="n">
        <f aca="false">IF(AND(J441&lt;&gt;"",'Historical Score'!$C$9&lt;&gt;""),IF(J441='Historical Score'!$C$9,1,0),0)</f>
        <v>0</v>
      </c>
      <c r="AV441" s="65" t="n">
        <f aca="false">AR441*AS441*AQ441</f>
        <v>0</v>
      </c>
      <c r="AW441" s="65" t="n">
        <f aca="false">AR441*AT441*AQ441</f>
        <v>0</v>
      </c>
      <c r="AX441" s="65" t="n">
        <f aca="false">AR441*AS441</f>
        <v>0</v>
      </c>
      <c r="AY441" s="65" t="n">
        <f aca="false">AR441*AT441</f>
        <v>0</v>
      </c>
      <c r="AZ441" s="65" t="n">
        <f aca="false">AR441*AQ441</f>
        <v>0</v>
      </c>
      <c r="BA441" s="65" t="n">
        <f aca="false">AR441</f>
        <v>1</v>
      </c>
      <c r="BB441" s="65" t="n">
        <f aca="false">1</f>
        <v>1</v>
      </c>
      <c r="BC441" s="65" t="n">
        <f aca="false">IF(AV441=1,1,IF(AW441=1,2,IF(AX441=1,3,IF(AY441=1,4,IF(AZ441=1,5,IF(BA441=1,6,7))))))</f>
        <v>6</v>
      </c>
      <c r="BD441" s="65" t="n">
        <f aca="false">IF(AD441=1,CHOOSE('Historical Score'!$C$29,AV441,AW441,AX441,AY441,AZ441,BA441,BB441),0)</f>
        <v>0</v>
      </c>
      <c r="BE441" s="65" t="str">
        <f aca="false">IF(BD441=1,COUNTIF($BD$2:BD441,1),"")</f>
        <v/>
      </c>
    </row>
    <row r="442" customFormat="false" ht="15" hidden="false" customHeight="false" outlineLevel="0" collapsed="false">
      <c r="A442" s="65" t="s">
        <v>1697</v>
      </c>
      <c r="B442" s="65" t="s">
        <v>1698</v>
      </c>
      <c r="C442" s="65" t="s">
        <v>1699</v>
      </c>
      <c r="D442" s="65" t="s">
        <v>371</v>
      </c>
      <c r="E442" s="112" t="n">
        <v>46006</v>
      </c>
      <c r="F442" s="112" t="n">
        <v>46125</v>
      </c>
      <c r="G442" s="65" t="n">
        <v>3</v>
      </c>
      <c r="H442" s="65" t="s">
        <v>1700</v>
      </c>
      <c r="I442" s="65" t="s">
        <v>1357</v>
      </c>
      <c r="J442" s="65" t="s">
        <v>452</v>
      </c>
      <c r="K442" s="65" t="s">
        <v>961</v>
      </c>
      <c r="L442" s="65" t="s">
        <v>64</v>
      </c>
      <c r="M442" s="113" t="n">
        <v>1.41</v>
      </c>
      <c r="N442" s="114" t="n">
        <v>17000</v>
      </c>
      <c r="O442" s="114" t="n">
        <v>2295</v>
      </c>
      <c r="P442" s="114" t="n">
        <v>23970</v>
      </c>
      <c r="Q442" s="114" t="n">
        <v>23970</v>
      </c>
      <c r="R442" s="114" t="n">
        <v>0</v>
      </c>
      <c r="S442" s="115" t="n">
        <v>1</v>
      </c>
      <c r="T442" s="65" t="n">
        <v>24</v>
      </c>
      <c r="U442" s="65" t="n">
        <v>0</v>
      </c>
      <c r="V442" s="65" t="n">
        <v>133410.6</v>
      </c>
      <c r="W442" s="115" t="n">
        <v>0.0299</v>
      </c>
      <c r="X442" s="112" t="n">
        <v>42340</v>
      </c>
      <c r="Y442" s="65" t="str">
        <f aca="false">IF(I442="","No SIC",IFERROR(VLOOKUP(I442,Ref!$A$2:$B$65,2,FALSE()),"Unclassified"))</f>
        <v>Insurance Carriers</v>
      </c>
      <c r="Z442" s="65" t="str">
        <f aca="false">IF(T442="","",IF(T442&lt;12,"Daily","Weekly"))</f>
        <v>Weekly</v>
      </c>
      <c r="AA442" s="65" t="n">
        <f aca="false">IF(T442="",0,IF(T442&lt;12,T442*Controls!$B$29,T442*5))</f>
        <v>120</v>
      </c>
      <c r="AB442" s="65" t="n">
        <f aca="false">IF(E442="",0,NETWORKDAYS(E442,Controls!$B$36,Ref!$K$2:$K$42))</f>
        <v>176</v>
      </c>
      <c r="AC442" s="65" t="n">
        <f aca="false">IF(AND(AA442&gt;0,AB442&gt;=Controls!$B$39*AA442),1,0)</f>
        <v>1</v>
      </c>
      <c r="AD442" s="65" t="n">
        <f aca="false">IF(AND(E442&lt;&gt;"",E442&gt;=Controls!$B$37,E442&lt;=Controls!$B$38),1,0)</f>
        <v>1</v>
      </c>
      <c r="AE442" s="65" t="n">
        <f aca="false">IF(IFERROR(VLOOKUP(D442,Controls!$A$64:$E$74,2,FALSE()),"No")="Yes",1,0)</f>
        <v>0</v>
      </c>
      <c r="AF442" s="65" t="n">
        <f aca="false">IF(IFERROR(VLOOKUP(D442,Controls!$A$64:$E$74,3,FALSE()),"No")="Yes",1,0)</f>
        <v>1</v>
      </c>
      <c r="AG442" s="65" t="n">
        <f aca="false">IF(IFERROR(VLOOKUP(D442,Controls!$A$64:$E$74,4,FALSE()),"No")="Yes",1,0)</f>
        <v>1</v>
      </c>
      <c r="AH442" s="65" t="n">
        <f aca="false">IF(IFERROR(VLOOKUP(D442,Controls!$A$64:$E$74,5,FALSE()),"No")="Yes",1,0)</f>
        <v>0</v>
      </c>
      <c r="AI442" s="65" t="n">
        <f aca="false">IF(ISNUMBER(MATCH(D442,Controls!$A$64:$A$74,0)),1,0)</f>
        <v>1</v>
      </c>
      <c r="AJ442" s="65" t="n">
        <f aca="false">Q442-N442</f>
        <v>6970</v>
      </c>
      <c r="AK442" s="65" t="n">
        <f aca="false">IF(AE442=1,MAX(0,N442-Q442),0)</f>
        <v>0</v>
      </c>
      <c r="AL442" s="65" t="n">
        <f aca="false">IF(OR(V442="",V442=0),0,N442/V442)</f>
        <v>0.127426156542284</v>
      </c>
      <c r="AM442" s="65" t="n">
        <f aca="false">IF(OR(V442="",V442=0),0,1)</f>
        <v>1</v>
      </c>
      <c r="AN442" s="65" t="n">
        <f aca="false">IF(OR(E442="",F442=""),0,NETWORKDAYS(E442,F442,Ref!$K$2:$K$42))</f>
        <v>82</v>
      </c>
      <c r="AO442" s="65" t="n">
        <f aca="false">IF(L442="Renewal",1,0)</f>
        <v>0</v>
      </c>
      <c r="AP442" s="65" t="n">
        <f aca="false">AC442*AD442</f>
        <v>1</v>
      </c>
      <c r="AQ442" s="65" t="n">
        <f aca="false">IF(AND(G442&lt;&gt;"",'Historical Score'!$C$6&lt;&gt;""),IF(G442='Historical Score'!$C$6,1,0),0)</f>
        <v>0</v>
      </c>
      <c r="AR442" s="65" t="n">
        <f aca="false">IF(AND(L442&lt;&gt;"",'Historical Score'!$C$5&lt;&gt;""),IF(L442='Historical Score'!$C$5,1,0),0)</f>
        <v>1</v>
      </c>
      <c r="AS442" s="65" t="n">
        <f aca="false">IF(AND(Y442&lt;&gt;"",'Historical Score'!$C$7&lt;&gt;""),IF(Y442='Historical Score'!$C$7,1,0),0)</f>
        <v>0</v>
      </c>
      <c r="AT442" s="65" t="n">
        <f aca="false">IF(AND(K442&lt;&gt;"",'Historical Score'!$C$8&lt;&gt;""),IF(K442='Historical Score'!$C$8,1,0),0)</f>
        <v>0</v>
      </c>
      <c r="AU442" s="65" t="n">
        <f aca="false">IF(AND(J442&lt;&gt;"",'Historical Score'!$C$9&lt;&gt;""),IF(J442='Historical Score'!$C$9,1,0),0)</f>
        <v>0</v>
      </c>
      <c r="AV442" s="65" t="n">
        <f aca="false">AR442*AS442*AQ442</f>
        <v>0</v>
      </c>
      <c r="AW442" s="65" t="n">
        <f aca="false">AR442*AT442*AQ442</f>
        <v>0</v>
      </c>
      <c r="AX442" s="65" t="n">
        <f aca="false">AR442*AS442</f>
        <v>0</v>
      </c>
      <c r="AY442" s="65" t="n">
        <f aca="false">AR442*AT442</f>
        <v>0</v>
      </c>
      <c r="AZ442" s="65" t="n">
        <f aca="false">AR442*AQ442</f>
        <v>0</v>
      </c>
      <c r="BA442" s="65" t="n">
        <f aca="false">AR442</f>
        <v>1</v>
      </c>
      <c r="BB442" s="65" t="n">
        <f aca="false">1</f>
        <v>1</v>
      </c>
      <c r="BC442" s="65" t="n">
        <f aca="false">IF(AV442=1,1,IF(AW442=1,2,IF(AX442=1,3,IF(AY442=1,4,IF(AZ442=1,5,IF(BA442=1,6,7))))))</f>
        <v>6</v>
      </c>
      <c r="BD442" s="65" t="n">
        <f aca="false">IF(AD442=1,CHOOSE('Historical Score'!$C$29,AV442,AW442,AX442,AY442,AZ442,BA442,BB442),0)</f>
        <v>0</v>
      </c>
      <c r="BE442" s="65" t="str">
        <f aca="false">IF(BD442=1,COUNTIF($BD$2:BD442,1),"")</f>
        <v/>
      </c>
    </row>
    <row r="443" customFormat="false" ht="15" hidden="false" customHeight="false" outlineLevel="0" collapsed="false">
      <c r="A443" s="65" t="s">
        <v>1701</v>
      </c>
      <c r="B443" s="65" t="s">
        <v>1702</v>
      </c>
      <c r="C443" s="65" t="s">
        <v>1702</v>
      </c>
      <c r="D443" s="65" t="s">
        <v>371</v>
      </c>
      <c r="E443" s="112" t="n">
        <v>46006</v>
      </c>
      <c r="F443" s="112" t="n">
        <v>46122</v>
      </c>
      <c r="G443" s="65" t="n">
        <v>5</v>
      </c>
      <c r="H443" s="65" t="s">
        <v>748</v>
      </c>
      <c r="I443" s="65" t="s">
        <v>619</v>
      </c>
      <c r="J443" s="65" t="s">
        <v>61</v>
      </c>
      <c r="K443" s="65" t="s">
        <v>581</v>
      </c>
      <c r="L443" s="65" t="s">
        <v>64</v>
      </c>
      <c r="M443" s="113" t="n">
        <v>1.5</v>
      </c>
      <c r="N443" s="114" t="n">
        <v>20000</v>
      </c>
      <c r="O443" s="114" t="n">
        <v>2800</v>
      </c>
      <c r="P443" s="114" t="n">
        <v>30000</v>
      </c>
      <c r="Q443" s="114" t="n">
        <v>30000</v>
      </c>
      <c r="R443" s="114" t="n">
        <v>0</v>
      </c>
      <c r="S443" s="115" t="n">
        <v>1</v>
      </c>
      <c r="T443" s="65" t="n">
        <v>2.623</v>
      </c>
      <c r="U443" s="65" t="n">
        <v>0</v>
      </c>
      <c r="V443" s="65" t="n">
        <v>98681.22</v>
      </c>
      <c r="W443" s="115" t="n">
        <v>0.0793</v>
      </c>
      <c r="X443" s="112" t="n">
        <v>36739</v>
      </c>
      <c r="Y443" s="65" t="str">
        <f aca="false">IF(I443="","No SIC",IFERROR(VLOOKUP(I443,Ref!$A$2:$B$65,2,FALSE()),"Unclassified"))</f>
        <v>Miscellaneous Retail</v>
      </c>
      <c r="Z443" s="65" t="str">
        <f aca="false">IF(T443="","",IF(T443&lt;12,"Daily","Weekly"))</f>
        <v>Daily</v>
      </c>
      <c r="AA443" s="65" t="n">
        <f aca="false">IF(T443="",0,IF(T443&lt;12,T443*Controls!$B$29,T443*5))</f>
        <v>56.801065</v>
      </c>
      <c r="AB443" s="65" t="n">
        <f aca="false">IF(E443="",0,NETWORKDAYS(E443,Controls!$B$36,Ref!$K$2:$K$42))</f>
        <v>176</v>
      </c>
      <c r="AC443" s="65" t="n">
        <f aca="false">IF(AND(AA443&gt;0,AB443&gt;=Controls!$B$39*AA443),1,0)</f>
        <v>1</v>
      </c>
      <c r="AD443" s="65" t="n">
        <f aca="false">IF(AND(E443&lt;&gt;"",E443&gt;=Controls!$B$37,E443&lt;=Controls!$B$38),1,0)</f>
        <v>1</v>
      </c>
      <c r="AE443" s="65" t="n">
        <f aca="false">IF(IFERROR(VLOOKUP(D443,Controls!$A$64:$E$74,2,FALSE()),"No")="Yes",1,0)</f>
        <v>0</v>
      </c>
      <c r="AF443" s="65" t="n">
        <f aca="false">IF(IFERROR(VLOOKUP(D443,Controls!$A$64:$E$74,3,FALSE()),"No")="Yes",1,0)</f>
        <v>1</v>
      </c>
      <c r="AG443" s="65" t="n">
        <f aca="false">IF(IFERROR(VLOOKUP(D443,Controls!$A$64:$E$74,4,FALSE()),"No")="Yes",1,0)</f>
        <v>1</v>
      </c>
      <c r="AH443" s="65" t="n">
        <f aca="false">IF(IFERROR(VLOOKUP(D443,Controls!$A$64:$E$74,5,FALSE()),"No")="Yes",1,0)</f>
        <v>0</v>
      </c>
      <c r="AI443" s="65" t="n">
        <f aca="false">IF(ISNUMBER(MATCH(D443,Controls!$A$64:$A$74,0)),1,0)</f>
        <v>1</v>
      </c>
      <c r="AJ443" s="65" t="n">
        <f aca="false">Q443-N443</f>
        <v>10000</v>
      </c>
      <c r="AK443" s="65" t="n">
        <f aca="false">IF(AE443=1,MAX(0,N443-Q443),0)</f>
        <v>0</v>
      </c>
      <c r="AL443" s="65" t="n">
        <f aca="false">IF(OR(V443="",V443=0),0,N443/V443)</f>
        <v>0.202672808463454</v>
      </c>
      <c r="AM443" s="65" t="n">
        <f aca="false">IF(OR(V443="",V443=0),0,1)</f>
        <v>1</v>
      </c>
      <c r="AN443" s="65" t="n">
        <f aca="false">IF(OR(E443="",F443=""),0,NETWORKDAYS(E443,F443,Ref!$K$2:$K$42))</f>
        <v>81</v>
      </c>
      <c r="AO443" s="65" t="n">
        <f aca="false">IF(L443="Renewal",1,0)</f>
        <v>0</v>
      </c>
      <c r="AP443" s="65" t="n">
        <f aca="false">AC443*AD443</f>
        <v>1</v>
      </c>
      <c r="AQ443" s="65" t="n">
        <f aca="false">IF(AND(G443&lt;&gt;"",'Historical Score'!$C$6&lt;&gt;""),IF(G443='Historical Score'!$C$6,1,0),0)</f>
        <v>0</v>
      </c>
      <c r="AR443" s="65" t="n">
        <f aca="false">IF(AND(L443&lt;&gt;"",'Historical Score'!$C$5&lt;&gt;""),IF(L443='Historical Score'!$C$5,1,0),0)</f>
        <v>1</v>
      </c>
      <c r="AS443" s="65" t="n">
        <f aca="false">IF(AND(Y443&lt;&gt;"",'Historical Score'!$C$7&lt;&gt;""),IF(Y443='Historical Score'!$C$7,1,0),0)</f>
        <v>0</v>
      </c>
      <c r="AT443" s="65" t="n">
        <f aca="false">IF(AND(K443&lt;&gt;"",'Historical Score'!$C$8&lt;&gt;""),IF(K443='Historical Score'!$C$8,1,0),0)</f>
        <v>0</v>
      </c>
      <c r="AU443" s="65" t="n">
        <f aca="false">IF(AND(J443&lt;&gt;"",'Historical Score'!$C$9&lt;&gt;""),IF(J443='Historical Score'!$C$9,1,0),0)</f>
        <v>1</v>
      </c>
      <c r="AV443" s="65" t="n">
        <f aca="false">AR443*AS443*AQ443</f>
        <v>0</v>
      </c>
      <c r="AW443" s="65" t="n">
        <f aca="false">AR443*AT443*AQ443</f>
        <v>0</v>
      </c>
      <c r="AX443" s="65" t="n">
        <f aca="false">AR443*AS443</f>
        <v>0</v>
      </c>
      <c r="AY443" s="65" t="n">
        <f aca="false">AR443*AT443</f>
        <v>0</v>
      </c>
      <c r="AZ443" s="65" t="n">
        <f aca="false">AR443*AQ443</f>
        <v>0</v>
      </c>
      <c r="BA443" s="65" t="n">
        <f aca="false">AR443</f>
        <v>1</v>
      </c>
      <c r="BB443" s="65" t="n">
        <f aca="false">1</f>
        <v>1</v>
      </c>
      <c r="BC443" s="65" t="n">
        <f aca="false">IF(AV443=1,1,IF(AW443=1,2,IF(AX443=1,3,IF(AY443=1,4,IF(AZ443=1,5,IF(BA443=1,6,7))))))</f>
        <v>6</v>
      </c>
      <c r="BD443" s="65" t="n">
        <f aca="false">IF(AD443=1,CHOOSE('Historical Score'!$C$29,AV443,AW443,AX443,AY443,AZ443,BA443,BB443),0)</f>
        <v>0</v>
      </c>
      <c r="BE443" s="65" t="str">
        <f aca="false">IF(BD443=1,COUNTIF($BD$2:BD443,1),"")</f>
        <v/>
      </c>
    </row>
    <row r="444" customFormat="false" ht="15" hidden="false" customHeight="false" outlineLevel="0" collapsed="false">
      <c r="A444" s="65" t="s">
        <v>1703</v>
      </c>
      <c r="B444" s="65" t="s">
        <v>1704</v>
      </c>
      <c r="C444" s="65" t="s">
        <v>1704</v>
      </c>
      <c r="D444" s="65" t="s">
        <v>371</v>
      </c>
      <c r="E444" s="112" t="n">
        <v>46007</v>
      </c>
      <c r="F444" s="112" t="n">
        <v>46169</v>
      </c>
      <c r="G444" s="65" t="n">
        <v>2</v>
      </c>
      <c r="H444" s="65" t="s">
        <v>568</v>
      </c>
      <c r="I444" s="65" t="s">
        <v>569</v>
      </c>
      <c r="J444" s="65" t="s">
        <v>373</v>
      </c>
      <c r="K444" s="65" t="s">
        <v>672</v>
      </c>
      <c r="L444" s="65" t="s">
        <v>64</v>
      </c>
      <c r="M444" s="113" t="n">
        <v>1.35</v>
      </c>
      <c r="N444" s="114" t="n">
        <v>7000</v>
      </c>
      <c r="O444" s="114" t="n">
        <v>490</v>
      </c>
      <c r="P444" s="114" t="n">
        <v>9450</v>
      </c>
      <c r="Q444" s="114" t="n">
        <v>9450</v>
      </c>
      <c r="R444" s="114" t="n">
        <v>0</v>
      </c>
      <c r="S444" s="115" t="n">
        <v>1</v>
      </c>
      <c r="T444" s="65" t="n">
        <v>3.607</v>
      </c>
      <c r="U444" s="65" t="n">
        <v>1</v>
      </c>
      <c r="V444" s="65" t="n">
        <v>23892.05</v>
      </c>
      <c r="W444" s="115" t="n">
        <v>0.0755</v>
      </c>
      <c r="X444" s="112" t="n">
        <v>44520</v>
      </c>
      <c r="Y444" s="65" t="str">
        <f aca="false">IF(I444="","No SIC",IFERROR(VLOOKUP(I444,Ref!$A$2:$B$65,2,FALSE()),"Unclassified"))</f>
        <v>General Merchandise Stores</v>
      </c>
      <c r="Z444" s="65" t="str">
        <f aca="false">IF(T444="","",IF(T444&lt;12,"Daily","Weekly"))</f>
        <v>Daily</v>
      </c>
      <c r="AA444" s="65" t="n">
        <f aca="false">IF(T444="",0,IF(T444&lt;12,T444*Controls!$B$29,T444*5))</f>
        <v>78.109585</v>
      </c>
      <c r="AB444" s="65" t="n">
        <f aca="false">IF(E444="",0,NETWORKDAYS(E444,Controls!$B$36,Ref!$K$2:$K$42))</f>
        <v>175</v>
      </c>
      <c r="AC444" s="65" t="n">
        <f aca="false">IF(AND(AA444&gt;0,AB444&gt;=Controls!$B$39*AA444),1,0)</f>
        <v>1</v>
      </c>
      <c r="AD444" s="65" t="n">
        <f aca="false">IF(AND(E444&lt;&gt;"",E444&gt;=Controls!$B$37,E444&lt;=Controls!$B$38),1,0)</f>
        <v>1</v>
      </c>
      <c r="AE444" s="65" t="n">
        <f aca="false">IF(IFERROR(VLOOKUP(D444,Controls!$A$64:$E$74,2,FALSE()),"No")="Yes",1,0)</f>
        <v>0</v>
      </c>
      <c r="AF444" s="65" t="n">
        <f aca="false">IF(IFERROR(VLOOKUP(D444,Controls!$A$64:$E$74,3,FALSE()),"No")="Yes",1,0)</f>
        <v>1</v>
      </c>
      <c r="AG444" s="65" t="n">
        <f aca="false">IF(IFERROR(VLOOKUP(D444,Controls!$A$64:$E$74,4,FALSE()),"No")="Yes",1,0)</f>
        <v>1</v>
      </c>
      <c r="AH444" s="65" t="n">
        <f aca="false">IF(IFERROR(VLOOKUP(D444,Controls!$A$64:$E$74,5,FALSE()),"No")="Yes",1,0)</f>
        <v>0</v>
      </c>
      <c r="AI444" s="65" t="n">
        <f aca="false">IF(ISNUMBER(MATCH(D444,Controls!$A$64:$A$74,0)),1,0)</f>
        <v>1</v>
      </c>
      <c r="AJ444" s="65" t="n">
        <f aca="false">Q444-N444</f>
        <v>2450</v>
      </c>
      <c r="AK444" s="65" t="n">
        <f aca="false">IF(AE444=1,MAX(0,N444-Q444),0)</f>
        <v>0</v>
      </c>
      <c r="AL444" s="65" t="n">
        <f aca="false">IF(OR(V444="",V444=0),0,N444/V444)</f>
        <v>0.292984486471441</v>
      </c>
      <c r="AM444" s="65" t="n">
        <f aca="false">IF(OR(V444="",V444=0),0,1)</f>
        <v>1</v>
      </c>
      <c r="AN444" s="65" t="n">
        <f aca="false">IF(OR(E444="",F444=""),0,NETWORKDAYS(E444,F444,Ref!$K$2:$K$42))</f>
        <v>112</v>
      </c>
      <c r="AO444" s="65" t="n">
        <f aca="false">IF(L444="Renewal",1,0)</f>
        <v>0</v>
      </c>
      <c r="AP444" s="65" t="n">
        <f aca="false">AC444*AD444</f>
        <v>1</v>
      </c>
      <c r="AQ444" s="65" t="n">
        <f aca="false">IF(AND(G444&lt;&gt;"",'Historical Score'!$C$6&lt;&gt;""),IF(G444='Historical Score'!$C$6,1,0),0)</f>
        <v>1</v>
      </c>
      <c r="AR444" s="65" t="n">
        <f aca="false">IF(AND(L444&lt;&gt;"",'Historical Score'!$C$5&lt;&gt;""),IF(L444='Historical Score'!$C$5,1,0),0)</f>
        <v>1</v>
      </c>
      <c r="AS444" s="65" t="n">
        <f aca="false">IF(AND(Y444&lt;&gt;"",'Historical Score'!$C$7&lt;&gt;""),IF(Y444='Historical Score'!$C$7,1,0),0)</f>
        <v>0</v>
      </c>
      <c r="AT444" s="65" t="n">
        <f aca="false">IF(AND(K444&lt;&gt;"",'Historical Score'!$C$8&lt;&gt;""),IF(K444='Historical Score'!$C$8,1,0),0)</f>
        <v>0</v>
      </c>
      <c r="AU444" s="65" t="n">
        <f aca="false">IF(AND(J444&lt;&gt;"",'Historical Score'!$C$9&lt;&gt;""),IF(J444='Historical Score'!$C$9,1,0),0)</f>
        <v>0</v>
      </c>
      <c r="AV444" s="65" t="n">
        <f aca="false">AR444*AS444*AQ444</f>
        <v>0</v>
      </c>
      <c r="AW444" s="65" t="n">
        <f aca="false">AR444*AT444*AQ444</f>
        <v>0</v>
      </c>
      <c r="AX444" s="65" t="n">
        <f aca="false">AR444*AS444</f>
        <v>0</v>
      </c>
      <c r="AY444" s="65" t="n">
        <f aca="false">AR444*AT444</f>
        <v>0</v>
      </c>
      <c r="AZ444" s="65" t="n">
        <f aca="false">AR444*AQ444</f>
        <v>1</v>
      </c>
      <c r="BA444" s="65" t="n">
        <f aca="false">AR444</f>
        <v>1</v>
      </c>
      <c r="BB444" s="65" t="n">
        <f aca="false">1</f>
        <v>1</v>
      </c>
      <c r="BC444" s="65" t="n">
        <f aca="false">IF(AV444=1,1,IF(AW444=1,2,IF(AX444=1,3,IF(AY444=1,4,IF(AZ444=1,5,IF(BA444=1,6,7))))))</f>
        <v>5</v>
      </c>
      <c r="BD444" s="65" t="n">
        <f aca="false">IF(AD444=1,CHOOSE('Historical Score'!$C$29,AV444,AW444,AX444,AY444,AZ444,BA444,BB444),0)</f>
        <v>0</v>
      </c>
      <c r="BE444" s="65" t="str">
        <f aca="false">IF(BD444=1,COUNTIF($BD$2:BD444,1),"")</f>
        <v/>
      </c>
    </row>
    <row r="445" customFormat="false" ht="15" hidden="false" customHeight="false" outlineLevel="0" collapsed="false">
      <c r="A445" s="65" t="s">
        <v>1705</v>
      </c>
      <c r="B445" s="65" t="s">
        <v>1706</v>
      </c>
      <c r="C445" s="65" t="s">
        <v>1706</v>
      </c>
      <c r="D445" s="65" t="s">
        <v>1348</v>
      </c>
      <c r="E445" s="112" t="n">
        <v>46007</v>
      </c>
      <c r="F445" s="112" t="n">
        <v>46225</v>
      </c>
      <c r="G445" s="65" t="n">
        <v>2</v>
      </c>
      <c r="H445" s="65" t="s">
        <v>593</v>
      </c>
      <c r="I445" s="65" t="s">
        <v>425</v>
      </c>
      <c r="J445" s="65" t="s">
        <v>61</v>
      </c>
      <c r="K445" s="65" t="s">
        <v>961</v>
      </c>
      <c r="L445" s="65" t="s">
        <v>320</v>
      </c>
      <c r="M445" s="113" t="n">
        <v>1.41</v>
      </c>
      <c r="N445" s="114" t="n">
        <v>40000</v>
      </c>
      <c r="O445" s="114" t="n">
        <v>5400</v>
      </c>
      <c r="P445" s="114" t="n">
        <v>56400</v>
      </c>
      <c r="Q445" s="114" t="n">
        <v>56400</v>
      </c>
      <c r="R445" s="114" t="n">
        <v>0</v>
      </c>
      <c r="S445" s="115" t="n">
        <v>1</v>
      </c>
      <c r="T445" s="65" t="n">
        <v>28</v>
      </c>
      <c r="U445" s="65" t="n">
        <v>3</v>
      </c>
      <c r="V445" s="65" t="n">
        <v>64826.4</v>
      </c>
      <c r="W445" s="115" t="n">
        <v>0.1726</v>
      </c>
      <c r="X445" s="112" t="n">
        <v>44490</v>
      </c>
      <c r="Y445" s="65" t="str">
        <f aca="false">IF(I445="","No SIC",IFERROR(VLOOKUP(I445,Ref!$A$2:$B$65,2,FALSE()),"Unclassified"))</f>
        <v>Personal Services</v>
      </c>
      <c r="Z445" s="65" t="str">
        <f aca="false">IF(T445="","",IF(T445&lt;12,"Daily","Weekly"))</f>
        <v>Weekly</v>
      </c>
      <c r="AA445" s="65" t="n">
        <f aca="false">IF(T445="",0,IF(T445&lt;12,T445*Controls!$B$29,T445*5))</f>
        <v>140</v>
      </c>
      <c r="AB445" s="65" t="n">
        <f aca="false">IF(E445="",0,NETWORKDAYS(E445,Controls!$B$36,Ref!$K$2:$K$42))</f>
        <v>175</v>
      </c>
      <c r="AC445" s="65" t="n">
        <f aca="false">IF(AND(AA445&gt;0,AB445&gt;=Controls!$B$39*AA445),1,0)</f>
        <v>1</v>
      </c>
      <c r="AD445" s="65" t="n">
        <f aca="false">IF(AND(E445&lt;&gt;"",E445&gt;=Controls!$B$37,E445&lt;=Controls!$B$38),1,0)</f>
        <v>1</v>
      </c>
      <c r="AE445" s="65" t="n">
        <f aca="false">IF(IFERROR(VLOOKUP(D445,Controls!$A$64:$E$74,2,FALSE()),"No")="Yes",1,0)</f>
        <v>0</v>
      </c>
      <c r="AF445" s="65" t="n">
        <f aca="false">IF(IFERROR(VLOOKUP(D445,Controls!$A$64:$E$74,3,FALSE()),"No")="Yes",1,0)</f>
        <v>1</v>
      </c>
      <c r="AG445" s="65" t="n">
        <f aca="false">IF(IFERROR(VLOOKUP(D445,Controls!$A$64:$E$74,4,FALSE()),"No")="Yes",1,0)</f>
        <v>1</v>
      </c>
      <c r="AH445" s="65" t="n">
        <f aca="false">IF(IFERROR(VLOOKUP(D445,Controls!$A$64:$E$74,5,FALSE()),"No")="Yes",1,0)</f>
        <v>0</v>
      </c>
      <c r="AI445" s="65" t="n">
        <f aca="false">IF(ISNUMBER(MATCH(D445,Controls!$A$64:$A$74,0)),1,0)</f>
        <v>1</v>
      </c>
      <c r="AJ445" s="65" t="n">
        <f aca="false">Q445-N445</f>
        <v>16400</v>
      </c>
      <c r="AK445" s="65" t="n">
        <f aca="false">IF(AE445=1,MAX(0,N445-Q445),0)</f>
        <v>0</v>
      </c>
      <c r="AL445" s="65" t="n">
        <f aca="false">IF(OR(V445="",V445=0),0,N445/V445)</f>
        <v>0.617032566978885</v>
      </c>
      <c r="AM445" s="65" t="n">
        <f aca="false">IF(OR(V445="",V445=0),0,1)</f>
        <v>1</v>
      </c>
      <c r="AN445" s="65" t="n">
        <f aca="false">IF(OR(E445="",F445=""),0,NETWORKDAYS(E445,F445,Ref!$K$2:$K$42))</f>
        <v>151</v>
      </c>
      <c r="AO445" s="65" t="n">
        <f aca="false">IF(L445="Renewal",1,0)</f>
        <v>1</v>
      </c>
      <c r="AP445" s="65" t="n">
        <f aca="false">AC445*AD445</f>
        <v>1</v>
      </c>
      <c r="AQ445" s="65" t="n">
        <f aca="false">IF(AND(G445&lt;&gt;"",'Historical Score'!$C$6&lt;&gt;""),IF(G445='Historical Score'!$C$6,1,0),0)</f>
        <v>1</v>
      </c>
      <c r="AR445" s="65" t="n">
        <f aca="false">IF(AND(L445&lt;&gt;"",'Historical Score'!$C$5&lt;&gt;""),IF(L445='Historical Score'!$C$5,1,0),0)</f>
        <v>0</v>
      </c>
      <c r="AS445" s="65" t="n">
        <f aca="false">IF(AND(Y445&lt;&gt;"",'Historical Score'!$C$7&lt;&gt;""),IF(Y445='Historical Score'!$C$7,1,0),0)</f>
        <v>0</v>
      </c>
      <c r="AT445" s="65" t="n">
        <f aca="false">IF(AND(K445&lt;&gt;"",'Historical Score'!$C$8&lt;&gt;""),IF(K445='Historical Score'!$C$8,1,0),0)</f>
        <v>0</v>
      </c>
      <c r="AU445" s="65" t="n">
        <f aca="false">IF(AND(J445&lt;&gt;"",'Historical Score'!$C$9&lt;&gt;""),IF(J445='Historical Score'!$C$9,1,0),0)</f>
        <v>1</v>
      </c>
      <c r="AV445" s="65" t="n">
        <f aca="false">AR445*AS445*AQ445</f>
        <v>0</v>
      </c>
      <c r="AW445" s="65" t="n">
        <f aca="false">AR445*AT445*AQ445</f>
        <v>0</v>
      </c>
      <c r="AX445" s="65" t="n">
        <f aca="false">AR445*AS445</f>
        <v>0</v>
      </c>
      <c r="AY445" s="65" t="n">
        <f aca="false">AR445*AT445</f>
        <v>0</v>
      </c>
      <c r="AZ445" s="65" t="n">
        <f aca="false">AR445*AQ445</f>
        <v>0</v>
      </c>
      <c r="BA445" s="65" t="n">
        <f aca="false">AR445</f>
        <v>0</v>
      </c>
      <c r="BB445" s="65" t="n">
        <f aca="false">1</f>
        <v>1</v>
      </c>
      <c r="BC445" s="65" t="n">
        <f aca="false">IF(AV445=1,1,IF(AW445=1,2,IF(AX445=1,3,IF(AY445=1,4,IF(AZ445=1,5,IF(BA445=1,6,7))))))</f>
        <v>7</v>
      </c>
      <c r="BD445" s="65" t="n">
        <f aca="false">IF(AD445=1,CHOOSE('Historical Score'!$C$29,AV445,AW445,AX445,AY445,AZ445,BA445,BB445),0)</f>
        <v>0</v>
      </c>
      <c r="BE445" s="65" t="str">
        <f aca="false">IF(BD445=1,COUNTIF($BD$2:BD445,1),"")</f>
        <v/>
      </c>
    </row>
    <row r="446" customFormat="false" ht="15" hidden="false" customHeight="false" outlineLevel="0" collapsed="false">
      <c r="A446" s="65" t="s">
        <v>1707</v>
      </c>
      <c r="B446" s="65" t="s">
        <v>1708</v>
      </c>
      <c r="C446" s="65" t="s">
        <v>1709</v>
      </c>
      <c r="D446" s="65" t="s">
        <v>371</v>
      </c>
      <c r="E446" s="112" t="n">
        <v>46007</v>
      </c>
      <c r="F446" s="112" t="n">
        <v>46098</v>
      </c>
      <c r="G446" s="65" t="n">
        <v>5</v>
      </c>
      <c r="H446" s="65" t="s">
        <v>418</v>
      </c>
      <c r="I446" s="65" t="s">
        <v>419</v>
      </c>
      <c r="J446" s="65" t="s">
        <v>671</v>
      </c>
      <c r="K446" s="65" t="s">
        <v>538</v>
      </c>
      <c r="L446" s="65" t="s">
        <v>320</v>
      </c>
      <c r="M446" s="113" t="n">
        <v>1.46</v>
      </c>
      <c r="N446" s="114" t="n">
        <v>60000</v>
      </c>
      <c r="O446" s="114" t="n">
        <v>7200</v>
      </c>
      <c r="P446" s="114" t="n">
        <v>87600</v>
      </c>
      <c r="Q446" s="114" t="n">
        <v>87600</v>
      </c>
      <c r="R446" s="114" t="n">
        <v>0</v>
      </c>
      <c r="S446" s="115" t="n">
        <v>1</v>
      </c>
      <c r="T446" s="65" t="n">
        <v>30</v>
      </c>
      <c r="U446" s="65" t="n">
        <v>0</v>
      </c>
      <c r="V446" s="65" t="n">
        <v>127582.63</v>
      </c>
      <c r="W446" s="115" t="n">
        <v>0.4806</v>
      </c>
      <c r="X446" s="112" t="n">
        <v>40920</v>
      </c>
      <c r="Y446" s="65" t="str">
        <f aca="false">IF(I446="","No SIC",IFERROR(VLOOKUP(I446,Ref!$A$2:$B$65,2,FALSE()),"Unclassified"))</f>
        <v>Business Services</v>
      </c>
      <c r="Z446" s="65" t="str">
        <f aca="false">IF(T446="","",IF(T446&lt;12,"Daily","Weekly"))</f>
        <v>Weekly</v>
      </c>
      <c r="AA446" s="65" t="n">
        <f aca="false">IF(T446="",0,IF(T446&lt;12,T446*Controls!$B$29,T446*5))</f>
        <v>150</v>
      </c>
      <c r="AB446" s="65" t="n">
        <f aca="false">IF(E446="",0,NETWORKDAYS(E446,Controls!$B$36,Ref!$K$2:$K$42))</f>
        <v>175</v>
      </c>
      <c r="AC446" s="65" t="n">
        <f aca="false">IF(AND(AA446&gt;0,AB446&gt;=Controls!$B$39*AA446),1,0)</f>
        <v>0</v>
      </c>
      <c r="AD446" s="65" t="n">
        <f aca="false">IF(AND(E446&lt;&gt;"",E446&gt;=Controls!$B$37,E446&lt;=Controls!$B$38),1,0)</f>
        <v>1</v>
      </c>
      <c r="AE446" s="65" t="n">
        <f aca="false">IF(IFERROR(VLOOKUP(D446,Controls!$A$64:$E$74,2,FALSE()),"No")="Yes",1,0)</f>
        <v>0</v>
      </c>
      <c r="AF446" s="65" t="n">
        <f aca="false">IF(IFERROR(VLOOKUP(D446,Controls!$A$64:$E$74,3,FALSE()),"No")="Yes",1,0)</f>
        <v>1</v>
      </c>
      <c r="AG446" s="65" t="n">
        <f aca="false">IF(IFERROR(VLOOKUP(D446,Controls!$A$64:$E$74,4,FALSE()),"No")="Yes",1,0)</f>
        <v>1</v>
      </c>
      <c r="AH446" s="65" t="n">
        <f aca="false">IF(IFERROR(VLOOKUP(D446,Controls!$A$64:$E$74,5,FALSE()),"No")="Yes",1,0)</f>
        <v>0</v>
      </c>
      <c r="AI446" s="65" t="n">
        <f aca="false">IF(ISNUMBER(MATCH(D446,Controls!$A$64:$A$74,0)),1,0)</f>
        <v>1</v>
      </c>
      <c r="AJ446" s="65" t="n">
        <f aca="false">Q446-N446</f>
        <v>27600</v>
      </c>
      <c r="AK446" s="65" t="n">
        <f aca="false">IF(AE446=1,MAX(0,N446-Q446),0)</f>
        <v>0</v>
      </c>
      <c r="AL446" s="65" t="n">
        <f aca="false">IF(OR(V446="",V446=0),0,N446/V446)</f>
        <v>0.470283454730475</v>
      </c>
      <c r="AM446" s="65" t="n">
        <f aca="false">IF(OR(V446="",V446=0),0,1)</f>
        <v>1</v>
      </c>
      <c r="AN446" s="65" t="n">
        <f aca="false">IF(OR(E446="",F446=""),0,NETWORKDAYS(E446,F446,Ref!$K$2:$K$42))</f>
        <v>62</v>
      </c>
      <c r="AO446" s="65" t="n">
        <f aca="false">IF(L446="Renewal",1,0)</f>
        <v>1</v>
      </c>
      <c r="AP446" s="65" t="n">
        <f aca="false">AC446*AD446</f>
        <v>0</v>
      </c>
      <c r="AQ446" s="65" t="n">
        <f aca="false">IF(AND(G446&lt;&gt;"",'Historical Score'!$C$6&lt;&gt;""),IF(G446='Historical Score'!$C$6,1,0),0)</f>
        <v>0</v>
      </c>
      <c r="AR446" s="65" t="n">
        <f aca="false">IF(AND(L446&lt;&gt;"",'Historical Score'!$C$5&lt;&gt;""),IF(L446='Historical Score'!$C$5,1,0),0)</f>
        <v>0</v>
      </c>
      <c r="AS446" s="65" t="n">
        <f aca="false">IF(AND(Y446&lt;&gt;"",'Historical Score'!$C$7&lt;&gt;""),IF(Y446='Historical Score'!$C$7,1,0),0)</f>
        <v>0</v>
      </c>
      <c r="AT446" s="65" t="n">
        <f aca="false">IF(AND(K446&lt;&gt;"",'Historical Score'!$C$8&lt;&gt;""),IF(K446='Historical Score'!$C$8,1,0),0)</f>
        <v>0</v>
      </c>
      <c r="AU446" s="65" t="n">
        <f aca="false">IF(AND(J446&lt;&gt;"",'Historical Score'!$C$9&lt;&gt;""),IF(J446='Historical Score'!$C$9,1,0),0)</f>
        <v>0</v>
      </c>
      <c r="AV446" s="65" t="n">
        <f aca="false">AR446*AS446*AQ446</f>
        <v>0</v>
      </c>
      <c r="AW446" s="65" t="n">
        <f aca="false">AR446*AT446*AQ446</f>
        <v>0</v>
      </c>
      <c r="AX446" s="65" t="n">
        <f aca="false">AR446*AS446</f>
        <v>0</v>
      </c>
      <c r="AY446" s="65" t="n">
        <f aca="false">AR446*AT446</f>
        <v>0</v>
      </c>
      <c r="AZ446" s="65" t="n">
        <f aca="false">AR446*AQ446</f>
        <v>0</v>
      </c>
      <c r="BA446" s="65" t="n">
        <f aca="false">AR446</f>
        <v>0</v>
      </c>
      <c r="BB446" s="65" t="n">
        <f aca="false">1</f>
        <v>1</v>
      </c>
      <c r="BC446" s="65" t="n">
        <f aca="false">IF(AV446=1,1,IF(AW446=1,2,IF(AX446=1,3,IF(AY446=1,4,IF(AZ446=1,5,IF(BA446=1,6,7))))))</f>
        <v>7</v>
      </c>
      <c r="BD446" s="65" t="n">
        <f aca="false">IF(AD446=1,CHOOSE('Historical Score'!$C$29,AV446,AW446,AX446,AY446,AZ446,BA446,BB446),0)</f>
        <v>0</v>
      </c>
      <c r="BE446" s="65" t="str">
        <f aca="false">IF(BD446=1,COUNTIF($BD$2:BD446,1),"")</f>
        <v/>
      </c>
    </row>
    <row r="447" customFormat="false" ht="15" hidden="false" customHeight="false" outlineLevel="0" collapsed="false">
      <c r="A447" s="65" t="s">
        <v>1710</v>
      </c>
      <c r="B447" s="65" t="s">
        <v>1289</v>
      </c>
      <c r="C447" s="65" t="s">
        <v>1289</v>
      </c>
      <c r="D447" s="65" t="s">
        <v>371</v>
      </c>
      <c r="E447" s="112" t="n">
        <v>46007</v>
      </c>
      <c r="F447" s="112" t="n">
        <v>46120</v>
      </c>
      <c r="G447" s="65" t="n">
        <v>1</v>
      </c>
      <c r="H447" s="65" t="s">
        <v>409</v>
      </c>
      <c r="I447" s="65" t="s">
        <v>342</v>
      </c>
      <c r="J447" s="65" t="s">
        <v>61</v>
      </c>
      <c r="K447" s="65" t="s">
        <v>581</v>
      </c>
      <c r="L447" s="65" t="s">
        <v>320</v>
      </c>
      <c r="M447" s="113" t="n">
        <v>1.49</v>
      </c>
      <c r="N447" s="114" t="n">
        <v>20000</v>
      </c>
      <c r="O447" s="114" t="n">
        <v>2800</v>
      </c>
      <c r="P447" s="114" t="n">
        <v>29800</v>
      </c>
      <c r="Q447" s="114" t="n">
        <v>29800</v>
      </c>
      <c r="R447" s="114" t="n">
        <v>0</v>
      </c>
      <c r="S447" s="115" t="n">
        <v>1</v>
      </c>
      <c r="T447" s="65" t="n">
        <v>3.934</v>
      </c>
      <c r="U447" s="65" t="n">
        <v>0</v>
      </c>
      <c r="V447" s="65" t="n">
        <v>52000</v>
      </c>
      <c r="W447" s="115" t="n">
        <v>0.1043</v>
      </c>
      <c r="X447" s="112" t="n">
        <v>44977</v>
      </c>
      <c r="Y447" s="65" t="str">
        <f aca="false">IF(I447="","No SIC",IFERROR(VLOOKUP(I447,Ref!$A$2:$B$65,2,FALSE()),"Unclassified"))</f>
        <v>Eating &amp; Drinking Places</v>
      </c>
      <c r="Z447" s="65" t="str">
        <f aca="false">IF(T447="","",IF(T447&lt;12,"Daily","Weekly"))</f>
        <v>Daily</v>
      </c>
      <c r="AA447" s="65" t="n">
        <f aca="false">IF(T447="",0,IF(T447&lt;12,T447*Controls!$B$29,T447*5))</f>
        <v>85.19077</v>
      </c>
      <c r="AB447" s="65" t="n">
        <f aca="false">IF(E447="",0,NETWORKDAYS(E447,Controls!$B$36,Ref!$K$2:$K$42))</f>
        <v>175</v>
      </c>
      <c r="AC447" s="65" t="n">
        <f aca="false">IF(AND(AA447&gt;0,AB447&gt;=Controls!$B$39*AA447),1,0)</f>
        <v>1</v>
      </c>
      <c r="AD447" s="65" t="n">
        <f aca="false">IF(AND(E447&lt;&gt;"",E447&gt;=Controls!$B$37,E447&lt;=Controls!$B$38),1,0)</f>
        <v>1</v>
      </c>
      <c r="AE447" s="65" t="n">
        <f aca="false">IF(IFERROR(VLOOKUP(D447,Controls!$A$64:$E$74,2,FALSE()),"No")="Yes",1,0)</f>
        <v>0</v>
      </c>
      <c r="AF447" s="65" t="n">
        <f aca="false">IF(IFERROR(VLOOKUP(D447,Controls!$A$64:$E$74,3,FALSE()),"No")="Yes",1,0)</f>
        <v>1</v>
      </c>
      <c r="AG447" s="65" t="n">
        <f aca="false">IF(IFERROR(VLOOKUP(D447,Controls!$A$64:$E$74,4,FALSE()),"No")="Yes",1,0)</f>
        <v>1</v>
      </c>
      <c r="AH447" s="65" t="n">
        <f aca="false">IF(IFERROR(VLOOKUP(D447,Controls!$A$64:$E$74,5,FALSE()),"No")="Yes",1,0)</f>
        <v>0</v>
      </c>
      <c r="AI447" s="65" t="n">
        <f aca="false">IF(ISNUMBER(MATCH(D447,Controls!$A$64:$A$74,0)),1,0)</f>
        <v>1</v>
      </c>
      <c r="AJ447" s="65" t="n">
        <f aca="false">Q447-N447</f>
        <v>9800</v>
      </c>
      <c r="AK447" s="65" t="n">
        <f aca="false">IF(AE447=1,MAX(0,N447-Q447),0)</f>
        <v>0</v>
      </c>
      <c r="AL447" s="65" t="n">
        <f aca="false">IF(OR(V447="",V447=0),0,N447/V447)</f>
        <v>0.384615384615385</v>
      </c>
      <c r="AM447" s="65" t="n">
        <f aca="false">IF(OR(V447="",V447=0),0,1)</f>
        <v>1</v>
      </c>
      <c r="AN447" s="65" t="n">
        <f aca="false">IF(OR(E447="",F447=""),0,NETWORKDAYS(E447,F447,Ref!$K$2:$K$42))</f>
        <v>78</v>
      </c>
      <c r="AO447" s="65" t="n">
        <f aca="false">IF(L447="Renewal",1,0)</f>
        <v>1</v>
      </c>
      <c r="AP447" s="65" t="n">
        <f aca="false">AC447*AD447</f>
        <v>1</v>
      </c>
      <c r="AQ447" s="65" t="n">
        <f aca="false">IF(AND(G447&lt;&gt;"",'Historical Score'!$C$6&lt;&gt;""),IF(G447='Historical Score'!$C$6,1,0),0)</f>
        <v>0</v>
      </c>
      <c r="AR447" s="65" t="n">
        <f aca="false">IF(AND(L447&lt;&gt;"",'Historical Score'!$C$5&lt;&gt;""),IF(L447='Historical Score'!$C$5,1,0),0)</f>
        <v>0</v>
      </c>
      <c r="AS447" s="65" t="n">
        <f aca="false">IF(AND(Y447&lt;&gt;"",'Historical Score'!$C$7&lt;&gt;""),IF(Y447='Historical Score'!$C$7,1,0),0)</f>
        <v>0</v>
      </c>
      <c r="AT447" s="65" t="n">
        <f aca="false">IF(AND(K447&lt;&gt;"",'Historical Score'!$C$8&lt;&gt;""),IF(K447='Historical Score'!$C$8,1,0),0)</f>
        <v>0</v>
      </c>
      <c r="AU447" s="65" t="n">
        <f aca="false">IF(AND(J447&lt;&gt;"",'Historical Score'!$C$9&lt;&gt;""),IF(J447='Historical Score'!$C$9,1,0),0)</f>
        <v>1</v>
      </c>
      <c r="AV447" s="65" t="n">
        <f aca="false">AR447*AS447*AQ447</f>
        <v>0</v>
      </c>
      <c r="AW447" s="65" t="n">
        <f aca="false">AR447*AT447*AQ447</f>
        <v>0</v>
      </c>
      <c r="AX447" s="65" t="n">
        <f aca="false">AR447*AS447</f>
        <v>0</v>
      </c>
      <c r="AY447" s="65" t="n">
        <f aca="false">AR447*AT447</f>
        <v>0</v>
      </c>
      <c r="AZ447" s="65" t="n">
        <f aca="false">AR447*AQ447</f>
        <v>0</v>
      </c>
      <c r="BA447" s="65" t="n">
        <f aca="false">AR447</f>
        <v>0</v>
      </c>
      <c r="BB447" s="65" t="n">
        <f aca="false">1</f>
        <v>1</v>
      </c>
      <c r="BC447" s="65" t="n">
        <f aca="false">IF(AV447=1,1,IF(AW447=1,2,IF(AX447=1,3,IF(AY447=1,4,IF(AZ447=1,5,IF(BA447=1,6,7))))))</f>
        <v>7</v>
      </c>
      <c r="BD447" s="65" t="n">
        <f aca="false">IF(AD447=1,CHOOSE('Historical Score'!$C$29,AV447,AW447,AX447,AY447,AZ447,BA447,BB447),0)</f>
        <v>0</v>
      </c>
      <c r="BE447" s="65" t="str">
        <f aca="false">IF(BD447=1,COUNTIF($BD$2:BD447,1),"")</f>
        <v/>
      </c>
    </row>
    <row r="448" customFormat="false" ht="15" hidden="false" customHeight="false" outlineLevel="0" collapsed="false">
      <c r="A448" s="65" t="s">
        <v>1711</v>
      </c>
      <c r="B448" s="65" t="s">
        <v>1712</v>
      </c>
      <c r="C448" s="65" t="s">
        <v>1713</v>
      </c>
      <c r="D448" s="65" t="s">
        <v>371</v>
      </c>
      <c r="E448" s="112" t="n">
        <v>46007</v>
      </c>
      <c r="F448" s="112" t="n">
        <v>46132</v>
      </c>
      <c r="G448" s="65" t="n">
        <v>3</v>
      </c>
      <c r="H448" s="65" t="s">
        <v>409</v>
      </c>
      <c r="I448" s="65" t="s">
        <v>342</v>
      </c>
      <c r="J448" s="65" t="s">
        <v>61</v>
      </c>
      <c r="K448" s="65" t="s">
        <v>1714</v>
      </c>
      <c r="L448" s="65" t="s">
        <v>64</v>
      </c>
      <c r="M448" s="113" t="n">
        <v>1.45</v>
      </c>
      <c r="N448" s="114" t="n">
        <v>10000</v>
      </c>
      <c r="O448" s="114" t="n">
        <v>1200</v>
      </c>
      <c r="P448" s="114" t="n">
        <v>14500</v>
      </c>
      <c r="Q448" s="114" t="n">
        <v>14500</v>
      </c>
      <c r="R448" s="114" t="n">
        <v>0</v>
      </c>
      <c r="S448" s="115" t="n">
        <v>1</v>
      </c>
      <c r="T448" s="65" t="n">
        <v>2.787</v>
      </c>
      <c r="U448" s="65" t="n">
        <v>1</v>
      </c>
      <c r="V448" s="65" t="n">
        <v>49623.58</v>
      </c>
      <c r="W448" s="115" t="n">
        <v>0.0722</v>
      </c>
      <c r="X448" s="112" t="n">
        <v>42353</v>
      </c>
      <c r="Y448" s="65" t="str">
        <f aca="false">IF(I448="","No SIC",IFERROR(VLOOKUP(I448,Ref!$A$2:$B$65,2,FALSE()),"Unclassified"))</f>
        <v>Eating &amp; Drinking Places</v>
      </c>
      <c r="Z448" s="65" t="str">
        <f aca="false">IF(T448="","",IF(T448&lt;12,"Daily","Weekly"))</f>
        <v>Daily</v>
      </c>
      <c r="AA448" s="65" t="n">
        <f aca="false">IF(T448="",0,IF(T448&lt;12,T448*Controls!$B$29,T448*5))</f>
        <v>60.352485</v>
      </c>
      <c r="AB448" s="65" t="n">
        <f aca="false">IF(E448="",0,NETWORKDAYS(E448,Controls!$B$36,Ref!$K$2:$K$42))</f>
        <v>175</v>
      </c>
      <c r="AC448" s="65" t="n">
        <f aca="false">IF(AND(AA448&gt;0,AB448&gt;=Controls!$B$39*AA448),1,0)</f>
        <v>1</v>
      </c>
      <c r="AD448" s="65" t="n">
        <f aca="false">IF(AND(E448&lt;&gt;"",E448&gt;=Controls!$B$37,E448&lt;=Controls!$B$38),1,0)</f>
        <v>1</v>
      </c>
      <c r="AE448" s="65" t="n">
        <f aca="false">IF(IFERROR(VLOOKUP(D448,Controls!$A$64:$E$74,2,FALSE()),"No")="Yes",1,0)</f>
        <v>0</v>
      </c>
      <c r="AF448" s="65" t="n">
        <f aca="false">IF(IFERROR(VLOOKUP(D448,Controls!$A$64:$E$74,3,FALSE()),"No")="Yes",1,0)</f>
        <v>1</v>
      </c>
      <c r="AG448" s="65" t="n">
        <f aca="false">IF(IFERROR(VLOOKUP(D448,Controls!$A$64:$E$74,4,FALSE()),"No")="Yes",1,0)</f>
        <v>1</v>
      </c>
      <c r="AH448" s="65" t="n">
        <f aca="false">IF(IFERROR(VLOOKUP(D448,Controls!$A$64:$E$74,5,FALSE()),"No")="Yes",1,0)</f>
        <v>0</v>
      </c>
      <c r="AI448" s="65" t="n">
        <f aca="false">IF(ISNUMBER(MATCH(D448,Controls!$A$64:$A$74,0)),1,0)</f>
        <v>1</v>
      </c>
      <c r="AJ448" s="65" t="n">
        <f aca="false">Q448-N448</f>
        <v>4500</v>
      </c>
      <c r="AK448" s="65" t="n">
        <f aca="false">IF(AE448=1,MAX(0,N448-Q448),0)</f>
        <v>0</v>
      </c>
      <c r="AL448" s="65" t="n">
        <f aca="false">IF(OR(V448="",V448=0),0,N448/V448)</f>
        <v>0.201517101345772</v>
      </c>
      <c r="AM448" s="65" t="n">
        <f aca="false">IF(OR(V448="",V448=0),0,1)</f>
        <v>1</v>
      </c>
      <c r="AN448" s="65" t="n">
        <f aca="false">IF(OR(E448="",F448=""),0,NETWORKDAYS(E448,F448,Ref!$K$2:$K$42))</f>
        <v>86</v>
      </c>
      <c r="AO448" s="65" t="n">
        <f aca="false">IF(L448="Renewal",1,0)</f>
        <v>0</v>
      </c>
      <c r="AP448" s="65" t="n">
        <f aca="false">AC448*AD448</f>
        <v>1</v>
      </c>
      <c r="AQ448" s="65" t="n">
        <f aca="false">IF(AND(G448&lt;&gt;"",'Historical Score'!$C$6&lt;&gt;""),IF(G448='Historical Score'!$C$6,1,0),0)</f>
        <v>0</v>
      </c>
      <c r="AR448" s="65" t="n">
        <f aca="false">IF(AND(L448&lt;&gt;"",'Historical Score'!$C$5&lt;&gt;""),IF(L448='Historical Score'!$C$5,1,0),0)</f>
        <v>1</v>
      </c>
      <c r="AS448" s="65" t="n">
        <f aca="false">IF(AND(Y448&lt;&gt;"",'Historical Score'!$C$7&lt;&gt;""),IF(Y448='Historical Score'!$C$7,1,0),0)</f>
        <v>0</v>
      </c>
      <c r="AT448" s="65" t="n">
        <f aca="false">IF(AND(K448&lt;&gt;"",'Historical Score'!$C$8&lt;&gt;""),IF(K448='Historical Score'!$C$8,1,0),0)</f>
        <v>0</v>
      </c>
      <c r="AU448" s="65" t="n">
        <f aca="false">IF(AND(J448&lt;&gt;"",'Historical Score'!$C$9&lt;&gt;""),IF(J448='Historical Score'!$C$9,1,0),0)</f>
        <v>1</v>
      </c>
      <c r="AV448" s="65" t="n">
        <f aca="false">AR448*AS448*AQ448</f>
        <v>0</v>
      </c>
      <c r="AW448" s="65" t="n">
        <f aca="false">AR448*AT448*AQ448</f>
        <v>0</v>
      </c>
      <c r="AX448" s="65" t="n">
        <f aca="false">AR448*AS448</f>
        <v>0</v>
      </c>
      <c r="AY448" s="65" t="n">
        <f aca="false">AR448*AT448</f>
        <v>0</v>
      </c>
      <c r="AZ448" s="65" t="n">
        <f aca="false">AR448*AQ448</f>
        <v>0</v>
      </c>
      <c r="BA448" s="65" t="n">
        <f aca="false">AR448</f>
        <v>1</v>
      </c>
      <c r="BB448" s="65" t="n">
        <f aca="false">1</f>
        <v>1</v>
      </c>
      <c r="BC448" s="65" t="n">
        <f aca="false">IF(AV448=1,1,IF(AW448=1,2,IF(AX448=1,3,IF(AY448=1,4,IF(AZ448=1,5,IF(BA448=1,6,7))))))</f>
        <v>6</v>
      </c>
      <c r="BD448" s="65" t="n">
        <f aca="false">IF(AD448=1,CHOOSE('Historical Score'!$C$29,AV448,AW448,AX448,AY448,AZ448,BA448,BB448),0)</f>
        <v>0</v>
      </c>
      <c r="BE448" s="65" t="str">
        <f aca="false">IF(BD448=1,COUNTIF($BD$2:BD448,1),"")</f>
        <v/>
      </c>
    </row>
    <row r="449" customFormat="false" ht="15" hidden="false" customHeight="false" outlineLevel="0" collapsed="false">
      <c r="A449" s="65" t="s">
        <v>1715</v>
      </c>
      <c r="B449" s="65" t="s">
        <v>1716</v>
      </c>
      <c r="C449" s="65" t="s">
        <v>1716</v>
      </c>
      <c r="D449" s="65" t="s">
        <v>1348</v>
      </c>
      <c r="E449" s="112" t="n">
        <v>46007</v>
      </c>
      <c r="F449" s="112" t="n">
        <v>46230</v>
      </c>
      <c r="G449" s="65" t="n">
        <v>5</v>
      </c>
      <c r="H449" s="65" t="s">
        <v>500</v>
      </c>
      <c r="I449" s="65" t="s">
        <v>475</v>
      </c>
      <c r="J449" s="65" t="s">
        <v>399</v>
      </c>
      <c r="K449" s="65" t="s">
        <v>713</v>
      </c>
      <c r="L449" s="65" t="s">
        <v>64</v>
      </c>
      <c r="M449" s="113" t="n">
        <v>1.49</v>
      </c>
      <c r="N449" s="114" t="n">
        <v>20000</v>
      </c>
      <c r="O449" s="114" t="n">
        <v>2800</v>
      </c>
      <c r="P449" s="114" t="n">
        <v>29800</v>
      </c>
      <c r="Q449" s="114" t="n">
        <v>29800</v>
      </c>
      <c r="R449" s="114" t="n">
        <v>0</v>
      </c>
      <c r="S449" s="115" t="n">
        <v>1</v>
      </c>
      <c r="T449" s="65" t="n">
        <v>28</v>
      </c>
      <c r="U449" s="65" t="n">
        <v>1</v>
      </c>
      <c r="V449" s="65" t="n">
        <v>155935.8</v>
      </c>
      <c r="W449" s="115" t="n">
        <v>0.0273</v>
      </c>
      <c r="X449" s="112"/>
      <c r="Y449" s="65" t="str">
        <f aca="false">IF(I449="","No SIC",IFERROR(VLOOKUP(I449,Ref!$A$2:$B$65,2,FALSE()),"Unclassified"))</f>
        <v>Auto Repair &amp; Services</v>
      </c>
      <c r="Z449" s="65" t="str">
        <f aca="false">IF(T449="","",IF(T449&lt;12,"Daily","Weekly"))</f>
        <v>Weekly</v>
      </c>
      <c r="AA449" s="65" t="n">
        <f aca="false">IF(T449="",0,IF(T449&lt;12,T449*Controls!$B$29,T449*5))</f>
        <v>140</v>
      </c>
      <c r="AB449" s="65" t="n">
        <f aca="false">IF(E449="",0,NETWORKDAYS(E449,Controls!$B$36,Ref!$K$2:$K$42))</f>
        <v>175</v>
      </c>
      <c r="AC449" s="65" t="n">
        <f aca="false">IF(AND(AA449&gt;0,AB449&gt;=Controls!$B$39*AA449),1,0)</f>
        <v>1</v>
      </c>
      <c r="AD449" s="65" t="n">
        <f aca="false">IF(AND(E449&lt;&gt;"",E449&gt;=Controls!$B$37,E449&lt;=Controls!$B$38),1,0)</f>
        <v>1</v>
      </c>
      <c r="AE449" s="65" t="n">
        <f aca="false">IF(IFERROR(VLOOKUP(D449,Controls!$A$64:$E$74,2,FALSE()),"No")="Yes",1,0)</f>
        <v>0</v>
      </c>
      <c r="AF449" s="65" t="n">
        <f aca="false">IF(IFERROR(VLOOKUP(D449,Controls!$A$64:$E$74,3,FALSE()),"No")="Yes",1,0)</f>
        <v>1</v>
      </c>
      <c r="AG449" s="65" t="n">
        <f aca="false">IF(IFERROR(VLOOKUP(D449,Controls!$A$64:$E$74,4,FALSE()),"No")="Yes",1,0)</f>
        <v>1</v>
      </c>
      <c r="AH449" s="65" t="n">
        <f aca="false">IF(IFERROR(VLOOKUP(D449,Controls!$A$64:$E$74,5,FALSE()),"No")="Yes",1,0)</f>
        <v>0</v>
      </c>
      <c r="AI449" s="65" t="n">
        <f aca="false">IF(ISNUMBER(MATCH(D449,Controls!$A$64:$A$74,0)),1,0)</f>
        <v>1</v>
      </c>
      <c r="AJ449" s="65" t="n">
        <f aca="false">Q449-N449</f>
        <v>9800</v>
      </c>
      <c r="AK449" s="65" t="n">
        <f aca="false">IF(AE449=1,MAX(0,N449-Q449),0)</f>
        <v>0</v>
      </c>
      <c r="AL449" s="65" t="n">
        <f aca="false">IF(OR(V449="",V449=0),0,N449/V449)</f>
        <v>0.128257911268612</v>
      </c>
      <c r="AM449" s="65" t="n">
        <f aca="false">IF(OR(V449="",V449=0),0,1)</f>
        <v>1</v>
      </c>
      <c r="AN449" s="65" t="n">
        <f aca="false">IF(OR(E449="",F449=""),0,NETWORKDAYS(E449,F449,Ref!$K$2:$K$42))</f>
        <v>154</v>
      </c>
      <c r="AO449" s="65" t="n">
        <f aca="false">IF(L449="Renewal",1,0)</f>
        <v>0</v>
      </c>
      <c r="AP449" s="65" t="n">
        <f aca="false">AC449*AD449</f>
        <v>1</v>
      </c>
      <c r="AQ449" s="65" t="n">
        <f aca="false">IF(AND(G449&lt;&gt;"",'Historical Score'!$C$6&lt;&gt;""),IF(G449='Historical Score'!$C$6,1,0),0)</f>
        <v>0</v>
      </c>
      <c r="AR449" s="65" t="n">
        <f aca="false">IF(AND(L449&lt;&gt;"",'Historical Score'!$C$5&lt;&gt;""),IF(L449='Historical Score'!$C$5,1,0),0)</f>
        <v>1</v>
      </c>
      <c r="AS449" s="65" t="n">
        <f aca="false">IF(AND(Y449&lt;&gt;"",'Historical Score'!$C$7&lt;&gt;""),IF(Y449='Historical Score'!$C$7,1,0),0)</f>
        <v>0</v>
      </c>
      <c r="AT449" s="65" t="n">
        <f aca="false">IF(AND(K449&lt;&gt;"",'Historical Score'!$C$8&lt;&gt;""),IF(K449='Historical Score'!$C$8,1,0),0)</f>
        <v>0</v>
      </c>
      <c r="AU449" s="65" t="n">
        <f aca="false">IF(AND(J449&lt;&gt;"",'Historical Score'!$C$9&lt;&gt;""),IF(J449='Historical Score'!$C$9,1,0),0)</f>
        <v>0</v>
      </c>
      <c r="AV449" s="65" t="n">
        <f aca="false">AR449*AS449*AQ449</f>
        <v>0</v>
      </c>
      <c r="AW449" s="65" t="n">
        <f aca="false">AR449*AT449*AQ449</f>
        <v>0</v>
      </c>
      <c r="AX449" s="65" t="n">
        <f aca="false">AR449*AS449</f>
        <v>0</v>
      </c>
      <c r="AY449" s="65" t="n">
        <f aca="false">AR449*AT449</f>
        <v>0</v>
      </c>
      <c r="AZ449" s="65" t="n">
        <f aca="false">AR449*AQ449</f>
        <v>0</v>
      </c>
      <c r="BA449" s="65" t="n">
        <f aca="false">AR449</f>
        <v>1</v>
      </c>
      <c r="BB449" s="65" t="n">
        <f aca="false">1</f>
        <v>1</v>
      </c>
      <c r="BC449" s="65" t="n">
        <f aca="false">IF(AV449=1,1,IF(AW449=1,2,IF(AX449=1,3,IF(AY449=1,4,IF(AZ449=1,5,IF(BA449=1,6,7))))))</f>
        <v>6</v>
      </c>
      <c r="BD449" s="65" t="n">
        <f aca="false">IF(AD449=1,CHOOSE('Historical Score'!$C$29,AV449,AW449,AX449,AY449,AZ449,BA449,BB449),0)</f>
        <v>0</v>
      </c>
      <c r="BE449" s="65" t="str">
        <f aca="false">IF(BD449=1,COUNTIF($BD$2:BD449,1),"")</f>
        <v/>
      </c>
    </row>
    <row r="450" customFormat="false" ht="15" hidden="false" customHeight="false" outlineLevel="0" collapsed="false">
      <c r="A450" s="65" t="s">
        <v>1717</v>
      </c>
      <c r="B450" s="65" t="s">
        <v>1718</v>
      </c>
      <c r="C450" s="65" t="s">
        <v>1719</v>
      </c>
      <c r="D450" s="65" t="s">
        <v>371</v>
      </c>
      <c r="E450" s="112" t="n">
        <v>46007</v>
      </c>
      <c r="F450" s="112" t="n">
        <v>46105</v>
      </c>
      <c r="G450" s="65" t="n">
        <v>2</v>
      </c>
      <c r="H450" s="65" t="s">
        <v>1146</v>
      </c>
      <c r="I450" s="65" t="s">
        <v>419</v>
      </c>
      <c r="J450" s="65" t="s">
        <v>1306</v>
      </c>
      <c r="K450" s="65" t="s">
        <v>1720</v>
      </c>
      <c r="L450" s="65" t="s">
        <v>64</v>
      </c>
      <c r="M450" s="113" t="n">
        <v>1.499</v>
      </c>
      <c r="N450" s="114" t="n">
        <v>12000</v>
      </c>
      <c r="O450" s="114" t="n">
        <v>1680</v>
      </c>
      <c r="P450" s="114" t="n">
        <v>17988</v>
      </c>
      <c r="Q450" s="114" t="n">
        <v>17988</v>
      </c>
      <c r="R450" s="114" t="n">
        <v>0</v>
      </c>
      <c r="S450" s="115" t="n">
        <v>1</v>
      </c>
      <c r="T450" s="65" t="n">
        <v>1.967</v>
      </c>
      <c r="U450" s="65" t="n">
        <v>4</v>
      </c>
      <c r="V450" s="65" t="n">
        <v>51809.99</v>
      </c>
      <c r="W450" s="115" t="n">
        <v>0.1208</v>
      </c>
      <c r="X450" s="112"/>
      <c r="Y450" s="65" t="str">
        <f aca="false">IF(I450="","No SIC",IFERROR(VLOOKUP(I450,Ref!$A$2:$B$65,2,FALSE()),"Unclassified"))</f>
        <v>Business Services</v>
      </c>
      <c r="Z450" s="65" t="str">
        <f aca="false">IF(T450="","",IF(T450&lt;12,"Daily","Weekly"))</f>
        <v>Daily</v>
      </c>
      <c r="AA450" s="65" t="n">
        <f aca="false">IF(T450="",0,IF(T450&lt;12,T450*Controls!$B$29,T450*5))</f>
        <v>42.595385</v>
      </c>
      <c r="AB450" s="65" t="n">
        <f aca="false">IF(E450="",0,NETWORKDAYS(E450,Controls!$B$36,Ref!$K$2:$K$42))</f>
        <v>175</v>
      </c>
      <c r="AC450" s="65" t="n">
        <f aca="false">IF(AND(AA450&gt;0,AB450&gt;=Controls!$B$39*AA450),1,0)</f>
        <v>1</v>
      </c>
      <c r="AD450" s="65" t="n">
        <f aca="false">IF(AND(E450&lt;&gt;"",E450&gt;=Controls!$B$37,E450&lt;=Controls!$B$38),1,0)</f>
        <v>1</v>
      </c>
      <c r="AE450" s="65" t="n">
        <f aca="false">IF(IFERROR(VLOOKUP(D450,Controls!$A$64:$E$74,2,FALSE()),"No")="Yes",1,0)</f>
        <v>0</v>
      </c>
      <c r="AF450" s="65" t="n">
        <f aca="false">IF(IFERROR(VLOOKUP(D450,Controls!$A$64:$E$74,3,FALSE()),"No")="Yes",1,0)</f>
        <v>1</v>
      </c>
      <c r="AG450" s="65" t="n">
        <f aca="false">IF(IFERROR(VLOOKUP(D450,Controls!$A$64:$E$74,4,FALSE()),"No")="Yes",1,0)</f>
        <v>1</v>
      </c>
      <c r="AH450" s="65" t="n">
        <f aca="false">IF(IFERROR(VLOOKUP(D450,Controls!$A$64:$E$74,5,FALSE()),"No")="Yes",1,0)</f>
        <v>0</v>
      </c>
      <c r="AI450" s="65" t="n">
        <f aca="false">IF(ISNUMBER(MATCH(D450,Controls!$A$64:$A$74,0)),1,0)</f>
        <v>1</v>
      </c>
      <c r="AJ450" s="65" t="n">
        <f aca="false">Q450-N450</f>
        <v>5988</v>
      </c>
      <c r="AK450" s="65" t="n">
        <f aca="false">IF(AE450=1,MAX(0,N450-Q450),0)</f>
        <v>0</v>
      </c>
      <c r="AL450" s="65" t="n">
        <f aca="false">IF(OR(V450="",V450=0),0,N450/V450)</f>
        <v>0.231615562944521</v>
      </c>
      <c r="AM450" s="65" t="n">
        <f aca="false">IF(OR(V450="",V450=0),0,1)</f>
        <v>1</v>
      </c>
      <c r="AN450" s="65" t="n">
        <f aca="false">IF(OR(E450="",F450=""),0,NETWORKDAYS(E450,F450,Ref!$K$2:$K$42))</f>
        <v>67</v>
      </c>
      <c r="AO450" s="65" t="n">
        <f aca="false">IF(L450="Renewal",1,0)</f>
        <v>0</v>
      </c>
      <c r="AP450" s="65" t="n">
        <f aca="false">AC450*AD450</f>
        <v>1</v>
      </c>
      <c r="AQ450" s="65" t="n">
        <f aca="false">IF(AND(G450&lt;&gt;"",'Historical Score'!$C$6&lt;&gt;""),IF(G450='Historical Score'!$C$6,1,0),0)</f>
        <v>1</v>
      </c>
      <c r="AR450" s="65" t="n">
        <f aca="false">IF(AND(L450&lt;&gt;"",'Historical Score'!$C$5&lt;&gt;""),IF(L450='Historical Score'!$C$5,1,0),0)</f>
        <v>1</v>
      </c>
      <c r="AS450" s="65" t="n">
        <f aca="false">IF(AND(Y450&lt;&gt;"",'Historical Score'!$C$7&lt;&gt;""),IF(Y450='Historical Score'!$C$7,1,0),0)</f>
        <v>0</v>
      </c>
      <c r="AT450" s="65" t="n">
        <f aca="false">IF(AND(K450&lt;&gt;"",'Historical Score'!$C$8&lt;&gt;""),IF(K450='Historical Score'!$C$8,1,0),0)</f>
        <v>0</v>
      </c>
      <c r="AU450" s="65" t="n">
        <f aca="false">IF(AND(J450&lt;&gt;"",'Historical Score'!$C$9&lt;&gt;""),IF(J450='Historical Score'!$C$9,1,0),0)</f>
        <v>0</v>
      </c>
      <c r="AV450" s="65" t="n">
        <f aca="false">AR450*AS450*AQ450</f>
        <v>0</v>
      </c>
      <c r="AW450" s="65" t="n">
        <f aca="false">AR450*AT450*AQ450</f>
        <v>0</v>
      </c>
      <c r="AX450" s="65" t="n">
        <f aca="false">AR450*AS450</f>
        <v>0</v>
      </c>
      <c r="AY450" s="65" t="n">
        <f aca="false">AR450*AT450</f>
        <v>0</v>
      </c>
      <c r="AZ450" s="65" t="n">
        <f aca="false">AR450*AQ450</f>
        <v>1</v>
      </c>
      <c r="BA450" s="65" t="n">
        <f aca="false">AR450</f>
        <v>1</v>
      </c>
      <c r="BB450" s="65" t="n">
        <f aca="false">1</f>
        <v>1</v>
      </c>
      <c r="BC450" s="65" t="n">
        <f aca="false">IF(AV450=1,1,IF(AW450=1,2,IF(AX450=1,3,IF(AY450=1,4,IF(AZ450=1,5,IF(BA450=1,6,7))))))</f>
        <v>5</v>
      </c>
      <c r="BD450" s="65" t="n">
        <f aca="false">IF(AD450=1,CHOOSE('Historical Score'!$C$29,AV450,AW450,AX450,AY450,AZ450,BA450,BB450),0)</f>
        <v>0</v>
      </c>
      <c r="BE450" s="65" t="str">
        <f aca="false">IF(BD450=1,COUNTIF($BD$2:BD450,1),"")</f>
        <v/>
      </c>
    </row>
    <row r="451" customFormat="false" ht="15" hidden="false" customHeight="false" outlineLevel="0" collapsed="false">
      <c r="A451" s="65" t="s">
        <v>1721</v>
      </c>
      <c r="B451" s="65" t="s">
        <v>1722</v>
      </c>
      <c r="C451" s="65" t="s">
        <v>1723</v>
      </c>
      <c r="D451" s="65" t="s">
        <v>295</v>
      </c>
      <c r="E451" s="112" t="n">
        <v>46008</v>
      </c>
      <c r="F451" s="112" t="n">
        <v>46252</v>
      </c>
      <c r="G451" s="65" t="n">
        <v>1</v>
      </c>
      <c r="H451" s="65" t="s">
        <v>969</v>
      </c>
      <c r="I451" s="65" t="s">
        <v>970</v>
      </c>
      <c r="J451" s="65" t="s">
        <v>438</v>
      </c>
      <c r="K451" s="65" t="s">
        <v>961</v>
      </c>
      <c r="L451" s="65" t="s">
        <v>64</v>
      </c>
      <c r="M451" s="113" t="n">
        <v>1.35</v>
      </c>
      <c r="N451" s="114" t="n">
        <v>125000</v>
      </c>
      <c r="O451" s="114" t="n">
        <v>11250</v>
      </c>
      <c r="P451" s="114" t="n">
        <v>168750</v>
      </c>
      <c r="Q451" s="114" t="n">
        <v>113631.35</v>
      </c>
      <c r="R451" s="114" t="n">
        <v>55118.65</v>
      </c>
      <c r="S451" s="115" t="n">
        <v>0.673370962962963</v>
      </c>
      <c r="T451" s="65" t="n">
        <v>52</v>
      </c>
      <c r="U451" s="65" t="n">
        <v>0</v>
      </c>
      <c r="V451" s="65" t="n">
        <v>50132.07</v>
      </c>
      <c r="W451" s="115" t="n">
        <v>0.0865</v>
      </c>
      <c r="X451" s="112" t="n">
        <v>43384</v>
      </c>
      <c r="Y451" s="65" t="str">
        <f aca="false">IF(I451="","No SIC",IFERROR(VLOOKUP(I451,Ref!$A$2:$B$65,2,FALSE()),"Unclassified"))</f>
        <v>Industrial Machinery &amp; Equipment</v>
      </c>
      <c r="Z451" s="65" t="str">
        <f aca="false">IF(T451="","",IF(T451&lt;12,"Daily","Weekly"))</f>
        <v>Weekly</v>
      </c>
      <c r="AA451" s="65" t="n">
        <f aca="false">IF(T451="",0,IF(T451&lt;12,T451*Controls!$B$29,T451*5))</f>
        <v>260</v>
      </c>
      <c r="AB451" s="65" t="n">
        <f aca="false">IF(E451="",0,NETWORKDAYS(E451,Controls!$B$36,Ref!$K$2:$K$42))</f>
        <v>174</v>
      </c>
      <c r="AC451" s="65" t="n">
        <f aca="false">IF(AND(AA451&gt;0,AB451&gt;=Controls!$B$39*AA451),1,0)</f>
        <v>0</v>
      </c>
      <c r="AD451" s="65" t="n">
        <f aca="false">IF(AND(E451&lt;&gt;"",E451&gt;=Controls!$B$37,E451&lt;=Controls!$B$38),1,0)</f>
        <v>1</v>
      </c>
      <c r="AE451" s="65" t="n">
        <f aca="false">IF(IFERROR(VLOOKUP(D451,Controls!$A$64:$E$74,2,FALSE()),"No")="Yes",1,0)</f>
        <v>0</v>
      </c>
      <c r="AF451" s="65" t="n">
        <f aca="false">IF(IFERROR(VLOOKUP(D451,Controls!$A$64:$E$74,3,FALSE()),"No")="Yes",1,0)</f>
        <v>0</v>
      </c>
      <c r="AG451" s="65" t="n">
        <f aca="false">IF(IFERROR(VLOOKUP(D451,Controls!$A$64:$E$74,4,FALSE()),"No")="Yes",1,0)</f>
        <v>0</v>
      </c>
      <c r="AH451" s="65" t="n">
        <f aca="false">IF(IFERROR(VLOOKUP(D451,Controls!$A$64:$E$74,5,FALSE()),"No")="Yes",1,0)</f>
        <v>1</v>
      </c>
      <c r="AI451" s="65" t="n">
        <f aca="false">IF(ISNUMBER(MATCH(D451,Controls!$A$64:$A$74,0)),1,0)</f>
        <v>1</v>
      </c>
      <c r="AJ451" s="65" t="n">
        <f aca="false">Q451-N451</f>
        <v>-11368.65</v>
      </c>
      <c r="AK451" s="65" t="n">
        <f aca="false">IF(AE451=1,MAX(0,N451-Q451),0)</f>
        <v>0</v>
      </c>
      <c r="AL451" s="65" t="n">
        <f aca="false">IF(OR(V451="",V451=0),0,N451/V451)</f>
        <v>2.4934138965337</v>
      </c>
      <c r="AM451" s="65" t="n">
        <f aca="false">IF(OR(V451="",V451=0),0,1)</f>
        <v>1</v>
      </c>
      <c r="AN451" s="65" t="n">
        <f aca="false">IF(OR(E451="",F451=""),0,NETWORKDAYS(E451,F451,Ref!$K$2:$K$42))</f>
        <v>169</v>
      </c>
      <c r="AO451" s="65" t="n">
        <f aca="false">IF(L451="Renewal",1,0)</f>
        <v>0</v>
      </c>
      <c r="AP451" s="65" t="n">
        <f aca="false">AC451*AD451</f>
        <v>0</v>
      </c>
      <c r="AQ451" s="65" t="n">
        <f aca="false">IF(AND(G451&lt;&gt;"",'Historical Score'!$C$6&lt;&gt;""),IF(G451='Historical Score'!$C$6,1,0),0)</f>
        <v>0</v>
      </c>
      <c r="AR451" s="65" t="n">
        <f aca="false">IF(AND(L451&lt;&gt;"",'Historical Score'!$C$5&lt;&gt;""),IF(L451='Historical Score'!$C$5,1,0),0)</f>
        <v>1</v>
      </c>
      <c r="AS451" s="65" t="n">
        <f aca="false">IF(AND(Y451&lt;&gt;"",'Historical Score'!$C$7&lt;&gt;""),IF(Y451='Historical Score'!$C$7,1,0),0)</f>
        <v>0</v>
      </c>
      <c r="AT451" s="65" t="n">
        <f aca="false">IF(AND(K451&lt;&gt;"",'Historical Score'!$C$8&lt;&gt;""),IF(K451='Historical Score'!$C$8,1,0),0)</f>
        <v>0</v>
      </c>
      <c r="AU451" s="65" t="n">
        <f aca="false">IF(AND(J451&lt;&gt;"",'Historical Score'!$C$9&lt;&gt;""),IF(J451='Historical Score'!$C$9,1,0),0)</f>
        <v>0</v>
      </c>
      <c r="AV451" s="65" t="n">
        <f aca="false">AR451*AS451*AQ451</f>
        <v>0</v>
      </c>
      <c r="AW451" s="65" t="n">
        <f aca="false">AR451*AT451*AQ451</f>
        <v>0</v>
      </c>
      <c r="AX451" s="65" t="n">
        <f aca="false">AR451*AS451</f>
        <v>0</v>
      </c>
      <c r="AY451" s="65" t="n">
        <f aca="false">AR451*AT451</f>
        <v>0</v>
      </c>
      <c r="AZ451" s="65" t="n">
        <f aca="false">AR451*AQ451</f>
        <v>0</v>
      </c>
      <c r="BA451" s="65" t="n">
        <f aca="false">AR451</f>
        <v>1</v>
      </c>
      <c r="BB451" s="65" t="n">
        <f aca="false">1</f>
        <v>1</v>
      </c>
      <c r="BC451" s="65" t="n">
        <f aca="false">IF(AV451=1,1,IF(AW451=1,2,IF(AX451=1,3,IF(AY451=1,4,IF(AZ451=1,5,IF(BA451=1,6,7))))))</f>
        <v>6</v>
      </c>
      <c r="BD451" s="65" t="n">
        <f aca="false">IF(AD451=1,CHOOSE('Historical Score'!$C$29,AV451,AW451,AX451,AY451,AZ451,BA451,BB451),0)</f>
        <v>0</v>
      </c>
      <c r="BE451" s="65" t="str">
        <f aca="false">IF(BD451=1,COUNTIF($BD$2:BD451,1),"")</f>
        <v/>
      </c>
    </row>
    <row r="452" customFormat="false" ht="15" hidden="false" customHeight="false" outlineLevel="0" collapsed="false">
      <c r="A452" s="65" t="s">
        <v>1724</v>
      </c>
      <c r="B452" s="65" t="s">
        <v>1725</v>
      </c>
      <c r="C452" s="65" t="s">
        <v>1725</v>
      </c>
      <c r="D452" s="65" t="s">
        <v>340</v>
      </c>
      <c r="E452" s="112" t="n">
        <v>46008</v>
      </c>
      <c r="F452" s="112" t="n">
        <v>46080</v>
      </c>
      <c r="G452" s="65" t="n">
        <v>3</v>
      </c>
      <c r="H452" s="65" t="s">
        <v>404</v>
      </c>
      <c r="I452" s="65" t="s">
        <v>405</v>
      </c>
      <c r="J452" s="65" t="s">
        <v>386</v>
      </c>
      <c r="K452" s="65" t="s">
        <v>1720</v>
      </c>
      <c r="L452" s="65" t="s">
        <v>64</v>
      </c>
      <c r="M452" s="113" t="n">
        <v>1.499</v>
      </c>
      <c r="N452" s="114" t="n">
        <v>18000</v>
      </c>
      <c r="O452" s="114" t="n">
        <v>2520</v>
      </c>
      <c r="P452" s="114" t="n">
        <v>26982</v>
      </c>
      <c r="Q452" s="114" t="n">
        <v>5960.2</v>
      </c>
      <c r="R452" s="114" t="n">
        <v>21021.8</v>
      </c>
      <c r="S452" s="115" t="n">
        <v>0.220895411755985</v>
      </c>
      <c r="T452" s="65" t="n">
        <v>18</v>
      </c>
      <c r="U452" s="65" t="n">
        <v>8</v>
      </c>
      <c r="V452" s="65" t="n">
        <v>72596.8</v>
      </c>
      <c r="W452" s="115" t="n">
        <v>0.0821</v>
      </c>
      <c r="X452" s="112" t="n">
        <v>43770</v>
      </c>
      <c r="Y452" s="65" t="str">
        <f aca="false">IF(I452="","No SIC",IFERROR(VLOOKUP(I452,Ref!$A$2:$B$65,2,FALSE()),"Unclassified"))</f>
        <v>Health Services</v>
      </c>
      <c r="Z452" s="65" t="str">
        <f aca="false">IF(T452="","",IF(T452&lt;12,"Daily","Weekly"))</f>
        <v>Weekly</v>
      </c>
      <c r="AA452" s="65" t="n">
        <f aca="false">IF(T452="",0,IF(T452&lt;12,T452*Controls!$B$29,T452*5))</f>
        <v>90</v>
      </c>
      <c r="AB452" s="65" t="n">
        <f aca="false">IF(E452="",0,NETWORKDAYS(E452,Controls!$B$36,Ref!$K$2:$K$42))</f>
        <v>174</v>
      </c>
      <c r="AC452" s="65" t="n">
        <f aca="false">IF(AND(AA452&gt;0,AB452&gt;=Controls!$B$39*AA452),1,0)</f>
        <v>1</v>
      </c>
      <c r="AD452" s="65" t="n">
        <f aca="false">IF(AND(E452&lt;&gt;"",E452&gt;=Controls!$B$37,E452&lt;=Controls!$B$38),1,0)</f>
        <v>1</v>
      </c>
      <c r="AE452" s="65" t="n">
        <f aca="false">IF(IFERROR(VLOOKUP(D452,Controls!$A$64:$E$74,2,FALSE()),"No")="Yes",1,0)</f>
        <v>1</v>
      </c>
      <c r="AF452" s="65" t="n">
        <f aca="false">IF(IFERROR(VLOOKUP(D452,Controls!$A$64:$E$74,3,FALSE()),"No")="Yes",1,0)</f>
        <v>0</v>
      </c>
      <c r="AG452" s="65" t="n">
        <f aca="false">IF(IFERROR(VLOOKUP(D452,Controls!$A$64:$E$74,4,FALSE()),"No")="Yes",1,0)</f>
        <v>0</v>
      </c>
      <c r="AH452" s="65" t="n">
        <f aca="false">IF(IFERROR(VLOOKUP(D452,Controls!$A$64:$E$74,5,FALSE()),"No")="Yes",1,0)</f>
        <v>0</v>
      </c>
      <c r="AI452" s="65" t="n">
        <f aca="false">IF(ISNUMBER(MATCH(D452,Controls!$A$64:$A$74,0)),1,0)</f>
        <v>1</v>
      </c>
      <c r="AJ452" s="65" t="n">
        <f aca="false">Q452-N452</f>
        <v>-12039.8</v>
      </c>
      <c r="AK452" s="65" t="n">
        <f aca="false">IF(AE452=1,MAX(0,N452-Q452),0)</f>
        <v>12039.8</v>
      </c>
      <c r="AL452" s="65" t="n">
        <f aca="false">IF(OR(V452="",V452=0),0,N452/V452)</f>
        <v>0.247944812994512</v>
      </c>
      <c r="AM452" s="65" t="n">
        <f aca="false">IF(OR(V452="",V452=0),0,1)</f>
        <v>1</v>
      </c>
      <c r="AN452" s="65" t="n">
        <f aca="false">IF(OR(E452="",F452=""),0,NETWORKDAYS(E452,F452,Ref!$K$2:$K$42))</f>
        <v>49</v>
      </c>
      <c r="AO452" s="65" t="n">
        <f aca="false">IF(L452="Renewal",1,0)</f>
        <v>0</v>
      </c>
      <c r="AP452" s="65" t="n">
        <f aca="false">AC452*AD452</f>
        <v>1</v>
      </c>
      <c r="AQ452" s="65" t="n">
        <f aca="false">IF(AND(G452&lt;&gt;"",'Historical Score'!$C$6&lt;&gt;""),IF(G452='Historical Score'!$C$6,1,0),0)</f>
        <v>0</v>
      </c>
      <c r="AR452" s="65" t="n">
        <f aca="false">IF(AND(L452&lt;&gt;"",'Historical Score'!$C$5&lt;&gt;""),IF(L452='Historical Score'!$C$5,1,0),0)</f>
        <v>1</v>
      </c>
      <c r="AS452" s="65" t="n">
        <f aca="false">IF(AND(Y452&lt;&gt;"",'Historical Score'!$C$7&lt;&gt;""),IF(Y452='Historical Score'!$C$7,1,0),0)</f>
        <v>0</v>
      </c>
      <c r="AT452" s="65" t="n">
        <f aca="false">IF(AND(K452&lt;&gt;"",'Historical Score'!$C$8&lt;&gt;""),IF(K452='Historical Score'!$C$8,1,0),0)</f>
        <v>0</v>
      </c>
      <c r="AU452" s="65" t="n">
        <f aca="false">IF(AND(J452&lt;&gt;"",'Historical Score'!$C$9&lt;&gt;""),IF(J452='Historical Score'!$C$9,1,0),0)</f>
        <v>0</v>
      </c>
      <c r="AV452" s="65" t="n">
        <f aca="false">AR452*AS452*AQ452</f>
        <v>0</v>
      </c>
      <c r="AW452" s="65" t="n">
        <f aca="false">AR452*AT452*AQ452</f>
        <v>0</v>
      </c>
      <c r="AX452" s="65" t="n">
        <f aca="false">AR452*AS452</f>
        <v>0</v>
      </c>
      <c r="AY452" s="65" t="n">
        <f aca="false">AR452*AT452</f>
        <v>0</v>
      </c>
      <c r="AZ452" s="65" t="n">
        <f aca="false">AR452*AQ452</f>
        <v>0</v>
      </c>
      <c r="BA452" s="65" t="n">
        <f aca="false">AR452</f>
        <v>1</v>
      </c>
      <c r="BB452" s="65" t="n">
        <f aca="false">1</f>
        <v>1</v>
      </c>
      <c r="BC452" s="65" t="n">
        <f aca="false">IF(AV452=1,1,IF(AW452=1,2,IF(AX452=1,3,IF(AY452=1,4,IF(AZ452=1,5,IF(BA452=1,6,7))))))</f>
        <v>6</v>
      </c>
      <c r="BD452" s="65" t="n">
        <f aca="false">IF(AD452=1,CHOOSE('Historical Score'!$C$29,AV452,AW452,AX452,AY452,AZ452,BA452,BB452),0)</f>
        <v>0</v>
      </c>
      <c r="BE452" s="65" t="str">
        <f aca="false">IF(BD452=1,COUNTIF($BD$2:BD452,1),"")</f>
        <v/>
      </c>
    </row>
    <row r="453" customFormat="false" ht="15" hidden="false" customHeight="false" outlineLevel="0" collapsed="false">
      <c r="A453" s="65" t="s">
        <v>1726</v>
      </c>
      <c r="B453" s="65" t="s">
        <v>1727</v>
      </c>
      <c r="C453" s="65" t="s">
        <v>1727</v>
      </c>
      <c r="D453" s="65" t="s">
        <v>959</v>
      </c>
      <c r="E453" s="112" t="n">
        <v>46008</v>
      </c>
      <c r="F453" s="112" t="n">
        <v>46253</v>
      </c>
      <c r="G453" s="65" t="n">
        <v>4</v>
      </c>
      <c r="H453" s="65" t="s">
        <v>1302</v>
      </c>
      <c r="I453" s="65" t="s">
        <v>970</v>
      </c>
      <c r="J453" s="65" t="s">
        <v>61</v>
      </c>
      <c r="K453" s="65" t="s">
        <v>961</v>
      </c>
      <c r="L453" s="65" t="s">
        <v>320</v>
      </c>
      <c r="M453" s="113" t="n">
        <v>1.46</v>
      </c>
      <c r="N453" s="114" t="n">
        <v>11000</v>
      </c>
      <c r="O453" s="114" t="n">
        <v>1705</v>
      </c>
      <c r="P453" s="114" t="n">
        <v>16060</v>
      </c>
      <c r="Q453" s="114" t="n">
        <v>11066.02</v>
      </c>
      <c r="R453" s="114" t="n">
        <v>4993.98</v>
      </c>
      <c r="S453" s="115" t="n">
        <v>0.689042341220423</v>
      </c>
      <c r="T453" s="65" t="n">
        <v>29</v>
      </c>
      <c r="U453" s="65" t="n">
        <v>50</v>
      </c>
      <c r="V453" s="65" t="n">
        <v>39796.88</v>
      </c>
      <c r="W453" s="115" t="n">
        <v>0.0508</v>
      </c>
      <c r="X453" s="112" t="n">
        <v>43770</v>
      </c>
      <c r="Y453" s="65" t="str">
        <f aca="false">IF(I453="","No SIC",IFERROR(VLOOKUP(I453,Ref!$A$2:$B$65,2,FALSE()),"Unclassified"))</f>
        <v>Industrial Machinery &amp; Equipment</v>
      </c>
      <c r="Z453" s="65" t="str">
        <f aca="false">IF(T453="","",IF(T453&lt;12,"Daily","Weekly"))</f>
        <v>Weekly</v>
      </c>
      <c r="AA453" s="65" t="n">
        <f aca="false">IF(T453="",0,IF(T453&lt;12,T453*Controls!$B$29,T453*5))</f>
        <v>145</v>
      </c>
      <c r="AB453" s="65" t="n">
        <f aca="false">IF(E453="",0,NETWORKDAYS(E453,Controls!$B$36,Ref!$K$2:$K$42))</f>
        <v>174</v>
      </c>
      <c r="AC453" s="65" t="n">
        <f aca="false">IF(AND(AA453&gt;0,AB453&gt;=Controls!$B$39*AA453),1,0)</f>
        <v>0</v>
      </c>
      <c r="AD453" s="65" t="n">
        <f aca="false">IF(AND(E453&lt;&gt;"",E453&gt;=Controls!$B$37,E453&lt;=Controls!$B$38),1,0)</f>
        <v>1</v>
      </c>
      <c r="AE453" s="65" t="n">
        <f aca="false">IF(IFERROR(VLOOKUP(D453,Controls!$A$64:$E$74,2,FALSE()),"No")="Yes",1,0)</f>
        <v>0</v>
      </c>
      <c r="AF453" s="65" t="n">
        <f aca="false">IF(IFERROR(VLOOKUP(D453,Controls!$A$64:$E$74,3,FALSE()),"No")="Yes",1,0)</f>
        <v>0</v>
      </c>
      <c r="AG453" s="65" t="n">
        <f aca="false">IF(IFERROR(VLOOKUP(D453,Controls!$A$64:$E$74,4,FALSE()),"No")="Yes",1,0)</f>
        <v>0</v>
      </c>
      <c r="AH453" s="65" t="n">
        <f aca="false">IF(IFERROR(VLOOKUP(D453,Controls!$A$64:$E$74,5,FALSE()),"No")="Yes",1,0)</f>
        <v>0</v>
      </c>
      <c r="AI453" s="65" t="n">
        <f aca="false">IF(ISNUMBER(MATCH(D453,Controls!$A$64:$A$74,0)),1,0)</f>
        <v>1</v>
      </c>
      <c r="AJ453" s="65" t="n">
        <f aca="false">Q453-N453</f>
        <v>66.0200000000004</v>
      </c>
      <c r="AK453" s="65" t="n">
        <f aca="false">IF(AE453=1,MAX(0,N453-Q453),0)</f>
        <v>0</v>
      </c>
      <c r="AL453" s="65" t="n">
        <f aca="false">IF(OR(V453="",V453=0),0,N453/V453)</f>
        <v>0.276403577365864</v>
      </c>
      <c r="AM453" s="65" t="n">
        <f aca="false">IF(OR(V453="",V453=0),0,1)</f>
        <v>1</v>
      </c>
      <c r="AN453" s="65" t="n">
        <f aca="false">IF(OR(E453="",F453=""),0,NETWORKDAYS(E453,F453,Ref!$K$2:$K$42))</f>
        <v>170</v>
      </c>
      <c r="AO453" s="65" t="n">
        <f aca="false">IF(L453="Renewal",1,0)</f>
        <v>1</v>
      </c>
      <c r="AP453" s="65" t="n">
        <f aca="false">AC453*AD453</f>
        <v>0</v>
      </c>
      <c r="AQ453" s="65" t="n">
        <f aca="false">IF(AND(G453&lt;&gt;"",'Historical Score'!$C$6&lt;&gt;""),IF(G453='Historical Score'!$C$6,1,0),0)</f>
        <v>0</v>
      </c>
      <c r="AR453" s="65" t="n">
        <f aca="false">IF(AND(L453&lt;&gt;"",'Historical Score'!$C$5&lt;&gt;""),IF(L453='Historical Score'!$C$5,1,0),0)</f>
        <v>0</v>
      </c>
      <c r="AS453" s="65" t="n">
        <f aca="false">IF(AND(Y453&lt;&gt;"",'Historical Score'!$C$7&lt;&gt;""),IF(Y453='Historical Score'!$C$7,1,0),0)</f>
        <v>0</v>
      </c>
      <c r="AT453" s="65" t="n">
        <f aca="false">IF(AND(K453&lt;&gt;"",'Historical Score'!$C$8&lt;&gt;""),IF(K453='Historical Score'!$C$8,1,0),0)</f>
        <v>0</v>
      </c>
      <c r="AU453" s="65" t="n">
        <f aca="false">IF(AND(J453&lt;&gt;"",'Historical Score'!$C$9&lt;&gt;""),IF(J453='Historical Score'!$C$9,1,0),0)</f>
        <v>1</v>
      </c>
      <c r="AV453" s="65" t="n">
        <f aca="false">AR453*AS453*AQ453</f>
        <v>0</v>
      </c>
      <c r="AW453" s="65" t="n">
        <f aca="false">AR453*AT453*AQ453</f>
        <v>0</v>
      </c>
      <c r="AX453" s="65" t="n">
        <f aca="false">AR453*AS453</f>
        <v>0</v>
      </c>
      <c r="AY453" s="65" t="n">
        <f aca="false">AR453*AT453</f>
        <v>0</v>
      </c>
      <c r="AZ453" s="65" t="n">
        <f aca="false">AR453*AQ453</f>
        <v>0</v>
      </c>
      <c r="BA453" s="65" t="n">
        <f aca="false">AR453</f>
        <v>0</v>
      </c>
      <c r="BB453" s="65" t="n">
        <f aca="false">1</f>
        <v>1</v>
      </c>
      <c r="BC453" s="65" t="n">
        <f aca="false">IF(AV453=1,1,IF(AW453=1,2,IF(AX453=1,3,IF(AY453=1,4,IF(AZ453=1,5,IF(BA453=1,6,7))))))</f>
        <v>7</v>
      </c>
      <c r="BD453" s="65" t="n">
        <f aca="false">IF(AD453=1,CHOOSE('Historical Score'!$C$29,AV453,AW453,AX453,AY453,AZ453,BA453,BB453),0)</f>
        <v>0</v>
      </c>
      <c r="BE453" s="65" t="str">
        <f aca="false">IF(BD453=1,COUNTIF($BD$2:BD453,1),"")</f>
        <v/>
      </c>
    </row>
    <row r="454" customFormat="false" ht="15" hidden="false" customHeight="false" outlineLevel="0" collapsed="false">
      <c r="A454" s="65" t="s">
        <v>1728</v>
      </c>
      <c r="B454" s="65" t="s">
        <v>1729</v>
      </c>
      <c r="C454" s="65" t="s">
        <v>1729</v>
      </c>
      <c r="D454" s="65" t="s">
        <v>340</v>
      </c>
      <c r="E454" s="112" t="n">
        <v>46009</v>
      </c>
      <c r="F454" s="112" t="n">
        <v>46128</v>
      </c>
      <c r="G454" s="65" t="n">
        <v>3</v>
      </c>
      <c r="H454" s="65" t="s">
        <v>1730</v>
      </c>
      <c r="I454" s="65" t="s">
        <v>484</v>
      </c>
      <c r="J454" s="65" t="s">
        <v>769</v>
      </c>
      <c r="K454" s="65" t="s">
        <v>363</v>
      </c>
      <c r="L454" s="65" t="s">
        <v>64</v>
      </c>
      <c r="M454" s="113" t="n">
        <v>1.32</v>
      </c>
      <c r="N454" s="114" t="n">
        <v>60000</v>
      </c>
      <c r="O454" s="114" t="n">
        <v>3600</v>
      </c>
      <c r="P454" s="114" t="n">
        <v>79200</v>
      </c>
      <c r="Q454" s="114" t="n">
        <v>42246.4</v>
      </c>
      <c r="R454" s="114" t="n">
        <v>36953.6</v>
      </c>
      <c r="S454" s="115" t="n">
        <v>0.533414141414142</v>
      </c>
      <c r="T454" s="65" t="n">
        <v>30</v>
      </c>
      <c r="U454" s="65" t="n">
        <v>1</v>
      </c>
      <c r="V454" s="65" t="n">
        <v>162987.84</v>
      </c>
      <c r="W454" s="115" t="n">
        <v>0.0648</v>
      </c>
      <c r="X454" s="112" t="n">
        <v>44044</v>
      </c>
      <c r="Y454" s="65" t="str">
        <f aca="false">IF(I454="","No SIC",IFERROR(VLOOKUP(I454,Ref!$A$2:$B$65,2,FALSE()),"Unclassified"))</f>
        <v>Special Trade Contractors</v>
      </c>
      <c r="Z454" s="65" t="str">
        <f aca="false">IF(T454="","",IF(T454&lt;12,"Daily","Weekly"))</f>
        <v>Weekly</v>
      </c>
      <c r="AA454" s="65" t="n">
        <f aca="false">IF(T454="",0,IF(T454&lt;12,T454*Controls!$B$29,T454*5))</f>
        <v>150</v>
      </c>
      <c r="AB454" s="65" t="n">
        <f aca="false">IF(E454="",0,NETWORKDAYS(E454,Controls!$B$36,Ref!$K$2:$K$42))</f>
        <v>173</v>
      </c>
      <c r="AC454" s="65" t="n">
        <f aca="false">IF(AND(AA454&gt;0,AB454&gt;=Controls!$B$39*AA454),1,0)</f>
        <v>0</v>
      </c>
      <c r="AD454" s="65" t="n">
        <f aca="false">IF(AND(E454&lt;&gt;"",E454&gt;=Controls!$B$37,E454&lt;=Controls!$B$38),1,0)</f>
        <v>1</v>
      </c>
      <c r="AE454" s="65" t="n">
        <f aca="false">IF(IFERROR(VLOOKUP(D454,Controls!$A$64:$E$74,2,FALSE()),"No")="Yes",1,0)</f>
        <v>1</v>
      </c>
      <c r="AF454" s="65" t="n">
        <f aca="false">IF(IFERROR(VLOOKUP(D454,Controls!$A$64:$E$74,3,FALSE()),"No")="Yes",1,0)</f>
        <v>0</v>
      </c>
      <c r="AG454" s="65" t="n">
        <f aca="false">IF(IFERROR(VLOOKUP(D454,Controls!$A$64:$E$74,4,FALSE()),"No")="Yes",1,0)</f>
        <v>0</v>
      </c>
      <c r="AH454" s="65" t="n">
        <f aca="false">IF(IFERROR(VLOOKUP(D454,Controls!$A$64:$E$74,5,FALSE()),"No")="Yes",1,0)</f>
        <v>0</v>
      </c>
      <c r="AI454" s="65" t="n">
        <f aca="false">IF(ISNUMBER(MATCH(D454,Controls!$A$64:$A$74,0)),1,0)</f>
        <v>1</v>
      </c>
      <c r="AJ454" s="65" t="n">
        <f aca="false">Q454-N454</f>
        <v>-17753.6</v>
      </c>
      <c r="AK454" s="65" t="n">
        <f aca="false">IF(AE454=1,MAX(0,N454-Q454),0)</f>
        <v>17753.6</v>
      </c>
      <c r="AL454" s="65" t="n">
        <f aca="false">IF(OR(V454="",V454=0),0,N454/V454)</f>
        <v>0.368125622132301</v>
      </c>
      <c r="AM454" s="65" t="n">
        <f aca="false">IF(OR(V454="",V454=0),0,1)</f>
        <v>1</v>
      </c>
      <c r="AN454" s="65" t="n">
        <f aca="false">IF(OR(E454="",F454=""),0,NETWORKDAYS(E454,F454,Ref!$K$2:$K$42))</f>
        <v>82</v>
      </c>
      <c r="AO454" s="65" t="n">
        <f aca="false">IF(L454="Renewal",1,0)</f>
        <v>0</v>
      </c>
      <c r="AP454" s="65" t="n">
        <f aca="false">AC454*AD454</f>
        <v>0</v>
      </c>
      <c r="AQ454" s="65" t="n">
        <f aca="false">IF(AND(G454&lt;&gt;"",'Historical Score'!$C$6&lt;&gt;""),IF(G454='Historical Score'!$C$6,1,0),0)</f>
        <v>0</v>
      </c>
      <c r="AR454" s="65" t="n">
        <f aca="false">IF(AND(L454&lt;&gt;"",'Historical Score'!$C$5&lt;&gt;""),IF(L454='Historical Score'!$C$5,1,0),0)</f>
        <v>1</v>
      </c>
      <c r="AS454" s="65" t="n">
        <f aca="false">IF(AND(Y454&lt;&gt;"",'Historical Score'!$C$7&lt;&gt;""),IF(Y454='Historical Score'!$C$7,1,0),0)</f>
        <v>0</v>
      </c>
      <c r="AT454" s="65" t="n">
        <f aca="false">IF(AND(K454&lt;&gt;"",'Historical Score'!$C$8&lt;&gt;""),IF(K454='Historical Score'!$C$8,1,0),0)</f>
        <v>0</v>
      </c>
      <c r="AU454" s="65" t="n">
        <f aca="false">IF(AND(J454&lt;&gt;"",'Historical Score'!$C$9&lt;&gt;""),IF(J454='Historical Score'!$C$9,1,0),0)</f>
        <v>0</v>
      </c>
      <c r="AV454" s="65" t="n">
        <f aca="false">AR454*AS454*AQ454</f>
        <v>0</v>
      </c>
      <c r="AW454" s="65" t="n">
        <f aca="false">AR454*AT454*AQ454</f>
        <v>0</v>
      </c>
      <c r="AX454" s="65" t="n">
        <f aca="false">AR454*AS454</f>
        <v>0</v>
      </c>
      <c r="AY454" s="65" t="n">
        <f aca="false">AR454*AT454</f>
        <v>0</v>
      </c>
      <c r="AZ454" s="65" t="n">
        <f aca="false">AR454*AQ454</f>
        <v>0</v>
      </c>
      <c r="BA454" s="65" t="n">
        <f aca="false">AR454</f>
        <v>1</v>
      </c>
      <c r="BB454" s="65" t="n">
        <f aca="false">1</f>
        <v>1</v>
      </c>
      <c r="BC454" s="65" t="n">
        <f aca="false">IF(AV454=1,1,IF(AW454=1,2,IF(AX454=1,3,IF(AY454=1,4,IF(AZ454=1,5,IF(BA454=1,6,7))))))</f>
        <v>6</v>
      </c>
      <c r="BD454" s="65" t="n">
        <f aca="false">IF(AD454=1,CHOOSE('Historical Score'!$C$29,AV454,AW454,AX454,AY454,AZ454,BA454,BB454),0)</f>
        <v>0</v>
      </c>
      <c r="BE454" s="65" t="str">
        <f aca="false">IF(BD454=1,COUNTIF($BD$2:BD454,1),"")</f>
        <v/>
      </c>
    </row>
    <row r="455" customFormat="false" ht="15" hidden="false" customHeight="false" outlineLevel="0" collapsed="false">
      <c r="A455" s="65" t="s">
        <v>1731</v>
      </c>
      <c r="B455" s="65" t="s">
        <v>1732</v>
      </c>
      <c r="C455" s="65" t="s">
        <v>1732</v>
      </c>
      <c r="D455" s="65" t="s">
        <v>371</v>
      </c>
      <c r="E455" s="112" t="n">
        <v>46009</v>
      </c>
      <c r="F455" s="112" t="n">
        <v>46129</v>
      </c>
      <c r="G455" s="65" t="n">
        <v>7</v>
      </c>
      <c r="H455" s="65" t="s">
        <v>463</v>
      </c>
      <c r="I455" s="65" t="s">
        <v>419</v>
      </c>
      <c r="J455" s="65" t="s">
        <v>682</v>
      </c>
      <c r="K455" s="65" t="s">
        <v>394</v>
      </c>
      <c r="L455" s="65" t="s">
        <v>64</v>
      </c>
      <c r="M455" s="113" t="n">
        <v>1.49</v>
      </c>
      <c r="N455" s="114" t="n">
        <v>10000</v>
      </c>
      <c r="O455" s="114" t="n">
        <v>1400</v>
      </c>
      <c r="P455" s="114" t="n">
        <v>14900</v>
      </c>
      <c r="Q455" s="114" t="n">
        <v>14900</v>
      </c>
      <c r="R455" s="114" t="n">
        <v>0</v>
      </c>
      <c r="S455" s="115" t="n">
        <v>1</v>
      </c>
      <c r="T455" s="65" t="n">
        <v>3.279</v>
      </c>
      <c r="U455" s="65" t="n">
        <v>1</v>
      </c>
      <c r="V455" s="65" t="n">
        <v>56609.08</v>
      </c>
      <c r="W455" s="115" t="n">
        <v>0.0553</v>
      </c>
      <c r="X455" s="112" t="n">
        <v>42223</v>
      </c>
      <c r="Y455" s="65" t="str">
        <f aca="false">IF(I455="","No SIC",IFERROR(VLOOKUP(I455,Ref!$A$2:$B$65,2,FALSE()),"Unclassified"))</f>
        <v>Business Services</v>
      </c>
      <c r="Z455" s="65" t="str">
        <f aca="false">IF(T455="","",IF(T455&lt;12,"Daily","Weekly"))</f>
        <v>Daily</v>
      </c>
      <c r="AA455" s="65" t="n">
        <f aca="false">IF(T455="",0,IF(T455&lt;12,T455*Controls!$B$29,T455*5))</f>
        <v>71.006745</v>
      </c>
      <c r="AB455" s="65" t="n">
        <f aca="false">IF(E455="",0,NETWORKDAYS(E455,Controls!$B$36,Ref!$K$2:$K$42))</f>
        <v>173</v>
      </c>
      <c r="AC455" s="65" t="n">
        <f aca="false">IF(AND(AA455&gt;0,AB455&gt;=Controls!$B$39*AA455),1,0)</f>
        <v>1</v>
      </c>
      <c r="AD455" s="65" t="n">
        <f aca="false">IF(AND(E455&lt;&gt;"",E455&gt;=Controls!$B$37,E455&lt;=Controls!$B$38),1,0)</f>
        <v>1</v>
      </c>
      <c r="AE455" s="65" t="n">
        <f aca="false">IF(IFERROR(VLOOKUP(D455,Controls!$A$64:$E$74,2,FALSE()),"No")="Yes",1,0)</f>
        <v>0</v>
      </c>
      <c r="AF455" s="65" t="n">
        <f aca="false">IF(IFERROR(VLOOKUP(D455,Controls!$A$64:$E$74,3,FALSE()),"No")="Yes",1,0)</f>
        <v>1</v>
      </c>
      <c r="AG455" s="65" t="n">
        <f aca="false">IF(IFERROR(VLOOKUP(D455,Controls!$A$64:$E$74,4,FALSE()),"No")="Yes",1,0)</f>
        <v>1</v>
      </c>
      <c r="AH455" s="65" t="n">
        <f aca="false">IF(IFERROR(VLOOKUP(D455,Controls!$A$64:$E$74,5,FALSE()),"No")="Yes",1,0)</f>
        <v>0</v>
      </c>
      <c r="AI455" s="65" t="n">
        <f aca="false">IF(ISNUMBER(MATCH(D455,Controls!$A$64:$A$74,0)),1,0)</f>
        <v>1</v>
      </c>
      <c r="AJ455" s="65" t="n">
        <f aca="false">Q455-N455</f>
        <v>4900</v>
      </c>
      <c r="AK455" s="65" t="n">
        <f aca="false">IF(AE455=1,MAX(0,N455-Q455),0)</f>
        <v>0</v>
      </c>
      <c r="AL455" s="65" t="n">
        <f aca="false">IF(OR(V455="",V455=0),0,N455/V455)</f>
        <v>0.176650106308034</v>
      </c>
      <c r="AM455" s="65" t="n">
        <f aca="false">IF(OR(V455="",V455=0),0,1)</f>
        <v>1</v>
      </c>
      <c r="AN455" s="65" t="n">
        <f aca="false">IF(OR(E455="",F455=""),0,NETWORKDAYS(E455,F455,Ref!$K$2:$K$42))</f>
        <v>83</v>
      </c>
      <c r="AO455" s="65" t="n">
        <f aca="false">IF(L455="Renewal",1,0)</f>
        <v>0</v>
      </c>
      <c r="AP455" s="65" t="n">
        <f aca="false">AC455*AD455</f>
        <v>1</v>
      </c>
      <c r="AQ455" s="65" t="n">
        <f aca="false">IF(AND(G455&lt;&gt;"",'Historical Score'!$C$6&lt;&gt;""),IF(G455='Historical Score'!$C$6,1,0),0)</f>
        <v>0</v>
      </c>
      <c r="AR455" s="65" t="n">
        <f aca="false">IF(AND(L455&lt;&gt;"",'Historical Score'!$C$5&lt;&gt;""),IF(L455='Historical Score'!$C$5,1,0),0)</f>
        <v>1</v>
      </c>
      <c r="AS455" s="65" t="n">
        <f aca="false">IF(AND(Y455&lt;&gt;"",'Historical Score'!$C$7&lt;&gt;""),IF(Y455='Historical Score'!$C$7,1,0),0)</f>
        <v>0</v>
      </c>
      <c r="AT455" s="65" t="n">
        <f aca="false">IF(AND(K455&lt;&gt;"",'Historical Score'!$C$8&lt;&gt;""),IF(K455='Historical Score'!$C$8,1,0),0)</f>
        <v>0</v>
      </c>
      <c r="AU455" s="65" t="n">
        <f aca="false">IF(AND(J455&lt;&gt;"",'Historical Score'!$C$9&lt;&gt;""),IF(J455='Historical Score'!$C$9,1,0),0)</f>
        <v>0</v>
      </c>
      <c r="AV455" s="65" t="n">
        <f aca="false">AR455*AS455*AQ455</f>
        <v>0</v>
      </c>
      <c r="AW455" s="65" t="n">
        <f aca="false">AR455*AT455*AQ455</f>
        <v>0</v>
      </c>
      <c r="AX455" s="65" t="n">
        <f aca="false">AR455*AS455</f>
        <v>0</v>
      </c>
      <c r="AY455" s="65" t="n">
        <f aca="false">AR455*AT455</f>
        <v>0</v>
      </c>
      <c r="AZ455" s="65" t="n">
        <f aca="false">AR455*AQ455</f>
        <v>0</v>
      </c>
      <c r="BA455" s="65" t="n">
        <f aca="false">AR455</f>
        <v>1</v>
      </c>
      <c r="BB455" s="65" t="n">
        <f aca="false">1</f>
        <v>1</v>
      </c>
      <c r="BC455" s="65" t="n">
        <f aca="false">IF(AV455=1,1,IF(AW455=1,2,IF(AX455=1,3,IF(AY455=1,4,IF(AZ455=1,5,IF(BA455=1,6,7))))))</f>
        <v>6</v>
      </c>
      <c r="BD455" s="65" t="n">
        <f aca="false">IF(AD455=1,CHOOSE('Historical Score'!$C$29,AV455,AW455,AX455,AY455,AZ455,BA455,BB455),0)</f>
        <v>0</v>
      </c>
      <c r="BE455" s="65" t="str">
        <f aca="false">IF(BD455=1,COUNTIF($BD$2:BD455,1),"")</f>
        <v/>
      </c>
    </row>
    <row r="456" customFormat="false" ht="15" hidden="false" customHeight="false" outlineLevel="0" collapsed="false">
      <c r="A456" s="65" t="s">
        <v>1733</v>
      </c>
      <c r="B456" s="65" t="s">
        <v>1734</v>
      </c>
      <c r="C456" s="65" t="s">
        <v>1734</v>
      </c>
      <c r="D456" s="65" t="s">
        <v>371</v>
      </c>
      <c r="E456" s="112" t="n">
        <v>46009</v>
      </c>
      <c r="F456" s="112" t="n">
        <v>46055</v>
      </c>
      <c r="G456" s="65" t="n">
        <v>1</v>
      </c>
      <c r="H456" s="65" t="s">
        <v>1055</v>
      </c>
      <c r="I456" s="65" t="s">
        <v>643</v>
      </c>
      <c r="J456" s="65" t="s">
        <v>1155</v>
      </c>
      <c r="K456" s="65" t="s">
        <v>55</v>
      </c>
      <c r="L456" s="65" t="s">
        <v>64</v>
      </c>
      <c r="M456" s="113" t="n">
        <v>1.49</v>
      </c>
      <c r="N456" s="114" t="n">
        <v>7500</v>
      </c>
      <c r="O456" s="114" t="n">
        <v>1050</v>
      </c>
      <c r="P456" s="114" t="n">
        <v>11175</v>
      </c>
      <c r="Q456" s="114" t="n">
        <v>11175</v>
      </c>
      <c r="R456" s="114" t="n">
        <v>0</v>
      </c>
      <c r="S456" s="115" t="n">
        <v>1</v>
      </c>
      <c r="T456" s="65" t="n">
        <v>2.295</v>
      </c>
      <c r="U456" s="65" t="n">
        <v>0</v>
      </c>
      <c r="V456" s="65" t="n">
        <v>25000</v>
      </c>
      <c r="W456" s="115" t="n">
        <v>0.1812</v>
      </c>
      <c r="X456" s="112" t="n">
        <v>45292</v>
      </c>
      <c r="Y456" s="65" t="str">
        <f aca="false">IF(I456="","No SIC",IFERROR(VLOOKUP(I456,Ref!$A$2:$B$65,2,FALSE()),"Unclassified"))</f>
        <v>Agricultural Services</v>
      </c>
      <c r="Z456" s="65" t="str">
        <f aca="false">IF(T456="","",IF(T456&lt;12,"Daily","Weekly"))</f>
        <v>Daily</v>
      </c>
      <c r="AA456" s="65" t="n">
        <f aca="false">IF(T456="",0,IF(T456&lt;12,T456*Controls!$B$29,T456*5))</f>
        <v>49.698225</v>
      </c>
      <c r="AB456" s="65" t="n">
        <f aca="false">IF(E456="",0,NETWORKDAYS(E456,Controls!$B$36,Ref!$K$2:$K$42))</f>
        <v>173</v>
      </c>
      <c r="AC456" s="65" t="n">
        <f aca="false">IF(AND(AA456&gt;0,AB456&gt;=Controls!$B$39*AA456),1,0)</f>
        <v>1</v>
      </c>
      <c r="AD456" s="65" t="n">
        <f aca="false">IF(AND(E456&lt;&gt;"",E456&gt;=Controls!$B$37,E456&lt;=Controls!$B$38),1,0)</f>
        <v>1</v>
      </c>
      <c r="AE456" s="65" t="n">
        <f aca="false">IF(IFERROR(VLOOKUP(D456,Controls!$A$64:$E$74,2,FALSE()),"No")="Yes",1,0)</f>
        <v>0</v>
      </c>
      <c r="AF456" s="65" t="n">
        <f aca="false">IF(IFERROR(VLOOKUP(D456,Controls!$A$64:$E$74,3,FALSE()),"No")="Yes",1,0)</f>
        <v>1</v>
      </c>
      <c r="AG456" s="65" t="n">
        <f aca="false">IF(IFERROR(VLOOKUP(D456,Controls!$A$64:$E$74,4,FALSE()),"No")="Yes",1,0)</f>
        <v>1</v>
      </c>
      <c r="AH456" s="65" t="n">
        <f aca="false">IF(IFERROR(VLOOKUP(D456,Controls!$A$64:$E$74,5,FALSE()),"No")="Yes",1,0)</f>
        <v>0</v>
      </c>
      <c r="AI456" s="65" t="n">
        <f aca="false">IF(ISNUMBER(MATCH(D456,Controls!$A$64:$A$74,0)),1,0)</f>
        <v>1</v>
      </c>
      <c r="AJ456" s="65" t="n">
        <f aca="false">Q456-N456</f>
        <v>3675</v>
      </c>
      <c r="AK456" s="65" t="n">
        <f aca="false">IF(AE456=1,MAX(0,N456-Q456),0)</f>
        <v>0</v>
      </c>
      <c r="AL456" s="65" t="n">
        <f aca="false">IF(OR(V456="",V456=0),0,N456/V456)</f>
        <v>0.3</v>
      </c>
      <c r="AM456" s="65" t="n">
        <f aca="false">IF(OR(V456="",V456=0),0,1)</f>
        <v>1</v>
      </c>
      <c r="AN456" s="65" t="n">
        <f aca="false">IF(OR(E456="",F456=""),0,NETWORKDAYS(E456,F456,Ref!$K$2:$K$42))</f>
        <v>30</v>
      </c>
      <c r="AO456" s="65" t="n">
        <f aca="false">IF(L456="Renewal",1,0)</f>
        <v>0</v>
      </c>
      <c r="AP456" s="65" t="n">
        <f aca="false">AC456*AD456</f>
        <v>1</v>
      </c>
      <c r="AQ456" s="65" t="n">
        <f aca="false">IF(AND(G456&lt;&gt;"",'Historical Score'!$C$6&lt;&gt;""),IF(G456='Historical Score'!$C$6,1,0),0)</f>
        <v>0</v>
      </c>
      <c r="AR456" s="65" t="n">
        <f aca="false">IF(AND(L456&lt;&gt;"",'Historical Score'!$C$5&lt;&gt;""),IF(L456='Historical Score'!$C$5,1,0),0)</f>
        <v>1</v>
      </c>
      <c r="AS456" s="65" t="n">
        <f aca="false">IF(AND(Y456&lt;&gt;"",'Historical Score'!$C$7&lt;&gt;""),IF(Y456='Historical Score'!$C$7,1,0),0)</f>
        <v>0</v>
      </c>
      <c r="AT456" s="65" t="n">
        <f aca="false">IF(AND(K456&lt;&gt;"",'Historical Score'!$C$8&lt;&gt;""),IF(K456='Historical Score'!$C$8,1,0),0)</f>
        <v>1</v>
      </c>
      <c r="AU456" s="65" t="n">
        <f aca="false">IF(AND(J456&lt;&gt;"",'Historical Score'!$C$9&lt;&gt;""),IF(J456='Historical Score'!$C$9,1,0),0)</f>
        <v>0</v>
      </c>
      <c r="AV456" s="65" t="n">
        <f aca="false">AR456*AS456*AQ456</f>
        <v>0</v>
      </c>
      <c r="AW456" s="65" t="n">
        <f aca="false">AR456*AT456*AQ456</f>
        <v>0</v>
      </c>
      <c r="AX456" s="65" t="n">
        <f aca="false">AR456*AS456</f>
        <v>0</v>
      </c>
      <c r="AY456" s="65" t="n">
        <f aca="false">AR456*AT456</f>
        <v>1</v>
      </c>
      <c r="AZ456" s="65" t="n">
        <f aca="false">AR456*AQ456</f>
        <v>0</v>
      </c>
      <c r="BA456" s="65" t="n">
        <f aca="false">AR456</f>
        <v>1</v>
      </c>
      <c r="BB456" s="65" t="n">
        <f aca="false">1</f>
        <v>1</v>
      </c>
      <c r="BC456" s="65" t="n">
        <f aca="false">IF(AV456=1,1,IF(AW456=1,2,IF(AX456=1,3,IF(AY456=1,4,IF(AZ456=1,5,IF(BA456=1,6,7))))))</f>
        <v>4</v>
      </c>
      <c r="BD456" s="65" t="n">
        <f aca="false">IF(AD456=1,CHOOSE('Historical Score'!$C$29,AV456,AW456,AX456,AY456,AZ456,BA456,BB456),0)</f>
        <v>0</v>
      </c>
      <c r="BE456" s="65" t="str">
        <f aca="false">IF(BD456=1,COUNTIF($BD$2:BD456,1),"")</f>
        <v/>
      </c>
    </row>
    <row r="457" customFormat="false" ht="15" hidden="false" customHeight="false" outlineLevel="0" collapsed="false">
      <c r="A457" s="65" t="s">
        <v>1735</v>
      </c>
      <c r="B457" s="65" t="s">
        <v>1736</v>
      </c>
      <c r="C457" s="65" t="s">
        <v>1737</v>
      </c>
      <c r="D457" s="65" t="s">
        <v>371</v>
      </c>
      <c r="E457" s="112" t="n">
        <v>46009</v>
      </c>
      <c r="F457" s="112" t="n">
        <v>46132</v>
      </c>
      <c r="G457" s="65" t="n">
        <v>1</v>
      </c>
      <c r="H457" s="65" t="s">
        <v>637</v>
      </c>
      <c r="I457" s="65" t="s">
        <v>484</v>
      </c>
      <c r="J457" s="65" t="s">
        <v>386</v>
      </c>
      <c r="K457" s="65" t="s">
        <v>961</v>
      </c>
      <c r="L457" s="65" t="s">
        <v>64</v>
      </c>
      <c r="M457" s="113" t="n">
        <v>1.38</v>
      </c>
      <c r="N457" s="114" t="n">
        <v>75000</v>
      </c>
      <c r="O457" s="114" t="n">
        <v>9375</v>
      </c>
      <c r="P457" s="114" t="n">
        <v>103500</v>
      </c>
      <c r="Q457" s="114" t="n">
        <v>103500</v>
      </c>
      <c r="R457" s="114" t="n">
        <v>-1.45519152283669E-011</v>
      </c>
      <c r="S457" s="115" t="n">
        <v>1</v>
      </c>
      <c r="T457" s="65" t="n">
        <v>28</v>
      </c>
      <c r="U457" s="65" t="n">
        <v>1</v>
      </c>
      <c r="V457" s="65" t="n">
        <v>125984.36</v>
      </c>
      <c r="W457" s="115" t="n">
        <v>0.1174</v>
      </c>
      <c r="X457" s="112" t="n">
        <v>43283</v>
      </c>
      <c r="Y457" s="65" t="str">
        <f aca="false">IF(I457="","No SIC",IFERROR(VLOOKUP(I457,Ref!$A$2:$B$65,2,FALSE()),"Unclassified"))</f>
        <v>Special Trade Contractors</v>
      </c>
      <c r="Z457" s="65" t="str">
        <f aca="false">IF(T457="","",IF(T457&lt;12,"Daily","Weekly"))</f>
        <v>Weekly</v>
      </c>
      <c r="AA457" s="65" t="n">
        <f aca="false">IF(T457="",0,IF(T457&lt;12,T457*Controls!$B$29,T457*5))</f>
        <v>140</v>
      </c>
      <c r="AB457" s="65" t="n">
        <f aca="false">IF(E457="",0,NETWORKDAYS(E457,Controls!$B$36,Ref!$K$2:$K$42))</f>
        <v>173</v>
      </c>
      <c r="AC457" s="65" t="n">
        <f aca="false">IF(AND(AA457&gt;0,AB457&gt;=Controls!$B$39*AA457),1,0)</f>
        <v>0</v>
      </c>
      <c r="AD457" s="65" t="n">
        <f aca="false">IF(AND(E457&lt;&gt;"",E457&gt;=Controls!$B$37,E457&lt;=Controls!$B$38),1,0)</f>
        <v>1</v>
      </c>
      <c r="AE457" s="65" t="n">
        <f aca="false">IF(IFERROR(VLOOKUP(D457,Controls!$A$64:$E$74,2,FALSE()),"No")="Yes",1,0)</f>
        <v>0</v>
      </c>
      <c r="AF457" s="65" t="n">
        <f aca="false">IF(IFERROR(VLOOKUP(D457,Controls!$A$64:$E$74,3,FALSE()),"No")="Yes",1,0)</f>
        <v>1</v>
      </c>
      <c r="AG457" s="65" t="n">
        <f aca="false">IF(IFERROR(VLOOKUP(D457,Controls!$A$64:$E$74,4,FALSE()),"No")="Yes",1,0)</f>
        <v>1</v>
      </c>
      <c r="AH457" s="65" t="n">
        <f aca="false">IF(IFERROR(VLOOKUP(D457,Controls!$A$64:$E$74,5,FALSE()),"No")="Yes",1,0)</f>
        <v>0</v>
      </c>
      <c r="AI457" s="65" t="n">
        <f aca="false">IF(ISNUMBER(MATCH(D457,Controls!$A$64:$A$74,0)),1,0)</f>
        <v>1</v>
      </c>
      <c r="AJ457" s="65" t="n">
        <f aca="false">Q457-N457</f>
        <v>28500</v>
      </c>
      <c r="AK457" s="65" t="n">
        <f aca="false">IF(AE457=1,MAX(0,N457-Q457),0)</f>
        <v>0</v>
      </c>
      <c r="AL457" s="65" t="n">
        <f aca="false">IF(OR(V457="",V457=0),0,N457/V457)</f>
        <v>0.595311989519969</v>
      </c>
      <c r="AM457" s="65" t="n">
        <f aca="false">IF(OR(V457="",V457=0),0,1)</f>
        <v>1</v>
      </c>
      <c r="AN457" s="65" t="n">
        <f aca="false">IF(OR(E457="",F457=""),0,NETWORKDAYS(E457,F457,Ref!$K$2:$K$42))</f>
        <v>84</v>
      </c>
      <c r="AO457" s="65" t="n">
        <f aca="false">IF(L457="Renewal",1,0)</f>
        <v>0</v>
      </c>
      <c r="AP457" s="65" t="n">
        <f aca="false">AC457*AD457</f>
        <v>0</v>
      </c>
      <c r="AQ457" s="65" t="n">
        <f aca="false">IF(AND(G457&lt;&gt;"",'Historical Score'!$C$6&lt;&gt;""),IF(G457='Historical Score'!$C$6,1,0),0)</f>
        <v>0</v>
      </c>
      <c r="AR457" s="65" t="n">
        <f aca="false">IF(AND(L457&lt;&gt;"",'Historical Score'!$C$5&lt;&gt;""),IF(L457='Historical Score'!$C$5,1,0),0)</f>
        <v>1</v>
      </c>
      <c r="AS457" s="65" t="n">
        <f aca="false">IF(AND(Y457&lt;&gt;"",'Historical Score'!$C$7&lt;&gt;""),IF(Y457='Historical Score'!$C$7,1,0),0)</f>
        <v>0</v>
      </c>
      <c r="AT457" s="65" t="n">
        <f aca="false">IF(AND(K457&lt;&gt;"",'Historical Score'!$C$8&lt;&gt;""),IF(K457='Historical Score'!$C$8,1,0),0)</f>
        <v>0</v>
      </c>
      <c r="AU457" s="65" t="n">
        <f aca="false">IF(AND(J457&lt;&gt;"",'Historical Score'!$C$9&lt;&gt;""),IF(J457='Historical Score'!$C$9,1,0),0)</f>
        <v>0</v>
      </c>
      <c r="AV457" s="65" t="n">
        <f aca="false">AR457*AS457*AQ457</f>
        <v>0</v>
      </c>
      <c r="AW457" s="65" t="n">
        <f aca="false">AR457*AT457*AQ457</f>
        <v>0</v>
      </c>
      <c r="AX457" s="65" t="n">
        <f aca="false">AR457*AS457</f>
        <v>0</v>
      </c>
      <c r="AY457" s="65" t="n">
        <f aca="false">AR457*AT457</f>
        <v>0</v>
      </c>
      <c r="AZ457" s="65" t="n">
        <f aca="false">AR457*AQ457</f>
        <v>0</v>
      </c>
      <c r="BA457" s="65" t="n">
        <f aca="false">AR457</f>
        <v>1</v>
      </c>
      <c r="BB457" s="65" t="n">
        <f aca="false">1</f>
        <v>1</v>
      </c>
      <c r="BC457" s="65" t="n">
        <f aca="false">IF(AV457=1,1,IF(AW457=1,2,IF(AX457=1,3,IF(AY457=1,4,IF(AZ457=1,5,IF(BA457=1,6,7))))))</f>
        <v>6</v>
      </c>
      <c r="BD457" s="65" t="n">
        <f aca="false">IF(AD457=1,CHOOSE('Historical Score'!$C$29,AV457,AW457,AX457,AY457,AZ457,BA457,BB457),0)</f>
        <v>0</v>
      </c>
      <c r="BE457" s="65" t="str">
        <f aca="false">IF(BD457=1,COUNTIF($BD$2:BD457,1),"")</f>
        <v/>
      </c>
    </row>
    <row r="458" customFormat="false" ht="15" hidden="false" customHeight="false" outlineLevel="0" collapsed="false">
      <c r="A458" s="65" t="s">
        <v>1738</v>
      </c>
      <c r="B458" s="65" t="s">
        <v>1739</v>
      </c>
      <c r="C458" s="65" t="s">
        <v>1740</v>
      </c>
      <c r="D458" s="65" t="s">
        <v>371</v>
      </c>
      <c r="E458" s="112" t="n">
        <v>46009</v>
      </c>
      <c r="F458" s="112" t="n">
        <v>46150</v>
      </c>
      <c r="G458" s="65" t="n">
        <v>3</v>
      </c>
      <c r="H458" s="65" t="s">
        <v>1741</v>
      </c>
      <c r="I458" s="65" t="s">
        <v>356</v>
      </c>
      <c r="J458" s="65" t="s">
        <v>432</v>
      </c>
      <c r="K458" s="65" t="s">
        <v>827</v>
      </c>
      <c r="L458" s="65" t="s">
        <v>64</v>
      </c>
      <c r="M458" s="113" t="n">
        <v>1.42</v>
      </c>
      <c r="N458" s="114" t="n">
        <v>200000</v>
      </c>
      <c r="O458" s="114" t="n">
        <v>21000</v>
      </c>
      <c r="P458" s="114" t="n">
        <v>284000</v>
      </c>
      <c r="Q458" s="114" t="n">
        <v>284000</v>
      </c>
      <c r="R458" s="114" t="n">
        <v>0</v>
      </c>
      <c r="S458" s="115" t="n">
        <v>1</v>
      </c>
      <c r="T458" s="65" t="n">
        <v>38</v>
      </c>
      <c r="U458" s="65" t="n">
        <v>0</v>
      </c>
      <c r="V458" s="65" t="n">
        <v>619888.44</v>
      </c>
      <c r="W458" s="115" t="n">
        <v>0.0482</v>
      </c>
      <c r="X458" s="112" t="n">
        <v>41377</v>
      </c>
      <c r="Y458" s="65" t="str">
        <f aca="false">IF(I458="","No SIC",IFERROR(VLOOKUP(I458,Ref!$A$2:$B$65,2,FALSE()),"Unclassified"))</f>
        <v>Trucking &amp; Warehousing</v>
      </c>
      <c r="Z458" s="65" t="str">
        <f aca="false">IF(T458="","",IF(T458&lt;12,"Daily","Weekly"))</f>
        <v>Weekly</v>
      </c>
      <c r="AA458" s="65" t="n">
        <f aca="false">IF(T458="",0,IF(T458&lt;12,T458*Controls!$B$29,T458*5))</f>
        <v>190</v>
      </c>
      <c r="AB458" s="65" t="n">
        <f aca="false">IF(E458="",0,NETWORKDAYS(E458,Controls!$B$36,Ref!$K$2:$K$42))</f>
        <v>173</v>
      </c>
      <c r="AC458" s="65" t="n">
        <f aca="false">IF(AND(AA458&gt;0,AB458&gt;=Controls!$B$39*AA458),1,0)</f>
        <v>0</v>
      </c>
      <c r="AD458" s="65" t="n">
        <f aca="false">IF(AND(E458&lt;&gt;"",E458&gt;=Controls!$B$37,E458&lt;=Controls!$B$38),1,0)</f>
        <v>1</v>
      </c>
      <c r="AE458" s="65" t="n">
        <f aca="false">IF(IFERROR(VLOOKUP(D458,Controls!$A$64:$E$74,2,FALSE()),"No")="Yes",1,0)</f>
        <v>0</v>
      </c>
      <c r="AF458" s="65" t="n">
        <f aca="false">IF(IFERROR(VLOOKUP(D458,Controls!$A$64:$E$74,3,FALSE()),"No")="Yes",1,0)</f>
        <v>1</v>
      </c>
      <c r="AG458" s="65" t="n">
        <f aca="false">IF(IFERROR(VLOOKUP(D458,Controls!$A$64:$E$74,4,FALSE()),"No")="Yes",1,0)</f>
        <v>1</v>
      </c>
      <c r="AH458" s="65" t="n">
        <f aca="false">IF(IFERROR(VLOOKUP(D458,Controls!$A$64:$E$74,5,FALSE()),"No")="Yes",1,0)</f>
        <v>0</v>
      </c>
      <c r="AI458" s="65" t="n">
        <f aca="false">IF(ISNUMBER(MATCH(D458,Controls!$A$64:$A$74,0)),1,0)</f>
        <v>1</v>
      </c>
      <c r="AJ458" s="65" t="n">
        <f aca="false">Q458-N458</f>
        <v>84000</v>
      </c>
      <c r="AK458" s="65" t="n">
        <f aca="false">IF(AE458=1,MAX(0,N458-Q458),0)</f>
        <v>0</v>
      </c>
      <c r="AL458" s="65" t="n">
        <f aca="false">IF(OR(V458="",V458=0),0,N458/V458)</f>
        <v>0.322638699311767</v>
      </c>
      <c r="AM458" s="65" t="n">
        <f aca="false">IF(OR(V458="",V458=0),0,1)</f>
        <v>1</v>
      </c>
      <c r="AN458" s="65" t="n">
        <f aca="false">IF(OR(E458="",F458=""),0,NETWORKDAYS(E458,F458,Ref!$K$2:$K$42))</f>
        <v>98</v>
      </c>
      <c r="AO458" s="65" t="n">
        <f aca="false">IF(L458="Renewal",1,0)</f>
        <v>0</v>
      </c>
      <c r="AP458" s="65" t="n">
        <f aca="false">AC458*AD458</f>
        <v>0</v>
      </c>
      <c r="AQ458" s="65" t="n">
        <f aca="false">IF(AND(G458&lt;&gt;"",'Historical Score'!$C$6&lt;&gt;""),IF(G458='Historical Score'!$C$6,1,0),0)</f>
        <v>0</v>
      </c>
      <c r="AR458" s="65" t="n">
        <f aca="false">IF(AND(L458&lt;&gt;"",'Historical Score'!$C$5&lt;&gt;""),IF(L458='Historical Score'!$C$5,1,0),0)</f>
        <v>1</v>
      </c>
      <c r="AS458" s="65" t="n">
        <f aca="false">IF(AND(Y458&lt;&gt;"",'Historical Score'!$C$7&lt;&gt;""),IF(Y458='Historical Score'!$C$7,1,0),0)</f>
        <v>0</v>
      </c>
      <c r="AT458" s="65" t="n">
        <f aca="false">IF(AND(K458&lt;&gt;"",'Historical Score'!$C$8&lt;&gt;""),IF(K458='Historical Score'!$C$8,1,0),0)</f>
        <v>0</v>
      </c>
      <c r="AU458" s="65" t="n">
        <f aca="false">IF(AND(J458&lt;&gt;"",'Historical Score'!$C$9&lt;&gt;""),IF(J458='Historical Score'!$C$9,1,0),0)</f>
        <v>0</v>
      </c>
      <c r="AV458" s="65" t="n">
        <f aca="false">AR458*AS458*AQ458</f>
        <v>0</v>
      </c>
      <c r="AW458" s="65" t="n">
        <f aca="false">AR458*AT458*AQ458</f>
        <v>0</v>
      </c>
      <c r="AX458" s="65" t="n">
        <f aca="false">AR458*AS458</f>
        <v>0</v>
      </c>
      <c r="AY458" s="65" t="n">
        <f aca="false">AR458*AT458</f>
        <v>0</v>
      </c>
      <c r="AZ458" s="65" t="n">
        <f aca="false">AR458*AQ458</f>
        <v>0</v>
      </c>
      <c r="BA458" s="65" t="n">
        <f aca="false">AR458</f>
        <v>1</v>
      </c>
      <c r="BB458" s="65" t="n">
        <f aca="false">1</f>
        <v>1</v>
      </c>
      <c r="BC458" s="65" t="n">
        <f aca="false">IF(AV458=1,1,IF(AW458=1,2,IF(AX458=1,3,IF(AY458=1,4,IF(AZ458=1,5,IF(BA458=1,6,7))))))</f>
        <v>6</v>
      </c>
      <c r="BD458" s="65" t="n">
        <f aca="false">IF(AD458=1,CHOOSE('Historical Score'!$C$29,AV458,AW458,AX458,AY458,AZ458,BA458,BB458),0)</f>
        <v>0</v>
      </c>
      <c r="BE458" s="65" t="str">
        <f aca="false">IF(BD458=1,COUNTIF($BD$2:BD458,1),"")</f>
        <v/>
      </c>
    </row>
    <row r="459" customFormat="false" ht="15" hidden="false" customHeight="false" outlineLevel="0" collapsed="false">
      <c r="A459" s="65" t="s">
        <v>1742</v>
      </c>
      <c r="B459" s="65" t="s">
        <v>1743</v>
      </c>
      <c r="C459" s="65" t="s">
        <v>1743</v>
      </c>
      <c r="D459" s="65" t="s">
        <v>371</v>
      </c>
      <c r="E459" s="112" t="n">
        <v>46009</v>
      </c>
      <c r="F459" s="112" t="n">
        <v>46118</v>
      </c>
      <c r="G459" s="65" t="n">
        <v>1</v>
      </c>
      <c r="H459" s="65" t="s">
        <v>500</v>
      </c>
      <c r="I459" s="65" t="s">
        <v>475</v>
      </c>
      <c r="J459" s="65" t="s">
        <v>704</v>
      </c>
      <c r="K459" s="65" t="s">
        <v>55</v>
      </c>
      <c r="L459" s="65" t="s">
        <v>64</v>
      </c>
      <c r="M459" s="113" t="n">
        <v>1.49</v>
      </c>
      <c r="N459" s="114" t="n">
        <v>15000</v>
      </c>
      <c r="O459" s="114" t="n">
        <v>2100</v>
      </c>
      <c r="P459" s="114" t="n">
        <v>22350</v>
      </c>
      <c r="Q459" s="114" t="n">
        <v>22350</v>
      </c>
      <c r="R459" s="114" t="n">
        <v>0</v>
      </c>
      <c r="S459" s="115" t="n">
        <v>1</v>
      </c>
      <c r="T459" s="65" t="n">
        <v>18</v>
      </c>
      <c r="U459" s="65" t="n">
        <v>2</v>
      </c>
      <c r="V459" s="65" t="n">
        <v>36089.77</v>
      </c>
      <c r="W459" s="115" t="n">
        <v>0.1376</v>
      </c>
      <c r="X459" s="112" t="n">
        <v>45812</v>
      </c>
      <c r="Y459" s="65" t="str">
        <f aca="false">IF(I459="","No SIC",IFERROR(VLOOKUP(I459,Ref!$A$2:$B$65,2,FALSE()),"Unclassified"))</f>
        <v>Auto Repair &amp; Services</v>
      </c>
      <c r="Z459" s="65" t="str">
        <f aca="false">IF(T459="","",IF(T459&lt;12,"Daily","Weekly"))</f>
        <v>Weekly</v>
      </c>
      <c r="AA459" s="65" t="n">
        <f aca="false">IF(T459="",0,IF(T459&lt;12,T459*Controls!$B$29,T459*5))</f>
        <v>90</v>
      </c>
      <c r="AB459" s="65" t="n">
        <f aca="false">IF(E459="",0,NETWORKDAYS(E459,Controls!$B$36,Ref!$K$2:$K$42))</f>
        <v>173</v>
      </c>
      <c r="AC459" s="65" t="n">
        <f aca="false">IF(AND(AA459&gt;0,AB459&gt;=Controls!$B$39*AA459),1,0)</f>
        <v>1</v>
      </c>
      <c r="AD459" s="65" t="n">
        <f aca="false">IF(AND(E459&lt;&gt;"",E459&gt;=Controls!$B$37,E459&lt;=Controls!$B$38),1,0)</f>
        <v>1</v>
      </c>
      <c r="AE459" s="65" t="n">
        <f aca="false">IF(IFERROR(VLOOKUP(D459,Controls!$A$64:$E$74,2,FALSE()),"No")="Yes",1,0)</f>
        <v>0</v>
      </c>
      <c r="AF459" s="65" t="n">
        <f aca="false">IF(IFERROR(VLOOKUP(D459,Controls!$A$64:$E$74,3,FALSE()),"No")="Yes",1,0)</f>
        <v>1</v>
      </c>
      <c r="AG459" s="65" t="n">
        <f aca="false">IF(IFERROR(VLOOKUP(D459,Controls!$A$64:$E$74,4,FALSE()),"No")="Yes",1,0)</f>
        <v>1</v>
      </c>
      <c r="AH459" s="65" t="n">
        <f aca="false">IF(IFERROR(VLOOKUP(D459,Controls!$A$64:$E$74,5,FALSE()),"No")="Yes",1,0)</f>
        <v>0</v>
      </c>
      <c r="AI459" s="65" t="n">
        <f aca="false">IF(ISNUMBER(MATCH(D459,Controls!$A$64:$A$74,0)),1,0)</f>
        <v>1</v>
      </c>
      <c r="AJ459" s="65" t="n">
        <f aca="false">Q459-N459</f>
        <v>7350</v>
      </c>
      <c r="AK459" s="65" t="n">
        <f aca="false">IF(AE459=1,MAX(0,N459-Q459),0)</f>
        <v>0</v>
      </c>
      <c r="AL459" s="65" t="n">
        <f aca="false">IF(OR(V459="",V459=0),0,N459/V459)</f>
        <v>0.415630246465965</v>
      </c>
      <c r="AM459" s="65" t="n">
        <f aca="false">IF(OR(V459="",V459=0),0,1)</f>
        <v>1</v>
      </c>
      <c r="AN459" s="65" t="n">
        <f aca="false">IF(OR(E459="",F459=""),0,NETWORKDAYS(E459,F459,Ref!$K$2:$K$42))</f>
        <v>74</v>
      </c>
      <c r="AO459" s="65" t="n">
        <f aca="false">IF(L459="Renewal",1,0)</f>
        <v>0</v>
      </c>
      <c r="AP459" s="65" t="n">
        <f aca="false">AC459*AD459</f>
        <v>1</v>
      </c>
      <c r="AQ459" s="65" t="n">
        <f aca="false">IF(AND(G459&lt;&gt;"",'Historical Score'!$C$6&lt;&gt;""),IF(G459='Historical Score'!$C$6,1,0),0)</f>
        <v>0</v>
      </c>
      <c r="AR459" s="65" t="n">
        <f aca="false">IF(AND(L459&lt;&gt;"",'Historical Score'!$C$5&lt;&gt;""),IF(L459='Historical Score'!$C$5,1,0),0)</f>
        <v>1</v>
      </c>
      <c r="AS459" s="65" t="n">
        <f aca="false">IF(AND(Y459&lt;&gt;"",'Historical Score'!$C$7&lt;&gt;""),IF(Y459='Historical Score'!$C$7,1,0),0)</f>
        <v>0</v>
      </c>
      <c r="AT459" s="65" t="n">
        <f aca="false">IF(AND(K459&lt;&gt;"",'Historical Score'!$C$8&lt;&gt;""),IF(K459='Historical Score'!$C$8,1,0),0)</f>
        <v>1</v>
      </c>
      <c r="AU459" s="65" t="n">
        <f aca="false">IF(AND(J459&lt;&gt;"",'Historical Score'!$C$9&lt;&gt;""),IF(J459='Historical Score'!$C$9,1,0),0)</f>
        <v>0</v>
      </c>
      <c r="AV459" s="65" t="n">
        <f aca="false">AR459*AS459*AQ459</f>
        <v>0</v>
      </c>
      <c r="AW459" s="65" t="n">
        <f aca="false">AR459*AT459*AQ459</f>
        <v>0</v>
      </c>
      <c r="AX459" s="65" t="n">
        <f aca="false">AR459*AS459</f>
        <v>0</v>
      </c>
      <c r="AY459" s="65" t="n">
        <f aca="false">AR459*AT459</f>
        <v>1</v>
      </c>
      <c r="AZ459" s="65" t="n">
        <f aca="false">AR459*AQ459</f>
        <v>0</v>
      </c>
      <c r="BA459" s="65" t="n">
        <f aca="false">AR459</f>
        <v>1</v>
      </c>
      <c r="BB459" s="65" t="n">
        <f aca="false">1</f>
        <v>1</v>
      </c>
      <c r="BC459" s="65" t="n">
        <f aca="false">IF(AV459=1,1,IF(AW459=1,2,IF(AX459=1,3,IF(AY459=1,4,IF(AZ459=1,5,IF(BA459=1,6,7))))))</f>
        <v>4</v>
      </c>
      <c r="BD459" s="65" t="n">
        <f aca="false">IF(AD459=1,CHOOSE('Historical Score'!$C$29,AV459,AW459,AX459,AY459,AZ459,BA459,BB459),0)</f>
        <v>0</v>
      </c>
      <c r="BE459" s="65" t="str">
        <f aca="false">IF(BD459=1,COUNTIF($BD$2:BD459,1),"")</f>
        <v/>
      </c>
    </row>
    <row r="460" customFormat="false" ht="15" hidden="false" customHeight="false" outlineLevel="0" collapsed="false">
      <c r="A460" s="65" t="s">
        <v>1744</v>
      </c>
      <c r="B460" s="65" t="s">
        <v>1745</v>
      </c>
      <c r="C460" s="65" t="s">
        <v>1745</v>
      </c>
      <c r="D460" s="65" t="s">
        <v>959</v>
      </c>
      <c r="E460" s="112" t="n">
        <v>46010</v>
      </c>
      <c r="F460" s="112" t="n">
        <v>46227</v>
      </c>
      <c r="G460" s="65" t="n">
        <v>1</v>
      </c>
      <c r="H460" s="65" t="s">
        <v>1746</v>
      </c>
      <c r="I460" s="65" t="s">
        <v>1747</v>
      </c>
      <c r="J460" s="65" t="s">
        <v>350</v>
      </c>
      <c r="K460" s="65" t="s">
        <v>961</v>
      </c>
      <c r="L460" s="65" t="s">
        <v>64</v>
      </c>
      <c r="M460" s="113" t="n">
        <v>1.46</v>
      </c>
      <c r="N460" s="114" t="n">
        <v>30000</v>
      </c>
      <c r="O460" s="114" t="n">
        <v>4650</v>
      </c>
      <c r="P460" s="114" t="n">
        <v>43800</v>
      </c>
      <c r="Q460" s="114" t="n">
        <v>13928.32</v>
      </c>
      <c r="R460" s="114" t="n">
        <v>29871.68</v>
      </c>
      <c r="S460" s="115" t="n">
        <v>0.317998173515982</v>
      </c>
      <c r="T460" s="65" t="n">
        <v>30</v>
      </c>
      <c r="U460" s="65" t="n">
        <v>20</v>
      </c>
      <c r="V460" s="65" t="n">
        <v>78496.8</v>
      </c>
      <c r="W460" s="115" t="n">
        <v>0.0744</v>
      </c>
      <c r="X460" s="112" t="n">
        <v>45273</v>
      </c>
      <c r="Y460" s="65" t="str">
        <f aca="false">IF(I460="","No SIC",IFERROR(VLOOKUP(I460,Ref!$A$2:$B$65,2,FALSE()),"Unclassified"))</f>
        <v>Justice, Public Order &amp; Safety</v>
      </c>
      <c r="Z460" s="65" t="str">
        <f aca="false">IF(T460="","",IF(T460&lt;12,"Daily","Weekly"))</f>
        <v>Weekly</v>
      </c>
      <c r="AA460" s="65" t="n">
        <f aca="false">IF(T460="",0,IF(T460&lt;12,T460*Controls!$B$29,T460*5))</f>
        <v>150</v>
      </c>
      <c r="AB460" s="65" t="n">
        <f aca="false">IF(E460="",0,NETWORKDAYS(E460,Controls!$B$36,Ref!$K$2:$K$42))</f>
        <v>172</v>
      </c>
      <c r="AC460" s="65" t="n">
        <f aca="false">IF(AND(AA460&gt;0,AB460&gt;=Controls!$B$39*AA460),1,0)</f>
        <v>0</v>
      </c>
      <c r="AD460" s="65" t="n">
        <f aca="false">IF(AND(E460&lt;&gt;"",E460&gt;=Controls!$B$37,E460&lt;=Controls!$B$38),1,0)</f>
        <v>1</v>
      </c>
      <c r="AE460" s="65" t="n">
        <f aca="false">IF(IFERROR(VLOOKUP(D460,Controls!$A$64:$E$74,2,FALSE()),"No")="Yes",1,0)</f>
        <v>0</v>
      </c>
      <c r="AF460" s="65" t="n">
        <f aca="false">IF(IFERROR(VLOOKUP(D460,Controls!$A$64:$E$74,3,FALSE()),"No")="Yes",1,0)</f>
        <v>0</v>
      </c>
      <c r="AG460" s="65" t="n">
        <f aca="false">IF(IFERROR(VLOOKUP(D460,Controls!$A$64:$E$74,4,FALSE()),"No")="Yes",1,0)</f>
        <v>0</v>
      </c>
      <c r="AH460" s="65" t="n">
        <f aca="false">IF(IFERROR(VLOOKUP(D460,Controls!$A$64:$E$74,5,FALSE()),"No")="Yes",1,0)</f>
        <v>0</v>
      </c>
      <c r="AI460" s="65" t="n">
        <f aca="false">IF(ISNUMBER(MATCH(D460,Controls!$A$64:$A$74,0)),1,0)</f>
        <v>1</v>
      </c>
      <c r="AJ460" s="65" t="n">
        <f aca="false">Q460-N460</f>
        <v>-16071.68</v>
      </c>
      <c r="AK460" s="65" t="n">
        <f aca="false">IF(AE460=1,MAX(0,N460-Q460),0)</f>
        <v>0</v>
      </c>
      <c r="AL460" s="65" t="n">
        <f aca="false">IF(OR(V460="",V460=0),0,N460/V460)</f>
        <v>0.382181184455927</v>
      </c>
      <c r="AM460" s="65" t="n">
        <f aca="false">IF(OR(V460="",V460=0),0,1)</f>
        <v>1</v>
      </c>
      <c r="AN460" s="65" t="n">
        <f aca="false">IF(OR(E460="",F460=""),0,NETWORKDAYS(E460,F460,Ref!$K$2:$K$42))</f>
        <v>150</v>
      </c>
      <c r="AO460" s="65" t="n">
        <f aca="false">IF(L460="Renewal",1,0)</f>
        <v>0</v>
      </c>
      <c r="AP460" s="65" t="n">
        <f aca="false">AC460*AD460</f>
        <v>0</v>
      </c>
      <c r="AQ460" s="65" t="n">
        <f aca="false">IF(AND(G460&lt;&gt;"",'Historical Score'!$C$6&lt;&gt;""),IF(G460='Historical Score'!$C$6,1,0),0)</f>
        <v>0</v>
      </c>
      <c r="AR460" s="65" t="n">
        <f aca="false">IF(AND(L460&lt;&gt;"",'Historical Score'!$C$5&lt;&gt;""),IF(L460='Historical Score'!$C$5,1,0),0)</f>
        <v>1</v>
      </c>
      <c r="AS460" s="65" t="n">
        <f aca="false">IF(AND(Y460&lt;&gt;"",'Historical Score'!$C$7&lt;&gt;""),IF(Y460='Historical Score'!$C$7,1,0),0)</f>
        <v>0</v>
      </c>
      <c r="AT460" s="65" t="n">
        <f aca="false">IF(AND(K460&lt;&gt;"",'Historical Score'!$C$8&lt;&gt;""),IF(K460='Historical Score'!$C$8,1,0),0)</f>
        <v>0</v>
      </c>
      <c r="AU460" s="65" t="n">
        <f aca="false">IF(AND(J460&lt;&gt;"",'Historical Score'!$C$9&lt;&gt;""),IF(J460='Historical Score'!$C$9,1,0),0)</f>
        <v>0</v>
      </c>
      <c r="AV460" s="65" t="n">
        <f aca="false">AR460*AS460*AQ460</f>
        <v>0</v>
      </c>
      <c r="AW460" s="65" t="n">
        <f aca="false">AR460*AT460*AQ460</f>
        <v>0</v>
      </c>
      <c r="AX460" s="65" t="n">
        <f aca="false">AR460*AS460</f>
        <v>0</v>
      </c>
      <c r="AY460" s="65" t="n">
        <f aca="false">AR460*AT460</f>
        <v>0</v>
      </c>
      <c r="AZ460" s="65" t="n">
        <f aca="false">AR460*AQ460</f>
        <v>0</v>
      </c>
      <c r="BA460" s="65" t="n">
        <f aca="false">AR460</f>
        <v>1</v>
      </c>
      <c r="BB460" s="65" t="n">
        <f aca="false">1</f>
        <v>1</v>
      </c>
      <c r="BC460" s="65" t="n">
        <f aca="false">IF(AV460=1,1,IF(AW460=1,2,IF(AX460=1,3,IF(AY460=1,4,IF(AZ460=1,5,IF(BA460=1,6,7))))))</f>
        <v>6</v>
      </c>
      <c r="BD460" s="65" t="n">
        <f aca="false">IF(AD460=1,CHOOSE('Historical Score'!$C$29,AV460,AW460,AX460,AY460,AZ460,BA460,BB460),0)</f>
        <v>0</v>
      </c>
      <c r="BE460" s="65" t="str">
        <f aca="false">IF(BD460=1,COUNTIF($BD$2:BD460,1),"")</f>
        <v/>
      </c>
    </row>
    <row r="461" customFormat="false" ht="15" hidden="false" customHeight="false" outlineLevel="0" collapsed="false">
      <c r="A461" s="65" t="s">
        <v>1748</v>
      </c>
      <c r="B461" s="65" t="s">
        <v>982</v>
      </c>
      <c r="C461" s="65" t="s">
        <v>982</v>
      </c>
      <c r="D461" s="65" t="s">
        <v>371</v>
      </c>
      <c r="E461" s="112" t="n">
        <v>46010</v>
      </c>
      <c r="F461" s="112" t="n">
        <v>46113</v>
      </c>
      <c r="G461" s="65" t="n">
        <v>2</v>
      </c>
      <c r="H461" s="65" t="s">
        <v>768</v>
      </c>
      <c r="I461" s="65" t="s">
        <v>443</v>
      </c>
      <c r="J461" s="65" t="s">
        <v>61</v>
      </c>
      <c r="K461" s="65" t="s">
        <v>983</v>
      </c>
      <c r="L461" s="65" t="s">
        <v>64</v>
      </c>
      <c r="M461" s="113" t="n">
        <v>1.39</v>
      </c>
      <c r="N461" s="114" t="n">
        <v>30000</v>
      </c>
      <c r="O461" s="114" t="n">
        <v>2700</v>
      </c>
      <c r="P461" s="114" t="n">
        <v>41700</v>
      </c>
      <c r="Q461" s="114" t="n">
        <v>41700</v>
      </c>
      <c r="R461" s="114" t="n">
        <v>0</v>
      </c>
      <c r="S461" s="115" t="n">
        <v>1</v>
      </c>
      <c r="T461" s="65" t="n">
        <v>3.607</v>
      </c>
      <c r="U461" s="65" t="n">
        <v>0</v>
      </c>
      <c r="V461" s="65" t="n">
        <v>63010.24</v>
      </c>
      <c r="W461" s="115" t="n">
        <v>0.1263</v>
      </c>
      <c r="X461" s="112"/>
      <c r="Y461" s="65" t="str">
        <f aca="false">IF(I461="","No SIC",IFERROR(VLOOKUP(I461,Ref!$A$2:$B$65,2,FALSE()),"Unclassified"))</f>
        <v>General Building Contractors</v>
      </c>
      <c r="Z461" s="65" t="str">
        <f aca="false">IF(T461="","",IF(T461&lt;12,"Daily","Weekly"))</f>
        <v>Daily</v>
      </c>
      <c r="AA461" s="65" t="n">
        <f aca="false">IF(T461="",0,IF(T461&lt;12,T461*Controls!$B$29,T461*5))</f>
        <v>78.109585</v>
      </c>
      <c r="AB461" s="65" t="n">
        <f aca="false">IF(E461="",0,NETWORKDAYS(E461,Controls!$B$36,Ref!$K$2:$K$42))</f>
        <v>172</v>
      </c>
      <c r="AC461" s="65" t="n">
        <f aca="false">IF(AND(AA461&gt;0,AB461&gt;=Controls!$B$39*AA461),1,0)</f>
        <v>1</v>
      </c>
      <c r="AD461" s="65" t="n">
        <f aca="false">IF(AND(E461&lt;&gt;"",E461&gt;=Controls!$B$37,E461&lt;=Controls!$B$38),1,0)</f>
        <v>1</v>
      </c>
      <c r="AE461" s="65" t="n">
        <f aca="false">IF(IFERROR(VLOOKUP(D461,Controls!$A$64:$E$74,2,FALSE()),"No")="Yes",1,0)</f>
        <v>0</v>
      </c>
      <c r="AF461" s="65" t="n">
        <f aca="false">IF(IFERROR(VLOOKUP(D461,Controls!$A$64:$E$74,3,FALSE()),"No")="Yes",1,0)</f>
        <v>1</v>
      </c>
      <c r="AG461" s="65" t="n">
        <f aca="false">IF(IFERROR(VLOOKUP(D461,Controls!$A$64:$E$74,4,FALSE()),"No")="Yes",1,0)</f>
        <v>1</v>
      </c>
      <c r="AH461" s="65" t="n">
        <f aca="false">IF(IFERROR(VLOOKUP(D461,Controls!$A$64:$E$74,5,FALSE()),"No")="Yes",1,0)</f>
        <v>0</v>
      </c>
      <c r="AI461" s="65" t="n">
        <f aca="false">IF(ISNUMBER(MATCH(D461,Controls!$A$64:$A$74,0)),1,0)</f>
        <v>1</v>
      </c>
      <c r="AJ461" s="65" t="n">
        <f aca="false">Q461-N461</f>
        <v>11700</v>
      </c>
      <c r="AK461" s="65" t="n">
        <f aca="false">IF(AE461=1,MAX(0,N461-Q461),0)</f>
        <v>0</v>
      </c>
      <c r="AL461" s="65" t="n">
        <f aca="false">IF(OR(V461="",V461=0),0,N461/V461)</f>
        <v>0.47611308892015</v>
      </c>
      <c r="AM461" s="65" t="n">
        <f aca="false">IF(OR(V461="",V461=0),0,1)</f>
        <v>1</v>
      </c>
      <c r="AN461" s="65" t="n">
        <f aca="false">IF(OR(E461="",F461=""),0,NETWORKDAYS(E461,F461,Ref!$K$2:$K$42))</f>
        <v>70</v>
      </c>
      <c r="AO461" s="65" t="n">
        <f aca="false">IF(L461="Renewal",1,0)</f>
        <v>0</v>
      </c>
      <c r="AP461" s="65" t="n">
        <f aca="false">AC461*AD461</f>
        <v>1</v>
      </c>
      <c r="AQ461" s="65" t="n">
        <f aca="false">IF(AND(G461&lt;&gt;"",'Historical Score'!$C$6&lt;&gt;""),IF(G461='Historical Score'!$C$6,1,0),0)</f>
        <v>1</v>
      </c>
      <c r="AR461" s="65" t="n">
        <f aca="false">IF(AND(L461&lt;&gt;"",'Historical Score'!$C$5&lt;&gt;""),IF(L461='Historical Score'!$C$5,1,0),0)</f>
        <v>1</v>
      </c>
      <c r="AS461" s="65" t="n">
        <f aca="false">IF(AND(Y461&lt;&gt;"",'Historical Score'!$C$7&lt;&gt;""),IF(Y461='Historical Score'!$C$7,1,0),0)</f>
        <v>1</v>
      </c>
      <c r="AT461" s="65" t="n">
        <f aca="false">IF(AND(K461&lt;&gt;"",'Historical Score'!$C$8&lt;&gt;""),IF(K461='Historical Score'!$C$8,1,0),0)</f>
        <v>0</v>
      </c>
      <c r="AU461" s="65" t="n">
        <f aca="false">IF(AND(J461&lt;&gt;"",'Historical Score'!$C$9&lt;&gt;""),IF(J461='Historical Score'!$C$9,1,0),0)</f>
        <v>1</v>
      </c>
      <c r="AV461" s="65" t="n">
        <f aca="false">AR461*AS461*AQ461</f>
        <v>1</v>
      </c>
      <c r="AW461" s="65" t="n">
        <f aca="false">AR461*AT461*AQ461</f>
        <v>0</v>
      </c>
      <c r="AX461" s="65" t="n">
        <f aca="false">AR461*AS461</f>
        <v>1</v>
      </c>
      <c r="AY461" s="65" t="n">
        <f aca="false">AR461*AT461</f>
        <v>0</v>
      </c>
      <c r="AZ461" s="65" t="n">
        <f aca="false">AR461*AQ461</f>
        <v>1</v>
      </c>
      <c r="BA461" s="65" t="n">
        <f aca="false">AR461</f>
        <v>1</v>
      </c>
      <c r="BB461" s="65" t="n">
        <f aca="false">1</f>
        <v>1</v>
      </c>
      <c r="BC461" s="65" t="n">
        <f aca="false">IF(AV461=1,1,IF(AW461=1,2,IF(AX461=1,3,IF(AY461=1,4,IF(AZ461=1,5,IF(BA461=1,6,7))))))</f>
        <v>1</v>
      </c>
      <c r="BD461" s="65" t="n">
        <f aca="false">IF(AD461=1,CHOOSE('Historical Score'!$C$29,AV461,AW461,AX461,AY461,AZ461,BA461,BB461),0)</f>
        <v>1</v>
      </c>
      <c r="BE461" s="65" t="n">
        <f aca="false">IF(BD461=1,COUNTIF($BD$2:BD461,1),"")</f>
        <v>18</v>
      </c>
    </row>
    <row r="462" customFormat="false" ht="15" hidden="false" customHeight="false" outlineLevel="0" collapsed="false">
      <c r="A462" s="65" t="s">
        <v>1749</v>
      </c>
      <c r="B462" s="65" t="s">
        <v>1750</v>
      </c>
      <c r="C462" s="65" t="s">
        <v>1750</v>
      </c>
      <c r="D462" s="65" t="s">
        <v>371</v>
      </c>
      <c r="E462" s="112" t="n">
        <v>46010</v>
      </c>
      <c r="F462" s="112" t="n">
        <v>46090</v>
      </c>
      <c r="G462" s="65" t="n">
        <v>2</v>
      </c>
      <c r="H462" s="65" t="s">
        <v>442</v>
      </c>
      <c r="I462" s="65" t="s">
        <v>443</v>
      </c>
      <c r="J462" s="65" t="s">
        <v>762</v>
      </c>
      <c r="K462" s="65" t="s">
        <v>1120</v>
      </c>
      <c r="L462" s="65" t="s">
        <v>64</v>
      </c>
      <c r="M462" s="113" t="n">
        <v>1.49</v>
      </c>
      <c r="N462" s="114" t="n">
        <v>6000</v>
      </c>
      <c r="O462" s="114" t="n">
        <v>840</v>
      </c>
      <c r="P462" s="114" t="n">
        <v>8940</v>
      </c>
      <c r="Q462" s="114" t="n">
        <v>8940</v>
      </c>
      <c r="R462" s="114" t="n">
        <v>0</v>
      </c>
      <c r="S462" s="115" t="n">
        <v>1</v>
      </c>
      <c r="T462" s="65" t="n">
        <v>2.623</v>
      </c>
      <c r="U462" s="65" t="n">
        <v>4</v>
      </c>
      <c r="V462" s="65" t="n">
        <v>50226.03</v>
      </c>
      <c r="W462" s="115" t="n">
        <v>0.0467</v>
      </c>
      <c r="X462" s="112" t="n">
        <v>44627</v>
      </c>
      <c r="Y462" s="65" t="str">
        <f aca="false">IF(I462="","No SIC",IFERROR(VLOOKUP(I462,Ref!$A$2:$B$65,2,FALSE()),"Unclassified"))</f>
        <v>General Building Contractors</v>
      </c>
      <c r="Z462" s="65" t="str">
        <f aca="false">IF(T462="","",IF(T462&lt;12,"Daily","Weekly"))</f>
        <v>Daily</v>
      </c>
      <c r="AA462" s="65" t="n">
        <f aca="false">IF(T462="",0,IF(T462&lt;12,T462*Controls!$B$29,T462*5))</f>
        <v>56.801065</v>
      </c>
      <c r="AB462" s="65" t="n">
        <f aca="false">IF(E462="",0,NETWORKDAYS(E462,Controls!$B$36,Ref!$K$2:$K$42))</f>
        <v>172</v>
      </c>
      <c r="AC462" s="65" t="n">
        <f aca="false">IF(AND(AA462&gt;0,AB462&gt;=Controls!$B$39*AA462),1,0)</f>
        <v>1</v>
      </c>
      <c r="AD462" s="65" t="n">
        <f aca="false">IF(AND(E462&lt;&gt;"",E462&gt;=Controls!$B$37,E462&lt;=Controls!$B$38),1,0)</f>
        <v>1</v>
      </c>
      <c r="AE462" s="65" t="n">
        <f aca="false">IF(IFERROR(VLOOKUP(D462,Controls!$A$64:$E$74,2,FALSE()),"No")="Yes",1,0)</f>
        <v>0</v>
      </c>
      <c r="AF462" s="65" t="n">
        <f aca="false">IF(IFERROR(VLOOKUP(D462,Controls!$A$64:$E$74,3,FALSE()),"No")="Yes",1,0)</f>
        <v>1</v>
      </c>
      <c r="AG462" s="65" t="n">
        <f aca="false">IF(IFERROR(VLOOKUP(D462,Controls!$A$64:$E$74,4,FALSE()),"No")="Yes",1,0)</f>
        <v>1</v>
      </c>
      <c r="AH462" s="65" t="n">
        <f aca="false">IF(IFERROR(VLOOKUP(D462,Controls!$A$64:$E$74,5,FALSE()),"No")="Yes",1,0)</f>
        <v>0</v>
      </c>
      <c r="AI462" s="65" t="n">
        <f aca="false">IF(ISNUMBER(MATCH(D462,Controls!$A$64:$A$74,0)),1,0)</f>
        <v>1</v>
      </c>
      <c r="AJ462" s="65" t="n">
        <f aca="false">Q462-N462</f>
        <v>2940</v>
      </c>
      <c r="AK462" s="65" t="n">
        <f aca="false">IF(AE462=1,MAX(0,N462-Q462),0)</f>
        <v>0</v>
      </c>
      <c r="AL462" s="65" t="n">
        <f aca="false">IF(OR(V462="",V462=0),0,N462/V462)</f>
        <v>0.11945996926295</v>
      </c>
      <c r="AM462" s="65" t="n">
        <f aca="false">IF(OR(V462="",V462=0),0,1)</f>
        <v>1</v>
      </c>
      <c r="AN462" s="65" t="n">
        <f aca="false">IF(OR(E462="",F462=""),0,NETWORKDAYS(E462,F462,Ref!$K$2:$K$42))</f>
        <v>53</v>
      </c>
      <c r="AO462" s="65" t="n">
        <f aca="false">IF(L462="Renewal",1,0)</f>
        <v>0</v>
      </c>
      <c r="AP462" s="65" t="n">
        <f aca="false">AC462*AD462</f>
        <v>1</v>
      </c>
      <c r="AQ462" s="65" t="n">
        <f aca="false">IF(AND(G462&lt;&gt;"",'Historical Score'!$C$6&lt;&gt;""),IF(G462='Historical Score'!$C$6,1,0),0)</f>
        <v>1</v>
      </c>
      <c r="AR462" s="65" t="n">
        <f aca="false">IF(AND(L462&lt;&gt;"",'Historical Score'!$C$5&lt;&gt;""),IF(L462='Historical Score'!$C$5,1,0),0)</f>
        <v>1</v>
      </c>
      <c r="AS462" s="65" t="n">
        <f aca="false">IF(AND(Y462&lt;&gt;"",'Historical Score'!$C$7&lt;&gt;""),IF(Y462='Historical Score'!$C$7,1,0),0)</f>
        <v>1</v>
      </c>
      <c r="AT462" s="65" t="n">
        <f aca="false">IF(AND(K462&lt;&gt;"",'Historical Score'!$C$8&lt;&gt;""),IF(K462='Historical Score'!$C$8,1,0),0)</f>
        <v>0</v>
      </c>
      <c r="AU462" s="65" t="n">
        <f aca="false">IF(AND(J462&lt;&gt;"",'Historical Score'!$C$9&lt;&gt;""),IF(J462='Historical Score'!$C$9,1,0),0)</f>
        <v>0</v>
      </c>
      <c r="AV462" s="65" t="n">
        <f aca="false">AR462*AS462*AQ462</f>
        <v>1</v>
      </c>
      <c r="AW462" s="65" t="n">
        <f aca="false">AR462*AT462*AQ462</f>
        <v>0</v>
      </c>
      <c r="AX462" s="65" t="n">
        <f aca="false">AR462*AS462</f>
        <v>1</v>
      </c>
      <c r="AY462" s="65" t="n">
        <f aca="false">AR462*AT462</f>
        <v>0</v>
      </c>
      <c r="AZ462" s="65" t="n">
        <f aca="false">AR462*AQ462</f>
        <v>1</v>
      </c>
      <c r="BA462" s="65" t="n">
        <f aca="false">AR462</f>
        <v>1</v>
      </c>
      <c r="BB462" s="65" t="n">
        <f aca="false">1</f>
        <v>1</v>
      </c>
      <c r="BC462" s="65" t="n">
        <f aca="false">IF(AV462=1,1,IF(AW462=1,2,IF(AX462=1,3,IF(AY462=1,4,IF(AZ462=1,5,IF(BA462=1,6,7))))))</f>
        <v>1</v>
      </c>
      <c r="BD462" s="65" t="n">
        <f aca="false">IF(AD462=1,CHOOSE('Historical Score'!$C$29,AV462,AW462,AX462,AY462,AZ462,BA462,BB462),0)</f>
        <v>1</v>
      </c>
      <c r="BE462" s="65" t="n">
        <f aca="false">IF(BD462=1,COUNTIF($BD$2:BD462,1),"")</f>
        <v>19</v>
      </c>
    </row>
    <row r="463" customFormat="false" ht="15" hidden="false" customHeight="false" outlineLevel="0" collapsed="false">
      <c r="A463" s="65" t="s">
        <v>1751</v>
      </c>
      <c r="B463" s="65" t="s">
        <v>1752</v>
      </c>
      <c r="C463" s="65" t="s">
        <v>1753</v>
      </c>
      <c r="D463" s="65" t="s">
        <v>371</v>
      </c>
      <c r="E463" s="112" t="n">
        <v>46013</v>
      </c>
      <c r="F463" s="112" t="n">
        <v>46092</v>
      </c>
      <c r="G463" s="65" t="n">
        <v>1</v>
      </c>
      <c r="H463" s="65" t="s">
        <v>596</v>
      </c>
      <c r="I463" s="65" t="s">
        <v>597</v>
      </c>
      <c r="J463" s="65" t="s">
        <v>854</v>
      </c>
      <c r="K463" s="65" t="s">
        <v>55</v>
      </c>
      <c r="L463" s="65" t="s">
        <v>64</v>
      </c>
      <c r="M463" s="113" t="n">
        <v>1.49</v>
      </c>
      <c r="N463" s="114" t="n">
        <v>15000</v>
      </c>
      <c r="O463" s="114" t="n">
        <v>2100</v>
      </c>
      <c r="P463" s="114" t="n">
        <v>22350</v>
      </c>
      <c r="Q463" s="114" t="n">
        <v>22350</v>
      </c>
      <c r="R463" s="114" t="n">
        <v>0</v>
      </c>
      <c r="S463" s="115" t="n">
        <v>1</v>
      </c>
      <c r="T463" s="65" t="n">
        <v>2.951</v>
      </c>
      <c r="U463" s="65" t="n">
        <v>1</v>
      </c>
      <c r="V463" s="65" t="n">
        <v>40000</v>
      </c>
      <c r="W463" s="115" t="n">
        <v>0.1159</v>
      </c>
      <c r="X463" s="112" t="n">
        <v>38325</v>
      </c>
      <c r="Y463" s="65" t="str">
        <f aca="false">IF(I463="","No SIC",IFERROR(VLOOKUP(I463,Ref!$A$2:$B$65,2,FALSE()),"Unclassified"))</f>
        <v>Insurance Agents &amp; Brokers</v>
      </c>
      <c r="Z463" s="65" t="str">
        <f aca="false">IF(T463="","",IF(T463&lt;12,"Daily","Weekly"))</f>
        <v>Daily</v>
      </c>
      <c r="AA463" s="65" t="n">
        <f aca="false">IF(T463="",0,IF(T463&lt;12,T463*Controls!$B$29,T463*5))</f>
        <v>63.903905</v>
      </c>
      <c r="AB463" s="65" t="n">
        <f aca="false">IF(E463="",0,NETWORKDAYS(E463,Controls!$B$36,Ref!$K$2:$K$42))</f>
        <v>171</v>
      </c>
      <c r="AC463" s="65" t="n">
        <f aca="false">IF(AND(AA463&gt;0,AB463&gt;=Controls!$B$39*AA463),1,0)</f>
        <v>1</v>
      </c>
      <c r="AD463" s="65" t="n">
        <f aca="false">IF(AND(E463&lt;&gt;"",E463&gt;=Controls!$B$37,E463&lt;=Controls!$B$38),1,0)</f>
        <v>1</v>
      </c>
      <c r="AE463" s="65" t="n">
        <f aca="false">IF(IFERROR(VLOOKUP(D463,Controls!$A$64:$E$74,2,FALSE()),"No")="Yes",1,0)</f>
        <v>0</v>
      </c>
      <c r="AF463" s="65" t="n">
        <f aca="false">IF(IFERROR(VLOOKUP(D463,Controls!$A$64:$E$74,3,FALSE()),"No")="Yes",1,0)</f>
        <v>1</v>
      </c>
      <c r="AG463" s="65" t="n">
        <f aca="false">IF(IFERROR(VLOOKUP(D463,Controls!$A$64:$E$74,4,FALSE()),"No")="Yes",1,0)</f>
        <v>1</v>
      </c>
      <c r="AH463" s="65" t="n">
        <f aca="false">IF(IFERROR(VLOOKUP(D463,Controls!$A$64:$E$74,5,FALSE()),"No")="Yes",1,0)</f>
        <v>0</v>
      </c>
      <c r="AI463" s="65" t="n">
        <f aca="false">IF(ISNUMBER(MATCH(D463,Controls!$A$64:$A$74,0)),1,0)</f>
        <v>1</v>
      </c>
      <c r="AJ463" s="65" t="n">
        <f aca="false">Q463-N463</f>
        <v>7350</v>
      </c>
      <c r="AK463" s="65" t="n">
        <f aca="false">IF(AE463=1,MAX(0,N463-Q463),0)</f>
        <v>0</v>
      </c>
      <c r="AL463" s="65" t="n">
        <f aca="false">IF(OR(V463="",V463=0),0,N463/V463)</f>
        <v>0.375</v>
      </c>
      <c r="AM463" s="65" t="n">
        <f aca="false">IF(OR(V463="",V463=0),0,1)</f>
        <v>1</v>
      </c>
      <c r="AN463" s="65" t="n">
        <f aca="false">IF(OR(E463="",F463=""),0,NETWORKDAYS(E463,F463,Ref!$K$2:$K$42))</f>
        <v>54</v>
      </c>
      <c r="AO463" s="65" t="n">
        <f aca="false">IF(L463="Renewal",1,0)</f>
        <v>0</v>
      </c>
      <c r="AP463" s="65" t="n">
        <f aca="false">AC463*AD463</f>
        <v>1</v>
      </c>
      <c r="AQ463" s="65" t="n">
        <f aca="false">IF(AND(G463&lt;&gt;"",'Historical Score'!$C$6&lt;&gt;""),IF(G463='Historical Score'!$C$6,1,0),0)</f>
        <v>0</v>
      </c>
      <c r="AR463" s="65" t="n">
        <f aca="false">IF(AND(L463&lt;&gt;"",'Historical Score'!$C$5&lt;&gt;""),IF(L463='Historical Score'!$C$5,1,0),0)</f>
        <v>1</v>
      </c>
      <c r="AS463" s="65" t="n">
        <f aca="false">IF(AND(Y463&lt;&gt;"",'Historical Score'!$C$7&lt;&gt;""),IF(Y463='Historical Score'!$C$7,1,0),0)</f>
        <v>0</v>
      </c>
      <c r="AT463" s="65" t="n">
        <f aca="false">IF(AND(K463&lt;&gt;"",'Historical Score'!$C$8&lt;&gt;""),IF(K463='Historical Score'!$C$8,1,0),0)</f>
        <v>1</v>
      </c>
      <c r="AU463" s="65" t="n">
        <f aca="false">IF(AND(J463&lt;&gt;"",'Historical Score'!$C$9&lt;&gt;""),IF(J463='Historical Score'!$C$9,1,0),0)</f>
        <v>0</v>
      </c>
      <c r="AV463" s="65" t="n">
        <f aca="false">AR463*AS463*AQ463</f>
        <v>0</v>
      </c>
      <c r="AW463" s="65" t="n">
        <f aca="false">AR463*AT463*AQ463</f>
        <v>0</v>
      </c>
      <c r="AX463" s="65" t="n">
        <f aca="false">AR463*AS463</f>
        <v>0</v>
      </c>
      <c r="AY463" s="65" t="n">
        <f aca="false">AR463*AT463</f>
        <v>1</v>
      </c>
      <c r="AZ463" s="65" t="n">
        <f aca="false">AR463*AQ463</f>
        <v>0</v>
      </c>
      <c r="BA463" s="65" t="n">
        <f aca="false">AR463</f>
        <v>1</v>
      </c>
      <c r="BB463" s="65" t="n">
        <f aca="false">1</f>
        <v>1</v>
      </c>
      <c r="BC463" s="65" t="n">
        <f aca="false">IF(AV463=1,1,IF(AW463=1,2,IF(AX463=1,3,IF(AY463=1,4,IF(AZ463=1,5,IF(BA463=1,6,7))))))</f>
        <v>4</v>
      </c>
      <c r="BD463" s="65" t="n">
        <f aca="false">IF(AD463=1,CHOOSE('Historical Score'!$C$29,AV463,AW463,AX463,AY463,AZ463,BA463,BB463),0)</f>
        <v>0</v>
      </c>
      <c r="BE463" s="65" t="str">
        <f aca="false">IF(BD463=1,COUNTIF($BD$2:BD463,1),"")</f>
        <v/>
      </c>
    </row>
    <row r="464" customFormat="false" ht="15" hidden="false" customHeight="false" outlineLevel="0" collapsed="false">
      <c r="A464" s="65" t="s">
        <v>1754</v>
      </c>
      <c r="B464" s="65" t="s">
        <v>1755</v>
      </c>
      <c r="C464" s="65" t="s">
        <v>1756</v>
      </c>
      <c r="D464" s="65" t="s">
        <v>959</v>
      </c>
      <c r="E464" s="112" t="n">
        <v>46013</v>
      </c>
      <c r="F464" s="112" t="n">
        <v>46253</v>
      </c>
      <c r="G464" s="65" t="n">
        <v>1</v>
      </c>
      <c r="H464" s="65" t="s">
        <v>1757</v>
      </c>
      <c r="I464" s="65" t="s">
        <v>679</v>
      </c>
      <c r="J464" s="65" t="s">
        <v>682</v>
      </c>
      <c r="K464" s="65" t="s">
        <v>961</v>
      </c>
      <c r="L464" s="65" t="s">
        <v>64</v>
      </c>
      <c r="M464" s="113" t="n">
        <v>1.38</v>
      </c>
      <c r="N464" s="114" t="n">
        <v>50000</v>
      </c>
      <c r="O464" s="114" t="n">
        <v>6250</v>
      </c>
      <c r="P464" s="114" t="n">
        <v>69000</v>
      </c>
      <c r="Q464" s="114" t="n">
        <v>37385.22</v>
      </c>
      <c r="R464" s="114" t="n">
        <v>31614.78</v>
      </c>
      <c r="S464" s="115" t="n">
        <v>0.541814782608696</v>
      </c>
      <c r="T464" s="65" t="n">
        <v>24</v>
      </c>
      <c r="U464" s="65" t="n">
        <v>31</v>
      </c>
      <c r="V464" s="65" t="n">
        <v>87944.36</v>
      </c>
      <c r="W464" s="115" t="n">
        <v>0.1308</v>
      </c>
      <c r="X464" s="112" t="n">
        <v>43339</v>
      </c>
      <c r="Y464" s="65" t="str">
        <f aca="false">IF(I464="","No SIC",IFERROR(VLOOKUP(I464,Ref!$A$2:$B$65,2,FALSE()),"Unclassified"))</f>
        <v>Amusement &amp; Recreation Services</v>
      </c>
      <c r="Z464" s="65" t="str">
        <f aca="false">IF(T464="","",IF(T464&lt;12,"Daily","Weekly"))</f>
        <v>Weekly</v>
      </c>
      <c r="AA464" s="65" t="n">
        <f aca="false">IF(T464="",0,IF(T464&lt;12,T464*Controls!$B$29,T464*5))</f>
        <v>120</v>
      </c>
      <c r="AB464" s="65" t="n">
        <f aca="false">IF(E464="",0,NETWORKDAYS(E464,Controls!$B$36,Ref!$K$2:$K$42))</f>
        <v>171</v>
      </c>
      <c r="AC464" s="65" t="n">
        <f aca="false">IF(AND(AA464&gt;0,AB464&gt;=Controls!$B$39*AA464),1,0)</f>
        <v>1</v>
      </c>
      <c r="AD464" s="65" t="n">
        <f aca="false">IF(AND(E464&lt;&gt;"",E464&gt;=Controls!$B$37,E464&lt;=Controls!$B$38),1,0)</f>
        <v>1</v>
      </c>
      <c r="AE464" s="65" t="n">
        <f aca="false">IF(IFERROR(VLOOKUP(D464,Controls!$A$64:$E$74,2,FALSE()),"No")="Yes",1,0)</f>
        <v>0</v>
      </c>
      <c r="AF464" s="65" t="n">
        <f aca="false">IF(IFERROR(VLOOKUP(D464,Controls!$A$64:$E$74,3,FALSE()),"No")="Yes",1,0)</f>
        <v>0</v>
      </c>
      <c r="AG464" s="65" t="n">
        <f aca="false">IF(IFERROR(VLOOKUP(D464,Controls!$A$64:$E$74,4,FALSE()),"No")="Yes",1,0)</f>
        <v>0</v>
      </c>
      <c r="AH464" s="65" t="n">
        <f aca="false">IF(IFERROR(VLOOKUP(D464,Controls!$A$64:$E$74,5,FALSE()),"No")="Yes",1,0)</f>
        <v>0</v>
      </c>
      <c r="AI464" s="65" t="n">
        <f aca="false">IF(ISNUMBER(MATCH(D464,Controls!$A$64:$A$74,0)),1,0)</f>
        <v>1</v>
      </c>
      <c r="AJ464" s="65" t="n">
        <f aca="false">Q464-N464</f>
        <v>-12614.78</v>
      </c>
      <c r="AK464" s="65" t="n">
        <f aca="false">IF(AE464=1,MAX(0,N464-Q464),0)</f>
        <v>0</v>
      </c>
      <c r="AL464" s="65" t="n">
        <f aca="false">IF(OR(V464="",V464=0),0,N464/V464)</f>
        <v>0.568541291334658</v>
      </c>
      <c r="AM464" s="65" t="n">
        <f aca="false">IF(OR(V464="",V464=0),0,1)</f>
        <v>1</v>
      </c>
      <c r="AN464" s="65" t="n">
        <f aca="false">IF(OR(E464="",F464=""),0,NETWORKDAYS(E464,F464,Ref!$K$2:$K$42))</f>
        <v>167</v>
      </c>
      <c r="AO464" s="65" t="n">
        <f aca="false">IF(L464="Renewal",1,0)</f>
        <v>0</v>
      </c>
      <c r="AP464" s="65" t="n">
        <f aca="false">AC464*AD464</f>
        <v>1</v>
      </c>
      <c r="AQ464" s="65" t="n">
        <f aca="false">IF(AND(G464&lt;&gt;"",'Historical Score'!$C$6&lt;&gt;""),IF(G464='Historical Score'!$C$6,1,0),0)</f>
        <v>0</v>
      </c>
      <c r="AR464" s="65" t="n">
        <f aca="false">IF(AND(L464&lt;&gt;"",'Historical Score'!$C$5&lt;&gt;""),IF(L464='Historical Score'!$C$5,1,0),0)</f>
        <v>1</v>
      </c>
      <c r="AS464" s="65" t="n">
        <f aca="false">IF(AND(Y464&lt;&gt;"",'Historical Score'!$C$7&lt;&gt;""),IF(Y464='Historical Score'!$C$7,1,0),0)</f>
        <v>0</v>
      </c>
      <c r="AT464" s="65" t="n">
        <f aca="false">IF(AND(K464&lt;&gt;"",'Historical Score'!$C$8&lt;&gt;""),IF(K464='Historical Score'!$C$8,1,0),0)</f>
        <v>0</v>
      </c>
      <c r="AU464" s="65" t="n">
        <f aca="false">IF(AND(J464&lt;&gt;"",'Historical Score'!$C$9&lt;&gt;""),IF(J464='Historical Score'!$C$9,1,0),0)</f>
        <v>0</v>
      </c>
      <c r="AV464" s="65" t="n">
        <f aca="false">AR464*AS464*AQ464</f>
        <v>0</v>
      </c>
      <c r="AW464" s="65" t="n">
        <f aca="false">AR464*AT464*AQ464</f>
        <v>0</v>
      </c>
      <c r="AX464" s="65" t="n">
        <f aca="false">AR464*AS464</f>
        <v>0</v>
      </c>
      <c r="AY464" s="65" t="n">
        <f aca="false">AR464*AT464</f>
        <v>0</v>
      </c>
      <c r="AZ464" s="65" t="n">
        <f aca="false">AR464*AQ464</f>
        <v>0</v>
      </c>
      <c r="BA464" s="65" t="n">
        <f aca="false">AR464</f>
        <v>1</v>
      </c>
      <c r="BB464" s="65" t="n">
        <f aca="false">1</f>
        <v>1</v>
      </c>
      <c r="BC464" s="65" t="n">
        <f aca="false">IF(AV464=1,1,IF(AW464=1,2,IF(AX464=1,3,IF(AY464=1,4,IF(AZ464=1,5,IF(BA464=1,6,7))))))</f>
        <v>6</v>
      </c>
      <c r="BD464" s="65" t="n">
        <f aca="false">IF(AD464=1,CHOOSE('Historical Score'!$C$29,AV464,AW464,AX464,AY464,AZ464,BA464,BB464),0)</f>
        <v>0</v>
      </c>
      <c r="BE464" s="65" t="str">
        <f aca="false">IF(BD464=1,COUNTIF($BD$2:BD464,1),"")</f>
        <v/>
      </c>
    </row>
    <row r="465" customFormat="false" ht="15" hidden="false" customHeight="false" outlineLevel="0" collapsed="false">
      <c r="A465" s="65" t="s">
        <v>1758</v>
      </c>
      <c r="B465" s="65" t="s">
        <v>1759</v>
      </c>
      <c r="C465" s="65" t="s">
        <v>1759</v>
      </c>
      <c r="D465" s="65" t="s">
        <v>295</v>
      </c>
      <c r="E465" s="112" t="n">
        <v>46013</v>
      </c>
      <c r="F465" s="112" t="n">
        <v>46253</v>
      </c>
      <c r="G465" s="65" t="n">
        <v>5</v>
      </c>
      <c r="H465" s="65" t="s">
        <v>409</v>
      </c>
      <c r="I465" s="65" t="s">
        <v>342</v>
      </c>
      <c r="J465" s="65" t="s">
        <v>452</v>
      </c>
      <c r="K465" s="65" t="s">
        <v>983</v>
      </c>
      <c r="L465" s="65" t="s">
        <v>64</v>
      </c>
      <c r="M465" s="113" t="n">
        <v>1.49</v>
      </c>
      <c r="N465" s="114" t="n">
        <v>30000</v>
      </c>
      <c r="O465" s="114" t="n">
        <v>4200</v>
      </c>
      <c r="P465" s="114" t="n">
        <v>44700</v>
      </c>
      <c r="Q465" s="114" t="n">
        <v>32038.44</v>
      </c>
      <c r="R465" s="114" t="n">
        <v>12661.56</v>
      </c>
      <c r="S465" s="115" t="n">
        <v>0.716743624161074</v>
      </c>
      <c r="T465" s="65" t="n">
        <v>3.934</v>
      </c>
      <c r="U465" s="65" t="n">
        <v>81</v>
      </c>
      <c r="V465" s="65" t="n">
        <v>58513.79</v>
      </c>
      <c r="W465" s="115" t="n">
        <v>0.1337</v>
      </c>
      <c r="X465" s="112" t="n">
        <v>40118</v>
      </c>
      <c r="Y465" s="65" t="str">
        <f aca="false">IF(I465="","No SIC",IFERROR(VLOOKUP(I465,Ref!$A$2:$B$65,2,FALSE()),"Unclassified"))</f>
        <v>Eating &amp; Drinking Places</v>
      </c>
      <c r="Z465" s="65" t="str">
        <f aca="false">IF(T465="","",IF(T465&lt;12,"Daily","Weekly"))</f>
        <v>Daily</v>
      </c>
      <c r="AA465" s="65" t="n">
        <f aca="false">IF(T465="",0,IF(T465&lt;12,T465*Controls!$B$29,T465*5))</f>
        <v>85.19077</v>
      </c>
      <c r="AB465" s="65" t="n">
        <f aca="false">IF(E465="",0,NETWORKDAYS(E465,Controls!$B$36,Ref!$K$2:$K$42))</f>
        <v>171</v>
      </c>
      <c r="AC465" s="65" t="n">
        <f aca="false">IF(AND(AA465&gt;0,AB465&gt;=Controls!$B$39*AA465),1,0)</f>
        <v>1</v>
      </c>
      <c r="AD465" s="65" t="n">
        <f aca="false">IF(AND(E465&lt;&gt;"",E465&gt;=Controls!$B$37,E465&lt;=Controls!$B$38),1,0)</f>
        <v>1</v>
      </c>
      <c r="AE465" s="65" t="n">
        <f aca="false">IF(IFERROR(VLOOKUP(D465,Controls!$A$64:$E$74,2,FALSE()),"No")="Yes",1,0)</f>
        <v>0</v>
      </c>
      <c r="AF465" s="65" t="n">
        <f aca="false">IF(IFERROR(VLOOKUP(D465,Controls!$A$64:$E$74,3,FALSE()),"No")="Yes",1,0)</f>
        <v>0</v>
      </c>
      <c r="AG465" s="65" t="n">
        <f aca="false">IF(IFERROR(VLOOKUP(D465,Controls!$A$64:$E$74,4,FALSE()),"No")="Yes",1,0)</f>
        <v>0</v>
      </c>
      <c r="AH465" s="65" t="n">
        <f aca="false">IF(IFERROR(VLOOKUP(D465,Controls!$A$64:$E$74,5,FALSE()),"No")="Yes",1,0)</f>
        <v>1</v>
      </c>
      <c r="AI465" s="65" t="n">
        <f aca="false">IF(ISNUMBER(MATCH(D465,Controls!$A$64:$A$74,0)),1,0)</f>
        <v>1</v>
      </c>
      <c r="AJ465" s="65" t="n">
        <f aca="false">Q465-N465</f>
        <v>2038.44</v>
      </c>
      <c r="AK465" s="65" t="n">
        <f aca="false">IF(AE465=1,MAX(0,N465-Q465),0)</f>
        <v>0</v>
      </c>
      <c r="AL465" s="65" t="n">
        <f aca="false">IF(OR(V465="",V465=0),0,N465/V465)</f>
        <v>0.512699655927261</v>
      </c>
      <c r="AM465" s="65" t="n">
        <f aca="false">IF(OR(V465="",V465=0),0,1)</f>
        <v>1</v>
      </c>
      <c r="AN465" s="65" t="n">
        <f aca="false">IF(OR(E465="",F465=""),0,NETWORKDAYS(E465,F465,Ref!$K$2:$K$42))</f>
        <v>167</v>
      </c>
      <c r="AO465" s="65" t="n">
        <f aca="false">IF(L465="Renewal",1,0)</f>
        <v>0</v>
      </c>
      <c r="AP465" s="65" t="n">
        <f aca="false">AC465*AD465</f>
        <v>1</v>
      </c>
      <c r="AQ465" s="65" t="n">
        <f aca="false">IF(AND(G465&lt;&gt;"",'Historical Score'!$C$6&lt;&gt;""),IF(G465='Historical Score'!$C$6,1,0),0)</f>
        <v>0</v>
      </c>
      <c r="AR465" s="65" t="n">
        <f aca="false">IF(AND(L465&lt;&gt;"",'Historical Score'!$C$5&lt;&gt;""),IF(L465='Historical Score'!$C$5,1,0),0)</f>
        <v>1</v>
      </c>
      <c r="AS465" s="65" t="n">
        <f aca="false">IF(AND(Y465&lt;&gt;"",'Historical Score'!$C$7&lt;&gt;""),IF(Y465='Historical Score'!$C$7,1,0),0)</f>
        <v>0</v>
      </c>
      <c r="AT465" s="65" t="n">
        <f aca="false">IF(AND(K465&lt;&gt;"",'Historical Score'!$C$8&lt;&gt;""),IF(K465='Historical Score'!$C$8,1,0),0)</f>
        <v>0</v>
      </c>
      <c r="AU465" s="65" t="n">
        <f aca="false">IF(AND(J465&lt;&gt;"",'Historical Score'!$C$9&lt;&gt;""),IF(J465='Historical Score'!$C$9,1,0),0)</f>
        <v>0</v>
      </c>
      <c r="AV465" s="65" t="n">
        <f aca="false">AR465*AS465*AQ465</f>
        <v>0</v>
      </c>
      <c r="AW465" s="65" t="n">
        <f aca="false">AR465*AT465*AQ465</f>
        <v>0</v>
      </c>
      <c r="AX465" s="65" t="n">
        <f aca="false">AR465*AS465</f>
        <v>0</v>
      </c>
      <c r="AY465" s="65" t="n">
        <f aca="false">AR465*AT465</f>
        <v>0</v>
      </c>
      <c r="AZ465" s="65" t="n">
        <f aca="false">AR465*AQ465</f>
        <v>0</v>
      </c>
      <c r="BA465" s="65" t="n">
        <f aca="false">AR465</f>
        <v>1</v>
      </c>
      <c r="BB465" s="65" t="n">
        <f aca="false">1</f>
        <v>1</v>
      </c>
      <c r="BC465" s="65" t="n">
        <f aca="false">IF(AV465=1,1,IF(AW465=1,2,IF(AX465=1,3,IF(AY465=1,4,IF(AZ465=1,5,IF(BA465=1,6,7))))))</f>
        <v>6</v>
      </c>
      <c r="BD465" s="65" t="n">
        <f aca="false">IF(AD465=1,CHOOSE('Historical Score'!$C$29,AV465,AW465,AX465,AY465,AZ465,BA465,BB465),0)</f>
        <v>0</v>
      </c>
      <c r="BE465" s="65" t="str">
        <f aca="false">IF(BD465=1,COUNTIF($BD$2:BD465,1),"")</f>
        <v/>
      </c>
    </row>
    <row r="466" customFormat="false" ht="15" hidden="false" customHeight="false" outlineLevel="0" collapsed="false">
      <c r="A466" s="65" t="s">
        <v>1760</v>
      </c>
      <c r="B466" s="65" t="s">
        <v>1761</v>
      </c>
      <c r="C466" s="65" t="s">
        <v>1761</v>
      </c>
      <c r="D466" s="65" t="s">
        <v>340</v>
      </c>
      <c r="E466" s="112" t="n">
        <v>46014</v>
      </c>
      <c r="F466" s="112" t="n">
        <v>46149</v>
      </c>
      <c r="G466" s="65" t="n">
        <v>3</v>
      </c>
      <c r="H466" s="65" t="s">
        <v>404</v>
      </c>
      <c r="I466" s="65" t="s">
        <v>405</v>
      </c>
      <c r="J466" s="65" t="s">
        <v>495</v>
      </c>
      <c r="K466" s="65" t="s">
        <v>55</v>
      </c>
      <c r="L466" s="65" t="s">
        <v>64</v>
      </c>
      <c r="M466" s="113" t="n">
        <v>1.49</v>
      </c>
      <c r="N466" s="114" t="n">
        <v>40000</v>
      </c>
      <c r="O466" s="114" t="n">
        <v>0</v>
      </c>
      <c r="P466" s="114" t="n">
        <v>59600</v>
      </c>
      <c r="Q466" s="114" t="n">
        <v>9535.44</v>
      </c>
      <c r="R466" s="114" t="n">
        <v>50064.56</v>
      </c>
      <c r="S466" s="115" t="n">
        <v>0.159990604026846</v>
      </c>
      <c r="T466" s="65" t="n">
        <v>2.459</v>
      </c>
      <c r="U466" s="65" t="n">
        <v>73</v>
      </c>
      <c r="V466" s="65" t="n">
        <v>31520.5</v>
      </c>
      <c r="W466" s="115" t="n">
        <v>0.5294</v>
      </c>
      <c r="X466" s="112" t="n">
        <v>44655</v>
      </c>
      <c r="Y466" s="65" t="str">
        <f aca="false">IF(I466="","No SIC",IFERROR(VLOOKUP(I466,Ref!$A$2:$B$65,2,FALSE()),"Unclassified"))</f>
        <v>Health Services</v>
      </c>
      <c r="Z466" s="65" t="str">
        <f aca="false">IF(T466="","",IF(T466&lt;12,"Daily","Weekly"))</f>
        <v>Daily</v>
      </c>
      <c r="AA466" s="65" t="n">
        <f aca="false">IF(T466="",0,IF(T466&lt;12,T466*Controls!$B$29,T466*5))</f>
        <v>53.249645</v>
      </c>
      <c r="AB466" s="65" t="n">
        <f aca="false">IF(E466="",0,NETWORKDAYS(E466,Controls!$B$36,Ref!$K$2:$K$42))</f>
        <v>170</v>
      </c>
      <c r="AC466" s="65" t="n">
        <f aca="false">IF(AND(AA466&gt;0,AB466&gt;=Controls!$B$39*AA466),1,0)</f>
        <v>1</v>
      </c>
      <c r="AD466" s="65" t="n">
        <f aca="false">IF(AND(E466&lt;&gt;"",E466&gt;=Controls!$B$37,E466&lt;=Controls!$B$38),1,0)</f>
        <v>1</v>
      </c>
      <c r="AE466" s="65" t="n">
        <f aca="false">IF(IFERROR(VLOOKUP(D466,Controls!$A$64:$E$74,2,FALSE()),"No")="Yes",1,0)</f>
        <v>1</v>
      </c>
      <c r="AF466" s="65" t="n">
        <f aca="false">IF(IFERROR(VLOOKUP(D466,Controls!$A$64:$E$74,3,FALSE()),"No")="Yes",1,0)</f>
        <v>0</v>
      </c>
      <c r="AG466" s="65" t="n">
        <f aca="false">IF(IFERROR(VLOOKUP(D466,Controls!$A$64:$E$74,4,FALSE()),"No")="Yes",1,0)</f>
        <v>0</v>
      </c>
      <c r="AH466" s="65" t="n">
        <f aca="false">IF(IFERROR(VLOOKUP(D466,Controls!$A$64:$E$74,5,FALSE()),"No")="Yes",1,0)</f>
        <v>0</v>
      </c>
      <c r="AI466" s="65" t="n">
        <f aca="false">IF(ISNUMBER(MATCH(D466,Controls!$A$64:$A$74,0)),1,0)</f>
        <v>1</v>
      </c>
      <c r="AJ466" s="65" t="n">
        <f aca="false">Q466-N466</f>
        <v>-30464.56</v>
      </c>
      <c r="AK466" s="65" t="n">
        <f aca="false">IF(AE466=1,MAX(0,N466-Q466),0)</f>
        <v>30464.56</v>
      </c>
      <c r="AL466" s="65" t="n">
        <f aca="false">IF(OR(V466="",V466=0),0,N466/V466)</f>
        <v>1.26901540267445</v>
      </c>
      <c r="AM466" s="65" t="n">
        <f aca="false">IF(OR(V466="",V466=0),0,1)</f>
        <v>1</v>
      </c>
      <c r="AN466" s="65" t="n">
        <f aca="false">IF(OR(E466="",F466=""),0,NETWORKDAYS(E466,F466,Ref!$K$2:$K$42))</f>
        <v>94</v>
      </c>
      <c r="AO466" s="65" t="n">
        <f aca="false">IF(L466="Renewal",1,0)</f>
        <v>0</v>
      </c>
      <c r="AP466" s="65" t="n">
        <f aca="false">AC466*AD466</f>
        <v>1</v>
      </c>
      <c r="AQ466" s="65" t="n">
        <f aca="false">IF(AND(G466&lt;&gt;"",'Historical Score'!$C$6&lt;&gt;""),IF(G466='Historical Score'!$C$6,1,0),0)</f>
        <v>0</v>
      </c>
      <c r="AR466" s="65" t="n">
        <f aca="false">IF(AND(L466&lt;&gt;"",'Historical Score'!$C$5&lt;&gt;""),IF(L466='Historical Score'!$C$5,1,0),0)</f>
        <v>1</v>
      </c>
      <c r="AS466" s="65" t="n">
        <f aca="false">IF(AND(Y466&lt;&gt;"",'Historical Score'!$C$7&lt;&gt;""),IF(Y466='Historical Score'!$C$7,1,0),0)</f>
        <v>0</v>
      </c>
      <c r="AT466" s="65" t="n">
        <f aca="false">IF(AND(K466&lt;&gt;"",'Historical Score'!$C$8&lt;&gt;""),IF(K466='Historical Score'!$C$8,1,0),0)</f>
        <v>1</v>
      </c>
      <c r="AU466" s="65" t="n">
        <f aca="false">IF(AND(J466&lt;&gt;"",'Historical Score'!$C$9&lt;&gt;""),IF(J466='Historical Score'!$C$9,1,0),0)</f>
        <v>0</v>
      </c>
      <c r="AV466" s="65" t="n">
        <f aca="false">AR466*AS466*AQ466</f>
        <v>0</v>
      </c>
      <c r="AW466" s="65" t="n">
        <f aca="false">AR466*AT466*AQ466</f>
        <v>0</v>
      </c>
      <c r="AX466" s="65" t="n">
        <f aca="false">AR466*AS466</f>
        <v>0</v>
      </c>
      <c r="AY466" s="65" t="n">
        <f aca="false">AR466*AT466</f>
        <v>1</v>
      </c>
      <c r="AZ466" s="65" t="n">
        <f aca="false">AR466*AQ466</f>
        <v>0</v>
      </c>
      <c r="BA466" s="65" t="n">
        <f aca="false">AR466</f>
        <v>1</v>
      </c>
      <c r="BB466" s="65" t="n">
        <f aca="false">1</f>
        <v>1</v>
      </c>
      <c r="BC466" s="65" t="n">
        <f aca="false">IF(AV466=1,1,IF(AW466=1,2,IF(AX466=1,3,IF(AY466=1,4,IF(AZ466=1,5,IF(BA466=1,6,7))))))</f>
        <v>4</v>
      </c>
      <c r="BD466" s="65" t="n">
        <f aca="false">IF(AD466=1,CHOOSE('Historical Score'!$C$29,AV466,AW466,AX466,AY466,AZ466,BA466,BB466),0)</f>
        <v>0</v>
      </c>
      <c r="BE466" s="65" t="str">
        <f aca="false">IF(BD466=1,COUNTIF($BD$2:BD466,1),"")</f>
        <v/>
      </c>
    </row>
    <row r="467" customFormat="false" ht="15" hidden="false" customHeight="false" outlineLevel="0" collapsed="false">
      <c r="A467" s="65" t="s">
        <v>1762</v>
      </c>
      <c r="B467" s="65" t="s">
        <v>1763</v>
      </c>
      <c r="C467" s="65" t="s">
        <v>1764</v>
      </c>
      <c r="D467" s="65" t="s">
        <v>533</v>
      </c>
      <c r="E467" s="112" t="n">
        <v>46014</v>
      </c>
      <c r="F467" s="112" t="n">
        <v>46150</v>
      </c>
      <c r="G467" s="65" t="n">
        <v>1</v>
      </c>
      <c r="H467" s="65" t="s">
        <v>500</v>
      </c>
      <c r="I467" s="65" t="s">
        <v>475</v>
      </c>
      <c r="J467" s="65" t="s">
        <v>350</v>
      </c>
      <c r="K467" s="65" t="s">
        <v>538</v>
      </c>
      <c r="L467" s="65" t="s">
        <v>64</v>
      </c>
      <c r="M467" s="113" t="n">
        <v>1.49</v>
      </c>
      <c r="N467" s="114" t="n">
        <v>20000</v>
      </c>
      <c r="O467" s="114" t="n">
        <v>2800</v>
      </c>
      <c r="P467" s="114" t="n">
        <v>29800</v>
      </c>
      <c r="Q467" s="114" t="n">
        <v>13020.24</v>
      </c>
      <c r="R467" s="114" t="n">
        <v>16779.76</v>
      </c>
      <c r="S467" s="115" t="n">
        <v>0.436920805369128</v>
      </c>
      <c r="T467" s="65" t="n">
        <v>26</v>
      </c>
      <c r="U467" s="65" t="n">
        <v>4</v>
      </c>
      <c r="V467" s="65" t="n">
        <v>37862.35</v>
      </c>
      <c r="W467" s="115" t="n">
        <v>0.1211</v>
      </c>
      <c r="X467" s="112" t="n">
        <v>44825</v>
      </c>
      <c r="Y467" s="65" t="str">
        <f aca="false">IF(I467="","No SIC",IFERROR(VLOOKUP(I467,Ref!$A$2:$B$65,2,FALSE()),"Unclassified"))</f>
        <v>Auto Repair &amp; Services</v>
      </c>
      <c r="Z467" s="65" t="str">
        <f aca="false">IF(T467="","",IF(T467&lt;12,"Daily","Weekly"))</f>
        <v>Weekly</v>
      </c>
      <c r="AA467" s="65" t="n">
        <f aca="false">IF(T467="",0,IF(T467&lt;12,T467*Controls!$B$29,T467*5))</f>
        <v>130</v>
      </c>
      <c r="AB467" s="65" t="n">
        <f aca="false">IF(E467="",0,NETWORKDAYS(E467,Controls!$B$36,Ref!$K$2:$K$42))</f>
        <v>170</v>
      </c>
      <c r="AC467" s="65" t="n">
        <f aca="false">IF(AND(AA467&gt;0,AB467&gt;=Controls!$B$39*AA467),1,0)</f>
        <v>1</v>
      </c>
      <c r="AD467" s="65" t="n">
        <f aca="false">IF(AND(E467&lt;&gt;"",E467&gt;=Controls!$B$37,E467&lt;=Controls!$B$38),1,0)</f>
        <v>1</v>
      </c>
      <c r="AE467" s="65" t="n">
        <f aca="false">IF(IFERROR(VLOOKUP(D467,Controls!$A$64:$E$74,2,FALSE()),"No")="Yes",1,0)</f>
        <v>1</v>
      </c>
      <c r="AF467" s="65" t="n">
        <f aca="false">IF(IFERROR(VLOOKUP(D467,Controls!$A$64:$E$74,3,FALSE()),"No")="Yes",1,0)</f>
        <v>0</v>
      </c>
      <c r="AG467" s="65" t="n">
        <f aca="false">IF(IFERROR(VLOOKUP(D467,Controls!$A$64:$E$74,4,FALSE()),"No")="Yes",1,0)</f>
        <v>0</v>
      </c>
      <c r="AH467" s="65" t="n">
        <f aca="false">IF(IFERROR(VLOOKUP(D467,Controls!$A$64:$E$74,5,FALSE()),"No")="Yes",1,0)</f>
        <v>0</v>
      </c>
      <c r="AI467" s="65" t="n">
        <f aca="false">IF(ISNUMBER(MATCH(D467,Controls!$A$64:$A$74,0)),1,0)</f>
        <v>1</v>
      </c>
      <c r="AJ467" s="65" t="n">
        <f aca="false">Q467-N467</f>
        <v>-6979.76</v>
      </c>
      <c r="AK467" s="65" t="n">
        <f aca="false">IF(AE467=1,MAX(0,N467-Q467),0)</f>
        <v>6979.76</v>
      </c>
      <c r="AL467" s="65" t="n">
        <f aca="false">IF(OR(V467="",V467=0),0,N467/V467)</f>
        <v>0.528229230356806</v>
      </c>
      <c r="AM467" s="65" t="n">
        <f aca="false">IF(OR(V467="",V467=0),0,1)</f>
        <v>1</v>
      </c>
      <c r="AN467" s="65" t="n">
        <f aca="false">IF(OR(E467="",F467=""),0,NETWORKDAYS(E467,F467,Ref!$K$2:$K$42))</f>
        <v>95</v>
      </c>
      <c r="AO467" s="65" t="n">
        <f aca="false">IF(L467="Renewal",1,0)</f>
        <v>0</v>
      </c>
      <c r="AP467" s="65" t="n">
        <f aca="false">AC467*AD467</f>
        <v>1</v>
      </c>
      <c r="AQ467" s="65" t="n">
        <f aca="false">IF(AND(G467&lt;&gt;"",'Historical Score'!$C$6&lt;&gt;""),IF(G467='Historical Score'!$C$6,1,0),0)</f>
        <v>0</v>
      </c>
      <c r="AR467" s="65" t="n">
        <f aca="false">IF(AND(L467&lt;&gt;"",'Historical Score'!$C$5&lt;&gt;""),IF(L467='Historical Score'!$C$5,1,0),0)</f>
        <v>1</v>
      </c>
      <c r="AS467" s="65" t="n">
        <f aca="false">IF(AND(Y467&lt;&gt;"",'Historical Score'!$C$7&lt;&gt;""),IF(Y467='Historical Score'!$C$7,1,0),0)</f>
        <v>0</v>
      </c>
      <c r="AT467" s="65" t="n">
        <f aca="false">IF(AND(K467&lt;&gt;"",'Historical Score'!$C$8&lt;&gt;""),IF(K467='Historical Score'!$C$8,1,0),0)</f>
        <v>0</v>
      </c>
      <c r="AU467" s="65" t="n">
        <f aca="false">IF(AND(J467&lt;&gt;"",'Historical Score'!$C$9&lt;&gt;""),IF(J467='Historical Score'!$C$9,1,0),0)</f>
        <v>0</v>
      </c>
      <c r="AV467" s="65" t="n">
        <f aca="false">AR467*AS467*AQ467</f>
        <v>0</v>
      </c>
      <c r="AW467" s="65" t="n">
        <f aca="false">AR467*AT467*AQ467</f>
        <v>0</v>
      </c>
      <c r="AX467" s="65" t="n">
        <f aca="false">AR467*AS467</f>
        <v>0</v>
      </c>
      <c r="AY467" s="65" t="n">
        <f aca="false">AR467*AT467</f>
        <v>0</v>
      </c>
      <c r="AZ467" s="65" t="n">
        <f aca="false">AR467*AQ467</f>
        <v>0</v>
      </c>
      <c r="BA467" s="65" t="n">
        <f aca="false">AR467</f>
        <v>1</v>
      </c>
      <c r="BB467" s="65" t="n">
        <f aca="false">1</f>
        <v>1</v>
      </c>
      <c r="BC467" s="65" t="n">
        <f aca="false">IF(AV467=1,1,IF(AW467=1,2,IF(AX467=1,3,IF(AY467=1,4,IF(AZ467=1,5,IF(BA467=1,6,7))))))</f>
        <v>6</v>
      </c>
      <c r="BD467" s="65" t="n">
        <f aca="false">IF(AD467=1,CHOOSE('Historical Score'!$C$29,AV467,AW467,AX467,AY467,AZ467,BA467,BB467),0)</f>
        <v>0</v>
      </c>
      <c r="BE467" s="65" t="str">
        <f aca="false">IF(BD467=1,COUNTIF($BD$2:BD467,1),"")</f>
        <v/>
      </c>
    </row>
    <row r="468" customFormat="false" ht="15" hidden="false" customHeight="false" outlineLevel="0" collapsed="false">
      <c r="A468" s="65" t="s">
        <v>1765</v>
      </c>
      <c r="B468" s="65" t="s">
        <v>1766</v>
      </c>
      <c r="C468" s="65" t="s">
        <v>1766</v>
      </c>
      <c r="D468" s="65" t="s">
        <v>371</v>
      </c>
      <c r="E468" s="112" t="n">
        <v>46014</v>
      </c>
      <c r="F468" s="112" t="n">
        <v>46078</v>
      </c>
      <c r="G468" s="65" t="n">
        <v>1</v>
      </c>
      <c r="H468" s="65" t="s">
        <v>409</v>
      </c>
      <c r="I468" s="65" t="s">
        <v>342</v>
      </c>
      <c r="J468" s="65" t="s">
        <v>61</v>
      </c>
      <c r="K468" s="65" t="s">
        <v>581</v>
      </c>
      <c r="L468" s="65" t="s">
        <v>64</v>
      </c>
      <c r="M468" s="113" t="n">
        <v>1.49</v>
      </c>
      <c r="N468" s="114" t="n">
        <v>12000</v>
      </c>
      <c r="O468" s="114" t="n">
        <v>1680</v>
      </c>
      <c r="P468" s="114" t="n">
        <v>17880</v>
      </c>
      <c r="Q468" s="114" t="n">
        <v>17880</v>
      </c>
      <c r="R468" s="114" t="n">
        <v>0</v>
      </c>
      <c r="S468" s="115" t="n">
        <v>1</v>
      </c>
      <c r="T468" s="65" t="n">
        <v>2.951</v>
      </c>
      <c r="U468" s="65" t="n">
        <v>0</v>
      </c>
      <c r="V468" s="65" t="n">
        <v>30000</v>
      </c>
      <c r="W468" s="115" t="n">
        <v>0.1192</v>
      </c>
      <c r="X468" s="112"/>
      <c r="Y468" s="65" t="str">
        <f aca="false">IF(I468="","No SIC",IFERROR(VLOOKUP(I468,Ref!$A$2:$B$65,2,FALSE()),"Unclassified"))</f>
        <v>Eating &amp; Drinking Places</v>
      </c>
      <c r="Z468" s="65" t="str">
        <f aca="false">IF(T468="","",IF(T468&lt;12,"Daily","Weekly"))</f>
        <v>Daily</v>
      </c>
      <c r="AA468" s="65" t="n">
        <f aca="false">IF(T468="",0,IF(T468&lt;12,T468*Controls!$B$29,T468*5))</f>
        <v>63.903905</v>
      </c>
      <c r="AB468" s="65" t="n">
        <f aca="false">IF(E468="",0,NETWORKDAYS(E468,Controls!$B$36,Ref!$K$2:$K$42))</f>
        <v>170</v>
      </c>
      <c r="AC468" s="65" t="n">
        <f aca="false">IF(AND(AA468&gt;0,AB468&gt;=Controls!$B$39*AA468),1,0)</f>
        <v>1</v>
      </c>
      <c r="AD468" s="65" t="n">
        <f aca="false">IF(AND(E468&lt;&gt;"",E468&gt;=Controls!$B$37,E468&lt;=Controls!$B$38),1,0)</f>
        <v>1</v>
      </c>
      <c r="AE468" s="65" t="n">
        <f aca="false">IF(IFERROR(VLOOKUP(D468,Controls!$A$64:$E$74,2,FALSE()),"No")="Yes",1,0)</f>
        <v>0</v>
      </c>
      <c r="AF468" s="65" t="n">
        <f aca="false">IF(IFERROR(VLOOKUP(D468,Controls!$A$64:$E$74,3,FALSE()),"No")="Yes",1,0)</f>
        <v>1</v>
      </c>
      <c r="AG468" s="65" t="n">
        <f aca="false">IF(IFERROR(VLOOKUP(D468,Controls!$A$64:$E$74,4,FALSE()),"No")="Yes",1,0)</f>
        <v>1</v>
      </c>
      <c r="AH468" s="65" t="n">
        <f aca="false">IF(IFERROR(VLOOKUP(D468,Controls!$A$64:$E$74,5,FALSE()),"No")="Yes",1,0)</f>
        <v>0</v>
      </c>
      <c r="AI468" s="65" t="n">
        <f aca="false">IF(ISNUMBER(MATCH(D468,Controls!$A$64:$A$74,0)),1,0)</f>
        <v>1</v>
      </c>
      <c r="AJ468" s="65" t="n">
        <f aca="false">Q468-N468</f>
        <v>5880</v>
      </c>
      <c r="AK468" s="65" t="n">
        <f aca="false">IF(AE468=1,MAX(0,N468-Q468),0)</f>
        <v>0</v>
      </c>
      <c r="AL468" s="65" t="n">
        <f aca="false">IF(OR(V468="",V468=0),0,N468/V468)</f>
        <v>0.4</v>
      </c>
      <c r="AM468" s="65" t="n">
        <f aca="false">IF(OR(V468="",V468=0),0,1)</f>
        <v>1</v>
      </c>
      <c r="AN468" s="65" t="n">
        <f aca="false">IF(OR(E468="",F468=""),0,NETWORKDAYS(E468,F468,Ref!$K$2:$K$42))</f>
        <v>43</v>
      </c>
      <c r="AO468" s="65" t="n">
        <f aca="false">IF(L468="Renewal",1,0)</f>
        <v>0</v>
      </c>
      <c r="AP468" s="65" t="n">
        <f aca="false">AC468*AD468</f>
        <v>1</v>
      </c>
      <c r="AQ468" s="65" t="n">
        <f aca="false">IF(AND(G468&lt;&gt;"",'Historical Score'!$C$6&lt;&gt;""),IF(G468='Historical Score'!$C$6,1,0),0)</f>
        <v>0</v>
      </c>
      <c r="AR468" s="65" t="n">
        <f aca="false">IF(AND(L468&lt;&gt;"",'Historical Score'!$C$5&lt;&gt;""),IF(L468='Historical Score'!$C$5,1,0),0)</f>
        <v>1</v>
      </c>
      <c r="AS468" s="65" t="n">
        <f aca="false">IF(AND(Y468&lt;&gt;"",'Historical Score'!$C$7&lt;&gt;""),IF(Y468='Historical Score'!$C$7,1,0),0)</f>
        <v>0</v>
      </c>
      <c r="AT468" s="65" t="n">
        <f aca="false">IF(AND(K468&lt;&gt;"",'Historical Score'!$C$8&lt;&gt;""),IF(K468='Historical Score'!$C$8,1,0),0)</f>
        <v>0</v>
      </c>
      <c r="AU468" s="65" t="n">
        <f aca="false">IF(AND(J468&lt;&gt;"",'Historical Score'!$C$9&lt;&gt;""),IF(J468='Historical Score'!$C$9,1,0),0)</f>
        <v>1</v>
      </c>
      <c r="AV468" s="65" t="n">
        <f aca="false">AR468*AS468*AQ468</f>
        <v>0</v>
      </c>
      <c r="AW468" s="65" t="n">
        <f aca="false">AR468*AT468*AQ468</f>
        <v>0</v>
      </c>
      <c r="AX468" s="65" t="n">
        <f aca="false">AR468*AS468</f>
        <v>0</v>
      </c>
      <c r="AY468" s="65" t="n">
        <f aca="false">AR468*AT468</f>
        <v>0</v>
      </c>
      <c r="AZ468" s="65" t="n">
        <f aca="false">AR468*AQ468</f>
        <v>0</v>
      </c>
      <c r="BA468" s="65" t="n">
        <f aca="false">AR468</f>
        <v>1</v>
      </c>
      <c r="BB468" s="65" t="n">
        <f aca="false">1</f>
        <v>1</v>
      </c>
      <c r="BC468" s="65" t="n">
        <f aca="false">IF(AV468=1,1,IF(AW468=1,2,IF(AX468=1,3,IF(AY468=1,4,IF(AZ468=1,5,IF(BA468=1,6,7))))))</f>
        <v>6</v>
      </c>
      <c r="BD468" s="65" t="n">
        <f aca="false">IF(AD468=1,CHOOSE('Historical Score'!$C$29,AV468,AW468,AX468,AY468,AZ468,BA468,BB468),0)</f>
        <v>0</v>
      </c>
      <c r="BE468" s="65" t="str">
        <f aca="false">IF(BD468=1,COUNTIF($BD$2:BD468,1),"")</f>
        <v/>
      </c>
    </row>
    <row r="469" customFormat="false" ht="15" hidden="false" customHeight="false" outlineLevel="0" collapsed="false">
      <c r="A469" s="65" t="s">
        <v>1767</v>
      </c>
      <c r="B469" s="65" t="s">
        <v>571</v>
      </c>
      <c r="C469" s="65" t="s">
        <v>571</v>
      </c>
      <c r="D469" s="65" t="s">
        <v>371</v>
      </c>
      <c r="E469" s="112" t="n">
        <v>46014</v>
      </c>
      <c r="F469" s="112" t="n">
        <v>46162</v>
      </c>
      <c r="G469" s="65" t="n">
        <v>2</v>
      </c>
      <c r="H469" s="65" t="s">
        <v>572</v>
      </c>
      <c r="I469" s="65" t="s">
        <v>419</v>
      </c>
      <c r="J469" s="65" t="s">
        <v>732</v>
      </c>
      <c r="K469" s="65" t="s">
        <v>543</v>
      </c>
      <c r="L469" s="65" t="s">
        <v>320</v>
      </c>
      <c r="M469" s="113" t="n">
        <v>1.45</v>
      </c>
      <c r="N469" s="114" t="n">
        <v>10000</v>
      </c>
      <c r="O469" s="114" t="n">
        <v>1200</v>
      </c>
      <c r="P469" s="114" t="n">
        <v>14500</v>
      </c>
      <c r="Q469" s="114" t="n">
        <v>14500</v>
      </c>
      <c r="R469" s="114" t="n">
        <v>0</v>
      </c>
      <c r="S469" s="115" t="n">
        <v>1</v>
      </c>
      <c r="T469" s="65" t="n">
        <v>3.934</v>
      </c>
      <c r="U469" s="65" t="n">
        <v>0</v>
      </c>
      <c r="V469" s="65" t="n">
        <v>12993</v>
      </c>
      <c r="W469" s="115" t="n">
        <v>0.1953</v>
      </c>
      <c r="X469" s="112" t="n">
        <v>45280</v>
      </c>
      <c r="Y469" s="65" t="str">
        <f aca="false">IF(I469="","No SIC",IFERROR(VLOOKUP(I469,Ref!$A$2:$B$65,2,FALSE()),"Unclassified"))</f>
        <v>Business Services</v>
      </c>
      <c r="Z469" s="65" t="str">
        <f aca="false">IF(T469="","",IF(T469&lt;12,"Daily","Weekly"))</f>
        <v>Daily</v>
      </c>
      <c r="AA469" s="65" t="n">
        <f aca="false">IF(T469="",0,IF(T469&lt;12,T469*Controls!$B$29,T469*5))</f>
        <v>85.19077</v>
      </c>
      <c r="AB469" s="65" t="n">
        <f aca="false">IF(E469="",0,NETWORKDAYS(E469,Controls!$B$36,Ref!$K$2:$K$42))</f>
        <v>170</v>
      </c>
      <c r="AC469" s="65" t="n">
        <f aca="false">IF(AND(AA469&gt;0,AB469&gt;=Controls!$B$39*AA469),1,0)</f>
        <v>1</v>
      </c>
      <c r="AD469" s="65" t="n">
        <f aca="false">IF(AND(E469&lt;&gt;"",E469&gt;=Controls!$B$37,E469&lt;=Controls!$B$38),1,0)</f>
        <v>1</v>
      </c>
      <c r="AE469" s="65" t="n">
        <f aca="false">IF(IFERROR(VLOOKUP(D469,Controls!$A$64:$E$74,2,FALSE()),"No")="Yes",1,0)</f>
        <v>0</v>
      </c>
      <c r="AF469" s="65" t="n">
        <f aca="false">IF(IFERROR(VLOOKUP(D469,Controls!$A$64:$E$74,3,FALSE()),"No")="Yes",1,0)</f>
        <v>1</v>
      </c>
      <c r="AG469" s="65" t="n">
        <f aca="false">IF(IFERROR(VLOOKUP(D469,Controls!$A$64:$E$74,4,FALSE()),"No")="Yes",1,0)</f>
        <v>1</v>
      </c>
      <c r="AH469" s="65" t="n">
        <f aca="false">IF(IFERROR(VLOOKUP(D469,Controls!$A$64:$E$74,5,FALSE()),"No")="Yes",1,0)</f>
        <v>0</v>
      </c>
      <c r="AI469" s="65" t="n">
        <f aca="false">IF(ISNUMBER(MATCH(D469,Controls!$A$64:$A$74,0)),1,0)</f>
        <v>1</v>
      </c>
      <c r="AJ469" s="65" t="n">
        <f aca="false">Q469-N469</f>
        <v>4500</v>
      </c>
      <c r="AK469" s="65" t="n">
        <f aca="false">IF(AE469=1,MAX(0,N469-Q469),0)</f>
        <v>0</v>
      </c>
      <c r="AL469" s="65" t="n">
        <f aca="false">IF(OR(V469="",V469=0),0,N469/V469)</f>
        <v>0.769645193565766</v>
      </c>
      <c r="AM469" s="65" t="n">
        <f aca="false">IF(OR(V469="",V469=0),0,1)</f>
        <v>1</v>
      </c>
      <c r="AN469" s="65" t="n">
        <f aca="false">IF(OR(E469="",F469=""),0,NETWORKDAYS(E469,F469,Ref!$K$2:$K$42))</f>
        <v>103</v>
      </c>
      <c r="AO469" s="65" t="n">
        <f aca="false">IF(L469="Renewal",1,0)</f>
        <v>1</v>
      </c>
      <c r="AP469" s="65" t="n">
        <f aca="false">AC469*AD469</f>
        <v>1</v>
      </c>
      <c r="AQ469" s="65" t="n">
        <f aca="false">IF(AND(G469&lt;&gt;"",'Historical Score'!$C$6&lt;&gt;""),IF(G469='Historical Score'!$C$6,1,0),0)</f>
        <v>1</v>
      </c>
      <c r="AR469" s="65" t="n">
        <f aca="false">IF(AND(L469&lt;&gt;"",'Historical Score'!$C$5&lt;&gt;""),IF(L469='Historical Score'!$C$5,1,0),0)</f>
        <v>0</v>
      </c>
      <c r="AS469" s="65" t="n">
        <f aca="false">IF(AND(Y469&lt;&gt;"",'Historical Score'!$C$7&lt;&gt;""),IF(Y469='Historical Score'!$C$7,1,0),0)</f>
        <v>0</v>
      </c>
      <c r="AT469" s="65" t="n">
        <f aca="false">IF(AND(K469&lt;&gt;"",'Historical Score'!$C$8&lt;&gt;""),IF(K469='Historical Score'!$C$8,1,0),0)</f>
        <v>0</v>
      </c>
      <c r="AU469" s="65" t="n">
        <f aca="false">IF(AND(J469&lt;&gt;"",'Historical Score'!$C$9&lt;&gt;""),IF(J469='Historical Score'!$C$9,1,0),0)</f>
        <v>0</v>
      </c>
      <c r="AV469" s="65" t="n">
        <f aca="false">AR469*AS469*AQ469</f>
        <v>0</v>
      </c>
      <c r="AW469" s="65" t="n">
        <f aca="false">AR469*AT469*AQ469</f>
        <v>0</v>
      </c>
      <c r="AX469" s="65" t="n">
        <f aca="false">AR469*AS469</f>
        <v>0</v>
      </c>
      <c r="AY469" s="65" t="n">
        <f aca="false">AR469*AT469</f>
        <v>0</v>
      </c>
      <c r="AZ469" s="65" t="n">
        <f aca="false">AR469*AQ469</f>
        <v>0</v>
      </c>
      <c r="BA469" s="65" t="n">
        <f aca="false">AR469</f>
        <v>0</v>
      </c>
      <c r="BB469" s="65" t="n">
        <f aca="false">1</f>
        <v>1</v>
      </c>
      <c r="BC469" s="65" t="n">
        <f aca="false">IF(AV469=1,1,IF(AW469=1,2,IF(AX469=1,3,IF(AY469=1,4,IF(AZ469=1,5,IF(BA469=1,6,7))))))</f>
        <v>7</v>
      </c>
      <c r="BD469" s="65" t="n">
        <f aca="false">IF(AD469=1,CHOOSE('Historical Score'!$C$29,AV469,AW469,AX469,AY469,AZ469,BA469,BB469),0)</f>
        <v>0</v>
      </c>
      <c r="BE469" s="65" t="str">
        <f aca="false">IF(BD469=1,COUNTIF($BD$2:BD469,1),"")</f>
        <v/>
      </c>
    </row>
    <row r="470" customFormat="false" ht="15" hidden="false" customHeight="false" outlineLevel="0" collapsed="false">
      <c r="A470" s="65" t="s">
        <v>1768</v>
      </c>
      <c r="B470" s="65" t="s">
        <v>1202</v>
      </c>
      <c r="C470" s="65" t="s">
        <v>1202</v>
      </c>
      <c r="D470" s="65" t="s">
        <v>371</v>
      </c>
      <c r="E470" s="112" t="n">
        <v>46014</v>
      </c>
      <c r="F470" s="112" t="n">
        <v>46223</v>
      </c>
      <c r="G470" s="65" t="n">
        <v>3</v>
      </c>
      <c r="H470" s="65" t="s">
        <v>436</v>
      </c>
      <c r="I470" s="65" t="s">
        <v>437</v>
      </c>
      <c r="J470" s="65" t="s">
        <v>1203</v>
      </c>
      <c r="K470" s="65" t="s">
        <v>1204</v>
      </c>
      <c r="L470" s="65" t="s">
        <v>320</v>
      </c>
      <c r="M470" s="113" t="n">
        <v>1.39</v>
      </c>
      <c r="N470" s="114" t="n">
        <v>30000</v>
      </c>
      <c r="O470" s="114" t="n">
        <v>2700</v>
      </c>
      <c r="P470" s="114" t="n">
        <v>41700</v>
      </c>
      <c r="Q470" s="114" t="n">
        <v>41700</v>
      </c>
      <c r="R470" s="114" t="n">
        <v>0</v>
      </c>
      <c r="S470" s="115" t="n">
        <v>1</v>
      </c>
      <c r="T470" s="65" t="n">
        <v>30</v>
      </c>
      <c r="U470" s="65" t="n">
        <v>1</v>
      </c>
      <c r="V470" s="65" t="n">
        <v>80453.13</v>
      </c>
      <c r="W470" s="115" t="n">
        <v>0.0619</v>
      </c>
      <c r="X470" s="112"/>
      <c r="Y470" s="65" t="str">
        <f aca="false">IF(I470="","No SIC",IFERROR(VLOOKUP(I470,Ref!$A$2:$B$65,2,FALSE()),"Unclassified"))</f>
        <v>Social Services</v>
      </c>
      <c r="Z470" s="65" t="str">
        <f aca="false">IF(T470="","",IF(T470&lt;12,"Daily","Weekly"))</f>
        <v>Weekly</v>
      </c>
      <c r="AA470" s="65" t="n">
        <f aca="false">IF(T470="",0,IF(T470&lt;12,T470*Controls!$B$29,T470*5))</f>
        <v>150</v>
      </c>
      <c r="AB470" s="65" t="n">
        <f aca="false">IF(E470="",0,NETWORKDAYS(E470,Controls!$B$36,Ref!$K$2:$K$42))</f>
        <v>170</v>
      </c>
      <c r="AC470" s="65" t="n">
        <f aca="false">IF(AND(AA470&gt;0,AB470&gt;=Controls!$B$39*AA470),1,0)</f>
        <v>0</v>
      </c>
      <c r="AD470" s="65" t="n">
        <f aca="false">IF(AND(E470&lt;&gt;"",E470&gt;=Controls!$B$37,E470&lt;=Controls!$B$38),1,0)</f>
        <v>1</v>
      </c>
      <c r="AE470" s="65" t="n">
        <f aca="false">IF(IFERROR(VLOOKUP(D470,Controls!$A$64:$E$74,2,FALSE()),"No")="Yes",1,0)</f>
        <v>0</v>
      </c>
      <c r="AF470" s="65" t="n">
        <f aca="false">IF(IFERROR(VLOOKUP(D470,Controls!$A$64:$E$74,3,FALSE()),"No")="Yes",1,0)</f>
        <v>1</v>
      </c>
      <c r="AG470" s="65" t="n">
        <f aca="false">IF(IFERROR(VLOOKUP(D470,Controls!$A$64:$E$74,4,FALSE()),"No")="Yes",1,0)</f>
        <v>1</v>
      </c>
      <c r="AH470" s="65" t="n">
        <f aca="false">IF(IFERROR(VLOOKUP(D470,Controls!$A$64:$E$74,5,FALSE()),"No")="Yes",1,0)</f>
        <v>0</v>
      </c>
      <c r="AI470" s="65" t="n">
        <f aca="false">IF(ISNUMBER(MATCH(D470,Controls!$A$64:$A$74,0)),1,0)</f>
        <v>1</v>
      </c>
      <c r="AJ470" s="65" t="n">
        <f aca="false">Q470-N470</f>
        <v>11700</v>
      </c>
      <c r="AK470" s="65" t="n">
        <f aca="false">IF(AE470=1,MAX(0,N470-Q470),0)</f>
        <v>0</v>
      </c>
      <c r="AL470" s="65" t="n">
        <f aca="false">IF(OR(V470="",V470=0),0,N470/V470)</f>
        <v>0.372887916231475</v>
      </c>
      <c r="AM470" s="65" t="n">
        <f aca="false">IF(OR(V470="",V470=0),0,1)</f>
        <v>1</v>
      </c>
      <c r="AN470" s="65" t="n">
        <f aca="false">IF(OR(E470="",F470=""),0,NETWORKDAYS(E470,F470,Ref!$K$2:$K$42))</f>
        <v>144</v>
      </c>
      <c r="AO470" s="65" t="n">
        <f aca="false">IF(L470="Renewal",1,0)</f>
        <v>1</v>
      </c>
      <c r="AP470" s="65" t="n">
        <f aca="false">AC470*AD470</f>
        <v>0</v>
      </c>
      <c r="AQ470" s="65" t="n">
        <f aca="false">IF(AND(G470&lt;&gt;"",'Historical Score'!$C$6&lt;&gt;""),IF(G470='Historical Score'!$C$6,1,0),0)</f>
        <v>0</v>
      </c>
      <c r="AR470" s="65" t="n">
        <f aca="false">IF(AND(L470&lt;&gt;"",'Historical Score'!$C$5&lt;&gt;""),IF(L470='Historical Score'!$C$5,1,0),0)</f>
        <v>0</v>
      </c>
      <c r="AS470" s="65" t="n">
        <f aca="false">IF(AND(Y470&lt;&gt;"",'Historical Score'!$C$7&lt;&gt;""),IF(Y470='Historical Score'!$C$7,1,0),0)</f>
        <v>0</v>
      </c>
      <c r="AT470" s="65" t="n">
        <f aca="false">IF(AND(K470&lt;&gt;"",'Historical Score'!$C$8&lt;&gt;""),IF(K470='Historical Score'!$C$8,1,0),0)</f>
        <v>0</v>
      </c>
      <c r="AU470" s="65" t="n">
        <f aca="false">IF(AND(J470&lt;&gt;"",'Historical Score'!$C$9&lt;&gt;""),IF(J470='Historical Score'!$C$9,1,0),0)</f>
        <v>0</v>
      </c>
      <c r="AV470" s="65" t="n">
        <f aca="false">AR470*AS470*AQ470</f>
        <v>0</v>
      </c>
      <c r="AW470" s="65" t="n">
        <f aca="false">AR470*AT470*AQ470</f>
        <v>0</v>
      </c>
      <c r="AX470" s="65" t="n">
        <f aca="false">AR470*AS470</f>
        <v>0</v>
      </c>
      <c r="AY470" s="65" t="n">
        <f aca="false">AR470*AT470</f>
        <v>0</v>
      </c>
      <c r="AZ470" s="65" t="n">
        <f aca="false">AR470*AQ470</f>
        <v>0</v>
      </c>
      <c r="BA470" s="65" t="n">
        <f aca="false">AR470</f>
        <v>0</v>
      </c>
      <c r="BB470" s="65" t="n">
        <f aca="false">1</f>
        <v>1</v>
      </c>
      <c r="BC470" s="65" t="n">
        <f aca="false">IF(AV470=1,1,IF(AW470=1,2,IF(AX470=1,3,IF(AY470=1,4,IF(AZ470=1,5,IF(BA470=1,6,7))))))</f>
        <v>7</v>
      </c>
      <c r="BD470" s="65" t="n">
        <f aca="false">IF(AD470=1,CHOOSE('Historical Score'!$C$29,AV470,AW470,AX470,AY470,AZ470,BA470,BB470),0)</f>
        <v>0</v>
      </c>
      <c r="BE470" s="65" t="str">
        <f aca="false">IF(BD470=1,COUNTIF($BD$2:BD470,1),"")</f>
        <v/>
      </c>
    </row>
    <row r="471" customFormat="false" ht="15" hidden="false" customHeight="false" outlineLevel="0" collapsed="false">
      <c r="A471" s="65" t="s">
        <v>1769</v>
      </c>
      <c r="B471" s="65" t="s">
        <v>1770</v>
      </c>
      <c r="C471" s="65" t="s">
        <v>1770</v>
      </c>
      <c r="D471" s="65" t="s">
        <v>371</v>
      </c>
      <c r="E471" s="112" t="n">
        <v>46014</v>
      </c>
      <c r="F471" s="112" t="n">
        <v>46163</v>
      </c>
      <c r="G471" s="65" t="n">
        <v>4</v>
      </c>
      <c r="J471" s="65" t="s">
        <v>350</v>
      </c>
      <c r="K471" s="65" t="s">
        <v>1591</v>
      </c>
      <c r="L471" s="65" t="s">
        <v>64</v>
      </c>
      <c r="M471" s="113" t="n">
        <v>1.49</v>
      </c>
      <c r="N471" s="114" t="n">
        <v>15000</v>
      </c>
      <c r="O471" s="114" t="n">
        <v>2100</v>
      </c>
      <c r="P471" s="114" t="n">
        <v>22350</v>
      </c>
      <c r="Q471" s="114" t="n">
        <v>22350</v>
      </c>
      <c r="R471" s="114" t="n">
        <v>0</v>
      </c>
      <c r="S471" s="115" t="n">
        <v>1</v>
      </c>
      <c r="T471" s="65" t="n">
        <v>3.279</v>
      </c>
      <c r="U471" s="65" t="n">
        <v>1</v>
      </c>
      <c r="V471" s="65" t="n">
        <v>94527.26</v>
      </c>
      <c r="W471" s="115" t="n">
        <v>0.0497</v>
      </c>
      <c r="X471" s="112" t="n">
        <v>42906</v>
      </c>
      <c r="Y471" s="65" t="str">
        <f aca="false">IF(I471="","No SIC",IFERROR(VLOOKUP(I471,Ref!$A$2:$B$65,2,FALSE()),"Unclassified"))</f>
        <v>No SIC</v>
      </c>
      <c r="Z471" s="65" t="str">
        <f aca="false">IF(T471="","",IF(T471&lt;12,"Daily","Weekly"))</f>
        <v>Daily</v>
      </c>
      <c r="AA471" s="65" t="n">
        <f aca="false">IF(T471="",0,IF(T471&lt;12,T471*Controls!$B$29,T471*5))</f>
        <v>71.006745</v>
      </c>
      <c r="AB471" s="65" t="n">
        <f aca="false">IF(E471="",0,NETWORKDAYS(E471,Controls!$B$36,Ref!$K$2:$K$42))</f>
        <v>170</v>
      </c>
      <c r="AC471" s="65" t="n">
        <f aca="false">IF(AND(AA471&gt;0,AB471&gt;=Controls!$B$39*AA471),1,0)</f>
        <v>1</v>
      </c>
      <c r="AD471" s="65" t="n">
        <f aca="false">IF(AND(E471&lt;&gt;"",E471&gt;=Controls!$B$37,E471&lt;=Controls!$B$38),1,0)</f>
        <v>1</v>
      </c>
      <c r="AE471" s="65" t="n">
        <f aca="false">IF(IFERROR(VLOOKUP(D471,Controls!$A$64:$E$74,2,FALSE()),"No")="Yes",1,0)</f>
        <v>0</v>
      </c>
      <c r="AF471" s="65" t="n">
        <f aca="false">IF(IFERROR(VLOOKUP(D471,Controls!$A$64:$E$74,3,FALSE()),"No")="Yes",1,0)</f>
        <v>1</v>
      </c>
      <c r="AG471" s="65" t="n">
        <f aca="false">IF(IFERROR(VLOOKUP(D471,Controls!$A$64:$E$74,4,FALSE()),"No")="Yes",1,0)</f>
        <v>1</v>
      </c>
      <c r="AH471" s="65" t="n">
        <f aca="false">IF(IFERROR(VLOOKUP(D471,Controls!$A$64:$E$74,5,FALSE()),"No")="Yes",1,0)</f>
        <v>0</v>
      </c>
      <c r="AI471" s="65" t="n">
        <f aca="false">IF(ISNUMBER(MATCH(D471,Controls!$A$64:$A$74,0)),1,0)</f>
        <v>1</v>
      </c>
      <c r="AJ471" s="65" t="n">
        <f aca="false">Q471-N471</f>
        <v>7350</v>
      </c>
      <c r="AK471" s="65" t="n">
        <f aca="false">IF(AE471=1,MAX(0,N471-Q471),0)</f>
        <v>0</v>
      </c>
      <c r="AL471" s="65" t="n">
        <f aca="false">IF(OR(V471="",V471=0),0,N471/V471)</f>
        <v>0.158684383742848</v>
      </c>
      <c r="AM471" s="65" t="n">
        <f aca="false">IF(OR(V471="",V471=0),0,1)</f>
        <v>1</v>
      </c>
      <c r="AN471" s="65" t="n">
        <f aca="false">IF(OR(E471="",F471=""),0,NETWORKDAYS(E471,F471,Ref!$K$2:$K$42))</f>
        <v>104</v>
      </c>
      <c r="AO471" s="65" t="n">
        <f aca="false">IF(L471="Renewal",1,0)</f>
        <v>0</v>
      </c>
      <c r="AP471" s="65" t="n">
        <f aca="false">AC471*AD471</f>
        <v>1</v>
      </c>
      <c r="AQ471" s="65" t="n">
        <f aca="false">IF(AND(G471&lt;&gt;"",'Historical Score'!$C$6&lt;&gt;""),IF(G471='Historical Score'!$C$6,1,0),0)</f>
        <v>0</v>
      </c>
      <c r="AR471" s="65" t="n">
        <f aca="false">IF(AND(L471&lt;&gt;"",'Historical Score'!$C$5&lt;&gt;""),IF(L471='Historical Score'!$C$5,1,0),0)</f>
        <v>1</v>
      </c>
      <c r="AS471" s="65" t="n">
        <f aca="false">IF(AND(Y471&lt;&gt;"",'Historical Score'!$C$7&lt;&gt;""),IF(Y471='Historical Score'!$C$7,1,0),0)</f>
        <v>0</v>
      </c>
      <c r="AT471" s="65" t="n">
        <f aca="false">IF(AND(K471&lt;&gt;"",'Historical Score'!$C$8&lt;&gt;""),IF(K471='Historical Score'!$C$8,1,0),0)</f>
        <v>0</v>
      </c>
      <c r="AU471" s="65" t="n">
        <f aca="false">IF(AND(J471&lt;&gt;"",'Historical Score'!$C$9&lt;&gt;""),IF(J471='Historical Score'!$C$9,1,0),0)</f>
        <v>0</v>
      </c>
      <c r="AV471" s="65" t="n">
        <f aca="false">AR471*AS471*AQ471</f>
        <v>0</v>
      </c>
      <c r="AW471" s="65" t="n">
        <f aca="false">AR471*AT471*AQ471</f>
        <v>0</v>
      </c>
      <c r="AX471" s="65" t="n">
        <f aca="false">AR471*AS471</f>
        <v>0</v>
      </c>
      <c r="AY471" s="65" t="n">
        <f aca="false">AR471*AT471</f>
        <v>0</v>
      </c>
      <c r="AZ471" s="65" t="n">
        <f aca="false">AR471*AQ471</f>
        <v>0</v>
      </c>
      <c r="BA471" s="65" t="n">
        <f aca="false">AR471</f>
        <v>1</v>
      </c>
      <c r="BB471" s="65" t="n">
        <f aca="false">1</f>
        <v>1</v>
      </c>
      <c r="BC471" s="65" t="n">
        <f aca="false">IF(AV471=1,1,IF(AW471=1,2,IF(AX471=1,3,IF(AY471=1,4,IF(AZ471=1,5,IF(BA471=1,6,7))))))</f>
        <v>6</v>
      </c>
      <c r="BD471" s="65" t="n">
        <f aca="false">IF(AD471=1,CHOOSE('Historical Score'!$C$29,AV471,AW471,AX471,AY471,AZ471,BA471,BB471),0)</f>
        <v>0</v>
      </c>
      <c r="BE471" s="65" t="str">
        <f aca="false">IF(BD471=1,COUNTIF($BD$2:BD471,1),"")</f>
        <v/>
      </c>
    </row>
    <row r="472" customFormat="false" ht="15" hidden="false" customHeight="false" outlineLevel="0" collapsed="false">
      <c r="A472" s="65" t="s">
        <v>1771</v>
      </c>
      <c r="B472" s="65" t="s">
        <v>1772</v>
      </c>
      <c r="C472" s="65" t="s">
        <v>1773</v>
      </c>
      <c r="D472" s="65" t="s">
        <v>533</v>
      </c>
      <c r="E472" s="112" t="n">
        <v>46014</v>
      </c>
      <c r="F472" s="112" t="n">
        <v>46252</v>
      </c>
      <c r="G472" s="65" t="n">
        <v>3</v>
      </c>
      <c r="H472" s="65" t="s">
        <v>1700</v>
      </c>
      <c r="I472" s="65" t="s">
        <v>1357</v>
      </c>
      <c r="J472" s="65" t="s">
        <v>350</v>
      </c>
      <c r="K472" s="65" t="s">
        <v>961</v>
      </c>
      <c r="L472" s="65" t="s">
        <v>64</v>
      </c>
      <c r="M472" s="113" t="n">
        <v>1.39</v>
      </c>
      <c r="N472" s="114" t="n">
        <v>155000</v>
      </c>
      <c r="O472" s="114" t="n">
        <v>19375</v>
      </c>
      <c r="P472" s="114" t="n">
        <v>215450</v>
      </c>
      <c r="Q472" s="114" t="n">
        <v>132370.03</v>
      </c>
      <c r="R472" s="114" t="n">
        <v>83079.97</v>
      </c>
      <c r="S472" s="115" t="n">
        <v>0.614388628452077</v>
      </c>
      <c r="T472" s="65" t="n">
        <v>30</v>
      </c>
      <c r="U472" s="65" t="n">
        <v>6</v>
      </c>
      <c r="V472" s="65" t="n">
        <v>668121.63</v>
      </c>
      <c r="W472" s="115" t="n">
        <v>0.043</v>
      </c>
      <c r="X472" s="112" t="n">
        <v>43466</v>
      </c>
      <c r="Y472" s="65" t="str">
        <f aca="false">IF(I472="","No SIC",IFERROR(VLOOKUP(I472,Ref!$A$2:$B$65,2,FALSE()),"Unclassified"))</f>
        <v>Insurance Carriers</v>
      </c>
      <c r="Z472" s="65" t="str">
        <f aca="false">IF(T472="","",IF(T472&lt;12,"Daily","Weekly"))</f>
        <v>Weekly</v>
      </c>
      <c r="AA472" s="65" t="n">
        <f aca="false">IF(T472="",0,IF(T472&lt;12,T472*Controls!$B$29,T472*5))</f>
        <v>150</v>
      </c>
      <c r="AB472" s="65" t="n">
        <f aca="false">IF(E472="",0,NETWORKDAYS(E472,Controls!$B$36,Ref!$K$2:$K$42))</f>
        <v>170</v>
      </c>
      <c r="AC472" s="65" t="n">
        <f aca="false">IF(AND(AA472&gt;0,AB472&gt;=Controls!$B$39*AA472),1,0)</f>
        <v>0</v>
      </c>
      <c r="AD472" s="65" t="n">
        <f aca="false">IF(AND(E472&lt;&gt;"",E472&gt;=Controls!$B$37,E472&lt;=Controls!$B$38),1,0)</f>
        <v>1</v>
      </c>
      <c r="AE472" s="65" t="n">
        <f aca="false">IF(IFERROR(VLOOKUP(D472,Controls!$A$64:$E$74,2,FALSE()),"No")="Yes",1,0)</f>
        <v>1</v>
      </c>
      <c r="AF472" s="65" t="n">
        <f aca="false">IF(IFERROR(VLOOKUP(D472,Controls!$A$64:$E$74,3,FALSE()),"No")="Yes",1,0)</f>
        <v>0</v>
      </c>
      <c r="AG472" s="65" t="n">
        <f aca="false">IF(IFERROR(VLOOKUP(D472,Controls!$A$64:$E$74,4,FALSE()),"No")="Yes",1,0)</f>
        <v>0</v>
      </c>
      <c r="AH472" s="65" t="n">
        <f aca="false">IF(IFERROR(VLOOKUP(D472,Controls!$A$64:$E$74,5,FALSE()),"No")="Yes",1,0)</f>
        <v>0</v>
      </c>
      <c r="AI472" s="65" t="n">
        <f aca="false">IF(ISNUMBER(MATCH(D472,Controls!$A$64:$A$74,0)),1,0)</f>
        <v>1</v>
      </c>
      <c r="AJ472" s="65" t="n">
        <f aca="false">Q472-N472</f>
        <v>-22629.97</v>
      </c>
      <c r="AK472" s="65" t="n">
        <f aca="false">IF(AE472=1,MAX(0,N472-Q472),0)</f>
        <v>22629.97</v>
      </c>
      <c r="AL472" s="65" t="n">
        <f aca="false">IF(OR(V472="",V472=0),0,N472/V472)</f>
        <v>0.231993686538782</v>
      </c>
      <c r="AM472" s="65" t="n">
        <f aca="false">IF(OR(V472="",V472=0),0,1)</f>
        <v>1</v>
      </c>
      <c r="AN472" s="65" t="n">
        <f aca="false">IF(OR(E472="",F472=""),0,NETWORKDAYS(E472,F472,Ref!$K$2:$K$42))</f>
        <v>165</v>
      </c>
      <c r="AO472" s="65" t="n">
        <f aca="false">IF(L472="Renewal",1,0)</f>
        <v>0</v>
      </c>
      <c r="AP472" s="65" t="n">
        <f aca="false">AC472*AD472</f>
        <v>0</v>
      </c>
      <c r="AQ472" s="65" t="n">
        <f aca="false">IF(AND(G472&lt;&gt;"",'Historical Score'!$C$6&lt;&gt;""),IF(G472='Historical Score'!$C$6,1,0),0)</f>
        <v>0</v>
      </c>
      <c r="AR472" s="65" t="n">
        <f aca="false">IF(AND(L472&lt;&gt;"",'Historical Score'!$C$5&lt;&gt;""),IF(L472='Historical Score'!$C$5,1,0),0)</f>
        <v>1</v>
      </c>
      <c r="AS472" s="65" t="n">
        <f aca="false">IF(AND(Y472&lt;&gt;"",'Historical Score'!$C$7&lt;&gt;""),IF(Y472='Historical Score'!$C$7,1,0),0)</f>
        <v>0</v>
      </c>
      <c r="AT472" s="65" t="n">
        <f aca="false">IF(AND(K472&lt;&gt;"",'Historical Score'!$C$8&lt;&gt;""),IF(K472='Historical Score'!$C$8,1,0),0)</f>
        <v>0</v>
      </c>
      <c r="AU472" s="65" t="n">
        <f aca="false">IF(AND(J472&lt;&gt;"",'Historical Score'!$C$9&lt;&gt;""),IF(J472='Historical Score'!$C$9,1,0),0)</f>
        <v>0</v>
      </c>
      <c r="AV472" s="65" t="n">
        <f aca="false">AR472*AS472*AQ472</f>
        <v>0</v>
      </c>
      <c r="AW472" s="65" t="n">
        <f aca="false">AR472*AT472*AQ472</f>
        <v>0</v>
      </c>
      <c r="AX472" s="65" t="n">
        <f aca="false">AR472*AS472</f>
        <v>0</v>
      </c>
      <c r="AY472" s="65" t="n">
        <f aca="false">AR472*AT472</f>
        <v>0</v>
      </c>
      <c r="AZ472" s="65" t="n">
        <f aca="false">AR472*AQ472</f>
        <v>0</v>
      </c>
      <c r="BA472" s="65" t="n">
        <f aca="false">AR472</f>
        <v>1</v>
      </c>
      <c r="BB472" s="65" t="n">
        <f aca="false">1</f>
        <v>1</v>
      </c>
      <c r="BC472" s="65" t="n">
        <f aca="false">IF(AV472=1,1,IF(AW472=1,2,IF(AX472=1,3,IF(AY472=1,4,IF(AZ472=1,5,IF(BA472=1,6,7))))))</f>
        <v>6</v>
      </c>
      <c r="BD472" s="65" t="n">
        <f aca="false">IF(AD472=1,CHOOSE('Historical Score'!$C$29,AV472,AW472,AX472,AY472,AZ472,BA472,BB472),0)</f>
        <v>0</v>
      </c>
      <c r="BE472" s="65" t="str">
        <f aca="false">IF(BD472=1,COUNTIF($BD$2:BD472,1),"")</f>
        <v/>
      </c>
    </row>
    <row r="473" customFormat="false" ht="15" hidden="false" customHeight="false" outlineLevel="0" collapsed="false">
      <c r="A473" s="65" t="s">
        <v>1774</v>
      </c>
      <c r="B473" s="65" t="s">
        <v>1775</v>
      </c>
      <c r="C473" s="65" t="s">
        <v>1776</v>
      </c>
      <c r="D473" s="65" t="s">
        <v>371</v>
      </c>
      <c r="E473" s="112" t="n">
        <v>46014</v>
      </c>
      <c r="F473" s="112" t="n">
        <v>46100</v>
      </c>
      <c r="G473" s="65" t="n">
        <v>3</v>
      </c>
      <c r="H473" s="65" t="s">
        <v>391</v>
      </c>
      <c r="I473" s="65" t="s">
        <v>392</v>
      </c>
      <c r="J473" s="65" t="s">
        <v>452</v>
      </c>
      <c r="K473" s="65" t="s">
        <v>961</v>
      </c>
      <c r="L473" s="65" t="s">
        <v>64</v>
      </c>
      <c r="M473" s="113" t="n">
        <v>1.42</v>
      </c>
      <c r="N473" s="114" t="n">
        <v>21500</v>
      </c>
      <c r="O473" s="114" t="n">
        <v>3117.5</v>
      </c>
      <c r="P473" s="114" t="n">
        <v>30530</v>
      </c>
      <c r="Q473" s="114" t="n">
        <v>30530</v>
      </c>
      <c r="R473" s="114" t="n">
        <v>0</v>
      </c>
      <c r="S473" s="115" t="n">
        <v>1</v>
      </c>
      <c r="T473" s="65" t="n">
        <v>3.934</v>
      </c>
      <c r="U473" s="65" t="n">
        <v>0</v>
      </c>
      <c r="V473" s="65" t="n">
        <v>23515.99</v>
      </c>
      <c r="W473" s="115" t="n">
        <v>0.2272</v>
      </c>
      <c r="X473" s="112" t="n">
        <v>42017</v>
      </c>
      <c r="Y473" s="65" t="str">
        <f aca="false">IF(I473="","No SIC",IFERROR(VLOOKUP(I473,Ref!$A$2:$B$65,2,FALSE()),"Unclassified"))</f>
        <v>Real Estate</v>
      </c>
      <c r="Z473" s="65" t="str">
        <f aca="false">IF(T473="","",IF(T473&lt;12,"Daily","Weekly"))</f>
        <v>Daily</v>
      </c>
      <c r="AA473" s="65" t="n">
        <f aca="false">IF(T473="",0,IF(T473&lt;12,T473*Controls!$B$29,T473*5))</f>
        <v>85.19077</v>
      </c>
      <c r="AB473" s="65" t="n">
        <f aca="false">IF(E473="",0,NETWORKDAYS(E473,Controls!$B$36,Ref!$K$2:$K$42))</f>
        <v>170</v>
      </c>
      <c r="AC473" s="65" t="n">
        <f aca="false">IF(AND(AA473&gt;0,AB473&gt;=Controls!$B$39*AA473),1,0)</f>
        <v>1</v>
      </c>
      <c r="AD473" s="65" t="n">
        <f aca="false">IF(AND(E473&lt;&gt;"",E473&gt;=Controls!$B$37,E473&lt;=Controls!$B$38),1,0)</f>
        <v>1</v>
      </c>
      <c r="AE473" s="65" t="n">
        <f aca="false">IF(IFERROR(VLOOKUP(D473,Controls!$A$64:$E$74,2,FALSE()),"No")="Yes",1,0)</f>
        <v>0</v>
      </c>
      <c r="AF473" s="65" t="n">
        <f aca="false">IF(IFERROR(VLOOKUP(D473,Controls!$A$64:$E$74,3,FALSE()),"No")="Yes",1,0)</f>
        <v>1</v>
      </c>
      <c r="AG473" s="65" t="n">
        <f aca="false">IF(IFERROR(VLOOKUP(D473,Controls!$A$64:$E$74,4,FALSE()),"No")="Yes",1,0)</f>
        <v>1</v>
      </c>
      <c r="AH473" s="65" t="n">
        <f aca="false">IF(IFERROR(VLOOKUP(D473,Controls!$A$64:$E$74,5,FALSE()),"No")="Yes",1,0)</f>
        <v>0</v>
      </c>
      <c r="AI473" s="65" t="n">
        <f aca="false">IF(ISNUMBER(MATCH(D473,Controls!$A$64:$A$74,0)),1,0)</f>
        <v>1</v>
      </c>
      <c r="AJ473" s="65" t="n">
        <f aca="false">Q473-N473</f>
        <v>9030</v>
      </c>
      <c r="AK473" s="65" t="n">
        <f aca="false">IF(AE473=1,MAX(0,N473-Q473),0)</f>
        <v>0</v>
      </c>
      <c r="AL473" s="65" t="n">
        <f aca="false">IF(OR(V473="",V473=0),0,N473/V473)</f>
        <v>0.914271523333698</v>
      </c>
      <c r="AM473" s="65" t="n">
        <f aca="false">IF(OR(V473="",V473=0),0,1)</f>
        <v>1</v>
      </c>
      <c r="AN473" s="65" t="n">
        <f aca="false">IF(OR(E473="",F473=""),0,NETWORKDAYS(E473,F473,Ref!$K$2:$K$42))</f>
        <v>59</v>
      </c>
      <c r="AO473" s="65" t="n">
        <f aca="false">IF(L473="Renewal",1,0)</f>
        <v>0</v>
      </c>
      <c r="AP473" s="65" t="n">
        <f aca="false">AC473*AD473</f>
        <v>1</v>
      </c>
      <c r="AQ473" s="65" t="n">
        <f aca="false">IF(AND(G473&lt;&gt;"",'Historical Score'!$C$6&lt;&gt;""),IF(G473='Historical Score'!$C$6,1,0),0)</f>
        <v>0</v>
      </c>
      <c r="AR473" s="65" t="n">
        <f aca="false">IF(AND(L473&lt;&gt;"",'Historical Score'!$C$5&lt;&gt;""),IF(L473='Historical Score'!$C$5,1,0),0)</f>
        <v>1</v>
      </c>
      <c r="AS473" s="65" t="n">
        <f aca="false">IF(AND(Y473&lt;&gt;"",'Historical Score'!$C$7&lt;&gt;""),IF(Y473='Historical Score'!$C$7,1,0),0)</f>
        <v>0</v>
      </c>
      <c r="AT473" s="65" t="n">
        <f aca="false">IF(AND(K473&lt;&gt;"",'Historical Score'!$C$8&lt;&gt;""),IF(K473='Historical Score'!$C$8,1,0),0)</f>
        <v>0</v>
      </c>
      <c r="AU473" s="65" t="n">
        <f aca="false">IF(AND(J473&lt;&gt;"",'Historical Score'!$C$9&lt;&gt;""),IF(J473='Historical Score'!$C$9,1,0),0)</f>
        <v>0</v>
      </c>
      <c r="AV473" s="65" t="n">
        <f aca="false">AR473*AS473*AQ473</f>
        <v>0</v>
      </c>
      <c r="AW473" s="65" t="n">
        <f aca="false">AR473*AT473*AQ473</f>
        <v>0</v>
      </c>
      <c r="AX473" s="65" t="n">
        <f aca="false">AR473*AS473</f>
        <v>0</v>
      </c>
      <c r="AY473" s="65" t="n">
        <f aca="false">AR473*AT473</f>
        <v>0</v>
      </c>
      <c r="AZ473" s="65" t="n">
        <f aca="false">AR473*AQ473</f>
        <v>0</v>
      </c>
      <c r="BA473" s="65" t="n">
        <f aca="false">AR473</f>
        <v>1</v>
      </c>
      <c r="BB473" s="65" t="n">
        <f aca="false">1</f>
        <v>1</v>
      </c>
      <c r="BC473" s="65" t="n">
        <f aca="false">IF(AV473=1,1,IF(AW473=1,2,IF(AX473=1,3,IF(AY473=1,4,IF(AZ473=1,5,IF(BA473=1,6,7))))))</f>
        <v>6</v>
      </c>
      <c r="BD473" s="65" t="n">
        <f aca="false">IF(AD473=1,CHOOSE('Historical Score'!$C$29,AV473,AW473,AX473,AY473,AZ473,BA473,BB473),0)</f>
        <v>0</v>
      </c>
      <c r="BE473" s="65" t="str">
        <f aca="false">IF(BD473=1,COUNTIF($BD$2:BD473,1),"")</f>
        <v/>
      </c>
    </row>
    <row r="474" customFormat="false" ht="15" hidden="false" customHeight="false" outlineLevel="0" collapsed="false">
      <c r="A474" s="65" t="s">
        <v>1777</v>
      </c>
      <c r="B474" s="65" t="s">
        <v>1778</v>
      </c>
      <c r="C474" s="65" t="s">
        <v>1778</v>
      </c>
      <c r="D474" s="65" t="s">
        <v>371</v>
      </c>
      <c r="E474" s="112" t="n">
        <v>46014</v>
      </c>
      <c r="F474" s="112" t="n">
        <v>46079</v>
      </c>
      <c r="G474" s="65" t="n">
        <v>2</v>
      </c>
      <c r="H474" s="65" t="s">
        <v>409</v>
      </c>
      <c r="I474" s="65" t="s">
        <v>342</v>
      </c>
      <c r="J474" s="65" t="s">
        <v>410</v>
      </c>
      <c r="K474" s="65" t="s">
        <v>983</v>
      </c>
      <c r="L474" s="65" t="s">
        <v>64</v>
      </c>
      <c r="M474" s="113" t="n">
        <v>1.49</v>
      </c>
      <c r="N474" s="114" t="n">
        <v>20000</v>
      </c>
      <c r="O474" s="114" t="n">
        <v>2800</v>
      </c>
      <c r="P474" s="114" t="n">
        <v>29800</v>
      </c>
      <c r="Q474" s="114" t="n">
        <v>29800</v>
      </c>
      <c r="R474" s="114" t="n">
        <v>0</v>
      </c>
      <c r="S474" s="115" t="n">
        <v>1</v>
      </c>
      <c r="T474" s="65" t="n">
        <v>2.951</v>
      </c>
      <c r="U474" s="65" t="n">
        <v>0</v>
      </c>
      <c r="V474" s="65" t="n">
        <v>51003.83</v>
      </c>
      <c r="W474" s="115" t="n">
        <v>0.1363</v>
      </c>
      <c r="X474" s="112"/>
      <c r="Y474" s="65" t="str">
        <f aca="false">IF(I474="","No SIC",IFERROR(VLOOKUP(I474,Ref!$A$2:$B$65,2,FALSE()),"Unclassified"))</f>
        <v>Eating &amp; Drinking Places</v>
      </c>
      <c r="Z474" s="65" t="str">
        <f aca="false">IF(T474="","",IF(T474&lt;12,"Daily","Weekly"))</f>
        <v>Daily</v>
      </c>
      <c r="AA474" s="65" t="n">
        <f aca="false">IF(T474="",0,IF(T474&lt;12,T474*Controls!$B$29,T474*5))</f>
        <v>63.903905</v>
      </c>
      <c r="AB474" s="65" t="n">
        <f aca="false">IF(E474="",0,NETWORKDAYS(E474,Controls!$B$36,Ref!$K$2:$K$42))</f>
        <v>170</v>
      </c>
      <c r="AC474" s="65" t="n">
        <f aca="false">IF(AND(AA474&gt;0,AB474&gt;=Controls!$B$39*AA474),1,0)</f>
        <v>1</v>
      </c>
      <c r="AD474" s="65" t="n">
        <f aca="false">IF(AND(E474&lt;&gt;"",E474&gt;=Controls!$B$37,E474&lt;=Controls!$B$38),1,0)</f>
        <v>1</v>
      </c>
      <c r="AE474" s="65" t="n">
        <f aca="false">IF(IFERROR(VLOOKUP(D474,Controls!$A$64:$E$74,2,FALSE()),"No")="Yes",1,0)</f>
        <v>0</v>
      </c>
      <c r="AF474" s="65" t="n">
        <f aca="false">IF(IFERROR(VLOOKUP(D474,Controls!$A$64:$E$74,3,FALSE()),"No")="Yes",1,0)</f>
        <v>1</v>
      </c>
      <c r="AG474" s="65" t="n">
        <f aca="false">IF(IFERROR(VLOOKUP(D474,Controls!$A$64:$E$74,4,FALSE()),"No")="Yes",1,0)</f>
        <v>1</v>
      </c>
      <c r="AH474" s="65" t="n">
        <f aca="false">IF(IFERROR(VLOOKUP(D474,Controls!$A$64:$E$74,5,FALSE()),"No")="Yes",1,0)</f>
        <v>0</v>
      </c>
      <c r="AI474" s="65" t="n">
        <f aca="false">IF(ISNUMBER(MATCH(D474,Controls!$A$64:$A$74,0)),1,0)</f>
        <v>1</v>
      </c>
      <c r="AJ474" s="65" t="n">
        <f aca="false">Q474-N474</f>
        <v>9800</v>
      </c>
      <c r="AK474" s="65" t="n">
        <f aca="false">IF(AE474=1,MAX(0,N474-Q474),0)</f>
        <v>0</v>
      </c>
      <c r="AL474" s="65" t="n">
        <f aca="false">IF(OR(V474="",V474=0),0,N474/V474)</f>
        <v>0.392127414745128</v>
      </c>
      <c r="AM474" s="65" t="n">
        <f aca="false">IF(OR(V474="",V474=0),0,1)</f>
        <v>1</v>
      </c>
      <c r="AN474" s="65" t="n">
        <f aca="false">IF(OR(E474="",F474=""),0,NETWORKDAYS(E474,F474,Ref!$K$2:$K$42))</f>
        <v>44</v>
      </c>
      <c r="AO474" s="65" t="n">
        <f aca="false">IF(L474="Renewal",1,0)</f>
        <v>0</v>
      </c>
      <c r="AP474" s="65" t="n">
        <f aca="false">AC474*AD474</f>
        <v>1</v>
      </c>
      <c r="AQ474" s="65" t="n">
        <f aca="false">IF(AND(G474&lt;&gt;"",'Historical Score'!$C$6&lt;&gt;""),IF(G474='Historical Score'!$C$6,1,0),0)</f>
        <v>1</v>
      </c>
      <c r="AR474" s="65" t="n">
        <f aca="false">IF(AND(L474&lt;&gt;"",'Historical Score'!$C$5&lt;&gt;""),IF(L474='Historical Score'!$C$5,1,0),0)</f>
        <v>1</v>
      </c>
      <c r="AS474" s="65" t="n">
        <f aca="false">IF(AND(Y474&lt;&gt;"",'Historical Score'!$C$7&lt;&gt;""),IF(Y474='Historical Score'!$C$7,1,0),0)</f>
        <v>0</v>
      </c>
      <c r="AT474" s="65" t="n">
        <f aca="false">IF(AND(K474&lt;&gt;"",'Historical Score'!$C$8&lt;&gt;""),IF(K474='Historical Score'!$C$8,1,0),0)</f>
        <v>0</v>
      </c>
      <c r="AU474" s="65" t="n">
        <f aca="false">IF(AND(J474&lt;&gt;"",'Historical Score'!$C$9&lt;&gt;""),IF(J474='Historical Score'!$C$9,1,0),0)</f>
        <v>0</v>
      </c>
      <c r="AV474" s="65" t="n">
        <f aca="false">AR474*AS474*AQ474</f>
        <v>0</v>
      </c>
      <c r="AW474" s="65" t="n">
        <f aca="false">AR474*AT474*AQ474</f>
        <v>0</v>
      </c>
      <c r="AX474" s="65" t="n">
        <f aca="false">AR474*AS474</f>
        <v>0</v>
      </c>
      <c r="AY474" s="65" t="n">
        <f aca="false">AR474*AT474</f>
        <v>0</v>
      </c>
      <c r="AZ474" s="65" t="n">
        <f aca="false">AR474*AQ474</f>
        <v>1</v>
      </c>
      <c r="BA474" s="65" t="n">
        <f aca="false">AR474</f>
        <v>1</v>
      </c>
      <c r="BB474" s="65" t="n">
        <f aca="false">1</f>
        <v>1</v>
      </c>
      <c r="BC474" s="65" t="n">
        <f aca="false">IF(AV474=1,1,IF(AW474=1,2,IF(AX474=1,3,IF(AY474=1,4,IF(AZ474=1,5,IF(BA474=1,6,7))))))</f>
        <v>5</v>
      </c>
      <c r="BD474" s="65" t="n">
        <f aca="false">IF(AD474=1,CHOOSE('Historical Score'!$C$29,AV474,AW474,AX474,AY474,AZ474,BA474,BB474),0)</f>
        <v>0</v>
      </c>
      <c r="BE474" s="65" t="str">
        <f aca="false">IF(BD474=1,COUNTIF($BD$2:BD474,1),"")</f>
        <v/>
      </c>
    </row>
    <row r="475" customFormat="false" ht="15" hidden="false" customHeight="false" outlineLevel="0" collapsed="false">
      <c r="A475" s="65" t="s">
        <v>1779</v>
      </c>
      <c r="B475" s="65" t="s">
        <v>1780</v>
      </c>
      <c r="C475" s="65" t="s">
        <v>1780</v>
      </c>
      <c r="D475" s="65" t="s">
        <v>371</v>
      </c>
      <c r="E475" s="112" t="n">
        <v>46014</v>
      </c>
      <c r="F475" s="112" t="n">
        <v>46105</v>
      </c>
      <c r="G475" s="65" t="n">
        <v>3</v>
      </c>
      <c r="H475" s="65" t="s">
        <v>1781</v>
      </c>
      <c r="I475" s="65" t="s">
        <v>349</v>
      </c>
      <c r="J475" s="65" t="s">
        <v>61</v>
      </c>
      <c r="K475" s="65" t="s">
        <v>713</v>
      </c>
      <c r="L475" s="65" t="s">
        <v>64</v>
      </c>
      <c r="M475" s="113" t="n">
        <v>1.499</v>
      </c>
      <c r="N475" s="114" t="n">
        <v>7500</v>
      </c>
      <c r="O475" s="114" t="n">
        <v>1050</v>
      </c>
      <c r="P475" s="114" t="n">
        <v>11242.5</v>
      </c>
      <c r="Q475" s="114" t="n">
        <v>11242.5</v>
      </c>
      <c r="R475" s="114" t="n">
        <v>0</v>
      </c>
      <c r="S475" s="115" t="n">
        <v>1</v>
      </c>
      <c r="T475" s="65" t="n">
        <v>1.967</v>
      </c>
      <c r="U475" s="65" t="n">
        <v>2</v>
      </c>
      <c r="V475" s="65" t="n">
        <v>28125.72</v>
      </c>
      <c r="W475" s="115" t="n">
        <v>0.1297</v>
      </c>
      <c r="X475" s="112"/>
      <c r="Y475" s="65" t="str">
        <f aca="false">IF(I475="","No SIC",IFERROR(VLOOKUP(I475,Ref!$A$2:$B$65,2,FALSE()),"Unclassified"))</f>
        <v>Nonmetallic Minerals Mining</v>
      </c>
      <c r="Z475" s="65" t="str">
        <f aca="false">IF(T475="","",IF(T475&lt;12,"Daily","Weekly"))</f>
        <v>Daily</v>
      </c>
      <c r="AA475" s="65" t="n">
        <f aca="false">IF(T475="",0,IF(T475&lt;12,T475*Controls!$B$29,T475*5))</f>
        <v>42.595385</v>
      </c>
      <c r="AB475" s="65" t="n">
        <f aca="false">IF(E475="",0,NETWORKDAYS(E475,Controls!$B$36,Ref!$K$2:$K$42))</f>
        <v>170</v>
      </c>
      <c r="AC475" s="65" t="n">
        <f aca="false">IF(AND(AA475&gt;0,AB475&gt;=Controls!$B$39*AA475),1,0)</f>
        <v>1</v>
      </c>
      <c r="AD475" s="65" t="n">
        <f aca="false">IF(AND(E475&lt;&gt;"",E475&gt;=Controls!$B$37,E475&lt;=Controls!$B$38),1,0)</f>
        <v>1</v>
      </c>
      <c r="AE475" s="65" t="n">
        <f aca="false">IF(IFERROR(VLOOKUP(D475,Controls!$A$64:$E$74,2,FALSE()),"No")="Yes",1,0)</f>
        <v>0</v>
      </c>
      <c r="AF475" s="65" t="n">
        <f aca="false">IF(IFERROR(VLOOKUP(D475,Controls!$A$64:$E$74,3,FALSE()),"No")="Yes",1,0)</f>
        <v>1</v>
      </c>
      <c r="AG475" s="65" t="n">
        <f aca="false">IF(IFERROR(VLOOKUP(D475,Controls!$A$64:$E$74,4,FALSE()),"No")="Yes",1,0)</f>
        <v>1</v>
      </c>
      <c r="AH475" s="65" t="n">
        <f aca="false">IF(IFERROR(VLOOKUP(D475,Controls!$A$64:$E$74,5,FALSE()),"No")="Yes",1,0)</f>
        <v>0</v>
      </c>
      <c r="AI475" s="65" t="n">
        <f aca="false">IF(ISNUMBER(MATCH(D475,Controls!$A$64:$A$74,0)),1,0)</f>
        <v>1</v>
      </c>
      <c r="AJ475" s="65" t="n">
        <f aca="false">Q475-N475</f>
        <v>3742.5</v>
      </c>
      <c r="AK475" s="65" t="n">
        <f aca="false">IF(AE475=1,MAX(0,N475-Q475),0)</f>
        <v>0</v>
      </c>
      <c r="AL475" s="65" t="n">
        <f aca="false">IF(OR(V475="",V475=0),0,N475/V475)</f>
        <v>0.266659840174758</v>
      </c>
      <c r="AM475" s="65" t="n">
        <f aca="false">IF(OR(V475="",V475=0),0,1)</f>
        <v>1</v>
      </c>
      <c r="AN475" s="65" t="n">
        <f aca="false">IF(OR(E475="",F475=""),0,NETWORKDAYS(E475,F475,Ref!$K$2:$K$42))</f>
        <v>62</v>
      </c>
      <c r="AO475" s="65" t="n">
        <f aca="false">IF(L475="Renewal",1,0)</f>
        <v>0</v>
      </c>
      <c r="AP475" s="65" t="n">
        <f aca="false">AC475*AD475</f>
        <v>1</v>
      </c>
      <c r="AQ475" s="65" t="n">
        <f aca="false">IF(AND(G475&lt;&gt;"",'Historical Score'!$C$6&lt;&gt;""),IF(G475='Historical Score'!$C$6,1,0),0)</f>
        <v>0</v>
      </c>
      <c r="AR475" s="65" t="n">
        <f aca="false">IF(AND(L475&lt;&gt;"",'Historical Score'!$C$5&lt;&gt;""),IF(L475='Historical Score'!$C$5,1,0),0)</f>
        <v>1</v>
      </c>
      <c r="AS475" s="65" t="n">
        <f aca="false">IF(AND(Y475&lt;&gt;"",'Historical Score'!$C$7&lt;&gt;""),IF(Y475='Historical Score'!$C$7,1,0),0)</f>
        <v>0</v>
      </c>
      <c r="AT475" s="65" t="n">
        <f aca="false">IF(AND(K475&lt;&gt;"",'Historical Score'!$C$8&lt;&gt;""),IF(K475='Historical Score'!$C$8,1,0),0)</f>
        <v>0</v>
      </c>
      <c r="AU475" s="65" t="n">
        <f aca="false">IF(AND(J475&lt;&gt;"",'Historical Score'!$C$9&lt;&gt;""),IF(J475='Historical Score'!$C$9,1,0),0)</f>
        <v>1</v>
      </c>
      <c r="AV475" s="65" t="n">
        <f aca="false">AR475*AS475*AQ475</f>
        <v>0</v>
      </c>
      <c r="AW475" s="65" t="n">
        <f aca="false">AR475*AT475*AQ475</f>
        <v>0</v>
      </c>
      <c r="AX475" s="65" t="n">
        <f aca="false">AR475*AS475</f>
        <v>0</v>
      </c>
      <c r="AY475" s="65" t="n">
        <f aca="false">AR475*AT475</f>
        <v>0</v>
      </c>
      <c r="AZ475" s="65" t="n">
        <f aca="false">AR475*AQ475</f>
        <v>0</v>
      </c>
      <c r="BA475" s="65" t="n">
        <f aca="false">AR475</f>
        <v>1</v>
      </c>
      <c r="BB475" s="65" t="n">
        <f aca="false">1</f>
        <v>1</v>
      </c>
      <c r="BC475" s="65" t="n">
        <f aca="false">IF(AV475=1,1,IF(AW475=1,2,IF(AX475=1,3,IF(AY475=1,4,IF(AZ475=1,5,IF(BA475=1,6,7))))))</f>
        <v>6</v>
      </c>
      <c r="BD475" s="65" t="n">
        <f aca="false">IF(AD475=1,CHOOSE('Historical Score'!$C$29,AV475,AW475,AX475,AY475,AZ475,BA475,BB475),0)</f>
        <v>0</v>
      </c>
      <c r="BE475" s="65" t="str">
        <f aca="false">IF(BD475=1,COUNTIF($BD$2:BD475,1),"")</f>
        <v/>
      </c>
    </row>
    <row r="476" customFormat="false" ht="15" hidden="false" customHeight="false" outlineLevel="0" collapsed="false">
      <c r="A476" s="65" t="s">
        <v>1782</v>
      </c>
      <c r="B476" s="65" t="s">
        <v>1783</v>
      </c>
      <c r="C476" s="65" t="s">
        <v>1783</v>
      </c>
      <c r="D476" s="65" t="s">
        <v>371</v>
      </c>
      <c r="E476" s="112" t="n">
        <v>46015</v>
      </c>
      <c r="F476" s="112" t="n">
        <v>46252</v>
      </c>
      <c r="G476" s="65" t="n">
        <v>4</v>
      </c>
      <c r="H476" s="65" t="s">
        <v>355</v>
      </c>
      <c r="I476" s="65" t="s">
        <v>356</v>
      </c>
      <c r="J476" s="65" t="s">
        <v>452</v>
      </c>
      <c r="K476" s="65" t="s">
        <v>827</v>
      </c>
      <c r="L476" s="65" t="s">
        <v>64</v>
      </c>
      <c r="M476" s="113" t="n">
        <v>1.49</v>
      </c>
      <c r="N476" s="114" t="n">
        <v>15000</v>
      </c>
      <c r="O476" s="114" t="n">
        <v>2100</v>
      </c>
      <c r="P476" s="114" t="n">
        <v>22350</v>
      </c>
      <c r="Q476" s="114" t="n">
        <v>22350</v>
      </c>
      <c r="R476" s="114" t="n">
        <v>0</v>
      </c>
      <c r="S476" s="115" t="n">
        <v>1</v>
      </c>
      <c r="T476" s="65" t="n">
        <v>24</v>
      </c>
      <c r="U476" s="65" t="n">
        <v>3</v>
      </c>
      <c r="V476" s="65" t="n">
        <v>83734.99</v>
      </c>
      <c r="W476" s="115" t="n">
        <v>0.0445</v>
      </c>
      <c r="X476" s="112"/>
      <c r="Y476" s="65" t="str">
        <f aca="false">IF(I476="","No SIC",IFERROR(VLOOKUP(I476,Ref!$A$2:$B$65,2,FALSE()),"Unclassified"))</f>
        <v>Trucking &amp; Warehousing</v>
      </c>
      <c r="Z476" s="65" t="str">
        <f aca="false">IF(T476="","",IF(T476&lt;12,"Daily","Weekly"))</f>
        <v>Weekly</v>
      </c>
      <c r="AA476" s="65" t="n">
        <f aca="false">IF(T476="",0,IF(T476&lt;12,T476*Controls!$B$29,T476*5))</f>
        <v>120</v>
      </c>
      <c r="AB476" s="65" t="n">
        <f aca="false">IF(E476="",0,NETWORKDAYS(E476,Controls!$B$36,Ref!$K$2:$K$42))</f>
        <v>169</v>
      </c>
      <c r="AC476" s="65" t="n">
        <f aca="false">IF(AND(AA476&gt;0,AB476&gt;=Controls!$B$39*AA476),1,0)</f>
        <v>1</v>
      </c>
      <c r="AD476" s="65" t="n">
        <f aca="false">IF(AND(E476&lt;&gt;"",E476&gt;=Controls!$B$37,E476&lt;=Controls!$B$38),1,0)</f>
        <v>1</v>
      </c>
      <c r="AE476" s="65" t="n">
        <f aca="false">IF(IFERROR(VLOOKUP(D476,Controls!$A$64:$E$74,2,FALSE()),"No")="Yes",1,0)</f>
        <v>0</v>
      </c>
      <c r="AF476" s="65" t="n">
        <f aca="false">IF(IFERROR(VLOOKUP(D476,Controls!$A$64:$E$74,3,FALSE()),"No")="Yes",1,0)</f>
        <v>1</v>
      </c>
      <c r="AG476" s="65" t="n">
        <f aca="false">IF(IFERROR(VLOOKUP(D476,Controls!$A$64:$E$74,4,FALSE()),"No")="Yes",1,0)</f>
        <v>1</v>
      </c>
      <c r="AH476" s="65" t="n">
        <f aca="false">IF(IFERROR(VLOOKUP(D476,Controls!$A$64:$E$74,5,FALSE()),"No")="Yes",1,0)</f>
        <v>0</v>
      </c>
      <c r="AI476" s="65" t="n">
        <f aca="false">IF(ISNUMBER(MATCH(D476,Controls!$A$64:$A$74,0)),1,0)</f>
        <v>1</v>
      </c>
      <c r="AJ476" s="65" t="n">
        <f aca="false">Q476-N476</f>
        <v>7350</v>
      </c>
      <c r="AK476" s="65" t="n">
        <f aca="false">IF(AE476=1,MAX(0,N476-Q476),0)</f>
        <v>0</v>
      </c>
      <c r="AL476" s="65" t="n">
        <f aca="false">IF(OR(V476="",V476=0),0,N476/V476)</f>
        <v>0.179136583165532</v>
      </c>
      <c r="AM476" s="65" t="n">
        <f aca="false">IF(OR(V476="",V476=0),0,1)</f>
        <v>1</v>
      </c>
      <c r="AN476" s="65" t="n">
        <f aca="false">IF(OR(E476="",F476=""),0,NETWORKDAYS(E476,F476,Ref!$K$2:$K$42))</f>
        <v>164</v>
      </c>
      <c r="AO476" s="65" t="n">
        <f aca="false">IF(L476="Renewal",1,0)</f>
        <v>0</v>
      </c>
      <c r="AP476" s="65" t="n">
        <f aca="false">AC476*AD476</f>
        <v>1</v>
      </c>
      <c r="AQ476" s="65" t="n">
        <f aca="false">IF(AND(G476&lt;&gt;"",'Historical Score'!$C$6&lt;&gt;""),IF(G476='Historical Score'!$C$6,1,0),0)</f>
        <v>0</v>
      </c>
      <c r="AR476" s="65" t="n">
        <f aca="false">IF(AND(L476&lt;&gt;"",'Historical Score'!$C$5&lt;&gt;""),IF(L476='Historical Score'!$C$5,1,0),0)</f>
        <v>1</v>
      </c>
      <c r="AS476" s="65" t="n">
        <f aca="false">IF(AND(Y476&lt;&gt;"",'Historical Score'!$C$7&lt;&gt;""),IF(Y476='Historical Score'!$C$7,1,0),0)</f>
        <v>0</v>
      </c>
      <c r="AT476" s="65" t="n">
        <f aca="false">IF(AND(K476&lt;&gt;"",'Historical Score'!$C$8&lt;&gt;""),IF(K476='Historical Score'!$C$8,1,0),0)</f>
        <v>0</v>
      </c>
      <c r="AU476" s="65" t="n">
        <f aca="false">IF(AND(J476&lt;&gt;"",'Historical Score'!$C$9&lt;&gt;""),IF(J476='Historical Score'!$C$9,1,0),0)</f>
        <v>0</v>
      </c>
      <c r="AV476" s="65" t="n">
        <f aca="false">AR476*AS476*AQ476</f>
        <v>0</v>
      </c>
      <c r="AW476" s="65" t="n">
        <f aca="false">AR476*AT476*AQ476</f>
        <v>0</v>
      </c>
      <c r="AX476" s="65" t="n">
        <f aca="false">AR476*AS476</f>
        <v>0</v>
      </c>
      <c r="AY476" s="65" t="n">
        <f aca="false">AR476*AT476</f>
        <v>0</v>
      </c>
      <c r="AZ476" s="65" t="n">
        <f aca="false">AR476*AQ476</f>
        <v>0</v>
      </c>
      <c r="BA476" s="65" t="n">
        <f aca="false">AR476</f>
        <v>1</v>
      </c>
      <c r="BB476" s="65" t="n">
        <f aca="false">1</f>
        <v>1</v>
      </c>
      <c r="BC476" s="65" t="n">
        <f aca="false">IF(AV476=1,1,IF(AW476=1,2,IF(AX476=1,3,IF(AY476=1,4,IF(AZ476=1,5,IF(BA476=1,6,7))))))</f>
        <v>6</v>
      </c>
      <c r="BD476" s="65" t="n">
        <f aca="false">IF(AD476=1,CHOOSE('Historical Score'!$C$29,AV476,AW476,AX476,AY476,AZ476,BA476,BB476),0)</f>
        <v>0</v>
      </c>
      <c r="BE476" s="65" t="str">
        <f aca="false">IF(BD476=1,COUNTIF($BD$2:BD476,1),"")</f>
        <v/>
      </c>
    </row>
    <row r="477" customFormat="false" ht="15" hidden="false" customHeight="false" outlineLevel="0" collapsed="false">
      <c r="A477" s="65" t="s">
        <v>1784</v>
      </c>
      <c r="B477" s="65" t="s">
        <v>1785</v>
      </c>
      <c r="C477" s="65" t="s">
        <v>1785</v>
      </c>
      <c r="D477" s="65" t="s">
        <v>959</v>
      </c>
      <c r="E477" s="112" t="n">
        <v>46015</v>
      </c>
      <c r="F477" s="112" t="n">
        <v>46247</v>
      </c>
      <c r="G477" s="65" t="n">
        <v>2</v>
      </c>
      <c r="H477" s="65" t="s">
        <v>414</v>
      </c>
      <c r="I477" s="65" t="s">
        <v>415</v>
      </c>
      <c r="J477" s="65" t="s">
        <v>452</v>
      </c>
      <c r="K477" s="65" t="s">
        <v>961</v>
      </c>
      <c r="L477" s="65" t="s">
        <v>64</v>
      </c>
      <c r="M477" s="113" t="n">
        <v>1.38</v>
      </c>
      <c r="N477" s="114" t="n">
        <v>30000</v>
      </c>
      <c r="O477" s="114" t="n">
        <v>3450</v>
      </c>
      <c r="P477" s="114" t="n">
        <v>41400</v>
      </c>
      <c r="Q477" s="114" t="n">
        <v>13926.88</v>
      </c>
      <c r="R477" s="114" t="n">
        <v>27473.12</v>
      </c>
      <c r="S477" s="115" t="n">
        <v>0.33639806763285</v>
      </c>
      <c r="T477" s="65" t="n">
        <v>32</v>
      </c>
      <c r="U477" s="65" t="n">
        <v>0</v>
      </c>
      <c r="V477" s="65" t="n">
        <v>64130.95</v>
      </c>
      <c r="W477" s="115" t="n">
        <v>0.0807</v>
      </c>
      <c r="X477" s="112" t="n">
        <v>45383</v>
      </c>
      <c r="Y477" s="65" t="str">
        <f aca="false">IF(I477="","No SIC",IFERROR(VLOOKUP(I477,Ref!$A$2:$B$65,2,FALSE()),"Unclassified"))</f>
        <v>Wholesale Trade - Durable Goods</v>
      </c>
      <c r="Z477" s="65" t="str">
        <f aca="false">IF(T477="","",IF(T477&lt;12,"Daily","Weekly"))</f>
        <v>Weekly</v>
      </c>
      <c r="AA477" s="65" t="n">
        <f aca="false">IF(T477="",0,IF(T477&lt;12,T477*Controls!$B$29,T477*5))</f>
        <v>160</v>
      </c>
      <c r="AB477" s="65" t="n">
        <f aca="false">IF(E477="",0,NETWORKDAYS(E477,Controls!$B$36,Ref!$K$2:$K$42))</f>
        <v>169</v>
      </c>
      <c r="AC477" s="65" t="n">
        <f aca="false">IF(AND(AA477&gt;0,AB477&gt;=Controls!$B$39*AA477),1,0)</f>
        <v>0</v>
      </c>
      <c r="AD477" s="65" t="n">
        <f aca="false">IF(AND(E477&lt;&gt;"",E477&gt;=Controls!$B$37,E477&lt;=Controls!$B$38),1,0)</f>
        <v>1</v>
      </c>
      <c r="AE477" s="65" t="n">
        <f aca="false">IF(IFERROR(VLOOKUP(D477,Controls!$A$64:$E$74,2,FALSE()),"No")="Yes",1,0)</f>
        <v>0</v>
      </c>
      <c r="AF477" s="65" t="n">
        <f aca="false">IF(IFERROR(VLOOKUP(D477,Controls!$A$64:$E$74,3,FALSE()),"No")="Yes",1,0)</f>
        <v>0</v>
      </c>
      <c r="AG477" s="65" t="n">
        <f aca="false">IF(IFERROR(VLOOKUP(D477,Controls!$A$64:$E$74,4,FALSE()),"No")="Yes",1,0)</f>
        <v>0</v>
      </c>
      <c r="AH477" s="65" t="n">
        <f aca="false">IF(IFERROR(VLOOKUP(D477,Controls!$A$64:$E$74,5,FALSE()),"No")="Yes",1,0)</f>
        <v>0</v>
      </c>
      <c r="AI477" s="65" t="n">
        <f aca="false">IF(ISNUMBER(MATCH(D477,Controls!$A$64:$A$74,0)),1,0)</f>
        <v>1</v>
      </c>
      <c r="AJ477" s="65" t="n">
        <f aca="false">Q477-N477</f>
        <v>-16073.12</v>
      </c>
      <c r="AK477" s="65" t="n">
        <f aca="false">IF(AE477=1,MAX(0,N477-Q477),0)</f>
        <v>0</v>
      </c>
      <c r="AL477" s="65" t="n">
        <f aca="false">IF(OR(V477="",V477=0),0,N477/V477)</f>
        <v>0.467792851969291</v>
      </c>
      <c r="AM477" s="65" t="n">
        <f aca="false">IF(OR(V477="",V477=0),0,1)</f>
        <v>1</v>
      </c>
      <c r="AN477" s="65" t="n">
        <f aca="false">IF(OR(E477="",F477=""),0,NETWORKDAYS(E477,F477,Ref!$K$2:$K$42))</f>
        <v>161</v>
      </c>
      <c r="AO477" s="65" t="n">
        <f aca="false">IF(L477="Renewal",1,0)</f>
        <v>0</v>
      </c>
      <c r="AP477" s="65" t="n">
        <f aca="false">AC477*AD477</f>
        <v>0</v>
      </c>
      <c r="AQ477" s="65" t="n">
        <f aca="false">IF(AND(G477&lt;&gt;"",'Historical Score'!$C$6&lt;&gt;""),IF(G477='Historical Score'!$C$6,1,0),0)</f>
        <v>1</v>
      </c>
      <c r="AR477" s="65" t="n">
        <f aca="false">IF(AND(L477&lt;&gt;"",'Historical Score'!$C$5&lt;&gt;""),IF(L477='Historical Score'!$C$5,1,0),0)</f>
        <v>1</v>
      </c>
      <c r="AS477" s="65" t="n">
        <f aca="false">IF(AND(Y477&lt;&gt;"",'Historical Score'!$C$7&lt;&gt;""),IF(Y477='Historical Score'!$C$7,1,0),0)</f>
        <v>0</v>
      </c>
      <c r="AT477" s="65" t="n">
        <f aca="false">IF(AND(K477&lt;&gt;"",'Historical Score'!$C$8&lt;&gt;""),IF(K477='Historical Score'!$C$8,1,0),0)</f>
        <v>0</v>
      </c>
      <c r="AU477" s="65" t="n">
        <f aca="false">IF(AND(J477&lt;&gt;"",'Historical Score'!$C$9&lt;&gt;""),IF(J477='Historical Score'!$C$9,1,0),0)</f>
        <v>0</v>
      </c>
      <c r="AV477" s="65" t="n">
        <f aca="false">AR477*AS477*AQ477</f>
        <v>0</v>
      </c>
      <c r="AW477" s="65" t="n">
        <f aca="false">AR477*AT477*AQ477</f>
        <v>0</v>
      </c>
      <c r="AX477" s="65" t="n">
        <f aca="false">AR477*AS477</f>
        <v>0</v>
      </c>
      <c r="AY477" s="65" t="n">
        <f aca="false">AR477*AT477</f>
        <v>0</v>
      </c>
      <c r="AZ477" s="65" t="n">
        <f aca="false">AR477*AQ477</f>
        <v>1</v>
      </c>
      <c r="BA477" s="65" t="n">
        <f aca="false">AR477</f>
        <v>1</v>
      </c>
      <c r="BB477" s="65" t="n">
        <f aca="false">1</f>
        <v>1</v>
      </c>
      <c r="BC477" s="65" t="n">
        <f aca="false">IF(AV477=1,1,IF(AW477=1,2,IF(AX477=1,3,IF(AY477=1,4,IF(AZ477=1,5,IF(BA477=1,6,7))))))</f>
        <v>5</v>
      </c>
      <c r="BD477" s="65" t="n">
        <f aca="false">IF(AD477=1,CHOOSE('Historical Score'!$C$29,AV477,AW477,AX477,AY477,AZ477,BA477,BB477),0)</f>
        <v>0</v>
      </c>
      <c r="BE477" s="65" t="str">
        <f aca="false">IF(BD477=1,COUNTIF($BD$2:BD477,1),"")</f>
        <v/>
      </c>
    </row>
    <row r="478" customFormat="false" ht="15" hidden="false" customHeight="false" outlineLevel="0" collapsed="false">
      <c r="A478" s="65" t="s">
        <v>1786</v>
      </c>
      <c r="B478" s="65" t="s">
        <v>1787</v>
      </c>
      <c r="C478" s="65" t="s">
        <v>1787</v>
      </c>
      <c r="D478" s="65" t="s">
        <v>371</v>
      </c>
      <c r="E478" s="112" t="n">
        <v>46015</v>
      </c>
      <c r="F478" s="112" t="n">
        <v>46129</v>
      </c>
      <c r="G478" s="65" t="n">
        <v>3</v>
      </c>
      <c r="H478" s="65" t="s">
        <v>479</v>
      </c>
      <c r="I478" s="65" t="s">
        <v>356</v>
      </c>
      <c r="J478" s="65" t="s">
        <v>671</v>
      </c>
      <c r="K478" s="65" t="s">
        <v>1788</v>
      </c>
      <c r="L478" s="65" t="s">
        <v>64</v>
      </c>
      <c r="M478" s="113" t="n">
        <v>1.49</v>
      </c>
      <c r="N478" s="114" t="n">
        <v>3500</v>
      </c>
      <c r="O478" s="114" t="n">
        <v>490</v>
      </c>
      <c r="P478" s="114" t="n">
        <v>5215</v>
      </c>
      <c r="Q478" s="114" t="n">
        <v>5215</v>
      </c>
      <c r="R478" s="114" t="n">
        <v>0</v>
      </c>
      <c r="S478" s="115" t="n">
        <v>1</v>
      </c>
      <c r="T478" s="65" t="n">
        <v>16</v>
      </c>
      <c r="U478" s="65" t="n">
        <v>0</v>
      </c>
      <c r="V478" s="65" t="n">
        <v>21609.52</v>
      </c>
      <c r="W478" s="115" t="n">
        <v>0.0603</v>
      </c>
      <c r="X478" s="112" t="n">
        <v>43277</v>
      </c>
      <c r="Y478" s="65" t="str">
        <f aca="false">IF(I478="","No SIC",IFERROR(VLOOKUP(I478,Ref!$A$2:$B$65,2,FALSE()),"Unclassified"))</f>
        <v>Trucking &amp; Warehousing</v>
      </c>
      <c r="Z478" s="65" t="str">
        <f aca="false">IF(T478="","",IF(T478&lt;12,"Daily","Weekly"))</f>
        <v>Weekly</v>
      </c>
      <c r="AA478" s="65" t="n">
        <f aca="false">IF(T478="",0,IF(T478&lt;12,T478*Controls!$B$29,T478*5))</f>
        <v>80</v>
      </c>
      <c r="AB478" s="65" t="n">
        <f aca="false">IF(E478="",0,NETWORKDAYS(E478,Controls!$B$36,Ref!$K$2:$K$42))</f>
        <v>169</v>
      </c>
      <c r="AC478" s="65" t="n">
        <f aca="false">IF(AND(AA478&gt;0,AB478&gt;=Controls!$B$39*AA478),1,0)</f>
        <v>1</v>
      </c>
      <c r="AD478" s="65" t="n">
        <f aca="false">IF(AND(E478&lt;&gt;"",E478&gt;=Controls!$B$37,E478&lt;=Controls!$B$38),1,0)</f>
        <v>1</v>
      </c>
      <c r="AE478" s="65" t="n">
        <f aca="false">IF(IFERROR(VLOOKUP(D478,Controls!$A$64:$E$74,2,FALSE()),"No")="Yes",1,0)</f>
        <v>0</v>
      </c>
      <c r="AF478" s="65" t="n">
        <f aca="false">IF(IFERROR(VLOOKUP(D478,Controls!$A$64:$E$74,3,FALSE()),"No")="Yes",1,0)</f>
        <v>1</v>
      </c>
      <c r="AG478" s="65" t="n">
        <f aca="false">IF(IFERROR(VLOOKUP(D478,Controls!$A$64:$E$74,4,FALSE()),"No")="Yes",1,0)</f>
        <v>1</v>
      </c>
      <c r="AH478" s="65" t="n">
        <f aca="false">IF(IFERROR(VLOOKUP(D478,Controls!$A$64:$E$74,5,FALSE()),"No")="Yes",1,0)</f>
        <v>0</v>
      </c>
      <c r="AI478" s="65" t="n">
        <f aca="false">IF(ISNUMBER(MATCH(D478,Controls!$A$64:$A$74,0)),1,0)</f>
        <v>1</v>
      </c>
      <c r="AJ478" s="65" t="n">
        <f aca="false">Q478-N478</f>
        <v>1715</v>
      </c>
      <c r="AK478" s="65" t="n">
        <f aca="false">IF(AE478=1,MAX(0,N478-Q478),0)</f>
        <v>0</v>
      </c>
      <c r="AL478" s="65" t="n">
        <f aca="false">IF(OR(V478="",V478=0),0,N478/V478)</f>
        <v>0.161965652175523</v>
      </c>
      <c r="AM478" s="65" t="n">
        <f aca="false">IF(OR(V478="",V478=0),0,1)</f>
        <v>1</v>
      </c>
      <c r="AN478" s="65" t="n">
        <f aca="false">IF(OR(E478="",F478=""),0,NETWORKDAYS(E478,F478,Ref!$K$2:$K$42))</f>
        <v>79</v>
      </c>
      <c r="AO478" s="65" t="n">
        <f aca="false">IF(L478="Renewal",1,0)</f>
        <v>0</v>
      </c>
      <c r="AP478" s="65" t="n">
        <f aca="false">AC478*AD478</f>
        <v>1</v>
      </c>
      <c r="AQ478" s="65" t="n">
        <f aca="false">IF(AND(G478&lt;&gt;"",'Historical Score'!$C$6&lt;&gt;""),IF(G478='Historical Score'!$C$6,1,0),0)</f>
        <v>0</v>
      </c>
      <c r="AR478" s="65" t="n">
        <f aca="false">IF(AND(L478&lt;&gt;"",'Historical Score'!$C$5&lt;&gt;""),IF(L478='Historical Score'!$C$5,1,0),0)</f>
        <v>1</v>
      </c>
      <c r="AS478" s="65" t="n">
        <f aca="false">IF(AND(Y478&lt;&gt;"",'Historical Score'!$C$7&lt;&gt;""),IF(Y478='Historical Score'!$C$7,1,0),0)</f>
        <v>0</v>
      </c>
      <c r="AT478" s="65" t="n">
        <f aca="false">IF(AND(K478&lt;&gt;"",'Historical Score'!$C$8&lt;&gt;""),IF(K478='Historical Score'!$C$8,1,0),0)</f>
        <v>0</v>
      </c>
      <c r="AU478" s="65" t="n">
        <f aca="false">IF(AND(J478&lt;&gt;"",'Historical Score'!$C$9&lt;&gt;""),IF(J478='Historical Score'!$C$9,1,0),0)</f>
        <v>0</v>
      </c>
      <c r="AV478" s="65" t="n">
        <f aca="false">AR478*AS478*AQ478</f>
        <v>0</v>
      </c>
      <c r="AW478" s="65" t="n">
        <f aca="false">AR478*AT478*AQ478</f>
        <v>0</v>
      </c>
      <c r="AX478" s="65" t="n">
        <f aca="false">AR478*AS478</f>
        <v>0</v>
      </c>
      <c r="AY478" s="65" t="n">
        <f aca="false">AR478*AT478</f>
        <v>0</v>
      </c>
      <c r="AZ478" s="65" t="n">
        <f aca="false">AR478*AQ478</f>
        <v>0</v>
      </c>
      <c r="BA478" s="65" t="n">
        <f aca="false">AR478</f>
        <v>1</v>
      </c>
      <c r="BB478" s="65" t="n">
        <f aca="false">1</f>
        <v>1</v>
      </c>
      <c r="BC478" s="65" t="n">
        <f aca="false">IF(AV478=1,1,IF(AW478=1,2,IF(AX478=1,3,IF(AY478=1,4,IF(AZ478=1,5,IF(BA478=1,6,7))))))</f>
        <v>6</v>
      </c>
      <c r="BD478" s="65" t="n">
        <f aca="false">IF(AD478=1,CHOOSE('Historical Score'!$C$29,AV478,AW478,AX478,AY478,AZ478,BA478,BB478),0)</f>
        <v>0</v>
      </c>
      <c r="BE478" s="65" t="str">
        <f aca="false">IF(BD478=1,COUNTIF($BD$2:BD478,1),"")</f>
        <v/>
      </c>
    </row>
    <row r="479" customFormat="false" ht="15" hidden="false" customHeight="false" outlineLevel="0" collapsed="false">
      <c r="A479" s="65" t="s">
        <v>1789</v>
      </c>
      <c r="B479" s="65" t="s">
        <v>1790</v>
      </c>
      <c r="C479" s="65" t="s">
        <v>1791</v>
      </c>
      <c r="D479" s="65" t="s">
        <v>371</v>
      </c>
      <c r="E479" s="112" t="n">
        <v>46015</v>
      </c>
      <c r="F479" s="112" t="n">
        <v>46140</v>
      </c>
      <c r="G479" s="65" t="n">
        <v>4</v>
      </c>
      <c r="H479" s="65" t="s">
        <v>372</v>
      </c>
      <c r="I479" s="65" t="s">
        <v>367</v>
      </c>
      <c r="J479" s="65" t="s">
        <v>61</v>
      </c>
      <c r="K479" s="65" t="s">
        <v>394</v>
      </c>
      <c r="L479" s="65" t="s">
        <v>64</v>
      </c>
      <c r="M479" s="113" t="n">
        <v>1.49</v>
      </c>
      <c r="N479" s="114" t="n">
        <v>20000</v>
      </c>
      <c r="O479" s="114" t="n">
        <v>2800</v>
      </c>
      <c r="P479" s="114" t="n">
        <v>29800</v>
      </c>
      <c r="Q479" s="114" t="n">
        <v>29800</v>
      </c>
      <c r="R479" s="114" t="n">
        <v>0</v>
      </c>
      <c r="S479" s="115" t="n">
        <v>1</v>
      </c>
      <c r="T479" s="65" t="n">
        <v>22</v>
      </c>
      <c r="U479" s="65" t="n">
        <v>0</v>
      </c>
      <c r="V479" s="65" t="n">
        <v>50516.18</v>
      </c>
      <c r="W479" s="115" t="n">
        <v>0.1073</v>
      </c>
      <c r="X479" s="112" t="n">
        <v>44341</v>
      </c>
      <c r="Y479" s="65" t="str">
        <f aca="false">IF(I479="","No SIC",IFERROR(VLOOKUP(I479,Ref!$A$2:$B$65,2,FALSE()),"Unclassified"))</f>
        <v>Engineering, Accounting &amp; Management</v>
      </c>
      <c r="Z479" s="65" t="str">
        <f aca="false">IF(T479="","",IF(T479&lt;12,"Daily","Weekly"))</f>
        <v>Weekly</v>
      </c>
      <c r="AA479" s="65" t="n">
        <f aca="false">IF(T479="",0,IF(T479&lt;12,T479*Controls!$B$29,T479*5))</f>
        <v>110</v>
      </c>
      <c r="AB479" s="65" t="n">
        <f aca="false">IF(E479="",0,NETWORKDAYS(E479,Controls!$B$36,Ref!$K$2:$K$42))</f>
        <v>169</v>
      </c>
      <c r="AC479" s="65" t="n">
        <f aca="false">IF(AND(AA479&gt;0,AB479&gt;=Controls!$B$39*AA479),1,0)</f>
        <v>1</v>
      </c>
      <c r="AD479" s="65" t="n">
        <f aca="false">IF(AND(E479&lt;&gt;"",E479&gt;=Controls!$B$37,E479&lt;=Controls!$B$38),1,0)</f>
        <v>1</v>
      </c>
      <c r="AE479" s="65" t="n">
        <f aca="false">IF(IFERROR(VLOOKUP(D479,Controls!$A$64:$E$74,2,FALSE()),"No")="Yes",1,0)</f>
        <v>0</v>
      </c>
      <c r="AF479" s="65" t="n">
        <f aca="false">IF(IFERROR(VLOOKUP(D479,Controls!$A$64:$E$74,3,FALSE()),"No")="Yes",1,0)</f>
        <v>1</v>
      </c>
      <c r="AG479" s="65" t="n">
        <f aca="false">IF(IFERROR(VLOOKUP(D479,Controls!$A$64:$E$74,4,FALSE()),"No")="Yes",1,0)</f>
        <v>1</v>
      </c>
      <c r="AH479" s="65" t="n">
        <f aca="false">IF(IFERROR(VLOOKUP(D479,Controls!$A$64:$E$74,5,FALSE()),"No")="Yes",1,0)</f>
        <v>0</v>
      </c>
      <c r="AI479" s="65" t="n">
        <f aca="false">IF(ISNUMBER(MATCH(D479,Controls!$A$64:$A$74,0)),1,0)</f>
        <v>1</v>
      </c>
      <c r="AJ479" s="65" t="n">
        <f aca="false">Q479-N479</f>
        <v>9800</v>
      </c>
      <c r="AK479" s="65" t="n">
        <f aca="false">IF(AE479=1,MAX(0,N479-Q479),0)</f>
        <v>0</v>
      </c>
      <c r="AL479" s="65" t="n">
        <f aca="false">IF(OR(V479="",V479=0),0,N479/V479)</f>
        <v>0.395912755081639</v>
      </c>
      <c r="AM479" s="65" t="n">
        <f aca="false">IF(OR(V479="",V479=0),0,1)</f>
        <v>1</v>
      </c>
      <c r="AN479" s="65" t="n">
        <f aca="false">IF(OR(E479="",F479=""),0,NETWORKDAYS(E479,F479,Ref!$K$2:$K$42))</f>
        <v>86</v>
      </c>
      <c r="AO479" s="65" t="n">
        <f aca="false">IF(L479="Renewal",1,0)</f>
        <v>0</v>
      </c>
      <c r="AP479" s="65" t="n">
        <f aca="false">AC479*AD479</f>
        <v>1</v>
      </c>
      <c r="AQ479" s="65" t="n">
        <f aca="false">IF(AND(G479&lt;&gt;"",'Historical Score'!$C$6&lt;&gt;""),IF(G479='Historical Score'!$C$6,1,0),0)</f>
        <v>0</v>
      </c>
      <c r="AR479" s="65" t="n">
        <f aca="false">IF(AND(L479&lt;&gt;"",'Historical Score'!$C$5&lt;&gt;""),IF(L479='Historical Score'!$C$5,1,0),0)</f>
        <v>1</v>
      </c>
      <c r="AS479" s="65" t="n">
        <f aca="false">IF(AND(Y479&lt;&gt;"",'Historical Score'!$C$7&lt;&gt;""),IF(Y479='Historical Score'!$C$7,1,0),0)</f>
        <v>0</v>
      </c>
      <c r="AT479" s="65" t="n">
        <f aca="false">IF(AND(K479&lt;&gt;"",'Historical Score'!$C$8&lt;&gt;""),IF(K479='Historical Score'!$C$8,1,0),0)</f>
        <v>0</v>
      </c>
      <c r="AU479" s="65" t="n">
        <f aca="false">IF(AND(J479&lt;&gt;"",'Historical Score'!$C$9&lt;&gt;""),IF(J479='Historical Score'!$C$9,1,0),0)</f>
        <v>1</v>
      </c>
      <c r="AV479" s="65" t="n">
        <f aca="false">AR479*AS479*AQ479</f>
        <v>0</v>
      </c>
      <c r="AW479" s="65" t="n">
        <f aca="false">AR479*AT479*AQ479</f>
        <v>0</v>
      </c>
      <c r="AX479" s="65" t="n">
        <f aca="false">AR479*AS479</f>
        <v>0</v>
      </c>
      <c r="AY479" s="65" t="n">
        <f aca="false">AR479*AT479</f>
        <v>0</v>
      </c>
      <c r="AZ479" s="65" t="n">
        <f aca="false">AR479*AQ479</f>
        <v>0</v>
      </c>
      <c r="BA479" s="65" t="n">
        <f aca="false">AR479</f>
        <v>1</v>
      </c>
      <c r="BB479" s="65" t="n">
        <f aca="false">1</f>
        <v>1</v>
      </c>
      <c r="BC479" s="65" t="n">
        <f aca="false">IF(AV479=1,1,IF(AW479=1,2,IF(AX479=1,3,IF(AY479=1,4,IF(AZ479=1,5,IF(BA479=1,6,7))))))</f>
        <v>6</v>
      </c>
      <c r="BD479" s="65" t="n">
        <f aca="false">IF(AD479=1,CHOOSE('Historical Score'!$C$29,AV479,AW479,AX479,AY479,AZ479,BA479,BB479),0)</f>
        <v>0</v>
      </c>
      <c r="BE479" s="65" t="str">
        <f aca="false">IF(BD479=1,COUNTIF($BD$2:BD479,1),"")</f>
        <v/>
      </c>
    </row>
    <row r="480" customFormat="false" ht="15" hidden="false" customHeight="false" outlineLevel="0" collapsed="false">
      <c r="A480" s="65" t="s">
        <v>1792</v>
      </c>
      <c r="B480" s="65" t="s">
        <v>1793</v>
      </c>
      <c r="C480" s="65" t="s">
        <v>1794</v>
      </c>
      <c r="D480" s="65" t="s">
        <v>533</v>
      </c>
      <c r="E480" s="112" t="n">
        <v>46017</v>
      </c>
      <c r="F480" s="112" t="n">
        <v>46206</v>
      </c>
      <c r="G480" s="65" t="n">
        <v>1</v>
      </c>
      <c r="H480" s="65" t="s">
        <v>442</v>
      </c>
      <c r="I480" s="65" t="s">
        <v>443</v>
      </c>
      <c r="J480" s="65" t="s">
        <v>854</v>
      </c>
      <c r="K480" s="65" t="s">
        <v>1085</v>
      </c>
      <c r="L480" s="65" t="s">
        <v>64</v>
      </c>
      <c r="M480" s="113" t="n">
        <v>1.35</v>
      </c>
      <c r="N480" s="114" t="n">
        <v>5000</v>
      </c>
      <c r="O480" s="114" t="n">
        <v>350</v>
      </c>
      <c r="P480" s="114" t="n">
        <v>6750</v>
      </c>
      <c r="Q480" s="114" t="n">
        <v>4371.65</v>
      </c>
      <c r="R480" s="114" t="n">
        <v>2378.35</v>
      </c>
      <c r="S480" s="115" t="n">
        <v>0.647651851851852</v>
      </c>
      <c r="T480" s="65" t="n">
        <v>2.787</v>
      </c>
      <c r="U480" s="65" t="n">
        <v>60</v>
      </c>
      <c r="V480" s="65" t="n">
        <v>25524.55</v>
      </c>
      <c r="W480" s="115" t="n">
        <v>0.0653</v>
      </c>
      <c r="X480" s="112" t="n">
        <v>44993</v>
      </c>
      <c r="Y480" s="65" t="str">
        <f aca="false">IF(I480="","No SIC",IFERROR(VLOOKUP(I480,Ref!$A$2:$B$65,2,FALSE()),"Unclassified"))</f>
        <v>General Building Contractors</v>
      </c>
      <c r="Z480" s="65" t="str">
        <f aca="false">IF(T480="","",IF(T480&lt;12,"Daily","Weekly"))</f>
        <v>Daily</v>
      </c>
      <c r="AA480" s="65" t="n">
        <f aca="false">IF(T480="",0,IF(T480&lt;12,T480*Controls!$B$29,T480*5))</f>
        <v>60.352485</v>
      </c>
      <c r="AB480" s="65" t="n">
        <f aca="false">IF(E480="",0,NETWORKDAYS(E480,Controls!$B$36,Ref!$K$2:$K$42))</f>
        <v>168</v>
      </c>
      <c r="AC480" s="65" t="n">
        <f aca="false">IF(AND(AA480&gt;0,AB480&gt;=Controls!$B$39*AA480),1,0)</f>
        <v>1</v>
      </c>
      <c r="AD480" s="65" t="n">
        <f aca="false">IF(AND(E480&lt;&gt;"",E480&gt;=Controls!$B$37,E480&lt;=Controls!$B$38),1,0)</f>
        <v>1</v>
      </c>
      <c r="AE480" s="65" t="n">
        <f aca="false">IF(IFERROR(VLOOKUP(D480,Controls!$A$64:$E$74,2,FALSE()),"No")="Yes",1,0)</f>
        <v>1</v>
      </c>
      <c r="AF480" s="65" t="n">
        <f aca="false">IF(IFERROR(VLOOKUP(D480,Controls!$A$64:$E$74,3,FALSE()),"No")="Yes",1,0)</f>
        <v>0</v>
      </c>
      <c r="AG480" s="65" t="n">
        <f aca="false">IF(IFERROR(VLOOKUP(D480,Controls!$A$64:$E$74,4,FALSE()),"No")="Yes",1,0)</f>
        <v>0</v>
      </c>
      <c r="AH480" s="65" t="n">
        <f aca="false">IF(IFERROR(VLOOKUP(D480,Controls!$A$64:$E$74,5,FALSE()),"No")="Yes",1,0)</f>
        <v>0</v>
      </c>
      <c r="AI480" s="65" t="n">
        <f aca="false">IF(ISNUMBER(MATCH(D480,Controls!$A$64:$A$74,0)),1,0)</f>
        <v>1</v>
      </c>
      <c r="AJ480" s="65" t="n">
        <f aca="false">Q480-N480</f>
        <v>-628.35</v>
      </c>
      <c r="AK480" s="65" t="n">
        <f aca="false">IF(AE480=1,MAX(0,N480-Q480),0)</f>
        <v>628.35</v>
      </c>
      <c r="AL480" s="65" t="n">
        <f aca="false">IF(OR(V480="",V480=0),0,N480/V480)</f>
        <v>0.195889839389921</v>
      </c>
      <c r="AM480" s="65" t="n">
        <f aca="false">IF(OR(V480="",V480=0),0,1)</f>
        <v>1</v>
      </c>
      <c r="AN480" s="65" t="n">
        <f aca="false">IF(OR(E480="",F480=""),0,NETWORKDAYS(E480,F480,Ref!$K$2:$K$42))</f>
        <v>131</v>
      </c>
      <c r="AO480" s="65" t="n">
        <f aca="false">IF(L480="Renewal",1,0)</f>
        <v>0</v>
      </c>
      <c r="AP480" s="65" t="n">
        <f aca="false">AC480*AD480</f>
        <v>1</v>
      </c>
      <c r="AQ480" s="65" t="n">
        <f aca="false">IF(AND(G480&lt;&gt;"",'Historical Score'!$C$6&lt;&gt;""),IF(G480='Historical Score'!$C$6,1,0),0)</f>
        <v>0</v>
      </c>
      <c r="AR480" s="65" t="n">
        <f aca="false">IF(AND(L480&lt;&gt;"",'Historical Score'!$C$5&lt;&gt;""),IF(L480='Historical Score'!$C$5,1,0),0)</f>
        <v>1</v>
      </c>
      <c r="AS480" s="65" t="n">
        <f aca="false">IF(AND(Y480&lt;&gt;"",'Historical Score'!$C$7&lt;&gt;""),IF(Y480='Historical Score'!$C$7,1,0),0)</f>
        <v>1</v>
      </c>
      <c r="AT480" s="65" t="n">
        <f aca="false">IF(AND(K480&lt;&gt;"",'Historical Score'!$C$8&lt;&gt;""),IF(K480='Historical Score'!$C$8,1,0),0)</f>
        <v>0</v>
      </c>
      <c r="AU480" s="65" t="n">
        <f aca="false">IF(AND(J480&lt;&gt;"",'Historical Score'!$C$9&lt;&gt;""),IF(J480='Historical Score'!$C$9,1,0),0)</f>
        <v>0</v>
      </c>
      <c r="AV480" s="65" t="n">
        <f aca="false">AR480*AS480*AQ480</f>
        <v>0</v>
      </c>
      <c r="AW480" s="65" t="n">
        <f aca="false">AR480*AT480*AQ480</f>
        <v>0</v>
      </c>
      <c r="AX480" s="65" t="n">
        <f aca="false">AR480*AS480</f>
        <v>1</v>
      </c>
      <c r="AY480" s="65" t="n">
        <f aca="false">AR480*AT480</f>
        <v>0</v>
      </c>
      <c r="AZ480" s="65" t="n">
        <f aca="false">AR480*AQ480</f>
        <v>0</v>
      </c>
      <c r="BA480" s="65" t="n">
        <f aca="false">AR480</f>
        <v>1</v>
      </c>
      <c r="BB480" s="65" t="n">
        <f aca="false">1</f>
        <v>1</v>
      </c>
      <c r="BC480" s="65" t="n">
        <f aca="false">IF(AV480=1,1,IF(AW480=1,2,IF(AX480=1,3,IF(AY480=1,4,IF(AZ480=1,5,IF(BA480=1,6,7))))))</f>
        <v>3</v>
      </c>
      <c r="BD480" s="65" t="n">
        <f aca="false">IF(AD480=1,CHOOSE('Historical Score'!$C$29,AV480,AW480,AX480,AY480,AZ480,BA480,BB480),0)</f>
        <v>0</v>
      </c>
      <c r="BE480" s="65" t="str">
        <f aca="false">IF(BD480=1,COUNTIF($BD$2:BD480,1),"")</f>
        <v/>
      </c>
    </row>
    <row r="481" customFormat="false" ht="15" hidden="false" customHeight="false" outlineLevel="0" collapsed="false">
      <c r="A481" s="65" t="s">
        <v>1795</v>
      </c>
      <c r="B481" s="65" t="s">
        <v>1796</v>
      </c>
      <c r="C481" s="65" t="s">
        <v>1797</v>
      </c>
      <c r="D481" s="65" t="s">
        <v>371</v>
      </c>
      <c r="E481" s="112" t="n">
        <v>46017</v>
      </c>
      <c r="F481" s="112" t="n">
        <v>46143</v>
      </c>
      <c r="G481" s="65" t="n">
        <v>2</v>
      </c>
      <c r="H481" s="65" t="s">
        <v>1055</v>
      </c>
      <c r="I481" s="65" t="s">
        <v>643</v>
      </c>
      <c r="J481" s="65" t="s">
        <v>373</v>
      </c>
      <c r="K481" s="65" t="s">
        <v>1085</v>
      </c>
      <c r="L481" s="65" t="s">
        <v>64</v>
      </c>
      <c r="M481" s="113" t="n">
        <v>1.5</v>
      </c>
      <c r="N481" s="114" t="n">
        <v>22000</v>
      </c>
      <c r="O481" s="114" t="n">
        <v>3080</v>
      </c>
      <c r="P481" s="114" t="n">
        <v>33000</v>
      </c>
      <c r="Q481" s="114" t="n">
        <v>33000</v>
      </c>
      <c r="R481" s="114" t="n">
        <v>0</v>
      </c>
      <c r="S481" s="115" t="n">
        <v>1</v>
      </c>
      <c r="T481" s="65" t="n">
        <v>24</v>
      </c>
      <c r="U481" s="65" t="n">
        <v>0</v>
      </c>
      <c r="V481" s="65" t="n">
        <v>184725.89</v>
      </c>
      <c r="W481" s="115" t="n">
        <v>0.0296</v>
      </c>
      <c r="X481" s="112" t="n">
        <v>36526</v>
      </c>
      <c r="Y481" s="65" t="str">
        <f aca="false">IF(I481="","No SIC",IFERROR(VLOOKUP(I481,Ref!$A$2:$B$65,2,FALSE()),"Unclassified"))</f>
        <v>Agricultural Services</v>
      </c>
      <c r="Z481" s="65" t="str">
        <f aca="false">IF(T481="","",IF(T481&lt;12,"Daily","Weekly"))</f>
        <v>Weekly</v>
      </c>
      <c r="AA481" s="65" t="n">
        <f aca="false">IF(T481="",0,IF(T481&lt;12,T481*Controls!$B$29,T481*5))</f>
        <v>120</v>
      </c>
      <c r="AB481" s="65" t="n">
        <f aca="false">IF(E481="",0,NETWORKDAYS(E481,Controls!$B$36,Ref!$K$2:$K$42))</f>
        <v>168</v>
      </c>
      <c r="AC481" s="65" t="n">
        <f aca="false">IF(AND(AA481&gt;0,AB481&gt;=Controls!$B$39*AA481),1,0)</f>
        <v>1</v>
      </c>
      <c r="AD481" s="65" t="n">
        <f aca="false">IF(AND(E481&lt;&gt;"",E481&gt;=Controls!$B$37,E481&lt;=Controls!$B$38),1,0)</f>
        <v>1</v>
      </c>
      <c r="AE481" s="65" t="n">
        <f aca="false">IF(IFERROR(VLOOKUP(D481,Controls!$A$64:$E$74,2,FALSE()),"No")="Yes",1,0)</f>
        <v>0</v>
      </c>
      <c r="AF481" s="65" t="n">
        <f aca="false">IF(IFERROR(VLOOKUP(D481,Controls!$A$64:$E$74,3,FALSE()),"No")="Yes",1,0)</f>
        <v>1</v>
      </c>
      <c r="AG481" s="65" t="n">
        <f aca="false">IF(IFERROR(VLOOKUP(D481,Controls!$A$64:$E$74,4,FALSE()),"No")="Yes",1,0)</f>
        <v>1</v>
      </c>
      <c r="AH481" s="65" t="n">
        <f aca="false">IF(IFERROR(VLOOKUP(D481,Controls!$A$64:$E$74,5,FALSE()),"No")="Yes",1,0)</f>
        <v>0</v>
      </c>
      <c r="AI481" s="65" t="n">
        <f aca="false">IF(ISNUMBER(MATCH(D481,Controls!$A$64:$A$74,0)),1,0)</f>
        <v>1</v>
      </c>
      <c r="AJ481" s="65" t="n">
        <f aca="false">Q481-N481</f>
        <v>11000</v>
      </c>
      <c r="AK481" s="65" t="n">
        <f aca="false">IF(AE481=1,MAX(0,N481-Q481),0)</f>
        <v>0</v>
      </c>
      <c r="AL481" s="65" t="n">
        <f aca="false">IF(OR(V481="",V481=0),0,N481/V481)</f>
        <v>0.119095379646026</v>
      </c>
      <c r="AM481" s="65" t="n">
        <f aca="false">IF(OR(V481="",V481=0),0,1)</f>
        <v>1</v>
      </c>
      <c r="AN481" s="65" t="n">
        <f aca="false">IF(OR(E481="",F481=""),0,NETWORKDAYS(E481,F481,Ref!$K$2:$K$42))</f>
        <v>88</v>
      </c>
      <c r="AO481" s="65" t="n">
        <f aca="false">IF(L481="Renewal",1,0)</f>
        <v>0</v>
      </c>
      <c r="AP481" s="65" t="n">
        <f aca="false">AC481*AD481</f>
        <v>1</v>
      </c>
      <c r="AQ481" s="65" t="n">
        <f aca="false">IF(AND(G481&lt;&gt;"",'Historical Score'!$C$6&lt;&gt;""),IF(G481='Historical Score'!$C$6,1,0),0)</f>
        <v>1</v>
      </c>
      <c r="AR481" s="65" t="n">
        <f aca="false">IF(AND(L481&lt;&gt;"",'Historical Score'!$C$5&lt;&gt;""),IF(L481='Historical Score'!$C$5,1,0),0)</f>
        <v>1</v>
      </c>
      <c r="AS481" s="65" t="n">
        <f aca="false">IF(AND(Y481&lt;&gt;"",'Historical Score'!$C$7&lt;&gt;""),IF(Y481='Historical Score'!$C$7,1,0),0)</f>
        <v>0</v>
      </c>
      <c r="AT481" s="65" t="n">
        <f aca="false">IF(AND(K481&lt;&gt;"",'Historical Score'!$C$8&lt;&gt;""),IF(K481='Historical Score'!$C$8,1,0),0)</f>
        <v>0</v>
      </c>
      <c r="AU481" s="65" t="n">
        <f aca="false">IF(AND(J481&lt;&gt;"",'Historical Score'!$C$9&lt;&gt;""),IF(J481='Historical Score'!$C$9,1,0),0)</f>
        <v>0</v>
      </c>
      <c r="AV481" s="65" t="n">
        <f aca="false">AR481*AS481*AQ481</f>
        <v>0</v>
      </c>
      <c r="AW481" s="65" t="n">
        <f aca="false">AR481*AT481*AQ481</f>
        <v>0</v>
      </c>
      <c r="AX481" s="65" t="n">
        <f aca="false">AR481*AS481</f>
        <v>0</v>
      </c>
      <c r="AY481" s="65" t="n">
        <f aca="false">AR481*AT481</f>
        <v>0</v>
      </c>
      <c r="AZ481" s="65" t="n">
        <f aca="false">AR481*AQ481</f>
        <v>1</v>
      </c>
      <c r="BA481" s="65" t="n">
        <f aca="false">AR481</f>
        <v>1</v>
      </c>
      <c r="BB481" s="65" t="n">
        <f aca="false">1</f>
        <v>1</v>
      </c>
      <c r="BC481" s="65" t="n">
        <f aca="false">IF(AV481=1,1,IF(AW481=1,2,IF(AX481=1,3,IF(AY481=1,4,IF(AZ481=1,5,IF(BA481=1,6,7))))))</f>
        <v>5</v>
      </c>
      <c r="BD481" s="65" t="n">
        <f aca="false">IF(AD481=1,CHOOSE('Historical Score'!$C$29,AV481,AW481,AX481,AY481,AZ481,BA481,BB481),0)</f>
        <v>0</v>
      </c>
      <c r="BE481" s="65" t="str">
        <f aca="false">IF(BD481=1,COUNTIF($BD$2:BD481,1),"")</f>
        <v/>
      </c>
    </row>
    <row r="482" customFormat="false" ht="15" hidden="false" customHeight="false" outlineLevel="0" collapsed="false">
      <c r="A482" s="65" t="s">
        <v>1798</v>
      </c>
      <c r="B482" s="65" t="s">
        <v>1799</v>
      </c>
      <c r="C482" s="65" t="s">
        <v>1799</v>
      </c>
      <c r="D482" s="65" t="s">
        <v>371</v>
      </c>
      <c r="E482" s="112" t="n">
        <v>46017</v>
      </c>
      <c r="F482" s="112" t="n">
        <v>46106</v>
      </c>
      <c r="G482" s="65" t="n">
        <v>2</v>
      </c>
      <c r="H482" s="65" t="s">
        <v>442</v>
      </c>
      <c r="I482" s="65" t="s">
        <v>443</v>
      </c>
      <c r="J482" s="65" t="s">
        <v>399</v>
      </c>
      <c r="K482" s="65" t="s">
        <v>55</v>
      </c>
      <c r="L482" s="65" t="s">
        <v>64</v>
      </c>
      <c r="M482" s="113" t="n">
        <v>1.42</v>
      </c>
      <c r="N482" s="114" t="n">
        <v>31000</v>
      </c>
      <c r="O482" s="114" t="n">
        <v>3255</v>
      </c>
      <c r="P482" s="114" t="n">
        <v>44020</v>
      </c>
      <c r="Q482" s="114" t="n">
        <v>44020</v>
      </c>
      <c r="R482" s="114" t="n">
        <v>0</v>
      </c>
      <c r="S482" s="115" t="n">
        <v>1</v>
      </c>
      <c r="T482" s="65" t="n">
        <v>28</v>
      </c>
      <c r="U482" s="65" t="n">
        <v>0</v>
      </c>
      <c r="V482" s="65" t="n">
        <v>94340.63</v>
      </c>
      <c r="W482" s="115" t="n">
        <v>0.0667</v>
      </c>
      <c r="X482" s="112"/>
      <c r="Y482" s="65" t="str">
        <f aca="false">IF(I482="","No SIC",IFERROR(VLOOKUP(I482,Ref!$A$2:$B$65,2,FALSE()),"Unclassified"))</f>
        <v>General Building Contractors</v>
      </c>
      <c r="Z482" s="65" t="str">
        <f aca="false">IF(T482="","",IF(T482&lt;12,"Daily","Weekly"))</f>
        <v>Weekly</v>
      </c>
      <c r="AA482" s="65" t="n">
        <f aca="false">IF(T482="",0,IF(T482&lt;12,T482*Controls!$B$29,T482*5))</f>
        <v>140</v>
      </c>
      <c r="AB482" s="65" t="n">
        <f aca="false">IF(E482="",0,NETWORKDAYS(E482,Controls!$B$36,Ref!$K$2:$K$42))</f>
        <v>168</v>
      </c>
      <c r="AC482" s="65" t="n">
        <f aca="false">IF(AND(AA482&gt;0,AB482&gt;=Controls!$B$39*AA482),1,0)</f>
        <v>0</v>
      </c>
      <c r="AD482" s="65" t="n">
        <f aca="false">IF(AND(E482&lt;&gt;"",E482&gt;=Controls!$B$37,E482&lt;=Controls!$B$38),1,0)</f>
        <v>1</v>
      </c>
      <c r="AE482" s="65" t="n">
        <f aca="false">IF(IFERROR(VLOOKUP(D482,Controls!$A$64:$E$74,2,FALSE()),"No")="Yes",1,0)</f>
        <v>0</v>
      </c>
      <c r="AF482" s="65" t="n">
        <f aca="false">IF(IFERROR(VLOOKUP(D482,Controls!$A$64:$E$74,3,FALSE()),"No")="Yes",1,0)</f>
        <v>1</v>
      </c>
      <c r="AG482" s="65" t="n">
        <f aca="false">IF(IFERROR(VLOOKUP(D482,Controls!$A$64:$E$74,4,FALSE()),"No")="Yes",1,0)</f>
        <v>1</v>
      </c>
      <c r="AH482" s="65" t="n">
        <f aca="false">IF(IFERROR(VLOOKUP(D482,Controls!$A$64:$E$74,5,FALSE()),"No")="Yes",1,0)</f>
        <v>0</v>
      </c>
      <c r="AI482" s="65" t="n">
        <f aca="false">IF(ISNUMBER(MATCH(D482,Controls!$A$64:$A$74,0)),1,0)</f>
        <v>1</v>
      </c>
      <c r="AJ482" s="65" t="n">
        <f aca="false">Q482-N482</f>
        <v>13020</v>
      </c>
      <c r="AK482" s="65" t="n">
        <f aca="false">IF(AE482=1,MAX(0,N482-Q482),0)</f>
        <v>0</v>
      </c>
      <c r="AL482" s="65" t="n">
        <f aca="false">IF(OR(V482="",V482=0),0,N482/V482)</f>
        <v>0.328596491246666</v>
      </c>
      <c r="AM482" s="65" t="n">
        <f aca="false">IF(OR(V482="",V482=0),0,1)</f>
        <v>1</v>
      </c>
      <c r="AN482" s="65" t="n">
        <f aca="false">IF(OR(E482="",F482=""),0,NETWORKDAYS(E482,F482,Ref!$K$2:$K$42))</f>
        <v>61</v>
      </c>
      <c r="AO482" s="65" t="n">
        <f aca="false">IF(L482="Renewal",1,0)</f>
        <v>0</v>
      </c>
      <c r="AP482" s="65" t="n">
        <f aca="false">AC482*AD482</f>
        <v>0</v>
      </c>
      <c r="AQ482" s="65" t="n">
        <f aca="false">IF(AND(G482&lt;&gt;"",'Historical Score'!$C$6&lt;&gt;""),IF(G482='Historical Score'!$C$6,1,0),0)</f>
        <v>1</v>
      </c>
      <c r="AR482" s="65" t="n">
        <f aca="false">IF(AND(L482&lt;&gt;"",'Historical Score'!$C$5&lt;&gt;""),IF(L482='Historical Score'!$C$5,1,0),0)</f>
        <v>1</v>
      </c>
      <c r="AS482" s="65" t="n">
        <f aca="false">IF(AND(Y482&lt;&gt;"",'Historical Score'!$C$7&lt;&gt;""),IF(Y482='Historical Score'!$C$7,1,0),0)</f>
        <v>1</v>
      </c>
      <c r="AT482" s="65" t="n">
        <f aca="false">IF(AND(K482&lt;&gt;"",'Historical Score'!$C$8&lt;&gt;""),IF(K482='Historical Score'!$C$8,1,0),0)</f>
        <v>1</v>
      </c>
      <c r="AU482" s="65" t="n">
        <f aca="false">IF(AND(J482&lt;&gt;"",'Historical Score'!$C$9&lt;&gt;""),IF(J482='Historical Score'!$C$9,1,0),0)</f>
        <v>0</v>
      </c>
      <c r="AV482" s="65" t="n">
        <f aca="false">AR482*AS482*AQ482</f>
        <v>1</v>
      </c>
      <c r="AW482" s="65" t="n">
        <f aca="false">AR482*AT482*AQ482</f>
        <v>1</v>
      </c>
      <c r="AX482" s="65" t="n">
        <f aca="false">AR482*AS482</f>
        <v>1</v>
      </c>
      <c r="AY482" s="65" t="n">
        <f aca="false">AR482*AT482</f>
        <v>1</v>
      </c>
      <c r="AZ482" s="65" t="n">
        <f aca="false">AR482*AQ482</f>
        <v>1</v>
      </c>
      <c r="BA482" s="65" t="n">
        <f aca="false">AR482</f>
        <v>1</v>
      </c>
      <c r="BB482" s="65" t="n">
        <f aca="false">1</f>
        <v>1</v>
      </c>
      <c r="BC482" s="65" t="n">
        <f aca="false">IF(AV482=1,1,IF(AW482=1,2,IF(AX482=1,3,IF(AY482=1,4,IF(AZ482=1,5,IF(BA482=1,6,7))))))</f>
        <v>1</v>
      </c>
      <c r="BD482" s="65" t="n">
        <f aca="false">IF(AD482=1,CHOOSE('Historical Score'!$C$29,AV482,AW482,AX482,AY482,AZ482,BA482,BB482),0)</f>
        <v>1</v>
      </c>
      <c r="BE482" s="65" t="n">
        <f aca="false">IF(BD482=1,COUNTIF($BD$2:BD482,1),"")</f>
        <v>20</v>
      </c>
    </row>
    <row r="483" customFormat="false" ht="15" hidden="false" customHeight="false" outlineLevel="0" collapsed="false">
      <c r="A483" s="65" t="s">
        <v>1800</v>
      </c>
      <c r="B483" s="65" t="s">
        <v>1801</v>
      </c>
      <c r="C483" s="65" t="s">
        <v>1802</v>
      </c>
      <c r="D483" s="65" t="s">
        <v>371</v>
      </c>
      <c r="E483" s="112" t="n">
        <v>46020</v>
      </c>
      <c r="F483" s="112" t="n">
        <v>46188</v>
      </c>
      <c r="G483" s="65" t="n">
        <v>2</v>
      </c>
      <c r="H483" s="65" t="s">
        <v>442</v>
      </c>
      <c r="I483" s="65" t="s">
        <v>443</v>
      </c>
      <c r="J483" s="65" t="s">
        <v>61</v>
      </c>
      <c r="K483" s="65" t="s">
        <v>1803</v>
      </c>
      <c r="L483" s="65" t="s">
        <v>64</v>
      </c>
      <c r="M483" s="113" t="n">
        <v>1.49</v>
      </c>
      <c r="N483" s="114" t="n">
        <v>20000</v>
      </c>
      <c r="O483" s="114" t="n">
        <v>2800</v>
      </c>
      <c r="P483" s="114" t="n">
        <v>29800</v>
      </c>
      <c r="Q483" s="114" t="n">
        <v>29800</v>
      </c>
      <c r="R483" s="114" t="n">
        <v>0</v>
      </c>
      <c r="S483" s="115" t="n">
        <v>1</v>
      </c>
      <c r="T483" s="65" t="n">
        <v>3.705</v>
      </c>
      <c r="U483" s="65" t="n">
        <v>4</v>
      </c>
      <c r="V483" s="65" t="n">
        <v>33511.28</v>
      </c>
      <c r="W483" s="115" t="n">
        <v>0.1653</v>
      </c>
      <c r="X483" s="112" t="n">
        <v>44337</v>
      </c>
      <c r="Y483" s="65" t="str">
        <f aca="false">IF(I483="","No SIC",IFERROR(VLOOKUP(I483,Ref!$A$2:$B$65,2,FALSE()),"Unclassified"))</f>
        <v>General Building Contractors</v>
      </c>
      <c r="Z483" s="65" t="str">
        <f aca="false">IF(T483="","",IF(T483&lt;12,"Daily","Weekly"))</f>
        <v>Daily</v>
      </c>
      <c r="AA483" s="65" t="n">
        <f aca="false">IF(T483="",0,IF(T483&lt;12,T483*Controls!$B$29,T483*5))</f>
        <v>80.231775</v>
      </c>
      <c r="AB483" s="65" t="n">
        <f aca="false">IF(E483="",0,NETWORKDAYS(E483,Controls!$B$36,Ref!$K$2:$K$42))</f>
        <v>167</v>
      </c>
      <c r="AC483" s="65" t="n">
        <f aca="false">IF(AND(AA483&gt;0,AB483&gt;=Controls!$B$39*AA483),1,0)</f>
        <v>1</v>
      </c>
      <c r="AD483" s="65" t="n">
        <f aca="false">IF(AND(E483&lt;&gt;"",E483&gt;=Controls!$B$37,E483&lt;=Controls!$B$38),1,0)</f>
        <v>1</v>
      </c>
      <c r="AE483" s="65" t="n">
        <f aca="false">IF(IFERROR(VLOOKUP(D483,Controls!$A$64:$E$74,2,FALSE()),"No")="Yes",1,0)</f>
        <v>0</v>
      </c>
      <c r="AF483" s="65" t="n">
        <f aca="false">IF(IFERROR(VLOOKUP(D483,Controls!$A$64:$E$74,3,FALSE()),"No")="Yes",1,0)</f>
        <v>1</v>
      </c>
      <c r="AG483" s="65" t="n">
        <f aca="false">IF(IFERROR(VLOOKUP(D483,Controls!$A$64:$E$74,4,FALSE()),"No")="Yes",1,0)</f>
        <v>1</v>
      </c>
      <c r="AH483" s="65" t="n">
        <f aca="false">IF(IFERROR(VLOOKUP(D483,Controls!$A$64:$E$74,5,FALSE()),"No")="Yes",1,0)</f>
        <v>0</v>
      </c>
      <c r="AI483" s="65" t="n">
        <f aca="false">IF(ISNUMBER(MATCH(D483,Controls!$A$64:$A$74,0)),1,0)</f>
        <v>1</v>
      </c>
      <c r="AJ483" s="65" t="n">
        <f aca="false">Q483-N483</f>
        <v>9800</v>
      </c>
      <c r="AK483" s="65" t="n">
        <f aca="false">IF(AE483=1,MAX(0,N483-Q483),0)</f>
        <v>0</v>
      </c>
      <c r="AL483" s="65" t="n">
        <f aca="false">IF(OR(V483="",V483=0),0,N483/V483)</f>
        <v>0.596813968311566</v>
      </c>
      <c r="AM483" s="65" t="n">
        <f aca="false">IF(OR(V483="",V483=0),0,1)</f>
        <v>1</v>
      </c>
      <c r="AN483" s="65" t="n">
        <f aca="false">IF(OR(E483="",F483=""),0,NETWORKDAYS(E483,F483,Ref!$K$2:$K$42))</f>
        <v>117</v>
      </c>
      <c r="AO483" s="65" t="n">
        <f aca="false">IF(L483="Renewal",1,0)</f>
        <v>0</v>
      </c>
      <c r="AP483" s="65" t="n">
        <f aca="false">AC483*AD483</f>
        <v>1</v>
      </c>
      <c r="AQ483" s="65" t="n">
        <f aca="false">IF(AND(G483&lt;&gt;"",'Historical Score'!$C$6&lt;&gt;""),IF(G483='Historical Score'!$C$6,1,0),0)</f>
        <v>1</v>
      </c>
      <c r="AR483" s="65" t="n">
        <f aca="false">IF(AND(L483&lt;&gt;"",'Historical Score'!$C$5&lt;&gt;""),IF(L483='Historical Score'!$C$5,1,0),0)</f>
        <v>1</v>
      </c>
      <c r="AS483" s="65" t="n">
        <f aca="false">IF(AND(Y483&lt;&gt;"",'Historical Score'!$C$7&lt;&gt;""),IF(Y483='Historical Score'!$C$7,1,0),0)</f>
        <v>1</v>
      </c>
      <c r="AT483" s="65" t="n">
        <f aca="false">IF(AND(K483&lt;&gt;"",'Historical Score'!$C$8&lt;&gt;""),IF(K483='Historical Score'!$C$8,1,0),0)</f>
        <v>0</v>
      </c>
      <c r="AU483" s="65" t="n">
        <f aca="false">IF(AND(J483&lt;&gt;"",'Historical Score'!$C$9&lt;&gt;""),IF(J483='Historical Score'!$C$9,1,0),0)</f>
        <v>1</v>
      </c>
      <c r="AV483" s="65" t="n">
        <f aca="false">AR483*AS483*AQ483</f>
        <v>1</v>
      </c>
      <c r="AW483" s="65" t="n">
        <f aca="false">AR483*AT483*AQ483</f>
        <v>0</v>
      </c>
      <c r="AX483" s="65" t="n">
        <f aca="false">AR483*AS483</f>
        <v>1</v>
      </c>
      <c r="AY483" s="65" t="n">
        <f aca="false">AR483*AT483</f>
        <v>0</v>
      </c>
      <c r="AZ483" s="65" t="n">
        <f aca="false">AR483*AQ483</f>
        <v>1</v>
      </c>
      <c r="BA483" s="65" t="n">
        <f aca="false">AR483</f>
        <v>1</v>
      </c>
      <c r="BB483" s="65" t="n">
        <f aca="false">1</f>
        <v>1</v>
      </c>
      <c r="BC483" s="65" t="n">
        <f aca="false">IF(AV483=1,1,IF(AW483=1,2,IF(AX483=1,3,IF(AY483=1,4,IF(AZ483=1,5,IF(BA483=1,6,7))))))</f>
        <v>1</v>
      </c>
      <c r="BD483" s="65" t="n">
        <f aca="false">IF(AD483=1,CHOOSE('Historical Score'!$C$29,AV483,AW483,AX483,AY483,AZ483,BA483,BB483),0)</f>
        <v>1</v>
      </c>
      <c r="BE483" s="65" t="n">
        <f aca="false">IF(BD483=1,COUNTIF($BD$2:BD483,1),"")</f>
        <v>21</v>
      </c>
    </row>
    <row r="484" customFormat="false" ht="15" hidden="false" customHeight="false" outlineLevel="0" collapsed="false">
      <c r="A484" s="65" t="s">
        <v>1804</v>
      </c>
      <c r="B484" s="65" t="s">
        <v>1805</v>
      </c>
      <c r="C484" s="65" t="s">
        <v>1805</v>
      </c>
      <c r="D484" s="65" t="s">
        <v>371</v>
      </c>
      <c r="E484" s="112" t="n">
        <v>46020</v>
      </c>
      <c r="F484" s="112" t="n">
        <v>46185</v>
      </c>
      <c r="G484" s="65" t="n">
        <v>2</v>
      </c>
      <c r="H484" s="65" t="s">
        <v>637</v>
      </c>
      <c r="I484" s="65" t="s">
        <v>484</v>
      </c>
      <c r="J484" s="65" t="s">
        <v>350</v>
      </c>
      <c r="K484" s="65" t="s">
        <v>363</v>
      </c>
      <c r="L484" s="65" t="s">
        <v>64</v>
      </c>
      <c r="M484" s="113" t="n">
        <v>1.49</v>
      </c>
      <c r="N484" s="114" t="n">
        <v>10000</v>
      </c>
      <c r="O484" s="114" t="n">
        <v>1400</v>
      </c>
      <c r="P484" s="114" t="n">
        <v>14900</v>
      </c>
      <c r="Q484" s="114" t="n">
        <v>14900</v>
      </c>
      <c r="R484" s="114" t="n">
        <v>0</v>
      </c>
      <c r="S484" s="115" t="n">
        <v>1</v>
      </c>
      <c r="T484" s="65" t="n">
        <v>22</v>
      </c>
      <c r="U484" s="65" t="n">
        <v>1</v>
      </c>
      <c r="V484" s="65" t="n">
        <v>61203.48</v>
      </c>
      <c r="W484" s="115" t="n">
        <v>0.0443</v>
      </c>
      <c r="X484" s="112" t="n">
        <v>43770</v>
      </c>
      <c r="Y484" s="65" t="str">
        <f aca="false">IF(I484="","No SIC",IFERROR(VLOOKUP(I484,Ref!$A$2:$B$65,2,FALSE()),"Unclassified"))</f>
        <v>Special Trade Contractors</v>
      </c>
      <c r="Z484" s="65" t="str">
        <f aca="false">IF(T484="","",IF(T484&lt;12,"Daily","Weekly"))</f>
        <v>Weekly</v>
      </c>
      <c r="AA484" s="65" t="n">
        <f aca="false">IF(T484="",0,IF(T484&lt;12,T484*Controls!$B$29,T484*5))</f>
        <v>110</v>
      </c>
      <c r="AB484" s="65" t="n">
        <f aca="false">IF(E484="",0,NETWORKDAYS(E484,Controls!$B$36,Ref!$K$2:$K$42))</f>
        <v>167</v>
      </c>
      <c r="AC484" s="65" t="n">
        <f aca="false">IF(AND(AA484&gt;0,AB484&gt;=Controls!$B$39*AA484),1,0)</f>
        <v>1</v>
      </c>
      <c r="AD484" s="65" t="n">
        <f aca="false">IF(AND(E484&lt;&gt;"",E484&gt;=Controls!$B$37,E484&lt;=Controls!$B$38),1,0)</f>
        <v>1</v>
      </c>
      <c r="AE484" s="65" t="n">
        <f aca="false">IF(IFERROR(VLOOKUP(D484,Controls!$A$64:$E$74,2,FALSE()),"No")="Yes",1,0)</f>
        <v>0</v>
      </c>
      <c r="AF484" s="65" t="n">
        <f aca="false">IF(IFERROR(VLOOKUP(D484,Controls!$A$64:$E$74,3,FALSE()),"No")="Yes",1,0)</f>
        <v>1</v>
      </c>
      <c r="AG484" s="65" t="n">
        <f aca="false">IF(IFERROR(VLOOKUP(D484,Controls!$A$64:$E$74,4,FALSE()),"No")="Yes",1,0)</f>
        <v>1</v>
      </c>
      <c r="AH484" s="65" t="n">
        <f aca="false">IF(IFERROR(VLOOKUP(D484,Controls!$A$64:$E$74,5,FALSE()),"No")="Yes",1,0)</f>
        <v>0</v>
      </c>
      <c r="AI484" s="65" t="n">
        <f aca="false">IF(ISNUMBER(MATCH(D484,Controls!$A$64:$A$74,0)),1,0)</f>
        <v>1</v>
      </c>
      <c r="AJ484" s="65" t="n">
        <f aca="false">Q484-N484</f>
        <v>4900</v>
      </c>
      <c r="AK484" s="65" t="n">
        <f aca="false">IF(AE484=1,MAX(0,N484-Q484),0)</f>
        <v>0</v>
      </c>
      <c r="AL484" s="65" t="n">
        <f aca="false">IF(OR(V484="",V484=0),0,N484/V484)</f>
        <v>0.163389402040538</v>
      </c>
      <c r="AM484" s="65" t="n">
        <f aca="false">IF(OR(V484="",V484=0),0,1)</f>
        <v>1</v>
      </c>
      <c r="AN484" s="65" t="n">
        <f aca="false">IF(OR(E484="",F484=""),0,NETWORKDAYS(E484,F484,Ref!$K$2:$K$42))</f>
        <v>116</v>
      </c>
      <c r="AO484" s="65" t="n">
        <f aca="false">IF(L484="Renewal",1,0)</f>
        <v>0</v>
      </c>
      <c r="AP484" s="65" t="n">
        <f aca="false">AC484*AD484</f>
        <v>1</v>
      </c>
      <c r="AQ484" s="65" t="n">
        <f aca="false">IF(AND(G484&lt;&gt;"",'Historical Score'!$C$6&lt;&gt;""),IF(G484='Historical Score'!$C$6,1,0),0)</f>
        <v>1</v>
      </c>
      <c r="AR484" s="65" t="n">
        <f aca="false">IF(AND(L484&lt;&gt;"",'Historical Score'!$C$5&lt;&gt;""),IF(L484='Historical Score'!$C$5,1,0),0)</f>
        <v>1</v>
      </c>
      <c r="AS484" s="65" t="n">
        <f aca="false">IF(AND(Y484&lt;&gt;"",'Historical Score'!$C$7&lt;&gt;""),IF(Y484='Historical Score'!$C$7,1,0),0)</f>
        <v>0</v>
      </c>
      <c r="AT484" s="65" t="n">
        <f aca="false">IF(AND(K484&lt;&gt;"",'Historical Score'!$C$8&lt;&gt;""),IF(K484='Historical Score'!$C$8,1,0),0)</f>
        <v>0</v>
      </c>
      <c r="AU484" s="65" t="n">
        <f aca="false">IF(AND(J484&lt;&gt;"",'Historical Score'!$C$9&lt;&gt;""),IF(J484='Historical Score'!$C$9,1,0),0)</f>
        <v>0</v>
      </c>
      <c r="AV484" s="65" t="n">
        <f aca="false">AR484*AS484*AQ484</f>
        <v>0</v>
      </c>
      <c r="AW484" s="65" t="n">
        <f aca="false">AR484*AT484*AQ484</f>
        <v>0</v>
      </c>
      <c r="AX484" s="65" t="n">
        <f aca="false">AR484*AS484</f>
        <v>0</v>
      </c>
      <c r="AY484" s="65" t="n">
        <f aca="false">AR484*AT484</f>
        <v>0</v>
      </c>
      <c r="AZ484" s="65" t="n">
        <f aca="false">AR484*AQ484</f>
        <v>1</v>
      </c>
      <c r="BA484" s="65" t="n">
        <f aca="false">AR484</f>
        <v>1</v>
      </c>
      <c r="BB484" s="65" t="n">
        <f aca="false">1</f>
        <v>1</v>
      </c>
      <c r="BC484" s="65" t="n">
        <f aca="false">IF(AV484=1,1,IF(AW484=1,2,IF(AX484=1,3,IF(AY484=1,4,IF(AZ484=1,5,IF(BA484=1,6,7))))))</f>
        <v>5</v>
      </c>
      <c r="BD484" s="65" t="n">
        <f aca="false">IF(AD484=1,CHOOSE('Historical Score'!$C$29,AV484,AW484,AX484,AY484,AZ484,BA484,BB484),0)</f>
        <v>0</v>
      </c>
      <c r="BE484" s="65" t="str">
        <f aca="false">IF(BD484=1,COUNTIF($BD$2:BD484,1),"")</f>
        <v/>
      </c>
    </row>
    <row r="485" customFormat="false" ht="15" hidden="false" customHeight="false" outlineLevel="0" collapsed="false">
      <c r="A485" s="65" t="s">
        <v>1806</v>
      </c>
      <c r="B485" s="65" t="s">
        <v>1074</v>
      </c>
      <c r="C485" s="65" t="s">
        <v>1075</v>
      </c>
      <c r="D485" s="65" t="s">
        <v>371</v>
      </c>
      <c r="E485" s="112" t="n">
        <v>46020</v>
      </c>
      <c r="F485" s="112" t="n">
        <v>46127</v>
      </c>
      <c r="G485" s="65" t="n">
        <v>1</v>
      </c>
      <c r="H485" s="65" t="s">
        <v>442</v>
      </c>
      <c r="I485" s="65" t="s">
        <v>443</v>
      </c>
      <c r="J485" s="65" t="s">
        <v>717</v>
      </c>
      <c r="K485" s="65" t="s">
        <v>1076</v>
      </c>
      <c r="L485" s="65" t="s">
        <v>320</v>
      </c>
      <c r="M485" s="113" t="n">
        <v>1.49</v>
      </c>
      <c r="N485" s="114" t="n">
        <v>52000</v>
      </c>
      <c r="O485" s="114" t="n">
        <v>7280</v>
      </c>
      <c r="P485" s="114" t="n">
        <v>77480</v>
      </c>
      <c r="Q485" s="114" t="n">
        <v>77480</v>
      </c>
      <c r="R485" s="114" t="n">
        <v>0</v>
      </c>
      <c r="S485" s="115" t="n">
        <v>1</v>
      </c>
      <c r="T485" s="65" t="n">
        <v>28</v>
      </c>
      <c r="U485" s="65" t="n">
        <v>0</v>
      </c>
      <c r="V485" s="65" t="n">
        <v>64267.19</v>
      </c>
      <c r="W485" s="115" t="n">
        <v>0.1569</v>
      </c>
      <c r="X485" s="112" t="n">
        <v>44367</v>
      </c>
      <c r="Y485" s="65" t="str">
        <f aca="false">IF(I485="","No SIC",IFERROR(VLOOKUP(I485,Ref!$A$2:$B$65,2,FALSE()),"Unclassified"))</f>
        <v>General Building Contractors</v>
      </c>
      <c r="Z485" s="65" t="str">
        <f aca="false">IF(T485="","",IF(T485&lt;12,"Daily","Weekly"))</f>
        <v>Weekly</v>
      </c>
      <c r="AA485" s="65" t="n">
        <f aca="false">IF(T485="",0,IF(T485&lt;12,T485*Controls!$B$29,T485*5))</f>
        <v>140</v>
      </c>
      <c r="AB485" s="65" t="n">
        <f aca="false">IF(E485="",0,NETWORKDAYS(E485,Controls!$B$36,Ref!$K$2:$K$42))</f>
        <v>167</v>
      </c>
      <c r="AC485" s="65" t="n">
        <f aca="false">IF(AND(AA485&gt;0,AB485&gt;=Controls!$B$39*AA485),1,0)</f>
        <v>0</v>
      </c>
      <c r="AD485" s="65" t="n">
        <f aca="false">IF(AND(E485&lt;&gt;"",E485&gt;=Controls!$B$37,E485&lt;=Controls!$B$38),1,0)</f>
        <v>1</v>
      </c>
      <c r="AE485" s="65" t="n">
        <f aca="false">IF(IFERROR(VLOOKUP(D485,Controls!$A$64:$E$74,2,FALSE()),"No")="Yes",1,0)</f>
        <v>0</v>
      </c>
      <c r="AF485" s="65" t="n">
        <f aca="false">IF(IFERROR(VLOOKUP(D485,Controls!$A$64:$E$74,3,FALSE()),"No")="Yes",1,0)</f>
        <v>1</v>
      </c>
      <c r="AG485" s="65" t="n">
        <f aca="false">IF(IFERROR(VLOOKUP(D485,Controls!$A$64:$E$74,4,FALSE()),"No")="Yes",1,0)</f>
        <v>1</v>
      </c>
      <c r="AH485" s="65" t="n">
        <f aca="false">IF(IFERROR(VLOOKUP(D485,Controls!$A$64:$E$74,5,FALSE()),"No")="Yes",1,0)</f>
        <v>0</v>
      </c>
      <c r="AI485" s="65" t="n">
        <f aca="false">IF(ISNUMBER(MATCH(D485,Controls!$A$64:$A$74,0)),1,0)</f>
        <v>1</v>
      </c>
      <c r="AJ485" s="65" t="n">
        <f aca="false">Q485-N485</f>
        <v>25480</v>
      </c>
      <c r="AK485" s="65" t="n">
        <f aca="false">IF(AE485=1,MAX(0,N485-Q485),0)</f>
        <v>0</v>
      </c>
      <c r="AL485" s="65" t="n">
        <f aca="false">IF(OR(V485="",V485=0),0,N485/V485)</f>
        <v>0.809122041900385</v>
      </c>
      <c r="AM485" s="65" t="n">
        <f aca="false">IF(OR(V485="",V485=0),0,1)</f>
        <v>1</v>
      </c>
      <c r="AN485" s="65" t="n">
        <f aca="false">IF(OR(E485="",F485=""),0,NETWORKDAYS(E485,F485,Ref!$K$2:$K$42))</f>
        <v>75</v>
      </c>
      <c r="AO485" s="65" t="n">
        <f aca="false">IF(L485="Renewal",1,0)</f>
        <v>1</v>
      </c>
      <c r="AP485" s="65" t="n">
        <f aca="false">AC485*AD485</f>
        <v>0</v>
      </c>
      <c r="AQ485" s="65" t="n">
        <f aca="false">IF(AND(G485&lt;&gt;"",'Historical Score'!$C$6&lt;&gt;""),IF(G485='Historical Score'!$C$6,1,0),0)</f>
        <v>0</v>
      </c>
      <c r="AR485" s="65" t="n">
        <f aca="false">IF(AND(L485&lt;&gt;"",'Historical Score'!$C$5&lt;&gt;""),IF(L485='Historical Score'!$C$5,1,0),0)</f>
        <v>0</v>
      </c>
      <c r="AS485" s="65" t="n">
        <f aca="false">IF(AND(Y485&lt;&gt;"",'Historical Score'!$C$7&lt;&gt;""),IF(Y485='Historical Score'!$C$7,1,0),0)</f>
        <v>1</v>
      </c>
      <c r="AT485" s="65" t="n">
        <f aca="false">IF(AND(K485&lt;&gt;"",'Historical Score'!$C$8&lt;&gt;""),IF(K485='Historical Score'!$C$8,1,0),0)</f>
        <v>0</v>
      </c>
      <c r="AU485" s="65" t="n">
        <f aca="false">IF(AND(J485&lt;&gt;"",'Historical Score'!$C$9&lt;&gt;""),IF(J485='Historical Score'!$C$9,1,0),0)</f>
        <v>0</v>
      </c>
      <c r="AV485" s="65" t="n">
        <f aca="false">AR485*AS485*AQ485</f>
        <v>0</v>
      </c>
      <c r="AW485" s="65" t="n">
        <f aca="false">AR485*AT485*AQ485</f>
        <v>0</v>
      </c>
      <c r="AX485" s="65" t="n">
        <f aca="false">AR485*AS485</f>
        <v>0</v>
      </c>
      <c r="AY485" s="65" t="n">
        <f aca="false">AR485*AT485</f>
        <v>0</v>
      </c>
      <c r="AZ485" s="65" t="n">
        <f aca="false">AR485*AQ485</f>
        <v>0</v>
      </c>
      <c r="BA485" s="65" t="n">
        <f aca="false">AR485</f>
        <v>0</v>
      </c>
      <c r="BB485" s="65" t="n">
        <f aca="false">1</f>
        <v>1</v>
      </c>
      <c r="BC485" s="65" t="n">
        <f aca="false">IF(AV485=1,1,IF(AW485=1,2,IF(AX485=1,3,IF(AY485=1,4,IF(AZ485=1,5,IF(BA485=1,6,7))))))</f>
        <v>7</v>
      </c>
      <c r="BD485" s="65" t="n">
        <f aca="false">IF(AD485=1,CHOOSE('Historical Score'!$C$29,AV485,AW485,AX485,AY485,AZ485,BA485,BB485),0)</f>
        <v>0</v>
      </c>
      <c r="BE485" s="65" t="str">
        <f aca="false">IF(BD485=1,COUNTIF($BD$2:BD485,1),"")</f>
        <v/>
      </c>
    </row>
    <row r="486" customFormat="false" ht="15" hidden="false" customHeight="false" outlineLevel="0" collapsed="false">
      <c r="A486" s="65" t="s">
        <v>1807</v>
      </c>
      <c r="B486" s="65" t="s">
        <v>1808</v>
      </c>
      <c r="C486" s="65" t="s">
        <v>1808</v>
      </c>
      <c r="D486" s="65" t="s">
        <v>340</v>
      </c>
      <c r="E486" s="112" t="n">
        <v>46021</v>
      </c>
      <c r="F486" s="112" t="n">
        <v>46045</v>
      </c>
      <c r="G486" s="65" t="n">
        <v>4</v>
      </c>
      <c r="H486" s="65" t="s">
        <v>479</v>
      </c>
      <c r="I486" s="65" t="s">
        <v>356</v>
      </c>
      <c r="J486" s="65" t="s">
        <v>432</v>
      </c>
      <c r="K486" s="65" t="s">
        <v>1720</v>
      </c>
      <c r="L486" s="65" t="s">
        <v>64</v>
      </c>
      <c r="M486" s="113" t="n">
        <v>1.499</v>
      </c>
      <c r="N486" s="114" t="n">
        <v>15000</v>
      </c>
      <c r="O486" s="114" t="n">
        <v>0</v>
      </c>
      <c r="P486" s="114" t="n">
        <v>22485</v>
      </c>
      <c r="Q486" s="114" t="n">
        <v>3330.18</v>
      </c>
      <c r="R486" s="114" t="n">
        <v>19154.82</v>
      </c>
      <c r="S486" s="115" t="n">
        <v>0.148106737825217</v>
      </c>
      <c r="T486" s="65" t="n">
        <v>1.967</v>
      </c>
      <c r="U486" s="65" t="n">
        <v>7</v>
      </c>
      <c r="V486" s="65" t="n">
        <v>84368.42</v>
      </c>
      <c r="W486" s="115" t="n">
        <v>0.0921</v>
      </c>
      <c r="X486" s="112" t="n">
        <v>44562</v>
      </c>
      <c r="Y486" s="65" t="str">
        <f aca="false">IF(I486="","No SIC",IFERROR(VLOOKUP(I486,Ref!$A$2:$B$65,2,FALSE()),"Unclassified"))</f>
        <v>Trucking &amp; Warehousing</v>
      </c>
      <c r="Z486" s="65" t="str">
        <f aca="false">IF(T486="","",IF(T486&lt;12,"Daily","Weekly"))</f>
        <v>Daily</v>
      </c>
      <c r="AA486" s="65" t="n">
        <f aca="false">IF(T486="",0,IF(T486&lt;12,T486*Controls!$B$29,T486*5))</f>
        <v>42.595385</v>
      </c>
      <c r="AB486" s="65" t="n">
        <f aca="false">IF(E486="",0,NETWORKDAYS(E486,Controls!$B$36,Ref!$K$2:$K$42))</f>
        <v>166</v>
      </c>
      <c r="AC486" s="65" t="n">
        <f aca="false">IF(AND(AA486&gt;0,AB486&gt;=Controls!$B$39*AA486),1,0)</f>
        <v>1</v>
      </c>
      <c r="AD486" s="65" t="n">
        <f aca="false">IF(AND(E486&lt;&gt;"",E486&gt;=Controls!$B$37,E486&lt;=Controls!$B$38),1,0)</f>
        <v>1</v>
      </c>
      <c r="AE486" s="65" t="n">
        <f aca="false">IF(IFERROR(VLOOKUP(D486,Controls!$A$64:$E$74,2,FALSE()),"No")="Yes",1,0)</f>
        <v>1</v>
      </c>
      <c r="AF486" s="65" t="n">
        <f aca="false">IF(IFERROR(VLOOKUP(D486,Controls!$A$64:$E$74,3,FALSE()),"No")="Yes",1,0)</f>
        <v>0</v>
      </c>
      <c r="AG486" s="65" t="n">
        <f aca="false">IF(IFERROR(VLOOKUP(D486,Controls!$A$64:$E$74,4,FALSE()),"No")="Yes",1,0)</f>
        <v>0</v>
      </c>
      <c r="AH486" s="65" t="n">
        <f aca="false">IF(IFERROR(VLOOKUP(D486,Controls!$A$64:$E$74,5,FALSE()),"No")="Yes",1,0)</f>
        <v>0</v>
      </c>
      <c r="AI486" s="65" t="n">
        <f aca="false">IF(ISNUMBER(MATCH(D486,Controls!$A$64:$A$74,0)),1,0)</f>
        <v>1</v>
      </c>
      <c r="AJ486" s="65" t="n">
        <f aca="false">Q486-N486</f>
        <v>-11669.82</v>
      </c>
      <c r="AK486" s="65" t="n">
        <f aca="false">IF(AE486=1,MAX(0,N486-Q486),0)</f>
        <v>11669.82</v>
      </c>
      <c r="AL486" s="65" t="n">
        <f aca="false">IF(OR(V486="",V486=0),0,N486/V486)</f>
        <v>0.177791642891973</v>
      </c>
      <c r="AM486" s="65" t="n">
        <f aca="false">IF(OR(V486="",V486=0),0,1)</f>
        <v>1</v>
      </c>
      <c r="AN486" s="65" t="n">
        <f aca="false">IF(OR(E486="",F486=""),0,NETWORKDAYS(E486,F486,Ref!$K$2:$K$42))</f>
        <v>17</v>
      </c>
      <c r="AO486" s="65" t="n">
        <f aca="false">IF(L486="Renewal",1,0)</f>
        <v>0</v>
      </c>
      <c r="AP486" s="65" t="n">
        <f aca="false">AC486*AD486</f>
        <v>1</v>
      </c>
      <c r="AQ486" s="65" t="n">
        <f aca="false">IF(AND(G486&lt;&gt;"",'Historical Score'!$C$6&lt;&gt;""),IF(G486='Historical Score'!$C$6,1,0),0)</f>
        <v>0</v>
      </c>
      <c r="AR486" s="65" t="n">
        <f aca="false">IF(AND(L486&lt;&gt;"",'Historical Score'!$C$5&lt;&gt;""),IF(L486='Historical Score'!$C$5,1,0),0)</f>
        <v>1</v>
      </c>
      <c r="AS486" s="65" t="n">
        <f aca="false">IF(AND(Y486&lt;&gt;"",'Historical Score'!$C$7&lt;&gt;""),IF(Y486='Historical Score'!$C$7,1,0),0)</f>
        <v>0</v>
      </c>
      <c r="AT486" s="65" t="n">
        <f aca="false">IF(AND(K486&lt;&gt;"",'Historical Score'!$C$8&lt;&gt;""),IF(K486='Historical Score'!$C$8,1,0),0)</f>
        <v>0</v>
      </c>
      <c r="AU486" s="65" t="n">
        <f aca="false">IF(AND(J486&lt;&gt;"",'Historical Score'!$C$9&lt;&gt;""),IF(J486='Historical Score'!$C$9,1,0),0)</f>
        <v>0</v>
      </c>
      <c r="AV486" s="65" t="n">
        <f aca="false">AR486*AS486*AQ486</f>
        <v>0</v>
      </c>
      <c r="AW486" s="65" t="n">
        <f aca="false">AR486*AT486*AQ486</f>
        <v>0</v>
      </c>
      <c r="AX486" s="65" t="n">
        <f aca="false">AR486*AS486</f>
        <v>0</v>
      </c>
      <c r="AY486" s="65" t="n">
        <f aca="false">AR486*AT486</f>
        <v>0</v>
      </c>
      <c r="AZ486" s="65" t="n">
        <f aca="false">AR486*AQ486</f>
        <v>0</v>
      </c>
      <c r="BA486" s="65" t="n">
        <f aca="false">AR486</f>
        <v>1</v>
      </c>
      <c r="BB486" s="65" t="n">
        <f aca="false">1</f>
        <v>1</v>
      </c>
      <c r="BC486" s="65" t="n">
        <f aca="false">IF(AV486=1,1,IF(AW486=1,2,IF(AX486=1,3,IF(AY486=1,4,IF(AZ486=1,5,IF(BA486=1,6,7))))))</f>
        <v>6</v>
      </c>
      <c r="BD486" s="65" t="n">
        <f aca="false">IF(AD486=1,CHOOSE('Historical Score'!$C$29,AV486,AW486,AX486,AY486,AZ486,BA486,BB486),0)</f>
        <v>0</v>
      </c>
      <c r="BE486" s="65" t="str">
        <f aca="false">IF(BD486=1,COUNTIF($BD$2:BD486,1),"")</f>
        <v/>
      </c>
    </row>
    <row r="487" customFormat="false" ht="15" hidden="false" customHeight="false" outlineLevel="0" collapsed="false">
      <c r="A487" s="65" t="s">
        <v>1809</v>
      </c>
      <c r="B487" s="65" t="s">
        <v>1810</v>
      </c>
      <c r="C487" s="65" t="s">
        <v>1811</v>
      </c>
      <c r="D487" s="65" t="s">
        <v>340</v>
      </c>
      <c r="E487" s="112" t="n">
        <v>46021</v>
      </c>
      <c r="F487" s="112" t="n">
        <v>46153</v>
      </c>
      <c r="G487" s="65" t="n">
        <v>3</v>
      </c>
      <c r="H487" s="65" t="s">
        <v>1812</v>
      </c>
      <c r="I487" s="65" t="s">
        <v>405</v>
      </c>
      <c r="J487" s="65" t="s">
        <v>61</v>
      </c>
      <c r="K487" s="65" t="s">
        <v>368</v>
      </c>
      <c r="L487" s="65" t="s">
        <v>64</v>
      </c>
      <c r="M487" s="113" t="n">
        <v>1.49</v>
      </c>
      <c r="N487" s="114" t="n">
        <v>15000</v>
      </c>
      <c r="O487" s="114" t="n">
        <v>0</v>
      </c>
      <c r="P487" s="114" t="n">
        <v>22350</v>
      </c>
      <c r="Q487" s="114" t="n">
        <v>17321.24</v>
      </c>
      <c r="R487" s="114" t="n">
        <v>5028.76</v>
      </c>
      <c r="S487" s="115" t="n">
        <v>0.774999552572707</v>
      </c>
      <c r="T487" s="65" t="n">
        <v>20</v>
      </c>
      <c r="U487" s="65" t="n">
        <v>9</v>
      </c>
      <c r="V487" s="65" t="n">
        <v>39803.13</v>
      </c>
      <c r="W487" s="115" t="n">
        <v>0.1123</v>
      </c>
      <c r="X487" s="112" t="n">
        <v>44581</v>
      </c>
      <c r="Y487" s="65" t="str">
        <f aca="false">IF(I487="","No SIC",IFERROR(VLOOKUP(I487,Ref!$A$2:$B$65,2,FALSE()),"Unclassified"))</f>
        <v>Health Services</v>
      </c>
      <c r="Z487" s="65" t="str">
        <f aca="false">IF(T487="","",IF(T487&lt;12,"Daily","Weekly"))</f>
        <v>Weekly</v>
      </c>
      <c r="AA487" s="65" t="n">
        <f aca="false">IF(T487="",0,IF(T487&lt;12,T487*Controls!$B$29,T487*5))</f>
        <v>100</v>
      </c>
      <c r="AB487" s="65" t="n">
        <f aca="false">IF(E487="",0,NETWORKDAYS(E487,Controls!$B$36,Ref!$K$2:$K$42))</f>
        <v>166</v>
      </c>
      <c r="AC487" s="65" t="n">
        <f aca="false">IF(AND(AA487&gt;0,AB487&gt;=Controls!$B$39*AA487),1,0)</f>
        <v>1</v>
      </c>
      <c r="AD487" s="65" t="n">
        <f aca="false">IF(AND(E487&lt;&gt;"",E487&gt;=Controls!$B$37,E487&lt;=Controls!$B$38),1,0)</f>
        <v>1</v>
      </c>
      <c r="AE487" s="65" t="n">
        <f aca="false">IF(IFERROR(VLOOKUP(D487,Controls!$A$64:$E$74,2,FALSE()),"No")="Yes",1,0)</f>
        <v>1</v>
      </c>
      <c r="AF487" s="65" t="n">
        <f aca="false">IF(IFERROR(VLOOKUP(D487,Controls!$A$64:$E$74,3,FALSE()),"No")="Yes",1,0)</f>
        <v>0</v>
      </c>
      <c r="AG487" s="65" t="n">
        <f aca="false">IF(IFERROR(VLOOKUP(D487,Controls!$A$64:$E$74,4,FALSE()),"No")="Yes",1,0)</f>
        <v>0</v>
      </c>
      <c r="AH487" s="65" t="n">
        <f aca="false">IF(IFERROR(VLOOKUP(D487,Controls!$A$64:$E$74,5,FALSE()),"No")="Yes",1,0)</f>
        <v>0</v>
      </c>
      <c r="AI487" s="65" t="n">
        <f aca="false">IF(ISNUMBER(MATCH(D487,Controls!$A$64:$A$74,0)),1,0)</f>
        <v>1</v>
      </c>
      <c r="AJ487" s="65" t="n">
        <f aca="false">Q487-N487</f>
        <v>2321.24</v>
      </c>
      <c r="AK487" s="65" t="n">
        <f aca="false">IF(AE487=1,MAX(0,N487-Q487),0)</f>
        <v>0</v>
      </c>
      <c r="AL487" s="65" t="n">
        <f aca="false">IF(OR(V487="",V487=0),0,N487/V487)</f>
        <v>0.376854785038262</v>
      </c>
      <c r="AM487" s="65" t="n">
        <f aca="false">IF(OR(V487="",V487=0),0,1)</f>
        <v>1</v>
      </c>
      <c r="AN487" s="65" t="n">
        <f aca="false">IF(OR(E487="",F487=""),0,NETWORKDAYS(E487,F487,Ref!$K$2:$K$42))</f>
        <v>92</v>
      </c>
      <c r="AO487" s="65" t="n">
        <f aca="false">IF(L487="Renewal",1,0)</f>
        <v>0</v>
      </c>
      <c r="AP487" s="65" t="n">
        <f aca="false">AC487*AD487</f>
        <v>1</v>
      </c>
      <c r="AQ487" s="65" t="n">
        <f aca="false">IF(AND(G487&lt;&gt;"",'Historical Score'!$C$6&lt;&gt;""),IF(G487='Historical Score'!$C$6,1,0),0)</f>
        <v>0</v>
      </c>
      <c r="AR487" s="65" t="n">
        <f aca="false">IF(AND(L487&lt;&gt;"",'Historical Score'!$C$5&lt;&gt;""),IF(L487='Historical Score'!$C$5,1,0),0)</f>
        <v>1</v>
      </c>
      <c r="AS487" s="65" t="n">
        <f aca="false">IF(AND(Y487&lt;&gt;"",'Historical Score'!$C$7&lt;&gt;""),IF(Y487='Historical Score'!$C$7,1,0),0)</f>
        <v>0</v>
      </c>
      <c r="AT487" s="65" t="n">
        <f aca="false">IF(AND(K487&lt;&gt;"",'Historical Score'!$C$8&lt;&gt;""),IF(K487='Historical Score'!$C$8,1,0),0)</f>
        <v>0</v>
      </c>
      <c r="AU487" s="65" t="n">
        <f aca="false">IF(AND(J487&lt;&gt;"",'Historical Score'!$C$9&lt;&gt;""),IF(J487='Historical Score'!$C$9,1,0),0)</f>
        <v>1</v>
      </c>
      <c r="AV487" s="65" t="n">
        <f aca="false">AR487*AS487*AQ487</f>
        <v>0</v>
      </c>
      <c r="AW487" s="65" t="n">
        <f aca="false">AR487*AT487*AQ487</f>
        <v>0</v>
      </c>
      <c r="AX487" s="65" t="n">
        <f aca="false">AR487*AS487</f>
        <v>0</v>
      </c>
      <c r="AY487" s="65" t="n">
        <f aca="false">AR487*AT487</f>
        <v>0</v>
      </c>
      <c r="AZ487" s="65" t="n">
        <f aca="false">AR487*AQ487</f>
        <v>0</v>
      </c>
      <c r="BA487" s="65" t="n">
        <f aca="false">AR487</f>
        <v>1</v>
      </c>
      <c r="BB487" s="65" t="n">
        <f aca="false">1</f>
        <v>1</v>
      </c>
      <c r="BC487" s="65" t="n">
        <f aca="false">IF(AV487=1,1,IF(AW487=1,2,IF(AX487=1,3,IF(AY487=1,4,IF(AZ487=1,5,IF(BA487=1,6,7))))))</f>
        <v>6</v>
      </c>
      <c r="BD487" s="65" t="n">
        <f aca="false">IF(AD487=1,CHOOSE('Historical Score'!$C$29,AV487,AW487,AX487,AY487,AZ487,BA487,BB487),0)</f>
        <v>0</v>
      </c>
      <c r="BE487" s="65" t="str">
        <f aca="false">IF(BD487=1,COUNTIF($BD$2:BD487,1),"")</f>
        <v/>
      </c>
    </row>
    <row r="488" customFormat="false" ht="15" hidden="false" customHeight="false" outlineLevel="0" collapsed="false">
      <c r="A488" s="65" t="s">
        <v>1813</v>
      </c>
      <c r="B488" s="65" t="s">
        <v>1814</v>
      </c>
      <c r="C488" s="65" t="s">
        <v>1815</v>
      </c>
      <c r="D488" s="65" t="s">
        <v>295</v>
      </c>
      <c r="E488" s="112" t="n">
        <v>46021</v>
      </c>
      <c r="F488" s="112" t="n">
        <v>46252</v>
      </c>
      <c r="G488" s="65" t="n">
        <v>1</v>
      </c>
      <c r="H488" s="65" t="s">
        <v>969</v>
      </c>
      <c r="I488" s="65" t="s">
        <v>970</v>
      </c>
      <c r="J488" s="65" t="s">
        <v>350</v>
      </c>
      <c r="K488" s="65" t="s">
        <v>961</v>
      </c>
      <c r="L488" s="65" t="s">
        <v>64</v>
      </c>
      <c r="M488" s="113" t="n">
        <v>1.4</v>
      </c>
      <c r="N488" s="114" t="n">
        <v>30000</v>
      </c>
      <c r="O488" s="114" t="n">
        <v>4050</v>
      </c>
      <c r="P488" s="114" t="n">
        <v>42000</v>
      </c>
      <c r="Q488" s="114" t="n">
        <v>17201.64</v>
      </c>
      <c r="R488" s="114" t="n">
        <v>24798.36</v>
      </c>
      <c r="S488" s="115" t="n">
        <v>0.409562857142857</v>
      </c>
      <c r="T488" s="65" t="n">
        <v>44</v>
      </c>
      <c r="U488" s="65" t="n">
        <v>0</v>
      </c>
      <c r="V488" s="65" t="n">
        <v>135121.36</v>
      </c>
      <c r="W488" s="115" t="n">
        <v>0.0283</v>
      </c>
      <c r="X488" s="112" t="n">
        <v>31616</v>
      </c>
      <c r="Y488" s="65" t="str">
        <f aca="false">IF(I488="","No SIC",IFERROR(VLOOKUP(I488,Ref!$A$2:$B$65,2,FALSE()),"Unclassified"))</f>
        <v>Industrial Machinery &amp; Equipment</v>
      </c>
      <c r="Z488" s="65" t="str">
        <f aca="false">IF(T488="","",IF(T488&lt;12,"Daily","Weekly"))</f>
        <v>Weekly</v>
      </c>
      <c r="AA488" s="65" t="n">
        <f aca="false">IF(T488="",0,IF(T488&lt;12,T488*Controls!$B$29,T488*5))</f>
        <v>220</v>
      </c>
      <c r="AB488" s="65" t="n">
        <f aca="false">IF(E488="",0,NETWORKDAYS(E488,Controls!$B$36,Ref!$K$2:$K$42))</f>
        <v>166</v>
      </c>
      <c r="AC488" s="65" t="n">
        <f aca="false">IF(AND(AA488&gt;0,AB488&gt;=Controls!$B$39*AA488),1,0)</f>
        <v>0</v>
      </c>
      <c r="AD488" s="65" t="n">
        <f aca="false">IF(AND(E488&lt;&gt;"",E488&gt;=Controls!$B$37,E488&lt;=Controls!$B$38),1,0)</f>
        <v>1</v>
      </c>
      <c r="AE488" s="65" t="n">
        <f aca="false">IF(IFERROR(VLOOKUP(D488,Controls!$A$64:$E$74,2,FALSE()),"No")="Yes",1,0)</f>
        <v>0</v>
      </c>
      <c r="AF488" s="65" t="n">
        <f aca="false">IF(IFERROR(VLOOKUP(D488,Controls!$A$64:$E$74,3,FALSE()),"No")="Yes",1,0)</f>
        <v>0</v>
      </c>
      <c r="AG488" s="65" t="n">
        <f aca="false">IF(IFERROR(VLOOKUP(D488,Controls!$A$64:$E$74,4,FALSE()),"No")="Yes",1,0)</f>
        <v>0</v>
      </c>
      <c r="AH488" s="65" t="n">
        <f aca="false">IF(IFERROR(VLOOKUP(D488,Controls!$A$64:$E$74,5,FALSE()),"No")="Yes",1,0)</f>
        <v>1</v>
      </c>
      <c r="AI488" s="65" t="n">
        <f aca="false">IF(ISNUMBER(MATCH(D488,Controls!$A$64:$A$74,0)),1,0)</f>
        <v>1</v>
      </c>
      <c r="AJ488" s="65" t="n">
        <f aca="false">Q488-N488</f>
        <v>-12798.36</v>
      </c>
      <c r="AK488" s="65" t="n">
        <f aca="false">IF(AE488=1,MAX(0,N488-Q488),0)</f>
        <v>0</v>
      </c>
      <c r="AL488" s="65" t="n">
        <f aca="false">IF(OR(V488="",V488=0),0,N488/V488)</f>
        <v>0.222022632099026</v>
      </c>
      <c r="AM488" s="65" t="n">
        <f aca="false">IF(OR(V488="",V488=0),0,1)</f>
        <v>1</v>
      </c>
      <c r="AN488" s="65" t="n">
        <f aca="false">IF(OR(E488="",F488=""),0,NETWORKDAYS(E488,F488,Ref!$K$2:$K$42))</f>
        <v>161</v>
      </c>
      <c r="AO488" s="65" t="n">
        <f aca="false">IF(L488="Renewal",1,0)</f>
        <v>0</v>
      </c>
      <c r="AP488" s="65" t="n">
        <f aca="false">AC488*AD488</f>
        <v>0</v>
      </c>
      <c r="AQ488" s="65" t="n">
        <f aca="false">IF(AND(G488&lt;&gt;"",'Historical Score'!$C$6&lt;&gt;""),IF(G488='Historical Score'!$C$6,1,0),0)</f>
        <v>0</v>
      </c>
      <c r="AR488" s="65" t="n">
        <f aca="false">IF(AND(L488&lt;&gt;"",'Historical Score'!$C$5&lt;&gt;""),IF(L488='Historical Score'!$C$5,1,0),0)</f>
        <v>1</v>
      </c>
      <c r="AS488" s="65" t="n">
        <f aca="false">IF(AND(Y488&lt;&gt;"",'Historical Score'!$C$7&lt;&gt;""),IF(Y488='Historical Score'!$C$7,1,0),0)</f>
        <v>0</v>
      </c>
      <c r="AT488" s="65" t="n">
        <f aca="false">IF(AND(K488&lt;&gt;"",'Historical Score'!$C$8&lt;&gt;""),IF(K488='Historical Score'!$C$8,1,0),0)</f>
        <v>0</v>
      </c>
      <c r="AU488" s="65" t="n">
        <f aca="false">IF(AND(J488&lt;&gt;"",'Historical Score'!$C$9&lt;&gt;""),IF(J488='Historical Score'!$C$9,1,0),0)</f>
        <v>0</v>
      </c>
      <c r="AV488" s="65" t="n">
        <f aca="false">AR488*AS488*AQ488</f>
        <v>0</v>
      </c>
      <c r="AW488" s="65" t="n">
        <f aca="false">AR488*AT488*AQ488</f>
        <v>0</v>
      </c>
      <c r="AX488" s="65" t="n">
        <f aca="false">AR488*AS488</f>
        <v>0</v>
      </c>
      <c r="AY488" s="65" t="n">
        <f aca="false">AR488*AT488</f>
        <v>0</v>
      </c>
      <c r="AZ488" s="65" t="n">
        <f aca="false">AR488*AQ488</f>
        <v>0</v>
      </c>
      <c r="BA488" s="65" t="n">
        <f aca="false">AR488</f>
        <v>1</v>
      </c>
      <c r="BB488" s="65" t="n">
        <f aca="false">1</f>
        <v>1</v>
      </c>
      <c r="BC488" s="65" t="n">
        <f aca="false">IF(AV488=1,1,IF(AW488=1,2,IF(AX488=1,3,IF(AY488=1,4,IF(AZ488=1,5,IF(BA488=1,6,7))))))</f>
        <v>6</v>
      </c>
      <c r="BD488" s="65" t="n">
        <f aca="false">IF(AD488=1,CHOOSE('Historical Score'!$C$29,AV488,AW488,AX488,AY488,AZ488,BA488,BB488),0)</f>
        <v>0</v>
      </c>
      <c r="BE488" s="65" t="str">
        <f aca="false">IF(BD488=1,COUNTIF($BD$2:BD488,1),"")</f>
        <v/>
      </c>
    </row>
    <row r="489" customFormat="false" ht="15" hidden="false" customHeight="false" outlineLevel="0" collapsed="false">
      <c r="A489" s="65" t="s">
        <v>1816</v>
      </c>
      <c r="B489" s="65" t="s">
        <v>1817</v>
      </c>
      <c r="C489" s="65" t="s">
        <v>1817</v>
      </c>
      <c r="D489" s="65" t="s">
        <v>371</v>
      </c>
      <c r="E489" s="112" t="n">
        <v>46022</v>
      </c>
      <c r="F489" s="112" t="n">
        <v>46231</v>
      </c>
      <c r="G489" s="65" t="n">
        <v>1</v>
      </c>
      <c r="H489" s="65" t="s">
        <v>572</v>
      </c>
      <c r="I489" s="65" t="s">
        <v>419</v>
      </c>
      <c r="J489" s="65" t="s">
        <v>61</v>
      </c>
      <c r="K489" s="65" t="s">
        <v>1047</v>
      </c>
      <c r="L489" s="65" t="s">
        <v>320</v>
      </c>
      <c r="M489" s="113" t="n">
        <v>1.46</v>
      </c>
      <c r="N489" s="114" t="n">
        <v>13000</v>
      </c>
      <c r="O489" s="114" t="n">
        <v>1625</v>
      </c>
      <c r="P489" s="114" t="n">
        <v>18980</v>
      </c>
      <c r="Q489" s="114" t="n">
        <v>18980</v>
      </c>
      <c r="R489" s="114" t="n">
        <v>0</v>
      </c>
      <c r="S489" s="115" t="n">
        <v>1</v>
      </c>
      <c r="T489" s="65" t="n">
        <v>22</v>
      </c>
      <c r="U489" s="65" t="n">
        <v>8</v>
      </c>
      <c r="V489" s="65" t="n">
        <v>34301.33</v>
      </c>
      <c r="W489" s="115" t="n">
        <v>0.1165</v>
      </c>
      <c r="X489" s="112" t="n">
        <v>42768</v>
      </c>
      <c r="Y489" s="65" t="str">
        <f aca="false">IF(I489="","No SIC",IFERROR(VLOOKUP(I489,Ref!$A$2:$B$65,2,FALSE()),"Unclassified"))</f>
        <v>Business Services</v>
      </c>
      <c r="Z489" s="65" t="str">
        <f aca="false">IF(T489="","",IF(T489&lt;12,"Daily","Weekly"))</f>
        <v>Weekly</v>
      </c>
      <c r="AA489" s="65" t="n">
        <f aca="false">IF(T489="",0,IF(T489&lt;12,T489*Controls!$B$29,T489*5))</f>
        <v>110</v>
      </c>
      <c r="AB489" s="65" t="n">
        <f aca="false">IF(E489="",0,NETWORKDAYS(E489,Controls!$B$36,Ref!$K$2:$K$42))</f>
        <v>165</v>
      </c>
      <c r="AC489" s="65" t="n">
        <f aca="false">IF(AND(AA489&gt;0,AB489&gt;=Controls!$B$39*AA489),1,0)</f>
        <v>1</v>
      </c>
      <c r="AD489" s="65" t="n">
        <f aca="false">IF(AND(E489&lt;&gt;"",E489&gt;=Controls!$B$37,E489&lt;=Controls!$B$38),1,0)</f>
        <v>1</v>
      </c>
      <c r="AE489" s="65" t="n">
        <f aca="false">IF(IFERROR(VLOOKUP(D489,Controls!$A$64:$E$74,2,FALSE()),"No")="Yes",1,0)</f>
        <v>0</v>
      </c>
      <c r="AF489" s="65" t="n">
        <f aca="false">IF(IFERROR(VLOOKUP(D489,Controls!$A$64:$E$74,3,FALSE()),"No")="Yes",1,0)</f>
        <v>1</v>
      </c>
      <c r="AG489" s="65" t="n">
        <f aca="false">IF(IFERROR(VLOOKUP(D489,Controls!$A$64:$E$74,4,FALSE()),"No")="Yes",1,0)</f>
        <v>1</v>
      </c>
      <c r="AH489" s="65" t="n">
        <f aca="false">IF(IFERROR(VLOOKUP(D489,Controls!$A$64:$E$74,5,FALSE()),"No")="Yes",1,0)</f>
        <v>0</v>
      </c>
      <c r="AI489" s="65" t="n">
        <f aca="false">IF(ISNUMBER(MATCH(D489,Controls!$A$64:$A$74,0)),1,0)</f>
        <v>1</v>
      </c>
      <c r="AJ489" s="65" t="n">
        <f aca="false">Q489-N489</f>
        <v>5980</v>
      </c>
      <c r="AK489" s="65" t="n">
        <f aca="false">IF(AE489=1,MAX(0,N489-Q489),0)</f>
        <v>0</v>
      </c>
      <c r="AL489" s="65" t="n">
        <f aca="false">IF(OR(V489="",V489=0),0,N489/V489)</f>
        <v>0.378994050668006</v>
      </c>
      <c r="AM489" s="65" t="n">
        <f aca="false">IF(OR(V489="",V489=0),0,1)</f>
        <v>1</v>
      </c>
      <c r="AN489" s="65" t="n">
        <f aca="false">IF(OR(E489="",F489=""),0,NETWORKDAYS(E489,F489,Ref!$K$2:$K$42))</f>
        <v>145</v>
      </c>
      <c r="AO489" s="65" t="n">
        <f aca="false">IF(L489="Renewal",1,0)</f>
        <v>1</v>
      </c>
      <c r="AP489" s="65" t="n">
        <f aca="false">AC489*AD489</f>
        <v>1</v>
      </c>
      <c r="AQ489" s="65" t="n">
        <f aca="false">IF(AND(G489&lt;&gt;"",'Historical Score'!$C$6&lt;&gt;""),IF(G489='Historical Score'!$C$6,1,0),0)</f>
        <v>0</v>
      </c>
      <c r="AR489" s="65" t="n">
        <f aca="false">IF(AND(L489&lt;&gt;"",'Historical Score'!$C$5&lt;&gt;""),IF(L489='Historical Score'!$C$5,1,0),0)</f>
        <v>0</v>
      </c>
      <c r="AS489" s="65" t="n">
        <f aca="false">IF(AND(Y489&lt;&gt;"",'Historical Score'!$C$7&lt;&gt;""),IF(Y489='Historical Score'!$C$7,1,0),0)</f>
        <v>0</v>
      </c>
      <c r="AT489" s="65" t="n">
        <f aca="false">IF(AND(K489&lt;&gt;"",'Historical Score'!$C$8&lt;&gt;""),IF(K489='Historical Score'!$C$8,1,0),0)</f>
        <v>0</v>
      </c>
      <c r="AU489" s="65" t="n">
        <f aca="false">IF(AND(J489&lt;&gt;"",'Historical Score'!$C$9&lt;&gt;""),IF(J489='Historical Score'!$C$9,1,0),0)</f>
        <v>1</v>
      </c>
      <c r="AV489" s="65" t="n">
        <f aca="false">AR489*AS489*AQ489</f>
        <v>0</v>
      </c>
      <c r="AW489" s="65" t="n">
        <f aca="false">AR489*AT489*AQ489</f>
        <v>0</v>
      </c>
      <c r="AX489" s="65" t="n">
        <f aca="false">AR489*AS489</f>
        <v>0</v>
      </c>
      <c r="AY489" s="65" t="n">
        <f aca="false">AR489*AT489</f>
        <v>0</v>
      </c>
      <c r="AZ489" s="65" t="n">
        <f aca="false">AR489*AQ489</f>
        <v>0</v>
      </c>
      <c r="BA489" s="65" t="n">
        <f aca="false">AR489</f>
        <v>0</v>
      </c>
      <c r="BB489" s="65" t="n">
        <f aca="false">1</f>
        <v>1</v>
      </c>
      <c r="BC489" s="65" t="n">
        <f aca="false">IF(AV489=1,1,IF(AW489=1,2,IF(AX489=1,3,IF(AY489=1,4,IF(AZ489=1,5,IF(BA489=1,6,7))))))</f>
        <v>7</v>
      </c>
      <c r="BD489" s="65" t="n">
        <f aca="false">IF(AD489=1,CHOOSE('Historical Score'!$C$29,AV489,AW489,AX489,AY489,AZ489,BA489,BB489),0)</f>
        <v>0</v>
      </c>
      <c r="BE489" s="65" t="str">
        <f aca="false">IF(BD489=1,COUNTIF($BD$2:BD489,1),"")</f>
        <v/>
      </c>
    </row>
    <row r="490" customFormat="false" ht="15" hidden="false" customHeight="false" outlineLevel="0" collapsed="false">
      <c r="A490" s="65" t="s">
        <v>1818</v>
      </c>
      <c r="B490" s="65" t="s">
        <v>1819</v>
      </c>
      <c r="C490" s="65" t="s">
        <v>1819</v>
      </c>
      <c r="D490" s="65" t="s">
        <v>959</v>
      </c>
      <c r="E490" s="112" t="n">
        <v>46022</v>
      </c>
      <c r="F490" s="112" t="n">
        <v>46253</v>
      </c>
      <c r="G490" s="65" t="n">
        <v>1</v>
      </c>
      <c r="H490" s="65" t="s">
        <v>404</v>
      </c>
      <c r="I490" s="65" t="s">
        <v>405</v>
      </c>
      <c r="J490" s="65" t="s">
        <v>638</v>
      </c>
      <c r="K490" s="65" t="s">
        <v>1820</v>
      </c>
      <c r="L490" s="65" t="s">
        <v>64</v>
      </c>
      <c r="M490" s="113" t="n">
        <v>1.49</v>
      </c>
      <c r="N490" s="114" t="n">
        <v>22000</v>
      </c>
      <c r="O490" s="114" t="n">
        <v>3080</v>
      </c>
      <c r="P490" s="114" t="n">
        <v>32780</v>
      </c>
      <c r="Q490" s="114" t="n">
        <v>21995.28</v>
      </c>
      <c r="R490" s="114" t="n">
        <v>10784.72</v>
      </c>
      <c r="S490" s="115" t="n">
        <v>0.670996949359365</v>
      </c>
      <c r="T490" s="65" t="n">
        <v>26</v>
      </c>
      <c r="U490" s="65" t="n">
        <v>25</v>
      </c>
      <c r="V490" s="65" t="n">
        <v>43430.73</v>
      </c>
      <c r="W490" s="115" t="n">
        <v>0.1161</v>
      </c>
      <c r="X490" s="112" t="n">
        <v>43581</v>
      </c>
      <c r="Y490" s="65" t="str">
        <f aca="false">IF(I490="","No SIC",IFERROR(VLOOKUP(I490,Ref!$A$2:$B$65,2,FALSE()),"Unclassified"))</f>
        <v>Health Services</v>
      </c>
      <c r="Z490" s="65" t="str">
        <f aca="false">IF(T490="","",IF(T490&lt;12,"Daily","Weekly"))</f>
        <v>Weekly</v>
      </c>
      <c r="AA490" s="65" t="n">
        <f aca="false">IF(T490="",0,IF(T490&lt;12,T490*Controls!$B$29,T490*5))</f>
        <v>130</v>
      </c>
      <c r="AB490" s="65" t="n">
        <f aca="false">IF(E490="",0,NETWORKDAYS(E490,Controls!$B$36,Ref!$K$2:$K$42))</f>
        <v>165</v>
      </c>
      <c r="AC490" s="65" t="n">
        <f aca="false">IF(AND(AA490&gt;0,AB490&gt;=Controls!$B$39*AA490),1,0)</f>
        <v>1</v>
      </c>
      <c r="AD490" s="65" t="n">
        <f aca="false">IF(AND(E490&lt;&gt;"",E490&gt;=Controls!$B$37,E490&lt;=Controls!$B$38),1,0)</f>
        <v>1</v>
      </c>
      <c r="AE490" s="65" t="n">
        <f aca="false">IF(IFERROR(VLOOKUP(D490,Controls!$A$64:$E$74,2,FALSE()),"No")="Yes",1,0)</f>
        <v>0</v>
      </c>
      <c r="AF490" s="65" t="n">
        <f aca="false">IF(IFERROR(VLOOKUP(D490,Controls!$A$64:$E$74,3,FALSE()),"No")="Yes",1,0)</f>
        <v>0</v>
      </c>
      <c r="AG490" s="65" t="n">
        <f aca="false">IF(IFERROR(VLOOKUP(D490,Controls!$A$64:$E$74,4,FALSE()),"No")="Yes",1,0)</f>
        <v>0</v>
      </c>
      <c r="AH490" s="65" t="n">
        <f aca="false">IF(IFERROR(VLOOKUP(D490,Controls!$A$64:$E$74,5,FALSE()),"No")="Yes",1,0)</f>
        <v>0</v>
      </c>
      <c r="AI490" s="65" t="n">
        <f aca="false">IF(ISNUMBER(MATCH(D490,Controls!$A$64:$A$74,0)),1,0)</f>
        <v>1</v>
      </c>
      <c r="AJ490" s="65" t="n">
        <f aca="false">Q490-N490</f>
        <v>-4.72000000000116</v>
      </c>
      <c r="AK490" s="65" t="n">
        <f aca="false">IF(AE490=1,MAX(0,N490-Q490),0)</f>
        <v>0</v>
      </c>
      <c r="AL490" s="65" t="n">
        <f aca="false">IF(OR(V490="",V490=0),0,N490/V490)</f>
        <v>0.506553769646515</v>
      </c>
      <c r="AM490" s="65" t="n">
        <f aca="false">IF(OR(V490="",V490=0),0,1)</f>
        <v>1</v>
      </c>
      <c r="AN490" s="65" t="n">
        <f aca="false">IF(OR(E490="",F490=""),0,NETWORKDAYS(E490,F490,Ref!$K$2:$K$42))</f>
        <v>161</v>
      </c>
      <c r="AO490" s="65" t="n">
        <f aca="false">IF(L490="Renewal",1,0)</f>
        <v>0</v>
      </c>
      <c r="AP490" s="65" t="n">
        <f aca="false">AC490*AD490</f>
        <v>1</v>
      </c>
      <c r="AQ490" s="65" t="n">
        <f aca="false">IF(AND(G490&lt;&gt;"",'Historical Score'!$C$6&lt;&gt;""),IF(G490='Historical Score'!$C$6,1,0),0)</f>
        <v>0</v>
      </c>
      <c r="AR490" s="65" t="n">
        <f aca="false">IF(AND(L490&lt;&gt;"",'Historical Score'!$C$5&lt;&gt;""),IF(L490='Historical Score'!$C$5,1,0),0)</f>
        <v>1</v>
      </c>
      <c r="AS490" s="65" t="n">
        <f aca="false">IF(AND(Y490&lt;&gt;"",'Historical Score'!$C$7&lt;&gt;""),IF(Y490='Historical Score'!$C$7,1,0),0)</f>
        <v>0</v>
      </c>
      <c r="AT490" s="65" t="n">
        <f aca="false">IF(AND(K490&lt;&gt;"",'Historical Score'!$C$8&lt;&gt;""),IF(K490='Historical Score'!$C$8,1,0),0)</f>
        <v>0</v>
      </c>
      <c r="AU490" s="65" t="n">
        <f aca="false">IF(AND(J490&lt;&gt;"",'Historical Score'!$C$9&lt;&gt;""),IF(J490='Historical Score'!$C$9,1,0),0)</f>
        <v>0</v>
      </c>
      <c r="AV490" s="65" t="n">
        <f aca="false">AR490*AS490*AQ490</f>
        <v>0</v>
      </c>
      <c r="AW490" s="65" t="n">
        <f aca="false">AR490*AT490*AQ490</f>
        <v>0</v>
      </c>
      <c r="AX490" s="65" t="n">
        <f aca="false">AR490*AS490</f>
        <v>0</v>
      </c>
      <c r="AY490" s="65" t="n">
        <f aca="false">AR490*AT490</f>
        <v>0</v>
      </c>
      <c r="AZ490" s="65" t="n">
        <f aca="false">AR490*AQ490</f>
        <v>0</v>
      </c>
      <c r="BA490" s="65" t="n">
        <f aca="false">AR490</f>
        <v>1</v>
      </c>
      <c r="BB490" s="65" t="n">
        <f aca="false">1</f>
        <v>1</v>
      </c>
      <c r="BC490" s="65" t="n">
        <f aca="false">IF(AV490=1,1,IF(AW490=1,2,IF(AX490=1,3,IF(AY490=1,4,IF(AZ490=1,5,IF(BA490=1,6,7))))))</f>
        <v>6</v>
      </c>
      <c r="BD490" s="65" t="n">
        <f aca="false">IF(AD490=1,CHOOSE('Historical Score'!$C$29,AV490,AW490,AX490,AY490,AZ490,BA490,BB490),0)</f>
        <v>0</v>
      </c>
      <c r="BE490" s="65" t="str">
        <f aca="false">IF(BD490=1,COUNTIF($BD$2:BD490,1),"")</f>
        <v/>
      </c>
    </row>
    <row r="491" customFormat="false" ht="15" hidden="false" customHeight="false" outlineLevel="0" collapsed="false">
      <c r="A491" s="65" t="s">
        <v>1821</v>
      </c>
      <c r="B491" s="65" t="s">
        <v>1822</v>
      </c>
      <c r="C491" s="65" t="s">
        <v>1822</v>
      </c>
      <c r="D491" s="65" t="s">
        <v>340</v>
      </c>
      <c r="E491" s="112" t="n">
        <v>46022</v>
      </c>
      <c r="F491" s="112" t="n">
        <v>46057</v>
      </c>
      <c r="G491" s="65" t="n">
        <v>2</v>
      </c>
      <c r="H491" s="65" t="s">
        <v>1823</v>
      </c>
      <c r="I491" s="65" t="s">
        <v>1824</v>
      </c>
      <c r="J491" s="65" t="s">
        <v>61</v>
      </c>
      <c r="K491" s="65" t="s">
        <v>961</v>
      </c>
      <c r="L491" s="65" t="s">
        <v>64</v>
      </c>
      <c r="M491" s="113" t="n">
        <v>1.37</v>
      </c>
      <c r="N491" s="114" t="n">
        <v>15000</v>
      </c>
      <c r="O491" s="114" t="n">
        <v>1575</v>
      </c>
      <c r="P491" s="114" t="n">
        <v>20550</v>
      </c>
      <c r="Q491" s="114" t="n">
        <v>3426.12</v>
      </c>
      <c r="R491" s="114" t="n">
        <v>17123.88</v>
      </c>
      <c r="S491" s="115" t="n">
        <v>0.166721167883212</v>
      </c>
      <c r="T491" s="65" t="n">
        <v>24</v>
      </c>
      <c r="U491" s="65" t="n">
        <v>1</v>
      </c>
      <c r="V491" s="65" t="n">
        <v>26054.26</v>
      </c>
      <c r="W491" s="115" t="n">
        <v>0.1315</v>
      </c>
      <c r="X491" s="112" t="n">
        <v>43966</v>
      </c>
      <c r="Y491" s="65" t="str">
        <f aca="false">IF(I491="","No SIC",IFERROR(VLOOKUP(I491,Ref!$A$2:$B$65,2,FALSE()),"Unclassified"))</f>
        <v>Rubber &amp; Plastics</v>
      </c>
      <c r="Z491" s="65" t="str">
        <f aca="false">IF(T491="","",IF(T491&lt;12,"Daily","Weekly"))</f>
        <v>Weekly</v>
      </c>
      <c r="AA491" s="65" t="n">
        <f aca="false">IF(T491="",0,IF(T491&lt;12,T491*Controls!$B$29,T491*5))</f>
        <v>120</v>
      </c>
      <c r="AB491" s="65" t="n">
        <f aca="false">IF(E491="",0,NETWORKDAYS(E491,Controls!$B$36,Ref!$K$2:$K$42))</f>
        <v>165</v>
      </c>
      <c r="AC491" s="65" t="n">
        <f aca="false">IF(AND(AA491&gt;0,AB491&gt;=Controls!$B$39*AA491),1,0)</f>
        <v>1</v>
      </c>
      <c r="AD491" s="65" t="n">
        <f aca="false">IF(AND(E491&lt;&gt;"",E491&gt;=Controls!$B$37,E491&lt;=Controls!$B$38),1,0)</f>
        <v>1</v>
      </c>
      <c r="AE491" s="65" t="n">
        <f aca="false">IF(IFERROR(VLOOKUP(D491,Controls!$A$64:$E$74,2,FALSE()),"No")="Yes",1,0)</f>
        <v>1</v>
      </c>
      <c r="AF491" s="65" t="n">
        <f aca="false">IF(IFERROR(VLOOKUP(D491,Controls!$A$64:$E$74,3,FALSE()),"No")="Yes",1,0)</f>
        <v>0</v>
      </c>
      <c r="AG491" s="65" t="n">
        <f aca="false">IF(IFERROR(VLOOKUP(D491,Controls!$A$64:$E$74,4,FALSE()),"No")="Yes",1,0)</f>
        <v>0</v>
      </c>
      <c r="AH491" s="65" t="n">
        <f aca="false">IF(IFERROR(VLOOKUP(D491,Controls!$A$64:$E$74,5,FALSE()),"No")="Yes",1,0)</f>
        <v>0</v>
      </c>
      <c r="AI491" s="65" t="n">
        <f aca="false">IF(ISNUMBER(MATCH(D491,Controls!$A$64:$A$74,0)),1,0)</f>
        <v>1</v>
      </c>
      <c r="AJ491" s="65" t="n">
        <f aca="false">Q491-N491</f>
        <v>-11573.88</v>
      </c>
      <c r="AK491" s="65" t="n">
        <f aca="false">IF(AE491=1,MAX(0,N491-Q491),0)</f>
        <v>11573.88</v>
      </c>
      <c r="AL491" s="65" t="n">
        <f aca="false">IF(OR(V491="",V491=0),0,N491/V491)</f>
        <v>0.5757215902505</v>
      </c>
      <c r="AM491" s="65" t="n">
        <f aca="false">IF(OR(V491="",V491=0),0,1)</f>
        <v>1</v>
      </c>
      <c r="AN491" s="65" t="n">
        <f aca="false">IF(OR(E491="",F491=""),0,NETWORKDAYS(E491,F491,Ref!$K$2:$K$42))</f>
        <v>24</v>
      </c>
      <c r="AO491" s="65" t="n">
        <f aca="false">IF(L491="Renewal",1,0)</f>
        <v>0</v>
      </c>
      <c r="AP491" s="65" t="n">
        <f aca="false">AC491*AD491</f>
        <v>1</v>
      </c>
      <c r="AQ491" s="65" t="n">
        <f aca="false">IF(AND(G491&lt;&gt;"",'Historical Score'!$C$6&lt;&gt;""),IF(G491='Historical Score'!$C$6,1,0),0)</f>
        <v>1</v>
      </c>
      <c r="AR491" s="65" t="n">
        <f aca="false">IF(AND(L491&lt;&gt;"",'Historical Score'!$C$5&lt;&gt;""),IF(L491='Historical Score'!$C$5,1,0),0)</f>
        <v>1</v>
      </c>
      <c r="AS491" s="65" t="n">
        <f aca="false">IF(AND(Y491&lt;&gt;"",'Historical Score'!$C$7&lt;&gt;""),IF(Y491='Historical Score'!$C$7,1,0),0)</f>
        <v>0</v>
      </c>
      <c r="AT491" s="65" t="n">
        <f aca="false">IF(AND(K491&lt;&gt;"",'Historical Score'!$C$8&lt;&gt;""),IF(K491='Historical Score'!$C$8,1,0),0)</f>
        <v>0</v>
      </c>
      <c r="AU491" s="65" t="n">
        <f aca="false">IF(AND(J491&lt;&gt;"",'Historical Score'!$C$9&lt;&gt;""),IF(J491='Historical Score'!$C$9,1,0),0)</f>
        <v>1</v>
      </c>
      <c r="AV491" s="65" t="n">
        <f aca="false">AR491*AS491*AQ491</f>
        <v>0</v>
      </c>
      <c r="AW491" s="65" t="n">
        <f aca="false">AR491*AT491*AQ491</f>
        <v>0</v>
      </c>
      <c r="AX491" s="65" t="n">
        <f aca="false">AR491*AS491</f>
        <v>0</v>
      </c>
      <c r="AY491" s="65" t="n">
        <f aca="false">AR491*AT491</f>
        <v>0</v>
      </c>
      <c r="AZ491" s="65" t="n">
        <f aca="false">AR491*AQ491</f>
        <v>1</v>
      </c>
      <c r="BA491" s="65" t="n">
        <f aca="false">AR491</f>
        <v>1</v>
      </c>
      <c r="BB491" s="65" t="n">
        <f aca="false">1</f>
        <v>1</v>
      </c>
      <c r="BC491" s="65" t="n">
        <f aca="false">IF(AV491=1,1,IF(AW491=1,2,IF(AX491=1,3,IF(AY491=1,4,IF(AZ491=1,5,IF(BA491=1,6,7))))))</f>
        <v>5</v>
      </c>
      <c r="BD491" s="65" t="n">
        <f aca="false">IF(AD491=1,CHOOSE('Historical Score'!$C$29,AV491,AW491,AX491,AY491,AZ491,BA491,BB491),0)</f>
        <v>0</v>
      </c>
      <c r="BE491" s="65" t="str">
        <f aca="false">IF(BD491=1,COUNTIF($BD$2:BD491,1),"")</f>
        <v/>
      </c>
    </row>
    <row r="492" customFormat="false" ht="15" hidden="false" customHeight="false" outlineLevel="0" collapsed="false">
      <c r="A492" s="65" t="s">
        <v>1825</v>
      </c>
      <c r="B492" s="65" t="s">
        <v>1826</v>
      </c>
      <c r="C492" s="65" t="s">
        <v>1826</v>
      </c>
      <c r="D492" s="65" t="s">
        <v>371</v>
      </c>
      <c r="E492" s="112" t="n">
        <v>46022</v>
      </c>
      <c r="F492" s="112" t="n">
        <v>46076</v>
      </c>
      <c r="G492" s="65" t="n">
        <v>3</v>
      </c>
      <c r="H492" s="65" t="s">
        <v>355</v>
      </c>
      <c r="I492" s="65" t="s">
        <v>356</v>
      </c>
      <c r="J492" s="65" t="s">
        <v>452</v>
      </c>
      <c r="K492" s="65" t="s">
        <v>961</v>
      </c>
      <c r="L492" s="65" t="s">
        <v>64</v>
      </c>
      <c r="M492" s="113" t="n">
        <v>1.38</v>
      </c>
      <c r="N492" s="114" t="n">
        <v>10000</v>
      </c>
      <c r="O492" s="114" t="n">
        <v>1250</v>
      </c>
      <c r="P492" s="114" t="n">
        <v>13800</v>
      </c>
      <c r="Q492" s="114" t="n">
        <v>13800</v>
      </c>
      <c r="R492" s="114" t="n">
        <v>-1.81898940354586E-012</v>
      </c>
      <c r="S492" s="115" t="n">
        <v>1</v>
      </c>
      <c r="T492" s="65" t="n">
        <v>2.951</v>
      </c>
      <c r="U492" s="65" t="n">
        <v>0</v>
      </c>
      <c r="V492" s="65" t="n">
        <v>24929.12</v>
      </c>
      <c r="W492" s="115" t="n">
        <v>0.1292</v>
      </c>
      <c r="X492" s="112" t="n">
        <v>44149</v>
      </c>
      <c r="Y492" s="65" t="str">
        <f aca="false">IF(I492="","No SIC",IFERROR(VLOOKUP(I492,Ref!$A$2:$B$65,2,FALSE()),"Unclassified"))</f>
        <v>Trucking &amp; Warehousing</v>
      </c>
      <c r="Z492" s="65" t="str">
        <f aca="false">IF(T492="","",IF(T492&lt;12,"Daily","Weekly"))</f>
        <v>Daily</v>
      </c>
      <c r="AA492" s="65" t="n">
        <f aca="false">IF(T492="",0,IF(T492&lt;12,T492*Controls!$B$29,T492*5))</f>
        <v>63.903905</v>
      </c>
      <c r="AB492" s="65" t="n">
        <f aca="false">IF(E492="",0,NETWORKDAYS(E492,Controls!$B$36,Ref!$K$2:$K$42))</f>
        <v>165</v>
      </c>
      <c r="AC492" s="65" t="n">
        <f aca="false">IF(AND(AA492&gt;0,AB492&gt;=Controls!$B$39*AA492),1,0)</f>
        <v>1</v>
      </c>
      <c r="AD492" s="65" t="n">
        <f aca="false">IF(AND(E492&lt;&gt;"",E492&gt;=Controls!$B$37,E492&lt;=Controls!$B$38),1,0)</f>
        <v>1</v>
      </c>
      <c r="AE492" s="65" t="n">
        <f aca="false">IF(IFERROR(VLOOKUP(D492,Controls!$A$64:$E$74,2,FALSE()),"No")="Yes",1,0)</f>
        <v>0</v>
      </c>
      <c r="AF492" s="65" t="n">
        <f aca="false">IF(IFERROR(VLOOKUP(D492,Controls!$A$64:$E$74,3,FALSE()),"No")="Yes",1,0)</f>
        <v>1</v>
      </c>
      <c r="AG492" s="65" t="n">
        <f aca="false">IF(IFERROR(VLOOKUP(D492,Controls!$A$64:$E$74,4,FALSE()),"No")="Yes",1,0)</f>
        <v>1</v>
      </c>
      <c r="AH492" s="65" t="n">
        <f aca="false">IF(IFERROR(VLOOKUP(D492,Controls!$A$64:$E$74,5,FALSE()),"No")="Yes",1,0)</f>
        <v>0</v>
      </c>
      <c r="AI492" s="65" t="n">
        <f aca="false">IF(ISNUMBER(MATCH(D492,Controls!$A$64:$A$74,0)),1,0)</f>
        <v>1</v>
      </c>
      <c r="AJ492" s="65" t="n">
        <f aca="false">Q492-N492</f>
        <v>3800</v>
      </c>
      <c r="AK492" s="65" t="n">
        <f aca="false">IF(AE492=1,MAX(0,N492-Q492),0)</f>
        <v>0</v>
      </c>
      <c r="AL492" s="65" t="n">
        <f aca="false">IF(OR(V492="",V492=0),0,N492/V492)</f>
        <v>0.401137304485678</v>
      </c>
      <c r="AM492" s="65" t="n">
        <f aca="false">IF(OR(V492="",V492=0),0,1)</f>
        <v>1</v>
      </c>
      <c r="AN492" s="65" t="n">
        <f aca="false">IF(OR(E492="",F492=""),0,NETWORKDAYS(E492,F492,Ref!$K$2:$K$42))</f>
        <v>36</v>
      </c>
      <c r="AO492" s="65" t="n">
        <f aca="false">IF(L492="Renewal",1,0)</f>
        <v>0</v>
      </c>
      <c r="AP492" s="65" t="n">
        <f aca="false">AC492*AD492</f>
        <v>1</v>
      </c>
      <c r="AQ492" s="65" t="n">
        <f aca="false">IF(AND(G492&lt;&gt;"",'Historical Score'!$C$6&lt;&gt;""),IF(G492='Historical Score'!$C$6,1,0),0)</f>
        <v>0</v>
      </c>
      <c r="AR492" s="65" t="n">
        <f aca="false">IF(AND(L492&lt;&gt;"",'Historical Score'!$C$5&lt;&gt;""),IF(L492='Historical Score'!$C$5,1,0),0)</f>
        <v>1</v>
      </c>
      <c r="AS492" s="65" t="n">
        <f aca="false">IF(AND(Y492&lt;&gt;"",'Historical Score'!$C$7&lt;&gt;""),IF(Y492='Historical Score'!$C$7,1,0),0)</f>
        <v>0</v>
      </c>
      <c r="AT492" s="65" t="n">
        <f aca="false">IF(AND(K492&lt;&gt;"",'Historical Score'!$C$8&lt;&gt;""),IF(K492='Historical Score'!$C$8,1,0),0)</f>
        <v>0</v>
      </c>
      <c r="AU492" s="65" t="n">
        <f aca="false">IF(AND(J492&lt;&gt;"",'Historical Score'!$C$9&lt;&gt;""),IF(J492='Historical Score'!$C$9,1,0),0)</f>
        <v>0</v>
      </c>
      <c r="AV492" s="65" t="n">
        <f aca="false">AR492*AS492*AQ492</f>
        <v>0</v>
      </c>
      <c r="AW492" s="65" t="n">
        <f aca="false">AR492*AT492*AQ492</f>
        <v>0</v>
      </c>
      <c r="AX492" s="65" t="n">
        <f aca="false">AR492*AS492</f>
        <v>0</v>
      </c>
      <c r="AY492" s="65" t="n">
        <f aca="false">AR492*AT492</f>
        <v>0</v>
      </c>
      <c r="AZ492" s="65" t="n">
        <f aca="false">AR492*AQ492</f>
        <v>0</v>
      </c>
      <c r="BA492" s="65" t="n">
        <f aca="false">AR492</f>
        <v>1</v>
      </c>
      <c r="BB492" s="65" t="n">
        <f aca="false">1</f>
        <v>1</v>
      </c>
      <c r="BC492" s="65" t="n">
        <f aca="false">IF(AV492=1,1,IF(AW492=1,2,IF(AX492=1,3,IF(AY492=1,4,IF(AZ492=1,5,IF(BA492=1,6,7))))))</f>
        <v>6</v>
      </c>
      <c r="BD492" s="65" t="n">
        <f aca="false">IF(AD492=1,CHOOSE('Historical Score'!$C$29,AV492,AW492,AX492,AY492,AZ492,BA492,BB492),0)</f>
        <v>0</v>
      </c>
      <c r="BE492" s="65" t="str">
        <f aca="false">IF(BD492=1,COUNTIF($BD$2:BD492,1),"")</f>
        <v/>
      </c>
    </row>
    <row r="493" customFormat="false" ht="15" hidden="false" customHeight="false" outlineLevel="0" collapsed="false">
      <c r="A493" s="65" t="s">
        <v>1827</v>
      </c>
      <c r="B493" s="65" t="s">
        <v>1828</v>
      </c>
      <c r="C493" s="65" t="s">
        <v>1829</v>
      </c>
      <c r="D493" s="65" t="s">
        <v>295</v>
      </c>
      <c r="E493" s="112" t="n">
        <v>46022</v>
      </c>
      <c r="F493" s="112" t="n">
        <v>46248</v>
      </c>
      <c r="G493" s="65" t="n">
        <v>3</v>
      </c>
      <c r="H493" s="65" t="s">
        <v>1812</v>
      </c>
      <c r="I493" s="65" t="s">
        <v>405</v>
      </c>
      <c r="J493" s="65" t="s">
        <v>380</v>
      </c>
      <c r="K493" s="65" t="s">
        <v>55</v>
      </c>
      <c r="L493" s="65" t="s">
        <v>64</v>
      </c>
      <c r="M493" s="113" t="n">
        <v>1.45</v>
      </c>
      <c r="N493" s="114" t="n">
        <v>175000</v>
      </c>
      <c r="O493" s="114" t="n">
        <v>21000</v>
      </c>
      <c r="P493" s="114" t="n">
        <v>253750</v>
      </c>
      <c r="Q493" s="114" t="n">
        <v>225637.76</v>
      </c>
      <c r="R493" s="114" t="n">
        <v>28112.24</v>
      </c>
      <c r="S493" s="115" t="n">
        <v>0.88921284729064</v>
      </c>
      <c r="T493" s="65" t="n">
        <v>36</v>
      </c>
      <c r="U493" s="65" t="n">
        <v>0</v>
      </c>
      <c r="V493" s="65" t="n">
        <v>261154.64</v>
      </c>
      <c r="W493" s="115" t="n">
        <v>0.108</v>
      </c>
      <c r="X493" s="112"/>
      <c r="Y493" s="65" t="str">
        <f aca="false">IF(I493="","No SIC",IFERROR(VLOOKUP(I493,Ref!$A$2:$B$65,2,FALSE()),"Unclassified"))</f>
        <v>Health Services</v>
      </c>
      <c r="Z493" s="65" t="str">
        <f aca="false">IF(T493="","",IF(T493&lt;12,"Daily","Weekly"))</f>
        <v>Weekly</v>
      </c>
      <c r="AA493" s="65" t="n">
        <f aca="false">IF(T493="",0,IF(T493&lt;12,T493*Controls!$B$29,T493*5))</f>
        <v>180</v>
      </c>
      <c r="AB493" s="65" t="n">
        <f aca="false">IF(E493="",0,NETWORKDAYS(E493,Controls!$B$36,Ref!$K$2:$K$42))</f>
        <v>165</v>
      </c>
      <c r="AC493" s="65" t="n">
        <f aca="false">IF(AND(AA493&gt;0,AB493&gt;=Controls!$B$39*AA493),1,0)</f>
        <v>0</v>
      </c>
      <c r="AD493" s="65" t="n">
        <f aca="false">IF(AND(E493&lt;&gt;"",E493&gt;=Controls!$B$37,E493&lt;=Controls!$B$38),1,0)</f>
        <v>1</v>
      </c>
      <c r="AE493" s="65" t="n">
        <f aca="false">IF(IFERROR(VLOOKUP(D493,Controls!$A$64:$E$74,2,FALSE()),"No")="Yes",1,0)</f>
        <v>0</v>
      </c>
      <c r="AF493" s="65" t="n">
        <f aca="false">IF(IFERROR(VLOOKUP(D493,Controls!$A$64:$E$74,3,FALSE()),"No")="Yes",1,0)</f>
        <v>0</v>
      </c>
      <c r="AG493" s="65" t="n">
        <f aca="false">IF(IFERROR(VLOOKUP(D493,Controls!$A$64:$E$74,4,FALSE()),"No")="Yes",1,0)</f>
        <v>0</v>
      </c>
      <c r="AH493" s="65" t="n">
        <f aca="false">IF(IFERROR(VLOOKUP(D493,Controls!$A$64:$E$74,5,FALSE()),"No")="Yes",1,0)</f>
        <v>1</v>
      </c>
      <c r="AI493" s="65" t="n">
        <f aca="false">IF(ISNUMBER(MATCH(D493,Controls!$A$64:$A$74,0)),1,0)</f>
        <v>1</v>
      </c>
      <c r="AJ493" s="65" t="n">
        <f aca="false">Q493-N493</f>
        <v>50637.76</v>
      </c>
      <c r="AK493" s="65" t="n">
        <f aca="false">IF(AE493=1,MAX(0,N493-Q493),0)</f>
        <v>0</v>
      </c>
      <c r="AL493" s="65" t="n">
        <f aca="false">IF(OR(V493="",V493=0),0,N493/V493)</f>
        <v>0.670101055834198</v>
      </c>
      <c r="AM493" s="65" t="n">
        <f aca="false">IF(OR(V493="",V493=0),0,1)</f>
        <v>1</v>
      </c>
      <c r="AN493" s="65" t="n">
        <f aca="false">IF(OR(E493="",F493=""),0,NETWORKDAYS(E493,F493,Ref!$K$2:$K$42))</f>
        <v>158</v>
      </c>
      <c r="AO493" s="65" t="n">
        <f aca="false">IF(L493="Renewal",1,0)</f>
        <v>0</v>
      </c>
      <c r="AP493" s="65" t="n">
        <f aca="false">AC493*AD493</f>
        <v>0</v>
      </c>
      <c r="AQ493" s="65" t="n">
        <f aca="false">IF(AND(G493&lt;&gt;"",'Historical Score'!$C$6&lt;&gt;""),IF(G493='Historical Score'!$C$6,1,0),0)</f>
        <v>0</v>
      </c>
      <c r="AR493" s="65" t="n">
        <f aca="false">IF(AND(L493&lt;&gt;"",'Historical Score'!$C$5&lt;&gt;""),IF(L493='Historical Score'!$C$5,1,0),0)</f>
        <v>1</v>
      </c>
      <c r="AS493" s="65" t="n">
        <f aca="false">IF(AND(Y493&lt;&gt;"",'Historical Score'!$C$7&lt;&gt;""),IF(Y493='Historical Score'!$C$7,1,0),0)</f>
        <v>0</v>
      </c>
      <c r="AT493" s="65" t="n">
        <f aca="false">IF(AND(K493&lt;&gt;"",'Historical Score'!$C$8&lt;&gt;""),IF(K493='Historical Score'!$C$8,1,0),0)</f>
        <v>1</v>
      </c>
      <c r="AU493" s="65" t="n">
        <f aca="false">IF(AND(J493&lt;&gt;"",'Historical Score'!$C$9&lt;&gt;""),IF(J493='Historical Score'!$C$9,1,0),0)</f>
        <v>0</v>
      </c>
      <c r="AV493" s="65" t="n">
        <f aca="false">AR493*AS493*AQ493</f>
        <v>0</v>
      </c>
      <c r="AW493" s="65" t="n">
        <f aca="false">AR493*AT493*AQ493</f>
        <v>0</v>
      </c>
      <c r="AX493" s="65" t="n">
        <f aca="false">AR493*AS493</f>
        <v>0</v>
      </c>
      <c r="AY493" s="65" t="n">
        <f aca="false">AR493*AT493</f>
        <v>1</v>
      </c>
      <c r="AZ493" s="65" t="n">
        <f aca="false">AR493*AQ493</f>
        <v>0</v>
      </c>
      <c r="BA493" s="65" t="n">
        <f aca="false">AR493</f>
        <v>1</v>
      </c>
      <c r="BB493" s="65" t="n">
        <f aca="false">1</f>
        <v>1</v>
      </c>
      <c r="BC493" s="65" t="n">
        <f aca="false">IF(AV493=1,1,IF(AW493=1,2,IF(AX493=1,3,IF(AY493=1,4,IF(AZ493=1,5,IF(BA493=1,6,7))))))</f>
        <v>4</v>
      </c>
      <c r="BD493" s="65" t="n">
        <f aca="false">IF(AD493=1,CHOOSE('Historical Score'!$C$29,AV493,AW493,AX493,AY493,AZ493,BA493,BB493),0)</f>
        <v>0</v>
      </c>
      <c r="BE493" s="65" t="str">
        <f aca="false">IF(BD493=1,COUNTIF($BD$2:BD493,1),"")</f>
        <v/>
      </c>
    </row>
    <row r="494" customFormat="false" ht="15" hidden="false" customHeight="false" outlineLevel="0" collapsed="false">
      <c r="A494" s="65" t="s">
        <v>1830</v>
      </c>
      <c r="B494" s="65" t="s">
        <v>1831</v>
      </c>
      <c r="C494" s="65" t="s">
        <v>1831</v>
      </c>
      <c r="D494" s="65" t="s">
        <v>371</v>
      </c>
      <c r="E494" s="112" t="n">
        <v>46022</v>
      </c>
      <c r="F494" s="112" t="n">
        <v>46063</v>
      </c>
      <c r="G494" s="65" t="n">
        <v>3</v>
      </c>
      <c r="H494" s="65" t="s">
        <v>451</v>
      </c>
      <c r="I494" s="65" t="s">
        <v>425</v>
      </c>
      <c r="J494" s="65" t="s">
        <v>671</v>
      </c>
      <c r="K494" s="65" t="s">
        <v>1832</v>
      </c>
      <c r="L494" s="65" t="s">
        <v>64</v>
      </c>
      <c r="M494" s="113" t="n">
        <v>1.49</v>
      </c>
      <c r="N494" s="114" t="n">
        <v>25000</v>
      </c>
      <c r="O494" s="114" t="n">
        <v>3500</v>
      </c>
      <c r="P494" s="114" t="n">
        <v>37250</v>
      </c>
      <c r="Q494" s="114" t="n">
        <v>37250</v>
      </c>
      <c r="R494" s="114" t="n">
        <v>0</v>
      </c>
      <c r="S494" s="115" t="n">
        <v>1</v>
      </c>
      <c r="T494" s="65" t="n">
        <v>3.279</v>
      </c>
      <c r="U494" s="65" t="n">
        <v>0</v>
      </c>
      <c r="V494" s="65" t="n">
        <v>71741.26</v>
      </c>
      <c r="W494" s="115" t="n">
        <v>0.109</v>
      </c>
      <c r="X494" s="112" t="n">
        <v>43269</v>
      </c>
      <c r="Y494" s="65" t="str">
        <f aca="false">IF(I494="","No SIC",IFERROR(VLOOKUP(I494,Ref!$A$2:$B$65,2,FALSE()),"Unclassified"))</f>
        <v>Personal Services</v>
      </c>
      <c r="Z494" s="65" t="str">
        <f aca="false">IF(T494="","",IF(T494&lt;12,"Daily","Weekly"))</f>
        <v>Daily</v>
      </c>
      <c r="AA494" s="65" t="n">
        <f aca="false">IF(T494="",0,IF(T494&lt;12,T494*Controls!$B$29,T494*5))</f>
        <v>71.006745</v>
      </c>
      <c r="AB494" s="65" t="n">
        <f aca="false">IF(E494="",0,NETWORKDAYS(E494,Controls!$B$36,Ref!$K$2:$K$42))</f>
        <v>165</v>
      </c>
      <c r="AC494" s="65" t="n">
        <f aca="false">IF(AND(AA494&gt;0,AB494&gt;=Controls!$B$39*AA494),1,0)</f>
        <v>1</v>
      </c>
      <c r="AD494" s="65" t="n">
        <f aca="false">IF(AND(E494&lt;&gt;"",E494&gt;=Controls!$B$37,E494&lt;=Controls!$B$38),1,0)</f>
        <v>1</v>
      </c>
      <c r="AE494" s="65" t="n">
        <f aca="false">IF(IFERROR(VLOOKUP(D494,Controls!$A$64:$E$74,2,FALSE()),"No")="Yes",1,0)</f>
        <v>0</v>
      </c>
      <c r="AF494" s="65" t="n">
        <f aca="false">IF(IFERROR(VLOOKUP(D494,Controls!$A$64:$E$74,3,FALSE()),"No")="Yes",1,0)</f>
        <v>1</v>
      </c>
      <c r="AG494" s="65" t="n">
        <f aca="false">IF(IFERROR(VLOOKUP(D494,Controls!$A$64:$E$74,4,FALSE()),"No")="Yes",1,0)</f>
        <v>1</v>
      </c>
      <c r="AH494" s="65" t="n">
        <f aca="false">IF(IFERROR(VLOOKUP(D494,Controls!$A$64:$E$74,5,FALSE()),"No")="Yes",1,0)</f>
        <v>0</v>
      </c>
      <c r="AI494" s="65" t="n">
        <f aca="false">IF(ISNUMBER(MATCH(D494,Controls!$A$64:$A$74,0)),1,0)</f>
        <v>1</v>
      </c>
      <c r="AJ494" s="65" t="n">
        <f aca="false">Q494-N494</f>
        <v>12250</v>
      </c>
      <c r="AK494" s="65" t="n">
        <f aca="false">IF(AE494=1,MAX(0,N494-Q494),0)</f>
        <v>0</v>
      </c>
      <c r="AL494" s="65" t="n">
        <f aca="false">IF(OR(V494="",V494=0),0,N494/V494)</f>
        <v>0.348474504071994</v>
      </c>
      <c r="AM494" s="65" t="n">
        <f aca="false">IF(OR(V494="",V494=0),0,1)</f>
        <v>1</v>
      </c>
      <c r="AN494" s="65" t="n">
        <f aca="false">IF(OR(E494="",F494=""),0,NETWORKDAYS(E494,F494,Ref!$K$2:$K$42))</f>
        <v>28</v>
      </c>
      <c r="AO494" s="65" t="n">
        <f aca="false">IF(L494="Renewal",1,0)</f>
        <v>0</v>
      </c>
      <c r="AP494" s="65" t="n">
        <f aca="false">AC494*AD494</f>
        <v>1</v>
      </c>
      <c r="AQ494" s="65" t="n">
        <f aca="false">IF(AND(G494&lt;&gt;"",'Historical Score'!$C$6&lt;&gt;""),IF(G494='Historical Score'!$C$6,1,0),0)</f>
        <v>0</v>
      </c>
      <c r="AR494" s="65" t="n">
        <f aca="false">IF(AND(L494&lt;&gt;"",'Historical Score'!$C$5&lt;&gt;""),IF(L494='Historical Score'!$C$5,1,0),0)</f>
        <v>1</v>
      </c>
      <c r="AS494" s="65" t="n">
        <f aca="false">IF(AND(Y494&lt;&gt;"",'Historical Score'!$C$7&lt;&gt;""),IF(Y494='Historical Score'!$C$7,1,0),0)</f>
        <v>0</v>
      </c>
      <c r="AT494" s="65" t="n">
        <f aca="false">IF(AND(K494&lt;&gt;"",'Historical Score'!$C$8&lt;&gt;""),IF(K494='Historical Score'!$C$8,1,0),0)</f>
        <v>0</v>
      </c>
      <c r="AU494" s="65" t="n">
        <f aca="false">IF(AND(J494&lt;&gt;"",'Historical Score'!$C$9&lt;&gt;""),IF(J494='Historical Score'!$C$9,1,0),0)</f>
        <v>0</v>
      </c>
      <c r="AV494" s="65" t="n">
        <f aca="false">AR494*AS494*AQ494</f>
        <v>0</v>
      </c>
      <c r="AW494" s="65" t="n">
        <f aca="false">AR494*AT494*AQ494</f>
        <v>0</v>
      </c>
      <c r="AX494" s="65" t="n">
        <f aca="false">AR494*AS494</f>
        <v>0</v>
      </c>
      <c r="AY494" s="65" t="n">
        <f aca="false">AR494*AT494</f>
        <v>0</v>
      </c>
      <c r="AZ494" s="65" t="n">
        <f aca="false">AR494*AQ494</f>
        <v>0</v>
      </c>
      <c r="BA494" s="65" t="n">
        <f aca="false">AR494</f>
        <v>1</v>
      </c>
      <c r="BB494" s="65" t="n">
        <f aca="false">1</f>
        <v>1</v>
      </c>
      <c r="BC494" s="65" t="n">
        <f aca="false">IF(AV494=1,1,IF(AW494=1,2,IF(AX494=1,3,IF(AY494=1,4,IF(AZ494=1,5,IF(BA494=1,6,7))))))</f>
        <v>6</v>
      </c>
      <c r="BD494" s="65" t="n">
        <f aca="false">IF(AD494=1,CHOOSE('Historical Score'!$C$29,AV494,AW494,AX494,AY494,AZ494,BA494,BB494),0)</f>
        <v>0</v>
      </c>
      <c r="BE494" s="65" t="str">
        <f aca="false">IF(BD494=1,COUNTIF($BD$2:BD494,1),"")</f>
        <v/>
      </c>
    </row>
    <row r="495" customFormat="false" ht="15" hidden="false" customHeight="false" outlineLevel="0" collapsed="false">
      <c r="A495" s="65" t="s">
        <v>1833</v>
      </c>
      <c r="B495" s="65" t="s">
        <v>1834</v>
      </c>
      <c r="C495" s="65" t="s">
        <v>1834</v>
      </c>
      <c r="D495" s="65" t="s">
        <v>533</v>
      </c>
      <c r="E495" s="112" t="n">
        <v>46022</v>
      </c>
      <c r="F495" s="112" t="n">
        <v>46245</v>
      </c>
      <c r="G495" s="65" t="n">
        <v>5</v>
      </c>
      <c r="H495" s="65" t="s">
        <v>1835</v>
      </c>
      <c r="I495" s="65" t="s">
        <v>778</v>
      </c>
      <c r="J495" s="65" t="s">
        <v>343</v>
      </c>
      <c r="K495" s="65" t="s">
        <v>961</v>
      </c>
      <c r="L495" s="65" t="s">
        <v>64</v>
      </c>
      <c r="M495" s="113" t="n">
        <v>1.4</v>
      </c>
      <c r="N495" s="114" t="n">
        <v>20000</v>
      </c>
      <c r="O495" s="114" t="n">
        <v>2700</v>
      </c>
      <c r="P495" s="114" t="n">
        <v>28000</v>
      </c>
      <c r="Q495" s="114" t="n">
        <v>11581.5</v>
      </c>
      <c r="R495" s="114" t="n">
        <v>16418.5</v>
      </c>
      <c r="S495" s="115" t="n">
        <v>0.413625</v>
      </c>
      <c r="T495" s="65" t="n">
        <v>20</v>
      </c>
      <c r="U495" s="65" t="n">
        <v>10</v>
      </c>
      <c r="V495" s="65" t="n">
        <v>42404.19</v>
      </c>
      <c r="W495" s="115" t="n">
        <v>0.1321</v>
      </c>
      <c r="X495" s="112"/>
      <c r="Y495" s="65" t="str">
        <f aca="false">IF(I495="","No SIC",IFERROR(VLOOKUP(I495,Ref!$A$2:$B$65,2,FALSE()),"Unclassified"))</f>
        <v>Electronic &amp; Electrical Equipment</v>
      </c>
      <c r="Z495" s="65" t="str">
        <f aca="false">IF(T495="","",IF(T495&lt;12,"Daily","Weekly"))</f>
        <v>Weekly</v>
      </c>
      <c r="AA495" s="65" t="n">
        <f aca="false">IF(T495="",0,IF(T495&lt;12,T495*Controls!$B$29,T495*5))</f>
        <v>100</v>
      </c>
      <c r="AB495" s="65" t="n">
        <f aca="false">IF(E495="",0,NETWORKDAYS(E495,Controls!$B$36,Ref!$K$2:$K$42))</f>
        <v>165</v>
      </c>
      <c r="AC495" s="65" t="n">
        <f aca="false">IF(AND(AA495&gt;0,AB495&gt;=Controls!$B$39*AA495),1,0)</f>
        <v>1</v>
      </c>
      <c r="AD495" s="65" t="n">
        <f aca="false">IF(AND(E495&lt;&gt;"",E495&gt;=Controls!$B$37,E495&lt;=Controls!$B$38),1,0)</f>
        <v>1</v>
      </c>
      <c r="AE495" s="65" t="n">
        <f aca="false">IF(IFERROR(VLOOKUP(D495,Controls!$A$64:$E$74,2,FALSE()),"No")="Yes",1,0)</f>
        <v>1</v>
      </c>
      <c r="AF495" s="65" t="n">
        <f aca="false">IF(IFERROR(VLOOKUP(D495,Controls!$A$64:$E$74,3,FALSE()),"No")="Yes",1,0)</f>
        <v>0</v>
      </c>
      <c r="AG495" s="65" t="n">
        <f aca="false">IF(IFERROR(VLOOKUP(D495,Controls!$A$64:$E$74,4,FALSE()),"No")="Yes",1,0)</f>
        <v>0</v>
      </c>
      <c r="AH495" s="65" t="n">
        <f aca="false">IF(IFERROR(VLOOKUP(D495,Controls!$A$64:$E$74,5,FALSE()),"No")="Yes",1,0)</f>
        <v>0</v>
      </c>
      <c r="AI495" s="65" t="n">
        <f aca="false">IF(ISNUMBER(MATCH(D495,Controls!$A$64:$A$74,0)),1,0)</f>
        <v>1</v>
      </c>
      <c r="AJ495" s="65" t="n">
        <f aca="false">Q495-N495</f>
        <v>-8418.5</v>
      </c>
      <c r="AK495" s="65" t="n">
        <f aca="false">IF(AE495=1,MAX(0,N495-Q495),0)</f>
        <v>8418.5</v>
      </c>
      <c r="AL495" s="65" t="n">
        <f aca="false">IF(OR(V495="",V495=0),0,N495/V495)</f>
        <v>0.471651504249934</v>
      </c>
      <c r="AM495" s="65" t="n">
        <f aca="false">IF(OR(V495="",V495=0),0,1)</f>
        <v>1</v>
      </c>
      <c r="AN495" s="65" t="n">
        <f aca="false">IF(OR(E495="",F495=""),0,NETWORKDAYS(E495,F495,Ref!$K$2:$K$42))</f>
        <v>155</v>
      </c>
      <c r="AO495" s="65" t="n">
        <f aca="false">IF(L495="Renewal",1,0)</f>
        <v>0</v>
      </c>
      <c r="AP495" s="65" t="n">
        <f aca="false">AC495*AD495</f>
        <v>1</v>
      </c>
      <c r="AQ495" s="65" t="n">
        <f aca="false">IF(AND(G495&lt;&gt;"",'Historical Score'!$C$6&lt;&gt;""),IF(G495='Historical Score'!$C$6,1,0),0)</f>
        <v>0</v>
      </c>
      <c r="AR495" s="65" t="n">
        <f aca="false">IF(AND(L495&lt;&gt;"",'Historical Score'!$C$5&lt;&gt;""),IF(L495='Historical Score'!$C$5,1,0),0)</f>
        <v>1</v>
      </c>
      <c r="AS495" s="65" t="n">
        <f aca="false">IF(AND(Y495&lt;&gt;"",'Historical Score'!$C$7&lt;&gt;""),IF(Y495='Historical Score'!$C$7,1,0),0)</f>
        <v>0</v>
      </c>
      <c r="AT495" s="65" t="n">
        <f aca="false">IF(AND(K495&lt;&gt;"",'Historical Score'!$C$8&lt;&gt;""),IF(K495='Historical Score'!$C$8,1,0),0)</f>
        <v>0</v>
      </c>
      <c r="AU495" s="65" t="n">
        <f aca="false">IF(AND(J495&lt;&gt;"",'Historical Score'!$C$9&lt;&gt;""),IF(J495='Historical Score'!$C$9,1,0),0)</f>
        <v>0</v>
      </c>
      <c r="AV495" s="65" t="n">
        <f aca="false">AR495*AS495*AQ495</f>
        <v>0</v>
      </c>
      <c r="AW495" s="65" t="n">
        <f aca="false">AR495*AT495*AQ495</f>
        <v>0</v>
      </c>
      <c r="AX495" s="65" t="n">
        <f aca="false">AR495*AS495</f>
        <v>0</v>
      </c>
      <c r="AY495" s="65" t="n">
        <f aca="false">AR495*AT495</f>
        <v>0</v>
      </c>
      <c r="AZ495" s="65" t="n">
        <f aca="false">AR495*AQ495</f>
        <v>0</v>
      </c>
      <c r="BA495" s="65" t="n">
        <f aca="false">AR495</f>
        <v>1</v>
      </c>
      <c r="BB495" s="65" t="n">
        <f aca="false">1</f>
        <v>1</v>
      </c>
      <c r="BC495" s="65" t="n">
        <f aca="false">IF(AV495=1,1,IF(AW495=1,2,IF(AX495=1,3,IF(AY495=1,4,IF(AZ495=1,5,IF(BA495=1,6,7))))))</f>
        <v>6</v>
      </c>
      <c r="BD495" s="65" t="n">
        <f aca="false">IF(AD495=1,CHOOSE('Historical Score'!$C$29,AV495,AW495,AX495,AY495,AZ495,BA495,BB495),0)</f>
        <v>0</v>
      </c>
      <c r="BE495" s="65" t="str">
        <f aca="false">IF(BD495=1,COUNTIF($BD$2:BD495,1),"")</f>
        <v/>
      </c>
    </row>
    <row r="496" customFormat="false" ht="15" hidden="false" customHeight="false" outlineLevel="0" collapsed="false">
      <c r="A496" s="65" t="s">
        <v>1836</v>
      </c>
      <c r="B496" s="65" t="s">
        <v>1837</v>
      </c>
      <c r="C496" s="65" t="s">
        <v>1837</v>
      </c>
      <c r="D496" s="65" t="s">
        <v>371</v>
      </c>
      <c r="E496" s="112" t="n">
        <v>46022</v>
      </c>
      <c r="F496" s="112" t="n">
        <v>46112</v>
      </c>
      <c r="G496" s="65" t="n">
        <v>1</v>
      </c>
      <c r="H496" s="65" t="s">
        <v>479</v>
      </c>
      <c r="I496" s="65" t="s">
        <v>356</v>
      </c>
      <c r="J496" s="65" t="s">
        <v>638</v>
      </c>
      <c r="K496" s="65" t="s">
        <v>961</v>
      </c>
      <c r="L496" s="65" t="s">
        <v>64</v>
      </c>
      <c r="M496" s="113" t="n">
        <v>1.4</v>
      </c>
      <c r="N496" s="114" t="n">
        <v>20000</v>
      </c>
      <c r="O496" s="114" t="n">
        <v>2700</v>
      </c>
      <c r="P496" s="114" t="n">
        <v>28000</v>
      </c>
      <c r="Q496" s="114" t="n">
        <v>28000</v>
      </c>
      <c r="R496" s="114" t="n">
        <v>0</v>
      </c>
      <c r="S496" s="115" t="n">
        <v>1</v>
      </c>
      <c r="T496" s="65" t="n">
        <v>20</v>
      </c>
      <c r="U496" s="65" t="n">
        <v>0</v>
      </c>
      <c r="V496" s="65" t="n">
        <v>36444.36</v>
      </c>
      <c r="W496" s="115" t="n">
        <v>0.1537</v>
      </c>
      <c r="X496" s="112" t="n">
        <v>44958</v>
      </c>
      <c r="Y496" s="65" t="str">
        <f aca="false">IF(I496="","No SIC",IFERROR(VLOOKUP(I496,Ref!$A$2:$B$65,2,FALSE()),"Unclassified"))</f>
        <v>Trucking &amp; Warehousing</v>
      </c>
      <c r="Z496" s="65" t="str">
        <f aca="false">IF(T496="","",IF(T496&lt;12,"Daily","Weekly"))</f>
        <v>Weekly</v>
      </c>
      <c r="AA496" s="65" t="n">
        <f aca="false">IF(T496="",0,IF(T496&lt;12,T496*Controls!$B$29,T496*5))</f>
        <v>100</v>
      </c>
      <c r="AB496" s="65" t="n">
        <f aca="false">IF(E496="",0,NETWORKDAYS(E496,Controls!$B$36,Ref!$K$2:$K$42))</f>
        <v>165</v>
      </c>
      <c r="AC496" s="65" t="n">
        <f aca="false">IF(AND(AA496&gt;0,AB496&gt;=Controls!$B$39*AA496),1,0)</f>
        <v>1</v>
      </c>
      <c r="AD496" s="65" t="n">
        <f aca="false">IF(AND(E496&lt;&gt;"",E496&gt;=Controls!$B$37,E496&lt;=Controls!$B$38),1,0)</f>
        <v>1</v>
      </c>
      <c r="AE496" s="65" t="n">
        <f aca="false">IF(IFERROR(VLOOKUP(D496,Controls!$A$64:$E$74,2,FALSE()),"No")="Yes",1,0)</f>
        <v>0</v>
      </c>
      <c r="AF496" s="65" t="n">
        <f aca="false">IF(IFERROR(VLOOKUP(D496,Controls!$A$64:$E$74,3,FALSE()),"No")="Yes",1,0)</f>
        <v>1</v>
      </c>
      <c r="AG496" s="65" t="n">
        <f aca="false">IF(IFERROR(VLOOKUP(D496,Controls!$A$64:$E$74,4,FALSE()),"No")="Yes",1,0)</f>
        <v>1</v>
      </c>
      <c r="AH496" s="65" t="n">
        <f aca="false">IF(IFERROR(VLOOKUP(D496,Controls!$A$64:$E$74,5,FALSE()),"No")="Yes",1,0)</f>
        <v>0</v>
      </c>
      <c r="AI496" s="65" t="n">
        <f aca="false">IF(ISNUMBER(MATCH(D496,Controls!$A$64:$A$74,0)),1,0)</f>
        <v>1</v>
      </c>
      <c r="AJ496" s="65" t="n">
        <f aca="false">Q496-N496</f>
        <v>8000</v>
      </c>
      <c r="AK496" s="65" t="n">
        <f aca="false">IF(AE496=1,MAX(0,N496-Q496),0)</f>
        <v>0</v>
      </c>
      <c r="AL496" s="65" t="n">
        <f aca="false">IF(OR(V496="",V496=0),0,N496/V496)</f>
        <v>0.548781759372369</v>
      </c>
      <c r="AM496" s="65" t="n">
        <f aca="false">IF(OR(V496="",V496=0),0,1)</f>
        <v>1</v>
      </c>
      <c r="AN496" s="65" t="n">
        <f aca="false">IF(OR(E496="",F496=""),0,NETWORKDAYS(E496,F496,Ref!$K$2:$K$42))</f>
        <v>62</v>
      </c>
      <c r="AO496" s="65" t="n">
        <f aca="false">IF(L496="Renewal",1,0)</f>
        <v>0</v>
      </c>
      <c r="AP496" s="65" t="n">
        <f aca="false">AC496*AD496</f>
        <v>1</v>
      </c>
      <c r="AQ496" s="65" t="n">
        <f aca="false">IF(AND(G496&lt;&gt;"",'Historical Score'!$C$6&lt;&gt;""),IF(G496='Historical Score'!$C$6,1,0),0)</f>
        <v>0</v>
      </c>
      <c r="AR496" s="65" t="n">
        <f aca="false">IF(AND(L496&lt;&gt;"",'Historical Score'!$C$5&lt;&gt;""),IF(L496='Historical Score'!$C$5,1,0),0)</f>
        <v>1</v>
      </c>
      <c r="AS496" s="65" t="n">
        <f aca="false">IF(AND(Y496&lt;&gt;"",'Historical Score'!$C$7&lt;&gt;""),IF(Y496='Historical Score'!$C$7,1,0),0)</f>
        <v>0</v>
      </c>
      <c r="AT496" s="65" t="n">
        <f aca="false">IF(AND(K496&lt;&gt;"",'Historical Score'!$C$8&lt;&gt;""),IF(K496='Historical Score'!$C$8,1,0),0)</f>
        <v>0</v>
      </c>
      <c r="AU496" s="65" t="n">
        <f aca="false">IF(AND(J496&lt;&gt;"",'Historical Score'!$C$9&lt;&gt;""),IF(J496='Historical Score'!$C$9,1,0),0)</f>
        <v>0</v>
      </c>
      <c r="AV496" s="65" t="n">
        <f aca="false">AR496*AS496*AQ496</f>
        <v>0</v>
      </c>
      <c r="AW496" s="65" t="n">
        <f aca="false">AR496*AT496*AQ496</f>
        <v>0</v>
      </c>
      <c r="AX496" s="65" t="n">
        <f aca="false">AR496*AS496</f>
        <v>0</v>
      </c>
      <c r="AY496" s="65" t="n">
        <f aca="false">AR496*AT496</f>
        <v>0</v>
      </c>
      <c r="AZ496" s="65" t="n">
        <f aca="false">AR496*AQ496</f>
        <v>0</v>
      </c>
      <c r="BA496" s="65" t="n">
        <f aca="false">AR496</f>
        <v>1</v>
      </c>
      <c r="BB496" s="65" t="n">
        <f aca="false">1</f>
        <v>1</v>
      </c>
      <c r="BC496" s="65" t="n">
        <f aca="false">IF(AV496=1,1,IF(AW496=1,2,IF(AX496=1,3,IF(AY496=1,4,IF(AZ496=1,5,IF(BA496=1,6,7))))))</f>
        <v>6</v>
      </c>
      <c r="BD496" s="65" t="n">
        <f aca="false">IF(AD496=1,CHOOSE('Historical Score'!$C$29,AV496,AW496,AX496,AY496,AZ496,BA496,BB496),0)</f>
        <v>0</v>
      </c>
      <c r="BE496" s="65" t="str">
        <f aca="false">IF(BD496=1,COUNTIF($BD$2:BD496,1),"")</f>
        <v/>
      </c>
    </row>
    <row r="497" customFormat="false" ht="15" hidden="false" customHeight="false" outlineLevel="0" collapsed="false">
      <c r="A497" s="65" t="s">
        <v>1838</v>
      </c>
      <c r="B497" s="65" t="s">
        <v>1226</v>
      </c>
      <c r="C497" s="65" t="s">
        <v>1227</v>
      </c>
      <c r="D497" s="65" t="s">
        <v>371</v>
      </c>
      <c r="E497" s="112" t="n">
        <v>46022</v>
      </c>
      <c r="F497" s="112" t="n">
        <v>46160</v>
      </c>
      <c r="G497" s="65" t="n">
        <v>3</v>
      </c>
      <c r="H497" s="65" t="s">
        <v>1228</v>
      </c>
      <c r="I497" s="65" t="s">
        <v>915</v>
      </c>
      <c r="J497" s="65" t="s">
        <v>61</v>
      </c>
      <c r="K497" s="65" t="s">
        <v>961</v>
      </c>
      <c r="L497" s="65" t="s">
        <v>320</v>
      </c>
      <c r="M497" s="113" t="n">
        <v>1.42</v>
      </c>
      <c r="N497" s="114" t="n">
        <v>10000</v>
      </c>
      <c r="O497" s="114" t="n">
        <v>1450</v>
      </c>
      <c r="P497" s="114" t="n">
        <v>14200</v>
      </c>
      <c r="Q497" s="114" t="n">
        <v>14200</v>
      </c>
      <c r="R497" s="114" t="n">
        <v>0</v>
      </c>
      <c r="S497" s="115" t="n">
        <v>1</v>
      </c>
      <c r="T497" s="65" t="n">
        <v>4.59</v>
      </c>
      <c r="U497" s="65" t="n">
        <v>0</v>
      </c>
      <c r="V497" s="65" t="n">
        <v>11079.08</v>
      </c>
      <c r="W497" s="115" t="n">
        <v>0.2101</v>
      </c>
      <c r="X497" s="112" t="n">
        <v>43299</v>
      </c>
      <c r="Y497" s="65" t="str">
        <f aca="false">IF(I497="","No SIC",IFERROR(VLOOKUP(I497,Ref!$A$2:$B$65,2,FALSE()),"Unclassified"))</f>
        <v>Transportation Services</v>
      </c>
      <c r="Z497" s="65" t="str">
        <f aca="false">IF(T497="","",IF(T497&lt;12,"Daily","Weekly"))</f>
        <v>Daily</v>
      </c>
      <c r="AA497" s="65" t="n">
        <f aca="false">IF(T497="",0,IF(T497&lt;12,T497*Controls!$B$29,T497*5))</f>
        <v>99.39645</v>
      </c>
      <c r="AB497" s="65" t="n">
        <f aca="false">IF(E497="",0,NETWORKDAYS(E497,Controls!$B$36,Ref!$K$2:$K$42))</f>
        <v>165</v>
      </c>
      <c r="AC497" s="65" t="n">
        <f aca="false">IF(AND(AA497&gt;0,AB497&gt;=Controls!$B$39*AA497),1,0)</f>
        <v>1</v>
      </c>
      <c r="AD497" s="65" t="n">
        <f aca="false">IF(AND(E497&lt;&gt;"",E497&gt;=Controls!$B$37,E497&lt;=Controls!$B$38),1,0)</f>
        <v>1</v>
      </c>
      <c r="AE497" s="65" t="n">
        <f aca="false">IF(IFERROR(VLOOKUP(D497,Controls!$A$64:$E$74,2,FALSE()),"No")="Yes",1,0)</f>
        <v>0</v>
      </c>
      <c r="AF497" s="65" t="n">
        <f aca="false">IF(IFERROR(VLOOKUP(D497,Controls!$A$64:$E$74,3,FALSE()),"No")="Yes",1,0)</f>
        <v>1</v>
      </c>
      <c r="AG497" s="65" t="n">
        <f aca="false">IF(IFERROR(VLOOKUP(D497,Controls!$A$64:$E$74,4,FALSE()),"No")="Yes",1,0)</f>
        <v>1</v>
      </c>
      <c r="AH497" s="65" t="n">
        <f aca="false">IF(IFERROR(VLOOKUP(D497,Controls!$A$64:$E$74,5,FALSE()),"No")="Yes",1,0)</f>
        <v>0</v>
      </c>
      <c r="AI497" s="65" t="n">
        <f aca="false">IF(ISNUMBER(MATCH(D497,Controls!$A$64:$A$74,0)),1,0)</f>
        <v>1</v>
      </c>
      <c r="AJ497" s="65" t="n">
        <f aca="false">Q497-N497</f>
        <v>4200</v>
      </c>
      <c r="AK497" s="65" t="n">
        <f aca="false">IF(AE497=1,MAX(0,N497-Q497),0)</f>
        <v>0</v>
      </c>
      <c r="AL497" s="65" t="n">
        <f aca="false">IF(OR(V497="",V497=0),0,N497/V497)</f>
        <v>0.902602021106446</v>
      </c>
      <c r="AM497" s="65" t="n">
        <f aca="false">IF(OR(V497="",V497=0),0,1)</f>
        <v>1</v>
      </c>
      <c r="AN497" s="65" t="n">
        <f aca="false">IF(OR(E497="",F497=""),0,NETWORKDAYS(E497,F497,Ref!$K$2:$K$42))</f>
        <v>96</v>
      </c>
      <c r="AO497" s="65" t="n">
        <f aca="false">IF(L497="Renewal",1,0)</f>
        <v>1</v>
      </c>
      <c r="AP497" s="65" t="n">
        <f aca="false">AC497*AD497</f>
        <v>1</v>
      </c>
      <c r="AQ497" s="65" t="n">
        <f aca="false">IF(AND(G497&lt;&gt;"",'Historical Score'!$C$6&lt;&gt;""),IF(G497='Historical Score'!$C$6,1,0),0)</f>
        <v>0</v>
      </c>
      <c r="AR497" s="65" t="n">
        <f aca="false">IF(AND(L497&lt;&gt;"",'Historical Score'!$C$5&lt;&gt;""),IF(L497='Historical Score'!$C$5,1,0),0)</f>
        <v>0</v>
      </c>
      <c r="AS497" s="65" t="n">
        <f aca="false">IF(AND(Y497&lt;&gt;"",'Historical Score'!$C$7&lt;&gt;""),IF(Y497='Historical Score'!$C$7,1,0),0)</f>
        <v>0</v>
      </c>
      <c r="AT497" s="65" t="n">
        <f aca="false">IF(AND(K497&lt;&gt;"",'Historical Score'!$C$8&lt;&gt;""),IF(K497='Historical Score'!$C$8,1,0),0)</f>
        <v>0</v>
      </c>
      <c r="AU497" s="65" t="n">
        <f aca="false">IF(AND(J497&lt;&gt;"",'Historical Score'!$C$9&lt;&gt;""),IF(J497='Historical Score'!$C$9,1,0),0)</f>
        <v>1</v>
      </c>
      <c r="AV497" s="65" t="n">
        <f aca="false">AR497*AS497*AQ497</f>
        <v>0</v>
      </c>
      <c r="AW497" s="65" t="n">
        <f aca="false">AR497*AT497*AQ497</f>
        <v>0</v>
      </c>
      <c r="AX497" s="65" t="n">
        <f aca="false">AR497*AS497</f>
        <v>0</v>
      </c>
      <c r="AY497" s="65" t="n">
        <f aca="false">AR497*AT497</f>
        <v>0</v>
      </c>
      <c r="AZ497" s="65" t="n">
        <f aca="false">AR497*AQ497</f>
        <v>0</v>
      </c>
      <c r="BA497" s="65" t="n">
        <f aca="false">AR497</f>
        <v>0</v>
      </c>
      <c r="BB497" s="65" t="n">
        <f aca="false">1</f>
        <v>1</v>
      </c>
      <c r="BC497" s="65" t="n">
        <f aca="false">IF(AV497=1,1,IF(AW497=1,2,IF(AX497=1,3,IF(AY497=1,4,IF(AZ497=1,5,IF(BA497=1,6,7))))))</f>
        <v>7</v>
      </c>
      <c r="BD497" s="65" t="n">
        <f aca="false">IF(AD497=1,CHOOSE('Historical Score'!$C$29,AV497,AW497,AX497,AY497,AZ497,BA497,BB497),0)</f>
        <v>0</v>
      </c>
      <c r="BE497" s="65" t="str">
        <f aca="false">IF(BD497=1,COUNTIF($BD$2:BD497,1),"")</f>
        <v/>
      </c>
    </row>
    <row r="498" customFormat="false" ht="15" hidden="false" customHeight="false" outlineLevel="0" collapsed="false">
      <c r="A498" s="65" t="s">
        <v>1839</v>
      </c>
      <c r="B498" s="65" t="s">
        <v>1840</v>
      </c>
      <c r="C498" s="65" t="s">
        <v>1840</v>
      </c>
      <c r="D498" s="65" t="s">
        <v>340</v>
      </c>
      <c r="E498" s="112" t="n">
        <v>46024</v>
      </c>
      <c r="F498" s="112" t="n">
        <v>46234</v>
      </c>
      <c r="G498" s="65" t="n">
        <v>2</v>
      </c>
      <c r="H498" s="65" t="s">
        <v>1841</v>
      </c>
      <c r="I498" s="65" t="s">
        <v>419</v>
      </c>
      <c r="J498" s="65" t="s">
        <v>399</v>
      </c>
      <c r="K498" s="65" t="s">
        <v>55</v>
      </c>
      <c r="L498" s="65" t="s">
        <v>64</v>
      </c>
      <c r="M498" s="113" t="n">
        <v>1.49</v>
      </c>
      <c r="N498" s="114" t="n">
        <v>25000</v>
      </c>
      <c r="O498" s="114" t="n">
        <v>0</v>
      </c>
      <c r="P498" s="114" t="n">
        <v>37250</v>
      </c>
      <c r="Q498" s="114" t="n">
        <v>10137.58</v>
      </c>
      <c r="R498" s="114" t="n">
        <v>27112.42</v>
      </c>
      <c r="S498" s="115" t="n">
        <v>0.272149798657718</v>
      </c>
      <c r="T498" s="65" t="n">
        <v>24</v>
      </c>
      <c r="U498" s="65" t="n">
        <v>31</v>
      </c>
      <c r="V498" s="65" t="n">
        <v>43018.1</v>
      </c>
      <c r="W498" s="115" t="n">
        <v>0.1424</v>
      </c>
      <c r="X498" s="112"/>
      <c r="Y498" s="65" t="str">
        <f aca="false">IF(I498="","No SIC",IFERROR(VLOOKUP(I498,Ref!$A$2:$B$65,2,FALSE()),"Unclassified"))</f>
        <v>Business Services</v>
      </c>
      <c r="Z498" s="65" t="str">
        <f aca="false">IF(T498="","",IF(T498&lt;12,"Daily","Weekly"))</f>
        <v>Weekly</v>
      </c>
      <c r="AA498" s="65" t="n">
        <f aca="false">IF(T498="",0,IF(T498&lt;12,T498*Controls!$B$29,T498*5))</f>
        <v>120</v>
      </c>
      <c r="AB498" s="65" t="n">
        <f aca="false">IF(E498="",0,NETWORKDAYS(E498,Controls!$B$36,Ref!$K$2:$K$42))</f>
        <v>164</v>
      </c>
      <c r="AC498" s="65" t="n">
        <f aca="false">IF(AND(AA498&gt;0,AB498&gt;=Controls!$B$39*AA498),1,0)</f>
        <v>1</v>
      </c>
      <c r="AD498" s="65" t="n">
        <f aca="false">IF(AND(E498&lt;&gt;"",E498&gt;=Controls!$B$37,E498&lt;=Controls!$B$38),1,0)</f>
        <v>1</v>
      </c>
      <c r="AE498" s="65" t="n">
        <f aca="false">IF(IFERROR(VLOOKUP(D498,Controls!$A$64:$E$74,2,FALSE()),"No")="Yes",1,0)</f>
        <v>1</v>
      </c>
      <c r="AF498" s="65" t="n">
        <f aca="false">IF(IFERROR(VLOOKUP(D498,Controls!$A$64:$E$74,3,FALSE()),"No")="Yes",1,0)</f>
        <v>0</v>
      </c>
      <c r="AG498" s="65" t="n">
        <f aca="false">IF(IFERROR(VLOOKUP(D498,Controls!$A$64:$E$74,4,FALSE()),"No")="Yes",1,0)</f>
        <v>0</v>
      </c>
      <c r="AH498" s="65" t="n">
        <f aca="false">IF(IFERROR(VLOOKUP(D498,Controls!$A$64:$E$74,5,FALSE()),"No")="Yes",1,0)</f>
        <v>0</v>
      </c>
      <c r="AI498" s="65" t="n">
        <f aca="false">IF(ISNUMBER(MATCH(D498,Controls!$A$64:$A$74,0)),1,0)</f>
        <v>1</v>
      </c>
      <c r="AJ498" s="65" t="n">
        <f aca="false">Q498-N498</f>
        <v>-14862.42</v>
      </c>
      <c r="AK498" s="65" t="n">
        <f aca="false">IF(AE498=1,MAX(0,N498-Q498),0)</f>
        <v>14862.42</v>
      </c>
      <c r="AL498" s="65" t="n">
        <f aca="false">IF(OR(V498="",V498=0),0,N498/V498)</f>
        <v>0.581150724927414</v>
      </c>
      <c r="AM498" s="65" t="n">
        <f aca="false">IF(OR(V498="",V498=0),0,1)</f>
        <v>1</v>
      </c>
      <c r="AN498" s="65" t="n">
        <f aca="false">IF(OR(E498="",F498=""),0,NETWORKDAYS(E498,F498,Ref!$K$2:$K$42))</f>
        <v>147</v>
      </c>
      <c r="AO498" s="65" t="n">
        <f aca="false">IF(L498="Renewal",1,0)</f>
        <v>0</v>
      </c>
      <c r="AP498" s="65" t="n">
        <f aca="false">AC498*AD498</f>
        <v>1</v>
      </c>
      <c r="AQ498" s="65" t="n">
        <f aca="false">IF(AND(G498&lt;&gt;"",'Historical Score'!$C$6&lt;&gt;""),IF(G498='Historical Score'!$C$6,1,0),0)</f>
        <v>1</v>
      </c>
      <c r="AR498" s="65" t="n">
        <f aca="false">IF(AND(L498&lt;&gt;"",'Historical Score'!$C$5&lt;&gt;""),IF(L498='Historical Score'!$C$5,1,0),0)</f>
        <v>1</v>
      </c>
      <c r="AS498" s="65" t="n">
        <f aca="false">IF(AND(Y498&lt;&gt;"",'Historical Score'!$C$7&lt;&gt;""),IF(Y498='Historical Score'!$C$7,1,0),0)</f>
        <v>0</v>
      </c>
      <c r="AT498" s="65" t="n">
        <f aca="false">IF(AND(K498&lt;&gt;"",'Historical Score'!$C$8&lt;&gt;""),IF(K498='Historical Score'!$C$8,1,0),0)</f>
        <v>1</v>
      </c>
      <c r="AU498" s="65" t="n">
        <f aca="false">IF(AND(J498&lt;&gt;"",'Historical Score'!$C$9&lt;&gt;""),IF(J498='Historical Score'!$C$9,1,0),0)</f>
        <v>0</v>
      </c>
      <c r="AV498" s="65" t="n">
        <f aca="false">AR498*AS498*AQ498</f>
        <v>0</v>
      </c>
      <c r="AW498" s="65" t="n">
        <f aca="false">AR498*AT498*AQ498</f>
        <v>1</v>
      </c>
      <c r="AX498" s="65" t="n">
        <f aca="false">AR498*AS498</f>
        <v>0</v>
      </c>
      <c r="AY498" s="65" t="n">
        <f aca="false">AR498*AT498</f>
        <v>1</v>
      </c>
      <c r="AZ498" s="65" t="n">
        <f aca="false">AR498*AQ498</f>
        <v>1</v>
      </c>
      <c r="BA498" s="65" t="n">
        <f aca="false">AR498</f>
        <v>1</v>
      </c>
      <c r="BB498" s="65" t="n">
        <f aca="false">1</f>
        <v>1</v>
      </c>
      <c r="BC498" s="65" t="n">
        <f aca="false">IF(AV498=1,1,IF(AW498=1,2,IF(AX498=1,3,IF(AY498=1,4,IF(AZ498=1,5,IF(BA498=1,6,7))))))</f>
        <v>2</v>
      </c>
      <c r="BD498" s="65" t="n">
        <f aca="false">IF(AD498=1,CHOOSE('Historical Score'!$C$29,AV498,AW498,AX498,AY498,AZ498,BA498,BB498),0)</f>
        <v>0</v>
      </c>
      <c r="BE498" s="65" t="str">
        <f aca="false">IF(BD498=1,COUNTIF($BD$2:BD498,1),"")</f>
        <v/>
      </c>
    </row>
    <row r="499" customFormat="false" ht="15" hidden="false" customHeight="false" outlineLevel="0" collapsed="false">
      <c r="A499" s="65" t="s">
        <v>1842</v>
      </c>
      <c r="B499" s="65" t="s">
        <v>1843</v>
      </c>
      <c r="C499" s="65" t="s">
        <v>1843</v>
      </c>
      <c r="D499" s="65" t="s">
        <v>340</v>
      </c>
      <c r="E499" s="112" t="n">
        <v>46024</v>
      </c>
      <c r="F499" s="112" t="n">
        <v>46233</v>
      </c>
      <c r="G499" s="65" t="n">
        <v>2</v>
      </c>
      <c r="H499" s="65" t="s">
        <v>1835</v>
      </c>
      <c r="I499" s="65" t="s">
        <v>778</v>
      </c>
      <c r="J499" s="65" t="s">
        <v>638</v>
      </c>
      <c r="K499" s="65" t="s">
        <v>961</v>
      </c>
      <c r="L499" s="65" t="s">
        <v>64</v>
      </c>
      <c r="M499" s="113" t="n">
        <v>1.38</v>
      </c>
      <c r="N499" s="114" t="n">
        <v>105000</v>
      </c>
      <c r="O499" s="114" t="n">
        <v>13125</v>
      </c>
      <c r="P499" s="114" t="n">
        <v>144900</v>
      </c>
      <c r="Q499" s="114" t="n">
        <v>47400.18</v>
      </c>
      <c r="R499" s="114" t="n">
        <v>97499.82</v>
      </c>
      <c r="S499" s="115" t="n">
        <v>0.327123395445135</v>
      </c>
      <c r="T499" s="65" t="n">
        <v>52</v>
      </c>
      <c r="U499" s="65" t="n">
        <v>1</v>
      </c>
      <c r="V499" s="65" t="n">
        <v>121993.68</v>
      </c>
      <c r="W499" s="115" t="n">
        <v>0.0914</v>
      </c>
      <c r="X499" s="112" t="n">
        <v>41960</v>
      </c>
      <c r="Y499" s="65" t="str">
        <f aca="false">IF(I499="","No SIC",IFERROR(VLOOKUP(I499,Ref!$A$2:$B$65,2,FALSE()),"Unclassified"))</f>
        <v>Electronic &amp; Electrical Equipment</v>
      </c>
      <c r="Z499" s="65" t="str">
        <f aca="false">IF(T499="","",IF(T499&lt;12,"Daily","Weekly"))</f>
        <v>Weekly</v>
      </c>
      <c r="AA499" s="65" t="n">
        <f aca="false">IF(T499="",0,IF(T499&lt;12,T499*Controls!$B$29,T499*5))</f>
        <v>260</v>
      </c>
      <c r="AB499" s="65" t="n">
        <f aca="false">IF(E499="",0,NETWORKDAYS(E499,Controls!$B$36,Ref!$K$2:$K$42))</f>
        <v>164</v>
      </c>
      <c r="AC499" s="65" t="n">
        <f aca="false">IF(AND(AA499&gt;0,AB499&gt;=Controls!$B$39*AA499),1,0)</f>
        <v>0</v>
      </c>
      <c r="AD499" s="65" t="n">
        <f aca="false">IF(AND(E499&lt;&gt;"",E499&gt;=Controls!$B$37,E499&lt;=Controls!$B$38),1,0)</f>
        <v>1</v>
      </c>
      <c r="AE499" s="65" t="n">
        <f aca="false">IF(IFERROR(VLOOKUP(D499,Controls!$A$64:$E$74,2,FALSE()),"No")="Yes",1,0)</f>
        <v>1</v>
      </c>
      <c r="AF499" s="65" t="n">
        <f aca="false">IF(IFERROR(VLOOKUP(D499,Controls!$A$64:$E$74,3,FALSE()),"No")="Yes",1,0)</f>
        <v>0</v>
      </c>
      <c r="AG499" s="65" t="n">
        <f aca="false">IF(IFERROR(VLOOKUP(D499,Controls!$A$64:$E$74,4,FALSE()),"No")="Yes",1,0)</f>
        <v>0</v>
      </c>
      <c r="AH499" s="65" t="n">
        <f aca="false">IF(IFERROR(VLOOKUP(D499,Controls!$A$64:$E$74,5,FALSE()),"No")="Yes",1,0)</f>
        <v>0</v>
      </c>
      <c r="AI499" s="65" t="n">
        <f aca="false">IF(ISNUMBER(MATCH(D499,Controls!$A$64:$A$74,0)),1,0)</f>
        <v>1</v>
      </c>
      <c r="AJ499" s="65" t="n">
        <f aca="false">Q499-N499</f>
        <v>-57599.82</v>
      </c>
      <c r="AK499" s="65" t="n">
        <f aca="false">IF(AE499=1,MAX(0,N499-Q499),0)</f>
        <v>57599.82</v>
      </c>
      <c r="AL499" s="65" t="n">
        <f aca="false">IF(OR(V499="",V499=0),0,N499/V499)</f>
        <v>0.860700324803711</v>
      </c>
      <c r="AM499" s="65" t="n">
        <f aca="false">IF(OR(V499="",V499=0),0,1)</f>
        <v>1</v>
      </c>
      <c r="AN499" s="65" t="n">
        <f aca="false">IF(OR(E499="",F499=""),0,NETWORKDAYS(E499,F499,Ref!$K$2:$K$42))</f>
        <v>146</v>
      </c>
      <c r="AO499" s="65" t="n">
        <f aca="false">IF(L499="Renewal",1,0)</f>
        <v>0</v>
      </c>
      <c r="AP499" s="65" t="n">
        <f aca="false">AC499*AD499</f>
        <v>0</v>
      </c>
      <c r="AQ499" s="65" t="n">
        <f aca="false">IF(AND(G499&lt;&gt;"",'Historical Score'!$C$6&lt;&gt;""),IF(G499='Historical Score'!$C$6,1,0),0)</f>
        <v>1</v>
      </c>
      <c r="AR499" s="65" t="n">
        <f aca="false">IF(AND(L499&lt;&gt;"",'Historical Score'!$C$5&lt;&gt;""),IF(L499='Historical Score'!$C$5,1,0),0)</f>
        <v>1</v>
      </c>
      <c r="AS499" s="65" t="n">
        <f aca="false">IF(AND(Y499&lt;&gt;"",'Historical Score'!$C$7&lt;&gt;""),IF(Y499='Historical Score'!$C$7,1,0),0)</f>
        <v>0</v>
      </c>
      <c r="AT499" s="65" t="n">
        <f aca="false">IF(AND(K499&lt;&gt;"",'Historical Score'!$C$8&lt;&gt;""),IF(K499='Historical Score'!$C$8,1,0),0)</f>
        <v>0</v>
      </c>
      <c r="AU499" s="65" t="n">
        <f aca="false">IF(AND(J499&lt;&gt;"",'Historical Score'!$C$9&lt;&gt;""),IF(J499='Historical Score'!$C$9,1,0),0)</f>
        <v>0</v>
      </c>
      <c r="AV499" s="65" t="n">
        <f aca="false">AR499*AS499*AQ499</f>
        <v>0</v>
      </c>
      <c r="AW499" s="65" t="n">
        <f aca="false">AR499*AT499*AQ499</f>
        <v>0</v>
      </c>
      <c r="AX499" s="65" t="n">
        <f aca="false">AR499*AS499</f>
        <v>0</v>
      </c>
      <c r="AY499" s="65" t="n">
        <f aca="false">AR499*AT499</f>
        <v>0</v>
      </c>
      <c r="AZ499" s="65" t="n">
        <f aca="false">AR499*AQ499</f>
        <v>1</v>
      </c>
      <c r="BA499" s="65" t="n">
        <f aca="false">AR499</f>
        <v>1</v>
      </c>
      <c r="BB499" s="65" t="n">
        <f aca="false">1</f>
        <v>1</v>
      </c>
      <c r="BC499" s="65" t="n">
        <f aca="false">IF(AV499=1,1,IF(AW499=1,2,IF(AX499=1,3,IF(AY499=1,4,IF(AZ499=1,5,IF(BA499=1,6,7))))))</f>
        <v>5</v>
      </c>
      <c r="BD499" s="65" t="n">
        <f aca="false">IF(AD499=1,CHOOSE('Historical Score'!$C$29,AV499,AW499,AX499,AY499,AZ499,BA499,BB499),0)</f>
        <v>0</v>
      </c>
      <c r="BE499" s="65" t="str">
        <f aca="false">IF(BD499=1,COUNTIF($BD$2:BD499,1),"")</f>
        <v/>
      </c>
    </row>
    <row r="500" customFormat="false" ht="15" hidden="false" customHeight="false" outlineLevel="0" collapsed="false">
      <c r="A500" s="65" t="s">
        <v>1844</v>
      </c>
      <c r="B500" s="65" t="s">
        <v>1845</v>
      </c>
      <c r="C500" s="65" t="s">
        <v>1846</v>
      </c>
      <c r="D500" s="65" t="s">
        <v>533</v>
      </c>
      <c r="E500" s="112" t="n">
        <v>46027</v>
      </c>
      <c r="F500" s="112" t="n">
        <v>46063</v>
      </c>
      <c r="G500" s="65" t="n">
        <v>2</v>
      </c>
      <c r="H500" s="65" t="s">
        <v>1336</v>
      </c>
      <c r="I500" s="65" t="s">
        <v>379</v>
      </c>
      <c r="J500" s="65" t="s">
        <v>682</v>
      </c>
      <c r="K500" s="65" t="s">
        <v>961</v>
      </c>
      <c r="L500" s="65" t="s">
        <v>64</v>
      </c>
      <c r="M500" s="113" t="n">
        <v>1.49</v>
      </c>
      <c r="N500" s="114" t="n">
        <v>10000</v>
      </c>
      <c r="O500" s="114" t="n">
        <v>1400</v>
      </c>
      <c r="P500" s="114" t="n">
        <v>14900</v>
      </c>
      <c r="Q500" s="114" t="n">
        <v>744.64</v>
      </c>
      <c r="R500" s="114" t="n">
        <v>14155.36</v>
      </c>
      <c r="S500" s="115" t="n">
        <v>0.0499758389261745</v>
      </c>
      <c r="T500" s="65" t="n">
        <v>20</v>
      </c>
      <c r="U500" s="65" t="n">
        <v>12</v>
      </c>
      <c r="V500" s="65" t="n">
        <v>12588.4</v>
      </c>
      <c r="W500" s="115" t="n">
        <v>0.0914</v>
      </c>
      <c r="X500" s="112" t="n">
        <v>45508</v>
      </c>
      <c r="Y500" s="65" t="str">
        <f aca="false">IF(I500="","No SIC",IFERROR(VLOOKUP(I500,Ref!$A$2:$B$65,2,FALSE()),"Unclassified"))</f>
        <v>Food Stores</v>
      </c>
      <c r="Z500" s="65" t="str">
        <f aca="false">IF(T500="","",IF(T500&lt;12,"Daily","Weekly"))</f>
        <v>Weekly</v>
      </c>
      <c r="AA500" s="65" t="n">
        <f aca="false">IF(T500="",0,IF(T500&lt;12,T500*Controls!$B$29,T500*5))</f>
        <v>100</v>
      </c>
      <c r="AB500" s="65" t="n">
        <f aca="false">IF(E500="",0,NETWORKDAYS(E500,Controls!$B$36,Ref!$K$2:$K$42))</f>
        <v>163</v>
      </c>
      <c r="AC500" s="65" t="n">
        <f aca="false">IF(AND(AA500&gt;0,AB500&gt;=Controls!$B$39*AA500),1,0)</f>
        <v>1</v>
      </c>
      <c r="AD500" s="65" t="n">
        <f aca="false">IF(AND(E500&lt;&gt;"",E500&gt;=Controls!$B$37,E500&lt;=Controls!$B$38),1,0)</f>
        <v>1</v>
      </c>
      <c r="AE500" s="65" t="n">
        <f aca="false">IF(IFERROR(VLOOKUP(D500,Controls!$A$64:$E$74,2,FALSE()),"No")="Yes",1,0)</f>
        <v>1</v>
      </c>
      <c r="AF500" s="65" t="n">
        <f aca="false">IF(IFERROR(VLOOKUP(D500,Controls!$A$64:$E$74,3,FALSE()),"No")="Yes",1,0)</f>
        <v>0</v>
      </c>
      <c r="AG500" s="65" t="n">
        <f aca="false">IF(IFERROR(VLOOKUP(D500,Controls!$A$64:$E$74,4,FALSE()),"No")="Yes",1,0)</f>
        <v>0</v>
      </c>
      <c r="AH500" s="65" t="n">
        <f aca="false">IF(IFERROR(VLOOKUP(D500,Controls!$A$64:$E$74,5,FALSE()),"No")="Yes",1,0)</f>
        <v>0</v>
      </c>
      <c r="AI500" s="65" t="n">
        <f aca="false">IF(ISNUMBER(MATCH(D500,Controls!$A$64:$A$74,0)),1,0)</f>
        <v>1</v>
      </c>
      <c r="AJ500" s="65" t="n">
        <f aca="false">Q500-N500</f>
        <v>-9255.36</v>
      </c>
      <c r="AK500" s="65" t="n">
        <f aca="false">IF(AE500=1,MAX(0,N500-Q500),0)</f>
        <v>9255.36</v>
      </c>
      <c r="AL500" s="65" t="n">
        <f aca="false">IF(OR(V500="",V500=0),0,N500/V500)</f>
        <v>0.794382129579613</v>
      </c>
      <c r="AM500" s="65" t="n">
        <f aca="false">IF(OR(V500="",V500=0),0,1)</f>
        <v>1</v>
      </c>
      <c r="AN500" s="65" t="n">
        <f aca="false">IF(OR(E500="",F500=""),0,NETWORKDAYS(E500,F500,Ref!$K$2:$K$42))</f>
        <v>26</v>
      </c>
      <c r="AO500" s="65" t="n">
        <f aca="false">IF(L500="Renewal",1,0)</f>
        <v>0</v>
      </c>
      <c r="AP500" s="65" t="n">
        <f aca="false">AC500*AD500</f>
        <v>1</v>
      </c>
      <c r="AQ500" s="65" t="n">
        <f aca="false">IF(AND(G500&lt;&gt;"",'Historical Score'!$C$6&lt;&gt;""),IF(G500='Historical Score'!$C$6,1,0),0)</f>
        <v>1</v>
      </c>
      <c r="AR500" s="65" t="n">
        <f aca="false">IF(AND(L500&lt;&gt;"",'Historical Score'!$C$5&lt;&gt;""),IF(L500='Historical Score'!$C$5,1,0),0)</f>
        <v>1</v>
      </c>
      <c r="AS500" s="65" t="n">
        <f aca="false">IF(AND(Y500&lt;&gt;"",'Historical Score'!$C$7&lt;&gt;""),IF(Y500='Historical Score'!$C$7,1,0),0)</f>
        <v>0</v>
      </c>
      <c r="AT500" s="65" t="n">
        <f aca="false">IF(AND(K500&lt;&gt;"",'Historical Score'!$C$8&lt;&gt;""),IF(K500='Historical Score'!$C$8,1,0),0)</f>
        <v>0</v>
      </c>
      <c r="AU500" s="65" t="n">
        <f aca="false">IF(AND(J500&lt;&gt;"",'Historical Score'!$C$9&lt;&gt;""),IF(J500='Historical Score'!$C$9,1,0),0)</f>
        <v>0</v>
      </c>
      <c r="AV500" s="65" t="n">
        <f aca="false">AR500*AS500*AQ500</f>
        <v>0</v>
      </c>
      <c r="AW500" s="65" t="n">
        <f aca="false">AR500*AT500*AQ500</f>
        <v>0</v>
      </c>
      <c r="AX500" s="65" t="n">
        <f aca="false">AR500*AS500</f>
        <v>0</v>
      </c>
      <c r="AY500" s="65" t="n">
        <f aca="false">AR500*AT500</f>
        <v>0</v>
      </c>
      <c r="AZ500" s="65" t="n">
        <f aca="false">AR500*AQ500</f>
        <v>1</v>
      </c>
      <c r="BA500" s="65" t="n">
        <f aca="false">AR500</f>
        <v>1</v>
      </c>
      <c r="BB500" s="65" t="n">
        <f aca="false">1</f>
        <v>1</v>
      </c>
      <c r="BC500" s="65" t="n">
        <f aca="false">IF(AV500=1,1,IF(AW500=1,2,IF(AX500=1,3,IF(AY500=1,4,IF(AZ500=1,5,IF(BA500=1,6,7))))))</f>
        <v>5</v>
      </c>
      <c r="BD500" s="65" t="n">
        <f aca="false">IF(AD500=1,CHOOSE('Historical Score'!$C$29,AV500,AW500,AX500,AY500,AZ500,BA500,BB500),0)</f>
        <v>0</v>
      </c>
      <c r="BE500" s="65" t="str">
        <f aca="false">IF(BD500=1,COUNTIF($BD$2:BD500,1),"")</f>
        <v/>
      </c>
    </row>
    <row r="501" customFormat="false" ht="15" hidden="false" customHeight="false" outlineLevel="0" collapsed="false">
      <c r="A501" s="65" t="s">
        <v>1847</v>
      </c>
      <c r="B501" s="65" t="s">
        <v>1848</v>
      </c>
      <c r="C501" s="65" t="s">
        <v>1849</v>
      </c>
      <c r="D501" s="65" t="s">
        <v>371</v>
      </c>
      <c r="E501" s="112" t="n">
        <v>46027</v>
      </c>
      <c r="F501" s="112" t="n">
        <v>46076</v>
      </c>
      <c r="G501" s="65" t="n">
        <v>2</v>
      </c>
      <c r="H501" s="65" t="s">
        <v>685</v>
      </c>
      <c r="I501" s="65" t="s">
        <v>484</v>
      </c>
      <c r="J501" s="65" t="s">
        <v>420</v>
      </c>
      <c r="K501" s="65" t="s">
        <v>961</v>
      </c>
      <c r="L501" s="65" t="s">
        <v>64</v>
      </c>
      <c r="M501" s="113" t="n">
        <v>1.15</v>
      </c>
      <c r="N501" s="114" t="n">
        <v>75000</v>
      </c>
      <c r="O501" s="114" t="n">
        <v>5250</v>
      </c>
      <c r="P501" s="114" t="n">
        <v>86250</v>
      </c>
      <c r="Q501" s="114" t="n">
        <v>86250</v>
      </c>
      <c r="R501" s="114" t="n">
        <v>0</v>
      </c>
      <c r="S501" s="115" t="n">
        <v>1</v>
      </c>
      <c r="T501" s="65" t="n">
        <v>24</v>
      </c>
      <c r="U501" s="65" t="n">
        <v>0</v>
      </c>
      <c r="V501" s="65" t="n">
        <v>114765.56</v>
      </c>
      <c r="W501" s="115" t="n">
        <v>0.1503</v>
      </c>
      <c r="X501" s="112" t="n">
        <v>44078</v>
      </c>
      <c r="Y501" s="65" t="str">
        <f aca="false">IF(I501="","No SIC",IFERROR(VLOOKUP(I501,Ref!$A$2:$B$65,2,FALSE()),"Unclassified"))</f>
        <v>Special Trade Contractors</v>
      </c>
      <c r="Z501" s="65" t="str">
        <f aca="false">IF(T501="","",IF(T501&lt;12,"Daily","Weekly"))</f>
        <v>Weekly</v>
      </c>
      <c r="AA501" s="65" t="n">
        <f aca="false">IF(T501="",0,IF(T501&lt;12,T501*Controls!$B$29,T501*5))</f>
        <v>120</v>
      </c>
      <c r="AB501" s="65" t="n">
        <f aca="false">IF(E501="",0,NETWORKDAYS(E501,Controls!$B$36,Ref!$K$2:$K$42))</f>
        <v>163</v>
      </c>
      <c r="AC501" s="65" t="n">
        <f aca="false">IF(AND(AA501&gt;0,AB501&gt;=Controls!$B$39*AA501),1,0)</f>
        <v>1</v>
      </c>
      <c r="AD501" s="65" t="n">
        <f aca="false">IF(AND(E501&lt;&gt;"",E501&gt;=Controls!$B$37,E501&lt;=Controls!$B$38),1,0)</f>
        <v>1</v>
      </c>
      <c r="AE501" s="65" t="n">
        <f aca="false">IF(IFERROR(VLOOKUP(D501,Controls!$A$64:$E$74,2,FALSE()),"No")="Yes",1,0)</f>
        <v>0</v>
      </c>
      <c r="AF501" s="65" t="n">
        <f aca="false">IF(IFERROR(VLOOKUP(D501,Controls!$A$64:$E$74,3,FALSE()),"No")="Yes",1,0)</f>
        <v>1</v>
      </c>
      <c r="AG501" s="65" t="n">
        <f aca="false">IF(IFERROR(VLOOKUP(D501,Controls!$A$64:$E$74,4,FALSE()),"No")="Yes",1,0)</f>
        <v>1</v>
      </c>
      <c r="AH501" s="65" t="n">
        <f aca="false">IF(IFERROR(VLOOKUP(D501,Controls!$A$64:$E$74,5,FALSE()),"No")="Yes",1,0)</f>
        <v>0</v>
      </c>
      <c r="AI501" s="65" t="n">
        <f aca="false">IF(ISNUMBER(MATCH(D501,Controls!$A$64:$A$74,0)),1,0)</f>
        <v>1</v>
      </c>
      <c r="AJ501" s="65" t="n">
        <f aca="false">Q501-N501</f>
        <v>11250</v>
      </c>
      <c r="AK501" s="65" t="n">
        <f aca="false">IF(AE501=1,MAX(0,N501-Q501),0)</f>
        <v>0</v>
      </c>
      <c r="AL501" s="65" t="n">
        <f aca="false">IF(OR(V501="",V501=0),0,N501/V501)</f>
        <v>0.65350615637653</v>
      </c>
      <c r="AM501" s="65" t="n">
        <f aca="false">IF(OR(V501="",V501=0),0,1)</f>
        <v>1</v>
      </c>
      <c r="AN501" s="65" t="n">
        <f aca="false">IF(OR(E501="",F501=""),0,NETWORKDAYS(E501,F501,Ref!$K$2:$K$42))</f>
        <v>34</v>
      </c>
      <c r="AO501" s="65" t="n">
        <f aca="false">IF(L501="Renewal",1,0)</f>
        <v>0</v>
      </c>
      <c r="AP501" s="65" t="n">
        <f aca="false">AC501*AD501</f>
        <v>1</v>
      </c>
      <c r="AQ501" s="65" t="n">
        <f aca="false">IF(AND(G501&lt;&gt;"",'Historical Score'!$C$6&lt;&gt;""),IF(G501='Historical Score'!$C$6,1,0),0)</f>
        <v>1</v>
      </c>
      <c r="AR501" s="65" t="n">
        <f aca="false">IF(AND(L501&lt;&gt;"",'Historical Score'!$C$5&lt;&gt;""),IF(L501='Historical Score'!$C$5,1,0),0)</f>
        <v>1</v>
      </c>
      <c r="AS501" s="65" t="n">
        <f aca="false">IF(AND(Y501&lt;&gt;"",'Historical Score'!$C$7&lt;&gt;""),IF(Y501='Historical Score'!$C$7,1,0),0)</f>
        <v>0</v>
      </c>
      <c r="AT501" s="65" t="n">
        <f aca="false">IF(AND(K501&lt;&gt;"",'Historical Score'!$C$8&lt;&gt;""),IF(K501='Historical Score'!$C$8,1,0),0)</f>
        <v>0</v>
      </c>
      <c r="AU501" s="65" t="n">
        <f aca="false">IF(AND(J501&lt;&gt;"",'Historical Score'!$C$9&lt;&gt;""),IF(J501='Historical Score'!$C$9,1,0),0)</f>
        <v>0</v>
      </c>
      <c r="AV501" s="65" t="n">
        <f aca="false">AR501*AS501*AQ501</f>
        <v>0</v>
      </c>
      <c r="AW501" s="65" t="n">
        <f aca="false">AR501*AT501*AQ501</f>
        <v>0</v>
      </c>
      <c r="AX501" s="65" t="n">
        <f aca="false">AR501*AS501</f>
        <v>0</v>
      </c>
      <c r="AY501" s="65" t="n">
        <f aca="false">AR501*AT501</f>
        <v>0</v>
      </c>
      <c r="AZ501" s="65" t="n">
        <f aca="false">AR501*AQ501</f>
        <v>1</v>
      </c>
      <c r="BA501" s="65" t="n">
        <f aca="false">AR501</f>
        <v>1</v>
      </c>
      <c r="BB501" s="65" t="n">
        <f aca="false">1</f>
        <v>1</v>
      </c>
      <c r="BC501" s="65" t="n">
        <f aca="false">IF(AV501=1,1,IF(AW501=1,2,IF(AX501=1,3,IF(AY501=1,4,IF(AZ501=1,5,IF(BA501=1,6,7))))))</f>
        <v>5</v>
      </c>
      <c r="BD501" s="65" t="n">
        <f aca="false">IF(AD501=1,CHOOSE('Historical Score'!$C$29,AV501,AW501,AX501,AY501,AZ501,BA501,BB501),0)</f>
        <v>0</v>
      </c>
      <c r="BE501" s="65" t="str">
        <f aca="false">IF(BD501=1,COUNTIF($BD$2:BD501,1),"")</f>
        <v/>
      </c>
    </row>
    <row r="502" customFormat="false" ht="15" hidden="false" customHeight="false" outlineLevel="0" collapsed="false">
      <c r="A502" s="65" t="s">
        <v>1850</v>
      </c>
      <c r="B502" s="65" t="s">
        <v>1851</v>
      </c>
      <c r="C502" s="65" t="s">
        <v>1851</v>
      </c>
      <c r="D502" s="65" t="s">
        <v>1467</v>
      </c>
      <c r="E502" s="112" t="n">
        <v>46027</v>
      </c>
      <c r="F502" s="112" t="n">
        <v>46247</v>
      </c>
      <c r="G502" s="65" t="n">
        <v>2</v>
      </c>
      <c r="H502" s="65" t="s">
        <v>1852</v>
      </c>
      <c r="I502" s="65" t="s">
        <v>915</v>
      </c>
      <c r="J502" s="65" t="s">
        <v>506</v>
      </c>
      <c r="K502" s="65" t="s">
        <v>426</v>
      </c>
      <c r="L502" s="65" t="s">
        <v>64</v>
      </c>
      <c r="M502" s="113" t="n">
        <v>1.5</v>
      </c>
      <c r="N502" s="114" t="n">
        <v>5000</v>
      </c>
      <c r="O502" s="114" t="n">
        <v>700</v>
      </c>
      <c r="P502" s="114" t="n">
        <v>7500</v>
      </c>
      <c r="Q502" s="114" t="n">
        <v>2209.64</v>
      </c>
      <c r="R502" s="114" t="n">
        <v>5290.36</v>
      </c>
      <c r="S502" s="115" t="n">
        <v>0.294618666666667</v>
      </c>
      <c r="T502" s="65" t="n">
        <v>2.787</v>
      </c>
      <c r="U502" s="65" t="n">
        <v>20</v>
      </c>
      <c r="V502" s="65" t="n">
        <v>19630.42</v>
      </c>
      <c r="W502" s="115" t="n">
        <v>0.0938</v>
      </c>
      <c r="X502" s="112" t="n">
        <v>39772</v>
      </c>
      <c r="Y502" s="65" t="str">
        <f aca="false">IF(I502="","No SIC",IFERROR(VLOOKUP(I502,Ref!$A$2:$B$65,2,FALSE()),"Unclassified"))</f>
        <v>Transportation Services</v>
      </c>
      <c r="Z502" s="65" t="str">
        <f aca="false">IF(T502="","",IF(T502&lt;12,"Daily","Weekly"))</f>
        <v>Daily</v>
      </c>
      <c r="AA502" s="65" t="n">
        <f aca="false">IF(T502="",0,IF(T502&lt;12,T502*Controls!$B$29,T502*5))</f>
        <v>60.352485</v>
      </c>
      <c r="AB502" s="65" t="n">
        <f aca="false">IF(E502="",0,NETWORKDAYS(E502,Controls!$B$36,Ref!$K$2:$K$42))</f>
        <v>163</v>
      </c>
      <c r="AC502" s="65" t="n">
        <f aca="false">IF(AND(AA502&gt;0,AB502&gt;=Controls!$B$39*AA502),1,0)</f>
        <v>1</v>
      </c>
      <c r="AD502" s="65" t="n">
        <f aca="false">IF(AND(E502&lt;&gt;"",E502&gt;=Controls!$B$37,E502&lt;=Controls!$B$38),1,0)</f>
        <v>1</v>
      </c>
      <c r="AE502" s="65" t="n">
        <f aca="false">IF(IFERROR(VLOOKUP(D502,Controls!$A$64:$E$74,2,FALSE()),"No")="Yes",1,0)</f>
        <v>1</v>
      </c>
      <c r="AF502" s="65" t="n">
        <f aca="false">IF(IFERROR(VLOOKUP(D502,Controls!$A$64:$E$74,3,FALSE()),"No")="Yes",1,0)</f>
        <v>1</v>
      </c>
      <c r="AG502" s="65" t="n">
        <f aca="false">IF(IFERROR(VLOOKUP(D502,Controls!$A$64:$E$74,4,FALSE()),"No")="Yes",1,0)</f>
        <v>0</v>
      </c>
      <c r="AH502" s="65" t="n">
        <f aca="false">IF(IFERROR(VLOOKUP(D502,Controls!$A$64:$E$74,5,FALSE()),"No")="Yes",1,0)</f>
        <v>0</v>
      </c>
      <c r="AI502" s="65" t="n">
        <f aca="false">IF(ISNUMBER(MATCH(D502,Controls!$A$64:$A$74,0)),1,0)</f>
        <v>1</v>
      </c>
      <c r="AJ502" s="65" t="n">
        <f aca="false">Q502-N502</f>
        <v>-2790.36</v>
      </c>
      <c r="AK502" s="65" t="n">
        <f aca="false">IF(AE502=1,MAX(0,N502-Q502),0)</f>
        <v>2790.36</v>
      </c>
      <c r="AL502" s="65" t="n">
        <f aca="false">IF(OR(V502="",V502=0),0,N502/V502)</f>
        <v>0.25470672558203</v>
      </c>
      <c r="AM502" s="65" t="n">
        <f aca="false">IF(OR(V502="",V502=0),0,1)</f>
        <v>1</v>
      </c>
      <c r="AN502" s="65" t="n">
        <f aca="false">IF(OR(E502="",F502=""),0,NETWORKDAYS(E502,F502,Ref!$K$2:$K$42))</f>
        <v>155</v>
      </c>
      <c r="AO502" s="65" t="n">
        <f aca="false">IF(L502="Renewal",1,0)</f>
        <v>0</v>
      </c>
      <c r="AP502" s="65" t="n">
        <f aca="false">AC502*AD502</f>
        <v>1</v>
      </c>
      <c r="AQ502" s="65" t="n">
        <f aca="false">IF(AND(G502&lt;&gt;"",'Historical Score'!$C$6&lt;&gt;""),IF(G502='Historical Score'!$C$6,1,0),0)</f>
        <v>1</v>
      </c>
      <c r="AR502" s="65" t="n">
        <f aca="false">IF(AND(L502&lt;&gt;"",'Historical Score'!$C$5&lt;&gt;""),IF(L502='Historical Score'!$C$5,1,0),0)</f>
        <v>1</v>
      </c>
      <c r="AS502" s="65" t="n">
        <f aca="false">IF(AND(Y502&lt;&gt;"",'Historical Score'!$C$7&lt;&gt;""),IF(Y502='Historical Score'!$C$7,1,0),0)</f>
        <v>0</v>
      </c>
      <c r="AT502" s="65" t="n">
        <f aca="false">IF(AND(K502&lt;&gt;"",'Historical Score'!$C$8&lt;&gt;""),IF(K502='Historical Score'!$C$8,1,0),0)</f>
        <v>0</v>
      </c>
      <c r="AU502" s="65" t="n">
        <f aca="false">IF(AND(J502&lt;&gt;"",'Historical Score'!$C$9&lt;&gt;""),IF(J502='Historical Score'!$C$9,1,0),0)</f>
        <v>0</v>
      </c>
      <c r="AV502" s="65" t="n">
        <f aca="false">AR502*AS502*AQ502</f>
        <v>0</v>
      </c>
      <c r="AW502" s="65" t="n">
        <f aca="false">AR502*AT502*AQ502</f>
        <v>0</v>
      </c>
      <c r="AX502" s="65" t="n">
        <f aca="false">AR502*AS502</f>
        <v>0</v>
      </c>
      <c r="AY502" s="65" t="n">
        <f aca="false">AR502*AT502</f>
        <v>0</v>
      </c>
      <c r="AZ502" s="65" t="n">
        <f aca="false">AR502*AQ502</f>
        <v>1</v>
      </c>
      <c r="BA502" s="65" t="n">
        <f aca="false">AR502</f>
        <v>1</v>
      </c>
      <c r="BB502" s="65" t="n">
        <f aca="false">1</f>
        <v>1</v>
      </c>
      <c r="BC502" s="65" t="n">
        <f aca="false">IF(AV502=1,1,IF(AW502=1,2,IF(AX502=1,3,IF(AY502=1,4,IF(AZ502=1,5,IF(BA502=1,6,7))))))</f>
        <v>5</v>
      </c>
      <c r="BD502" s="65" t="n">
        <f aca="false">IF(AD502=1,CHOOSE('Historical Score'!$C$29,AV502,AW502,AX502,AY502,AZ502,BA502,BB502),0)</f>
        <v>0</v>
      </c>
      <c r="BE502" s="65" t="str">
        <f aca="false">IF(BD502=1,COUNTIF($BD$2:BD502,1),"")</f>
        <v/>
      </c>
    </row>
    <row r="503" customFormat="false" ht="15" hidden="false" customHeight="false" outlineLevel="0" collapsed="false">
      <c r="A503" s="65" t="s">
        <v>1853</v>
      </c>
      <c r="B503" s="65" t="s">
        <v>1854</v>
      </c>
      <c r="C503" s="65" t="s">
        <v>1855</v>
      </c>
      <c r="D503" s="65" t="s">
        <v>371</v>
      </c>
      <c r="E503" s="112" t="n">
        <v>46028</v>
      </c>
      <c r="F503" s="112" t="n">
        <v>46190</v>
      </c>
      <c r="G503" s="65" t="n">
        <v>2</v>
      </c>
      <c r="H503" s="65" t="s">
        <v>409</v>
      </c>
      <c r="I503" s="65" t="s">
        <v>342</v>
      </c>
      <c r="J503" s="65" t="s">
        <v>350</v>
      </c>
      <c r="K503" s="65" t="s">
        <v>1856</v>
      </c>
      <c r="L503" s="65" t="s">
        <v>64</v>
      </c>
      <c r="M503" s="113" t="n">
        <v>1.4</v>
      </c>
      <c r="N503" s="114" t="n">
        <v>30000</v>
      </c>
      <c r="O503" s="114" t="n">
        <v>2850</v>
      </c>
      <c r="P503" s="114" t="n">
        <v>42000</v>
      </c>
      <c r="Q503" s="114" t="n">
        <v>42000</v>
      </c>
      <c r="R503" s="114" t="n">
        <v>0</v>
      </c>
      <c r="S503" s="115" t="n">
        <v>1</v>
      </c>
      <c r="T503" s="65" t="n">
        <v>30</v>
      </c>
      <c r="U503" s="65" t="n">
        <v>0</v>
      </c>
      <c r="V503" s="65" t="n">
        <v>40732.29</v>
      </c>
      <c r="W503" s="115" t="n">
        <v>0.1375</v>
      </c>
      <c r="X503" s="112" t="n">
        <v>43137</v>
      </c>
      <c r="Y503" s="65" t="str">
        <f aca="false">IF(I503="","No SIC",IFERROR(VLOOKUP(I503,Ref!$A$2:$B$65,2,FALSE()),"Unclassified"))</f>
        <v>Eating &amp; Drinking Places</v>
      </c>
      <c r="Z503" s="65" t="str">
        <f aca="false">IF(T503="","",IF(T503&lt;12,"Daily","Weekly"))</f>
        <v>Weekly</v>
      </c>
      <c r="AA503" s="65" t="n">
        <f aca="false">IF(T503="",0,IF(T503&lt;12,T503*Controls!$B$29,T503*5))</f>
        <v>150</v>
      </c>
      <c r="AB503" s="65" t="n">
        <f aca="false">IF(E503="",0,NETWORKDAYS(E503,Controls!$B$36,Ref!$K$2:$K$42))</f>
        <v>162</v>
      </c>
      <c r="AC503" s="65" t="n">
        <f aca="false">IF(AND(AA503&gt;0,AB503&gt;=Controls!$B$39*AA503),1,0)</f>
        <v>0</v>
      </c>
      <c r="AD503" s="65" t="n">
        <f aca="false">IF(AND(E503&lt;&gt;"",E503&gt;=Controls!$B$37,E503&lt;=Controls!$B$38),1,0)</f>
        <v>1</v>
      </c>
      <c r="AE503" s="65" t="n">
        <f aca="false">IF(IFERROR(VLOOKUP(D503,Controls!$A$64:$E$74,2,FALSE()),"No")="Yes",1,0)</f>
        <v>0</v>
      </c>
      <c r="AF503" s="65" t="n">
        <f aca="false">IF(IFERROR(VLOOKUP(D503,Controls!$A$64:$E$74,3,FALSE()),"No")="Yes",1,0)</f>
        <v>1</v>
      </c>
      <c r="AG503" s="65" t="n">
        <f aca="false">IF(IFERROR(VLOOKUP(D503,Controls!$A$64:$E$74,4,FALSE()),"No")="Yes",1,0)</f>
        <v>1</v>
      </c>
      <c r="AH503" s="65" t="n">
        <f aca="false">IF(IFERROR(VLOOKUP(D503,Controls!$A$64:$E$74,5,FALSE()),"No")="Yes",1,0)</f>
        <v>0</v>
      </c>
      <c r="AI503" s="65" t="n">
        <f aca="false">IF(ISNUMBER(MATCH(D503,Controls!$A$64:$A$74,0)),1,0)</f>
        <v>1</v>
      </c>
      <c r="AJ503" s="65" t="n">
        <f aca="false">Q503-N503</f>
        <v>12000</v>
      </c>
      <c r="AK503" s="65" t="n">
        <f aca="false">IF(AE503=1,MAX(0,N503-Q503),0)</f>
        <v>0</v>
      </c>
      <c r="AL503" s="65" t="n">
        <f aca="false">IF(OR(V503="",V503=0),0,N503/V503)</f>
        <v>0.736516409953872</v>
      </c>
      <c r="AM503" s="65" t="n">
        <f aca="false">IF(OR(V503="",V503=0),0,1)</f>
        <v>1</v>
      </c>
      <c r="AN503" s="65" t="n">
        <f aca="false">IF(OR(E503="",F503=""),0,NETWORKDAYS(E503,F503,Ref!$K$2:$K$42))</f>
        <v>114</v>
      </c>
      <c r="AO503" s="65" t="n">
        <f aca="false">IF(L503="Renewal",1,0)</f>
        <v>0</v>
      </c>
      <c r="AP503" s="65" t="n">
        <f aca="false">AC503*AD503</f>
        <v>0</v>
      </c>
      <c r="AQ503" s="65" t="n">
        <f aca="false">IF(AND(G503&lt;&gt;"",'Historical Score'!$C$6&lt;&gt;""),IF(G503='Historical Score'!$C$6,1,0),0)</f>
        <v>1</v>
      </c>
      <c r="AR503" s="65" t="n">
        <f aca="false">IF(AND(L503&lt;&gt;"",'Historical Score'!$C$5&lt;&gt;""),IF(L503='Historical Score'!$C$5,1,0),0)</f>
        <v>1</v>
      </c>
      <c r="AS503" s="65" t="n">
        <f aca="false">IF(AND(Y503&lt;&gt;"",'Historical Score'!$C$7&lt;&gt;""),IF(Y503='Historical Score'!$C$7,1,0),0)</f>
        <v>0</v>
      </c>
      <c r="AT503" s="65" t="n">
        <f aca="false">IF(AND(K503&lt;&gt;"",'Historical Score'!$C$8&lt;&gt;""),IF(K503='Historical Score'!$C$8,1,0),0)</f>
        <v>0</v>
      </c>
      <c r="AU503" s="65" t="n">
        <f aca="false">IF(AND(J503&lt;&gt;"",'Historical Score'!$C$9&lt;&gt;""),IF(J503='Historical Score'!$C$9,1,0),0)</f>
        <v>0</v>
      </c>
      <c r="AV503" s="65" t="n">
        <f aca="false">AR503*AS503*AQ503</f>
        <v>0</v>
      </c>
      <c r="AW503" s="65" t="n">
        <f aca="false">AR503*AT503*AQ503</f>
        <v>0</v>
      </c>
      <c r="AX503" s="65" t="n">
        <f aca="false">AR503*AS503</f>
        <v>0</v>
      </c>
      <c r="AY503" s="65" t="n">
        <f aca="false">AR503*AT503</f>
        <v>0</v>
      </c>
      <c r="AZ503" s="65" t="n">
        <f aca="false">AR503*AQ503</f>
        <v>1</v>
      </c>
      <c r="BA503" s="65" t="n">
        <f aca="false">AR503</f>
        <v>1</v>
      </c>
      <c r="BB503" s="65" t="n">
        <f aca="false">1</f>
        <v>1</v>
      </c>
      <c r="BC503" s="65" t="n">
        <f aca="false">IF(AV503=1,1,IF(AW503=1,2,IF(AX503=1,3,IF(AY503=1,4,IF(AZ503=1,5,IF(BA503=1,6,7))))))</f>
        <v>5</v>
      </c>
      <c r="BD503" s="65" t="n">
        <f aca="false">IF(AD503=1,CHOOSE('Historical Score'!$C$29,AV503,AW503,AX503,AY503,AZ503,BA503,BB503),0)</f>
        <v>0</v>
      </c>
      <c r="BE503" s="65" t="str">
        <f aca="false">IF(BD503=1,COUNTIF($BD$2:BD503,1),"")</f>
        <v/>
      </c>
    </row>
    <row r="504" customFormat="false" ht="15" hidden="false" customHeight="false" outlineLevel="0" collapsed="false">
      <c r="A504" s="65" t="s">
        <v>1857</v>
      </c>
      <c r="B504" s="65" t="s">
        <v>1858</v>
      </c>
      <c r="C504" s="65" t="s">
        <v>1858</v>
      </c>
      <c r="D504" s="65" t="s">
        <v>1467</v>
      </c>
      <c r="E504" s="112" t="n">
        <v>46028</v>
      </c>
      <c r="F504" s="112" t="n">
        <v>46248</v>
      </c>
      <c r="G504" s="65" t="n">
        <v>3</v>
      </c>
      <c r="H504" s="65" t="s">
        <v>1859</v>
      </c>
      <c r="I504" s="65" t="s">
        <v>657</v>
      </c>
      <c r="J504" s="65" t="s">
        <v>373</v>
      </c>
      <c r="K504" s="65" t="s">
        <v>983</v>
      </c>
      <c r="L504" s="65" t="s">
        <v>64</v>
      </c>
      <c r="M504" s="113" t="n">
        <v>1.49</v>
      </c>
      <c r="N504" s="114" t="n">
        <v>15000</v>
      </c>
      <c r="O504" s="114" t="n">
        <v>2100</v>
      </c>
      <c r="P504" s="114" t="n">
        <v>22350</v>
      </c>
      <c r="Q504" s="114" t="n">
        <v>11927.01</v>
      </c>
      <c r="R504" s="114" t="n">
        <v>10422.99</v>
      </c>
      <c r="S504" s="115" t="n">
        <v>0.533646979865772</v>
      </c>
      <c r="T504" s="65" t="n">
        <v>3.279</v>
      </c>
      <c r="U504" s="65" t="n">
        <v>6</v>
      </c>
      <c r="V504" s="65" t="n">
        <v>41458.49</v>
      </c>
      <c r="W504" s="115" t="n">
        <v>0.1132</v>
      </c>
      <c r="X504" s="112"/>
      <c r="Y504" s="65" t="str">
        <f aca="false">IF(I504="","No SIC",IFERROR(VLOOKUP(I504,Ref!$A$2:$B$65,2,FALSE()),"Unclassified"))</f>
        <v>Fabricated Metal Products</v>
      </c>
      <c r="Z504" s="65" t="str">
        <f aca="false">IF(T504="","",IF(T504&lt;12,"Daily","Weekly"))</f>
        <v>Daily</v>
      </c>
      <c r="AA504" s="65" t="n">
        <f aca="false">IF(T504="",0,IF(T504&lt;12,T504*Controls!$B$29,T504*5))</f>
        <v>71.006745</v>
      </c>
      <c r="AB504" s="65" t="n">
        <f aca="false">IF(E504="",0,NETWORKDAYS(E504,Controls!$B$36,Ref!$K$2:$K$42))</f>
        <v>162</v>
      </c>
      <c r="AC504" s="65" t="n">
        <f aca="false">IF(AND(AA504&gt;0,AB504&gt;=Controls!$B$39*AA504),1,0)</f>
        <v>1</v>
      </c>
      <c r="AD504" s="65" t="n">
        <f aca="false">IF(AND(E504&lt;&gt;"",E504&gt;=Controls!$B$37,E504&lt;=Controls!$B$38),1,0)</f>
        <v>1</v>
      </c>
      <c r="AE504" s="65" t="n">
        <f aca="false">IF(IFERROR(VLOOKUP(D504,Controls!$A$64:$E$74,2,FALSE()),"No")="Yes",1,0)</f>
        <v>1</v>
      </c>
      <c r="AF504" s="65" t="n">
        <f aca="false">IF(IFERROR(VLOOKUP(D504,Controls!$A$64:$E$74,3,FALSE()),"No")="Yes",1,0)</f>
        <v>1</v>
      </c>
      <c r="AG504" s="65" t="n">
        <f aca="false">IF(IFERROR(VLOOKUP(D504,Controls!$A$64:$E$74,4,FALSE()),"No")="Yes",1,0)</f>
        <v>0</v>
      </c>
      <c r="AH504" s="65" t="n">
        <f aca="false">IF(IFERROR(VLOOKUP(D504,Controls!$A$64:$E$74,5,FALSE()),"No")="Yes",1,0)</f>
        <v>0</v>
      </c>
      <c r="AI504" s="65" t="n">
        <f aca="false">IF(ISNUMBER(MATCH(D504,Controls!$A$64:$A$74,0)),1,0)</f>
        <v>1</v>
      </c>
      <c r="AJ504" s="65" t="n">
        <f aca="false">Q504-N504</f>
        <v>-3072.99</v>
      </c>
      <c r="AK504" s="65" t="n">
        <f aca="false">IF(AE504=1,MAX(0,N504-Q504),0)</f>
        <v>3072.99</v>
      </c>
      <c r="AL504" s="65" t="n">
        <f aca="false">IF(OR(V504="",V504=0),0,N504/V504)</f>
        <v>0.361807677993096</v>
      </c>
      <c r="AM504" s="65" t="n">
        <f aca="false">IF(OR(V504="",V504=0),0,1)</f>
        <v>1</v>
      </c>
      <c r="AN504" s="65" t="n">
        <f aca="false">IF(OR(E504="",F504=""),0,NETWORKDAYS(E504,F504,Ref!$K$2:$K$42))</f>
        <v>155</v>
      </c>
      <c r="AO504" s="65" t="n">
        <f aca="false">IF(L504="Renewal",1,0)</f>
        <v>0</v>
      </c>
      <c r="AP504" s="65" t="n">
        <f aca="false">AC504*AD504</f>
        <v>1</v>
      </c>
      <c r="AQ504" s="65" t="n">
        <f aca="false">IF(AND(G504&lt;&gt;"",'Historical Score'!$C$6&lt;&gt;""),IF(G504='Historical Score'!$C$6,1,0),0)</f>
        <v>0</v>
      </c>
      <c r="AR504" s="65" t="n">
        <f aca="false">IF(AND(L504&lt;&gt;"",'Historical Score'!$C$5&lt;&gt;""),IF(L504='Historical Score'!$C$5,1,0),0)</f>
        <v>1</v>
      </c>
      <c r="AS504" s="65" t="n">
        <f aca="false">IF(AND(Y504&lt;&gt;"",'Historical Score'!$C$7&lt;&gt;""),IF(Y504='Historical Score'!$C$7,1,0),0)</f>
        <v>0</v>
      </c>
      <c r="AT504" s="65" t="n">
        <f aca="false">IF(AND(K504&lt;&gt;"",'Historical Score'!$C$8&lt;&gt;""),IF(K504='Historical Score'!$C$8,1,0),0)</f>
        <v>0</v>
      </c>
      <c r="AU504" s="65" t="n">
        <f aca="false">IF(AND(J504&lt;&gt;"",'Historical Score'!$C$9&lt;&gt;""),IF(J504='Historical Score'!$C$9,1,0),0)</f>
        <v>0</v>
      </c>
      <c r="AV504" s="65" t="n">
        <f aca="false">AR504*AS504*AQ504</f>
        <v>0</v>
      </c>
      <c r="AW504" s="65" t="n">
        <f aca="false">AR504*AT504*AQ504</f>
        <v>0</v>
      </c>
      <c r="AX504" s="65" t="n">
        <f aca="false">AR504*AS504</f>
        <v>0</v>
      </c>
      <c r="AY504" s="65" t="n">
        <f aca="false">AR504*AT504</f>
        <v>0</v>
      </c>
      <c r="AZ504" s="65" t="n">
        <f aca="false">AR504*AQ504</f>
        <v>0</v>
      </c>
      <c r="BA504" s="65" t="n">
        <f aca="false">AR504</f>
        <v>1</v>
      </c>
      <c r="BB504" s="65" t="n">
        <f aca="false">1</f>
        <v>1</v>
      </c>
      <c r="BC504" s="65" t="n">
        <f aca="false">IF(AV504=1,1,IF(AW504=1,2,IF(AX504=1,3,IF(AY504=1,4,IF(AZ504=1,5,IF(BA504=1,6,7))))))</f>
        <v>6</v>
      </c>
      <c r="BD504" s="65" t="n">
        <f aca="false">IF(AD504=1,CHOOSE('Historical Score'!$C$29,AV504,AW504,AX504,AY504,AZ504,BA504,BB504),0)</f>
        <v>0</v>
      </c>
      <c r="BE504" s="65" t="str">
        <f aca="false">IF(BD504=1,COUNTIF($BD$2:BD504,1),"")</f>
        <v/>
      </c>
    </row>
    <row r="505" customFormat="false" ht="15" hidden="false" customHeight="false" outlineLevel="0" collapsed="false">
      <c r="A505" s="65" t="s">
        <v>1860</v>
      </c>
      <c r="B505" s="65" t="s">
        <v>1861</v>
      </c>
      <c r="C505" s="65" t="s">
        <v>1861</v>
      </c>
      <c r="D505" s="65" t="s">
        <v>533</v>
      </c>
      <c r="E505" s="112" t="n">
        <v>46028</v>
      </c>
      <c r="F505" s="112" t="n">
        <v>46057</v>
      </c>
      <c r="G505" s="65" t="n">
        <v>3</v>
      </c>
      <c r="H505" s="65" t="s">
        <v>685</v>
      </c>
      <c r="I505" s="65" t="s">
        <v>484</v>
      </c>
      <c r="J505" s="65" t="s">
        <v>380</v>
      </c>
      <c r="K505" s="65" t="s">
        <v>1461</v>
      </c>
      <c r="L505" s="65" t="s">
        <v>64</v>
      </c>
      <c r="M505" s="113" t="n">
        <v>1.499</v>
      </c>
      <c r="N505" s="114" t="n">
        <v>5000</v>
      </c>
      <c r="O505" s="114" t="n">
        <v>700</v>
      </c>
      <c r="P505" s="114" t="n">
        <v>7495</v>
      </c>
      <c r="Q505" s="114" t="n">
        <v>1488.52</v>
      </c>
      <c r="R505" s="114" t="n">
        <v>6006.48</v>
      </c>
      <c r="S505" s="115" t="n">
        <v>0.19860173448966</v>
      </c>
      <c r="T505" s="65" t="n">
        <v>2.787</v>
      </c>
      <c r="U505" s="65" t="n">
        <v>4</v>
      </c>
      <c r="V505" s="65" t="n">
        <v>29049.92</v>
      </c>
      <c r="W505" s="115" t="n">
        <v>0.0633</v>
      </c>
      <c r="X505" s="112" t="n">
        <v>43731</v>
      </c>
      <c r="Y505" s="65" t="str">
        <f aca="false">IF(I505="","No SIC",IFERROR(VLOOKUP(I505,Ref!$A$2:$B$65,2,FALSE()),"Unclassified"))</f>
        <v>Special Trade Contractors</v>
      </c>
      <c r="Z505" s="65" t="str">
        <f aca="false">IF(T505="","",IF(T505&lt;12,"Daily","Weekly"))</f>
        <v>Daily</v>
      </c>
      <c r="AA505" s="65" t="n">
        <f aca="false">IF(T505="",0,IF(T505&lt;12,T505*Controls!$B$29,T505*5))</f>
        <v>60.352485</v>
      </c>
      <c r="AB505" s="65" t="n">
        <f aca="false">IF(E505="",0,NETWORKDAYS(E505,Controls!$B$36,Ref!$K$2:$K$42))</f>
        <v>162</v>
      </c>
      <c r="AC505" s="65" t="n">
        <f aca="false">IF(AND(AA505&gt;0,AB505&gt;=Controls!$B$39*AA505),1,0)</f>
        <v>1</v>
      </c>
      <c r="AD505" s="65" t="n">
        <f aca="false">IF(AND(E505&lt;&gt;"",E505&gt;=Controls!$B$37,E505&lt;=Controls!$B$38),1,0)</f>
        <v>1</v>
      </c>
      <c r="AE505" s="65" t="n">
        <f aca="false">IF(IFERROR(VLOOKUP(D505,Controls!$A$64:$E$74,2,FALSE()),"No")="Yes",1,0)</f>
        <v>1</v>
      </c>
      <c r="AF505" s="65" t="n">
        <f aca="false">IF(IFERROR(VLOOKUP(D505,Controls!$A$64:$E$74,3,FALSE()),"No")="Yes",1,0)</f>
        <v>0</v>
      </c>
      <c r="AG505" s="65" t="n">
        <f aca="false">IF(IFERROR(VLOOKUP(D505,Controls!$A$64:$E$74,4,FALSE()),"No")="Yes",1,0)</f>
        <v>0</v>
      </c>
      <c r="AH505" s="65" t="n">
        <f aca="false">IF(IFERROR(VLOOKUP(D505,Controls!$A$64:$E$74,5,FALSE()),"No")="Yes",1,0)</f>
        <v>0</v>
      </c>
      <c r="AI505" s="65" t="n">
        <f aca="false">IF(ISNUMBER(MATCH(D505,Controls!$A$64:$A$74,0)),1,0)</f>
        <v>1</v>
      </c>
      <c r="AJ505" s="65" t="n">
        <f aca="false">Q505-N505</f>
        <v>-3511.48</v>
      </c>
      <c r="AK505" s="65" t="n">
        <f aca="false">IF(AE505=1,MAX(0,N505-Q505),0)</f>
        <v>3511.48</v>
      </c>
      <c r="AL505" s="65" t="n">
        <f aca="false">IF(OR(V505="",V505=0),0,N505/V505)</f>
        <v>0.17211751357663</v>
      </c>
      <c r="AM505" s="65" t="n">
        <f aca="false">IF(OR(V505="",V505=0),0,1)</f>
        <v>1</v>
      </c>
      <c r="AN505" s="65" t="n">
        <f aca="false">IF(OR(E505="",F505=""),0,NETWORKDAYS(E505,F505,Ref!$K$2:$K$42))</f>
        <v>21</v>
      </c>
      <c r="AO505" s="65" t="n">
        <f aca="false">IF(L505="Renewal",1,0)</f>
        <v>0</v>
      </c>
      <c r="AP505" s="65" t="n">
        <f aca="false">AC505*AD505</f>
        <v>1</v>
      </c>
      <c r="AQ505" s="65" t="n">
        <f aca="false">IF(AND(G505&lt;&gt;"",'Historical Score'!$C$6&lt;&gt;""),IF(G505='Historical Score'!$C$6,1,0),0)</f>
        <v>0</v>
      </c>
      <c r="AR505" s="65" t="n">
        <f aca="false">IF(AND(L505&lt;&gt;"",'Historical Score'!$C$5&lt;&gt;""),IF(L505='Historical Score'!$C$5,1,0),0)</f>
        <v>1</v>
      </c>
      <c r="AS505" s="65" t="n">
        <f aca="false">IF(AND(Y505&lt;&gt;"",'Historical Score'!$C$7&lt;&gt;""),IF(Y505='Historical Score'!$C$7,1,0),0)</f>
        <v>0</v>
      </c>
      <c r="AT505" s="65" t="n">
        <f aca="false">IF(AND(K505&lt;&gt;"",'Historical Score'!$C$8&lt;&gt;""),IF(K505='Historical Score'!$C$8,1,0),0)</f>
        <v>0</v>
      </c>
      <c r="AU505" s="65" t="n">
        <f aca="false">IF(AND(J505&lt;&gt;"",'Historical Score'!$C$9&lt;&gt;""),IF(J505='Historical Score'!$C$9,1,0),0)</f>
        <v>0</v>
      </c>
      <c r="AV505" s="65" t="n">
        <f aca="false">AR505*AS505*AQ505</f>
        <v>0</v>
      </c>
      <c r="AW505" s="65" t="n">
        <f aca="false">AR505*AT505*AQ505</f>
        <v>0</v>
      </c>
      <c r="AX505" s="65" t="n">
        <f aca="false">AR505*AS505</f>
        <v>0</v>
      </c>
      <c r="AY505" s="65" t="n">
        <f aca="false">AR505*AT505</f>
        <v>0</v>
      </c>
      <c r="AZ505" s="65" t="n">
        <f aca="false">AR505*AQ505</f>
        <v>0</v>
      </c>
      <c r="BA505" s="65" t="n">
        <f aca="false">AR505</f>
        <v>1</v>
      </c>
      <c r="BB505" s="65" t="n">
        <f aca="false">1</f>
        <v>1</v>
      </c>
      <c r="BC505" s="65" t="n">
        <f aca="false">IF(AV505=1,1,IF(AW505=1,2,IF(AX505=1,3,IF(AY505=1,4,IF(AZ505=1,5,IF(BA505=1,6,7))))))</f>
        <v>6</v>
      </c>
      <c r="BD505" s="65" t="n">
        <f aca="false">IF(AD505=1,CHOOSE('Historical Score'!$C$29,AV505,AW505,AX505,AY505,AZ505,BA505,BB505),0)</f>
        <v>0</v>
      </c>
      <c r="BE505" s="65" t="str">
        <f aca="false">IF(BD505=1,COUNTIF($BD$2:BD505,1),"")</f>
        <v/>
      </c>
    </row>
    <row r="506" customFormat="false" ht="15" hidden="false" customHeight="false" outlineLevel="0" collapsed="false">
      <c r="A506" s="65" t="s">
        <v>1862</v>
      </c>
      <c r="B506" s="65" t="s">
        <v>1863</v>
      </c>
      <c r="C506" s="65" t="s">
        <v>1863</v>
      </c>
      <c r="D506" s="65" t="s">
        <v>689</v>
      </c>
      <c r="E506" s="112" t="n">
        <v>46028</v>
      </c>
      <c r="F506" s="112" t="n">
        <v>46106</v>
      </c>
      <c r="G506" s="65" t="n">
        <v>3</v>
      </c>
      <c r="H506" s="65" t="s">
        <v>442</v>
      </c>
      <c r="I506" s="65" t="s">
        <v>443</v>
      </c>
      <c r="J506" s="65" t="s">
        <v>373</v>
      </c>
      <c r="K506" s="65" t="s">
        <v>983</v>
      </c>
      <c r="L506" s="65" t="s">
        <v>64</v>
      </c>
      <c r="M506" s="113" t="n">
        <v>1.49</v>
      </c>
      <c r="N506" s="114" t="n">
        <v>10000</v>
      </c>
      <c r="O506" s="114" t="n">
        <v>1400</v>
      </c>
      <c r="P506" s="114" t="n">
        <v>14900</v>
      </c>
      <c r="Q506" s="114" t="n">
        <v>3642.54</v>
      </c>
      <c r="R506" s="114" t="n">
        <v>11257.46</v>
      </c>
      <c r="S506" s="115" t="n">
        <v>0.244465771812081</v>
      </c>
      <c r="T506" s="65" t="n">
        <v>2.951</v>
      </c>
      <c r="U506" s="65" t="n">
        <v>23</v>
      </c>
      <c r="V506" s="65" t="n">
        <v>25850.74</v>
      </c>
      <c r="W506" s="115" t="n">
        <v>0.1345</v>
      </c>
      <c r="X506" s="112" t="n">
        <v>36434</v>
      </c>
      <c r="Y506" s="65" t="str">
        <f aca="false">IF(I506="","No SIC",IFERROR(VLOOKUP(I506,Ref!$A$2:$B$65,2,FALSE()),"Unclassified"))</f>
        <v>General Building Contractors</v>
      </c>
      <c r="Z506" s="65" t="str">
        <f aca="false">IF(T506="","",IF(T506&lt;12,"Daily","Weekly"))</f>
        <v>Daily</v>
      </c>
      <c r="AA506" s="65" t="n">
        <f aca="false">IF(T506="",0,IF(T506&lt;12,T506*Controls!$B$29,T506*5))</f>
        <v>63.903905</v>
      </c>
      <c r="AB506" s="65" t="n">
        <f aca="false">IF(E506="",0,NETWORKDAYS(E506,Controls!$B$36,Ref!$K$2:$K$42))</f>
        <v>162</v>
      </c>
      <c r="AC506" s="65" t="n">
        <f aca="false">IF(AND(AA506&gt;0,AB506&gt;=Controls!$B$39*AA506),1,0)</f>
        <v>1</v>
      </c>
      <c r="AD506" s="65" t="n">
        <f aca="false">IF(AND(E506&lt;&gt;"",E506&gt;=Controls!$B$37,E506&lt;=Controls!$B$38),1,0)</f>
        <v>1</v>
      </c>
      <c r="AE506" s="65" t="n">
        <f aca="false">IF(IFERROR(VLOOKUP(D506,Controls!$A$64:$E$74,2,FALSE()),"No")="Yes",1,0)</f>
        <v>1</v>
      </c>
      <c r="AF506" s="65" t="n">
        <f aca="false">IF(IFERROR(VLOOKUP(D506,Controls!$A$64:$E$74,3,FALSE()),"No")="Yes",1,0)</f>
        <v>1</v>
      </c>
      <c r="AG506" s="65" t="n">
        <f aca="false">IF(IFERROR(VLOOKUP(D506,Controls!$A$64:$E$74,4,FALSE()),"No")="Yes",1,0)</f>
        <v>0</v>
      </c>
      <c r="AH506" s="65" t="n">
        <f aca="false">IF(IFERROR(VLOOKUP(D506,Controls!$A$64:$E$74,5,FALSE()),"No")="Yes",1,0)</f>
        <v>0</v>
      </c>
      <c r="AI506" s="65" t="n">
        <f aca="false">IF(ISNUMBER(MATCH(D506,Controls!$A$64:$A$74,0)),1,0)</f>
        <v>1</v>
      </c>
      <c r="AJ506" s="65" t="n">
        <f aca="false">Q506-N506</f>
        <v>-6357.46</v>
      </c>
      <c r="AK506" s="65" t="n">
        <f aca="false">IF(AE506=1,MAX(0,N506-Q506),0)</f>
        <v>6357.46</v>
      </c>
      <c r="AL506" s="65" t="n">
        <f aca="false">IF(OR(V506="",V506=0),0,N506/V506)</f>
        <v>0.386836121519152</v>
      </c>
      <c r="AM506" s="65" t="n">
        <f aca="false">IF(OR(V506="",V506=0),0,1)</f>
        <v>1</v>
      </c>
      <c r="AN506" s="65" t="n">
        <f aca="false">IF(OR(E506="",F506=""),0,NETWORKDAYS(E506,F506,Ref!$K$2:$K$42))</f>
        <v>55</v>
      </c>
      <c r="AO506" s="65" t="n">
        <f aca="false">IF(L506="Renewal",1,0)</f>
        <v>0</v>
      </c>
      <c r="AP506" s="65" t="n">
        <f aca="false">AC506*AD506</f>
        <v>1</v>
      </c>
      <c r="AQ506" s="65" t="n">
        <f aca="false">IF(AND(G506&lt;&gt;"",'Historical Score'!$C$6&lt;&gt;""),IF(G506='Historical Score'!$C$6,1,0),0)</f>
        <v>0</v>
      </c>
      <c r="AR506" s="65" t="n">
        <f aca="false">IF(AND(L506&lt;&gt;"",'Historical Score'!$C$5&lt;&gt;""),IF(L506='Historical Score'!$C$5,1,0),0)</f>
        <v>1</v>
      </c>
      <c r="AS506" s="65" t="n">
        <f aca="false">IF(AND(Y506&lt;&gt;"",'Historical Score'!$C$7&lt;&gt;""),IF(Y506='Historical Score'!$C$7,1,0),0)</f>
        <v>1</v>
      </c>
      <c r="AT506" s="65" t="n">
        <f aca="false">IF(AND(K506&lt;&gt;"",'Historical Score'!$C$8&lt;&gt;""),IF(K506='Historical Score'!$C$8,1,0),0)</f>
        <v>0</v>
      </c>
      <c r="AU506" s="65" t="n">
        <f aca="false">IF(AND(J506&lt;&gt;"",'Historical Score'!$C$9&lt;&gt;""),IF(J506='Historical Score'!$C$9,1,0),0)</f>
        <v>0</v>
      </c>
      <c r="AV506" s="65" t="n">
        <f aca="false">AR506*AS506*AQ506</f>
        <v>0</v>
      </c>
      <c r="AW506" s="65" t="n">
        <f aca="false">AR506*AT506*AQ506</f>
        <v>0</v>
      </c>
      <c r="AX506" s="65" t="n">
        <f aca="false">AR506*AS506</f>
        <v>1</v>
      </c>
      <c r="AY506" s="65" t="n">
        <f aca="false">AR506*AT506</f>
        <v>0</v>
      </c>
      <c r="AZ506" s="65" t="n">
        <f aca="false">AR506*AQ506</f>
        <v>0</v>
      </c>
      <c r="BA506" s="65" t="n">
        <f aca="false">AR506</f>
        <v>1</v>
      </c>
      <c r="BB506" s="65" t="n">
        <f aca="false">1</f>
        <v>1</v>
      </c>
      <c r="BC506" s="65" t="n">
        <f aca="false">IF(AV506=1,1,IF(AW506=1,2,IF(AX506=1,3,IF(AY506=1,4,IF(AZ506=1,5,IF(BA506=1,6,7))))))</f>
        <v>3</v>
      </c>
      <c r="BD506" s="65" t="n">
        <f aca="false">IF(AD506=1,CHOOSE('Historical Score'!$C$29,AV506,AW506,AX506,AY506,AZ506,BA506,BB506),0)</f>
        <v>0</v>
      </c>
      <c r="BE506" s="65" t="str">
        <f aca="false">IF(BD506=1,COUNTIF($BD$2:BD506,1),"")</f>
        <v/>
      </c>
    </row>
    <row r="507" customFormat="false" ht="15" hidden="false" customHeight="false" outlineLevel="0" collapsed="false">
      <c r="A507" s="65" t="s">
        <v>1864</v>
      </c>
      <c r="B507" s="65" t="s">
        <v>1865</v>
      </c>
      <c r="C507" s="65" t="s">
        <v>1866</v>
      </c>
      <c r="D507" s="65" t="s">
        <v>371</v>
      </c>
      <c r="E507" s="112" t="n">
        <v>46028</v>
      </c>
      <c r="F507" s="112" t="n">
        <v>46210</v>
      </c>
      <c r="G507" s="65" t="n">
        <v>3</v>
      </c>
      <c r="H507" s="65" t="s">
        <v>748</v>
      </c>
      <c r="I507" s="65" t="s">
        <v>619</v>
      </c>
      <c r="J507" s="65" t="s">
        <v>350</v>
      </c>
      <c r="K507" s="65" t="s">
        <v>961</v>
      </c>
      <c r="L507" s="65" t="s">
        <v>64</v>
      </c>
      <c r="M507" s="113" t="n">
        <v>1.42</v>
      </c>
      <c r="N507" s="114" t="n">
        <v>30000</v>
      </c>
      <c r="O507" s="114" t="n">
        <v>4350</v>
      </c>
      <c r="P507" s="114" t="n">
        <v>42600</v>
      </c>
      <c r="Q507" s="114" t="n">
        <v>42600</v>
      </c>
      <c r="R507" s="114" t="n">
        <v>0</v>
      </c>
      <c r="S507" s="115" t="n">
        <v>1</v>
      </c>
      <c r="T507" s="65" t="n">
        <v>26</v>
      </c>
      <c r="U507" s="65" t="n">
        <v>1</v>
      </c>
      <c r="V507" s="65" t="n">
        <v>48511.36</v>
      </c>
      <c r="W507" s="115" t="n">
        <v>0.1351</v>
      </c>
      <c r="X507" s="112" t="n">
        <v>45538</v>
      </c>
      <c r="Y507" s="65" t="str">
        <f aca="false">IF(I507="","No SIC",IFERROR(VLOOKUP(I507,Ref!$A$2:$B$65,2,FALSE()),"Unclassified"))</f>
        <v>Miscellaneous Retail</v>
      </c>
      <c r="Z507" s="65" t="str">
        <f aca="false">IF(T507="","",IF(T507&lt;12,"Daily","Weekly"))</f>
        <v>Weekly</v>
      </c>
      <c r="AA507" s="65" t="n">
        <f aca="false">IF(T507="",0,IF(T507&lt;12,T507*Controls!$B$29,T507*5))</f>
        <v>130</v>
      </c>
      <c r="AB507" s="65" t="n">
        <f aca="false">IF(E507="",0,NETWORKDAYS(E507,Controls!$B$36,Ref!$K$2:$K$42))</f>
        <v>162</v>
      </c>
      <c r="AC507" s="65" t="n">
        <f aca="false">IF(AND(AA507&gt;0,AB507&gt;=Controls!$B$39*AA507),1,0)</f>
        <v>0</v>
      </c>
      <c r="AD507" s="65" t="n">
        <f aca="false">IF(AND(E507&lt;&gt;"",E507&gt;=Controls!$B$37,E507&lt;=Controls!$B$38),1,0)</f>
        <v>1</v>
      </c>
      <c r="AE507" s="65" t="n">
        <f aca="false">IF(IFERROR(VLOOKUP(D507,Controls!$A$64:$E$74,2,FALSE()),"No")="Yes",1,0)</f>
        <v>0</v>
      </c>
      <c r="AF507" s="65" t="n">
        <f aca="false">IF(IFERROR(VLOOKUP(D507,Controls!$A$64:$E$74,3,FALSE()),"No")="Yes",1,0)</f>
        <v>1</v>
      </c>
      <c r="AG507" s="65" t="n">
        <f aca="false">IF(IFERROR(VLOOKUP(D507,Controls!$A$64:$E$74,4,FALSE()),"No")="Yes",1,0)</f>
        <v>1</v>
      </c>
      <c r="AH507" s="65" t="n">
        <f aca="false">IF(IFERROR(VLOOKUP(D507,Controls!$A$64:$E$74,5,FALSE()),"No")="Yes",1,0)</f>
        <v>0</v>
      </c>
      <c r="AI507" s="65" t="n">
        <f aca="false">IF(ISNUMBER(MATCH(D507,Controls!$A$64:$A$74,0)),1,0)</f>
        <v>1</v>
      </c>
      <c r="AJ507" s="65" t="n">
        <f aca="false">Q507-N507</f>
        <v>12600</v>
      </c>
      <c r="AK507" s="65" t="n">
        <f aca="false">IF(AE507=1,MAX(0,N507-Q507),0)</f>
        <v>0</v>
      </c>
      <c r="AL507" s="65" t="n">
        <f aca="false">IF(OR(V507="",V507=0),0,N507/V507)</f>
        <v>0.618411852399108</v>
      </c>
      <c r="AM507" s="65" t="n">
        <f aca="false">IF(OR(V507="",V507=0),0,1)</f>
        <v>1</v>
      </c>
      <c r="AN507" s="65" t="n">
        <f aca="false">IF(OR(E507="",F507=""),0,NETWORKDAYS(E507,F507,Ref!$K$2:$K$42))</f>
        <v>127</v>
      </c>
      <c r="AO507" s="65" t="n">
        <f aca="false">IF(L507="Renewal",1,0)</f>
        <v>0</v>
      </c>
      <c r="AP507" s="65" t="n">
        <f aca="false">AC507*AD507</f>
        <v>0</v>
      </c>
      <c r="AQ507" s="65" t="n">
        <f aca="false">IF(AND(G507&lt;&gt;"",'Historical Score'!$C$6&lt;&gt;""),IF(G507='Historical Score'!$C$6,1,0),0)</f>
        <v>0</v>
      </c>
      <c r="AR507" s="65" t="n">
        <f aca="false">IF(AND(L507&lt;&gt;"",'Historical Score'!$C$5&lt;&gt;""),IF(L507='Historical Score'!$C$5,1,0),0)</f>
        <v>1</v>
      </c>
      <c r="AS507" s="65" t="n">
        <f aca="false">IF(AND(Y507&lt;&gt;"",'Historical Score'!$C$7&lt;&gt;""),IF(Y507='Historical Score'!$C$7,1,0),0)</f>
        <v>0</v>
      </c>
      <c r="AT507" s="65" t="n">
        <f aca="false">IF(AND(K507&lt;&gt;"",'Historical Score'!$C$8&lt;&gt;""),IF(K507='Historical Score'!$C$8,1,0),0)</f>
        <v>0</v>
      </c>
      <c r="AU507" s="65" t="n">
        <f aca="false">IF(AND(J507&lt;&gt;"",'Historical Score'!$C$9&lt;&gt;""),IF(J507='Historical Score'!$C$9,1,0),0)</f>
        <v>0</v>
      </c>
      <c r="AV507" s="65" t="n">
        <f aca="false">AR507*AS507*AQ507</f>
        <v>0</v>
      </c>
      <c r="AW507" s="65" t="n">
        <f aca="false">AR507*AT507*AQ507</f>
        <v>0</v>
      </c>
      <c r="AX507" s="65" t="n">
        <f aca="false">AR507*AS507</f>
        <v>0</v>
      </c>
      <c r="AY507" s="65" t="n">
        <f aca="false">AR507*AT507</f>
        <v>0</v>
      </c>
      <c r="AZ507" s="65" t="n">
        <f aca="false">AR507*AQ507</f>
        <v>0</v>
      </c>
      <c r="BA507" s="65" t="n">
        <f aca="false">AR507</f>
        <v>1</v>
      </c>
      <c r="BB507" s="65" t="n">
        <f aca="false">1</f>
        <v>1</v>
      </c>
      <c r="BC507" s="65" t="n">
        <f aca="false">IF(AV507=1,1,IF(AW507=1,2,IF(AX507=1,3,IF(AY507=1,4,IF(AZ507=1,5,IF(BA507=1,6,7))))))</f>
        <v>6</v>
      </c>
      <c r="BD507" s="65" t="n">
        <f aca="false">IF(AD507=1,CHOOSE('Historical Score'!$C$29,AV507,AW507,AX507,AY507,AZ507,BA507,BB507),0)</f>
        <v>0</v>
      </c>
      <c r="BE507" s="65" t="str">
        <f aca="false">IF(BD507=1,COUNTIF($BD$2:BD507,1),"")</f>
        <v/>
      </c>
    </row>
    <row r="508" customFormat="false" ht="15" hidden="false" customHeight="false" outlineLevel="0" collapsed="false">
      <c r="A508" s="65" t="s">
        <v>1867</v>
      </c>
      <c r="B508" s="65" t="s">
        <v>1868</v>
      </c>
      <c r="C508" s="65" t="s">
        <v>1869</v>
      </c>
      <c r="D508" s="65" t="s">
        <v>295</v>
      </c>
      <c r="E508" s="112" t="n">
        <v>46028</v>
      </c>
      <c r="F508" s="112" t="n">
        <v>46252</v>
      </c>
      <c r="G508" s="65" t="n">
        <v>7</v>
      </c>
      <c r="H508" s="65" t="s">
        <v>1336</v>
      </c>
      <c r="I508" s="65" t="s">
        <v>379</v>
      </c>
      <c r="J508" s="65" t="s">
        <v>682</v>
      </c>
      <c r="K508" s="65" t="s">
        <v>961</v>
      </c>
      <c r="L508" s="65" t="s">
        <v>64</v>
      </c>
      <c r="M508" s="113" t="n">
        <v>1.37</v>
      </c>
      <c r="N508" s="114" t="n">
        <v>275000</v>
      </c>
      <c r="O508" s="114" t="n">
        <v>33000</v>
      </c>
      <c r="P508" s="114" t="n">
        <v>376750</v>
      </c>
      <c r="Q508" s="114" t="n">
        <v>287870.23</v>
      </c>
      <c r="R508" s="114" t="n">
        <v>88879.7700000001</v>
      </c>
      <c r="S508" s="115" t="n">
        <v>0.764088201725282</v>
      </c>
      <c r="T508" s="65" t="n">
        <v>36</v>
      </c>
      <c r="U508" s="65" t="n">
        <v>0</v>
      </c>
      <c r="V508" s="65" t="n">
        <v>1789403.57</v>
      </c>
      <c r="W508" s="115" t="n">
        <v>0.0234</v>
      </c>
      <c r="X508" s="112" t="n">
        <v>43203</v>
      </c>
      <c r="Y508" s="65" t="str">
        <f aca="false">IF(I508="","No SIC",IFERROR(VLOOKUP(I508,Ref!$A$2:$B$65,2,FALSE()),"Unclassified"))</f>
        <v>Food Stores</v>
      </c>
      <c r="Z508" s="65" t="str">
        <f aca="false">IF(T508="","",IF(T508&lt;12,"Daily","Weekly"))</f>
        <v>Weekly</v>
      </c>
      <c r="AA508" s="65" t="n">
        <f aca="false">IF(T508="",0,IF(T508&lt;12,T508*Controls!$B$29,T508*5))</f>
        <v>180</v>
      </c>
      <c r="AB508" s="65" t="n">
        <f aca="false">IF(E508="",0,NETWORKDAYS(E508,Controls!$B$36,Ref!$K$2:$K$42))</f>
        <v>162</v>
      </c>
      <c r="AC508" s="65" t="n">
        <f aca="false">IF(AND(AA508&gt;0,AB508&gt;=Controls!$B$39*AA508),1,0)</f>
        <v>0</v>
      </c>
      <c r="AD508" s="65" t="n">
        <f aca="false">IF(AND(E508&lt;&gt;"",E508&gt;=Controls!$B$37,E508&lt;=Controls!$B$38),1,0)</f>
        <v>1</v>
      </c>
      <c r="AE508" s="65" t="n">
        <f aca="false">IF(IFERROR(VLOOKUP(D508,Controls!$A$64:$E$74,2,FALSE()),"No")="Yes",1,0)</f>
        <v>0</v>
      </c>
      <c r="AF508" s="65" t="n">
        <f aca="false">IF(IFERROR(VLOOKUP(D508,Controls!$A$64:$E$74,3,FALSE()),"No")="Yes",1,0)</f>
        <v>0</v>
      </c>
      <c r="AG508" s="65" t="n">
        <f aca="false">IF(IFERROR(VLOOKUP(D508,Controls!$A$64:$E$74,4,FALSE()),"No")="Yes",1,0)</f>
        <v>0</v>
      </c>
      <c r="AH508" s="65" t="n">
        <f aca="false">IF(IFERROR(VLOOKUP(D508,Controls!$A$64:$E$74,5,FALSE()),"No")="Yes",1,0)</f>
        <v>1</v>
      </c>
      <c r="AI508" s="65" t="n">
        <f aca="false">IF(ISNUMBER(MATCH(D508,Controls!$A$64:$A$74,0)),1,0)</f>
        <v>1</v>
      </c>
      <c r="AJ508" s="65" t="n">
        <f aca="false">Q508-N508</f>
        <v>12870.23</v>
      </c>
      <c r="AK508" s="65" t="n">
        <f aca="false">IF(AE508=1,MAX(0,N508-Q508),0)</f>
        <v>0</v>
      </c>
      <c r="AL508" s="65" t="n">
        <f aca="false">IF(OR(V508="",V508=0),0,N508/V508)</f>
        <v>0.153682492094279</v>
      </c>
      <c r="AM508" s="65" t="n">
        <f aca="false">IF(OR(V508="",V508=0),0,1)</f>
        <v>1</v>
      </c>
      <c r="AN508" s="65" t="n">
        <f aca="false">IF(OR(E508="",F508=""),0,NETWORKDAYS(E508,F508,Ref!$K$2:$K$42))</f>
        <v>157</v>
      </c>
      <c r="AO508" s="65" t="n">
        <f aca="false">IF(L508="Renewal",1,0)</f>
        <v>0</v>
      </c>
      <c r="AP508" s="65" t="n">
        <f aca="false">AC508*AD508</f>
        <v>0</v>
      </c>
      <c r="AQ508" s="65" t="n">
        <f aca="false">IF(AND(G508&lt;&gt;"",'Historical Score'!$C$6&lt;&gt;""),IF(G508='Historical Score'!$C$6,1,0),0)</f>
        <v>0</v>
      </c>
      <c r="AR508" s="65" t="n">
        <f aca="false">IF(AND(L508&lt;&gt;"",'Historical Score'!$C$5&lt;&gt;""),IF(L508='Historical Score'!$C$5,1,0),0)</f>
        <v>1</v>
      </c>
      <c r="AS508" s="65" t="n">
        <f aca="false">IF(AND(Y508&lt;&gt;"",'Historical Score'!$C$7&lt;&gt;""),IF(Y508='Historical Score'!$C$7,1,0),0)</f>
        <v>0</v>
      </c>
      <c r="AT508" s="65" t="n">
        <f aca="false">IF(AND(K508&lt;&gt;"",'Historical Score'!$C$8&lt;&gt;""),IF(K508='Historical Score'!$C$8,1,0),0)</f>
        <v>0</v>
      </c>
      <c r="AU508" s="65" t="n">
        <f aca="false">IF(AND(J508&lt;&gt;"",'Historical Score'!$C$9&lt;&gt;""),IF(J508='Historical Score'!$C$9,1,0),0)</f>
        <v>0</v>
      </c>
      <c r="AV508" s="65" t="n">
        <f aca="false">AR508*AS508*AQ508</f>
        <v>0</v>
      </c>
      <c r="AW508" s="65" t="n">
        <f aca="false">AR508*AT508*AQ508</f>
        <v>0</v>
      </c>
      <c r="AX508" s="65" t="n">
        <f aca="false">AR508*AS508</f>
        <v>0</v>
      </c>
      <c r="AY508" s="65" t="n">
        <f aca="false">AR508*AT508</f>
        <v>0</v>
      </c>
      <c r="AZ508" s="65" t="n">
        <f aca="false">AR508*AQ508</f>
        <v>0</v>
      </c>
      <c r="BA508" s="65" t="n">
        <f aca="false">AR508</f>
        <v>1</v>
      </c>
      <c r="BB508" s="65" t="n">
        <f aca="false">1</f>
        <v>1</v>
      </c>
      <c r="BC508" s="65" t="n">
        <f aca="false">IF(AV508=1,1,IF(AW508=1,2,IF(AX508=1,3,IF(AY508=1,4,IF(AZ508=1,5,IF(BA508=1,6,7))))))</f>
        <v>6</v>
      </c>
      <c r="BD508" s="65" t="n">
        <f aca="false">IF(AD508=1,CHOOSE('Historical Score'!$C$29,AV508,AW508,AX508,AY508,AZ508,BA508,BB508),0)</f>
        <v>0</v>
      </c>
      <c r="BE508" s="65" t="str">
        <f aca="false">IF(BD508=1,COUNTIF($BD$2:BD508,1),"")</f>
        <v/>
      </c>
    </row>
    <row r="509" customFormat="false" ht="15" hidden="false" customHeight="false" outlineLevel="0" collapsed="false">
      <c r="A509" s="65" t="s">
        <v>1870</v>
      </c>
      <c r="B509" s="65" t="s">
        <v>1099</v>
      </c>
      <c r="C509" s="65" t="s">
        <v>1099</v>
      </c>
      <c r="D509" s="65" t="s">
        <v>533</v>
      </c>
      <c r="E509" s="112" t="n">
        <v>46029</v>
      </c>
      <c r="F509" s="112" t="n">
        <v>46251</v>
      </c>
      <c r="G509" s="65" t="n">
        <v>2</v>
      </c>
      <c r="H509" s="65" t="s">
        <v>1871</v>
      </c>
      <c r="I509" s="65" t="s">
        <v>915</v>
      </c>
      <c r="J509" s="65" t="s">
        <v>350</v>
      </c>
      <c r="K509" s="65" t="s">
        <v>476</v>
      </c>
      <c r="L509" s="65" t="s">
        <v>320</v>
      </c>
      <c r="M509" s="113" t="n">
        <v>1.49</v>
      </c>
      <c r="N509" s="114" t="n">
        <v>40000</v>
      </c>
      <c r="O509" s="114" t="n">
        <v>5600</v>
      </c>
      <c r="P509" s="114" t="n">
        <v>59600</v>
      </c>
      <c r="Q509" s="114" t="n">
        <v>11496.8</v>
      </c>
      <c r="R509" s="114" t="n">
        <v>48103.2</v>
      </c>
      <c r="S509" s="115" t="n">
        <v>0.19289932885906</v>
      </c>
      <c r="T509" s="65" t="n">
        <v>36</v>
      </c>
      <c r="U509" s="65" t="n">
        <v>21</v>
      </c>
      <c r="V509" s="65" t="n">
        <v>108901.57</v>
      </c>
      <c r="W509" s="115" t="n">
        <v>0.0608</v>
      </c>
      <c r="X509" s="112" t="n">
        <v>45497</v>
      </c>
      <c r="Y509" s="65" t="str">
        <f aca="false">IF(I509="","No SIC",IFERROR(VLOOKUP(I509,Ref!$A$2:$B$65,2,FALSE()),"Unclassified"))</f>
        <v>Transportation Services</v>
      </c>
      <c r="Z509" s="65" t="str">
        <f aca="false">IF(T509="","",IF(T509&lt;12,"Daily","Weekly"))</f>
        <v>Weekly</v>
      </c>
      <c r="AA509" s="65" t="n">
        <f aca="false">IF(T509="",0,IF(T509&lt;12,T509*Controls!$B$29,T509*5))</f>
        <v>180</v>
      </c>
      <c r="AB509" s="65" t="n">
        <f aca="false">IF(E509="",0,NETWORKDAYS(E509,Controls!$B$36,Ref!$K$2:$K$42))</f>
        <v>161</v>
      </c>
      <c r="AC509" s="65" t="n">
        <f aca="false">IF(AND(AA509&gt;0,AB509&gt;=Controls!$B$39*AA509),1,0)</f>
        <v>0</v>
      </c>
      <c r="AD509" s="65" t="n">
        <f aca="false">IF(AND(E509&lt;&gt;"",E509&gt;=Controls!$B$37,E509&lt;=Controls!$B$38),1,0)</f>
        <v>1</v>
      </c>
      <c r="AE509" s="65" t="n">
        <f aca="false">IF(IFERROR(VLOOKUP(D509,Controls!$A$64:$E$74,2,FALSE()),"No")="Yes",1,0)</f>
        <v>1</v>
      </c>
      <c r="AF509" s="65" t="n">
        <f aca="false">IF(IFERROR(VLOOKUP(D509,Controls!$A$64:$E$74,3,FALSE()),"No")="Yes",1,0)</f>
        <v>0</v>
      </c>
      <c r="AG509" s="65" t="n">
        <f aca="false">IF(IFERROR(VLOOKUP(D509,Controls!$A$64:$E$74,4,FALSE()),"No")="Yes",1,0)</f>
        <v>0</v>
      </c>
      <c r="AH509" s="65" t="n">
        <f aca="false">IF(IFERROR(VLOOKUP(D509,Controls!$A$64:$E$74,5,FALSE()),"No")="Yes",1,0)</f>
        <v>0</v>
      </c>
      <c r="AI509" s="65" t="n">
        <f aca="false">IF(ISNUMBER(MATCH(D509,Controls!$A$64:$A$74,0)),1,0)</f>
        <v>1</v>
      </c>
      <c r="AJ509" s="65" t="n">
        <f aca="false">Q509-N509</f>
        <v>-28503.2</v>
      </c>
      <c r="AK509" s="65" t="n">
        <f aca="false">IF(AE509=1,MAX(0,N509-Q509),0)</f>
        <v>28503.2</v>
      </c>
      <c r="AL509" s="65" t="n">
        <f aca="false">IF(OR(V509="",V509=0),0,N509/V509)</f>
        <v>0.367304162832547</v>
      </c>
      <c r="AM509" s="65" t="n">
        <f aca="false">IF(OR(V509="",V509=0),0,1)</f>
        <v>1</v>
      </c>
      <c r="AN509" s="65" t="n">
        <f aca="false">IF(OR(E509="",F509=""),0,NETWORKDAYS(E509,F509,Ref!$K$2:$K$42))</f>
        <v>155</v>
      </c>
      <c r="AO509" s="65" t="n">
        <f aca="false">IF(L509="Renewal",1,0)</f>
        <v>1</v>
      </c>
      <c r="AP509" s="65" t="n">
        <f aca="false">AC509*AD509</f>
        <v>0</v>
      </c>
      <c r="AQ509" s="65" t="n">
        <f aca="false">IF(AND(G509&lt;&gt;"",'Historical Score'!$C$6&lt;&gt;""),IF(G509='Historical Score'!$C$6,1,0),0)</f>
        <v>1</v>
      </c>
      <c r="AR509" s="65" t="n">
        <f aca="false">IF(AND(L509&lt;&gt;"",'Historical Score'!$C$5&lt;&gt;""),IF(L509='Historical Score'!$C$5,1,0),0)</f>
        <v>0</v>
      </c>
      <c r="AS509" s="65" t="n">
        <f aca="false">IF(AND(Y509&lt;&gt;"",'Historical Score'!$C$7&lt;&gt;""),IF(Y509='Historical Score'!$C$7,1,0),0)</f>
        <v>0</v>
      </c>
      <c r="AT509" s="65" t="n">
        <f aca="false">IF(AND(K509&lt;&gt;"",'Historical Score'!$C$8&lt;&gt;""),IF(K509='Historical Score'!$C$8,1,0),0)</f>
        <v>0</v>
      </c>
      <c r="AU509" s="65" t="n">
        <f aca="false">IF(AND(J509&lt;&gt;"",'Historical Score'!$C$9&lt;&gt;""),IF(J509='Historical Score'!$C$9,1,0),0)</f>
        <v>0</v>
      </c>
      <c r="AV509" s="65" t="n">
        <f aca="false">AR509*AS509*AQ509</f>
        <v>0</v>
      </c>
      <c r="AW509" s="65" t="n">
        <f aca="false">AR509*AT509*AQ509</f>
        <v>0</v>
      </c>
      <c r="AX509" s="65" t="n">
        <f aca="false">AR509*AS509</f>
        <v>0</v>
      </c>
      <c r="AY509" s="65" t="n">
        <f aca="false">AR509*AT509</f>
        <v>0</v>
      </c>
      <c r="AZ509" s="65" t="n">
        <f aca="false">AR509*AQ509</f>
        <v>0</v>
      </c>
      <c r="BA509" s="65" t="n">
        <f aca="false">AR509</f>
        <v>0</v>
      </c>
      <c r="BB509" s="65" t="n">
        <f aca="false">1</f>
        <v>1</v>
      </c>
      <c r="BC509" s="65" t="n">
        <f aca="false">IF(AV509=1,1,IF(AW509=1,2,IF(AX509=1,3,IF(AY509=1,4,IF(AZ509=1,5,IF(BA509=1,6,7))))))</f>
        <v>7</v>
      </c>
      <c r="BD509" s="65" t="n">
        <f aca="false">IF(AD509=1,CHOOSE('Historical Score'!$C$29,AV509,AW509,AX509,AY509,AZ509,BA509,BB509),0)</f>
        <v>0</v>
      </c>
      <c r="BE509" s="65" t="str">
        <f aca="false">IF(BD509=1,COUNTIF($BD$2:BD509,1),"")</f>
        <v/>
      </c>
    </row>
    <row r="510" customFormat="false" ht="15" hidden="false" customHeight="false" outlineLevel="0" collapsed="false">
      <c r="A510" s="65" t="s">
        <v>1872</v>
      </c>
      <c r="B510" s="65" t="s">
        <v>1873</v>
      </c>
      <c r="C510" s="65" t="s">
        <v>1873</v>
      </c>
      <c r="D510" s="65" t="s">
        <v>371</v>
      </c>
      <c r="E510" s="112" t="n">
        <v>46029</v>
      </c>
      <c r="F510" s="112" t="n">
        <v>46087</v>
      </c>
      <c r="G510" s="65" t="n">
        <v>2</v>
      </c>
      <c r="H510" s="65" t="s">
        <v>1646</v>
      </c>
      <c r="I510" s="65" t="s">
        <v>679</v>
      </c>
      <c r="J510" s="65" t="s">
        <v>350</v>
      </c>
      <c r="K510" s="65" t="s">
        <v>961</v>
      </c>
      <c r="L510" s="65" t="s">
        <v>64</v>
      </c>
      <c r="M510" s="113" t="n">
        <v>1.46</v>
      </c>
      <c r="N510" s="114" t="n">
        <v>5000</v>
      </c>
      <c r="O510" s="114" t="n">
        <v>775</v>
      </c>
      <c r="P510" s="114" t="n">
        <v>7300</v>
      </c>
      <c r="Q510" s="114" t="n">
        <v>7300</v>
      </c>
      <c r="R510" s="114" t="n">
        <v>0</v>
      </c>
      <c r="S510" s="115" t="n">
        <v>1</v>
      </c>
      <c r="T510" s="65" t="n">
        <v>1.967</v>
      </c>
      <c r="U510" s="65" t="n">
        <v>0</v>
      </c>
      <c r="V510" s="65" t="n">
        <v>18156.75</v>
      </c>
      <c r="W510" s="115" t="n">
        <v>0.2517</v>
      </c>
      <c r="X510" s="112" t="n">
        <v>40980</v>
      </c>
      <c r="Y510" s="65" t="str">
        <f aca="false">IF(I510="","No SIC",IFERROR(VLOOKUP(I510,Ref!$A$2:$B$65,2,FALSE()),"Unclassified"))</f>
        <v>Amusement &amp; Recreation Services</v>
      </c>
      <c r="Z510" s="65" t="str">
        <f aca="false">IF(T510="","",IF(T510&lt;12,"Daily","Weekly"))</f>
        <v>Daily</v>
      </c>
      <c r="AA510" s="65" t="n">
        <f aca="false">IF(T510="",0,IF(T510&lt;12,T510*Controls!$B$29,T510*5))</f>
        <v>42.595385</v>
      </c>
      <c r="AB510" s="65" t="n">
        <f aca="false">IF(E510="",0,NETWORKDAYS(E510,Controls!$B$36,Ref!$K$2:$K$42))</f>
        <v>161</v>
      </c>
      <c r="AC510" s="65" t="n">
        <f aca="false">IF(AND(AA510&gt;0,AB510&gt;=Controls!$B$39*AA510),1,0)</f>
        <v>1</v>
      </c>
      <c r="AD510" s="65" t="n">
        <f aca="false">IF(AND(E510&lt;&gt;"",E510&gt;=Controls!$B$37,E510&lt;=Controls!$B$38),1,0)</f>
        <v>1</v>
      </c>
      <c r="AE510" s="65" t="n">
        <f aca="false">IF(IFERROR(VLOOKUP(D510,Controls!$A$64:$E$74,2,FALSE()),"No")="Yes",1,0)</f>
        <v>0</v>
      </c>
      <c r="AF510" s="65" t="n">
        <f aca="false">IF(IFERROR(VLOOKUP(D510,Controls!$A$64:$E$74,3,FALSE()),"No")="Yes",1,0)</f>
        <v>1</v>
      </c>
      <c r="AG510" s="65" t="n">
        <f aca="false">IF(IFERROR(VLOOKUP(D510,Controls!$A$64:$E$74,4,FALSE()),"No")="Yes",1,0)</f>
        <v>1</v>
      </c>
      <c r="AH510" s="65" t="n">
        <f aca="false">IF(IFERROR(VLOOKUP(D510,Controls!$A$64:$E$74,5,FALSE()),"No")="Yes",1,0)</f>
        <v>0</v>
      </c>
      <c r="AI510" s="65" t="n">
        <f aca="false">IF(ISNUMBER(MATCH(D510,Controls!$A$64:$A$74,0)),1,0)</f>
        <v>1</v>
      </c>
      <c r="AJ510" s="65" t="n">
        <f aca="false">Q510-N510</f>
        <v>2300</v>
      </c>
      <c r="AK510" s="65" t="n">
        <f aca="false">IF(AE510=1,MAX(0,N510-Q510),0)</f>
        <v>0</v>
      </c>
      <c r="AL510" s="65" t="n">
        <f aca="false">IF(OR(V510="",V510=0),0,N510/V510)</f>
        <v>0.275379679733432</v>
      </c>
      <c r="AM510" s="65" t="n">
        <f aca="false">IF(OR(V510="",V510=0),0,1)</f>
        <v>1</v>
      </c>
      <c r="AN510" s="65" t="n">
        <f aca="false">IF(OR(E510="",F510=""),0,NETWORKDAYS(E510,F510,Ref!$K$2:$K$42))</f>
        <v>41</v>
      </c>
      <c r="AO510" s="65" t="n">
        <f aca="false">IF(L510="Renewal",1,0)</f>
        <v>0</v>
      </c>
      <c r="AP510" s="65" t="n">
        <f aca="false">AC510*AD510</f>
        <v>1</v>
      </c>
      <c r="AQ510" s="65" t="n">
        <f aca="false">IF(AND(G510&lt;&gt;"",'Historical Score'!$C$6&lt;&gt;""),IF(G510='Historical Score'!$C$6,1,0),0)</f>
        <v>1</v>
      </c>
      <c r="AR510" s="65" t="n">
        <f aca="false">IF(AND(L510&lt;&gt;"",'Historical Score'!$C$5&lt;&gt;""),IF(L510='Historical Score'!$C$5,1,0),0)</f>
        <v>1</v>
      </c>
      <c r="AS510" s="65" t="n">
        <f aca="false">IF(AND(Y510&lt;&gt;"",'Historical Score'!$C$7&lt;&gt;""),IF(Y510='Historical Score'!$C$7,1,0),0)</f>
        <v>0</v>
      </c>
      <c r="AT510" s="65" t="n">
        <f aca="false">IF(AND(K510&lt;&gt;"",'Historical Score'!$C$8&lt;&gt;""),IF(K510='Historical Score'!$C$8,1,0),0)</f>
        <v>0</v>
      </c>
      <c r="AU510" s="65" t="n">
        <f aca="false">IF(AND(J510&lt;&gt;"",'Historical Score'!$C$9&lt;&gt;""),IF(J510='Historical Score'!$C$9,1,0),0)</f>
        <v>0</v>
      </c>
      <c r="AV510" s="65" t="n">
        <f aca="false">AR510*AS510*AQ510</f>
        <v>0</v>
      </c>
      <c r="AW510" s="65" t="n">
        <f aca="false">AR510*AT510*AQ510</f>
        <v>0</v>
      </c>
      <c r="AX510" s="65" t="n">
        <f aca="false">AR510*AS510</f>
        <v>0</v>
      </c>
      <c r="AY510" s="65" t="n">
        <f aca="false">AR510*AT510</f>
        <v>0</v>
      </c>
      <c r="AZ510" s="65" t="n">
        <f aca="false">AR510*AQ510</f>
        <v>1</v>
      </c>
      <c r="BA510" s="65" t="n">
        <f aca="false">AR510</f>
        <v>1</v>
      </c>
      <c r="BB510" s="65" t="n">
        <f aca="false">1</f>
        <v>1</v>
      </c>
      <c r="BC510" s="65" t="n">
        <f aca="false">IF(AV510=1,1,IF(AW510=1,2,IF(AX510=1,3,IF(AY510=1,4,IF(AZ510=1,5,IF(BA510=1,6,7))))))</f>
        <v>5</v>
      </c>
      <c r="BD510" s="65" t="n">
        <f aca="false">IF(AD510=1,CHOOSE('Historical Score'!$C$29,AV510,AW510,AX510,AY510,AZ510,BA510,BB510),0)</f>
        <v>0</v>
      </c>
      <c r="BE510" s="65" t="str">
        <f aca="false">IF(BD510=1,COUNTIF($BD$2:BD510,1),"")</f>
        <v/>
      </c>
    </row>
    <row r="511" customFormat="false" ht="15" hidden="false" customHeight="false" outlineLevel="0" collapsed="false">
      <c r="A511" s="65" t="s">
        <v>1874</v>
      </c>
      <c r="B511" s="65" t="s">
        <v>1875</v>
      </c>
      <c r="C511" s="65" t="s">
        <v>1875</v>
      </c>
      <c r="D511" s="65" t="s">
        <v>371</v>
      </c>
      <c r="E511" s="112" t="n">
        <v>46029</v>
      </c>
      <c r="F511" s="112" t="n">
        <v>46129</v>
      </c>
      <c r="G511" s="65" t="n">
        <v>2</v>
      </c>
      <c r="H511" s="65" t="s">
        <v>442</v>
      </c>
      <c r="I511" s="65" t="s">
        <v>443</v>
      </c>
      <c r="J511" s="65" t="s">
        <v>373</v>
      </c>
      <c r="K511" s="65" t="s">
        <v>983</v>
      </c>
      <c r="L511" s="65" t="s">
        <v>64</v>
      </c>
      <c r="M511" s="113" t="n">
        <v>1.49</v>
      </c>
      <c r="N511" s="114" t="n">
        <v>25000</v>
      </c>
      <c r="O511" s="114" t="n">
        <v>3500</v>
      </c>
      <c r="P511" s="114" t="n">
        <v>37250</v>
      </c>
      <c r="Q511" s="114" t="n">
        <v>37250</v>
      </c>
      <c r="R511" s="114" t="n">
        <v>0</v>
      </c>
      <c r="S511" s="115" t="n">
        <v>1</v>
      </c>
      <c r="T511" s="65" t="n">
        <v>3.279</v>
      </c>
      <c r="U511" s="65" t="n">
        <v>0</v>
      </c>
      <c r="V511" s="65" t="n">
        <v>40259.29</v>
      </c>
      <c r="W511" s="115" t="n">
        <v>0.1943</v>
      </c>
      <c r="X511" s="112" t="n">
        <v>43466</v>
      </c>
      <c r="Y511" s="65" t="str">
        <f aca="false">IF(I511="","No SIC",IFERROR(VLOOKUP(I511,Ref!$A$2:$B$65,2,FALSE()),"Unclassified"))</f>
        <v>General Building Contractors</v>
      </c>
      <c r="Z511" s="65" t="str">
        <f aca="false">IF(T511="","",IF(T511&lt;12,"Daily","Weekly"))</f>
        <v>Daily</v>
      </c>
      <c r="AA511" s="65" t="n">
        <f aca="false">IF(T511="",0,IF(T511&lt;12,T511*Controls!$B$29,T511*5))</f>
        <v>71.006745</v>
      </c>
      <c r="AB511" s="65" t="n">
        <f aca="false">IF(E511="",0,NETWORKDAYS(E511,Controls!$B$36,Ref!$K$2:$K$42))</f>
        <v>161</v>
      </c>
      <c r="AC511" s="65" t="n">
        <f aca="false">IF(AND(AA511&gt;0,AB511&gt;=Controls!$B$39*AA511),1,0)</f>
        <v>1</v>
      </c>
      <c r="AD511" s="65" t="n">
        <f aca="false">IF(AND(E511&lt;&gt;"",E511&gt;=Controls!$B$37,E511&lt;=Controls!$B$38),1,0)</f>
        <v>1</v>
      </c>
      <c r="AE511" s="65" t="n">
        <f aca="false">IF(IFERROR(VLOOKUP(D511,Controls!$A$64:$E$74,2,FALSE()),"No")="Yes",1,0)</f>
        <v>0</v>
      </c>
      <c r="AF511" s="65" t="n">
        <f aca="false">IF(IFERROR(VLOOKUP(D511,Controls!$A$64:$E$74,3,FALSE()),"No")="Yes",1,0)</f>
        <v>1</v>
      </c>
      <c r="AG511" s="65" t="n">
        <f aca="false">IF(IFERROR(VLOOKUP(D511,Controls!$A$64:$E$74,4,FALSE()),"No")="Yes",1,0)</f>
        <v>1</v>
      </c>
      <c r="AH511" s="65" t="n">
        <f aca="false">IF(IFERROR(VLOOKUP(D511,Controls!$A$64:$E$74,5,FALSE()),"No")="Yes",1,0)</f>
        <v>0</v>
      </c>
      <c r="AI511" s="65" t="n">
        <f aca="false">IF(ISNUMBER(MATCH(D511,Controls!$A$64:$A$74,0)),1,0)</f>
        <v>1</v>
      </c>
      <c r="AJ511" s="65" t="n">
        <f aca="false">Q511-N511</f>
        <v>12250</v>
      </c>
      <c r="AK511" s="65" t="n">
        <f aca="false">IF(AE511=1,MAX(0,N511-Q511),0)</f>
        <v>0</v>
      </c>
      <c r="AL511" s="65" t="n">
        <f aca="false">IF(OR(V511="",V511=0),0,N511/V511)</f>
        <v>0.620974686836256</v>
      </c>
      <c r="AM511" s="65" t="n">
        <f aca="false">IF(OR(V511="",V511=0),0,1)</f>
        <v>1</v>
      </c>
      <c r="AN511" s="65" t="n">
        <f aca="false">IF(OR(E511="",F511=""),0,NETWORKDAYS(E511,F511,Ref!$K$2:$K$42))</f>
        <v>71</v>
      </c>
      <c r="AO511" s="65" t="n">
        <f aca="false">IF(L511="Renewal",1,0)</f>
        <v>0</v>
      </c>
      <c r="AP511" s="65" t="n">
        <f aca="false">AC511*AD511</f>
        <v>1</v>
      </c>
      <c r="AQ511" s="65" t="n">
        <f aca="false">IF(AND(G511&lt;&gt;"",'Historical Score'!$C$6&lt;&gt;""),IF(G511='Historical Score'!$C$6,1,0),0)</f>
        <v>1</v>
      </c>
      <c r="AR511" s="65" t="n">
        <f aca="false">IF(AND(L511&lt;&gt;"",'Historical Score'!$C$5&lt;&gt;""),IF(L511='Historical Score'!$C$5,1,0),0)</f>
        <v>1</v>
      </c>
      <c r="AS511" s="65" t="n">
        <f aca="false">IF(AND(Y511&lt;&gt;"",'Historical Score'!$C$7&lt;&gt;""),IF(Y511='Historical Score'!$C$7,1,0),0)</f>
        <v>1</v>
      </c>
      <c r="AT511" s="65" t="n">
        <f aca="false">IF(AND(K511&lt;&gt;"",'Historical Score'!$C$8&lt;&gt;""),IF(K511='Historical Score'!$C$8,1,0),0)</f>
        <v>0</v>
      </c>
      <c r="AU511" s="65" t="n">
        <f aca="false">IF(AND(J511&lt;&gt;"",'Historical Score'!$C$9&lt;&gt;""),IF(J511='Historical Score'!$C$9,1,0),0)</f>
        <v>0</v>
      </c>
      <c r="AV511" s="65" t="n">
        <f aca="false">AR511*AS511*AQ511</f>
        <v>1</v>
      </c>
      <c r="AW511" s="65" t="n">
        <f aca="false">AR511*AT511*AQ511</f>
        <v>0</v>
      </c>
      <c r="AX511" s="65" t="n">
        <f aca="false">AR511*AS511</f>
        <v>1</v>
      </c>
      <c r="AY511" s="65" t="n">
        <f aca="false">AR511*AT511</f>
        <v>0</v>
      </c>
      <c r="AZ511" s="65" t="n">
        <f aca="false">AR511*AQ511</f>
        <v>1</v>
      </c>
      <c r="BA511" s="65" t="n">
        <f aca="false">AR511</f>
        <v>1</v>
      </c>
      <c r="BB511" s="65" t="n">
        <f aca="false">1</f>
        <v>1</v>
      </c>
      <c r="BC511" s="65" t="n">
        <f aca="false">IF(AV511=1,1,IF(AW511=1,2,IF(AX511=1,3,IF(AY511=1,4,IF(AZ511=1,5,IF(BA511=1,6,7))))))</f>
        <v>1</v>
      </c>
      <c r="BD511" s="65" t="n">
        <f aca="false">IF(AD511=1,CHOOSE('Historical Score'!$C$29,AV511,AW511,AX511,AY511,AZ511,BA511,BB511),0)</f>
        <v>1</v>
      </c>
      <c r="BE511" s="65" t="n">
        <f aca="false">IF(BD511=1,COUNTIF($BD$2:BD511,1),"")</f>
        <v>22</v>
      </c>
    </row>
    <row r="512" customFormat="false" ht="15" hidden="false" customHeight="false" outlineLevel="0" collapsed="false">
      <c r="A512" s="65" t="s">
        <v>1876</v>
      </c>
      <c r="B512" s="65" t="s">
        <v>1484</v>
      </c>
      <c r="C512" s="65" t="s">
        <v>1484</v>
      </c>
      <c r="D512" s="65" t="s">
        <v>371</v>
      </c>
      <c r="E512" s="112" t="n">
        <v>46029</v>
      </c>
      <c r="F512" s="112" t="n">
        <v>46161</v>
      </c>
      <c r="G512" s="65" t="n">
        <v>3</v>
      </c>
      <c r="H512" s="65" t="s">
        <v>748</v>
      </c>
      <c r="I512" s="65" t="s">
        <v>619</v>
      </c>
      <c r="J512" s="65" t="s">
        <v>61</v>
      </c>
      <c r="K512" s="65" t="s">
        <v>765</v>
      </c>
      <c r="L512" s="65" t="s">
        <v>320</v>
      </c>
      <c r="M512" s="113" t="n">
        <v>1.49</v>
      </c>
      <c r="N512" s="114" t="n">
        <v>15000</v>
      </c>
      <c r="O512" s="114" t="n">
        <v>2100</v>
      </c>
      <c r="P512" s="114" t="n">
        <v>22350</v>
      </c>
      <c r="Q512" s="114" t="n">
        <v>22350</v>
      </c>
      <c r="R512" s="114" t="n">
        <v>0</v>
      </c>
      <c r="S512" s="115" t="n">
        <v>1</v>
      </c>
      <c r="T512" s="65" t="n">
        <v>4.098</v>
      </c>
      <c r="U512" s="65" t="n">
        <v>4</v>
      </c>
      <c r="V512" s="65" t="n">
        <v>38438.18</v>
      </c>
      <c r="W512" s="115" t="n">
        <v>0.0977</v>
      </c>
      <c r="X512" s="112" t="n">
        <v>44562</v>
      </c>
      <c r="Y512" s="65" t="str">
        <f aca="false">IF(I512="","No SIC",IFERROR(VLOOKUP(I512,Ref!$A$2:$B$65,2,FALSE()),"Unclassified"))</f>
        <v>Miscellaneous Retail</v>
      </c>
      <c r="Z512" s="65" t="str">
        <f aca="false">IF(T512="","",IF(T512&lt;12,"Daily","Weekly"))</f>
        <v>Daily</v>
      </c>
      <c r="AA512" s="65" t="n">
        <f aca="false">IF(T512="",0,IF(T512&lt;12,T512*Controls!$B$29,T512*5))</f>
        <v>88.74219</v>
      </c>
      <c r="AB512" s="65" t="n">
        <f aca="false">IF(E512="",0,NETWORKDAYS(E512,Controls!$B$36,Ref!$K$2:$K$42))</f>
        <v>161</v>
      </c>
      <c r="AC512" s="65" t="n">
        <f aca="false">IF(AND(AA512&gt;0,AB512&gt;=Controls!$B$39*AA512),1,0)</f>
        <v>1</v>
      </c>
      <c r="AD512" s="65" t="n">
        <f aca="false">IF(AND(E512&lt;&gt;"",E512&gt;=Controls!$B$37,E512&lt;=Controls!$B$38),1,0)</f>
        <v>1</v>
      </c>
      <c r="AE512" s="65" t="n">
        <f aca="false">IF(IFERROR(VLOOKUP(D512,Controls!$A$64:$E$74,2,FALSE()),"No")="Yes",1,0)</f>
        <v>0</v>
      </c>
      <c r="AF512" s="65" t="n">
        <f aca="false">IF(IFERROR(VLOOKUP(D512,Controls!$A$64:$E$74,3,FALSE()),"No")="Yes",1,0)</f>
        <v>1</v>
      </c>
      <c r="AG512" s="65" t="n">
        <f aca="false">IF(IFERROR(VLOOKUP(D512,Controls!$A$64:$E$74,4,FALSE()),"No")="Yes",1,0)</f>
        <v>1</v>
      </c>
      <c r="AH512" s="65" t="n">
        <f aca="false">IF(IFERROR(VLOOKUP(D512,Controls!$A$64:$E$74,5,FALSE()),"No")="Yes",1,0)</f>
        <v>0</v>
      </c>
      <c r="AI512" s="65" t="n">
        <f aca="false">IF(ISNUMBER(MATCH(D512,Controls!$A$64:$A$74,0)),1,0)</f>
        <v>1</v>
      </c>
      <c r="AJ512" s="65" t="n">
        <f aca="false">Q512-N512</f>
        <v>7350</v>
      </c>
      <c r="AK512" s="65" t="n">
        <f aca="false">IF(AE512=1,MAX(0,N512-Q512),0)</f>
        <v>0</v>
      </c>
      <c r="AL512" s="65" t="n">
        <f aca="false">IF(OR(V512="",V512=0),0,N512/V512)</f>
        <v>0.390236998734071</v>
      </c>
      <c r="AM512" s="65" t="n">
        <f aca="false">IF(OR(V512="",V512=0),0,1)</f>
        <v>1</v>
      </c>
      <c r="AN512" s="65" t="n">
        <f aca="false">IF(OR(E512="",F512=""),0,NETWORKDAYS(E512,F512,Ref!$K$2:$K$42))</f>
        <v>93</v>
      </c>
      <c r="AO512" s="65" t="n">
        <f aca="false">IF(L512="Renewal",1,0)</f>
        <v>1</v>
      </c>
      <c r="AP512" s="65" t="n">
        <f aca="false">AC512*AD512</f>
        <v>1</v>
      </c>
      <c r="AQ512" s="65" t="n">
        <f aca="false">IF(AND(G512&lt;&gt;"",'Historical Score'!$C$6&lt;&gt;""),IF(G512='Historical Score'!$C$6,1,0),0)</f>
        <v>0</v>
      </c>
      <c r="AR512" s="65" t="n">
        <f aca="false">IF(AND(L512&lt;&gt;"",'Historical Score'!$C$5&lt;&gt;""),IF(L512='Historical Score'!$C$5,1,0),0)</f>
        <v>0</v>
      </c>
      <c r="AS512" s="65" t="n">
        <f aca="false">IF(AND(Y512&lt;&gt;"",'Historical Score'!$C$7&lt;&gt;""),IF(Y512='Historical Score'!$C$7,1,0),0)</f>
        <v>0</v>
      </c>
      <c r="AT512" s="65" t="n">
        <f aca="false">IF(AND(K512&lt;&gt;"",'Historical Score'!$C$8&lt;&gt;""),IF(K512='Historical Score'!$C$8,1,0),0)</f>
        <v>0</v>
      </c>
      <c r="AU512" s="65" t="n">
        <f aca="false">IF(AND(J512&lt;&gt;"",'Historical Score'!$C$9&lt;&gt;""),IF(J512='Historical Score'!$C$9,1,0),0)</f>
        <v>1</v>
      </c>
      <c r="AV512" s="65" t="n">
        <f aca="false">AR512*AS512*AQ512</f>
        <v>0</v>
      </c>
      <c r="AW512" s="65" t="n">
        <f aca="false">AR512*AT512*AQ512</f>
        <v>0</v>
      </c>
      <c r="AX512" s="65" t="n">
        <f aca="false">AR512*AS512</f>
        <v>0</v>
      </c>
      <c r="AY512" s="65" t="n">
        <f aca="false">AR512*AT512</f>
        <v>0</v>
      </c>
      <c r="AZ512" s="65" t="n">
        <f aca="false">AR512*AQ512</f>
        <v>0</v>
      </c>
      <c r="BA512" s="65" t="n">
        <f aca="false">AR512</f>
        <v>0</v>
      </c>
      <c r="BB512" s="65" t="n">
        <f aca="false">1</f>
        <v>1</v>
      </c>
      <c r="BC512" s="65" t="n">
        <f aca="false">IF(AV512=1,1,IF(AW512=1,2,IF(AX512=1,3,IF(AY512=1,4,IF(AZ512=1,5,IF(BA512=1,6,7))))))</f>
        <v>7</v>
      </c>
      <c r="BD512" s="65" t="n">
        <f aca="false">IF(AD512=1,CHOOSE('Historical Score'!$C$29,AV512,AW512,AX512,AY512,AZ512,BA512,BB512),0)</f>
        <v>0</v>
      </c>
      <c r="BE512" s="65" t="str">
        <f aca="false">IF(BD512=1,COUNTIF($BD$2:BD512,1),"")</f>
        <v/>
      </c>
    </row>
    <row r="513" customFormat="false" ht="15" hidden="false" customHeight="false" outlineLevel="0" collapsed="false">
      <c r="A513" s="65" t="s">
        <v>1877</v>
      </c>
      <c r="B513" s="65" t="s">
        <v>1878</v>
      </c>
      <c r="C513" s="65" t="s">
        <v>1879</v>
      </c>
      <c r="D513" s="65" t="s">
        <v>340</v>
      </c>
      <c r="E513" s="112" t="n">
        <v>46030</v>
      </c>
      <c r="F513" s="112" t="n">
        <v>46128</v>
      </c>
      <c r="G513" s="65" t="n">
        <v>2</v>
      </c>
      <c r="H513" s="65" t="s">
        <v>637</v>
      </c>
      <c r="I513" s="65" t="s">
        <v>484</v>
      </c>
      <c r="J513" s="65" t="s">
        <v>772</v>
      </c>
      <c r="K513" s="65" t="s">
        <v>1880</v>
      </c>
      <c r="L513" s="65" t="s">
        <v>64</v>
      </c>
      <c r="M513" s="113" t="n">
        <v>1.5</v>
      </c>
      <c r="N513" s="114" t="n">
        <v>150000</v>
      </c>
      <c r="O513" s="114" t="n">
        <v>21000</v>
      </c>
      <c r="P513" s="114" t="n">
        <v>225000</v>
      </c>
      <c r="Q513" s="114" t="n">
        <v>78903.96</v>
      </c>
      <c r="R513" s="114" t="n">
        <v>146096.04</v>
      </c>
      <c r="S513" s="115" t="n">
        <v>0.350684266666667</v>
      </c>
      <c r="T513" s="65" t="n">
        <v>34</v>
      </c>
      <c r="U513" s="65" t="n">
        <v>2</v>
      </c>
      <c r="V513" s="65" t="n">
        <v>220278.97</v>
      </c>
      <c r="W513" s="115" t="n">
        <v>0.1194</v>
      </c>
      <c r="X513" s="112" t="n">
        <v>43817</v>
      </c>
      <c r="Y513" s="65" t="str">
        <f aca="false">IF(I513="","No SIC",IFERROR(VLOOKUP(I513,Ref!$A$2:$B$65,2,FALSE()),"Unclassified"))</f>
        <v>Special Trade Contractors</v>
      </c>
      <c r="Z513" s="65" t="str">
        <f aca="false">IF(T513="","",IF(T513&lt;12,"Daily","Weekly"))</f>
        <v>Weekly</v>
      </c>
      <c r="AA513" s="65" t="n">
        <f aca="false">IF(T513="",0,IF(T513&lt;12,T513*Controls!$B$29,T513*5))</f>
        <v>170</v>
      </c>
      <c r="AB513" s="65" t="n">
        <f aca="false">IF(E513="",0,NETWORKDAYS(E513,Controls!$B$36,Ref!$K$2:$K$42))</f>
        <v>160</v>
      </c>
      <c r="AC513" s="65" t="n">
        <f aca="false">IF(AND(AA513&gt;0,AB513&gt;=Controls!$B$39*AA513),1,0)</f>
        <v>0</v>
      </c>
      <c r="AD513" s="65" t="n">
        <f aca="false">IF(AND(E513&lt;&gt;"",E513&gt;=Controls!$B$37,E513&lt;=Controls!$B$38),1,0)</f>
        <v>1</v>
      </c>
      <c r="AE513" s="65" t="n">
        <f aca="false">IF(IFERROR(VLOOKUP(D513,Controls!$A$64:$E$74,2,FALSE()),"No")="Yes",1,0)</f>
        <v>1</v>
      </c>
      <c r="AF513" s="65" t="n">
        <f aca="false">IF(IFERROR(VLOOKUP(D513,Controls!$A$64:$E$74,3,FALSE()),"No")="Yes",1,0)</f>
        <v>0</v>
      </c>
      <c r="AG513" s="65" t="n">
        <f aca="false">IF(IFERROR(VLOOKUP(D513,Controls!$A$64:$E$74,4,FALSE()),"No")="Yes",1,0)</f>
        <v>0</v>
      </c>
      <c r="AH513" s="65" t="n">
        <f aca="false">IF(IFERROR(VLOOKUP(D513,Controls!$A$64:$E$74,5,FALSE()),"No")="Yes",1,0)</f>
        <v>0</v>
      </c>
      <c r="AI513" s="65" t="n">
        <f aca="false">IF(ISNUMBER(MATCH(D513,Controls!$A$64:$A$74,0)),1,0)</f>
        <v>1</v>
      </c>
      <c r="AJ513" s="65" t="n">
        <f aca="false">Q513-N513</f>
        <v>-71096.04</v>
      </c>
      <c r="AK513" s="65" t="n">
        <f aca="false">IF(AE513=1,MAX(0,N513-Q513),0)</f>
        <v>71096.04</v>
      </c>
      <c r="AL513" s="65" t="n">
        <f aca="false">IF(OR(V513="",V513=0),0,N513/V513)</f>
        <v>0.680954700305708</v>
      </c>
      <c r="AM513" s="65" t="n">
        <f aca="false">IF(OR(V513="",V513=0),0,1)</f>
        <v>1</v>
      </c>
      <c r="AN513" s="65" t="n">
        <f aca="false">IF(OR(E513="",F513=""),0,NETWORKDAYS(E513,F513,Ref!$K$2:$K$42))</f>
        <v>69</v>
      </c>
      <c r="AO513" s="65" t="n">
        <f aca="false">IF(L513="Renewal",1,0)</f>
        <v>0</v>
      </c>
      <c r="AP513" s="65" t="n">
        <f aca="false">AC513*AD513</f>
        <v>0</v>
      </c>
      <c r="AQ513" s="65" t="n">
        <f aca="false">IF(AND(G513&lt;&gt;"",'Historical Score'!$C$6&lt;&gt;""),IF(G513='Historical Score'!$C$6,1,0),0)</f>
        <v>1</v>
      </c>
      <c r="AR513" s="65" t="n">
        <f aca="false">IF(AND(L513&lt;&gt;"",'Historical Score'!$C$5&lt;&gt;""),IF(L513='Historical Score'!$C$5,1,0),0)</f>
        <v>1</v>
      </c>
      <c r="AS513" s="65" t="n">
        <f aca="false">IF(AND(Y513&lt;&gt;"",'Historical Score'!$C$7&lt;&gt;""),IF(Y513='Historical Score'!$C$7,1,0),0)</f>
        <v>0</v>
      </c>
      <c r="AT513" s="65" t="n">
        <f aca="false">IF(AND(K513&lt;&gt;"",'Historical Score'!$C$8&lt;&gt;""),IF(K513='Historical Score'!$C$8,1,0),0)</f>
        <v>0</v>
      </c>
      <c r="AU513" s="65" t="n">
        <f aca="false">IF(AND(J513&lt;&gt;"",'Historical Score'!$C$9&lt;&gt;""),IF(J513='Historical Score'!$C$9,1,0),0)</f>
        <v>0</v>
      </c>
      <c r="AV513" s="65" t="n">
        <f aca="false">AR513*AS513*AQ513</f>
        <v>0</v>
      </c>
      <c r="AW513" s="65" t="n">
        <f aca="false">AR513*AT513*AQ513</f>
        <v>0</v>
      </c>
      <c r="AX513" s="65" t="n">
        <f aca="false">AR513*AS513</f>
        <v>0</v>
      </c>
      <c r="AY513" s="65" t="n">
        <f aca="false">AR513*AT513</f>
        <v>0</v>
      </c>
      <c r="AZ513" s="65" t="n">
        <f aca="false">AR513*AQ513</f>
        <v>1</v>
      </c>
      <c r="BA513" s="65" t="n">
        <f aca="false">AR513</f>
        <v>1</v>
      </c>
      <c r="BB513" s="65" t="n">
        <f aca="false">1</f>
        <v>1</v>
      </c>
      <c r="BC513" s="65" t="n">
        <f aca="false">IF(AV513=1,1,IF(AW513=1,2,IF(AX513=1,3,IF(AY513=1,4,IF(AZ513=1,5,IF(BA513=1,6,7))))))</f>
        <v>5</v>
      </c>
      <c r="BD513" s="65" t="n">
        <f aca="false">IF(AD513=1,CHOOSE('Historical Score'!$C$29,AV513,AW513,AX513,AY513,AZ513,BA513,BB513),0)</f>
        <v>0</v>
      </c>
      <c r="BE513" s="65" t="str">
        <f aca="false">IF(BD513=1,COUNTIF($BD$2:BD513,1),"")</f>
        <v/>
      </c>
    </row>
    <row r="514" customFormat="false" ht="15" hidden="false" customHeight="false" outlineLevel="0" collapsed="false">
      <c r="A514" s="65" t="s">
        <v>1881</v>
      </c>
      <c r="B514" s="65" t="s">
        <v>1157</v>
      </c>
      <c r="C514" s="65" t="s">
        <v>1157</v>
      </c>
      <c r="D514" s="65" t="s">
        <v>533</v>
      </c>
      <c r="E514" s="112" t="n">
        <v>46030</v>
      </c>
      <c r="F514" s="112" t="n">
        <v>46172</v>
      </c>
      <c r="G514" s="65" t="n">
        <v>2</v>
      </c>
      <c r="H514" s="65" t="s">
        <v>442</v>
      </c>
      <c r="I514" s="65" t="s">
        <v>443</v>
      </c>
      <c r="J514" s="65" t="s">
        <v>510</v>
      </c>
      <c r="K514" s="65" t="s">
        <v>893</v>
      </c>
      <c r="L514" s="65" t="s">
        <v>320</v>
      </c>
      <c r="M514" s="113" t="n">
        <v>1.49</v>
      </c>
      <c r="N514" s="114" t="n">
        <v>20000</v>
      </c>
      <c r="O514" s="114" t="n">
        <v>2800</v>
      </c>
      <c r="P514" s="114" t="n">
        <v>29800</v>
      </c>
      <c r="Q514" s="114" t="n">
        <v>3538.75</v>
      </c>
      <c r="R514" s="114" t="n">
        <v>26261.25</v>
      </c>
      <c r="S514" s="115" t="n">
        <v>0.11875</v>
      </c>
      <c r="T514" s="65" t="n">
        <v>2.951</v>
      </c>
      <c r="U514" s="65" t="n">
        <v>5</v>
      </c>
      <c r="V514" s="65" t="n">
        <v>81491.69</v>
      </c>
      <c r="W514" s="115" t="n">
        <v>0.0853</v>
      </c>
      <c r="X514" s="112" t="n">
        <v>45292</v>
      </c>
      <c r="Y514" s="65" t="str">
        <f aca="false">IF(I514="","No SIC",IFERROR(VLOOKUP(I514,Ref!$A$2:$B$65,2,FALSE()),"Unclassified"))</f>
        <v>General Building Contractors</v>
      </c>
      <c r="Z514" s="65" t="str">
        <f aca="false">IF(T514="","",IF(T514&lt;12,"Daily","Weekly"))</f>
        <v>Daily</v>
      </c>
      <c r="AA514" s="65" t="n">
        <f aca="false">IF(T514="",0,IF(T514&lt;12,T514*Controls!$B$29,T514*5))</f>
        <v>63.903905</v>
      </c>
      <c r="AB514" s="65" t="n">
        <f aca="false">IF(E514="",0,NETWORKDAYS(E514,Controls!$B$36,Ref!$K$2:$K$42))</f>
        <v>160</v>
      </c>
      <c r="AC514" s="65" t="n">
        <f aca="false">IF(AND(AA514&gt;0,AB514&gt;=Controls!$B$39*AA514),1,0)</f>
        <v>1</v>
      </c>
      <c r="AD514" s="65" t="n">
        <f aca="false">IF(AND(E514&lt;&gt;"",E514&gt;=Controls!$B$37,E514&lt;=Controls!$B$38),1,0)</f>
        <v>1</v>
      </c>
      <c r="AE514" s="65" t="n">
        <f aca="false">IF(IFERROR(VLOOKUP(D514,Controls!$A$64:$E$74,2,FALSE()),"No")="Yes",1,0)</f>
        <v>1</v>
      </c>
      <c r="AF514" s="65" t="n">
        <f aca="false">IF(IFERROR(VLOOKUP(D514,Controls!$A$64:$E$74,3,FALSE()),"No")="Yes",1,0)</f>
        <v>0</v>
      </c>
      <c r="AG514" s="65" t="n">
        <f aca="false">IF(IFERROR(VLOOKUP(D514,Controls!$A$64:$E$74,4,FALSE()),"No")="Yes",1,0)</f>
        <v>0</v>
      </c>
      <c r="AH514" s="65" t="n">
        <f aca="false">IF(IFERROR(VLOOKUP(D514,Controls!$A$64:$E$74,5,FALSE()),"No")="Yes",1,0)</f>
        <v>0</v>
      </c>
      <c r="AI514" s="65" t="n">
        <f aca="false">IF(ISNUMBER(MATCH(D514,Controls!$A$64:$A$74,0)),1,0)</f>
        <v>1</v>
      </c>
      <c r="AJ514" s="65" t="n">
        <f aca="false">Q514-N514</f>
        <v>-16461.25</v>
      </c>
      <c r="AK514" s="65" t="n">
        <f aca="false">IF(AE514=1,MAX(0,N514-Q514),0)</f>
        <v>16461.25</v>
      </c>
      <c r="AL514" s="65" t="n">
        <f aca="false">IF(OR(V514="",V514=0),0,N514/V514)</f>
        <v>0.245423797199445</v>
      </c>
      <c r="AM514" s="65" t="n">
        <f aca="false">IF(OR(V514="",V514=0),0,1)</f>
        <v>1</v>
      </c>
      <c r="AN514" s="65" t="n">
        <f aca="false">IF(OR(E514="",F514=""),0,NETWORKDAYS(E514,F514,Ref!$K$2:$K$42))</f>
        <v>99</v>
      </c>
      <c r="AO514" s="65" t="n">
        <f aca="false">IF(L514="Renewal",1,0)</f>
        <v>1</v>
      </c>
      <c r="AP514" s="65" t="n">
        <f aca="false">AC514*AD514</f>
        <v>1</v>
      </c>
      <c r="AQ514" s="65" t="n">
        <f aca="false">IF(AND(G514&lt;&gt;"",'Historical Score'!$C$6&lt;&gt;""),IF(G514='Historical Score'!$C$6,1,0),0)</f>
        <v>1</v>
      </c>
      <c r="AR514" s="65" t="n">
        <f aca="false">IF(AND(L514&lt;&gt;"",'Historical Score'!$C$5&lt;&gt;""),IF(L514='Historical Score'!$C$5,1,0),0)</f>
        <v>0</v>
      </c>
      <c r="AS514" s="65" t="n">
        <f aca="false">IF(AND(Y514&lt;&gt;"",'Historical Score'!$C$7&lt;&gt;""),IF(Y514='Historical Score'!$C$7,1,0),0)</f>
        <v>1</v>
      </c>
      <c r="AT514" s="65" t="n">
        <f aca="false">IF(AND(K514&lt;&gt;"",'Historical Score'!$C$8&lt;&gt;""),IF(K514='Historical Score'!$C$8,1,0),0)</f>
        <v>0</v>
      </c>
      <c r="AU514" s="65" t="n">
        <f aca="false">IF(AND(J514&lt;&gt;"",'Historical Score'!$C$9&lt;&gt;""),IF(J514='Historical Score'!$C$9,1,0),0)</f>
        <v>0</v>
      </c>
      <c r="AV514" s="65" t="n">
        <f aca="false">AR514*AS514*AQ514</f>
        <v>0</v>
      </c>
      <c r="AW514" s="65" t="n">
        <f aca="false">AR514*AT514*AQ514</f>
        <v>0</v>
      </c>
      <c r="AX514" s="65" t="n">
        <f aca="false">AR514*AS514</f>
        <v>0</v>
      </c>
      <c r="AY514" s="65" t="n">
        <f aca="false">AR514*AT514</f>
        <v>0</v>
      </c>
      <c r="AZ514" s="65" t="n">
        <f aca="false">AR514*AQ514</f>
        <v>0</v>
      </c>
      <c r="BA514" s="65" t="n">
        <f aca="false">AR514</f>
        <v>0</v>
      </c>
      <c r="BB514" s="65" t="n">
        <f aca="false">1</f>
        <v>1</v>
      </c>
      <c r="BC514" s="65" t="n">
        <f aca="false">IF(AV514=1,1,IF(AW514=1,2,IF(AX514=1,3,IF(AY514=1,4,IF(AZ514=1,5,IF(BA514=1,6,7))))))</f>
        <v>7</v>
      </c>
      <c r="BD514" s="65" t="n">
        <f aca="false">IF(AD514=1,CHOOSE('Historical Score'!$C$29,AV514,AW514,AX514,AY514,AZ514,BA514,BB514),0)</f>
        <v>0</v>
      </c>
      <c r="BE514" s="65" t="str">
        <f aca="false">IF(BD514=1,COUNTIF($BD$2:BD514,1),"")</f>
        <v/>
      </c>
    </row>
    <row r="515" customFormat="false" ht="15" hidden="false" customHeight="false" outlineLevel="0" collapsed="false">
      <c r="A515" s="65" t="s">
        <v>1882</v>
      </c>
      <c r="B515" s="65" t="s">
        <v>1883</v>
      </c>
      <c r="C515" s="65" t="s">
        <v>1884</v>
      </c>
      <c r="D515" s="65" t="s">
        <v>340</v>
      </c>
      <c r="E515" s="112" t="n">
        <v>46030</v>
      </c>
      <c r="F515" s="112" t="n">
        <v>46202</v>
      </c>
      <c r="G515" s="65" t="n">
        <v>2</v>
      </c>
      <c r="J515" s="65" t="s">
        <v>373</v>
      </c>
      <c r="K515" s="65" t="s">
        <v>961</v>
      </c>
      <c r="L515" s="65" t="s">
        <v>64</v>
      </c>
      <c r="M515" s="113" t="n">
        <v>1.49</v>
      </c>
      <c r="N515" s="114" t="n">
        <v>53000</v>
      </c>
      <c r="O515" s="114" t="n">
        <v>8745</v>
      </c>
      <c r="P515" s="114" t="n">
        <v>78970</v>
      </c>
      <c r="Q515" s="114" t="n">
        <v>15870.06</v>
      </c>
      <c r="R515" s="114" t="n">
        <v>63099.94</v>
      </c>
      <c r="S515" s="115" t="n">
        <v>0.200963150563505</v>
      </c>
      <c r="T515" s="65" t="n">
        <v>48</v>
      </c>
      <c r="U515" s="65" t="n">
        <v>1</v>
      </c>
      <c r="V515" s="65" t="n">
        <v>72387.47</v>
      </c>
      <c r="W515" s="115" t="n">
        <v>0.0909</v>
      </c>
      <c r="X515" s="112" t="n">
        <v>32748</v>
      </c>
      <c r="Y515" s="65" t="str">
        <f aca="false">IF(I515="","No SIC",IFERROR(VLOOKUP(I515,Ref!$A$2:$B$65,2,FALSE()),"Unclassified"))</f>
        <v>No SIC</v>
      </c>
      <c r="Z515" s="65" t="str">
        <f aca="false">IF(T515="","",IF(T515&lt;12,"Daily","Weekly"))</f>
        <v>Weekly</v>
      </c>
      <c r="AA515" s="65" t="n">
        <f aca="false">IF(T515="",0,IF(T515&lt;12,T515*Controls!$B$29,T515*5))</f>
        <v>240</v>
      </c>
      <c r="AB515" s="65" t="n">
        <f aca="false">IF(E515="",0,NETWORKDAYS(E515,Controls!$B$36,Ref!$K$2:$K$42))</f>
        <v>160</v>
      </c>
      <c r="AC515" s="65" t="n">
        <f aca="false">IF(AND(AA515&gt;0,AB515&gt;=Controls!$B$39*AA515),1,0)</f>
        <v>0</v>
      </c>
      <c r="AD515" s="65" t="n">
        <f aca="false">IF(AND(E515&lt;&gt;"",E515&gt;=Controls!$B$37,E515&lt;=Controls!$B$38),1,0)</f>
        <v>1</v>
      </c>
      <c r="AE515" s="65" t="n">
        <f aca="false">IF(IFERROR(VLOOKUP(D515,Controls!$A$64:$E$74,2,FALSE()),"No")="Yes",1,0)</f>
        <v>1</v>
      </c>
      <c r="AF515" s="65" t="n">
        <f aca="false">IF(IFERROR(VLOOKUP(D515,Controls!$A$64:$E$74,3,FALSE()),"No")="Yes",1,0)</f>
        <v>0</v>
      </c>
      <c r="AG515" s="65" t="n">
        <f aca="false">IF(IFERROR(VLOOKUP(D515,Controls!$A$64:$E$74,4,FALSE()),"No")="Yes",1,0)</f>
        <v>0</v>
      </c>
      <c r="AH515" s="65" t="n">
        <f aca="false">IF(IFERROR(VLOOKUP(D515,Controls!$A$64:$E$74,5,FALSE()),"No")="Yes",1,0)</f>
        <v>0</v>
      </c>
      <c r="AI515" s="65" t="n">
        <f aca="false">IF(ISNUMBER(MATCH(D515,Controls!$A$64:$A$74,0)),1,0)</f>
        <v>1</v>
      </c>
      <c r="AJ515" s="65" t="n">
        <f aca="false">Q515-N515</f>
        <v>-37129.94</v>
      </c>
      <c r="AK515" s="65" t="n">
        <f aca="false">IF(AE515=1,MAX(0,N515-Q515),0)</f>
        <v>37129.94</v>
      </c>
      <c r="AL515" s="65" t="n">
        <f aca="false">IF(OR(V515="",V515=0),0,N515/V515)</f>
        <v>0.732170913004695</v>
      </c>
      <c r="AM515" s="65" t="n">
        <f aca="false">IF(OR(V515="",V515=0),0,1)</f>
        <v>1</v>
      </c>
      <c r="AN515" s="65" t="n">
        <f aca="false">IF(OR(E515="",F515=""),0,NETWORKDAYS(E515,F515,Ref!$K$2:$K$42))</f>
        <v>119</v>
      </c>
      <c r="AO515" s="65" t="n">
        <f aca="false">IF(L515="Renewal",1,0)</f>
        <v>0</v>
      </c>
      <c r="AP515" s="65" t="n">
        <f aca="false">AC515*AD515</f>
        <v>0</v>
      </c>
      <c r="AQ515" s="65" t="n">
        <f aca="false">IF(AND(G515&lt;&gt;"",'Historical Score'!$C$6&lt;&gt;""),IF(G515='Historical Score'!$C$6,1,0),0)</f>
        <v>1</v>
      </c>
      <c r="AR515" s="65" t="n">
        <f aca="false">IF(AND(L515&lt;&gt;"",'Historical Score'!$C$5&lt;&gt;""),IF(L515='Historical Score'!$C$5,1,0),0)</f>
        <v>1</v>
      </c>
      <c r="AS515" s="65" t="n">
        <f aca="false">IF(AND(Y515&lt;&gt;"",'Historical Score'!$C$7&lt;&gt;""),IF(Y515='Historical Score'!$C$7,1,0),0)</f>
        <v>0</v>
      </c>
      <c r="AT515" s="65" t="n">
        <f aca="false">IF(AND(K515&lt;&gt;"",'Historical Score'!$C$8&lt;&gt;""),IF(K515='Historical Score'!$C$8,1,0),0)</f>
        <v>0</v>
      </c>
      <c r="AU515" s="65" t="n">
        <f aca="false">IF(AND(J515&lt;&gt;"",'Historical Score'!$C$9&lt;&gt;""),IF(J515='Historical Score'!$C$9,1,0),0)</f>
        <v>0</v>
      </c>
      <c r="AV515" s="65" t="n">
        <f aca="false">AR515*AS515*AQ515</f>
        <v>0</v>
      </c>
      <c r="AW515" s="65" t="n">
        <f aca="false">AR515*AT515*AQ515</f>
        <v>0</v>
      </c>
      <c r="AX515" s="65" t="n">
        <f aca="false">AR515*AS515</f>
        <v>0</v>
      </c>
      <c r="AY515" s="65" t="n">
        <f aca="false">AR515*AT515</f>
        <v>0</v>
      </c>
      <c r="AZ515" s="65" t="n">
        <f aca="false">AR515*AQ515</f>
        <v>1</v>
      </c>
      <c r="BA515" s="65" t="n">
        <f aca="false">AR515</f>
        <v>1</v>
      </c>
      <c r="BB515" s="65" t="n">
        <f aca="false">1</f>
        <v>1</v>
      </c>
      <c r="BC515" s="65" t="n">
        <f aca="false">IF(AV515=1,1,IF(AW515=1,2,IF(AX515=1,3,IF(AY515=1,4,IF(AZ515=1,5,IF(BA515=1,6,7))))))</f>
        <v>5</v>
      </c>
      <c r="BD515" s="65" t="n">
        <f aca="false">IF(AD515=1,CHOOSE('Historical Score'!$C$29,AV515,AW515,AX515,AY515,AZ515,BA515,BB515),0)</f>
        <v>0</v>
      </c>
      <c r="BE515" s="65" t="str">
        <f aca="false">IF(BD515=1,COUNTIF($BD$2:BD515,1),"")</f>
        <v/>
      </c>
    </row>
    <row r="516" customFormat="false" ht="15" hidden="false" customHeight="false" outlineLevel="0" collapsed="false">
      <c r="A516" s="65" t="s">
        <v>1885</v>
      </c>
      <c r="B516" s="65" t="s">
        <v>1164</v>
      </c>
      <c r="C516" s="65" t="s">
        <v>1164</v>
      </c>
      <c r="D516" s="65" t="s">
        <v>371</v>
      </c>
      <c r="E516" s="112" t="n">
        <v>46030</v>
      </c>
      <c r="F516" s="112" t="n">
        <v>46111</v>
      </c>
      <c r="G516" s="65" t="n">
        <v>4</v>
      </c>
      <c r="H516" s="65" t="s">
        <v>748</v>
      </c>
      <c r="I516" s="65" t="s">
        <v>619</v>
      </c>
      <c r="J516" s="65" t="s">
        <v>350</v>
      </c>
      <c r="K516" s="65" t="s">
        <v>1047</v>
      </c>
      <c r="L516" s="65" t="s">
        <v>320</v>
      </c>
      <c r="M516" s="113" t="n">
        <v>1.49</v>
      </c>
      <c r="N516" s="114" t="n">
        <v>11000</v>
      </c>
      <c r="O516" s="114" t="n">
        <v>1540</v>
      </c>
      <c r="P516" s="114" t="n">
        <v>16390</v>
      </c>
      <c r="Q516" s="114" t="n">
        <v>16390</v>
      </c>
      <c r="R516" s="114" t="n">
        <v>0</v>
      </c>
      <c r="S516" s="115" t="n">
        <v>1</v>
      </c>
      <c r="T516" s="65" t="n">
        <v>2.623</v>
      </c>
      <c r="U516" s="65" t="n">
        <v>1</v>
      </c>
      <c r="V516" s="65" t="n">
        <v>18593.14</v>
      </c>
      <c r="W516" s="115" t="n">
        <v>0.2752</v>
      </c>
      <c r="X516" s="112" t="n">
        <v>43863</v>
      </c>
      <c r="Y516" s="65" t="str">
        <f aca="false">IF(I516="","No SIC",IFERROR(VLOOKUP(I516,Ref!$A$2:$B$65,2,FALSE()),"Unclassified"))</f>
        <v>Miscellaneous Retail</v>
      </c>
      <c r="Z516" s="65" t="str">
        <f aca="false">IF(T516="","",IF(T516&lt;12,"Daily","Weekly"))</f>
        <v>Daily</v>
      </c>
      <c r="AA516" s="65" t="n">
        <f aca="false">IF(T516="",0,IF(T516&lt;12,T516*Controls!$B$29,T516*5))</f>
        <v>56.801065</v>
      </c>
      <c r="AB516" s="65" t="n">
        <f aca="false">IF(E516="",0,NETWORKDAYS(E516,Controls!$B$36,Ref!$K$2:$K$42))</f>
        <v>160</v>
      </c>
      <c r="AC516" s="65" t="n">
        <f aca="false">IF(AND(AA516&gt;0,AB516&gt;=Controls!$B$39*AA516),1,0)</f>
        <v>1</v>
      </c>
      <c r="AD516" s="65" t="n">
        <f aca="false">IF(AND(E516&lt;&gt;"",E516&gt;=Controls!$B$37,E516&lt;=Controls!$B$38),1,0)</f>
        <v>1</v>
      </c>
      <c r="AE516" s="65" t="n">
        <f aca="false">IF(IFERROR(VLOOKUP(D516,Controls!$A$64:$E$74,2,FALSE()),"No")="Yes",1,0)</f>
        <v>0</v>
      </c>
      <c r="AF516" s="65" t="n">
        <f aca="false">IF(IFERROR(VLOOKUP(D516,Controls!$A$64:$E$74,3,FALSE()),"No")="Yes",1,0)</f>
        <v>1</v>
      </c>
      <c r="AG516" s="65" t="n">
        <f aca="false">IF(IFERROR(VLOOKUP(D516,Controls!$A$64:$E$74,4,FALSE()),"No")="Yes",1,0)</f>
        <v>1</v>
      </c>
      <c r="AH516" s="65" t="n">
        <f aca="false">IF(IFERROR(VLOOKUP(D516,Controls!$A$64:$E$74,5,FALSE()),"No")="Yes",1,0)</f>
        <v>0</v>
      </c>
      <c r="AI516" s="65" t="n">
        <f aca="false">IF(ISNUMBER(MATCH(D516,Controls!$A$64:$A$74,0)),1,0)</f>
        <v>1</v>
      </c>
      <c r="AJ516" s="65" t="n">
        <f aca="false">Q516-N516</f>
        <v>5390</v>
      </c>
      <c r="AK516" s="65" t="n">
        <f aca="false">IF(AE516=1,MAX(0,N516-Q516),0)</f>
        <v>0</v>
      </c>
      <c r="AL516" s="65" t="n">
        <f aca="false">IF(OR(V516="",V516=0),0,N516/V516)</f>
        <v>0.591616047639076</v>
      </c>
      <c r="AM516" s="65" t="n">
        <f aca="false">IF(OR(V516="",V516=0),0,1)</f>
        <v>1</v>
      </c>
      <c r="AN516" s="65" t="n">
        <f aca="false">IF(OR(E516="",F516=""),0,NETWORKDAYS(E516,F516,Ref!$K$2:$K$42))</f>
        <v>56</v>
      </c>
      <c r="AO516" s="65" t="n">
        <f aca="false">IF(L516="Renewal",1,0)</f>
        <v>1</v>
      </c>
      <c r="AP516" s="65" t="n">
        <f aca="false">AC516*AD516</f>
        <v>1</v>
      </c>
      <c r="AQ516" s="65" t="n">
        <f aca="false">IF(AND(G516&lt;&gt;"",'Historical Score'!$C$6&lt;&gt;""),IF(G516='Historical Score'!$C$6,1,0),0)</f>
        <v>0</v>
      </c>
      <c r="AR516" s="65" t="n">
        <f aca="false">IF(AND(L516&lt;&gt;"",'Historical Score'!$C$5&lt;&gt;""),IF(L516='Historical Score'!$C$5,1,0),0)</f>
        <v>0</v>
      </c>
      <c r="AS516" s="65" t="n">
        <f aca="false">IF(AND(Y516&lt;&gt;"",'Historical Score'!$C$7&lt;&gt;""),IF(Y516='Historical Score'!$C$7,1,0),0)</f>
        <v>0</v>
      </c>
      <c r="AT516" s="65" t="n">
        <f aca="false">IF(AND(K516&lt;&gt;"",'Historical Score'!$C$8&lt;&gt;""),IF(K516='Historical Score'!$C$8,1,0),0)</f>
        <v>0</v>
      </c>
      <c r="AU516" s="65" t="n">
        <f aca="false">IF(AND(J516&lt;&gt;"",'Historical Score'!$C$9&lt;&gt;""),IF(J516='Historical Score'!$C$9,1,0),0)</f>
        <v>0</v>
      </c>
      <c r="AV516" s="65" t="n">
        <f aca="false">AR516*AS516*AQ516</f>
        <v>0</v>
      </c>
      <c r="AW516" s="65" t="n">
        <f aca="false">AR516*AT516*AQ516</f>
        <v>0</v>
      </c>
      <c r="AX516" s="65" t="n">
        <f aca="false">AR516*AS516</f>
        <v>0</v>
      </c>
      <c r="AY516" s="65" t="n">
        <f aca="false">AR516*AT516</f>
        <v>0</v>
      </c>
      <c r="AZ516" s="65" t="n">
        <f aca="false">AR516*AQ516</f>
        <v>0</v>
      </c>
      <c r="BA516" s="65" t="n">
        <f aca="false">AR516</f>
        <v>0</v>
      </c>
      <c r="BB516" s="65" t="n">
        <f aca="false">1</f>
        <v>1</v>
      </c>
      <c r="BC516" s="65" t="n">
        <f aca="false">IF(AV516=1,1,IF(AW516=1,2,IF(AX516=1,3,IF(AY516=1,4,IF(AZ516=1,5,IF(BA516=1,6,7))))))</f>
        <v>7</v>
      </c>
      <c r="BD516" s="65" t="n">
        <f aca="false">IF(AD516=1,CHOOSE('Historical Score'!$C$29,AV516,AW516,AX516,AY516,AZ516,BA516,BB516),0)</f>
        <v>0</v>
      </c>
      <c r="BE516" s="65" t="str">
        <f aca="false">IF(BD516=1,COUNTIF($BD$2:BD516,1),"")</f>
        <v/>
      </c>
    </row>
    <row r="517" customFormat="false" ht="15" hidden="false" customHeight="false" outlineLevel="0" collapsed="false">
      <c r="A517" s="65" t="s">
        <v>1886</v>
      </c>
      <c r="B517" s="65" t="s">
        <v>1887</v>
      </c>
      <c r="C517" s="65" t="s">
        <v>1888</v>
      </c>
      <c r="D517" s="65" t="s">
        <v>371</v>
      </c>
      <c r="E517" s="112" t="n">
        <v>46030</v>
      </c>
      <c r="F517" s="112" t="n">
        <v>46119</v>
      </c>
      <c r="G517" s="65" t="n">
        <v>2</v>
      </c>
      <c r="H517" s="65" t="s">
        <v>1889</v>
      </c>
      <c r="I517" s="65" t="s">
        <v>703</v>
      </c>
      <c r="J517" s="65" t="s">
        <v>61</v>
      </c>
      <c r="K517" s="65" t="s">
        <v>961</v>
      </c>
      <c r="L517" s="65" t="s">
        <v>64</v>
      </c>
      <c r="M517" s="113" t="n">
        <v>1.46</v>
      </c>
      <c r="N517" s="114" t="n">
        <v>8000</v>
      </c>
      <c r="O517" s="114" t="n">
        <v>1240</v>
      </c>
      <c r="P517" s="114" t="n">
        <v>11680</v>
      </c>
      <c r="Q517" s="114" t="n">
        <v>11680</v>
      </c>
      <c r="R517" s="114" t="n">
        <v>0</v>
      </c>
      <c r="S517" s="115" t="n">
        <v>1</v>
      </c>
      <c r="T517" s="65" t="n">
        <v>2.951</v>
      </c>
      <c r="U517" s="65" t="n">
        <v>1</v>
      </c>
      <c r="V517" s="65" t="n">
        <v>25456</v>
      </c>
      <c r="W517" s="115" t="n">
        <v>0.1205</v>
      </c>
      <c r="X517" s="112" t="n">
        <v>43623</v>
      </c>
      <c r="Y517" s="65" t="str">
        <f aca="false">IF(I517="","No SIC",IFERROR(VLOOKUP(I517,Ref!$A$2:$B$65,2,FALSE()),"Unclassified"))</f>
        <v>Wholesale Trade - Nondurable Goods</v>
      </c>
      <c r="Z517" s="65" t="str">
        <f aca="false">IF(T517="","",IF(T517&lt;12,"Daily","Weekly"))</f>
        <v>Daily</v>
      </c>
      <c r="AA517" s="65" t="n">
        <f aca="false">IF(T517="",0,IF(T517&lt;12,T517*Controls!$B$29,T517*5))</f>
        <v>63.903905</v>
      </c>
      <c r="AB517" s="65" t="n">
        <f aca="false">IF(E517="",0,NETWORKDAYS(E517,Controls!$B$36,Ref!$K$2:$K$42))</f>
        <v>160</v>
      </c>
      <c r="AC517" s="65" t="n">
        <f aca="false">IF(AND(AA517&gt;0,AB517&gt;=Controls!$B$39*AA517),1,0)</f>
        <v>1</v>
      </c>
      <c r="AD517" s="65" t="n">
        <f aca="false">IF(AND(E517&lt;&gt;"",E517&gt;=Controls!$B$37,E517&lt;=Controls!$B$38),1,0)</f>
        <v>1</v>
      </c>
      <c r="AE517" s="65" t="n">
        <f aca="false">IF(IFERROR(VLOOKUP(D517,Controls!$A$64:$E$74,2,FALSE()),"No")="Yes",1,0)</f>
        <v>0</v>
      </c>
      <c r="AF517" s="65" t="n">
        <f aca="false">IF(IFERROR(VLOOKUP(D517,Controls!$A$64:$E$74,3,FALSE()),"No")="Yes",1,0)</f>
        <v>1</v>
      </c>
      <c r="AG517" s="65" t="n">
        <f aca="false">IF(IFERROR(VLOOKUP(D517,Controls!$A$64:$E$74,4,FALSE()),"No")="Yes",1,0)</f>
        <v>1</v>
      </c>
      <c r="AH517" s="65" t="n">
        <f aca="false">IF(IFERROR(VLOOKUP(D517,Controls!$A$64:$E$74,5,FALSE()),"No")="Yes",1,0)</f>
        <v>0</v>
      </c>
      <c r="AI517" s="65" t="n">
        <f aca="false">IF(ISNUMBER(MATCH(D517,Controls!$A$64:$A$74,0)),1,0)</f>
        <v>1</v>
      </c>
      <c r="AJ517" s="65" t="n">
        <f aca="false">Q517-N517</f>
        <v>3680</v>
      </c>
      <c r="AK517" s="65" t="n">
        <f aca="false">IF(AE517=1,MAX(0,N517-Q517),0)</f>
        <v>0</v>
      </c>
      <c r="AL517" s="65" t="n">
        <f aca="false">IF(OR(V517="",V517=0),0,N517/V517)</f>
        <v>0.314267756128221</v>
      </c>
      <c r="AM517" s="65" t="n">
        <f aca="false">IF(OR(V517="",V517=0),0,1)</f>
        <v>1</v>
      </c>
      <c r="AN517" s="65" t="n">
        <f aca="false">IF(OR(E517="",F517=""),0,NETWORKDAYS(E517,F517,Ref!$K$2:$K$42))</f>
        <v>62</v>
      </c>
      <c r="AO517" s="65" t="n">
        <f aca="false">IF(L517="Renewal",1,0)</f>
        <v>0</v>
      </c>
      <c r="AP517" s="65" t="n">
        <f aca="false">AC517*AD517</f>
        <v>1</v>
      </c>
      <c r="AQ517" s="65" t="n">
        <f aca="false">IF(AND(G517&lt;&gt;"",'Historical Score'!$C$6&lt;&gt;""),IF(G517='Historical Score'!$C$6,1,0),0)</f>
        <v>1</v>
      </c>
      <c r="AR517" s="65" t="n">
        <f aca="false">IF(AND(L517&lt;&gt;"",'Historical Score'!$C$5&lt;&gt;""),IF(L517='Historical Score'!$C$5,1,0),0)</f>
        <v>1</v>
      </c>
      <c r="AS517" s="65" t="n">
        <f aca="false">IF(AND(Y517&lt;&gt;"",'Historical Score'!$C$7&lt;&gt;""),IF(Y517='Historical Score'!$C$7,1,0),0)</f>
        <v>0</v>
      </c>
      <c r="AT517" s="65" t="n">
        <f aca="false">IF(AND(K517&lt;&gt;"",'Historical Score'!$C$8&lt;&gt;""),IF(K517='Historical Score'!$C$8,1,0),0)</f>
        <v>0</v>
      </c>
      <c r="AU517" s="65" t="n">
        <f aca="false">IF(AND(J517&lt;&gt;"",'Historical Score'!$C$9&lt;&gt;""),IF(J517='Historical Score'!$C$9,1,0),0)</f>
        <v>1</v>
      </c>
      <c r="AV517" s="65" t="n">
        <f aca="false">AR517*AS517*AQ517</f>
        <v>0</v>
      </c>
      <c r="AW517" s="65" t="n">
        <f aca="false">AR517*AT517*AQ517</f>
        <v>0</v>
      </c>
      <c r="AX517" s="65" t="n">
        <f aca="false">AR517*AS517</f>
        <v>0</v>
      </c>
      <c r="AY517" s="65" t="n">
        <f aca="false">AR517*AT517</f>
        <v>0</v>
      </c>
      <c r="AZ517" s="65" t="n">
        <f aca="false">AR517*AQ517</f>
        <v>1</v>
      </c>
      <c r="BA517" s="65" t="n">
        <f aca="false">AR517</f>
        <v>1</v>
      </c>
      <c r="BB517" s="65" t="n">
        <f aca="false">1</f>
        <v>1</v>
      </c>
      <c r="BC517" s="65" t="n">
        <f aca="false">IF(AV517=1,1,IF(AW517=1,2,IF(AX517=1,3,IF(AY517=1,4,IF(AZ517=1,5,IF(BA517=1,6,7))))))</f>
        <v>5</v>
      </c>
      <c r="BD517" s="65" t="n">
        <f aca="false">IF(AD517=1,CHOOSE('Historical Score'!$C$29,AV517,AW517,AX517,AY517,AZ517,BA517,BB517),0)</f>
        <v>0</v>
      </c>
      <c r="BE517" s="65" t="str">
        <f aca="false">IF(BD517=1,COUNTIF($BD$2:BD517,1),"")</f>
        <v/>
      </c>
    </row>
    <row r="518" customFormat="false" ht="15" hidden="false" customHeight="false" outlineLevel="0" collapsed="false">
      <c r="A518" s="65" t="s">
        <v>1890</v>
      </c>
      <c r="B518" s="65" t="s">
        <v>1891</v>
      </c>
      <c r="C518" s="65" t="s">
        <v>1891</v>
      </c>
      <c r="D518" s="65" t="s">
        <v>340</v>
      </c>
      <c r="E518" s="112" t="n">
        <v>46030</v>
      </c>
      <c r="F518" s="112" t="n">
        <v>46038</v>
      </c>
      <c r="G518" s="65" t="n">
        <v>3</v>
      </c>
      <c r="H518" s="65" t="s">
        <v>479</v>
      </c>
      <c r="I518" s="65" t="s">
        <v>356</v>
      </c>
      <c r="J518" s="65" t="s">
        <v>546</v>
      </c>
      <c r="K518" s="65" t="s">
        <v>55</v>
      </c>
      <c r="L518" s="65" t="s">
        <v>64</v>
      </c>
      <c r="M518" s="113" t="n">
        <v>1.49</v>
      </c>
      <c r="N518" s="114" t="n">
        <v>10000</v>
      </c>
      <c r="O518" s="114" t="n">
        <v>0</v>
      </c>
      <c r="P518" s="114" t="n">
        <v>14900</v>
      </c>
      <c r="Q518" s="114" t="n">
        <v>992.92</v>
      </c>
      <c r="R518" s="114" t="n">
        <v>13907.08</v>
      </c>
      <c r="S518" s="115" t="n">
        <v>0.0666389261744966</v>
      </c>
      <c r="T518" s="65" t="n">
        <v>1.967</v>
      </c>
      <c r="U518" s="65" t="n">
        <v>2</v>
      </c>
      <c r="V518" s="65" t="n">
        <v>100449.21</v>
      </c>
      <c r="W518" s="115" t="n">
        <v>0.0447</v>
      </c>
      <c r="X518" s="112" t="n">
        <v>43101</v>
      </c>
      <c r="Y518" s="65" t="str">
        <f aca="false">IF(I518="","No SIC",IFERROR(VLOOKUP(I518,Ref!$A$2:$B$65,2,FALSE()),"Unclassified"))</f>
        <v>Trucking &amp; Warehousing</v>
      </c>
      <c r="Z518" s="65" t="str">
        <f aca="false">IF(T518="","",IF(T518&lt;12,"Daily","Weekly"))</f>
        <v>Daily</v>
      </c>
      <c r="AA518" s="65" t="n">
        <f aca="false">IF(T518="",0,IF(T518&lt;12,T518*Controls!$B$29,T518*5))</f>
        <v>42.595385</v>
      </c>
      <c r="AB518" s="65" t="n">
        <f aca="false">IF(E518="",0,NETWORKDAYS(E518,Controls!$B$36,Ref!$K$2:$K$42))</f>
        <v>160</v>
      </c>
      <c r="AC518" s="65" t="n">
        <f aca="false">IF(AND(AA518&gt;0,AB518&gt;=Controls!$B$39*AA518),1,0)</f>
        <v>1</v>
      </c>
      <c r="AD518" s="65" t="n">
        <f aca="false">IF(AND(E518&lt;&gt;"",E518&gt;=Controls!$B$37,E518&lt;=Controls!$B$38),1,0)</f>
        <v>1</v>
      </c>
      <c r="AE518" s="65" t="n">
        <f aca="false">IF(IFERROR(VLOOKUP(D518,Controls!$A$64:$E$74,2,FALSE()),"No")="Yes",1,0)</f>
        <v>1</v>
      </c>
      <c r="AF518" s="65" t="n">
        <f aca="false">IF(IFERROR(VLOOKUP(D518,Controls!$A$64:$E$74,3,FALSE()),"No")="Yes",1,0)</f>
        <v>0</v>
      </c>
      <c r="AG518" s="65" t="n">
        <f aca="false">IF(IFERROR(VLOOKUP(D518,Controls!$A$64:$E$74,4,FALSE()),"No")="Yes",1,0)</f>
        <v>0</v>
      </c>
      <c r="AH518" s="65" t="n">
        <f aca="false">IF(IFERROR(VLOOKUP(D518,Controls!$A$64:$E$74,5,FALSE()),"No")="Yes",1,0)</f>
        <v>0</v>
      </c>
      <c r="AI518" s="65" t="n">
        <f aca="false">IF(ISNUMBER(MATCH(D518,Controls!$A$64:$A$74,0)),1,0)</f>
        <v>1</v>
      </c>
      <c r="AJ518" s="65" t="n">
        <f aca="false">Q518-N518</f>
        <v>-9007.08</v>
      </c>
      <c r="AK518" s="65" t="n">
        <f aca="false">IF(AE518=1,MAX(0,N518-Q518),0)</f>
        <v>9007.08</v>
      </c>
      <c r="AL518" s="65" t="n">
        <f aca="false">IF(OR(V518="",V518=0),0,N518/V518)</f>
        <v>0.0995527988721863</v>
      </c>
      <c r="AM518" s="65" t="n">
        <f aca="false">IF(OR(V518="",V518=0),0,1)</f>
        <v>1</v>
      </c>
      <c r="AN518" s="65" t="n">
        <f aca="false">IF(OR(E518="",F518=""),0,NETWORKDAYS(E518,F518,Ref!$K$2:$K$42))</f>
        <v>7</v>
      </c>
      <c r="AO518" s="65" t="n">
        <f aca="false">IF(L518="Renewal",1,0)</f>
        <v>0</v>
      </c>
      <c r="AP518" s="65" t="n">
        <f aca="false">AC518*AD518</f>
        <v>1</v>
      </c>
      <c r="AQ518" s="65" t="n">
        <f aca="false">IF(AND(G518&lt;&gt;"",'Historical Score'!$C$6&lt;&gt;""),IF(G518='Historical Score'!$C$6,1,0),0)</f>
        <v>0</v>
      </c>
      <c r="AR518" s="65" t="n">
        <f aca="false">IF(AND(L518&lt;&gt;"",'Historical Score'!$C$5&lt;&gt;""),IF(L518='Historical Score'!$C$5,1,0),0)</f>
        <v>1</v>
      </c>
      <c r="AS518" s="65" t="n">
        <f aca="false">IF(AND(Y518&lt;&gt;"",'Historical Score'!$C$7&lt;&gt;""),IF(Y518='Historical Score'!$C$7,1,0),0)</f>
        <v>0</v>
      </c>
      <c r="AT518" s="65" t="n">
        <f aca="false">IF(AND(K518&lt;&gt;"",'Historical Score'!$C$8&lt;&gt;""),IF(K518='Historical Score'!$C$8,1,0),0)</f>
        <v>1</v>
      </c>
      <c r="AU518" s="65" t="n">
        <f aca="false">IF(AND(J518&lt;&gt;"",'Historical Score'!$C$9&lt;&gt;""),IF(J518='Historical Score'!$C$9,1,0),0)</f>
        <v>0</v>
      </c>
      <c r="AV518" s="65" t="n">
        <f aca="false">AR518*AS518*AQ518</f>
        <v>0</v>
      </c>
      <c r="AW518" s="65" t="n">
        <f aca="false">AR518*AT518*AQ518</f>
        <v>0</v>
      </c>
      <c r="AX518" s="65" t="n">
        <f aca="false">AR518*AS518</f>
        <v>0</v>
      </c>
      <c r="AY518" s="65" t="n">
        <f aca="false">AR518*AT518</f>
        <v>1</v>
      </c>
      <c r="AZ518" s="65" t="n">
        <f aca="false">AR518*AQ518</f>
        <v>0</v>
      </c>
      <c r="BA518" s="65" t="n">
        <f aca="false">AR518</f>
        <v>1</v>
      </c>
      <c r="BB518" s="65" t="n">
        <f aca="false">1</f>
        <v>1</v>
      </c>
      <c r="BC518" s="65" t="n">
        <f aca="false">IF(AV518=1,1,IF(AW518=1,2,IF(AX518=1,3,IF(AY518=1,4,IF(AZ518=1,5,IF(BA518=1,6,7))))))</f>
        <v>4</v>
      </c>
      <c r="BD518" s="65" t="n">
        <f aca="false">IF(AD518=1,CHOOSE('Historical Score'!$C$29,AV518,AW518,AX518,AY518,AZ518,BA518,BB518),0)</f>
        <v>0</v>
      </c>
      <c r="BE518" s="65" t="str">
        <f aca="false">IF(BD518=1,COUNTIF($BD$2:BD518,1),"")</f>
        <v/>
      </c>
    </row>
    <row r="519" customFormat="false" ht="15" hidden="false" customHeight="false" outlineLevel="0" collapsed="false">
      <c r="A519" s="65" t="s">
        <v>1892</v>
      </c>
      <c r="B519" s="65" t="s">
        <v>1893</v>
      </c>
      <c r="C519" s="65" t="s">
        <v>1894</v>
      </c>
      <c r="D519" s="65" t="s">
        <v>689</v>
      </c>
      <c r="E519" s="112" t="n">
        <v>46030</v>
      </c>
      <c r="F519" s="112" t="n">
        <v>46052</v>
      </c>
      <c r="G519" s="65" t="n">
        <v>4</v>
      </c>
      <c r="H519" s="65" t="s">
        <v>479</v>
      </c>
      <c r="I519" s="65" t="s">
        <v>356</v>
      </c>
      <c r="J519" s="65" t="s">
        <v>555</v>
      </c>
      <c r="K519" s="65" t="s">
        <v>1895</v>
      </c>
      <c r="L519" s="65" t="s">
        <v>64</v>
      </c>
      <c r="M519" s="113" t="n">
        <v>1.49</v>
      </c>
      <c r="N519" s="114" t="n">
        <v>25000</v>
      </c>
      <c r="O519" s="114" t="n">
        <v>0</v>
      </c>
      <c r="P519" s="114" t="n">
        <v>37250</v>
      </c>
      <c r="Q519" s="114" t="n">
        <v>3102.18</v>
      </c>
      <c r="R519" s="114" t="n">
        <v>34147.82</v>
      </c>
      <c r="S519" s="115" t="n">
        <v>0.08328</v>
      </c>
      <c r="T519" s="65" t="n">
        <v>24</v>
      </c>
      <c r="U519" s="65" t="n">
        <v>1</v>
      </c>
      <c r="V519" s="65" t="n">
        <v>71976.14</v>
      </c>
      <c r="W519" s="115" t="n">
        <v>0.0862</v>
      </c>
      <c r="X519" s="112"/>
      <c r="Y519" s="65" t="str">
        <f aca="false">IF(I519="","No SIC",IFERROR(VLOOKUP(I519,Ref!$A$2:$B$65,2,FALSE()),"Unclassified"))</f>
        <v>Trucking &amp; Warehousing</v>
      </c>
      <c r="Z519" s="65" t="str">
        <f aca="false">IF(T519="","",IF(T519&lt;12,"Daily","Weekly"))</f>
        <v>Weekly</v>
      </c>
      <c r="AA519" s="65" t="n">
        <f aca="false">IF(T519="",0,IF(T519&lt;12,T519*Controls!$B$29,T519*5))</f>
        <v>120</v>
      </c>
      <c r="AB519" s="65" t="n">
        <f aca="false">IF(E519="",0,NETWORKDAYS(E519,Controls!$B$36,Ref!$K$2:$K$42))</f>
        <v>160</v>
      </c>
      <c r="AC519" s="65" t="n">
        <f aca="false">IF(AND(AA519&gt;0,AB519&gt;=Controls!$B$39*AA519),1,0)</f>
        <v>1</v>
      </c>
      <c r="AD519" s="65" t="n">
        <f aca="false">IF(AND(E519&lt;&gt;"",E519&gt;=Controls!$B$37,E519&lt;=Controls!$B$38),1,0)</f>
        <v>1</v>
      </c>
      <c r="AE519" s="65" t="n">
        <f aca="false">IF(IFERROR(VLOOKUP(D519,Controls!$A$64:$E$74,2,FALSE()),"No")="Yes",1,0)</f>
        <v>1</v>
      </c>
      <c r="AF519" s="65" t="n">
        <f aca="false">IF(IFERROR(VLOOKUP(D519,Controls!$A$64:$E$74,3,FALSE()),"No")="Yes",1,0)</f>
        <v>1</v>
      </c>
      <c r="AG519" s="65" t="n">
        <f aca="false">IF(IFERROR(VLOOKUP(D519,Controls!$A$64:$E$74,4,FALSE()),"No")="Yes",1,0)</f>
        <v>0</v>
      </c>
      <c r="AH519" s="65" t="n">
        <f aca="false">IF(IFERROR(VLOOKUP(D519,Controls!$A$64:$E$74,5,FALSE()),"No")="Yes",1,0)</f>
        <v>0</v>
      </c>
      <c r="AI519" s="65" t="n">
        <f aca="false">IF(ISNUMBER(MATCH(D519,Controls!$A$64:$A$74,0)),1,0)</f>
        <v>1</v>
      </c>
      <c r="AJ519" s="65" t="n">
        <f aca="false">Q519-N519</f>
        <v>-21897.82</v>
      </c>
      <c r="AK519" s="65" t="n">
        <f aca="false">IF(AE519=1,MAX(0,N519-Q519),0)</f>
        <v>21897.82</v>
      </c>
      <c r="AL519" s="65" t="n">
        <f aca="false">IF(OR(V519="",V519=0),0,N519/V519)</f>
        <v>0.347337325952739</v>
      </c>
      <c r="AM519" s="65" t="n">
        <f aca="false">IF(OR(V519="",V519=0),0,1)</f>
        <v>1</v>
      </c>
      <c r="AN519" s="65" t="n">
        <f aca="false">IF(OR(E519="",F519=""),0,NETWORKDAYS(E519,F519,Ref!$K$2:$K$42))</f>
        <v>16</v>
      </c>
      <c r="AO519" s="65" t="n">
        <f aca="false">IF(L519="Renewal",1,0)</f>
        <v>0</v>
      </c>
      <c r="AP519" s="65" t="n">
        <f aca="false">AC519*AD519</f>
        <v>1</v>
      </c>
      <c r="AQ519" s="65" t="n">
        <f aca="false">IF(AND(G519&lt;&gt;"",'Historical Score'!$C$6&lt;&gt;""),IF(G519='Historical Score'!$C$6,1,0),0)</f>
        <v>0</v>
      </c>
      <c r="AR519" s="65" t="n">
        <f aca="false">IF(AND(L519&lt;&gt;"",'Historical Score'!$C$5&lt;&gt;""),IF(L519='Historical Score'!$C$5,1,0),0)</f>
        <v>1</v>
      </c>
      <c r="AS519" s="65" t="n">
        <f aca="false">IF(AND(Y519&lt;&gt;"",'Historical Score'!$C$7&lt;&gt;""),IF(Y519='Historical Score'!$C$7,1,0),0)</f>
        <v>0</v>
      </c>
      <c r="AT519" s="65" t="n">
        <f aca="false">IF(AND(K519&lt;&gt;"",'Historical Score'!$C$8&lt;&gt;""),IF(K519='Historical Score'!$C$8,1,0),0)</f>
        <v>0</v>
      </c>
      <c r="AU519" s="65" t="n">
        <f aca="false">IF(AND(J519&lt;&gt;"",'Historical Score'!$C$9&lt;&gt;""),IF(J519='Historical Score'!$C$9,1,0),0)</f>
        <v>0</v>
      </c>
      <c r="AV519" s="65" t="n">
        <f aca="false">AR519*AS519*AQ519</f>
        <v>0</v>
      </c>
      <c r="AW519" s="65" t="n">
        <f aca="false">AR519*AT519*AQ519</f>
        <v>0</v>
      </c>
      <c r="AX519" s="65" t="n">
        <f aca="false">AR519*AS519</f>
        <v>0</v>
      </c>
      <c r="AY519" s="65" t="n">
        <f aca="false">AR519*AT519</f>
        <v>0</v>
      </c>
      <c r="AZ519" s="65" t="n">
        <f aca="false">AR519*AQ519</f>
        <v>0</v>
      </c>
      <c r="BA519" s="65" t="n">
        <f aca="false">AR519</f>
        <v>1</v>
      </c>
      <c r="BB519" s="65" t="n">
        <f aca="false">1</f>
        <v>1</v>
      </c>
      <c r="BC519" s="65" t="n">
        <f aca="false">IF(AV519=1,1,IF(AW519=1,2,IF(AX519=1,3,IF(AY519=1,4,IF(AZ519=1,5,IF(BA519=1,6,7))))))</f>
        <v>6</v>
      </c>
      <c r="BD519" s="65" t="n">
        <f aca="false">IF(AD519=1,CHOOSE('Historical Score'!$C$29,AV519,AW519,AX519,AY519,AZ519,BA519,BB519),0)</f>
        <v>0</v>
      </c>
      <c r="BE519" s="65" t="str">
        <f aca="false">IF(BD519=1,COUNTIF($BD$2:BD519,1),"")</f>
        <v/>
      </c>
    </row>
    <row r="520" customFormat="false" ht="15" hidden="false" customHeight="false" outlineLevel="0" collapsed="false">
      <c r="A520" s="65" t="s">
        <v>1896</v>
      </c>
      <c r="B520" s="65" t="s">
        <v>1897</v>
      </c>
      <c r="C520" s="65" t="s">
        <v>1898</v>
      </c>
      <c r="D520" s="65" t="s">
        <v>340</v>
      </c>
      <c r="E520" s="112" t="n">
        <v>46031</v>
      </c>
      <c r="F520" s="112" t="n">
        <v>46065</v>
      </c>
      <c r="G520" s="65" t="n">
        <v>3</v>
      </c>
      <c r="H520" s="65" t="s">
        <v>1899</v>
      </c>
      <c r="I520" s="65" t="s">
        <v>668</v>
      </c>
      <c r="J520" s="65" t="s">
        <v>555</v>
      </c>
      <c r="K520" s="65" t="s">
        <v>961</v>
      </c>
      <c r="L520" s="65" t="s">
        <v>64</v>
      </c>
      <c r="M520" s="113" t="n">
        <v>1.41</v>
      </c>
      <c r="N520" s="114" t="n">
        <v>140000</v>
      </c>
      <c r="O520" s="114" t="n">
        <v>17500</v>
      </c>
      <c r="P520" s="114" t="n">
        <v>197400</v>
      </c>
      <c r="Q520" s="114" t="n">
        <v>13831.7</v>
      </c>
      <c r="R520" s="114" t="n">
        <v>183568.3</v>
      </c>
      <c r="S520" s="115" t="n">
        <v>0.0700694022289767</v>
      </c>
      <c r="T520" s="65" t="n">
        <v>32</v>
      </c>
      <c r="U520" s="65" t="n">
        <v>2</v>
      </c>
      <c r="V520" s="65" t="n">
        <v>285786.95</v>
      </c>
      <c r="W520" s="115" t="n">
        <v>0.0863</v>
      </c>
      <c r="X520" s="112" t="n">
        <v>43405</v>
      </c>
      <c r="Y520" s="65" t="str">
        <f aca="false">IF(I520="","No SIC",IFERROR(VLOOKUP(I520,Ref!$A$2:$B$65,2,FALSE()),"Unclassified"))</f>
        <v>Auto Dealers &amp; Gas Stations</v>
      </c>
      <c r="Z520" s="65" t="str">
        <f aca="false">IF(T520="","",IF(T520&lt;12,"Daily","Weekly"))</f>
        <v>Weekly</v>
      </c>
      <c r="AA520" s="65" t="n">
        <f aca="false">IF(T520="",0,IF(T520&lt;12,T520*Controls!$B$29,T520*5))</f>
        <v>160</v>
      </c>
      <c r="AB520" s="65" t="n">
        <f aca="false">IF(E520="",0,NETWORKDAYS(E520,Controls!$B$36,Ref!$K$2:$K$42))</f>
        <v>159</v>
      </c>
      <c r="AC520" s="65" t="n">
        <f aca="false">IF(AND(AA520&gt;0,AB520&gt;=Controls!$B$39*AA520),1,0)</f>
        <v>0</v>
      </c>
      <c r="AD520" s="65" t="n">
        <f aca="false">IF(AND(E520&lt;&gt;"",E520&gt;=Controls!$B$37,E520&lt;=Controls!$B$38),1,0)</f>
        <v>1</v>
      </c>
      <c r="AE520" s="65" t="n">
        <f aca="false">IF(IFERROR(VLOOKUP(D520,Controls!$A$64:$E$74,2,FALSE()),"No")="Yes",1,0)</f>
        <v>1</v>
      </c>
      <c r="AF520" s="65" t="n">
        <f aca="false">IF(IFERROR(VLOOKUP(D520,Controls!$A$64:$E$74,3,FALSE()),"No")="Yes",1,0)</f>
        <v>0</v>
      </c>
      <c r="AG520" s="65" t="n">
        <f aca="false">IF(IFERROR(VLOOKUP(D520,Controls!$A$64:$E$74,4,FALSE()),"No")="Yes",1,0)</f>
        <v>0</v>
      </c>
      <c r="AH520" s="65" t="n">
        <f aca="false">IF(IFERROR(VLOOKUP(D520,Controls!$A$64:$E$74,5,FALSE()),"No")="Yes",1,0)</f>
        <v>0</v>
      </c>
      <c r="AI520" s="65" t="n">
        <f aca="false">IF(ISNUMBER(MATCH(D520,Controls!$A$64:$A$74,0)),1,0)</f>
        <v>1</v>
      </c>
      <c r="AJ520" s="65" t="n">
        <f aca="false">Q520-N520</f>
        <v>-126168.3</v>
      </c>
      <c r="AK520" s="65" t="n">
        <f aca="false">IF(AE520=1,MAX(0,N520-Q520),0)</f>
        <v>126168.3</v>
      </c>
      <c r="AL520" s="65" t="n">
        <f aca="false">IF(OR(V520="",V520=0),0,N520/V520)</f>
        <v>0.489875412435732</v>
      </c>
      <c r="AM520" s="65" t="n">
        <f aca="false">IF(OR(V520="",V520=0),0,1)</f>
        <v>1</v>
      </c>
      <c r="AN520" s="65" t="n">
        <f aca="false">IF(OR(E520="",F520=""),0,NETWORKDAYS(E520,F520,Ref!$K$2:$K$42))</f>
        <v>24</v>
      </c>
      <c r="AO520" s="65" t="n">
        <f aca="false">IF(L520="Renewal",1,0)</f>
        <v>0</v>
      </c>
      <c r="AP520" s="65" t="n">
        <f aca="false">AC520*AD520</f>
        <v>0</v>
      </c>
      <c r="AQ520" s="65" t="n">
        <f aca="false">IF(AND(G520&lt;&gt;"",'Historical Score'!$C$6&lt;&gt;""),IF(G520='Historical Score'!$C$6,1,0),0)</f>
        <v>0</v>
      </c>
      <c r="AR520" s="65" t="n">
        <f aca="false">IF(AND(L520&lt;&gt;"",'Historical Score'!$C$5&lt;&gt;""),IF(L520='Historical Score'!$C$5,1,0),0)</f>
        <v>1</v>
      </c>
      <c r="AS520" s="65" t="n">
        <f aca="false">IF(AND(Y520&lt;&gt;"",'Historical Score'!$C$7&lt;&gt;""),IF(Y520='Historical Score'!$C$7,1,0),0)</f>
        <v>0</v>
      </c>
      <c r="AT520" s="65" t="n">
        <f aca="false">IF(AND(K520&lt;&gt;"",'Historical Score'!$C$8&lt;&gt;""),IF(K520='Historical Score'!$C$8,1,0),0)</f>
        <v>0</v>
      </c>
      <c r="AU520" s="65" t="n">
        <f aca="false">IF(AND(J520&lt;&gt;"",'Historical Score'!$C$9&lt;&gt;""),IF(J520='Historical Score'!$C$9,1,0),0)</f>
        <v>0</v>
      </c>
      <c r="AV520" s="65" t="n">
        <f aca="false">AR520*AS520*AQ520</f>
        <v>0</v>
      </c>
      <c r="AW520" s="65" t="n">
        <f aca="false">AR520*AT520*AQ520</f>
        <v>0</v>
      </c>
      <c r="AX520" s="65" t="n">
        <f aca="false">AR520*AS520</f>
        <v>0</v>
      </c>
      <c r="AY520" s="65" t="n">
        <f aca="false">AR520*AT520</f>
        <v>0</v>
      </c>
      <c r="AZ520" s="65" t="n">
        <f aca="false">AR520*AQ520</f>
        <v>0</v>
      </c>
      <c r="BA520" s="65" t="n">
        <f aca="false">AR520</f>
        <v>1</v>
      </c>
      <c r="BB520" s="65" t="n">
        <f aca="false">1</f>
        <v>1</v>
      </c>
      <c r="BC520" s="65" t="n">
        <f aca="false">IF(AV520=1,1,IF(AW520=1,2,IF(AX520=1,3,IF(AY520=1,4,IF(AZ520=1,5,IF(BA520=1,6,7))))))</f>
        <v>6</v>
      </c>
      <c r="BD520" s="65" t="n">
        <f aca="false">IF(AD520=1,CHOOSE('Historical Score'!$C$29,AV520,AW520,AX520,AY520,AZ520,BA520,BB520),0)</f>
        <v>0</v>
      </c>
      <c r="BE520" s="65" t="str">
        <f aca="false">IF(BD520=1,COUNTIF($BD$2:BD520,1),"")</f>
        <v/>
      </c>
    </row>
    <row r="521" customFormat="false" ht="15" hidden="false" customHeight="false" outlineLevel="0" collapsed="false">
      <c r="A521" s="65" t="s">
        <v>1900</v>
      </c>
      <c r="B521" s="65" t="s">
        <v>1901</v>
      </c>
      <c r="C521" s="65" t="s">
        <v>1902</v>
      </c>
      <c r="D521" s="65" t="s">
        <v>340</v>
      </c>
      <c r="E521" s="112" t="n">
        <v>46031</v>
      </c>
      <c r="F521" s="112" t="n">
        <v>46178</v>
      </c>
      <c r="G521" s="65" t="n">
        <v>4</v>
      </c>
      <c r="H521" s="65" t="s">
        <v>479</v>
      </c>
      <c r="I521" s="65" t="s">
        <v>356</v>
      </c>
      <c r="J521" s="65" t="s">
        <v>682</v>
      </c>
      <c r="K521" s="65" t="s">
        <v>55</v>
      </c>
      <c r="L521" s="65" t="s">
        <v>64</v>
      </c>
      <c r="M521" s="113" t="n">
        <v>1.49</v>
      </c>
      <c r="N521" s="114" t="n">
        <v>15000</v>
      </c>
      <c r="O521" s="114" t="n">
        <v>2100</v>
      </c>
      <c r="P521" s="114" t="n">
        <v>22350</v>
      </c>
      <c r="Q521" s="114" t="n">
        <v>18121.52</v>
      </c>
      <c r="R521" s="114" t="n">
        <v>4228.48</v>
      </c>
      <c r="S521" s="115" t="n">
        <v>0.810806263982103</v>
      </c>
      <c r="T521" s="65" t="n">
        <v>2.951</v>
      </c>
      <c r="U521" s="65" t="n">
        <v>29</v>
      </c>
      <c r="V521" s="65" t="n">
        <v>336326.24</v>
      </c>
      <c r="W521" s="115" t="n">
        <v>0.0155</v>
      </c>
      <c r="X521" s="112" t="n">
        <v>37155</v>
      </c>
      <c r="Y521" s="65" t="str">
        <f aca="false">IF(I521="","No SIC",IFERROR(VLOOKUP(I521,Ref!$A$2:$B$65,2,FALSE()),"Unclassified"))</f>
        <v>Trucking &amp; Warehousing</v>
      </c>
      <c r="Z521" s="65" t="str">
        <f aca="false">IF(T521="","",IF(T521&lt;12,"Daily","Weekly"))</f>
        <v>Daily</v>
      </c>
      <c r="AA521" s="65" t="n">
        <f aca="false">IF(T521="",0,IF(T521&lt;12,T521*Controls!$B$29,T521*5))</f>
        <v>63.903905</v>
      </c>
      <c r="AB521" s="65" t="n">
        <f aca="false">IF(E521="",0,NETWORKDAYS(E521,Controls!$B$36,Ref!$K$2:$K$42))</f>
        <v>159</v>
      </c>
      <c r="AC521" s="65" t="n">
        <f aca="false">IF(AND(AA521&gt;0,AB521&gt;=Controls!$B$39*AA521),1,0)</f>
        <v>1</v>
      </c>
      <c r="AD521" s="65" t="n">
        <f aca="false">IF(AND(E521&lt;&gt;"",E521&gt;=Controls!$B$37,E521&lt;=Controls!$B$38),1,0)</f>
        <v>1</v>
      </c>
      <c r="AE521" s="65" t="n">
        <f aca="false">IF(IFERROR(VLOOKUP(D521,Controls!$A$64:$E$74,2,FALSE()),"No")="Yes",1,0)</f>
        <v>1</v>
      </c>
      <c r="AF521" s="65" t="n">
        <f aca="false">IF(IFERROR(VLOOKUP(D521,Controls!$A$64:$E$74,3,FALSE()),"No")="Yes",1,0)</f>
        <v>0</v>
      </c>
      <c r="AG521" s="65" t="n">
        <f aca="false">IF(IFERROR(VLOOKUP(D521,Controls!$A$64:$E$74,4,FALSE()),"No")="Yes",1,0)</f>
        <v>0</v>
      </c>
      <c r="AH521" s="65" t="n">
        <f aca="false">IF(IFERROR(VLOOKUP(D521,Controls!$A$64:$E$74,5,FALSE()),"No")="Yes",1,0)</f>
        <v>0</v>
      </c>
      <c r="AI521" s="65" t="n">
        <f aca="false">IF(ISNUMBER(MATCH(D521,Controls!$A$64:$A$74,0)),1,0)</f>
        <v>1</v>
      </c>
      <c r="AJ521" s="65" t="n">
        <f aca="false">Q521-N521</f>
        <v>3121.52</v>
      </c>
      <c r="AK521" s="65" t="n">
        <f aca="false">IF(AE521=1,MAX(0,N521-Q521),0)</f>
        <v>0</v>
      </c>
      <c r="AL521" s="65" t="n">
        <f aca="false">IF(OR(V521="",V521=0),0,N521/V521)</f>
        <v>0.0445995531005847</v>
      </c>
      <c r="AM521" s="65" t="n">
        <f aca="false">IF(OR(V521="",V521=0),0,1)</f>
        <v>1</v>
      </c>
      <c r="AN521" s="65" t="n">
        <f aca="false">IF(OR(E521="",F521=""),0,NETWORKDAYS(E521,F521,Ref!$K$2:$K$42))</f>
        <v>103</v>
      </c>
      <c r="AO521" s="65" t="n">
        <f aca="false">IF(L521="Renewal",1,0)</f>
        <v>0</v>
      </c>
      <c r="AP521" s="65" t="n">
        <f aca="false">AC521*AD521</f>
        <v>1</v>
      </c>
      <c r="AQ521" s="65" t="n">
        <f aca="false">IF(AND(G521&lt;&gt;"",'Historical Score'!$C$6&lt;&gt;""),IF(G521='Historical Score'!$C$6,1,0),0)</f>
        <v>0</v>
      </c>
      <c r="AR521" s="65" t="n">
        <f aca="false">IF(AND(L521&lt;&gt;"",'Historical Score'!$C$5&lt;&gt;""),IF(L521='Historical Score'!$C$5,1,0),0)</f>
        <v>1</v>
      </c>
      <c r="AS521" s="65" t="n">
        <f aca="false">IF(AND(Y521&lt;&gt;"",'Historical Score'!$C$7&lt;&gt;""),IF(Y521='Historical Score'!$C$7,1,0),0)</f>
        <v>0</v>
      </c>
      <c r="AT521" s="65" t="n">
        <f aca="false">IF(AND(K521&lt;&gt;"",'Historical Score'!$C$8&lt;&gt;""),IF(K521='Historical Score'!$C$8,1,0),0)</f>
        <v>1</v>
      </c>
      <c r="AU521" s="65" t="n">
        <f aca="false">IF(AND(J521&lt;&gt;"",'Historical Score'!$C$9&lt;&gt;""),IF(J521='Historical Score'!$C$9,1,0),0)</f>
        <v>0</v>
      </c>
      <c r="AV521" s="65" t="n">
        <f aca="false">AR521*AS521*AQ521</f>
        <v>0</v>
      </c>
      <c r="AW521" s="65" t="n">
        <f aca="false">AR521*AT521*AQ521</f>
        <v>0</v>
      </c>
      <c r="AX521" s="65" t="n">
        <f aca="false">AR521*AS521</f>
        <v>0</v>
      </c>
      <c r="AY521" s="65" t="n">
        <f aca="false">AR521*AT521</f>
        <v>1</v>
      </c>
      <c r="AZ521" s="65" t="n">
        <f aca="false">AR521*AQ521</f>
        <v>0</v>
      </c>
      <c r="BA521" s="65" t="n">
        <f aca="false">AR521</f>
        <v>1</v>
      </c>
      <c r="BB521" s="65" t="n">
        <f aca="false">1</f>
        <v>1</v>
      </c>
      <c r="BC521" s="65" t="n">
        <f aca="false">IF(AV521=1,1,IF(AW521=1,2,IF(AX521=1,3,IF(AY521=1,4,IF(AZ521=1,5,IF(BA521=1,6,7))))))</f>
        <v>4</v>
      </c>
      <c r="BD521" s="65" t="n">
        <f aca="false">IF(AD521=1,CHOOSE('Historical Score'!$C$29,AV521,AW521,AX521,AY521,AZ521,BA521,BB521),0)</f>
        <v>0</v>
      </c>
      <c r="BE521" s="65" t="str">
        <f aca="false">IF(BD521=1,COUNTIF($BD$2:BD521,1),"")</f>
        <v/>
      </c>
    </row>
    <row r="522" customFormat="false" ht="15" hidden="false" customHeight="false" outlineLevel="0" collapsed="false">
      <c r="A522" s="65" t="s">
        <v>1903</v>
      </c>
      <c r="B522" s="65" t="s">
        <v>1904</v>
      </c>
      <c r="C522" s="65" t="s">
        <v>1905</v>
      </c>
      <c r="D522" s="65" t="s">
        <v>295</v>
      </c>
      <c r="E522" s="112" t="n">
        <v>46031</v>
      </c>
      <c r="F522" s="112" t="n">
        <v>46248</v>
      </c>
      <c r="G522" s="65" t="n">
        <v>2</v>
      </c>
      <c r="H522" s="65" t="s">
        <v>1906</v>
      </c>
      <c r="I522" s="65" t="s">
        <v>1907</v>
      </c>
      <c r="J522" s="65" t="s">
        <v>373</v>
      </c>
      <c r="K522" s="65" t="s">
        <v>961</v>
      </c>
      <c r="L522" s="65" t="s">
        <v>64</v>
      </c>
      <c r="M522" s="113" t="n">
        <v>1.4</v>
      </c>
      <c r="N522" s="114" t="n">
        <v>50000</v>
      </c>
      <c r="O522" s="114" t="n">
        <v>6750</v>
      </c>
      <c r="P522" s="114" t="n">
        <v>70000</v>
      </c>
      <c r="Q522" s="114" t="n">
        <v>45219.39</v>
      </c>
      <c r="R522" s="114" t="n">
        <v>24780.61</v>
      </c>
      <c r="S522" s="115" t="n">
        <v>0.645991285714286</v>
      </c>
      <c r="T522" s="65" t="n">
        <v>48</v>
      </c>
      <c r="U522" s="65" t="n">
        <v>0</v>
      </c>
      <c r="V522" s="65" t="n">
        <v>63628.77</v>
      </c>
      <c r="W522" s="115" t="n">
        <v>0.0917</v>
      </c>
      <c r="X522" s="112" t="n">
        <v>33377</v>
      </c>
      <c r="Y522" s="65" t="str">
        <f aca="false">IF(I522="","No SIC",IFERROR(VLOOKUP(I522,Ref!$A$2:$B$65,2,FALSE()),"Unclassified"))</f>
        <v>Printing &amp; Publishing</v>
      </c>
      <c r="Z522" s="65" t="str">
        <f aca="false">IF(T522="","",IF(T522&lt;12,"Daily","Weekly"))</f>
        <v>Weekly</v>
      </c>
      <c r="AA522" s="65" t="n">
        <f aca="false">IF(T522="",0,IF(T522&lt;12,T522*Controls!$B$29,T522*5))</f>
        <v>240</v>
      </c>
      <c r="AB522" s="65" t="n">
        <f aca="false">IF(E522="",0,NETWORKDAYS(E522,Controls!$B$36,Ref!$K$2:$K$42))</f>
        <v>159</v>
      </c>
      <c r="AC522" s="65" t="n">
        <f aca="false">IF(AND(AA522&gt;0,AB522&gt;=Controls!$B$39*AA522),1,0)</f>
        <v>0</v>
      </c>
      <c r="AD522" s="65" t="n">
        <f aca="false">IF(AND(E522&lt;&gt;"",E522&gt;=Controls!$B$37,E522&lt;=Controls!$B$38),1,0)</f>
        <v>1</v>
      </c>
      <c r="AE522" s="65" t="n">
        <f aca="false">IF(IFERROR(VLOOKUP(D522,Controls!$A$64:$E$74,2,FALSE()),"No")="Yes",1,0)</f>
        <v>0</v>
      </c>
      <c r="AF522" s="65" t="n">
        <f aca="false">IF(IFERROR(VLOOKUP(D522,Controls!$A$64:$E$74,3,FALSE()),"No")="Yes",1,0)</f>
        <v>0</v>
      </c>
      <c r="AG522" s="65" t="n">
        <f aca="false">IF(IFERROR(VLOOKUP(D522,Controls!$A$64:$E$74,4,FALSE()),"No")="Yes",1,0)</f>
        <v>0</v>
      </c>
      <c r="AH522" s="65" t="n">
        <f aca="false">IF(IFERROR(VLOOKUP(D522,Controls!$A$64:$E$74,5,FALSE()),"No")="Yes",1,0)</f>
        <v>1</v>
      </c>
      <c r="AI522" s="65" t="n">
        <f aca="false">IF(ISNUMBER(MATCH(D522,Controls!$A$64:$A$74,0)),1,0)</f>
        <v>1</v>
      </c>
      <c r="AJ522" s="65" t="n">
        <f aca="false">Q522-N522</f>
        <v>-4780.61</v>
      </c>
      <c r="AK522" s="65" t="n">
        <f aca="false">IF(AE522=1,MAX(0,N522-Q522),0)</f>
        <v>0</v>
      </c>
      <c r="AL522" s="65" t="n">
        <f aca="false">IF(OR(V522="",V522=0),0,N522/V522)</f>
        <v>0.785808055066914</v>
      </c>
      <c r="AM522" s="65" t="n">
        <f aca="false">IF(OR(V522="",V522=0),0,1)</f>
        <v>1</v>
      </c>
      <c r="AN522" s="65" t="n">
        <f aca="false">IF(OR(E522="",F522=""),0,NETWORKDAYS(E522,F522,Ref!$K$2:$K$42))</f>
        <v>152</v>
      </c>
      <c r="AO522" s="65" t="n">
        <f aca="false">IF(L522="Renewal",1,0)</f>
        <v>0</v>
      </c>
      <c r="AP522" s="65" t="n">
        <f aca="false">AC522*AD522</f>
        <v>0</v>
      </c>
      <c r="AQ522" s="65" t="n">
        <f aca="false">IF(AND(G522&lt;&gt;"",'Historical Score'!$C$6&lt;&gt;""),IF(G522='Historical Score'!$C$6,1,0),0)</f>
        <v>1</v>
      </c>
      <c r="AR522" s="65" t="n">
        <f aca="false">IF(AND(L522&lt;&gt;"",'Historical Score'!$C$5&lt;&gt;""),IF(L522='Historical Score'!$C$5,1,0),0)</f>
        <v>1</v>
      </c>
      <c r="AS522" s="65" t="n">
        <f aca="false">IF(AND(Y522&lt;&gt;"",'Historical Score'!$C$7&lt;&gt;""),IF(Y522='Historical Score'!$C$7,1,0),0)</f>
        <v>0</v>
      </c>
      <c r="AT522" s="65" t="n">
        <f aca="false">IF(AND(K522&lt;&gt;"",'Historical Score'!$C$8&lt;&gt;""),IF(K522='Historical Score'!$C$8,1,0),0)</f>
        <v>0</v>
      </c>
      <c r="AU522" s="65" t="n">
        <f aca="false">IF(AND(J522&lt;&gt;"",'Historical Score'!$C$9&lt;&gt;""),IF(J522='Historical Score'!$C$9,1,0),0)</f>
        <v>0</v>
      </c>
      <c r="AV522" s="65" t="n">
        <f aca="false">AR522*AS522*AQ522</f>
        <v>0</v>
      </c>
      <c r="AW522" s="65" t="n">
        <f aca="false">AR522*AT522*AQ522</f>
        <v>0</v>
      </c>
      <c r="AX522" s="65" t="n">
        <f aca="false">AR522*AS522</f>
        <v>0</v>
      </c>
      <c r="AY522" s="65" t="n">
        <f aca="false">AR522*AT522</f>
        <v>0</v>
      </c>
      <c r="AZ522" s="65" t="n">
        <f aca="false">AR522*AQ522</f>
        <v>1</v>
      </c>
      <c r="BA522" s="65" t="n">
        <f aca="false">AR522</f>
        <v>1</v>
      </c>
      <c r="BB522" s="65" t="n">
        <f aca="false">1</f>
        <v>1</v>
      </c>
      <c r="BC522" s="65" t="n">
        <f aca="false">IF(AV522=1,1,IF(AW522=1,2,IF(AX522=1,3,IF(AY522=1,4,IF(AZ522=1,5,IF(BA522=1,6,7))))))</f>
        <v>5</v>
      </c>
      <c r="BD522" s="65" t="n">
        <f aca="false">IF(AD522=1,CHOOSE('Historical Score'!$C$29,AV522,AW522,AX522,AY522,AZ522,BA522,BB522),0)</f>
        <v>0</v>
      </c>
      <c r="BE522" s="65" t="str">
        <f aca="false">IF(BD522=1,COUNTIF($BD$2:BD522,1),"")</f>
        <v/>
      </c>
    </row>
    <row r="523" customFormat="false" ht="15" hidden="false" customHeight="false" outlineLevel="0" collapsed="false">
      <c r="A523" s="65" t="s">
        <v>1908</v>
      </c>
      <c r="B523" s="65" t="s">
        <v>1909</v>
      </c>
      <c r="C523" s="65" t="s">
        <v>1910</v>
      </c>
      <c r="D523" s="65" t="s">
        <v>371</v>
      </c>
      <c r="E523" s="112" t="n">
        <v>46034</v>
      </c>
      <c r="F523" s="112" t="n">
        <v>46122</v>
      </c>
      <c r="G523" s="65" t="n">
        <v>4</v>
      </c>
      <c r="H523" s="65" t="s">
        <v>1477</v>
      </c>
      <c r="I523" s="65" t="s">
        <v>1478</v>
      </c>
      <c r="J523" s="65" t="s">
        <v>373</v>
      </c>
      <c r="K523" s="65" t="s">
        <v>983</v>
      </c>
      <c r="L523" s="65" t="s">
        <v>64</v>
      </c>
      <c r="M523" s="113" t="n">
        <v>1.49</v>
      </c>
      <c r="N523" s="114" t="n">
        <v>15000</v>
      </c>
      <c r="O523" s="114" t="n">
        <v>2100</v>
      </c>
      <c r="P523" s="114" t="n">
        <v>22350</v>
      </c>
      <c r="Q523" s="114" t="n">
        <v>22350</v>
      </c>
      <c r="R523" s="114" t="n">
        <v>0</v>
      </c>
      <c r="S523" s="115" t="n">
        <v>1</v>
      </c>
      <c r="T523" s="65" t="n">
        <v>2.951</v>
      </c>
      <c r="U523" s="65" t="n">
        <v>0</v>
      </c>
      <c r="V523" s="65" t="n">
        <v>43810.35</v>
      </c>
      <c r="W523" s="115" t="n">
        <v>0.119</v>
      </c>
      <c r="X523" s="112" t="n">
        <v>43621</v>
      </c>
      <c r="Y523" s="65" t="str">
        <f aca="false">IF(I523="","No SIC",IFERROR(VLOOKUP(I523,Ref!$A$2:$B$65,2,FALSE()),"Unclassified"))</f>
        <v>Educational Services</v>
      </c>
      <c r="Z523" s="65" t="str">
        <f aca="false">IF(T523="","",IF(T523&lt;12,"Daily","Weekly"))</f>
        <v>Daily</v>
      </c>
      <c r="AA523" s="65" t="n">
        <f aca="false">IF(T523="",0,IF(T523&lt;12,T523*Controls!$B$29,T523*5))</f>
        <v>63.903905</v>
      </c>
      <c r="AB523" s="65" t="n">
        <f aca="false">IF(E523="",0,NETWORKDAYS(E523,Controls!$B$36,Ref!$K$2:$K$42))</f>
        <v>158</v>
      </c>
      <c r="AC523" s="65" t="n">
        <f aca="false">IF(AND(AA523&gt;0,AB523&gt;=Controls!$B$39*AA523),1,0)</f>
        <v>1</v>
      </c>
      <c r="AD523" s="65" t="n">
        <f aca="false">IF(AND(E523&lt;&gt;"",E523&gt;=Controls!$B$37,E523&lt;=Controls!$B$38),1,0)</f>
        <v>1</v>
      </c>
      <c r="AE523" s="65" t="n">
        <f aca="false">IF(IFERROR(VLOOKUP(D523,Controls!$A$64:$E$74,2,FALSE()),"No")="Yes",1,0)</f>
        <v>0</v>
      </c>
      <c r="AF523" s="65" t="n">
        <f aca="false">IF(IFERROR(VLOOKUP(D523,Controls!$A$64:$E$74,3,FALSE()),"No")="Yes",1,0)</f>
        <v>1</v>
      </c>
      <c r="AG523" s="65" t="n">
        <f aca="false">IF(IFERROR(VLOOKUP(D523,Controls!$A$64:$E$74,4,FALSE()),"No")="Yes",1,0)</f>
        <v>1</v>
      </c>
      <c r="AH523" s="65" t="n">
        <f aca="false">IF(IFERROR(VLOOKUP(D523,Controls!$A$64:$E$74,5,FALSE()),"No")="Yes",1,0)</f>
        <v>0</v>
      </c>
      <c r="AI523" s="65" t="n">
        <f aca="false">IF(ISNUMBER(MATCH(D523,Controls!$A$64:$A$74,0)),1,0)</f>
        <v>1</v>
      </c>
      <c r="AJ523" s="65" t="n">
        <f aca="false">Q523-N523</f>
        <v>7350</v>
      </c>
      <c r="AK523" s="65" t="n">
        <f aca="false">IF(AE523=1,MAX(0,N523-Q523),0)</f>
        <v>0</v>
      </c>
      <c r="AL523" s="65" t="n">
        <f aca="false">IF(OR(V523="",V523=0),0,N523/V523)</f>
        <v>0.342384847416193</v>
      </c>
      <c r="AM523" s="65" t="n">
        <f aca="false">IF(OR(V523="",V523=0),0,1)</f>
        <v>1</v>
      </c>
      <c r="AN523" s="65" t="n">
        <f aca="false">IF(OR(E523="",F523=""),0,NETWORKDAYS(E523,F523,Ref!$K$2:$K$42))</f>
        <v>63</v>
      </c>
      <c r="AO523" s="65" t="n">
        <f aca="false">IF(L523="Renewal",1,0)</f>
        <v>0</v>
      </c>
      <c r="AP523" s="65" t="n">
        <f aca="false">AC523*AD523</f>
        <v>1</v>
      </c>
      <c r="AQ523" s="65" t="n">
        <f aca="false">IF(AND(G523&lt;&gt;"",'Historical Score'!$C$6&lt;&gt;""),IF(G523='Historical Score'!$C$6,1,0),0)</f>
        <v>0</v>
      </c>
      <c r="AR523" s="65" t="n">
        <f aca="false">IF(AND(L523&lt;&gt;"",'Historical Score'!$C$5&lt;&gt;""),IF(L523='Historical Score'!$C$5,1,0),0)</f>
        <v>1</v>
      </c>
      <c r="AS523" s="65" t="n">
        <f aca="false">IF(AND(Y523&lt;&gt;"",'Historical Score'!$C$7&lt;&gt;""),IF(Y523='Historical Score'!$C$7,1,0),0)</f>
        <v>0</v>
      </c>
      <c r="AT523" s="65" t="n">
        <f aca="false">IF(AND(K523&lt;&gt;"",'Historical Score'!$C$8&lt;&gt;""),IF(K523='Historical Score'!$C$8,1,0),0)</f>
        <v>0</v>
      </c>
      <c r="AU523" s="65" t="n">
        <f aca="false">IF(AND(J523&lt;&gt;"",'Historical Score'!$C$9&lt;&gt;""),IF(J523='Historical Score'!$C$9,1,0),0)</f>
        <v>0</v>
      </c>
      <c r="AV523" s="65" t="n">
        <f aca="false">AR523*AS523*AQ523</f>
        <v>0</v>
      </c>
      <c r="AW523" s="65" t="n">
        <f aca="false">AR523*AT523*AQ523</f>
        <v>0</v>
      </c>
      <c r="AX523" s="65" t="n">
        <f aca="false">AR523*AS523</f>
        <v>0</v>
      </c>
      <c r="AY523" s="65" t="n">
        <f aca="false">AR523*AT523</f>
        <v>0</v>
      </c>
      <c r="AZ523" s="65" t="n">
        <f aca="false">AR523*AQ523</f>
        <v>0</v>
      </c>
      <c r="BA523" s="65" t="n">
        <f aca="false">AR523</f>
        <v>1</v>
      </c>
      <c r="BB523" s="65" t="n">
        <f aca="false">1</f>
        <v>1</v>
      </c>
      <c r="BC523" s="65" t="n">
        <f aca="false">IF(AV523=1,1,IF(AW523=1,2,IF(AX523=1,3,IF(AY523=1,4,IF(AZ523=1,5,IF(BA523=1,6,7))))))</f>
        <v>6</v>
      </c>
      <c r="BD523" s="65" t="n">
        <f aca="false">IF(AD523=1,CHOOSE('Historical Score'!$C$29,AV523,AW523,AX523,AY523,AZ523,BA523,BB523),0)</f>
        <v>0</v>
      </c>
      <c r="BE523" s="65" t="str">
        <f aca="false">IF(BD523=1,COUNTIF($BD$2:BD523,1),"")</f>
        <v/>
      </c>
    </row>
    <row r="524" customFormat="false" ht="15" hidden="false" customHeight="false" outlineLevel="0" collapsed="false">
      <c r="A524" s="65" t="s">
        <v>1911</v>
      </c>
      <c r="B524" s="65" t="s">
        <v>1912</v>
      </c>
      <c r="C524" s="65" t="s">
        <v>1913</v>
      </c>
      <c r="D524" s="65" t="s">
        <v>371</v>
      </c>
      <c r="E524" s="112" t="n">
        <v>46034</v>
      </c>
      <c r="F524" s="112" t="n">
        <v>46077</v>
      </c>
      <c r="G524" s="65" t="n">
        <v>3</v>
      </c>
      <c r="H524" s="65" t="s">
        <v>568</v>
      </c>
      <c r="I524" s="65" t="s">
        <v>569</v>
      </c>
      <c r="J524" s="65" t="s">
        <v>772</v>
      </c>
      <c r="K524" s="65" t="s">
        <v>1914</v>
      </c>
      <c r="L524" s="65" t="s">
        <v>64</v>
      </c>
      <c r="M524" s="113" t="n">
        <v>1.41556118</v>
      </c>
      <c r="N524" s="114" t="n">
        <v>85000</v>
      </c>
      <c r="O524" s="114" t="n">
        <v>11900</v>
      </c>
      <c r="P524" s="114" t="n">
        <v>120322.7003</v>
      </c>
      <c r="Q524" s="114" t="n">
        <v>120322.7</v>
      </c>
      <c r="R524" s="114" t="n">
        <v>0.000300000014249235</v>
      </c>
      <c r="S524" s="115" t="n">
        <v>0.999999997506705</v>
      </c>
      <c r="T524" s="65" t="n">
        <v>30</v>
      </c>
      <c r="U524" s="65" t="n">
        <v>0</v>
      </c>
      <c r="V524" s="65" t="n">
        <v>182358.15</v>
      </c>
      <c r="W524" s="115" t="n">
        <v>0.1003</v>
      </c>
      <c r="X524" s="112"/>
      <c r="Y524" s="65" t="str">
        <f aca="false">IF(I524="","No SIC",IFERROR(VLOOKUP(I524,Ref!$A$2:$B$65,2,FALSE()),"Unclassified"))</f>
        <v>General Merchandise Stores</v>
      </c>
      <c r="Z524" s="65" t="str">
        <f aca="false">IF(T524="","",IF(T524&lt;12,"Daily","Weekly"))</f>
        <v>Weekly</v>
      </c>
      <c r="AA524" s="65" t="n">
        <f aca="false">IF(T524="",0,IF(T524&lt;12,T524*Controls!$B$29,T524*5))</f>
        <v>150</v>
      </c>
      <c r="AB524" s="65" t="n">
        <f aca="false">IF(E524="",0,NETWORKDAYS(E524,Controls!$B$36,Ref!$K$2:$K$42))</f>
        <v>158</v>
      </c>
      <c r="AC524" s="65" t="n">
        <f aca="false">IF(AND(AA524&gt;0,AB524&gt;=Controls!$B$39*AA524),1,0)</f>
        <v>0</v>
      </c>
      <c r="AD524" s="65" t="n">
        <f aca="false">IF(AND(E524&lt;&gt;"",E524&gt;=Controls!$B$37,E524&lt;=Controls!$B$38),1,0)</f>
        <v>1</v>
      </c>
      <c r="AE524" s="65" t="n">
        <f aca="false">IF(IFERROR(VLOOKUP(D524,Controls!$A$64:$E$74,2,FALSE()),"No")="Yes",1,0)</f>
        <v>0</v>
      </c>
      <c r="AF524" s="65" t="n">
        <f aca="false">IF(IFERROR(VLOOKUP(D524,Controls!$A$64:$E$74,3,FALSE()),"No")="Yes",1,0)</f>
        <v>1</v>
      </c>
      <c r="AG524" s="65" t="n">
        <f aca="false">IF(IFERROR(VLOOKUP(D524,Controls!$A$64:$E$74,4,FALSE()),"No")="Yes",1,0)</f>
        <v>1</v>
      </c>
      <c r="AH524" s="65" t="n">
        <f aca="false">IF(IFERROR(VLOOKUP(D524,Controls!$A$64:$E$74,5,FALSE()),"No")="Yes",1,0)</f>
        <v>0</v>
      </c>
      <c r="AI524" s="65" t="n">
        <f aca="false">IF(ISNUMBER(MATCH(D524,Controls!$A$64:$A$74,0)),1,0)</f>
        <v>1</v>
      </c>
      <c r="AJ524" s="65" t="n">
        <f aca="false">Q524-N524</f>
        <v>35322.7</v>
      </c>
      <c r="AK524" s="65" t="n">
        <f aca="false">IF(AE524=1,MAX(0,N524-Q524),0)</f>
        <v>0</v>
      </c>
      <c r="AL524" s="65" t="n">
        <f aca="false">IF(OR(V524="",V524=0),0,N524/V524)</f>
        <v>0.466115717888123</v>
      </c>
      <c r="AM524" s="65" t="n">
        <f aca="false">IF(OR(V524="",V524=0),0,1)</f>
        <v>1</v>
      </c>
      <c r="AN524" s="65" t="n">
        <f aca="false">IF(OR(E524="",F524=""),0,NETWORKDAYS(E524,F524,Ref!$K$2:$K$42))</f>
        <v>30</v>
      </c>
      <c r="AO524" s="65" t="n">
        <f aca="false">IF(L524="Renewal",1,0)</f>
        <v>0</v>
      </c>
      <c r="AP524" s="65" t="n">
        <f aca="false">AC524*AD524</f>
        <v>0</v>
      </c>
      <c r="AQ524" s="65" t="n">
        <f aca="false">IF(AND(G524&lt;&gt;"",'Historical Score'!$C$6&lt;&gt;""),IF(G524='Historical Score'!$C$6,1,0),0)</f>
        <v>0</v>
      </c>
      <c r="AR524" s="65" t="n">
        <f aca="false">IF(AND(L524&lt;&gt;"",'Historical Score'!$C$5&lt;&gt;""),IF(L524='Historical Score'!$C$5,1,0),0)</f>
        <v>1</v>
      </c>
      <c r="AS524" s="65" t="n">
        <f aca="false">IF(AND(Y524&lt;&gt;"",'Historical Score'!$C$7&lt;&gt;""),IF(Y524='Historical Score'!$C$7,1,0),0)</f>
        <v>0</v>
      </c>
      <c r="AT524" s="65" t="n">
        <f aca="false">IF(AND(K524&lt;&gt;"",'Historical Score'!$C$8&lt;&gt;""),IF(K524='Historical Score'!$C$8,1,0),0)</f>
        <v>0</v>
      </c>
      <c r="AU524" s="65" t="n">
        <f aca="false">IF(AND(J524&lt;&gt;"",'Historical Score'!$C$9&lt;&gt;""),IF(J524='Historical Score'!$C$9,1,0),0)</f>
        <v>0</v>
      </c>
      <c r="AV524" s="65" t="n">
        <f aca="false">AR524*AS524*AQ524</f>
        <v>0</v>
      </c>
      <c r="AW524" s="65" t="n">
        <f aca="false">AR524*AT524*AQ524</f>
        <v>0</v>
      </c>
      <c r="AX524" s="65" t="n">
        <f aca="false">AR524*AS524</f>
        <v>0</v>
      </c>
      <c r="AY524" s="65" t="n">
        <f aca="false">AR524*AT524</f>
        <v>0</v>
      </c>
      <c r="AZ524" s="65" t="n">
        <f aca="false">AR524*AQ524</f>
        <v>0</v>
      </c>
      <c r="BA524" s="65" t="n">
        <f aca="false">AR524</f>
        <v>1</v>
      </c>
      <c r="BB524" s="65" t="n">
        <f aca="false">1</f>
        <v>1</v>
      </c>
      <c r="BC524" s="65" t="n">
        <f aca="false">IF(AV524=1,1,IF(AW524=1,2,IF(AX524=1,3,IF(AY524=1,4,IF(AZ524=1,5,IF(BA524=1,6,7))))))</f>
        <v>6</v>
      </c>
      <c r="BD524" s="65" t="n">
        <f aca="false">IF(AD524=1,CHOOSE('Historical Score'!$C$29,AV524,AW524,AX524,AY524,AZ524,BA524,BB524),0)</f>
        <v>0</v>
      </c>
      <c r="BE524" s="65" t="str">
        <f aca="false">IF(BD524=1,COUNTIF($BD$2:BD524,1),"")</f>
        <v/>
      </c>
    </row>
    <row r="525" customFormat="false" ht="15" hidden="false" customHeight="false" outlineLevel="0" collapsed="false">
      <c r="A525" s="65" t="s">
        <v>1915</v>
      </c>
      <c r="B525" s="65" t="s">
        <v>1916</v>
      </c>
      <c r="C525" s="65" t="s">
        <v>1917</v>
      </c>
      <c r="D525" s="65" t="s">
        <v>959</v>
      </c>
      <c r="E525" s="112" t="n">
        <v>46034</v>
      </c>
      <c r="F525" s="112" t="n">
        <v>46253</v>
      </c>
      <c r="G525" s="65" t="n">
        <v>1</v>
      </c>
      <c r="H525" s="65" t="s">
        <v>1046</v>
      </c>
      <c r="I525" s="65" t="s">
        <v>437</v>
      </c>
      <c r="J525" s="65" t="s">
        <v>61</v>
      </c>
      <c r="K525" s="65" t="s">
        <v>961</v>
      </c>
      <c r="L525" s="65" t="s">
        <v>64</v>
      </c>
      <c r="M525" s="113" t="n">
        <v>1.49</v>
      </c>
      <c r="N525" s="114" t="n">
        <v>11000</v>
      </c>
      <c r="O525" s="114" t="n">
        <v>1815</v>
      </c>
      <c r="P525" s="114" t="n">
        <v>16390</v>
      </c>
      <c r="Q525" s="114" t="n">
        <v>14561.37</v>
      </c>
      <c r="R525" s="114" t="n">
        <v>1828.63</v>
      </c>
      <c r="S525" s="115" t="n">
        <v>0.888430140329469</v>
      </c>
      <c r="T525" s="65" t="n">
        <v>24</v>
      </c>
      <c r="U525" s="65" t="n">
        <v>12</v>
      </c>
      <c r="V525" s="65" t="n">
        <v>13828.3</v>
      </c>
      <c r="W525" s="115" t="n">
        <v>0.1975</v>
      </c>
      <c r="X525" s="112" t="n">
        <v>44835</v>
      </c>
      <c r="Y525" s="65" t="str">
        <f aca="false">IF(I525="","No SIC",IFERROR(VLOOKUP(I525,Ref!$A$2:$B$65,2,FALSE()),"Unclassified"))</f>
        <v>Social Services</v>
      </c>
      <c r="Z525" s="65" t="str">
        <f aca="false">IF(T525="","",IF(T525&lt;12,"Daily","Weekly"))</f>
        <v>Weekly</v>
      </c>
      <c r="AA525" s="65" t="n">
        <f aca="false">IF(T525="",0,IF(T525&lt;12,T525*Controls!$B$29,T525*5))</f>
        <v>120</v>
      </c>
      <c r="AB525" s="65" t="n">
        <f aca="false">IF(E525="",0,NETWORKDAYS(E525,Controls!$B$36,Ref!$K$2:$K$42))</f>
        <v>158</v>
      </c>
      <c r="AC525" s="65" t="n">
        <f aca="false">IF(AND(AA525&gt;0,AB525&gt;=Controls!$B$39*AA525),1,0)</f>
        <v>1</v>
      </c>
      <c r="AD525" s="65" t="n">
        <f aca="false">IF(AND(E525&lt;&gt;"",E525&gt;=Controls!$B$37,E525&lt;=Controls!$B$38),1,0)</f>
        <v>1</v>
      </c>
      <c r="AE525" s="65" t="n">
        <f aca="false">IF(IFERROR(VLOOKUP(D525,Controls!$A$64:$E$74,2,FALSE()),"No")="Yes",1,0)</f>
        <v>0</v>
      </c>
      <c r="AF525" s="65" t="n">
        <f aca="false">IF(IFERROR(VLOOKUP(D525,Controls!$A$64:$E$74,3,FALSE()),"No")="Yes",1,0)</f>
        <v>0</v>
      </c>
      <c r="AG525" s="65" t="n">
        <f aca="false">IF(IFERROR(VLOOKUP(D525,Controls!$A$64:$E$74,4,FALSE()),"No")="Yes",1,0)</f>
        <v>0</v>
      </c>
      <c r="AH525" s="65" t="n">
        <f aca="false">IF(IFERROR(VLOOKUP(D525,Controls!$A$64:$E$74,5,FALSE()),"No")="Yes",1,0)</f>
        <v>0</v>
      </c>
      <c r="AI525" s="65" t="n">
        <f aca="false">IF(ISNUMBER(MATCH(D525,Controls!$A$64:$A$74,0)),1,0)</f>
        <v>1</v>
      </c>
      <c r="AJ525" s="65" t="n">
        <f aca="false">Q525-N525</f>
        <v>3561.37</v>
      </c>
      <c r="AK525" s="65" t="n">
        <f aca="false">IF(AE525=1,MAX(0,N525-Q525),0)</f>
        <v>0</v>
      </c>
      <c r="AL525" s="65" t="n">
        <f aca="false">IF(OR(V525="",V525=0),0,N525/V525)</f>
        <v>0.795470159021716</v>
      </c>
      <c r="AM525" s="65" t="n">
        <f aca="false">IF(OR(V525="",V525=0),0,1)</f>
        <v>1</v>
      </c>
      <c r="AN525" s="65" t="n">
        <f aca="false">IF(OR(E525="",F525=""),0,NETWORKDAYS(E525,F525,Ref!$K$2:$K$42))</f>
        <v>154</v>
      </c>
      <c r="AO525" s="65" t="n">
        <f aca="false">IF(L525="Renewal",1,0)</f>
        <v>0</v>
      </c>
      <c r="AP525" s="65" t="n">
        <f aca="false">AC525*AD525</f>
        <v>1</v>
      </c>
      <c r="AQ525" s="65" t="n">
        <f aca="false">IF(AND(G525&lt;&gt;"",'Historical Score'!$C$6&lt;&gt;""),IF(G525='Historical Score'!$C$6,1,0),0)</f>
        <v>0</v>
      </c>
      <c r="AR525" s="65" t="n">
        <f aca="false">IF(AND(L525&lt;&gt;"",'Historical Score'!$C$5&lt;&gt;""),IF(L525='Historical Score'!$C$5,1,0),0)</f>
        <v>1</v>
      </c>
      <c r="AS525" s="65" t="n">
        <f aca="false">IF(AND(Y525&lt;&gt;"",'Historical Score'!$C$7&lt;&gt;""),IF(Y525='Historical Score'!$C$7,1,0),0)</f>
        <v>0</v>
      </c>
      <c r="AT525" s="65" t="n">
        <f aca="false">IF(AND(K525&lt;&gt;"",'Historical Score'!$C$8&lt;&gt;""),IF(K525='Historical Score'!$C$8,1,0),0)</f>
        <v>0</v>
      </c>
      <c r="AU525" s="65" t="n">
        <f aca="false">IF(AND(J525&lt;&gt;"",'Historical Score'!$C$9&lt;&gt;""),IF(J525='Historical Score'!$C$9,1,0),0)</f>
        <v>1</v>
      </c>
      <c r="AV525" s="65" t="n">
        <f aca="false">AR525*AS525*AQ525</f>
        <v>0</v>
      </c>
      <c r="AW525" s="65" t="n">
        <f aca="false">AR525*AT525*AQ525</f>
        <v>0</v>
      </c>
      <c r="AX525" s="65" t="n">
        <f aca="false">AR525*AS525</f>
        <v>0</v>
      </c>
      <c r="AY525" s="65" t="n">
        <f aca="false">AR525*AT525</f>
        <v>0</v>
      </c>
      <c r="AZ525" s="65" t="n">
        <f aca="false">AR525*AQ525</f>
        <v>0</v>
      </c>
      <c r="BA525" s="65" t="n">
        <f aca="false">AR525</f>
        <v>1</v>
      </c>
      <c r="BB525" s="65" t="n">
        <f aca="false">1</f>
        <v>1</v>
      </c>
      <c r="BC525" s="65" t="n">
        <f aca="false">IF(AV525=1,1,IF(AW525=1,2,IF(AX525=1,3,IF(AY525=1,4,IF(AZ525=1,5,IF(BA525=1,6,7))))))</f>
        <v>6</v>
      </c>
      <c r="BD525" s="65" t="n">
        <f aca="false">IF(AD525=1,CHOOSE('Historical Score'!$C$29,AV525,AW525,AX525,AY525,AZ525,BA525,BB525),0)</f>
        <v>0</v>
      </c>
      <c r="BE525" s="65" t="str">
        <f aca="false">IF(BD525=1,COUNTIF($BD$2:BD525,1),"")</f>
        <v/>
      </c>
    </row>
    <row r="526" customFormat="false" ht="15" hidden="false" customHeight="false" outlineLevel="0" collapsed="false">
      <c r="A526" s="65" t="s">
        <v>1918</v>
      </c>
      <c r="B526" s="65" t="s">
        <v>1919</v>
      </c>
      <c r="C526" s="65" t="s">
        <v>1920</v>
      </c>
      <c r="D526" s="65" t="s">
        <v>959</v>
      </c>
      <c r="E526" s="112" t="n">
        <v>46034</v>
      </c>
      <c r="F526" s="112" t="n">
        <v>46248</v>
      </c>
      <c r="G526" s="65" t="n">
        <v>3</v>
      </c>
      <c r="H526" s="65" t="s">
        <v>409</v>
      </c>
      <c r="I526" s="65" t="s">
        <v>342</v>
      </c>
      <c r="J526" s="65" t="s">
        <v>772</v>
      </c>
      <c r="K526" s="65" t="s">
        <v>1591</v>
      </c>
      <c r="L526" s="65" t="s">
        <v>64</v>
      </c>
      <c r="M526" s="113" t="n">
        <v>1.44</v>
      </c>
      <c r="N526" s="114" t="n">
        <v>22000</v>
      </c>
      <c r="O526" s="114" t="n">
        <v>2530</v>
      </c>
      <c r="P526" s="114" t="n">
        <v>31680</v>
      </c>
      <c r="Q526" s="114" t="n">
        <v>14716.52</v>
      </c>
      <c r="R526" s="114" t="n">
        <v>16963.48</v>
      </c>
      <c r="S526" s="115" t="n">
        <v>0.464536616161616</v>
      </c>
      <c r="T526" s="65" t="n">
        <v>28</v>
      </c>
      <c r="U526" s="65" t="n">
        <v>7</v>
      </c>
      <c r="V526" s="65" t="n">
        <v>79721.31</v>
      </c>
      <c r="W526" s="115" t="n">
        <v>0.0568</v>
      </c>
      <c r="X526" s="112" t="n">
        <v>42449</v>
      </c>
      <c r="Y526" s="65" t="str">
        <f aca="false">IF(I526="","No SIC",IFERROR(VLOOKUP(I526,Ref!$A$2:$B$65,2,FALSE()),"Unclassified"))</f>
        <v>Eating &amp; Drinking Places</v>
      </c>
      <c r="Z526" s="65" t="str">
        <f aca="false">IF(T526="","",IF(T526&lt;12,"Daily","Weekly"))</f>
        <v>Weekly</v>
      </c>
      <c r="AA526" s="65" t="n">
        <f aca="false">IF(T526="",0,IF(T526&lt;12,T526*Controls!$B$29,T526*5))</f>
        <v>140</v>
      </c>
      <c r="AB526" s="65" t="n">
        <f aca="false">IF(E526="",0,NETWORKDAYS(E526,Controls!$B$36,Ref!$K$2:$K$42))</f>
        <v>158</v>
      </c>
      <c r="AC526" s="65" t="n">
        <f aca="false">IF(AND(AA526&gt;0,AB526&gt;=Controls!$B$39*AA526),1,0)</f>
        <v>0</v>
      </c>
      <c r="AD526" s="65" t="n">
        <f aca="false">IF(AND(E526&lt;&gt;"",E526&gt;=Controls!$B$37,E526&lt;=Controls!$B$38),1,0)</f>
        <v>1</v>
      </c>
      <c r="AE526" s="65" t="n">
        <f aca="false">IF(IFERROR(VLOOKUP(D526,Controls!$A$64:$E$74,2,FALSE()),"No")="Yes",1,0)</f>
        <v>0</v>
      </c>
      <c r="AF526" s="65" t="n">
        <f aca="false">IF(IFERROR(VLOOKUP(D526,Controls!$A$64:$E$74,3,FALSE()),"No")="Yes",1,0)</f>
        <v>0</v>
      </c>
      <c r="AG526" s="65" t="n">
        <f aca="false">IF(IFERROR(VLOOKUP(D526,Controls!$A$64:$E$74,4,FALSE()),"No")="Yes",1,0)</f>
        <v>0</v>
      </c>
      <c r="AH526" s="65" t="n">
        <f aca="false">IF(IFERROR(VLOOKUP(D526,Controls!$A$64:$E$74,5,FALSE()),"No")="Yes",1,0)</f>
        <v>0</v>
      </c>
      <c r="AI526" s="65" t="n">
        <f aca="false">IF(ISNUMBER(MATCH(D526,Controls!$A$64:$A$74,0)),1,0)</f>
        <v>1</v>
      </c>
      <c r="AJ526" s="65" t="n">
        <f aca="false">Q526-N526</f>
        <v>-7283.48</v>
      </c>
      <c r="AK526" s="65" t="n">
        <f aca="false">IF(AE526=1,MAX(0,N526-Q526),0)</f>
        <v>0</v>
      </c>
      <c r="AL526" s="65" t="n">
        <f aca="false">IF(OR(V526="",V526=0),0,N526/V526)</f>
        <v>0.275961345843414</v>
      </c>
      <c r="AM526" s="65" t="n">
        <f aca="false">IF(OR(V526="",V526=0),0,1)</f>
        <v>1</v>
      </c>
      <c r="AN526" s="65" t="n">
        <f aca="false">IF(OR(E526="",F526=""),0,NETWORKDAYS(E526,F526,Ref!$K$2:$K$42))</f>
        <v>151</v>
      </c>
      <c r="AO526" s="65" t="n">
        <f aca="false">IF(L526="Renewal",1,0)</f>
        <v>0</v>
      </c>
      <c r="AP526" s="65" t="n">
        <f aca="false">AC526*AD526</f>
        <v>0</v>
      </c>
      <c r="AQ526" s="65" t="n">
        <f aca="false">IF(AND(G526&lt;&gt;"",'Historical Score'!$C$6&lt;&gt;""),IF(G526='Historical Score'!$C$6,1,0),0)</f>
        <v>0</v>
      </c>
      <c r="AR526" s="65" t="n">
        <f aca="false">IF(AND(L526&lt;&gt;"",'Historical Score'!$C$5&lt;&gt;""),IF(L526='Historical Score'!$C$5,1,0),0)</f>
        <v>1</v>
      </c>
      <c r="AS526" s="65" t="n">
        <f aca="false">IF(AND(Y526&lt;&gt;"",'Historical Score'!$C$7&lt;&gt;""),IF(Y526='Historical Score'!$C$7,1,0),0)</f>
        <v>0</v>
      </c>
      <c r="AT526" s="65" t="n">
        <f aca="false">IF(AND(K526&lt;&gt;"",'Historical Score'!$C$8&lt;&gt;""),IF(K526='Historical Score'!$C$8,1,0),0)</f>
        <v>0</v>
      </c>
      <c r="AU526" s="65" t="n">
        <f aca="false">IF(AND(J526&lt;&gt;"",'Historical Score'!$C$9&lt;&gt;""),IF(J526='Historical Score'!$C$9,1,0),0)</f>
        <v>0</v>
      </c>
      <c r="AV526" s="65" t="n">
        <f aca="false">AR526*AS526*AQ526</f>
        <v>0</v>
      </c>
      <c r="AW526" s="65" t="n">
        <f aca="false">AR526*AT526*AQ526</f>
        <v>0</v>
      </c>
      <c r="AX526" s="65" t="n">
        <f aca="false">AR526*AS526</f>
        <v>0</v>
      </c>
      <c r="AY526" s="65" t="n">
        <f aca="false">AR526*AT526</f>
        <v>0</v>
      </c>
      <c r="AZ526" s="65" t="n">
        <f aca="false">AR526*AQ526</f>
        <v>0</v>
      </c>
      <c r="BA526" s="65" t="n">
        <f aca="false">AR526</f>
        <v>1</v>
      </c>
      <c r="BB526" s="65" t="n">
        <f aca="false">1</f>
        <v>1</v>
      </c>
      <c r="BC526" s="65" t="n">
        <f aca="false">IF(AV526=1,1,IF(AW526=1,2,IF(AX526=1,3,IF(AY526=1,4,IF(AZ526=1,5,IF(BA526=1,6,7))))))</f>
        <v>6</v>
      </c>
      <c r="BD526" s="65" t="n">
        <f aca="false">IF(AD526=1,CHOOSE('Historical Score'!$C$29,AV526,AW526,AX526,AY526,AZ526,BA526,BB526),0)</f>
        <v>0</v>
      </c>
      <c r="BE526" s="65" t="str">
        <f aca="false">IF(BD526=1,COUNTIF($BD$2:BD526,1),"")</f>
        <v/>
      </c>
    </row>
    <row r="527" customFormat="false" ht="15" hidden="false" customHeight="false" outlineLevel="0" collapsed="false">
      <c r="A527" s="65" t="s">
        <v>1921</v>
      </c>
      <c r="B527" s="65" t="s">
        <v>1922</v>
      </c>
      <c r="C527" s="65" t="s">
        <v>1922</v>
      </c>
      <c r="D527" s="65" t="s">
        <v>295</v>
      </c>
      <c r="E527" s="112" t="n">
        <v>46034</v>
      </c>
      <c r="F527" s="112" t="n">
        <v>46251</v>
      </c>
      <c r="G527" s="65" t="n">
        <v>3</v>
      </c>
      <c r="J527" s="65" t="s">
        <v>772</v>
      </c>
      <c r="K527" s="65" t="s">
        <v>961</v>
      </c>
      <c r="L527" s="65" t="s">
        <v>64</v>
      </c>
      <c r="M527" s="113" t="n">
        <v>1.4</v>
      </c>
      <c r="N527" s="114" t="n">
        <v>30000</v>
      </c>
      <c r="O527" s="114" t="n">
        <v>4050</v>
      </c>
      <c r="P527" s="114" t="n">
        <v>42000</v>
      </c>
      <c r="Q527" s="114" t="n">
        <v>40685.64</v>
      </c>
      <c r="R527" s="114" t="n">
        <v>1314.36</v>
      </c>
      <c r="S527" s="115" t="n">
        <v>0.968705714285714</v>
      </c>
      <c r="T527" s="65" t="n">
        <v>32</v>
      </c>
      <c r="U527" s="65" t="n">
        <v>0</v>
      </c>
      <c r="V527" s="65" t="n">
        <v>66468.22</v>
      </c>
      <c r="W527" s="115" t="n">
        <v>0.1026</v>
      </c>
      <c r="X527" s="112" t="n">
        <v>32994</v>
      </c>
      <c r="Y527" s="65" t="str">
        <f aca="false">IF(I527="","No SIC",IFERROR(VLOOKUP(I527,Ref!$A$2:$B$65,2,FALSE()),"Unclassified"))</f>
        <v>No SIC</v>
      </c>
      <c r="Z527" s="65" t="str">
        <f aca="false">IF(T527="","",IF(T527&lt;12,"Daily","Weekly"))</f>
        <v>Weekly</v>
      </c>
      <c r="AA527" s="65" t="n">
        <f aca="false">IF(T527="",0,IF(T527&lt;12,T527*Controls!$B$29,T527*5))</f>
        <v>160</v>
      </c>
      <c r="AB527" s="65" t="n">
        <f aca="false">IF(E527="",0,NETWORKDAYS(E527,Controls!$B$36,Ref!$K$2:$K$42))</f>
        <v>158</v>
      </c>
      <c r="AC527" s="65" t="n">
        <f aca="false">IF(AND(AA527&gt;0,AB527&gt;=Controls!$B$39*AA527),1,0)</f>
        <v>0</v>
      </c>
      <c r="AD527" s="65" t="n">
        <f aca="false">IF(AND(E527&lt;&gt;"",E527&gt;=Controls!$B$37,E527&lt;=Controls!$B$38),1,0)</f>
        <v>1</v>
      </c>
      <c r="AE527" s="65" t="n">
        <f aca="false">IF(IFERROR(VLOOKUP(D527,Controls!$A$64:$E$74,2,FALSE()),"No")="Yes",1,0)</f>
        <v>0</v>
      </c>
      <c r="AF527" s="65" t="n">
        <f aca="false">IF(IFERROR(VLOOKUP(D527,Controls!$A$64:$E$74,3,FALSE()),"No")="Yes",1,0)</f>
        <v>0</v>
      </c>
      <c r="AG527" s="65" t="n">
        <f aca="false">IF(IFERROR(VLOOKUP(D527,Controls!$A$64:$E$74,4,FALSE()),"No")="Yes",1,0)</f>
        <v>0</v>
      </c>
      <c r="AH527" s="65" t="n">
        <f aca="false">IF(IFERROR(VLOOKUP(D527,Controls!$A$64:$E$74,5,FALSE()),"No")="Yes",1,0)</f>
        <v>1</v>
      </c>
      <c r="AI527" s="65" t="n">
        <f aca="false">IF(ISNUMBER(MATCH(D527,Controls!$A$64:$A$74,0)),1,0)</f>
        <v>1</v>
      </c>
      <c r="AJ527" s="65" t="n">
        <f aca="false">Q527-N527</f>
        <v>10685.64</v>
      </c>
      <c r="AK527" s="65" t="n">
        <f aca="false">IF(AE527=1,MAX(0,N527-Q527),0)</f>
        <v>0</v>
      </c>
      <c r="AL527" s="65" t="n">
        <f aca="false">IF(OR(V527="",V527=0),0,N527/V527)</f>
        <v>0.451343514238835</v>
      </c>
      <c r="AM527" s="65" t="n">
        <f aca="false">IF(OR(V527="",V527=0),0,1)</f>
        <v>1</v>
      </c>
      <c r="AN527" s="65" t="n">
        <f aca="false">IF(OR(E527="",F527=""),0,NETWORKDAYS(E527,F527,Ref!$K$2:$K$42))</f>
        <v>152</v>
      </c>
      <c r="AO527" s="65" t="n">
        <f aca="false">IF(L527="Renewal",1,0)</f>
        <v>0</v>
      </c>
      <c r="AP527" s="65" t="n">
        <f aca="false">AC527*AD527</f>
        <v>0</v>
      </c>
      <c r="AQ527" s="65" t="n">
        <f aca="false">IF(AND(G527&lt;&gt;"",'Historical Score'!$C$6&lt;&gt;""),IF(G527='Historical Score'!$C$6,1,0),0)</f>
        <v>0</v>
      </c>
      <c r="AR527" s="65" t="n">
        <f aca="false">IF(AND(L527&lt;&gt;"",'Historical Score'!$C$5&lt;&gt;""),IF(L527='Historical Score'!$C$5,1,0),0)</f>
        <v>1</v>
      </c>
      <c r="AS527" s="65" t="n">
        <f aca="false">IF(AND(Y527&lt;&gt;"",'Historical Score'!$C$7&lt;&gt;""),IF(Y527='Historical Score'!$C$7,1,0),0)</f>
        <v>0</v>
      </c>
      <c r="AT527" s="65" t="n">
        <f aca="false">IF(AND(K527&lt;&gt;"",'Historical Score'!$C$8&lt;&gt;""),IF(K527='Historical Score'!$C$8,1,0),0)</f>
        <v>0</v>
      </c>
      <c r="AU527" s="65" t="n">
        <f aca="false">IF(AND(J527&lt;&gt;"",'Historical Score'!$C$9&lt;&gt;""),IF(J527='Historical Score'!$C$9,1,0),0)</f>
        <v>0</v>
      </c>
      <c r="AV527" s="65" t="n">
        <f aca="false">AR527*AS527*AQ527</f>
        <v>0</v>
      </c>
      <c r="AW527" s="65" t="n">
        <f aca="false">AR527*AT527*AQ527</f>
        <v>0</v>
      </c>
      <c r="AX527" s="65" t="n">
        <f aca="false">AR527*AS527</f>
        <v>0</v>
      </c>
      <c r="AY527" s="65" t="n">
        <f aca="false">AR527*AT527</f>
        <v>0</v>
      </c>
      <c r="AZ527" s="65" t="n">
        <f aca="false">AR527*AQ527</f>
        <v>0</v>
      </c>
      <c r="BA527" s="65" t="n">
        <f aca="false">AR527</f>
        <v>1</v>
      </c>
      <c r="BB527" s="65" t="n">
        <f aca="false">1</f>
        <v>1</v>
      </c>
      <c r="BC527" s="65" t="n">
        <f aca="false">IF(AV527=1,1,IF(AW527=1,2,IF(AX527=1,3,IF(AY527=1,4,IF(AZ527=1,5,IF(BA527=1,6,7))))))</f>
        <v>6</v>
      </c>
      <c r="BD527" s="65" t="n">
        <f aca="false">IF(AD527=1,CHOOSE('Historical Score'!$C$29,AV527,AW527,AX527,AY527,AZ527,BA527,BB527),0)</f>
        <v>0</v>
      </c>
      <c r="BE527" s="65" t="str">
        <f aca="false">IF(BD527=1,COUNTIF($BD$2:BD527,1),"")</f>
        <v/>
      </c>
    </row>
    <row r="528" customFormat="false" ht="15" hidden="false" customHeight="false" outlineLevel="0" collapsed="false">
      <c r="A528" s="65" t="s">
        <v>1923</v>
      </c>
      <c r="B528" s="65" t="s">
        <v>1924</v>
      </c>
      <c r="C528" s="65" t="s">
        <v>1925</v>
      </c>
      <c r="D528" s="65" t="s">
        <v>340</v>
      </c>
      <c r="E528" s="112" t="n">
        <v>46035</v>
      </c>
      <c r="F528" s="112" t="n">
        <v>46218</v>
      </c>
      <c r="G528" s="65" t="n">
        <v>3</v>
      </c>
      <c r="H528" s="65" t="s">
        <v>1055</v>
      </c>
      <c r="I528" s="65" t="s">
        <v>643</v>
      </c>
      <c r="J528" s="65" t="s">
        <v>61</v>
      </c>
      <c r="K528" s="65" t="s">
        <v>1880</v>
      </c>
      <c r="L528" s="65" t="s">
        <v>64</v>
      </c>
      <c r="M528" s="113" t="n">
        <v>1.49</v>
      </c>
      <c r="N528" s="114" t="n">
        <v>105000</v>
      </c>
      <c r="O528" s="114" t="n">
        <v>14700</v>
      </c>
      <c r="P528" s="114" t="n">
        <v>156450</v>
      </c>
      <c r="Q528" s="114" t="n">
        <v>108640</v>
      </c>
      <c r="R528" s="114" t="n">
        <v>47810</v>
      </c>
      <c r="S528" s="115" t="n">
        <v>0.694407158836689</v>
      </c>
      <c r="T528" s="65" t="n">
        <v>36</v>
      </c>
      <c r="U528" s="65" t="n">
        <v>1</v>
      </c>
      <c r="V528" s="65" t="n">
        <v>256000.15</v>
      </c>
      <c r="W528" s="115" t="n">
        <v>0.0679</v>
      </c>
      <c r="X528" s="112" t="n">
        <v>43604</v>
      </c>
      <c r="Y528" s="65" t="str">
        <f aca="false">IF(I528="","No SIC",IFERROR(VLOOKUP(I528,Ref!$A$2:$B$65,2,FALSE()),"Unclassified"))</f>
        <v>Agricultural Services</v>
      </c>
      <c r="Z528" s="65" t="str">
        <f aca="false">IF(T528="","",IF(T528&lt;12,"Daily","Weekly"))</f>
        <v>Weekly</v>
      </c>
      <c r="AA528" s="65" t="n">
        <f aca="false">IF(T528="",0,IF(T528&lt;12,T528*Controls!$B$29,T528*5))</f>
        <v>180</v>
      </c>
      <c r="AB528" s="65" t="n">
        <f aca="false">IF(E528="",0,NETWORKDAYS(E528,Controls!$B$36,Ref!$K$2:$K$42))</f>
        <v>157</v>
      </c>
      <c r="AC528" s="65" t="n">
        <f aca="false">IF(AND(AA528&gt;0,AB528&gt;=Controls!$B$39*AA528),1,0)</f>
        <v>0</v>
      </c>
      <c r="AD528" s="65" t="n">
        <f aca="false">IF(AND(E528&lt;&gt;"",E528&gt;=Controls!$B$37,E528&lt;=Controls!$B$38),1,0)</f>
        <v>1</v>
      </c>
      <c r="AE528" s="65" t="n">
        <f aca="false">IF(IFERROR(VLOOKUP(D528,Controls!$A$64:$E$74,2,FALSE()),"No")="Yes",1,0)</f>
        <v>1</v>
      </c>
      <c r="AF528" s="65" t="n">
        <f aca="false">IF(IFERROR(VLOOKUP(D528,Controls!$A$64:$E$74,3,FALSE()),"No")="Yes",1,0)</f>
        <v>0</v>
      </c>
      <c r="AG528" s="65" t="n">
        <f aca="false">IF(IFERROR(VLOOKUP(D528,Controls!$A$64:$E$74,4,FALSE()),"No")="Yes",1,0)</f>
        <v>0</v>
      </c>
      <c r="AH528" s="65" t="n">
        <f aca="false">IF(IFERROR(VLOOKUP(D528,Controls!$A$64:$E$74,5,FALSE()),"No")="Yes",1,0)</f>
        <v>0</v>
      </c>
      <c r="AI528" s="65" t="n">
        <f aca="false">IF(ISNUMBER(MATCH(D528,Controls!$A$64:$A$74,0)),1,0)</f>
        <v>1</v>
      </c>
      <c r="AJ528" s="65" t="n">
        <f aca="false">Q528-N528</f>
        <v>3640</v>
      </c>
      <c r="AK528" s="65" t="n">
        <f aca="false">IF(AE528=1,MAX(0,N528-Q528),0)</f>
        <v>0</v>
      </c>
      <c r="AL528" s="65" t="n">
        <f aca="false">IF(OR(V528="",V528=0),0,N528/V528)</f>
        <v>0.410156009674213</v>
      </c>
      <c r="AM528" s="65" t="n">
        <f aca="false">IF(OR(V528="",V528=0),0,1)</f>
        <v>1</v>
      </c>
      <c r="AN528" s="65" t="n">
        <f aca="false">IF(OR(E528="",F528=""),0,NETWORKDAYS(E528,F528,Ref!$K$2:$K$42))</f>
        <v>128</v>
      </c>
      <c r="AO528" s="65" t="n">
        <f aca="false">IF(L528="Renewal",1,0)</f>
        <v>0</v>
      </c>
      <c r="AP528" s="65" t="n">
        <f aca="false">AC528*AD528</f>
        <v>0</v>
      </c>
      <c r="AQ528" s="65" t="n">
        <f aca="false">IF(AND(G528&lt;&gt;"",'Historical Score'!$C$6&lt;&gt;""),IF(G528='Historical Score'!$C$6,1,0),0)</f>
        <v>0</v>
      </c>
      <c r="AR528" s="65" t="n">
        <f aca="false">IF(AND(L528&lt;&gt;"",'Historical Score'!$C$5&lt;&gt;""),IF(L528='Historical Score'!$C$5,1,0),0)</f>
        <v>1</v>
      </c>
      <c r="AS528" s="65" t="n">
        <f aca="false">IF(AND(Y528&lt;&gt;"",'Historical Score'!$C$7&lt;&gt;""),IF(Y528='Historical Score'!$C$7,1,0),0)</f>
        <v>0</v>
      </c>
      <c r="AT528" s="65" t="n">
        <f aca="false">IF(AND(K528&lt;&gt;"",'Historical Score'!$C$8&lt;&gt;""),IF(K528='Historical Score'!$C$8,1,0),0)</f>
        <v>0</v>
      </c>
      <c r="AU528" s="65" t="n">
        <f aca="false">IF(AND(J528&lt;&gt;"",'Historical Score'!$C$9&lt;&gt;""),IF(J528='Historical Score'!$C$9,1,0),0)</f>
        <v>1</v>
      </c>
      <c r="AV528" s="65" t="n">
        <f aca="false">AR528*AS528*AQ528</f>
        <v>0</v>
      </c>
      <c r="AW528" s="65" t="n">
        <f aca="false">AR528*AT528*AQ528</f>
        <v>0</v>
      </c>
      <c r="AX528" s="65" t="n">
        <f aca="false">AR528*AS528</f>
        <v>0</v>
      </c>
      <c r="AY528" s="65" t="n">
        <f aca="false">AR528*AT528</f>
        <v>0</v>
      </c>
      <c r="AZ528" s="65" t="n">
        <f aca="false">AR528*AQ528</f>
        <v>0</v>
      </c>
      <c r="BA528" s="65" t="n">
        <f aca="false">AR528</f>
        <v>1</v>
      </c>
      <c r="BB528" s="65" t="n">
        <f aca="false">1</f>
        <v>1</v>
      </c>
      <c r="BC528" s="65" t="n">
        <f aca="false">IF(AV528=1,1,IF(AW528=1,2,IF(AX528=1,3,IF(AY528=1,4,IF(AZ528=1,5,IF(BA528=1,6,7))))))</f>
        <v>6</v>
      </c>
      <c r="BD528" s="65" t="n">
        <f aca="false">IF(AD528=1,CHOOSE('Historical Score'!$C$29,AV528,AW528,AX528,AY528,AZ528,BA528,BB528),0)</f>
        <v>0</v>
      </c>
      <c r="BE528" s="65" t="str">
        <f aca="false">IF(BD528=1,COUNTIF($BD$2:BD528,1),"")</f>
        <v/>
      </c>
    </row>
    <row r="529" customFormat="false" ht="15" hidden="false" customHeight="false" outlineLevel="0" collapsed="false">
      <c r="A529" s="65" t="s">
        <v>1926</v>
      </c>
      <c r="B529" s="65" t="s">
        <v>1927</v>
      </c>
      <c r="C529" s="65" t="s">
        <v>1927</v>
      </c>
      <c r="D529" s="65" t="s">
        <v>295</v>
      </c>
      <c r="E529" s="112" t="n">
        <v>46035</v>
      </c>
      <c r="F529" s="112" t="n">
        <v>46248</v>
      </c>
      <c r="G529" s="65" t="n">
        <v>1</v>
      </c>
      <c r="H529" s="65" t="s">
        <v>505</v>
      </c>
      <c r="I529" s="65" t="s">
        <v>469</v>
      </c>
      <c r="J529" s="65" t="s">
        <v>61</v>
      </c>
      <c r="K529" s="65" t="s">
        <v>961</v>
      </c>
      <c r="L529" s="65" t="s">
        <v>64</v>
      </c>
      <c r="M529" s="113" t="n">
        <v>1.38</v>
      </c>
      <c r="N529" s="114" t="n">
        <v>150000</v>
      </c>
      <c r="O529" s="114" t="n">
        <v>17250</v>
      </c>
      <c r="P529" s="114" t="n">
        <v>207000</v>
      </c>
      <c r="Q529" s="114" t="n">
        <v>119389.2</v>
      </c>
      <c r="R529" s="114" t="n">
        <v>87610.8</v>
      </c>
      <c r="S529" s="115" t="n">
        <v>0.576759420289855</v>
      </c>
      <c r="T529" s="65" t="n">
        <v>52</v>
      </c>
      <c r="U529" s="65" t="n">
        <v>0</v>
      </c>
      <c r="V529" s="65" t="n">
        <v>329576.44</v>
      </c>
      <c r="W529" s="115" t="n">
        <v>0.0483</v>
      </c>
      <c r="X529" s="112" t="n">
        <v>43574</v>
      </c>
      <c r="Y529" s="65" t="str">
        <f aca="false">IF(I529="","No SIC",IFERROR(VLOOKUP(I529,Ref!$A$2:$B$65,2,FALSE()),"Unclassified"))</f>
        <v>Heavy Construction</v>
      </c>
      <c r="Z529" s="65" t="str">
        <f aca="false">IF(T529="","",IF(T529&lt;12,"Daily","Weekly"))</f>
        <v>Weekly</v>
      </c>
      <c r="AA529" s="65" t="n">
        <f aca="false">IF(T529="",0,IF(T529&lt;12,T529*Controls!$B$29,T529*5))</f>
        <v>260</v>
      </c>
      <c r="AB529" s="65" t="n">
        <f aca="false">IF(E529="",0,NETWORKDAYS(E529,Controls!$B$36,Ref!$K$2:$K$42))</f>
        <v>157</v>
      </c>
      <c r="AC529" s="65" t="n">
        <f aca="false">IF(AND(AA529&gt;0,AB529&gt;=Controls!$B$39*AA529),1,0)</f>
        <v>0</v>
      </c>
      <c r="AD529" s="65" t="n">
        <f aca="false">IF(AND(E529&lt;&gt;"",E529&gt;=Controls!$B$37,E529&lt;=Controls!$B$38),1,0)</f>
        <v>1</v>
      </c>
      <c r="AE529" s="65" t="n">
        <f aca="false">IF(IFERROR(VLOOKUP(D529,Controls!$A$64:$E$74,2,FALSE()),"No")="Yes",1,0)</f>
        <v>0</v>
      </c>
      <c r="AF529" s="65" t="n">
        <f aca="false">IF(IFERROR(VLOOKUP(D529,Controls!$A$64:$E$74,3,FALSE()),"No")="Yes",1,0)</f>
        <v>0</v>
      </c>
      <c r="AG529" s="65" t="n">
        <f aca="false">IF(IFERROR(VLOOKUP(D529,Controls!$A$64:$E$74,4,FALSE()),"No")="Yes",1,0)</f>
        <v>0</v>
      </c>
      <c r="AH529" s="65" t="n">
        <f aca="false">IF(IFERROR(VLOOKUP(D529,Controls!$A$64:$E$74,5,FALSE()),"No")="Yes",1,0)</f>
        <v>1</v>
      </c>
      <c r="AI529" s="65" t="n">
        <f aca="false">IF(ISNUMBER(MATCH(D529,Controls!$A$64:$A$74,0)),1,0)</f>
        <v>1</v>
      </c>
      <c r="AJ529" s="65" t="n">
        <f aca="false">Q529-N529</f>
        <v>-30610.8</v>
      </c>
      <c r="AK529" s="65" t="n">
        <f aca="false">IF(AE529=1,MAX(0,N529-Q529),0)</f>
        <v>0</v>
      </c>
      <c r="AL529" s="65" t="n">
        <f aca="false">IF(OR(V529="",V529=0),0,N529/V529)</f>
        <v>0.455129620309025</v>
      </c>
      <c r="AM529" s="65" t="n">
        <f aca="false">IF(OR(V529="",V529=0),0,1)</f>
        <v>1</v>
      </c>
      <c r="AN529" s="65" t="n">
        <f aca="false">IF(OR(E529="",F529=""),0,NETWORKDAYS(E529,F529,Ref!$K$2:$K$42))</f>
        <v>150</v>
      </c>
      <c r="AO529" s="65" t="n">
        <f aca="false">IF(L529="Renewal",1,0)</f>
        <v>0</v>
      </c>
      <c r="AP529" s="65" t="n">
        <f aca="false">AC529*AD529</f>
        <v>0</v>
      </c>
      <c r="AQ529" s="65" t="n">
        <f aca="false">IF(AND(G529&lt;&gt;"",'Historical Score'!$C$6&lt;&gt;""),IF(G529='Historical Score'!$C$6,1,0),0)</f>
        <v>0</v>
      </c>
      <c r="AR529" s="65" t="n">
        <f aca="false">IF(AND(L529&lt;&gt;"",'Historical Score'!$C$5&lt;&gt;""),IF(L529='Historical Score'!$C$5,1,0),0)</f>
        <v>1</v>
      </c>
      <c r="AS529" s="65" t="n">
        <f aca="false">IF(AND(Y529&lt;&gt;"",'Historical Score'!$C$7&lt;&gt;""),IF(Y529='Historical Score'!$C$7,1,0),0)</f>
        <v>0</v>
      </c>
      <c r="AT529" s="65" t="n">
        <f aca="false">IF(AND(K529&lt;&gt;"",'Historical Score'!$C$8&lt;&gt;""),IF(K529='Historical Score'!$C$8,1,0),0)</f>
        <v>0</v>
      </c>
      <c r="AU529" s="65" t="n">
        <f aca="false">IF(AND(J529&lt;&gt;"",'Historical Score'!$C$9&lt;&gt;""),IF(J529='Historical Score'!$C$9,1,0),0)</f>
        <v>1</v>
      </c>
      <c r="AV529" s="65" t="n">
        <f aca="false">AR529*AS529*AQ529</f>
        <v>0</v>
      </c>
      <c r="AW529" s="65" t="n">
        <f aca="false">AR529*AT529*AQ529</f>
        <v>0</v>
      </c>
      <c r="AX529" s="65" t="n">
        <f aca="false">AR529*AS529</f>
        <v>0</v>
      </c>
      <c r="AY529" s="65" t="n">
        <f aca="false">AR529*AT529</f>
        <v>0</v>
      </c>
      <c r="AZ529" s="65" t="n">
        <f aca="false">AR529*AQ529</f>
        <v>0</v>
      </c>
      <c r="BA529" s="65" t="n">
        <f aca="false">AR529</f>
        <v>1</v>
      </c>
      <c r="BB529" s="65" t="n">
        <f aca="false">1</f>
        <v>1</v>
      </c>
      <c r="BC529" s="65" t="n">
        <f aca="false">IF(AV529=1,1,IF(AW529=1,2,IF(AX529=1,3,IF(AY529=1,4,IF(AZ529=1,5,IF(BA529=1,6,7))))))</f>
        <v>6</v>
      </c>
      <c r="BD529" s="65" t="n">
        <f aca="false">IF(AD529=1,CHOOSE('Historical Score'!$C$29,AV529,AW529,AX529,AY529,AZ529,BA529,BB529),0)</f>
        <v>0</v>
      </c>
      <c r="BE529" s="65" t="str">
        <f aca="false">IF(BD529=1,COUNTIF($BD$2:BD529,1),"")</f>
        <v/>
      </c>
    </row>
    <row r="530" customFormat="false" ht="15" hidden="false" customHeight="false" outlineLevel="0" collapsed="false">
      <c r="A530" s="65" t="s">
        <v>1928</v>
      </c>
      <c r="B530" s="65" t="s">
        <v>1929</v>
      </c>
      <c r="C530" s="65" t="s">
        <v>1929</v>
      </c>
      <c r="D530" s="65" t="s">
        <v>340</v>
      </c>
      <c r="E530" s="112" t="n">
        <v>46035</v>
      </c>
      <c r="F530" s="112" t="n">
        <v>46196</v>
      </c>
      <c r="G530" s="65" t="n">
        <v>4</v>
      </c>
      <c r="H530" s="65" t="s">
        <v>1930</v>
      </c>
      <c r="I530" s="65" t="s">
        <v>425</v>
      </c>
      <c r="J530" s="65" t="s">
        <v>61</v>
      </c>
      <c r="K530" s="65" t="s">
        <v>961</v>
      </c>
      <c r="L530" s="65" t="s">
        <v>64</v>
      </c>
      <c r="M530" s="113" t="n">
        <v>1.46</v>
      </c>
      <c r="N530" s="114" t="n">
        <v>20000</v>
      </c>
      <c r="O530" s="114" t="n">
        <v>3300</v>
      </c>
      <c r="P530" s="114" t="n">
        <v>29200</v>
      </c>
      <c r="Q530" s="114" t="n">
        <v>21885.72</v>
      </c>
      <c r="R530" s="114" t="n">
        <v>7314.28</v>
      </c>
      <c r="S530" s="115" t="n">
        <v>0.74951095890411</v>
      </c>
      <c r="T530" s="65" t="n">
        <v>16</v>
      </c>
      <c r="U530" s="65" t="n">
        <v>11</v>
      </c>
      <c r="V530" s="65" t="n">
        <v>108721.93</v>
      </c>
      <c r="W530" s="115" t="n">
        <v>0.0671</v>
      </c>
      <c r="X530" s="112" t="n">
        <v>45275</v>
      </c>
      <c r="Y530" s="65" t="str">
        <f aca="false">IF(I530="","No SIC",IFERROR(VLOOKUP(I530,Ref!$A$2:$B$65,2,FALSE()),"Unclassified"))</f>
        <v>Personal Services</v>
      </c>
      <c r="Z530" s="65" t="str">
        <f aca="false">IF(T530="","",IF(T530&lt;12,"Daily","Weekly"))</f>
        <v>Weekly</v>
      </c>
      <c r="AA530" s="65" t="n">
        <f aca="false">IF(T530="",0,IF(T530&lt;12,T530*Controls!$B$29,T530*5))</f>
        <v>80</v>
      </c>
      <c r="AB530" s="65" t="n">
        <f aca="false">IF(E530="",0,NETWORKDAYS(E530,Controls!$B$36,Ref!$K$2:$K$42))</f>
        <v>157</v>
      </c>
      <c r="AC530" s="65" t="n">
        <f aca="false">IF(AND(AA530&gt;0,AB530&gt;=Controls!$B$39*AA530),1,0)</f>
        <v>1</v>
      </c>
      <c r="AD530" s="65" t="n">
        <f aca="false">IF(AND(E530&lt;&gt;"",E530&gt;=Controls!$B$37,E530&lt;=Controls!$B$38),1,0)</f>
        <v>1</v>
      </c>
      <c r="AE530" s="65" t="n">
        <f aca="false">IF(IFERROR(VLOOKUP(D530,Controls!$A$64:$E$74,2,FALSE()),"No")="Yes",1,0)</f>
        <v>1</v>
      </c>
      <c r="AF530" s="65" t="n">
        <f aca="false">IF(IFERROR(VLOOKUP(D530,Controls!$A$64:$E$74,3,FALSE()),"No")="Yes",1,0)</f>
        <v>0</v>
      </c>
      <c r="AG530" s="65" t="n">
        <f aca="false">IF(IFERROR(VLOOKUP(D530,Controls!$A$64:$E$74,4,FALSE()),"No")="Yes",1,0)</f>
        <v>0</v>
      </c>
      <c r="AH530" s="65" t="n">
        <f aca="false">IF(IFERROR(VLOOKUP(D530,Controls!$A$64:$E$74,5,FALSE()),"No")="Yes",1,0)</f>
        <v>0</v>
      </c>
      <c r="AI530" s="65" t="n">
        <f aca="false">IF(ISNUMBER(MATCH(D530,Controls!$A$64:$A$74,0)),1,0)</f>
        <v>1</v>
      </c>
      <c r="AJ530" s="65" t="n">
        <f aca="false">Q530-N530</f>
        <v>1885.72</v>
      </c>
      <c r="AK530" s="65" t="n">
        <f aca="false">IF(AE530=1,MAX(0,N530-Q530),0)</f>
        <v>0</v>
      </c>
      <c r="AL530" s="65" t="n">
        <f aca="false">IF(OR(V530="",V530=0),0,N530/V530)</f>
        <v>0.183955527647458</v>
      </c>
      <c r="AM530" s="65" t="n">
        <f aca="false">IF(OR(V530="",V530=0),0,1)</f>
        <v>1</v>
      </c>
      <c r="AN530" s="65" t="n">
        <f aca="false">IF(OR(E530="",F530=""),0,NETWORKDAYS(E530,F530,Ref!$K$2:$K$42))</f>
        <v>112</v>
      </c>
      <c r="AO530" s="65" t="n">
        <f aca="false">IF(L530="Renewal",1,0)</f>
        <v>0</v>
      </c>
      <c r="AP530" s="65" t="n">
        <f aca="false">AC530*AD530</f>
        <v>1</v>
      </c>
      <c r="AQ530" s="65" t="n">
        <f aca="false">IF(AND(G530&lt;&gt;"",'Historical Score'!$C$6&lt;&gt;""),IF(G530='Historical Score'!$C$6,1,0),0)</f>
        <v>0</v>
      </c>
      <c r="AR530" s="65" t="n">
        <f aca="false">IF(AND(L530&lt;&gt;"",'Historical Score'!$C$5&lt;&gt;""),IF(L530='Historical Score'!$C$5,1,0),0)</f>
        <v>1</v>
      </c>
      <c r="AS530" s="65" t="n">
        <f aca="false">IF(AND(Y530&lt;&gt;"",'Historical Score'!$C$7&lt;&gt;""),IF(Y530='Historical Score'!$C$7,1,0),0)</f>
        <v>0</v>
      </c>
      <c r="AT530" s="65" t="n">
        <f aca="false">IF(AND(K530&lt;&gt;"",'Historical Score'!$C$8&lt;&gt;""),IF(K530='Historical Score'!$C$8,1,0),0)</f>
        <v>0</v>
      </c>
      <c r="AU530" s="65" t="n">
        <f aca="false">IF(AND(J530&lt;&gt;"",'Historical Score'!$C$9&lt;&gt;""),IF(J530='Historical Score'!$C$9,1,0),0)</f>
        <v>1</v>
      </c>
      <c r="AV530" s="65" t="n">
        <f aca="false">AR530*AS530*AQ530</f>
        <v>0</v>
      </c>
      <c r="AW530" s="65" t="n">
        <f aca="false">AR530*AT530*AQ530</f>
        <v>0</v>
      </c>
      <c r="AX530" s="65" t="n">
        <f aca="false">AR530*AS530</f>
        <v>0</v>
      </c>
      <c r="AY530" s="65" t="n">
        <f aca="false">AR530*AT530</f>
        <v>0</v>
      </c>
      <c r="AZ530" s="65" t="n">
        <f aca="false">AR530*AQ530</f>
        <v>0</v>
      </c>
      <c r="BA530" s="65" t="n">
        <f aca="false">AR530</f>
        <v>1</v>
      </c>
      <c r="BB530" s="65" t="n">
        <f aca="false">1</f>
        <v>1</v>
      </c>
      <c r="BC530" s="65" t="n">
        <f aca="false">IF(AV530=1,1,IF(AW530=1,2,IF(AX530=1,3,IF(AY530=1,4,IF(AZ530=1,5,IF(BA530=1,6,7))))))</f>
        <v>6</v>
      </c>
      <c r="BD530" s="65" t="n">
        <f aca="false">IF(AD530=1,CHOOSE('Historical Score'!$C$29,AV530,AW530,AX530,AY530,AZ530,BA530,BB530),0)</f>
        <v>0</v>
      </c>
      <c r="BE530" s="65" t="str">
        <f aca="false">IF(BD530=1,COUNTIF($BD$2:BD530,1),"")</f>
        <v/>
      </c>
    </row>
    <row r="531" customFormat="false" ht="15" hidden="false" customHeight="false" outlineLevel="0" collapsed="false">
      <c r="A531" s="65" t="s">
        <v>1931</v>
      </c>
      <c r="B531" s="65" t="s">
        <v>1932</v>
      </c>
      <c r="C531" s="65" t="s">
        <v>1932</v>
      </c>
      <c r="D531" s="65" t="s">
        <v>295</v>
      </c>
      <c r="E531" s="112" t="n">
        <v>46035</v>
      </c>
      <c r="F531" s="112" t="n">
        <v>46240</v>
      </c>
      <c r="G531" s="65" t="n">
        <v>6</v>
      </c>
      <c r="H531" s="65" t="s">
        <v>1589</v>
      </c>
      <c r="I531" s="65" t="s">
        <v>1590</v>
      </c>
      <c r="J531" s="65" t="s">
        <v>489</v>
      </c>
      <c r="K531" s="65" t="s">
        <v>581</v>
      </c>
      <c r="L531" s="65" t="s">
        <v>64</v>
      </c>
      <c r="M531" s="113" t="n">
        <v>1.49</v>
      </c>
      <c r="N531" s="114" t="n">
        <v>13500</v>
      </c>
      <c r="O531" s="114" t="n">
        <v>1890</v>
      </c>
      <c r="P531" s="114" t="n">
        <v>20115</v>
      </c>
      <c r="Q531" s="114" t="n">
        <v>12906.94</v>
      </c>
      <c r="R531" s="114" t="n">
        <v>7208.06</v>
      </c>
      <c r="S531" s="115" t="n">
        <v>0.641657469550087</v>
      </c>
      <c r="T531" s="65" t="n">
        <v>1.967</v>
      </c>
      <c r="U531" s="65" t="n">
        <v>53</v>
      </c>
      <c r="V531" s="65" t="n">
        <v>39717.24</v>
      </c>
      <c r="W531" s="115" t="n">
        <v>0.1773</v>
      </c>
      <c r="X531" s="112" t="n">
        <v>44193</v>
      </c>
      <c r="Y531" s="65" t="str">
        <f aca="false">IF(I531="","No SIC",IFERROR(VLOOKUP(I531,Ref!$A$2:$B$65,2,FALSE()),"Unclassified"))</f>
        <v>Legal Services</v>
      </c>
      <c r="Z531" s="65" t="str">
        <f aca="false">IF(T531="","",IF(T531&lt;12,"Daily","Weekly"))</f>
        <v>Daily</v>
      </c>
      <c r="AA531" s="65" t="n">
        <f aca="false">IF(T531="",0,IF(T531&lt;12,T531*Controls!$B$29,T531*5))</f>
        <v>42.595385</v>
      </c>
      <c r="AB531" s="65" t="n">
        <f aca="false">IF(E531="",0,NETWORKDAYS(E531,Controls!$B$36,Ref!$K$2:$K$42))</f>
        <v>157</v>
      </c>
      <c r="AC531" s="65" t="n">
        <f aca="false">IF(AND(AA531&gt;0,AB531&gt;=Controls!$B$39*AA531),1,0)</f>
        <v>1</v>
      </c>
      <c r="AD531" s="65" t="n">
        <f aca="false">IF(AND(E531&lt;&gt;"",E531&gt;=Controls!$B$37,E531&lt;=Controls!$B$38),1,0)</f>
        <v>1</v>
      </c>
      <c r="AE531" s="65" t="n">
        <f aca="false">IF(IFERROR(VLOOKUP(D531,Controls!$A$64:$E$74,2,FALSE()),"No")="Yes",1,0)</f>
        <v>0</v>
      </c>
      <c r="AF531" s="65" t="n">
        <f aca="false">IF(IFERROR(VLOOKUP(D531,Controls!$A$64:$E$74,3,FALSE()),"No")="Yes",1,0)</f>
        <v>0</v>
      </c>
      <c r="AG531" s="65" t="n">
        <f aca="false">IF(IFERROR(VLOOKUP(D531,Controls!$A$64:$E$74,4,FALSE()),"No")="Yes",1,0)</f>
        <v>0</v>
      </c>
      <c r="AH531" s="65" t="n">
        <f aca="false">IF(IFERROR(VLOOKUP(D531,Controls!$A$64:$E$74,5,FALSE()),"No")="Yes",1,0)</f>
        <v>1</v>
      </c>
      <c r="AI531" s="65" t="n">
        <f aca="false">IF(ISNUMBER(MATCH(D531,Controls!$A$64:$A$74,0)),1,0)</f>
        <v>1</v>
      </c>
      <c r="AJ531" s="65" t="n">
        <f aca="false">Q531-N531</f>
        <v>-593.06</v>
      </c>
      <c r="AK531" s="65" t="n">
        <f aca="false">IF(AE531=1,MAX(0,N531-Q531),0)</f>
        <v>0</v>
      </c>
      <c r="AL531" s="65" t="n">
        <f aca="false">IF(OR(V531="",V531=0),0,N531/V531)</f>
        <v>0.339902772700218</v>
      </c>
      <c r="AM531" s="65" t="n">
        <f aca="false">IF(OR(V531="",V531=0),0,1)</f>
        <v>1</v>
      </c>
      <c r="AN531" s="65" t="n">
        <f aca="false">IF(OR(E531="",F531=""),0,NETWORKDAYS(E531,F531,Ref!$K$2:$K$42))</f>
        <v>144</v>
      </c>
      <c r="AO531" s="65" t="n">
        <f aca="false">IF(L531="Renewal",1,0)</f>
        <v>0</v>
      </c>
      <c r="AP531" s="65" t="n">
        <f aca="false">AC531*AD531</f>
        <v>1</v>
      </c>
      <c r="AQ531" s="65" t="n">
        <f aca="false">IF(AND(G531&lt;&gt;"",'Historical Score'!$C$6&lt;&gt;""),IF(G531='Historical Score'!$C$6,1,0),0)</f>
        <v>0</v>
      </c>
      <c r="AR531" s="65" t="n">
        <f aca="false">IF(AND(L531&lt;&gt;"",'Historical Score'!$C$5&lt;&gt;""),IF(L531='Historical Score'!$C$5,1,0),0)</f>
        <v>1</v>
      </c>
      <c r="AS531" s="65" t="n">
        <f aca="false">IF(AND(Y531&lt;&gt;"",'Historical Score'!$C$7&lt;&gt;""),IF(Y531='Historical Score'!$C$7,1,0),0)</f>
        <v>0</v>
      </c>
      <c r="AT531" s="65" t="n">
        <f aca="false">IF(AND(K531&lt;&gt;"",'Historical Score'!$C$8&lt;&gt;""),IF(K531='Historical Score'!$C$8,1,0),0)</f>
        <v>0</v>
      </c>
      <c r="AU531" s="65" t="n">
        <f aca="false">IF(AND(J531&lt;&gt;"",'Historical Score'!$C$9&lt;&gt;""),IF(J531='Historical Score'!$C$9,1,0),0)</f>
        <v>0</v>
      </c>
      <c r="AV531" s="65" t="n">
        <f aca="false">AR531*AS531*AQ531</f>
        <v>0</v>
      </c>
      <c r="AW531" s="65" t="n">
        <f aca="false">AR531*AT531*AQ531</f>
        <v>0</v>
      </c>
      <c r="AX531" s="65" t="n">
        <f aca="false">AR531*AS531</f>
        <v>0</v>
      </c>
      <c r="AY531" s="65" t="n">
        <f aca="false">AR531*AT531</f>
        <v>0</v>
      </c>
      <c r="AZ531" s="65" t="n">
        <f aca="false">AR531*AQ531</f>
        <v>0</v>
      </c>
      <c r="BA531" s="65" t="n">
        <f aca="false">AR531</f>
        <v>1</v>
      </c>
      <c r="BB531" s="65" t="n">
        <f aca="false">1</f>
        <v>1</v>
      </c>
      <c r="BC531" s="65" t="n">
        <f aca="false">IF(AV531=1,1,IF(AW531=1,2,IF(AX531=1,3,IF(AY531=1,4,IF(AZ531=1,5,IF(BA531=1,6,7))))))</f>
        <v>6</v>
      </c>
      <c r="BD531" s="65" t="n">
        <f aca="false">IF(AD531=1,CHOOSE('Historical Score'!$C$29,AV531,AW531,AX531,AY531,AZ531,BA531,BB531),0)</f>
        <v>0</v>
      </c>
      <c r="BE531" s="65" t="str">
        <f aca="false">IF(BD531=1,COUNTIF($BD$2:BD531,1),"")</f>
        <v/>
      </c>
    </row>
    <row r="532" customFormat="false" ht="15" hidden="false" customHeight="false" outlineLevel="0" collapsed="false">
      <c r="A532" s="65" t="s">
        <v>1933</v>
      </c>
      <c r="B532" s="65" t="s">
        <v>1009</v>
      </c>
      <c r="C532" s="65" t="s">
        <v>1009</v>
      </c>
      <c r="D532" s="65" t="s">
        <v>371</v>
      </c>
      <c r="E532" s="112" t="n">
        <v>46035</v>
      </c>
      <c r="F532" s="112" t="n">
        <v>46168</v>
      </c>
      <c r="G532" s="65" t="n">
        <v>5</v>
      </c>
      <c r="H532" s="65" t="s">
        <v>1589</v>
      </c>
      <c r="I532" s="65" t="s">
        <v>1590</v>
      </c>
      <c r="J532" s="65" t="s">
        <v>671</v>
      </c>
      <c r="K532" s="65" t="s">
        <v>578</v>
      </c>
      <c r="L532" s="65" t="s">
        <v>320</v>
      </c>
      <c r="M532" s="113" t="n">
        <v>1.49</v>
      </c>
      <c r="N532" s="114" t="n">
        <v>65000</v>
      </c>
      <c r="O532" s="114" t="n">
        <v>9100</v>
      </c>
      <c r="P532" s="114" t="n">
        <v>96850</v>
      </c>
      <c r="Q532" s="114" t="n">
        <v>96850</v>
      </c>
      <c r="R532" s="114" t="n">
        <v>0</v>
      </c>
      <c r="S532" s="115" t="n">
        <v>1</v>
      </c>
      <c r="T532" s="65" t="n">
        <v>32</v>
      </c>
      <c r="U532" s="65" t="n">
        <v>3</v>
      </c>
      <c r="V532" s="65" t="n">
        <v>122458.04</v>
      </c>
      <c r="W532" s="115" t="n">
        <v>0.1041</v>
      </c>
      <c r="X532" s="112"/>
      <c r="Y532" s="65" t="str">
        <f aca="false">IF(I532="","No SIC",IFERROR(VLOOKUP(I532,Ref!$A$2:$B$65,2,FALSE()),"Unclassified"))</f>
        <v>Legal Services</v>
      </c>
      <c r="Z532" s="65" t="str">
        <f aca="false">IF(T532="","",IF(T532&lt;12,"Daily","Weekly"))</f>
        <v>Weekly</v>
      </c>
      <c r="AA532" s="65" t="n">
        <f aca="false">IF(T532="",0,IF(T532&lt;12,T532*Controls!$B$29,T532*5))</f>
        <v>160</v>
      </c>
      <c r="AB532" s="65" t="n">
        <f aca="false">IF(E532="",0,NETWORKDAYS(E532,Controls!$B$36,Ref!$K$2:$K$42))</f>
        <v>157</v>
      </c>
      <c r="AC532" s="65" t="n">
        <f aca="false">IF(AND(AA532&gt;0,AB532&gt;=Controls!$B$39*AA532),1,0)</f>
        <v>0</v>
      </c>
      <c r="AD532" s="65" t="n">
        <f aca="false">IF(AND(E532&lt;&gt;"",E532&gt;=Controls!$B$37,E532&lt;=Controls!$B$38),1,0)</f>
        <v>1</v>
      </c>
      <c r="AE532" s="65" t="n">
        <f aca="false">IF(IFERROR(VLOOKUP(D532,Controls!$A$64:$E$74,2,FALSE()),"No")="Yes",1,0)</f>
        <v>0</v>
      </c>
      <c r="AF532" s="65" t="n">
        <f aca="false">IF(IFERROR(VLOOKUP(D532,Controls!$A$64:$E$74,3,FALSE()),"No")="Yes",1,0)</f>
        <v>1</v>
      </c>
      <c r="AG532" s="65" t="n">
        <f aca="false">IF(IFERROR(VLOOKUP(D532,Controls!$A$64:$E$74,4,FALSE()),"No")="Yes",1,0)</f>
        <v>1</v>
      </c>
      <c r="AH532" s="65" t="n">
        <f aca="false">IF(IFERROR(VLOOKUP(D532,Controls!$A$64:$E$74,5,FALSE()),"No")="Yes",1,0)</f>
        <v>0</v>
      </c>
      <c r="AI532" s="65" t="n">
        <f aca="false">IF(ISNUMBER(MATCH(D532,Controls!$A$64:$A$74,0)),1,0)</f>
        <v>1</v>
      </c>
      <c r="AJ532" s="65" t="n">
        <f aca="false">Q532-N532</f>
        <v>31850</v>
      </c>
      <c r="AK532" s="65" t="n">
        <f aca="false">IF(AE532=1,MAX(0,N532-Q532),0)</f>
        <v>0</v>
      </c>
      <c r="AL532" s="65" t="n">
        <f aca="false">IF(OR(V532="",V532=0),0,N532/V532)</f>
        <v>0.53079405811166</v>
      </c>
      <c r="AM532" s="65" t="n">
        <f aca="false">IF(OR(V532="",V532=0),0,1)</f>
        <v>1</v>
      </c>
      <c r="AN532" s="65" t="n">
        <f aca="false">IF(OR(E532="",F532=""),0,NETWORKDAYS(E532,F532,Ref!$K$2:$K$42))</f>
        <v>93</v>
      </c>
      <c r="AO532" s="65" t="n">
        <f aca="false">IF(L532="Renewal",1,0)</f>
        <v>1</v>
      </c>
      <c r="AP532" s="65" t="n">
        <f aca="false">AC532*AD532</f>
        <v>0</v>
      </c>
      <c r="AQ532" s="65" t="n">
        <f aca="false">IF(AND(G532&lt;&gt;"",'Historical Score'!$C$6&lt;&gt;""),IF(G532='Historical Score'!$C$6,1,0),0)</f>
        <v>0</v>
      </c>
      <c r="AR532" s="65" t="n">
        <f aca="false">IF(AND(L532&lt;&gt;"",'Historical Score'!$C$5&lt;&gt;""),IF(L532='Historical Score'!$C$5,1,0),0)</f>
        <v>0</v>
      </c>
      <c r="AS532" s="65" t="n">
        <f aca="false">IF(AND(Y532&lt;&gt;"",'Historical Score'!$C$7&lt;&gt;""),IF(Y532='Historical Score'!$C$7,1,0),0)</f>
        <v>0</v>
      </c>
      <c r="AT532" s="65" t="n">
        <f aca="false">IF(AND(K532&lt;&gt;"",'Historical Score'!$C$8&lt;&gt;""),IF(K532='Historical Score'!$C$8,1,0),0)</f>
        <v>0</v>
      </c>
      <c r="AU532" s="65" t="n">
        <f aca="false">IF(AND(J532&lt;&gt;"",'Historical Score'!$C$9&lt;&gt;""),IF(J532='Historical Score'!$C$9,1,0),0)</f>
        <v>0</v>
      </c>
      <c r="AV532" s="65" t="n">
        <f aca="false">AR532*AS532*AQ532</f>
        <v>0</v>
      </c>
      <c r="AW532" s="65" t="n">
        <f aca="false">AR532*AT532*AQ532</f>
        <v>0</v>
      </c>
      <c r="AX532" s="65" t="n">
        <f aca="false">AR532*AS532</f>
        <v>0</v>
      </c>
      <c r="AY532" s="65" t="n">
        <f aca="false">AR532*AT532</f>
        <v>0</v>
      </c>
      <c r="AZ532" s="65" t="n">
        <f aca="false">AR532*AQ532</f>
        <v>0</v>
      </c>
      <c r="BA532" s="65" t="n">
        <f aca="false">AR532</f>
        <v>0</v>
      </c>
      <c r="BB532" s="65" t="n">
        <f aca="false">1</f>
        <v>1</v>
      </c>
      <c r="BC532" s="65" t="n">
        <f aca="false">IF(AV532=1,1,IF(AW532=1,2,IF(AX532=1,3,IF(AY532=1,4,IF(AZ532=1,5,IF(BA532=1,6,7))))))</f>
        <v>7</v>
      </c>
      <c r="BD532" s="65" t="n">
        <f aca="false">IF(AD532=1,CHOOSE('Historical Score'!$C$29,AV532,AW532,AX532,AY532,AZ532,BA532,BB532),0)</f>
        <v>0</v>
      </c>
      <c r="BE532" s="65" t="str">
        <f aca="false">IF(BD532=1,COUNTIF($BD$2:BD532,1),"")</f>
        <v/>
      </c>
    </row>
    <row r="533" customFormat="false" ht="15" hidden="false" customHeight="false" outlineLevel="0" collapsed="false">
      <c r="A533" s="65" t="s">
        <v>1934</v>
      </c>
      <c r="B533" s="65" t="s">
        <v>1935</v>
      </c>
      <c r="C533" s="65" t="s">
        <v>1935</v>
      </c>
      <c r="D533" s="65" t="s">
        <v>371</v>
      </c>
      <c r="E533" s="112" t="n">
        <v>46035</v>
      </c>
      <c r="F533" s="112" t="n">
        <v>46155</v>
      </c>
      <c r="G533" s="65" t="n">
        <v>5</v>
      </c>
      <c r="H533" s="65" t="s">
        <v>500</v>
      </c>
      <c r="I533" s="65" t="s">
        <v>475</v>
      </c>
      <c r="J533" s="65" t="s">
        <v>61</v>
      </c>
      <c r="K533" s="65" t="s">
        <v>55</v>
      </c>
      <c r="L533" s="65" t="s">
        <v>64</v>
      </c>
      <c r="M533" s="113" t="n">
        <v>1.49</v>
      </c>
      <c r="N533" s="114" t="n">
        <v>35000</v>
      </c>
      <c r="O533" s="114" t="n">
        <v>4900</v>
      </c>
      <c r="P533" s="114" t="n">
        <v>52150</v>
      </c>
      <c r="Q533" s="114" t="n">
        <v>52150</v>
      </c>
      <c r="R533" s="114" t="n">
        <v>0</v>
      </c>
      <c r="S533" s="115" t="n">
        <v>1</v>
      </c>
      <c r="T533" s="65" t="n">
        <v>3.607</v>
      </c>
      <c r="U533" s="65" t="n">
        <v>0</v>
      </c>
      <c r="V533" s="65" t="n">
        <v>135177.51</v>
      </c>
      <c r="W533" s="115" t="n">
        <v>0.0737</v>
      </c>
      <c r="X533" s="112"/>
      <c r="Y533" s="65" t="str">
        <f aca="false">IF(I533="","No SIC",IFERROR(VLOOKUP(I533,Ref!$A$2:$B$65,2,FALSE()),"Unclassified"))</f>
        <v>Auto Repair &amp; Services</v>
      </c>
      <c r="Z533" s="65" t="str">
        <f aca="false">IF(T533="","",IF(T533&lt;12,"Daily","Weekly"))</f>
        <v>Daily</v>
      </c>
      <c r="AA533" s="65" t="n">
        <f aca="false">IF(T533="",0,IF(T533&lt;12,T533*Controls!$B$29,T533*5))</f>
        <v>78.109585</v>
      </c>
      <c r="AB533" s="65" t="n">
        <f aca="false">IF(E533="",0,NETWORKDAYS(E533,Controls!$B$36,Ref!$K$2:$K$42))</f>
        <v>157</v>
      </c>
      <c r="AC533" s="65" t="n">
        <f aca="false">IF(AND(AA533&gt;0,AB533&gt;=Controls!$B$39*AA533),1,0)</f>
        <v>1</v>
      </c>
      <c r="AD533" s="65" t="n">
        <f aca="false">IF(AND(E533&lt;&gt;"",E533&gt;=Controls!$B$37,E533&lt;=Controls!$B$38),1,0)</f>
        <v>1</v>
      </c>
      <c r="AE533" s="65" t="n">
        <f aca="false">IF(IFERROR(VLOOKUP(D533,Controls!$A$64:$E$74,2,FALSE()),"No")="Yes",1,0)</f>
        <v>0</v>
      </c>
      <c r="AF533" s="65" t="n">
        <f aca="false">IF(IFERROR(VLOOKUP(D533,Controls!$A$64:$E$74,3,FALSE()),"No")="Yes",1,0)</f>
        <v>1</v>
      </c>
      <c r="AG533" s="65" t="n">
        <f aca="false">IF(IFERROR(VLOOKUP(D533,Controls!$A$64:$E$74,4,FALSE()),"No")="Yes",1,0)</f>
        <v>1</v>
      </c>
      <c r="AH533" s="65" t="n">
        <f aca="false">IF(IFERROR(VLOOKUP(D533,Controls!$A$64:$E$74,5,FALSE()),"No")="Yes",1,0)</f>
        <v>0</v>
      </c>
      <c r="AI533" s="65" t="n">
        <f aca="false">IF(ISNUMBER(MATCH(D533,Controls!$A$64:$A$74,0)),1,0)</f>
        <v>1</v>
      </c>
      <c r="AJ533" s="65" t="n">
        <f aca="false">Q533-N533</f>
        <v>17150</v>
      </c>
      <c r="AK533" s="65" t="n">
        <f aca="false">IF(AE533=1,MAX(0,N533-Q533),0)</f>
        <v>0</v>
      </c>
      <c r="AL533" s="65" t="n">
        <f aca="false">IF(OR(V533="",V533=0),0,N533/V533)</f>
        <v>0.258918809793138</v>
      </c>
      <c r="AM533" s="65" t="n">
        <f aca="false">IF(OR(V533="",V533=0),0,1)</f>
        <v>1</v>
      </c>
      <c r="AN533" s="65" t="n">
        <f aca="false">IF(OR(E533="",F533=""),0,NETWORKDAYS(E533,F533,Ref!$K$2:$K$42))</f>
        <v>85</v>
      </c>
      <c r="AO533" s="65" t="n">
        <f aca="false">IF(L533="Renewal",1,0)</f>
        <v>0</v>
      </c>
      <c r="AP533" s="65" t="n">
        <f aca="false">AC533*AD533</f>
        <v>1</v>
      </c>
      <c r="AQ533" s="65" t="n">
        <f aca="false">IF(AND(G533&lt;&gt;"",'Historical Score'!$C$6&lt;&gt;""),IF(G533='Historical Score'!$C$6,1,0),0)</f>
        <v>0</v>
      </c>
      <c r="AR533" s="65" t="n">
        <f aca="false">IF(AND(L533&lt;&gt;"",'Historical Score'!$C$5&lt;&gt;""),IF(L533='Historical Score'!$C$5,1,0),0)</f>
        <v>1</v>
      </c>
      <c r="AS533" s="65" t="n">
        <f aca="false">IF(AND(Y533&lt;&gt;"",'Historical Score'!$C$7&lt;&gt;""),IF(Y533='Historical Score'!$C$7,1,0),0)</f>
        <v>0</v>
      </c>
      <c r="AT533" s="65" t="n">
        <f aca="false">IF(AND(K533&lt;&gt;"",'Historical Score'!$C$8&lt;&gt;""),IF(K533='Historical Score'!$C$8,1,0),0)</f>
        <v>1</v>
      </c>
      <c r="AU533" s="65" t="n">
        <f aca="false">IF(AND(J533&lt;&gt;"",'Historical Score'!$C$9&lt;&gt;""),IF(J533='Historical Score'!$C$9,1,0),0)</f>
        <v>1</v>
      </c>
      <c r="AV533" s="65" t="n">
        <f aca="false">AR533*AS533*AQ533</f>
        <v>0</v>
      </c>
      <c r="AW533" s="65" t="n">
        <f aca="false">AR533*AT533*AQ533</f>
        <v>0</v>
      </c>
      <c r="AX533" s="65" t="n">
        <f aca="false">AR533*AS533</f>
        <v>0</v>
      </c>
      <c r="AY533" s="65" t="n">
        <f aca="false">AR533*AT533</f>
        <v>1</v>
      </c>
      <c r="AZ533" s="65" t="n">
        <f aca="false">AR533*AQ533</f>
        <v>0</v>
      </c>
      <c r="BA533" s="65" t="n">
        <f aca="false">AR533</f>
        <v>1</v>
      </c>
      <c r="BB533" s="65" t="n">
        <f aca="false">1</f>
        <v>1</v>
      </c>
      <c r="BC533" s="65" t="n">
        <f aca="false">IF(AV533=1,1,IF(AW533=1,2,IF(AX533=1,3,IF(AY533=1,4,IF(AZ533=1,5,IF(BA533=1,6,7))))))</f>
        <v>4</v>
      </c>
      <c r="BD533" s="65" t="n">
        <f aca="false">IF(AD533=1,CHOOSE('Historical Score'!$C$29,AV533,AW533,AX533,AY533,AZ533,BA533,BB533),0)</f>
        <v>0</v>
      </c>
      <c r="BE533" s="65" t="str">
        <f aca="false">IF(BD533=1,COUNTIF($BD$2:BD533,1),"")</f>
        <v/>
      </c>
    </row>
    <row r="534" customFormat="false" ht="15" hidden="false" customHeight="false" outlineLevel="0" collapsed="false">
      <c r="A534" s="65" t="s">
        <v>1936</v>
      </c>
      <c r="B534" s="65" t="s">
        <v>1937</v>
      </c>
      <c r="C534" s="65" t="s">
        <v>1938</v>
      </c>
      <c r="D534" s="65" t="s">
        <v>371</v>
      </c>
      <c r="E534" s="112" t="n">
        <v>46035</v>
      </c>
      <c r="F534" s="112" t="n">
        <v>46112</v>
      </c>
      <c r="G534" s="65" t="n">
        <v>5</v>
      </c>
      <c r="H534" s="65" t="s">
        <v>500</v>
      </c>
      <c r="I534" s="65" t="s">
        <v>475</v>
      </c>
      <c r="J534" s="65" t="s">
        <v>61</v>
      </c>
      <c r="K534" s="65" t="s">
        <v>983</v>
      </c>
      <c r="L534" s="65" t="s">
        <v>64</v>
      </c>
      <c r="M534" s="113" t="n">
        <v>1.49</v>
      </c>
      <c r="N534" s="114" t="n">
        <v>20000</v>
      </c>
      <c r="O534" s="114" t="n">
        <v>2800</v>
      </c>
      <c r="P534" s="114" t="n">
        <v>29800</v>
      </c>
      <c r="Q534" s="114" t="n">
        <v>29800</v>
      </c>
      <c r="R534" s="114" t="n">
        <v>0</v>
      </c>
      <c r="S534" s="115" t="n">
        <v>1</v>
      </c>
      <c r="T534" s="65" t="n">
        <v>2.951</v>
      </c>
      <c r="U534" s="65" t="n">
        <v>0</v>
      </c>
      <c r="V534" s="65" t="n">
        <v>50675.93</v>
      </c>
      <c r="W534" s="115" t="n">
        <v>0.1372</v>
      </c>
      <c r="X534" s="112" t="n">
        <v>44845</v>
      </c>
      <c r="Y534" s="65" t="str">
        <f aca="false">IF(I534="","No SIC",IFERROR(VLOOKUP(I534,Ref!$A$2:$B$65,2,FALSE()),"Unclassified"))</f>
        <v>Auto Repair &amp; Services</v>
      </c>
      <c r="Z534" s="65" t="str">
        <f aca="false">IF(T534="","",IF(T534&lt;12,"Daily","Weekly"))</f>
        <v>Daily</v>
      </c>
      <c r="AA534" s="65" t="n">
        <f aca="false">IF(T534="",0,IF(T534&lt;12,T534*Controls!$B$29,T534*5))</f>
        <v>63.903905</v>
      </c>
      <c r="AB534" s="65" t="n">
        <f aca="false">IF(E534="",0,NETWORKDAYS(E534,Controls!$B$36,Ref!$K$2:$K$42))</f>
        <v>157</v>
      </c>
      <c r="AC534" s="65" t="n">
        <f aca="false">IF(AND(AA534&gt;0,AB534&gt;=Controls!$B$39*AA534),1,0)</f>
        <v>1</v>
      </c>
      <c r="AD534" s="65" t="n">
        <f aca="false">IF(AND(E534&lt;&gt;"",E534&gt;=Controls!$B$37,E534&lt;=Controls!$B$38),1,0)</f>
        <v>1</v>
      </c>
      <c r="AE534" s="65" t="n">
        <f aca="false">IF(IFERROR(VLOOKUP(D534,Controls!$A$64:$E$74,2,FALSE()),"No")="Yes",1,0)</f>
        <v>0</v>
      </c>
      <c r="AF534" s="65" t="n">
        <f aca="false">IF(IFERROR(VLOOKUP(D534,Controls!$A$64:$E$74,3,FALSE()),"No")="Yes",1,0)</f>
        <v>1</v>
      </c>
      <c r="AG534" s="65" t="n">
        <f aca="false">IF(IFERROR(VLOOKUP(D534,Controls!$A$64:$E$74,4,FALSE()),"No")="Yes",1,0)</f>
        <v>1</v>
      </c>
      <c r="AH534" s="65" t="n">
        <f aca="false">IF(IFERROR(VLOOKUP(D534,Controls!$A$64:$E$74,5,FALSE()),"No")="Yes",1,0)</f>
        <v>0</v>
      </c>
      <c r="AI534" s="65" t="n">
        <f aca="false">IF(ISNUMBER(MATCH(D534,Controls!$A$64:$A$74,0)),1,0)</f>
        <v>1</v>
      </c>
      <c r="AJ534" s="65" t="n">
        <f aca="false">Q534-N534</f>
        <v>9800</v>
      </c>
      <c r="AK534" s="65" t="n">
        <f aca="false">IF(AE534=1,MAX(0,N534-Q534),0)</f>
        <v>0</v>
      </c>
      <c r="AL534" s="65" t="n">
        <f aca="false">IF(OR(V534="",V534=0),0,N534/V534)</f>
        <v>0.394664685976163</v>
      </c>
      <c r="AM534" s="65" t="n">
        <f aca="false">IF(OR(V534="",V534=0),0,1)</f>
        <v>1</v>
      </c>
      <c r="AN534" s="65" t="n">
        <f aca="false">IF(OR(E534="",F534=""),0,NETWORKDAYS(E534,F534,Ref!$K$2:$K$42))</f>
        <v>54</v>
      </c>
      <c r="AO534" s="65" t="n">
        <f aca="false">IF(L534="Renewal",1,0)</f>
        <v>0</v>
      </c>
      <c r="AP534" s="65" t="n">
        <f aca="false">AC534*AD534</f>
        <v>1</v>
      </c>
      <c r="AQ534" s="65" t="n">
        <f aca="false">IF(AND(G534&lt;&gt;"",'Historical Score'!$C$6&lt;&gt;""),IF(G534='Historical Score'!$C$6,1,0),0)</f>
        <v>0</v>
      </c>
      <c r="AR534" s="65" t="n">
        <f aca="false">IF(AND(L534&lt;&gt;"",'Historical Score'!$C$5&lt;&gt;""),IF(L534='Historical Score'!$C$5,1,0),0)</f>
        <v>1</v>
      </c>
      <c r="AS534" s="65" t="n">
        <f aca="false">IF(AND(Y534&lt;&gt;"",'Historical Score'!$C$7&lt;&gt;""),IF(Y534='Historical Score'!$C$7,1,0),0)</f>
        <v>0</v>
      </c>
      <c r="AT534" s="65" t="n">
        <f aca="false">IF(AND(K534&lt;&gt;"",'Historical Score'!$C$8&lt;&gt;""),IF(K534='Historical Score'!$C$8,1,0),0)</f>
        <v>0</v>
      </c>
      <c r="AU534" s="65" t="n">
        <f aca="false">IF(AND(J534&lt;&gt;"",'Historical Score'!$C$9&lt;&gt;""),IF(J534='Historical Score'!$C$9,1,0),0)</f>
        <v>1</v>
      </c>
      <c r="AV534" s="65" t="n">
        <f aca="false">AR534*AS534*AQ534</f>
        <v>0</v>
      </c>
      <c r="AW534" s="65" t="n">
        <f aca="false">AR534*AT534*AQ534</f>
        <v>0</v>
      </c>
      <c r="AX534" s="65" t="n">
        <f aca="false">AR534*AS534</f>
        <v>0</v>
      </c>
      <c r="AY534" s="65" t="n">
        <f aca="false">AR534*AT534</f>
        <v>0</v>
      </c>
      <c r="AZ534" s="65" t="n">
        <f aca="false">AR534*AQ534</f>
        <v>0</v>
      </c>
      <c r="BA534" s="65" t="n">
        <f aca="false">AR534</f>
        <v>1</v>
      </c>
      <c r="BB534" s="65" t="n">
        <f aca="false">1</f>
        <v>1</v>
      </c>
      <c r="BC534" s="65" t="n">
        <f aca="false">IF(AV534=1,1,IF(AW534=1,2,IF(AX534=1,3,IF(AY534=1,4,IF(AZ534=1,5,IF(BA534=1,6,7))))))</f>
        <v>6</v>
      </c>
      <c r="BD534" s="65" t="n">
        <f aca="false">IF(AD534=1,CHOOSE('Historical Score'!$C$29,AV534,AW534,AX534,AY534,AZ534,BA534,BB534),0)</f>
        <v>0</v>
      </c>
      <c r="BE534" s="65" t="str">
        <f aca="false">IF(BD534=1,COUNTIF($BD$2:BD534,1),"")</f>
        <v/>
      </c>
    </row>
    <row r="535" customFormat="false" ht="15" hidden="false" customHeight="false" outlineLevel="0" collapsed="false">
      <c r="A535" s="65" t="s">
        <v>1939</v>
      </c>
      <c r="B535" s="65" t="s">
        <v>1213</v>
      </c>
      <c r="C535" s="65" t="s">
        <v>1214</v>
      </c>
      <c r="D535" s="65" t="s">
        <v>371</v>
      </c>
      <c r="E535" s="112" t="n">
        <v>46036</v>
      </c>
      <c r="F535" s="112" t="n">
        <v>46184</v>
      </c>
      <c r="G535" s="65" t="n">
        <v>1</v>
      </c>
      <c r="H535" s="65" t="s">
        <v>409</v>
      </c>
      <c r="I535" s="65" t="s">
        <v>342</v>
      </c>
      <c r="J535" s="65" t="s">
        <v>555</v>
      </c>
      <c r="K535" s="65" t="s">
        <v>578</v>
      </c>
      <c r="L535" s="65" t="s">
        <v>320</v>
      </c>
      <c r="M535" s="113" t="n">
        <v>1.45</v>
      </c>
      <c r="N535" s="114" t="n">
        <v>65000</v>
      </c>
      <c r="O535" s="114" t="n">
        <v>7800</v>
      </c>
      <c r="P535" s="114" t="n">
        <v>94250</v>
      </c>
      <c r="Q535" s="114" t="n">
        <v>94250</v>
      </c>
      <c r="R535" s="114" t="n">
        <v>0</v>
      </c>
      <c r="S535" s="115" t="n">
        <v>1</v>
      </c>
      <c r="T535" s="65" t="n">
        <v>5.246</v>
      </c>
      <c r="U535" s="65" t="n">
        <v>9</v>
      </c>
      <c r="V535" s="65" t="n">
        <v>73218.44</v>
      </c>
      <c r="W535" s="115" t="n">
        <v>0.169</v>
      </c>
      <c r="X535" s="112"/>
      <c r="Y535" s="65" t="str">
        <f aca="false">IF(I535="","No SIC",IFERROR(VLOOKUP(I535,Ref!$A$2:$B$65,2,FALSE()),"Unclassified"))</f>
        <v>Eating &amp; Drinking Places</v>
      </c>
      <c r="Z535" s="65" t="str">
        <f aca="false">IF(T535="","",IF(T535&lt;12,"Daily","Weekly"))</f>
        <v>Daily</v>
      </c>
      <c r="AA535" s="65" t="n">
        <f aca="false">IF(T535="",0,IF(T535&lt;12,T535*Controls!$B$29,T535*5))</f>
        <v>113.60213</v>
      </c>
      <c r="AB535" s="65" t="n">
        <f aca="false">IF(E535="",0,NETWORKDAYS(E535,Controls!$B$36,Ref!$K$2:$K$42))</f>
        <v>156</v>
      </c>
      <c r="AC535" s="65" t="n">
        <f aca="false">IF(AND(AA535&gt;0,AB535&gt;=Controls!$B$39*AA535),1,0)</f>
        <v>1</v>
      </c>
      <c r="AD535" s="65" t="n">
        <f aca="false">IF(AND(E535&lt;&gt;"",E535&gt;=Controls!$B$37,E535&lt;=Controls!$B$38),1,0)</f>
        <v>1</v>
      </c>
      <c r="AE535" s="65" t="n">
        <f aca="false">IF(IFERROR(VLOOKUP(D535,Controls!$A$64:$E$74,2,FALSE()),"No")="Yes",1,0)</f>
        <v>0</v>
      </c>
      <c r="AF535" s="65" t="n">
        <f aca="false">IF(IFERROR(VLOOKUP(D535,Controls!$A$64:$E$74,3,FALSE()),"No")="Yes",1,0)</f>
        <v>1</v>
      </c>
      <c r="AG535" s="65" t="n">
        <f aca="false">IF(IFERROR(VLOOKUP(D535,Controls!$A$64:$E$74,4,FALSE()),"No")="Yes",1,0)</f>
        <v>1</v>
      </c>
      <c r="AH535" s="65" t="n">
        <f aca="false">IF(IFERROR(VLOOKUP(D535,Controls!$A$64:$E$74,5,FALSE()),"No")="Yes",1,0)</f>
        <v>0</v>
      </c>
      <c r="AI535" s="65" t="n">
        <f aca="false">IF(ISNUMBER(MATCH(D535,Controls!$A$64:$A$74,0)),1,0)</f>
        <v>1</v>
      </c>
      <c r="AJ535" s="65" t="n">
        <f aca="false">Q535-N535</f>
        <v>29250</v>
      </c>
      <c r="AK535" s="65" t="n">
        <f aca="false">IF(AE535=1,MAX(0,N535-Q535),0)</f>
        <v>0</v>
      </c>
      <c r="AL535" s="65" t="n">
        <f aca="false">IF(OR(V535="",V535=0),0,N535/V535)</f>
        <v>0.887754505558982</v>
      </c>
      <c r="AM535" s="65" t="n">
        <f aca="false">IF(OR(V535="",V535=0),0,1)</f>
        <v>1</v>
      </c>
      <c r="AN535" s="65" t="n">
        <f aca="false">IF(OR(E535="",F535=""),0,NETWORKDAYS(E535,F535,Ref!$K$2:$K$42))</f>
        <v>104</v>
      </c>
      <c r="AO535" s="65" t="n">
        <f aca="false">IF(L535="Renewal",1,0)</f>
        <v>1</v>
      </c>
      <c r="AP535" s="65" t="n">
        <f aca="false">AC535*AD535</f>
        <v>1</v>
      </c>
      <c r="AQ535" s="65" t="n">
        <f aca="false">IF(AND(G535&lt;&gt;"",'Historical Score'!$C$6&lt;&gt;""),IF(G535='Historical Score'!$C$6,1,0),0)</f>
        <v>0</v>
      </c>
      <c r="AR535" s="65" t="n">
        <f aca="false">IF(AND(L535&lt;&gt;"",'Historical Score'!$C$5&lt;&gt;""),IF(L535='Historical Score'!$C$5,1,0),0)</f>
        <v>0</v>
      </c>
      <c r="AS535" s="65" t="n">
        <f aca="false">IF(AND(Y535&lt;&gt;"",'Historical Score'!$C$7&lt;&gt;""),IF(Y535='Historical Score'!$C$7,1,0),0)</f>
        <v>0</v>
      </c>
      <c r="AT535" s="65" t="n">
        <f aca="false">IF(AND(K535&lt;&gt;"",'Historical Score'!$C$8&lt;&gt;""),IF(K535='Historical Score'!$C$8,1,0),0)</f>
        <v>0</v>
      </c>
      <c r="AU535" s="65" t="n">
        <f aca="false">IF(AND(J535&lt;&gt;"",'Historical Score'!$C$9&lt;&gt;""),IF(J535='Historical Score'!$C$9,1,0),0)</f>
        <v>0</v>
      </c>
      <c r="AV535" s="65" t="n">
        <f aca="false">AR535*AS535*AQ535</f>
        <v>0</v>
      </c>
      <c r="AW535" s="65" t="n">
        <f aca="false">AR535*AT535*AQ535</f>
        <v>0</v>
      </c>
      <c r="AX535" s="65" t="n">
        <f aca="false">AR535*AS535</f>
        <v>0</v>
      </c>
      <c r="AY535" s="65" t="n">
        <f aca="false">AR535*AT535</f>
        <v>0</v>
      </c>
      <c r="AZ535" s="65" t="n">
        <f aca="false">AR535*AQ535</f>
        <v>0</v>
      </c>
      <c r="BA535" s="65" t="n">
        <f aca="false">AR535</f>
        <v>0</v>
      </c>
      <c r="BB535" s="65" t="n">
        <f aca="false">1</f>
        <v>1</v>
      </c>
      <c r="BC535" s="65" t="n">
        <f aca="false">IF(AV535=1,1,IF(AW535=1,2,IF(AX535=1,3,IF(AY535=1,4,IF(AZ535=1,5,IF(BA535=1,6,7))))))</f>
        <v>7</v>
      </c>
      <c r="BD535" s="65" t="n">
        <f aca="false">IF(AD535=1,CHOOSE('Historical Score'!$C$29,AV535,AW535,AX535,AY535,AZ535,BA535,BB535),0)</f>
        <v>0</v>
      </c>
      <c r="BE535" s="65" t="str">
        <f aca="false">IF(BD535=1,COUNTIF($BD$2:BD535,1),"")</f>
        <v/>
      </c>
    </row>
    <row r="536" customFormat="false" ht="15" hidden="false" customHeight="false" outlineLevel="0" collapsed="false">
      <c r="A536" s="65" t="s">
        <v>1940</v>
      </c>
      <c r="B536" s="65" t="s">
        <v>1941</v>
      </c>
      <c r="C536" s="65" t="s">
        <v>1942</v>
      </c>
      <c r="D536" s="65" t="s">
        <v>295</v>
      </c>
      <c r="E536" s="112" t="n">
        <v>46036</v>
      </c>
      <c r="F536" s="112" t="n">
        <v>46240</v>
      </c>
      <c r="G536" s="65" t="n">
        <v>2</v>
      </c>
      <c r="H536" s="65" t="s">
        <v>1943</v>
      </c>
      <c r="I536" s="65" t="s">
        <v>398</v>
      </c>
      <c r="J536" s="65" t="s">
        <v>350</v>
      </c>
      <c r="K536" s="65" t="s">
        <v>961</v>
      </c>
      <c r="L536" s="65" t="s">
        <v>64</v>
      </c>
      <c r="M536" s="113" t="n">
        <v>1.339</v>
      </c>
      <c r="N536" s="114" t="n">
        <v>100000</v>
      </c>
      <c r="O536" s="114" t="n">
        <v>8000</v>
      </c>
      <c r="P536" s="114" t="n">
        <v>133900</v>
      </c>
      <c r="Q536" s="114" t="n">
        <v>83782.49</v>
      </c>
      <c r="R536" s="114" t="n">
        <v>50117.51</v>
      </c>
      <c r="S536" s="115" t="n">
        <v>0.625709410007468</v>
      </c>
      <c r="T536" s="65" t="n">
        <v>48</v>
      </c>
      <c r="U536" s="65" t="n">
        <v>0</v>
      </c>
      <c r="V536" s="65" t="n">
        <v>389233.5</v>
      </c>
      <c r="W536" s="115" t="n">
        <v>0.0287</v>
      </c>
      <c r="X536" s="112" t="n">
        <v>45244</v>
      </c>
      <c r="Y536" s="65" t="str">
        <f aca="false">IF(I536="","No SIC",IFERROR(VLOOKUP(I536,Ref!$A$2:$B$65,2,FALSE()),"Unclassified"))</f>
        <v>Agricultural Production - Crops</v>
      </c>
      <c r="Z536" s="65" t="str">
        <f aca="false">IF(T536="","",IF(T536&lt;12,"Daily","Weekly"))</f>
        <v>Weekly</v>
      </c>
      <c r="AA536" s="65" t="n">
        <f aca="false">IF(T536="",0,IF(T536&lt;12,T536*Controls!$B$29,T536*5))</f>
        <v>240</v>
      </c>
      <c r="AB536" s="65" t="n">
        <f aca="false">IF(E536="",0,NETWORKDAYS(E536,Controls!$B$36,Ref!$K$2:$K$42))</f>
        <v>156</v>
      </c>
      <c r="AC536" s="65" t="n">
        <f aca="false">IF(AND(AA536&gt;0,AB536&gt;=Controls!$B$39*AA536),1,0)</f>
        <v>0</v>
      </c>
      <c r="AD536" s="65" t="n">
        <f aca="false">IF(AND(E536&lt;&gt;"",E536&gt;=Controls!$B$37,E536&lt;=Controls!$B$38),1,0)</f>
        <v>1</v>
      </c>
      <c r="AE536" s="65" t="n">
        <f aca="false">IF(IFERROR(VLOOKUP(D536,Controls!$A$64:$E$74,2,FALSE()),"No")="Yes",1,0)</f>
        <v>0</v>
      </c>
      <c r="AF536" s="65" t="n">
        <f aca="false">IF(IFERROR(VLOOKUP(D536,Controls!$A$64:$E$74,3,FALSE()),"No")="Yes",1,0)</f>
        <v>0</v>
      </c>
      <c r="AG536" s="65" t="n">
        <f aca="false">IF(IFERROR(VLOOKUP(D536,Controls!$A$64:$E$74,4,FALSE()),"No")="Yes",1,0)</f>
        <v>0</v>
      </c>
      <c r="AH536" s="65" t="n">
        <f aca="false">IF(IFERROR(VLOOKUP(D536,Controls!$A$64:$E$74,5,FALSE()),"No")="Yes",1,0)</f>
        <v>1</v>
      </c>
      <c r="AI536" s="65" t="n">
        <f aca="false">IF(ISNUMBER(MATCH(D536,Controls!$A$64:$A$74,0)),1,0)</f>
        <v>1</v>
      </c>
      <c r="AJ536" s="65" t="n">
        <f aca="false">Q536-N536</f>
        <v>-16217.51</v>
      </c>
      <c r="AK536" s="65" t="n">
        <f aca="false">IF(AE536=1,MAX(0,N536-Q536),0)</f>
        <v>0</v>
      </c>
      <c r="AL536" s="65" t="n">
        <f aca="false">IF(OR(V536="",V536=0),0,N536/V536)</f>
        <v>0.256915193579175</v>
      </c>
      <c r="AM536" s="65" t="n">
        <f aca="false">IF(OR(V536="",V536=0),0,1)</f>
        <v>1</v>
      </c>
      <c r="AN536" s="65" t="n">
        <f aca="false">IF(OR(E536="",F536=""),0,NETWORKDAYS(E536,F536,Ref!$K$2:$K$42))</f>
        <v>143</v>
      </c>
      <c r="AO536" s="65" t="n">
        <f aca="false">IF(L536="Renewal",1,0)</f>
        <v>0</v>
      </c>
      <c r="AP536" s="65" t="n">
        <f aca="false">AC536*AD536</f>
        <v>0</v>
      </c>
      <c r="AQ536" s="65" t="n">
        <f aca="false">IF(AND(G536&lt;&gt;"",'Historical Score'!$C$6&lt;&gt;""),IF(G536='Historical Score'!$C$6,1,0),0)</f>
        <v>1</v>
      </c>
      <c r="AR536" s="65" t="n">
        <f aca="false">IF(AND(L536&lt;&gt;"",'Historical Score'!$C$5&lt;&gt;""),IF(L536='Historical Score'!$C$5,1,0),0)</f>
        <v>1</v>
      </c>
      <c r="AS536" s="65" t="n">
        <f aca="false">IF(AND(Y536&lt;&gt;"",'Historical Score'!$C$7&lt;&gt;""),IF(Y536='Historical Score'!$C$7,1,0),0)</f>
        <v>0</v>
      </c>
      <c r="AT536" s="65" t="n">
        <f aca="false">IF(AND(K536&lt;&gt;"",'Historical Score'!$C$8&lt;&gt;""),IF(K536='Historical Score'!$C$8,1,0),0)</f>
        <v>0</v>
      </c>
      <c r="AU536" s="65" t="n">
        <f aca="false">IF(AND(J536&lt;&gt;"",'Historical Score'!$C$9&lt;&gt;""),IF(J536='Historical Score'!$C$9,1,0),0)</f>
        <v>0</v>
      </c>
      <c r="AV536" s="65" t="n">
        <f aca="false">AR536*AS536*AQ536</f>
        <v>0</v>
      </c>
      <c r="AW536" s="65" t="n">
        <f aca="false">AR536*AT536*AQ536</f>
        <v>0</v>
      </c>
      <c r="AX536" s="65" t="n">
        <f aca="false">AR536*AS536</f>
        <v>0</v>
      </c>
      <c r="AY536" s="65" t="n">
        <f aca="false">AR536*AT536</f>
        <v>0</v>
      </c>
      <c r="AZ536" s="65" t="n">
        <f aca="false">AR536*AQ536</f>
        <v>1</v>
      </c>
      <c r="BA536" s="65" t="n">
        <f aca="false">AR536</f>
        <v>1</v>
      </c>
      <c r="BB536" s="65" t="n">
        <f aca="false">1</f>
        <v>1</v>
      </c>
      <c r="BC536" s="65" t="n">
        <f aca="false">IF(AV536=1,1,IF(AW536=1,2,IF(AX536=1,3,IF(AY536=1,4,IF(AZ536=1,5,IF(BA536=1,6,7))))))</f>
        <v>5</v>
      </c>
      <c r="BD536" s="65" t="n">
        <f aca="false">IF(AD536=1,CHOOSE('Historical Score'!$C$29,AV536,AW536,AX536,AY536,AZ536,BA536,BB536),0)</f>
        <v>0</v>
      </c>
      <c r="BE536" s="65" t="str">
        <f aca="false">IF(BD536=1,COUNTIF($BD$2:BD536,1),"")</f>
        <v/>
      </c>
    </row>
    <row r="537" customFormat="false" ht="15" hidden="false" customHeight="false" outlineLevel="0" collapsed="false">
      <c r="A537" s="65" t="s">
        <v>1944</v>
      </c>
      <c r="B537" s="65" t="s">
        <v>1945</v>
      </c>
      <c r="C537" s="65" t="s">
        <v>1945</v>
      </c>
      <c r="D537" s="65" t="s">
        <v>371</v>
      </c>
      <c r="E537" s="112" t="n">
        <v>46037</v>
      </c>
      <c r="F537" s="112" t="n">
        <v>46119</v>
      </c>
      <c r="G537" s="65" t="n">
        <v>1</v>
      </c>
      <c r="H537" s="65" t="s">
        <v>1010</v>
      </c>
      <c r="I537" s="65" t="s">
        <v>405</v>
      </c>
      <c r="J537" s="65" t="s">
        <v>671</v>
      </c>
      <c r="K537" s="65" t="s">
        <v>55</v>
      </c>
      <c r="L537" s="65" t="s">
        <v>64</v>
      </c>
      <c r="M537" s="113" t="n">
        <v>1.47533333</v>
      </c>
      <c r="N537" s="114" t="n">
        <v>22500</v>
      </c>
      <c r="O537" s="114" t="n">
        <v>3150</v>
      </c>
      <c r="P537" s="114" t="n">
        <v>33194.999925</v>
      </c>
      <c r="Q537" s="114" t="n">
        <v>33195</v>
      </c>
      <c r="R537" s="114" t="n">
        <v>-7.50000035623089E-005</v>
      </c>
      <c r="S537" s="115" t="n">
        <v>1.00000000225938</v>
      </c>
      <c r="T537" s="65" t="n">
        <v>22</v>
      </c>
      <c r="U537" s="65" t="n">
        <v>0</v>
      </c>
      <c r="V537" s="65" t="n">
        <v>85821.21</v>
      </c>
      <c r="W537" s="115" t="n">
        <v>0.071</v>
      </c>
      <c r="X537" s="112"/>
      <c r="Y537" s="65" t="str">
        <f aca="false">IF(I537="","No SIC",IFERROR(VLOOKUP(I537,Ref!$A$2:$B$65,2,FALSE()),"Unclassified"))</f>
        <v>Health Services</v>
      </c>
      <c r="Z537" s="65" t="str">
        <f aca="false">IF(T537="","",IF(T537&lt;12,"Daily","Weekly"))</f>
        <v>Weekly</v>
      </c>
      <c r="AA537" s="65" t="n">
        <f aca="false">IF(T537="",0,IF(T537&lt;12,T537*Controls!$B$29,T537*5))</f>
        <v>110</v>
      </c>
      <c r="AB537" s="65" t="n">
        <f aca="false">IF(E537="",0,NETWORKDAYS(E537,Controls!$B$36,Ref!$K$2:$K$42))</f>
        <v>155</v>
      </c>
      <c r="AC537" s="65" t="n">
        <f aca="false">IF(AND(AA537&gt;0,AB537&gt;=Controls!$B$39*AA537),1,0)</f>
        <v>1</v>
      </c>
      <c r="AD537" s="65" t="n">
        <f aca="false">IF(AND(E537&lt;&gt;"",E537&gt;=Controls!$B$37,E537&lt;=Controls!$B$38),1,0)</f>
        <v>1</v>
      </c>
      <c r="AE537" s="65" t="n">
        <f aca="false">IF(IFERROR(VLOOKUP(D537,Controls!$A$64:$E$74,2,FALSE()),"No")="Yes",1,0)</f>
        <v>0</v>
      </c>
      <c r="AF537" s="65" t="n">
        <f aca="false">IF(IFERROR(VLOOKUP(D537,Controls!$A$64:$E$74,3,FALSE()),"No")="Yes",1,0)</f>
        <v>1</v>
      </c>
      <c r="AG537" s="65" t="n">
        <f aca="false">IF(IFERROR(VLOOKUP(D537,Controls!$A$64:$E$74,4,FALSE()),"No")="Yes",1,0)</f>
        <v>1</v>
      </c>
      <c r="AH537" s="65" t="n">
        <f aca="false">IF(IFERROR(VLOOKUP(D537,Controls!$A$64:$E$74,5,FALSE()),"No")="Yes",1,0)</f>
        <v>0</v>
      </c>
      <c r="AI537" s="65" t="n">
        <f aca="false">IF(ISNUMBER(MATCH(D537,Controls!$A$64:$A$74,0)),1,0)</f>
        <v>1</v>
      </c>
      <c r="AJ537" s="65" t="n">
        <f aca="false">Q537-N537</f>
        <v>10695</v>
      </c>
      <c r="AK537" s="65" t="n">
        <f aca="false">IF(AE537=1,MAX(0,N537-Q537),0)</f>
        <v>0</v>
      </c>
      <c r="AL537" s="65" t="n">
        <f aca="false">IF(OR(V537="",V537=0),0,N537/V537)</f>
        <v>0.26217295235059</v>
      </c>
      <c r="AM537" s="65" t="n">
        <f aca="false">IF(OR(V537="",V537=0),0,1)</f>
        <v>1</v>
      </c>
      <c r="AN537" s="65" t="n">
        <f aca="false">IF(OR(E537="",F537=""),0,NETWORKDAYS(E537,F537,Ref!$K$2:$K$42))</f>
        <v>57</v>
      </c>
      <c r="AO537" s="65" t="n">
        <f aca="false">IF(L537="Renewal",1,0)</f>
        <v>0</v>
      </c>
      <c r="AP537" s="65" t="n">
        <f aca="false">AC537*AD537</f>
        <v>1</v>
      </c>
      <c r="AQ537" s="65" t="n">
        <f aca="false">IF(AND(G537&lt;&gt;"",'Historical Score'!$C$6&lt;&gt;""),IF(G537='Historical Score'!$C$6,1,0),0)</f>
        <v>0</v>
      </c>
      <c r="AR537" s="65" t="n">
        <f aca="false">IF(AND(L537&lt;&gt;"",'Historical Score'!$C$5&lt;&gt;""),IF(L537='Historical Score'!$C$5,1,0),0)</f>
        <v>1</v>
      </c>
      <c r="AS537" s="65" t="n">
        <f aca="false">IF(AND(Y537&lt;&gt;"",'Historical Score'!$C$7&lt;&gt;""),IF(Y537='Historical Score'!$C$7,1,0),0)</f>
        <v>0</v>
      </c>
      <c r="AT537" s="65" t="n">
        <f aca="false">IF(AND(K537&lt;&gt;"",'Historical Score'!$C$8&lt;&gt;""),IF(K537='Historical Score'!$C$8,1,0),0)</f>
        <v>1</v>
      </c>
      <c r="AU537" s="65" t="n">
        <f aca="false">IF(AND(J537&lt;&gt;"",'Historical Score'!$C$9&lt;&gt;""),IF(J537='Historical Score'!$C$9,1,0),0)</f>
        <v>0</v>
      </c>
      <c r="AV537" s="65" t="n">
        <f aca="false">AR537*AS537*AQ537</f>
        <v>0</v>
      </c>
      <c r="AW537" s="65" t="n">
        <f aca="false">AR537*AT537*AQ537</f>
        <v>0</v>
      </c>
      <c r="AX537" s="65" t="n">
        <f aca="false">AR537*AS537</f>
        <v>0</v>
      </c>
      <c r="AY537" s="65" t="n">
        <f aca="false">AR537*AT537</f>
        <v>1</v>
      </c>
      <c r="AZ537" s="65" t="n">
        <f aca="false">AR537*AQ537</f>
        <v>0</v>
      </c>
      <c r="BA537" s="65" t="n">
        <f aca="false">AR537</f>
        <v>1</v>
      </c>
      <c r="BB537" s="65" t="n">
        <f aca="false">1</f>
        <v>1</v>
      </c>
      <c r="BC537" s="65" t="n">
        <f aca="false">IF(AV537=1,1,IF(AW537=1,2,IF(AX537=1,3,IF(AY537=1,4,IF(AZ537=1,5,IF(BA537=1,6,7))))))</f>
        <v>4</v>
      </c>
      <c r="BD537" s="65" t="n">
        <f aca="false">IF(AD537=1,CHOOSE('Historical Score'!$C$29,AV537,AW537,AX537,AY537,AZ537,BA537,BB537),0)</f>
        <v>0</v>
      </c>
      <c r="BE537" s="65" t="str">
        <f aca="false">IF(BD537=1,COUNTIF($BD$2:BD537,1),"")</f>
        <v/>
      </c>
    </row>
    <row r="538" customFormat="false" ht="15" hidden="false" customHeight="false" outlineLevel="0" collapsed="false">
      <c r="A538" s="65" t="s">
        <v>1946</v>
      </c>
      <c r="B538" s="65" t="s">
        <v>1947</v>
      </c>
      <c r="C538" s="65" t="s">
        <v>1947</v>
      </c>
      <c r="D538" s="65" t="s">
        <v>340</v>
      </c>
      <c r="E538" s="112" t="n">
        <v>46037</v>
      </c>
      <c r="F538" s="112" t="n">
        <v>46058</v>
      </c>
      <c r="G538" s="65" t="n">
        <v>4</v>
      </c>
      <c r="H538" s="65" t="s">
        <v>596</v>
      </c>
      <c r="I538" s="65" t="s">
        <v>597</v>
      </c>
      <c r="J538" s="65" t="s">
        <v>452</v>
      </c>
      <c r="K538" s="65" t="s">
        <v>1948</v>
      </c>
      <c r="L538" s="65" t="s">
        <v>64</v>
      </c>
      <c r="M538" s="113" t="n">
        <v>1.49</v>
      </c>
      <c r="N538" s="114" t="n">
        <v>20000</v>
      </c>
      <c r="O538" s="114" t="n">
        <v>2800</v>
      </c>
      <c r="P538" s="114" t="n">
        <v>29800</v>
      </c>
      <c r="Q538" s="114" t="n">
        <v>1991.06</v>
      </c>
      <c r="R538" s="114" t="n">
        <v>27808.94</v>
      </c>
      <c r="S538" s="115" t="n">
        <v>0.0668140939597315</v>
      </c>
      <c r="T538" s="65" t="n">
        <v>30</v>
      </c>
      <c r="U538" s="65" t="n">
        <v>1</v>
      </c>
      <c r="V538" s="65" t="n">
        <v>228857.97</v>
      </c>
      <c r="W538" s="115" t="n">
        <v>0.0174</v>
      </c>
      <c r="X538" s="112" t="n">
        <v>44149</v>
      </c>
      <c r="Y538" s="65" t="str">
        <f aca="false">IF(I538="","No SIC",IFERROR(VLOOKUP(I538,Ref!$A$2:$B$65,2,FALSE()),"Unclassified"))</f>
        <v>Insurance Agents &amp; Brokers</v>
      </c>
      <c r="Z538" s="65" t="str">
        <f aca="false">IF(T538="","",IF(T538&lt;12,"Daily","Weekly"))</f>
        <v>Weekly</v>
      </c>
      <c r="AA538" s="65" t="n">
        <f aca="false">IF(T538="",0,IF(T538&lt;12,T538*Controls!$B$29,T538*5))</f>
        <v>150</v>
      </c>
      <c r="AB538" s="65" t="n">
        <f aca="false">IF(E538="",0,NETWORKDAYS(E538,Controls!$B$36,Ref!$K$2:$K$42))</f>
        <v>155</v>
      </c>
      <c r="AC538" s="65" t="n">
        <f aca="false">IF(AND(AA538&gt;0,AB538&gt;=Controls!$B$39*AA538),1,0)</f>
        <v>0</v>
      </c>
      <c r="AD538" s="65" t="n">
        <f aca="false">IF(AND(E538&lt;&gt;"",E538&gt;=Controls!$B$37,E538&lt;=Controls!$B$38),1,0)</f>
        <v>1</v>
      </c>
      <c r="AE538" s="65" t="n">
        <f aca="false">IF(IFERROR(VLOOKUP(D538,Controls!$A$64:$E$74,2,FALSE()),"No")="Yes",1,0)</f>
        <v>1</v>
      </c>
      <c r="AF538" s="65" t="n">
        <f aca="false">IF(IFERROR(VLOOKUP(D538,Controls!$A$64:$E$74,3,FALSE()),"No")="Yes",1,0)</f>
        <v>0</v>
      </c>
      <c r="AG538" s="65" t="n">
        <f aca="false">IF(IFERROR(VLOOKUP(D538,Controls!$A$64:$E$74,4,FALSE()),"No")="Yes",1,0)</f>
        <v>0</v>
      </c>
      <c r="AH538" s="65" t="n">
        <f aca="false">IF(IFERROR(VLOOKUP(D538,Controls!$A$64:$E$74,5,FALSE()),"No")="Yes",1,0)</f>
        <v>0</v>
      </c>
      <c r="AI538" s="65" t="n">
        <f aca="false">IF(ISNUMBER(MATCH(D538,Controls!$A$64:$A$74,0)),1,0)</f>
        <v>1</v>
      </c>
      <c r="AJ538" s="65" t="n">
        <f aca="false">Q538-N538</f>
        <v>-18008.94</v>
      </c>
      <c r="AK538" s="65" t="n">
        <f aca="false">IF(AE538=1,MAX(0,N538-Q538),0)</f>
        <v>18008.94</v>
      </c>
      <c r="AL538" s="65" t="n">
        <f aca="false">IF(OR(V538="",V538=0),0,N538/V538)</f>
        <v>0.0873904456987013</v>
      </c>
      <c r="AM538" s="65" t="n">
        <f aca="false">IF(OR(V538="",V538=0),0,1)</f>
        <v>1</v>
      </c>
      <c r="AN538" s="65" t="n">
        <f aca="false">IF(OR(E538="",F538=""),0,NETWORKDAYS(E538,F538,Ref!$K$2:$K$42))</f>
        <v>15</v>
      </c>
      <c r="AO538" s="65" t="n">
        <f aca="false">IF(L538="Renewal",1,0)</f>
        <v>0</v>
      </c>
      <c r="AP538" s="65" t="n">
        <f aca="false">AC538*AD538</f>
        <v>0</v>
      </c>
      <c r="AQ538" s="65" t="n">
        <f aca="false">IF(AND(G538&lt;&gt;"",'Historical Score'!$C$6&lt;&gt;""),IF(G538='Historical Score'!$C$6,1,0),0)</f>
        <v>0</v>
      </c>
      <c r="AR538" s="65" t="n">
        <f aca="false">IF(AND(L538&lt;&gt;"",'Historical Score'!$C$5&lt;&gt;""),IF(L538='Historical Score'!$C$5,1,0),0)</f>
        <v>1</v>
      </c>
      <c r="AS538" s="65" t="n">
        <f aca="false">IF(AND(Y538&lt;&gt;"",'Historical Score'!$C$7&lt;&gt;""),IF(Y538='Historical Score'!$C$7,1,0),0)</f>
        <v>0</v>
      </c>
      <c r="AT538" s="65" t="n">
        <f aca="false">IF(AND(K538&lt;&gt;"",'Historical Score'!$C$8&lt;&gt;""),IF(K538='Historical Score'!$C$8,1,0),0)</f>
        <v>0</v>
      </c>
      <c r="AU538" s="65" t="n">
        <f aca="false">IF(AND(J538&lt;&gt;"",'Historical Score'!$C$9&lt;&gt;""),IF(J538='Historical Score'!$C$9,1,0),0)</f>
        <v>0</v>
      </c>
      <c r="AV538" s="65" t="n">
        <f aca="false">AR538*AS538*AQ538</f>
        <v>0</v>
      </c>
      <c r="AW538" s="65" t="n">
        <f aca="false">AR538*AT538*AQ538</f>
        <v>0</v>
      </c>
      <c r="AX538" s="65" t="n">
        <f aca="false">AR538*AS538</f>
        <v>0</v>
      </c>
      <c r="AY538" s="65" t="n">
        <f aca="false">AR538*AT538</f>
        <v>0</v>
      </c>
      <c r="AZ538" s="65" t="n">
        <f aca="false">AR538*AQ538</f>
        <v>0</v>
      </c>
      <c r="BA538" s="65" t="n">
        <f aca="false">AR538</f>
        <v>1</v>
      </c>
      <c r="BB538" s="65" t="n">
        <f aca="false">1</f>
        <v>1</v>
      </c>
      <c r="BC538" s="65" t="n">
        <f aca="false">IF(AV538=1,1,IF(AW538=1,2,IF(AX538=1,3,IF(AY538=1,4,IF(AZ538=1,5,IF(BA538=1,6,7))))))</f>
        <v>6</v>
      </c>
      <c r="BD538" s="65" t="n">
        <f aca="false">IF(AD538=1,CHOOSE('Historical Score'!$C$29,AV538,AW538,AX538,AY538,AZ538,BA538,BB538),0)</f>
        <v>0</v>
      </c>
      <c r="BE538" s="65" t="str">
        <f aca="false">IF(BD538=1,COUNTIF($BD$2:BD538,1),"")</f>
        <v/>
      </c>
    </row>
    <row r="539" customFormat="false" ht="15" hidden="false" customHeight="false" outlineLevel="0" collapsed="false">
      <c r="A539" s="65" t="s">
        <v>1949</v>
      </c>
      <c r="B539" s="65" t="s">
        <v>1950</v>
      </c>
      <c r="C539" s="65" t="s">
        <v>1951</v>
      </c>
      <c r="D539" s="65" t="s">
        <v>295</v>
      </c>
      <c r="E539" s="112" t="n">
        <v>46037</v>
      </c>
      <c r="F539" s="112" t="n">
        <v>46247</v>
      </c>
      <c r="G539" s="65" t="n">
        <v>1</v>
      </c>
      <c r="H539" s="65" t="s">
        <v>1952</v>
      </c>
      <c r="I539" s="65" t="s">
        <v>657</v>
      </c>
      <c r="J539" s="65" t="s">
        <v>373</v>
      </c>
      <c r="K539" s="65" t="s">
        <v>961</v>
      </c>
      <c r="L539" s="65" t="s">
        <v>64</v>
      </c>
      <c r="M539" s="113" t="n">
        <v>1.36</v>
      </c>
      <c r="N539" s="114" t="n">
        <v>25000</v>
      </c>
      <c r="O539" s="114" t="n">
        <v>2625</v>
      </c>
      <c r="P539" s="114" t="n">
        <v>34000</v>
      </c>
      <c r="Q539" s="114" t="n">
        <v>26577</v>
      </c>
      <c r="R539" s="114" t="n">
        <v>7423</v>
      </c>
      <c r="S539" s="115" t="n">
        <v>0.781676470588235</v>
      </c>
      <c r="T539" s="65" t="n">
        <v>32</v>
      </c>
      <c r="U539" s="65" t="n">
        <v>6</v>
      </c>
      <c r="V539" s="65" t="n">
        <v>82891.31</v>
      </c>
      <c r="W539" s="115" t="n">
        <v>0.0513</v>
      </c>
      <c r="X539" s="112" t="n">
        <v>41690</v>
      </c>
      <c r="Y539" s="65" t="str">
        <f aca="false">IF(I539="","No SIC",IFERROR(VLOOKUP(I539,Ref!$A$2:$B$65,2,FALSE()),"Unclassified"))</f>
        <v>Fabricated Metal Products</v>
      </c>
      <c r="Z539" s="65" t="str">
        <f aca="false">IF(T539="","",IF(T539&lt;12,"Daily","Weekly"))</f>
        <v>Weekly</v>
      </c>
      <c r="AA539" s="65" t="n">
        <f aca="false">IF(T539="",0,IF(T539&lt;12,T539*Controls!$B$29,T539*5))</f>
        <v>160</v>
      </c>
      <c r="AB539" s="65" t="n">
        <f aca="false">IF(E539="",0,NETWORKDAYS(E539,Controls!$B$36,Ref!$K$2:$K$42))</f>
        <v>155</v>
      </c>
      <c r="AC539" s="65" t="n">
        <f aca="false">IF(AND(AA539&gt;0,AB539&gt;=Controls!$B$39*AA539),1,0)</f>
        <v>0</v>
      </c>
      <c r="AD539" s="65" t="n">
        <f aca="false">IF(AND(E539&lt;&gt;"",E539&gt;=Controls!$B$37,E539&lt;=Controls!$B$38),1,0)</f>
        <v>1</v>
      </c>
      <c r="AE539" s="65" t="n">
        <f aca="false">IF(IFERROR(VLOOKUP(D539,Controls!$A$64:$E$74,2,FALSE()),"No")="Yes",1,0)</f>
        <v>0</v>
      </c>
      <c r="AF539" s="65" t="n">
        <f aca="false">IF(IFERROR(VLOOKUP(D539,Controls!$A$64:$E$74,3,FALSE()),"No")="Yes",1,0)</f>
        <v>0</v>
      </c>
      <c r="AG539" s="65" t="n">
        <f aca="false">IF(IFERROR(VLOOKUP(D539,Controls!$A$64:$E$74,4,FALSE()),"No")="Yes",1,0)</f>
        <v>0</v>
      </c>
      <c r="AH539" s="65" t="n">
        <f aca="false">IF(IFERROR(VLOOKUP(D539,Controls!$A$64:$E$74,5,FALSE()),"No")="Yes",1,0)</f>
        <v>1</v>
      </c>
      <c r="AI539" s="65" t="n">
        <f aca="false">IF(ISNUMBER(MATCH(D539,Controls!$A$64:$A$74,0)),1,0)</f>
        <v>1</v>
      </c>
      <c r="AJ539" s="65" t="n">
        <f aca="false">Q539-N539</f>
        <v>1577</v>
      </c>
      <c r="AK539" s="65" t="n">
        <f aca="false">IF(AE539=1,MAX(0,N539-Q539),0)</f>
        <v>0</v>
      </c>
      <c r="AL539" s="65" t="n">
        <f aca="false">IF(OR(V539="",V539=0),0,N539/V539)</f>
        <v>0.301599769626032</v>
      </c>
      <c r="AM539" s="65" t="n">
        <f aca="false">IF(OR(V539="",V539=0),0,1)</f>
        <v>1</v>
      </c>
      <c r="AN539" s="65" t="n">
        <f aca="false">IF(OR(E539="",F539=""),0,NETWORKDAYS(E539,F539,Ref!$K$2:$K$42))</f>
        <v>147</v>
      </c>
      <c r="AO539" s="65" t="n">
        <f aca="false">IF(L539="Renewal",1,0)</f>
        <v>0</v>
      </c>
      <c r="AP539" s="65" t="n">
        <f aca="false">AC539*AD539</f>
        <v>0</v>
      </c>
      <c r="AQ539" s="65" t="n">
        <f aca="false">IF(AND(G539&lt;&gt;"",'Historical Score'!$C$6&lt;&gt;""),IF(G539='Historical Score'!$C$6,1,0),0)</f>
        <v>0</v>
      </c>
      <c r="AR539" s="65" t="n">
        <f aca="false">IF(AND(L539&lt;&gt;"",'Historical Score'!$C$5&lt;&gt;""),IF(L539='Historical Score'!$C$5,1,0),0)</f>
        <v>1</v>
      </c>
      <c r="AS539" s="65" t="n">
        <f aca="false">IF(AND(Y539&lt;&gt;"",'Historical Score'!$C$7&lt;&gt;""),IF(Y539='Historical Score'!$C$7,1,0),0)</f>
        <v>0</v>
      </c>
      <c r="AT539" s="65" t="n">
        <f aca="false">IF(AND(K539&lt;&gt;"",'Historical Score'!$C$8&lt;&gt;""),IF(K539='Historical Score'!$C$8,1,0),0)</f>
        <v>0</v>
      </c>
      <c r="AU539" s="65" t="n">
        <f aca="false">IF(AND(J539&lt;&gt;"",'Historical Score'!$C$9&lt;&gt;""),IF(J539='Historical Score'!$C$9,1,0),0)</f>
        <v>0</v>
      </c>
      <c r="AV539" s="65" t="n">
        <f aca="false">AR539*AS539*AQ539</f>
        <v>0</v>
      </c>
      <c r="AW539" s="65" t="n">
        <f aca="false">AR539*AT539*AQ539</f>
        <v>0</v>
      </c>
      <c r="AX539" s="65" t="n">
        <f aca="false">AR539*AS539</f>
        <v>0</v>
      </c>
      <c r="AY539" s="65" t="n">
        <f aca="false">AR539*AT539</f>
        <v>0</v>
      </c>
      <c r="AZ539" s="65" t="n">
        <f aca="false">AR539*AQ539</f>
        <v>0</v>
      </c>
      <c r="BA539" s="65" t="n">
        <f aca="false">AR539</f>
        <v>1</v>
      </c>
      <c r="BB539" s="65" t="n">
        <f aca="false">1</f>
        <v>1</v>
      </c>
      <c r="BC539" s="65" t="n">
        <f aca="false">IF(AV539=1,1,IF(AW539=1,2,IF(AX539=1,3,IF(AY539=1,4,IF(AZ539=1,5,IF(BA539=1,6,7))))))</f>
        <v>6</v>
      </c>
      <c r="BD539" s="65" t="n">
        <f aca="false">IF(AD539=1,CHOOSE('Historical Score'!$C$29,AV539,AW539,AX539,AY539,AZ539,BA539,BB539),0)</f>
        <v>0</v>
      </c>
      <c r="BE539" s="65" t="str">
        <f aca="false">IF(BD539=1,COUNTIF($BD$2:BD539,1),"")</f>
        <v/>
      </c>
    </row>
    <row r="540" customFormat="false" ht="15" hidden="false" customHeight="false" outlineLevel="0" collapsed="false">
      <c r="A540" s="65" t="s">
        <v>1953</v>
      </c>
      <c r="B540" s="65" t="s">
        <v>1954</v>
      </c>
      <c r="C540" s="65" t="s">
        <v>1954</v>
      </c>
      <c r="D540" s="65" t="s">
        <v>295</v>
      </c>
      <c r="E540" s="112" t="n">
        <v>46037</v>
      </c>
      <c r="F540" s="112" t="n">
        <v>46253</v>
      </c>
      <c r="G540" s="65" t="n">
        <v>2</v>
      </c>
      <c r="H540" s="65" t="s">
        <v>858</v>
      </c>
      <c r="I540" s="65" t="s">
        <v>484</v>
      </c>
      <c r="J540" s="65" t="s">
        <v>61</v>
      </c>
      <c r="K540" s="65" t="s">
        <v>961</v>
      </c>
      <c r="L540" s="65" t="s">
        <v>64</v>
      </c>
      <c r="M540" s="113" t="n">
        <v>1.38</v>
      </c>
      <c r="N540" s="114" t="n">
        <v>30000</v>
      </c>
      <c r="O540" s="114" t="n">
        <v>3450</v>
      </c>
      <c r="P540" s="114" t="n">
        <v>41400</v>
      </c>
      <c r="Q540" s="114" t="n">
        <v>38833.5</v>
      </c>
      <c r="R540" s="114" t="n">
        <v>2566.5</v>
      </c>
      <c r="S540" s="115" t="n">
        <v>0.938007246376812</v>
      </c>
      <c r="T540" s="65" t="n">
        <v>32</v>
      </c>
      <c r="U540" s="65" t="n">
        <v>1</v>
      </c>
      <c r="V540" s="65" t="n">
        <v>118154.64</v>
      </c>
      <c r="W540" s="115" t="n">
        <v>0.058</v>
      </c>
      <c r="X540" s="112" t="n">
        <v>29495</v>
      </c>
      <c r="Y540" s="65" t="str">
        <f aca="false">IF(I540="","No SIC",IFERROR(VLOOKUP(I540,Ref!$A$2:$B$65,2,FALSE()),"Unclassified"))</f>
        <v>Special Trade Contractors</v>
      </c>
      <c r="Z540" s="65" t="str">
        <f aca="false">IF(T540="","",IF(T540&lt;12,"Daily","Weekly"))</f>
        <v>Weekly</v>
      </c>
      <c r="AA540" s="65" t="n">
        <f aca="false">IF(T540="",0,IF(T540&lt;12,T540*Controls!$B$29,T540*5))</f>
        <v>160</v>
      </c>
      <c r="AB540" s="65" t="n">
        <f aca="false">IF(E540="",0,NETWORKDAYS(E540,Controls!$B$36,Ref!$K$2:$K$42))</f>
        <v>155</v>
      </c>
      <c r="AC540" s="65" t="n">
        <f aca="false">IF(AND(AA540&gt;0,AB540&gt;=Controls!$B$39*AA540),1,0)</f>
        <v>0</v>
      </c>
      <c r="AD540" s="65" t="n">
        <f aca="false">IF(AND(E540&lt;&gt;"",E540&gt;=Controls!$B$37,E540&lt;=Controls!$B$38),1,0)</f>
        <v>1</v>
      </c>
      <c r="AE540" s="65" t="n">
        <f aca="false">IF(IFERROR(VLOOKUP(D540,Controls!$A$64:$E$74,2,FALSE()),"No")="Yes",1,0)</f>
        <v>0</v>
      </c>
      <c r="AF540" s="65" t="n">
        <f aca="false">IF(IFERROR(VLOOKUP(D540,Controls!$A$64:$E$74,3,FALSE()),"No")="Yes",1,0)</f>
        <v>0</v>
      </c>
      <c r="AG540" s="65" t="n">
        <f aca="false">IF(IFERROR(VLOOKUP(D540,Controls!$A$64:$E$74,4,FALSE()),"No")="Yes",1,0)</f>
        <v>0</v>
      </c>
      <c r="AH540" s="65" t="n">
        <f aca="false">IF(IFERROR(VLOOKUP(D540,Controls!$A$64:$E$74,5,FALSE()),"No")="Yes",1,0)</f>
        <v>1</v>
      </c>
      <c r="AI540" s="65" t="n">
        <f aca="false">IF(ISNUMBER(MATCH(D540,Controls!$A$64:$A$74,0)),1,0)</f>
        <v>1</v>
      </c>
      <c r="AJ540" s="65" t="n">
        <f aca="false">Q540-N540</f>
        <v>8833.5</v>
      </c>
      <c r="AK540" s="65" t="n">
        <f aca="false">IF(AE540=1,MAX(0,N540-Q540),0)</f>
        <v>0</v>
      </c>
      <c r="AL540" s="65" t="n">
        <f aca="false">IF(OR(V540="",V540=0),0,N540/V540)</f>
        <v>0.253904544078845</v>
      </c>
      <c r="AM540" s="65" t="n">
        <f aca="false">IF(OR(V540="",V540=0),0,1)</f>
        <v>1</v>
      </c>
      <c r="AN540" s="65" t="n">
        <f aca="false">IF(OR(E540="",F540=""),0,NETWORKDAYS(E540,F540,Ref!$K$2:$K$42))</f>
        <v>151</v>
      </c>
      <c r="AO540" s="65" t="n">
        <f aca="false">IF(L540="Renewal",1,0)</f>
        <v>0</v>
      </c>
      <c r="AP540" s="65" t="n">
        <f aca="false">AC540*AD540</f>
        <v>0</v>
      </c>
      <c r="AQ540" s="65" t="n">
        <f aca="false">IF(AND(G540&lt;&gt;"",'Historical Score'!$C$6&lt;&gt;""),IF(G540='Historical Score'!$C$6,1,0),0)</f>
        <v>1</v>
      </c>
      <c r="AR540" s="65" t="n">
        <f aca="false">IF(AND(L540&lt;&gt;"",'Historical Score'!$C$5&lt;&gt;""),IF(L540='Historical Score'!$C$5,1,0),0)</f>
        <v>1</v>
      </c>
      <c r="AS540" s="65" t="n">
        <f aca="false">IF(AND(Y540&lt;&gt;"",'Historical Score'!$C$7&lt;&gt;""),IF(Y540='Historical Score'!$C$7,1,0),0)</f>
        <v>0</v>
      </c>
      <c r="AT540" s="65" t="n">
        <f aca="false">IF(AND(K540&lt;&gt;"",'Historical Score'!$C$8&lt;&gt;""),IF(K540='Historical Score'!$C$8,1,0),0)</f>
        <v>0</v>
      </c>
      <c r="AU540" s="65" t="n">
        <f aca="false">IF(AND(J540&lt;&gt;"",'Historical Score'!$C$9&lt;&gt;""),IF(J540='Historical Score'!$C$9,1,0),0)</f>
        <v>1</v>
      </c>
      <c r="AV540" s="65" t="n">
        <f aca="false">AR540*AS540*AQ540</f>
        <v>0</v>
      </c>
      <c r="AW540" s="65" t="n">
        <f aca="false">AR540*AT540*AQ540</f>
        <v>0</v>
      </c>
      <c r="AX540" s="65" t="n">
        <f aca="false">AR540*AS540</f>
        <v>0</v>
      </c>
      <c r="AY540" s="65" t="n">
        <f aca="false">AR540*AT540</f>
        <v>0</v>
      </c>
      <c r="AZ540" s="65" t="n">
        <f aca="false">AR540*AQ540</f>
        <v>1</v>
      </c>
      <c r="BA540" s="65" t="n">
        <f aca="false">AR540</f>
        <v>1</v>
      </c>
      <c r="BB540" s="65" t="n">
        <f aca="false">1</f>
        <v>1</v>
      </c>
      <c r="BC540" s="65" t="n">
        <f aca="false">IF(AV540=1,1,IF(AW540=1,2,IF(AX540=1,3,IF(AY540=1,4,IF(AZ540=1,5,IF(BA540=1,6,7))))))</f>
        <v>5</v>
      </c>
      <c r="BD540" s="65" t="n">
        <f aca="false">IF(AD540=1,CHOOSE('Historical Score'!$C$29,AV540,AW540,AX540,AY540,AZ540,BA540,BB540),0)</f>
        <v>0</v>
      </c>
      <c r="BE540" s="65" t="str">
        <f aca="false">IF(BD540=1,COUNTIF($BD$2:BD540,1),"")</f>
        <v/>
      </c>
    </row>
    <row r="541" customFormat="false" ht="15" hidden="false" customHeight="false" outlineLevel="0" collapsed="false">
      <c r="A541" s="65" t="s">
        <v>1955</v>
      </c>
      <c r="B541" s="65" t="s">
        <v>1956</v>
      </c>
      <c r="C541" s="65" t="s">
        <v>1956</v>
      </c>
      <c r="D541" s="65" t="s">
        <v>340</v>
      </c>
      <c r="E541" s="112" t="n">
        <v>46037</v>
      </c>
      <c r="F541" s="112" t="n">
        <v>46122</v>
      </c>
      <c r="G541" s="65" t="n">
        <v>1</v>
      </c>
      <c r="H541" s="65" t="s">
        <v>442</v>
      </c>
      <c r="I541" s="65" t="s">
        <v>443</v>
      </c>
      <c r="J541" s="65" t="s">
        <v>732</v>
      </c>
      <c r="K541" s="65" t="s">
        <v>496</v>
      </c>
      <c r="L541" s="65" t="s">
        <v>64</v>
      </c>
      <c r="M541" s="113" t="n">
        <v>1.49</v>
      </c>
      <c r="N541" s="114" t="n">
        <v>20000</v>
      </c>
      <c r="O541" s="114" t="n">
        <v>2800</v>
      </c>
      <c r="P541" s="114" t="n">
        <v>29800</v>
      </c>
      <c r="Q541" s="114" t="n">
        <v>13409.37</v>
      </c>
      <c r="R541" s="114" t="n">
        <v>16390.63</v>
      </c>
      <c r="S541" s="115" t="n">
        <v>0.449978859060403</v>
      </c>
      <c r="T541" s="65" t="n">
        <v>20</v>
      </c>
      <c r="U541" s="65" t="n">
        <v>3</v>
      </c>
      <c r="V541" s="65" t="n">
        <v>36141.37</v>
      </c>
      <c r="W541" s="115" t="n">
        <v>0.1649</v>
      </c>
      <c r="X541" s="112" t="n">
        <v>45078</v>
      </c>
      <c r="Y541" s="65" t="str">
        <f aca="false">IF(I541="","No SIC",IFERROR(VLOOKUP(I541,Ref!$A$2:$B$65,2,FALSE()),"Unclassified"))</f>
        <v>General Building Contractors</v>
      </c>
      <c r="Z541" s="65" t="str">
        <f aca="false">IF(T541="","",IF(T541&lt;12,"Daily","Weekly"))</f>
        <v>Weekly</v>
      </c>
      <c r="AA541" s="65" t="n">
        <f aca="false">IF(T541="",0,IF(T541&lt;12,T541*Controls!$B$29,T541*5))</f>
        <v>100</v>
      </c>
      <c r="AB541" s="65" t="n">
        <f aca="false">IF(E541="",0,NETWORKDAYS(E541,Controls!$B$36,Ref!$K$2:$K$42))</f>
        <v>155</v>
      </c>
      <c r="AC541" s="65" t="n">
        <f aca="false">IF(AND(AA541&gt;0,AB541&gt;=Controls!$B$39*AA541),1,0)</f>
        <v>1</v>
      </c>
      <c r="AD541" s="65" t="n">
        <f aca="false">IF(AND(E541&lt;&gt;"",E541&gt;=Controls!$B$37,E541&lt;=Controls!$B$38),1,0)</f>
        <v>1</v>
      </c>
      <c r="AE541" s="65" t="n">
        <f aca="false">IF(IFERROR(VLOOKUP(D541,Controls!$A$64:$E$74,2,FALSE()),"No")="Yes",1,0)</f>
        <v>1</v>
      </c>
      <c r="AF541" s="65" t="n">
        <f aca="false">IF(IFERROR(VLOOKUP(D541,Controls!$A$64:$E$74,3,FALSE()),"No")="Yes",1,0)</f>
        <v>0</v>
      </c>
      <c r="AG541" s="65" t="n">
        <f aca="false">IF(IFERROR(VLOOKUP(D541,Controls!$A$64:$E$74,4,FALSE()),"No")="Yes",1,0)</f>
        <v>0</v>
      </c>
      <c r="AH541" s="65" t="n">
        <f aca="false">IF(IFERROR(VLOOKUP(D541,Controls!$A$64:$E$74,5,FALSE()),"No")="Yes",1,0)</f>
        <v>0</v>
      </c>
      <c r="AI541" s="65" t="n">
        <f aca="false">IF(ISNUMBER(MATCH(D541,Controls!$A$64:$A$74,0)),1,0)</f>
        <v>1</v>
      </c>
      <c r="AJ541" s="65" t="n">
        <f aca="false">Q541-N541</f>
        <v>-6590.63</v>
      </c>
      <c r="AK541" s="65" t="n">
        <f aca="false">IF(AE541=1,MAX(0,N541-Q541),0)</f>
        <v>6590.63</v>
      </c>
      <c r="AL541" s="65" t="n">
        <f aca="false">IF(OR(V541="",V541=0),0,N541/V541)</f>
        <v>0.553382453404506</v>
      </c>
      <c r="AM541" s="65" t="n">
        <f aca="false">IF(OR(V541="",V541=0),0,1)</f>
        <v>1</v>
      </c>
      <c r="AN541" s="65" t="n">
        <f aca="false">IF(OR(E541="",F541=""),0,NETWORKDAYS(E541,F541,Ref!$K$2:$K$42))</f>
        <v>60</v>
      </c>
      <c r="AO541" s="65" t="n">
        <f aca="false">IF(L541="Renewal",1,0)</f>
        <v>0</v>
      </c>
      <c r="AP541" s="65" t="n">
        <f aca="false">AC541*AD541</f>
        <v>1</v>
      </c>
      <c r="AQ541" s="65" t="n">
        <f aca="false">IF(AND(G541&lt;&gt;"",'Historical Score'!$C$6&lt;&gt;""),IF(G541='Historical Score'!$C$6,1,0),0)</f>
        <v>0</v>
      </c>
      <c r="AR541" s="65" t="n">
        <f aca="false">IF(AND(L541&lt;&gt;"",'Historical Score'!$C$5&lt;&gt;""),IF(L541='Historical Score'!$C$5,1,0),0)</f>
        <v>1</v>
      </c>
      <c r="AS541" s="65" t="n">
        <f aca="false">IF(AND(Y541&lt;&gt;"",'Historical Score'!$C$7&lt;&gt;""),IF(Y541='Historical Score'!$C$7,1,0),0)</f>
        <v>1</v>
      </c>
      <c r="AT541" s="65" t="n">
        <f aca="false">IF(AND(K541&lt;&gt;"",'Historical Score'!$C$8&lt;&gt;""),IF(K541='Historical Score'!$C$8,1,0),0)</f>
        <v>0</v>
      </c>
      <c r="AU541" s="65" t="n">
        <f aca="false">IF(AND(J541&lt;&gt;"",'Historical Score'!$C$9&lt;&gt;""),IF(J541='Historical Score'!$C$9,1,0),0)</f>
        <v>0</v>
      </c>
      <c r="AV541" s="65" t="n">
        <f aca="false">AR541*AS541*AQ541</f>
        <v>0</v>
      </c>
      <c r="AW541" s="65" t="n">
        <f aca="false">AR541*AT541*AQ541</f>
        <v>0</v>
      </c>
      <c r="AX541" s="65" t="n">
        <f aca="false">AR541*AS541</f>
        <v>1</v>
      </c>
      <c r="AY541" s="65" t="n">
        <f aca="false">AR541*AT541</f>
        <v>0</v>
      </c>
      <c r="AZ541" s="65" t="n">
        <f aca="false">AR541*AQ541</f>
        <v>0</v>
      </c>
      <c r="BA541" s="65" t="n">
        <f aca="false">AR541</f>
        <v>1</v>
      </c>
      <c r="BB541" s="65" t="n">
        <f aca="false">1</f>
        <v>1</v>
      </c>
      <c r="BC541" s="65" t="n">
        <f aca="false">IF(AV541=1,1,IF(AW541=1,2,IF(AX541=1,3,IF(AY541=1,4,IF(AZ541=1,5,IF(BA541=1,6,7))))))</f>
        <v>3</v>
      </c>
      <c r="BD541" s="65" t="n">
        <f aca="false">IF(AD541=1,CHOOSE('Historical Score'!$C$29,AV541,AW541,AX541,AY541,AZ541,BA541,BB541),0)</f>
        <v>0</v>
      </c>
      <c r="BE541" s="65" t="str">
        <f aca="false">IF(BD541=1,COUNTIF($BD$2:BD541,1),"")</f>
        <v/>
      </c>
    </row>
    <row r="542" customFormat="false" ht="15" hidden="false" customHeight="false" outlineLevel="0" collapsed="false">
      <c r="A542" s="65" t="s">
        <v>1957</v>
      </c>
      <c r="B542" s="65" t="s">
        <v>1958</v>
      </c>
      <c r="C542" s="65" t="s">
        <v>1958</v>
      </c>
      <c r="D542" s="65" t="s">
        <v>340</v>
      </c>
      <c r="E542" s="112" t="n">
        <v>46037</v>
      </c>
      <c r="F542" s="112" t="n">
        <v>46136</v>
      </c>
      <c r="G542" s="65" t="n">
        <v>1</v>
      </c>
      <c r="H542" s="65" t="s">
        <v>442</v>
      </c>
      <c r="I542" s="65" t="s">
        <v>443</v>
      </c>
      <c r="J542" s="65" t="s">
        <v>452</v>
      </c>
      <c r="K542" s="65" t="s">
        <v>983</v>
      </c>
      <c r="L542" s="65" t="s">
        <v>64</v>
      </c>
      <c r="M542" s="113" t="n">
        <v>1.49</v>
      </c>
      <c r="N542" s="114" t="n">
        <v>25000</v>
      </c>
      <c r="O542" s="114" t="n">
        <v>3500</v>
      </c>
      <c r="P542" s="114" t="n">
        <v>37250</v>
      </c>
      <c r="Q542" s="114" t="n">
        <v>413.84</v>
      </c>
      <c r="R542" s="114" t="n">
        <v>36836.16</v>
      </c>
      <c r="S542" s="115" t="n">
        <v>0.0111097986577181</v>
      </c>
      <c r="T542" s="65" t="n">
        <v>2.951</v>
      </c>
      <c r="U542" s="65" t="n">
        <v>12</v>
      </c>
      <c r="V542" s="65" t="n">
        <v>48578.52</v>
      </c>
      <c r="W542" s="115" t="n">
        <v>0.1789</v>
      </c>
      <c r="X542" s="112" t="n">
        <v>45510</v>
      </c>
      <c r="Y542" s="65" t="str">
        <f aca="false">IF(I542="","No SIC",IFERROR(VLOOKUP(I542,Ref!$A$2:$B$65,2,FALSE()),"Unclassified"))</f>
        <v>General Building Contractors</v>
      </c>
      <c r="Z542" s="65" t="str">
        <f aca="false">IF(T542="","",IF(T542&lt;12,"Daily","Weekly"))</f>
        <v>Daily</v>
      </c>
      <c r="AA542" s="65" t="n">
        <f aca="false">IF(T542="",0,IF(T542&lt;12,T542*Controls!$B$29,T542*5))</f>
        <v>63.903905</v>
      </c>
      <c r="AB542" s="65" t="n">
        <f aca="false">IF(E542="",0,NETWORKDAYS(E542,Controls!$B$36,Ref!$K$2:$K$42))</f>
        <v>155</v>
      </c>
      <c r="AC542" s="65" t="n">
        <f aca="false">IF(AND(AA542&gt;0,AB542&gt;=Controls!$B$39*AA542),1,0)</f>
        <v>1</v>
      </c>
      <c r="AD542" s="65" t="n">
        <f aca="false">IF(AND(E542&lt;&gt;"",E542&gt;=Controls!$B$37,E542&lt;=Controls!$B$38),1,0)</f>
        <v>1</v>
      </c>
      <c r="AE542" s="65" t="n">
        <f aca="false">IF(IFERROR(VLOOKUP(D542,Controls!$A$64:$E$74,2,FALSE()),"No")="Yes",1,0)</f>
        <v>1</v>
      </c>
      <c r="AF542" s="65" t="n">
        <f aca="false">IF(IFERROR(VLOOKUP(D542,Controls!$A$64:$E$74,3,FALSE()),"No")="Yes",1,0)</f>
        <v>0</v>
      </c>
      <c r="AG542" s="65" t="n">
        <f aca="false">IF(IFERROR(VLOOKUP(D542,Controls!$A$64:$E$74,4,FALSE()),"No")="Yes",1,0)</f>
        <v>0</v>
      </c>
      <c r="AH542" s="65" t="n">
        <f aca="false">IF(IFERROR(VLOOKUP(D542,Controls!$A$64:$E$74,5,FALSE()),"No")="Yes",1,0)</f>
        <v>0</v>
      </c>
      <c r="AI542" s="65" t="n">
        <f aca="false">IF(ISNUMBER(MATCH(D542,Controls!$A$64:$A$74,0)),1,0)</f>
        <v>1</v>
      </c>
      <c r="AJ542" s="65" t="n">
        <f aca="false">Q542-N542</f>
        <v>-24586.16</v>
      </c>
      <c r="AK542" s="65" t="n">
        <f aca="false">IF(AE542=1,MAX(0,N542-Q542),0)</f>
        <v>24586.16</v>
      </c>
      <c r="AL542" s="65" t="n">
        <f aca="false">IF(OR(V542="",V542=0),0,N542/V542)</f>
        <v>0.514630746263987</v>
      </c>
      <c r="AM542" s="65" t="n">
        <f aca="false">IF(OR(V542="",V542=0),0,1)</f>
        <v>1</v>
      </c>
      <c r="AN542" s="65" t="n">
        <f aca="false">IF(OR(E542="",F542=""),0,NETWORKDAYS(E542,F542,Ref!$K$2:$K$42))</f>
        <v>70</v>
      </c>
      <c r="AO542" s="65" t="n">
        <f aca="false">IF(L542="Renewal",1,0)</f>
        <v>0</v>
      </c>
      <c r="AP542" s="65" t="n">
        <f aca="false">AC542*AD542</f>
        <v>1</v>
      </c>
      <c r="AQ542" s="65" t="n">
        <f aca="false">IF(AND(G542&lt;&gt;"",'Historical Score'!$C$6&lt;&gt;""),IF(G542='Historical Score'!$C$6,1,0),0)</f>
        <v>0</v>
      </c>
      <c r="AR542" s="65" t="n">
        <f aca="false">IF(AND(L542&lt;&gt;"",'Historical Score'!$C$5&lt;&gt;""),IF(L542='Historical Score'!$C$5,1,0),0)</f>
        <v>1</v>
      </c>
      <c r="AS542" s="65" t="n">
        <f aca="false">IF(AND(Y542&lt;&gt;"",'Historical Score'!$C$7&lt;&gt;""),IF(Y542='Historical Score'!$C$7,1,0),0)</f>
        <v>1</v>
      </c>
      <c r="AT542" s="65" t="n">
        <f aca="false">IF(AND(K542&lt;&gt;"",'Historical Score'!$C$8&lt;&gt;""),IF(K542='Historical Score'!$C$8,1,0),0)</f>
        <v>0</v>
      </c>
      <c r="AU542" s="65" t="n">
        <f aca="false">IF(AND(J542&lt;&gt;"",'Historical Score'!$C$9&lt;&gt;""),IF(J542='Historical Score'!$C$9,1,0),0)</f>
        <v>0</v>
      </c>
      <c r="AV542" s="65" t="n">
        <f aca="false">AR542*AS542*AQ542</f>
        <v>0</v>
      </c>
      <c r="AW542" s="65" t="n">
        <f aca="false">AR542*AT542*AQ542</f>
        <v>0</v>
      </c>
      <c r="AX542" s="65" t="n">
        <f aca="false">AR542*AS542</f>
        <v>1</v>
      </c>
      <c r="AY542" s="65" t="n">
        <f aca="false">AR542*AT542</f>
        <v>0</v>
      </c>
      <c r="AZ542" s="65" t="n">
        <f aca="false">AR542*AQ542</f>
        <v>0</v>
      </c>
      <c r="BA542" s="65" t="n">
        <f aca="false">AR542</f>
        <v>1</v>
      </c>
      <c r="BB542" s="65" t="n">
        <f aca="false">1</f>
        <v>1</v>
      </c>
      <c r="BC542" s="65" t="n">
        <f aca="false">IF(AV542=1,1,IF(AW542=1,2,IF(AX542=1,3,IF(AY542=1,4,IF(AZ542=1,5,IF(BA542=1,6,7))))))</f>
        <v>3</v>
      </c>
      <c r="BD542" s="65" t="n">
        <f aca="false">IF(AD542=1,CHOOSE('Historical Score'!$C$29,AV542,AW542,AX542,AY542,AZ542,BA542,BB542),0)</f>
        <v>0</v>
      </c>
      <c r="BE542" s="65" t="str">
        <f aca="false">IF(BD542=1,COUNTIF($BD$2:BD542,1),"")</f>
        <v/>
      </c>
    </row>
    <row r="543" customFormat="false" ht="15" hidden="false" customHeight="false" outlineLevel="0" collapsed="false">
      <c r="A543" s="65" t="s">
        <v>1959</v>
      </c>
      <c r="B543" s="65" t="s">
        <v>1960</v>
      </c>
      <c r="C543" s="65" t="s">
        <v>1961</v>
      </c>
      <c r="D543" s="65" t="s">
        <v>1467</v>
      </c>
      <c r="E543" s="112" t="n">
        <v>46037</v>
      </c>
      <c r="F543" s="112" t="n">
        <v>46238</v>
      </c>
      <c r="G543" s="65" t="n">
        <v>1</v>
      </c>
      <c r="H543" s="65" t="s">
        <v>1962</v>
      </c>
      <c r="I543" s="65" t="s">
        <v>415</v>
      </c>
      <c r="J543" s="65" t="s">
        <v>61</v>
      </c>
      <c r="K543" s="65" t="s">
        <v>1963</v>
      </c>
      <c r="L543" s="65" t="s">
        <v>64</v>
      </c>
      <c r="M543" s="113" t="n">
        <v>1.4</v>
      </c>
      <c r="N543" s="114" t="n">
        <v>40000</v>
      </c>
      <c r="O543" s="114" t="n">
        <v>3800</v>
      </c>
      <c r="P543" s="114" t="n">
        <v>56000</v>
      </c>
      <c r="Q543" s="114" t="n">
        <v>45344.94</v>
      </c>
      <c r="R543" s="114" t="n">
        <v>10655.06</v>
      </c>
      <c r="S543" s="115" t="n">
        <v>0.809731071428572</v>
      </c>
      <c r="T543" s="65" t="n">
        <v>2.459</v>
      </c>
      <c r="U543" s="65" t="n">
        <v>31</v>
      </c>
      <c r="V543" s="65" t="n">
        <v>300161.23</v>
      </c>
      <c r="W543" s="115" t="n">
        <v>0.0468</v>
      </c>
      <c r="X543" s="112" t="n">
        <v>38951</v>
      </c>
      <c r="Y543" s="65" t="str">
        <f aca="false">IF(I543="","No SIC",IFERROR(VLOOKUP(I543,Ref!$A$2:$B$65,2,FALSE()),"Unclassified"))</f>
        <v>Wholesale Trade - Durable Goods</v>
      </c>
      <c r="Z543" s="65" t="str">
        <f aca="false">IF(T543="","",IF(T543&lt;12,"Daily","Weekly"))</f>
        <v>Daily</v>
      </c>
      <c r="AA543" s="65" t="n">
        <f aca="false">IF(T543="",0,IF(T543&lt;12,T543*Controls!$B$29,T543*5))</f>
        <v>53.249645</v>
      </c>
      <c r="AB543" s="65" t="n">
        <f aca="false">IF(E543="",0,NETWORKDAYS(E543,Controls!$B$36,Ref!$K$2:$K$42))</f>
        <v>155</v>
      </c>
      <c r="AC543" s="65" t="n">
        <f aca="false">IF(AND(AA543&gt;0,AB543&gt;=Controls!$B$39*AA543),1,0)</f>
        <v>1</v>
      </c>
      <c r="AD543" s="65" t="n">
        <f aca="false">IF(AND(E543&lt;&gt;"",E543&gt;=Controls!$B$37,E543&lt;=Controls!$B$38),1,0)</f>
        <v>1</v>
      </c>
      <c r="AE543" s="65" t="n">
        <f aca="false">IF(IFERROR(VLOOKUP(D543,Controls!$A$64:$E$74,2,FALSE()),"No")="Yes",1,0)</f>
        <v>1</v>
      </c>
      <c r="AF543" s="65" t="n">
        <f aca="false">IF(IFERROR(VLOOKUP(D543,Controls!$A$64:$E$74,3,FALSE()),"No")="Yes",1,0)</f>
        <v>1</v>
      </c>
      <c r="AG543" s="65" t="n">
        <f aca="false">IF(IFERROR(VLOOKUP(D543,Controls!$A$64:$E$74,4,FALSE()),"No")="Yes",1,0)</f>
        <v>0</v>
      </c>
      <c r="AH543" s="65" t="n">
        <f aca="false">IF(IFERROR(VLOOKUP(D543,Controls!$A$64:$E$74,5,FALSE()),"No")="Yes",1,0)</f>
        <v>0</v>
      </c>
      <c r="AI543" s="65" t="n">
        <f aca="false">IF(ISNUMBER(MATCH(D543,Controls!$A$64:$A$74,0)),1,0)</f>
        <v>1</v>
      </c>
      <c r="AJ543" s="65" t="n">
        <f aca="false">Q543-N543</f>
        <v>5344.94</v>
      </c>
      <c r="AK543" s="65" t="n">
        <f aca="false">IF(AE543=1,MAX(0,N543-Q543),0)</f>
        <v>0</v>
      </c>
      <c r="AL543" s="65" t="n">
        <f aca="false">IF(OR(V543="",V543=0),0,N543/V543)</f>
        <v>0.133261714046148</v>
      </c>
      <c r="AM543" s="65" t="n">
        <f aca="false">IF(OR(V543="",V543=0),0,1)</f>
        <v>1</v>
      </c>
      <c r="AN543" s="65" t="n">
        <f aca="false">IF(OR(E543="",F543=""),0,NETWORKDAYS(E543,F543,Ref!$K$2:$K$42))</f>
        <v>140</v>
      </c>
      <c r="AO543" s="65" t="n">
        <f aca="false">IF(L543="Renewal",1,0)</f>
        <v>0</v>
      </c>
      <c r="AP543" s="65" t="n">
        <f aca="false">AC543*AD543</f>
        <v>1</v>
      </c>
      <c r="AQ543" s="65" t="n">
        <f aca="false">IF(AND(G543&lt;&gt;"",'Historical Score'!$C$6&lt;&gt;""),IF(G543='Historical Score'!$C$6,1,0),0)</f>
        <v>0</v>
      </c>
      <c r="AR543" s="65" t="n">
        <f aca="false">IF(AND(L543&lt;&gt;"",'Historical Score'!$C$5&lt;&gt;""),IF(L543='Historical Score'!$C$5,1,0),0)</f>
        <v>1</v>
      </c>
      <c r="AS543" s="65" t="n">
        <f aca="false">IF(AND(Y543&lt;&gt;"",'Historical Score'!$C$7&lt;&gt;""),IF(Y543='Historical Score'!$C$7,1,0),0)</f>
        <v>0</v>
      </c>
      <c r="AT543" s="65" t="n">
        <f aca="false">IF(AND(K543&lt;&gt;"",'Historical Score'!$C$8&lt;&gt;""),IF(K543='Historical Score'!$C$8,1,0),0)</f>
        <v>0</v>
      </c>
      <c r="AU543" s="65" t="n">
        <f aca="false">IF(AND(J543&lt;&gt;"",'Historical Score'!$C$9&lt;&gt;""),IF(J543='Historical Score'!$C$9,1,0),0)</f>
        <v>1</v>
      </c>
      <c r="AV543" s="65" t="n">
        <f aca="false">AR543*AS543*AQ543</f>
        <v>0</v>
      </c>
      <c r="AW543" s="65" t="n">
        <f aca="false">AR543*AT543*AQ543</f>
        <v>0</v>
      </c>
      <c r="AX543" s="65" t="n">
        <f aca="false">AR543*AS543</f>
        <v>0</v>
      </c>
      <c r="AY543" s="65" t="n">
        <f aca="false">AR543*AT543</f>
        <v>0</v>
      </c>
      <c r="AZ543" s="65" t="n">
        <f aca="false">AR543*AQ543</f>
        <v>0</v>
      </c>
      <c r="BA543" s="65" t="n">
        <f aca="false">AR543</f>
        <v>1</v>
      </c>
      <c r="BB543" s="65" t="n">
        <f aca="false">1</f>
        <v>1</v>
      </c>
      <c r="BC543" s="65" t="n">
        <f aca="false">IF(AV543=1,1,IF(AW543=1,2,IF(AX543=1,3,IF(AY543=1,4,IF(AZ543=1,5,IF(BA543=1,6,7))))))</f>
        <v>6</v>
      </c>
      <c r="BD543" s="65" t="n">
        <f aca="false">IF(AD543=1,CHOOSE('Historical Score'!$C$29,AV543,AW543,AX543,AY543,AZ543,BA543,BB543),0)</f>
        <v>0</v>
      </c>
      <c r="BE543" s="65" t="str">
        <f aca="false">IF(BD543=1,COUNTIF($BD$2:BD543,1),"")</f>
        <v/>
      </c>
    </row>
    <row r="544" customFormat="false" ht="15" hidden="false" customHeight="false" outlineLevel="0" collapsed="false">
      <c r="A544" s="65" t="s">
        <v>1964</v>
      </c>
      <c r="B544" s="65" t="s">
        <v>1965</v>
      </c>
      <c r="C544" s="65" t="s">
        <v>1965</v>
      </c>
      <c r="D544" s="65" t="s">
        <v>533</v>
      </c>
      <c r="E544" s="112" t="n">
        <v>46038</v>
      </c>
      <c r="F544" s="112" t="n">
        <v>46094</v>
      </c>
      <c r="G544" s="65" t="n">
        <v>1</v>
      </c>
      <c r="H544" s="65" t="s">
        <v>479</v>
      </c>
      <c r="I544" s="65" t="s">
        <v>356</v>
      </c>
      <c r="J544" s="65" t="s">
        <v>350</v>
      </c>
      <c r="K544" s="65" t="s">
        <v>55</v>
      </c>
      <c r="L544" s="65" t="s">
        <v>64</v>
      </c>
      <c r="M544" s="113" t="n">
        <v>1.49</v>
      </c>
      <c r="N544" s="114" t="n">
        <v>20000</v>
      </c>
      <c r="O544" s="114" t="n">
        <v>2800</v>
      </c>
      <c r="P544" s="114" t="n">
        <v>29800</v>
      </c>
      <c r="Q544" s="114" t="n">
        <v>10431.54</v>
      </c>
      <c r="R544" s="114" t="n">
        <v>19368.46</v>
      </c>
      <c r="S544" s="115" t="n">
        <v>0.350051677852349</v>
      </c>
      <c r="T544" s="65" t="n">
        <v>20</v>
      </c>
      <c r="U544" s="65" t="n">
        <v>1</v>
      </c>
      <c r="V544" s="65" t="n">
        <v>20871.48</v>
      </c>
      <c r="W544" s="115" t="n">
        <v>0.2856</v>
      </c>
      <c r="X544" s="112" t="n">
        <v>44562</v>
      </c>
      <c r="Y544" s="65" t="str">
        <f aca="false">IF(I544="","No SIC",IFERROR(VLOOKUP(I544,Ref!$A$2:$B$65,2,FALSE()),"Unclassified"))</f>
        <v>Trucking &amp; Warehousing</v>
      </c>
      <c r="Z544" s="65" t="str">
        <f aca="false">IF(T544="","",IF(T544&lt;12,"Daily","Weekly"))</f>
        <v>Weekly</v>
      </c>
      <c r="AA544" s="65" t="n">
        <f aca="false">IF(T544="",0,IF(T544&lt;12,T544*Controls!$B$29,T544*5))</f>
        <v>100</v>
      </c>
      <c r="AB544" s="65" t="n">
        <f aca="false">IF(E544="",0,NETWORKDAYS(E544,Controls!$B$36,Ref!$K$2:$K$42))</f>
        <v>154</v>
      </c>
      <c r="AC544" s="65" t="n">
        <f aca="false">IF(AND(AA544&gt;0,AB544&gt;=Controls!$B$39*AA544),1,0)</f>
        <v>1</v>
      </c>
      <c r="AD544" s="65" t="n">
        <f aca="false">IF(AND(E544&lt;&gt;"",E544&gt;=Controls!$B$37,E544&lt;=Controls!$B$38),1,0)</f>
        <v>1</v>
      </c>
      <c r="AE544" s="65" t="n">
        <f aca="false">IF(IFERROR(VLOOKUP(D544,Controls!$A$64:$E$74,2,FALSE()),"No")="Yes",1,0)</f>
        <v>1</v>
      </c>
      <c r="AF544" s="65" t="n">
        <f aca="false">IF(IFERROR(VLOOKUP(D544,Controls!$A$64:$E$74,3,FALSE()),"No")="Yes",1,0)</f>
        <v>0</v>
      </c>
      <c r="AG544" s="65" t="n">
        <f aca="false">IF(IFERROR(VLOOKUP(D544,Controls!$A$64:$E$74,4,FALSE()),"No")="Yes",1,0)</f>
        <v>0</v>
      </c>
      <c r="AH544" s="65" t="n">
        <f aca="false">IF(IFERROR(VLOOKUP(D544,Controls!$A$64:$E$74,5,FALSE()),"No")="Yes",1,0)</f>
        <v>0</v>
      </c>
      <c r="AI544" s="65" t="n">
        <f aca="false">IF(ISNUMBER(MATCH(D544,Controls!$A$64:$A$74,0)),1,0)</f>
        <v>1</v>
      </c>
      <c r="AJ544" s="65" t="n">
        <f aca="false">Q544-N544</f>
        <v>-9568.46</v>
      </c>
      <c r="AK544" s="65" t="n">
        <f aca="false">IF(AE544=1,MAX(0,N544-Q544),0)</f>
        <v>9568.46</v>
      </c>
      <c r="AL544" s="65" t="n">
        <f aca="false">IF(OR(V544="",V544=0),0,N544/V544)</f>
        <v>0.95824541431657</v>
      </c>
      <c r="AM544" s="65" t="n">
        <f aca="false">IF(OR(V544="",V544=0),0,1)</f>
        <v>1</v>
      </c>
      <c r="AN544" s="65" t="n">
        <f aca="false">IF(OR(E544="",F544=""),0,NETWORKDAYS(E544,F544,Ref!$K$2:$K$42))</f>
        <v>39</v>
      </c>
      <c r="AO544" s="65" t="n">
        <f aca="false">IF(L544="Renewal",1,0)</f>
        <v>0</v>
      </c>
      <c r="AP544" s="65" t="n">
        <f aca="false">AC544*AD544</f>
        <v>1</v>
      </c>
      <c r="AQ544" s="65" t="n">
        <f aca="false">IF(AND(G544&lt;&gt;"",'Historical Score'!$C$6&lt;&gt;""),IF(G544='Historical Score'!$C$6,1,0),0)</f>
        <v>0</v>
      </c>
      <c r="AR544" s="65" t="n">
        <f aca="false">IF(AND(L544&lt;&gt;"",'Historical Score'!$C$5&lt;&gt;""),IF(L544='Historical Score'!$C$5,1,0),0)</f>
        <v>1</v>
      </c>
      <c r="AS544" s="65" t="n">
        <f aca="false">IF(AND(Y544&lt;&gt;"",'Historical Score'!$C$7&lt;&gt;""),IF(Y544='Historical Score'!$C$7,1,0),0)</f>
        <v>0</v>
      </c>
      <c r="AT544" s="65" t="n">
        <f aca="false">IF(AND(K544&lt;&gt;"",'Historical Score'!$C$8&lt;&gt;""),IF(K544='Historical Score'!$C$8,1,0),0)</f>
        <v>1</v>
      </c>
      <c r="AU544" s="65" t="n">
        <f aca="false">IF(AND(J544&lt;&gt;"",'Historical Score'!$C$9&lt;&gt;""),IF(J544='Historical Score'!$C$9,1,0),0)</f>
        <v>0</v>
      </c>
      <c r="AV544" s="65" t="n">
        <f aca="false">AR544*AS544*AQ544</f>
        <v>0</v>
      </c>
      <c r="AW544" s="65" t="n">
        <f aca="false">AR544*AT544*AQ544</f>
        <v>0</v>
      </c>
      <c r="AX544" s="65" t="n">
        <f aca="false">AR544*AS544</f>
        <v>0</v>
      </c>
      <c r="AY544" s="65" t="n">
        <f aca="false">AR544*AT544</f>
        <v>1</v>
      </c>
      <c r="AZ544" s="65" t="n">
        <f aca="false">AR544*AQ544</f>
        <v>0</v>
      </c>
      <c r="BA544" s="65" t="n">
        <f aca="false">AR544</f>
        <v>1</v>
      </c>
      <c r="BB544" s="65" t="n">
        <f aca="false">1</f>
        <v>1</v>
      </c>
      <c r="BC544" s="65" t="n">
        <f aca="false">IF(AV544=1,1,IF(AW544=1,2,IF(AX544=1,3,IF(AY544=1,4,IF(AZ544=1,5,IF(BA544=1,6,7))))))</f>
        <v>4</v>
      </c>
      <c r="BD544" s="65" t="n">
        <f aca="false">IF(AD544=1,CHOOSE('Historical Score'!$C$29,AV544,AW544,AX544,AY544,AZ544,BA544,BB544),0)</f>
        <v>0</v>
      </c>
      <c r="BE544" s="65" t="str">
        <f aca="false">IF(BD544=1,COUNTIF($BD$2:BD544,1),"")</f>
        <v/>
      </c>
    </row>
    <row r="545" customFormat="false" ht="15" hidden="false" customHeight="false" outlineLevel="0" collapsed="false">
      <c r="A545" s="65" t="s">
        <v>1966</v>
      </c>
      <c r="B545" s="65" t="s">
        <v>1967</v>
      </c>
      <c r="C545" s="65" t="s">
        <v>1967</v>
      </c>
      <c r="D545" s="65" t="s">
        <v>533</v>
      </c>
      <c r="E545" s="112" t="n">
        <v>46038</v>
      </c>
      <c r="F545" s="112" t="n">
        <v>46211</v>
      </c>
      <c r="G545" s="65" t="n">
        <v>1</v>
      </c>
      <c r="H545" s="65" t="s">
        <v>409</v>
      </c>
      <c r="I545" s="65" t="s">
        <v>342</v>
      </c>
      <c r="J545" s="65" t="s">
        <v>373</v>
      </c>
      <c r="K545" s="65" t="s">
        <v>983</v>
      </c>
      <c r="L545" s="65" t="s">
        <v>64</v>
      </c>
      <c r="M545" s="113" t="n">
        <v>1.49</v>
      </c>
      <c r="N545" s="114" t="n">
        <v>30000</v>
      </c>
      <c r="O545" s="114" t="n">
        <v>0</v>
      </c>
      <c r="P545" s="114" t="n">
        <v>44700</v>
      </c>
      <c r="Q545" s="114" t="n">
        <v>2322.27</v>
      </c>
      <c r="R545" s="114" t="n">
        <v>42377.73</v>
      </c>
      <c r="S545" s="115" t="n">
        <v>0.0519523489932886</v>
      </c>
      <c r="T545" s="65" t="n">
        <v>3.934</v>
      </c>
      <c r="U545" s="65" t="n">
        <v>45</v>
      </c>
      <c r="V545" s="65" t="n">
        <v>95106.64</v>
      </c>
      <c r="W545" s="115" t="n">
        <v>0.0822</v>
      </c>
      <c r="X545" s="112" t="n">
        <v>45927</v>
      </c>
      <c r="Y545" s="65" t="str">
        <f aca="false">IF(I545="","No SIC",IFERROR(VLOOKUP(I545,Ref!$A$2:$B$65,2,FALSE()),"Unclassified"))</f>
        <v>Eating &amp; Drinking Places</v>
      </c>
      <c r="Z545" s="65" t="str">
        <f aca="false">IF(T545="","",IF(T545&lt;12,"Daily","Weekly"))</f>
        <v>Daily</v>
      </c>
      <c r="AA545" s="65" t="n">
        <f aca="false">IF(T545="",0,IF(T545&lt;12,T545*Controls!$B$29,T545*5))</f>
        <v>85.19077</v>
      </c>
      <c r="AB545" s="65" t="n">
        <f aca="false">IF(E545="",0,NETWORKDAYS(E545,Controls!$B$36,Ref!$K$2:$K$42))</f>
        <v>154</v>
      </c>
      <c r="AC545" s="65" t="n">
        <f aca="false">IF(AND(AA545&gt;0,AB545&gt;=Controls!$B$39*AA545),1,0)</f>
        <v>1</v>
      </c>
      <c r="AD545" s="65" t="n">
        <f aca="false">IF(AND(E545&lt;&gt;"",E545&gt;=Controls!$B$37,E545&lt;=Controls!$B$38),1,0)</f>
        <v>1</v>
      </c>
      <c r="AE545" s="65" t="n">
        <f aca="false">IF(IFERROR(VLOOKUP(D545,Controls!$A$64:$E$74,2,FALSE()),"No")="Yes",1,0)</f>
        <v>1</v>
      </c>
      <c r="AF545" s="65" t="n">
        <f aca="false">IF(IFERROR(VLOOKUP(D545,Controls!$A$64:$E$74,3,FALSE()),"No")="Yes",1,0)</f>
        <v>0</v>
      </c>
      <c r="AG545" s="65" t="n">
        <f aca="false">IF(IFERROR(VLOOKUP(D545,Controls!$A$64:$E$74,4,FALSE()),"No")="Yes",1,0)</f>
        <v>0</v>
      </c>
      <c r="AH545" s="65" t="n">
        <f aca="false">IF(IFERROR(VLOOKUP(D545,Controls!$A$64:$E$74,5,FALSE()),"No")="Yes",1,0)</f>
        <v>0</v>
      </c>
      <c r="AI545" s="65" t="n">
        <f aca="false">IF(ISNUMBER(MATCH(D545,Controls!$A$64:$A$74,0)),1,0)</f>
        <v>1</v>
      </c>
      <c r="AJ545" s="65" t="n">
        <f aca="false">Q545-N545</f>
        <v>-27677.73</v>
      </c>
      <c r="AK545" s="65" t="n">
        <f aca="false">IF(AE545=1,MAX(0,N545-Q545),0)</f>
        <v>27677.73</v>
      </c>
      <c r="AL545" s="65" t="n">
        <f aca="false">IF(OR(V545="",V545=0),0,N545/V545)</f>
        <v>0.315435389158948</v>
      </c>
      <c r="AM545" s="65" t="n">
        <f aca="false">IF(OR(V545="",V545=0),0,1)</f>
        <v>1</v>
      </c>
      <c r="AN545" s="65" t="n">
        <f aca="false">IF(OR(E545="",F545=""),0,NETWORKDAYS(E545,F545,Ref!$K$2:$K$42))</f>
        <v>120</v>
      </c>
      <c r="AO545" s="65" t="n">
        <f aca="false">IF(L545="Renewal",1,0)</f>
        <v>0</v>
      </c>
      <c r="AP545" s="65" t="n">
        <f aca="false">AC545*AD545</f>
        <v>1</v>
      </c>
      <c r="AQ545" s="65" t="n">
        <f aca="false">IF(AND(G545&lt;&gt;"",'Historical Score'!$C$6&lt;&gt;""),IF(G545='Historical Score'!$C$6,1,0),0)</f>
        <v>0</v>
      </c>
      <c r="AR545" s="65" t="n">
        <f aca="false">IF(AND(L545&lt;&gt;"",'Historical Score'!$C$5&lt;&gt;""),IF(L545='Historical Score'!$C$5,1,0),0)</f>
        <v>1</v>
      </c>
      <c r="AS545" s="65" t="n">
        <f aca="false">IF(AND(Y545&lt;&gt;"",'Historical Score'!$C$7&lt;&gt;""),IF(Y545='Historical Score'!$C$7,1,0),0)</f>
        <v>0</v>
      </c>
      <c r="AT545" s="65" t="n">
        <f aca="false">IF(AND(K545&lt;&gt;"",'Historical Score'!$C$8&lt;&gt;""),IF(K545='Historical Score'!$C$8,1,0),0)</f>
        <v>0</v>
      </c>
      <c r="AU545" s="65" t="n">
        <f aca="false">IF(AND(J545&lt;&gt;"",'Historical Score'!$C$9&lt;&gt;""),IF(J545='Historical Score'!$C$9,1,0),0)</f>
        <v>0</v>
      </c>
      <c r="AV545" s="65" t="n">
        <f aca="false">AR545*AS545*AQ545</f>
        <v>0</v>
      </c>
      <c r="AW545" s="65" t="n">
        <f aca="false">AR545*AT545*AQ545</f>
        <v>0</v>
      </c>
      <c r="AX545" s="65" t="n">
        <f aca="false">AR545*AS545</f>
        <v>0</v>
      </c>
      <c r="AY545" s="65" t="n">
        <f aca="false">AR545*AT545</f>
        <v>0</v>
      </c>
      <c r="AZ545" s="65" t="n">
        <f aca="false">AR545*AQ545</f>
        <v>0</v>
      </c>
      <c r="BA545" s="65" t="n">
        <f aca="false">AR545</f>
        <v>1</v>
      </c>
      <c r="BB545" s="65" t="n">
        <f aca="false">1</f>
        <v>1</v>
      </c>
      <c r="BC545" s="65" t="n">
        <f aca="false">IF(AV545=1,1,IF(AW545=1,2,IF(AX545=1,3,IF(AY545=1,4,IF(AZ545=1,5,IF(BA545=1,6,7))))))</f>
        <v>6</v>
      </c>
      <c r="BD545" s="65" t="n">
        <f aca="false">IF(AD545=1,CHOOSE('Historical Score'!$C$29,AV545,AW545,AX545,AY545,AZ545,BA545,BB545),0)</f>
        <v>0</v>
      </c>
      <c r="BE545" s="65" t="str">
        <f aca="false">IF(BD545=1,COUNTIF($BD$2:BD545,1),"")</f>
        <v/>
      </c>
    </row>
    <row r="546" customFormat="false" ht="15" hidden="false" customHeight="false" outlineLevel="0" collapsed="false">
      <c r="A546" s="65" t="s">
        <v>1968</v>
      </c>
      <c r="B546" s="65" t="s">
        <v>1969</v>
      </c>
      <c r="C546" s="65" t="s">
        <v>1970</v>
      </c>
      <c r="D546" s="65" t="s">
        <v>371</v>
      </c>
      <c r="E546" s="112" t="n">
        <v>46038</v>
      </c>
      <c r="F546" s="112" t="n">
        <v>46241</v>
      </c>
      <c r="G546" s="65" t="n">
        <v>3</v>
      </c>
      <c r="H546" s="65" t="s">
        <v>1971</v>
      </c>
      <c r="I546" s="65" t="s">
        <v>703</v>
      </c>
      <c r="J546" s="65" t="s">
        <v>506</v>
      </c>
      <c r="K546" s="65" t="s">
        <v>961</v>
      </c>
      <c r="L546" s="65" t="s">
        <v>64</v>
      </c>
      <c r="M546" s="113" t="n">
        <v>1.38</v>
      </c>
      <c r="N546" s="114" t="n">
        <v>175000</v>
      </c>
      <c r="O546" s="114" t="n">
        <v>19250</v>
      </c>
      <c r="P546" s="114" t="n">
        <v>241500</v>
      </c>
      <c r="Q546" s="114" t="n">
        <v>241500</v>
      </c>
      <c r="R546" s="114" t="n">
        <v>-2.91038304567337E-011</v>
      </c>
      <c r="S546" s="115" t="n">
        <v>1</v>
      </c>
      <c r="T546" s="65" t="n">
        <v>40</v>
      </c>
      <c r="U546" s="65" t="n">
        <v>0</v>
      </c>
      <c r="V546" s="65" t="n">
        <v>425126.47</v>
      </c>
      <c r="W546" s="115" t="n">
        <v>0.0568</v>
      </c>
      <c r="X546" s="112" t="n">
        <v>43159</v>
      </c>
      <c r="Y546" s="65" t="str">
        <f aca="false">IF(I546="","No SIC",IFERROR(VLOOKUP(I546,Ref!$A$2:$B$65,2,FALSE()),"Unclassified"))</f>
        <v>Wholesale Trade - Nondurable Goods</v>
      </c>
      <c r="Z546" s="65" t="str">
        <f aca="false">IF(T546="","",IF(T546&lt;12,"Daily","Weekly"))</f>
        <v>Weekly</v>
      </c>
      <c r="AA546" s="65" t="n">
        <f aca="false">IF(T546="",0,IF(T546&lt;12,T546*Controls!$B$29,T546*5))</f>
        <v>200</v>
      </c>
      <c r="AB546" s="65" t="n">
        <f aca="false">IF(E546="",0,NETWORKDAYS(E546,Controls!$B$36,Ref!$K$2:$K$42))</f>
        <v>154</v>
      </c>
      <c r="AC546" s="65" t="n">
        <f aca="false">IF(AND(AA546&gt;0,AB546&gt;=Controls!$B$39*AA546),1,0)</f>
        <v>0</v>
      </c>
      <c r="AD546" s="65" t="n">
        <f aca="false">IF(AND(E546&lt;&gt;"",E546&gt;=Controls!$B$37,E546&lt;=Controls!$B$38),1,0)</f>
        <v>1</v>
      </c>
      <c r="AE546" s="65" t="n">
        <f aca="false">IF(IFERROR(VLOOKUP(D546,Controls!$A$64:$E$74,2,FALSE()),"No")="Yes",1,0)</f>
        <v>0</v>
      </c>
      <c r="AF546" s="65" t="n">
        <f aca="false">IF(IFERROR(VLOOKUP(D546,Controls!$A$64:$E$74,3,FALSE()),"No")="Yes",1,0)</f>
        <v>1</v>
      </c>
      <c r="AG546" s="65" t="n">
        <f aca="false">IF(IFERROR(VLOOKUP(D546,Controls!$A$64:$E$74,4,FALSE()),"No")="Yes",1,0)</f>
        <v>1</v>
      </c>
      <c r="AH546" s="65" t="n">
        <f aca="false">IF(IFERROR(VLOOKUP(D546,Controls!$A$64:$E$74,5,FALSE()),"No")="Yes",1,0)</f>
        <v>0</v>
      </c>
      <c r="AI546" s="65" t="n">
        <f aca="false">IF(ISNUMBER(MATCH(D546,Controls!$A$64:$A$74,0)),1,0)</f>
        <v>1</v>
      </c>
      <c r="AJ546" s="65" t="n">
        <f aca="false">Q546-N546</f>
        <v>66500</v>
      </c>
      <c r="AK546" s="65" t="n">
        <f aca="false">IF(AE546=1,MAX(0,N546-Q546),0)</f>
        <v>0</v>
      </c>
      <c r="AL546" s="65" t="n">
        <f aca="false">IF(OR(V546="",V546=0),0,N546/V546)</f>
        <v>0.411642210846104</v>
      </c>
      <c r="AM546" s="65" t="n">
        <f aca="false">IF(OR(V546="",V546=0),0,1)</f>
        <v>1</v>
      </c>
      <c r="AN546" s="65" t="n">
        <f aca="false">IF(OR(E546="",F546=""),0,NETWORKDAYS(E546,F546,Ref!$K$2:$K$42))</f>
        <v>142</v>
      </c>
      <c r="AO546" s="65" t="n">
        <f aca="false">IF(L546="Renewal",1,0)</f>
        <v>0</v>
      </c>
      <c r="AP546" s="65" t="n">
        <f aca="false">AC546*AD546</f>
        <v>0</v>
      </c>
      <c r="AQ546" s="65" t="n">
        <f aca="false">IF(AND(G546&lt;&gt;"",'Historical Score'!$C$6&lt;&gt;""),IF(G546='Historical Score'!$C$6,1,0),0)</f>
        <v>0</v>
      </c>
      <c r="AR546" s="65" t="n">
        <f aca="false">IF(AND(L546&lt;&gt;"",'Historical Score'!$C$5&lt;&gt;""),IF(L546='Historical Score'!$C$5,1,0),0)</f>
        <v>1</v>
      </c>
      <c r="AS546" s="65" t="n">
        <f aca="false">IF(AND(Y546&lt;&gt;"",'Historical Score'!$C$7&lt;&gt;""),IF(Y546='Historical Score'!$C$7,1,0),0)</f>
        <v>0</v>
      </c>
      <c r="AT546" s="65" t="n">
        <f aca="false">IF(AND(K546&lt;&gt;"",'Historical Score'!$C$8&lt;&gt;""),IF(K546='Historical Score'!$C$8,1,0),0)</f>
        <v>0</v>
      </c>
      <c r="AU546" s="65" t="n">
        <f aca="false">IF(AND(J546&lt;&gt;"",'Historical Score'!$C$9&lt;&gt;""),IF(J546='Historical Score'!$C$9,1,0),0)</f>
        <v>0</v>
      </c>
      <c r="AV546" s="65" t="n">
        <f aca="false">AR546*AS546*AQ546</f>
        <v>0</v>
      </c>
      <c r="AW546" s="65" t="n">
        <f aca="false">AR546*AT546*AQ546</f>
        <v>0</v>
      </c>
      <c r="AX546" s="65" t="n">
        <f aca="false">AR546*AS546</f>
        <v>0</v>
      </c>
      <c r="AY546" s="65" t="n">
        <f aca="false">AR546*AT546</f>
        <v>0</v>
      </c>
      <c r="AZ546" s="65" t="n">
        <f aca="false">AR546*AQ546</f>
        <v>0</v>
      </c>
      <c r="BA546" s="65" t="n">
        <f aca="false">AR546</f>
        <v>1</v>
      </c>
      <c r="BB546" s="65" t="n">
        <f aca="false">1</f>
        <v>1</v>
      </c>
      <c r="BC546" s="65" t="n">
        <f aca="false">IF(AV546=1,1,IF(AW546=1,2,IF(AX546=1,3,IF(AY546=1,4,IF(AZ546=1,5,IF(BA546=1,6,7))))))</f>
        <v>6</v>
      </c>
      <c r="BD546" s="65" t="n">
        <f aca="false">IF(AD546=1,CHOOSE('Historical Score'!$C$29,AV546,AW546,AX546,AY546,AZ546,BA546,BB546),0)</f>
        <v>0</v>
      </c>
      <c r="BE546" s="65" t="str">
        <f aca="false">IF(BD546=1,COUNTIF($BD$2:BD546,1),"")</f>
        <v/>
      </c>
    </row>
    <row r="547" customFormat="false" ht="15" hidden="false" customHeight="false" outlineLevel="0" collapsed="false">
      <c r="A547" s="65" t="s">
        <v>1972</v>
      </c>
      <c r="B547" s="65" t="s">
        <v>1973</v>
      </c>
      <c r="C547" s="65" t="s">
        <v>1973</v>
      </c>
      <c r="D547" s="65" t="s">
        <v>295</v>
      </c>
      <c r="E547" s="112" t="n">
        <v>46038</v>
      </c>
      <c r="F547" s="112" t="n">
        <v>46248</v>
      </c>
      <c r="G547" s="65" t="n">
        <v>1</v>
      </c>
      <c r="H547" s="65" t="s">
        <v>479</v>
      </c>
      <c r="I547" s="65" t="s">
        <v>356</v>
      </c>
      <c r="J547" s="65" t="s">
        <v>373</v>
      </c>
      <c r="K547" s="65" t="s">
        <v>961</v>
      </c>
      <c r="L547" s="65" t="s">
        <v>64</v>
      </c>
      <c r="M547" s="113" t="n">
        <v>1.39</v>
      </c>
      <c r="N547" s="114" t="n">
        <v>75000</v>
      </c>
      <c r="O547" s="114" t="n">
        <v>9375</v>
      </c>
      <c r="P547" s="114" t="n">
        <v>104250</v>
      </c>
      <c r="Q547" s="114" t="n">
        <v>65148</v>
      </c>
      <c r="R547" s="114" t="n">
        <v>39102</v>
      </c>
      <c r="S547" s="115" t="n">
        <v>0.624920863309353</v>
      </c>
      <c r="T547" s="65" t="n">
        <v>48</v>
      </c>
      <c r="U547" s="65" t="n">
        <v>0</v>
      </c>
      <c r="V547" s="65" t="n">
        <v>129454.36</v>
      </c>
      <c r="W547" s="115" t="n">
        <v>0.0671</v>
      </c>
      <c r="X547" s="112" t="n">
        <v>42803</v>
      </c>
      <c r="Y547" s="65" t="str">
        <f aca="false">IF(I547="","No SIC",IFERROR(VLOOKUP(I547,Ref!$A$2:$B$65,2,FALSE()),"Unclassified"))</f>
        <v>Trucking &amp; Warehousing</v>
      </c>
      <c r="Z547" s="65" t="str">
        <f aca="false">IF(T547="","",IF(T547&lt;12,"Daily","Weekly"))</f>
        <v>Weekly</v>
      </c>
      <c r="AA547" s="65" t="n">
        <f aca="false">IF(T547="",0,IF(T547&lt;12,T547*Controls!$B$29,T547*5))</f>
        <v>240</v>
      </c>
      <c r="AB547" s="65" t="n">
        <f aca="false">IF(E547="",0,NETWORKDAYS(E547,Controls!$B$36,Ref!$K$2:$K$42))</f>
        <v>154</v>
      </c>
      <c r="AC547" s="65" t="n">
        <f aca="false">IF(AND(AA547&gt;0,AB547&gt;=Controls!$B$39*AA547),1,0)</f>
        <v>0</v>
      </c>
      <c r="AD547" s="65" t="n">
        <f aca="false">IF(AND(E547&lt;&gt;"",E547&gt;=Controls!$B$37,E547&lt;=Controls!$B$38),1,0)</f>
        <v>1</v>
      </c>
      <c r="AE547" s="65" t="n">
        <f aca="false">IF(IFERROR(VLOOKUP(D547,Controls!$A$64:$E$74,2,FALSE()),"No")="Yes",1,0)</f>
        <v>0</v>
      </c>
      <c r="AF547" s="65" t="n">
        <f aca="false">IF(IFERROR(VLOOKUP(D547,Controls!$A$64:$E$74,3,FALSE()),"No")="Yes",1,0)</f>
        <v>0</v>
      </c>
      <c r="AG547" s="65" t="n">
        <f aca="false">IF(IFERROR(VLOOKUP(D547,Controls!$A$64:$E$74,4,FALSE()),"No")="Yes",1,0)</f>
        <v>0</v>
      </c>
      <c r="AH547" s="65" t="n">
        <f aca="false">IF(IFERROR(VLOOKUP(D547,Controls!$A$64:$E$74,5,FALSE()),"No")="Yes",1,0)</f>
        <v>1</v>
      </c>
      <c r="AI547" s="65" t="n">
        <f aca="false">IF(ISNUMBER(MATCH(D547,Controls!$A$64:$A$74,0)),1,0)</f>
        <v>1</v>
      </c>
      <c r="AJ547" s="65" t="n">
        <f aca="false">Q547-N547</f>
        <v>-9852</v>
      </c>
      <c r="AK547" s="65" t="n">
        <f aca="false">IF(AE547=1,MAX(0,N547-Q547),0)</f>
        <v>0</v>
      </c>
      <c r="AL547" s="65" t="n">
        <f aca="false">IF(OR(V547="",V547=0),0,N547/V547)</f>
        <v>0.579354762558789</v>
      </c>
      <c r="AM547" s="65" t="n">
        <f aca="false">IF(OR(V547="",V547=0),0,1)</f>
        <v>1</v>
      </c>
      <c r="AN547" s="65" t="n">
        <f aca="false">IF(OR(E547="",F547=""),0,NETWORKDAYS(E547,F547,Ref!$K$2:$K$42))</f>
        <v>147</v>
      </c>
      <c r="AO547" s="65" t="n">
        <f aca="false">IF(L547="Renewal",1,0)</f>
        <v>0</v>
      </c>
      <c r="AP547" s="65" t="n">
        <f aca="false">AC547*AD547</f>
        <v>0</v>
      </c>
      <c r="AQ547" s="65" t="n">
        <f aca="false">IF(AND(G547&lt;&gt;"",'Historical Score'!$C$6&lt;&gt;""),IF(G547='Historical Score'!$C$6,1,0),0)</f>
        <v>0</v>
      </c>
      <c r="AR547" s="65" t="n">
        <f aca="false">IF(AND(L547&lt;&gt;"",'Historical Score'!$C$5&lt;&gt;""),IF(L547='Historical Score'!$C$5,1,0),0)</f>
        <v>1</v>
      </c>
      <c r="AS547" s="65" t="n">
        <f aca="false">IF(AND(Y547&lt;&gt;"",'Historical Score'!$C$7&lt;&gt;""),IF(Y547='Historical Score'!$C$7,1,0),0)</f>
        <v>0</v>
      </c>
      <c r="AT547" s="65" t="n">
        <f aca="false">IF(AND(K547&lt;&gt;"",'Historical Score'!$C$8&lt;&gt;""),IF(K547='Historical Score'!$C$8,1,0),0)</f>
        <v>0</v>
      </c>
      <c r="AU547" s="65" t="n">
        <f aca="false">IF(AND(J547&lt;&gt;"",'Historical Score'!$C$9&lt;&gt;""),IF(J547='Historical Score'!$C$9,1,0),0)</f>
        <v>0</v>
      </c>
      <c r="AV547" s="65" t="n">
        <f aca="false">AR547*AS547*AQ547</f>
        <v>0</v>
      </c>
      <c r="AW547" s="65" t="n">
        <f aca="false">AR547*AT547*AQ547</f>
        <v>0</v>
      </c>
      <c r="AX547" s="65" t="n">
        <f aca="false">AR547*AS547</f>
        <v>0</v>
      </c>
      <c r="AY547" s="65" t="n">
        <f aca="false">AR547*AT547</f>
        <v>0</v>
      </c>
      <c r="AZ547" s="65" t="n">
        <f aca="false">AR547*AQ547</f>
        <v>0</v>
      </c>
      <c r="BA547" s="65" t="n">
        <f aca="false">AR547</f>
        <v>1</v>
      </c>
      <c r="BB547" s="65" t="n">
        <f aca="false">1</f>
        <v>1</v>
      </c>
      <c r="BC547" s="65" t="n">
        <f aca="false">IF(AV547=1,1,IF(AW547=1,2,IF(AX547=1,3,IF(AY547=1,4,IF(AZ547=1,5,IF(BA547=1,6,7))))))</f>
        <v>6</v>
      </c>
      <c r="BD547" s="65" t="n">
        <f aca="false">IF(AD547=1,CHOOSE('Historical Score'!$C$29,AV547,AW547,AX547,AY547,AZ547,BA547,BB547),0)</f>
        <v>0</v>
      </c>
      <c r="BE547" s="65" t="str">
        <f aca="false">IF(BD547=1,COUNTIF($BD$2:BD547,1),"")</f>
        <v/>
      </c>
    </row>
    <row r="548" customFormat="false" ht="15" hidden="false" customHeight="false" outlineLevel="0" collapsed="false">
      <c r="A548" s="65" t="s">
        <v>1974</v>
      </c>
      <c r="B548" s="65" t="s">
        <v>1975</v>
      </c>
      <c r="C548" s="65" t="s">
        <v>1976</v>
      </c>
      <c r="D548" s="65" t="s">
        <v>371</v>
      </c>
      <c r="E548" s="112" t="n">
        <v>46042</v>
      </c>
      <c r="F548" s="112" t="n">
        <v>46114</v>
      </c>
      <c r="G548" s="65" t="n">
        <v>2</v>
      </c>
      <c r="H548" s="65" t="s">
        <v>628</v>
      </c>
      <c r="I548" s="65" t="s">
        <v>629</v>
      </c>
      <c r="J548" s="65" t="s">
        <v>1977</v>
      </c>
      <c r="K548" s="65" t="s">
        <v>983</v>
      </c>
      <c r="L548" s="65" t="s">
        <v>64</v>
      </c>
      <c r="M548" s="113" t="n">
        <v>1.49</v>
      </c>
      <c r="N548" s="114" t="n">
        <v>25000</v>
      </c>
      <c r="O548" s="114" t="n">
        <v>3500</v>
      </c>
      <c r="P548" s="114" t="n">
        <v>37250</v>
      </c>
      <c r="Q548" s="114" t="n">
        <v>37250</v>
      </c>
      <c r="R548" s="114" t="n">
        <v>0</v>
      </c>
      <c r="S548" s="115" t="n">
        <v>1</v>
      </c>
      <c r="T548" s="65" t="n">
        <v>2.951</v>
      </c>
      <c r="U548" s="65" t="n">
        <v>1</v>
      </c>
      <c r="V548" s="65" t="n">
        <v>28006.87</v>
      </c>
      <c r="W548" s="115" t="n">
        <v>0.3103</v>
      </c>
      <c r="X548" s="112"/>
      <c r="Y548" s="65" t="str">
        <f aca="false">IF(I548="","No SIC",IFERROR(VLOOKUP(I548,Ref!$A$2:$B$65,2,FALSE()),"Unclassified"))</f>
        <v>Hotels &amp; Lodging</v>
      </c>
      <c r="Z548" s="65" t="str">
        <f aca="false">IF(T548="","",IF(T548&lt;12,"Daily","Weekly"))</f>
        <v>Daily</v>
      </c>
      <c r="AA548" s="65" t="n">
        <f aca="false">IF(T548="",0,IF(T548&lt;12,T548*Controls!$B$29,T548*5))</f>
        <v>63.903905</v>
      </c>
      <c r="AB548" s="65" t="n">
        <f aca="false">IF(E548="",0,NETWORKDAYS(E548,Controls!$B$36,Ref!$K$2:$K$42))</f>
        <v>153</v>
      </c>
      <c r="AC548" s="65" t="n">
        <f aca="false">IF(AND(AA548&gt;0,AB548&gt;=Controls!$B$39*AA548),1,0)</f>
        <v>1</v>
      </c>
      <c r="AD548" s="65" t="n">
        <f aca="false">IF(AND(E548&lt;&gt;"",E548&gt;=Controls!$B$37,E548&lt;=Controls!$B$38),1,0)</f>
        <v>1</v>
      </c>
      <c r="AE548" s="65" t="n">
        <f aca="false">IF(IFERROR(VLOOKUP(D548,Controls!$A$64:$E$74,2,FALSE()),"No")="Yes",1,0)</f>
        <v>0</v>
      </c>
      <c r="AF548" s="65" t="n">
        <f aca="false">IF(IFERROR(VLOOKUP(D548,Controls!$A$64:$E$74,3,FALSE()),"No")="Yes",1,0)</f>
        <v>1</v>
      </c>
      <c r="AG548" s="65" t="n">
        <f aca="false">IF(IFERROR(VLOOKUP(D548,Controls!$A$64:$E$74,4,FALSE()),"No")="Yes",1,0)</f>
        <v>1</v>
      </c>
      <c r="AH548" s="65" t="n">
        <f aca="false">IF(IFERROR(VLOOKUP(D548,Controls!$A$64:$E$74,5,FALSE()),"No")="Yes",1,0)</f>
        <v>0</v>
      </c>
      <c r="AI548" s="65" t="n">
        <f aca="false">IF(ISNUMBER(MATCH(D548,Controls!$A$64:$A$74,0)),1,0)</f>
        <v>1</v>
      </c>
      <c r="AJ548" s="65" t="n">
        <f aca="false">Q548-N548</f>
        <v>12250</v>
      </c>
      <c r="AK548" s="65" t="n">
        <f aca="false">IF(AE548=1,MAX(0,N548-Q548),0)</f>
        <v>0</v>
      </c>
      <c r="AL548" s="65" t="n">
        <f aca="false">IF(OR(V548="",V548=0),0,N548/V548)</f>
        <v>0.892638127716521</v>
      </c>
      <c r="AM548" s="65" t="n">
        <f aca="false">IF(OR(V548="",V548=0),0,1)</f>
        <v>1</v>
      </c>
      <c r="AN548" s="65" t="n">
        <f aca="false">IF(OR(E548="",F548=""),0,NETWORKDAYS(E548,F548,Ref!$K$2:$K$42))</f>
        <v>52</v>
      </c>
      <c r="AO548" s="65" t="n">
        <f aca="false">IF(L548="Renewal",1,0)</f>
        <v>0</v>
      </c>
      <c r="AP548" s="65" t="n">
        <f aca="false">AC548*AD548</f>
        <v>1</v>
      </c>
      <c r="AQ548" s="65" t="n">
        <f aca="false">IF(AND(G548&lt;&gt;"",'Historical Score'!$C$6&lt;&gt;""),IF(G548='Historical Score'!$C$6,1,0),0)</f>
        <v>1</v>
      </c>
      <c r="AR548" s="65" t="n">
        <f aca="false">IF(AND(L548&lt;&gt;"",'Historical Score'!$C$5&lt;&gt;""),IF(L548='Historical Score'!$C$5,1,0),0)</f>
        <v>1</v>
      </c>
      <c r="AS548" s="65" t="n">
        <f aca="false">IF(AND(Y548&lt;&gt;"",'Historical Score'!$C$7&lt;&gt;""),IF(Y548='Historical Score'!$C$7,1,0),0)</f>
        <v>0</v>
      </c>
      <c r="AT548" s="65" t="n">
        <f aca="false">IF(AND(K548&lt;&gt;"",'Historical Score'!$C$8&lt;&gt;""),IF(K548='Historical Score'!$C$8,1,0),0)</f>
        <v>0</v>
      </c>
      <c r="AU548" s="65" t="n">
        <f aca="false">IF(AND(J548&lt;&gt;"",'Historical Score'!$C$9&lt;&gt;""),IF(J548='Historical Score'!$C$9,1,0),0)</f>
        <v>0</v>
      </c>
      <c r="AV548" s="65" t="n">
        <f aca="false">AR548*AS548*AQ548</f>
        <v>0</v>
      </c>
      <c r="AW548" s="65" t="n">
        <f aca="false">AR548*AT548*AQ548</f>
        <v>0</v>
      </c>
      <c r="AX548" s="65" t="n">
        <f aca="false">AR548*AS548</f>
        <v>0</v>
      </c>
      <c r="AY548" s="65" t="n">
        <f aca="false">AR548*AT548</f>
        <v>0</v>
      </c>
      <c r="AZ548" s="65" t="n">
        <f aca="false">AR548*AQ548</f>
        <v>1</v>
      </c>
      <c r="BA548" s="65" t="n">
        <f aca="false">AR548</f>
        <v>1</v>
      </c>
      <c r="BB548" s="65" t="n">
        <f aca="false">1</f>
        <v>1</v>
      </c>
      <c r="BC548" s="65" t="n">
        <f aca="false">IF(AV548=1,1,IF(AW548=1,2,IF(AX548=1,3,IF(AY548=1,4,IF(AZ548=1,5,IF(BA548=1,6,7))))))</f>
        <v>5</v>
      </c>
      <c r="BD548" s="65" t="n">
        <f aca="false">IF(AD548=1,CHOOSE('Historical Score'!$C$29,AV548,AW548,AX548,AY548,AZ548,BA548,BB548),0)</f>
        <v>0</v>
      </c>
      <c r="BE548" s="65" t="str">
        <f aca="false">IF(BD548=1,COUNTIF($BD$2:BD548,1),"")</f>
        <v/>
      </c>
    </row>
    <row r="549" customFormat="false" ht="15" hidden="false" customHeight="false" outlineLevel="0" collapsed="false">
      <c r="A549" s="65" t="s">
        <v>1978</v>
      </c>
      <c r="B549" s="65" t="s">
        <v>1979</v>
      </c>
      <c r="C549" s="65" t="s">
        <v>1979</v>
      </c>
      <c r="D549" s="65" t="s">
        <v>340</v>
      </c>
      <c r="E549" s="112" t="n">
        <v>46042</v>
      </c>
      <c r="F549" s="112" t="n">
        <v>46091</v>
      </c>
      <c r="G549" s="65" t="n">
        <v>1</v>
      </c>
      <c r="H549" s="65" t="s">
        <v>404</v>
      </c>
      <c r="I549" s="65" t="s">
        <v>405</v>
      </c>
      <c r="J549" s="65" t="s">
        <v>61</v>
      </c>
      <c r="K549" s="65" t="s">
        <v>55</v>
      </c>
      <c r="L549" s="65" t="s">
        <v>64</v>
      </c>
      <c r="M549" s="113" t="n">
        <v>1.49</v>
      </c>
      <c r="N549" s="114" t="n">
        <v>10000</v>
      </c>
      <c r="O549" s="114" t="n">
        <v>1400</v>
      </c>
      <c r="P549" s="114" t="n">
        <v>14900</v>
      </c>
      <c r="Q549" s="114" t="n">
        <v>3806.96</v>
      </c>
      <c r="R549" s="114" t="n">
        <v>11093.04</v>
      </c>
      <c r="S549" s="115" t="n">
        <v>0.25550067114094</v>
      </c>
      <c r="T549" s="65" t="n">
        <v>2.951</v>
      </c>
      <c r="U549" s="65" t="n">
        <v>12</v>
      </c>
      <c r="V549" s="65" t="n">
        <v>19571.08</v>
      </c>
      <c r="W549" s="115" t="n">
        <v>0.1776</v>
      </c>
      <c r="X549" s="112"/>
      <c r="Y549" s="65" t="str">
        <f aca="false">IF(I549="","No SIC",IFERROR(VLOOKUP(I549,Ref!$A$2:$B$65,2,FALSE()),"Unclassified"))</f>
        <v>Health Services</v>
      </c>
      <c r="Z549" s="65" t="str">
        <f aca="false">IF(T549="","",IF(T549&lt;12,"Daily","Weekly"))</f>
        <v>Daily</v>
      </c>
      <c r="AA549" s="65" t="n">
        <f aca="false">IF(T549="",0,IF(T549&lt;12,T549*Controls!$B$29,T549*5))</f>
        <v>63.903905</v>
      </c>
      <c r="AB549" s="65" t="n">
        <f aca="false">IF(E549="",0,NETWORKDAYS(E549,Controls!$B$36,Ref!$K$2:$K$42))</f>
        <v>153</v>
      </c>
      <c r="AC549" s="65" t="n">
        <f aca="false">IF(AND(AA549&gt;0,AB549&gt;=Controls!$B$39*AA549),1,0)</f>
        <v>1</v>
      </c>
      <c r="AD549" s="65" t="n">
        <f aca="false">IF(AND(E549&lt;&gt;"",E549&gt;=Controls!$B$37,E549&lt;=Controls!$B$38),1,0)</f>
        <v>1</v>
      </c>
      <c r="AE549" s="65" t="n">
        <f aca="false">IF(IFERROR(VLOOKUP(D549,Controls!$A$64:$E$74,2,FALSE()),"No")="Yes",1,0)</f>
        <v>1</v>
      </c>
      <c r="AF549" s="65" t="n">
        <f aca="false">IF(IFERROR(VLOOKUP(D549,Controls!$A$64:$E$74,3,FALSE()),"No")="Yes",1,0)</f>
        <v>0</v>
      </c>
      <c r="AG549" s="65" t="n">
        <f aca="false">IF(IFERROR(VLOOKUP(D549,Controls!$A$64:$E$74,4,FALSE()),"No")="Yes",1,0)</f>
        <v>0</v>
      </c>
      <c r="AH549" s="65" t="n">
        <f aca="false">IF(IFERROR(VLOOKUP(D549,Controls!$A$64:$E$74,5,FALSE()),"No")="Yes",1,0)</f>
        <v>0</v>
      </c>
      <c r="AI549" s="65" t="n">
        <f aca="false">IF(ISNUMBER(MATCH(D549,Controls!$A$64:$A$74,0)),1,0)</f>
        <v>1</v>
      </c>
      <c r="AJ549" s="65" t="n">
        <f aca="false">Q549-N549</f>
        <v>-6193.04</v>
      </c>
      <c r="AK549" s="65" t="n">
        <f aca="false">IF(AE549=1,MAX(0,N549-Q549),0)</f>
        <v>6193.04</v>
      </c>
      <c r="AL549" s="65" t="n">
        <f aca="false">IF(OR(V549="",V549=0),0,N549/V549)</f>
        <v>0.510958005383454</v>
      </c>
      <c r="AM549" s="65" t="n">
        <f aca="false">IF(OR(V549="",V549=0),0,1)</f>
        <v>1</v>
      </c>
      <c r="AN549" s="65" t="n">
        <f aca="false">IF(OR(E549="",F549=""),0,NETWORKDAYS(E549,F549,Ref!$K$2:$K$42))</f>
        <v>35</v>
      </c>
      <c r="AO549" s="65" t="n">
        <f aca="false">IF(L549="Renewal",1,0)</f>
        <v>0</v>
      </c>
      <c r="AP549" s="65" t="n">
        <f aca="false">AC549*AD549</f>
        <v>1</v>
      </c>
      <c r="AQ549" s="65" t="n">
        <f aca="false">IF(AND(G549&lt;&gt;"",'Historical Score'!$C$6&lt;&gt;""),IF(G549='Historical Score'!$C$6,1,0),0)</f>
        <v>0</v>
      </c>
      <c r="AR549" s="65" t="n">
        <f aca="false">IF(AND(L549&lt;&gt;"",'Historical Score'!$C$5&lt;&gt;""),IF(L549='Historical Score'!$C$5,1,0),0)</f>
        <v>1</v>
      </c>
      <c r="AS549" s="65" t="n">
        <f aca="false">IF(AND(Y549&lt;&gt;"",'Historical Score'!$C$7&lt;&gt;""),IF(Y549='Historical Score'!$C$7,1,0),0)</f>
        <v>0</v>
      </c>
      <c r="AT549" s="65" t="n">
        <f aca="false">IF(AND(K549&lt;&gt;"",'Historical Score'!$C$8&lt;&gt;""),IF(K549='Historical Score'!$C$8,1,0),0)</f>
        <v>1</v>
      </c>
      <c r="AU549" s="65" t="n">
        <f aca="false">IF(AND(J549&lt;&gt;"",'Historical Score'!$C$9&lt;&gt;""),IF(J549='Historical Score'!$C$9,1,0),0)</f>
        <v>1</v>
      </c>
      <c r="AV549" s="65" t="n">
        <f aca="false">AR549*AS549*AQ549</f>
        <v>0</v>
      </c>
      <c r="AW549" s="65" t="n">
        <f aca="false">AR549*AT549*AQ549</f>
        <v>0</v>
      </c>
      <c r="AX549" s="65" t="n">
        <f aca="false">AR549*AS549</f>
        <v>0</v>
      </c>
      <c r="AY549" s="65" t="n">
        <f aca="false">AR549*AT549</f>
        <v>1</v>
      </c>
      <c r="AZ549" s="65" t="n">
        <f aca="false">AR549*AQ549</f>
        <v>0</v>
      </c>
      <c r="BA549" s="65" t="n">
        <f aca="false">AR549</f>
        <v>1</v>
      </c>
      <c r="BB549" s="65" t="n">
        <f aca="false">1</f>
        <v>1</v>
      </c>
      <c r="BC549" s="65" t="n">
        <f aca="false">IF(AV549=1,1,IF(AW549=1,2,IF(AX549=1,3,IF(AY549=1,4,IF(AZ549=1,5,IF(BA549=1,6,7))))))</f>
        <v>4</v>
      </c>
      <c r="BD549" s="65" t="n">
        <f aca="false">IF(AD549=1,CHOOSE('Historical Score'!$C$29,AV549,AW549,AX549,AY549,AZ549,BA549,BB549),0)</f>
        <v>0</v>
      </c>
      <c r="BE549" s="65" t="str">
        <f aca="false">IF(BD549=1,COUNTIF($BD$2:BD549,1),"")</f>
        <v/>
      </c>
    </row>
    <row r="550" customFormat="false" ht="15" hidden="false" customHeight="false" outlineLevel="0" collapsed="false">
      <c r="A550" s="65" t="s">
        <v>1980</v>
      </c>
      <c r="B550" s="65" t="s">
        <v>1981</v>
      </c>
      <c r="C550" s="65" t="s">
        <v>1982</v>
      </c>
      <c r="D550" s="65" t="s">
        <v>295</v>
      </c>
      <c r="E550" s="112" t="n">
        <v>46042</v>
      </c>
      <c r="F550" s="112" t="n">
        <v>46247</v>
      </c>
      <c r="G550" s="65" t="n">
        <v>1</v>
      </c>
      <c r="H550" s="65" t="s">
        <v>1983</v>
      </c>
      <c r="I550" s="65" t="s">
        <v>668</v>
      </c>
      <c r="J550" s="65" t="s">
        <v>772</v>
      </c>
      <c r="K550" s="65" t="s">
        <v>538</v>
      </c>
      <c r="L550" s="65" t="s">
        <v>64</v>
      </c>
      <c r="M550" s="113" t="n">
        <v>1.4</v>
      </c>
      <c r="N550" s="114" t="n">
        <v>100000</v>
      </c>
      <c r="O550" s="114" t="n">
        <v>8500</v>
      </c>
      <c r="P550" s="114" t="n">
        <v>140000</v>
      </c>
      <c r="Q550" s="114" t="n">
        <v>115432.24</v>
      </c>
      <c r="R550" s="114" t="n">
        <v>24567.76</v>
      </c>
      <c r="S550" s="115" t="n">
        <v>0.824516</v>
      </c>
      <c r="T550" s="65" t="n">
        <v>34</v>
      </c>
      <c r="U550" s="65" t="n">
        <v>0</v>
      </c>
      <c r="V550" s="65" t="n">
        <v>596441.6</v>
      </c>
      <c r="W550" s="115" t="n">
        <v>0.032</v>
      </c>
      <c r="X550" s="112" t="n">
        <v>40522</v>
      </c>
      <c r="Y550" s="65" t="str">
        <f aca="false">IF(I550="","No SIC",IFERROR(VLOOKUP(I550,Ref!$A$2:$B$65,2,FALSE()),"Unclassified"))</f>
        <v>Auto Dealers &amp; Gas Stations</v>
      </c>
      <c r="Z550" s="65" t="str">
        <f aca="false">IF(T550="","",IF(T550&lt;12,"Daily","Weekly"))</f>
        <v>Weekly</v>
      </c>
      <c r="AA550" s="65" t="n">
        <f aca="false">IF(T550="",0,IF(T550&lt;12,T550*Controls!$B$29,T550*5))</f>
        <v>170</v>
      </c>
      <c r="AB550" s="65" t="n">
        <f aca="false">IF(E550="",0,NETWORKDAYS(E550,Controls!$B$36,Ref!$K$2:$K$42))</f>
        <v>153</v>
      </c>
      <c r="AC550" s="65" t="n">
        <f aca="false">IF(AND(AA550&gt;0,AB550&gt;=Controls!$B$39*AA550),1,0)</f>
        <v>0</v>
      </c>
      <c r="AD550" s="65" t="n">
        <f aca="false">IF(AND(E550&lt;&gt;"",E550&gt;=Controls!$B$37,E550&lt;=Controls!$B$38),1,0)</f>
        <v>1</v>
      </c>
      <c r="AE550" s="65" t="n">
        <f aca="false">IF(IFERROR(VLOOKUP(D550,Controls!$A$64:$E$74,2,FALSE()),"No")="Yes",1,0)</f>
        <v>0</v>
      </c>
      <c r="AF550" s="65" t="n">
        <f aca="false">IF(IFERROR(VLOOKUP(D550,Controls!$A$64:$E$74,3,FALSE()),"No")="Yes",1,0)</f>
        <v>0</v>
      </c>
      <c r="AG550" s="65" t="n">
        <f aca="false">IF(IFERROR(VLOOKUP(D550,Controls!$A$64:$E$74,4,FALSE()),"No")="Yes",1,0)</f>
        <v>0</v>
      </c>
      <c r="AH550" s="65" t="n">
        <f aca="false">IF(IFERROR(VLOOKUP(D550,Controls!$A$64:$E$74,5,FALSE()),"No")="Yes",1,0)</f>
        <v>1</v>
      </c>
      <c r="AI550" s="65" t="n">
        <f aca="false">IF(ISNUMBER(MATCH(D550,Controls!$A$64:$A$74,0)),1,0)</f>
        <v>1</v>
      </c>
      <c r="AJ550" s="65" t="n">
        <f aca="false">Q550-N550</f>
        <v>15432.24</v>
      </c>
      <c r="AK550" s="65" t="n">
        <f aca="false">IF(AE550=1,MAX(0,N550-Q550),0)</f>
        <v>0</v>
      </c>
      <c r="AL550" s="65" t="n">
        <f aca="false">IF(OR(V550="",V550=0),0,N550/V550)</f>
        <v>0.167661008219413</v>
      </c>
      <c r="AM550" s="65" t="n">
        <f aca="false">IF(OR(V550="",V550=0),0,1)</f>
        <v>1</v>
      </c>
      <c r="AN550" s="65" t="n">
        <f aca="false">IF(OR(E550="",F550=""),0,NETWORKDAYS(E550,F550,Ref!$K$2:$K$42))</f>
        <v>145</v>
      </c>
      <c r="AO550" s="65" t="n">
        <f aca="false">IF(L550="Renewal",1,0)</f>
        <v>0</v>
      </c>
      <c r="AP550" s="65" t="n">
        <f aca="false">AC550*AD550</f>
        <v>0</v>
      </c>
      <c r="AQ550" s="65" t="n">
        <f aca="false">IF(AND(G550&lt;&gt;"",'Historical Score'!$C$6&lt;&gt;""),IF(G550='Historical Score'!$C$6,1,0),0)</f>
        <v>0</v>
      </c>
      <c r="AR550" s="65" t="n">
        <f aca="false">IF(AND(L550&lt;&gt;"",'Historical Score'!$C$5&lt;&gt;""),IF(L550='Historical Score'!$C$5,1,0),0)</f>
        <v>1</v>
      </c>
      <c r="AS550" s="65" t="n">
        <f aca="false">IF(AND(Y550&lt;&gt;"",'Historical Score'!$C$7&lt;&gt;""),IF(Y550='Historical Score'!$C$7,1,0),0)</f>
        <v>0</v>
      </c>
      <c r="AT550" s="65" t="n">
        <f aca="false">IF(AND(K550&lt;&gt;"",'Historical Score'!$C$8&lt;&gt;""),IF(K550='Historical Score'!$C$8,1,0),0)</f>
        <v>0</v>
      </c>
      <c r="AU550" s="65" t="n">
        <f aca="false">IF(AND(J550&lt;&gt;"",'Historical Score'!$C$9&lt;&gt;""),IF(J550='Historical Score'!$C$9,1,0),0)</f>
        <v>0</v>
      </c>
      <c r="AV550" s="65" t="n">
        <f aca="false">AR550*AS550*AQ550</f>
        <v>0</v>
      </c>
      <c r="AW550" s="65" t="n">
        <f aca="false">AR550*AT550*AQ550</f>
        <v>0</v>
      </c>
      <c r="AX550" s="65" t="n">
        <f aca="false">AR550*AS550</f>
        <v>0</v>
      </c>
      <c r="AY550" s="65" t="n">
        <f aca="false">AR550*AT550</f>
        <v>0</v>
      </c>
      <c r="AZ550" s="65" t="n">
        <f aca="false">AR550*AQ550</f>
        <v>0</v>
      </c>
      <c r="BA550" s="65" t="n">
        <f aca="false">AR550</f>
        <v>1</v>
      </c>
      <c r="BB550" s="65" t="n">
        <f aca="false">1</f>
        <v>1</v>
      </c>
      <c r="BC550" s="65" t="n">
        <f aca="false">IF(AV550=1,1,IF(AW550=1,2,IF(AX550=1,3,IF(AY550=1,4,IF(AZ550=1,5,IF(BA550=1,6,7))))))</f>
        <v>6</v>
      </c>
      <c r="BD550" s="65" t="n">
        <f aca="false">IF(AD550=1,CHOOSE('Historical Score'!$C$29,AV550,AW550,AX550,AY550,AZ550,BA550,BB550),0)</f>
        <v>0</v>
      </c>
      <c r="BE550" s="65" t="str">
        <f aca="false">IF(BD550=1,COUNTIF($BD$2:BD550,1),"")</f>
        <v/>
      </c>
    </row>
    <row r="551" customFormat="false" ht="15" hidden="false" customHeight="false" outlineLevel="0" collapsed="false">
      <c r="A551" s="65" t="s">
        <v>1984</v>
      </c>
      <c r="B551" s="65" t="s">
        <v>1985</v>
      </c>
      <c r="C551" s="65" t="s">
        <v>1985</v>
      </c>
      <c r="D551" s="65" t="s">
        <v>371</v>
      </c>
      <c r="E551" s="112" t="n">
        <v>46043</v>
      </c>
      <c r="F551" s="112" t="n">
        <v>46122</v>
      </c>
      <c r="G551" s="65" t="n">
        <v>2</v>
      </c>
      <c r="H551" s="65" t="s">
        <v>409</v>
      </c>
      <c r="I551" s="65" t="s">
        <v>342</v>
      </c>
      <c r="J551" s="65" t="s">
        <v>350</v>
      </c>
      <c r="K551" s="65" t="s">
        <v>1120</v>
      </c>
      <c r="L551" s="65" t="s">
        <v>64</v>
      </c>
      <c r="M551" s="113" t="n">
        <v>1.49</v>
      </c>
      <c r="N551" s="114" t="n">
        <v>7000</v>
      </c>
      <c r="O551" s="114" t="n">
        <v>980</v>
      </c>
      <c r="P551" s="114" t="n">
        <v>10430</v>
      </c>
      <c r="Q551" s="114" t="n">
        <v>10430</v>
      </c>
      <c r="R551" s="114" t="n">
        <v>0</v>
      </c>
      <c r="S551" s="115" t="n">
        <v>1</v>
      </c>
      <c r="T551" s="65" t="n">
        <v>2.131</v>
      </c>
      <c r="U551" s="65" t="n">
        <v>1</v>
      </c>
      <c r="V551" s="65" t="n">
        <v>25605.71</v>
      </c>
      <c r="W551" s="115" t="n">
        <v>0.1316</v>
      </c>
      <c r="X551" s="112" t="n">
        <v>42370</v>
      </c>
      <c r="Y551" s="65" t="str">
        <f aca="false">IF(I551="","No SIC",IFERROR(VLOOKUP(I551,Ref!$A$2:$B$65,2,FALSE()),"Unclassified"))</f>
        <v>Eating &amp; Drinking Places</v>
      </c>
      <c r="Z551" s="65" t="str">
        <f aca="false">IF(T551="","",IF(T551&lt;12,"Daily","Weekly"))</f>
        <v>Daily</v>
      </c>
      <c r="AA551" s="65" t="n">
        <f aca="false">IF(T551="",0,IF(T551&lt;12,T551*Controls!$B$29,T551*5))</f>
        <v>46.146805</v>
      </c>
      <c r="AB551" s="65" t="n">
        <f aca="false">IF(E551="",0,NETWORKDAYS(E551,Controls!$B$36,Ref!$K$2:$K$42))</f>
        <v>152</v>
      </c>
      <c r="AC551" s="65" t="n">
        <f aca="false">IF(AND(AA551&gt;0,AB551&gt;=Controls!$B$39*AA551),1,0)</f>
        <v>1</v>
      </c>
      <c r="AD551" s="65" t="n">
        <f aca="false">IF(AND(E551&lt;&gt;"",E551&gt;=Controls!$B$37,E551&lt;=Controls!$B$38),1,0)</f>
        <v>1</v>
      </c>
      <c r="AE551" s="65" t="n">
        <f aca="false">IF(IFERROR(VLOOKUP(D551,Controls!$A$64:$E$74,2,FALSE()),"No")="Yes",1,0)</f>
        <v>0</v>
      </c>
      <c r="AF551" s="65" t="n">
        <f aca="false">IF(IFERROR(VLOOKUP(D551,Controls!$A$64:$E$74,3,FALSE()),"No")="Yes",1,0)</f>
        <v>1</v>
      </c>
      <c r="AG551" s="65" t="n">
        <f aca="false">IF(IFERROR(VLOOKUP(D551,Controls!$A$64:$E$74,4,FALSE()),"No")="Yes",1,0)</f>
        <v>1</v>
      </c>
      <c r="AH551" s="65" t="n">
        <f aca="false">IF(IFERROR(VLOOKUP(D551,Controls!$A$64:$E$74,5,FALSE()),"No")="Yes",1,0)</f>
        <v>0</v>
      </c>
      <c r="AI551" s="65" t="n">
        <f aca="false">IF(ISNUMBER(MATCH(D551,Controls!$A$64:$A$74,0)),1,0)</f>
        <v>1</v>
      </c>
      <c r="AJ551" s="65" t="n">
        <f aca="false">Q551-N551</f>
        <v>3430</v>
      </c>
      <c r="AK551" s="65" t="n">
        <f aca="false">IF(AE551=1,MAX(0,N551-Q551),0)</f>
        <v>0</v>
      </c>
      <c r="AL551" s="65" t="n">
        <f aca="false">IF(OR(V551="",V551=0),0,N551/V551)</f>
        <v>0.273376524220574</v>
      </c>
      <c r="AM551" s="65" t="n">
        <f aca="false">IF(OR(V551="",V551=0),0,1)</f>
        <v>1</v>
      </c>
      <c r="AN551" s="65" t="n">
        <f aca="false">IF(OR(E551="",F551=""),0,NETWORKDAYS(E551,F551,Ref!$K$2:$K$42))</f>
        <v>57</v>
      </c>
      <c r="AO551" s="65" t="n">
        <f aca="false">IF(L551="Renewal",1,0)</f>
        <v>0</v>
      </c>
      <c r="AP551" s="65" t="n">
        <f aca="false">AC551*AD551</f>
        <v>1</v>
      </c>
      <c r="AQ551" s="65" t="n">
        <f aca="false">IF(AND(G551&lt;&gt;"",'Historical Score'!$C$6&lt;&gt;""),IF(G551='Historical Score'!$C$6,1,0),0)</f>
        <v>1</v>
      </c>
      <c r="AR551" s="65" t="n">
        <f aca="false">IF(AND(L551&lt;&gt;"",'Historical Score'!$C$5&lt;&gt;""),IF(L551='Historical Score'!$C$5,1,0),0)</f>
        <v>1</v>
      </c>
      <c r="AS551" s="65" t="n">
        <f aca="false">IF(AND(Y551&lt;&gt;"",'Historical Score'!$C$7&lt;&gt;""),IF(Y551='Historical Score'!$C$7,1,0),0)</f>
        <v>0</v>
      </c>
      <c r="AT551" s="65" t="n">
        <f aca="false">IF(AND(K551&lt;&gt;"",'Historical Score'!$C$8&lt;&gt;""),IF(K551='Historical Score'!$C$8,1,0),0)</f>
        <v>0</v>
      </c>
      <c r="AU551" s="65" t="n">
        <f aca="false">IF(AND(J551&lt;&gt;"",'Historical Score'!$C$9&lt;&gt;""),IF(J551='Historical Score'!$C$9,1,0),0)</f>
        <v>0</v>
      </c>
      <c r="AV551" s="65" t="n">
        <f aca="false">AR551*AS551*AQ551</f>
        <v>0</v>
      </c>
      <c r="AW551" s="65" t="n">
        <f aca="false">AR551*AT551*AQ551</f>
        <v>0</v>
      </c>
      <c r="AX551" s="65" t="n">
        <f aca="false">AR551*AS551</f>
        <v>0</v>
      </c>
      <c r="AY551" s="65" t="n">
        <f aca="false">AR551*AT551</f>
        <v>0</v>
      </c>
      <c r="AZ551" s="65" t="n">
        <f aca="false">AR551*AQ551</f>
        <v>1</v>
      </c>
      <c r="BA551" s="65" t="n">
        <f aca="false">AR551</f>
        <v>1</v>
      </c>
      <c r="BB551" s="65" t="n">
        <f aca="false">1</f>
        <v>1</v>
      </c>
      <c r="BC551" s="65" t="n">
        <f aca="false">IF(AV551=1,1,IF(AW551=1,2,IF(AX551=1,3,IF(AY551=1,4,IF(AZ551=1,5,IF(BA551=1,6,7))))))</f>
        <v>5</v>
      </c>
      <c r="BD551" s="65" t="n">
        <f aca="false">IF(AD551=1,CHOOSE('Historical Score'!$C$29,AV551,AW551,AX551,AY551,AZ551,BA551,BB551),0)</f>
        <v>0</v>
      </c>
      <c r="BE551" s="65" t="str">
        <f aca="false">IF(BD551=1,COUNTIF($BD$2:BD551,1),"")</f>
        <v/>
      </c>
    </row>
    <row r="552" customFormat="false" ht="15" hidden="false" customHeight="false" outlineLevel="0" collapsed="false">
      <c r="A552" s="65" t="s">
        <v>1986</v>
      </c>
      <c r="B552" s="65" t="s">
        <v>1445</v>
      </c>
      <c r="C552" s="65" t="s">
        <v>1445</v>
      </c>
      <c r="D552" s="65" t="s">
        <v>340</v>
      </c>
      <c r="E552" s="112" t="n">
        <v>46043</v>
      </c>
      <c r="F552" s="112" t="n">
        <v>46233</v>
      </c>
      <c r="G552" s="65" t="n">
        <v>1</v>
      </c>
      <c r="H552" s="65" t="s">
        <v>1010</v>
      </c>
      <c r="I552" s="65" t="s">
        <v>405</v>
      </c>
      <c r="J552" s="65" t="s">
        <v>350</v>
      </c>
      <c r="K552" s="65" t="s">
        <v>961</v>
      </c>
      <c r="L552" s="65" t="s">
        <v>320</v>
      </c>
      <c r="M552" s="113" t="n">
        <v>1.4</v>
      </c>
      <c r="N552" s="114" t="n">
        <v>35000</v>
      </c>
      <c r="O552" s="114" t="n">
        <v>4550</v>
      </c>
      <c r="P552" s="114" t="n">
        <v>49000</v>
      </c>
      <c r="Q552" s="114" t="n">
        <v>14241.96</v>
      </c>
      <c r="R552" s="114" t="n">
        <v>34758.04</v>
      </c>
      <c r="S552" s="115" t="n">
        <v>0.290652244897959</v>
      </c>
      <c r="T552" s="65" t="n">
        <v>3.279</v>
      </c>
      <c r="U552" s="65" t="n">
        <v>8</v>
      </c>
      <c r="V552" s="65" t="n">
        <v>138102.73</v>
      </c>
      <c r="W552" s="115" t="n">
        <v>0.0752</v>
      </c>
      <c r="X552" s="112"/>
      <c r="Y552" s="65" t="str">
        <f aca="false">IF(I552="","No SIC",IFERROR(VLOOKUP(I552,Ref!$A$2:$B$65,2,FALSE()),"Unclassified"))</f>
        <v>Health Services</v>
      </c>
      <c r="Z552" s="65" t="str">
        <f aca="false">IF(T552="","",IF(T552&lt;12,"Daily","Weekly"))</f>
        <v>Daily</v>
      </c>
      <c r="AA552" s="65" t="n">
        <f aca="false">IF(T552="",0,IF(T552&lt;12,T552*Controls!$B$29,T552*5))</f>
        <v>71.006745</v>
      </c>
      <c r="AB552" s="65" t="n">
        <f aca="false">IF(E552="",0,NETWORKDAYS(E552,Controls!$B$36,Ref!$K$2:$K$42))</f>
        <v>152</v>
      </c>
      <c r="AC552" s="65" t="n">
        <f aca="false">IF(AND(AA552&gt;0,AB552&gt;=Controls!$B$39*AA552),1,0)</f>
        <v>1</v>
      </c>
      <c r="AD552" s="65" t="n">
        <f aca="false">IF(AND(E552&lt;&gt;"",E552&gt;=Controls!$B$37,E552&lt;=Controls!$B$38),1,0)</f>
        <v>1</v>
      </c>
      <c r="AE552" s="65" t="n">
        <f aca="false">IF(IFERROR(VLOOKUP(D552,Controls!$A$64:$E$74,2,FALSE()),"No")="Yes",1,0)</f>
        <v>1</v>
      </c>
      <c r="AF552" s="65" t="n">
        <f aca="false">IF(IFERROR(VLOOKUP(D552,Controls!$A$64:$E$74,3,FALSE()),"No")="Yes",1,0)</f>
        <v>0</v>
      </c>
      <c r="AG552" s="65" t="n">
        <f aca="false">IF(IFERROR(VLOOKUP(D552,Controls!$A$64:$E$74,4,FALSE()),"No")="Yes",1,0)</f>
        <v>0</v>
      </c>
      <c r="AH552" s="65" t="n">
        <f aca="false">IF(IFERROR(VLOOKUP(D552,Controls!$A$64:$E$74,5,FALSE()),"No")="Yes",1,0)</f>
        <v>0</v>
      </c>
      <c r="AI552" s="65" t="n">
        <f aca="false">IF(ISNUMBER(MATCH(D552,Controls!$A$64:$A$74,0)),1,0)</f>
        <v>1</v>
      </c>
      <c r="AJ552" s="65" t="n">
        <f aca="false">Q552-N552</f>
        <v>-20758.04</v>
      </c>
      <c r="AK552" s="65" t="n">
        <f aca="false">IF(AE552=1,MAX(0,N552-Q552),0)</f>
        <v>20758.04</v>
      </c>
      <c r="AL552" s="65" t="n">
        <f aca="false">IF(OR(V552="",V552=0),0,N552/V552)</f>
        <v>0.253434526602045</v>
      </c>
      <c r="AM552" s="65" t="n">
        <f aca="false">IF(OR(V552="",V552=0),0,1)</f>
        <v>1</v>
      </c>
      <c r="AN552" s="65" t="n">
        <f aca="false">IF(OR(E552="",F552=""),0,NETWORKDAYS(E552,F552,Ref!$K$2:$K$42))</f>
        <v>134</v>
      </c>
      <c r="AO552" s="65" t="n">
        <f aca="false">IF(L552="Renewal",1,0)</f>
        <v>1</v>
      </c>
      <c r="AP552" s="65" t="n">
        <f aca="false">AC552*AD552</f>
        <v>1</v>
      </c>
      <c r="AQ552" s="65" t="n">
        <f aca="false">IF(AND(G552&lt;&gt;"",'Historical Score'!$C$6&lt;&gt;""),IF(G552='Historical Score'!$C$6,1,0),0)</f>
        <v>0</v>
      </c>
      <c r="AR552" s="65" t="n">
        <f aca="false">IF(AND(L552&lt;&gt;"",'Historical Score'!$C$5&lt;&gt;""),IF(L552='Historical Score'!$C$5,1,0),0)</f>
        <v>0</v>
      </c>
      <c r="AS552" s="65" t="n">
        <f aca="false">IF(AND(Y552&lt;&gt;"",'Historical Score'!$C$7&lt;&gt;""),IF(Y552='Historical Score'!$C$7,1,0),0)</f>
        <v>0</v>
      </c>
      <c r="AT552" s="65" t="n">
        <f aca="false">IF(AND(K552&lt;&gt;"",'Historical Score'!$C$8&lt;&gt;""),IF(K552='Historical Score'!$C$8,1,0),0)</f>
        <v>0</v>
      </c>
      <c r="AU552" s="65" t="n">
        <f aca="false">IF(AND(J552&lt;&gt;"",'Historical Score'!$C$9&lt;&gt;""),IF(J552='Historical Score'!$C$9,1,0),0)</f>
        <v>0</v>
      </c>
      <c r="AV552" s="65" t="n">
        <f aca="false">AR552*AS552*AQ552</f>
        <v>0</v>
      </c>
      <c r="AW552" s="65" t="n">
        <f aca="false">AR552*AT552*AQ552</f>
        <v>0</v>
      </c>
      <c r="AX552" s="65" t="n">
        <f aca="false">AR552*AS552</f>
        <v>0</v>
      </c>
      <c r="AY552" s="65" t="n">
        <f aca="false">AR552*AT552</f>
        <v>0</v>
      </c>
      <c r="AZ552" s="65" t="n">
        <f aca="false">AR552*AQ552</f>
        <v>0</v>
      </c>
      <c r="BA552" s="65" t="n">
        <f aca="false">AR552</f>
        <v>0</v>
      </c>
      <c r="BB552" s="65" t="n">
        <f aca="false">1</f>
        <v>1</v>
      </c>
      <c r="BC552" s="65" t="n">
        <f aca="false">IF(AV552=1,1,IF(AW552=1,2,IF(AX552=1,3,IF(AY552=1,4,IF(AZ552=1,5,IF(BA552=1,6,7))))))</f>
        <v>7</v>
      </c>
      <c r="BD552" s="65" t="n">
        <f aca="false">IF(AD552=1,CHOOSE('Historical Score'!$C$29,AV552,AW552,AX552,AY552,AZ552,BA552,BB552),0)</f>
        <v>0</v>
      </c>
      <c r="BE552" s="65" t="str">
        <f aca="false">IF(BD552=1,COUNTIF($BD$2:BD552,1),"")</f>
        <v/>
      </c>
    </row>
    <row r="553" customFormat="false" ht="15" hidden="false" customHeight="false" outlineLevel="0" collapsed="false">
      <c r="A553" s="65" t="s">
        <v>1987</v>
      </c>
      <c r="B553" s="65" t="s">
        <v>1988</v>
      </c>
      <c r="C553" s="65" t="s">
        <v>1988</v>
      </c>
      <c r="D553" s="65" t="s">
        <v>340</v>
      </c>
      <c r="E553" s="112" t="n">
        <v>46043</v>
      </c>
      <c r="F553" s="112" t="n">
        <v>46073</v>
      </c>
      <c r="G553" s="65" t="n">
        <v>3</v>
      </c>
      <c r="H553" s="65" t="s">
        <v>442</v>
      </c>
      <c r="I553" s="65" t="s">
        <v>443</v>
      </c>
      <c r="J553" s="65" t="s">
        <v>61</v>
      </c>
      <c r="K553" s="65" t="s">
        <v>538</v>
      </c>
      <c r="L553" s="65" t="s">
        <v>64</v>
      </c>
      <c r="M553" s="113" t="n">
        <v>1.45</v>
      </c>
      <c r="N553" s="114" t="n">
        <v>30000</v>
      </c>
      <c r="O553" s="114" t="n">
        <v>0</v>
      </c>
      <c r="P553" s="114" t="n">
        <v>43500</v>
      </c>
      <c r="Q553" s="114" t="n">
        <v>6691.16</v>
      </c>
      <c r="R553" s="114" t="n">
        <v>36808.84</v>
      </c>
      <c r="S553" s="115" t="n">
        <v>0.153819770114943</v>
      </c>
      <c r="T553" s="65" t="n">
        <v>26</v>
      </c>
      <c r="U553" s="65" t="n">
        <v>1</v>
      </c>
      <c r="V553" s="65" t="n">
        <v>106887.32</v>
      </c>
      <c r="W553" s="115" t="n">
        <v>0.0626</v>
      </c>
      <c r="X553" s="112" t="n">
        <v>42095</v>
      </c>
      <c r="Y553" s="65" t="str">
        <f aca="false">IF(I553="","No SIC",IFERROR(VLOOKUP(I553,Ref!$A$2:$B$65,2,FALSE()),"Unclassified"))</f>
        <v>General Building Contractors</v>
      </c>
      <c r="Z553" s="65" t="str">
        <f aca="false">IF(T553="","",IF(T553&lt;12,"Daily","Weekly"))</f>
        <v>Weekly</v>
      </c>
      <c r="AA553" s="65" t="n">
        <f aca="false">IF(T553="",0,IF(T553&lt;12,T553*Controls!$B$29,T553*5))</f>
        <v>130</v>
      </c>
      <c r="AB553" s="65" t="n">
        <f aca="false">IF(E553="",0,NETWORKDAYS(E553,Controls!$B$36,Ref!$K$2:$K$42))</f>
        <v>152</v>
      </c>
      <c r="AC553" s="65" t="n">
        <f aca="false">IF(AND(AA553&gt;0,AB553&gt;=Controls!$B$39*AA553),1,0)</f>
        <v>0</v>
      </c>
      <c r="AD553" s="65" t="n">
        <f aca="false">IF(AND(E553&lt;&gt;"",E553&gt;=Controls!$B$37,E553&lt;=Controls!$B$38),1,0)</f>
        <v>1</v>
      </c>
      <c r="AE553" s="65" t="n">
        <f aca="false">IF(IFERROR(VLOOKUP(D553,Controls!$A$64:$E$74,2,FALSE()),"No")="Yes",1,0)</f>
        <v>1</v>
      </c>
      <c r="AF553" s="65" t="n">
        <f aca="false">IF(IFERROR(VLOOKUP(D553,Controls!$A$64:$E$74,3,FALSE()),"No")="Yes",1,0)</f>
        <v>0</v>
      </c>
      <c r="AG553" s="65" t="n">
        <f aca="false">IF(IFERROR(VLOOKUP(D553,Controls!$A$64:$E$74,4,FALSE()),"No")="Yes",1,0)</f>
        <v>0</v>
      </c>
      <c r="AH553" s="65" t="n">
        <f aca="false">IF(IFERROR(VLOOKUP(D553,Controls!$A$64:$E$74,5,FALSE()),"No")="Yes",1,0)</f>
        <v>0</v>
      </c>
      <c r="AI553" s="65" t="n">
        <f aca="false">IF(ISNUMBER(MATCH(D553,Controls!$A$64:$A$74,0)),1,0)</f>
        <v>1</v>
      </c>
      <c r="AJ553" s="65" t="n">
        <f aca="false">Q553-N553</f>
        <v>-23308.84</v>
      </c>
      <c r="AK553" s="65" t="n">
        <f aca="false">IF(AE553=1,MAX(0,N553-Q553),0)</f>
        <v>23308.84</v>
      </c>
      <c r="AL553" s="65" t="n">
        <f aca="false">IF(OR(V553="",V553=0),0,N553/V553)</f>
        <v>0.280669400261883</v>
      </c>
      <c r="AM553" s="65" t="n">
        <f aca="false">IF(OR(V553="",V553=0),0,1)</f>
        <v>1</v>
      </c>
      <c r="AN553" s="65" t="n">
        <f aca="false">IF(OR(E553="",F553=""),0,NETWORKDAYS(E553,F553,Ref!$K$2:$K$42))</f>
        <v>22</v>
      </c>
      <c r="AO553" s="65" t="n">
        <f aca="false">IF(L553="Renewal",1,0)</f>
        <v>0</v>
      </c>
      <c r="AP553" s="65" t="n">
        <f aca="false">AC553*AD553</f>
        <v>0</v>
      </c>
      <c r="AQ553" s="65" t="n">
        <f aca="false">IF(AND(G553&lt;&gt;"",'Historical Score'!$C$6&lt;&gt;""),IF(G553='Historical Score'!$C$6,1,0),0)</f>
        <v>0</v>
      </c>
      <c r="AR553" s="65" t="n">
        <f aca="false">IF(AND(L553&lt;&gt;"",'Historical Score'!$C$5&lt;&gt;""),IF(L553='Historical Score'!$C$5,1,0),0)</f>
        <v>1</v>
      </c>
      <c r="AS553" s="65" t="n">
        <f aca="false">IF(AND(Y553&lt;&gt;"",'Historical Score'!$C$7&lt;&gt;""),IF(Y553='Historical Score'!$C$7,1,0),0)</f>
        <v>1</v>
      </c>
      <c r="AT553" s="65" t="n">
        <f aca="false">IF(AND(K553&lt;&gt;"",'Historical Score'!$C$8&lt;&gt;""),IF(K553='Historical Score'!$C$8,1,0),0)</f>
        <v>0</v>
      </c>
      <c r="AU553" s="65" t="n">
        <f aca="false">IF(AND(J553&lt;&gt;"",'Historical Score'!$C$9&lt;&gt;""),IF(J553='Historical Score'!$C$9,1,0),0)</f>
        <v>1</v>
      </c>
      <c r="AV553" s="65" t="n">
        <f aca="false">AR553*AS553*AQ553</f>
        <v>0</v>
      </c>
      <c r="AW553" s="65" t="n">
        <f aca="false">AR553*AT553*AQ553</f>
        <v>0</v>
      </c>
      <c r="AX553" s="65" t="n">
        <f aca="false">AR553*AS553</f>
        <v>1</v>
      </c>
      <c r="AY553" s="65" t="n">
        <f aca="false">AR553*AT553</f>
        <v>0</v>
      </c>
      <c r="AZ553" s="65" t="n">
        <f aca="false">AR553*AQ553</f>
        <v>0</v>
      </c>
      <c r="BA553" s="65" t="n">
        <f aca="false">AR553</f>
        <v>1</v>
      </c>
      <c r="BB553" s="65" t="n">
        <f aca="false">1</f>
        <v>1</v>
      </c>
      <c r="BC553" s="65" t="n">
        <f aca="false">IF(AV553=1,1,IF(AW553=1,2,IF(AX553=1,3,IF(AY553=1,4,IF(AZ553=1,5,IF(BA553=1,6,7))))))</f>
        <v>3</v>
      </c>
      <c r="BD553" s="65" t="n">
        <f aca="false">IF(AD553=1,CHOOSE('Historical Score'!$C$29,AV553,AW553,AX553,AY553,AZ553,BA553,BB553),0)</f>
        <v>0</v>
      </c>
      <c r="BE553" s="65" t="str">
        <f aca="false">IF(BD553=1,COUNTIF($BD$2:BD553,1),"")</f>
        <v/>
      </c>
    </row>
    <row r="554" customFormat="false" ht="15" hidden="false" customHeight="false" outlineLevel="0" collapsed="false">
      <c r="A554" s="65" t="s">
        <v>1989</v>
      </c>
      <c r="B554" s="65" t="s">
        <v>1990</v>
      </c>
      <c r="C554" s="65" t="s">
        <v>1991</v>
      </c>
      <c r="D554" s="65" t="s">
        <v>533</v>
      </c>
      <c r="E554" s="112" t="n">
        <v>46044</v>
      </c>
      <c r="F554" s="112" t="n">
        <v>46142</v>
      </c>
      <c r="G554" s="65" t="n">
        <v>2</v>
      </c>
      <c r="H554" s="65" t="s">
        <v>1589</v>
      </c>
      <c r="I554" s="65" t="s">
        <v>1590</v>
      </c>
      <c r="J554" s="65" t="s">
        <v>506</v>
      </c>
      <c r="K554" s="65" t="s">
        <v>983</v>
      </c>
      <c r="L554" s="65" t="s">
        <v>64</v>
      </c>
      <c r="M554" s="113" t="n">
        <v>1.49</v>
      </c>
      <c r="N554" s="114" t="n">
        <v>20000</v>
      </c>
      <c r="O554" s="114" t="n">
        <v>2800</v>
      </c>
      <c r="P554" s="114" t="n">
        <v>29800</v>
      </c>
      <c r="Q554" s="114" t="n">
        <v>4221.1</v>
      </c>
      <c r="R554" s="114" t="n">
        <v>25578.9</v>
      </c>
      <c r="S554" s="115" t="n">
        <v>0.141647651006711</v>
      </c>
      <c r="T554" s="65" t="n">
        <v>3.934</v>
      </c>
      <c r="U554" s="65" t="n">
        <v>7</v>
      </c>
      <c r="V554" s="65" t="n">
        <v>73234.22</v>
      </c>
      <c r="W554" s="115" t="n">
        <v>0.0712</v>
      </c>
      <c r="X554" s="112" t="n">
        <v>41921</v>
      </c>
      <c r="Y554" s="65" t="str">
        <f aca="false">IF(I554="","No SIC",IFERROR(VLOOKUP(I554,Ref!$A$2:$B$65,2,FALSE()),"Unclassified"))</f>
        <v>Legal Services</v>
      </c>
      <c r="Z554" s="65" t="str">
        <f aca="false">IF(T554="","",IF(T554&lt;12,"Daily","Weekly"))</f>
        <v>Daily</v>
      </c>
      <c r="AA554" s="65" t="n">
        <f aca="false">IF(T554="",0,IF(T554&lt;12,T554*Controls!$B$29,T554*5))</f>
        <v>85.19077</v>
      </c>
      <c r="AB554" s="65" t="n">
        <f aca="false">IF(E554="",0,NETWORKDAYS(E554,Controls!$B$36,Ref!$K$2:$K$42))</f>
        <v>151</v>
      </c>
      <c r="AC554" s="65" t="n">
        <f aca="false">IF(AND(AA554&gt;0,AB554&gt;=Controls!$B$39*AA554),1,0)</f>
        <v>1</v>
      </c>
      <c r="AD554" s="65" t="n">
        <f aca="false">IF(AND(E554&lt;&gt;"",E554&gt;=Controls!$B$37,E554&lt;=Controls!$B$38),1,0)</f>
        <v>1</v>
      </c>
      <c r="AE554" s="65" t="n">
        <f aca="false">IF(IFERROR(VLOOKUP(D554,Controls!$A$64:$E$74,2,FALSE()),"No")="Yes",1,0)</f>
        <v>1</v>
      </c>
      <c r="AF554" s="65" t="n">
        <f aca="false">IF(IFERROR(VLOOKUP(D554,Controls!$A$64:$E$74,3,FALSE()),"No")="Yes",1,0)</f>
        <v>0</v>
      </c>
      <c r="AG554" s="65" t="n">
        <f aca="false">IF(IFERROR(VLOOKUP(D554,Controls!$A$64:$E$74,4,FALSE()),"No")="Yes",1,0)</f>
        <v>0</v>
      </c>
      <c r="AH554" s="65" t="n">
        <f aca="false">IF(IFERROR(VLOOKUP(D554,Controls!$A$64:$E$74,5,FALSE()),"No")="Yes",1,0)</f>
        <v>0</v>
      </c>
      <c r="AI554" s="65" t="n">
        <f aca="false">IF(ISNUMBER(MATCH(D554,Controls!$A$64:$A$74,0)),1,0)</f>
        <v>1</v>
      </c>
      <c r="AJ554" s="65" t="n">
        <f aca="false">Q554-N554</f>
        <v>-15778.9</v>
      </c>
      <c r="AK554" s="65" t="n">
        <f aca="false">IF(AE554=1,MAX(0,N554-Q554),0)</f>
        <v>15778.9</v>
      </c>
      <c r="AL554" s="65" t="n">
        <f aca="false">IF(OR(V554="",V554=0),0,N554/V554)</f>
        <v>0.27309637489141</v>
      </c>
      <c r="AM554" s="65" t="n">
        <f aca="false">IF(OR(V554="",V554=0),0,1)</f>
        <v>1</v>
      </c>
      <c r="AN554" s="65" t="n">
        <f aca="false">IF(OR(E554="",F554=""),0,NETWORKDAYS(E554,F554,Ref!$K$2:$K$42))</f>
        <v>70</v>
      </c>
      <c r="AO554" s="65" t="n">
        <f aca="false">IF(L554="Renewal",1,0)</f>
        <v>0</v>
      </c>
      <c r="AP554" s="65" t="n">
        <f aca="false">AC554*AD554</f>
        <v>1</v>
      </c>
      <c r="AQ554" s="65" t="n">
        <f aca="false">IF(AND(G554&lt;&gt;"",'Historical Score'!$C$6&lt;&gt;""),IF(G554='Historical Score'!$C$6,1,0),0)</f>
        <v>1</v>
      </c>
      <c r="AR554" s="65" t="n">
        <f aca="false">IF(AND(L554&lt;&gt;"",'Historical Score'!$C$5&lt;&gt;""),IF(L554='Historical Score'!$C$5,1,0),0)</f>
        <v>1</v>
      </c>
      <c r="AS554" s="65" t="n">
        <f aca="false">IF(AND(Y554&lt;&gt;"",'Historical Score'!$C$7&lt;&gt;""),IF(Y554='Historical Score'!$C$7,1,0),0)</f>
        <v>0</v>
      </c>
      <c r="AT554" s="65" t="n">
        <f aca="false">IF(AND(K554&lt;&gt;"",'Historical Score'!$C$8&lt;&gt;""),IF(K554='Historical Score'!$C$8,1,0),0)</f>
        <v>0</v>
      </c>
      <c r="AU554" s="65" t="n">
        <f aca="false">IF(AND(J554&lt;&gt;"",'Historical Score'!$C$9&lt;&gt;""),IF(J554='Historical Score'!$C$9,1,0),0)</f>
        <v>0</v>
      </c>
      <c r="AV554" s="65" t="n">
        <f aca="false">AR554*AS554*AQ554</f>
        <v>0</v>
      </c>
      <c r="AW554" s="65" t="n">
        <f aca="false">AR554*AT554*AQ554</f>
        <v>0</v>
      </c>
      <c r="AX554" s="65" t="n">
        <f aca="false">AR554*AS554</f>
        <v>0</v>
      </c>
      <c r="AY554" s="65" t="n">
        <f aca="false">AR554*AT554</f>
        <v>0</v>
      </c>
      <c r="AZ554" s="65" t="n">
        <f aca="false">AR554*AQ554</f>
        <v>1</v>
      </c>
      <c r="BA554" s="65" t="n">
        <f aca="false">AR554</f>
        <v>1</v>
      </c>
      <c r="BB554" s="65" t="n">
        <f aca="false">1</f>
        <v>1</v>
      </c>
      <c r="BC554" s="65" t="n">
        <f aca="false">IF(AV554=1,1,IF(AW554=1,2,IF(AX554=1,3,IF(AY554=1,4,IF(AZ554=1,5,IF(BA554=1,6,7))))))</f>
        <v>5</v>
      </c>
      <c r="BD554" s="65" t="n">
        <f aca="false">IF(AD554=1,CHOOSE('Historical Score'!$C$29,AV554,AW554,AX554,AY554,AZ554,BA554,BB554),0)</f>
        <v>0</v>
      </c>
      <c r="BE554" s="65" t="str">
        <f aca="false">IF(BD554=1,COUNTIF($BD$2:BD554,1),"")</f>
        <v/>
      </c>
    </row>
    <row r="555" customFormat="false" ht="15" hidden="false" customHeight="false" outlineLevel="0" collapsed="false">
      <c r="A555" s="65" t="s">
        <v>1992</v>
      </c>
      <c r="B555" s="65" t="s">
        <v>1993</v>
      </c>
      <c r="C555" s="65" t="s">
        <v>1993</v>
      </c>
      <c r="D555" s="65" t="s">
        <v>533</v>
      </c>
      <c r="E555" s="112" t="n">
        <v>46044</v>
      </c>
      <c r="F555" s="112" t="n">
        <v>46240</v>
      </c>
      <c r="G555" s="65" t="n">
        <v>3</v>
      </c>
      <c r="H555" s="65" t="s">
        <v>1055</v>
      </c>
      <c r="I555" s="65" t="s">
        <v>643</v>
      </c>
      <c r="J555" s="65" t="s">
        <v>510</v>
      </c>
      <c r="K555" s="65" t="s">
        <v>538</v>
      </c>
      <c r="L555" s="65" t="s">
        <v>64</v>
      </c>
      <c r="M555" s="113" t="n">
        <v>1.42</v>
      </c>
      <c r="N555" s="114" t="n">
        <v>40000</v>
      </c>
      <c r="O555" s="114" t="n">
        <v>4200</v>
      </c>
      <c r="P555" s="114" t="n">
        <v>56800</v>
      </c>
      <c r="Q555" s="114" t="n">
        <v>19155.34</v>
      </c>
      <c r="R555" s="114" t="n">
        <v>37644.66</v>
      </c>
      <c r="S555" s="115" t="n">
        <v>0.337241901408451</v>
      </c>
      <c r="T555" s="65" t="n">
        <v>4.59</v>
      </c>
      <c r="U555" s="65" t="n">
        <v>22</v>
      </c>
      <c r="V555" s="65" t="n">
        <v>271905.48</v>
      </c>
      <c r="W555" s="115" t="n">
        <v>0.0852</v>
      </c>
      <c r="X555" s="112" t="n">
        <v>37377</v>
      </c>
      <c r="Y555" s="65" t="str">
        <f aca="false">IF(I555="","No SIC",IFERROR(VLOOKUP(I555,Ref!$A$2:$B$65,2,FALSE()),"Unclassified"))</f>
        <v>Agricultural Services</v>
      </c>
      <c r="Z555" s="65" t="str">
        <f aca="false">IF(T555="","",IF(T555&lt;12,"Daily","Weekly"))</f>
        <v>Daily</v>
      </c>
      <c r="AA555" s="65" t="n">
        <f aca="false">IF(T555="",0,IF(T555&lt;12,T555*Controls!$B$29,T555*5))</f>
        <v>99.39645</v>
      </c>
      <c r="AB555" s="65" t="n">
        <f aca="false">IF(E555="",0,NETWORKDAYS(E555,Controls!$B$36,Ref!$K$2:$K$42))</f>
        <v>151</v>
      </c>
      <c r="AC555" s="65" t="n">
        <f aca="false">IF(AND(AA555&gt;0,AB555&gt;=Controls!$B$39*AA555),1,0)</f>
        <v>1</v>
      </c>
      <c r="AD555" s="65" t="n">
        <f aca="false">IF(AND(E555&lt;&gt;"",E555&gt;=Controls!$B$37,E555&lt;=Controls!$B$38),1,0)</f>
        <v>1</v>
      </c>
      <c r="AE555" s="65" t="n">
        <f aca="false">IF(IFERROR(VLOOKUP(D555,Controls!$A$64:$E$74,2,FALSE()),"No")="Yes",1,0)</f>
        <v>1</v>
      </c>
      <c r="AF555" s="65" t="n">
        <f aca="false">IF(IFERROR(VLOOKUP(D555,Controls!$A$64:$E$74,3,FALSE()),"No")="Yes",1,0)</f>
        <v>0</v>
      </c>
      <c r="AG555" s="65" t="n">
        <f aca="false">IF(IFERROR(VLOOKUP(D555,Controls!$A$64:$E$74,4,FALSE()),"No")="Yes",1,0)</f>
        <v>0</v>
      </c>
      <c r="AH555" s="65" t="n">
        <f aca="false">IF(IFERROR(VLOOKUP(D555,Controls!$A$64:$E$74,5,FALSE()),"No")="Yes",1,0)</f>
        <v>0</v>
      </c>
      <c r="AI555" s="65" t="n">
        <f aca="false">IF(ISNUMBER(MATCH(D555,Controls!$A$64:$A$74,0)),1,0)</f>
        <v>1</v>
      </c>
      <c r="AJ555" s="65" t="n">
        <f aca="false">Q555-N555</f>
        <v>-20844.66</v>
      </c>
      <c r="AK555" s="65" t="n">
        <f aca="false">IF(AE555=1,MAX(0,N555-Q555),0)</f>
        <v>20844.66</v>
      </c>
      <c r="AL555" s="65" t="n">
        <f aca="false">IF(OR(V555="",V555=0),0,N555/V555)</f>
        <v>0.147109944235033</v>
      </c>
      <c r="AM555" s="65" t="n">
        <f aca="false">IF(OR(V555="",V555=0),0,1)</f>
        <v>1</v>
      </c>
      <c r="AN555" s="65" t="n">
        <f aca="false">IF(OR(E555="",F555=""),0,NETWORKDAYS(E555,F555,Ref!$K$2:$K$42))</f>
        <v>138</v>
      </c>
      <c r="AO555" s="65" t="n">
        <f aca="false">IF(L555="Renewal",1,0)</f>
        <v>0</v>
      </c>
      <c r="AP555" s="65" t="n">
        <f aca="false">AC555*AD555</f>
        <v>1</v>
      </c>
      <c r="AQ555" s="65" t="n">
        <f aca="false">IF(AND(G555&lt;&gt;"",'Historical Score'!$C$6&lt;&gt;""),IF(G555='Historical Score'!$C$6,1,0),0)</f>
        <v>0</v>
      </c>
      <c r="AR555" s="65" t="n">
        <f aca="false">IF(AND(L555&lt;&gt;"",'Historical Score'!$C$5&lt;&gt;""),IF(L555='Historical Score'!$C$5,1,0),0)</f>
        <v>1</v>
      </c>
      <c r="AS555" s="65" t="n">
        <f aca="false">IF(AND(Y555&lt;&gt;"",'Historical Score'!$C$7&lt;&gt;""),IF(Y555='Historical Score'!$C$7,1,0),0)</f>
        <v>0</v>
      </c>
      <c r="AT555" s="65" t="n">
        <f aca="false">IF(AND(K555&lt;&gt;"",'Historical Score'!$C$8&lt;&gt;""),IF(K555='Historical Score'!$C$8,1,0),0)</f>
        <v>0</v>
      </c>
      <c r="AU555" s="65" t="n">
        <f aca="false">IF(AND(J555&lt;&gt;"",'Historical Score'!$C$9&lt;&gt;""),IF(J555='Historical Score'!$C$9,1,0),0)</f>
        <v>0</v>
      </c>
      <c r="AV555" s="65" t="n">
        <f aca="false">AR555*AS555*AQ555</f>
        <v>0</v>
      </c>
      <c r="AW555" s="65" t="n">
        <f aca="false">AR555*AT555*AQ555</f>
        <v>0</v>
      </c>
      <c r="AX555" s="65" t="n">
        <f aca="false">AR555*AS555</f>
        <v>0</v>
      </c>
      <c r="AY555" s="65" t="n">
        <f aca="false">AR555*AT555</f>
        <v>0</v>
      </c>
      <c r="AZ555" s="65" t="n">
        <f aca="false">AR555*AQ555</f>
        <v>0</v>
      </c>
      <c r="BA555" s="65" t="n">
        <f aca="false">AR555</f>
        <v>1</v>
      </c>
      <c r="BB555" s="65" t="n">
        <f aca="false">1</f>
        <v>1</v>
      </c>
      <c r="BC555" s="65" t="n">
        <f aca="false">IF(AV555=1,1,IF(AW555=1,2,IF(AX555=1,3,IF(AY555=1,4,IF(AZ555=1,5,IF(BA555=1,6,7))))))</f>
        <v>6</v>
      </c>
      <c r="BD555" s="65" t="n">
        <f aca="false">IF(AD555=1,CHOOSE('Historical Score'!$C$29,AV555,AW555,AX555,AY555,AZ555,BA555,BB555),0)</f>
        <v>0</v>
      </c>
      <c r="BE555" s="65" t="str">
        <f aca="false">IF(BD555=1,COUNTIF($BD$2:BD555,1),"")</f>
        <v/>
      </c>
    </row>
    <row r="556" customFormat="false" ht="15" hidden="false" customHeight="false" outlineLevel="0" collapsed="false">
      <c r="A556" s="65" t="s">
        <v>1994</v>
      </c>
      <c r="B556" s="65" t="s">
        <v>1995</v>
      </c>
      <c r="C556" s="65" t="s">
        <v>1995</v>
      </c>
      <c r="D556" s="65" t="s">
        <v>340</v>
      </c>
      <c r="E556" s="112" t="n">
        <v>46044</v>
      </c>
      <c r="F556" s="112" t="n">
        <v>46205</v>
      </c>
      <c r="G556" s="65" t="n">
        <v>3</v>
      </c>
      <c r="H556" s="65" t="s">
        <v>494</v>
      </c>
      <c r="I556" s="65" t="s">
        <v>484</v>
      </c>
      <c r="J556" s="65" t="s">
        <v>464</v>
      </c>
      <c r="K556" s="65" t="s">
        <v>538</v>
      </c>
      <c r="L556" s="65" t="s">
        <v>64</v>
      </c>
      <c r="M556" s="113" t="n">
        <v>1.43</v>
      </c>
      <c r="N556" s="114" t="n">
        <v>175000</v>
      </c>
      <c r="O556" s="114" t="n">
        <v>15750</v>
      </c>
      <c r="P556" s="114" t="n">
        <v>250250</v>
      </c>
      <c r="Q556" s="114" t="n">
        <v>51015.73</v>
      </c>
      <c r="R556" s="114" t="n">
        <v>199234.27</v>
      </c>
      <c r="S556" s="115" t="n">
        <v>0.203859060939061</v>
      </c>
      <c r="T556" s="65" t="n">
        <v>38</v>
      </c>
      <c r="U556" s="65" t="n">
        <v>3</v>
      </c>
      <c r="V556" s="65" t="n">
        <v>2347109.12</v>
      </c>
      <c r="W556" s="115" t="n">
        <v>0.0112</v>
      </c>
      <c r="X556" s="112" t="n">
        <v>42632</v>
      </c>
      <c r="Y556" s="65" t="str">
        <f aca="false">IF(I556="","No SIC",IFERROR(VLOOKUP(I556,Ref!$A$2:$B$65,2,FALSE()),"Unclassified"))</f>
        <v>Special Trade Contractors</v>
      </c>
      <c r="Z556" s="65" t="str">
        <f aca="false">IF(T556="","",IF(T556&lt;12,"Daily","Weekly"))</f>
        <v>Weekly</v>
      </c>
      <c r="AA556" s="65" t="n">
        <f aca="false">IF(T556="",0,IF(T556&lt;12,T556*Controls!$B$29,T556*5))</f>
        <v>190</v>
      </c>
      <c r="AB556" s="65" t="n">
        <f aca="false">IF(E556="",0,NETWORKDAYS(E556,Controls!$B$36,Ref!$K$2:$K$42))</f>
        <v>151</v>
      </c>
      <c r="AC556" s="65" t="n">
        <f aca="false">IF(AND(AA556&gt;0,AB556&gt;=Controls!$B$39*AA556),1,0)</f>
        <v>0</v>
      </c>
      <c r="AD556" s="65" t="n">
        <f aca="false">IF(AND(E556&lt;&gt;"",E556&gt;=Controls!$B$37,E556&lt;=Controls!$B$38),1,0)</f>
        <v>1</v>
      </c>
      <c r="AE556" s="65" t="n">
        <f aca="false">IF(IFERROR(VLOOKUP(D556,Controls!$A$64:$E$74,2,FALSE()),"No")="Yes",1,0)</f>
        <v>1</v>
      </c>
      <c r="AF556" s="65" t="n">
        <f aca="false">IF(IFERROR(VLOOKUP(D556,Controls!$A$64:$E$74,3,FALSE()),"No")="Yes",1,0)</f>
        <v>0</v>
      </c>
      <c r="AG556" s="65" t="n">
        <f aca="false">IF(IFERROR(VLOOKUP(D556,Controls!$A$64:$E$74,4,FALSE()),"No")="Yes",1,0)</f>
        <v>0</v>
      </c>
      <c r="AH556" s="65" t="n">
        <f aca="false">IF(IFERROR(VLOOKUP(D556,Controls!$A$64:$E$74,5,FALSE()),"No")="Yes",1,0)</f>
        <v>0</v>
      </c>
      <c r="AI556" s="65" t="n">
        <f aca="false">IF(ISNUMBER(MATCH(D556,Controls!$A$64:$A$74,0)),1,0)</f>
        <v>1</v>
      </c>
      <c r="AJ556" s="65" t="n">
        <f aca="false">Q556-N556</f>
        <v>-123984.27</v>
      </c>
      <c r="AK556" s="65" t="n">
        <f aca="false">IF(AE556=1,MAX(0,N556-Q556),0)</f>
        <v>123984.27</v>
      </c>
      <c r="AL556" s="65" t="n">
        <f aca="false">IF(OR(V556="",V556=0),0,N556/V556)</f>
        <v>0.0745598057239026</v>
      </c>
      <c r="AM556" s="65" t="n">
        <f aca="false">IF(OR(V556="",V556=0),0,1)</f>
        <v>1</v>
      </c>
      <c r="AN556" s="65" t="n">
        <f aca="false">IF(OR(E556="",F556=""),0,NETWORKDAYS(E556,F556,Ref!$K$2:$K$42))</f>
        <v>113</v>
      </c>
      <c r="AO556" s="65" t="n">
        <f aca="false">IF(L556="Renewal",1,0)</f>
        <v>0</v>
      </c>
      <c r="AP556" s="65" t="n">
        <f aca="false">AC556*AD556</f>
        <v>0</v>
      </c>
      <c r="AQ556" s="65" t="n">
        <f aca="false">IF(AND(G556&lt;&gt;"",'Historical Score'!$C$6&lt;&gt;""),IF(G556='Historical Score'!$C$6,1,0),0)</f>
        <v>0</v>
      </c>
      <c r="AR556" s="65" t="n">
        <f aca="false">IF(AND(L556&lt;&gt;"",'Historical Score'!$C$5&lt;&gt;""),IF(L556='Historical Score'!$C$5,1,0),0)</f>
        <v>1</v>
      </c>
      <c r="AS556" s="65" t="n">
        <f aca="false">IF(AND(Y556&lt;&gt;"",'Historical Score'!$C$7&lt;&gt;""),IF(Y556='Historical Score'!$C$7,1,0),0)</f>
        <v>0</v>
      </c>
      <c r="AT556" s="65" t="n">
        <f aca="false">IF(AND(K556&lt;&gt;"",'Historical Score'!$C$8&lt;&gt;""),IF(K556='Historical Score'!$C$8,1,0),0)</f>
        <v>0</v>
      </c>
      <c r="AU556" s="65" t="n">
        <f aca="false">IF(AND(J556&lt;&gt;"",'Historical Score'!$C$9&lt;&gt;""),IF(J556='Historical Score'!$C$9,1,0),0)</f>
        <v>0</v>
      </c>
      <c r="AV556" s="65" t="n">
        <f aca="false">AR556*AS556*AQ556</f>
        <v>0</v>
      </c>
      <c r="AW556" s="65" t="n">
        <f aca="false">AR556*AT556*AQ556</f>
        <v>0</v>
      </c>
      <c r="AX556" s="65" t="n">
        <f aca="false">AR556*AS556</f>
        <v>0</v>
      </c>
      <c r="AY556" s="65" t="n">
        <f aca="false">AR556*AT556</f>
        <v>0</v>
      </c>
      <c r="AZ556" s="65" t="n">
        <f aca="false">AR556*AQ556</f>
        <v>0</v>
      </c>
      <c r="BA556" s="65" t="n">
        <f aca="false">AR556</f>
        <v>1</v>
      </c>
      <c r="BB556" s="65" t="n">
        <f aca="false">1</f>
        <v>1</v>
      </c>
      <c r="BC556" s="65" t="n">
        <f aca="false">IF(AV556=1,1,IF(AW556=1,2,IF(AX556=1,3,IF(AY556=1,4,IF(AZ556=1,5,IF(BA556=1,6,7))))))</f>
        <v>6</v>
      </c>
      <c r="BD556" s="65" t="n">
        <f aca="false">IF(AD556=1,CHOOSE('Historical Score'!$C$29,AV556,AW556,AX556,AY556,AZ556,BA556,BB556),0)</f>
        <v>0</v>
      </c>
      <c r="BE556" s="65" t="str">
        <f aca="false">IF(BD556=1,COUNTIF($BD$2:BD556,1),"")</f>
        <v/>
      </c>
    </row>
    <row r="557" customFormat="false" ht="15" hidden="false" customHeight="false" outlineLevel="0" collapsed="false">
      <c r="A557" s="65" t="s">
        <v>1996</v>
      </c>
      <c r="B557" s="65" t="s">
        <v>1997</v>
      </c>
      <c r="C557" s="65" t="s">
        <v>1997</v>
      </c>
      <c r="D557" s="65" t="s">
        <v>1467</v>
      </c>
      <c r="E557" s="112" t="n">
        <v>46044</v>
      </c>
      <c r="F557" s="112" t="n">
        <v>46248</v>
      </c>
      <c r="G557" s="65" t="n">
        <v>3</v>
      </c>
      <c r="H557" s="65" t="s">
        <v>1998</v>
      </c>
      <c r="I557" s="65" t="s">
        <v>1093</v>
      </c>
      <c r="J557" s="65" t="s">
        <v>732</v>
      </c>
      <c r="K557" s="65" t="s">
        <v>1999</v>
      </c>
      <c r="L557" s="65" t="s">
        <v>64</v>
      </c>
      <c r="M557" s="113" t="n">
        <v>1.49</v>
      </c>
      <c r="N557" s="114" t="n">
        <v>9000</v>
      </c>
      <c r="O557" s="114" t="n">
        <v>1260</v>
      </c>
      <c r="P557" s="114" t="n">
        <v>13410</v>
      </c>
      <c r="Q557" s="114" t="n">
        <v>6996.22</v>
      </c>
      <c r="R557" s="114" t="n">
        <v>6413.78</v>
      </c>
      <c r="S557" s="115" t="n">
        <v>0.521716629381059</v>
      </c>
      <c r="T557" s="65" t="n">
        <v>2.623</v>
      </c>
      <c r="U557" s="65" t="n">
        <v>4</v>
      </c>
      <c r="V557" s="65" t="n">
        <v>22520.35</v>
      </c>
      <c r="W557" s="115" t="n">
        <v>0.1563</v>
      </c>
      <c r="X557" s="112" t="n">
        <v>39833</v>
      </c>
      <c r="Y557" s="65" t="str">
        <f aca="false">IF(I557="","No SIC",IFERROR(VLOOKUP(I557,Ref!$A$2:$B$65,2,FALSE()),"Unclassified"))</f>
        <v>Electric, Gas &amp; Sanitary Services</v>
      </c>
      <c r="Z557" s="65" t="str">
        <f aca="false">IF(T557="","",IF(T557&lt;12,"Daily","Weekly"))</f>
        <v>Daily</v>
      </c>
      <c r="AA557" s="65" t="n">
        <f aca="false">IF(T557="",0,IF(T557&lt;12,T557*Controls!$B$29,T557*5))</f>
        <v>56.801065</v>
      </c>
      <c r="AB557" s="65" t="n">
        <f aca="false">IF(E557="",0,NETWORKDAYS(E557,Controls!$B$36,Ref!$K$2:$K$42))</f>
        <v>151</v>
      </c>
      <c r="AC557" s="65" t="n">
        <f aca="false">IF(AND(AA557&gt;0,AB557&gt;=Controls!$B$39*AA557),1,0)</f>
        <v>1</v>
      </c>
      <c r="AD557" s="65" t="n">
        <f aca="false">IF(AND(E557&lt;&gt;"",E557&gt;=Controls!$B$37,E557&lt;=Controls!$B$38),1,0)</f>
        <v>1</v>
      </c>
      <c r="AE557" s="65" t="n">
        <f aca="false">IF(IFERROR(VLOOKUP(D557,Controls!$A$64:$E$74,2,FALSE()),"No")="Yes",1,0)</f>
        <v>1</v>
      </c>
      <c r="AF557" s="65" t="n">
        <f aca="false">IF(IFERROR(VLOOKUP(D557,Controls!$A$64:$E$74,3,FALSE()),"No")="Yes",1,0)</f>
        <v>1</v>
      </c>
      <c r="AG557" s="65" t="n">
        <f aca="false">IF(IFERROR(VLOOKUP(D557,Controls!$A$64:$E$74,4,FALSE()),"No")="Yes",1,0)</f>
        <v>0</v>
      </c>
      <c r="AH557" s="65" t="n">
        <f aca="false">IF(IFERROR(VLOOKUP(D557,Controls!$A$64:$E$74,5,FALSE()),"No")="Yes",1,0)</f>
        <v>0</v>
      </c>
      <c r="AI557" s="65" t="n">
        <f aca="false">IF(ISNUMBER(MATCH(D557,Controls!$A$64:$A$74,0)),1,0)</f>
        <v>1</v>
      </c>
      <c r="AJ557" s="65" t="n">
        <f aca="false">Q557-N557</f>
        <v>-2003.78</v>
      </c>
      <c r="AK557" s="65" t="n">
        <f aca="false">IF(AE557=1,MAX(0,N557-Q557),0)</f>
        <v>2003.78</v>
      </c>
      <c r="AL557" s="65" t="n">
        <f aca="false">IF(OR(V557="",V557=0),0,N557/V557)</f>
        <v>0.39963854913445</v>
      </c>
      <c r="AM557" s="65" t="n">
        <f aca="false">IF(OR(V557="",V557=0),0,1)</f>
        <v>1</v>
      </c>
      <c r="AN557" s="65" t="n">
        <f aca="false">IF(OR(E557="",F557=""),0,NETWORKDAYS(E557,F557,Ref!$K$2:$K$42))</f>
        <v>144</v>
      </c>
      <c r="AO557" s="65" t="n">
        <f aca="false">IF(L557="Renewal",1,0)</f>
        <v>0</v>
      </c>
      <c r="AP557" s="65" t="n">
        <f aca="false">AC557*AD557</f>
        <v>1</v>
      </c>
      <c r="AQ557" s="65" t="n">
        <f aca="false">IF(AND(G557&lt;&gt;"",'Historical Score'!$C$6&lt;&gt;""),IF(G557='Historical Score'!$C$6,1,0),0)</f>
        <v>0</v>
      </c>
      <c r="AR557" s="65" t="n">
        <f aca="false">IF(AND(L557&lt;&gt;"",'Historical Score'!$C$5&lt;&gt;""),IF(L557='Historical Score'!$C$5,1,0),0)</f>
        <v>1</v>
      </c>
      <c r="AS557" s="65" t="n">
        <f aca="false">IF(AND(Y557&lt;&gt;"",'Historical Score'!$C$7&lt;&gt;""),IF(Y557='Historical Score'!$C$7,1,0),0)</f>
        <v>0</v>
      </c>
      <c r="AT557" s="65" t="n">
        <f aca="false">IF(AND(K557&lt;&gt;"",'Historical Score'!$C$8&lt;&gt;""),IF(K557='Historical Score'!$C$8,1,0),0)</f>
        <v>0</v>
      </c>
      <c r="AU557" s="65" t="n">
        <f aca="false">IF(AND(J557&lt;&gt;"",'Historical Score'!$C$9&lt;&gt;""),IF(J557='Historical Score'!$C$9,1,0),0)</f>
        <v>0</v>
      </c>
      <c r="AV557" s="65" t="n">
        <f aca="false">AR557*AS557*AQ557</f>
        <v>0</v>
      </c>
      <c r="AW557" s="65" t="n">
        <f aca="false">AR557*AT557*AQ557</f>
        <v>0</v>
      </c>
      <c r="AX557" s="65" t="n">
        <f aca="false">AR557*AS557</f>
        <v>0</v>
      </c>
      <c r="AY557" s="65" t="n">
        <f aca="false">AR557*AT557</f>
        <v>0</v>
      </c>
      <c r="AZ557" s="65" t="n">
        <f aca="false">AR557*AQ557</f>
        <v>0</v>
      </c>
      <c r="BA557" s="65" t="n">
        <f aca="false">AR557</f>
        <v>1</v>
      </c>
      <c r="BB557" s="65" t="n">
        <f aca="false">1</f>
        <v>1</v>
      </c>
      <c r="BC557" s="65" t="n">
        <f aca="false">IF(AV557=1,1,IF(AW557=1,2,IF(AX557=1,3,IF(AY557=1,4,IF(AZ557=1,5,IF(BA557=1,6,7))))))</f>
        <v>6</v>
      </c>
      <c r="BD557" s="65" t="n">
        <f aca="false">IF(AD557=1,CHOOSE('Historical Score'!$C$29,AV557,AW557,AX557,AY557,AZ557,BA557,BB557),0)</f>
        <v>0</v>
      </c>
      <c r="BE557" s="65" t="str">
        <f aca="false">IF(BD557=1,COUNTIF($BD$2:BD557,1),"")</f>
        <v/>
      </c>
    </row>
    <row r="558" customFormat="false" ht="15" hidden="false" customHeight="false" outlineLevel="0" collapsed="false">
      <c r="A558" s="65" t="s">
        <v>2000</v>
      </c>
      <c r="B558" s="65" t="s">
        <v>2001</v>
      </c>
      <c r="C558" s="65" t="s">
        <v>2001</v>
      </c>
      <c r="D558" s="65" t="s">
        <v>340</v>
      </c>
      <c r="E558" s="112" t="n">
        <v>46044</v>
      </c>
      <c r="F558" s="112" t="n">
        <v>46108</v>
      </c>
      <c r="G558" s="65" t="n">
        <v>2</v>
      </c>
      <c r="H558" s="65" t="s">
        <v>2002</v>
      </c>
      <c r="I558" s="65" t="s">
        <v>1595</v>
      </c>
      <c r="J558" s="65" t="s">
        <v>61</v>
      </c>
      <c r="K558" s="65" t="s">
        <v>983</v>
      </c>
      <c r="L558" s="65" t="s">
        <v>64</v>
      </c>
      <c r="M558" s="113" t="n">
        <v>1.49</v>
      </c>
      <c r="N558" s="114" t="n">
        <v>30000</v>
      </c>
      <c r="O558" s="114" t="n">
        <v>4200</v>
      </c>
      <c r="P558" s="114" t="n">
        <v>44700</v>
      </c>
      <c r="Q558" s="114" t="n">
        <v>5215.14</v>
      </c>
      <c r="R558" s="114" t="n">
        <v>39484.86</v>
      </c>
      <c r="S558" s="115" t="n">
        <v>0.116669798657718</v>
      </c>
      <c r="T558" s="65" t="n">
        <v>3.934</v>
      </c>
      <c r="U558" s="65" t="n">
        <v>29</v>
      </c>
      <c r="V558" s="65" t="n">
        <v>79986.6</v>
      </c>
      <c r="W558" s="115" t="n">
        <v>0.0978</v>
      </c>
      <c r="X558" s="112" t="n">
        <v>45642</v>
      </c>
      <c r="Y558" s="65" t="str">
        <f aca="false">IF(I558="","No SIC",IFERROR(VLOOKUP(I558,Ref!$A$2:$B$65,2,FALSE()),"Unclassified"))</f>
        <v>Miscellaneous Repair Services</v>
      </c>
      <c r="Z558" s="65" t="str">
        <f aca="false">IF(T558="","",IF(T558&lt;12,"Daily","Weekly"))</f>
        <v>Daily</v>
      </c>
      <c r="AA558" s="65" t="n">
        <f aca="false">IF(T558="",0,IF(T558&lt;12,T558*Controls!$B$29,T558*5))</f>
        <v>85.19077</v>
      </c>
      <c r="AB558" s="65" t="n">
        <f aca="false">IF(E558="",0,NETWORKDAYS(E558,Controls!$B$36,Ref!$K$2:$K$42))</f>
        <v>151</v>
      </c>
      <c r="AC558" s="65" t="n">
        <f aca="false">IF(AND(AA558&gt;0,AB558&gt;=Controls!$B$39*AA558),1,0)</f>
        <v>1</v>
      </c>
      <c r="AD558" s="65" t="n">
        <f aca="false">IF(AND(E558&lt;&gt;"",E558&gt;=Controls!$B$37,E558&lt;=Controls!$B$38),1,0)</f>
        <v>1</v>
      </c>
      <c r="AE558" s="65" t="n">
        <f aca="false">IF(IFERROR(VLOOKUP(D558,Controls!$A$64:$E$74,2,FALSE()),"No")="Yes",1,0)</f>
        <v>1</v>
      </c>
      <c r="AF558" s="65" t="n">
        <f aca="false">IF(IFERROR(VLOOKUP(D558,Controls!$A$64:$E$74,3,FALSE()),"No")="Yes",1,0)</f>
        <v>0</v>
      </c>
      <c r="AG558" s="65" t="n">
        <f aca="false">IF(IFERROR(VLOOKUP(D558,Controls!$A$64:$E$74,4,FALSE()),"No")="Yes",1,0)</f>
        <v>0</v>
      </c>
      <c r="AH558" s="65" t="n">
        <f aca="false">IF(IFERROR(VLOOKUP(D558,Controls!$A$64:$E$74,5,FALSE()),"No")="Yes",1,0)</f>
        <v>0</v>
      </c>
      <c r="AI558" s="65" t="n">
        <f aca="false">IF(ISNUMBER(MATCH(D558,Controls!$A$64:$A$74,0)),1,0)</f>
        <v>1</v>
      </c>
      <c r="AJ558" s="65" t="n">
        <f aca="false">Q558-N558</f>
        <v>-24784.86</v>
      </c>
      <c r="AK558" s="65" t="n">
        <f aca="false">IF(AE558=1,MAX(0,N558-Q558),0)</f>
        <v>24784.86</v>
      </c>
      <c r="AL558" s="65" t="n">
        <f aca="false">IF(OR(V558="",V558=0),0,N558/V558)</f>
        <v>0.375062823022856</v>
      </c>
      <c r="AM558" s="65" t="n">
        <f aca="false">IF(OR(V558="",V558=0),0,1)</f>
        <v>1</v>
      </c>
      <c r="AN558" s="65" t="n">
        <f aca="false">IF(OR(E558="",F558=""),0,NETWORKDAYS(E558,F558,Ref!$K$2:$K$42))</f>
        <v>46</v>
      </c>
      <c r="AO558" s="65" t="n">
        <f aca="false">IF(L558="Renewal",1,0)</f>
        <v>0</v>
      </c>
      <c r="AP558" s="65" t="n">
        <f aca="false">AC558*AD558</f>
        <v>1</v>
      </c>
      <c r="AQ558" s="65" t="n">
        <f aca="false">IF(AND(G558&lt;&gt;"",'Historical Score'!$C$6&lt;&gt;""),IF(G558='Historical Score'!$C$6,1,0),0)</f>
        <v>1</v>
      </c>
      <c r="AR558" s="65" t="n">
        <f aca="false">IF(AND(L558&lt;&gt;"",'Historical Score'!$C$5&lt;&gt;""),IF(L558='Historical Score'!$C$5,1,0),0)</f>
        <v>1</v>
      </c>
      <c r="AS558" s="65" t="n">
        <f aca="false">IF(AND(Y558&lt;&gt;"",'Historical Score'!$C$7&lt;&gt;""),IF(Y558='Historical Score'!$C$7,1,0),0)</f>
        <v>0</v>
      </c>
      <c r="AT558" s="65" t="n">
        <f aca="false">IF(AND(K558&lt;&gt;"",'Historical Score'!$C$8&lt;&gt;""),IF(K558='Historical Score'!$C$8,1,0),0)</f>
        <v>0</v>
      </c>
      <c r="AU558" s="65" t="n">
        <f aca="false">IF(AND(J558&lt;&gt;"",'Historical Score'!$C$9&lt;&gt;""),IF(J558='Historical Score'!$C$9,1,0),0)</f>
        <v>1</v>
      </c>
      <c r="AV558" s="65" t="n">
        <f aca="false">AR558*AS558*AQ558</f>
        <v>0</v>
      </c>
      <c r="AW558" s="65" t="n">
        <f aca="false">AR558*AT558*AQ558</f>
        <v>0</v>
      </c>
      <c r="AX558" s="65" t="n">
        <f aca="false">AR558*AS558</f>
        <v>0</v>
      </c>
      <c r="AY558" s="65" t="n">
        <f aca="false">AR558*AT558</f>
        <v>0</v>
      </c>
      <c r="AZ558" s="65" t="n">
        <f aca="false">AR558*AQ558</f>
        <v>1</v>
      </c>
      <c r="BA558" s="65" t="n">
        <f aca="false">AR558</f>
        <v>1</v>
      </c>
      <c r="BB558" s="65" t="n">
        <f aca="false">1</f>
        <v>1</v>
      </c>
      <c r="BC558" s="65" t="n">
        <f aca="false">IF(AV558=1,1,IF(AW558=1,2,IF(AX558=1,3,IF(AY558=1,4,IF(AZ558=1,5,IF(BA558=1,6,7))))))</f>
        <v>5</v>
      </c>
      <c r="BD558" s="65" t="n">
        <f aca="false">IF(AD558=1,CHOOSE('Historical Score'!$C$29,AV558,AW558,AX558,AY558,AZ558,BA558,BB558),0)</f>
        <v>0</v>
      </c>
      <c r="BE558" s="65" t="str">
        <f aca="false">IF(BD558=1,COUNTIF($BD$2:BD558,1),"")</f>
        <v/>
      </c>
    </row>
    <row r="559" customFormat="false" ht="15" hidden="false" customHeight="false" outlineLevel="0" collapsed="false">
      <c r="A559" s="65" t="s">
        <v>2003</v>
      </c>
      <c r="B559" s="65" t="s">
        <v>2004</v>
      </c>
      <c r="C559" s="65" t="s">
        <v>2005</v>
      </c>
      <c r="D559" s="65" t="s">
        <v>533</v>
      </c>
      <c r="E559" s="112" t="n">
        <v>46045</v>
      </c>
      <c r="F559" s="112" t="n">
        <v>46093</v>
      </c>
      <c r="G559" s="65" t="n">
        <v>2</v>
      </c>
      <c r="H559" s="65" t="s">
        <v>500</v>
      </c>
      <c r="I559" s="65" t="s">
        <v>475</v>
      </c>
      <c r="J559" s="65" t="s">
        <v>350</v>
      </c>
      <c r="K559" s="65" t="s">
        <v>1042</v>
      </c>
      <c r="L559" s="65" t="s">
        <v>64</v>
      </c>
      <c r="M559" s="113" t="n">
        <v>1.49</v>
      </c>
      <c r="N559" s="114" t="n">
        <v>25000</v>
      </c>
      <c r="O559" s="114" t="n">
        <v>3500</v>
      </c>
      <c r="P559" s="114" t="n">
        <v>37250</v>
      </c>
      <c r="Q559" s="114" t="n">
        <v>9316.5</v>
      </c>
      <c r="R559" s="114" t="n">
        <v>27933.5</v>
      </c>
      <c r="S559" s="115" t="n">
        <v>0.250107382550336</v>
      </c>
      <c r="T559" s="65" t="n">
        <v>3.934</v>
      </c>
      <c r="U559" s="65" t="n">
        <v>4</v>
      </c>
      <c r="V559" s="65" t="n">
        <v>74873.96</v>
      </c>
      <c r="W559" s="115" t="n">
        <v>0.0871</v>
      </c>
      <c r="X559" s="112"/>
      <c r="Y559" s="65" t="str">
        <f aca="false">IF(I559="","No SIC",IFERROR(VLOOKUP(I559,Ref!$A$2:$B$65,2,FALSE()),"Unclassified"))</f>
        <v>Auto Repair &amp; Services</v>
      </c>
      <c r="Z559" s="65" t="str">
        <f aca="false">IF(T559="","",IF(T559&lt;12,"Daily","Weekly"))</f>
        <v>Daily</v>
      </c>
      <c r="AA559" s="65" t="n">
        <f aca="false">IF(T559="",0,IF(T559&lt;12,T559*Controls!$B$29,T559*5))</f>
        <v>85.19077</v>
      </c>
      <c r="AB559" s="65" t="n">
        <f aca="false">IF(E559="",0,NETWORKDAYS(E559,Controls!$B$36,Ref!$K$2:$K$42))</f>
        <v>150</v>
      </c>
      <c r="AC559" s="65" t="n">
        <f aca="false">IF(AND(AA559&gt;0,AB559&gt;=Controls!$B$39*AA559),1,0)</f>
        <v>1</v>
      </c>
      <c r="AD559" s="65" t="n">
        <f aca="false">IF(AND(E559&lt;&gt;"",E559&gt;=Controls!$B$37,E559&lt;=Controls!$B$38),1,0)</f>
        <v>1</v>
      </c>
      <c r="AE559" s="65" t="n">
        <f aca="false">IF(IFERROR(VLOOKUP(D559,Controls!$A$64:$E$74,2,FALSE()),"No")="Yes",1,0)</f>
        <v>1</v>
      </c>
      <c r="AF559" s="65" t="n">
        <f aca="false">IF(IFERROR(VLOOKUP(D559,Controls!$A$64:$E$74,3,FALSE()),"No")="Yes",1,0)</f>
        <v>0</v>
      </c>
      <c r="AG559" s="65" t="n">
        <f aca="false">IF(IFERROR(VLOOKUP(D559,Controls!$A$64:$E$74,4,FALSE()),"No")="Yes",1,0)</f>
        <v>0</v>
      </c>
      <c r="AH559" s="65" t="n">
        <f aca="false">IF(IFERROR(VLOOKUP(D559,Controls!$A$64:$E$74,5,FALSE()),"No")="Yes",1,0)</f>
        <v>0</v>
      </c>
      <c r="AI559" s="65" t="n">
        <f aca="false">IF(ISNUMBER(MATCH(D559,Controls!$A$64:$A$74,0)),1,0)</f>
        <v>1</v>
      </c>
      <c r="AJ559" s="65" t="n">
        <f aca="false">Q559-N559</f>
        <v>-15683.5</v>
      </c>
      <c r="AK559" s="65" t="n">
        <f aca="false">IF(AE559=1,MAX(0,N559-Q559),0)</f>
        <v>15683.5</v>
      </c>
      <c r="AL559" s="65" t="n">
        <f aca="false">IF(OR(V559="",V559=0),0,N559/V559)</f>
        <v>0.333894454093252</v>
      </c>
      <c r="AM559" s="65" t="n">
        <f aca="false">IF(OR(V559="",V559=0),0,1)</f>
        <v>1</v>
      </c>
      <c r="AN559" s="65" t="n">
        <f aca="false">IF(OR(E559="",F559=""),0,NETWORKDAYS(E559,F559,Ref!$K$2:$K$42))</f>
        <v>34</v>
      </c>
      <c r="AO559" s="65" t="n">
        <f aca="false">IF(L559="Renewal",1,0)</f>
        <v>0</v>
      </c>
      <c r="AP559" s="65" t="n">
        <f aca="false">AC559*AD559</f>
        <v>1</v>
      </c>
      <c r="AQ559" s="65" t="n">
        <f aca="false">IF(AND(G559&lt;&gt;"",'Historical Score'!$C$6&lt;&gt;""),IF(G559='Historical Score'!$C$6,1,0),0)</f>
        <v>1</v>
      </c>
      <c r="AR559" s="65" t="n">
        <f aca="false">IF(AND(L559&lt;&gt;"",'Historical Score'!$C$5&lt;&gt;""),IF(L559='Historical Score'!$C$5,1,0),0)</f>
        <v>1</v>
      </c>
      <c r="AS559" s="65" t="n">
        <f aca="false">IF(AND(Y559&lt;&gt;"",'Historical Score'!$C$7&lt;&gt;""),IF(Y559='Historical Score'!$C$7,1,0),0)</f>
        <v>0</v>
      </c>
      <c r="AT559" s="65" t="n">
        <f aca="false">IF(AND(K559&lt;&gt;"",'Historical Score'!$C$8&lt;&gt;""),IF(K559='Historical Score'!$C$8,1,0),0)</f>
        <v>0</v>
      </c>
      <c r="AU559" s="65" t="n">
        <f aca="false">IF(AND(J559&lt;&gt;"",'Historical Score'!$C$9&lt;&gt;""),IF(J559='Historical Score'!$C$9,1,0),0)</f>
        <v>0</v>
      </c>
      <c r="AV559" s="65" t="n">
        <f aca="false">AR559*AS559*AQ559</f>
        <v>0</v>
      </c>
      <c r="AW559" s="65" t="n">
        <f aca="false">AR559*AT559*AQ559</f>
        <v>0</v>
      </c>
      <c r="AX559" s="65" t="n">
        <f aca="false">AR559*AS559</f>
        <v>0</v>
      </c>
      <c r="AY559" s="65" t="n">
        <f aca="false">AR559*AT559</f>
        <v>0</v>
      </c>
      <c r="AZ559" s="65" t="n">
        <f aca="false">AR559*AQ559</f>
        <v>1</v>
      </c>
      <c r="BA559" s="65" t="n">
        <f aca="false">AR559</f>
        <v>1</v>
      </c>
      <c r="BB559" s="65" t="n">
        <f aca="false">1</f>
        <v>1</v>
      </c>
      <c r="BC559" s="65" t="n">
        <f aca="false">IF(AV559=1,1,IF(AW559=1,2,IF(AX559=1,3,IF(AY559=1,4,IF(AZ559=1,5,IF(BA559=1,6,7))))))</f>
        <v>5</v>
      </c>
      <c r="BD559" s="65" t="n">
        <f aca="false">IF(AD559=1,CHOOSE('Historical Score'!$C$29,AV559,AW559,AX559,AY559,AZ559,BA559,BB559),0)</f>
        <v>0</v>
      </c>
      <c r="BE559" s="65" t="str">
        <f aca="false">IF(BD559=1,COUNTIF($BD$2:BD559,1),"")</f>
        <v/>
      </c>
    </row>
    <row r="560" customFormat="false" ht="15" hidden="false" customHeight="false" outlineLevel="0" collapsed="false">
      <c r="A560" s="65" t="s">
        <v>2006</v>
      </c>
      <c r="B560" s="65" t="s">
        <v>2007</v>
      </c>
      <c r="C560" s="65" t="s">
        <v>2008</v>
      </c>
      <c r="D560" s="65" t="s">
        <v>371</v>
      </c>
      <c r="E560" s="112" t="n">
        <v>46045</v>
      </c>
      <c r="F560" s="112" t="n">
        <v>46171</v>
      </c>
      <c r="G560" s="65" t="n">
        <v>3</v>
      </c>
      <c r="H560" s="65" t="s">
        <v>1589</v>
      </c>
      <c r="I560" s="65" t="s">
        <v>1590</v>
      </c>
      <c r="J560" s="65" t="s">
        <v>61</v>
      </c>
      <c r="K560" s="65" t="s">
        <v>2009</v>
      </c>
      <c r="L560" s="65" t="s">
        <v>64</v>
      </c>
      <c r="M560" s="113" t="n">
        <v>1.49</v>
      </c>
      <c r="N560" s="114" t="n">
        <v>150000</v>
      </c>
      <c r="O560" s="114" t="n">
        <v>21000</v>
      </c>
      <c r="P560" s="114" t="n">
        <v>223500</v>
      </c>
      <c r="Q560" s="114" t="n">
        <v>223500</v>
      </c>
      <c r="R560" s="114" t="n">
        <v>0</v>
      </c>
      <c r="S560" s="115" t="n">
        <v>1</v>
      </c>
      <c r="T560" s="65" t="n">
        <v>35</v>
      </c>
      <c r="U560" s="65" t="n">
        <v>0</v>
      </c>
      <c r="V560" s="65" t="n">
        <v>919255.72</v>
      </c>
      <c r="W560" s="115" t="n">
        <v>0.0278</v>
      </c>
      <c r="X560" s="112" t="n">
        <v>43818</v>
      </c>
      <c r="Y560" s="65" t="str">
        <f aca="false">IF(I560="","No SIC",IFERROR(VLOOKUP(I560,Ref!$A$2:$B$65,2,FALSE()),"Unclassified"))</f>
        <v>Legal Services</v>
      </c>
      <c r="Z560" s="65" t="str">
        <f aca="false">IF(T560="","",IF(T560&lt;12,"Daily","Weekly"))</f>
        <v>Weekly</v>
      </c>
      <c r="AA560" s="65" t="n">
        <f aca="false">IF(T560="",0,IF(T560&lt;12,T560*Controls!$B$29,T560*5))</f>
        <v>175</v>
      </c>
      <c r="AB560" s="65" t="n">
        <f aca="false">IF(E560="",0,NETWORKDAYS(E560,Controls!$B$36,Ref!$K$2:$K$42))</f>
        <v>150</v>
      </c>
      <c r="AC560" s="65" t="n">
        <f aca="false">IF(AND(AA560&gt;0,AB560&gt;=Controls!$B$39*AA560),1,0)</f>
        <v>0</v>
      </c>
      <c r="AD560" s="65" t="n">
        <f aca="false">IF(AND(E560&lt;&gt;"",E560&gt;=Controls!$B$37,E560&lt;=Controls!$B$38),1,0)</f>
        <v>1</v>
      </c>
      <c r="AE560" s="65" t="n">
        <f aca="false">IF(IFERROR(VLOOKUP(D560,Controls!$A$64:$E$74,2,FALSE()),"No")="Yes",1,0)</f>
        <v>0</v>
      </c>
      <c r="AF560" s="65" t="n">
        <f aca="false">IF(IFERROR(VLOOKUP(D560,Controls!$A$64:$E$74,3,FALSE()),"No")="Yes",1,0)</f>
        <v>1</v>
      </c>
      <c r="AG560" s="65" t="n">
        <f aca="false">IF(IFERROR(VLOOKUP(D560,Controls!$A$64:$E$74,4,FALSE()),"No")="Yes",1,0)</f>
        <v>1</v>
      </c>
      <c r="AH560" s="65" t="n">
        <f aca="false">IF(IFERROR(VLOOKUP(D560,Controls!$A$64:$E$74,5,FALSE()),"No")="Yes",1,0)</f>
        <v>0</v>
      </c>
      <c r="AI560" s="65" t="n">
        <f aca="false">IF(ISNUMBER(MATCH(D560,Controls!$A$64:$A$74,0)),1,0)</f>
        <v>1</v>
      </c>
      <c r="AJ560" s="65" t="n">
        <f aca="false">Q560-N560</f>
        <v>73500</v>
      </c>
      <c r="AK560" s="65" t="n">
        <f aca="false">IF(AE560=1,MAX(0,N560-Q560),0)</f>
        <v>0</v>
      </c>
      <c r="AL560" s="65" t="n">
        <f aca="false">IF(OR(V560="",V560=0),0,N560/V560)</f>
        <v>0.163175487230039</v>
      </c>
      <c r="AM560" s="65" t="n">
        <f aca="false">IF(OR(V560="",V560=0),0,1)</f>
        <v>1</v>
      </c>
      <c r="AN560" s="65" t="n">
        <f aca="false">IF(OR(E560="",F560=""),0,NETWORKDAYS(E560,F560,Ref!$K$2:$K$42))</f>
        <v>89</v>
      </c>
      <c r="AO560" s="65" t="n">
        <f aca="false">IF(L560="Renewal",1,0)</f>
        <v>0</v>
      </c>
      <c r="AP560" s="65" t="n">
        <f aca="false">AC560*AD560</f>
        <v>0</v>
      </c>
      <c r="AQ560" s="65" t="n">
        <f aca="false">IF(AND(G560&lt;&gt;"",'Historical Score'!$C$6&lt;&gt;""),IF(G560='Historical Score'!$C$6,1,0),0)</f>
        <v>0</v>
      </c>
      <c r="AR560" s="65" t="n">
        <f aca="false">IF(AND(L560&lt;&gt;"",'Historical Score'!$C$5&lt;&gt;""),IF(L560='Historical Score'!$C$5,1,0),0)</f>
        <v>1</v>
      </c>
      <c r="AS560" s="65" t="n">
        <f aca="false">IF(AND(Y560&lt;&gt;"",'Historical Score'!$C$7&lt;&gt;""),IF(Y560='Historical Score'!$C$7,1,0),0)</f>
        <v>0</v>
      </c>
      <c r="AT560" s="65" t="n">
        <f aca="false">IF(AND(K560&lt;&gt;"",'Historical Score'!$C$8&lt;&gt;""),IF(K560='Historical Score'!$C$8,1,0),0)</f>
        <v>0</v>
      </c>
      <c r="AU560" s="65" t="n">
        <f aca="false">IF(AND(J560&lt;&gt;"",'Historical Score'!$C$9&lt;&gt;""),IF(J560='Historical Score'!$C$9,1,0),0)</f>
        <v>1</v>
      </c>
      <c r="AV560" s="65" t="n">
        <f aca="false">AR560*AS560*AQ560</f>
        <v>0</v>
      </c>
      <c r="AW560" s="65" t="n">
        <f aca="false">AR560*AT560*AQ560</f>
        <v>0</v>
      </c>
      <c r="AX560" s="65" t="n">
        <f aca="false">AR560*AS560</f>
        <v>0</v>
      </c>
      <c r="AY560" s="65" t="n">
        <f aca="false">AR560*AT560</f>
        <v>0</v>
      </c>
      <c r="AZ560" s="65" t="n">
        <f aca="false">AR560*AQ560</f>
        <v>0</v>
      </c>
      <c r="BA560" s="65" t="n">
        <f aca="false">AR560</f>
        <v>1</v>
      </c>
      <c r="BB560" s="65" t="n">
        <f aca="false">1</f>
        <v>1</v>
      </c>
      <c r="BC560" s="65" t="n">
        <f aca="false">IF(AV560=1,1,IF(AW560=1,2,IF(AX560=1,3,IF(AY560=1,4,IF(AZ560=1,5,IF(BA560=1,6,7))))))</f>
        <v>6</v>
      </c>
      <c r="BD560" s="65" t="n">
        <f aca="false">IF(AD560=1,CHOOSE('Historical Score'!$C$29,AV560,AW560,AX560,AY560,AZ560,BA560,BB560),0)</f>
        <v>0</v>
      </c>
      <c r="BE560" s="65" t="str">
        <f aca="false">IF(BD560=1,COUNTIF($BD$2:BD560,1),"")</f>
        <v/>
      </c>
    </row>
    <row r="561" customFormat="false" ht="15" hidden="false" customHeight="false" outlineLevel="0" collapsed="false">
      <c r="A561" s="65" t="s">
        <v>2010</v>
      </c>
      <c r="B561" s="65" t="s">
        <v>2011</v>
      </c>
      <c r="C561" s="65" t="s">
        <v>2012</v>
      </c>
      <c r="D561" s="65" t="s">
        <v>340</v>
      </c>
      <c r="E561" s="112" t="n">
        <v>46045</v>
      </c>
      <c r="F561" s="112" t="n">
        <v>46139</v>
      </c>
      <c r="G561" s="65" t="n">
        <v>4</v>
      </c>
      <c r="H561" s="65" t="s">
        <v>409</v>
      </c>
      <c r="I561" s="65" t="s">
        <v>342</v>
      </c>
      <c r="J561" s="65" t="s">
        <v>704</v>
      </c>
      <c r="K561" s="65" t="s">
        <v>983</v>
      </c>
      <c r="L561" s="65" t="s">
        <v>64</v>
      </c>
      <c r="M561" s="113" t="n">
        <v>1.49</v>
      </c>
      <c r="N561" s="114" t="n">
        <v>15000</v>
      </c>
      <c r="O561" s="114" t="n">
        <v>2100</v>
      </c>
      <c r="P561" s="114" t="n">
        <v>22350</v>
      </c>
      <c r="Q561" s="114" t="n">
        <v>8102.89</v>
      </c>
      <c r="R561" s="114" t="n">
        <v>14247.11</v>
      </c>
      <c r="S561" s="115" t="n">
        <v>0.362545413870246</v>
      </c>
      <c r="T561" s="65" t="n">
        <v>2.623</v>
      </c>
      <c r="U561" s="65" t="n">
        <v>17</v>
      </c>
      <c r="V561" s="65" t="n">
        <v>21046.18</v>
      </c>
      <c r="W561" s="115" t="n">
        <v>0.2788</v>
      </c>
      <c r="X561" s="112" t="n">
        <v>45658</v>
      </c>
      <c r="Y561" s="65" t="str">
        <f aca="false">IF(I561="","No SIC",IFERROR(VLOOKUP(I561,Ref!$A$2:$B$65,2,FALSE()),"Unclassified"))</f>
        <v>Eating &amp; Drinking Places</v>
      </c>
      <c r="Z561" s="65" t="str">
        <f aca="false">IF(T561="","",IF(T561&lt;12,"Daily","Weekly"))</f>
        <v>Daily</v>
      </c>
      <c r="AA561" s="65" t="n">
        <f aca="false">IF(T561="",0,IF(T561&lt;12,T561*Controls!$B$29,T561*5))</f>
        <v>56.801065</v>
      </c>
      <c r="AB561" s="65" t="n">
        <f aca="false">IF(E561="",0,NETWORKDAYS(E561,Controls!$B$36,Ref!$K$2:$K$42))</f>
        <v>150</v>
      </c>
      <c r="AC561" s="65" t="n">
        <f aca="false">IF(AND(AA561&gt;0,AB561&gt;=Controls!$B$39*AA561),1,0)</f>
        <v>1</v>
      </c>
      <c r="AD561" s="65" t="n">
        <f aca="false">IF(AND(E561&lt;&gt;"",E561&gt;=Controls!$B$37,E561&lt;=Controls!$B$38),1,0)</f>
        <v>1</v>
      </c>
      <c r="AE561" s="65" t="n">
        <f aca="false">IF(IFERROR(VLOOKUP(D561,Controls!$A$64:$E$74,2,FALSE()),"No")="Yes",1,0)</f>
        <v>1</v>
      </c>
      <c r="AF561" s="65" t="n">
        <f aca="false">IF(IFERROR(VLOOKUP(D561,Controls!$A$64:$E$74,3,FALSE()),"No")="Yes",1,0)</f>
        <v>0</v>
      </c>
      <c r="AG561" s="65" t="n">
        <f aca="false">IF(IFERROR(VLOOKUP(D561,Controls!$A$64:$E$74,4,FALSE()),"No")="Yes",1,0)</f>
        <v>0</v>
      </c>
      <c r="AH561" s="65" t="n">
        <f aca="false">IF(IFERROR(VLOOKUP(D561,Controls!$A$64:$E$74,5,FALSE()),"No")="Yes",1,0)</f>
        <v>0</v>
      </c>
      <c r="AI561" s="65" t="n">
        <f aca="false">IF(ISNUMBER(MATCH(D561,Controls!$A$64:$A$74,0)),1,0)</f>
        <v>1</v>
      </c>
      <c r="AJ561" s="65" t="n">
        <f aca="false">Q561-N561</f>
        <v>-6897.11</v>
      </c>
      <c r="AK561" s="65" t="n">
        <f aca="false">IF(AE561=1,MAX(0,N561-Q561),0)</f>
        <v>6897.11</v>
      </c>
      <c r="AL561" s="65" t="n">
        <f aca="false">IF(OR(V561="",V561=0),0,N561/V561)</f>
        <v>0.712718412557528</v>
      </c>
      <c r="AM561" s="65" t="n">
        <f aca="false">IF(OR(V561="",V561=0),0,1)</f>
        <v>1</v>
      </c>
      <c r="AN561" s="65" t="n">
        <f aca="false">IF(OR(E561="",F561=""),0,NETWORKDAYS(E561,F561,Ref!$K$2:$K$42))</f>
        <v>66</v>
      </c>
      <c r="AO561" s="65" t="n">
        <f aca="false">IF(L561="Renewal",1,0)</f>
        <v>0</v>
      </c>
      <c r="AP561" s="65" t="n">
        <f aca="false">AC561*AD561</f>
        <v>1</v>
      </c>
      <c r="AQ561" s="65" t="n">
        <f aca="false">IF(AND(G561&lt;&gt;"",'Historical Score'!$C$6&lt;&gt;""),IF(G561='Historical Score'!$C$6,1,0),0)</f>
        <v>0</v>
      </c>
      <c r="AR561" s="65" t="n">
        <f aca="false">IF(AND(L561&lt;&gt;"",'Historical Score'!$C$5&lt;&gt;""),IF(L561='Historical Score'!$C$5,1,0),0)</f>
        <v>1</v>
      </c>
      <c r="AS561" s="65" t="n">
        <f aca="false">IF(AND(Y561&lt;&gt;"",'Historical Score'!$C$7&lt;&gt;""),IF(Y561='Historical Score'!$C$7,1,0),0)</f>
        <v>0</v>
      </c>
      <c r="AT561" s="65" t="n">
        <f aca="false">IF(AND(K561&lt;&gt;"",'Historical Score'!$C$8&lt;&gt;""),IF(K561='Historical Score'!$C$8,1,0),0)</f>
        <v>0</v>
      </c>
      <c r="AU561" s="65" t="n">
        <f aca="false">IF(AND(J561&lt;&gt;"",'Historical Score'!$C$9&lt;&gt;""),IF(J561='Historical Score'!$C$9,1,0),0)</f>
        <v>0</v>
      </c>
      <c r="AV561" s="65" t="n">
        <f aca="false">AR561*AS561*AQ561</f>
        <v>0</v>
      </c>
      <c r="AW561" s="65" t="n">
        <f aca="false">AR561*AT561*AQ561</f>
        <v>0</v>
      </c>
      <c r="AX561" s="65" t="n">
        <f aca="false">AR561*AS561</f>
        <v>0</v>
      </c>
      <c r="AY561" s="65" t="n">
        <f aca="false">AR561*AT561</f>
        <v>0</v>
      </c>
      <c r="AZ561" s="65" t="n">
        <f aca="false">AR561*AQ561</f>
        <v>0</v>
      </c>
      <c r="BA561" s="65" t="n">
        <f aca="false">AR561</f>
        <v>1</v>
      </c>
      <c r="BB561" s="65" t="n">
        <f aca="false">1</f>
        <v>1</v>
      </c>
      <c r="BC561" s="65" t="n">
        <f aca="false">IF(AV561=1,1,IF(AW561=1,2,IF(AX561=1,3,IF(AY561=1,4,IF(AZ561=1,5,IF(BA561=1,6,7))))))</f>
        <v>6</v>
      </c>
      <c r="BD561" s="65" t="n">
        <f aca="false">IF(AD561=1,CHOOSE('Historical Score'!$C$29,AV561,AW561,AX561,AY561,AZ561,BA561,BB561),0)</f>
        <v>0</v>
      </c>
      <c r="BE561" s="65" t="str">
        <f aca="false">IF(BD561=1,COUNTIF($BD$2:BD561,1),"")</f>
        <v/>
      </c>
    </row>
    <row r="562" customFormat="false" ht="15" hidden="false" customHeight="false" outlineLevel="0" collapsed="false">
      <c r="A562" s="65" t="s">
        <v>2013</v>
      </c>
      <c r="B562" s="65" t="s">
        <v>2014</v>
      </c>
      <c r="C562" s="65" t="s">
        <v>2015</v>
      </c>
      <c r="D562" s="65" t="s">
        <v>340</v>
      </c>
      <c r="E562" s="112" t="n">
        <v>46045</v>
      </c>
      <c r="F562" s="112" t="n">
        <v>46063</v>
      </c>
      <c r="G562" s="65" t="n">
        <v>4</v>
      </c>
      <c r="H562" s="65" t="s">
        <v>1983</v>
      </c>
      <c r="I562" s="65" t="s">
        <v>668</v>
      </c>
      <c r="J562" s="65" t="s">
        <v>762</v>
      </c>
      <c r="K562" s="65" t="s">
        <v>983</v>
      </c>
      <c r="L562" s="65" t="s">
        <v>64</v>
      </c>
      <c r="M562" s="113" t="n">
        <v>1.49</v>
      </c>
      <c r="N562" s="114" t="n">
        <v>40000</v>
      </c>
      <c r="O562" s="114" t="n">
        <v>0</v>
      </c>
      <c r="P562" s="114" t="n">
        <v>59600</v>
      </c>
      <c r="Q562" s="114" t="n">
        <v>4127.67</v>
      </c>
      <c r="R562" s="114" t="n">
        <v>55472.33</v>
      </c>
      <c r="S562" s="115" t="n">
        <v>0.0692562080536913</v>
      </c>
      <c r="T562" s="65" t="n">
        <v>4.262</v>
      </c>
      <c r="U562" s="65" t="n">
        <v>4</v>
      </c>
      <c r="V562" s="65" t="n">
        <v>136957.4</v>
      </c>
      <c r="W562" s="115" t="n">
        <v>0.0885</v>
      </c>
      <c r="X562" s="112" t="n">
        <v>44276</v>
      </c>
      <c r="Y562" s="65" t="str">
        <f aca="false">IF(I562="","No SIC",IFERROR(VLOOKUP(I562,Ref!$A$2:$B$65,2,FALSE()),"Unclassified"))</f>
        <v>Auto Dealers &amp; Gas Stations</v>
      </c>
      <c r="Z562" s="65" t="str">
        <f aca="false">IF(T562="","",IF(T562&lt;12,"Daily","Weekly"))</f>
        <v>Daily</v>
      </c>
      <c r="AA562" s="65" t="n">
        <f aca="false">IF(T562="",0,IF(T562&lt;12,T562*Controls!$B$29,T562*5))</f>
        <v>92.29361</v>
      </c>
      <c r="AB562" s="65" t="n">
        <f aca="false">IF(E562="",0,NETWORKDAYS(E562,Controls!$B$36,Ref!$K$2:$K$42))</f>
        <v>150</v>
      </c>
      <c r="AC562" s="65" t="n">
        <f aca="false">IF(AND(AA562&gt;0,AB562&gt;=Controls!$B$39*AA562),1,0)</f>
        <v>1</v>
      </c>
      <c r="AD562" s="65" t="n">
        <f aca="false">IF(AND(E562&lt;&gt;"",E562&gt;=Controls!$B$37,E562&lt;=Controls!$B$38),1,0)</f>
        <v>1</v>
      </c>
      <c r="AE562" s="65" t="n">
        <f aca="false">IF(IFERROR(VLOOKUP(D562,Controls!$A$64:$E$74,2,FALSE()),"No")="Yes",1,0)</f>
        <v>1</v>
      </c>
      <c r="AF562" s="65" t="n">
        <f aca="false">IF(IFERROR(VLOOKUP(D562,Controls!$A$64:$E$74,3,FALSE()),"No")="Yes",1,0)</f>
        <v>0</v>
      </c>
      <c r="AG562" s="65" t="n">
        <f aca="false">IF(IFERROR(VLOOKUP(D562,Controls!$A$64:$E$74,4,FALSE()),"No")="Yes",1,0)</f>
        <v>0</v>
      </c>
      <c r="AH562" s="65" t="n">
        <f aca="false">IF(IFERROR(VLOOKUP(D562,Controls!$A$64:$E$74,5,FALSE()),"No")="Yes",1,0)</f>
        <v>0</v>
      </c>
      <c r="AI562" s="65" t="n">
        <f aca="false">IF(ISNUMBER(MATCH(D562,Controls!$A$64:$A$74,0)),1,0)</f>
        <v>1</v>
      </c>
      <c r="AJ562" s="65" t="n">
        <f aca="false">Q562-N562</f>
        <v>-35872.33</v>
      </c>
      <c r="AK562" s="65" t="n">
        <f aca="false">IF(AE562=1,MAX(0,N562-Q562),0)</f>
        <v>35872.33</v>
      </c>
      <c r="AL562" s="65" t="n">
        <f aca="false">IF(OR(V562="",V562=0),0,N562/V562)</f>
        <v>0.29206161916041</v>
      </c>
      <c r="AM562" s="65" t="n">
        <f aca="false">IF(OR(V562="",V562=0),0,1)</f>
        <v>1</v>
      </c>
      <c r="AN562" s="65" t="n">
        <f aca="false">IF(OR(E562="",F562=""),0,NETWORKDAYS(E562,F562,Ref!$K$2:$K$42))</f>
        <v>13</v>
      </c>
      <c r="AO562" s="65" t="n">
        <f aca="false">IF(L562="Renewal",1,0)</f>
        <v>0</v>
      </c>
      <c r="AP562" s="65" t="n">
        <f aca="false">AC562*AD562</f>
        <v>1</v>
      </c>
      <c r="AQ562" s="65" t="n">
        <f aca="false">IF(AND(G562&lt;&gt;"",'Historical Score'!$C$6&lt;&gt;""),IF(G562='Historical Score'!$C$6,1,0),0)</f>
        <v>0</v>
      </c>
      <c r="AR562" s="65" t="n">
        <f aca="false">IF(AND(L562&lt;&gt;"",'Historical Score'!$C$5&lt;&gt;""),IF(L562='Historical Score'!$C$5,1,0),0)</f>
        <v>1</v>
      </c>
      <c r="AS562" s="65" t="n">
        <f aca="false">IF(AND(Y562&lt;&gt;"",'Historical Score'!$C$7&lt;&gt;""),IF(Y562='Historical Score'!$C$7,1,0),0)</f>
        <v>0</v>
      </c>
      <c r="AT562" s="65" t="n">
        <f aca="false">IF(AND(K562&lt;&gt;"",'Historical Score'!$C$8&lt;&gt;""),IF(K562='Historical Score'!$C$8,1,0),0)</f>
        <v>0</v>
      </c>
      <c r="AU562" s="65" t="n">
        <f aca="false">IF(AND(J562&lt;&gt;"",'Historical Score'!$C$9&lt;&gt;""),IF(J562='Historical Score'!$C$9,1,0),0)</f>
        <v>0</v>
      </c>
      <c r="AV562" s="65" t="n">
        <f aca="false">AR562*AS562*AQ562</f>
        <v>0</v>
      </c>
      <c r="AW562" s="65" t="n">
        <f aca="false">AR562*AT562*AQ562</f>
        <v>0</v>
      </c>
      <c r="AX562" s="65" t="n">
        <f aca="false">AR562*AS562</f>
        <v>0</v>
      </c>
      <c r="AY562" s="65" t="n">
        <f aca="false">AR562*AT562</f>
        <v>0</v>
      </c>
      <c r="AZ562" s="65" t="n">
        <f aca="false">AR562*AQ562</f>
        <v>0</v>
      </c>
      <c r="BA562" s="65" t="n">
        <f aca="false">AR562</f>
        <v>1</v>
      </c>
      <c r="BB562" s="65" t="n">
        <f aca="false">1</f>
        <v>1</v>
      </c>
      <c r="BC562" s="65" t="n">
        <f aca="false">IF(AV562=1,1,IF(AW562=1,2,IF(AX562=1,3,IF(AY562=1,4,IF(AZ562=1,5,IF(BA562=1,6,7))))))</f>
        <v>6</v>
      </c>
      <c r="BD562" s="65" t="n">
        <f aca="false">IF(AD562=1,CHOOSE('Historical Score'!$C$29,AV562,AW562,AX562,AY562,AZ562,BA562,BB562),0)</f>
        <v>0</v>
      </c>
      <c r="BE562" s="65" t="str">
        <f aca="false">IF(BD562=1,COUNTIF($BD$2:BD562,1),"")</f>
        <v/>
      </c>
    </row>
    <row r="563" customFormat="false" ht="15" hidden="false" customHeight="false" outlineLevel="0" collapsed="false">
      <c r="A563" s="65" t="s">
        <v>2016</v>
      </c>
      <c r="B563" s="65" t="s">
        <v>2017</v>
      </c>
      <c r="C563" s="65" t="s">
        <v>2018</v>
      </c>
      <c r="D563" s="65" t="s">
        <v>295</v>
      </c>
      <c r="E563" s="112" t="n">
        <v>46045</v>
      </c>
      <c r="F563" s="112" t="n">
        <v>46247</v>
      </c>
      <c r="G563" s="65" t="n">
        <v>2</v>
      </c>
      <c r="H563" s="65" t="s">
        <v>442</v>
      </c>
      <c r="I563" s="65" t="s">
        <v>443</v>
      </c>
      <c r="J563" s="65" t="s">
        <v>386</v>
      </c>
      <c r="K563" s="65" t="s">
        <v>538</v>
      </c>
      <c r="L563" s="65" t="s">
        <v>64</v>
      </c>
      <c r="M563" s="113" t="n">
        <v>1.45</v>
      </c>
      <c r="N563" s="114" t="n">
        <v>50000</v>
      </c>
      <c r="O563" s="114" t="n">
        <v>6000</v>
      </c>
      <c r="P563" s="114" t="n">
        <v>72500</v>
      </c>
      <c r="Q563" s="114" t="n">
        <v>34449.63</v>
      </c>
      <c r="R563" s="114" t="n">
        <v>38050.37</v>
      </c>
      <c r="S563" s="115" t="n">
        <v>0.475167310344828</v>
      </c>
      <c r="T563" s="65" t="n">
        <v>38</v>
      </c>
      <c r="U563" s="65" t="n">
        <v>0</v>
      </c>
      <c r="V563" s="65" t="n">
        <v>134030.67</v>
      </c>
      <c r="W563" s="115" t="n">
        <v>0.0569</v>
      </c>
      <c r="X563" s="112" t="n">
        <v>43164</v>
      </c>
      <c r="Y563" s="65" t="str">
        <f aca="false">IF(I563="","No SIC",IFERROR(VLOOKUP(I563,Ref!$A$2:$B$65,2,FALSE()),"Unclassified"))</f>
        <v>General Building Contractors</v>
      </c>
      <c r="Z563" s="65" t="str">
        <f aca="false">IF(T563="","",IF(T563&lt;12,"Daily","Weekly"))</f>
        <v>Weekly</v>
      </c>
      <c r="AA563" s="65" t="n">
        <f aca="false">IF(T563="",0,IF(T563&lt;12,T563*Controls!$B$29,T563*5))</f>
        <v>190</v>
      </c>
      <c r="AB563" s="65" t="n">
        <f aca="false">IF(E563="",0,NETWORKDAYS(E563,Controls!$B$36,Ref!$K$2:$K$42))</f>
        <v>150</v>
      </c>
      <c r="AC563" s="65" t="n">
        <f aca="false">IF(AND(AA563&gt;0,AB563&gt;=Controls!$B$39*AA563),1,0)</f>
        <v>0</v>
      </c>
      <c r="AD563" s="65" t="n">
        <f aca="false">IF(AND(E563&lt;&gt;"",E563&gt;=Controls!$B$37,E563&lt;=Controls!$B$38),1,0)</f>
        <v>1</v>
      </c>
      <c r="AE563" s="65" t="n">
        <f aca="false">IF(IFERROR(VLOOKUP(D563,Controls!$A$64:$E$74,2,FALSE()),"No")="Yes",1,0)</f>
        <v>0</v>
      </c>
      <c r="AF563" s="65" t="n">
        <f aca="false">IF(IFERROR(VLOOKUP(D563,Controls!$A$64:$E$74,3,FALSE()),"No")="Yes",1,0)</f>
        <v>0</v>
      </c>
      <c r="AG563" s="65" t="n">
        <f aca="false">IF(IFERROR(VLOOKUP(D563,Controls!$A$64:$E$74,4,FALSE()),"No")="Yes",1,0)</f>
        <v>0</v>
      </c>
      <c r="AH563" s="65" t="n">
        <f aca="false">IF(IFERROR(VLOOKUP(D563,Controls!$A$64:$E$74,5,FALSE()),"No")="Yes",1,0)</f>
        <v>1</v>
      </c>
      <c r="AI563" s="65" t="n">
        <f aca="false">IF(ISNUMBER(MATCH(D563,Controls!$A$64:$A$74,0)),1,0)</f>
        <v>1</v>
      </c>
      <c r="AJ563" s="65" t="n">
        <f aca="false">Q563-N563</f>
        <v>-15550.37</v>
      </c>
      <c r="AK563" s="65" t="n">
        <f aca="false">IF(AE563=1,MAX(0,N563-Q563),0)</f>
        <v>0</v>
      </c>
      <c r="AL563" s="65" t="n">
        <f aca="false">IF(OR(V563="",V563=0),0,N563/V563)</f>
        <v>0.373048944693032</v>
      </c>
      <c r="AM563" s="65" t="n">
        <f aca="false">IF(OR(V563="",V563=0),0,1)</f>
        <v>1</v>
      </c>
      <c r="AN563" s="65" t="n">
        <f aca="false">IF(OR(E563="",F563=""),0,NETWORKDAYS(E563,F563,Ref!$K$2:$K$42))</f>
        <v>142</v>
      </c>
      <c r="AO563" s="65" t="n">
        <f aca="false">IF(L563="Renewal",1,0)</f>
        <v>0</v>
      </c>
      <c r="AP563" s="65" t="n">
        <f aca="false">AC563*AD563</f>
        <v>0</v>
      </c>
      <c r="AQ563" s="65" t="n">
        <f aca="false">IF(AND(G563&lt;&gt;"",'Historical Score'!$C$6&lt;&gt;""),IF(G563='Historical Score'!$C$6,1,0),0)</f>
        <v>1</v>
      </c>
      <c r="AR563" s="65" t="n">
        <f aca="false">IF(AND(L563&lt;&gt;"",'Historical Score'!$C$5&lt;&gt;""),IF(L563='Historical Score'!$C$5,1,0),0)</f>
        <v>1</v>
      </c>
      <c r="AS563" s="65" t="n">
        <f aca="false">IF(AND(Y563&lt;&gt;"",'Historical Score'!$C$7&lt;&gt;""),IF(Y563='Historical Score'!$C$7,1,0),0)</f>
        <v>1</v>
      </c>
      <c r="AT563" s="65" t="n">
        <f aca="false">IF(AND(K563&lt;&gt;"",'Historical Score'!$C$8&lt;&gt;""),IF(K563='Historical Score'!$C$8,1,0),0)</f>
        <v>0</v>
      </c>
      <c r="AU563" s="65" t="n">
        <f aca="false">IF(AND(J563&lt;&gt;"",'Historical Score'!$C$9&lt;&gt;""),IF(J563='Historical Score'!$C$9,1,0),0)</f>
        <v>0</v>
      </c>
      <c r="AV563" s="65" t="n">
        <f aca="false">AR563*AS563*AQ563</f>
        <v>1</v>
      </c>
      <c r="AW563" s="65" t="n">
        <f aca="false">AR563*AT563*AQ563</f>
        <v>0</v>
      </c>
      <c r="AX563" s="65" t="n">
        <f aca="false">AR563*AS563</f>
        <v>1</v>
      </c>
      <c r="AY563" s="65" t="n">
        <f aca="false">AR563*AT563</f>
        <v>0</v>
      </c>
      <c r="AZ563" s="65" t="n">
        <f aca="false">AR563*AQ563</f>
        <v>1</v>
      </c>
      <c r="BA563" s="65" t="n">
        <f aca="false">AR563</f>
        <v>1</v>
      </c>
      <c r="BB563" s="65" t="n">
        <f aca="false">1</f>
        <v>1</v>
      </c>
      <c r="BC563" s="65" t="n">
        <f aca="false">IF(AV563=1,1,IF(AW563=1,2,IF(AX563=1,3,IF(AY563=1,4,IF(AZ563=1,5,IF(BA563=1,6,7))))))</f>
        <v>1</v>
      </c>
      <c r="BD563" s="65" t="n">
        <f aca="false">IF(AD563=1,CHOOSE('Historical Score'!$C$29,AV563,AW563,AX563,AY563,AZ563,BA563,BB563),0)</f>
        <v>1</v>
      </c>
      <c r="BE563" s="65" t="n">
        <f aca="false">IF(BD563=1,COUNTIF($BD$2:BD563,1),"")</f>
        <v>23</v>
      </c>
    </row>
    <row r="564" customFormat="false" ht="15" hidden="false" customHeight="false" outlineLevel="0" collapsed="false">
      <c r="A564" s="65" t="s">
        <v>2019</v>
      </c>
      <c r="B564" s="65" t="s">
        <v>2020</v>
      </c>
      <c r="C564" s="65" t="s">
        <v>2020</v>
      </c>
      <c r="D564" s="65" t="s">
        <v>371</v>
      </c>
      <c r="E564" s="112" t="n">
        <v>46045</v>
      </c>
      <c r="F564" s="112" t="n">
        <v>46184</v>
      </c>
      <c r="G564" s="65" t="n">
        <v>3</v>
      </c>
      <c r="H564" s="65" t="s">
        <v>1161</v>
      </c>
      <c r="I564" s="65" t="s">
        <v>679</v>
      </c>
      <c r="J564" s="65" t="s">
        <v>452</v>
      </c>
      <c r="K564" s="65" t="s">
        <v>55</v>
      </c>
      <c r="L564" s="65" t="s">
        <v>64</v>
      </c>
      <c r="M564" s="113" t="n">
        <v>1.49</v>
      </c>
      <c r="N564" s="114" t="n">
        <v>20000</v>
      </c>
      <c r="O564" s="114" t="n">
        <v>2800</v>
      </c>
      <c r="P564" s="114" t="n">
        <v>29800</v>
      </c>
      <c r="Q564" s="114" t="n">
        <v>29800</v>
      </c>
      <c r="R564" s="114" t="n">
        <v>0</v>
      </c>
      <c r="S564" s="115" t="n">
        <v>1</v>
      </c>
      <c r="T564" s="65" t="n">
        <v>3.279</v>
      </c>
      <c r="U564" s="65" t="n">
        <v>0</v>
      </c>
      <c r="V564" s="65" t="n">
        <v>76345.67</v>
      </c>
      <c r="W564" s="115" t="n">
        <v>0.082</v>
      </c>
      <c r="X564" s="112"/>
      <c r="Y564" s="65" t="str">
        <f aca="false">IF(I564="","No SIC",IFERROR(VLOOKUP(I564,Ref!$A$2:$B$65,2,FALSE()),"Unclassified"))</f>
        <v>Amusement &amp; Recreation Services</v>
      </c>
      <c r="Z564" s="65" t="str">
        <f aca="false">IF(T564="","",IF(T564&lt;12,"Daily","Weekly"))</f>
        <v>Daily</v>
      </c>
      <c r="AA564" s="65" t="n">
        <f aca="false">IF(T564="",0,IF(T564&lt;12,T564*Controls!$B$29,T564*5))</f>
        <v>71.006745</v>
      </c>
      <c r="AB564" s="65" t="n">
        <f aca="false">IF(E564="",0,NETWORKDAYS(E564,Controls!$B$36,Ref!$K$2:$K$42))</f>
        <v>150</v>
      </c>
      <c r="AC564" s="65" t="n">
        <f aca="false">IF(AND(AA564&gt;0,AB564&gt;=Controls!$B$39*AA564),1,0)</f>
        <v>1</v>
      </c>
      <c r="AD564" s="65" t="n">
        <f aca="false">IF(AND(E564&lt;&gt;"",E564&gt;=Controls!$B$37,E564&lt;=Controls!$B$38),1,0)</f>
        <v>1</v>
      </c>
      <c r="AE564" s="65" t="n">
        <f aca="false">IF(IFERROR(VLOOKUP(D564,Controls!$A$64:$E$74,2,FALSE()),"No")="Yes",1,0)</f>
        <v>0</v>
      </c>
      <c r="AF564" s="65" t="n">
        <f aca="false">IF(IFERROR(VLOOKUP(D564,Controls!$A$64:$E$74,3,FALSE()),"No")="Yes",1,0)</f>
        <v>1</v>
      </c>
      <c r="AG564" s="65" t="n">
        <f aca="false">IF(IFERROR(VLOOKUP(D564,Controls!$A$64:$E$74,4,FALSE()),"No")="Yes",1,0)</f>
        <v>1</v>
      </c>
      <c r="AH564" s="65" t="n">
        <f aca="false">IF(IFERROR(VLOOKUP(D564,Controls!$A$64:$E$74,5,FALSE()),"No")="Yes",1,0)</f>
        <v>0</v>
      </c>
      <c r="AI564" s="65" t="n">
        <f aca="false">IF(ISNUMBER(MATCH(D564,Controls!$A$64:$A$74,0)),1,0)</f>
        <v>1</v>
      </c>
      <c r="AJ564" s="65" t="n">
        <f aca="false">Q564-N564</f>
        <v>9800</v>
      </c>
      <c r="AK564" s="65" t="n">
        <f aca="false">IF(AE564=1,MAX(0,N564-Q564),0)</f>
        <v>0</v>
      </c>
      <c r="AL564" s="65" t="n">
        <f aca="false">IF(OR(V564="",V564=0),0,N564/V564)</f>
        <v>0.261966395736654</v>
      </c>
      <c r="AM564" s="65" t="n">
        <f aca="false">IF(OR(V564="",V564=0),0,1)</f>
        <v>1</v>
      </c>
      <c r="AN564" s="65" t="n">
        <f aca="false">IF(OR(E564="",F564=""),0,NETWORKDAYS(E564,F564,Ref!$K$2:$K$42))</f>
        <v>98</v>
      </c>
      <c r="AO564" s="65" t="n">
        <f aca="false">IF(L564="Renewal",1,0)</f>
        <v>0</v>
      </c>
      <c r="AP564" s="65" t="n">
        <f aca="false">AC564*AD564</f>
        <v>1</v>
      </c>
      <c r="AQ564" s="65" t="n">
        <f aca="false">IF(AND(G564&lt;&gt;"",'Historical Score'!$C$6&lt;&gt;""),IF(G564='Historical Score'!$C$6,1,0),0)</f>
        <v>0</v>
      </c>
      <c r="AR564" s="65" t="n">
        <f aca="false">IF(AND(L564&lt;&gt;"",'Historical Score'!$C$5&lt;&gt;""),IF(L564='Historical Score'!$C$5,1,0),0)</f>
        <v>1</v>
      </c>
      <c r="AS564" s="65" t="n">
        <f aca="false">IF(AND(Y564&lt;&gt;"",'Historical Score'!$C$7&lt;&gt;""),IF(Y564='Historical Score'!$C$7,1,0),0)</f>
        <v>0</v>
      </c>
      <c r="AT564" s="65" t="n">
        <f aca="false">IF(AND(K564&lt;&gt;"",'Historical Score'!$C$8&lt;&gt;""),IF(K564='Historical Score'!$C$8,1,0),0)</f>
        <v>1</v>
      </c>
      <c r="AU564" s="65" t="n">
        <f aca="false">IF(AND(J564&lt;&gt;"",'Historical Score'!$C$9&lt;&gt;""),IF(J564='Historical Score'!$C$9,1,0),0)</f>
        <v>0</v>
      </c>
      <c r="AV564" s="65" t="n">
        <f aca="false">AR564*AS564*AQ564</f>
        <v>0</v>
      </c>
      <c r="AW564" s="65" t="n">
        <f aca="false">AR564*AT564*AQ564</f>
        <v>0</v>
      </c>
      <c r="AX564" s="65" t="n">
        <f aca="false">AR564*AS564</f>
        <v>0</v>
      </c>
      <c r="AY564" s="65" t="n">
        <f aca="false">AR564*AT564</f>
        <v>1</v>
      </c>
      <c r="AZ564" s="65" t="n">
        <f aca="false">AR564*AQ564</f>
        <v>0</v>
      </c>
      <c r="BA564" s="65" t="n">
        <f aca="false">AR564</f>
        <v>1</v>
      </c>
      <c r="BB564" s="65" t="n">
        <f aca="false">1</f>
        <v>1</v>
      </c>
      <c r="BC564" s="65" t="n">
        <f aca="false">IF(AV564=1,1,IF(AW564=1,2,IF(AX564=1,3,IF(AY564=1,4,IF(AZ564=1,5,IF(BA564=1,6,7))))))</f>
        <v>4</v>
      </c>
      <c r="BD564" s="65" t="n">
        <f aca="false">IF(AD564=1,CHOOSE('Historical Score'!$C$29,AV564,AW564,AX564,AY564,AZ564,BA564,BB564),0)</f>
        <v>0</v>
      </c>
      <c r="BE564" s="65" t="str">
        <f aca="false">IF(BD564=1,COUNTIF($BD$2:BD564,1),"")</f>
        <v/>
      </c>
    </row>
    <row r="565" customFormat="false" ht="15" hidden="false" customHeight="false" outlineLevel="0" collapsed="false">
      <c r="A565" s="65" t="s">
        <v>2021</v>
      </c>
      <c r="B565" s="65" t="s">
        <v>2022</v>
      </c>
      <c r="C565" s="65" t="s">
        <v>2022</v>
      </c>
      <c r="D565" s="65" t="s">
        <v>371</v>
      </c>
      <c r="E565" s="112" t="n">
        <v>46045</v>
      </c>
      <c r="F565" s="112" t="n">
        <v>46224</v>
      </c>
      <c r="G565" s="65" t="n">
        <v>2</v>
      </c>
      <c r="H565" s="65" t="s">
        <v>442</v>
      </c>
      <c r="I565" s="65" t="s">
        <v>443</v>
      </c>
      <c r="J565" s="65" t="s">
        <v>61</v>
      </c>
      <c r="K565" s="65" t="s">
        <v>581</v>
      </c>
      <c r="L565" s="65" t="s">
        <v>64</v>
      </c>
      <c r="M565" s="113" t="n">
        <v>1.4</v>
      </c>
      <c r="N565" s="114" t="n">
        <v>30000</v>
      </c>
      <c r="O565" s="114" t="n">
        <v>2850</v>
      </c>
      <c r="P565" s="114" t="n">
        <v>42000</v>
      </c>
      <c r="Q565" s="114" t="n">
        <v>42000</v>
      </c>
      <c r="R565" s="114" t="n">
        <v>0</v>
      </c>
      <c r="S565" s="115" t="n">
        <v>1</v>
      </c>
      <c r="T565" s="65" t="n">
        <v>20</v>
      </c>
      <c r="U565" s="65" t="n">
        <v>5</v>
      </c>
      <c r="V565" s="65" t="n">
        <v>159888.75</v>
      </c>
      <c r="W565" s="115" t="n">
        <v>0.0525</v>
      </c>
      <c r="X565" s="112" t="n">
        <v>44094</v>
      </c>
      <c r="Y565" s="65" t="str">
        <f aca="false">IF(I565="","No SIC",IFERROR(VLOOKUP(I565,Ref!$A$2:$B$65,2,FALSE()),"Unclassified"))</f>
        <v>General Building Contractors</v>
      </c>
      <c r="Z565" s="65" t="str">
        <f aca="false">IF(T565="","",IF(T565&lt;12,"Daily","Weekly"))</f>
        <v>Weekly</v>
      </c>
      <c r="AA565" s="65" t="n">
        <f aca="false">IF(T565="",0,IF(T565&lt;12,T565*Controls!$B$29,T565*5))</f>
        <v>100</v>
      </c>
      <c r="AB565" s="65" t="n">
        <f aca="false">IF(E565="",0,NETWORKDAYS(E565,Controls!$B$36,Ref!$K$2:$K$42))</f>
        <v>150</v>
      </c>
      <c r="AC565" s="65" t="n">
        <f aca="false">IF(AND(AA565&gt;0,AB565&gt;=Controls!$B$39*AA565),1,0)</f>
        <v>1</v>
      </c>
      <c r="AD565" s="65" t="n">
        <f aca="false">IF(AND(E565&lt;&gt;"",E565&gt;=Controls!$B$37,E565&lt;=Controls!$B$38),1,0)</f>
        <v>1</v>
      </c>
      <c r="AE565" s="65" t="n">
        <f aca="false">IF(IFERROR(VLOOKUP(D565,Controls!$A$64:$E$74,2,FALSE()),"No")="Yes",1,0)</f>
        <v>0</v>
      </c>
      <c r="AF565" s="65" t="n">
        <f aca="false">IF(IFERROR(VLOOKUP(D565,Controls!$A$64:$E$74,3,FALSE()),"No")="Yes",1,0)</f>
        <v>1</v>
      </c>
      <c r="AG565" s="65" t="n">
        <f aca="false">IF(IFERROR(VLOOKUP(D565,Controls!$A$64:$E$74,4,FALSE()),"No")="Yes",1,0)</f>
        <v>1</v>
      </c>
      <c r="AH565" s="65" t="n">
        <f aca="false">IF(IFERROR(VLOOKUP(D565,Controls!$A$64:$E$74,5,FALSE()),"No")="Yes",1,0)</f>
        <v>0</v>
      </c>
      <c r="AI565" s="65" t="n">
        <f aca="false">IF(ISNUMBER(MATCH(D565,Controls!$A$64:$A$74,0)),1,0)</f>
        <v>1</v>
      </c>
      <c r="AJ565" s="65" t="n">
        <f aca="false">Q565-N565</f>
        <v>12000</v>
      </c>
      <c r="AK565" s="65" t="n">
        <f aca="false">IF(AE565=1,MAX(0,N565-Q565),0)</f>
        <v>0</v>
      </c>
      <c r="AL565" s="65" t="n">
        <f aca="false">IF(OR(V565="",V565=0),0,N565/V565)</f>
        <v>0.187630461805474</v>
      </c>
      <c r="AM565" s="65" t="n">
        <f aca="false">IF(OR(V565="",V565=0),0,1)</f>
        <v>1</v>
      </c>
      <c r="AN565" s="65" t="n">
        <f aca="false">IF(OR(E565="",F565=""),0,NETWORKDAYS(E565,F565,Ref!$K$2:$K$42))</f>
        <v>125</v>
      </c>
      <c r="AO565" s="65" t="n">
        <f aca="false">IF(L565="Renewal",1,0)</f>
        <v>0</v>
      </c>
      <c r="AP565" s="65" t="n">
        <f aca="false">AC565*AD565</f>
        <v>1</v>
      </c>
      <c r="AQ565" s="65" t="n">
        <f aca="false">IF(AND(G565&lt;&gt;"",'Historical Score'!$C$6&lt;&gt;""),IF(G565='Historical Score'!$C$6,1,0),0)</f>
        <v>1</v>
      </c>
      <c r="AR565" s="65" t="n">
        <f aca="false">IF(AND(L565&lt;&gt;"",'Historical Score'!$C$5&lt;&gt;""),IF(L565='Historical Score'!$C$5,1,0),0)</f>
        <v>1</v>
      </c>
      <c r="AS565" s="65" t="n">
        <f aca="false">IF(AND(Y565&lt;&gt;"",'Historical Score'!$C$7&lt;&gt;""),IF(Y565='Historical Score'!$C$7,1,0),0)</f>
        <v>1</v>
      </c>
      <c r="AT565" s="65" t="n">
        <f aca="false">IF(AND(K565&lt;&gt;"",'Historical Score'!$C$8&lt;&gt;""),IF(K565='Historical Score'!$C$8,1,0),0)</f>
        <v>0</v>
      </c>
      <c r="AU565" s="65" t="n">
        <f aca="false">IF(AND(J565&lt;&gt;"",'Historical Score'!$C$9&lt;&gt;""),IF(J565='Historical Score'!$C$9,1,0),0)</f>
        <v>1</v>
      </c>
      <c r="AV565" s="65" t="n">
        <f aca="false">AR565*AS565*AQ565</f>
        <v>1</v>
      </c>
      <c r="AW565" s="65" t="n">
        <f aca="false">AR565*AT565*AQ565</f>
        <v>0</v>
      </c>
      <c r="AX565" s="65" t="n">
        <f aca="false">AR565*AS565</f>
        <v>1</v>
      </c>
      <c r="AY565" s="65" t="n">
        <f aca="false">AR565*AT565</f>
        <v>0</v>
      </c>
      <c r="AZ565" s="65" t="n">
        <f aca="false">AR565*AQ565</f>
        <v>1</v>
      </c>
      <c r="BA565" s="65" t="n">
        <f aca="false">AR565</f>
        <v>1</v>
      </c>
      <c r="BB565" s="65" t="n">
        <f aca="false">1</f>
        <v>1</v>
      </c>
      <c r="BC565" s="65" t="n">
        <f aca="false">IF(AV565=1,1,IF(AW565=1,2,IF(AX565=1,3,IF(AY565=1,4,IF(AZ565=1,5,IF(BA565=1,6,7))))))</f>
        <v>1</v>
      </c>
      <c r="BD565" s="65" t="n">
        <f aca="false">IF(AD565=1,CHOOSE('Historical Score'!$C$29,AV565,AW565,AX565,AY565,AZ565,BA565,BB565),0)</f>
        <v>1</v>
      </c>
      <c r="BE565" s="65" t="n">
        <f aca="false">IF(BD565=1,COUNTIF($BD$2:BD565,1),"")</f>
        <v>24</v>
      </c>
    </row>
    <row r="566" customFormat="false" ht="15" hidden="false" customHeight="false" outlineLevel="0" collapsed="false">
      <c r="A566" s="65" t="s">
        <v>2023</v>
      </c>
      <c r="B566" s="65" t="s">
        <v>2024</v>
      </c>
      <c r="C566" s="65" t="s">
        <v>2024</v>
      </c>
      <c r="D566" s="65" t="s">
        <v>371</v>
      </c>
      <c r="E566" s="112" t="n">
        <v>46045</v>
      </c>
      <c r="F566" s="112" t="n">
        <v>46156</v>
      </c>
      <c r="G566" s="65" t="n">
        <v>2</v>
      </c>
      <c r="H566" s="65" t="s">
        <v>442</v>
      </c>
      <c r="I566" s="65" t="s">
        <v>443</v>
      </c>
      <c r="J566" s="65" t="s">
        <v>510</v>
      </c>
      <c r="K566" s="65" t="s">
        <v>55</v>
      </c>
      <c r="L566" s="65" t="s">
        <v>64</v>
      </c>
      <c r="M566" s="113" t="n">
        <v>1.49</v>
      </c>
      <c r="N566" s="114" t="n">
        <v>10000</v>
      </c>
      <c r="O566" s="114" t="n">
        <v>1400</v>
      </c>
      <c r="P566" s="114" t="n">
        <v>14900</v>
      </c>
      <c r="Q566" s="114" t="n">
        <v>14900</v>
      </c>
      <c r="R566" s="114" t="n">
        <v>0</v>
      </c>
      <c r="S566" s="115" t="n">
        <v>1</v>
      </c>
      <c r="T566" s="65" t="n">
        <v>24</v>
      </c>
      <c r="U566" s="65" t="n">
        <v>1</v>
      </c>
      <c r="V566" s="65" t="n">
        <v>117415.63</v>
      </c>
      <c r="W566" s="115" t="n">
        <v>0.0211</v>
      </c>
      <c r="X566" s="112"/>
      <c r="Y566" s="65" t="str">
        <f aca="false">IF(I566="","No SIC",IFERROR(VLOOKUP(I566,Ref!$A$2:$B$65,2,FALSE()),"Unclassified"))</f>
        <v>General Building Contractors</v>
      </c>
      <c r="Z566" s="65" t="str">
        <f aca="false">IF(T566="","",IF(T566&lt;12,"Daily","Weekly"))</f>
        <v>Weekly</v>
      </c>
      <c r="AA566" s="65" t="n">
        <f aca="false">IF(T566="",0,IF(T566&lt;12,T566*Controls!$B$29,T566*5))</f>
        <v>120</v>
      </c>
      <c r="AB566" s="65" t="n">
        <f aca="false">IF(E566="",0,NETWORKDAYS(E566,Controls!$B$36,Ref!$K$2:$K$42))</f>
        <v>150</v>
      </c>
      <c r="AC566" s="65" t="n">
        <f aca="false">IF(AND(AA566&gt;0,AB566&gt;=Controls!$B$39*AA566),1,0)</f>
        <v>1</v>
      </c>
      <c r="AD566" s="65" t="n">
        <f aca="false">IF(AND(E566&lt;&gt;"",E566&gt;=Controls!$B$37,E566&lt;=Controls!$B$38),1,0)</f>
        <v>1</v>
      </c>
      <c r="AE566" s="65" t="n">
        <f aca="false">IF(IFERROR(VLOOKUP(D566,Controls!$A$64:$E$74,2,FALSE()),"No")="Yes",1,0)</f>
        <v>0</v>
      </c>
      <c r="AF566" s="65" t="n">
        <f aca="false">IF(IFERROR(VLOOKUP(D566,Controls!$A$64:$E$74,3,FALSE()),"No")="Yes",1,0)</f>
        <v>1</v>
      </c>
      <c r="AG566" s="65" t="n">
        <f aca="false">IF(IFERROR(VLOOKUP(D566,Controls!$A$64:$E$74,4,FALSE()),"No")="Yes",1,0)</f>
        <v>1</v>
      </c>
      <c r="AH566" s="65" t="n">
        <f aca="false">IF(IFERROR(VLOOKUP(D566,Controls!$A$64:$E$74,5,FALSE()),"No")="Yes",1,0)</f>
        <v>0</v>
      </c>
      <c r="AI566" s="65" t="n">
        <f aca="false">IF(ISNUMBER(MATCH(D566,Controls!$A$64:$A$74,0)),1,0)</f>
        <v>1</v>
      </c>
      <c r="AJ566" s="65" t="n">
        <f aca="false">Q566-N566</f>
        <v>4900</v>
      </c>
      <c r="AK566" s="65" t="n">
        <f aca="false">IF(AE566=1,MAX(0,N566-Q566),0)</f>
        <v>0</v>
      </c>
      <c r="AL566" s="65" t="n">
        <f aca="false">IF(OR(V566="",V566=0),0,N566/V566)</f>
        <v>0.0851675368943641</v>
      </c>
      <c r="AM566" s="65" t="n">
        <f aca="false">IF(OR(V566="",V566=0),0,1)</f>
        <v>1</v>
      </c>
      <c r="AN566" s="65" t="n">
        <f aca="false">IF(OR(E566="",F566=""),0,NETWORKDAYS(E566,F566,Ref!$K$2:$K$42))</f>
        <v>79</v>
      </c>
      <c r="AO566" s="65" t="n">
        <f aca="false">IF(L566="Renewal",1,0)</f>
        <v>0</v>
      </c>
      <c r="AP566" s="65" t="n">
        <f aca="false">AC566*AD566</f>
        <v>1</v>
      </c>
      <c r="AQ566" s="65" t="n">
        <f aca="false">IF(AND(G566&lt;&gt;"",'Historical Score'!$C$6&lt;&gt;""),IF(G566='Historical Score'!$C$6,1,0),0)</f>
        <v>1</v>
      </c>
      <c r="AR566" s="65" t="n">
        <f aca="false">IF(AND(L566&lt;&gt;"",'Historical Score'!$C$5&lt;&gt;""),IF(L566='Historical Score'!$C$5,1,0),0)</f>
        <v>1</v>
      </c>
      <c r="AS566" s="65" t="n">
        <f aca="false">IF(AND(Y566&lt;&gt;"",'Historical Score'!$C$7&lt;&gt;""),IF(Y566='Historical Score'!$C$7,1,0),0)</f>
        <v>1</v>
      </c>
      <c r="AT566" s="65" t="n">
        <f aca="false">IF(AND(K566&lt;&gt;"",'Historical Score'!$C$8&lt;&gt;""),IF(K566='Historical Score'!$C$8,1,0),0)</f>
        <v>1</v>
      </c>
      <c r="AU566" s="65" t="n">
        <f aca="false">IF(AND(J566&lt;&gt;"",'Historical Score'!$C$9&lt;&gt;""),IF(J566='Historical Score'!$C$9,1,0),0)</f>
        <v>0</v>
      </c>
      <c r="AV566" s="65" t="n">
        <f aca="false">AR566*AS566*AQ566</f>
        <v>1</v>
      </c>
      <c r="AW566" s="65" t="n">
        <f aca="false">AR566*AT566*AQ566</f>
        <v>1</v>
      </c>
      <c r="AX566" s="65" t="n">
        <f aca="false">AR566*AS566</f>
        <v>1</v>
      </c>
      <c r="AY566" s="65" t="n">
        <f aca="false">AR566*AT566</f>
        <v>1</v>
      </c>
      <c r="AZ566" s="65" t="n">
        <f aca="false">AR566*AQ566</f>
        <v>1</v>
      </c>
      <c r="BA566" s="65" t="n">
        <f aca="false">AR566</f>
        <v>1</v>
      </c>
      <c r="BB566" s="65" t="n">
        <f aca="false">1</f>
        <v>1</v>
      </c>
      <c r="BC566" s="65" t="n">
        <f aca="false">IF(AV566=1,1,IF(AW566=1,2,IF(AX566=1,3,IF(AY566=1,4,IF(AZ566=1,5,IF(BA566=1,6,7))))))</f>
        <v>1</v>
      </c>
      <c r="BD566" s="65" t="n">
        <f aca="false">IF(AD566=1,CHOOSE('Historical Score'!$C$29,AV566,AW566,AX566,AY566,AZ566,BA566,BB566),0)</f>
        <v>1</v>
      </c>
      <c r="BE566" s="65" t="n">
        <f aca="false">IF(BD566=1,COUNTIF($BD$2:BD566,1),"")</f>
        <v>25</v>
      </c>
    </row>
    <row r="567" customFormat="false" ht="15" hidden="false" customHeight="false" outlineLevel="0" collapsed="false">
      <c r="A567" s="65" t="s">
        <v>2025</v>
      </c>
      <c r="B567" s="65" t="s">
        <v>1196</v>
      </c>
      <c r="C567" s="65" t="s">
        <v>1197</v>
      </c>
      <c r="D567" s="65" t="s">
        <v>371</v>
      </c>
      <c r="E567" s="112" t="n">
        <v>46048</v>
      </c>
      <c r="F567" s="112" t="n">
        <v>46170</v>
      </c>
      <c r="G567" s="65" t="n">
        <v>1</v>
      </c>
      <c r="H567" s="65" t="s">
        <v>442</v>
      </c>
      <c r="I567" s="65" t="s">
        <v>443</v>
      </c>
      <c r="J567" s="65" t="s">
        <v>61</v>
      </c>
      <c r="K567" s="65" t="s">
        <v>444</v>
      </c>
      <c r="L567" s="65" t="s">
        <v>320</v>
      </c>
      <c r="M567" s="113" t="n">
        <v>1.49</v>
      </c>
      <c r="N567" s="114" t="n">
        <v>25000</v>
      </c>
      <c r="O567" s="114" t="n">
        <v>3500</v>
      </c>
      <c r="P567" s="114" t="n">
        <v>37250</v>
      </c>
      <c r="Q567" s="114" t="n">
        <v>37250</v>
      </c>
      <c r="R567" s="114" t="n">
        <v>0</v>
      </c>
      <c r="S567" s="115" t="n">
        <v>1</v>
      </c>
      <c r="T567" s="65" t="n">
        <v>22</v>
      </c>
      <c r="U567" s="65" t="n">
        <v>0</v>
      </c>
      <c r="V567" s="65" t="n">
        <v>117856.17</v>
      </c>
      <c r="W567" s="115" t="n">
        <v>0.0683</v>
      </c>
      <c r="X567" s="112" t="n">
        <v>43329</v>
      </c>
      <c r="Y567" s="65" t="str">
        <f aca="false">IF(I567="","No SIC",IFERROR(VLOOKUP(I567,Ref!$A$2:$B$65,2,FALSE()),"Unclassified"))</f>
        <v>General Building Contractors</v>
      </c>
      <c r="Z567" s="65" t="str">
        <f aca="false">IF(T567="","",IF(T567&lt;12,"Daily","Weekly"))</f>
        <v>Weekly</v>
      </c>
      <c r="AA567" s="65" t="n">
        <f aca="false">IF(T567="",0,IF(T567&lt;12,T567*Controls!$B$29,T567*5))</f>
        <v>110</v>
      </c>
      <c r="AB567" s="65" t="n">
        <f aca="false">IF(E567="",0,NETWORKDAYS(E567,Controls!$B$36,Ref!$K$2:$K$42))</f>
        <v>149</v>
      </c>
      <c r="AC567" s="65" t="n">
        <f aca="false">IF(AND(AA567&gt;0,AB567&gt;=Controls!$B$39*AA567),1,0)</f>
        <v>1</v>
      </c>
      <c r="AD567" s="65" t="n">
        <f aca="false">IF(AND(E567&lt;&gt;"",E567&gt;=Controls!$B$37,E567&lt;=Controls!$B$38),1,0)</f>
        <v>1</v>
      </c>
      <c r="AE567" s="65" t="n">
        <f aca="false">IF(IFERROR(VLOOKUP(D567,Controls!$A$64:$E$74,2,FALSE()),"No")="Yes",1,0)</f>
        <v>0</v>
      </c>
      <c r="AF567" s="65" t="n">
        <f aca="false">IF(IFERROR(VLOOKUP(D567,Controls!$A$64:$E$74,3,FALSE()),"No")="Yes",1,0)</f>
        <v>1</v>
      </c>
      <c r="AG567" s="65" t="n">
        <f aca="false">IF(IFERROR(VLOOKUP(D567,Controls!$A$64:$E$74,4,FALSE()),"No")="Yes",1,0)</f>
        <v>1</v>
      </c>
      <c r="AH567" s="65" t="n">
        <f aca="false">IF(IFERROR(VLOOKUP(D567,Controls!$A$64:$E$74,5,FALSE()),"No")="Yes",1,0)</f>
        <v>0</v>
      </c>
      <c r="AI567" s="65" t="n">
        <f aca="false">IF(ISNUMBER(MATCH(D567,Controls!$A$64:$A$74,0)),1,0)</f>
        <v>1</v>
      </c>
      <c r="AJ567" s="65" t="n">
        <f aca="false">Q567-N567</f>
        <v>12250</v>
      </c>
      <c r="AK567" s="65" t="n">
        <f aca="false">IF(AE567=1,MAX(0,N567-Q567),0)</f>
        <v>0</v>
      </c>
      <c r="AL567" s="65" t="n">
        <f aca="false">IF(OR(V567="",V567=0),0,N567/V567)</f>
        <v>0.212122963099853</v>
      </c>
      <c r="AM567" s="65" t="n">
        <f aca="false">IF(OR(V567="",V567=0),0,1)</f>
        <v>1</v>
      </c>
      <c r="AN567" s="65" t="n">
        <f aca="false">IF(OR(E567="",F567=""),0,NETWORKDAYS(E567,F567,Ref!$K$2:$K$42))</f>
        <v>87</v>
      </c>
      <c r="AO567" s="65" t="n">
        <f aca="false">IF(L567="Renewal",1,0)</f>
        <v>1</v>
      </c>
      <c r="AP567" s="65" t="n">
        <f aca="false">AC567*AD567</f>
        <v>1</v>
      </c>
      <c r="AQ567" s="65" t="n">
        <f aca="false">IF(AND(G567&lt;&gt;"",'Historical Score'!$C$6&lt;&gt;""),IF(G567='Historical Score'!$C$6,1,0),0)</f>
        <v>0</v>
      </c>
      <c r="AR567" s="65" t="n">
        <f aca="false">IF(AND(L567&lt;&gt;"",'Historical Score'!$C$5&lt;&gt;""),IF(L567='Historical Score'!$C$5,1,0),0)</f>
        <v>0</v>
      </c>
      <c r="AS567" s="65" t="n">
        <f aca="false">IF(AND(Y567&lt;&gt;"",'Historical Score'!$C$7&lt;&gt;""),IF(Y567='Historical Score'!$C$7,1,0),0)</f>
        <v>1</v>
      </c>
      <c r="AT567" s="65" t="n">
        <f aca="false">IF(AND(K567&lt;&gt;"",'Historical Score'!$C$8&lt;&gt;""),IF(K567='Historical Score'!$C$8,1,0),0)</f>
        <v>0</v>
      </c>
      <c r="AU567" s="65" t="n">
        <f aca="false">IF(AND(J567&lt;&gt;"",'Historical Score'!$C$9&lt;&gt;""),IF(J567='Historical Score'!$C$9,1,0),0)</f>
        <v>1</v>
      </c>
      <c r="AV567" s="65" t="n">
        <f aca="false">AR567*AS567*AQ567</f>
        <v>0</v>
      </c>
      <c r="AW567" s="65" t="n">
        <f aca="false">AR567*AT567*AQ567</f>
        <v>0</v>
      </c>
      <c r="AX567" s="65" t="n">
        <f aca="false">AR567*AS567</f>
        <v>0</v>
      </c>
      <c r="AY567" s="65" t="n">
        <f aca="false">AR567*AT567</f>
        <v>0</v>
      </c>
      <c r="AZ567" s="65" t="n">
        <f aca="false">AR567*AQ567</f>
        <v>0</v>
      </c>
      <c r="BA567" s="65" t="n">
        <f aca="false">AR567</f>
        <v>0</v>
      </c>
      <c r="BB567" s="65" t="n">
        <f aca="false">1</f>
        <v>1</v>
      </c>
      <c r="BC567" s="65" t="n">
        <f aca="false">IF(AV567=1,1,IF(AW567=1,2,IF(AX567=1,3,IF(AY567=1,4,IF(AZ567=1,5,IF(BA567=1,6,7))))))</f>
        <v>7</v>
      </c>
      <c r="BD567" s="65" t="n">
        <f aca="false">IF(AD567=1,CHOOSE('Historical Score'!$C$29,AV567,AW567,AX567,AY567,AZ567,BA567,BB567),0)</f>
        <v>0</v>
      </c>
      <c r="BE567" s="65" t="str">
        <f aca="false">IF(BD567=1,COUNTIF($BD$2:BD567,1),"")</f>
        <v/>
      </c>
    </row>
    <row r="568" customFormat="false" ht="15" hidden="false" customHeight="false" outlineLevel="0" collapsed="false">
      <c r="A568" s="65" t="s">
        <v>2026</v>
      </c>
      <c r="B568" s="65" t="s">
        <v>2027</v>
      </c>
      <c r="C568" s="65" t="s">
        <v>2028</v>
      </c>
      <c r="D568" s="65" t="s">
        <v>371</v>
      </c>
      <c r="E568" s="112" t="n">
        <v>46048</v>
      </c>
      <c r="F568" s="112" t="n">
        <v>46162</v>
      </c>
      <c r="G568" s="65" t="n">
        <v>2</v>
      </c>
      <c r="H568" s="65" t="s">
        <v>409</v>
      </c>
      <c r="I568" s="65" t="s">
        <v>342</v>
      </c>
      <c r="J568" s="65" t="s">
        <v>682</v>
      </c>
      <c r="K568" s="65" t="s">
        <v>983</v>
      </c>
      <c r="L568" s="65" t="s">
        <v>64</v>
      </c>
      <c r="M568" s="113" t="n">
        <v>1.49</v>
      </c>
      <c r="N568" s="114" t="n">
        <v>12000</v>
      </c>
      <c r="O568" s="114" t="n">
        <v>1680</v>
      </c>
      <c r="P568" s="114" t="n">
        <v>17880</v>
      </c>
      <c r="Q568" s="114" t="n">
        <v>17880</v>
      </c>
      <c r="R568" s="114" t="n">
        <v>0</v>
      </c>
      <c r="S568" s="115" t="n">
        <v>1</v>
      </c>
      <c r="T568" s="65" t="n">
        <v>20</v>
      </c>
      <c r="U568" s="65" t="n">
        <v>0</v>
      </c>
      <c r="V568" s="65" t="n">
        <v>39147.9</v>
      </c>
      <c r="W568" s="115" t="n">
        <v>0.0913</v>
      </c>
      <c r="X568" s="112" t="n">
        <v>43466</v>
      </c>
      <c r="Y568" s="65" t="str">
        <f aca="false">IF(I568="","No SIC",IFERROR(VLOOKUP(I568,Ref!$A$2:$B$65,2,FALSE()),"Unclassified"))</f>
        <v>Eating &amp; Drinking Places</v>
      </c>
      <c r="Z568" s="65" t="str">
        <f aca="false">IF(T568="","",IF(T568&lt;12,"Daily","Weekly"))</f>
        <v>Weekly</v>
      </c>
      <c r="AA568" s="65" t="n">
        <f aca="false">IF(T568="",0,IF(T568&lt;12,T568*Controls!$B$29,T568*5))</f>
        <v>100</v>
      </c>
      <c r="AB568" s="65" t="n">
        <f aca="false">IF(E568="",0,NETWORKDAYS(E568,Controls!$B$36,Ref!$K$2:$K$42))</f>
        <v>149</v>
      </c>
      <c r="AC568" s="65" t="n">
        <f aca="false">IF(AND(AA568&gt;0,AB568&gt;=Controls!$B$39*AA568),1,0)</f>
        <v>1</v>
      </c>
      <c r="AD568" s="65" t="n">
        <f aca="false">IF(AND(E568&lt;&gt;"",E568&gt;=Controls!$B$37,E568&lt;=Controls!$B$38),1,0)</f>
        <v>1</v>
      </c>
      <c r="AE568" s="65" t="n">
        <f aca="false">IF(IFERROR(VLOOKUP(D568,Controls!$A$64:$E$74,2,FALSE()),"No")="Yes",1,0)</f>
        <v>0</v>
      </c>
      <c r="AF568" s="65" t="n">
        <f aca="false">IF(IFERROR(VLOOKUP(D568,Controls!$A$64:$E$74,3,FALSE()),"No")="Yes",1,0)</f>
        <v>1</v>
      </c>
      <c r="AG568" s="65" t="n">
        <f aca="false">IF(IFERROR(VLOOKUP(D568,Controls!$A$64:$E$74,4,FALSE()),"No")="Yes",1,0)</f>
        <v>1</v>
      </c>
      <c r="AH568" s="65" t="n">
        <f aca="false">IF(IFERROR(VLOOKUP(D568,Controls!$A$64:$E$74,5,FALSE()),"No")="Yes",1,0)</f>
        <v>0</v>
      </c>
      <c r="AI568" s="65" t="n">
        <f aca="false">IF(ISNUMBER(MATCH(D568,Controls!$A$64:$A$74,0)),1,0)</f>
        <v>1</v>
      </c>
      <c r="AJ568" s="65" t="n">
        <f aca="false">Q568-N568</f>
        <v>5880</v>
      </c>
      <c r="AK568" s="65" t="n">
        <f aca="false">IF(AE568=1,MAX(0,N568-Q568),0)</f>
        <v>0</v>
      </c>
      <c r="AL568" s="65" t="n">
        <f aca="false">IF(OR(V568="",V568=0),0,N568/V568)</f>
        <v>0.306529852175979</v>
      </c>
      <c r="AM568" s="65" t="n">
        <f aca="false">IF(OR(V568="",V568=0),0,1)</f>
        <v>1</v>
      </c>
      <c r="AN568" s="65" t="n">
        <f aca="false">IF(OR(E568="",F568=""),0,NETWORKDAYS(E568,F568,Ref!$K$2:$K$42))</f>
        <v>82</v>
      </c>
      <c r="AO568" s="65" t="n">
        <f aca="false">IF(L568="Renewal",1,0)</f>
        <v>0</v>
      </c>
      <c r="AP568" s="65" t="n">
        <f aca="false">AC568*AD568</f>
        <v>1</v>
      </c>
      <c r="AQ568" s="65" t="n">
        <f aca="false">IF(AND(G568&lt;&gt;"",'Historical Score'!$C$6&lt;&gt;""),IF(G568='Historical Score'!$C$6,1,0),0)</f>
        <v>1</v>
      </c>
      <c r="AR568" s="65" t="n">
        <f aca="false">IF(AND(L568&lt;&gt;"",'Historical Score'!$C$5&lt;&gt;""),IF(L568='Historical Score'!$C$5,1,0),0)</f>
        <v>1</v>
      </c>
      <c r="AS568" s="65" t="n">
        <f aca="false">IF(AND(Y568&lt;&gt;"",'Historical Score'!$C$7&lt;&gt;""),IF(Y568='Historical Score'!$C$7,1,0),0)</f>
        <v>0</v>
      </c>
      <c r="AT568" s="65" t="n">
        <f aca="false">IF(AND(K568&lt;&gt;"",'Historical Score'!$C$8&lt;&gt;""),IF(K568='Historical Score'!$C$8,1,0),0)</f>
        <v>0</v>
      </c>
      <c r="AU568" s="65" t="n">
        <f aca="false">IF(AND(J568&lt;&gt;"",'Historical Score'!$C$9&lt;&gt;""),IF(J568='Historical Score'!$C$9,1,0),0)</f>
        <v>0</v>
      </c>
      <c r="AV568" s="65" t="n">
        <f aca="false">AR568*AS568*AQ568</f>
        <v>0</v>
      </c>
      <c r="AW568" s="65" t="n">
        <f aca="false">AR568*AT568*AQ568</f>
        <v>0</v>
      </c>
      <c r="AX568" s="65" t="n">
        <f aca="false">AR568*AS568</f>
        <v>0</v>
      </c>
      <c r="AY568" s="65" t="n">
        <f aca="false">AR568*AT568</f>
        <v>0</v>
      </c>
      <c r="AZ568" s="65" t="n">
        <f aca="false">AR568*AQ568</f>
        <v>1</v>
      </c>
      <c r="BA568" s="65" t="n">
        <f aca="false">AR568</f>
        <v>1</v>
      </c>
      <c r="BB568" s="65" t="n">
        <f aca="false">1</f>
        <v>1</v>
      </c>
      <c r="BC568" s="65" t="n">
        <f aca="false">IF(AV568=1,1,IF(AW568=1,2,IF(AX568=1,3,IF(AY568=1,4,IF(AZ568=1,5,IF(BA568=1,6,7))))))</f>
        <v>5</v>
      </c>
      <c r="BD568" s="65" t="n">
        <f aca="false">IF(AD568=1,CHOOSE('Historical Score'!$C$29,AV568,AW568,AX568,AY568,AZ568,BA568,BB568),0)</f>
        <v>0</v>
      </c>
      <c r="BE568" s="65" t="str">
        <f aca="false">IF(BD568=1,COUNTIF($BD$2:BD568,1),"")</f>
        <v/>
      </c>
    </row>
    <row r="569" customFormat="false" ht="15" hidden="false" customHeight="false" outlineLevel="0" collapsed="false">
      <c r="A569" s="65" t="s">
        <v>2029</v>
      </c>
      <c r="B569" s="65" t="s">
        <v>1630</v>
      </c>
      <c r="C569" s="65" t="s">
        <v>1630</v>
      </c>
      <c r="D569" s="65" t="s">
        <v>340</v>
      </c>
      <c r="E569" s="112" t="n">
        <v>46048</v>
      </c>
      <c r="F569" s="112" t="n">
        <v>46150</v>
      </c>
      <c r="G569" s="65" t="n">
        <v>1</v>
      </c>
      <c r="H569" s="65" t="s">
        <v>568</v>
      </c>
      <c r="I569" s="65" t="s">
        <v>569</v>
      </c>
      <c r="J569" s="65" t="s">
        <v>649</v>
      </c>
      <c r="K569" s="65" t="s">
        <v>55</v>
      </c>
      <c r="L569" s="65" t="s">
        <v>64</v>
      </c>
      <c r="M569" s="113" t="n">
        <v>1.49</v>
      </c>
      <c r="N569" s="114" t="n">
        <v>21000</v>
      </c>
      <c r="O569" s="114" t="n">
        <v>0</v>
      </c>
      <c r="P569" s="114" t="n">
        <v>31290</v>
      </c>
      <c r="Q569" s="114" t="n">
        <v>3489.82</v>
      </c>
      <c r="R569" s="114" t="n">
        <v>27800.18</v>
      </c>
      <c r="S569" s="115" t="n">
        <v>0.111531479705976</v>
      </c>
      <c r="T569" s="65" t="n">
        <v>24</v>
      </c>
      <c r="U569" s="65" t="n">
        <v>13</v>
      </c>
      <c r="V569" s="65" t="n">
        <v>93274.12</v>
      </c>
      <c r="W569" s="115" t="n">
        <v>0.0559</v>
      </c>
      <c r="X569" s="112"/>
      <c r="Y569" s="65" t="str">
        <f aca="false">IF(I569="","No SIC",IFERROR(VLOOKUP(I569,Ref!$A$2:$B$65,2,FALSE()),"Unclassified"))</f>
        <v>General Merchandise Stores</v>
      </c>
      <c r="Z569" s="65" t="str">
        <f aca="false">IF(T569="","",IF(T569&lt;12,"Daily","Weekly"))</f>
        <v>Weekly</v>
      </c>
      <c r="AA569" s="65" t="n">
        <f aca="false">IF(T569="",0,IF(T569&lt;12,T569*Controls!$B$29,T569*5))</f>
        <v>120</v>
      </c>
      <c r="AB569" s="65" t="n">
        <f aca="false">IF(E569="",0,NETWORKDAYS(E569,Controls!$B$36,Ref!$K$2:$K$42))</f>
        <v>149</v>
      </c>
      <c r="AC569" s="65" t="n">
        <f aca="false">IF(AND(AA569&gt;0,AB569&gt;=Controls!$B$39*AA569),1,0)</f>
        <v>0</v>
      </c>
      <c r="AD569" s="65" t="n">
        <f aca="false">IF(AND(E569&lt;&gt;"",E569&gt;=Controls!$B$37,E569&lt;=Controls!$B$38),1,0)</f>
        <v>1</v>
      </c>
      <c r="AE569" s="65" t="n">
        <f aca="false">IF(IFERROR(VLOOKUP(D569,Controls!$A$64:$E$74,2,FALSE()),"No")="Yes",1,0)</f>
        <v>1</v>
      </c>
      <c r="AF569" s="65" t="n">
        <f aca="false">IF(IFERROR(VLOOKUP(D569,Controls!$A$64:$E$74,3,FALSE()),"No")="Yes",1,0)</f>
        <v>0</v>
      </c>
      <c r="AG569" s="65" t="n">
        <f aca="false">IF(IFERROR(VLOOKUP(D569,Controls!$A$64:$E$74,4,FALSE()),"No")="Yes",1,0)</f>
        <v>0</v>
      </c>
      <c r="AH569" s="65" t="n">
        <f aca="false">IF(IFERROR(VLOOKUP(D569,Controls!$A$64:$E$74,5,FALSE()),"No")="Yes",1,0)</f>
        <v>0</v>
      </c>
      <c r="AI569" s="65" t="n">
        <f aca="false">IF(ISNUMBER(MATCH(D569,Controls!$A$64:$A$74,0)),1,0)</f>
        <v>1</v>
      </c>
      <c r="AJ569" s="65" t="n">
        <f aca="false">Q569-N569</f>
        <v>-17510.18</v>
      </c>
      <c r="AK569" s="65" t="n">
        <f aca="false">IF(AE569=1,MAX(0,N569-Q569),0)</f>
        <v>17510.18</v>
      </c>
      <c r="AL569" s="65" t="n">
        <f aca="false">IF(OR(V569="",V569=0),0,N569/V569)</f>
        <v>0.225142837048476</v>
      </c>
      <c r="AM569" s="65" t="n">
        <f aca="false">IF(OR(V569="",V569=0),0,1)</f>
        <v>1</v>
      </c>
      <c r="AN569" s="65" t="n">
        <f aca="false">IF(OR(E569="",F569=""),0,NETWORKDAYS(E569,F569,Ref!$K$2:$K$42))</f>
        <v>74</v>
      </c>
      <c r="AO569" s="65" t="n">
        <f aca="false">IF(L569="Renewal",1,0)</f>
        <v>0</v>
      </c>
      <c r="AP569" s="65" t="n">
        <f aca="false">AC569*AD569</f>
        <v>0</v>
      </c>
      <c r="AQ569" s="65" t="n">
        <f aca="false">IF(AND(G569&lt;&gt;"",'Historical Score'!$C$6&lt;&gt;""),IF(G569='Historical Score'!$C$6,1,0),0)</f>
        <v>0</v>
      </c>
      <c r="AR569" s="65" t="n">
        <f aca="false">IF(AND(L569&lt;&gt;"",'Historical Score'!$C$5&lt;&gt;""),IF(L569='Historical Score'!$C$5,1,0),0)</f>
        <v>1</v>
      </c>
      <c r="AS569" s="65" t="n">
        <f aca="false">IF(AND(Y569&lt;&gt;"",'Historical Score'!$C$7&lt;&gt;""),IF(Y569='Historical Score'!$C$7,1,0),0)</f>
        <v>0</v>
      </c>
      <c r="AT569" s="65" t="n">
        <f aca="false">IF(AND(K569&lt;&gt;"",'Historical Score'!$C$8&lt;&gt;""),IF(K569='Historical Score'!$C$8,1,0),0)</f>
        <v>1</v>
      </c>
      <c r="AU569" s="65" t="n">
        <f aca="false">IF(AND(J569&lt;&gt;"",'Historical Score'!$C$9&lt;&gt;""),IF(J569='Historical Score'!$C$9,1,0),0)</f>
        <v>0</v>
      </c>
      <c r="AV569" s="65" t="n">
        <f aca="false">AR569*AS569*AQ569</f>
        <v>0</v>
      </c>
      <c r="AW569" s="65" t="n">
        <f aca="false">AR569*AT569*AQ569</f>
        <v>0</v>
      </c>
      <c r="AX569" s="65" t="n">
        <f aca="false">AR569*AS569</f>
        <v>0</v>
      </c>
      <c r="AY569" s="65" t="n">
        <f aca="false">AR569*AT569</f>
        <v>1</v>
      </c>
      <c r="AZ569" s="65" t="n">
        <f aca="false">AR569*AQ569</f>
        <v>0</v>
      </c>
      <c r="BA569" s="65" t="n">
        <f aca="false">AR569</f>
        <v>1</v>
      </c>
      <c r="BB569" s="65" t="n">
        <f aca="false">1</f>
        <v>1</v>
      </c>
      <c r="BC569" s="65" t="n">
        <f aca="false">IF(AV569=1,1,IF(AW569=1,2,IF(AX569=1,3,IF(AY569=1,4,IF(AZ569=1,5,IF(BA569=1,6,7))))))</f>
        <v>4</v>
      </c>
      <c r="BD569" s="65" t="n">
        <f aca="false">IF(AD569=1,CHOOSE('Historical Score'!$C$29,AV569,AW569,AX569,AY569,AZ569,BA569,BB569),0)</f>
        <v>0</v>
      </c>
      <c r="BE569" s="65" t="str">
        <f aca="false">IF(BD569=1,COUNTIF($BD$2:BD569,1),"")</f>
        <v/>
      </c>
    </row>
    <row r="570" customFormat="false" ht="15" hidden="false" customHeight="false" outlineLevel="0" collapsed="false">
      <c r="A570" s="65" t="s">
        <v>2030</v>
      </c>
      <c r="B570" s="65" t="s">
        <v>2031</v>
      </c>
      <c r="C570" s="65" t="s">
        <v>2031</v>
      </c>
      <c r="D570" s="65" t="s">
        <v>533</v>
      </c>
      <c r="E570" s="112" t="n">
        <v>46049</v>
      </c>
      <c r="F570" s="112" t="n">
        <v>46135</v>
      </c>
      <c r="G570" s="65" t="n">
        <v>3</v>
      </c>
      <c r="H570" s="65" t="s">
        <v>748</v>
      </c>
      <c r="I570" s="65" t="s">
        <v>619</v>
      </c>
      <c r="J570" s="65" t="s">
        <v>452</v>
      </c>
      <c r="K570" s="65" t="s">
        <v>983</v>
      </c>
      <c r="L570" s="65" t="s">
        <v>64</v>
      </c>
      <c r="M570" s="113" t="n">
        <v>1.49</v>
      </c>
      <c r="N570" s="114" t="n">
        <v>40000</v>
      </c>
      <c r="O570" s="114" t="n">
        <v>5600</v>
      </c>
      <c r="P570" s="114" t="n">
        <v>59600</v>
      </c>
      <c r="Q570" s="114" t="n">
        <v>21775.7</v>
      </c>
      <c r="R570" s="114" t="n">
        <v>37824.3</v>
      </c>
      <c r="S570" s="115" t="n">
        <v>0.365364093959732</v>
      </c>
      <c r="T570" s="65" t="n">
        <v>28</v>
      </c>
      <c r="U570" s="65" t="n">
        <v>1</v>
      </c>
      <c r="V570" s="65" t="n">
        <v>56572.13</v>
      </c>
      <c r="W570" s="115" t="n">
        <v>0.1505</v>
      </c>
      <c r="X570" s="112"/>
      <c r="Y570" s="65" t="str">
        <f aca="false">IF(I570="","No SIC",IFERROR(VLOOKUP(I570,Ref!$A$2:$B$65,2,FALSE()),"Unclassified"))</f>
        <v>Miscellaneous Retail</v>
      </c>
      <c r="Z570" s="65" t="str">
        <f aca="false">IF(T570="","",IF(T570&lt;12,"Daily","Weekly"))</f>
        <v>Weekly</v>
      </c>
      <c r="AA570" s="65" t="n">
        <f aca="false">IF(T570="",0,IF(T570&lt;12,T570*Controls!$B$29,T570*5))</f>
        <v>140</v>
      </c>
      <c r="AB570" s="65" t="n">
        <f aca="false">IF(E570="",0,NETWORKDAYS(E570,Controls!$B$36,Ref!$K$2:$K$42))</f>
        <v>148</v>
      </c>
      <c r="AC570" s="65" t="n">
        <f aca="false">IF(AND(AA570&gt;0,AB570&gt;=Controls!$B$39*AA570),1,0)</f>
        <v>0</v>
      </c>
      <c r="AD570" s="65" t="n">
        <f aca="false">IF(AND(E570&lt;&gt;"",E570&gt;=Controls!$B$37,E570&lt;=Controls!$B$38),1,0)</f>
        <v>1</v>
      </c>
      <c r="AE570" s="65" t="n">
        <f aca="false">IF(IFERROR(VLOOKUP(D570,Controls!$A$64:$E$74,2,FALSE()),"No")="Yes",1,0)</f>
        <v>1</v>
      </c>
      <c r="AF570" s="65" t="n">
        <f aca="false">IF(IFERROR(VLOOKUP(D570,Controls!$A$64:$E$74,3,FALSE()),"No")="Yes",1,0)</f>
        <v>0</v>
      </c>
      <c r="AG570" s="65" t="n">
        <f aca="false">IF(IFERROR(VLOOKUP(D570,Controls!$A$64:$E$74,4,FALSE()),"No")="Yes",1,0)</f>
        <v>0</v>
      </c>
      <c r="AH570" s="65" t="n">
        <f aca="false">IF(IFERROR(VLOOKUP(D570,Controls!$A$64:$E$74,5,FALSE()),"No")="Yes",1,0)</f>
        <v>0</v>
      </c>
      <c r="AI570" s="65" t="n">
        <f aca="false">IF(ISNUMBER(MATCH(D570,Controls!$A$64:$A$74,0)),1,0)</f>
        <v>1</v>
      </c>
      <c r="AJ570" s="65" t="n">
        <f aca="false">Q570-N570</f>
        <v>-18224.3</v>
      </c>
      <c r="AK570" s="65" t="n">
        <f aca="false">IF(AE570=1,MAX(0,N570-Q570),0)</f>
        <v>18224.3</v>
      </c>
      <c r="AL570" s="65" t="n">
        <f aca="false">IF(OR(V570="",V570=0),0,N570/V570)</f>
        <v>0.707061940216852</v>
      </c>
      <c r="AM570" s="65" t="n">
        <f aca="false">IF(OR(V570="",V570=0),0,1)</f>
        <v>1</v>
      </c>
      <c r="AN570" s="65" t="n">
        <f aca="false">IF(OR(E570="",F570=""),0,NETWORKDAYS(E570,F570,Ref!$K$2:$K$42))</f>
        <v>62</v>
      </c>
      <c r="AO570" s="65" t="n">
        <f aca="false">IF(L570="Renewal",1,0)</f>
        <v>0</v>
      </c>
      <c r="AP570" s="65" t="n">
        <f aca="false">AC570*AD570</f>
        <v>0</v>
      </c>
      <c r="AQ570" s="65" t="n">
        <f aca="false">IF(AND(G570&lt;&gt;"",'Historical Score'!$C$6&lt;&gt;""),IF(G570='Historical Score'!$C$6,1,0),0)</f>
        <v>0</v>
      </c>
      <c r="AR570" s="65" t="n">
        <f aca="false">IF(AND(L570&lt;&gt;"",'Historical Score'!$C$5&lt;&gt;""),IF(L570='Historical Score'!$C$5,1,0),0)</f>
        <v>1</v>
      </c>
      <c r="AS570" s="65" t="n">
        <f aca="false">IF(AND(Y570&lt;&gt;"",'Historical Score'!$C$7&lt;&gt;""),IF(Y570='Historical Score'!$C$7,1,0),0)</f>
        <v>0</v>
      </c>
      <c r="AT570" s="65" t="n">
        <f aca="false">IF(AND(K570&lt;&gt;"",'Historical Score'!$C$8&lt;&gt;""),IF(K570='Historical Score'!$C$8,1,0),0)</f>
        <v>0</v>
      </c>
      <c r="AU570" s="65" t="n">
        <f aca="false">IF(AND(J570&lt;&gt;"",'Historical Score'!$C$9&lt;&gt;""),IF(J570='Historical Score'!$C$9,1,0),0)</f>
        <v>0</v>
      </c>
      <c r="AV570" s="65" t="n">
        <f aca="false">AR570*AS570*AQ570</f>
        <v>0</v>
      </c>
      <c r="AW570" s="65" t="n">
        <f aca="false">AR570*AT570*AQ570</f>
        <v>0</v>
      </c>
      <c r="AX570" s="65" t="n">
        <f aca="false">AR570*AS570</f>
        <v>0</v>
      </c>
      <c r="AY570" s="65" t="n">
        <f aca="false">AR570*AT570</f>
        <v>0</v>
      </c>
      <c r="AZ570" s="65" t="n">
        <f aca="false">AR570*AQ570</f>
        <v>0</v>
      </c>
      <c r="BA570" s="65" t="n">
        <f aca="false">AR570</f>
        <v>1</v>
      </c>
      <c r="BB570" s="65" t="n">
        <f aca="false">1</f>
        <v>1</v>
      </c>
      <c r="BC570" s="65" t="n">
        <f aca="false">IF(AV570=1,1,IF(AW570=1,2,IF(AX570=1,3,IF(AY570=1,4,IF(AZ570=1,5,IF(BA570=1,6,7))))))</f>
        <v>6</v>
      </c>
      <c r="BD570" s="65" t="n">
        <f aca="false">IF(AD570=1,CHOOSE('Historical Score'!$C$29,AV570,AW570,AX570,AY570,AZ570,BA570,BB570),0)</f>
        <v>0</v>
      </c>
      <c r="BE570" s="65" t="str">
        <f aca="false">IF(BD570=1,COUNTIF($BD$2:BD570,1),"")</f>
        <v/>
      </c>
    </row>
    <row r="571" customFormat="false" ht="15" hidden="false" customHeight="false" outlineLevel="0" collapsed="false">
      <c r="A571" s="65" t="s">
        <v>2032</v>
      </c>
      <c r="B571" s="65" t="s">
        <v>2033</v>
      </c>
      <c r="C571" s="65" t="s">
        <v>2033</v>
      </c>
      <c r="D571" s="65" t="s">
        <v>340</v>
      </c>
      <c r="E571" s="112" t="n">
        <v>46049</v>
      </c>
      <c r="F571" s="112" t="n">
        <v>46085</v>
      </c>
      <c r="G571" s="65" t="n">
        <v>3</v>
      </c>
      <c r="H571" s="65" t="s">
        <v>409</v>
      </c>
      <c r="I571" s="65" t="s">
        <v>342</v>
      </c>
      <c r="J571" s="65" t="s">
        <v>350</v>
      </c>
      <c r="K571" s="65" t="s">
        <v>55</v>
      </c>
      <c r="L571" s="65" t="s">
        <v>64</v>
      </c>
      <c r="M571" s="113" t="n">
        <v>1.49</v>
      </c>
      <c r="N571" s="114" t="n">
        <v>20000</v>
      </c>
      <c r="O571" s="114" t="n">
        <v>2800</v>
      </c>
      <c r="P571" s="114" t="n">
        <v>29800</v>
      </c>
      <c r="Q571" s="114" t="n">
        <v>5626.49</v>
      </c>
      <c r="R571" s="114" t="n">
        <v>24173.51</v>
      </c>
      <c r="S571" s="115" t="n">
        <v>0.188808389261745</v>
      </c>
      <c r="T571" s="65" t="n">
        <v>2.951</v>
      </c>
      <c r="U571" s="65" t="n">
        <v>8</v>
      </c>
      <c r="V571" s="65" t="n">
        <v>125457.59</v>
      </c>
      <c r="W571" s="115" t="n">
        <v>0.0554</v>
      </c>
      <c r="X571" s="112"/>
      <c r="Y571" s="65" t="str">
        <f aca="false">IF(I571="","No SIC",IFERROR(VLOOKUP(I571,Ref!$A$2:$B$65,2,FALSE()),"Unclassified"))</f>
        <v>Eating &amp; Drinking Places</v>
      </c>
      <c r="Z571" s="65" t="str">
        <f aca="false">IF(T571="","",IF(T571&lt;12,"Daily","Weekly"))</f>
        <v>Daily</v>
      </c>
      <c r="AA571" s="65" t="n">
        <f aca="false">IF(T571="",0,IF(T571&lt;12,T571*Controls!$B$29,T571*5))</f>
        <v>63.903905</v>
      </c>
      <c r="AB571" s="65" t="n">
        <f aca="false">IF(E571="",0,NETWORKDAYS(E571,Controls!$B$36,Ref!$K$2:$K$42))</f>
        <v>148</v>
      </c>
      <c r="AC571" s="65" t="n">
        <f aca="false">IF(AND(AA571&gt;0,AB571&gt;=Controls!$B$39*AA571),1,0)</f>
        <v>1</v>
      </c>
      <c r="AD571" s="65" t="n">
        <f aca="false">IF(AND(E571&lt;&gt;"",E571&gt;=Controls!$B$37,E571&lt;=Controls!$B$38),1,0)</f>
        <v>1</v>
      </c>
      <c r="AE571" s="65" t="n">
        <f aca="false">IF(IFERROR(VLOOKUP(D571,Controls!$A$64:$E$74,2,FALSE()),"No")="Yes",1,0)</f>
        <v>1</v>
      </c>
      <c r="AF571" s="65" t="n">
        <f aca="false">IF(IFERROR(VLOOKUP(D571,Controls!$A$64:$E$74,3,FALSE()),"No")="Yes",1,0)</f>
        <v>0</v>
      </c>
      <c r="AG571" s="65" t="n">
        <f aca="false">IF(IFERROR(VLOOKUP(D571,Controls!$A$64:$E$74,4,FALSE()),"No")="Yes",1,0)</f>
        <v>0</v>
      </c>
      <c r="AH571" s="65" t="n">
        <f aca="false">IF(IFERROR(VLOOKUP(D571,Controls!$A$64:$E$74,5,FALSE()),"No")="Yes",1,0)</f>
        <v>0</v>
      </c>
      <c r="AI571" s="65" t="n">
        <f aca="false">IF(ISNUMBER(MATCH(D571,Controls!$A$64:$A$74,0)),1,0)</f>
        <v>1</v>
      </c>
      <c r="AJ571" s="65" t="n">
        <f aca="false">Q571-N571</f>
        <v>-14373.51</v>
      </c>
      <c r="AK571" s="65" t="n">
        <f aca="false">IF(AE571=1,MAX(0,N571-Q571),0)</f>
        <v>14373.51</v>
      </c>
      <c r="AL571" s="65" t="n">
        <f aca="false">IF(OR(V571="",V571=0),0,N571/V571)</f>
        <v>0.159416421118882</v>
      </c>
      <c r="AM571" s="65" t="n">
        <f aca="false">IF(OR(V571="",V571=0),0,1)</f>
        <v>1</v>
      </c>
      <c r="AN571" s="65" t="n">
        <f aca="false">IF(OR(E571="",F571=""),0,NETWORKDAYS(E571,F571,Ref!$K$2:$K$42))</f>
        <v>26</v>
      </c>
      <c r="AO571" s="65" t="n">
        <f aca="false">IF(L571="Renewal",1,0)</f>
        <v>0</v>
      </c>
      <c r="AP571" s="65" t="n">
        <f aca="false">AC571*AD571</f>
        <v>1</v>
      </c>
      <c r="AQ571" s="65" t="n">
        <f aca="false">IF(AND(G571&lt;&gt;"",'Historical Score'!$C$6&lt;&gt;""),IF(G571='Historical Score'!$C$6,1,0),0)</f>
        <v>0</v>
      </c>
      <c r="AR571" s="65" t="n">
        <f aca="false">IF(AND(L571&lt;&gt;"",'Historical Score'!$C$5&lt;&gt;""),IF(L571='Historical Score'!$C$5,1,0),0)</f>
        <v>1</v>
      </c>
      <c r="AS571" s="65" t="n">
        <f aca="false">IF(AND(Y571&lt;&gt;"",'Historical Score'!$C$7&lt;&gt;""),IF(Y571='Historical Score'!$C$7,1,0),0)</f>
        <v>0</v>
      </c>
      <c r="AT571" s="65" t="n">
        <f aca="false">IF(AND(K571&lt;&gt;"",'Historical Score'!$C$8&lt;&gt;""),IF(K571='Historical Score'!$C$8,1,0),0)</f>
        <v>1</v>
      </c>
      <c r="AU571" s="65" t="n">
        <f aca="false">IF(AND(J571&lt;&gt;"",'Historical Score'!$C$9&lt;&gt;""),IF(J571='Historical Score'!$C$9,1,0),0)</f>
        <v>0</v>
      </c>
      <c r="AV571" s="65" t="n">
        <f aca="false">AR571*AS571*AQ571</f>
        <v>0</v>
      </c>
      <c r="AW571" s="65" t="n">
        <f aca="false">AR571*AT571*AQ571</f>
        <v>0</v>
      </c>
      <c r="AX571" s="65" t="n">
        <f aca="false">AR571*AS571</f>
        <v>0</v>
      </c>
      <c r="AY571" s="65" t="n">
        <f aca="false">AR571*AT571</f>
        <v>1</v>
      </c>
      <c r="AZ571" s="65" t="n">
        <f aca="false">AR571*AQ571</f>
        <v>0</v>
      </c>
      <c r="BA571" s="65" t="n">
        <f aca="false">AR571</f>
        <v>1</v>
      </c>
      <c r="BB571" s="65" t="n">
        <f aca="false">1</f>
        <v>1</v>
      </c>
      <c r="BC571" s="65" t="n">
        <f aca="false">IF(AV571=1,1,IF(AW571=1,2,IF(AX571=1,3,IF(AY571=1,4,IF(AZ571=1,5,IF(BA571=1,6,7))))))</f>
        <v>4</v>
      </c>
      <c r="BD571" s="65" t="n">
        <f aca="false">IF(AD571=1,CHOOSE('Historical Score'!$C$29,AV571,AW571,AX571,AY571,AZ571,BA571,BB571),0)</f>
        <v>0</v>
      </c>
      <c r="BE571" s="65" t="str">
        <f aca="false">IF(BD571=1,COUNTIF($BD$2:BD571,1),"")</f>
        <v/>
      </c>
    </row>
    <row r="572" customFormat="false" ht="15" hidden="false" customHeight="false" outlineLevel="0" collapsed="false">
      <c r="A572" s="65" t="s">
        <v>2034</v>
      </c>
      <c r="B572" s="65" t="s">
        <v>2035</v>
      </c>
      <c r="C572" s="65" t="s">
        <v>2036</v>
      </c>
      <c r="D572" s="65" t="s">
        <v>340</v>
      </c>
      <c r="E572" s="112" t="n">
        <v>46049</v>
      </c>
      <c r="F572" s="112" t="n">
        <v>46069</v>
      </c>
      <c r="G572" s="65" t="n">
        <v>3</v>
      </c>
      <c r="H572" s="65" t="s">
        <v>436</v>
      </c>
      <c r="I572" s="65" t="s">
        <v>437</v>
      </c>
      <c r="J572" s="65" t="s">
        <v>61</v>
      </c>
      <c r="K572" s="65" t="s">
        <v>1948</v>
      </c>
      <c r="L572" s="65" t="s">
        <v>64</v>
      </c>
      <c r="M572" s="113" t="n">
        <v>1.49</v>
      </c>
      <c r="N572" s="114" t="n">
        <v>30000</v>
      </c>
      <c r="O572" s="114" t="n">
        <v>4200</v>
      </c>
      <c r="P572" s="114" t="n">
        <v>44700</v>
      </c>
      <c r="Q572" s="114" t="n">
        <v>4970.44</v>
      </c>
      <c r="R572" s="114" t="n">
        <v>39729.56</v>
      </c>
      <c r="S572" s="115" t="n">
        <v>0.111195525727069</v>
      </c>
      <c r="T572" s="65" t="n">
        <v>18</v>
      </c>
      <c r="U572" s="65" t="n">
        <v>1</v>
      </c>
      <c r="V572" s="65" t="n">
        <v>186158.49</v>
      </c>
      <c r="W572" s="115" t="n">
        <v>0.0534</v>
      </c>
      <c r="X572" s="112" t="n">
        <v>26065</v>
      </c>
      <c r="Y572" s="65" t="str">
        <f aca="false">IF(I572="","No SIC",IFERROR(VLOOKUP(I572,Ref!$A$2:$B$65,2,FALSE()),"Unclassified"))</f>
        <v>Social Services</v>
      </c>
      <c r="Z572" s="65" t="str">
        <f aca="false">IF(T572="","",IF(T572&lt;12,"Daily","Weekly"))</f>
        <v>Weekly</v>
      </c>
      <c r="AA572" s="65" t="n">
        <f aca="false">IF(T572="",0,IF(T572&lt;12,T572*Controls!$B$29,T572*5))</f>
        <v>90</v>
      </c>
      <c r="AB572" s="65" t="n">
        <f aca="false">IF(E572="",0,NETWORKDAYS(E572,Controls!$B$36,Ref!$K$2:$K$42))</f>
        <v>148</v>
      </c>
      <c r="AC572" s="65" t="n">
        <f aca="false">IF(AND(AA572&gt;0,AB572&gt;=Controls!$B$39*AA572),1,0)</f>
        <v>1</v>
      </c>
      <c r="AD572" s="65" t="n">
        <f aca="false">IF(AND(E572&lt;&gt;"",E572&gt;=Controls!$B$37,E572&lt;=Controls!$B$38),1,0)</f>
        <v>1</v>
      </c>
      <c r="AE572" s="65" t="n">
        <f aca="false">IF(IFERROR(VLOOKUP(D572,Controls!$A$64:$E$74,2,FALSE()),"No")="Yes",1,0)</f>
        <v>1</v>
      </c>
      <c r="AF572" s="65" t="n">
        <f aca="false">IF(IFERROR(VLOOKUP(D572,Controls!$A$64:$E$74,3,FALSE()),"No")="Yes",1,0)</f>
        <v>0</v>
      </c>
      <c r="AG572" s="65" t="n">
        <f aca="false">IF(IFERROR(VLOOKUP(D572,Controls!$A$64:$E$74,4,FALSE()),"No")="Yes",1,0)</f>
        <v>0</v>
      </c>
      <c r="AH572" s="65" t="n">
        <f aca="false">IF(IFERROR(VLOOKUP(D572,Controls!$A$64:$E$74,5,FALSE()),"No")="Yes",1,0)</f>
        <v>0</v>
      </c>
      <c r="AI572" s="65" t="n">
        <f aca="false">IF(ISNUMBER(MATCH(D572,Controls!$A$64:$A$74,0)),1,0)</f>
        <v>1</v>
      </c>
      <c r="AJ572" s="65" t="n">
        <f aca="false">Q572-N572</f>
        <v>-25029.56</v>
      </c>
      <c r="AK572" s="65" t="n">
        <f aca="false">IF(AE572=1,MAX(0,N572-Q572),0)</f>
        <v>25029.56</v>
      </c>
      <c r="AL572" s="65" t="n">
        <f aca="false">IF(OR(V572="",V572=0),0,N572/V572)</f>
        <v>0.161153004625252</v>
      </c>
      <c r="AM572" s="65" t="n">
        <f aca="false">IF(OR(V572="",V572=0),0,1)</f>
        <v>1</v>
      </c>
      <c r="AN572" s="65" t="n">
        <f aca="false">IF(OR(E572="",F572=""),0,NETWORKDAYS(E572,F572,Ref!$K$2:$K$42))</f>
        <v>14</v>
      </c>
      <c r="AO572" s="65" t="n">
        <f aca="false">IF(L572="Renewal",1,0)</f>
        <v>0</v>
      </c>
      <c r="AP572" s="65" t="n">
        <f aca="false">AC572*AD572</f>
        <v>1</v>
      </c>
      <c r="AQ572" s="65" t="n">
        <f aca="false">IF(AND(G572&lt;&gt;"",'Historical Score'!$C$6&lt;&gt;""),IF(G572='Historical Score'!$C$6,1,0),0)</f>
        <v>0</v>
      </c>
      <c r="AR572" s="65" t="n">
        <f aca="false">IF(AND(L572&lt;&gt;"",'Historical Score'!$C$5&lt;&gt;""),IF(L572='Historical Score'!$C$5,1,0),0)</f>
        <v>1</v>
      </c>
      <c r="AS572" s="65" t="n">
        <f aca="false">IF(AND(Y572&lt;&gt;"",'Historical Score'!$C$7&lt;&gt;""),IF(Y572='Historical Score'!$C$7,1,0),0)</f>
        <v>0</v>
      </c>
      <c r="AT572" s="65" t="n">
        <f aca="false">IF(AND(K572&lt;&gt;"",'Historical Score'!$C$8&lt;&gt;""),IF(K572='Historical Score'!$C$8,1,0),0)</f>
        <v>0</v>
      </c>
      <c r="AU572" s="65" t="n">
        <f aca="false">IF(AND(J572&lt;&gt;"",'Historical Score'!$C$9&lt;&gt;""),IF(J572='Historical Score'!$C$9,1,0),0)</f>
        <v>1</v>
      </c>
      <c r="AV572" s="65" t="n">
        <f aca="false">AR572*AS572*AQ572</f>
        <v>0</v>
      </c>
      <c r="AW572" s="65" t="n">
        <f aca="false">AR572*AT572*AQ572</f>
        <v>0</v>
      </c>
      <c r="AX572" s="65" t="n">
        <f aca="false">AR572*AS572</f>
        <v>0</v>
      </c>
      <c r="AY572" s="65" t="n">
        <f aca="false">AR572*AT572</f>
        <v>0</v>
      </c>
      <c r="AZ572" s="65" t="n">
        <f aca="false">AR572*AQ572</f>
        <v>0</v>
      </c>
      <c r="BA572" s="65" t="n">
        <f aca="false">AR572</f>
        <v>1</v>
      </c>
      <c r="BB572" s="65" t="n">
        <f aca="false">1</f>
        <v>1</v>
      </c>
      <c r="BC572" s="65" t="n">
        <f aca="false">IF(AV572=1,1,IF(AW572=1,2,IF(AX572=1,3,IF(AY572=1,4,IF(AZ572=1,5,IF(BA572=1,6,7))))))</f>
        <v>6</v>
      </c>
      <c r="BD572" s="65" t="n">
        <f aca="false">IF(AD572=1,CHOOSE('Historical Score'!$C$29,AV572,AW572,AX572,AY572,AZ572,BA572,BB572),0)</f>
        <v>0</v>
      </c>
      <c r="BE572" s="65" t="str">
        <f aca="false">IF(BD572=1,COUNTIF($BD$2:BD572,1),"")</f>
        <v/>
      </c>
    </row>
    <row r="573" customFormat="false" ht="15" hidden="false" customHeight="false" outlineLevel="0" collapsed="false">
      <c r="A573" s="65" t="s">
        <v>2037</v>
      </c>
      <c r="B573" s="65" t="s">
        <v>2038</v>
      </c>
      <c r="C573" s="65" t="s">
        <v>2039</v>
      </c>
      <c r="D573" s="65" t="s">
        <v>295</v>
      </c>
      <c r="E573" s="112" t="n">
        <v>46049</v>
      </c>
      <c r="F573" s="112" t="n">
        <v>46247</v>
      </c>
      <c r="G573" s="65" t="n">
        <v>3</v>
      </c>
      <c r="H573" s="65" t="s">
        <v>409</v>
      </c>
      <c r="I573" s="65" t="s">
        <v>342</v>
      </c>
      <c r="J573" s="65" t="s">
        <v>61</v>
      </c>
      <c r="K573" s="65" t="s">
        <v>1948</v>
      </c>
      <c r="L573" s="65" t="s">
        <v>64</v>
      </c>
      <c r="M573" s="113" t="n">
        <v>1.4</v>
      </c>
      <c r="N573" s="114" t="n">
        <v>25000</v>
      </c>
      <c r="O573" s="114" t="n">
        <v>2375</v>
      </c>
      <c r="P573" s="114" t="n">
        <v>35000</v>
      </c>
      <c r="Q573" s="114" t="n">
        <v>12258.75</v>
      </c>
      <c r="R573" s="114" t="n">
        <v>22741.25</v>
      </c>
      <c r="S573" s="115" t="n">
        <v>0.35025</v>
      </c>
      <c r="T573" s="65" t="n">
        <v>20</v>
      </c>
      <c r="U573" s="65" t="n">
        <v>23</v>
      </c>
      <c r="V573" s="65" t="n">
        <v>60000</v>
      </c>
      <c r="W573" s="115" t="n">
        <v>0.0467</v>
      </c>
      <c r="X573" s="112" t="n">
        <v>43897</v>
      </c>
      <c r="Y573" s="65" t="str">
        <f aca="false">IF(I573="","No SIC",IFERROR(VLOOKUP(I573,Ref!$A$2:$B$65,2,FALSE()),"Unclassified"))</f>
        <v>Eating &amp; Drinking Places</v>
      </c>
      <c r="Z573" s="65" t="str">
        <f aca="false">IF(T573="","",IF(T573&lt;12,"Daily","Weekly"))</f>
        <v>Weekly</v>
      </c>
      <c r="AA573" s="65" t="n">
        <f aca="false">IF(T573="",0,IF(T573&lt;12,T573*Controls!$B$29,T573*5))</f>
        <v>100</v>
      </c>
      <c r="AB573" s="65" t="n">
        <f aca="false">IF(E573="",0,NETWORKDAYS(E573,Controls!$B$36,Ref!$K$2:$K$42))</f>
        <v>148</v>
      </c>
      <c r="AC573" s="65" t="n">
        <f aca="false">IF(AND(AA573&gt;0,AB573&gt;=Controls!$B$39*AA573),1,0)</f>
        <v>1</v>
      </c>
      <c r="AD573" s="65" t="n">
        <f aca="false">IF(AND(E573&lt;&gt;"",E573&gt;=Controls!$B$37,E573&lt;=Controls!$B$38),1,0)</f>
        <v>1</v>
      </c>
      <c r="AE573" s="65" t="n">
        <f aca="false">IF(IFERROR(VLOOKUP(D573,Controls!$A$64:$E$74,2,FALSE()),"No")="Yes",1,0)</f>
        <v>0</v>
      </c>
      <c r="AF573" s="65" t="n">
        <f aca="false">IF(IFERROR(VLOOKUP(D573,Controls!$A$64:$E$74,3,FALSE()),"No")="Yes",1,0)</f>
        <v>0</v>
      </c>
      <c r="AG573" s="65" t="n">
        <f aca="false">IF(IFERROR(VLOOKUP(D573,Controls!$A$64:$E$74,4,FALSE()),"No")="Yes",1,0)</f>
        <v>0</v>
      </c>
      <c r="AH573" s="65" t="n">
        <f aca="false">IF(IFERROR(VLOOKUP(D573,Controls!$A$64:$E$74,5,FALSE()),"No")="Yes",1,0)</f>
        <v>1</v>
      </c>
      <c r="AI573" s="65" t="n">
        <f aca="false">IF(ISNUMBER(MATCH(D573,Controls!$A$64:$A$74,0)),1,0)</f>
        <v>1</v>
      </c>
      <c r="AJ573" s="65" t="n">
        <f aca="false">Q573-N573</f>
        <v>-12741.25</v>
      </c>
      <c r="AK573" s="65" t="n">
        <f aca="false">IF(AE573=1,MAX(0,N573-Q573),0)</f>
        <v>0</v>
      </c>
      <c r="AL573" s="65" t="n">
        <f aca="false">IF(OR(V573="",V573=0),0,N573/V573)</f>
        <v>0.416666666666667</v>
      </c>
      <c r="AM573" s="65" t="n">
        <f aca="false">IF(OR(V573="",V573=0),0,1)</f>
        <v>1</v>
      </c>
      <c r="AN573" s="65" t="n">
        <f aca="false">IF(OR(E573="",F573=""),0,NETWORKDAYS(E573,F573,Ref!$K$2:$K$42))</f>
        <v>140</v>
      </c>
      <c r="AO573" s="65" t="n">
        <f aca="false">IF(L573="Renewal",1,0)</f>
        <v>0</v>
      </c>
      <c r="AP573" s="65" t="n">
        <f aca="false">AC573*AD573</f>
        <v>1</v>
      </c>
      <c r="AQ573" s="65" t="n">
        <f aca="false">IF(AND(G573&lt;&gt;"",'Historical Score'!$C$6&lt;&gt;""),IF(G573='Historical Score'!$C$6,1,0),0)</f>
        <v>0</v>
      </c>
      <c r="AR573" s="65" t="n">
        <f aca="false">IF(AND(L573&lt;&gt;"",'Historical Score'!$C$5&lt;&gt;""),IF(L573='Historical Score'!$C$5,1,0),0)</f>
        <v>1</v>
      </c>
      <c r="AS573" s="65" t="n">
        <f aca="false">IF(AND(Y573&lt;&gt;"",'Historical Score'!$C$7&lt;&gt;""),IF(Y573='Historical Score'!$C$7,1,0),0)</f>
        <v>0</v>
      </c>
      <c r="AT573" s="65" t="n">
        <f aca="false">IF(AND(K573&lt;&gt;"",'Historical Score'!$C$8&lt;&gt;""),IF(K573='Historical Score'!$C$8,1,0),0)</f>
        <v>0</v>
      </c>
      <c r="AU573" s="65" t="n">
        <f aca="false">IF(AND(J573&lt;&gt;"",'Historical Score'!$C$9&lt;&gt;""),IF(J573='Historical Score'!$C$9,1,0),0)</f>
        <v>1</v>
      </c>
      <c r="AV573" s="65" t="n">
        <f aca="false">AR573*AS573*AQ573</f>
        <v>0</v>
      </c>
      <c r="AW573" s="65" t="n">
        <f aca="false">AR573*AT573*AQ573</f>
        <v>0</v>
      </c>
      <c r="AX573" s="65" t="n">
        <f aca="false">AR573*AS573</f>
        <v>0</v>
      </c>
      <c r="AY573" s="65" t="n">
        <f aca="false">AR573*AT573</f>
        <v>0</v>
      </c>
      <c r="AZ573" s="65" t="n">
        <f aca="false">AR573*AQ573</f>
        <v>0</v>
      </c>
      <c r="BA573" s="65" t="n">
        <f aca="false">AR573</f>
        <v>1</v>
      </c>
      <c r="BB573" s="65" t="n">
        <f aca="false">1</f>
        <v>1</v>
      </c>
      <c r="BC573" s="65" t="n">
        <f aca="false">IF(AV573=1,1,IF(AW573=1,2,IF(AX573=1,3,IF(AY573=1,4,IF(AZ573=1,5,IF(BA573=1,6,7))))))</f>
        <v>6</v>
      </c>
      <c r="BD573" s="65" t="n">
        <f aca="false">IF(AD573=1,CHOOSE('Historical Score'!$C$29,AV573,AW573,AX573,AY573,AZ573,BA573,BB573),0)</f>
        <v>0</v>
      </c>
      <c r="BE573" s="65" t="str">
        <f aca="false">IF(BD573=1,COUNTIF($BD$2:BD573,1),"")</f>
        <v/>
      </c>
    </row>
    <row r="574" customFormat="false" ht="15" hidden="false" customHeight="false" outlineLevel="0" collapsed="false">
      <c r="A574" s="65" t="s">
        <v>2040</v>
      </c>
      <c r="B574" s="65" t="s">
        <v>2041</v>
      </c>
      <c r="C574" s="65" t="s">
        <v>2042</v>
      </c>
      <c r="D574" s="65" t="s">
        <v>295</v>
      </c>
      <c r="E574" s="112" t="n">
        <v>46049</v>
      </c>
      <c r="F574" s="112" t="n">
        <v>46248</v>
      </c>
      <c r="G574" s="65" t="n">
        <v>3</v>
      </c>
      <c r="H574" s="65" t="s">
        <v>409</v>
      </c>
      <c r="I574" s="65" t="s">
        <v>342</v>
      </c>
      <c r="J574" s="65" t="s">
        <v>350</v>
      </c>
      <c r="K574" s="65" t="s">
        <v>496</v>
      </c>
      <c r="L574" s="65" t="s">
        <v>64</v>
      </c>
      <c r="M574" s="113" t="n">
        <v>1.45</v>
      </c>
      <c r="N574" s="114" t="n">
        <v>25000</v>
      </c>
      <c r="O574" s="114" t="n">
        <v>3000</v>
      </c>
      <c r="P574" s="114" t="n">
        <v>36250</v>
      </c>
      <c r="Q574" s="114" t="n">
        <v>19632.47</v>
      </c>
      <c r="R574" s="114" t="n">
        <v>16617.53</v>
      </c>
      <c r="S574" s="115" t="n">
        <v>0.541585379310345</v>
      </c>
      <c r="T574" s="65" t="n">
        <v>24</v>
      </c>
      <c r="U574" s="65" t="n">
        <v>15</v>
      </c>
      <c r="V574" s="65" t="n">
        <v>39925.65</v>
      </c>
      <c r="W574" s="115" t="n">
        <v>0.1513</v>
      </c>
      <c r="X574" s="112" t="n">
        <v>42690</v>
      </c>
      <c r="Y574" s="65" t="str">
        <f aca="false">IF(I574="","No SIC",IFERROR(VLOOKUP(I574,Ref!$A$2:$B$65,2,FALSE()),"Unclassified"))</f>
        <v>Eating &amp; Drinking Places</v>
      </c>
      <c r="Z574" s="65" t="str">
        <f aca="false">IF(T574="","",IF(T574&lt;12,"Daily","Weekly"))</f>
        <v>Weekly</v>
      </c>
      <c r="AA574" s="65" t="n">
        <f aca="false">IF(T574="",0,IF(T574&lt;12,T574*Controls!$B$29,T574*5))</f>
        <v>120</v>
      </c>
      <c r="AB574" s="65" t="n">
        <f aca="false">IF(E574="",0,NETWORKDAYS(E574,Controls!$B$36,Ref!$K$2:$K$42))</f>
        <v>148</v>
      </c>
      <c r="AC574" s="65" t="n">
        <f aca="false">IF(AND(AA574&gt;0,AB574&gt;=Controls!$B$39*AA574),1,0)</f>
        <v>0</v>
      </c>
      <c r="AD574" s="65" t="n">
        <f aca="false">IF(AND(E574&lt;&gt;"",E574&gt;=Controls!$B$37,E574&lt;=Controls!$B$38),1,0)</f>
        <v>1</v>
      </c>
      <c r="AE574" s="65" t="n">
        <f aca="false">IF(IFERROR(VLOOKUP(D574,Controls!$A$64:$E$74,2,FALSE()),"No")="Yes",1,0)</f>
        <v>0</v>
      </c>
      <c r="AF574" s="65" t="n">
        <f aca="false">IF(IFERROR(VLOOKUP(D574,Controls!$A$64:$E$74,3,FALSE()),"No")="Yes",1,0)</f>
        <v>0</v>
      </c>
      <c r="AG574" s="65" t="n">
        <f aca="false">IF(IFERROR(VLOOKUP(D574,Controls!$A$64:$E$74,4,FALSE()),"No")="Yes",1,0)</f>
        <v>0</v>
      </c>
      <c r="AH574" s="65" t="n">
        <f aca="false">IF(IFERROR(VLOOKUP(D574,Controls!$A$64:$E$74,5,FALSE()),"No")="Yes",1,0)</f>
        <v>1</v>
      </c>
      <c r="AI574" s="65" t="n">
        <f aca="false">IF(ISNUMBER(MATCH(D574,Controls!$A$64:$A$74,0)),1,0)</f>
        <v>1</v>
      </c>
      <c r="AJ574" s="65" t="n">
        <f aca="false">Q574-N574</f>
        <v>-5367.53</v>
      </c>
      <c r="AK574" s="65" t="n">
        <f aca="false">IF(AE574=1,MAX(0,N574-Q574),0)</f>
        <v>0</v>
      </c>
      <c r="AL574" s="65" t="n">
        <f aca="false">IF(OR(V574="",V574=0),0,N574/V574)</f>
        <v>0.626163882115883</v>
      </c>
      <c r="AM574" s="65" t="n">
        <f aca="false">IF(OR(V574="",V574=0),0,1)</f>
        <v>1</v>
      </c>
      <c r="AN574" s="65" t="n">
        <f aca="false">IF(OR(E574="",F574=""),0,NETWORKDAYS(E574,F574,Ref!$K$2:$K$42))</f>
        <v>141</v>
      </c>
      <c r="AO574" s="65" t="n">
        <f aca="false">IF(L574="Renewal",1,0)</f>
        <v>0</v>
      </c>
      <c r="AP574" s="65" t="n">
        <f aca="false">AC574*AD574</f>
        <v>0</v>
      </c>
      <c r="AQ574" s="65" t="n">
        <f aca="false">IF(AND(G574&lt;&gt;"",'Historical Score'!$C$6&lt;&gt;""),IF(G574='Historical Score'!$C$6,1,0),0)</f>
        <v>0</v>
      </c>
      <c r="AR574" s="65" t="n">
        <f aca="false">IF(AND(L574&lt;&gt;"",'Historical Score'!$C$5&lt;&gt;""),IF(L574='Historical Score'!$C$5,1,0),0)</f>
        <v>1</v>
      </c>
      <c r="AS574" s="65" t="n">
        <f aca="false">IF(AND(Y574&lt;&gt;"",'Historical Score'!$C$7&lt;&gt;""),IF(Y574='Historical Score'!$C$7,1,0),0)</f>
        <v>0</v>
      </c>
      <c r="AT574" s="65" t="n">
        <f aca="false">IF(AND(K574&lt;&gt;"",'Historical Score'!$C$8&lt;&gt;""),IF(K574='Historical Score'!$C$8,1,0),0)</f>
        <v>0</v>
      </c>
      <c r="AU574" s="65" t="n">
        <f aca="false">IF(AND(J574&lt;&gt;"",'Historical Score'!$C$9&lt;&gt;""),IF(J574='Historical Score'!$C$9,1,0),0)</f>
        <v>0</v>
      </c>
      <c r="AV574" s="65" t="n">
        <f aca="false">AR574*AS574*AQ574</f>
        <v>0</v>
      </c>
      <c r="AW574" s="65" t="n">
        <f aca="false">AR574*AT574*AQ574</f>
        <v>0</v>
      </c>
      <c r="AX574" s="65" t="n">
        <f aca="false">AR574*AS574</f>
        <v>0</v>
      </c>
      <c r="AY574" s="65" t="n">
        <f aca="false">AR574*AT574</f>
        <v>0</v>
      </c>
      <c r="AZ574" s="65" t="n">
        <f aca="false">AR574*AQ574</f>
        <v>0</v>
      </c>
      <c r="BA574" s="65" t="n">
        <f aca="false">AR574</f>
        <v>1</v>
      </c>
      <c r="BB574" s="65" t="n">
        <f aca="false">1</f>
        <v>1</v>
      </c>
      <c r="BC574" s="65" t="n">
        <f aca="false">IF(AV574=1,1,IF(AW574=1,2,IF(AX574=1,3,IF(AY574=1,4,IF(AZ574=1,5,IF(BA574=1,6,7))))))</f>
        <v>6</v>
      </c>
      <c r="BD574" s="65" t="n">
        <f aca="false">IF(AD574=1,CHOOSE('Historical Score'!$C$29,AV574,AW574,AX574,AY574,AZ574,BA574,BB574),0)</f>
        <v>0</v>
      </c>
      <c r="BE574" s="65" t="str">
        <f aca="false">IF(BD574=1,COUNTIF($BD$2:BD574,1),"")</f>
        <v/>
      </c>
    </row>
    <row r="575" customFormat="false" ht="15" hidden="false" customHeight="false" outlineLevel="0" collapsed="false">
      <c r="A575" s="65" t="s">
        <v>2043</v>
      </c>
      <c r="B575" s="65" t="s">
        <v>2044</v>
      </c>
      <c r="C575" s="65" t="s">
        <v>2044</v>
      </c>
      <c r="D575" s="65" t="s">
        <v>295</v>
      </c>
      <c r="E575" s="112" t="n">
        <v>46050</v>
      </c>
      <c r="F575" s="112" t="n">
        <v>46253</v>
      </c>
      <c r="G575" s="65" t="n">
        <v>3</v>
      </c>
      <c r="H575" s="65" t="s">
        <v>391</v>
      </c>
      <c r="I575" s="65" t="s">
        <v>392</v>
      </c>
      <c r="J575" s="65" t="s">
        <v>510</v>
      </c>
      <c r="K575" s="65" t="s">
        <v>387</v>
      </c>
      <c r="L575" s="65" t="s">
        <v>64</v>
      </c>
      <c r="M575" s="113" t="n">
        <v>1.49</v>
      </c>
      <c r="N575" s="114" t="n">
        <v>30000</v>
      </c>
      <c r="O575" s="114" t="n">
        <v>4200</v>
      </c>
      <c r="P575" s="114" t="n">
        <v>44700</v>
      </c>
      <c r="Q575" s="114" t="n">
        <v>28163.52</v>
      </c>
      <c r="R575" s="114" t="n">
        <v>16536.48</v>
      </c>
      <c r="S575" s="115" t="n">
        <v>0.630056375838926</v>
      </c>
      <c r="T575" s="65" t="n">
        <v>3.279</v>
      </c>
      <c r="U575" s="65" t="n">
        <v>25</v>
      </c>
      <c r="V575" s="65" t="n">
        <v>123524.26</v>
      </c>
      <c r="W575" s="115" t="n">
        <v>0.076</v>
      </c>
      <c r="X575" s="112" t="n">
        <v>45236</v>
      </c>
      <c r="Y575" s="65" t="str">
        <f aca="false">IF(I575="","No SIC",IFERROR(VLOOKUP(I575,Ref!$A$2:$B$65,2,FALSE()),"Unclassified"))</f>
        <v>Real Estate</v>
      </c>
      <c r="Z575" s="65" t="str">
        <f aca="false">IF(T575="","",IF(T575&lt;12,"Daily","Weekly"))</f>
        <v>Daily</v>
      </c>
      <c r="AA575" s="65" t="n">
        <f aca="false">IF(T575="",0,IF(T575&lt;12,T575*Controls!$B$29,T575*5))</f>
        <v>71.006745</v>
      </c>
      <c r="AB575" s="65" t="n">
        <f aca="false">IF(E575="",0,NETWORKDAYS(E575,Controls!$B$36,Ref!$K$2:$K$42))</f>
        <v>147</v>
      </c>
      <c r="AC575" s="65" t="n">
        <f aca="false">IF(AND(AA575&gt;0,AB575&gt;=Controls!$B$39*AA575),1,0)</f>
        <v>1</v>
      </c>
      <c r="AD575" s="65" t="n">
        <f aca="false">IF(AND(E575&lt;&gt;"",E575&gt;=Controls!$B$37,E575&lt;=Controls!$B$38),1,0)</f>
        <v>1</v>
      </c>
      <c r="AE575" s="65" t="n">
        <f aca="false">IF(IFERROR(VLOOKUP(D575,Controls!$A$64:$E$74,2,FALSE()),"No")="Yes",1,0)</f>
        <v>0</v>
      </c>
      <c r="AF575" s="65" t="n">
        <f aca="false">IF(IFERROR(VLOOKUP(D575,Controls!$A$64:$E$74,3,FALSE()),"No")="Yes",1,0)</f>
        <v>0</v>
      </c>
      <c r="AG575" s="65" t="n">
        <f aca="false">IF(IFERROR(VLOOKUP(D575,Controls!$A$64:$E$74,4,FALSE()),"No")="Yes",1,0)</f>
        <v>0</v>
      </c>
      <c r="AH575" s="65" t="n">
        <f aca="false">IF(IFERROR(VLOOKUP(D575,Controls!$A$64:$E$74,5,FALSE()),"No")="Yes",1,0)</f>
        <v>1</v>
      </c>
      <c r="AI575" s="65" t="n">
        <f aca="false">IF(ISNUMBER(MATCH(D575,Controls!$A$64:$A$74,0)),1,0)</f>
        <v>1</v>
      </c>
      <c r="AJ575" s="65" t="n">
        <f aca="false">Q575-N575</f>
        <v>-1836.48</v>
      </c>
      <c r="AK575" s="65" t="n">
        <f aca="false">IF(AE575=1,MAX(0,N575-Q575),0)</f>
        <v>0</v>
      </c>
      <c r="AL575" s="65" t="n">
        <f aca="false">IF(OR(V575="",V575=0),0,N575/V575)</f>
        <v>0.242867271578879</v>
      </c>
      <c r="AM575" s="65" t="n">
        <f aca="false">IF(OR(V575="",V575=0),0,1)</f>
        <v>1</v>
      </c>
      <c r="AN575" s="65" t="n">
        <f aca="false">IF(OR(E575="",F575=""),0,NETWORKDAYS(E575,F575,Ref!$K$2:$K$42))</f>
        <v>143</v>
      </c>
      <c r="AO575" s="65" t="n">
        <f aca="false">IF(L575="Renewal",1,0)</f>
        <v>0</v>
      </c>
      <c r="AP575" s="65" t="n">
        <f aca="false">AC575*AD575</f>
        <v>1</v>
      </c>
      <c r="AQ575" s="65" t="n">
        <f aca="false">IF(AND(G575&lt;&gt;"",'Historical Score'!$C$6&lt;&gt;""),IF(G575='Historical Score'!$C$6,1,0),0)</f>
        <v>0</v>
      </c>
      <c r="AR575" s="65" t="n">
        <f aca="false">IF(AND(L575&lt;&gt;"",'Historical Score'!$C$5&lt;&gt;""),IF(L575='Historical Score'!$C$5,1,0),0)</f>
        <v>1</v>
      </c>
      <c r="AS575" s="65" t="n">
        <f aca="false">IF(AND(Y575&lt;&gt;"",'Historical Score'!$C$7&lt;&gt;""),IF(Y575='Historical Score'!$C$7,1,0),0)</f>
        <v>0</v>
      </c>
      <c r="AT575" s="65" t="n">
        <f aca="false">IF(AND(K575&lt;&gt;"",'Historical Score'!$C$8&lt;&gt;""),IF(K575='Historical Score'!$C$8,1,0),0)</f>
        <v>0</v>
      </c>
      <c r="AU575" s="65" t="n">
        <f aca="false">IF(AND(J575&lt;&gt;"",'Historical Score'!$C$9&lt;&gt;""),IF(J575='Historical Score'!$C$9,1,0),0)</f>
        <v>0</v>
      </c>
      <c r="AV575" s="65" t="n">
        <f aca="false">AR575*AS575*AQ575</f>
        <v>0</v>
      </c>
      <c r="AW575" s="65" t="n">
        <f aca="false">AR575*AT575*AQ575</f>
        <v>0</v>
      </c>
      <c r="AX575" s="65" t="n">
        <f aca="false">AR575*AS575</f>
        <v>0</v>
      </c>
      <c r="AY575" s="65" t="n">
        <f aca="false">AR575*AT575</f>
        <v>0</v>
      </c>
      <c r="AZ575" s="65" t="n">
        <f aca="false">AR575*AQ575</f>
        <v>0</v>
      </c>
      <c r="BA575" s="65" t="n">
        <f aca="false">AR575</f>
        <v>1</v>
      </c>
      <c r="BB575" s="65" t="n">
        <f aca="false">1</f>
        <v>1</v>
      </c>
      <c r="BC575" s="65" t="n">
        <f aca="false">IF(AV575=1,1,IF(AW575=1,2,IF(AX575=1,3,IF(AY575=1,4,IF(AZ575=1,5,IF(BA575=1,6,7))))))</f>
        <v>6</v>
      </c>
      <c r="BD575" s="65" t="n">
        <f aca="false">IF(AD575=1,CHOOSE('Historical Score'!$C$29,AV575,AW575,AX575,AY575,AZ575,BA575,BB575),0)</f>
        <v>0</v>
      </c>
      <c r="BE575" s="65" t="str">
        <f aca="false">IF(BD575=1,COUNTIF($BD$2:BD575,1),"")</f>
        <v/>
      </c>
    </row>
    <row r="576" customFormat="false" ht="15" hidden="false" customHeight="false" outlineLevel="0" collapsed="false">
      <c r="A576" s="65" t="s">
        <v>2045</v>
      </c>
      <c r="B576" s="65" t="s">
        <v>1475</v>
      </c>
      <c r="C576" s="65" t="s">
        <v>1476</v>
      </c>
      <c r="D576" s="65" t="s">
        <v>959</v>
      </c>
      <c r="E576" s="112" t="n">
        <v>46050</v>
      </c>
      <c r="F576" s="112" t="n">
        <v>46253</v>
      </c>
      <c r="G576" s="65" t="n">
        <v>2</v>
      </c>
      <c r="H576" s="65" t="s">
        <v>1041</v>
      </c>
      <c r="I576" s="65" t="s">
        <v>367</v>
      </c>
      <c r="J576" s="65" t="s">
        <v>350</v>
      </c>
      <c r="K576" s="65" t="s">
        <v>961</v>
      </c>
      <c r="L576" s="65" t="s">
        <v>320</v>
      </c>
      <c r="M576" s="113" t="n">
        <v>1.4</v>
      </c>
      <c r="N576" s="114" t="n">
        <v>30000</v>
      </c>
      <c r="O576" s="114" t="n">
        <v>4200</v>
      </c>
      <c r="P576" s="114" t="n">
        <v>42000</v>
      </c>
      <c r="Q576" s="114" t="n">
        <v>35154.29</v>
      </c>
      <c r="R576" s="114" t="n">
        <v>6845.71</v>
      </c>
      <c r="S576" s="115" t="n">
        <v>0.837006904761905</v>
      </c>
      <c r="T576" s="65" t="n">
        <v>28</v>
      </c>
      <c r="U576" s="65" t="n">
        <v>0</v>
      </c>
      <c r="V576" s="65" t="n">
        <v>59991.65</v>
      </c>
      <c r="W576" s="115" t="n">
        <v>0.1606</v>
      </c>
      <c r="X576" s="112" t="n">
        <v>45170</v>
      </c>
      <c r="Y576" s="65" t="str">
        <f aca="false">IF(I576="","No SIC",IFERROR(VLOOKUP(I576,Ref!$A$2:$B$65,2,FALSE()),"Unclassified"))</f>
        <v>Engineering, Accounting &amp; Management</v>
      </c>
      <c r="Z576" s="65" t="str">
        <f aca="false">IF(T576="","",IF(T576&lt;12,"Daily","Weekly"))</f>
        <v>Weekly</v>
      </c>
      <c r="AA576" s="65" t="n">
        <f aca="false">IF(T576="",0,IF(T576&lt;12,T576*Controls!$B$29,T576*5))</f>
        <v>140</v>
      </c>
      <c r="AB576" s="65" t="n">
        <f aca="false">IF(E576="",0,NETWORKDAYS(E576,Controls!$B$36,Ref!$K$2:$K$42))</f>
        <v>147</v>
      </c>
      <c r="AC576" s="65" t="n">
        <f aca="false">IF(AND(AA576&gt;0,AB576&gt;=Controls!$B$39*AA576),1,0)</f>
        <v>0</v>
      </c>
      <c r="AD576" s="65" t="n">
        <f aca="false">IF(AND(E576&lt;&gt;"",E576&gt;=Controls!$B$37,E576&lt;=Controls!$B$38),1,0)</f>
        <v>1</v>
      </c>
      <c r="AE576" s="65" t="n">
        <f aca="false">IF(IFERROR(VLOOKUP(D576,Controls!$A$64:$E$74,2,FALSE()),"No")="Yes",1,0)</f>
        <v>0</v>
      </c>
      <c r="AF576" s="65" t="n">
        <f aca="false">IF(IFERROR(VLOOKUP(D576,Controls!$A$64:$E$74,3,FALSE()),"No")="Yes",1,0)</f>
        <v>0</v>
      </c>
      <c r="AG576" s="65" t="n">
        <f aca="false">IF(IFERROR(VLOOKUP(D576,Controls!$A$64:$E$74,4,FALSE()),"No")="Yes",1,0)</f>
        <v>0</v>
      </c>
      <c r="AH576" s="65" t="n">
        <f aca="false">IF(IFERROR(VLOOKUP(D576,Controls!$A$64:$E$74,5,FALSE()),"No")="Yes",1,0)</f>
        <v>0</v>
      </c>
      <c r="AI576" s="65" t="n">
        <f aca="false">IF(ISNUMBER(MATCH(D576,Controls!$A$64:$A$74,0)),1,0)</f>
        <v>1</v>
      </c>
      <c r="AJ576" s="65" t="n">
        <f aca="false">Q576-N576</f>
        <v>5154.29</v>
      </c>
      <c r="AK576" s="65" t="n">
        <f aca="false">IF(AE576=1,MAX(0,N576-Q576),0)</f>
        <v>0</v>
      </c>
      <c r="AL576" s="65" t="n">
        <f aca="false">IF(OR(V576="",V576=0),0,N576/V576)</f>
        <v>0.500069593018362</v>
      </c>
      <c r="AM576" s="65" t="n">
        <f aca="false">IF(OR(V576="",V576=0),0,1)</f>
        <v>1</v>
      </c>
      <c r="AN576" s="65" t="n">
        <f aca="false">IF(OR(E576="",F576=""),0,NETWORKDAYS(E576,F576,Ref!$K$2:$K$42))</f>
        <v>143</v>
      </c>
      <c r="AO576" s="65" t="n">
        <f aca="false">IF(L576="Renewal",1,0)</f>
        <v>1</v>
      </c>
      <c r="AP576" s="65" t="n">
        <f aca="false">AC576*AD576</f>
        <v>0</v>
      </c>
      <c r="AQ576" s="65" t="n">
        <f aca="false">IF(AND(G576&lt;&gt;"",'Historical Score'!$C$6&lt;&gt;""),IF(G576='Historical Score'!$C$6,1,0),0)</f>
        <v>1</v>
      </c>
      <c r="AR576" s="65" t="n">
        <f aca="false">IF(AND(L576&lt;&gt;"",'Historical Score'!$C$5&lt;&gt;""),IF(L576='Historical Score'!$C$5,1,0),0)</f>
        <v>0</v>
      </c>
      <c r="AS576" s="65" t="n">
        <f aca="false">IF(AND(Y576&lt;&gt;"",'Historical Score'!$C$7&lt;&gt;""),IF(Y576='Historical Score'!$C$7,1,0),0)</f>
        <v>0</v>
      </c>
      <c r="AT576" s="65" t="n">
        <f aca="false">IF(AND(K576&lt;&gt;"",'Historical Score'!$C$8&lt;&gt;""),IF(K576='Historical Score'!$C$8,1,0),0)</f>
        <v>0</v>
      </c>
      <c r="AU576" s="65" t="n">
        <f aca="false">IF(AND(J576&lt;&gt;"",'Historical Score'!$C$9&lt;&gt;""),IF(J576='Historical Score'!$C$9,1,0),0)</f>
        <v>0</v>
      </c>
      <c r="AV576" s="65" t="n">
        <f aca="false">AR576*AS576*AQ576</f>
        <v>0</v>
      </c>
      <c r="AW576" s="65" t="n">
        <f aca="false">AR576*AT576*AQ576</f>
        <v>0</v>
      </c>
      <c r="AX576" s="65" t="n">
        <f aca="false">AR576*AS576</f>
        <v>0</v>
      </c>
      <c r="AY576" s="65" t="n">
        <f aca="false">AR576*AT576</f>
        <v>0</v>
      </c>
      <c r="AZ576" s="65" t="n">
        <f aca="false">AR576*AQ576</f>
        <v>0</v>
      </c>
      <c r="BA576" s="65" t="n">
        <f aca="false">AR576</f>
        <v>0</v>
      </c>
      <c r="BB576" s="65" t="n">
        <f aca="false">1</f>
        <v>1</v>
      </c>
      <c r="BC576" s="65" t="n">
        <f aca="false">IF(AV576=1,1,IF(AW576=1,2,IF(AX576=1,3,IF(AY576=1,4,IF(AZ576=1,5,IF(BA576=1,6,7))))))</f>
        <v>7</v>
      </c>
      <c r="BD576" s="65" t="n">
        <f aca="false">IF(AD576=1,CHOOSE('Historical Score'!$C$29,AV576,AW576,AX576,AY576,AZ576,BA576,BB576),0)</f>
        <v>0</v>
      </c>
      <c r="BE576" s="65" t="str">
        <f aca="false">IF(BD576=1,COUNTIF($BD$2:BD576,1),"")</f>
        <v/>
      </c>
    </row>
    <row r="577" customFormat="false" ht="15" hidden="false" customHeight="false" outlineLevel="0" collapsed="false">
      <c r="A577" s="65" t="s">
        <v>2046</v>
      </c>
      <c r="B577" s="65" t="s">
        <v>2047</v>
      </c>
      <c r="C577" s="65" t="s">
        <v>2048</v>
      </c>
      <c r="D577" s="65" t="s">
        <v>347</v>
      </c>
      <c r="E577" s="112" t="n">
        <v>46050</v>
      </c>
      <c r="F577" s="112" t="n">
        <v>46125</v>
      </c>
      <c r="G577" s="65" t="n">
        <v>3</v>
      </c>
      <c r="H577" s="65" t="s">
        <v>2049</v>
      </c>
      <c r="I577" s="65" t="s">
        <v>1433</v>
      </c>
      <c r="J577" s="65" t="s">
        <v>1306</v>
      </c>
      <c r="K577" s="65" t="s">
        <v>411</v>
      </c>
      <c r="L577" s="65" t="s">
        <v>64</v>
      </c>
      <c r="M577" s="113" t="n">
        <v>1.4</v>
      </c>
      <c r="N577" s="114" t="n">
        <v>30000</v>
      </c>
      <c r="O577" s="114" t="n">
        <v>0</v>
      </c>
      <c r="P577" s="114" t="n">
        <v>42000</v>
      </c>
      <c r="Q577" s="114" t="n">
        <v>988.62</v>
      </c>
      <c r="R577" s="114" t="n">
        <v>41011.38</v>
      </c>
      <c r="S577" s="115" t="n">
        <v>0.0235385714285714</v>
      </c>
      <c r="T577" s="65" t="n">
        <v>2.787</v>
      </c>
      <c r="U577" s="65" t="n">
        <v>46</v>
      </c>
      <c r="V577" s="65" t="n">
        <v>174168.83</v>
      </c>
      <c r="W577" s="115" t="n">
        <v>0.0596</v>
      </c>
      <c r="X577" s="112" t="n">
        <v>44348</v>
      </c>
      <c r="Y577" s="65" t="str">
        <f aca="false">IF(I577="","No SIC",IFERROR(VLOOKUP(I577,Ref!$A$2:$B$65,2,FALSE()),"Unclassified"))</f>
        <v>Membership Organizations</v>
      </c>
      <c r="Z577" s="65" t="str">
        <f aca="false">IF(T577="","",IF(T577&lt;12,"Daily","Weekly"))</f>
        <v>Daily</v>
      </c>
      <c r="AA577" s="65" t="n">
        <f aca="false">IF(T577="",0,IF(T577&lt;12,T577*Controls!$B$29,T577*5))</f>
        <v>60.352485</v>
      </c>
      <c r="AB577" s="65" t="n">
        <f aca="false">IF(E577="",0,NETWORKDAYS(E577,Controls!$B$36,Ref!$K$2:$K$42))</f>
        <v>147</v>
      </c>
      <c r="AC577" s="65" t="n">
        <f aca="false">IF(AND(AA577&gt;0,AB577&gt;=Controls!$B$39*AA577),1,0)</f>
        <v>1</v>
      </c>
      <c r="AD577" s="65" t="n">
        <f aca="false">IF(AND(E577&lt;&gt;"",E577&gt;=Controls!$B$37,E577&lt;=Controls!$B$38),1,0)</f>
        <v>1</v>
      </c>
      <c r="AE577" s="65" t="n">
        <f aca="false">IF(IFERROR(VLOOKUP(D577,Controls!$A$64:$E$74,2,FALSE()),"No")="Yes",1,0)</f>
        <v>1</v>
      </c>
      <c r="AF577" s="65" t="n">
        <f aca="false">IF(IFERROR(VLOOKUP(D577,Controls!$A$64:$E$74,3,FALSE()),"No")="Yes",1,0)</f>
        <v>1</v>
      </c>
      <c r="AG577" s="65" t="n">
        <f aca="false">IF(IFERROR(VLOOKUP(D577,Controls!$A$64:$E$74,4,FALSE()),"No")="Yes",1,0)</f>
        <v>0</v>
      </c>
      <c r="AH577" s="65" t="n">
        <f aca="false">IF(IFERROR(VLOOKUP(D577,Controls!$A$64:$E$74,5,FALSE()),"No")="Yes",1,0)</f>
        <v>0</v>
      </c>
      <c r="AI577" s="65" t="n">
        <f aca="false">IF(ISNUMBER(MATCH(D577,Controls!$A$64:$A$74,0)),1,0)</f>
        <v>1</v>
      </c>
      <c r="AJ577" s="65" t="n">
        <f aca="false">Q577-N577</f>
        <v>-29011.38</v>
      </c>
      <c r="AK577" s="65" t="n">
        <f aca="false">IF(AE577=1,MAX(0,N577-Q577),0)</f>
        <v>29011.38</v>
      </c>
      <c r="AL577" s="65" t="n">
        <f aca="false">IF(OR(V577="",V577=0),0,N577/V577)</f>
        <v>0.172246664342868</v>
      </c>
      <c r="AM577" s="65" t="n">
        <f aca="false">IF(OR(V577="",V577=0),0,1)</f>
        <v>1</v>
      </c>
      <c r="AN577" s="65" t="n">
        <f aca="false">IF(OR(E577="",F577=""),0,NETWORKDAYS(E577,F577,Ref!$K$2:$K$42))</f>
        <v>53</v>
      </c>
      <c r="AO577" s="65" t="n">
        <f aca="false">IF(L577="Renewal",1,0)</f>
        <v>0</v>
      </c>
      <c r="AP577" s="65" t="n">
        <f aca="false">AC577*AD577</f>
        <v>1</v>
      </c>
      <c r="AQ577" s="65" t="n">
        <f aca="false">IF(AND(G577&lt;&gt;"",'Historical Score'!$C$6&lt;&gt;""),IF(G577='Historical Score'!$C$6,1,0),0)</f>
        <v>0</v>
      </c>
      <c r="AR577" s="65" t="n">
        <f aca="false">IF(AND(L577&lt;&gt;"",'Historical Score'!$C$5&lt;&gt;""),IF(L577='Historical Score'!$C$5,1,0),0)</f>
        <v>1</v>
      </c>
      <c r="AS577" s="65" t="n">
        <f aca="false">IF(AND(Y577&lt;&gt;"",'Historical Score'!$C$7&lt;&gt;""),IF(Y577='Historical Score'!$C$7,1,0),0)</f>
        <v>0</v>
      </c>
      <c r="AT577" s="65" t="n">
        <f aca="false">IF(AND(K577&lt;&gt;"",'Historical Score'!$C$8&lt;&gt;""),IF(K577='Historical Score'!$C$8,1,0),0)</f>
        <v>0</v>
      </c>
      <c r="AU577" s="65" t="n">
        <f aca="false">IF(AND(J577&lt;&gt;"",'Historical Score'!$C$9&lt;&gt;""),IF(J577='Historical Score'!$C$9,1,0),0)</f>
        <v>0</v>
      </c>
      <c r="AV577" s="65" t="n">
        <f aca="false">AR577*AS577*AQ577</f>
        <v>0</v>
      </c>
      <c r="AW577" s="65" t="n">
        <f aca="false">AR577*AT577*AQ577</f>
        <v>0</v>
      </c>
      <c r="AX577" s="65" t="n">
        <f aca="false">AR577*AS577</f>
        <v>0</v>
      </c>
      <c r="AY577" s="65" t="n">
        <f aca="false">AR577*AT577</f>
        <v>0</v>
      </c>
      <c r="AZ577" s="65" t="n">
        <f aca="false">AR577*AQ577</f>
        <v>0</v>
      </c>
      <c r="BA577" s="65" t="n">
        <f aca="false">AR577</f>
        <v>1</v>
      </c>
      <c r="BB577" s="65" t="n">
        <f aca="false">1</f>
        <v>1</v>
      </c>
      <c r="BC577" s="65" t="n">
        <f aca="false">IF(AV577=1,1,IF(AW577=1,2,IF(AX577=1,3,IF(AY577=1,4,IF(AZ577=1,5,IF(BA577=1,6,7))))))</f>
        <v>6</v>
      </c>
      <c r="BD577" s="65" t="n">
        <f aca="false">IF(AD577=1,CHOOSE('Historical Score'!$C$29,AV577,AW577,AX577,AY577,AZ577,BA577,BB577),0)</f>
        <v>0</v>
      </c>
      <c r="BE577" s="65" t="str">
        <f aca="false">IF(BD577=1,COUNTIF($BD$2:BD577,1),"")</f>
        <v/>
      </c>
    </row>
    <row r="578" customFormat="false" ht="15" hidden="false" customHeight="false" outlineLevel="0" collapsed="false">
      <c r="A578" s="65" t="s">
        <v>2050</v>
      </c>
      <c r="B578" s="65" t="s">
        <v>2051</v>
      </c>
      <c r="C578" s="65" t="s">
        <v>2051</v>
      </c>
      <c r="D578" s="65" t="s">
        <v>959</v>
      </c>
      <c r="E578" s="112" t="n">
        <v>46050</v>
      </c>
      <c r="F578" s="112" t="n">
        <v>46248</v>
      </c>
      <c r="G578" s="65" t="n">
        <v>3</v>
      </c>
      <c r="H578" s="65" t="s">
        <v>372</v>
      </c>
      <c r="I578" s="65" t="s">
        <v>367</v>
      </c>
      <c r="J578" s="65" t="s">
        <v>373</v>
      </c>
      <c r="K578" s="65" t="s">
        <v>55</v>
      </c>
      <c r="L578" s="65" t="s">
        <v>64</v>
      </c>
      <c r="M578" s="113" t="n">
        <v>1.37</v>
      </c>
      <c r="N578" s="114" t="n">
        <v>30000</v>
      </c>
      <c r="O578" s="114" t="n">
        <v>2400</v>
      </c>
      <c r="P578" s="114" t="n">
        <v>41100</v>
      </c>
      <c r="Q578" s="114" t="n">
        <v>19181.07</v>
      </c>
      <c r="R578" s="114" t="n">
        <v>21918.93</v>
      </c>
      <c r="S578" s="115" t="n">
        <v>0.466692700729927</v>
      </c>
      <c r="T578" s="65" t="n">
        <v>26</v>
      </c>
      <c r="U578" s="65" t="n">
        <v>5</v>
      </c>
      <c r="V578" s="65" t="n">
        <v>120245.69</v>
      </c>
      <c r="W578" s="115" t="n">
        <v>0.0526</v>
      </c>
      <c r="X578" s="112"/>
      <c r="Y578" s="65" t="str">
        <f aca="false">IF(I578="","No SIC",IFERROR(VLOOKUP(I578,Ref!$A$2:$B$65,2,FALSE()),"Unclassified"))</f>
        <v>Engineering, Accounting &amp; Management</v>
      </c>
      <c r="Z578" s="65" t="str">
        <f aca="false">IF(T578="","",IF(T578&lt;12,"Daily","Weekly"))</f>
        <v>Weekly</v>
      </c>
      <c r="AA578" s="65" t="n">
        <f aca="false">IF(T578="",0,IF(T578&lt;12,T578*Controls!$B$29,T578*5))</f>
        <v>130</v>
      </c>
      <c r="AB578" s="65" t="n">
        <f aca="false">IF(E578="",0,NETWORKDAYS(E578,Controls!$B$36,Ref!$K$2:$K$42))</f>
        <v>147</v>
      </c>
      <c r="AC578" s="65" t="n">
        <f aca="false">IF(AND(AA578&gt;0,AB578&gt;=Controls!$B$39*AA578),1,0)</f>
        <v>0</v>
      </c>
      <c r="AD578" s="65" t="n">
        <f aca="false">IF(AND(E578&lt;&gt;"",E578&gt;=Controls!$B$37,E578&lt;=Controls!$B$38),1,0)</f>
        <v>1</v>
      </c>
      <c r="AE578" s="65" t="n">
        <f aca="false">IF(IFERROR(VLOOKUP(D578,Controls!$A$64:$E$74,2,FALSE()),"No")="Yes",1,0)</f>
        <v>0</v>
      </c>
      <c r="AF578" s="65" t="n">
        <f aca="false">IF(IFERROR(VLOOKUP(D578,Controls!$A$64:$E$74,3,FALSE()),"No")="Yes",1,0)</f>
        <v>0</v>
      </c>
      <c r="AG578" s="65" t="n">
        <f aca="false">IF(IFERROR(VLOOKUP(D578,Controls!$A$64:$E$74,4,FALSE()),"No")="Yes",1,0)</f>
        <v>0</v>
      </c>
      <c r="AH578" s="65" t="n">
        <f aca="false">IF(IFERROR(VLOOKUP(D578,Controls!$A$64:$E$74,5,FALSE()),"No")="Yes",1,0)</f>
        <v>0</v>
      </c>
      <c r="AI578" s="65" t="n">
        <f aca="false">IF(ISNUMBER(MATCH(D578,Controls!$A$64:$A$74,0)),1,0)</f>
        <v>1</v>
      </c>
      <c r="AJ578" s="65" t="n">
        <f aca="false">Q578-N578</f>
        <v>-10818.93</v>
      </c>
      <c r="AK578" s="65" t="n">
        <f aca="false">IF(AE578=1,MAX(0,N578-Q578),0)</f>
        <v>0</v>
      </c>
      <c r="AL578" s="65" t="n">
        <f aca="false">IF(OR(V578="",V578=0),0,N578/V578)</f>
        <v>0.24948919167082</v>
      </c>
      <c r="AM578" s="65" t="n">
        <f aca="false">IF(OR(V578="",V578=0),0,1)</f>
        <v>1</v>
      </c>
      <c r="AN578" s="65" t="n">
        <f aca="false">IF(OR(E578="",F578=""),0,NETWORKDAYS(E578,F578,Ref!$K$2:$K$42))</f>
        <v>140</v>
      </c>
      <c r="AO578" s="65" t="n">
        <f aca="false">IF(L578="Renewal",1,0)</f>
        <v>0</v>
      </c>
      <c r="AP578" s="65" t="n">
        <f aca="false">AC578*AD578</f>
        <v>0</v>
      </c>
      <c r="AQ578" s="65" t="n">
        <f aca="false">IF(AND(G578&lt;&gt;"",'Historical Score'!$C$6&lt;&gt;""),IF(G578='Historical Score'!$C$6,1,0),0)</f>
        <v>0</v>
      </c>
      <c r="AR578" s="65" t="n">
        <f aca="false">IF(AND(L578&lt;&gt;"",'Historical Score'!$C$5&lt;&gt;""),IF(L578='Historical Score'!$C$5,1,0),0)</f>
        <v>1</v>
      </c>
      <c r="AS578" s="65" t="n">
        <f aca="false">IF(AND(Y578&lt;&gt;"",'Historical Score'!$C$7&lt;&gt;""),IF(Y578='Historical Score'!$C$7,1,0),0)</f>
        <v>0</v>
      </c>
      <c r="AT578" s="65" t="n">
        <f aca="false">IF(AND(K578&lt;&gt;"",'Historical Score'!$C$8&lt;&gt;""),IF(K578='Historical Score'!$C$8,1,0),0)</f>
        <v>1</v>
      </c>
      <c r="AU578" s="65" t="n">
        <f aca="false">IF(AND(J578&lt;&gt;"",'Historical Score'!$C$9&lt;&gt;""),IF(J578='Historical Score'!$C$9,1,0),0)</f>
        <v>0</v>
      </c>
      <c r="AV578" s="65" t="n">
        <f aca="false">AR578*AS578*AQ578</f>
        <v>0</v>
      </c>
      <c r="AW578" s="65" t="n">
        <f aca="false">AR578*AT578*AQ578</f>
        <v>0</v>
      </c>
      <c r="AX578" s="65" t="n">
        <f aca="false">AR578*AS578</f>
        <v>0</v>
      </c>
      <c r="AY578" s="65" t="n">
        <f aca="false">AR578*AT578</f>
        <v>1</v>
      </c>
      <c r="AZ578" s="65" t="n">
        <f aca="false">AR578*AQ578</f>
        <v>0</v>
      </c>
      <c r="BA578" s="65" t="n">
        <f aca="false">AR578</f>
        <v>1</v>
      </c>
      <c r="BB578" s="65" t="n">
        <f aca="false">1</f>
        <v>1</v>
      </c>
      <c r="BC578" s="65" t="n">
        <f aca="false">IF(AV578=1,1,IF(AW578=1,2,IF(AX578=1,3,IF(AY578=1,4,IF(AZ578=1,5,IF(BA578=1,6,7))))))</f>
        <v>4</v>
      </c>
      <c r="BD578" s="65" t="n">
        <f aca="false">IF(AD578=1,CHOOSE('Historical Score'!$C$29,AV578,AW578,AX578,AY578,AZ578,BA578,BB578),0)</f>
        <v>0</v>
      </c>
      <c r="BE578" s="65" t="str">
        <f aca="false">IF(BD578=1,COUNTIF($BD$2:BD578,1),"")</f>
        <v/>
      </c>
    </row>
    <row r="579" customFormat="false" ht="15" hidden="false" customHeight="false" outlineLevel="0" collapsed="false">
      <c r="A579" s="65" t="s">
        <v>2052</v>
      </c>
      <c r="B579" s="65" t="s">
        <v>2053</v>
      </c>
      <c r="C579" s="65" t="s">
        <v>2053</v>
      </c>
      <c r="D579" s="65" t="s">
        <v>295</v>
      </c>
      <c r="E579" s="112" t="n">
        <v>46051</v>
      </c>
      <c r="F579" s="112" t="n">
        <v>46253</v>
      </c>
      <c r="G579" s="65" t="n">
        <v>2</v>
      </c>
      <c r="H579" s="65" t="s">
        <v>2054</v>
      </c>
      <c r="I579" s="65" t="s">
        <v>2055</v>
      </c>
      <c r="J579" s="65" t="s">
        <v>373</v>
      </c>
      <c r="K579" s="65" t="s">
        <v>581</v>
      </c>
      <c r="L579" s="65" t="s">
        <v>64</v>
      </c>
      <c r="M579" s="113" t="n">
        <v>1.49</v>
      </c>
      <c r="N579" s="114" t="n">
        <v>15000</v>
      </c>
      <c r="O579" s="114" t="n">
        <v>2100</v>
      </c>
      <c r="P579" s="114" t="n">
        <v>22350</v>
      </c>
      <c r="Q579" s="114" t="n">
        <v>8678.7</v>
      </c>
      <c r="R579" s="114" t="n">
        <v>13671.3</v>
      </c>
      <c r="S579" s="115" t="n">
        <v>0.388308724832215</v>
      </c>
      <c r="T579" s="65" t="n">
        <v>22</v>
      </c>
      <c r="U579" s="65" t="n">
        <v>56</v>
      </c>
      <c r="V579" s="65" t="n">
        <v>78435.88</v>
      </c>
      <c r="W579" s="115" t="n">
        <v>0.0518</v>
      </c>
      <c r="X579" s="112" t="n">
        <v>45616</v>
      </c>
      <c r="Y579" s="65" t="str">
        <f aca="false">IF(I579="","No SIC",IFERROR(VLOOKUP(I579,Ref!$A$2:$B$65,2,FALSE()),"Unclassified"))</f>
        <v>Water Transportation</v>
      </c>
      <c r="Z579" s="65" t="str">
        <f aca="false">IF(T579="","",IF(T579&lt;12,"Daily","Weekly"))</f>
        <v>Weekly</v>
      </c>
      <c r="AA579" s="65" t="n">
        <f aca="false">IF(T579="",0,IF(T579&lt;12,T579*Controls!$B$29,T579*5))</f>
        <v>110</v>
      </c>
      <c r="AB579" s="65" t="n">
        <f aca="false">IF(E579="",0,NETWORKDAYS(E579,Controls!$B$36,Ref!$K$2:$K$42))</f>
        <v>146</v>
      </c>
      <c r="AC579" s="65" t="n">
        <f aca="false">IF(AND(AA579&gt;0,AB579&gt;=Controls!$B$39*AA579),1,0)</f>
        <v>1</v>
      </c>
      <c r="AD579" s="65" t="n">
        <f aca="false">IF(AND(E579&lt;&gt;"",E579&gt;=Controls!$B$37,E579&lt;=Controls!$B$38),1,0)</f>
        <v>1</v>
      </c>
      <c r="AE579" s="65" t="n">
        <f aca="false">IF(IFERROR(VLOOKUP(D579,Controls!$A$64:$E$74,2,FALSE()),"No")="Yes",1,0)</f>
        <v>0</v>
      </c>
      <c r="AF579" s="65" t="n">
        <f aca="false">IF(IFERROR(VLOOKUP(D579,Controls!$A$64:$E$74,3,FALSE()),"No")="Yes",1,0)</f>
        <v>0</v>
      </c>
      <c r="AG579" s="65" t="n">
        <f aca="false">IF(IFERROR(VLOOKUP(D579,Controls!$A$64:$E$74,4,FALSE()),"No")="Yes",1,0)</f>
        <v>0</v>
      </c>
      <c r="AH579" s="65" t="n">
        <f aca="false">IF(IFERROR(VLOOKUP(D579,Controls!$A$64:$E$74,5,FALSE()),"No")="Yes",1,0)</f>
        <v>1</v>
      </c>
      <c r="AI579" s="65" t="n">
        <f aca="false">IF(ISNUMBER(MATCH(D579,Controls!$A$64:$A$74,0)),1,0)</f>
        <v>1</v>
      </c>
      <c r="AJ579" s="65" t="n">
        <f aca="false">Q579-N579</f>
        <v>-6321.3</v>
      </c>
      <c r="AK579" s="65" t="n">
        <f aca="false">IF(AE579=1,MAX(0,N579-Q579),0)</f>
        <v>0</v>
      </c>
      <c r="AL579" s="65" t="n">
        <f aca="false">IF(OR(V579="",V579=0),0,N579/V579)</f>
        <v>0.191239009494124</v>
      </c>
      <c r="AM579" s="65" t="n">
        <f aca="false">IF(OR(V579="",V579=0),0,1)</f>
        <v>1</v>
      </c>
      <c r="AN579" s="65" t="n">
        <f aca="false">IF(OR(E579="",F579=""),0,NETWORKDAYS(E579,F579,Ref!$K$2:$K$42))</f>
        <v>142</v>
      </c>
      <c r="AO579" s="65" t="n">
        <f aca="false">IF(L579="Renewal",1,0)</f>
        <v>0</v>
      </c>
      <c r="AP579" s="65" t="n">
        <f aca="false">AC579*AD579</f>
        <v>1</v>
      </c>
      <c r="AQ579" s="65" t="n">
        <f aca="false">IF(AND(G579&lt;&gt;"",'Historical Score'!$C$6&lt;&gt;""),IF(G579='Historical Score'!$C$6,1,0),0)</f>
        <v>1</v>
      </c>
      <c r="AR579" s="65" t="n">
        <f aca="false">IF(AND(L579&lt;&gt;"",'Historical Score'!$C$5&lt;&gt;""),IF(L579='Historical Score'!$C$5,1,0),0)</f>
        <v>1</v>
      </c>
      <c r="AS579" s="65" t="n">
        <f aca="false">IF(AND(Y579&lt;&gt;"",'Historical Score'!$C$7&lt;&gt;""),IF(Y579='Historical Score'!$C$7,1,0),0)</f>
        <v>0</v>
      </c>
      <c r="AT579" s="65" t="n">
        <f aca="false">IF(AND(K579&lt;&gt;"",'Historical Score'!$C$8&lt;&gt;""),IF(K579='Historical Score'!$C$8,1,0),0)</f>
        <v>0</v>
      </c>
      <c r="AU579" s="65" t="n">
        <f aca="false">IF(AND(J579&lt;&gt;"",'Historical Score'!$C$9&lt;&gt;""),IF(J579='Historical Score'!$C$9,1,0),0)</f>
        <v>0</v>
      </c>
      <c r="AV579" s="65" t="n">
        <f aca="false">AR579*AS579*AQ579</f>
        <v>0</v>
      </c>
      <c r="AW579" s="65" t="n">
        <f aca="false">AR579*AT579*AQ579</f>
        <v>0</v>
      </c>
      <c r="AX579" s="65" t="n">
        <f aca="false">AR579*AS579</f>
        <v>0</v>
      </c>
      <c r="AY579" s="65" t="n">
        <f aca="false">AR579*AT579</f>
        <v>0</v>
      </c>
      <c r="AZ579" s="65" t="n">
        <f aca="false">AR579*AQ579</f>
        <v>1</v>
      </c>
      <c r="BA579" s="65" t="n">
        <f aca="false">AR579</f>
        <v>1</v>
      </c>
      <c r="BB579" s="65" t="n">
        <f aca="false">1</f>
        <v>1</v>
      </c>
      <c r="BC579" s="65" t="n">
        <f aca="false">IF(AV579=1,1,IF(AW579=1,2,IF(AX579=1,3,IF(AY579=1,4,IF(AZ579=1,5,IF(BA579=1,6,7))))))</f>
        <v>5</v>
      </c>
      <c r="BD579" s="65" t="n">
        <f aca="false">IF(AD579=1,CHOOSE('Historical Score'!$C$29,AV579,AW579,AX579,AY579,AZ579,BA579,BB579),0)</f>
        <v>0</v>
      </c>
      <c r="BE579" s="65" t="str">
        <f aca="false">IF(BD579=1,COUNTIF($BD$2:BD579,1),"")</f>
        <v/>
      </c>
    </row>
    <row r="580" customFormat="false" ht="15" hidden="false" customHeight="false" outlineLevel="0" collapsed="false">
      <c r="A580" s="65" t="s">
        <v>2056</v>
      </c>
      <c r="B580" s="65" t="s">
        <v>2057</v>
      </c>
      <c r="C580" s="65" t="s">
        <v>2058</v>
      </c>
      <c r="D580" s="65" t="s">
        <v>295</v>
      </c>
      <c r="E580" s="112" t="n">
        <v>46051</v>
      </c>
      <c r="F580" s="112" t="n">
        <v>46248</v>
      </c>
      <c r="G580" s="65" t="n">
        <v>1</v>
      </c>
      <c r="H580" s="65" t="s">
        <v>2059</v>
      </c>
      <c r="I580" s="65" t="s">
        <v>2060</v>
      </c>
      <c r="J580" s="65" t="s">
        <v>452</v>
      </c>
      <c r="K580" s="65" t="s">
        <v>363</v>
      </c>
      <c r="L580" s="65" t="s">
        <v>64</v>
      </c>
      <c r="M580" s="113" t="n">
        <v>1.44</v>
      </c>
      <c r="N580" s="114" t="n">
        <v>15000</v>
      </c>
      <c r="O580" s="114" t="n">
        <v>1725</v>
      </c>
      <c r="P580" s="114" t="n">
        <v>21600</v>
      </c>
      <c r="Q580" s="114" t="n">
        <v>13751.64</v>
      </c>
      <c r="R580" s="114" t="n">
        <v>7848.36</v>
      </c>
      <c r="S580" s="115" t="n">
        <v>0.63665</v>
      </c>
      <c r="T580" s="65" t="n">
        <v>44</v>
      </c>
      <c r="U580" s="65" t="n">
        <v>0</v>
      </c>
      <c r="V580" s="65" t="n">
        <v>31482.51</v>
      </c>
      <c r="W580" s="115" t="n">
        <v>0.0624</v>
      </c>
      <c r="X580" s="112" t="n">
        <v>37773</v>
      </c>
      <c r="Y580" s="65" t="str">
        <f aca="false">IF(I580="","No SIC",IFERROR(VLOOKUP(I580,Ref!$A$2:$B$65,2,FALSE()),"Unclassified"))</f>
        <v>Furniture &amp; Home Furnishings Stores</v>
      </c>
      <c r="Z580" s="65" t="str">
        <f aca="false">IF(T580="","",IF(T580&lt;12,"Daily","Weekly"))</f>
        <v>Weekly</v>
      </c>
      <c r="AA580" s="65" t="n">
        <f aca="false">IF(T580="",0,IF(T580&lt;12,T580*Controls!$B$29,T580*5))</f>
        <v>220</v>
      </c>
      <c r="AB580" s="65" t="n">
        <f aca="false">IF(E580="",0,NETWORKDAYS(E580,Controls!$B$36,Ref!$K$2:$K$42))</f>
        <v>146</v>
      </c>
      <c r="AC580" s="65" t="n">
        <f aca="false">IF(AND(AA580&gt;0,AB580&gt;=Controls!$B$39*AA580),1,0)</f>
        <v>0</v>
      </c>
      <c r="AD580" s="65" t="n">
        <f aca="false">IF(AND(E580&lt;&gt;"",E580&gt;=Controls!$B$37,E580&lt;=Controls!$B$38),1,0)</f>
        <v>1</v>
      </c>
      <c r="AE580" s="65" t="n">
        <f aca="false">IF(IFERROR(VLOOKUP(D580,Controls!$A$64:$E$74,2,FALSE()),"No")="Yes",1,0)</f>
        <v>0</v>
      </c>
      <c r="AF580" s="65" t="n">
        <f aca="false">IF(IFERROR(VLOOKUP(D580,Controls!$A$64:$E$74,3,FALSE()),"No")="Yes",1,0)</f>
        <v>0</v>
      </c>
      <c r="AG580" s="65" t="n">
        <f aca="false">IF(IFERROR(VLOOKUP(D580,Controls!$A$64:$E$74,4,FALSE()),"No")="Yes",1,0)</f>
        <v>0</v>
      </c>
      <c r="AH580" s="65" t="n">
        <f aca="false">IF(IFERROR(VLOOKUP(D580,Controls!$A$64:$E$74,5,FALSE()),"No")="Yes",1,0)</f>
        <v>1</v>
      </c>
      <c r="AI580" s="65" t="n">
        <f aca="false">IF(ISNUMBER(MATCH(D580,Controls!$A$64:$A$74,0)),1,0)</f>
        <v>1</v>
      </c>
      <c r="AJ580" s="65" t="n">
        <f aca="false">Q580-N580</f>
        <v>-1248.36</v>
      </c>
      <c r="AK580" s="65" t="n">
        <f aca="false">IF(AE580=1,MAX(0,N580-Q580),0)</f>
        <v>0</v>
      </c>
      <c r="AL580" s="65" t="n">
        <f aca="false">IF(OR(V580="",V580=0),0,N580/V580)</f>
        <v>0.476455022169452</v>
      </c>
      <c r="AM580" s="65" t="n">
        <f aca="false">IF(OR(V580="",V580=0),0,1)</f>
        <v>1</v>
      </c>
      <c r="AN580" s="65" t="n">
        <f aca="false">IF(OR(E580="",F580=""),0,NETWORKDAYS(E580,F580,Ref!$K$2:$K$42))</f>
        <v>139</v>
      </c>
      <c r="AO580" s="65" t="n">
        <f aca="false">IF(L580="Renewal",1,0)</f>
        <v>0</v>
      </c>
      <c r="AP580" s="65" t="n">
        <f aca="false">AC580*AD580</f>
        <v>0</v>
      </c>
      <c r="AQ580" s="65" t="n">
        <f aca="false">IF(AND(G580&lt;&gt;"",'Historical Score'!$C$6&lt;&gt;""),IF(G580='Historical Score'!$C$6,1,0),0)</f>
        <v>0</v>
      </c>
      <c r="AR580" s="65" t="n">
        <f aca="false">IF(AND(L580&lt;&gt;"",'Historical Score'!$C$5&lt;&gt;""),IF(L580='Historical Score'!$C$5,1,0),0)</f>
        <v>1</v>
      </c>
      <c r="AS580" s="65" t="n">
        <f aca="false">IF(AND(Y580&lt;&gt;"",'Historical Score'!$C$7&lt;&gt;""),IF(Y580='Historical Score'!$C$7,1,0),0)</f>
        <v>0</v>
      </c>
      <c r="AT580" s="65" t="n">
        <f aca="false">IF(AND(K580&lt;&gt;"",'Historical Score'!$C$8&lt;&gt;""),IF(K580='Historical Score'!$C$8,1,0),0)</f>
        <v>0</v>
      </c>
      <c r="AU580" s="65" t="n">
        <f aca="false">IF(AND(J580&lt;&gt;"",'Historical Score'!$C$9&lt;&gt;""),IF(J580='Historical Score'!$C$9,1,0),0)</f>
        <v>0</v>
      </c>
      <c r="AV580" s="65" t="n">
        <f aca="false">AR580*AS580*AQ580</f>
        <v>0</v>
      </c>
      <c r="AW580" s="65" t="n">
        <f aca="false">AR580*AT580*AQ580</f>
        <v>0</v>
      </c>
      <c r="AX580" s="65" t="n">
        <f aca="false">AR580*AS580</f>
        <v>0</v>
      </c>
      <c r="AY580" s="65" t="n">
        <f aca="false">AR580*AT580</f>
        <v>0</v>
      </c>
      <c r="AZ580" s="65" t="n">
        <f aca="false">AR580*AQ580</f>
        <v>0</v>
      </c>
      <c r="BA580" s="65" t="n">
        <f aca="false">AR580</f>
        <v>1</v>
      </c>
      <c r="BB580" s="65" t="n">
        <f aca="false">1</f>
        <v>1</v>
      </c>
      <c r="BC580" s="65" t="n">
        <f aca="false">IF(AV580=1,1,IF(AW580=1,2,IF(AX580=1,3,IF(AY580=1,4,IF(AZ580=1,5,IF(BA580=1,6,7))))))</f>
        <v>6</v>
      </c>
      <c r="BD580" s="65" t="n">
        <f aca="false">IF(AD580=1,CHOOSE('Historical Score'!$C$29,AV580,AW580,AX580,AY580,AZ580,BA580,BB580),0)</f>
        <v>0</v>
      </c>
      <c r="BE580" s="65" t="str">
        <f aca="false">IF(BD580=1,COUNTIF($BD$2:BD580,1),"")</f>
        <v/>
      </c>
    </row>
    <row r="581" customFormat="false" ht="15" hidden="false" customHeight="false" outlineLevel="0" collapsed="false">
      <c r="A581" s="65" t="s">
        <v>2061</v>
      </c>
      <c r="B581" s="65" t="s">
        <v>1601</v>
      </c>
      <c r="C581" s="65" t="s">
        <v>1601</v>
      </c>
      <c r="D581" s="65" t="s">
        <v>340</v>
      </c>
      <c r="E581" s="112" t="n">
        <v>46051</v>
      </c>
      <c r="F581" s="112" t="n">
        <v>46121</v>
      </c>
      <c r="G581" s="65" t="n">
        <v>3</v>
      </c>
      <c r="H581" s="65" t="s">
        <v>479</v>
      </c>
      <c r="I581" s="65" t="s">
        <v>356</v>
      </c>
      <c r="J581" s="65" t="s">
        <v>682</v>
      </c>
      <c r="K581" s="65" t="s">
        <v>55</v>
      </c>
      <c r="L581" s="65" t="s">
        <v>320</v>
      </c>
      <c r="M581" s="113" t="n">
        <v>1.49</v>
      </c>
      <c r="N581" s="114" t="n">
        <v>16000</v>
      </c>
      <c r="O581" s="114" t="n">
        <v>2240</v>
      </c>
      <c r="P581" s="114" t="n">
        <v>23840</v>
      </c>
      <c r="Q581" s="114" t="n">
        <v>9281.16</v>
      </c>
      <c r="R581" s="114" t="n">
        <v>14558.84</v>
      </c>
      <c r="S581" s="115" t="n">
        <v>0.389310402684564</v>
      </c>
      <c r="T581" s="65" t="n">
        <v>3.934</v>
      </c>
      <c r="U581" s="65" t="n">
        <v>4</v>
      </c>
      <c r="V581" s="65" t="n">
        <v>8926.51</v>
      </c>
      <c r="W581" s="115" t="n">
        <v>0.4674</v>
      </c>
      <c r="X581" s="112"/>
      <c r="Y581" s="65" t="str">
        <f aca="false">IF(I581="","No SIC",IFERROR(VLOOKUP(I581,Ref!$A$2:$B$65,2,FALSE()),"Unclassified"))</f>
        <v>Trucking &amp; Warehousing</v>
      </c>
      <c r="Z581" s="65" t="str">
        <f aca="false">IF(T581="","",IF(T581&lt;12,"Daily","Weekly"))</f>
        <v>Daily</v>
      </c>
      <c r="AA581" s="65" t="n">
        <f aca="false">IF(T581="",0,IF(T581&lt;12,T581*Controls!$B$29,T581*5))</f>
        <v>85.19077</v>
      </c>
      <c r="AB581" s="65" t="n">
        <f aca="false">IF(E581="",0,NETWORKDAYS(E581,Controls!$B$36,Ref!$K$2:$K$42))</f>
        <v>146</v>
      </c>
      <c r="AC581" s="65" t="n">
        <f aca="false">IF(AND(AA581&gt;0,AB581&gt;=Controls!$B$39*AA581),1,0)</f>
        <v>1</v>
      </c>
      <c r="AD581" s="65" t="n">
        <f aca="false">IF(AND(E581&lt;&gt;"",E581&gt;=Controls!$B$37,E581&lt;=Controls!$B$38),1,0)</f>
        <v>1</v>
      </c>
      <c r="AE581" s="65" t="n">
        <f aca="false">IF(IFERROR(VLOOKUP(D581,Controls!$A$64:$E$74,2,FALSE()),"No")="Yes",1,0)</f>
        <v>1</v>
      </c>
      <c r="AF581" s="65" t="n">
        <f aca="false">IF(IFERROR(VLOOKUP(D581,Controls!$A$64:$E$74,3,FALSE()),"No")="Yes",1,0)</f>
        <v>0</v>
      </c>
      <c r="AG581" s="65" t="n">
        <f aca="false">IF(IFERROR(VLOOKUP(D581,Controls!$A$64:$E$74,4,FALSE()),"No")="Yes",1,0)</f>
        <v>0</v>
      </c>
      <c r="AH581" s="65" t="n">
        <f aca="false">IF(IFERROR(VLOOKUP(D581,Controls!$A$64:$E$74,5,FALSE()),"No")="Yes",1,0)</f>
        <v>0</v>
      </c>
      <c r="AI581" s="65" t="n">
        <f aca="false">IF(ISNUMBER(MATCH(D581,Controls!$A$64:$A$74,0)),1,0)</f>
        <v>1</v>
      </c>
      <c r="AJ581" s="65" t="n">
        <f aca="false">Q581-N581</f>
        <v>-6718.84</v>
      </c>
      <c r="AK581" s="65" t="n">
        <f aca="false">IF(AE581=1,MAX(0,N581-Q581),0)</f>
        <v>6718.84</v>
      </c>
      <c r="AL581" s="65" t="n">
        <f aca="false">IF(OR(V581="",V581=0),0,N581/V581)</f>
        <v>1.79241383250565</v>
      </c>
      <c r="AM581" s="65" t="n">
        <f aca="false">IF(OR(V581="",V581=0),0,1)</f>
        <v>1</v>
      </c>
      <c r="AN581" s="65" t="n">
        <f aca="false">IF(OR(E581="",F581=""),0,NETWORKDAYS(E581,F581,Ref!$K$2:$K$42))</f>
        <v>50</v>
      </c>
      <c r="AO581" s="65" t="n">
        <f aca="false">IF(L581="Renewal",1,0)</f>
        <v>1</v>
      </c>
      <c r="AP581" s="65" t="n">
        <f aca="false">AC581*AD581</f>
        <v>1</v>
      </c>
      <c r="AQ581" s="65" t="n">
        <f aca="false">IF(AND(G581&lt;&gt;"",'Historical Score'!$C$6&lt;&gt;""),IF(G581='Historical Score'!$C$6,1,0),0)</f>
        <v>0</v>
      </c>
      <c r="AR581" s="65" t="n">
        <f aca="false">IF(AND(L581&lt;&gt;"",'Historical Score'!$C$5&lt;&gt;""),IF(L581='Historical Score'!$C$5,1,0),0)</f>
        <v>0</v>
      </c>
      <c r="AS581" s="65" t="n">
        <f aca="false">IF(AND(Y581&lt;&gt;"",'Historical Score'!$C$7&lt;&gt;""),IF(Y581='Historical Score'!$C$7,1,0),0)</f>
        <v>0</v>
      </c>
      <c r="AT581" s="65" t="n">
        <f aca="false">IF(AND(K581&lt;&gt;"",'Historical Score'!$C$8&lt;&gt;""),IF(K581='Historical Score'!$C$8,1,0),0)</f>
        <v>1</v>
      </c>
      <c r="AU581" s="65" t="n">
        <f aca="false">IF(AND(J581&lt;&gt;"",'Historical Score'!$C$9&lt;&gt;""),IF(J581='Historical Score'!$C$9,1,0),0)</f>
        <v>0</v>
      </c>
      <c r="AV581" s="65" t="n">
        <f aca="false">AR581*AS581*AQ581</f>
        <v>0</v>
      </c>
      <c r="AW581" s="65" t="n">
        <f aca="false">AR581*AT581*AQ581</f>
        <v>0</v>
      </c>
      <c r="AX581" s="65" t="n">
        <f aca="false">AR581*AS581</f>
        <v>0</v>
      </c>
      <c r="AY581" s="65" t="n">
        <f aca="false">AR581*AT581</f>
        <v>0</v>
      </c>
      <c r="AZ581" s="65" t="n">
        <f aca="false">AR581*AQ581</f>
        <v>0</v>
      </c>
      <c r="BA581" s="65" t="n">
        <f aca="false">AR581</f>
        <v>0</v>
      </c>
      <c r="BB581" s="65" t="n">
        <f aca="false">1</f>
        <v>1</v>
      </c>
      <c r="BC581" s="65" t="n">
        <f aca="false">IF(AV581=1,1,IF(AW581=1,2,IF(AX581=1,3,IF(AY581=1,4,IF(AZ581=1,5,IF(BA581=1,6,7))))))</f>
        <v>7</v>
      </c>
      <c r="BD581" s="65" t="n">
        <f aca="false">IF(AD581=1,CHOOSE('Historical Score'!$C$29,AV581,AW581,AX581,AY581,AZ581,BA581,BB581),0)</f>
        <v>0</v>
      </c>
      <c r="BE581" s="65" t="str">
        <f aca="false">IF(BD581=1,COUNTIF($BD$2:BD581,1),"")</f>
        <v/>
      </c>
    </row>
    <row r="582" customFormat="false" ht="15" hidden="false" customHeight="false" outlineLevel="0" collapsed="false">
      <c r="A582" s="65" t="s">
        <v>2062</v>
      </c>
      <c r="B582" s="65" t="s">
        <v>1430</v>
      </c>
      <c r="C582" s="65" t="s">
        <v>1431</v>
      </c>
      <c r="D582" s="65" t="s">
        <v>340</v>
      </c>
      <c r="E582" s="112" t="n">
        <v>46051</v>
      </c>
      <c r="F582" s="112" t="n">
        <v>46237</v>
      </c>
      <c r="G582" s="65" t="n">
        <v>3</v>
      </c>
      <c r="H582" s="65" t="s">
        <v>1432</v>
      </c>
      <c r="I582" s="65" t="s">
        <v>1433</v>
      </c>
      <c r="J582" s="65" t="s">
        <v>1155</v>
      </c>
      <c r="K582" s="65" t="s">
        <v>55</v>
      </c>
      <c r="L582" s="65" t="s">
        <v>320</v>
      </c>
      <c r="M582" s="113" t="n">
        <v>1.49</v>
      </c>
      <c r="N582" s="114" t="n">
        <v>24000</v>
      </c>
      <c r="O582" s="114" t="n">
        <v>3360</v>
      </c>
      <c r="P582" s="114" t="n">
        <v>35760</v>
      </c>
      <c r="Q582" s="114" t="n">
        <v>17908.63</v>
      </c>
      <c r="R582" s="114" t="n">
        <v>17851.37</v>
      </c>
      <c r="S582" s="115" t="n">
        <v>0.500800615212528</v>
      </c>
      <c r="T582" s="65" t="n">
        <v>3.934</v>
      </c>
      <c r="U582" s="65" t="n">
        <v>12</v>
      </c>
      <c r="V582" s="65" t="n">
        <v>57074.76</v>
      </c>
      <c r="W582" s="115" t="n">
        <v>0.1096</v>
      </c>
      <c r="X582" s="112"/>
      <c r="Y582" s="65" t="str">
        <f aca="false">IF(I582="","No SIC",IFERROR(VLOOKUP(I582,Ref!$A$2:$B$65,2,FALSE()),"Unclassified"))</f>
        <v>Membership Organizations</v>
      </c>
      <c r="Z582" s="65" t="str">
        <f aca="false">IF(T582="","",IF(T582&lt;12,"Daily","Weekly"))</f>
        <v>Daily</v>
      </c>
      <c r="AA582" s="65" t="n">
        <f aca="false">IF(T582="",0,IF(T582&lt;12,T582*Controls!$B$29,T582*5))</f>
        <v>85.19077</v>
      </c>
      <c r="AB582" s="65" t="n">
        <f aca="false">IF(E582="",0,NETWORKDAYS(E582,Controls!$B$36,Ref!$K$2:$K$42))</f>
        <v>146</v>
      </c>
      <c r="AC582" s="65" t="n">
        <f aca="false">IF(AND(AA582&gt;0,AB582&gt;=Controls!$B$39*AA582),1,0)</f>
        <v>1</v>
      </c>
      <c r="AD582" s="65" t="n">
        <f aca="false">IF(AND(E582&lt;&gt;"",E582&gt;=Controls!$B$37,E582&lt;=Controls!$B$38),1,0)</f>
        <v>1</v>
      </c>
      <c r="AE582" s="65" t="n">
        <f aca="false">IF(IFERROR(VLOOKUP(D582,Controls!$A$64:$E$74,2,FALSE()),"No")="Yes",1,0)</f>
        <v>1</v>
      </c>
      <c r="AF582" s="65" t="n">
        <f aca="false">IF(IFERROR(VLOOKUP(D582,Controls!$A$64:$E$74,3,FALSE()),"No")="Yes",1,0)</f>
        <v>0</v>
      </c>
      <c r="AG582" s="65" t="n">
        <f aca="false">IF(IFERROR(VLOOKUP(D582,Controls!$A$64:$E$74,4,FALSE()),"No")="Yes",1,0)</f>
        <v>0</v>
      </c>
      <c r="AH582" s="65" t="n">
        <f aca="false">IF(IFERROR(VLOOKUP(D582,Controls!$A$64:$E$74,5,FALSE()),"No")="Yes",1,0)</f>
        <v>0</v>
      </c>
      <c r="AI582" s="65" t="n">
        <f aca="false">IF(ISNUMBER(MATCH(D582,Controls!$A$64:$A$74,0)),1,0)</f>
        <v>1</v>
      </c>
      <c r="AJ582" s="65" t="n">
        <f aca="false">Q582-N582</f>
        <v>-6091.37</v>
      </c>
      <c r="AK582" s="65" t="n">
        <f aca="false">IF(AE582=1,MAX(0,N582-Q582),0)</f>
        <v>6091.37</v>
      </c>
      <c r="AL582" s="65" t="n">
        <f aca="false">IF(OR(V582="",V582=0),0,N582/V582)</f>
        <v>0.420501111174186</v>
      </c>
      <c r="AM582" s="65" t="n">
        <f aca="false">IF(OR(V582="",V582=0),0,1)</f>
        <v>1</v>
      </c>
      <c r="AN582" s="65" t="n">
        <f aca="false">IF(OR(E582="",F582=""),0,NETWORKDAYS(E582,F582,Ref!$K$2:$K$42))</f>
        <v>130</v>
      </c>
      <c r="AO582" s="65" t="n">
        <f aca="false">IF(L582="Renewal",1,0)</f>
        <v>1</v>
      </c>
      <c r="AP582" s="65" t="n">
        <f aca="false">AC582*AD582</f>
        <v>1</v>
      </c>
      <c r="AQ582" s="65" t="n">
        <f aca="false">IF(AND(G582&lt;&gt;"",'Historical Score'!$C$6&lt;&gt;""),IF(G582='Historical Score'!$C$6,1,0),0)</f>
        <v>0</v>
      </c>
      <c r="AR582" s="65" t="n">
        <f aca="false">IF(AND(L582&lt;&gt;"",'Historical Score'!$C$5&lt;&gt;""),IF(L582='Historical Score'!$C$5,1,0),0)</f>
        <v>0</v>
      </c>
      <c r="AS582" s="65" t="n">
        <f aca="false">IF(AND(Y582&lt;&gt;"",'Historical Score'!$C$7&lt;&gt;""),IF(Y582='Historical Score'!$C$7,1,0),0)</f>
        <v>0</v>
      </c>
      <c r="AT582" s="65" t="n">
        <f aca="false">IF(AND(K582&lt;&gt;"",'Historical Score'!$C$8&lt;&gt;""),IF(K582='Historical Score'!$C$8,1,0),0)</f>
        <v>1</v>
      </c>
      <c r="AU582" s="65" t="n">
        <f aca="false">IF(AND(J582&lt;&gt;"",'Historical Score'!$C$9&lt;&gt;""),IF(J582='Historical Score'!$C$9,1,0),0)</f>
        <v>0</v>
      </c>
      <c r="AV582" s="65" t="n">
        <f aca="false">AR582*AS582*AQ582</f>
        <v>0</v>
      </c>
      <c r="AW582" s="65" t="n">
        <f aca="false">AR582*AT582*AQ582</f>
        <v>0</v>
      </c>
      <c r="AX582" s="65" t="n">
        <f aca="false">AR582*AS582</f>
        <v>0</v>
      </c>
      <c r="AY582" s="65" t="n">
        <f aca="false">AR582*AT582</f>
        <v>0</v>
      </c>
      <c r="AZ582" s="65" t="n">
        <f aca="false">AR582*AQ582</f>
        <v>0</v>
      </c>
      <c r="BA582" s="65" t="n">
        <f aca="false">AR582</f>
        <v>0</v>
      </c>
      <c r="BB582" s="65" t="n">
        <f aca="false">1</f>
        <v>1</v>
      </c>
      <c r="BC582" s="65" t="n">
        <f aca="false">IF(AV582=1,1,IF(AW582=1,2,IF(AX582=1,3,IF(AY582=1,4,IF(AZ582=1,5,IF(BA582=1,6,7))))))</f>
        <v>7</v>
      </c>
      <c r="BD582" s="65" t="n">
        <f aca="false">IF(AD582=1,CHOOSE('Historical Score'!$C$29,AV582,AW582,AX582,AY582,AZ582,BA582,BB582),0)</f>
        <v>0</v>
      </c>
      <c r="BE582" s="65" t="str">
        <f aca="false">IF(BD582=1,COUNTIF($BD$2:BD582,1),"")</f>
        <v/>
      </c>
    </row>
    <row r="583" customFormat="false" ht="15" hidden="false" customHeight="false" outlineLevel="0" collapsed="false">
      <c r="A583" s="65" t="s">
        <v>2063</v>
      </c>
      <c r="B583" s="65" t="s">
        <v>2064</v>
      </c>
      <c r="C583" s="65" t="s">
        <v>2064</v>
      </c>
      <c r="D583" s="65" t="s">
        <v>340</v>
      </c>
      <c r="E583" s="112" t="n">
        <v>46051</v>
      </c>
      <c r="F583" s="112" t="n">
        <v>46126</v>
      </c>
      <c r="G583" s="65" t="n">
        <v>3</v>
      </c>
      <c r="H583" s="65" t="s">
        <v>568</v>
      </c>
      <c r="I583" s="65" t="s">
        <v>569</v>
      </c>
      <c r="J583" s="65" t="s">
        <v>638</v>
      </c>
      <c r="K583" s="65" t="s">
        <v>55</v>
      </c>
      <c r="L583" s="65" t="s">
        <v>64</v>
      </c>
      <c r="M583" s="113" t="n">
        <v>1.49</v>
      </c>
      <c r="N583" s="114" t="n">
        <v>8000</v>
      </c>
      <c r="O583" s="114" t="n">
        <v>0</v>
      </c>
      <c r="P583" s="114" t="n">
        <v>11920</v>
      </c>
      <c r="Q583" s="114" t="n">
        <v>2583.1</v>
      </c>
      <c r="R583" s="114" t="n">
        <v>9336.9</v>
      </c>
      <c r="S583" s="115" t="n">
        <v>0.216703020134228</v>
      </c>
      <c r="T583" s="65" t="n">
        <v>1.967</v>
      </c>
      <c r="U583" s="65" t="n">
        <v>37</v>
      </c>
      <c r="V583" s="65" t="n">
        <v>26851.08</v>
      </c>
      <c r="W583" s="115" t="n">
        <v>0.1554</v>
      </c>
      <c r="X583" s="112"/>
      <c r="Y583" s="65" t="str">
        <f aca="false">IF(I583="","No SIC",IFERROR(VLOOKUP(I583,Ref!$A$2:$B$65,2,FALSE()),"Unclassified"))</f>
        <v>General Merchandise Stores</v>
      </c>
      <c r="Z583" s="65" t="str">
        <f aca="false">IF(T583="","",IF(T583&lt;12,"Daily","Weekly"))</f>
        <v>Daily</v>
      </c>
      <c r="AA583" s="65" t="n">
        <f aca="false">IF(T583="",0,IF(T583&lt;12,T583*Controls!$B$29,T583*5))</f>
        <v>42.595385</v>
      </c>
      <c r="AB583" s="65" t="n">
        <f aca="false">IF(E583="",0,NETWORKDAYS(E583,Controls!$B$36,Ref!$K$2:$K$42))</f>
        <v>146</v>
      </c>
      <c r="AC583" s="65" t="n">
        <f aca="false">IF(AND(AA583&gt;0,AB583&gt;=Controls!$B$39*AA583),1,0)</f>
        <v>1</v>
      </c>
      <c r="AD583" s="65" t="n">
        <f aca="false">IF(AND(E583&lt;&gt;"",E583&gt;=Controls!$B$37,E583&lt;=Controls!$B$38),1,0)</f>
        <v>1</v>
      </c>
      <c r="AE583" s="65" t="n">
        <f aca="false">IF(IFERROR(VLOOKUP(D583,Controls!$A$64:$E$74,2,FALSE()),"No")="Yes",1,0)</f>
        <v>1</v>
      </c>
      <c r="AF583" s="65" t="n">
        <f aca="false">IF(IFERROR(VLOOKUP(D583,Controls!$A$64:$E$74,3,FALSE()),"No")="Yes",1,0)</f>
        <v>0</v>
      </c>
      <c r="AG583" s="65" t="n">
        <f aca="false">IF(IFERROR(VLOOKUP(D583,Controls!$A$64:$E$74,4,FALSE()),"No")="Yes",1,0)</f>
        <v>0</v>
      </c>
      <c r="AH583" s="65" t="n">
        <f aca="false">IF(IFERROR(VLOOKUP(D583,Controls!$A$64:$E$74,5,FALSE()),"No")="Yes",1,0)</f>
        <v>0</v>
      </c>
      <c r="AI583" s="65" t="n">
        <f aca="false">IF(ISNUMBER(MATCH(D583,Controls!$A$64:$A$74,0)),1,0)</f>
        <v>1</v>
      </c>
      <c r="AJ583" s="65" t="n">
        <f aca="false">Q583-N583</f>
        <v>-5416.9</v>
      </c>
      <c r="AK583" s="65" t="n">
        <f aca="false">IF(AE583=1,MAX(0,N583-Q583),0)</f>
        <v>5416.9</v>
      </c>
      <c r="AL583" s="65" t="n">
        <f aca="false">IF(OR(V583="",V583=0),0,N583/V583)</f>
        <v>0.297939598705154</v>
      </c>
      <c r="AM583" s="65" t="n">
        <f aca="false">IF(OR(V583="",V583=0),0,1)</f>
        <v>1</v>
      </c>
      <c r="AN583" s="65" t="n">
        <f aca="false">IF(OR(E583="",F583=""),0,NETWORKDAYS(E583,F583,Ref!$K$2:$K$42))</f>
        <v>53</v>
      </c>
      <c r="AO583" s="65" t="n">
        <f aca="false">IF(L583="Renewal",1,0)</f>
        <v>0</v>
      </c>
      <c r="AP583" s="65" t="n">
        <f aca="false">AC583*AD583</f>
        <v>1</v>
      </c>
      <c r="AQ583" s="65" t="n">
        <f aca="false">IF(AND(G583&lt;&gt;"",'Historical Score'!$C$6&lt;&gt;""),IF(G583='Historical Score'!$C$6,1,0),0)</f>
        <v>0</v>
      </c>
      <c r="AR583" s="65" t="n">
        <f aca="false">IF(AND(L583&lt;&gt;"",'Historical Score'!$C$5&lt;&gt;""),IF(L583='Historical Score'!$C$5,1,0),0)</f>
        <v>1</v>
      </c>
      <c r="AS583" s="65" t="n">
        <f aca="false">IF(AND(Y583&lt;&gt;"",'Historical Score'!$C$7&lt;&gt;""),IF(Y583='Historical Score'!$C$7,1,0),0)</f>
        <v>0</v>
      </c>
      <c r="AT583" s="65" t="n">
        <f aca="false">IF(AND(K583&lt;&gt;"",'Historical Score'!$C$8&lt;&gt;""),IF(K583='Historical Score'!$C$8,1,0),0)</f>
        <v>1</v>
      </c>
      <c r="AU583" s="65" t="n">
        <f aca="false">IF(AND(J583&lt;&gt;"",'Historical Score'!$C$9&lt;&gt;""),IF(J583='Historical Score'!$C$9,1,0),0)</f>
        <v>0</v>
      </c>
      <c r="AV583" s="65" t="n">
        <f aca="false">AR583*AS583*AQ583</f>
        <v>0</v>
      </c>
      <c r="AW583" s="65" t="n">
        <f aca="false">AR583*AT583*AQ583</f>
        <v>0</v>
      </c>
      <c r="AX583" s="65" t="n">
        <f aca="false">AR583*AS583</f>
        <v>0</v>
      </c>
      <c r="AY583" s="65" t="n">
        <f aca="false">AR583*AT583</f>
        <v>1</v>
      </c>
      <c r="AZ583" s="65" t="n">
        <f aca="false">AR583*AQ583</f>
        <v>0</v>
      </c>
      <c r="BA583" s="65" t="n">
        <f aca="false">AR583</f>
        <v>1</v>
      </c>
      <c r="BB583" s="65" t="n">
        <f aca="false">1</f>
        <v>1</v>
      </c>
      <c r="BC583" s="65" t="n">
        <f aca="false">IF(AV583=1,1,IF(AW583=1,2,IF(AX583=1,3,IF(AY583=1,4,IF(AZ583=1,5,IF(BA583=1,6,7))))))</f>
        <v>4</v>
      </c>
      <c r="BD583" s="65" t="n">
        <f aca="false">IF(AD583=1,CHOOSE('Historical Score'!$C$29,AV583,AW583,AX583,AY583,AZ583,BA583,BB583),0)</f>
        <v>0</v>
      </c>
      <c r="BE583" s="65" t="str">
        <f aca="false">IF(BD583=1,COUNTIF($BD$2:BD583,1),"")</f>
        <v/>
      </c>
    </row>
    <row r="584" customFormat="false" ht="15" hidden="false" customHeight="false" outlineLevel="0" collapsed="false">
      <c r="A584" s="65" t="s">
        <v>2065</v>
      </c>
      <c r="B584" s="65" t="s">
        <v>1236</v>
      </c>
      <c r="C584" s="65" t="s">
        <v>1237</v>
      </c>
      <c r="D584" s="65" t="s">
        <v>295</v>
      </c>
      <c r="E584" s="112" t="n">
        <v>46051</v>
      </c>
      <c r="F584" s="112" t="n">
        <v>46248</v>
      </c>
      <c r="G584" s="65" t="n">
        <v>3</v>
      </c>
      <c r="H584" s="65" t="s">
        <v>409</v>
      </c>
      <c r="I584" s="65" t="s">
        <v>342</v>
      </c>
      <c r="J584" s="65" t="s">
        <v>510</v>
      </c>
      <c r="K584" s="65" t="s">
        <v>501</v>
      </c>
      <c r="L584" s="65" t="s">
        <v>320</v>
      </c>
      <c r="M584" s="113" t="n">
        <v>1.49</v>
      </c>
      <c r="N584" s="114" t="n">
        <v>50000</v>
      </c>
      <c r="O584" s="114" t="n">
        <v>7000</v>
      </c>
      <c r="P584" s="114" t="n">
        <v>74500</v>
      </c>
      <c r="Q584" s="114" t="n">
        <v>63268.42</v>
      </c>
      <c r="R584" s="114" t="n">
        <v>11231.58</v>
      </c>
      <c r="S584" s="115" t="n">
        <v>0.849240536912752</v>
      </c>
      <c r="T584" s="65" t="n">
        <v>32</v>
      </c>
      <c r="U584" s="65" t="n">
        <v>1</v>
      </c>
      <c r="V584" s="65" t="n">
        <v>131755.44</v>
      </c>
      <c r="W584" s="115" t="n">
        <v>0.0707</v>
      </c>
      <c r="X584" s="112" t="n">
        <v>45320</v>
      </c>
      <c r="Y584" s="65" t="str">
        <f aca="false">IF(I584="","No SIC",IFERROR(VLOOKUP(I584,Ref!$A$2:$B$65,2,FALSE()),"Unclassified"))</f>
        <v>Eating &amp; Drinking Places</v>
      </c>
      <c r="Z584" s="65" t="str">
        <f aca="false">IF(T584="","",IF(T584&lt;12,"Daily","Weekly"))</f>
        <v>Weekly</v>
      </c>
      <c r="AA584" s="65" t="n">
        <f aca="false">IF(T584="",0,IF(T584&lt;12,T584*Controls!$B$29,T584*5))</f>
        <v>160</v>
      </c>
      <c r="AB584" s="65" t="n">
        <f aca="false">IF(E584="",0,NETWORKDAYS(E584,Controls!$B$36,Ref!$K$2:$K$42))</f>
        <v>146</v>
      </c>
      <c r="AC584" s="65" t="n">
        <f aca="false">IF(AND(AA584&gt;0,AB584&gt;=Controls!$B$39*AA584),1,0)</f>
        <v>0</v>
      </c>
      <c r="AD584" s="65" t="n">
        <f aca="false">IF(AND(E584&lt;&gt;"",E584&gt;=Controls!$B$37,E584&lt;=Controls!$B$38),1,0)</f>
        <v>1</v>
      </c>
      <c r="AE584" s="65" t="n">
        <f aca="false">IF(IFERROR(VLOOKUP(D584,Controls!$A$64:$E$74,2,FALSE()),"No")="Yes",1,0)</f>
        <v>0</v>
      </c>
      <c r="AF584" s="65" t="n">
        <f aca="false">IF(IFERROR(VLOOKUP(D584,Controls!$A$64:$E$74,3,FALSE()),"No")="Yes",1,0)</f>
        <v>0</v>
      </c>
      <c r="AG584" s="65" t="n">
        <f aca="false">IF(IFERROR(VLOOKUP(D584,Controls!$A$64:$E$74,4,FALSE()),"No")="Yes",1,0)</f>
        <v>0</v>
      </c>
      <c r="AH584" s="65" t="n">
        <f aca="false">IF(IFERROR(VLOOKUP(D584,Controls!$A$64:$E$74,5,FALSE()),"No")="Yes",1,0)</f>
        <v>1</v>
      </c>
      <c r="AI584" s="65" t="n">
        <f aca="false">IF(ISNUMBER(MATCH(D584,Controls!$A$64:$A$74,0)),1,0)</f>
        <v>1</v>
      </c>
      <c r="AJ584" s="65" t="n">
        <f aca="false">Q584-N584</f>
        <v>13268.42</v>
      </c>
      <c r="AK584" s="65" t="n">
        <f aca="false">IF(AE584=1,MAX(0,N584-Q584),0)</f>
        <v>0</v>
      </c>
      <c r="AL584" s="65" t="n">
        <f aca="false">IF(OR(V584="",V584=0),0,N584/V584)</f>
        <v>0.379490972061571</v>
      </c>
      <c r="AM584" s="65" t="n">
        <f aca="false">IF(OR(V584="",V584=0),0,1)</f>
        <v>1</v>
      </c>
      <c r="AN584" s="65" t="n">
        <f aca="false">IF(OR(E584="",F584=""),0,NETWORKDAYS(E584,F584,Ref!$K$2:$K$42))</f>
        <v>139</v>
      </c>
      <c r="AO584" s="65" t="n">
        <f aca="false">IF(L584="Renewal",1,0)</f>
        <v>1</v>
      </c>
      <c r="AP584" s="65" t="n">
        <f aca="false">AC584*AD584</f>
        <v>0</v>
      </c>
      <c r="AQ584" s="65" t="n">
        <f aca="false">IF(AND(G584&lt;&gt;"",'Historical Score'!$C$6&lt;&gt;""),IF(G584='Historical Score'!$C$6,1,0),0)</f>
        <v>0</v>
      </c>
      <c r="AR584" s="65" t="n">
        <f aca="false">IF(AND(L584&lt;&gt;"",'Historical Score'!$C$5&lt;&gt;""),IF(L584='Historical Score'!$C$5,1,0),0)</f>
        <v>0</v>
      </c>
      <c r="AS584" s="65" t="n">
        <f aca="false">IF(AND(Y584&lt;&gt;"",'Historical Score'!$C$7&lt;&gt;""),IF(Y584='Historical Score'!$C$7,1,0),0)</f>
        <v>0</v>
      </c>
      <c r="AT584" s="65" t="n">
        <f aca="false">IF(AND(K584&lt;&gt;"",'Historical Score'!$C$8&lt;&gt;""),IF(K584='Historical Score'!$C$8,1,0),0)</f>
        <v>0</v>
      </c>
      <c r="AU584" s="65" t="n">
        <f aca="false">IF(AND(J584&lt;&gt;"",'Historical Score'!$C$9&lt;&gt;""),IF(J584='Historical Score'!$C$9,1,0),0)</f>
        <v>0</v>
      </c>
      <c r="AV584" s="65" t="n">
        <f aca="false">AR584*AS584*AQ584</f>
        <v>0</v>
      </c>
      <c r="AW584" s="65" t="n">
        <f aca="false">AR584*AT584*AQ584</f>
        <v>0</v>
      </c>
      <c r="AX584" s="65" t="n">
        <f aca="false">AR584*AS584</f>
        <v>0</v>
      </c>
      <c r="AY584" s="65" t="n">
        <f aca="false">AR584*AT584</f>
        <v>0</v>
      </c>
      <c r="AZ584" s="65" t="n">
        <f aca="false">AR584*AQ584</f>
        <v>0</v>
      </c>
      <c r="BA584" s="65" t="n">
        <f aca="false">AR584</f>
        <v>0</v>
      </c>
      <c r="BB584" s="65" t="n">
        <f aca="false">1</f>
        <v>1</v>
      </c>
      <c r="BC584" s="65" t="n">
        <f aca="false">IF(AV584=1,1,IF(AW584=1,2,IF(AX584=1,3,IF(AY584=1,4,IF(AZ584=1,5,IF(BA584=1,6,7))))))</f>
        <v>7</v>
      </c>
      <c r="BD584" s="65" t="n">
        <f aca="false">IF(AD584=1,CHOOSE('Historical Score'!$C$29,AV584,AW584,AX584,AY584,AZ584,BA584,BB584),0)</f>
        <v>0</v>
      </c>
      <c r="BE584" s="65" t="str">
        <f aca="false">IF(BD584=1,COUNTIF($BD$2:BD584,1),"")</f>
        <v/>
      </c>
    </row>
    <row r="585" customFormat="false" ht="15" hidden="false" customHeight="false" outlineLevel="0" collapsed="false">
      <c r="A585" s="65" t="s">
        <v>2066</v>
      </c>
      <c r="B585" s="65" t="s">
        <v>1082</v>
      </c>
      <c r="C585" s="65" t="s">
        <v>1082</v>
      </c>
      <c r="D585" s="65" t="s">
        <v>371</v>
      </c>
      <c r="E585" s="112" t="n">
        <v>46051</v>
      </c>
      <c r="F585" s="112" t="n">
        <v>46141</v>
      </c>
      <c r="G585" s="65" t="n">
        <v>3</v>
      </c>
      <c r="H585" s="65" t="s">
        <v>409</v>
      </c>
      <c r="I585" s="65" t="s">
        <v>342</v>
      </c>
      <c r="J585" s="65" t="s">
        <v>343</v>
      </c>
      <c r="K585" s="65" t="s">
        <v>55</v>
      </c>
      <c r="L585" s="65" t="s">
        <v>320</v>
      </c>
      <c r="M585" s="113" t="n">
        <v>1.49</v>
      </c>
      <c r="N585" s="114" t="n">
        <v>36000</v>
      </c>
      <c r="O585" s="114" t="n">
        <v>5040</v>
      </c>
      <c r="P585" s="114" t="n">
        <v>53640</v>
      </c>
      <c r="Q585" s="114" t="n">
        <v>53640</v>
      </c>
      <c r="R585" s="114" t="n">
        <v>0</v>
      </c>
      <c r="S585" s="115" t="n">
        <v>1</v>
      </c>
      <c r="T585" s="65" t="n">
        <v>4.59</v>
      </c>
      <c r="U585" s="65" t="n">
        <v>0</v>
      </c>
      <c r="V585" s="65" t="n">
        <v>42013.9</v>
      </c>
      <c r="W585" s="115" t="n">
        <v>0.1915</v>
      </c>
      <c r="X585" s="112"/>
      <c r="Y585" s="65" t="str">
        <f aca="false">IF(I585="","No SIC",IFERROR(VLOOKUP(I585,Ref!$A$2:$B$65,2,FALSE()),"Unclassified"))</f>
        <v>Eating &amp; Drinking Places</v>
      </c>
      <c r="Z585" s="65" t="str">
        <f aca="false">IF(T585="","",IF(T585&lt;12,"Daily","Weekly"))</f>
        <v>Daily</v>
      </c>
      <c r="AA585" s="65" t="n">
        <f aca="false">IF(T585="",0,IF(T585&lt;12,T585*Controls!$B$29,T585*5))</f>
        <v>99.39645</v>
      </c>
      <c r="AB585" s="65" t="n">
        <f aca="false">IF(E585="",0,NETWORKDAYS(E585,Controls!$B$36,Ref!$K$2:$K$42))</f>
        <v>146</v>
      </c>
      <c r="AC585" s="65" t="n">
        <f aca="false">IF(AND(AA585&gt;0,AB585&gt;=Controls!$B$39*AA585),1,0)</f>
        <v>1</v>
      </c>
      <c r="AD585" s="65" t="n">
        <f aca="false">IF(AND(E585&lt;&gt;"",E585&gt;=Controls!$B$37,E585&lt;=Controls!$B$38),1,0)</f>
        <v>1</v>
      </c>
      <c r="AE585" s="65" t="n">
        <f aca="false">IF(IFERROR(VLOOKUP(D585,Controls!$A$64:$E$74,2,FALSE()),"No")="Yes",1,0)</f>
        <v>0</v>
      </c>
      <c r="AF585" s="65" t="n">
        <f aca="false">IF(IFERROR(VLOOKUP(D585,Controls!$A$64:$E$74,3,FALSE()),"No")="Yes",1,0)</f>
        <v>1</v>
      </c>
      <c r="AG585" s="65" t="n">
        <f aca="false">IF(IFERROR(VLOOKUP(D585,Controls!$A$64:$E$74,4,FALSE()),"No")="Yes",1,0)</f>
        <v>1</v>
      </c>
      <c r="AH585" s="65" t="n">
        <f aca="false">IF(IFERROR(VLOOKUP(D585,Controls!$A$64:$E$74,5,FALSE()),"No")="Yes",1,0)</f>
        <v>0</v>
      </c>
      <c r="AI585" s="65" t="n">
        <f aca="false">IF(ISNUMBER(MATCH(D585,Controls!$A$64:$A$74,0)),1,0)</f>
        <v>1</v>
      </c>
      <c r="AJ585" s="65" t="n">
        <f aca="false">Q585-N585</f>
        <v>17640</v>
      </c>
      <c r="AK585" s="65" t="n">
        <f aca="false">IF(AE585=1,MAX(0,N585-Q585),0)</f>
        <v>0</v>
      </c>
      <c r="AL585" s="65" t="n">
        <f aca="false">IF(OR(V585="",V585=0),0,N585/V585)</f>
        <v>0.856859277524819</v>
      </c>
      <c r="AM585" s="65" t="n">
        <f aca="false">IF(OR(V585="",V585=0),0,1)</f>
        <v>1</v>
      </c>
      <c r="AN585" s="65" t="n">
        <f aca="false">IF(OR(E585="",F585=""),0,NETWORKDAYS(E585,F585,Ref!$K$2:$K$42))</f>
        <v>64</v>
      </c>
      <c r="AO585" s="65" t="n">
        <f aca="false">IF(L585="Renewal",1,0)</f>
        <v>1</v>
      </c>
      <c r="AP585" s="65" t="n">
        <f aca="false">AC585*AD585</f>
        <v>1</v>
      </c>
      <c r="AQ585" s="65" t="n">
        <f aca="false">IF(AND(G585&lt;&gt;"",'Historical Score'!$C$6&lt;&gt;""),IF(G585='Historical Score'!$C$6,1,0),0)</f>
        <v>0</v>
      </c>
      <c r="AR585" s="65" t="n">
        <f aca="false">IF(AND(L585&lt;&gt;"",'Historical Score'!$C$5&lt;&gt;""),IF(L585='Historical Score'!$C$5,1,0),0)</f>
        <v>0</v>
      </c>
      <c r="AS585" s="65" t="n">
        <f aca="false">IF(AND(Y585&lt;&gt;"",'Historical Score'!$C$7&lt;&gt;""),IF(Y585='Historical Score'!$C$7,1,0),0)</f>
        <v>0</v>
      </c>
      <c r="AT585" s="65" t="n">
        <f aca="false">IF(AND(K585&lt;&gt;"",'Historical Score'!$C$8&lt;&gt;""),IF(K585='Historical Score'!$C$8,1,0),0)</f>
        <v>1</v>
      </c>
      <c r="AU585" s="65" t="n">
        <f aca="false">IF(AND(J585&lt;&gt;"",'Historical Score'!$C$9&lt;&gt;""),IF(J585='Historical Score'!$C$9,1,0),0)</f>
        <v>0</v>
      </c>
      <c r="AV585" s="65" t="n">
        <f aca="false">AR585*AS585*AQ585</f>
        <v>0</v>
      </c>
      <c r="AW585" s="65" t="n">
        <f aca="false">AR585*AT585*AQ585</f>
        <v>0</v>
      </c>
      <c r="AX585" s="65" t="n">
        <f aca="false">AR585*AS585</f>
        <v>0</v>
      </c>
      <c r="AY585" s="65" t="n">
        <f aca="false">AR585*AT585</f>
        <v>0</v>
      </c>
      <c r="AZ585" s="65" t="n">
        <f aca="false">AR585*AQ585</f>
        <v>0</v>
      </c>
      <c r="BA585" s="65" t="n">
        <f aca="false">AR585</f>
        <v>0</v>
      </c>
      <c r="BB585" s="65" t="n">
        <f aca="false">1</f>
        <v>1</v>
      </c>
      <c r="BC585" s="65" t="n">
        <f aca="false">IF(AV585=1,1,IF(AW585=1,2,IF(AX585=1,3,IF(AY585=1,4,IF(AZ585=1,5,IF(BA585=1,6,7))))))</f>
        <v>7</v>
      </c>
      <c r="BD585" s="65" t="n">
        <f aca="false">IF(AD585=1,CHOOSE('Historical Score'!$C$29,AV585,AW585,AX585,AY585,AZ585,BA585,BB585),0)</f>
        <v>0</v>
      </c>
      <c r="BE585" s="65" t="str">
        <f aca="false">IF(BD585=1,COUNTIF($BD$2:BD585,1),"")</f>
        <v/>
      </c>
    </row>
    <row r="586" customFormat="false" ht="15" hidden="false" customHeight="false" outlineLevel="0" collapsed="false">
      <c r="A586" s="65" t="s">
        <v>2067</v>
      </c>
      <c r="B586" s="65" t="s">
        <v>913</v>
      </c>
      <c r="C586" s="65" t="s">
        <v>913</v>
      </c>
      <c r="D586" s="65" t="s">
        <v>533</v>
      </c>
      <c r="E586" s="112" t="n">
        <v>46051</v>
      </c>
      <c r="F586" s="112" t="n">
        <v>46170</v>
      </c>
      <c r="G586" s="65" t="n">
        <v>3</v>
      </c>
      <c r="H586" s="65" t="s">
        <v>914</v>
      </c>
      <c r="I586" s="65" t="s">
        <v>915</v>
      </c>
      <c r="J586" s="65" t="s">
        <v>350</v>
      </c>
      <c r="K586" s="65" t="s">
        <v>581</v>
      </c>
      <c r="L586" s="65" t="s">
        <v>320</v>
      </c>
      <c r="M586" s="113" t="n">
        <v>1.49</v>
      </c>
      <c r="N586" s="114" t="n">
        <v>24000</v>
      </c>
      <c r="O586" s="114" t="n">
        <v>3360</v>
      </c>
      <c r="P586" s="114" t="n">
        <v>35760</v>
      </c>
      <c r="Q586" s="114" t="n">
        <v>23943.92</v>
      </c>
      <c r="R586" s="114" t="n">
        <v>11816.08</v>
      </c>
      <c r="S586" s="115" t="n">
        <v>0.669572706935123</v>
      </c>
      <c r="T586" s="65" t="n">
        <v>3.77</v>
      </c>
      <c r="U586" s="65" t="n">
        <v>5</v>
      </c>
      <c r="V586" s="65" t="n">
        <v>48699.19</v>
      </c>
      <c r="W586" s="115" t="n">
        <v>0.13</v>
      </c>
      <c r="X586" s="112" t="n">
        <v>42917</v>
      </c>
      <c r="Y586" s="65" t="str">
        <f aca="false">IF(I586="","No SIC",IFERROR(VLOOKUP(I586,Ref!$A$2:$B$65,2,FALSE()),"Unclassified"))</f>
        <v>Transportation Services</v>
      </c>
      <c r="Z586" s="65" t="str">
        <f aca="false">IF(T586="","",IF(T586&lt;12,"Daily","Weekly"))</f>
        <v>Daily</v>
      </c>
      <c r="AA586" s="65" t="n">
        <f aca="false">IF(T586="",0,IF(T586&lt;12,T586*Controls!$B$29,T586*5))</f>
        <v>81.63935</v>
      </c>
      <c r="AB586" s="65" t="n">
        <f aca="false">IF(E586="",0,NETWORKDAYS(E586,Controls!$B$36,Ref!$K$2:$K$42))</f>
        <v>146</v>
      </c>
      <c r="AC586" s="65" t="n">
        <f aca="false">IF(AND(AA586&gt;0,AB586&gt;=Controls!$B$39*AA586),1,0)</f>
        <v>1</v>
      </c>
      <c r="AD586" s="65" t="n">
        <f aca="false">IF(AND(E586&lt;&gt;"",E586&gt;=Controls!$B$37,E586&lt;=Controls!$B$38),1,0)</f>
        <v>1</v>
      </c>
      <c r="AE586" s="65" t="n">
        <f aca="false">IF(IFERROR(VLOOKUP(D586,Controls!$A$64:$E$74,2,FALSE()),"No")="Yes",1,0)</f>
        <v>1</v>
      </c>
      <c r="AF586" s="65" t="n">
        <f aca="false">IF(IFERROR(VLOOKUP(D586,Controls!$A$64:$E$74,3,FALSE()),"No")="Yes",1,0)</f>
        <v>0</v>
      </c>
      <c r="AG586" s="65" t="n">
        <f aca="false">IF(IFERROR(VLOOKUP(D586,Controls!$A$64:$E$74,4,FALSE()),"No")="Yes",1,0)</f>
        <v>0</v>
      </c>
      <c r="AH586" s="65" t="n">
        <f aca="false">IF(IFERROR(VLOOKUP(D586,Controls!$A$64:$E$74,5,FALSE()),"No")="Yes",1,0)</f>
        <v>0</v>
      </c>
      <c r="AI586" s="65" t="n">
        <f aca="false">IF(ISNUMBER(MATCH(D586,Controls!$A$64:$A$74,0)),1,0)</f>
        <v>1</v>
      </c>
      <c r="AJ586" s="65" t="n">
        <f aca="false">Q586-N586</f>
        <v>-56.0800000000017</v>
      </c>
      <c r="AK586" s="65" t="n">
        <f aca="false">IF(AE586=1,MAX(0,N586-Q586),0)</f>
        <v>56.0800000000017</v>
      </c>
      <c r="AL586" s="65" t="n">
        <f aca="false">IF(OR(V586="",V586=0),0,N586/V586)</f>
        <v>0.492821338506862</v>
      </c>
      <c r="AM586" s="65" t="n">
        <f aca="false">IF(OR(V586="",V586=0),0,1)</f>
        <v>1</v>
      </c>
      <c r="AN586" s="65" t="n">
        <f aca="false">IF(OR(E586="",F586=""),0,NETWORKDAYS(E586,F586,Ref!$K$2:$K$42))</f>
        <v>84</v>
      </c>
      <c r="AO586" s="65" t="n">
        <f aca="false">IF(L586="Renewal",1,0)</f>
        <v>1</v>
      </c>
      <c r="AP586" s="65" t="n">
        <f aca="false">AC586*AD586</f>
        <v>1</v>
      </c>
      <c r="AQ586" s="65" t="n">
        <f aca="false">IF(AND(G586&lt;&gt;"",'Historical Score'!$C$6&lt;&gt;""),IF(G586='Historical Score'!$C$6,1,0),0)</f>
        <v>0</v>
      </c>
      <c r="AR586" s="65" t="n">
        <f aca="false">IF(AND(L586&lt;&gt;"",'Historical Score'!$C$5&lt;&gt;""),IF(L586='Historical Score'!$C$5,1,0),0)</f>
        <v>0</v>
      </c>
      <c r="AS586" s="65" t="n">
        <f aca="false">IF(AND(Y586&lt;&gt;"",'Historical Score'!$C$7&lt;&gt;""),IF(Y586='Historical Score'!$C$7,1,0),0)</f>
        <v>0</v>
      </c>
      <c r="AT586" s="65" t="n">
        <f aca="false">IF(AND(K586&lt;&gt;"",'Historical Score'!$C$8&lt;&gt;""),IF(K586='Historical Score'!$C$8,1,0),0)</f>
        <v>0</v>
      </c>
      <c r="AU586" s="65" t="n">
        <f aca="false">IF(AND(J586&lt;&gt;"",'Historical Score'!$C$9&lt;&gt;""),IF(J586='Historical Score'!$C$9,1,0),0)</f>
        <v>0</v>
      </c>
      <c r="AV586" s="65" t="n">
        <f aca="false">AR586*AS586*AQ586</f>
        <v>0</v>
      </c>
      <c r="AW586" s="65" t="n">
        <f aca="false">AR586*AT586*AQ586</f>
        <v>0</v>
      </c>
      <c r="AX586" s="65" t="n">
        <f aca="false">AR586*AS586</f>
        <v>0</v>
      </c>
      <c r="AY586" s="65" t="n">
        <f aca="false">AR586*AT586</f>
        <v>0</v>
      </c>
      <c r="AZ586" s="65" t="n">
        <f aca="false">AR586*AQ586</f>
        <v>0</v>
      </c>
      <c r="BA586" s="65" t="n">
        <f aca="false">AR586</f>
        <v>0</v>
      </c>
      <c r="BB586" s="65" t="n">
        <f aca="false">1</f>
        <v>1</v>
      </c>
      <c r="BC586" s="65" t="n">
        <f aca="false">IF(AV586=1,1,IF(AW586=1,2,IF(AX586=1,3,IF(AY586=1,4,IF(AZ586=1,5,IF(BA586=1,6,7))))))</f>
        <v>7</v>
      </c>
      <c r="BD586" s="65" t="n">
        <f aca="false">IF(AD586=1,CHOOSE('Historical Score'!$C$29,AV586,AW586,AX586,AY586,AZ586,BA586,BB586),0)</f>
        <v>0</v>
      </c>
      <c r="BE586" s="65" t="str">
        <f aca="false">IF(BD586=1,COUNTIF($BD$2:BD586,1),"")</f>
        <v/>
      </c>
    </row>
    <row r="587" customFormat="false" ht="15" hidden="false" customHeight="false" outlineLevel="0" collapsed="false">
      <c r="A587" s="65" t="s">
        <v>2068</v>
      </c>
      <c r="B587" s="65" t="s">
        <v>2069</v>
      </c>
      <c r="C587" s="65" t="s">
        <v>2069</v>
      </c>
      <c r="D587" s="65" t="s">
        <v>340</v>
      </c>
      <c r="E587" s="112" t="n">
        <v>46052</v>
      </c>
      <c r="F587" s="112" t="n">
        <v>46094</v>
      </c>
      <c r="G587" s="65" t="n">
        <v>1</v>
      </c>
      <c r="H587" s="65" t="s">
        <v>442</v>
      </c>
      <c r="I587" s="65" t="s">
        <v>443</v>
      </c>
      <c r="J587" s="65" t="s">
        <v>61</v>
      </c>
      <c r="K587" s="65" t="s">
        <v>1085</v>
      </c>
      <c r="L587" s="65" t="s">
        <v>64</v>
      </c>
      <c r="M587" s="113" t="n">
        <v>1.49</v>
      </c>
      <c r="N587" s="114" t="n">
        <v>30000</v>
      </c>
      <c r="O587" s="114" t="n">
        <v>4200</v>
      </c>
      <c r="P587" s="114" t="n">
        <v>44700</v>
      </c>
      <c r="Q587" s="114" t="n">
        <v>3723</v>
      </c>
      <c r="R587" s="114" t="n">
        <v>40977</v>
      </c>
      <c r="S587" s="115" t="n">
        <v>0.0832885906040269</v>
      </c>
      <c r="T587" s="65" t="n">
        <v>24</v>
      </c>
      <c r="U587" s="65" t="n">
        <v>3</v>
      </c>
      <c r="V587" s="65" t="n">
        <v>110638.91</v>
      </c>
      <c r="W587" s="115" t="n">
        <v>0.0673</v>
      </c>
      <c r="X587" s="112" t="n">
        <v>43120</v>
      </c>
      <c r="Y587" s="65" t="str">
        <f aca="false">IF(I587="","No SIC",IFERROR(VLOOKUP(I587,Ref!$A$2:$B$65,2,FALSE()),"Unclassified"))</f>
        <v>General Building Contractors</v>
      </c>
      <c r="Z587" s="65" t="str">
        <f aca="false">IF(T587="","",IF(T587&lt;12,"Daily","Weekly"))</f>
        <v>Weekly</v>
      </c>
      <c r="AA587" s="65" t="n">
        <f aca="false">IF(T587="",0,IF(T587&lt;12,T587*Controls!$B$29,T587*5))</f>
        <v>120</v>
      </c>
      <c r="AB587" s="65" t="n">
        <f aca="false">IF(E587="",0,NETWORKDAYS(E587,Controls!$B$36,Ref!$K$2:$K$42))</f>
        <v>145</v>
      </c>
      <c r="AC587" s="65" t="n">
        <f aca="false">IF(AND(AA587&gt;0,AB587&gt;=Controls!$B$39*AA587),1,0)</f>
        <v>0</v>
      </c>
      <c r="AD587" s="65" t="n">
        <f aca="false">IF(AND(E587&lt;&gt;"",E587&gt;=Controls!$B$37,E587&lt;=Controls!$B$38),1,0)</f>
        <v>1</v>
      </c>
      <c r="AE587" s="65" t="n">
        <f aca="false">IF(IFERROR(VLOOKUP(D587,Controls!$A$64:$E$74,2,FALSE()),"No")="Yes",1,0)</f>
        <v>1</v>
      </c>
      <c r="AF587" s="65" t="n">
        <f aca="false">IF(IFERROR(VLOOKUP(D587,Controls!$A$64:$E$74,3,FALSE()),"No")="Yes",1,0)</f>
        <v>0</v>
      </c>
      <c r="AG587" s="65" t="n">
        <f aca="false">IF(IFERROR(VLOOKUP(D587,Controls!$A$64:$E$74,4,FALSE()),"No")="Yes",1,0)</f>
        <v>0</v>
      </c>
      <c r="AH587" s="65" t="n">
        <f aca="false">IF(IFERROR(VLOOKUP(D587,Controls!$A$64:$E$74,5,FALSE()),"No")="Yes",1,0)</f>
        <v>0</v>
      </c>
      <c r="AI587" s="65" t="n">
        <f aca="false">IF(ISNUMBER(MATCH(D587,Controls!$A$64:$A$74,0)),1,0)</f>
        <v>1</v>
      </c>
      <c r="AJ587" s="65" t="n">
        <f aca="false">Q587-N587</f>
        <v>-26277</v>
      </c>
      <c r="AK587" s="65" t="n">
        <f aca="false">IF(AE587=1,MAX(0,N587-Q587),0)</f>
        <v>26277</v>
      </c>
      <c r="AL587" s="65" t="n">
        <f aca="false">IF(OR(V587="",V587=0),0,N587/V587)</f>
        <v>0.271152345951347</v>
      </c>
      <c r="AM587" s="65" t="n">
        <f aca="false">IF(OR(V587="",V587=0),0,1)</f>
        <v>1</v>
      </c>
      <c r="AN587" s="65" t="n">
        <f aca="false">IF(OR(E587="",F587=""),0,NETWORKDAYS(E587,F587,Ref!$K$2:$K$42))</f>
        <v>30</v>
      </c>
      <c r="AO587" s="65" t="n">
        <f aca="false">IF(L587="Renewal",1,0)</f>
        <v>0</v>
      </c>
      <c r="AP587" s="65" t="n">
        <f aca="false">AC587*AD587</f>
        <v>0</v>
      </c>
      <c r="AQ587" s="65" t="n">
        <f aca="false">IF(AND(G587&lt;&gt;"",'Historical Score'!$C$6&lt;&gt;""),IF(G587='Historical Score'!$C$6,1,0),0)</f>
        <v>0</v>
      </c>
      <c r="AR587" s="65" t="n">
        <f aca="false">IF(AND(L587&lt;&gt;"",'Historical Score'!$C$5&lt;&gt;""),IF(L587='Historical Score'!$C$5,1,0),0)</f>
        <v>1</v>
      </c>
      <c r="AS587" s="65" t="n">
        <f aca="false">IF(AND(Y587&lt;&gt;"",'Historical Score'!$C$7&lt;&gt;""),IF(Y587='Historical Score'!$C$7,1,0),0)</f>
        <v>1</v>
      </c>
      <c r="AT587" s="65" t="n">
        <f aca="false">IF(AND(K587&lt;&gt;"",'Historical Score'!$C$8&lt;&gt;""),IF(K587='Historical Score'!$C$8,1,0),0)</f>
        <v>0</v>
      </c>
      <c r="AU587" s="65" t="n">
        <f aca="false">IF(AND(J587&lt;&gt;"",'Historical Score'!$C$9&lt;&gt;""),IF(J587='Historical Score'!$C$9,1,0),0)</f>
        <v>1</v>
      </c>
      <c r="AV587" s="65" t="n">
        <f aca="false">AR587*AS587*AQ587</f>
        <v>0</v>
      </c>
      <c r="AW587" s="65" t="n">
        <f aca="false">AR587*AT587*AQ587</f>
        <v>0</v>
      </c>
      <c r="AX587" s="65" t="n">
        <f aca="false">AR587*AS587</f>
        <v>1</v>
      </c>
      <c r="AY587" s="65" t="n">
        <f aca="false">AR587*AT587</f>
        <v>0</v>
      </c>
      <c r="AZ587" s="65" t="n">
        <f aca="false">AR587*AQ587</f>
        <v>0</v>
      </c>
      <c r="BA587" s="65" t="n">
        <f aca="false">AR587</f>
        <v>1</v>
      </c>
      <c r="BB587" s="65" t="n">
        <f aca="false">1</f>
        <v>1</v>
      </c>
      <c r="BC587" s="65" t="n">
        <f aca="false">IF(AV587=1,1,IF(AW587=1,2,IF(AX587=1,3,IF(AY587=1,4,IF(AZ587=1,5,IF(BA587=1,6,7))))))</f>
        <v>3</v>
      </c>
      <c r="BD587" s="65" t="n">
        <f aca="false">IF(AD587=1,CHOOSE('Historical Score'!$C$29,AV587,AW587,AX587,AY587,AZ587,BA587,BB587),0)</f>
        <v>0</v>
      </c>
      <c r="BE587" s="65" t="str">
        <f aca="false">IF(BD587=1,COUNTIF($BD$2:BD587,1),"")</f>
        <v/>
      </c>
    </row>
    <row r="588" customFormat="false" ht="15" hidden="false" customHeight="false" outlineLevel="0" collapsed="false">
      <c r="A588" s="65" t="s">
        <v>2070</v>
      </c>
      <c r="B588" s="65" t="s">
        <v>2071</v>
      </c>
      <c r="C588" s="65" t="s">
        <v>2071</v>
      </c>
      <c r="D588" s="65" t="s">
        <v>371</v>
      </c>
      <c r="E588" s="112" t="n">
        <v>46055</v>
      </c>
      <c r="F588" s="112" t="n">
        <v>46136</v>
      </c>
      <c r="G588" s="65" t="n">
        <v>3</v>
      </c>
      <c r="H588" s="65" t="s">
        <v>2072</v>
      </c>
      <c r="I588" s="65" t="s">
        <v>425</v>
      </c>
      <c r="J588" s="65" t="s">
        <v>555</v>
      </c>
      <c r="K588" s="65" t="s">
        <v>983</v>
      </c>
      <c r="L588" s="65" t="s">
        <v>64</v>
      </c>
      <c r="M588" s="113" t="n">
        <v>1.49</v>
      </c>
      <c r="N588" s="114" t="n">
        <v>30000</v>
      </c>
      <c r="O588" s="114" t="n">
        <v>4200</v>
      </c>
      <c r="P588" s="114" t="n">
        <v>44700</v>
      </c>
      <c r="Q588" s="114" t="n">
        <v>44700</v>
      </c>
      <c r="R588" s="114" t="n">
        <v>0</v>
      </c>
      <c r="S588" s="115" t="n">
        <v>1</v>
      </c>
      <c r="T588" s="65" t="n">
        <v>2.951</v>
      </c>
      <c r="U588" s="65" t="n">
        <v>7</v>
      </c>
      <c r="V588" s="65" t="n">
        <v>57502.52</v>
      </c>
      <c r="W588" s="115" t="n">
        <v>0.1814</v>
      </c>
      <c r="X588" s="112"/>
      <c r="Y588" s="65" t="str">
        <f aca="false">IF(I588="","No SIC",IFERROR(VLOOKUP(I588,Ref!$A$2:$B$65,2,FALSE()),"Unclassified"))</f>
        <v>Personal Services</v>
      </c>
      <c r="Z588" s="65" t="str">
        <f aca="false">IF(T588="","",IF(T588&lt;12,"Daily","Weekly"))</f>
        <v>Daily</v>
      </c>
      <c r="AA588" s="65" t="n">
        <f aca="false">IF(T588="",0,IF(T588&lt;12,T588*Controls!$B$29,T588*5))</f>
        <v>63.903905</v>
      </c>
      <c r="AB588" s="65" t="n">
        <f aca="false">IF(E588="",0,NETWORKDAYS(E588,Controls!$B$36,Ref!$K$2:$K$42))</f>
        <v>144</v>
      </c>
      <c r="AC588" s="65" t="n">
        <f aca="false">IF(AND(AA588&gt;0,AB588&gt;=Controls!$B$39*AA588),1,0)</f>
        <v>1</v>
      </c>
      <c r="AD588" s="65" t="n">
        <f aca="false">IF(AND(E588&lt;&gt;"",E588&gt;=Controls!$B$37,E588&lt;=Controls!$B$38),1,0)</f>
        <v>1</v>
      </c>
      <c r="AE588" s="65" t="n">
        <f aca="false">IF(IFERROR(VLOOKUP(D588,Controls!$A$64:$E$74,2,FALSE()),"No")="Yes",1,0)</f>
        <v>0</v>
      </c>
      <c r="AF588" s="65" t="n">
        <f aca="false">IF(IFERROR(VLOOKUP(D588,Controls!$A$64:$E$74,3,FALSE()),"No")="Yes",1,0)</f>
        <v>1</v>
      </c>
      <c r="AG588" s="65" t="n">
        <f aca="false">IF(IFERROR(VLOOKUP(D588,Controls!$A$64:$E$74,4,FALSE()),"No")="Yes",1,0)</f>
        <v>1</v>
      </c>
      <c r="AH588" s="65" t="n">
        <f aca="false">IF(IFERROR(VLOOKUP(D588,Controls!$A$64:$E$74,5,FALSE()),"No")="Yes",1,0)</f>
        <v>0</v>
      </c>
      <c r="AI588" s="65" t="n">
        <f aca="false">IF(ISNUMBER(MATCH(D588,Controls!$A$64:$A$74,0)),1,0)</f>
        <v>1</v>
      </c>
      <c r="AJ588" s="65" t="n">
        <f aca="false">Q588-N588</f>
        <v>14700</v>
      </c>
      <c r="AK588" s="65" t="n">
        <f aca="false">IF(AE588=1,MAX(0,N588-Q588),0)</f>
        <v>0</v>
      </c>
      <c r="AL588" s="65" t="n">
        <f aca="false">IF(OR(V588="",V588=0),0,N588/V588)</f>
        <v>0.521716265652358</v>
      </c>
      <c r="AM588" s="65" t="n">
        <f aca="false">IF(OR(V588="",V588=0),0,1)</f>
        <v>1</v>
      </c>
      <c r="AN588" s="65" t="n">
        <f aca="false">IF(OR(E588="",F588=""),0,NETWORKDAYS(E588,F588,Ref!$K$2:$K$42))</f>
        <v>59</v>
      </c>
      <c r="AO588" s="65" t="n">
        <f aca="false">IF(L588="Renewal",1,0)</f>
        <v>0</v>
      </c>
      <c r="AP588" s="65" t="n">
        <f aca="false">AC588*AD588</f>
        <v>1</v>
      </c>
      <c r="AQ588" s="65" t="n">
        <f aca="false">IF(AND(G588&lt;&gt;"",'Historical Score'!$C$6&lt;&gt;""),IF(G588='Historical Score'!$C$6,1,0),0)</f>
        <v>0</v>
      </c>
      <c r="AR588" s="65" t="n">
        <f aca="false">IF(AND(L588&lt;&gt;"",'Historical Score'!$C$5&lt;&gt;""),IF(L588='Historical Score'!$C$5,1,0),0)</f>
        <v>1</v>
      </c>
      <c r="AS588" s="65" t="n">
        <f aca="false">IF(AND(Y588&lt;&gt;"",'Historical Score'!$C$7&lt;&gt;""),IF(Y588='Historical Score'!$C$7,1,0),0)</f>
        <v>0</v>
      </c>
      <c r="AT588" s="65" t="n">
        <f aca="false">IF(AND(K588&lt;&gt;"",'Historical Score'!$C$8&lt;&gt;""),IF(K588='Historical Score'!$C$8,1,0),0)</f>
        <v>0</v>
      </c>
      <c r="AU588" s="65" t="n">
        <f aca="false">IF(AND(J588&lt;&gt;"",'Historical Score'!$C$9&lt;&gt;""),IF(J588='Historical Score'!$C$9,1,0),0)</f>
        <v>0</v>
      </c>
      <c r="AV588" s="65" t="n">
        <f aca="false">AR588*AS588*AQ588</f>
        <v>0</v>
      </c>
      <c r="AW588" s="65" t="n">
        <f aca="false">AR588*AT588*AQ588</f>
        <v>0</v>
      </c>
      <c r="AX588" s="65" t="n">
        <f aca="false">AR588*AS588</f>
        <v>0</v>
      </c>
      <c r="AY588" s="65" t="n">
        <f aca="false">AR588*AT588</f>
        <v>0</v>
      </c>
      <c r="AZ588" s="65" t="n">
        <f aca="false">AR588*AQ588</f>
        <v>0</v>
      </c>
      <c r="BA588" s="65" t="n">
        <f aca="false">AR588</f>
        <v>1</v>
      </c>
      <c r="BB588" s="65" t="n">
        <f aca="false">1</f>
        <v>1</v>
      </c>
      <c r="BC588" s="65" t="n">
        <f aca="false">IF(AV588=1,1,IF(AW588=1,2,IF(AX588=1,3,IF(AY588=1,4,IF(AZ588=1,5,IF(BA588=1,6,7))))))</f>
        <v>6</v>
      </c>
      <c r="BD588" s="65" t="n">
        <f aca="false">IF(AD588=1,CHOOSE('Historical Score'!$C$29,AV588,AW588,AX588,AY588,AZ588,BA588,BB588),0)</f>
        <v>0</v>
      </c>
      <c r="BE588" s="65" t="str">
        <f aca="false">IF(BD588=1,COUNTIF($BD$2:BD588,1),"")</f>
        <v/>
      </c>
    </row>
    <row r="589" customFormat="false" ht="15" hidden="false" customHeight="false" outlineLevel="0" collapsed="false">
      <c r="A589" s="65" t="s">
        <v>2073</v>
      </c>
      <c r="B589" s="65" t="s">
        <v>1734</v>
      </c>
      <c r="C589" s="65" t="s">
        <v>1734</v>
      </c>
      <c r="D589" s="65" t="s">
        <v>340</v>
      </c>
      <c r="E589" s="112" t="n">
        <v>46055</v>
      </c>
      <c r="F589" s="112" t="n">
        <v>46234</v>
      </c>
      <c r="G589" s="65" t="n">
        <v>3</v>
      </c>
      <c r="H589" s="65" t="s">
        <v>1055</v>
      </c>
      <c r="I589" s="65" t="s">
        <v>643</v>
      </c>
      <c r="J589" s="65" t="s">
        <v>1155</v>
      </c>
      <c r="K589" s="65" t="s">
        <v>55</v>
      </c>
      <c r="L589" s="65" t="s">
        <v>320</v>
      </c>
      <c r="M589" s="113" t="n">
        <v>1.49</v>
      </c>
      <c r="N589" s="114" t="n">
        <v>15000</v>
      </c>
      <c r="O589" s="114" t="n">
        <v>2100</v>
      </c>
      <c r="P589" s="114" t="n">
        <v>22350</v>
      </c>
      <c r="Q589" s="114" t="n">
        <v>3083.53</v>
      </c>
      <c r="R589" s="114" t="n">
        <v>19266.47</v>
      </c>
      <c r="S589" s="115" t="n">
        <v>0.137965548098434</v>
      </c>
      <c r="T589" s="65" t="n">
        <v>3.934</v>
      </c>
      <c r="U589" s="65" t="n">
        <v>33</v>
      </c>
      <c r="V589" s="65" t="n">
        <v>25000</v>
      </c>
      <c r="W589" s="115" t="n">
        <v>0.2114</v>
      </c>
      <c r="X589" s="112" t="n">
        <v>45292</v>
      </c>
      <c r="Y589" s="65" t="str">
        <f aca="false">IF(I589="","No SIC",IFERROR(VLOOKUP(I589,Ref!$A$2:$B$65,2,FALSE()),"Unclassified"))</f>
        <v>Agricultural Services</v>
      </c>
      <c r="Z589" s="65" t="str">
        <f aca="false">IF(T589="","",IF(T589&lt;12,"Daily","Weekly"))</f>
        <v>Daily</v>
      </c>
      <c r="AA589" s="65" t="n">
        <f aca="false">IF(T589="",0,IF(T589&lt;12,T589*Controls!$B$29,T589*5))</f>
        <v>85.19077</v>
      </c>
      <c r="AB589" s="65" t="n">
        <f aca="false">IF(E589="",0,NETWORKDAYS(E589,Controls!$B$36,Ref!$K$2:$K$42))</f>
        <v>144</v>
      </c>
      <c r="AC589" s="65" t="n">
        <f aca="false">IF(AND(AA589&gt;0,AB589&gt;=Controls!$B$39*AA589),1,0)</f>
        <v>1</v>
      </c>
      <c r="AD589" s="65" t="n">
        <f aca="false">IF(AND(E589&lt;&gt;"",E589&gt;=Controls!$B$37,E589&lt;=Controls!$B$38),1,0)</f>
        <v>1</v>
      </c>
      <c r="AE589" s="65" t="n">
        <f aca="false">IF(IFERROR(VLOOKUP(D589,Controls!$A$64:$E$74,2,FALSE()),"No")="Yes",1,0)</f>
        <v>1</v>
      </c>
      <c r="AF589" s="65" t="n">
        <f aca="false">IF(IFERROR(VLOOKUP(D589,Controls!$A$64:$E$74,3,FALSE()),"No")="Yes",1,0)</f>
        <v>0</v>
      </c>
      <c r="AG589" s="65" t="n">
        <f aca="false">IF(IFERROR(VLOOKUP(D589,Controls!$A$64:$E$74,4,FALSE()),"No")="Yes",1,0)</f>
        <v>0</v>
      </c>
      <c r="AH589" s="65" t="n">
        <f aca="false">IF(IFERROR(VLOOKUP(D589,Controls!$A$64:$E$74,5,FALSE()),"No")="Yes",1,0)</f>
        <v>0</v>
      </c>
      <c r="AI589" s="65" t="n">
        <f aca="false">IF(ISNUMBER(MATCH(D589,Controls!$A$64:$A$74,0)),1,0)</f>
        <v>1</v>
      </c>
      <c r="AJ589" s="65" t="n">
        <f aca="false">Q589-N589</f>
        <v>-11916.47</v>
      </c>
      <c r="AK589" s="65" t="n">
        <f aca="false">IF(AE589=1,MAX(0,N589-Q589),0)</f>
        <v>11916.47</v>
      </c>
      <c r="AL589" s="65" t="n">
        <f aca="false">IF(OR(V589="",V589=0),0,N589/V589)</f>
        <v>0.6</v>
      </c>
      <c r="AM589" s="65" t="n">
        <f aca="false">IF(OR(V589="",V589=0),0,1)</f>
        <v>1</v>
      </c>
      <c r="AN589" s="65" t="n">
        <f aca="false">IF(OR(E589="",F589=""),0,NETWORKDAYS(E589,F589,Ref!$K$2:$K$42))</f>
        <v>127</v>
      </c>
      <c r="AO589" s="65" t="n">
        <f aca="false">IF(L589="Renewal",1,0)</f>
        <v>1</v>
      </c>
      <c r="AP589" s="65" t="n">
        <f aca="false">AC589*AD589</f>
        <v>1</v>
      </c>
      <c r="AQ589" s="65" t="n">
        <f aca="false">IF(AND(G589&lt;&gt;"",'Historical Score'!$C$6&lt;&gt;""),IF(G589='Historical Score'!$C$6,1,0),0)</f>
        <v>0</v>
      </c>
      <c r="AR589" s="65" t="n">
        <f aca="false">IF(AND(L589&lt;&gt;"",'Historical Score'!$C$5&lt;&gt;""),IF(L589='Historical Score'!$C$5,1,0),0)</f>
        <v>0</v>
      </c>
      <c r="AS589" s="65" t="n">
        <f aca="false">IF(AND(Y589&lt;&gt;"",'Historical Score'!$C$7&lt;&gt;""),IF(Y589='Historical Score'!$C$7,1,0),0)</f>
        <v>0</v>
      </c>
      <c r="AT589" s="65" t="n">
        <f aca="false">IF(AND(K589&lt;&gt;"",'Historical Score'!$C$8&lt;&gt;""),IF(K589='Historical Score'!$C$8,1,0),0)</f>
        <v>1</v>
      </c>
      <c r="AU589" s="65" t="n">
        <f aca="false">IF(AND(J589&lt;&gt;"",'Historical Score'!$C$9&lt;&gt;""),IF(J589='Historical Score'!$C$9,1,0),0)</f>
        <v>0</v>
      </c>
      <c r="AV589" s="65" t="n">
        <f aca="false">AR589*AS589*AQ589</f>
        <v>0</v>
      </c>
      <c r="AW589" s="65" t="n">
        <f aca="false">AR589*AT589*AQ589</f>
        <v>0</v>
      </c>
      <c r="AX589" s="65" t="n">
        <f aca="false">AR589*AS589</f>
        <v>0</v>
      </c>
      <c r="AY589" s="65" t="n">
        <f aca="false">AR589*AT589</f>
        <v>0</v>
      </c>
      <c r="AZ589" s="65" t="n">
        <f aca="false">AR589*AQ589</f>
        <v>0</v>
      </c>
      <c r="BA589" s="65" t="n">
        <f aca="false">AR589</f>
        <v>0</v>
      </c>
      <c r="BB589" s="65" t="n">
        <f aca="false">1</f>
        <v>1</v>
      </c>
      <c r="BC589" s="65" t="n">
        <f aca="false">IF(AV589=1,1,IF(AW589=1,2,IF(AX589=1,3,IF(AY589=1,4,IF(AZ589=1,5,IF(BA589=1,6,7))))))</f>
        <v>7</v>
      </c>
      <c r="BD589" s="65" t="n">
        <f aca="false">IF(AD589=1,CHOOSE('Historical Score'!$C$29,AV589,AW589,AX589,AY589,AZ589,BA589,BB589),0)</f>
        <v>0</v>
      </c>
      <c r="BE589" s="65" t="str">
        <f aca="false">IF(BD589=1,COUNTIF($BD$2:BD589,1),"")</f>
        <v/>
      </c>
    </row>
    <row r="590" customFormat="false" ht="15" hidden="false" customHeight="false" outlineLevel="0" collapsed="false">
      <c r="A590" s="65" t="s">
        <v>2074</v>
      </c>
      <c r="B590" s="65" t="s">
        <v>2075</v>
      </c>
      <c r="C590" s="65" t="s">
        <v>2076</v>
      </c>
      <c r="D590" s="65" t="s">
        <v>295</v>
      </c>
      <c r="E590" s="112" t="n">
        <v>46055</v>
      </c>
      <c r="F590" s="112" t="n">
        <v>46253</v>
      </c>
      <c r="G590" s="65" t="n">
        <v>3</v>
      </c>
      <c r="H590" s="65" t="s">
        <v>409</v>
      </c>
      <c r="I590" s="65" t="s">
        <v>342</v>
      </c>
      <c r="J590" s="65" t="s">
        <v>2077</v>
      </c>
      <c r="K590" s="65" t="s">
        <v>496</v>
      </c>
      <c r="L590" s="65" t="s">
        <v>64</v>
      </c>
      <c r="M590" s="113" t="n">
        <v>1.36</v>
      </c>
      <c r="N590" s="114" t="n">
        <v>200000</v>
      </c>
      <c r="O590" s="114" t="n">
        <v>15000</v>
      </c>
      <c r="P590" s="114" t="n">
        <v>272000</v>
      </c>
      <c r="Q590" s="114" t="n">
        <v>166900</v>
      </c>
      <c r="R590" s="114" t="n">
        <v>105100</v>
      </c>
      <c r="S590" s="115" t="n">
        <v>0.613602941176471</v>
      </c>
      <c r="T590" s="65" t="n">
        <v>5.246</v>
      </c>
      <c r="U590" s="65" t="n">
        <v>7</v>
      </c>
      <c r="V590" s="65" t="n">
        <v>478091.76</v>
      </c>
      <c r="W590" s="115" t="n">
        <v>0.0583</v>
      </c>
      <c r="X590" s="112" t="n">
        <v>44329</v>
      </c>
      <c r="Y590" s="65" t="str">
        <f aca="false">IF(I590="","No SIC",IFERROR(VLOOKUP(I590,Ref!$A$2:$B$65,2,FALSE()),"Unclassified"))</f>
        <v>Eating &amp; Drinking Places</v>
      </c>
      <c r="Z590" s="65" t="str">
        <f aca="false">IF(T590="","",IF(T590&lt;12,"Daily","Weekly"))</f>
        <v>Daily</v>
      </c>
      <c r="AA590" s="65" t="n">
        <f aca="false">IF(T590="",0,IF(T590&lt;12,T590*Controls!$B$29,T590*5))</f>
        <v>113.60213</v>
      </c>
      <c r="AB590" s="65" t="n">
        <f aca="false">IF(E590="",0,NETWORKDAYS(E590,Controls!$B$36,Ref!$K$2:$K$42))</f>
        <v>144</v>
      </c>
      <c r="AC590" s="65" t="n">
        <f aca="false">IF(AND(AA590&gt;0,AB590&gt;=Controls!$B$39*AA590),1,0)</f>
        <v>1</v>
      </c>
      <c r="AD590" s="65" t="n">
        <f aca="false">IF(AND(E590&lt;&gt;"",E590&gt;=Controls!$B$37,E590&lt;=Controls!$B$38),1,0)</f>
        <v>1</v>
      </c>
      <c r="AE590" s="65" t="n">
        <f aca="false">IF(IFERROR(VLOOKUP(D590,Controls!$A$64:$E$74,2,FALSE()),"No")="Yes",1,0)</f>
        <v>0</v>
      </c>
      <c r="AF590" s="65" t="n">
        <f aca="false">IF(IFERROR(VLOOKUP(D590,Controls!$A$64:$E$74,3,FALSE()),"No")="Yes",1,0)</f>
        <v>0</v>
      </c>
      <c r="AG590" s="65" t="n">
        <f aca="false">IF(IFERROR(VLOOKUP(D590,Controls!$A$64:$E$74,4,FALSE()),"No")="Yes",1,0)</f>
        <v>0</v>
      </c>
      <c r="AH590" s="65" t="n">
        <f aca="false">IF(IFERROR(VLOOKUP(D590,Controls!$A$64:$E$74,5,FALSE()),"No")="Yes",1,0)</f>
        <v>1</v>
      </c>
      <c r="AI590" s="65" t="n">
        <f aca="false">IF(ISNUMBER(MATCH(D590,Controls!$A$64:$A$74,0)),1,0)</f>
        <v>1</v>
      </c>
      <c r="AJ590" s="65" t="n">
        <f aca="false">Q590-N590</f>
        <v>-33100</v>
      </c>
      <c r="AK590" s="65" t="n">
        <f aca="false">IF(AE590=1,MAX(0,N590-Q590),0)</f>
        <v>0</v>
      </c>
      <c r="AL590" s="65" t="n">
        <f aca="false">IF(OR(V590="",V590=0),0,N590/V590)</f>
        <v>0.418329736534259</v>
      </c>
      <c r="AM590" s="65" t="n">
        <f aca="false">IF(OR(V590="",V590=0),0,1)</f>
        <v>1</v>
      </c>
      <c r="AN590" s="65" t="n">
        <f aca="false">IF(OR(E590="",F590=""),0,NETWORKDAYS(E590,F590,Ref!$K$2:$K$42))</f>
        <v>140</v>
      </c>
      <c r="AO590" s="65" t="n">
        <f aca="false">IF(L590="Renewal",1,0)</f>
        <v>0</v>
      </c>
      <c r="AP590" s="65" t="n">
        <f aca="false">AC590*AD590</f>
        <v>1</v>
      </c>
      <c r="AQ590" s="65" t="n">
        <f aca="false">IF(AND(G590&lt;&gt;"",'Historical Score'!$C$6&lt;&gt;""),IF(G590='Historical Score'!$C$6,1,0),0)</f>
        <v>0</v>
      </c>
      <c r="AR590" s="65" t="n">
        <f aca="false">IF(AND(L590&lt;&gt;"",'Historical Score'!$C$5&lt;&gt;""),IF(L590='Historical Score'!$C$5,1,0),0)</f>
        <v>1</v>
      </c>
      <c r="AS590" s="65" t="n">
        <f aca="false">IF(AND(Y590&lt;&gt;"",'Historical Score'!$C$7&lt;&gt;""),IF(Y590='Historical Score'!$C$7,1,0),0)</f>
        <v>0</v>
      </c>
      <c r="AT590" s="65" t="n">
        <f aca="false">IF(AND(K590&lt;&gt;"",'Historical Score'!$C$8&lt;&gt;""),IF(K590='Historical Score'!$C$8,1,0),0)</f>
        <v>0</v>
      </c>
      <c r="AU590" s="65" t="n">
        <f aca="false">IF(AND(J590&lt;&gt;"",'Historical Score'!$C$9&lt;&gt;""),IF(J590='Historical Score'!$C$9,1,0),0)</f>
        <v>0</v>
      </c>
      <c r="AV590" s="65" t="n">
        <f aca="false">AR590*AS590*AQ590</f>
        <v>0</v>
      </c>
      <c r="AW590" s="65" t="n">
        <f aca="false">AR590*AT590*AQ590</f>
        <v>0</v>
      </c>
      <c r="AX590" s="65" t="n">
        <f aca="false">AR590*AS590</f>
        <v>0</v>
      </c>
      <c r="AY590" s="65" t="n">
        <f aca="false">AR590*AT590</f>
        <v>0</v>
      </c>
      <c r="AZ590" s="65" t="n">
        <f aca="false">AR590*AQ590</f>
        <v>0</v>
      </c>
      <c r="BA590" s="65" t="n">
        <f aca="false">AR590</f>
        <v>1</v>
      </c>
      <c r="BB590" s="65" t="n">
        <f aca="false">1</f>
        <v>1</v>
      </c>
      <c r="BC590" s="65" t="n">
        <f aca="false">IF(AV590=1,1,IF(AW590=1,2,IF(AX590=1,3,IF(AY590=1,4,IF(AZ590=1,5,IF(BA590=1,6,7))))))</f>
        <v>6</v>
      </c>
      <c r="BD590" s="65" t="n">
        <f aca="false">IF(AD590=1,CHOOSE('Historical Score'!$C$29,AV590,AW590,AX590,AY590,AZ590,BA590,BB590),0)</f>
        <v>0</v>
      </c>
      <c r="BE590" s="65" t="str">
        <f aca="false">IF(BD590=1,COUNTIF($BD$2:BD590,1),"")</f>
        <v/>
      </c>
    </row>
    <row r="591" customFormat="false" ht="15" hidden="false" customHeight="false" outlineLevel="0" collapsed="false">
      <c r="A591" s="65" t="s">
        <v>2078</v>
      </c>
      <c r="B591" s="65" t="s">
        <v>1119</v>
      </c>
      <c r="C591" s="65" t="s">
        <v>1119</v>
      </c>
      <c r="D591" s="65" t="s">
        <v>1348</v>
      </c>
      <c r="E591" s="112" t="n">
        <v>46056</v>
      </c>
      <c r="F591" s="112" t="n">
        <v>46216</v>
      </c>
      <c r="G591" s="65" t="n">
        <v>2</v>
      </c>
      <c r="H591" s="65" t="s">
        <v>500</v>
      </c>
      <c r="I591" s="65" t="s">
        <v>475</v>
      </c>
      <c r="J591" s="65" t="s">
        <v>506</v>
      </c>
      <c r="K591" s="65" t="s">
        <v>1120</v>
      </c>
      <c r="L591" s="65" t="s">
        <v>64</v>
      </c>
      <c r="M591" s="113" t="n">
        <v>1.49</v>
      </c>
      <c r="N591" s="114" t="n">
        <v>25000</v>
      </c>
      <c r="O591" s="114" t="n">
        <v>3500</v>
      </c>
      <c r="P591" s="114" t="n">
        <v>37250</v>
      </c>
      <c r="Q591" s="114" t="n">
        <v>37250</v>
      </c>
      <c r="R591" s="114" t="n">
        <v>0</v>
      </c>
      <c r="S591" s="115" t="n">
        <v>1</v>
      </c>
      <c r="T591" s="65" t="n">
        <v>3.279</v>
      </c>
      <c r="U591" s="65" t="n">
        <v>13</v>
      </c>
      <c r="V591" s="65" t="n">
        <v>32903.61</v>
      </c>
      <c r="W591" s="115" t="n">
        <v>0.2377</v>
      </c>
      <c r="X591" s="112"/>
      <c r="Y591" s="65" t="str">
        <f aca="false">IF(I591="","No SIC",IFERROR(VLOOKUP(I591,Ref!$A$2:$B$65,2,FALSE()),"Unclassified"))</f>
        <v>Auto Repair &amp; Services</v>
      </c>
      <c r="Z591" s="65" t="str">
        <f aca="false">IF(T591="","",IF(T591&lt;12,"Daily","Weekly"))</f>
        <v>Daily</v>
      </c>
      <c r="AA591" s="65" t="n">
        <f aca="false">IF(T591="",0,IF(T591&lt;12,T591*Controls!$B$29,T591*5))</f>
        <v>71.006745</v>
      </c>
      <c r="AB591" s="65" t="n">
        <f aca="false">IF(E591="",0,NETWORKDAYS(E591,Controls!$B$36,Ref!$K$2:$K$42))</f>
        <v>143</v>
      </c>
      <c r="AC591" s="65" t="n">
        <f aca="false">IF(AND(AA591&gt;0,AB591&gt;=Controls!$B$39*AA591),1,0)</f>
        <v>1</v>
      </c>
      <c r="AD591" s="65" t="n">
        <f aca="false">IF(AND(E591&lt;&gt;"",E591&gt;=Controls!$B$37,E591&lt;=Controls!$B$38),1,0)</f>
        <v>1</v>
      </c>
      <c r="AE591" s="65" t="n">
        <f aca="false">IF(IFERROR(VLOOKUP(D591,Controls!$A$64:$E$74,2,FALSE()),"No")="Yes",1,0)</f>
        <v>0</v>
      </c>
      <c r="AF591" s="65" t="n">
        <f aca="false">IF(IFERROR(VLOOKUP(D591,Controls!$A$64:$E$74,3,FALSE()),"No")="Yes",1,0)</f>
        <v>1</v>
      </c>
      <c r="AG591" s="65" t="n">
        <f aca="false">IF(IFERROR(VLOOKUP(D591,Controls!$A$64:$E$74,4,FALSE()),"No")="Yes",1,0)</f>
        <v>1</v>
      </c>
      <c r="AH591" s="65" t="n">
        <f aca="false">IF(IFERROR(VLOOKUP(D591,Controls!$A$64:$E$74,5,FALSE()),"No")="Yes",1,0)</f>
        <v>0</v>
      </c>
      <c r="AI591" s="65" t="n">
        <f aca="false">IF(ISNUMBER(MATCH(D591,Controls!$A$64:$A$74,0)),1,0)</f>
        <v>1</v>
      </c>
      <c r="AJ591" s="65" t="n">
        <f aca="false">Q591-N591</f>
        <v>12250</v>
      </c>
      <c r="AK591" s="65" t="n">
        <f aca="false">IF(AE591=1,MAX(0,N591-Q591),0)</f>
        <v>0</v>
      </c>
      <c r="AL591" s="65" t="n">
        <f aca="false">IF(OR(V591="",V591=0),0,N591/V591)</f>
        <v>0.759795049844075</v>
      </c>
      <c r="AM591" s="65" t="n">
        <f aca="false">IF(OR(V591="",V591=0),0,1)</f>
        <v>1</v>
      </c>
      <c r="AN591" s="65" t="n">
        <f aca="false">IF(OR(E591="",F591=""),0,NETWORKDAYS(E591,F591,Ref!$K$2:$K$42))</f>
        <v>112</v>
      </c>
      <c r="AO591" s="65" t="n">
        <f aca="false">IF(L591="Renewal",1,0)</f>
        <v>0</v>
      </c>
      <c r="AP591" s="65" t="n">
        <f aca="false">AC591*AD591</f>
        <v>1</v>
      </c>
      <c r="AQ591" s="65" t="n">
        <f aca="false">IF(AND(G591&lt;&gt;"",'Historical Score'!$C$6&lt;&gt;""),IF(G591='Historical Score'!$C$6,1,0),0)</f>
        <v>1</v>
      </c>
      <c r="AR591" s="65" t="n">
        <f aca="false">IF(AND(L591&lt;&gt;"",'Historical Score'!$C$5&lt;&gt;""),IF(L591='Historical Score'!$C$5,1,0),0)</f>
        <v>1</v>
      </c>
      <c r="AS591" s="65" t="n">
        <f aca="false">IF(AND(Y591&lt;&gt;"",'Historical Score'!$C$7&lt;&gt;""),IF(Y591='Historical Score'!$C$7,1,0),0)</f>
        <v>0</v>
      </c>
      <c r="AT591" s="65" t="n">
        <f aca="false">IF(AND(K591&lt;&gt;"",'Historical Score'!$C$8&lt;&gt;""),IF(K591='Historical Score'!$C$8,1,0),0)</f>
        <v>0</v>
      </c>
      <c r="AU591" s="65" t="n">
        <f aca="false">IF(AND(J591&lt;&gt;"",'Historical Score'!$C$9&lt;&gt;""),IF(J591='Historical Score'!$C$9,1,0),0)</f>
        <v>0</v>
      </c>
      <c r="AV591" s="65" t="n">
        <f aca="false">AR591*AS591*AQ591</f>
        <v>0</v>
      </c>
      <c r="AW591" s="65" t="n">
        <f aca="false">AR591*AT591*AQ591</f>
        <v>0</v>
      </c>
      <c r="AX591" s="65" t="n">
        <f aca="false">AR591*AS591</f>
        <v>0</v>
      </c>
      <c r="AY591" s="65" t="n">
        <f aca="false">AR591*AT591</f>
        <v>0</v>
      </c>
      <c r="AZ591" s="65" t="n">
        <f aca="false">AR591*AQ591</f>
        <v>1</v>
      </c>
      <c r="BA591" s="65" t="n">
        <f aca="false">AR591</f>
        <v>1</v>
      </c>
      <c r="BB591" s="65" t="n">
        <f aca="false">1</f>
        <v>1</v>
      </c>
      <c r="BC591" s="65" t="n">
        <f aca="false">IF(AV591=1,1,IF(AW591=1,2,IF(AX591=1,3,IF(AY591=1,4,IF(AZ591=1,5,IF(BA591=1,6,7))))))</f>
        <v>5</v>
      </c>
      <c r="BD591" s="65" t="n">
        <f aca="false">IF(AD591=1,CHOOSE('Historical Score'!$C$29,AV591,AW591,AX591,AY591,AZ591,BA591,BB591),0)</f>
        <v>0</v>
      </c>
      <c r="BE591" s="65" t="str">
        <f aca="false">IF(BD591=1,COUNTIF($BD$2:BD591,1),"")</f>
        <v/>
      </c>
    </row>
    <row r="592" customFormat="false" ht="15" hidden="false" customHeight="false" outlineLevel="0" collapsed="false">
      <c r="A592" s="65" t="s">
        <v>2079</v>
      </c>
      <c r="B592" s="65" t="s">
        <v>2080</v>
      </c>
      <c r="C592" s="65" t="s">
        <v>2080</v>
      </c>
      <c r="D592" s="65" t="s">
        <v>295</v>
      </c>
      <c r="E592" s="112" t="n">
        <v>46056</v>
      </c>
      <c r="F592" s="112" t="n">
        <v>46253</v>
      </c>
      <c r="G592" s="65" t="n">
        <v>2</v>
      </c>
      <c r="H592" s="65" t="s">
        <v>593</v>
      </c>
      <c r="I592" s="65" t="s">
        <v>425</v>
      </c>
      <c r="J592" s="65" t="s">
        <v>510</v>
      </c>
      <c r="K592" s="65" t="s">
        <v>1788</v>
      </c>
      <c r="L592" s="65" t="s">
        <v>64</v>
      </c>
      <c r="M592" s="113" t="n">
        <v>1.45</v>
      </c>
      <c r="N592" s="114" t="n">
        <v>25000</v>
      </c>
      <c r="O592" s="114" t="n">
        <v>3000</v>
      </c>
      <c r="P592" s="114" t="n">
        <v>36250</v>
      </c>
      <c r="Q592" s="114" t="n">
        <v>32612.76</v>
      </c>
      <c r="R592" s="114" t="n">
        <v>3637.24</v>
      </c>
      <c r="S592" s="115" t="n">
        <v>0.899662344827586</v>
      </c>
      <c r="T592" s="65" t="n">
        <v>3.934</v>
      </c>
      <c r="U592" s="65" t="n">
        <v>23</v>
      </c>
      <c r="V592" s="65" t="n">
        <v>64774.47</v>
      </c>
      <c r="W592" s="115" t="n">
        <v>0.0979</v>
      </c>
      <c r="X592" s="112" t="n">
        <v>45643</v>
      </c>
      <c r="Y592" s="65" t="str">
        <f aca="false">IF(I592="","No SIC",IFERROR(VLOOKUP(I592,Ref!$A$2:$B$65,2,FALSE()),"Unclassified"))</f>
        <v>Personal Services</v>
      </c>
      <c r="Z592" s="65" t="str">
        <f aca="false">IF(T592="","",IF(T592&lt;12,"Daily","Weekly"))</f>
        <v>Daily</v>
      </c>
      <c r="AA592" s="65" t="n">
        <f aca="false">IF(T592="",0,IF(T592&lt;12,T592*Controls!$B$29,T592*5))</f>
        <v>85.19077</v>
      </c>
      <c r="AB592" s="65" t="n">
        <f aca="false">IF(E592="",0,NETWORKDAYS(E592,Controls!$B$36,Ref!$K$2:$K$42))</f>
        <v>143</v>
      </c>
      <c r="AC592" s="65" t="n">
        <f aca="false">IF(AND(AA592&gt;0,AB592&gt;=Controls!$B$39*AA592),1,0)</f>
        <v>1</v>
      </c>
      <c r="AD592" s="65" t="n">
        <f aca="false">IF(AND(E592&lt;&gt;"",E592&gt;=Controls!$B$37,E592&lt;=Controls!$B$38),1,0)</f>
        <v>1</v>
      </c>
      <c r="AE592" s="65" t="n">
        <f aca="false">IF(IFERROR(VLOOKUP(D592,Controls!$A$64:$E$74,2,FALSE()),"No")="Yes",1,0)</f>
        <v>0</v>
      </c>
      <c r="AF592" s="65" t="n">
        <f aca="false">IF(IFERROR(VLOOKUP(D592,Controls!$A$64:$E$74,3,FALSE()),"No")="Yes",1,0)</f>
        <v>0</v>
      </c>
      <c r="AG592" s="65" t="n">
        <f aca="false">IF(IFERROR(VLOOKUP(D592,Controls!$A$64:$E$74,4,FALSE()),"No")="Yes",1,0)</f>
        <v>0</v>
      </c>
      <c r="AH592" s="65" t="n">
        <f aca="false">IF(IFERROR(VLOOKUP(D592,Controls!$A$64:$E$74,5,FALSE()),"No")="Yes",1,0)</f>
        <v>1</v>
      </c>
      <c r="AI592" s="65" t="n">
        <f aca="false">IF(ISNUMBER(MATCH(D592,Controls!$A$64:$A$74,0)),1,0)</f>
        <v>1</v>
      </c>
      <c r="AJ592" s="65" t="n">
        <f aca="false">Q592-N592</f>
        <v>7612.76</v>
      </c>
      <c r="AK592" s="65" t="n">
        <f aca="false">IF(AE592=1,MAX(0,N592-Q592),0)</f>
        <v>0</v>
      </c>
      <c r="AL592" s="65" t="n">
        <f aca="false">IF(OR(V592="",V592=0),0,N592/V592)</f>
        <v>0.385954528072557</v>
      </c>
      <c r="AM592" s="65" t="n">
        <f aca="false">IF(OR(V592="",V592=0),0,1)</f>
        <v>1</v>
      </c>
      <c r="AN592" s="65" t="n">
        <f aca="false">IF(OR(E592="",F592=""),0,NETWORKDAYS(E592,F592,Ref!$K$2:$K$42))</f>
        <v>139</v>
      </c>
      <c r="AO592" s="65" t="n">
        <f aca="false">IF(L592="Renewal",1,0)</f>
        <v>0</v>
      </c>
      <c r="AP592" s="65" t="n">
        <f aca="false">AC592*AD592</f>
        <v>1</v>
      </c>
      <c r="AQ592" s="65" t="n">
        <f aca="false">IF(AND(G592&lt;&gt;"",'Historical Score'!$C$6&lt;&gt;""),IF(G592='Historical Score'!$C$6,1,0),0)</f>
        <v>1</v>
      </c>
      <c r="AR592" s="65" t="n">
        <f aca="false">IF(AND(L592&lt;&gt;"",'Historical Score'!$C$5&lt;&gt;""),IF(L592='Historical Score'!$C$5,1,0),0)</f>
        <v>1</v>
      </c>
      <c r="AS592" s="65" t="n">
        <f aca="false">IF(AND(Y592&lt;&gt;"",'Historical Score'!$C$7&lt;&gt;""),IF(Y592='Historical Score'!$C$7,1,0),0)</f>
        <v>0</v>
      </c>
      <c r="AT592" s="65" t="n">
        <f aca="false">IF(AND(K592&lt;&gt;"",'Historical Score'!$C$8&lt;&gt;""),IF(K592='Historical Score'!$C$8,1,0),0)</f>
        <v>0</v>
      </c>
      <c r="AU592" s="65" t="n">
        <f aca="false">IF(AND(J592&lt;&gt;"",'Historical Score'!$C$9&lt;&gt;""),IF(J592='Historical Score'!$C$9,1,0),0)</f>
        <v>0</v>
      </c>
      <c r="AV592" s="65" t="n">
        <f aca="false">AR592*AS592*AQ592</f>
        <v>0</v>
      </c>
      <c r="AW592" s="65" t="n">
        <f aca="false">AR592*AT592*AQ592</f>
        <v>0</v>
      </c>
      <c r="AX592" s="65" t="n">
        <f aca="false">AR592*AS592</f>
        <v>0</v>
      </c>
      <c r="AY592" s="65" t="n">
        <f aca="false">AR592*AT592</f>
        <v>0</v>
      </c>
      <c r="AZ592" s="65" t="n">
        <f aca="false">AR592*AQ592</f>
        <v>1</v>
      </c>
      <c r="BA592" s="65" t="n">
        <f aca="false">AR592</f>
        <v>1</v>
      </c>
      <c r="BB592" s="65" t="n">
        <f aca="false">1</f>
        <v>1</v>
      </c>
      <c r="BC592" s="65" t="n">
        <f aca="false">IF(AV592=1,1,IF(AW592=1,2,IF(AX592=1,3,IF(AY592=1,4,IF(AZ592=1,5,IF(BA592=1,6,7))))))</f>
        <v>5</v>
      </c>
      <c r="BD592" s="65" t="n">
        <f aca="false">IF(AD592=1,CHOOSE('Historical Score'!$C$29,AV592,AW592,AX592,AY592,AZ592,BA592,BB592),0)</f>
        <v>0</v>
      </c>
      <c r="BE592" s="65" t="str">
        <f aca="false">IF(BD592=1,COUNTIF($BD$2:BD592,1),"")</f>
        <v/>
      </c>
    </row>
    <row r="593" customFormat="false" ht="15" hidden="false" customHeight="false" outlineLevel="0" collapsed="false">
      <c r="A593" s="65" t="s">
        <v>2081</v>
      </c>
      <c r="B593" s="65" t="s">
        <v>2082</v>
      </c>
      <c r="C593" s="65" t="s">
        <v>2082</v>
      </c>
      <c r="D593" s="65" t="s">
        <v>340</v>
      </c>
      <c r="E593" s="112" t="n">
        <v>46056</v>
      </c>
      <c r="F593" s="112" t="n">
        <v>46090</v>
      </c>
      <c r="G593" s="65" t="n">
        <v>3</v>
      </c>
      <c r="H593" s="65" t="s">
        <v>442</v>
      </c>
      <c r="I593" s="65" t="s">
        <v>443</v>
      </c>
      <c r="J593" s="65" t="s">
        <v>61</v>
      </c>
      <c r="K593" s="65" t="s">
        <v>2083</v>
      </c>
      <c r="L593" s="65" t="s">
        <v>64</v>
      </c>
      <c r="M593" s="113" t="n">
        <v>1.35</v>
      </c>
      <c r="N593" s="114" t="n">
        <v>40000</v>
      </c>
      <c r="O593" s="114" t="n">
        <v>2800</v>
      </c>
      <c r="P593" s="114" t="n">
        <v>54000</v>
      </c>
      <c r="Q593" s="114" t="n">
        <v>5794.14</v>
      </c>
      <c r="R593" s="114" t="n">
        <v>48205.86</v>
      </c>
      <c r="S593" s="115" t="n">
        <v>0.107298888888889</v>
      </c>
      <c r="T593" s="65" t="n">
        <v>28</v>
      </c>
      <c r="U593" s="65" t="n">
        <v>1</v>
      </c>
      <c r="V593" s="65" t="n">
        <v>228565.17</v>
      </c>
      <c r="W593" s="115" t="n">
        <v>0.0338</v>
      </c>
      <c r="X593" s="112" t="n">
        <v>45614</v>
      </c>
      <c r="Y593" s="65" t="str">
        <f aca="false">IF(I593="","No SIC",IFERROR(VLOOKUP(I593,Ref!$A$2:$B$65,2,FALSE()),"Unclassified"))</f>
        <v>General Building Contractors</v>
      </c>
      <c r="Z593" s="65" t="str">
        <f aca="false">IF(T593="","",IF(T593&lt;12,"Daily","Weekly"))</f>
        <v>Weekly</v>
      </c>
      <c r="AA593" s="65" t="n">
        <f aca="false">IF(T593="",0,IF(T593&lt;12,T593*Controls!$B$29,T593*5))</f>
        <v>140</v>
      </c>
      <c r="AB593" s="65" t="n">
        <f aca="false">IF(E593="",0,NETWORKDAYS(E593,Controls!$B$36,Ref!$K$2:$K$42))</f>
        <v>143</v>
      </c>
      <c r="AC593" s="65" t="n">
        <f aca="false">IF(AND(AA593&gt;0,AB593&gt;=Controls!$B$39*AA593),1,0)</f>
        <v>0</v>
      </c>
      <c r="AD593" s="65" t="n">
        <f aca="false">IF(AND(E593&lt;&gt;"",E593&gt;=Controls!$B$37,E593&lt;=Controls!$B$38),1,0)</f>
        <v>1</v>
      </c>
      <c r="AE593" s="65" t="n">
        <f aca="false">IF(IFERROR(VLOOKUP(D593,Controls!$A$64:$E$74,2,FALSE()),"No")="Yes",1,0)</f>
        <v>1</v>
      </c>
      <c r="AF593" s="65" t="n">
        <f aca="false">IF(IFERROR(VLOOKUP(D593,Controls!$A$64:$E$74,3,FALSE()),"No")="Yes",1,0)</f>
        <v>0</v>
      </c>
      <c r="AG593" s="65" t="n">
        <f aca="false">IF(IFERROR(VLOOKUP(D593,Controls!$A$64:$E$74,4,FALSE()),"No")="Yes",1,0)</f>
        <v>0</v>
      </c>
      <c r="AH593" s="65" t="n">
        <f aca="false">IF(IFERROR(VLOOKUP(D593,Controls!$A$64:$E$74,5,FALSE()),"No")="Yes",1,0)</f>
        <v>0</v>
      </c>
      <c r="AI593" s="65" t="n">
        <f aca="false">IF(ISNUMBER(MATCH(D593,Controls!$A$64:$A$74,0)),1,0)</f>
        <v>1</v>
      </c>
      <c r="AJ593" s="65" t="n">
        <f aca="false">Q593-N593</f>
        <v>-34205.86</v>
      </c>
      <c r="AK593" s="65" t="n">
        <f aca="false">IF(AE593=1,MAX(0,N593-Q593),0)</f>
        <v>34205.86</v>
      </c>
      <c r="AL593" s="65" t="n">
        <f aca="false">IF(OR(V593="",V593=0),0,N593/V593)</f>
        <v>0.175004791849957</v>
      </c>
      <c r="AM593" s="65" t="n">
        <f aca="false">IF(OR(V593="",V593=0),0,1)</f>
        <v>1</v>
      </c>
      <c r="AN593" s="65" t="n">
        <f aca="false">IF(OR(E593="",F593=""),0,NETWORKDAYS(E593,F593,Ref!$K$2:$K$42))</f>
        <v>24</v>
      </c>
      <c r="AO593" s="65" t="n">
        <f aca="false">IF(L593="Renewal",1,0)</f>
        <v>0</v>
      </c>
      <c r="AP593" s="65" t="n">
        <f aca="false">AC593*AD593</f>
        <v>0</v>
      </c>
      <c r="AQ593" s="65" t="n">
        <f aca="false">IF(AND(G593&lt;&gt;"",'Historical Score'!$C$6&lt;&gt;""),IF(G593='Historical Score'!$C$6,1,0),0)</f>
        <v>0</v>
      </c>
      <c r="AR593" s="65" t="n">
        <f aca="false">IF(AND(L593&lt;&gt;"",'Historical Score'!$C$5&lt;&gt;""),IF(L593='Historical Score'!$C$5,1,0),0)</f>
        <v>1</v>
      </c>
      <c r="AS593" s="65" t="n">
        <f aca="false">IF(AND(Y593&lt;&gt;"",'Historical Score'!$C$7&lt;&gt;""),IF(Y593='Historical Score'!$C$7,1,0),0)</f>
        <v>1</v>
      </c>
      <c r="AT593" s="65" t="n">
        <f aca="false">IF(AND(K593&lt;&gt;"",'Historical Score'!$C$8&lt;&gt;""),IF(K593='Historical Score'!$C$8,1,0),0)</f>
        <v>0</v>
      </c>
      <c r="AU593" s="65" t="n">
        <f aca="false">IF(AND(J593&lt;&gt;"",'Historical Score'!$C$9&lt;&gt;""),IF(J593='Historical Score'!$C$9,1,0),0)</f>
        <v>1</v>
      </c>
      <c r="AV593" s="65" t="n">
        <f aca="false">AR593*AS593*AQ593</f>
        <v>0</v>
      </c>
      <c r="AW593" s="65" t="n">
        <f aca="false">AR593*AT593*AQ593</f>
        <v>0</v>
      </c>
      <c r="AX593" s="65" t="n">
        <f aca="false">AR593*AS593</f>
        <v>1</v>
      </c>
      <c r="AY593" s="65" t="n">
        <f aca="false">AR593*AT593</f>
        <v>0</v>
      </c>
      <c r="AZ593" s="65" t="n">
        <f aca="false">AR593*AQ593</f>
        <v>0</v>
      </c>
      <c r="BA593" s="65" t="n">
        <f aca="false">AR593</f>
        <v>1</v>
      </c>
      <c r="BB593" s="65" t="n">
        <f aca="false">1</f>
        <v>1</v>
      </c>
      <c r="BC593" s="65" t="n">
        <f aca="false">IF(AV593=1,1,IF(AW593=1,2,IF(AX593=1,3,IF(AY593=1,4,IF(AZ593=1,5,IF(BA593=1,6,7))))))</f>
        <v>3</v>
      </c>
      <c r="BD593" s="65" t="n">
        <f aca="false">IF(AD593=1,CHOOSE('Historical Score'!$C$29,AV593,AW593,AX593,AY593,AZ593,BA593,BB593),0)</f>
        <v>0</v>
      </c>
      <c r="BE593" s="65" t="str">
        <f aca="false">IF(BD593=1,COUNTIF($BD$2:BD593,1),"")</f>
        <v/>
      </c>
    </row>
    <row r="594" customFormat="false" ht="15" hidden="false" customHeight="false" outlineLevel="0" collapsed="false">
      <c r="A594" s="65" t="s">
        <v>2084</v>
      </c>
      <c r="B594" s="65" t="s">
        <v>2085</v>
      </c>
      <c r="C594" s="65" t="s">
        <v>2085</v>
      </c>
      <c r="D594" s="65" t="s">
        <v>295</v>
      </c>
      <c r="E594" s="112" t="n">
        <v>46056</v>
      </c>
      <c r="F594" s="112" t="n">
        <v>46253</v>
      </c>
      <c r="G594" s="65" t="n">
        <v>3</v>
      </c>
      <c r="H594" s="65" t="s">
        <v>479</v>
      </c>
      <c r="I594" s="65" t="s">
        <v>356</v>
      </c>
      <c r="J594" s="65" t="s">
        <v>452</v>
      </c>
      <c r="K594" s="65" t="s">
        <v>55</v>
      </c>
      <c r="L594" s="65" t="s">
        <v>64</v>
      </c>
      <c r="M594" s="113" t="n">
        <v>1.49</v>
      </c>
      <c r="N594" s="114" t="n">
        <v>20000</v>
      </c>
      <c r="O594" s="114" t="n">
        <v>2800</v>
      </c>
      <c r="P594" s="114" t="n">
        <v>29800</v>
      </c>
      <c r="Q594" s="114" t="n">
        <v>26795.88</v>
      </c>
      <c r="R594" s="114" t="n">
        <v>3004.12</v>
      </c>
      <c r="S594" s="115" t="n">
        <v>0.899190604026846</v>
      </c>
      <c r="T594" s="65" t="n">
        <v>3.934</v>
      </c>
      <c r="U594" s="65" t="n">
        <v>19</v>
      </c>
      <c r="V594" s="65" t="n">
        <v>148441.71</v>
      </c>
      <c r="W594" s="115" t="n">
        <v>0.0351</v>
      </c>
      <c r="X594" s="112" t="n">
        <v>40299</v>
      </c>
      <c r="Y594" s="65" t="str">
        <f aca="false">IF(I594="","No SIC",IFERROR(VLOOKUP(I594,Ref!$A$2:$B$65,2,FALSE()),"Unclassified"))</f>
        <v>Trucking &amp; Warehousing</v>
      </c>
      <c r="Z594" s="65" t="str">
        <f aca="false">IF(T594="","",IF(T594&lt;12,"Daily","Weekly"))</f>
        <v>Daily</v>
      </c>
      <c r="AA594" s="65" t="n">
        <f aca="false">IF(T594="",0,IF(T594&lt;12,T594*Controls!$B$29,T594*5))</f>
        <v>85.19077</v>
      </c>
      <c r="AB594" s="65" t="n">
        <f aca="false">IF(E594="",0,NETWORKDAYS(E594,Controls!$B$36,Ref!$K$2:$K$42))</f>
        <v>143</v>
      </c>
      <c r="AC594" s="65" t="n">
        <f aca="false">IF(AND(AA594&gt;0,AB594&gt;=Controls!$B$39*AA594),1,0)</f>
        <v>1</v>
      </c>
      <c r="AD594" s="65" t="n">
        <f aca="false">IF(AND(E594&lt;&gt;"",E594&gt;=Controls!$B$37,E594&lt;=Controls!$B$38),1,0)</f>
        <v>1</v>
      </c>
      <c r="AE594" s="65" t="n">
        <f aca="false">IF(IFERROR(VLOOKUP(D594,Controls!$A$64:$E$74,2,FALSE()),"No")="Yes",1,0)</f>
        <v>0</v>
      </c>
      <c r="AF594" s="65" t="n">
        <f aca="false">IF(IFERROR(VLOOKUP(D594,Controls!$A$64:$E$74,3,FALSE()),"No")="Yes",1,0)</f>
        <v>0</v>
      </c>
      <c r="AG594" s="65" t="n">
        <f aca="false">IF(IFERROR(VLOOKUP(D594,Controls!$A$64:$E$74,4,FALSE()),"No")="Yes",1,0)</f>
        <v>0</v>
      </c>
      <c r="AH594" s="65" t="n">
        <f aca="false">IF(IFERROR(VLOOKUP(D594,Controls!$A$64:$E$74,5,FALSE()),"No")="Yes",1,0)</f>
        <v>1</v>
      </c>
      <c r="AI594" s="65" t="n">
        <f aca="false">IF(ISNUMBER(MATCH(D594,Controls!$A$64:$A$74,0)),1,0)</f>
        <v>1</v>
      </c>
      <c r="AJ594" s="65" t="n">
        <f aca="false">Q594-N594</f>
        <v>6795.88</v>
      </c>
      <c r="AK594" s="65" t="n">
        <f aca="false">IF(AE594=1,MAX(0,N594-Q594),0)</f>
        <v>0</v>
      </c>
      <c r="AL594" s="65" t="n">
        <f aca="false">IF(OR(V594="",V594=0),0,N594/V594)</f>
        <v>0.134733020793145</v>
      </c>
      <c r="AM594" s="65" t="n">
        <f aca="false">IF(OR(V594="",V594=0),0,1)</f>
        <v>1</v>
      </c>
      <c r="AN594" s="65" t="n">
        <f aca="false">IF(OR(E594="",F594=""),0,NETWORKDAYS(E594,F594,Ref!$K$2:$K$42))</f>
        <v>139</v>
      </c>
      <c r="AO594" s="65" t="n">
        <f aca="false">IF(L594="Renewal",1,0)</f>
        <v>0</v>
      </c>
      <c r="AP594" s="65" t="n">
        <f aca="false">AC594*AD594</f>
        <v>1</v>
      </c>
      <c r="AQ594" s="65" t="n">
        <f aca="false">IF(AND(G594&lt;&gt;"",'Historical Score'!$C$6&lt;&gt;""),IF(G594='Historical Score'!$C$6,1,0),0)</f>
        <v>0</v>
      </c>
      <c r="AR594" s="65" t="n">
        <f aca="false">IF(AND(L594&lt;&gt;"",'Historical Score'!$C$5&lt;&gt;""),IF(L594='Historical Score'!$C$5,1,0),0)</f>
        <v>1</v>
      </c>
      <c r="AS594" s="65" t="n">
        <f aca="false">IF(AND(Y594&lt;&gt;"",'Historical Score'!$C$7&lt;&gt;""),IF(Y594='Historical Score'!$C$7,1,0),0)</f>
        <v>0</v>
      </c>
      <c r="AT594" s="65" t="n">
        <f aca="false">IF(AND(K594&lt;&gt;"",'Historical Score'!$C$8&lt;&gt;""),IF(K594='Historical Score'!$C$8,1,0),0)</f>
        <v>1</v>
      </c>
      <c r="AU594" s="65" t="n">
        <f aca="false">IF(AND(J594&lt;&gt;"",'Historical Score'!$C$9&lt;&gt;""),IF(J594='Historical Score'!$C$9,1,0),0)</f>
        <v>0</v>
      </c>
      <c r="AV594" s="65" t="n">
        <f aca="false">AR594*AS594*AQ594</f>
        <v>0</v>
      </c>
      <c r="AW594" s="65" t="n">
        <f aca="false">AR594*AT594*AQ594</f>
        <v>0</v>
      </c>
      <c r="AX594" s="65" t="n">
        <f aca="false">AR594*AS594</f>
        <v>0</v>
      </c>
      <c r="AY594" s="65" t="n">
        <f aca="false">AR594*AT594</f>
        <v>1</v>
      </c>
      <c r="AZ594" s="65" t="n">
        <f aca="false">AR594*AQ594</f>
        <v>0</v>
      </c>
      <c r="BA594" s="65" t="n">
        <f aca="false">AR594</f>
        <v>1</v>
      </c>
      <c r="BB594" s="65" t="n">
        <f aca="false">1</f>
        <v>1</v>
      </c>
      <c r="BC594" s="65" t="n">
        <f aca="false">IF(AV594=1,1,IF(AW594=1,2,IF(AX594=1,3,IF(AY594=1,4,IF(AZ594=1,5,IF(BA594=1,6,7))))))</f>
        <v>4</v>
      </c>
      <c r="BD594" s="65" t="n">
        <f aca="false">IF(AD594=1,CHOOSE('Historical Score'!$C$29,AV594,AW594,AX594,AY594,AZ594,BA594,BB594),0)</f>
        <v>0</v>
      </c>
      <c r="BE594" s="65" t="str">
        <f aca="false">IF(BD594=1,COUNTIF($BD$2:BD594,1),"")</f>
        <v/>
      </c>
    </row>
    <row r="595" customFormat="false" ht="15" hidden="false" customHeight="false" outlineLevel="0" collapsed="false">
      <c r="A595" s="65" t="s">
        <v>2086</v>
      </c>
      <c r="B595" s="65" t="s">
        <v>2087</v>
      </c>
      <c r="C595" s="65" t="s">
        <v>2087</v>
      </c>
      <c r="D595" s="65" t="s">
        <v>295</v>
      </c>
      <c r="E595" s="112" t="n">
        <v>46056</v>
      </c>
      <c r="F595" s="112" t="n">
        <v>46246</v>
      </c>
      <c r="G595" s="65" t="n">
        <v>3</v>
      </c>
      <c r="H595" s="65" t="s">
        <v>409</v>
      </c>
      <c r="I595" s="65" t="s">
        <v>342</v>
      </c>
      <c r="J595" s="65" t="s">
        <v>373</v>
      </c>
      <c r="K595" s="65" t="s">
        <v>2088</v>
      </c>
      <c r="L595" s="65" t="s">
        <v>64</v>
      </c>
      <c r="M595" s="113" t="n">
        <v>1.49</v>
      </c>
      <c r="N595" s="114" t="n">
        <v>15000</v>
      </c>
      <c r="O595" s="114" t="n">
        <v>2100</v>
      </c>
      <c r="P595" s="114" t="n">
        <v>22350</v>
      </c>
      <c r="Q595" s="114" t="n">
        <v>22350</v>
      </c>
      <c r="R595" s="114" t="n">
        <v>0</v>
      </c>
      <c r="S595" s="115" t="n">
        <v>1</v>
      </c>
      <c r="T595" s="65" t="n">
        <v>2.623</v>
      </c>
      <c r="U595" s="65" t="n">
        <v>52</v>
      </c>
      <c r="V595" s="65" t="n">
        <v>243566.06</v>
      </c>
      <c r="W595" s="115" t="n">
        <v>0.0241</v>
      </c>
      <c r="X595" s="112" t="n">
        <v>45552</v>
      </c>
      <c r="Y595" s="65" t="str">
        <f aca="false">IF(I595="","No SIC",IFERROR(VLOOKUP(I595,Ref!$A$2:$B$65,2,FALSE()),"Unclassified"))</f>
        <v>Eating &amp; Drinking Places</v>
      </c>
      <c r="Z595" s="65" t="str">
        <f aca="false">IF(T595="","",IF(T595&lt;12,"Daily","Weekly"))</f>
        <v>Daily</v>
      </c>
      <c r="AA595" s="65" t="n">
        <f aca="false">IF(T595="",0,IF(T595&lt;12,T595*Controls!$B$29,T595*5))</f>
        <v>56.801065</v>
      </c>
      <c r="AB595" s="65" t="n">
        <f aca="false">IF(E595="",0,NETWORKDAYS(E595,Controls!$B$36,Ref!$K$2:$K$42))</f>
        <v>143</v>
      </c>
      <c r="AC595" s="65" t="n">
        <f aca="false">IF(AND(AA595&gt;0,AB595&gt;=Controls!$B$39*AA595),1,0)</f>
        <v>1</v>
      </c>
      <c r="AD595" s="65" t="n">
        <f aca="false">IF(AND(E595&lt;&gt;"",E595&gt;=Controls!$B$37,E595&lt;=Controls!$B$38),1,0)</f>
        <v>1</v>
      </c>
      <c r="AE595" s="65" t="n">
        <f aca="false">IF(IFERROR(VLOOKUP(D595,Controls!$A$64:$E$74,2,FALSE()),"No")="Yes",1,0)</f>
        <v>0</v>
      </c>
      <c r="AF595" s="65" t="n">
        <f aca="false">IF(IFERROR(VLOOKUP(D595,Controls!$A$64:$E$74,3,FALSE()),"No")="Yes",1,0)</f>
        <v>0</v>
      </c>
      <c r="AG595" s="65" t="n">
        <f aca="false">IF(IFERROR(VLOOKUP(D595,Controls!$A$64:$E$74,4,FALSE()),"No")="Yes",1,0)</f>
        <v>0</v>
      </c>
      <c r="AH595" s="65" t="n">
        <f aca="false">IF(IFERROR(VLOOKUP(D595,Controls!$A$64:$E$74,5,FALSE()),"No")="Yes",1,0)</f>
        <v>1</v>
      </c>
      <c r="AI595" s="65" t="n">
        <f aca="false">IF(ISNUMBER(MATCH(D595,Controls!$A$64:$A$74,0)),1,0)</f>
        <v>1</v>
      </c>
      <c r="AJ595" s="65" t="n">
        <f aca="false">Q595-N595</f>
        <v>7350</v>
      </c>
      <c r="AK595" s="65" t="n">
        <f aca="false">IF(AE595=1,MAX(0,N595-Q595),0)</f>
        <v>0</v>
      </c>
      <c r="AL595" s="65" t="n">
        <f aca="false">IF(OR(V595="",V595=0),0,N595/V595)</f>
        <v>0.0615849351095961</v>
      </c>
      <c r="AM595" s="65" t="n">
        <f aca="false">IF(OR(V595="",V595=0),0,1)</f>
        <v>1</v>
      </c>
      <c r="AN595" s="65" t="n">
        <f aca="false">IF(OR(E595="",F595=""),0,NETWORKDAYS(E595,F595,Ref!$K$2:$K$42))</f>
        <v>134</v>
      </c>
      <c r="AO595" s="65" t="n">
        <f aca="false">IF(L595="Renewal",1,0)</f>
        <v>0</v>
      </c>
      <c r="AP595" s="65" t="n">
        <f aca="false">AC595*AD595</f>
        <v>1</v>
      </c>
      <c r="AQ595" s="65" t="n">
        <f aca="false">IF(AND(G595&lt;&gt;"",'Historical Score'!$C$6&lt;&gt;""),IF(G595='Historical Score'!$C$6,1,0),0)</f>
        <v>0</v>
      </c>
      <c r="AR595" s="65" t="n">
        <f aca="false">IF(AND(L595&lt;&gt;"",'Historical Score'!$C$5&lt;&gt;""),IF(L595='Historical Score'!$C$5,1,0),0)</f>
        <v>1</v>
      </c>
      <c r="AS595" s="65" t="n">
        <f aca="false">IF(AND(Y595&lt;&gt;"",'Historical Score'!$C$7&lt;&gt;""),IF(Y595='Historical Score'!$C$7,1,0),0)</f>
        <v>0</v>
      </c>
      <c r="AT595" s="65" t="n">
        <f aca="false">IF(AND(K595&lt;&gt;"",'Historical Score'!$C$8&lt;&gt;""),IF(K595='Historical Score'!$C$8,1,0),0)</f>
        <v>0</v>
      </c>
      <c r="AU595" s="65" t="n">
        <f aca="false">IF(AND(J595&lt;&gt;"",'Historical Score'!$C$9&lt;&gt;""),IF(J595='Historical Score'!$C$9,1,0),0)</f>
        <v>0</v>
      </c>
      <c r="AV595" s="65" t="n">
        <f aca="false">AR595*AS595*AQ595</f>
        <v>0</v>
      </c>
      <c r="AW595" s="65" t="n">
        <f aca="false">AR595*AT595*AQ595</f>
        <v>0</v>
      </c>
      <c r="AX595" s="65" t="n">
        <f aca="false">AR595*AS595</f>
        <v>0</v>
      </c>
      <c r="AY595" s="65" t="n">
        <f aca="false">AR595*AT595</f>
        <v>0</v>
      </c>
      <c r="AZ595" s="65" t="n">
        <f aca="false">AR595*AQ595</f>
        <v>0</v>
      </c>
      <c r="BA595" s="65" t="n">
        <f aca="false">AR595</f>
        <v>1</v>
      </c>
      <c r="BB595" s="65" t="n">
        <f aca="false">1</f>
        <v>1</v>
      </c>
      <c r="BC595" s="65" t="n">
        <f aca="false">IF(AV595=1,1,IF(AW595=1,2,IF(AX595=1,3,IF(AY595=1,4,IF(AZ595=1,5,IF(BA595=1,6,7))))))</f>
        <v>6</v>
      </c>
      <c r="BD595" s="65" t="n">
        <f aca="false">IF(AD595=1,CHOOSE('Historical Score'!$C$29,AV595,AW595,AX595,AY595,AZ595,BA595,BB595),0)</f>
        <v>0</v>
      </c>
      <c r="BE595" s="65" t="str">
        <f aca="false">IF(BD595=1,COUNTIF($BD$2:BD595,1),"")</f>
        <v/>
      </c>
    </row>
    <row r="596" customFormat="false" ht="15" hidden="false" customHeight="false" outlineLevel="0" collapsed="false">
      <c r="A596" s="65" t="s">
        <v>2089</v>
      </c>
      <c r="B596" s="65" t="s">
        <v>2090</v>
      </c>
      <c r="C596" s="65" t="s">
        <v>2091</v>
      </c>
      <c r="D596" s="65" t="s">
        <v>340</v>
      </c>
      <c r="E596" s="112" t="n">
        <v>46057</v>
      </c>
      <c r="F596" s="112" t="n">
        <v>46122</v>
      </c>
      <c r="G596" s="65" t="n">
        <v>3</v>
      </c>
      <c r="H596" s="65" t="s">
        <v>914</v>
      </c>
      <c r="I596" s="65" t="s">
        <v>915</v>
      </c>
      <c r="J596" s="65" t="s">
        <v>452</v>
      </c>
      <c r="K596" s="65" t="s">
        <v>983</v>
      </c>
      <c r="L596" s="65" t="s">
        <v>64</v>
      </c>
      <c r="M596" s="113" t="n">
        <v>1.49</v>
      </c>
      <c r="N596" s="114" t="n">
        <v>15000</v>
      </c>
      <c r="O596" s="114" t="n">
        <v>0</v>
      </c>
      <c r="P596" s="114" t="n">
        <v>22350</v>
      </c>
      <c r="Q596" s="114" t="n">
        <v>868.98</v>
      </c>
      <c r="R596" s="114" t="n">
        <v>21481.02</v>
      </c>
      <c r="S596" s="115" t="n">
        <v>0.0388805369127517</v>
      </c>
      <c r="T596" s="65" t="n">
        <v>2.951</v>
      </c>
      <c r="U596" s="65" t="n">
        <v>39</v>
      </c>
      <c r="V596" s="65" t="n">
        <v>57804.69</v>
      </c>
      <c r="W596" s="115" t="n">
        <v>0.0902</v>
      </c>
      <c r="X596" s="112" t="n">
        <v>41275</v>
      </c>
      <c r="Y596" s="65" t="str">
        <f aca="false">IF(I596="","No SIC",IFERROR(VLOOKUP(I596,Ref!$A$2:$B$65,2,FALSE()),"Unclassified"))</f>
        <v>Transportation Services</v>
      </c>
      <c r="Z596" s="65" t="str">
        <f aca="false">IF(T596="","",IF(T596&lt;12,"Daily","Weekly"))</f>
        <v>Daily</v>
      </c>
      <c r="AA596" s="65" t="n">
        <f aca="false">IF(T596="",0,IF(T596&lt;12,T596*Controls!$B$29,T596*5))</f>
        <v>63.903905</v>
      </c>
      <c r="AB596" s="65" t="n">
        <f aca="false">IF(E596="",0,NETWORKDAYS(E596,Controls!$B$36,Ref!$K$2:$K$42))</f>
        <v>142</v>
      </c>
      <c r="AC596" s="65" t="n">
        <f aca="false">IF(AND(AA596&gt;0,AB596&gt;=Controls!$B$39*AA596),1,0)</f>
        <v>1</v>
      </c>
      <c r="AD596" s="65" t="n">
        <f aca="false">IF(AND(E596&lt;&gt;"",E596&gt;=Controls!$B$37,E596&lt;=Controls!$B$38),1,0)</f>
        <v>1</v>
      </c>
      <c r="AE596" s="65" t="n">
        <f aca="false">IF(IFERROR(VLOOKUP(D596,Controls!$A$64:$E$74,2,FALSE()),"No")="Yes",1,0)</f>
        <v>1</v>
      </c>
      <c r="AF596" s="65" t="n">
        <f aca="false">IF(IFERROR(VLOOKUP(D596,Controls!$A$64:$E$74,3,FALSE()),"No")="Yes",1,0)</f>
        <v>0</v>
      </c>
      <c r="AG596" s="65" t="n">
        <f aca="false">IF(IFERROR(VLOOKUP(D596,Controls!$A$64:$E$74,4,FALSE()),"No")="Yes",1,0)</f>
        <v>0</v>
      </c>
      <c r="AH596" s="65" t="n">
        <f aca="false">IF(IFERROR(VLOOKUP(D596,Controls!$A$64:$E$74,5,FALSE()),"No")="Yes",1,0)</f>
        <v>0</v>
      </c>
      <c r="AI596" s="65" t="n">
        <f aca="false">IF(ISNUMBER(MATCH(D596,Controls!$A$64:$A$74,0)),1,0)</f>
        <v>1</v>
      </c>
      <c r="AJ596" s="65" t="n">
        <f aca="false">Q596-N596</f>
        <v>-14131.02</v>
      </c>
      <c r="AK596" s="65" t="n">
        <f aca="false">IF(AE596=1,MAX(0,N596-Q596),0)</f>
        <v>14131.02</v>
      </c>
      <c r="AL596" s="65" t="n">
        <f aca="false">IF(OR(V596="",V596=0),0,N596/V596)</f>
        <v>0.259494515064435</v>
      </c>
      <c r="AM596" s="65" t="n">
        <f aca="false">IF(OR(V596="",V596=0),0,1)</f>
        <v>1</v>
      </c>
      <c r="AN596" s="65" t="n">
        <f aca="false">IF(OR(E596="",F596=""),0,NETWORKDAYS(E596,F596,Ref!$K$2:$K$42))</f>
        <v>47</v>
      </c>
      <c r="AO596" s="65" t="n">
        <f aca="false">IF(L596="Renewal",1,0)</f>
        <v>0</v>
      </c>
      <c r="AP596" s="65" t="n">
        <f aca="false">AC596*AD596</f>
        <v>1</v>
      </c>
      <c r="AQ596" s="65" t="n">
        <f aca="false">IF(AND(G596&lt;&gt;"",'Historical Score'!$C$6&lt;&gt;""),IF(G596='Historical Score'!$C$6,1,0),0)</f>
        <v>0</v>
      </c>
      <c r="AR596" s="65" t="n">
        <f aca="false">IF(AND(L596&lt;&gt;"",'Historical Score'!$C$5&lt;&gt;""),IF(L596='Historical Score'!$C$5,1,0),0)</f>
        <v>1</v>
      </c>
      <c r="AS596" s="65" t="n">
        <f aca="false">IF(AND(Y596&lt;&gt;"",'Historical Score'!$C$7&lt;&gt;""),IF(Y596='Historical Score'!$C$7,1,0),0)</f>
        <v>0</v>
      </c>
      <c r="AT596" s="65" t="n">
        <f aca="false">IF(AND(K596&lt;&gt;"",'Historical Score'!$C$8&lt;&gt;""),IF(K596='Historical Score'!$C$8,1,0),0)</f>
        <v>0</v>
      </c>
      <c r="AU596" s="65" t="n">
        <f aca="false">IF(AND(J596&lt;&gt;"",'Historical Score'!$C$9&lt;&gt;""),IF(J596='Historical Score'!$C$9,1,0),0)</f>
        <v>0</v>
      </c>
      <c r="AV596" s="65" t="n">
        <f aca="false">AR596*AS596*AQ596</f>
        <v>0</v>
      </c>
      <c r="AW596" s="65" t="n">
        <f aca="false">AR596*AT596*AQ596</f>
        <v>0</v>
      </c>
      <c r="AX596" s="65" t="n">
        <f aca="false">AR596*AS596</f>
        <v>0</v>
      </c>
      <c r="AY596" s="65" t="n">
        <f aca="false">AR596*AT596</f>
        <v>0</v>
      </c>
      <c r="AZ596" s="65" t="n">
        <f aca="false">AR596*AQ596</f>
        <v>0</v>
      </c>
      <c r="BA596" s="65" t="n">
        <f aca="false">AR596</f>
        <v>1</v>
      </c>
      <c r="BB596" s="65" t="n">
        <f aca="false">1</f>
        <v>1</v>
      </c>
      <c r="BC596" s="65" t="n">
        <f aca="false">IF(AV596=1,1,IF(AW596=1,2,IF(AX596=1,3,IF(AY596=1,4,IF(AZ596=1,5,IF(BA596=1,6,7))))))</f>
        <v>6</v>
      </c>
      <c r="BD596" s="65" t="n">
        <f aca="false">IF(AD596=1,CHOOSE('Historical Score'!$C$29,AV596,AW596,AX596,AY596,AZ596,BA596,BB596),0)</f>
        <v>0</v>
      </c>
      <c r="BE596" s="65" t="str">
        <f aca="false">IF(BD596=1,COUNTIF($BD$2:BD596,1),"")</f>
        <v/>
      </c>
    </row>
    <row r="597" customFormat="false" ht="15" hidden="false" customHeight="false" outlineLevel="0" collapsed="false">
      <c r="A597" s="65" t="s">
        <v>2092</v>
      </c>
      <c r="B597" s="65" t="s">
        <v>2093</v>
      </c>
      <c r="C597" s="65" t="s">
        <v>2093</v>
      </c>
      <c r="D597" s="65" t="s">
        <v>340</v>
      </c>
      <c r="E597" s="112" t="n">
        <v>46057</v>
      </c>
      <c r="F597" s="112" t="n">
        <v>46176</v>
      </c>
      <c r="G597" s="65" t="n">
        <v>3</v>
      </c>
      <c r="H597" s="65" t="s">
        <v>442</v>
      </c>
      <c r="I597" s="65" t="s">
        <v>443</v>
      </c>
      <c r="J597" s="65" t="s">
        <v>452</v>
      </c>
      <c r="K597" s="65" t="s">
        <v>983</v>
      </c>
      <c r="L597" s="65" t="s">
        <v>64</v>
      </c>
      <c r="M597" s="113" t="n">
        <v>1.49</v>
      </c>
      <c r="N597" s="114" t="n">
        <v>33000</v>
      </c>
      <c r="O597" s="114" t="n">
        <v>0</v>
      </c>
      <c r="P597" s="114" t="n">
        <v>49170</v>
      </c>
      <c r="Q597" s="114" t="n">
        <v>5848.18</v>
      </c>
      <c r="R597" s="114" t="n">
        <v>43321.82</v>
      </c>
      <c r="S597" s="115" t="n">
        <v>0.118937970307098</v>
      </c>
      <c r="T597" s="65" t="n">
        <v>24</v>
      </c>
      <c r="U597" s="65" t="n">
        <v>7</v>
      </c>
      <c r="V597" s="65" t="n">
        <v>55343.53</v>
      </c>
      <c r="W597" s="115" t="n">
        <v>0.1481</v>
      </c>
      <c r="X597" s="112" t="n">
        <v>45004</v>
      </c>
      <c r="Y597" s="65" t="str">
        <f aca="false">IF(I597="","No SIC",IFERROR(VLOOKUP(I597,Ref!$A$2:$B$65,2,FALSE()),"Unclassified"))</f>
        <v>General Building Contractors</v>
      </c>
      <c r="Z597" s="65" t="str">
        <f aca="false">IF(T597="","",IF(T597&lt;12,"Daily","Weekly"))</f>
        <v>Weekly</v>
      </c>
      <c r="AA597" s="65" t="n">
        <f aca="false">IF(T597="",0,IF(T597&lt;12,T597*Controls!$B$29,T597*5))</f>
        <v>120</v>
      </c>
      <c r="AB597" s="65" t="n">
        <f aca="false">IF(E597="",0,NETWORKDAYS(E597,Controls!$B$36,Ref!$K$2:$K$42))</f>
        <v>142</v>
      </c>
      <c r="AC597" s="65" t="n">
        <f aca="false">IF(AND(AA597&gt;0,AB597&gt;=Controls!$B$39*AA597),1,0)</f>
        <v>0</v>
      </c>
      <c r="AD597" s="65" t="n">
        <f aca="false">IF(AND(E597&lt;&gt;"",E597&gt;=Controls!$B$37,E597&lt;=Controls!$B$38),1,0)</f>
        <v>1</v>
      </c>
      <c r="AE597" s="65" t="n">
        <f aca="false">IF(IFERROR(VLOOKUP(D597,Controls!$A$64:$E$74,2,FALSE()),"No")="Yes",1,0)</f>
        <v>1</v>
      </c>
      <c r="AF597" s="65" t="n">
        <f aca="false">IF(IFERROR(VLOOKUP(D597,Controls!$A$64:$E$74,3,FALSE()),"No")="Yes",1,0)</f>
        <v>0</v>
      </c>
      <c r="AG597" s="65" t="n">
        <f aca="false">IF(IFERROR(VLOOKUP(D597,Controls!$A$64:$E$74,4,FALSE()),"No")="Yes",1,0)</f>
        <v>0</v>
      </c>
      <c r="AH597" s="65" t="n">
        <f aca="false">IF(IFERROR(VLOOKUP(D597,Controls!$A$64:$E$74,5,FALSE()),"No")="Yes",1,0)</f>
        <v>0</v>
      </c>
      <c r="AI597" s="65" t="n">
        <f aca="false">IF(ISNUMBER(MATCH(D597,Controls!$A$64:$A$74,0)),1,0)</f>
        <v>1</v>
      </c>
      <c r="AJ597" s="65" t="n">
        <f aca="false">Q597-N597</f>
        <v>-27151.82</v>
      </c>
      <c r="AK597" s="65" t="n">
        <f aca="false">IF(AE597=1,MAX(0,N597-Q597),0)</f>
        <v>27151.82</v>
      </c>
      <c r="AL597" s="65" t="n">
        <f aca="false">IF(OR(V597="",V597=0),0,N597/V597)</f>
        <v>0.596275662213813</v>
      </c>
      <c r="AM597" s="65" t="n">
        <f aca="false">IF(OR(V597="",V597=0),0,1)</f>
        <v>1</v>
      </c>
      <c r="AN597" s="65" t="n">
        <f aca="false">IF(OR(E597="",F597=""),0,NETWORKDAYS(E597,F597,Ref!$K$2:$K$42))</f>
        <v>84</v>
      </c>
      <c r="AO597" s="65" t="n">
        <f aca="false">IF(L597="Renewal",1,0)</f>
        <v>0</v>
      </c>
      <c r="AP597" s="65" t="n">
        <f aca="false">AC597*AD597</f>
        <v>0</v>
      </c>
      <c r="AQ597" s="65" t="n">
        <f aca="false">IF(AND(G597&lt;&gt;"",'Historical Score'!$C$6&lt;&gt;""),IF(G597='Historical Score'!$C$6,1,0),0)</f>
        <v>0</v>
      </c>
      <c r="AR597" s="65" t="n">
        <f aca="false">IF(AND(L597&lt;&gt;"",'Historical Score'!$C$5&lt;&gt;""),IF(L597='Historical Score'!$C$5,1,0),0)</f>
        <v>1</v>
      </c>
      <c r="AS597" s="65" t="n">
        <f aca="false">IF(AND(Y597&lt;&gt;"",'Historical Score'!$C$7&lt;&gt;""),IF(Y597='Historical Score'!$C$7,1,0),0)</f>
        <v>1</v>
      </c>
      <c r="AT597" s="65" t="n">
        <f aca="false">IF(AND(K597&lt;&gt;"",'Historical Score'!$C$8&lt;&gt;""),IF(K597='Historical Score'!$C$8,1,0),0)</f>
        <v>0</v>
      </c>
      <c r="AU597" s="65" t="n">
        <f aca="false">IF(AND(J597&lt;&gt;"",'Historical Score'!$C$9&lt;&gt;""),IF(J597='Historical Score'!$C$9,1,0),0)</f>
        <v>0</v>
      </c>
      <c r="AV597" s="65" t="n">
        <f aca="false">AR597*AS597*AQ597</f>
        <v>0</v>
      </c>
      <c r="AW597" s="65" t="n">
        <f aca="false">AR597*AT597*AQ597</f>
        <v>0</v>
      </c>
      <c r="AX597" s="65" t="n">
        <f aca="false">AR597*AS597</f>
        <v>1</v>
      </c>
      <c r="AY597" s="65" t="n">
        <f aca="false">AR597*AT597</f>
        <v>0</v>
      </c>
      <c r="AZ597" s="65" t="n">
        <f aca="false">AR597*AQ597</f>
        <v>0</v>
      </c>
      <c r="BA597" s="65" t="n">
        <f aca="false">AR597</f>
        <v>1</v>
      </c>
      <c r="BB597" s="65" t="n">
        <f aca="false">1</f>
        <v>1</v>
      </c>
      <c r="BC597" s="65" t="n">
        <f aca="false">IF(AV597=1,1,IF(AW597=1,2,IF(AX597=1,3,IF(AY597=1,4,IF(AZ597=1,5,IF(BA597=1,6,7))))))</f>
        <v>3</v>
      </c>
      <c r="BD597" s="65" t="n">
        <f aca="false">IF(AD597=1,CHOOSE('Historical Score'!$C$29,AV597,AW597,AX597,AY597,AZ597,BA597,BB597),0)</f>
        <v>0</v>
      </c>
      <c r="BE597" s="65" t="str">
        <f aca="false">IF(BD597=1,COUNTIF($BD$2:BD597,1),"")</f>
        <v/>
      </c>
    </row>
    <row r="598" customFormat="false" ht="15" hidden="false" customHeight="false" outlineLevel="0" collapsed="false">
      <c r="A598" s="65" t="s">
        <v>2094</v>
      </c>
      <c r="B598" s="65" t="s">
        <v>2095</v>
      </c>
      <c r="C598" s="65" t="s">
        <v>2096</v>
      </c>
      <c r="D598" s="65" t="s">
        <v>371</v>
      </c>
      <c r="E598" s="112" t="n">
        <v>46057</v>
      </c>
      <c r="F598" s="112" t="n">
        <v>46085</v>
      </c>
      <c r="G598" s="65" t="n">
        <v>3</v>
      </c>
      <c r="H598" s="65" t="s">
        <v>442</v>
      </c>
      <c r="I598" s="65" t="s">
        <v>443</v>
      </c>
      <c r="J598" s="65" t="s">
        <v>61</v>
      </c>
      <c r="K598" s="65" t="s">
        <v>765</v>
      </c>
      <c r="L598" s="65" t="s">
        <v>64</v>
      </c>
      <c r="M598" s="113" t="n">
        <v>1.293912</v>
      </c>
      <c r="N598" s="114" t="n">
        <v>30000</v>
      </c>
      <c r="O598" s="114" t="n">
        <v>3300</v>
      </c>
      <c r="P598" s="114" t="n">
        <v>38817.36</v>
      </c>
      <c r="Q598" s="114" t="n">
        <v>38817.36</v>
      </c>
      <c r="R598" s="114" t="n">
        <v>0</v>
      </c>
      <c r="S598" s="115" t="n">
        <v>1</v>
      </c>
      <c r="T598" s="65" t="n">
        <v>28</v>
      </c>
      <c r="U598" s="65" t="n">
        <v>0</v>
      </c>
      <c r="V598" s="65" t="n">
        <v>87663.43</v>
      </c>
      <c r="W598" s="115" t="n">
        <v>0.0699</v>
      </c>
      <c r="X598" s="112" t="n">
        <v>45089</v>
      </c>
      <c r="Y598" s="65" t="str">
        <f aca="false">IF(I598="","No SIC",IFERROR(VLOOKUP(I598,Ref!$A$2:$B$65,2,FALSE()),"Unclassified"))</f>
        <v>General Building Contractors</v>
      </c>
      <c r="Z598" s="65" t="str">
        <f aca="false">IF(T598="","",IF(T598&lt;12,"Daily","Weekly"))</f>
        <v>Weekly</v>
      </c>
      <c r="AA598" s="65" t="n">
        <f aca="false">IF(T598="",0,IF(T598&lt;12,T598*Controls!$B$29,T598*5))</f>
        <v>140</v>
      </c>
      <c r="AB598" s="65" t="n">
        <f aca="false">IF(E598="",0,NETWORKDAYS(E598,Controls!$B$36,Ref!$K$2:$K$42))</f>
        <v>142</v>
      </c>
      <c r="AC598" s="65" t="n">
        <f aca="false">IF(AND(AA598&gt;0,AB598&gt;=Controls!$B$39*AA598),1,0)</f>
        <v>0</v>
      </c>
      <c r="AD598" s="65" t="n">
        <f aca="false">IF(AND(E598&lt;&gt;"",E598&gt;=Controls!$B$37,E598&lt;=Controls!$B$38),1,0)</f>
        <v>1</v>
      </c>
      <c r="AE598" s="65" t="n">
        <f aca="false">IF(IFERROR(VLOOKUP(D598,Controls!$A$64:$E$74,2,FALSE()),"No")="Yes",1,0)</f>
        <v>0</v>
      </c>
      <c r="AF598" s="65" t="n">
        <f aca="false">IF(IFERROR(VLOOKUP(D598,Controls!$A$64:$E$74,3,FALSE()),"No")="Yes",1,0)</f>
        <v>1</v>
      </c>
      <c r="AG598" s="65" t="n">
        <f aca="false">IF(IFERROR(VLOOKUP(D598,Controls!$A$64:$E$74,4,FALSE()),"No")="Yes",1,0)</f>
        <v>1</v>
      </c>
      <c r="AH598" s="65" t="n">
        <f aca="false">IF(IFERROR(VLOOKUP(D598,Controls!$A$64:$E$74,5,FALSE()),"No")="Yes",1,0)</f>
        <v>0</v>
      </c>
      <c r="AI598" s="65" t="n">
        <f aca="false">IF(ISNUMBER(MATCH(D598,Controls!$A$64:$A$74,0)),1,0)</f>
        <v>1</v>
      </c>
      <c r="AJ598" s="65" t="n">
        <f aca="false">Q598-N598</f>
        <v>8817.36</v>
      </c>
      <c r="AK598" s="65" t="n">
        <f aca="false">IF(AE598=1,MAX(0,N598-Q598),0)</f>
        <v>0</v>
      </c>
      <c r="AL598" s="65" t="n">
        <f aca="false">IF(OR(V598="",V598=0),0,N598/V598)</f>
        <v>0.342217957932972</v>
      </c>
      <c r="AM598" s="65" t="n">
        <f aca="false">IF(OR(V598="",V598=0),0,1)</f>
        <v>1</v>
      </c>
      <c r="AN598" s="65" t="n">
        <f aca="false">IF(OR(E598="",F598=""),0,NETWORKDAYS(E598,F598,Ref!$K$2:$K$42))</f>
        <v>20</v>
      </c>
      <c r="AO598" s="65" t="n">
        <f aca="false">IF(L598="Renewal",1,0)</f>
        <v>0</v>
      </c>
      <c r="AP598" s="65" t="n">
        <f aca="false">AC598*AD598</f>
        <v>0</v>
      </c>
      <c r="AQ598" s="65" t="n">
        <f aca="false">IF(AND(G598&lt;&gt;"",'Historical Score'!$C$6&lt;&gt;""),IF(G598='Historical Score'!$C$6,1,0),0)</f>
        <v>0</v>
      </c>
      <c r="AR598" s="65" t="n">
        <f aca="false">IF(AND(L598&lt;&gt;"",'Historical Score'!$C$5&lt;&gt;""),IF(L598='Historical Score'!$C$5,1,0),0)</f>
        <v>1</v>
      </c>
      <c r="AS598" s="65" t="n">
        <f aca="false">IF(AND(Y598&lt;&gt;"",'Historical Score'!$C$7&lt;&gt;""),IF(Y598='Historical Score'!$C$7,1,0),0)</f>
        <v>1</v>
      </c>
      <c r="AT598" s="65" t="n">
        <f aca="false">IF(AND(K598&lt;&gt;"",'Historical Score'!$C$8&lt;&gt;""),IF(K598='Historical Score'!$C$8,1,0),0)</f>
        <v>0</v>
      </c>
      <c r="AU598" s="65" t="n">
        <f aca="false">IF(AND(J598&lt;&gt;"",'Historical Score'!$C$9&lt;&gt;""),IF(J598='Historical Score'!$C$9,1,0),0)</f>
        <v>1</v>
      </c>
      <c r="AV598" s="65" t="n">
        <f aca="false">AR598*AS598*AQ598</f>
        <v>0</v>
      </c>
      <c r="AW598" s="65" t="n">
        <f aca="false">AR598*AT598*AQ598</f>
        <v>0</v>
      </c>
      <c r="AX598" s="65" t="n">
        <f aca="false">AR598*AS598</f>
        <v>1</v>
      </c>
      <c r="AY598" s="65" t="n">
        <f aca="false">AR598*AT598</f>
        <v>0</v>
      </c>
      <c r="AZ598" s="65" t="n">
        <f aca="false">AR598*AQ598</f>
        <v>0</v>
      </c>
      <c r="BA598" s="65" t="n">
        <f aca="false">AR598</f>
        <v>1</v>
      </c>
      <c r="BB598" s="65" t="n">
        <f aca="false">1</f>
        <v>1</v>
      </c>
      <c r="BC598" s="65" t="n">
        <f aca="false">IF(AV598=1,1,IF(AW598=1,2,IF(AX598=1,3,IF(AY598=1,4,IF(AZ598=1,5,IF(BA598=1,6,7))))))</f>
        <v>3</v>
      </c>
      <c r="BD598" s="65" t="n">
        <f aca="false">IF(AD598=1,CHOOSE('Historical Score'!$C$29,AV598,AW598,AX598,AY598,AZ598,BA598,BB598),0)</f>
        <v>0</v>
      </c>
      <c r="BE598" s="65" t="str">
        <f aca="false">IF(BD598=1,COUNTIF($BD$2:BD598,1),"")</f>
        <v/>
      </c>
    </row>
    <row r="599" customFormat="false" ht="15" hidden="false" customHeight="false" outlineLevel="0" collapsed="false">
      <c r="A599" s="65" t="s">
        <v>2097</v>
      </c>
      <c r="B599" s="65" t="s">
        <v>2098</v>
      </c>
      <c r="C599" s="65" t="s">
        <v>2098</v>
      </c>
      <c r="D599" s="65" t="s">
        <v>959</v>
      </c>
      <c r="E599" s="112" t="n">
        <v>46057</v>
      </c>
      <c r="F599" s="112" t="n">
        <v>46248</v>
      </c>
      <c r="G599" s="65" t="n">
        <v>3</v>
      </c>
      <c r="H599" s="65" t="s">
        <v>479</v>
      </c>
      <c r="I599" s="65" t="s">
        <v>356</v>
      </c>
      <c r="J599" s="65" t="s">
        <v>510</v>
      </c>
      <c r="K599" s="65" t="s">
        <v>983</v>
      </c>
      <c r="L599" s="65" t="s">
        <v>64</v>
      </c>
      <c r="M599" s="113" t="n">
        <v>1.49</v>
      </c>
      <c r="N599" s="114" t="n">
        <v>35000</v>
      </c>
      <c r="O599" s="114" t="n">
        <v>4900</v>
      </c>
      <c r="P599" s="114" t="n">
        <v>52150</v>
      </c>
      <c r="Q599" s="114" t="n">
        <v>9503.18</v>
      </c>
      <c r="R599" s="114" t="n">
        <v>42646.82</v>
      </c>
      <c r="S599" s="115" t="n">
        <v>0.182227804410355</v>
      </c>
      <c r="T599" s="65" t="n">
        <v>24</v>
      </c>
      <c r="U599" s="65" t="n">
        <v>11</v>
      </c>
      <c r="V599" s="65" t="n">
        <v>74919.96</v>
      </c>
      <c r="W599" s="115" t="n">
        <v>0.116</v>
      </c>
      <c r="X599" s="112" t="n">
        <v>44638</v>
      </c>
      <c r="Y599" s="65" t="str">
        <f aca="false">IF(I599="","No SIC",IFERROR(VLOOKUP(I599,Ref!$A$2:$B$65,2,FALSE()),"Unclassified"))</f>
        <v>Trucking &amp; Warehousing</v>
      </c>
      <c r="Z599" s="65" t="str">
        <f aca="false">IF(T599="","",IF(T599&lt;12,"Daily","Weekly"))</f>
        <v>Weekly</v>
      </c>
      <c r="AA599" s="65" t="n">
        <f aca="false">IF(T599="",0,IF(T599&lt;12,T599*Controls!$B$29,T599*5))</f>
        <v>120</v>
      </c>
      <c r="AB599" s="65" t="n">
        <f aca="false">IF(E599="",0,NETWORKDAYS(E599,Controls!$B$36,Ref!$K$2:$K$42))</f>
        <v>142</v>
      </c>
      <c r="AC599" s="65" t="n">
        <f aca="false">IF(AND(AA599&gt;0,AB599&gt;=Controls!$B$39*AA599),1,0)</f>
        <v>0</v>
      </c>
      <c r="AD599" s="65" t="n">
        <f aca="false">IF(AND(E599&lt;&gt;"",E599&gt;=Controls!$B$37,E599&lt;=Controls!$B$38),1,0)</f>
        <v>1</v>
      </c>
      <c r="AE599" s="65" t="n">
        <f aca="false">IF(IFERROR(VLOOKUP(D599,Controls!$A$64:$E$74,2,FALSE()),"No")="Yes",1,0)</f>
        <v>0</v>
      </c>
      <c r="AF599" s="65" t="n">
        <f aca="false">IF(IFERROR(VLOOKUP(D599,Controls!$A$64:$E$74,3,FALSE()),"No")="Yes",1,0)</f>
        <v>0</v>
      </c>
      <c r="AG599" s="65" t="n">
        <f aca="false">IF(IFERROR(VLOOKUP(D599,Controls!$A$64:$E$74,4,FALSE()),"No")="Yes",1,0)</f>
        <v>0</v>
      </c>
      <c r="AH599" s="65" t="n">
        <f aca="false">IF(IFERROR(VLOOKUP(D599,Controls!$A$64:$E$74,5,FALSE()),"No")="Yes",1,0)</f>
        <v>0</v>
      </c>
      <c r="AI599" s="65" t="n">
        <f aca="false">IF(ISNUMBER(MATCH(D599,Controls!$A$64:$A$74,0)),1,0)</f>
        <v>1</v>
      </c>
      <c r="AJ599" s="65" t="n">
        <f aca="false">Q599-N599</f>
        <v>-25496.82</v>
      </c>
      <c r="AK599" s="65" t="n">
        <f aca="false">IF(AE599=1,MAX(0,N599-Q599),0)</f>
        <v>0</v>
      </c>
      <c r="AL599" s="65" t="n">
        <f aca="false">IF(OR(V599="",V599=0),0,N599/V599)</f>
        <v>0.467165225395208</v>
      </c>
      <c r="AM599" s="65" t="n">
        <f aca="false">IF(OR(V599="",V599=0),0,1)</f>
        <v>1</v>
      </c>
      <c r="AN599" s="65" t="n">
        <f aca="false">IF(OR(E599="",F599=""),0,NETWORKDAYS(E599,F599,Ref!$K$2:$K$42))</f>
        <v>135</v>
      </c>
      <c r="AO599" s="65" t="n">
        <f aca="false">IF(L599="Renewal",1,0)</f>
        <v>0</v>
      </c>
      <c r="AP599" s="65" t="n">
        <f aca="false">AC599*AD599</f>
        <v>0</v>
      </c>
      <c r="AQ599" s="65" t="n">
        <f aca="false">IF(AND(G599&lt;&gt;"",'Historical Score'!$C$6&lt;&gt;""),IF(G599='Historical Score'!$C$6,1,0),0)</f>
        <v>0</v>
      </c>
      <c r="AR599" s="65" t="n">
        <f aca="false">IF(AND(L599&lt;&gt;"",'Historical Score'!$C$5&lt;&gt;""),IF(L599='Historical Score'!$C$5,1,0),0)</f>
        <v>1</v>
      </c>
      <c r="AS599" s="65" t="n">
        <f aca="false">IF(AND(Y599&lt;&gt;"",'Historical Score'!$C$7&lt;&gt;""),IF(Y599='Historical Score'!$C$7,1,0),0)</f>
        <v>0</v>
      </c>
      <c r="AT599" s="65" t="n">
        <f aca="false">IF(AND(K599&lt;&gt;"",'Historical Score'!$C$8&lt;&gt;""),IF(K599='Historical Score'!$C$8,1,0),0)</f>
        <v>0</v>
      </c>
      <c r="AU599" s="65" t="n">
        <f aca="false">IF(AND(J599&lt;&gt;"",'Historical Score'!$C$9&lt;&gt;""),IF(J599='Historical Score'!$C$9,1,0),0)</f>
        <v>0</v>
      </c>
      <c r="AV599" s="65" t="n">
        <f aca="false">AR599*AS599*AQ599</f>
        <v>0</v>
      </c>
      <c r="AW599" s="65" t="n">
        <f aca="false">AR599*AT599*AQ599</f>
        <v>0</v>
      </c>
      <c r="AX599" s="65" t="n">
        <f aca="false">AR599*AS599</f>
        <v>0</v>
      </c>
      <c r="AY599" s="65" t="n">
        <f aca="false">AR599*AT599</f>
        <v>0</v>
      </c>
      <c r="AZ599" s="65" t="n">
        <f aca="false">AR599*AQ599</f>
        <v>0</v>
      </c>
      <c r="BA599" s="65" t="n">
        <f aca="false">AR599</f>
        <v>1</v>
      </c>
      <c r="BB599" s="65" t="n">
        <f aca="false">1</f>
        <v>1</v>
      </c>
      <c r="BC599" s="65" t="n">
        <f aca="false">IF(AV599=1,1,IF(AW599=1,2,IF(AX599=1,3,IF(AY599=1,4,IF(AZ599=1,5,IF(BA599=1,6,7))))))</f>
        <v>6</v>
      </c>
      <c r="BD599" s="65" t="n">
        <f aca="false">IF(AD599=1,CHOOSE('Historical Score'!$C$29,AV599,AW599,AX599,AY599,AZ599,BA599,BB599),0)</f>
        <v>0</v>
      </c>
      <c r="BE599" s="65" t="str">
        <f aca="false">IF(BD599=1,COUNTIF($BD$2:BD599,1),"")</f>
        <v/>
      </c>
    </row>
    <row r="600" customFormat="false" ht="15" hidden="false" customHeight="false" outlineLevel="0" collapsed="false">
      <c r="A600" s="65" t="s">
        <v>2099</v>
      </c>
      <c r="B600" s="65" t="s">
        <v>2100</v>
      </c>
      <c r="C600" s="65" t="s">
        <v>2100</v>
      </c>
      <c r="D600" s="65" t="s">
        <v>371</v>
      </c>
      <c r="E600" s="112" t="n">
        <v>46057</v>
      </c>
      <c r="F600" s="112" t="n">
        <v>46133</v>
      </c>
      <c r="G600" s="65" t="n">
        <v>3</v>
      </c>
      <c r="H600" s="65" t="s">
        <v>1650</v>
      </c>
      <c r="I600" s="65" t="s">
        <v>425</v>
      </c>
      <c r="J600" s="65" t="s">
        <v>646</v>
      </c>
      <c r="K600" s="65" t="s">
        <v>1461</v>
      </c>
      <c r="L600" s="65" t="s">
        <v>64</v>
      </c>
      <c r="M600" s="113" t="n">
        <v>1.49</v>
      </c>
      <c r="N600" s="114" t="n">
        <v>5000</v>
      </c>
      <c r="O600" s="114" t="n">
        <v>700</v>
      </c>
      <c r="P600" s="114" t="n">
        <v>7450</v>
      </c>
      <c r="Q600" s="114" t="n">
        <v>7450</v>
      </c>
      <c r="R600" s="114" t="n">
        <v>0</v>
      </c>
      <c r="S600" s="115" t="n">
        <v>1</v>
      </c>
      <c r="T600" s="65" t="n">
        <v>2.623</v>
      </c>
      <c r="U600" s="65" t="n">
        <v>4</v>
      </c>
      <c r="V600" s="65" t="n">
        <v>42250.45</v>
      </c>
      <c r="W600" s="115" t="n">
        <v>0.0463</v>
      </c>
      <c r="X600" s="112" t="n">
        <v>44289</v>
      </c>
      <c r="Y600" s="65" t="str">
        <f aca="false">IF(I600="","No SIC",IFERROR(VLOOKUP(I600,Ref!$A$2:$B$65,2,FALSE()),"Unclassified"))</f>
        <v>Personal Services</v>
      </c>
      <c r="Z600" s="65" t="str">
        <f aca="false">IF(T600="","",IF(T600&lt;12,"Daily","Weekly"))</f>
        <v>Daily</v>
      </c>
      <c r="AA600" s="65" t="n">
        <f aca="false">IF(T600="",0,IF(T600&lt;12,T600*Controls!$B$29,T600*5))</f>
        <v>56.801065</v>
      </c>
      <c r="AB600" s="65" t="n">
        <f aca="false">IF(E600="",0,NETWORKDAYS(E600,Controls!$B$36,Ref!$K$2:$K$42))</f>
        <v>142</v>
      </c>
      <c r="AC600" s="65" t="n">
        <f aca="false">IF(AND(AA600&gt;0,AB600&gt;=Controls!$B$39*AA600),1,0)</f>
        <v>1</v>
      </c>
      <c r="AD600" s="65" t="n">
        <f aca="false">IF(AND(E600&lt;&gt;"",E600&gt;=Controls!$B$37,E600&lt;=Controls!$B$38),1,0)</f>
        <v>1</v>
      </c>
      <c r="AE600" s="65" t="n">
        <f aca="false">IF(IFERROR(VLOOKUP(D600,Controls!$A$64:$E$74,2,FALSE()),"No")="Yes",1,0)</f>
        <v>0</v>
      </c>
      <c r="AF600" s="65" t="n">
        <f aca="false">IF(IFERROR(VLOOKUP(D600,Controls!$A$64:$E$74,3,FALSE()),"No")="Yes",1,0)</f>
        <v>1</v>
      </c>
      <c r="AG600" s="65" t="n">
        <f aca="false">IF(IFERROR(VLOOKUP(D600,Controls!$A$64:$E$74,4,FALSE()),"No")="Yes",1,0)</f>
        <v>1</v>
      </c>
      <c r="AH600" s="65" t="n">
        <f aca="false">IF(IFERROR(VLOOKUP(D600,Controls!$A$64:$E$74,5,FALSE()),"No")="Yes",1,0)</f>
        <v>0</v>
      </c>
      <c r="AI600" s="65" t="n">
        <f aca="false">IF(ISNUMBER(MATCH(D600,Controls!$A$64:$A$74,0)),1,0)</f>
        <v>1</v>
      </c>
      <c r="AJ600" s="65" t="n">
        <f aca="false">Q600-N600</f>
        <v>2450</v>
      </c>
      <c r="AK600" s="65" t="n">
        <f aca="false">IF(AE600=1,MAX(0,N600-Q600),0)</f>
        <v>0</v>
      </c>
      <c r="AL600" s="65" t="n">
        <f aca="false">IF(OR(V600="",V600=0),0,N600/V600)</f>
        <v>0.118341934819629</v>
      </c>
      <c r="AM600" s="65" t="n">
        <f aca="false">IF(OR(V600="",V600=0),0,1)</f>
        <v>1</v>
      </c>
      <c r="AN600" s="65" t="n">
        <f aca="false">IF(OR(E600="",F600=""),0,NETWORKDAYS(E600,F600,Ref!$K$2:$K$42))</f>
        <v>54</v>
      </c>
      <c r="AO600" s="65" t="n">
        <f aca="false">IF(L600="Renewal",1,0)</f>
        <v>0</v>
      </c>
      <c r="AP600" s="65" t="n">
        <f aca="false">AC600*AD600</f>
        <v>1</v>
      </c>
      <c r="AQ600" s="65" t="n">
        <f aca="false">IF(AND(G600&lt;&gt;"",'Historical Score'!$C$6&lt;&gt;""),IF(G600='Historical Score'!$C$6,1,0),0)</f>
        <v>0</v>
      </c>
      <c r="AR600" s="65" t="n">
        <f aca="false">IF(AND(L600&lt;&gt;"",'Historical Score'!$C$5&lt;&gt;""),IF(L600='Historical Score'!$C$5,1,0),0)</f>
        <v>1</v>
      </c>
      <c r="AS600" s="65" t="n">
        <f aca="false">IF(AND(Y600&lt;&gt;"",'Historical Score'!$C$7&lt;&gt;""),IF(Y600='Historical Score'!$C$7,1,0),0)</f>
        <v>0</v>
      </c>
      <c r="AT600" s="65" t="n">
        <f aca="false">IF(AND(K600&lt;&gt;"",'Historical Score'!$C$8&lt;&gt;""),IF(K600='Historical Score'!$C$8,1,0),0)</f>
        <v>0</v>
      </c>
      <c r="AU600" s="65" t="n">
        <f aca="false">IF(AND(J600&lt;&gt;"",'Historical Score'!$C$9&lt;&gt;""),IF(J600='Historical Score'!$C$9,1,0),0)</f>
        <v>0</v>
      </c>
      <c r="AV600" s="65" t="n">
        <f aca="false">AR600*AS600*AQ600</f>
        <v>0</v>
      </c>
      <c r="AW600" s="65" t="n">
        <f aca="false">AR600*AT600*AQ600</f>
        <v>0</v>
      </c>
      <c r="AX600" s="65" t="n">
        <f aca="false">AR600*AS600</f>
        <v>0</v>
      </c>
      <c r="AY600" s="65" t="n">
        <f aca="false">AR600*AT600</f>
        <v>0</v>
      </c>
      <c r="AZ600" s="65" t="n">
        <f aca="false">AR600*AQ600</f>
        <v>0</v>
      </c>
      <c r="BA600" s="65" t="n">
        <f aca="false">AR600</f>
        <v>1</v>
      </c>
      <c r="BB600" s="65" t="n">
        <f aca="false">1</f>
        <v>1</v>
      </c>
      <c r="BC600" s="65" t="n">
        <f aca="false">IF(AV600=1,1,IF(AW600=1,2,IF(AX600=1,3,IF(AY600=1,4,IF(AZ600=1,5,IF(BA600=1,6,7))))))</f>
        <v>6</v>
      </c>
      <c r="BD600" s="65" t="n">
        <f aca="false">IF(AD600=1,CHOOSE('Historical Score'!$C$29,AV600,AW600,AX600,AY600,AZ600,BA600,BB600),0)</f>
        <v>0</v>
      </c>
      <c r="BE600" s="65" t="str">
        <f aca="false">IF(BD600=1,COUNTIF($BD$2:BD600,1),"")</f>
        <v/>
      </c>
    </row>
    <row r="601" customFormat="false" ht="15" hidden="false" customHeight="false" outlineLevel="0" collapsed="false">
      <c r="A601" s="65" t="s">
        <v>2101</v>
      </c>
      <c r="B601" s="65" t="s">
        <v>2102</v>
      </c>
      <c r="C601" s="65" t="s">
        <v>2102</v>
      </c>
      <c r="D601" s="65" t="s">
        <v>371</v>
      </c>
      <c r="E601" s="112" t="n">
        <v>46057</v>
      </c>
      <c r="F601" s="112" t="n">
        <v>46153</v>
      </c>
      <c r="G601" s="65" t="n">
        <v>3</v>
      </c>
      <c r="H601" s="65" t="s">
        <v>479</v>
      </c>
      <c r="I601" s="65" t="s">
        <v>356</v>
      </c>
      <c r="J601" s="65" t="s">
        <v>452</v>
      </c>
      <c r="K601" s="65" t="s">
        <v>2088</v>
      </c>
      <c r="L601" s="65" t="s">
        <v>64</v>
      </c>
      <c r="M601" s="113" t="n">
        <v>1.49</v>
      </c>
      <c r="N601" s="114" t="n">
        <v>20000</v>
      </c>
      <c r="O601" s="114" t="n">
        <v>2800</v>
      </c>
      <c r="P601" s="114" t="n">
        <v>29800</v>
      </c>
      <c r="Q601" s="114" t="n">
        <v>29800</v>
      </c>
      <c r="R601" s="114" t="n">
        <v>0</v>
      </c>
      <c r="S601" s="115" t="n">
        <v>1</v>
      </c>
      <c r="T601" s="65" t="n">
        <v>3.279</v>
      </c>
      <c r="U601" s="65" t="n">
        <v>0</v>
      </c>
      <c r="V601" s="65" t="n">
        <v>100887.92</v>
      </c>
      <c r="W601" s="115" t="n">
        <v>0.062</v>
      </c>
      <c r="X601" s="112" t="n">
        <v>44019</v>
      </c>
      <c r="Y601" s="65" t="str">
        <f aca="false">IF(I601="","No SIC",IFERROR(VLOOKUP(I601,Ref!$A$2:$B$65,2,FALSE()),"Unclassified"))</f>
        <v>Trucking &amp; Warehousing</v>
      </c>
      <c r="Z601" s="65" t="str">
        <f aca="false">IF(T601="","",IF(T601&lt;12,"Daily","Weekly"))</f>
        <v>Daily</v>
      </c>
      <c r="AA601" s="65" t="n">
        <f aca="false">IF(T601="",0,IF(T601&lt;12,T601*Controls!$B$29,T601*5))</f>
        <v>71.006745</v>
      </c>
      <c r="AB601" s="65" t="n">
        <f aca="false">IF(E601="",0,NETWORKDAYS(E601,Controls!$B$36,Ref!$K$2:$K$42))</f>
        <v>142</v>
      </c>
      <c r="AC601" s="65" t="n">
        <f aca="false">IF(AND(AA601&gt;0,AB601&gt;=Controls!$B$39*AA601),1,0)</f>
        <v>1</v>
      </c>
      <c r="AD601" s="65" t="n">
        <f aca="false">IF(AND(E601&lt;&gt;"",E601&gt;=Controls!$B$37,E601&lt;=Controls!$B$38),1,0)</f>
        <v>1</v>
      </c>
      <c r="AE601" s="65" t="n">
        <f aca="false">IF(IFERROR(VLOOKUP(D601,Controls!$A$64:$E$74,2,FALSE()),"No")="Yes",1,0)</f>
        <v>0</v>
      </c>
      <c r="AF601" s="65" t="n">
        <f aca="false">IF(IFERROR(VLOOKUP(D601,Controls!$A$64:$E$74,3,FALSE()),"No")="Yes",1,0)</f>
        <v>1</v>
      </c>
      <c r="AG601" s="65" t="n">
        <f aca="false">IF(IFERROR(VLOOKUP(D601,Controls!$A$64:$E$74,4,FALSE()),"No")="Yes",1,0)</f>
        <v>1</v>
      </c>
      <c r="AH601" s="65" t="n">
        <f aca="false">IF(IFERROR(VLOOKUP(D601,Controls!$A$64:$E$74,5,FALSE()),"No")="Yes",1,0)</f>
        <v>0</v>
      </c>
      <c r="AI601" s="65" t="n">
        <f aca="false">IF(ISNUMBER(MATCH(D601,Controls!$A$64:$A$74,0)),1,0)</f>
        <v>1</v>
      </c>
      <c r="AJ601" s="65" t="n">
        <f aca="false">Q601-N601</f>
        <v>9800</v>
      </c>
      <c r="AK601" s="65" t="n">
        <f aca="false">IF(AE601=1,MAX(0,N601-Q601),0)</f>
        <v>0</v>
      </c>
      <c r="AL601" s="65" t="n">
        <f aca="false">IF(OR(V601="",V601=0),0,N601/V601)</f>
        <v>0.198239789263174</v>
      </c>
      <c r="AM601" s="65" t="n">
        <f aca="false">IF(OR(V601="",V601=0),0,1)</f>
        <v>1</v>
      </c>
      <c r="AN601" s="65" t="n">
        <f aca="false">IF(OR(E601="",F601=""),0,NETWORKDAYS(E601,F601,Ref!$K$2:$K$42))</f>
        <v>68</v>
      </c>
      <c r="AO601" s="65" t="n">
        <f aca="false">IF(L601="Renewal",1,0)</f>
        <v>0</v>
      </c>
      <c r="AP601" s="65" t="n">
        <f aca="false">AC601*AD601</f>
        <v>1</v>
      </c>
      <c r="AQ601" s="65" t="n">
        <f aca="false">IF(AND(G601&lt;&gt;"",'Historical Score'!$C$6&lt;&gt;""),IF(G601='Historical Score'!$C$6,1,0),0)</f>
        <v>0</v>
      </c>
      <c r="AR601" s="65" t="n">
        <f aca="false">IF(AND(L601&lt;&gt;"",'Historical Score'!$C$5&lt;&gt;""),IF(L601='Historical Score'!$C$5,1,0),0)</f>
        <v>1</v>
      </c>
      <c r="AS601" s="65" t="n">
        <f aca="false">IF(AND(Y601&lt;&gt;"",'Historical Score'!$C$7&lt;&gt;""),IF(Y601='Historical Score'!$C$7,1,0),0)</f>
        <v>0</v>
      </c>
      <c r="AT601" s="65" t="n">
        <f aca="false">IF(AND(K601&lt;&gt;"",'Historical Score'!$C$8&lt;&gt;""),IF(K601='Historical Score'!$C$8,1,0),0)</f>
        <v>0</v>
      </c>
      <c r="AU601" s="65" t="n">
        <f aca="false">IF(AND(J601&lt;&gt;"",'Historical Score'!$C$9&lt;&gt;""),IF(J601='Historical Score'!$C$9,1,0),0)</f>
        <v>0</v>
      </c>
      <c r="AV601" s="65" t="n">
        <f aca="false">AR601*AS601*AQ601</f>
        <v>0</v>
      </c>
      <c r="AW601" s="65" t="n">
        <f aca="false">AR601*AT601*AQ601</f>
        <v>0</v>
      </c>
      <c r="AX601" s="65" t="n">
        <f aca="false">AR601*AS601</f>
        <v>0</v>
      </c>
      <c r="AY601" s="65" t="n">
        <f aca="false">AR601*AT601</f>
        <v>0</v>
      </c>
      <c r="AZ601" s="65" t="n">
        <f aca="false">AR601*AQ601</f>
        <v>0</v>
      </c>
      <c r="BA601" s="65" t="n">
        <f aca="false">AR601</f>
        <v>1</v>
      </c>
      <c r="BB601" s="65" t="n">
        <f aca="false">1</f>
        <v>1</v>
      </c>
      <c r="BC601" s="65" t="n">
        <f aca="false">IF(AV601=1,1,IF(AW601=1,2,IF(AX601=1,3,IF(AY601=1,4,IF(AZ601=1,5,IF(BA601=1,6,7))))))</f>
        <v>6</v>
      </c>
      <c r="BD601" s="65" t="n">
        <f aca="false">IF(AD601=1,CHOOSE('Historical Score'!$C$29,AV601,AW601,AX601,AY601,AZ601,BA601,BB601),0)</f>
        <v>0</v>
      </c>
      <c r="BE601" s="65" t="str">
        <f aca="false">IF(BD601=1,COUNTIF($BD$2:BD601,1),"")</f>
        <v/>
      </c>
    </row>
    <row r="602" customFormat="false" ht="15" hidden="false" customHeight="false" outlineLevel="0" collapsed="false">
      <c r="A602" s="65" t="s">
        <v>2103</v>
      </c>
      <c r="B602" s="65" t="s">
        <v>2104</v>
      </c>
      <c r="C602" s="65" t="s">
        <v>2104</v>
      </c>
      <c r="D602" s="65" t="s">
        <v>340</v>
      </c>
      <c r="E602" s="112" t="n">
        <v>46058</v>
      </c>
      <c r="F602" s="112" t="n">
        <v>46168</v>
      </c>
      <c r="G602" s="65" t="n">
        <v>2</v>
      </c>
      <c r="H602" s="65" t="s">
        <v>748</v>
      </c>
      <c r="I602" s="65" t="s">
        <v>619</v>
      </c>
      <c r="J602" s="65" t="s">
        <v>546</v>
      </c>
      <c r="K602" s="65" t="s">
        <v>363</v>
      </c>
      <c r="L602" s="65" t="s">
        <v>64</v>
      </c>
      <c r="M602" s="113" t="n">
        <v>1.49</v>
      </c>
      <c r="N602" s="114" t="n">
        <v>12000</v>
      </c>
      <c r="O602" s="114" t="n">
        <v>1680</v>
      </c>
      <c r="P602" s="114" t="n">
        <v>17880</v>
      </c>
      <c r="Q602" s="114" t="n">
        <v>4767.84</v>
      </c>
      <c r="R602" s="114" t="n">
        <v>13112.16</v>
      </c>
      <c r="S602" s="115" t="n">
        <v>0.266657718120805</v>
      </c>
      <c r="T602" s="65" t="n">
        <v>2.951</v>
      </c>
      <c r="U602" s="65" t="n">
        <v>46</v>
      </c>
      <c r="V602" s="65" t="n">
        <v>29820.86</v>
      </c>
      <c r="W602" s="115" t="n">
        <v>0.1399</v>
      </c>
      <c r="X602" s="112" t="n">
        <v>44995</v>
      </c>
      <c r="Y602" s="65" t="str">
        <f aca="false">IF(I602="","No SIC",IFERROR(VLOOKUP(I602,Ref!$A$2:$B$65,2,FALSE()),"Unclassified"))</f>
        <v>Miscellaneous Retail</v>
      </c>
      <c r="Z602" s="65" t="str">
        <f aca="false">IF(T602="","",IF(T602&lt;12,"Daily","Weekly"))</f>
        <v>Daily</v>
      </c>
      <c r="AA602" s="65" t="n">
        <f aca="false">IF(T602="",0,IF(T602&lt;12,T602*Controls!$B$29,T602*5))</f>
        <v>63.903905</v>
      </c>
      <c r="AB602" s="65" t="n">
        <f aca="false">IF(E602="",0,NETWORKDAYS(E602,Controls!$B$36,Ref!$K$2:$K$42))</f>
        <v>141</v>
      </c>
      <c r="AC602" s="65" t="n">
        <f aca="false">IF(AND(AA602&gt;0,AB602&gt;=Controls!$B$39*AA602),1,0)</f>
        <v>1</v>
      </c>
      <c r="AD602" s="65" t="n">
        <f aca="false">IF(AND(E602&lt;&gt;"",E602&gt;=Controls!$B$37,E602&lt;=Controls!$B$38),1,0)</f>
        <v>1</v>
      </c>
      <c r="AE602" s="65" t="n">
        <f aca="false">IF(IFERROR(VLOOKUP(D602,Controls!$A$64:$E$74,2,FALSE()),"No")="Yes",1,0)</f>
        <v>1</v>
      </c>
      <c r="AF602" s="65" t="n">
        <f aca="false">IF(IFERROR(VLOOKUP(D602,Controls!$A$64:$E$74,3,FALSE()),"No")="Yes",1,0)</f>
        <v>0</v>
      </c>
      <c r="AG602" s="65" t="n">
        <f aca="false">IF(IFERROR(VLOOKUP(D602,Controls!$A$64:$E$74,4,FALSE()),"No")="Yes",1,0)</f>
        <v>0</v>
      </c>
      <c r="AH602" s="65" t="n">
        <f aca="false">IF(IFERROR(VLOOKUP(D602,Controls!$A$64:$E$74,5,FALSE()),"No")="Yes",1,0)</f>
        <v>0</v>
      </c>
      <c r="AI602" s="65" t="n">
        <f aca="false">IF(ISNUMBER(MATCH(D602,Controls!$A$64:$A$74,0)),1,0)</f>
        <v>1</v>
      </c>
      <c r="AJ602" s="65" t="n">
        <f aca="false">Q602-N602</f>
        <v>-7232.16</v>
      </c>
      <c r="AK602" s="65" t="n">
        <f aca="false">IF(AE602=1,MAX(0,N602-Q602),0)</f>
        <v>7232.16</v>
      </c>
      <c r="AL602" s="65" t="n">
        <f aca="false">IF(OR(V602="",V602=0),0,N602/V602)</f>
        <v>0.40240288174117</v>
      </c>
      <c r="AM602" s="65" t="n">
        <f aca="false">IF(OR(V602="",V602=0),0,1)</f>
        <v>1</v>
      </c>
      <c r="AN602" s="65" t="n">
        <f aca="false">IF(OR(E602="",F602=""),0,NETWORKDAYS(E602,F602,Ref!$K$2:$K$42))</f>
        <v>77</v>
      </c>
      <c r="AO602" s="65" t="n">
        <f aca="false">IF(L602="Renewal",1,0)</f>
        <v>0</v>
      </c>
      <c r="AP602" s="65" t="n">
        <f aca="false">AC602*AD602</f>
        <v>1</v>
      </c>
      <c r="AQ602" s="65" t="n">
        <f aca="false">IF(AND(G602&lt;&gt;"",'Historical Score'!$C$6&lt;&gt;""),IF(G602='Historical Score'!$C$6,1,0),0)</f>
        <v>1</v>
      </c>
      <c r="AR602" s="65" t="n">
        <f aca="false">IF(AND(L602&lt;&gt;"",'Historical Score'!$C$5&lt;&gt;""),IF(L602='Historical Score'!$C$5,1,0),0)</f>
        <v>1</v>
      </c>
      <c r="AS602" s="65" t="n">
        <f aca="false">IF(AND(Y602&lt;&gt;"",'Historical Score'!$C$7&lt;&gt;""),IF(Y602='Historical Score'!$C$7,1,0),0)</f>
        <v>0</v>
      </c>
      <c r="AT602" s="65" t="n">
        <f aca="false">IF(AND(K602&lt;&gt;"",'Historical Score'!$C$8&lt;&gt;""),IF(K602='Historical Score'!$C$8,1,0),0)</f>
        <v>0</v>
      </c>
      <c r="AU602" s="65" t="n">
        <f aca="false">IF(AND(J602&lt;&gt;"",'Historical Score'!$C$9&lt;&gt;""),IF(J602='Historical Score'!$C$9,1,0),0)</f>
        <v>0</v>
      </c>
      <c r="AV602" s="65" t="n">
        <f aca="false">AR602*AS602*AQ602</f>
        <v>0</v>
      </c>
      <c r="AW602" s="65" t="n">
        <f aca="false">AR602*AT602*AQ602</f>
        <v>0</v>
      </c>
      <c r="AX602" s="65" t="n">
        <f aca="false">AR602*AS602</f>
        <v>0</v>
      </c>
      <c r="AY602" s="65" t="n">
        <f aca="false">AR602*AT602</f>
        <v>0</v>
      </c>
      <c r="AZ602" s="65" t="n">
        <f aca="false">AR602*AQ602</f>
        <v>1</v>
      </c>
      <c r="BA602" s="65" t="n">
        <f aca="false">AR602</f>
        <v>1</v>
      </c>
      <c r="BB602" s="65" t="n">
        <f aca="false">1</f>
        <v>1</v>
      </c>
      <c r="BC602" s="65" t="n">
        <f aca="false">IF(AV602=1,1,IF(AW602=1,2,IF(AX602=1,3,IF(AY602=1,4,IF(AZ602=1,5,IF(BA602=1,6,7))))))</f>
        <v>5</v>
      </c>
      <c r="BD602" s="65" t="n">
        <f aca="false">IF(AD602=1,CHOOSE('Historical Score'!$C$29,AV602,AW602,AX602,AY602,AZ602,BA602,BB602),0)</f>
        <v>0</v>
      </c>
      <c r="BE602" s="65" t="str">
        <f aca="false">IF(BD602=1,COUNTIF($BD$2:BD602,1),"")</f>
        <v/>
      </c>
    </row>
    <row r="603" customFormat="false" ht="15" hidden="false" customHeight="false" outlineLevel="0" collapsed="false">
      <c r="A603" s="65" t="s">
        <v>2105</v>
      </c>
      <c r="B603" s="65" t="s">
        <v>2106</v>
      </c>
      <c r="C603" s="65" t="s">
        <v>2106</v>
      </c>
      <c r="D603" s="65" t="s">
        <v>295</v>
      </c>
      <c r="E603" s="112" t="n">
        <v>46058</v>
      </c>
      <c r="F603" s="112" t="n">
        <v>46251</v>
      </c>
      <c r="G603" s="65" t="n">
        <v>2</v>
      </c>
      <c r="H603" s="65" t="s">
        <v>409</v>
      </c>
      <c r="I603" s="65" t="s">
        <v>342</v>
      </c>
      <c r="J603" s="65" t="s">
        <v>61</v>
      </c>
      <c r="K603" s="65" t="s">
        <v>581</v>
      </c>
      <c r="L603" s="65" t="s">
        <v>64</v>
      </c>
      <c r="M603" s="113" t="n">
        <v>1.35</v>
      </c>
      <c r="N603" s="114" t="n">
        <v>25000</v>
      </c>
      <c r="O603" s="114" t="n">
        <v>1750</v>
      </c>
      <c r="P603" s="114" t="n">
        <v>33750</v>
      </c>
      <c r="Q603" s="114" t="n">
        <v>30927.38</v>
      </c>
      <c r="R603" s="114" t="n">
        <v>2822.62</v>
      </c>
      <c r="S603" s="115" t="n">
        <v>0.916366814814815</v>
      </c>
      <c r="T603" s="65" t="n">
        <v>24</v>
      </c>
      <c r="U603" s="65" t="n">
        <v>5</v>
      </c>
      <c r="V603" s="65" t="n">
        <v>65999.5</v>
      </c>
      <c r="W603" s="115" t="n">
        <v>0.0852</v>
      </c>
      <c r="X603" s="112"/>
      <c r="Y603" s="65" t="str">
        <f aca="false">IF(I603="","No SIC",IFERROR(VLOOKUP(I603,Ref!$A$2:$B$65,2,FALSE()),"Unclassified"))</f>
        <v>Eating &amp; Drinking Places</v>
      </c>
      <c r="Z603" s="65" t="str">
        <f aca="false">IF(T603="","",IF(T603&lt;12,"Daily","Weekly"))</f>
        <v>Weekly</v>
      </c>
      <c r="AA603" s="65" t="n">
        <f aca="false">IF(T603="",0,IF(T603&lt;12,T603*Controls!$B$29,T603*5))</f>
        <v>120</v>
      </c>
      <c r="AB603" s="65" t="n">
        <f aca="false">IF(E603="",0,NETWORKDAYS(E603,Controls!$B$36,Ref!$K$2:$K$42))</f>
        <v>141</v>
      </c>
      <c r="AC603" s="65" t="n">
        <f aca="false">IF(AND(AA603&gt;0,AB603&gt;=Controls!$B$39*AA603),1,0)</f>
        <v>0</v>
      </c>
      <c r="AD603" s="65" t="n">
        <f aca="false">IF(AND(E603&lt;&gt;"",E603&gt;=Controls!$B$37,E603&lt;=Controls!$B$38),1,0)</f>
        <v>1</v>
      </c>
      <c r="AE603" s="65" t="n">
        <f aca="false">IF(IFERROR(VLOOKUP(D603,Controls!$A$64:$E$74,2,FALSE()),"No")="Yes",1,0)</f>
        <v>0</v>
      </c>
      <c r="AF603" s="65" t="n">
        <f aca="false">IF(IFERROR(VLOOKUP(D603,Controls!$A$64:$E$74,3,FALSE()),"No")="Yes",1,0)</f>
        <v>0</v>
      </c>
      <c r="AG603" s="65" t="n">
        <f aca="false">IF(IFERROR(VLOOKUP(D603,Controls!$A$64:$E$74,4,FALSE()),"No")="Yes",1,0)</f>
        <v>0</v>
      </c>
      <c r="AH603" s="65" t="n">
        <f aca="false">IF(IFERROR(VLOOKUP(D603,Controls!$A$64:$E$74,5,FALSE()),"No")="Yes",1,0)</f>
        <v>1</v>
      </c>
      <c r="AI603" s="65" t="n">
        <f aca="false">IF(ISNUMBER(MATCH(D603,Controls!$A$64:$A$74,0)),1,0)</f>
        <v>1</v>
      </c>
      <c r="AJ603" s="65" t="n">
        <f aca="false">Q603-N603</f>
        <v>5927.38</v>
      </c>
      <c r="AK603" s="65" t="n">
        <f aca="false">IF(AE603=1,MAX(0,N603-Q603),0)</f>
        <v>0</v>
      </c>
      <c r="AL603" s="65" t="n">
        <f aca="false">IF(OR(V603="",V603=0),0,N603/V603)</f>
        <v>0.378790748414761</v>
      </c>
      <c r="AM603" s="65" t="n">
        <f aca="false">IF(OR(V603="",V603=0),0,1)</f>
        <v>1</v>
      </c>
      <c r="AN603" s="65" t="n">
        <f aca="false">IF(OR(E603="",F603=""),0,NETWORKDAYS(E603,F603,Ref!$K$2:$K$42))</f>
        <v>135</v>
      </c>
      <c r="AO603" s="65" t="n">
        <f aca="false">IF(L603="Renewal",1,0)</f>
        <v>0</v>
      </c>
      <c r="AP603" s="65" t="n">
        <f aca="false">AC603*AD603</f>
        <v>0</v>
      </c>
      <c r="AQ603" s="65" t="n">
        <f aca="false">IF(AND(G603&lt;&gt;"",'Historical Score'!$C$6&lt;&gt;""),IF(G603='Historical Score'!$C$6,1,0),0)</f>
        <v>1</v>
      </c>
      <c r="AR603" s="65" t="n">
        <f aca="false">IF(AND(L603&lt;&gt;"",'Historical Score'!$C$5&lt;&gt;""),IF(L603='Historical Score'!$C$5,1,0),0)</f>
        <v>1</v>
      </c>
      <c r="AS603" s="65" t="n">
        <f aca="false">IF(AND(Y603&lt;&gt;"",'Historical Score'!$C$7&lt;&gt;""),IF(Y603='Historical Score'!$C$7,1,0),0)</f>
        <v>0</v>
      </c>
      <c r="AT603" s="65" t="n">
        <f aca="false">IF(AND(K603&lt;&gt;"",'Historical Score'!$C$8&lt;&gt;""),IF(K603='Historical Score'!$C$8,1,0),0)</f>
        <v>0</v>
      </c>
      <c r="AU603" s="65" t="n">
        <f aca="false">IF(AND(J603&lt;&gt;"",'Historical Score'!$C$9&lt;&gt;""),IF(J603='Historical Score'!$C$9,1,0),0)</f>
        <v>1</v>
      </c>
      <c r="AV603" s="65" t="n">
        <f aca="false">AR603*AS603*AQ603</f>
        <v>0</v>
      </c>
      <c r="AW603" s="65" t="n">
        <f aca="false">AR603*AT603*AQ603</f>
        <v>0</v>
      </c>
      <c r="AX603" s="65" t="n">
        <f aca="false">AR603*AS603</f>
        <v>0</v>
      </c>
      <c r="AY603" s="65" t="n">
        <f aca="false">AR603*AT603</f>
        <v>0</v>
      </c>
      <c r="AZ603" s="65" t="n">
        <f aca="false">AR603*AQ603</f>
        <v>1</v>
      </c>
      <c r="BA603" s="65" t="n">
        <f aca="false">AR603</f>
        <v>1</v>
      </c>
      <c r="BB603" s="65" t="n">
        <f aca="false">1</f>
        <v>1</v>
      </c>
      <c r="BC603" s="65" t="n">
        <f aca="false">IF(AV603=1,1,IF(AW603=1,2,IF(AX603=1,3,IF(AY603=1,4,IF(AZ603=1,5,IF(BA603=1,6,7))))))</f>
        <v>5</v>
      </c>
      <c r="BD603" s="65" t="n">
        <f aca="false">IF(AD603=1,CHOOSE('Historical Score'!$C$29,AV603,AW603,AX603,AY603,AZ603,BA603,BB603),0)</f>
        <v>0</v>
      </c>
      <c r="BE603" s="65" t="str">
        <f aca="false">IF(BD603=1,COUNTIF($BD$2:BD603,1),"")</f>
        <v/>
      </c>
    </row>
    <row r="604" customFormat="false" ht="15" hidden="false" customHeight="false" outlineLevel="0" collapsed="false">
      <c r="A604" s="65" t="s">
        <v>2107</v>
      </c>
      <c r="B604" s="65" t="s">
        <v>2108</v>
      </c>
      <c r="C604" s="65" t="s">
        <v>2108</v>
      </c>
      <c r="D604" s="65" t="s">
        <v>295</v>
      </c>
      <c r="E604" s="112" t="n">
        <v>46058</v>
      </c>
      <c r="F604" s="112" t="n">
        <v>46234</v>
      </c>
      <c r="G604" s="65" t="n">
        <v>2</v>
      </c>
      <c r="H604" s="65" t="s">
        <v>409</v>
      </c>
      <c r="I604" s="65" t="s">
        <v>342</v>
      </c>
      <c r="J604" s="65" t="s">
        <v>350</v>
      </c>
      <c r="K604" s="65" t="s">
        <v>983</v>
      </c>
      <c r="L604" s="65" t="s">
        <v>64</v>
      </c>
      <c r="M604" s="113" t="n">
        <v>1.45</v>
      </c>
      <c r="N604" s="114" t="n">
        <v>15000</v>
      </c>
      <c r="O604" s="114" t="n">
        <v>1800</v>
      </c>
      <c r="P604" s="114" t="n">
        <v>21750</v>
      </c>
      <c r="Q604" s="114" t="n">
        <v>11527.56</v>
      </c>
      <c r="R604" s="114" t="n">
        <v>10222.44</v>
      </c>
      <c r="S604" s="115" t="n">
        <v>0.53000275862069</v>
      </c>
      <c r="T604" s="65" t="n">
        <v>18</v>
      </c>
      <c r="U604" s="65" t="n">
        <v>13</v>
      </c>
      <c r="V604" s="65" t="n">
        <v>55264.3</v>
      </c>
      <c r="W604" s="115" t="n">
        <v>0.0875</v>
      </c>
      <c r="X604" s="112" t="n">
        <v>45658</v>
      </c>
      <c r="Y604" s="65" t="str">
        <f aca="false">IF(I604="","No SIC",IFERROR(VLOOKUP(I604,Ref!$A$2:$B$65,2,FALSE()),"Unclassified"))</f>
        <v>Eating &amp; Drinking Places</v>
      </c>
      <c r="Z604" s="65" t="str">
        <f aca="false">IF(T604="","",IF(T604&lt;12,"Daily","Weekly"))</f>
        <v>Weekly</v>
      </c>
      <c r="AA604" s="65" t="n">
        <f aca="false">IF(T604="",0,IF(T604&lt;12,T604*Controls!$B$29,T604*5))</f>
        <v>90</v>
      </c>
      <c r="AB604" s="65" t="n">
        <f aca="false">IF(E604="",0,NETWORKDAYS(E604,Controls!$B$36,Ref!$K$2:$K$42))</f>
        <v>141</v>
      </c>
      <c r="AC604" s="65" t="n">
        <f aca="false">IF(AND(AA604&gt;0,AB604&gt;=Controls!$B$39*AA604),1,0)</f>
        <v>1</v>
      </c>
      <c r="AD604" s="65" t="n">
        <f aca="false">IF(AND(E604&lt;&gt;"",E604&gt;=Controls!$B$37,E604&lt;=Controls!$B$38),1,0)</f>
        <v>1</v>
      </c>
      <c r="AE604" s="65" t="n">
        <f aca="false">IF(IFERROR(VLOOKUP(D604,Controls!$A$64:$E$74,2,FALSE()),"No")="Yes",1,0)</f>
        <v>0</v>
      </c>
      <c r="AF604" s="65" t="n">
        <f aca="false">IF(IFERROR(VLOOKUP(D604,Controls!$A$64:$E$74,3,FALSE()),"No")="Yes",1,0)</f>
        <v>0</v>
      </c>
      <c r="AG604" s="65" t="n">
        <f aca="false">IF(IFERROR(VLOOKUP(D604,Controls!$A$64:$E$74,4,FALSE()),"No")="Yes",1,0)</f>
        <v>0</v>
      </c>
      <c r="AH604" s="65" t="n">
        <f aca="false">IF(IFERROR(VLOOKUP(D604,Controls!$A$64:$E$74,5,FALSE()),"No")="Yes",1,0)</f>
        <v>1</v>
      </c>
      <c r="AI604" s="65" t="n">
        <f aca="false">IF(ISNUMBER(MATCH(D604,Controls!$A$64:$A$74,0)),1,0)</f>
        <v>1</v>
      </c>
      <c r="AJ604" s="65" t="n">
        <f aca="false">Q604-N604</f>
        <v>-3472.44</v>
      </c>
      <c r="AK604" s="65" t="n">
        <f aca="false">IF(AE604=1,MAX(0,N604-Q604),0)</f>
        <v>0</v>
      </c>
      <c r="AL604" s="65" t="n">
        <f aca="false">IF(OR(V604="",V604=0),0,N604/V604)</f>
        <v>0.27142296202069</v>
      </c>
      <c r="AM604" s="65" t="n">
        <f aca="false">IF(OR(V604="",V604=0),0,1)</f>
        <v>1</v>
      </c>
      <c r="AN604" s="65" t="n">
        <f aca="false">IF(OR(E604="",F604=""),0,NETWORKDAYS(E604,F604,Ref!$K$2:$K$42))</f>
        <v>124</v>
      </c>
      <c r="AO604" s="65" t="n">
        <f aca="false">IF(L604="Renewal",1,0)</f>
        <v>0</v>
      </c>
      <c r="AP604" s="65" t="n">
        <f aca="false">AC604*AD604</f>
        <v>1</v>
      </c>
      <c r="AQ604" s="65" t="n">
        <f aca="false">IF(AND(G604&lt;&gt;"",'Historical Score'!$C$6&lt;&gt;""),IF(G604='Historical Score'!$C$6,1,0),0)</f>
        <v>1</v>
      </c>
      <c r="AR604" s="65" t="n">
        <f aca="false">IF(AND(L604&lt;&gt;"",'Historical Score'!$C$5&lt;&gt;""),IF(L604='Historical Score'!$C$5,1,0),0)</f>
        <v>1</v>
      </c>
      <c r="AS604" s="65" t="n">
        <f aca="false">IF(AND(Y604&lt;&gt;"",'Historical Score'!$C$7&lt;&gt;""),IF(Y604='Historical Score'!$C$7,1,0),0)</f>
        <v>0</v>
      </c>
      <c r="AT604" s="65" t="n">
        <f aca="false">IF(AND(K604&lt;&gt;"",'Historical Score'!$C$8&lt;&gt;""),IF(K604='Historical Score'!$C$8,1,0),0)</f>
        <v>0</v>
      </c>
      <c r="AU604" s="65" t="n">
        <f aca="false">IF(AND(J604&lt;&gt;"",'Historical Score'!$C$9&lt;&gt;""),IF(J604='Historical Score'!$C$9,1,0),0)</f>
        <v>0</v>
      </c>
      <c r="AV604" s="65" t="n">
        <f aca="false">AR604*AS604*AQ604</f>
        <v>0</v>
      </c>
      <c r="AW604" s="65" t="n">
        <f aca="false">AR604*AT604*AQ604</f>
        <v>0</v>
      </c>
      <c r="AX604" s="65" t="n">
        <f aca="false">AR604*AS604</f>
        <v>0</v>
      </c>
      <c r="AY604" s="65" t="n">
        <f aca="false">AR604*AT604</f>
        <v>0</v>
      </c>
      <c r="AZ604" s="65" t="n">
        <f aca="false">AR604*AQ604</f>
        <v>1</v>
      </c>
      <c r="BA604" s="65" t="n">
        <f aca="false">AR604</f>
        <v>1</v>
      </c>
      <c r="BB604" s="65" t="n">
        <f aca="false">1</f>
        <v>1</v>
      </c>
      <c r="BC604" s="65" t="n">
        <f aca="false">IF(AV604=1,1,IF(AW604=1,2,IF(AX604=1,3,IF(AY604=1,4,IF(AZ604=1,5,IF(BA604=1,6,7))))))</f>
        <v>5</v>
      </c>
      <c r="BD604" s="65" t="n">
        <f aca="false">IF(AD604=1,CHOOSE('Historical Score'!$C$29,AV604,AW604,AX604,AY604,AZ604,BA604,BB604),0)</f>
        <v>0</v>
      </c>
      <c r="BE604" s="65" t="str">
        <f aca="false">IF(BD604=1,COUNTIF($BD$2:BD604,1),"")</f>
        <v/>
      </c>
    </row>
    <row r="605" customFormat="false" ht="15" hidden="false" customHeight="false" outlineLevel="0" collapsed="false">
      <c r="A605" s="65" t="s">
        <v>2109</v>
      </c>
      <c r="B605" s="65" t="s">
        <v>879</v>
      </c>
      <c r="C605" s="65" t="s">
        <v>880</v>
      </c>
      <c r="D605" s="65" t="s">
        <v>371</v>
      </c>
      <c r="E605" s="112" t="n">
        <v>46059</v>
      </c>
      <c r="F605" s="112" t="n">
        <v>46147</v>
      </c>
      <c r="G605" s="65" t="n">
        <v>4</v>
      </c>
      <c r="H605" s="65" t="s">
        <v>1336</v>
      </c>
      <c r="I605" s="65" t="s">
        <v>379</v>
      </c>
      <c r="J605" s="65" t="s">
        <v>432</v>
      </c>
      <c r="K605" s="65" t="s">
        <v>55</v>
      </c>
      <c r="L605" s="65" t="s">
        <v>320</v>
      </c>
      <c r="M605" s="113" t="n">
        <v>1.49</v>
      </c>
      <c r="N605" s="114" t="n">
        <v>45000</v>
      </c>
      <c r="O605" s="114" t="n">
        <v>6300</v>
      </c>
      <c r="P605" s="114" t="n">
        <v>67050</v>
      </c>
      <c r="Q605" s="114" t="n">
        <v>67050</v>
      </c>
      <c r="R605" s="114" t="n">
        <v>0</v>
      </c>
      <c r="S605" s="115" t="n">
        <v>1</v>
      </c>
      <c r="T605" s="65" t="n">
        <v>3.934</v>
      </c>
      <c r="U605" s="65" t="n">
        <v>0</v>
      </c>
      <c r="V605" s="65" t="n">
        <v>104379.99</v>
      </c>
      <c r="W605" s="115" t="n">
        <v>0.1661</v>
      </c>
      <c r="X605" s="112" t="n">
        <v>43221</v>
      </c>
      <c r="Y605" s="65" t="str">
        <f aca="false">IF(I605="","No SIC",IFERROR(VLOOKUP(I605,Ref!$A$2:$B$65,2,FALSE()),"Unclassified"))</f>
        <v>Food Stores</v>
      </c>
      <c r="Z605" s="65" t="str">
        <f aca="false">IF(T605="","",IF(T605&lt;12,"Daily","Weekly"))</f>
        <v>Daily</v>
      </c>
      <c r="AA605" s="65" t="n">
        <f aca="false">IF(T605="",0,IF(T605&lt;12,T605*Controls!$B$29,T605*5))</f>
        <v>85.19077</v>
      </c>
      <c r="AB605" s="65" t="n">
        <f aca="false">IF(E605="",0,NETWORKDAYS(E605,Controls!$B$36,Ref!$K$2:$K$42))</f>
        <v>140</v>
      </c>
      <c r="AC605" s="65" t="n">
        <f aca="false">IF(AND(AA605&gt;0,AB605&gt;=Controls!$B$39*AA605),1,0)</f>
        <v>1</v>
      </c>
      <c r="AD605" s="65" t="n">
        <f aca="false">IF(AND(E605&lt;&gt;"",E605&gt;=Controls!$B$37,E605&lt;=Controls!$B$38),1,0)</f>
        <v>1</v>
      </c>
      <c r="AE605" s="65" t="n">
        <f aca="false">IF(IFERROR(VLOOKUP(D605,Controls!$A$64:$E$74,2,FALSE()),"No")="Yes",1,0)</f>
        <v>0</v>
      </c>
      <c r="AF605" s="65" t="n">
        <f aca="false">IF(IFERROR(VLOOKUP(D605,Controls!$A$64:$E$74,3,FALSE()),"No")="Yes",1,0)</f>
        <v>1</v>
      </c>
      <c r="AG605" s="65" t="n">
        <f aca="false">IF(IFERROR(VLOOKUP(D605,Controls!$A$64:$E$74,4,FALSE()),"No")="Yes",1,0)</f>
        <v>1</v>
      </c>
      <c r="AH605" s="65" t="n">
        <f aca="false">IF(IFERROR(VLOOKUP(D605,Controls!$A$64:$E$74,5,FALSE()),"No")="Yes",1,0)</f>
        <v>0</v>
      </c>
      <c r="AI605" s="65" t="n">
        <f aca="false">IF(ISNUMBER(MATCH(D605,Controls!$A$64:$A$74,0)),1,0)</f>
        <v>1</v>
      </c>
      <c r="AJ605" s="65" t="n">
        <f aca="false">Q605-N605</f>
        <v>22050</v>
      </c>
      <c r="AK605" s="65" t="n">
        <f aca="false">IF(AE605=1,MAX(0,N605-Q605),0)</f>
        <v>0</v>
      </c>
      <c r="AL605" s="65" t="n">
        <f aca="false">IF(OR(V605="",V605=0),0,N605/V605)</f>
        <v>0.431117113538716</v>
      </c>
      <c r="AM605" s="65" t="n">
        <f aca="false">IF(OR(V605="",V605=0),0,1)</f>
        <v>1</v>
      </c>
      <c r="AN605" s="65" t="n">
        <f aca="false">IF(OR(E605="",F605=""),0,NETWORKDAYS(E605,F605,Ref!$K$2:$K$42))</f>
        <v>62</v>
      </c>
      <c r="AO605" s="65" t="n">
        <f aca="false">IF(L605="Renewal",1,0)</f>
        <v>1</v>
      </c>
      <c r="AP605" s="65" t="n">
        <f aca="false">AC605*AD605</f>
        <v>1</v>
      </c>
      <c r="AQ605" s="65" t="n">
        <f aca="false">IF(AND(G605&lt;&gt;"",'Historical Score'!$C$6&lt;&gt;""),IF(G605='Historical Score'!$C$6,1,0),0)</f>
        <v>0</v>
      </c>
      <c r="AR605" s="65" t="n">
        <f aca="false">IF(AND(L605&lt;&gt;"",'Historical Score'!$C$5&lt;&gt;""),IF(L605='Historical Score'!$C$5,1,0),0)</f>
        <v>0</v>
      </c>
      <c r="AS605" s="65" t="n">
        <f aca="false">IF(AND(Y605&lt;&gt;"",'Historical Score'!$C$7&lt;&gt;""),IF(Y605='Historical Score'!$C$7,1,0),0)</f>
        <v>0</v>
      </c>
      <c r="AT605" s="65" t="n">
        <f aca="false">IF(AND(K605&lt;&gt;"",'Historical Score'!$C$8&lt;&gt;""),IF(K605='Historical Score'!$C$8,1,0),0)</f>
        <v>1</v>
      </c>
      <c r="AU605" s="65" t="n">
        <f aca="false">IF(AND(J605&lt;&gt;"",'Historical Score'!$C$9&lt;&gt;""),IF(J605='Historical Score'!$C$9,1,0),0)</f>
        <v>0</v>
      </c>
      <c r="AV605" s="65" t="n">
        <f aca="false">AR605*AS605*AQ605</f>
        <v>0</v>
      </c>
      <c r="AW605" s="65" t="n">
        <f aca="false">AR605*AT605*AQ605</f>
        <v>0</v>
      </c>
      <c r="AX605" s="65" t="n">
        <f aca="false">AR605*AS605</f>
        <v>0</v>
      </c>
      <c r="AY605" s="65" t="n">
        <f aca="false">AR605*AT605</f>
        <v>0</v>
      </c>
      <c r="AZ605" s="65" t="n">
        <f aca="false">AR605*AQ605</f>
        <v>0</v>
      </c>
      <c r="BA605" s="65" t="n">
        <f aca="false">AR605</f>
        <v>0</v>
      </c>
      <c r="BB605" s="65" t="n">
        <f aca="false">1</f>
        <v>1</v>
      </c>
      <c r="BC605" s="65" t="n">
        <f aca="false">IF(AV605=1,1,IF(AW605=1,2,IF(AX605=1,3,IF(AY605=1,4,IF(AZ605=1,5,IF(BA605=1,6,7))))))</f>
        <v>7</v>
      </c>
      <c r="BD605" s="65" t="n">
        <f aca="false">IF(AD605=1,CHOOSE('Historical Score'!$C$29,AV605,AW605,AX605,AY605,AZ605,BA605,BB605),0)</f>
        <v>0</v>
      </c>
      <c r="BE605" s="65" t="str">
        <f aca="false">IF(BD605=1,COUNTIF($BD$2:BD605,1),"")</f>
        <v/>
      </c>
    </row>
    <row r="606" customFormat="false" ht="15" hidden="false" customHeight="false" outlineLevel="0" collapsed="false">
      <c r="A606" s="65" t="s">
        <v>2110</v>
      </c>
      <c r="B606" s="65" t="s">
        <v>2111</v>
      </c>
      <c r="C606" s="65" t="s">
        <v>2111</v>
      </c>
      <c r="D606" s="65" t="s">
        <v>340</v>
      </c>
      <c r="E606" s="112" t="n">
        <v>46059</v>
      </c>
      <c r="F606" s="112" t="n">
        <v>46108</v>
      </c>
      <c r="G606" s="65" t="n">
        <v>2</v>
      </c>
      <c r="H606" s="65" t="s">
        <v>748</v>
      </c>
      <c r="I606" s="65" t="s">
        <v>619</v>
      </c>
      <c r="J606" s="65" t="s">
        <v>61</v>
      </c>
      <c r="K606" s="65" t="s">
        <v>55</v>
      </c>
      <c r="L606" s="65" t="s">
        <v>64</v>
      </c>
      <c r="M606" s="113" t="n">
        <v>1.49</v>
      </c>
      <c r="N606" s="114" t="n">
        <v>8000</v>
      </c>
      <c r="O606" s="114" t="n">
        <v>1120</v>
      </c>
      <c r="P606" s="114" t="n">
        <v>11920</v>
      </c>
      <c r="Q606" s="114" t="n">
        <v>2173.11</v>
      </c>
      <c r="R606" s="114" t="n">
        <v>9746.89</v>
      </c>
      <c r="S606" s="115" t="n">
        <v>0.18230788590604</v>
      </c>
      <c r="T606" s="65" t="n">
        <v>2.295</v>
      </c>
      <c r="U606" s="65" t="n">
        <v>4</v>
      </c>
      <c r="V606" s="65" t="n">
        <v>30623.79</v>
      </c>
      <c r="W606" s="115" t="n">
        <v>0.1168</v>
      </c>
      <c r="X606" s="112" t="n">
        <v>40525</v>
      </c>
      <c r="Y606" s="65" t="str">
        <f aca="false">IF(I606="","No SIC",IFERROR(VLOOKUP(I606,Ref!$A$2:$B$65,2,FALSE()),"Unclassified"))</f>
        <v>Miscellaneous Retail</v>
      </c>
      <c r="Z606" s="65" t="str">
        <f aca="false">IF(T606="","",IF(T606&lt;12,"Daily","Weekly"))</f>
        <v>Daily</v>
      </c>
      <c r="AA606" s="65" t="n">
        <f aca="false">IF(T606="",0,IF(T606&lt;12,T606*Controls!$B$29,T606*5))</f>
        <v>49.698225</v>
      </c>
      <c r="AB606" s="65" t="n">
        <f aca="false">IF(E606="",0,NETWORKDAYS(E606,Controls!$B$36,Ref!$K$2:$K$42))</f>
        <v>140</v>
      </c>
      <c r="AC606" s="65" t="n">
        <f aca="false">IF(AND(AA606&gt;0,AB606&gt;=Controls!$B$39*AA606),1,0)</f>
        <v>1</v>
      </c>
      <c r="AD606" s="65" t="n">
        <f aca="false">IF(AND(E606&lt;&gt;"",E606&gt;=Controls!$B$37,E606&lt;=Controls!$B$38),1,0)</f>
        <v>1</v>
      </c>
      <c r="AE606" s="65" t="n">
        <f aca="false">IF(IFERROR(VLOOKUP(D606,Controls!$A$64:$E$74,2,FALSE()),"No")="Yes",1,0)</f>
        <v>1</v>
      </c>
      <c r="AF606" s="65" t="n">
        <f aca="false">IF(IFERROR(VLOOKUP(D606,Controls!$A$64:$E$74,3,FALSE()),"No")="Yes",1,0)</f>
        <v>0</v>
      </c>
      <c r="AG606" s="65" t="n">
        <f aca="false">IF(IFERROR(VLOOKUP(D606,Controls!$A$64:$E$74,4,FALSE()),"No")="Yes",1,0)</f>
        <v>0</v>
      </c>
      <c r="AH606" s="65" t="n">
        <f aca="false">IF(IFERROR(VLOOKUP(D606,Controls!$A$64:$E$74,5,FALSE()),"No")="Yes",1,0)</f>
        <v>0</v>
      </c>
      <c r="AI606" s="65" t="n">
        <f aca="false">IF(ISNUMBER(MATCH(D606,Controls!$A$64:$A$74,0)),1,0)</f>
        <v>1</v>
      </c>
      <c r="AJ606" s="65" t="n">
        <f aca="false">Q606-N606</f>
        <v>-5826.89</v>
      </c>
      <c r="AK606" s="65" t="n">
        <f aca="false">IF(AE606=1,MAX(0,N606-Q606),0)</f>
        <v>5826.89</v>
      </c>
      <c r="AL606" s="65" t="n">
        <f aca="false">IF(OR(V606="",V606=0),0,N606/V606)</f>
        <v>0.261234811236624</v>
      </c>
      <c r="AM606" s="65" t="n">
        <f aca="false">IF(OR(V606="",V606=0),0,1)</f>
        <v>1</v>
      </c>
      <c r="AN606" s="65" t="n">
        <f aca="false">IF(OR(E606="",F606=""),0,NETWORKDAYS(E606,F606,Ref!$K$2:$K$42))</f>
        <v>35</v>
      </c>
      <c r="AO606" s="65" t="n">
        <f aca="false">IF(L606="Renewal",1,0)</f>
        <v>0</v>
      </c>
      <c r="AP606" s="65" t="n">
        <f aca="false">AC606*AD606</f>
        <v>1</v>
      </c>
      <c r="AQ606" s="65" t="n">
        <f aca="false">IF(AND(G606&lt;&gt;"",'Historical Score'!$C$6&lt;&gt;""),IF(G606='Historical Score'!$C$6,1,0),0)</f>
        <v>1</v>
      </c>
      <c r="AR606" s="65" t="n">
        <f aca="false">IF(AND(L606&lt;&gt;"",'Historical Score'!$C$5&lt;&gt;""),IF(L606='Historical Score'!$C$5,1,0),0)</f>
        <v>1</v>
      </c>
      <c r="AS606" s="65" t="n">
        <f aca="false">IF(AND(Y606&lt;&gt;"",'Historical Score'!$C$7&lt;&gt;""),IF(Y606='Historical Score'!$C$7,1,0),0)</f>
        <v>0</v>
      </c>
      <c r="AT606" s="65" t="n">
        <f aca="false">IF(AND(K606&lt;&gt;"",'Historical Score'!$C$8&lt;&gt;""),IF(K606='Historical Score'!$C$8,1,0),0)</f>
        <v>1</v>
      </c>
      <c r="AU606" s="65" t="n">
        <f aca="false">IF(AND(J606&lt;&gt;"",'Historical Score'!$C$9&lt;&gt;""),IF(J606='Historical Score'!$C$9,1,0),0)</f>
        <v>1</v>
      </c>
      <c r="AV606" s="65" t="n">
        <f aca="false">AR606*AS606*AQ606</f>
        <v>0</v>
      </c>
      <c r="AW606" s="65" t="n">
        <f aca="false">AR606*AT606*AQ606</f>
        <v>1</v>
      </c>
      <c r="AX606" s="65" t="n">
        <f aca="false">AR606*AS606</f>
        <v>0</v>
      </c>
      <c r="AY606" s="65" t="n">
        <f aca="false">AR606*AT606</f>
        <v>1</v>
      </c>
      <c r="AZ606" s="65" t="n">
        <f aca="false">AR606*AQ606</f>
        <v>1</v>
      </c>
      <c r="BA606" s="65" t="n">
        <f aca="false">AR606</f>
        <v>1</v>
      </c>
      <c r="BB606" s="65" t="n">
        <f aca="false">1</f>
        <v>1</v>
      </c>
      <c r="BC606" s="65" t="n">
        <f aca="false">IF(AV606=1,1,IF(AW606=1,2,IF(AX606=1,3,IF(AY606=1,4,IF(AZ606=1,5,IF(BA606=1,6,7))))))</f>
        <v>2</v>
      </c>
      <c r="BD606" s="65" t="n">
        <f aca="false">IF(AD606=1,CHOOSE('Historical Score'!$C$29,AV606,AW606,AX606,AY606,AZ606,BA606,BB606),0)</f>
        <v>0</v>
      </c>
      <c r="BE606" s="65" t="str">
        <f aca="false">IF(BD606=1,COUNTIF($BD$2:BD606,1),"")</f>
        <v/>
      </c>
    </row>
    <row r="607" customFormat="false" ht="15" hidden="false" customHeight="false" outlineLevel="0" collapsed="false">
      <c r="A607" s="65" t="s">
        <v>2112</v>
      </c>
      <c r="B607" s="65" t="s">
        <v>2113</v>
      </c>
      <c r="C607" s="65" t="s">
        <v>2113</v>
      </c>
      <c r="D607" s="65" t="s">
        <v>371</v>
      </c>
      <c r="E607" s="112" t="n">
        <v>46059</v>
      </c>
      <c r="F607" s="112" t="n">
        <v>46132</v>
      </c>
      <c r="G607" s="65" t="n">
        <v>3</v>
      </c>
      <c r="H607" s="65" t="s">
        <v>2114</v>
      </c>
      <c r="I607" s="65" t="s">
        <v>1490</v>
      </c>
      <c r="J607" s="65" t="s">
        <v>61</v>
      </c>
      <c r="K607" s="65" t="s">
        <v>55</v>
      </c>
      <c r="L607" s="65" t="s">
        <v>64</v>
      </c>
      <c r="M607" s="113" t="n">
        <v>1.49</v>
      </c>
      <c r="N607" s="114" t="n">
        <v>15000</v>
      </c>
      <c r="O607" s="114" t="n">
        <v>2100</v>
      </c>
      <c r="P607" s="114" t="n">
        <v>22350</v>
      </c>
      <c r="Q607" s="114" t="n">
        <v>22350</v>
      </c>
      <c r="R607" s="114" t="n">
        <v>0</v>
      </c>
      <c r="S607" s="115" t="n">
        <v>1</v>
      </c>
      <c r="T607" s="65" t="n">
        <v>20</v>
      </c>
      <c r="U607" s="65" t="n">
        <v>0</v>
      </c>
      <c r="V607" s="65" t="n">
        <v>45291.67</v>
      </c>
      <c r="W607" s="115" t="n">
        <v>0.09</v>
      </c>
      <c r="X607" s="112"/>
      <c r="Y607" s="65" t="str">
        <f aca="false">IF(I607="","No SIC",IFERROR(VLOOKUP(I607,Ref!$A$2:$B$65,2,FALSE()),"Unclassified"))</f>
        <v>Furniture &amp; Fixtures</v>
      </c>
      <c r="Z607" s="65" t="str">
        <f aca="false">IF(T607="","",IF(T607&lt;12,"Daily","Weekly"))</f>
        <v>Weekly</v>
      </c>
      <c r="AA607" s="65" t="n">
        <f aca="false">IF(T607="",0,IF(T607&lt;12,T607*Controls!$B$29,T607*5))</f>
        <v>100</v>
      </c>
      <c r="AB607" s="65" t="n">
        <f aca="false">IF(E607="",0,NETWORKDAYS(E607,Controls!$B$36,Ref!$K$2:$K$42))</f>
        <v>140</v>
      </c>
      <c r="AC607" s="65" t="n">
        <f aca="false">IF(AND(AA607&gt;0,AB607&gt;=Controls!$B$39*AA607),1,0)</f>
        <v>1</v>
      </c>
      <c r="AD607" s="65" t="n">
        <f aca="false">IF(AND(E607&lt;&gt;"",E607&gt;=Controls!$B$37,E607&lt;=Controls!$B$38),1,0)</f>
        <v>1</v>
      </c>
      <c r="AE607" s="65" t="n">
        <f aca="false">IF(IFERROR(VLOOKUP(D607,Controls!$A$64:$E$74,2,FALSE()),"No")="Yes",1,0)</f>
        <v>0</v>
      </c>
      <c r="AF607" s="65" t="n">
        <f aca="false">IF(IFERROR(VLOOKUP(D607,Controls!$A$64:$E$74,3,FALSE()),"No")="Yes",1,0)</f>
        <v>1</v>
      </c>
      <c r="AG607" s="65" t="n">
        <f aca="false">IF(IFERROR(VLOOKUP(D607,Controls!$A$64:$E$74,4,FALSE()),"No")="Yes",1,0)</f>
        <v>1</v>
      </c>
      <c r="AH607" s="65" t="n">
        <f aca="false">IF(IFERROR(VLOOKUP(D607,Controls!$A$64:$E$74,5,FALSE()),"No")="Yes",1,0)</f>
        <v>0</v>
      </c>
      <c r="AI607" s="65" t="n">
        <f aca="false">IF(ISNUMBER(MATCH(D607,Controls!$A$64:$A$74,0)),1,0)</f>
        <v>1</v>
      </c>
      <c r="AJ607" s="65" t="n">
        <f aca="false">Q607-N607</f>
        <v>7350</v>
      </c>
      <c r="AK607" s="65" t="n">
        <f aca="false">IF(AE607=1,MAX(0,N607-Q607),0)</f>
        <v>0</v>
      </c>
      <c r="AL607" s="65" t="n">
        <f aca="false">IF(OR(V607="",V607=0),0,N607/V607)</f>
        <v>0.331186728155531</v>
      </c>
      <c r="AM607" s="65" t="n">
        <f aca="false">IF(OR(V607="",V607=0),0,1)</f>
        <v>1</v>
      </c>
      <c r="AN607" s="65" t="n">
        <f aca="false">IF(OR(E607="",F607=""),0,NETWORKDAYS(E607,F607,Ref!$K$2:$K$42))</f>
        <v>51</v>
      </c>
      <c r="AO607" s="65" t="n">
        <f aca="false">IF(L607="Renewal",1,0)</f>
        <v>0</v>
      </c>
      <c r="AP607" s="65" t="n">
        <f aca="false">AC607*AD607</f>
        <v>1</v>
      </c>
      <c r="AQ607" s="65" t="n">
        <f aca="false">IF(AND(G607&lt;&gt;"",'Historical Score'!$C$6&lt;&gt;""),IF(G607='Historical Score'!$C$6,1,0),0)</f>
        <v>0</v>
      </c>
      <c r="AR607" s="65" t="n">
        <f aca="false">IF(AND(L607&lt;&gt;"",'Historical Score'!$C$5&lt;&gt;""),IF(L607='Historical Score'!$C$5,1,0),0)</f>
        <v>1</v>
      </c>
      <c r="AS607" s="65" t="n">
        <f aca="false">IF(AND(Y607&lt;&gt;"",'Historical Score'!$C$7&lt;&gt;""),IF(Y607='Historical Score'!$C$7,1,0),0)</f>
        <v>0</v>
      </c>
      <c r="AT607" s="65" t="n">
        <f aca="false">IF(AND(K607&lt;&gt;"",'Historical Score'!$C$8&lt;&gt;""),IF(K607='Historical Score'!$C$8,1,0),0)</f>
        <v>1</v>
      </c>
      <c r="AU607" s="65" t="n">
        <f aca="false">IF(AND(J607&lt;&gt;"",'Historical Score'!$C$9&lt;&gt;""),IF(J607='Historical Score'!$C$9,1,0),0)</f>
        <v>1</v>
      </c>
      <c r="AV607" s="65" t="n">
        <f aca="false">AR607*AS607*AQ607</f>
        <v>0</v>
      </c>
      <c r="AW607" s="65" t="n">
        <f aca="false">AR607*AT607*AQ607</f>
        <v>0</v>
      </c>
      <c r="AX607" s="65" t="n">
        <f aca="false">AR607*AS607</f>
        <v>0</v>
      </c>
      <c r="AY607" s="65" t="n">
        <f aca="false">AR607*AT607</f>
        <v>1</v>
      </c>
      <c r="AZ607" s="65" t="n">
        <f aca="false">AR607*AQ607</f>
        <v>0</v>
      </c>
      <c r="BA607" s="65" t="n">
        <f aca="false">AR607</f>
        <v>1</v>
      </c>
      <c r="BB607" s="65" t="n">
        <f aca="false">1</f>
        <v>1</v>
      </c>
      <c r="BC607" s="65" t="n">
        <f aca="false">IF(AV607=1,1,IF(AW607=1,2,IF(AX607=1,3,IF(AY607=1,4,IF(AZ607=1,5,IF(BA607=1,6,7))))))</f>
        <v>4</v>
      </c>
      <c r="BD607" s="65" t="n">
        <f aca="false">IF(AD607=1,CHOOSE('Historical Score'!$C$29,AV607,AW607,AX607,AY607,AZ607,BA607,BB607),0)</f>
        <v>0</v>
      </c>
      <c r="BE607" s="65" t="str">
        <f aca="false">IF(BD607=1,COUNTIF($BD$2:BD607,1),"")</f>
        <v/>
      </c>
    </row>
    <row r="608" customFormat="false" ht="15" hidden="false" customHeight="false" outlineLevel="0" collapsed="false">
      <c r="A608" s="65" t="s">
        <v>2115</v>
      </c>
      <c r="B608" s="65" t="s">
        <v>2116</v>
      </c>
      <c r="C608" s="65" t="s">
        <v>2117</v>
      </c>
      <c r="D608" s="65" t="s">
        <v>533</v>
      </c>
      <c r="E608" s="112" t="n">
        <v>46059</v>
      </c>
      <c r="F608" s="112" t="n">
        <v>46203</v>
      </c>
      <c r="G608" s="65" t="n">
        <v>2</v>
      </c>
      <c r="H608" s="65" t="s">
        <v>479</v>
      </c>
      <c r="I608" s="65" t="s">
        <v>356</v>
      </c>
      <c r="J608" s="65" t="s">
        <v>682</v>
      </c>
      <c r="K608" s="65" t="s">
        <v>501</v>
      </c>
      <c r="L608" s="65" t="s">
        <v>64</v>
      </c>
      <c r="M608" s="113" t="n">
        <v>1.43</v>
      </c>
      <c r="N608" s="114" t="n">
        <v>15000</v>
      </c>
      <c r="O608" s="114" t="n">
        <v>1650</v>
      </c>
      <c r="P608" s="114" t="n">
        <v>21450</v>
      </c>
      <c r="Q608" s="114" t="n">
        <v>3436.56</v>
      </c>
      <c r="R608" s="114" t="n">
        <v>18013.44</v>
      </c>
      <c r="S608" s="115" t="n">
        <v>0.160212587412587</v>
      </c>
      <c r="T608" s="65" t="n">
        <v>2.459</v>
      </c>
      <c r="U608" s="65" t="n">
        <v>14</v>
      </c>
      <c r="V608" s="65" t="n">
        <v>274610.06</v>
      </c>
      <c r="W608" s="115" t="n">
        <v>0.0219</v>
      </c>
      <c r="X608" s="112" t="n">
        <v>45328</v>
      </c>
      <c r="Y608" s="65" t="str">
        <f aca="false">IF(I608="","No SIC",IFERROR(VLOOKUP(I608,Ref!$A$2:$B$65,2,FALSE()),"Unclassified"))</f>
        <v>Trucking &amp; Warehousing</v>
      </c>
      <c r="Z608" s="65" t="str">
        <f aca="false">IF(T608="","",IF(T608&lt;12,"Daily","Weekly"))</f>
        <v>Daily</v>
      </c>
      <c r="AA608" s="65" t="n">
        <f aca="false">IF(T608="",0,IF(T608&lt;12,T608*Controls!$B$29,T608*5))</f>
        <v>53.249645</v>
      </c>
      <c r="AB608" s="65" t="n">
        <f aca="false">IF(E608="",0,NETWORKDAYS(E608,Controls!$B$36,Ref!$K$2:$K$42))</f>
        <v>140</v>
      </c>
      <c r="AC608" s="65" t="n">
        <f aca="false">IF(AND(AA608&gt;0,AB608&gt;=Controls!$B$39*AA608),1,0)</f>
        <v>1</v>
      </c>
      <c r="AD608" s="65" t="n">
        <f aca="false">IF(AND(E608&lt;&gt;"",E608&gt;=Controls!$B$37,E608&lt;=Controls!$B$38),1,0)</f>
        <v>1</v>
      </c>
      <c r="AE608" s="65" t="n">
        <f aca="false">IF(IFERROR(VLOOKUP(D608,Controls!$A$64:$E$74,2,FALSE()),"No")="Yes",1,0)</f>
        <v>1</v>
      </c>
      <c r="AF608" s="65" t="n">
        <f aca="false">IF(IFERROR(VLOOKUP(D608,Controls!$A$64:$E$74,3,FALSE()),"No")="Yes",1,0)</f>
        <v>0</v>
      </c>
      <c r="AG608" s="65" t="n">
        <f aca="false">IF(IFERROR(VLOOKUP(D608,Controls!$A$64:$E$74,4,FALSE()),"No")="Yes",1,0)</f>
        <v>0</v>
      </c>
      <c r="AH608" s="65" t="n">
        <f aca="false">IF(IFERROR(VLOOKUP(D608,Controls!$A$64:$E$74,5,FALSE()),"No")="Yes",1,0)</f>
        <v>0</v>
      </c>
      <c r="AI608" s="65" t="n">
        <f aca="false">IF(ISNUMBER(MATCH(D608,Controls!$A$64:$A$74,0)),1,0)</f>
        <v>1</v>
      </c>
      <c r="AJ608" s="65" t="n">
        <f aca="false">Q608-N608</f>
        <v>-11563.44</v>
      </c>
      <c r="AK608" s="65" t="n">
        <f aca="false">IF(AE608=1,MAX(0,N608-Q608),0)</f>
        <v>11563.44</v>
      </c>
      <c r="AL608" s="65" t="n">
        <f aca="false">IF(OR(V608="",V608=0),0,N608/V608)</f>
        <v>0.0546229078424876</v>
      </c>
      <c r="AM608" s="65" t="n">
        <f aca="false">IF(OR(V608="",V608=0),0,1)</f>
        <v>1</v>
      </c>
      <c r="AN608" s="65" t="n">
        <f aca="false">IF(OR(E608="",F608=""),0,NETWORKDAYS(E608,F608,Ref!$K$2:$K$42))</f>
        <v>100</v>
      </c>
      <c r="AO608" s="65" t="n">
        <f aca="false">IF(L608="Renewal",1,0)</f>
        <v>0</v>
      </c>
      <c r="AP608" s="65" t="n">
        <f aca="false">AC608*AD608</f>
        <v>1</v>
      </c>
      <c r="AQ608" s="65" t="n">
        <f aca="false">IF(AND(G608&lt;&gt;"",'Historical Score'!$C$6&lt;&gt;""),IF(G608='Historical Score'!$C$6,1,0),0)</f>
        <v>1</v>
      </c>
      <c r="AR608" s="65" t="n">
        <f aca="false">IF(AND(L608&lt;&gt;"",'Historical Score'!$C$5&lt;&gt;""),IF(L608='Historical Score'!$C$5,1,0),0)</f>
        <v>1</v>
      </c>
      <c r="AS608" s="65" t="n">
        <f aca="false">IF(AND(Y608&lt;&gt;"",'Historical Score'!$C$7&lt;&gt;""),IF(Y608='Historical Score'!$C$7,1,0),0)</f>
        <v>0</v>
      </c>
      <c r="AT608" s="65" t="n">
        <f aca="false">IF(AND(K608&lt;&gt;"",'Historical Score'!$C$8&lt;&gt;""),IF(K608='Historical Score'!$C$8,1,0),0)</f>
        <v>0</v>
      </c>
      <c r="AU608" s="65" t="n">
        <f aca="false">IF(AND(J608&lt;&gt;"",'Historical Score'!$C$9&lt;&gt;""),IF(J608='Historical Score'!$C$9,1,0),0)</f>
        <v>0</v>
      </c>
      <c r="AV608" s="65" t="n">
        <f aca="false">AR608*AS608*AQ608</f>
        <v>0</v>
      </c>
      <c r="AW608" s="65" t="n">
        <f aca="false">AR608*AT608*AQ608</f>
        <v>0</v>
      </c>
      <c r="AX608" s="65" t="n">
        <f aca="false">AR608*AS608</f>
        <v>0</v>
      </c>
      <c r="AY608" s="65" t="n">
        <f aca="false">AR608*AT608</f>
        <v>0</v>
      </c>
      <c r="AZ608" s="65" t="n">
        <f aca="false">AR608*AQ608</f>
        <v>1</v>
      </c>
      <c r="BA608" s="65" t="n">
        <f aca="false">AR608</f>
        <v>1</v>
      </c>
      <c r="BB608" s="65" t="n">
        <f aca="false">1</f>
        <v>1</v>
      </c>
      <c r="BC608" s="65" t="n">
        <f aca="false">IF(AV608=1,1,IF(AW608=1,2,IF(AX608=1,3,IF(AY608=1,4,IF(AZ608=1,5,IF(BA608=1,6,7))))))</f>
        <v>5</v>
      </c>
      <c r="BD608" s="65" t="n">
        <f aca="false">IF(AD608=1,CHOOSE('Historical Score'!$C$29,AV608,AW608,AX608,AY608,AZ608,BA608,BB608),0)</f>
        <v>0</v>
      </c>
      <c r="BE608" s="65" t="str">
        <f aca="false">IF(BD608=1,COUNTIF($BD$2:BD608,1),"")</f>
        <v/>
      </c>
    </row>
    <row r="609" customFormat="false" ht="15" hidden="false" customHeight="false" outlineLevel="0" collapsed="false">
      <c r="A609" s="65" t="s">
        <v>2118</v>
      </c>
      <c r="B609" s="65" t="s">
        <v>2119</v>
      </c>
      <c r="C609" s="65" t="s">
        <v>2119</v>
      </c>
      <c r="D609" s="65" t="s">
        <v>340</v>
      </c>
      <c r="E609" s="112" t="n">
        <v>46059</v>
      </c>
      <c r="F609" s="112" t="n">
        <v>46087</v>
      </c>
      <c r="G609" s="65" t="n">
        <v>3</v>
      </c>
      <c r="J609" s="65" t="s">
        <v>772</v>
      </c>
      <c r="K609" s="65" t="s">
        <v>55</v>
      </c>
      <c r="L609" s="65" t="s">
        <v>64</v>
      </c>
      <c r="M609" s="113" t="n">
        <v>1.49</v>
      </c>
      <c r="N609" s="114" t="n">
        <v>30000</v>
      </c>
      <c r="O609" s="114" t="n">
        <v>4200</v>
      </c>
      <c r="P609" s="114" t="n">
        <v>44700</v>
      </c>
      <c r="Q609" s="114" t="n">
        <v>5588.25</v>
      </c>
      <c r="R609" s="114" t="n">
        <v>39111.75</v>
      </c>
      <c r="S609" s="115" t="n">
        <v>0.12501677852349</v>
      </c>
      <c r="T609" s="65" t="n">
        <v>24</v>
      </c>
      <c r="U609" s="65" t="n">
        <v>1</v>
      </c>
      <c r="V609" s="65" t="n">
        <v>78846.67</v>
      </c>
      <c r="W609" s="115" t="n">
        <v>0.0945</v>
      </c>
      <c r="X609" s="112"/>
      <c r="Y609" s="65" t="str">
        <f aca="false">IF(I609="","No SIC",IFERROR(VLOOKUP(I609,Ref!$A$2:$B$65,2,FALSE()),"Unclassified"))</f>
        <v>No SIC</v>
      </c>
      <c r="Z609" s="65" t="str">
        <f aca="false">IF(T609="","",IF(T609&lt;12,"Daily","Weekly"))</f>
        <v>Weekly</v>
      </c>
      <c r="AA609" s="65" t="n">
        <f aca="false">IF(T609="",0,IF(T609&lt;12,T609*Controls!$B$29,T609*5))</f>
        <v>120</v>
      </c>
      <c r="AB609" s="65" t="n">
        <f aca="false">IF(E609="",0,NETWORKDAYS(E609,Controls!$B$36,Ref!$K$2:$K$42))</f>
        <v>140</v>
      </c>
      <c r="AC609" s="65" t="n">
        <f aca="false">IF(AND(AA609&gt;0,AB609&gt;=Controls!$B$39*AA609),1,0)</f>
        <v>0</v>
      </c>
      <c r="AD609" s="65" t="n">
        <f aca="false">IF(AND(E609&lt;&gt;"",E609&gt;=Controls!$B$37,E609&lt;=Controls!$B$38),1,0)</f>
        <v>1</v>
      </c>
      <c r="AE609" s="65" t="n">
        <f aca="false">IF(IFERROR(VLOOKUP(D609,Controls!$A$64:$E$74,2,FALSE()),"No")="Yes",1,0)</f>
        <v>1</v>
      </c>
      <c r="AF609" s="65" t="n">
        <f aca="false">IF(IFERROR(VLOOKUP(D609,Controls!$A$64:$E$74,3,FALSE()),"No")="Yes",1,0)</f>
        <v>0</v>
      </c>
      <c r="AG609" s="65" t="n">
        <f aca="false">IF(IFERROR(VLOOKUP(D609,Controls!$A$64:$E$74,4,FALSE()),"No")="Yes",1,0)</f>
        <v>0</v>
      </c>
      <c r="AH609" s="65" t="n">
        <f aca="false">IF(IFERROR(VLOOKUP(D609,Controls!$A$64:$E$74,5,FALSE()),"No")="Yes",1,0)</f>
        <v>0</v>
      </c>
      <c r="AI609" s="65" t="n">
        <f aca="false">IF(ISNUMBER(MATCH(D609,Controls!$A$64:$A$74,0)),1,0)</f>
        <v>1</v>
      </c>
      <c r="AJ609" s="65" t="n">
        <f aca="false">Q609-N609</f>
        <v>-24411.75</v>
      </c>
      <c r="AK609" s="65" t="n">
        <f aca="false">IF(AE609=1,MAX(0,N609-Q609),0)</f>
        <v>24411.75</v>
      </c>
      <c r="AL609" s="65" t="n">
        <f aca="false">IF(OR(V609="",V609=0),0,N609/V609)</f>
        <v>0.380485314091261</v>
      </c>
      <c r="AM609" s="65" t="n">
        <f aca="false">IF(OR(V609="",V609=0),0,1)</f>
        <v>1</v>
      </c>
      <c r="AN609" s="65" t="n">
        <f aca="false">IF(OR(E609="",F609=""),0,NETWORKDAYS(E609,F609,Ref!$K$2:$K$42))</f>
        <v>20</v>
      </c>
      <c r="AO609" s="65" t="n">
        <f aca="false">IF(L609="Renewal",1,0)</f>
        <v>0</v>
      </c>
      <c r="AP609" s="65" t="n">
        <f aca="false">AC609*AD609</f>
        <v>0</v>
      </c>
      <c r="AQ609" s="65" t="n">
        <f aca="false">IF(AND(G609&lt;&gt;"",'Historical Score'!$C$6&lt;&gt;""),IF(G609='Historical Score'!$C$6,1,0),0)</f>
        <v>0</v>
      </c>
      <c r="AR609" s="65" t="n">
        <f aca="false">IF(AND(L609&lt;&gt;"",'Historical Score'!$C$5&lt;&gt;""),IF(L609='Historical Score'!$C$5,1,0),0)</f>
        <v>1</v>
      </c>
      <c r="AS609" s="65" t="n">
        <f aca="false">IF(AND(Y609&lt;&gt;"",'Historical Score'!$C$7&lt;&gt;""),IF(Y609='Historical Score'!$C$7,1,0),0)</f>
        <v>0</v>
      </c>
      <c r="AT609" s="65" t="n">
        <f aca="false">IF(AND(K609&lt;&gt;"",'Historical Score'!$C$8&lt;&gt;""),IF(K609='Historical Score'!$C$8,1,0),0)</f>
        <v>1</v>
      </c>
      <c r="AU609" s="65" t="n">
        <f aca="false">IF(AND(J609&lt;&gt;"",'Historical Score'!$C$9&lt;&gt;""),IF(J609='Historical Score'!$C$9,1,0),0)</f>
        <v>0</v>
      </c>
      <c r="AV609" s="65" t="n">
        <f aca="false">AR609*AS609*AQ609</f>
        <v>0</v>
      </c>
      <c r="AW609" s="65" t="n">
        <f aca="false">AR609*AT609*AQ609</f>
        <v>0</v>
      </c>
      <c r="AX609" s="65" t="n">
        <f aca="false">AR609*AS609</f>
        <v>0</v>
      </c>
      <c r="AY609" s="65" t="n">
        <f aca="false">AR609*AT609</f>
        <v>1</v>
      </c>
      <c r="AZ609" s="65" t="n">
        <f aca="false">AR609*AQ609</f>
        <v>0</v>
      </c>
      <c r="BA609" s="65" t="n">
        <f aca="false">AR609</f>
        <v>1</v>
      </c>
      <c r="BB609" s="65" t="n">
        <f aca="false">1</f>
        <v>1</v>
      </c>
      <c r="BC609" s="65" t="n">
        <f aca="false">IF(AV609=1,1,IF(AW609=1,2,IF(AX609=1,3,IF(AY609=1,4,IF(AZ609=1,5,IF(BA609=1,6,7))))))</f>
        <v>4</v>
      </c>
      <c r="BD609" s="65" t="n">
        <f aca="false">IF(AD609=1,CHOOSE('Historical Score'!$C$29,AV609,AW609,AX609,AY609,AZ609,BA609,BB609),0)</f>
        <v>0</v>
      </c>
      <c r="BE609" s="65" t="str">
        <f aca="false">IF(BD609=1,COUNTIF($BD$2:BD609,1),"")</f>
        <v/>
      </c>
    </row>
    <row r="610" customFormat="false" ht="15" hidden="false" customHeight="false" outlineLevel="0" collapsed="false">
      <c r="A610" s="65" t="s">
        <v>2120</v>
      </c>
      <c r="B610" s="65" t="s">
        <v>1525</v>
      </c>
      <c r="C610" s="65" t="s">
        <v>1525</v>
      </c>
      <c r="D610" s="65" t="s">
        <v>371</v>
      </c>
      <c r="E610" s="112" t="n">
        <v>46062</v>
      </c>
      <c r="F610" s="112" t="n">
        <v>46139</v>
      </c>
      <c r="G610" s="65" t="n">
        <v>3</v>
      </c>
      <c r="H610" s="65" t="s">
        <v>409</v>
      </c>
      <c r="I610" s="65" t="s">
        <v>342</v>
      </c>
      <c r="J610" s="65" t="s">
        <v>506</v>
      </c>
      <c r="K610" s="65" t="s">
        <v>55</v>
      </c>
      <c r="L610" s="65" t="s">
        <v>320</v>
      </c>
      <c r="M610" s="113" t="n">
        <v>1.49</v>
      </c>
      <c r="N610" s="114" t="n">
        <v>16500</v>
      </c>
      <c r="O610" s="114" t="n">
        <v>2310</v>
      </c>
      <c r="P610" s="114" t="n">
        <v>24585</v>
      </c>
      <c r="Q610" s="114" t="n">
        <v>24585</v>
      </c>
      <c r="R610" s="114" t="n">
        <v>0</v>
      </c>
      <c r="S610" s="115" t="n">
        <v>1</v>
      </c>
      <c r="T610" s="65" t="n">
        <v>3.279</v>
      </c>
      <c r="U610" s="65" t="n">
        <v>1</v>
      </c>
      <c r="V610" s="65" t="n">
        <v>37733.39</v>
      </c>
      <c r="W610" s="115" t="n">
        <v>0.1368</v>
      </c>
      <c r="X610" s="112"/>
      <c r="Y610" s="65" t="str">
        <f aca="false">IF(I610="","No SIC",IFERROR(VLOOKUP(I610,Ref!$A$2:$B$65,2,FALSE()),"Unclassified"))</f>
        <v>Eating &amp; Drinking Places</v>
      </c>
      <c r="Z610" s="65" t="str">
        <f aca="false">IF(T610="","",IF(T610&lt;12,"Daily","Weekly"))</f>
        <v>Daily</v>
      </c>
      <c r="AA610" s="65" t="n">
        <f aca="false">IF(T610="",0,IF(T610&lt;12,T610*Controls!$B$29,T610*5))</f>
        <v>71.006745</v>
      </c>
      <c r="AB610" s="65" t="n">
        <f aca="false">IF(E610="",0,NETWORKDAYS(E610,Controls!$B$36,Ref!$K$2:$K$42))</f>
        <v>139</v>
      </c>
      <c r="AC610" s="65" t="n">
        <f aca="false">IF(AND(AA610&gt;0,AB610&gt;=Controls!$B$39*AA610),1,0)</f>
        <v>1</v>
      </c>
      <c r="AD610" s="65" t="n">
        <f aca="false">IF(AND(E610&lt;&gt;"",E610&gt;=Controls!$B$37,E610&lt;=Controls!$B$38),1,0)</f>
        <v>1</v>
      </c>
      <c r="AE610" s="65" t="n">
        <f aca="false">IF(IFERROR(VLOOKUP(D610,Controls!$A$64:$E$74,2,FALSE()),"No")="Yes",1,0)</f>
        <v>0</v>
      </c>
      <c r="AF610" s="65" t="n">
        <f aca="false">IF(IFERROR(VLOOKUP(D610,Controls!$A$64:$E$74,3,FALSE()),"No")="Yes",1,0)</f>
        <v>1</v>
      </c>
      <c r="AG610" s="65" t="n">
        <f aca="false">IF(IFERROR(VLOOKUP(D610,Controls!$A$64:$E$74,4,FALSE()),"No")="Yes",1,0)</f>
        <v>1</v>
      </c>
      <c r="AH610" s="65" t="n">
        <f aca="false">IF(IFERROR(VLOOKUP(D610,Controls!$A$64:$E$74,5,FALSE()),"No")="Yes",1,0)</f>
        <v>0</v>
      </c>
      <c r="AI610" s="65" t="n">
        <f aca="false">IF(ISNUMBER(MATCH(D610,Controls!$A$64:$A$74,0)),1,0)</f>
        <v>1</v>
      </c>
      <c r="AJ610" s="65" t="n">
        <f aca="false">Q610-N610</f>
        <v>8085</v>
      </c>
      <c r="AK610" s="65" t="n">
        <f aca="false">IF(AE610=1,MAX(0,N610-Q610),0)</f>
        <v>0</v>
      </c>
      <c r="AL610" s="65" t="n">
        <f aca="false">IF(OR(V610="",V610=0),0,N610/V610)</f>
        <v>0.437278495253143</v>
      </c>
      <c r="AM610" s="65" t="n">
        <f aca="false">IF(OR(V610="",V610=0),0,1)</f>
        <v>1</v>
      </c>
      <c r="AN610" s="65" t="n">
        <f aca="false">IF(OR(E610="",F610=""),0,NETWORKDAYS(E610,F610,Ref!$K$2:$K$42))</f>
        <v>55</v>
      </c>
      <c r="AO610" s="65" t="n">
        <f aca="false">IF(L610="Renewal",1,0)</f>
        <v>1</v>
      </c>
      <c r="AP610" s="65" t="n">
        <f aca="false">AC610*AD610</f>
        <v>1</v>
      </c>
      <c r="AQ610" s="65" t="n">
        <f aca="false">IF(AND(G610&lt;&gt;"",'Historical Score'!$C$6&lt;&gt;""),IF(G610='Historical Score'!$C$6,1,0),0)</f>
        <v>0</v>
      </c>
      <c r="AR610" s="65" t="n">
        <f aca="false">IF(AND(L610&lt;&gt;"",'Historical Score'!$C$5&lt;&gt;""),IF(L610='Historical Score'!$C$5,1,0),0)</f>
        <v>0</v>
      </c>
      <c r="AS610" s="65" t="n">
        <f aca="false">IF(AND(Y610&lt;&gt;"",'Historical Score'!$C$7&lt;&gt;""),IF(Y610='Historical Score'!$C$7,1,0),0)</f>
        <v>0</v>
      </c>
      <c r="AT610" s="65" t="n">
        <f aca="false">IF(AND(K610&lt;&gt;"",'Historical Score'!$C$8&lt;&gt;""),IF(K610='Historical Score'!$C$8,1,0),0)</f>
        <v>1</v>
      </c>
      <c r="AU610" s="65" t="n">
        <f aca="false">IF(AND(J610&lt;&gt;"",'Historical Score'!$C$9&lt;&gt;""),IF(J610='Historical Score'!$C$9,1,0),0)</f>
        <v>0</v>
      </c>
      <c r="AV610" s="65" t="n">
        <f aca="false">AR610*AS610*AQ610</f>
        <v>0</v>
      </c>
      <c r="AW610" s="65" t="n">
        <f aca="false">AR610*AT610*AQ610</f>
        <v>0</v>
      </c>
      <c r="AX610" s="65" t="n">
        <f aca="false">AR610*AS610</f>
        <v>0</v>
      </c>
      <c r="AY610" s="65" t="n">
        <f aca="false">AR610*AT610</f>
        <v>0</v>
      </c>
      <c r="AZ610" s="65" t="n">
        <f aca="false">AR610*AQ610</f>
        <v>0</v>
      </c>
      <c r="BA610" s="65" t="n">
        <f aca="false">AR610</f>
        <v>0</v>
      </c>
      <c r="BB610" s="65" t="n">
        <f aca="false">1</f>
        <v>1</v>
      </c>
      <c r="BC610" s="65" t="n">
        <f aca="false">IF(AV610=1,1,IF(AW610=1,2,IF(AX610=1,3,IF(AY610=1,4,IF(AZ610=1,5,IF(BA610=1,6,7))))))</f>
        <v>7</v>
      </c>
      <c r="BD610" s="65" t="n">
        <f aca="false">IF(AD610=1,CHOOSE('Historical Score'!$C$29,AV610,AW610,AX610,AY610,AZ610,BA610,BB610),0)</f>
        <v>0</v>
      </c>
      <c r="BE610" s="65" t="str">
        <f aca="false">IF(BD610=1,COUNTIF($BD$2:BD610,1),"")</f>
        <v/>
      </c>
    </row>
    <row r="611" customFormat="false" ht="15" hidden="false" customHeight="false" outlineLevel="0" collapsed="false">
      <c r="A611" s="65" t="s">
        <v>2121</v>
      </c>
      <c r="B611" s="65" t="s">
        <v>2122</v>
      </c>
      <c r="C611" s="65" t="s">
        <v>2122</v>
      </c>
      <c r="D611" s="65" t="s">
        <v>371</v>
      </c>
      <c r="E611" s="112" t="n">
        <v>46062</v>
      </c>
      <c r="F611" s="112" t="n">
        <v>46099</v>
      </c>
      <c r="G611" s="65" t="n">
        <v>3</v>
      </c>
      <c r="H611" s="65" t="s">
        <v>678</v>
      </c>
      <c r="I611" s="65" t="s">
        <v>679</v>
      </c>
      <c r="J611" s="65" t="s">
        <v>373</v>
      </c>
      <c r="K611" s="65" t="s">
        <v>949</v>
      </c>
      <c r="L611" s="65" t="s">
        <v>64</v>
      </c>
      <c r="M611" s="113" t="n">
        <v>1.394418</v>
      </c>
      <c r="N611" s="114" t="n">
        <v>20000</v>
      </c>
      <c r="O611" s="114" t="n">
        <v>2400</v>
      </c>
      <c r="P611" s="114" t="n">
        <v>27888.36</v>
      </c>
      <c r="Q611" s="114" t="n">
        <v>27888.36</v>
      </c>
      <c r="R611" s="114" t="n">
        <v>-3.63797880709171E-012</v>
      </c>
      <c r="S611" s="115" t="n">
        <v>1</v>
      </c>
      <c r="T611" s="65" t="n">
        <v>2.951</v>
      </c>
      <c r="U611" s="65" t="n">
        <v>0</v>
      </c>
      <c r="V611" s="65" t="n">
        <v>81728.03</v>
      </c>
      <c r="W611" s="115" t="n">
        <v>0.0828</v>
      </c>
      <c r="X611" s="112" t="n">
        <v>41794</v>
      </c>
      <c r="Y611" s="65" t="str">
        <f aca="false">IF(I611="","No SIC",IFERROR(VLOOKUP(I611,Ref!$A$2:$B$65,2,FALSE()),"Unclassified"))</f>
        <v>Amusement &amp; Recreation Services</v>
      </c>
      <c r="Z611" s="65" t="str">
        <f aca="false">IF(T611="","",IF(T611&lt;12,"Daily","Weekly"))</f>
        <v>Daily</v>
      </c>
      <c r="AA611" s="65" t="n">
        <f aca="false">IF(T611="",0,IF(T611&lt;12,T611*Controls!$B$29,T611*5))</f>
        <v>63.903905</v>
      </c>
      <c r="AB611" s="65" t="n">
        <f aca="false">IF(E611="",0,NETWORKDAYS(E611,Controls!$B$36,Ref!$K$2:$K$42))</f>
        <v>139</v>
      </c>
      <c r="AC611" s="65" t="n">
        <f aca="false">IF(AND(AA611&gt;0,AB611&gt;=Controls!$B$39*AA611),1,0)</f>
        <v>1</v>
      </c>
      <c r="AD611" s="65" t="n">
        <f aca="false">IF(AND(E611&lt;&gt;"",E611&gt;=Controls!$B$37,E611&lt;=Controls!$B$38),1,0)</f>
        <v>1</v>
      </c>
      <c r="AE611" s="65" t="n">
        <f aca="false">IF(IFERROR(VLOOKUP(D611,Controls!$A$64:$E$74,2,FALSE()),"No")="Yes",1,0)</f>
        <v>0</v>
      </c>
      <c r="AF611" s="65" t="n">
        <f aca="false">IF(IFERROR(VLOOKUP(D611,Controls!$A$64:$E$74,3,FALSE()),"No")="Yes",1,0)</f>
        <v>1</v>
      </c>
      <c r="AG611" s="65" t="n">
        <f aca="false">IF(IFERROR(VLOOKUP(D611,Controls!$A$64:$E$74,4,FALSE()),"No")="Yes",1,0)</f>
        <v>1</v>
      </c>
      <c r="AH611" s="65" t="n">
        <f aca="false">IF(IFERROR(VLOOKUP(D611,Controls!$A$64:$E$74,5,FALSE()),"No")="Yes",1,0)</f>
        <v>0</v>
      </c>
      <c r="AI611" s="65" t="n">
        <f aca="false">IF(ISNUMBER(MATCH(D611,Controls!$A$64:$A$74,0)),1,0)</f>
        <v>1</v>
      </c>
      <c r="AJ611" s="65" t="n">
        <f aca="false">Q611-N611</f>
        <v>7888.36</v>
      </c>
      <c r="AK611" s="65" t="n">
        <f aca="false">IF(AE611=1,MAX(0,N611-Q611),0)</f>
        <v>0</v>
      </c>
      <c r="AL611" s="65" t="n">
        <f aca="false">IF(OR(V611="",V611=0),0,N611/V611)</f>
        <v>0.244714084017442</v>
      </c>
      <c r="AM611" s="65" t="n">
        <f aca="false">IF(OR(V611="",V611=0),0,1)</f>
        <v>1</v>
      </c>
      <c r="AN611" s="65" t="n">
        <f aca="false">IF(OR(E611="",F611=""),0,NETWORKDAYS(E611,F611,Ref!$K$2:$K$42))</f>
        <v>27</v>
      </c>
      <c r="AO611" s="65" t="n">
        <f aca="false">IF(L611="Renewal",1,0)</f>
        <v>0</v>
      </c>
      <c r="AP611" s="65" t="n">
        <f aca="false">AC611*AD611</f>
        <v>1</v>
      </c>
      <c r="AQ611" s="65" t="n">
        <f aca="false">IF(AND(G611&lt;&gt;"",'Historical Score'!$C$6&lt;&gt;""),IF(G611='Historical Score'!$C$6,1,0),0)</f>
        <v>0</v>
      </c>
      <c r="AR611" s="65" t="n">
        <f aca="false">IF(AND(L611&lt;&gt;"",'Historical Score'!$C$5&lt;&gt;""),IF(L611='Historical Score'!$C$5,1,0),0)</f>
        <v>1</v>
      </c>
      <c r="AS611" s="65" t="n">
        <f aca="false">IF(AND(Y611&lt;&gt;"",'Historical Score'!$C$7&lt;&gt;""),IF(Y611='Historical Score'!$C$7,1,0),0)</f>
        <v>0</v>
      </c>
      <c r="AT611" s="65" t="n">
        <f aca="false">IF(AND(K611&lt;&gt;"",'Historical Score'!$C$8&lt;&gt;""),IF(K611='Historical Score'!$C$8,1,0),0)</f>
        <v>0</v>
      </c>
      <c r="AU611" s="65" t="n">
        <f aca="false">IF(AND(J611&lt;&gt;"",'Historical Score'!$C$9&lt;&gt;""),IF(J611='Historical Score'!$C$9,1,0),0)</f>
        <v>0</v>
      </c>
      <c r="AV611" s="65" t="n">
        <f aca="false">AR611*AS611*AQ611</f>
        <v>0</v>
      </c>
      <c r="AW611" s="65" t="n">
        <f aca="false">AR611*AT611*AQ611</f>
        <v>0</v>
      </c>
      <c r="AX611" s="65" t="n">
        <f aca="false">AR611*AS611</f>
        <v>0</v>
      </c>
      <c r="AY611" s="65" t="n">
        <f aca="false">AR611*AT611</f>
        <v>0</v>
      </c>
      <c r="AZ611" s="65" t="n">
        <f aca="false">AR611*AQ611</f>
        <v>0</v>
      </c>
      <c r="BA611" s="65" t="n">
        <f aca="false">AR611</f>
        <v>1</v>
      </c>
      <c r="BB611" s="65" t="n">
        <f aca="false">1</f>
        <v>1</v>
      </c>
      <c r="BC611" s="65" t="n">
        <f aca="false">IF(AV611=1,1,IF(AW611=1,2,IF(AX611=1,3,IF(AY611=1,4,IF(AZ611=1,5,IF(BA611=1,6,7))))))</f>
        <v>6</v>
      </c>
      <c r="BD611" s="65" t="n">
        <f aca="false">IF(AD611=1,CHOOSE('Historical Score'!$C$29,AV611,AW611,AX611,AY611,AZ611,BA611,BB611),0)</f>
        <v>0</v>
      </c>
      <c r="BE611" s="65" t="str">
        <f aca="false">IF(BD611=1,COUNTIF($BD$2:BD611,1),"")</f>
        <v/>
      </c>
    </row>
    <row r="612" customFormat="false" ht="15" hidden="false" customHeight="false" outlineLevel="0" collapsed="false">
      <c r="A612" s="65" t="s">
        <v>2123</v>
      </c>
      <c r="B612" s="65" t="s">
        <v>2124</v>
      </c>
      <c r="C612" s="65" t="s">
        <v>2124</v>
      </c>
      <c r="D612" s="65" t="s">
        <v>340</v>
      </c>
      <c r="E612" s="112" t="n">
        <v>46062</v>
      </c>
      <c r="F612" s="112" t="n">
        <v>46150</v>
      </c>
      <c r="G612" s="65" t="n">
        <v>2</v>
      </c>
      <c r="H612" s="65" t="s">
        <v>500</v>
      </c>
      <c r="I612" s="65" t="s">
        <v>475</v>
      </c>
      <c r="J612" s="65" t="s">
        <v>2125</v>
      </c>
      <c r="K612" s="65" t="s">
        <v>496</v>
      </c>
      <c r="L612" s="65" t="s">
        <v>64</v>
      </c>
      <c r="M612" s="113" t="n">
        <v>1.4</v>
      </c>
      <c r="N612" s="114" t="n">
        <v>20000</v>
      </c>
      <c r="O612" s="114" t="n">
        <v>1900</v>
      </c>
      <c r="P612" s="114" t="n">
        <v>28000</v>
      </c>
      <c r="Q612" s="114" t="n">
        <v>6996.95</v>
      </c>
      <c r="R612" s="114" t="n">
        <v>21003.05</v>
      </c>
      <c r="S612" s="115" t="n">
        <v>0.249891071428571</v>
      </c>
      <c r="T612" s="65" t="n">
        <v>20</v>
      </c>
      <c r="U612" s="65" t="n">
        <v>8</v>
      </c>
      <c r="V612" s="65" t="n">
        <v>72319.86</v>
      </c>
      <c r="W612" s="115" t="n">
        <v>0.0774</v>
      </c>
      <c r="X612" s="112" t="n">
        <v>44409</v>
      </c>
      <c r="Y612" s="65" t="str">
        <f aca="false">IF(I612="","No SIC",IFERROR(VLOOKUP(I612,Ref!$A$2:$B$65,2,FALSE()),"Unclassified"))</f>
        <v>Auto Repair &amp; Services</v>
      </c>
      <c r="Z612" s="65" t="str">
        <f aca="false">IF(T612="","",IF(T612&lt;12,"Daily","Weekly"))</f>
        <v>Weekly</v>
      </c>
      <c r="AA612" s="65" t="n">
        <f aca="false">IF(T612="",0,IF(T612&lt;12,T612*Controls!$B$29,T612*5))</f>
        <v>100</v>
      </c>
      <c r="AB612" s="65" t="n">
        <f aca="false">IF(E612="",0,NETWORKDAYS(E612,Controls!$B$36,Ref!$K$2:$K$42))</f>
        <v>139</v>
      </c>
      <c r="AC612" s="65" t="n">
        <f aca="false">IF(AND(AA612&gt;0,AB612&gt;=Controls!$B$39*AA612),1,0)</f>
        <v>1</v>
      </c>
      <c r="AD612" s="65" t="n">
        <f aca="false">IF(AND(E612&lt;&gt;"",E612&gt;=Controls!$B$37,E612&lt;=Controls!$B$38),1,0)</f>
        <v>1</v>
      </c>
      <c r="AE612" s="65" t="n">
        <f aca="false">IF(IFERROR(VLOOKUP(D612,Controls!$A$64:$E$74,2,FALSE()),"No")="Yes",1,0)</f>
        <v>1</v>
      </c>
      <c r="AF612" s="65" t="n">
        <f aca="false">IF(IFERROR(VLOOKUP(D612,Controls!$A$64:$E$74,3,FALSE()),"No")="Yes",1,0)</f>
        <v>0</v>
      </c>
      <c r="AG612" s="65" t="n">
        <f aca="false">IF(IFERROR(VLOOKUP(D612,Controls!$A$64:$E$74,4,FALSE()),"No")="Yes",1,0)</f>
        <v>0</v>
      </c>
      <c r="AH612" s="65" t="n">
        <f aca="false">IF(IFERROR(VLOOKUP(D612,Controls!$A$64:$E$74,5,FALSE()),"No")="Yes",1,0)</f>
        <v>0</v>
      </c>
      <c r="AI612" s="65" t="n">
        <f aca="false">IF(ISNUMBER(MATCH(D612,Controls!$A$64:$A$74,0)),1,0)</f>
        <v>1</v>
      </c>
      <c r="AJ612" s="65" t="n">
        <f aca="false">Q612-N612</f>
        <v>-13003.05</v>
      </c>
      <c r="AK612" s="65" t="n">
        <f aca="false">IF(AE612=1,MAX(0,N612-Q612),0)</f>
        <v>13003.05</v>
      </c>
      <c r="AL612" s="65" t="n">
        <f aca="false">IF(OR(V612="",V612=0),0,N612/V612)</f>
        <v>0.276549207921586</v>
      </c>
      <c r="AM612" s="65" t="n">
        <f aca="false">IF(OR(V612="",V612=0),0,1)</f>
        <v>1</v>
      </c>
      <c r="AN612" s="65" t="n">
        <f aca="false">IF(OR(E612="",F612=""),0,NETWORKDAYS(E612,F612,Ref!$K$2:$K$42))</f>
        <v>64</v>
      </c>
      <c r="AO612" s="65" t="n">
        <f aca="false">IF(L612="Renewal",1,0)</f>
        <v>0</v>
      </c>
      <c r="AP612" s="65" t="n">
        <f aca="false">AC612*AD612</f>
        <v>1</v>
      </c>
      <c r="AQ612" s="65" t="n">
        <f aca="false">IF(AND(G612&lt;&gt;"",'Historical Score'!$C$6&lt;&gt;""),IF(G612='Historical Score'!$C$6,1,0),0)</f>
        <v>1</v>
      </c>
      <c r="AR612" s="65" t="n">
        <f aca="false">IF(AND(L612&lt;&gt;"",'Historical Score'!$C$5&lt;&gt;""),IF(L612='Historical Score'!$C$5,1,0),0)</f>
        <v>1</v>
      </c>
      <c r="AS612" s="65" t="n">
        <f aca="false">IF(AND(Y612&lt;&gt;"",'Historical Score'!$C$7&lt;&gt;""),IF(Y612='Historical Score'!$C$7,1,0),0)</f>
        <v>0</v>
      </c>
      <c r="AT612" s="65" t="n">
        <f aca="false">IF(AND(K612&lt;&gt;"",'Historical Score'!$C$8&lt;&gt;""),IF(K612='Historical Score'!$C$8,1,0),0)</f>
        <v>0</v>
      </c>
      <c r="AU612" s="65" t="n">
        <f aca="false">IF(AND(J612&lt;&gt;"",'Historical Score'!$C$9&lt;&gt;""),IF(J612='Historical Score'!$C$9,1,0),0)</f>
        <v>0</v>
      </c>
      <c r="AV612" s="65" t="n">
        <f aca="false">AR612*AS612*AQ612</f>
        <v>0</v>
      </c>
      <c r="AW612" s="65" t="n">
        <f aca="false">AR612*AT612*AQ612</f>
        <v>0</v>
      </c>
      <c r="AX612" s="65" t="n">
        <f aca="false">AR612*AS612</f>
        <v>0</v>
      </c>
      <c r="AY612" s="65" t="n">
        <f aca="false">AR612*AT612</f>
        <v>0</v>
      </c>
      <c r="AZ612" s="65" t="n">
        <f aca="false">AR612*AQ612</f>
        <v>1</v>
      </c>
      <c r="BA612" s="65" t="n">
        <f aca="false">AR612</f>
        <v>1</v>
      </c>
      <c r="BB612" s="65" t="n">
        <f aca="false">1</f>
        <v>1</v>
      </c>
      <c r="BC612" s="65" t="n">
        <f aca="false">IF(AV612=1,1,IF(AW612=1,2,IF(AX612=1,3,IF(AY612=1,4,IF(AZ612=1,5,IF(BA612=1,6,7))))))</f>
        <v>5</v>
      </c>
      <c r="BD612" s="65" t="n">
        <f aca="false">IF(AD612=1,CHOOSE('Historical Score'!$C$29,AV612,AW612,AX612,AY612,AZ612,BA612,BB612),0)</f>
        <v>0</v>
      </c>
      <c r="BE612" s="65" t="str">
        <f aca="false">IF(BD612=1,COUNTIF($BD$2:BD612,1),"")</f>
        <v/>
      </c>
    </row>
    <row r="613" customFormat="false" ht="15" hidden="false" customHeight="false" outlineLevel="0" collapsed="false">
      <c r="A613" s="65" t="s">
        <v>2126</v>
      </c>
      <c r="B613" s="65" t="s">
        <v>2127</v>
      </c>
      <c r="C613" s="65" t="s">
        <v>2127</v>
      </c>
      <c r="D613" s="65" t="s">
        <v>295</v>
      </c>
      <c r="E613" s="112" t="n">
        <v>46063</v>
      </c>
      <c r="F613" s="112" t="n">
        <v>46220</v>
      </c>
      <c r="G613" s="65" t="n">
        <v>3</v>
      </c>
      <c r="H613" s="65" t="s">
        <v>442</v>
      </c>
      <c r="I613" s="65" t="s">
        <v>443</v>
      </c>
      <c r="J613" s="65" t="s">
        <v>452</v>
      </c>
      <c r="K613" s="65" t="s">
        <v>55</v>
      </c>
      <c r="L613" s="65" t="s">
        <v>64</v>
      </c>
      <c r="M613" s="113" t="n">
        <v>1.49</v>
      </c>
      <c r="N613" s="114" t="n">
        <v>15000</v>
      </c>
      <c r="O613" s="114" t="n">
        <v>2100</v>
      </c>
      <c r="P613" s="114" t="n">
        <v>22350</v>
      </c>
      <c r="Q613" s="114" t="n">
        <v>6716.1</v>
      </c>
      <c r="R613" s="114" t="n">
        <v>15633.9</v>
      </c>
      <c r="S613" s="115" t="n">
        <v>0.300496644295302</v>
      </c>
      <c r="T613" s="65" t="n">
        <v>20</v>
      </c>
      <c r="U613" s="65" t="n">
        <v>16</v>
      </c>
      <c r="V613" s="65" t="n">
        <v>205385.89</v>
      </c>
      <c r="W613" s="115" t="n">
        <v>0.0218</v>
      </c>
      <c r="X613" s="112"/>
      <c r="Y613" s="65" t="str">
        <f aca="false">IF(I613="","No SIC",IFERROR(VLOOKUP(I613,Ref!$A$2:$B$65,2,FALSE()),"Unclassified"))</f>
        <v>General Building Contractors</v>
      </c>
      <c r="Z613" s="65" t="str">
        <f aca="false">IF(T613="","",IF(T613&lt;12,"Daily","Weekly"))</f>
        <v>Weekly</v>
      </c>
      <c r="AA613" s="65" t="n">
        <f aca="false">IF(T613="",0,IF(T613&lt;12,T613*Controls!$B$29,T613*5))</f>
        <v>100</v>
      </c>
      <c r="AB613" s="65" t="n">
        <f aca="false">IF(E613="",0,NETWORKDAYS(E613,Controls!$B$36,Ref!$K$2:$K$42))</f>
        <v>138</v>
      </c>
      <c r="AC613" s="65" t="n">
        <f aca="false">IF(AND(AA613&gt;0,AB613&gt;=Controls!$B$39*AA613),1,0)</f>
        <v>1</v>
      </c>
      <c r="AD613" s="65" t="n">
        <f aca="false">IF(AND(E613&lt;&gt;"",E613&gt;=Controls!$B$37,E613&lt;=Controls!$B$38),1,0)</f>
        <v>1</v>
      </c>
      <c r="AE613" s="65" t="n">
        <f aca="false">IF(IFERROR(VLOOKUP(D613,Controls!$A$64:$E$74,2,FALSE()),"No")="Yes",1,0)</f>
        <v>0</v>
      </c>
      <c r="AF613" s="65" t="n">
        <f aca="false">IF(IFERROR(VLOOKUP(D613,Controls!$A$64:$E$74,3,FALSE()),"No")="Yes",1,0)</f>
        <v>0</v>
      </c>
      <c r="AG613" s="65" t="n">
        <f aca="false">IF(IFERROR(VLOOKUP(D613,Controls!$A$64:$E$74,4,FALSE()),"No")="Yes",1,0)</f>
        <v>0</v>
      </c>
      <c r="AH613" s="65" t="n">
        <f aca="false">IF(IFERROR(VLOOKUP(D613,Controls!$A$64:$E$74,5,FALSE()),"No")="Yes",1,0)</f>
        <v>1</v>
      </c>
      <c r="AI613" s="65" t="n">
        <f aca="false">IF(ISNUMBER(MATCH(D613,Controls!$A$64:$A$74,0)),1,0)</f>
        <v>1</v>
      </c>
      <c r="AJ613" s="65" t="n">
        <f aca="false">Q613-N613</f>
        <v>-8283.9</v>
      </c>
      <c r="AK613" s="65" t="n">
        <f aca="false">IF(AE613=1,MAX(0,N613-Q613),0)</f>
        <v>0</v>
      </c>
      <c r="AL613" s="65" t="n">
        <f aca="false">IF(OR(V613="",V613=0),0,N613/V613)</f>
        <v>0.0730332546213374</v>
      </c>
      <c r="AM613" s="65" t="n">
        <f aca="false">IF(OR(V613="",V613=0),0,1)</f>
        <v>1</v>
      </c>
      <c r="AN613" s="65" t="n">
        <f aca="false">IF(OR(E613="",F613=""),0,NETWORKDAYS(E613,F613,Ref!$K$2:$K$42))</f>
        <v>111</v>
      </c>
      <c r="AO613" s="65" t="n">
        <f aca="false">IF(L613="Renewal",1,0)</f>
        <v>0</v>
      </c>
      <c r="AP613" s="65" t="n">
        <f aca="false">AC613*AD613</f>
        <v>1</v>
      </c>
      <c r="AQ613" s="65" t="n">
        <f aca="false">IF(AND(G613&lt;&gt;"",'Historical Score'!$C$6&lt;&gt;""),IF(G613='Historical Score'!$C$6,1,0),0)</f>
        <v>0</v>
      </c>
      <c r="AR613" s="65" t="n">
        <f aca="false">IF(AND(L613&lt;&gt;"",'Historical Score'!$C$5&lt;&gt;""),IF(L613='Historical Score'!$C$5,1,0),0)</f>
        <v>1</v>
      </c>
      <c r="AS613" s="65" t="n">
        <f aca="false">IF(AND(Y613&lt;&gt;"",'Historical Score'!$C$7&lt;&gt;""),IF(Y613='Historical Score'!$C$7,1,0),0)</f>
        <v>1</v>
      </c>
      <c r="AT613" s="65" t="n">
        <f aca="false">IF(AND(K613&lt;&gt;"",'Historical Score'!$C$8&lt;&gt;""),IF(K613='Historical Score'!$C$8,1,0),0)</f>
        <v>1</v>
      </c>
      <c r="AU613" s="65" t="n">
        <f aca="false">IF(AND(J613&lt;&gt;"",'Historical Score'!$C$9&lt;&gt;""),IF(J613='Historical Score'!$C$9,1,0),0)</f>
        <v>0</v>
      </c>
      <c r="AV613" s="65" t="n">
        <f aca="false">AR613*AS613*AQ613</f>
        <v>0</v>
      </c>
      <c r="AW613" s="65" t="n">
        <f aca="false">AR613*AT613*AQ613</f>
        <v>0</v>
      </c>
      <c r="AX613" s="65" t="n">
        <f aca="false">AR613*AS613</f>
        <v>1</v>
      </c>
      <c r="AY613" s="65" t="n">
        <f aca="false">AR613*AT613</f>
        <v>1</v>
      </c>
      <c r="AZ613" s="65" t="n">
        <f aca="false">AR613*AQ613</f>
        <v>0</v>
      </c>
      <c r="BA613" s="65" t="n">
        <f aca="false">AR613</f>
        <v>1</v>
      </c>
      <c r="BB613" s="65" t="n">
        <f aca="false">1</f>
        <v>1</v>
      </c>
      <c r="BC613" s="65" t="n">
        <f aca="false">IF(AV613=1,1,IF(AW613=1,2,IF(AX613=1,3,IF(AY613=1,4,IF(AZ613=1,5,IF(BA613=1,6,7))))))</f>
        <v>3</v>
      </c>
      <c r="BD613" s="65" t="n">
        <f aca="false">IF(AD613=1,CHOOSE('Historical Score'!$C$29,AV613,AW613,AX613,AY613,AZ613,BA613,BB613),0)</f>
        <v>0</v>
      </c>
      <c r="BE613" s="65" t="str">
        <f aca="false">IF(BD613=1,COUNTIF($BD$2:BD613,1),"")</f>
        <v/>
      </c>
    </row>
    <row r="614" customFormat="false" ht="15" hidden="false" customHeight="false" outlineLevel="0" collapsed="false">
      <c r="A614" s="65" t="s">
        <v>2128</v>
      </c>
      <c r="B614" s="65" t="s">
        <v>2129</v>
      </c>
      <c r="C614" s="65" t="s">
        <v>2129</v>
      </c>
      <c r="D614" s="65" t="s">
        <v>371</v>
      </c>
      <c r="E614" s="112" t="n">
        <v>46063</v>
      </c>
      <c r="F614" s="112" t="n">
        <v>46141</v>
      </c>
      <c r="G614" s="65" t="n">
        <v>2</v>
      </c>
      <c r="H614" s="65" t="s">
        <v>451</v>
      </c>
      <c r="I614" s="65" t="s">
        <v>425</v>
      </c>
      <c r="J614" s="65" t="s">
        <v>399</v>
      </c>
      <c r="K614" s="65" t="s">
        <v>983</v>
      </c>
      <c r="L614" s="65" t="s">
        <v>64</v>
      </c>
      <c r="M614" s="113" t="n">
        <v>1.49</v>
      </c>
      <c r="N614" s="114" t="n">
        <v>20000</v>
      </c>
      <c r="O614" s="114" t="n">
        <v>2800</v>
      </c>
      <c r="P614" s="114" t="n">
        <v>29800</v>
      </c>
      <c r="Q614" s="114" t="n">
        <v>29800</v>
      </c>
      <c r="R614" s="114" t="n">
        <v>0</v>
      </c>
      <c r="S614" s="115" t="n">
        <v>1</v>
      </c>
      <c r="T614" s="65" t="n">
        <v>2.951</v>
      </c>
      <c r="U614" s="65" t="n">
        <v>0</v>
      </c>
      <c r="V614" s="65" t="n">
        <v>165533.36</v>
      </c>
      <c r="W614" s="115" t="n">
        <v>0.042</v>
      </c>
      <c r="X614" s="112" t="n">
        <v>43908</v>
      </c>
      <c r="Y614" s="65" t="str">
        <f aca="false">IF(I614="","No SIC",IFERROR(VLOOKUP(I614,Ref!$A$2:$B$65,2,FALSE()),"Unclassified"))</f>
        <v>Personal Services</v>
      </c>
      <c r="Z614" s="65" t="str">
        <f aca="false">IF(T614="","",IF(T614&lt;12,"Daily","Weekly"))</f>
        <v>Daily</v>
      </c>
      <c r="AA614" s="65" t="n">
        <f aca="false">IF(T614="",0,IF(T614&lt;12,T614*Controls!$B$29,T614*5))</f>
        <v>63.903905</v>
      </c>
      <c r="AB614" s="65" t="n">
        <f aca="false">IF(E614="",0,NETWORKDAYS(E614,Controls!$B$36,Ref!$K$2:$K$42))</f>
        <v>138</v>
      </c>
      <c r="AC614" s="65" t="n">
        <f aca="false">IF(AND(AA614&gt;0,AB614&gt;=Controls!$B$39*AA614),1,0)</f>
        <v>1</v>
      </c>
      <c r="AD614" s="65" t="n">
        <f aca="false">IF(AND(E614&lt;&gt;"",E614&gt;=Controls!$B$37,E614&lt;=Controls!$B$38),1,0)</f>
        <v>1</v>
      </c>
      <c r="AE614" s="65" t="n">
        <f aca="false">IF(IFERROR(VLOOKUP(D614,Controls!$A$64:$E$74,2,FALSE()),"No")="Yes",1,0)</f>
        <v>0</v>
      </c>
      <c r="AF614" s="65" t="n">
        <f aca="false">IF(IFERROR(VLOOKUP(D614,Controls!$A$64:$E$74,3,FALSE()),"No")="Yes",1,0)</f>
        <v>1</v>
      </c>
      <c r="AG614" s="65" t="n">
        <f aca="false">IF(IFERROR(VLOOKUP(D614,Controls!$A$64:$E$74,4,FALSE()),"No")="Yes",1,0)</f>
        <v>1</v>
      </c>
      <c r="AH614" s="65" t="n">
        <f aca="false">IF(IFERROR(VLOOKUP(D614,Controls!$A$64:$E$74,5,FALSE()),"No")="Yes",1,0)</f>
        <v>0</v>
      </c>
      <c r="AI614" s="65" t="n">
        <f aca="false">IF(ISNUMBER(MATCH(D614,Controls!$A$64:$A$74,0)),1,0)</f>
        <v>1</v>
      </c>
      <c r="AJ614" s="65" t="n">
        <f aca="false">Q614-N614</f>
        <v>9800</v>
      </c>
      <c r="AK614" s="65" t="n">
        <f aca="false">IF(AE614=1,MAX(0,N614-Q614),0)</f>
        <v>0</v>
      </c>
      <c r="AL614" s="65" t="n">
        <f aca="false">IF(OR(V614="",V614=0),0,N614/V614)</f>
        <v>0.120821567326369</v>
      </c>
      <c r="AM614" s="65" t="n">
        <f aca="false">IF(OR(V614="",V614=0),0,1)</f>
        <v>1</v>
      </c>
      <c r="AN614" s="65" t="n">
        <f aca="false">IF(OR(E614="",F614=""),0,NETWORKDAYS(E614,F614,Ref!$K$2:$K$42))</f>
        <v>56</v>
      </c>
      <c r="AO614" s="65" t="n">
        <f aca="false">IF(L614="Renewal",1,0)</f>
        <v>0</v>
      </c>
      <c r="AP614" s="65" t="n">
        <f aca="false">AC614*AD614</f>
        <v>1</v>
      </c>
      <c r="AQ614" s="65" t="n">
        <f aca="false">IF(AND(G614&lt;&gt;"",'Historical Score'!$C$6&lt;&gt;""),IF(G614='Historical Score'!$C$6,1,0),0)</f>
        <v>1</v>
      </c>
      <c r="AR614" s="65" t="n">
        <f aca="false">IF(AND(L614&lt;&gt;"",'Historical Score'!$C$5&lt;&gt;""),IF(L614='Historical Score'!$C$5,1,0),0)</f>
        <v>1</v>
      </c>
      <c r="AS614" s="65" t="n">
        <f aca="false">IF(AND(Y614&lt;&gt;"",'Historical Score'!$C$7&lt;&gt;""),IF(Y614='Historical Score'!$C$7,1,0),0)</f>
        <v>0</v>
      </c>
      <c r="AT614" s="65" t="n">
        <f aca="false">IF(AND(K614&lt;&gt;"",'Historical Score'!$C$8&lt;&gt;""),IF(K614='Historical Score'!$C$8,1,0),0)</f>
        <v>0</v>
      </c>
      <c r="AU614" s="65" t="n">
        <f aca="false">IF(AND(J614&lt;&gt;"",'Historical Score'!$C$9&lt;&gt;""),IF(J614='Historical Score'!$C$9,1,0),0)</f>
        <v>0</v>
      </c>
      <c r="AV614" s="65" t="n">
        <f aca="false">AR614*AS614*AQ614</f>
        <v>0</v>
      </c>
      <c r="AW614" s="65" t="n">
        <f aca="false">AR614*AT614*AQ614</f>
        <v>0</v>
      </c>
      <c r="AX614" s="65" t="n">
        <f aca="false">AR614*AS614</f>
        <v>0</v>
      </c>
      <c r="AY614" s="65" t="n">
        <f aca="false">AR614*AT614</f>
        <v>0</v>
      </c>
      <c r="AZ614" s="65" t="n">
        <f aca="false">AR614*AQ614</f>
        <v>1</v>
      </c>
      <c r="BA614" s="65" t="n">
        <f aca="false">AR614</f>
        <v>1</v>
      </c>
      <c r="BB614" s="65" t="n">
        <f aca="false">1</f>
        <v>1</v>
      </c>
      <c r="BC614" s="65" t="n">
        <f aca="false">IF(AV614=1,1,IF(AW614=1,2,IF(AX614=1,3,IF(AY614=1,4,IF(AZ614=1,5,IF(BA614=1,6,7))))))</f>
        <v>5</v>
      </c>
      <c r="BD614" s="65" t="n">
        <f aca="false">IF(AD614=1,CHOOSE('Historical Score'!$C$29,AV614,AW614,AX614,AY614,AZ614,BA614,BB614),0)</f>
        <v>0</v>
      </c>
      <c r="BE614" s="65" t="str">
        <f aca="false">IF(BD614=1,COUNTIF($BD$2:BD614,1),"")</f>
        <v/>
      </c>
    </row>
    <row r="615" customFormat="false" ht="15" hidden="false" customHeight="false" outlineLevel="0" collapsed="false">
      <c r="A615" s="65" t="s">
        <v>2130</v>
      </c>
      <c r="B615" s="65" t="s">
        <v>2131</v>
      </c>
      <c r="C615" s="65" t="s">
        <v>2131</v>
      </c>
      <c r="D615" s="65" t="s">
        <v>340</v>
      </c>
      <c r="E615" s="112" t="n">
        <v>46063</v>
      </c>
      <c r="F615" s="112" t="n">
        <v>46073</v>
      </c>
      <c r="G615" s="65" t="n">
        <v>3</v>
      </c>
      <c r="H615" s="65" t="s">
        <v>568</v>
      </c>
      <c r="I615" s="65" t="s">
        <v>569</v>
      </c>
      <c r="J615" s="65" t="s">
        <v>350</v>
      </c>
      <c r="K615" s="65" t="s">
        <v>55</v>
      </c>
      <c r="L615" s="65" t="s">
        <v>64</v>
      </c>
      <c r="M615" s="113" t="n">
        <v>1.49</v>
      </c>
      <c r="N615" s="114" t="n">
        <v>25000</v>
      </c>
      <c r="O615" s="114" t="n">
        <v>0</v>
      </c>
      <c r="P615" s="114" t="n">
        <v>37250</v>
      </c>
      <c r="Q615" s="114" t="n">
        <v>1862.09</v>
      </c>
      <c r="R615" s="114" t="n">
        <v>35387.91</v>
      </c>
      <c r="S615" s="115" t="n">
        <v>0.0499889932885906</v>
      </c>
      <c r="T615" s="65" t="n">
        <v>20</v>
      </c>
      <c r="U615" s="65" t="n">
        <v>1</v>
      </c>
      <c r="V615" s="65" t="n">
        <v>70667.49</v>
      </c>
      <c r="W615" s="115" t="n">
        <v>0.1054</v>
      </c>
      <c r="X615" s="112" t="n">
        <v>44705</v>
      </c>
      <c r="Y615" s="65" t="str">
        <f aca="false">IF(I615="","No SIC",IFERROR(VLOOKUP(I615,Ref!$A$2:$B$65,2,FALSE()),"Unclassified"))</f>
        <v>General Merchandise Stores</v>
      </c>
      <c r="Z615" s="65" t="str">
        <f aca="false">IF(T615="","",IF(T615&lt;12,"Daily","Weekly"))</f>
        <v>Weekly</v>
      </c>
      <c r="AA615" s="65" t="n">
        <f aca="false">IF(T615="",0,IF(T615&lt;12,T615*Controls!$B$29,T615*5))</f>
        <v>100</v>
      </c>
      <c r="AB615" s="65" t="n">
        <f aca="false">IF(E615="",0,NETWORKDAYS(E615,Controls!$B$36,Ref!$K$2:$K$42))</f>
        <v>138</v>
      </c>
      <c r="AC615" s="65" t="n">
        <f aca="false">IF(AND(AA615&gt;0,AB615&gt;=Controls!$B$39*AA615),1,0)</f>
        <v>1</v>
      </c>
      <c r="AD615" s="65" t="n">
        <f aca="false">IF(AND(E615&lt;&gt;"",E615&gt;=Controls!$B$37,E615&lt;=Controls!$B$38),1,0)</f>
        <v>1</v>
      </c>
      <c r="AE615" s="65" t="n">
        <f aca="false">IF(IFERROR(VLOOKUP(D615,Controls!$A$64:$E$74,2,FALSE()),"No")="Yes",1,0)</f>
        <v>1</v>
      </c>
      <c r="AF615" s="65" t="n">
        <f aca="false">IF(IFERROR(VLOOKUP(D615,Controls!$A$64:$E$74,3,FALSE()),"No")="Yes",1,0)</f>
        <v>0</v>
      </c>
      <c r="AG615" s="65" t="n">
        <f aca="false">IF(IFERROR(VLOOKUP(D615,Controls!$A$64:$E$74,4,FALSE()),"No")="Yes",1,0)</f>
        <v>0</v>
      </c>
      <c r="AH615" s="65" t="n">
        <f aca="false">IF(IFERROR(VLOOKUP(D615,Controls!$A$64:$E$74,5,FALSE()),"No")="Yes",1,0)</f>
        <v>0</v>
      </c>
      <c r="AI615" s="65" t="n">
        <f aca="false">IF(ISNUMBER(MATCH(D615,Controls!$A$64:$A$74,0)),1,0)</f>
        <v>1</v>
      </c>
      <c r="AJ615" s="65" t="n">
        <f aca="false">Q615-N615</f>
        <v>-23137.91</v>
      </c>
      <c r="AK615" s="65" t="n">
        <f aca="false">IF(AE615=1,MAX(0,N615-Q615),0)</f>
        <v>23137.91</v>
      </c>
      <c r="AL615" s="65" t="n">
        <f aca="false">IF(OR(V615="",V615=0),0,N615/V615)</f>
        <v>0.35376946315767</v>
      </c>
      <c r="AM615" s="65" t="n">
        <f aca="false">IF(OR(V615="",V615=0),0,1)</f>
        <v>1</v>
      </c>
      <c r="AN615" s="65" t="n">
        <f aca="false">IF(OR(E615="",F615=""),0,NETWORKDAYS(E615,F615,Ref!$K$2:$K$42))</f>
        <v>8</v>
      </c>
      <c r="AO615" s="65" t="n">
        <f aca="false">IF(L615="Renewal",1,0)</f>
        <v>0</v>
      </c>
      <c r="AP615" s="65" t="n">
        <f aca="false">AC615*AD615</f>
        <v>1</v>
      </c>
      <c r="AQ615" s="65" t="n">
        <f aca="false">IF(AND(G615&lt;&gt;"",'Historical Score'!$C$6&lt;&gt;""),IF(G615='Historical Score'!$C$6,1,0),0)</f>
        <v>0</v>
      </c>
      <c r="AR615" s="65" t="n">
        <f aca="false">IF(AND(L615&lt;&gt;"",'Historical Score'!$C$5&lt;&gt;""),IF(L615='Historical Score'!$C$5,1,0),0)</f>
        <v>1</v>
      </c>
      <c r="AS615" s="65" t="n">
        <f aca="false">IF(AND(Y615&lt;&gt;"",'Historical Score'!$C$7&lt;&gt;""),IF(Y615='Historical Score'!$C$7,1,0),0)</f>
        <v>0</v>
      </c>
      <c r="AT615" s="65" t="n">
        <f aca="false">IF(AND(K615&lt;&gt;"",'Historical Score'!$C$8&lt;&gt;""),IF(K615='Historical Score'!$C$8,1,0),0)</f>
        <v>1</v>
      </c>
      <c r="AU615" s="65" t="n">
        <f aca="false">IF(AND(J615&lt;&gt;"",'Historical Score'!$C$9&lt;&gt;""),IF(J615='Historical Score'!$C$9,1,0),0)</f>
        <v>0</v>
      </c>
      <c r="AV615" s="65" t="n">
        <f aca="false">AR615*AS615*AQ615</f>
        <v>0</v>
      </c>
      <c r="AW615" s="65" t="n">
        <f aca="false">AR615*AT615*AQ615</f>
        <v>0</v>
      </c>
      <c r="AX615" s="65" t="n">
        <f aca="false">AR615*AS615</f>
        <v>0</v>
      </c>
      <c r="AY615" s="65" t="n">
        <f aca="false">AR615*AT615</f>
        <v>1</v>
      </c>
      <c r="AZ615" s="65" t="n">
        <f aca="false">AR615*AQ615</f>
        <v>0</v>
      </c>
      <c r="BA615" s="65" t="n">
        <f aca="false">AR615</f>
        <v>1</v>
      </c>
      <c r="BB615" s="65" t="n">
        <f aca="false">1</f>
        <v>1</v>
      </c>
      <c r="BC615" s="65" t="n">
        <f aca="false">IF(AV615=1,1,IF(AW615=1,2,IF(AX615=1,3,IF(AY615=1,4,IF(AZ615=1,5,IF(BA615=1,6,7))))))</f>
        <v>4</v>
      </c>
      <c r="BD615" s="65" t="n">
        <f aca="false">IF(AD615=1,CHOOSE('Historical Score'!$C$29,AV615,AW615,AX615,AY615,AZ615,BA615,BB615),0)</f>
        <v>0</v>
      </c>
      <c r="BE615" s="65" t="str">
        <f aca="false">IF(BD615=1,COUNTIF($BD$2:BD615,1),"")</f>
        <v/>
      </c>
    </row>
    <row r="616" customFormat="false" ht="15" hidden="false" customHeight="false" outlineLevel="0" collapsed="false">
      <c r="A616" s="65" t="s">
        <v>2132</v>
      </c>
      <c r="B616" s="65" t="s">
        <v>2133</v>
      </c>
      <c r="C616" s="65" t="s">
        <v>2133</v>
      </c>
      <c r="D616" s="65" t="s">
        <v>371</v>
      </c>
      <c r="E616" s="112" t="n">
        <v>46064</v>
      </c>
      <c r="F616" s="112" t="n">
        <v>46132</v>
      </c>
      <c r="G616" s="65" t="n">
        <v>3</v>
      </c>
      <c r="H616" s="65" t="s">
        <v>418</v>
      </c>
      <c r="I616" s="65" t="s">
        <v>419</v>
      </c>
      <c r="J616" s="65" t="s">
        <v>772</v>
      </c>
      <c r="K616" s="65" t="s">
        <v>538</v>
      </c>
      <c r="L616" s="65" t="s">
        <v>64</v>
      </c>
      <c r="M616" s="113" t="n">
        <v>1.09</v>
      </c>
      <c r="N616" s="114" t="n">
        <v>150000</v>
      </c>
      <c r="O616" s="114" t="n">
        <v>10500</v>
      </c>
      <c r="P616" s="114" t="n">
        <v>163500</v>
      </c>
      <c r="Q616" s="114" t="n">
        <v>163500</v>
      </c>
      <c r="R616" s="114" t="n">
        <v>0</v>
      </c>
      <c r="S616" s="115" t="n">
        <v>1</v>
      </c>
      <c r="T616" s="65" t="n">
        <v>40</v>
      </c>
      <c r="U616" s="65" t="n">
        <v>1</v>
      </c>
      <c r="V616" s="65" t="n">
        <v>675707.72</v>
      </c>
      <c r="W616" s="115" t="n">
        <v>0.032</v>
      </c>
      <c r="X616" s="112" t="n">
        <v>41310</v>
      </c>
      <c r="Y616" s="65" t="str">
        <f aca="false">IF(I616="","No SIC",IFERROR(VLOOKUP(I616,Ref!$A$2:$B$65,2,FALSE()),"Unclassified"))</f>
        <v>Business Services</v>
      </c>
      <c r="Z616" s="65" t="str">
        <f aca="false">IF(T616="","",IF(T616&lt;12,"Daily","Weekly"))</f>
        <v>Weekly</v>
      </c>
      <c r="AA616" s="65" t="n">
        <f aca="false">IF(T616="",0,IF(T616&lt;12,T616*Controls!$B$29,T616*5))</f>
        <v>200</v>
      </c>
      <c r="AB616" s="65" t="n">
        <f aca="false">IF(E616="",0,NETWORKDAYS(E616,Controls!$B$36,Ref!$K$2:$K$42))</f>
        <v>137</v>
      </c>
      <c r="AC616" s="65" t="n">
        <f aca="false">IF(AND(AA616&gt;0,AB616&gt;=Controls!$B$39*AA616),1,0)</f>
        <v>0</v>
      </c>
      <c r="AD616" s="65" t="n">
        <f aca="false">IF(AND(E616&lt;&gt;"",E616&gt;=Controls!$B$37,E616&lt;=Controls!$B$38),1,0)</f>
        <v>1</v>
      </c>
      <c r="AE616" s="65" t="n">
        <f aca="false">IF(IFERROR(VLOOKUP(D616,Controls!$A$64:$E$74,2,FALSE()),"No")="Yes",1,0)</f>
        <v>0</v>
      </c>
      <c r="AF616" s="65" t="n">
        <f aca="false">IF(IFERROR(VLOOKUP(D616,Controls!$A$64:$E$74,3,FALSE()),"No")="Yes",1,0)</f>
        <v>1</v>
      </c>
      <c r="AG616" s="65" t="n">
        <f aca="false">IF(IFERROR(VLOOKUP(D616,Controls!$A$64:$E$74,4,FALSE()),"No")="Yes",1,0)</f>
        <v>1</v>
      </c>
      <c r="AH616" s="65" t="n">
        <f aca="false">IF(IFERROR(VLOOKUP(D616,Controls!$A$64:$E$74,5,FALSE()),"No")="Yes",1,0)</f>
        <v>0</v>
      </c>
      <c r="AI616" s="65" t="n">
        <f aca="false">IF(ISNUMBER(MATCH(D616,Controls!$A$64:$A$74,0)),1,0)</f>
        <v>1</v>
      </c>
      <c r="AJ616" s="65" t="n">
        <f aca="false">Q616-N616</f>
        <v>13500</v>
      </c>
      <c r="AK616" s="65" t="n">
        <f aca="false">IF(AE616=1,MAX(0,N616-Q616),0)</f>
        <v>0</v>
      </c>
      <c r="AL616" s="65" t="n">
        <f aca="false">IF(OR(V616="",V616=0),0,N616/V616)</f>
        <v>0.221989472016096</v>
      </c>
      <c r="AM616" s="65" t="n">
        <f aca="false">IF(OR(V616="",V616=0),0,1)</f>
        <v>1</v>
      </c>
      <c r="AN616" s="65" t="n">
        <f aca="false">IF(OR(E616="",F616=""),0,NETWORKDAYS(E616,F616,Ref!$K$2:$K$42))</f>
        <v>48</v>
      </c>
      <c r="AO616" s="65" t="n">
        <f aca="false">IF(L616="Renewal",1,0)</f>
        <v>0</v>
      </c>
      <c r="AP616" s="65" t="n">
        <f aca="false">AC616*AD616</f>
        <v>0</v>
      </c>
      <c r="AQ616" s="65" t="n">
        <f aca="false">IF(AND(G616&lt;&gt;"",'Historical Score'!$C$6&lt;&gt;""),IF(G616='Historical Score'!$C$6,1,0),0)</f>
        <v>0</v>
      </c>
      <c r="AR616" s="65" t="n">
        <f aca="false">IF(AND(L616&lt;&gt;"",'Historical Score'!$C$5&lt;&gt;""),IF(L616='Historical Score'!$C$5,1,0),0)</f>
        <v>1</v>
      </c>
      <c r="AS616" s="65" t="n">
        <f aca="false">IF(AND(Y616&lt;&gt;"",'Historical Score'!$C$7&lt;&gt;""),IF(Y616='Historical Score'!$C$7,1,0),0)</f>
        <v>0</v>
      </c>
      <c r="AT616" s="65" t="n">
        <f aca="false">IF(AND(K616&lt;&gt;"",'Historical Score'!$C$8&lt;&gt;""),IF(K616='Historical Score'!$C$8,1,0),0)</f>
        <v>0</v>
      </c>
      <c r="AU616" s="65" t="n">
        <f aca="false">IF(AND(J616&lt;&gt;"",'Historical Score'!$C$9&lt;&gt;""),IF(J616='Historical Score'!$C$9,1,0),0)</f>
        <v>0</v>
      </c>
      <c r="AV616" s="65" t="n">
        <f aca="false">AR616*AS616*AQ616</f>
        <v>0</v>
      </c>
      <c r="AW616" s="65" t="n">
        <f aca="false">AR616*AT616*AQ616</f>
        <v>0</v>
      </c>
      <c r="AX616" s="65" t="n">
        <f aca="false">AR616*AS616</f>
        <v>0</v>
      </c>
      <c r="AY616" s="65" t="n">
        <f aca="false">AR616*AT616</f>
        <v>0</v>
      </c>
      <c r="AZ616" s="65" t="n">
        <f aca="false">AR616*AQ616</f>
        <v>0</v>
      </c>
      <c r="BA616" s="65" t="n">
        <f aca="false">AR616</f>
        <v>1</v>
      </c>
      <c r="BB616" s="65" t="n">
        <f aca="false">1</f>
        <v>1</v>
      </c>
      <c r="BC616" s="65" t="n">
        <f aca="false">IF(AV616=1,1,IF(AW616=1,2,IF(AX616=1,3,IF(AY616=1,4,IF(AZ616=1,5,IF(BA616=1,6,7))))))</f>
        <v>6</v>
      </c>
      <c r="BD616" s="65" t="n">
        <f aca="false">IF(AD616=1,CHOOSE('Historical Score'!$C$29,AV616,AW616,AX616,AY616,AZ616,BA616,BB616),0)</f>
        <v>0</v>
      </c>
      <c r="BE616" s="65" t="str">
        <f aca="false">IF(BD616=1,COUNTIF($BD$2:BD616,1),"")</f>
        <v/>
      </c>
    </row>
    <row r="617" customFormat="false" ht="15" hidden="false" customHeight="false" outlineLevel="0" collapsed="false">
      <c r="A617" s="65" t="s">
        <v>2134</v>
      </c>
      <c r="B617" s="65" t="s">
        <v>2135</v>
      </c>
      <c r="C617" s="65" t="s">
        <v>2136</v>
      </c>
      <c r="D617" s="65" t="s">
        <v>371</v>
      </c>
      <c r="E617" s="112" t="n">
        <v>46064</v>
      </c>
      <c r="F617" s="112" t="n">
        <v>46140</v>
      </c>
      <c r="G617" s="65" t="n">
        <v>3</v>
      </c>
      <c r="H617" s="65" t="s">
        <v>500</v>
      </c>
      <c r="I617" s="65" t="s">
        <v>475</v>
      </c>
      <c r="J617" s="65" t="s">
        <v>772</v>
      </c>
      <c r="K617" s="65" t="s">
        <v>983</v>
      </c>
      <c r="L617" s="65" t="s">
        <v>64</v>
      </c>
      <c r="M617" s="113" t="n">
        <v>1.49</v>
      </c>
      <c r="N617" s="114" t="n">
        <v>25000</v>
      </c>
      <c r="O617" s="114" t="n">
        <v>3500</v>
      </c>
      <c r="P617" s="114" t="n">
        <v>37250</v>
      </c>
      <c r="Q617" s="114" t="n">
        <v>37250</v>
      </c>
      <c r="R617" s="114" t="n">
        <v>0</v>
      </c>
      <c r="S617" s="115" t="n">
        <v>1</v>
      </c>
      <c r="T617" s="65" t="n">
        <v>100</v>
      </c>
      <c r="U617" s="65" t="n">
        <v>0</v>
      </c>
      <c r="V617" s="65" t="n">
        <v>41414.05</v>
      </c>
      <c r="W617" s="115" t="n">
        <v>0.1889</v>
      </c>
      <c r="X617" s="112"/>
      <c r="Y617" s="65" t="str">
        <f aca="false">IF(I617="","No SIC",IFERROR(VLOOKUP(I617,Ref!$A$2:$B$65,2,FALSE()),"Unclassified"))</f>
        <v>Auto Repair &amp; Services</v>
      </c>
      <c r="Z617" s="65" t="str">
        <f aca="false">IF(T617="","",IF(T617&lt;12,"Daily","Weekly"))</f>
        <v>Weekly</v>
      </c>
      <c r="AA617" s="65" t="n">
        <f aca="false">IF(T617="",0,IF(T617&lt;12,T617*Controls!$B$29,T617*5))</f>
        <v>500</v>
      </c>
      <c r="AB617" s="65" t="n">
        <f aca="false">IF(E617="",0,NETWORKDAYS(E617,Controls!$B$36,Ref!$K$2:$K$42))</f>
        <v>137</v>
      </c>
      <c r="AC617" s="65" t="n">
        <f aca="false">IF(AND(AA617&gt;0,AB617&gt;=Controls!$B$39*AA617),1,0)</f>
        <v>0</v>
      </c>
      <c r="AD617" s="65" t="n">
        <f aca="false">IF(AND(E617&lt;&gt;"",E617&gt;=Controls!$B$37,E617&lt;=Controls!$B$38),1,0)</f>
        <v>1</v>
      </c>
      <c r="AE617" s="65" t="n">
        <f aca="false">IF(IFERROR(VLOOKUP(D617,Controls!$A$64:$E$74,2,FALSE()),"No")="Yes",1,0)</f>
        <v>0</v>
      </c>
      <c r="AF617" s="65" t="n">
        <f aca="false">IF(IFERROR(VLOOKUP(D617,Controls!$A$64:$E$74,3,FALSE()),"No")="Yes",1,0)</f>
        <v>1</v>
      </c>
      <c r="AG617" s="65" t="n">
        <f aca="false">IF(IFERROR(VLOOKUP(D617,Controls!$A$64:$E$74,4,FALSE()),"No")="Yes",1,0)</f>
        <v>1</v>
      </c>
      <c r="AH617" s="65" t="n">
        <f aca="false">IF(IFERROR(VLOOKUP(D617,Controls!$A$64:$E$74,5,FALSE()),"No")="Yes",1,0)</f>
        <v>0</v>
      </c>
      <c r="AI617" s="65" t="n">
        <f aca="false">IF(ISNUMBER(MATCH(D617,Controls!$A$64:$A$74,0)),1,0)</f>
        <v>1</v>
      </c>
      <c r="AJ617" s="65" t="n">
        <f aca="false">Q617-N617</f>
        <v>12250</v>
      </c>
      <c r="AK617" s="65" t="n">
        <f aca="false">IF(AE617=1,MAX(0,N617-Q617),0)</f>
        <v>0</v>
      </c>
      <c r="AL617" s="65" t="n">
        <f aca="false">IF(OR(V617="",V617=0),0,N617/V617)</f>
        <v>0.603659869054101</v>
      </c>
      <c r="AM617" s="65" t="n">
        <f aca="false">IF(OR(V617="",V617=0),0,1)</f>
        <v>1</v>
      </c>
      <c r="AN617" s="65" t="n">
        <f aca="false">IF(OR(E617="",F617=""),0,NETWORKDAYS(E617,F617,Ref!$K$2:$K$42))</f>
        <v>54</v>
      </c>
      <c r="AO617" s="65" t="n">
        <f aca="false">IF(L617="Renewal",1,0)</f>
        <v>0</v>
      </c>
      <c r="AP617" s="65" t="n">
        <f aca="false">AC617*AD617</f>
        <v>0</v>
      </c>
      <c r="AQ617" s="65" t="n">
        <f aca="false">IF(AND(G617&lt;&gt;"",'Historical Score'!$C$6&lt;&gt;""),IF(G617='Historical Score'!$C$6,1,0),0)</f>
        <v>0</v>
      </c>
      <c r="AR617" s="65" t="n">
        <f aca="false">IF(AND(L617&lt;&gt;"",'Historical Score'!$C$5&lt;&gt;""),IF(L617='Historical Score'!$C$5,1,0),0)</f>
        <v>1</v>
      </c>
      <c r="AS617" s="65" t="n">
        <f aca="false">IF(AND(Y617&lt;&gt;"",'Historical Score'!$C$7&lt;&gt;""),IF(Y617='Historical Score'!$C$7,1,0),0)</f>
        <v>0</v>
      </c>
      <c r="AT617" s="65" t="n">
        <f aca="false">IF(AND(K617&lt;&gt;"",'Historical Score'!$C$8&lt;&gt;""),IF(K617='Historical Score'!$C$8,1,0),0)</f>
        <v>0</v>
      </c>
      <c r="AU617" s="65" t="n">
        <f aca="false">IF(AND(J617&lt;&gt;"",'Historical Score'!$C$9&lt;&gt;""),IF(J617='Historical Score'!$C$9,1,0),0)</f>
        <v>0</v>
      </c>
      <c r="AV617" s="65" t="n">
        <f aca="false">AR617*AS617*AQ617</f>
        <v>0</v>
      </c>
      <c r="AW617" s="65" t="n">
        <f aca="false">AR617*AT617*AQ617</f>
        <v>0</v>
      </c>
      <c r="AX617" s="65" t="n">
        <f aca="false">AR617*AS617</f>
        <v>0</v>
      </c>
      <c r="AY617" s="65" t="n">
        <f aca="false">AR617*AT617</f>
        <v>0</v>
      </c>
      <c r="AZ617" s="65" t="n">
        <f aca="false">AR617*AQ617</f>
        <v>0</v>
      </c>
      <c r="BA617" s="65" t="n">
        <f aca="false">AR617</f>
        <v>1</v>
      </c>
      <c r="BB617" s="65" t="n">
        <f aca="false">1</f>
        <v>1</v>
      </c>
      <c r="BC617" s="65" t="n">
        <f aca="false">IF(AV617=1,1,IF(AW617=1,2,IF(AX617=1,3,IF(AY617=1,4,IF(AZ617=1,5,IF(BA617=1,6,7))))))</f>
        <v>6</v>
      </c>
      <c r="BD617" s="65" t="n">
        <f aca="false">IF(AD617=1,CHOOSE('Historical Score'!$C$29,AV617,AW617,AX617,AY617,AZ617,BA617,BB617),0)</f>
        <v>0</v>
      </c>
      <c r="BE617" s="65" t="str">
        <f aca="false">IF(BD617=1,COUNTIF($BD$2:BD617,1),"")</f>
        <v/>
      </c>
    </row>
    <row r="618" customFormat="false" ht="15" hidden="false" customHeight="false" outlineLevel="0" collapsed="false">
      <c r="A618" s="65" t="s">
        <v>2137</v>
      </c>
      <c r="B618" s="65" t="s">
        <v>2138</v>
      </c>
      <c r="C618" s="65" t="s">
        <v>2138</v>
      </c>
      <c r="D618" s="65" t="s">
        <v>371</v>
      </c>
      <c r="E618" s="112" t="n">
        <v>46064</v>
      </c>
      <c r="F618" s="112" t="n">
        <v>46195</v>
      </c>
      <c r="G618" s="65" t="n">
        <v>2</v>
      </c>
      <c r="H618" s="65" t="s">
        <v>568</v>
      </c>
      <c r="I618" s="65" t="s">
        <v>569</v>
      </c>
      <c r="J618" s="65" t="s">
        <v>772</v>
      </c>
      <c r="K618" s="65" t="s">
        <v>584</v>
      </c>
      <c r="L618" s="65" t="s">
        <v>64</v>
      </c>
      <c r="M618" s="113" t="n">
        <v>1.43</v>
      </c>
      <c r="N618" s="114" t="n">
        <v>20000</v>
      </c>
      <c r="O618" s="114" t="n">
        <v>2200</v>
      </c>
      <c r="P618" s="114" t="n">
        <v>28600</v>
      </c>
      <c r="Q618" s="114" t="n">
        <v>28600</v>
      </c>
      <c r="R618" s="114" t="n">
        <v>0</v>
      </c>
      <c r="S618" s="115" t="n">
        <v>1</v>
      </c>
      <c r="T618" s="65" t="n">
        <v>90</v>
      </c>
      <c r="U618" s="65" t="n">
        <v>1</v>
      </c>
      <c r="V618" s="65" t="n">
        <v>37557.06</v>
      </c>
      <c r="W618" s="115" t="n">
        <v>0.1777</v>
      </c>
      <c r="X618" s="112" t="n">
        <v>43617</v>
      </c>
      <c r="Y618" s="65" t="str">
        <f aca="false">IF(I618="","No SIC",IFERROR(VLOOKUP(I618,Ref!$A$2:$B$65,2,FALSE()),"Unclassified"))</f>
        <v>General Merchandise Stores</v>
      </c>
      <c r="Z618" s="65" t="str">
        <f aca="false">IF(T618="","",IF(T618&lt;12,"Daily","Weekly"))</f>
        <v>Weekly</v>
      </c>
      <c r="AA618" s="65" t="n">
        <f aca="false">IF(T618="",0,IF(T618&lt;12,T618*Controls!$B$29,T618*5))</f>
        <v>450</v>
      </c>
      <c r="AB618" s="65" t="n">
        <f aca="false">IF(E618="",0,NETWORKDAYS(E618,Controls!$B$36,Ref!$K$2:$K$42))</f>
        <v>137</v>
      </c>
      <c r="AC618" s="65" t="n">
        <f aca="false">IF(AND(AA618&gt;0,AB618&gt;=Controls!$B$39*AA618),1,0)</f>
        <v>0</v>
      </c>
      <c r="AD618" s="65" t="n">
        <f aca="false">IF(AND(E618&lt;&gt;"",E618&gt;=Controls!$B$37,E618&lt;=Controls!$B$38),1,0)</f>
        <v>1</v>
      </c>
      <c r="AE618" s="65" t="n">
        <f aca="false">IF(IFERROR(VLOOKUP(D618,Controls!$A$64:$E$74,2,FALSE()),"No")="Yes",1,0)</f>
        <v>0</v>
      </c>
      <c r="AF618" s="65" t="n">
        <f aca="false">IF(IFERROR(VLOOKUP(D618,Controls!$A$64:$E$74,3,FALSE()),"No")="Yes",1,0)</f>
        <v>1</v>
      </c>
      <c r="AG618" s="65" t="n">
        <f aca="false">IF(IFERROR(VLOOKUP(D618,Controls!$A$64:$E$74,4,FALSE()),"No")="Yes",1,0)</f>
        <v>1</v>
      </c>
      <c r="AH618" s="65" t="n">
        <f aca="false">IF(IFERROR(VLOOKUP(D618,Controls!$A$64:$E$74,5,FALSE()),"No")="Yes",1,0)</f>
        <v>0</v>
      </c>
      <c r="AI618" s="65" t="n">
        <f aca="false">IF(ISNUMBER(MATCH(D618,Controls!$A$64:$A$74,0)),1,0)</f>
        <v>1</v>
      </c>
      <c r="AJ618" s="65" t="n">
        <f aca="false">Q618-N618</f>
        <v>8600</v>
      </c>
      <c r="AK618" s="65" t="n">
        <f aca="false">IF(AE618=1,MAX(0,N618-Q618),0)</f>
        <v>0</v>
      </c>
      <c r="AL618" s="65" t="n">
        <f aca="false">IF(OR(V618="",V618=0),0,N618/V618)</f>
        <v>0.532523046266135</v>
      </c>
      <c r="AM618" s="65" t="n">
        <f aca="false">IF(OR(V618="",V618=0),0,1)</f>
        <v>1</v>
      </c>
      <c r="AN618" s="65" t="n">
        <f aca="false">IF(OR(E618="",F618=""),0,NETWORKDAYS(E618,F618,Ref!$K$2:$K$42))</f>
        <v>91</v>
      </c>
      <c r="AO618" s="65" t="n">
        <f aca="false">IF(L618="Renewal",1,0)</f>
        <v>0</v>
      </c>
      <c r="AP618" s="65" t="n">
        <f aca="false">AC618*AD618</f>
        <v>0</v>
      </c>
      <c r="AQ618" s="65" t="n">
        <f aca="false">IF(AND(G618&lt;&gt;"",'Historical Score'!$C$6&lt;&gt;""),IF(G618='Historical Score'!$C$6,1,0),0)</f>
        <v>1</v>
      </c>
      <c r="AR618" s="65" t="n">
        <f aca="false">IF(AND(L618&lt;&gt;"",'Historical Score'!$C$5&lt;&gt;""),IF(L618='Historical Score'!$C$5,1,0),0)</f>
        <v>1</v>
      </c>
      <c r="AS618" s="65" t="n">
        <f aca="false">IF(AND(Y618&lt;&gt;"",'Historical Score'!$C$7&lt;&gt;""),IF(Y618='Historical Score'!$C$7,1,0),0)</f>
        <v>0</v>
      </c>
      <c r="AT618" s="65" t="n">
        <f aca="false">IF(AND(K618&lt;&gt;"",'Historical Score'!$C$8&lt;&gt;""),IF(K618='Historical Score'!$C$8,1,0),0)</f>
        <v>0</v>
      </c>
      <c r="AU618" s="65" t="n">
        <f aca="false">IF(AND(J618&lt;&gt;"",'Historical Score'!$C$9&lt;&gt;""),IF(J618='Historical Score'!$C$9,1,0),0)</f>
        <v>0</v>
      </c>
      <c r="AV618" s="65" t="n">
        <f aca="false">AR618*AS618*AQ618</f>
        <v>0</v>
      </c>
      <c r="AW618" s="65" t="n">
        <f aca="false">AR618*AT618*AQ618</f>
        <v>0</v>
      </c>
      <c r="AX618" s="65" t="n">
        <f aca="false">AR618*AS618</f>
        <v>0</v>
      </c>
      <c r="AY618" s="65" t="n">
        <f aca="false">AR618*AT618</f>
        <v>0</v>
      </c>
      <c r="AZ618" s="65" t="n">
        <f aca="false">AR618*AQ618</f>
        <v>1</v>
      </c>
      <c r="BA618" s="65" t="n">
        <f aca="false">AR618</f>
        <v>1</v>
      </c>
      <c r="BB618" s="65" t="n">
        <f aca="false">1</f>
        <v>1</v>
      </c>
      <c r="BC618" s="65" t="n">
        <f aca="false">IF(AV618=1,1,IF(AW618=1,2,IF(AX618=1,3,IF(AY618=1,4,IF(AZ618=1,5,IF(BA618=1,6,7))))))</f>
        <v>5</v>
      </c>
      <c r="BD618" s="65" t="n">
        <f aca="false">IF(AD618=1,CHOOSE('Historical Score'!$C$29,AV618,AW618,AX618,AY618,AZ618,BA618,BB618),0)</f>
        <v>0</v>
      </c>
      <c r="BE618" s="65" t="str">
        <f aca="false">IF(BD618=1,COUNTIF($BD$2:BD618,1),"")</f>
        <v/>
      </c>
    </row>
    <row r="619" customFormat="false" ht="15" hidden="false" customHeight="false" outlineLevel="0" collapsed="false">
      <c r="A619" s="65" t="s">
        <v>2139</v>
      </c>
      <c r="B619" s="65" t="s">
        <v>2140</v>
      </c>
      <c r="C619" s="65" t="s">
        <v>2141</v>
      </c>
      <c r="D619" s="65" t="s">
        <v>340</v>
      </c>
      <c r="E619" s="112" t="n">
        <v>46065</v>
      </c>
      <c r="F619" s="112" t="n">
        <v>46188</v>
      </c>
      <c r="G619" s="65" t="n">
        <v>3</v>
      </c>
      <c r="H619" s="65" t="s">
        <v>500</v>
      </c>
      <c r="I619" s="65" t="s">
        <v>475</v>
      </c>
      <c r="J619" s="65" t="s">
        <v>432</v>
      </c>
      <c r="K619" s="65" t="s">
        <v>983</v>
      </c>
      <c r="L619" s="65" t="s">
        <v>64</v>
      </c>
      <c r="M619" s="113" t="n">
        <v>1.4</v>
      </c>
      <c r="N619" s="114" t="n">
        <v>30000</v>
      </c>
      <c r="O619" s="114" t="n">
        <v>2850</v>
      </c>
      <c r="P619" s="114" t="n">
        <v>42000</v>
      </c>
      <c r="Q619" s="114" t="n">
        <v>9517.65</v>
      </c>
      <c r="R619" s="114" t="n">
        <v>32482.35</v>
      </c>
      <c r="S619" s="115" t="n">
        <v>0.226610714285714</v>
      </c>
      <c r="T619" s="65" t="n">
        <v>24</v>
      </c>
      <c r="U619" s="65" t="n">
        <v>7</v>
      </c>
      <c r="W619" s="115" t="n">
        <v>0.126</v>
      </c>
      <c r="X619" s="112" t="n">
        <v>45132</v>
      </c>
      <c r="Y619" s="65" t="str">
        <f aca="false">IF(I619="","No SIC",IFERROR(VLOOKUP(I619,Ref!$A$2:$B$65,2,FALSE()),"Unclassified"))</f>
        <v>Auto Repair &amp; Services</v>
      </c>
      <c r="Z619" s="65" t="str">
        <f aca="false">IF(T619="","",IF(T619&lt;12,"Daily","Weekly"))</f>
        <v>Weekly</v>
      </c>
      <c r="AA619" s="65" t="n">
        <f aca="false">IF(T619="",0,IF(T619&lt;12,T619*Controls!$B$29,T619*5))</f>
        <v>120</v>
      </c>
      <c r="AB619" s="65" t="n">
        <f aca="false">IF(E619="",0,NETWORKDAYS(E619,Controls!$B$36,Ref!$K$2:$K$42))</f>
        <v>136</v>
      </c>
      <c r="AC619" s="65" t="n">
        <f aca="false">IF(AND(AA619&gt;0,AB619&gt;=Controls!$B$39*AA619),1,0)</f>
        <v>0</v>
      </c>
      <c r="AD619" s="65" t="n">
        <f aca="false">IF(AND(E619&lt;&gt;"",E619&gt;=Controls!$B$37,E619&lt;=Controls!$B$38),1,0)</f>
        <v>1</v>
      </c>
      <c r="AE619" s="65" t="n">
        <f aca="false">IF(IFERROR(VLOOKUP(D619,Controls!$A$64:$E$74,2,FALSE()),"No")="Yes",1,0)</f>
        <v>1</v>
      </c>
      <c r="AF619" s="65" t="n">
        <f aca="false">IF(IFERROR(VLOOKUP(D619,Controls!$A$64:$E$74,3,FALSE()),"No")="Yes",1,0)</f>
        <v>0</v>
      </c>
      <c r="AG619" s="65" t="n">
        <f aca="false">IF(IFERROR(VLOOKUP(D619,Controls!$A$64:$E$74,4,FALSE()),"No")="Yes",1,0)</f>
        <v>0</v>
      </c>
      <c r="AH619" s="65" t="n">
        <f aca="false">IF(IFERROR(VLOOKUP(D619,Controls!$A$64:$E$74,5,FALSE()),"No")="Yes",1,0)</f>
        <v>0</v>
      </c>
      <c r="AI619" s="65" t="n">
        <f aca="false">IF(ISNUMBER(MATCH(D619,Controls!$A$64:$A$74,0)),1,0)</f>
        <v>1</v>
      </c>
      <c r="AJ619" s="65" t="n">
        <f aca="false">Q619-N619</f>
        <v>-20482.35</v>
      </c>
      <c r="AK619" s="65" t="n">
        <f aca="false">IF(AE619=1,MAX(0,N619-Q619),0)</f>
        <v>20482.35</v>
      </c>
      <c r="AL619" s="65" t="n">
        <f aca="false">IF(OR(V619="",V619=0),0,N619/V619)</f>
        <v>0</v>
      </c>
      <c r="AM619" s="65" t="n">
        <f aca="false">IF(OR(V619="",V619=0),0,1)</f>
        <v>0</v>
      </c>
      <c r="AN619" s="65" t="n">
        <f aca="false">IF(OR(E619="",F619=""),0,NETWORKDAYS(E619,F619,Ref!$K$2:$K$42))</f>
        <v>86</v>
      </c>
      <c r="AO619" s="65" t="n">
        <f aca="false">IF(L619="Renewal",1,0)</f>
        <v>0</v>
      </c>
      <c r="AP619" s="65" t="n">
        <f aca="false">AC619*AD619</f>
        <v>0</v>
      </c>
      <c r="AQ619" s="65" t="n">
        <f aca="false">IF(AND(G619&lt;&gt;"",'Historical Score'!$C$6&lt;&gt;""),IF(G619='Historical Score'!$C$6,1,0),0)</f>
        <v>0</v>
      </c>
      <c r="AR619" s="65" t="n">
        <f aca="false">IF(AND(L619&lt;&gt;"",'Historical Score'!$C$5&lt;&gt;""),IF(L619='Historical Score'!$C$5,1,0),0)</f>
        <v>1</v>
      </c>
      <c r="AS619" s="65" t="n">
        <f aca="false">IF(AND(Y619&lt;&gt;"",'Historical Score'!$C$7&lt;&gt;""),IF(Y619='Historical Score'!$C$7,1,0),0)</f>
        <v>0</v>
      </c>
      <c r="AT619" s="65" t="n">
        <f aca="false">IF(AND(K619&lt;&gt;"",'Historical Score'!$C$8&lt;&gt;""),IF(K619='Historical Score'!$C$8,1,0),0)</f>
        <v>0</v>
      </c>
      <c r="AU619" s="65" t="n">
        <f aca="false">IF(AND(J619&lt;&gt;"",'Historical Score'!$C$9&lt;&gt;""),IF(J619='Historical Score'!$C$9,1,0),0)</f>
        <v>0</v>
      </c>
      <c r="AV619" s="65" t="n">
        <f aca="false">AR619*AS619*AQ619</f>
        <v>0</v>
      </c>
      <c r="AW619" s="65" t="n">
        <f aca="false">AR619*AT619*AQ619</f>
        <v>0</v>
      </c>
      <c r="AX619" s="65" t="n">
        <f aca="false">AR619*AS619</f>
        <v>0</v>
      </c>
      <c r="AY619" s="65" t="n">
        <f aca="false">AR619*AT619</f>
        <v>0</v>
      </c>
      <c r="AZ619" s="65" t="n">
        <f aca="false">AR619*AQ619</f>
        <v>0</v>
      </c>
      <c r="BA619" s="65" t="n">
        <f aca="false">AR619</f>
        <v>1</v>
      </c>
      <c r="BB619" s="65" t="n">
        <f aca="false">1</f>
        <v>1</v>
      </c>
      <c r="BC619" s="65" t="n">
        <f aca="false">IF(AV619=1,1,IF(AW619=1,2,IF(AX619=1,3,IF(AY619=1,4,IF(AZ619=1,5,IF(BA619=1,6,7))))))</f>
        <v>6</v>
      </c>
      <c r="BD619" s="65" t="n">
        <f aca="false">IF(AD619=1,CHOOSE('Historical Score'!$C$29,AV619,AW619,AX619,AY619,AZ619,BA619,BB619),0)</f>
        <v>0</v>
      </c>
      <c r="BE619" s="65" t="str">
        <f aca="false">IF(BD619=1,COUNTIF($BD$2:BD619,1),"")</f>
        <v/>
      </c>
    </row>
    <row r="620" customFormat="false" ht="15" hidden="false" customHeight="false" outlineLevel="0" collapsed="false">
      <c r="A620" s="65" t="s">
        <v>2142</v>
      </c>
      <c r="B620" s="65" t="s">
        <v>2143</v>
      </c>
      <c r="C620" s="65" t="s">
        <v>2144</v>
      </c>
      <c r="D620" s="65" t="s">
        <v>371</v>
      </c>
      <c r="E620" s="112" t="n">
        <v>46065</v>
      </c>
      <c r="F620" s="112" t="n">
        <v>46133</v>
      </c>
      <c r="G620" s="65" t="n">
        <v>4</v>
      </c>
      <c r="H620" s="65" t="s">
        <v>1589</v>
      </c>
      <c r="I620" s="65" t="s">
        <v>1590</v>
      </c>
      <c r="J620" s="65" t="s">
        <v>410</v>
      </c>
      <c r="K620" s="65" t="s">
        <v>581</v>
      </c>
      <c r="L620" s="65" t="s">
        <v>320</v>
      </c>
      <c r="M620" s="113" t="n">
        <v>1.49</v>
      </c>
      <c r="N620" s="114" t="n">
        <v>180000</v>
      </c>
      <c r="O620" s="114" t="n">
        <v>27000</v>
      </c>
      <c r="P620" s="114" t="n">
        <v>268200</v>
      </c>
      <c r="Q620" s="114" t="n">
        <v>268200</v>
      </c>
      <c r="R620" s="114" t="n">
        <v>0</v>
      </c>
      <c r="S620" s="115" t="n">
        <v>1</v>
      </c>
      <c r="T620" s="65" t="n">
        <v>3.443</v>
      </c>
      <c r="U620" s="65" t="n">
        <v>2</v>
      </c>
      <c r="W620" s="115" t="n">
        <v>0.2029</v>
      </c>
      <c r="X620" s="112" t="n">
        <v>40198</v>
      </c>
      <c r="Y620" s="65" t="str">
        <f aca="false">IF(I620="","No SIC",IFERROR(VLOOKUP(I620,Ref!$A$2:$B$65,2,FALSE()),"Unclassified"))</f>
        <v>Legal Services</v>
      </c>
      <c r="Z620" s="65" t="str">
        <f aca="false">IF(T620="","",IF(T620&lt;12,"Daily","Weekly"))</f>
        <v>Daily</v>
      </c>
      <c r="AA620" s="65" t="n">
        <f aca="false">IF(T620="",0,IF(T620&lt;12,T620*Controls!$B$29,T620*5))</f>
        <v>74.558165</v>
      </c>
      <c r="AB620" s="65" t="n">
        <f aca="false">IF(E620="",0,NETWORKDAYS(E620,Controls!$B$36,Ref!$K$2:$K$42))</f>
        <v>136</v>
      </c>
      <c r="AC620" s="65" t="n">
        <f aca="false">IF(AND(AA620&gt;0,AB620&gt;=Controls!$B$39*AA620),1,0)</f>
        <v>1</v>
      </c>
      <c r="AD620" s="65" t="n">
        <f aca="false">IF(AND(E620&lt;&gt;"",E620&gt;=Controls!$B$37,E620&lt;=Controls!$B$38),1,0)</f>
        <v>1</v>
      </c>
      <c r="AE620" s="65" t="n">
        <f aca="false">IF(IFERROR(VLOOKUP(D620,Controls!$A$64:$E$74,2,FALSE()),"No")="Yes",1,0)</f>
        <v>0</v>
      </c>
      <c r="AF620" s="65" t="n">
        <f aca="false">IF(IFERROR(VLOOKUP(D620,Controls!$A$64:$E$74,3,FALSE()),"No")="Yes",1,0)</f>
        <v>1</v>
      </c>
      <c r="AG620" s="65" t="n">
        <f aca="false">IF(IFERROR(VLOOKUP(D620,Controls!$A$64:$E$74,4,FALSE()),"No")="Yes",1,0)</f>
        <v>1</v>
      </c>
      <c r="AH620" s="65" t="n">
        <f aca="false">IF(IFERROR(VLOOKUP(D620,Controls!$A$64:$E$74,5,FALSE()),"No")="Yes",1,0)</f>
        <v>0</v>
      </c>
      <c r="AI620" s="65" t="n">
        <f aca="false">IF(ISNUMBER(MATCH(D620,Controls!$A$64:$A$74,0)),1,0)</f>
        <v>1</v>
      </c>
      <c r="AJ620" s="65" t="n">
        <f aca="false">Q620-N620</f>
        <v>88200</v>
      </c>
      <c r="AK620" s="65" t="n">
        <f aca="false">IF(AE620=1,MAX(0,N620-Q620),0)</f>
        <v>0</v>
      </c>
      <c r="AL620" s="65" t="n">
        <f aca="false">IF(OR(V620="",V620=0),0,N620/V620)</f>
        <v>0</v>
      </c>
      <c r="AM620" s="65" t="n">
        <f aca="false">IF(OR(V620="",V620=0),0,1)</f>
        <v>0</v>
      </c>
      <c r="AN620" s="65" t="n">
        <f aca="false">IF(OR(E620="",F620=""),0,NETWORKDAYS(E620,F620,Ref!$K$2:$K$42))</f>
        <v>48</v>
      </c>
      <c r="AO620" s="65" t="n">
        <f aca="false">IF(L620="Renewal",1,0)</f>
        <v>1</v>
      </c>
      <c r="AP620" s="65" t="n">
        <f aca="false">AC620*AD620</f>
        <v>1</v>
      </c>
      <c r="AQ620" s="65" t="n">
        <f aca="false">IF(AND(G620&lt;&gt;"",'Historical Score'!$C$6&lt;&gt;""),IF(G620='Historical Score'!$C$6,1,0),0)</f>
        <v>0</v>
      </c>
      <c r="AR620" s="65" t="n">
        <f aca="false">IF(AND(L620&lt;&gt;"",'Historical Score'!$C$5&lt;&gt;""),IF(L620='Historical Score'!$C$5,1,0),0)</f>
        <v>0</v>
      </c>
      <c r="AS620" s="65" t="n">
        <f aca="false">IF(AND(Y620&lt;&gt;"",'Historical Score'!$C$7&lt;&gt;""),IF(Y620='Historical Score'!$C$7,1,0),0)</f>
        <v>0</v>
      </c>
      <c r="AT620" s="65" t="n">
        <f aca="false">IF(AND(K620&lt;&gt;"",'Historical Score'!$C$8&lt;&gt;""),IF(K620='Historical Score'!$C$8,1,0),0)</f>
        <v>0</v>
      </c>
      <c r="AU620" s="65" t="n">
        <f aca="false">IF(AND(J620&lt;&gt;"",'Historical Score'!$C$9&lt;&gt;""),IF(J620='Historical Score'!$C$9,1,0),0)</f>
        <v>0</v>
      </c>
      <c r="AV620" s="65" t="n">
        <f aca="false">AR620*AS620*AQ620</f>
        <v>0</v>
      </c>
      <c r="AW620" s="65" t="n">
        <f aca="false">AR620*AT620*AQ620</f>
        <v>0</v>
      </c>
      <c r="AX620" s="65" t="n">
        <f aca="false">AR620*AS620</f>
        <v>0</v>
      </c>
      <c r="AY620" s="65" t="n">
        <f aca="false">AR620*AT620</f>
        <v>0</v>
      </c>
      <c r="AZ620" s="65" t="n">
        <f aca="false">AR620*AQ620</f>
        <v>0</v>
      </c>
      <c r="BA620" s="65" t="n">
        <f aca="false">AR620</f>
        <v>0</v>
      </c>
      <c r="BB620" s="65" t="n">
        <f aca="false">1</f>
        <v>1</v>
      </c>
      <c r="BC620" s="65" t="n">
        <f aca="false">IF(AV620=1,1,IF(AW620=1,2,IF(AX620=1,3,IF(AY620=1,4,IF(AZ620=1,5,IF(BA620=1,6,7))))))</f>
        <v>7</v>
      </c>
      <c r="BD620" s="65" t="n">
        <f aca="false">IF(AD620=1,CHOOSE('Historical Score'!$C$29,AV620,AW620,AX620,AY620,AZ620,BA620,BB620),0)</f>
        <v>0</v>
      </c>
      <c r="BE620" s="65" t="str">
        <f aca="false">IF(BD620=1,COUNTIF($BD$2:BD620,1),"")</f>
        <v/>
      </c>
    </row>
    <row r="621" customFormat="false" ht="15" hidden="false" customHeight="false" outlineLevel="0" collapsed="false">
      <c r="A621" s="65" t="s">
        <v>2145</v>
      </c>
      <c r="B621" s="65" t="s">
        <v>2146</v>
      </c>
      <c r="C621" s="65" t="s">
        <v>2146</v>
      </c>
      <c r="D621" s="65" t="s">
        <v>340</v>
      </c>
      <c r="E621" s="112" t="n">
        <v>46066</v>
      </c>
      <c r="F621" s="112" t="n">
        <v>46156</v>
      </c>
      <c r="G621" s="65" t="n">
        <v>3</v>
      </c>
      <c r="H621" s="65" t="s">
        <v>442</v>
      </c>
      <c r="I621" s="65" t="s">
        <v>443</v>
      </c>
      <c r="J621" s="65" t="s">
        <v>350</v>
      </c>
      <c r="K621" s="65" t="s">
        <v>55</v>
      </c>
      <c r="L621" s="65" t="s">
        <v>64</v>
      </c>
      <c r="M621" s="113" t="n">
        <v>1.41</v>
      </c>
      <c r="N621" s="114" t="n">
        <v>30000</v>
      </c>
      <c r="O621" s="114" t="n">
        <v>3000</v>
      </c>
      <c r="P621" s="114" t="n">
        <v>42300</v>
      </c>
      <c r="Q621" s="114" t="n">
        <v>7282.92</v>
      </c>
      <c r="R621" s="114" t="n">
        <v>35017.08</v>
      </c>
      <c r="S621" s="115" t="n">
        <v>0.17217304964539</v>
      </c>
      <c r="T621" s="65" t="n">
        <v>26</v>
      </c>
      <c r="U621" s="65" t="n">
        <v>2</v>
      </c>
      <c r="V621" s="65" t="n">
        <v>69557.4</v>
      </c>
      <c r="W621" s="115" t="n">
        <v>0.0936</v>
      </c>
      <c r="X621" s="112"/>
      <c r="Y621" s="65" t="str">
        <f aca="false">IF(I621="","No SIC",IFERROR(VLOOKUP(I621,Ref!$A$2:$B$65,2,FALSE()),"Unclassified"))</f>
        <v>General Building Contractors</v>
      </c>
      <c r="Z621" s="65" t="str">
        <f aca="false">IF(T621="","",IF(T621&lt;12,"Daily","Weekly"))</f>
        <v>Weekly</v>
      </c>
      <c r="AA621" s="65" t="n">
        <f aca="false">IF(T621="",0,IF(T621&lt;12,T621*Controls!$B$29,T621*5))</f>
        <v>130</v>
      </c>
      <c r="AB621" s="65" t="n">
        <f aca="false">IF(E621="",0,NETWORKDAYS(E621,Controls!$B$36,Ref!$K$2:$K$42))</f>
        <v>135</v>
      </c>
      <c r="AC621" s="65" t="n">
        <f aca="false">IF(AND(AA621&gt;0,AB621&gt;=Controls!$B$39*AA621),1,0)</f>
        <v>0</v>
      </c>
      <c r="AD621" s="65" t="n">
        <f aca="false">IF(AND(E621&lt;&gt;"",E621&gt;=Controls!$B$37,E621&lt;=Controls!$B$38),1,0)</f>
        <v>1</v>
      </c>
      <c r="AE621" s="65" t="n">
        <f aca="false">IF(IFERROR(VLOOKUP(D621,Controls!$A$64:$E$74,2,FALSE()),"No")="Yes",1,0)</f>
        <v>1</v>
      </c>
      <c r="AF621" s="65" t="n">
        <f aca="false">IF(IFERROR(VLOOKUP(D621,Controls!$A$64:$E$74,3,FALSE()),"No")="Yes",1,0)</f>
        <v>0</v>
      </c>
      <c r="AG621" s="65" t="n">
        <f aca="false">IF(IFERROR(VLOOKUP(D621,Controls!$A$64:$E$74,4,FALSE()),"No")="Yes",1,0)</f>
        <v>0</v>
      </c>
      <c r="AH621" s="65" t="n">
        <f aca="false">IF(IFERROR(VLOOKUP(D621,Controls!$A$64:$E$74,5,FALSE()),"No")="Yes",1,0)</f>
        <v>0</v>
      </c>
      <c r="AI621" s="65" t="n">
        <f aca="false">IF(ISNUMBER(MATCH(D621,Controls!$A$64:$A$74,0)),1,0)</f>
        <v>1</v>
      </c>
      <c r="AJ621" s="65" t="n">
        <f aca="false">Q621-N621</f>
        <v>-22717.08</v>
      </c>
      <c r="AK621" s="65" t="n">
        <f aca="false">IF(AE621=1,MAX(0,N621-Q621),0)</f>
        <v>22717.08</v>
      </c>
      <c r="AL621" s="65" t="n">
        <f aca="false">IF(OR(V621="",V621=0),0,N621/V621)</f>
        <v>0.431298467165248</v>
      </c>
      <c r="AM621" s="65" t="n">
        <f aca="false">IF(OR(V621="",V621=0),0,1)</f>
        <v>1</v>
      </c>
      <c r="AN621" s="65" t="n">
        <f aca="false">IF(OR(E621="",F621=""),0,NETWORKDAYS(E621,F621,Ref!$K$2:$K$42))</f>
        <v>64</v>
      </c>
      <c r="AO621" s="65" t="n">
        <f aca="false">IF(L621="Renewal",1,0)</f>
        <v>0</v>
      </c>
      <c r="AP621" s="65" t="n">
        <f aca="false">AC621*AD621</f>
        <v>0</v>
      </c>
      <c r="AQ621" s="65" t="n">
        <f aca="false">IF(AND(G621&lt;&gt;"",'Historical Score'!$C$6&lt;&gt;""),IF(G621='Historical Score'!$C$6,1,0),0)</f>
        <v>0</v>
      </c>
      <c r="AR621" s="65" t="n">
        <f aca="false">IF(AND(L621&lt;&gt;"",'Historical Score'!$C$5&lt;&gt;""),IF(L621='Historical Score'!$C$5,1,0),0)</f>
        <v>1</v>
      </c>
      <c r="AS621" s="65" t="n">
        <f aca="false">IF(AND(Y621&lt;&gt;"",'Historical Score'!$C$7&lt;&gt;""),IF(Y621='Historical Score'!$C$7,1,0),0)</f>
        <v>1</v>
      </c>
      <c r="AT621" s="65" t="n">
        <f aca="false">IF(AND(K621&lt;&gt;"",'Historical Score'!$C$8&lt;&gt;""),IF(K621='Historical Score'!$C$8,1,0),0)</f>
        <v>1</v>
      </c>
      <c r="AU621" s="65" t="n">
        <f aca="false">IF(AND(J621&lt;&gt;"",'Historical Score'!$C$9&lt;&gt;""),IF(J621='Historical Score'!$C$9,1,0),0)</f>
        <v>0</v>
      </c>
      <c r="AV621" s="65" t="n">
        <f aca="false">AR621*AS621*AQ621</f>
        <v>0</v>
      </c>
      <c r="AW621" s="65" t="n">
        <f aca="false">AR621*AT621*AQ621</f>
        <v>0</v>
      </c>
      <c r="AX621" s="65" t="n">
        <f aca="false">AR621*AS621</f>
        <v>1</v>
      </c>
      <c r="AY621" s="65" t="n">
        <f aca="false">AR621*AT621</f>
        <v>1</v>
      </c>
      <c r="AZ621" s="65" t="n">
        <f aca="false">AR621*AQ621</f>
        <v>0</v>
      </c>
      <c r="BA621" s="65" t="n">
        <f aca="false">AR621</f>
        <v>1</v>
      </c>
      <c r="BB621" s="65" t="n">
        <f aca="false">1</f>
        <v>1</v>
      </c>
      <c r="BC621" s="65" t="n">
        <f aca="false">IF(AV621=1,1,IF(AW621=1,2,IF(AX621=1,3,IF(AY621=1,4,IF(AZ621=1,5,IF(BA621=1,6,7))))))</f>
        <v>3</v>
      </c>
      <c r="BD621" s="65" t="n">
        <f aca="false">IF(AD621=1,CHOOSE('Historical Score'!$C$29,AV621,AW621,AX621,AY621,AZ621,BA621,BB621),0)</f>
        <v>0</v>
      </c>
      <c r="BE621" s="65" t="str">
        <f aca="false">IF(BD621=1,COUNTIF($BD$2:BD621,1),"")</f>
        <v/>
      </c>
    </row>
    <row r="622" customFormat="false" ht="15" hidden="false" customHeight="false" outlineLevel="0" collapsed="false">
      <c r="A622" s="65" t="s">
        <v>2147</v>
      </c>
      <c r="B622" s="65" t="s">
        <v>2148</v>
      </c>
      <c r="C622" s="65" t="s">
        <v>2148</v>
      </c>
      <c r="D622" s="65" t="s">
        <v>295</v>
      </c>
      <c r="E622" s="112" t="n">
        <v>46066</v>
      </c>
      <c r="F622" s="112" t="n">
        <v>46248</v>
      </c>
      <c r="G622" s="65" t="n">
        <v>3</v>
      </c>
      <c r="H622" s="65" t="s">
        <v>2149</v>
      </c>
      <c r="I622" s="65" t="s">
        <v>2150</v>
      </c>
      <c r="J622" s="65" t="s">
        <v>61</v>
      </c>
      <c r="K622" s="65" t="s">
        <v>1496</v>
      </c>
      <c r="L622" s="65" t="s">
        <v>64</v>
      </c>
      <c r="M622" s="113" t="n">
        <v>1.45</v>
      </c>
      <c r="N622" s="114" t="n">
        <v>30000</v>
      </c>
      <c r="O622" s="114" t="n">
        <v>3600</v>
      </c>
      <c r="P622" s="114" t="n">
        <v>43500</v>
      </c>
      <c r="Q622" s="114" t="n">
        <v>6527.67</v>
      </c>
      <c r="R622" s="114" t="n">
        <v>36972.33</v>
      </c>
      <c r="S622" s="115" t="n">
        <v>0.150061379310345</v>
      </c>
      <c r="T622" s="65" t="n">
        <v>20</v>
      </c>
      <c r="U622" s="65" t="n">
        <v>23</v>
      </c>
      <c r="V622" s="65" t="n">
        <v>73884.37</v>
      </c>
      <c r="W622" s="115" t="n">
        <v>0.1178</v>
      </c>
      <c r="X622" s="112" t="n">
        <v>42529</v>
      </c>
      <c r="Y622" s="65" t="str">
        <f aca="false">IF(I622="","No SIC",IFERROR(VLOOKUP(I622,Ref!$A$2:$B$65,2,FALSE()),"Unclassified"))</f>
        <v>Agricultural Production - Livestock</v>
      </c>
      <c r="Z622" s="65" t="str">
        <f aca="false">IF(T622="","",IF(T622&lt;12,"Daily","Weekly"))</f>
        <v>Weekly</v>
      </c>
      <c r="AA622" s="65" t="n">
        <f aca="false">IF(T622="",0,IF(T622&lt;12,T622*Controls!$B$29,T622*5))</f>
        <v>100</v>
      </c>
      <c r="AB622" s="65" t="n">
        <f aca="false">IF(E622="",0,NETWORKDAYS(E622,Controls!$B$36,Ref!$K$2:$K$42))</f>
        <v>135</v>
      </c>
      <c r="AC622" s="65" t="n">
        <f aca="false">IF(AND(AA622&gt;0,AB622&gt;=Controls!$B$39*AA622),1,0)</f>
        <v>1</v>
      </c>
      <c r="AD622" s="65" t="n">
        <f aca="false">IF(AND(E622&lt;&gt;"",E622&gt;=Controls!$B$37,E622&lt;=Controls!$B$38),1,0)</f>
        <v>1</v>
      </c>
      <c r="AE622" s="65" t="n">
        <f aca="false">IF(IFERROR(VLOOKUP(D622,Controls!$A$64:$E$74,2,FALSE()),"No")="Yes",1,0)</f>
        <v>0</v>
      </c>
      <c r="AF622" s="65" t="n">
        <f aca="false">IF(IFERROR(VLOOKUP(D622,Controls!$A$64:$E$74,3,FALSE()),"No")="Yes",1,0)</f>
        <v>0</v>
      </c>
      <c r="AG622" s="65" t="n">
        <f aca="false">IF(IFERROR(VLOOKUP(D622,Controls!$A$64:$E$74,4,FALSE()),"No")="Yes",1,0)</f>
        <v>0</v>
      </c>
      <c r="AH622" s="65" t="n">
        <f aca="false">IF(IFERROR(VLOOKUP(D622,Controls!$A$64:$E$74,5,FALSE()),"No")="Yes",1,0)</f>
        <v>1</v>
      </c>
      <c r="AI622" s="65" t="n">
        <f aca="false">IF(ISNUMBER(MATCH(D622,Controls!$A$64:$A$74,0)),1,0)</f>
        <v>1</v>
      </c>
      <c r="AJ622" s="65" t="n">
        <f aca="false">Q622-N622</f>
        <v>-23472.33</v>
      </c>
      <c r="AK622" s="65" t="n">
        <f aca="false">IF(AE622=1,MAX(0,N622-Q622),0)</f>
        <v>0</v>
      </c>
      <c r="AL622" s="65" t="n">
        <f aca="false">IF(OR(V622="",V622=0),0,N622/V622)</f>
        <v>0.406039870137622</v>
      </c>
      <c r="AM622" s="65" t="n">
        <f aca="false">IF(OR(V622="",V622=0),0,1)</f>
        <v>1</v>
      </c>
      <c r="AN622" s="65" t="n">
        <f aca="false">IF(OR(E622="",F622=""),0,NETWORKDAYS(E622,F622,Ref!$K$2:$K$42))</f>
        <v>128</v>
      </c>
      <c r="AO622" s="65" t="n">
        <f aca="false">IF(L622="Renewal",1,0)</f>
        <v>0</v>
      </c>
      <c r="AP622" s="65" t="n">
        <f aca="false">AC622*AD622</f>
        <v>1</v>
      </c>
      <c r="AQ622" s="65" t="n">
        <f aca="false">IF(AND(G622&lt;&gt;"",'Historical Score'!$C$6&lt;&gt;""),IF(G622='Historical Score'!$C$6,1,0),0)</f>
        <v>0</v>
      </c>
      <c r="AR622" s="65" t="n">
        <f aca="false">IF(AND(L622&lt;&gt;"",'Historical Score'!$C$5&lt;&gt;""),IF(L622='Historical Score'!$C$5,1,0),0)</f>
        <v>1</v>
      </c>
      <c r="AS622" s="65" t="n">
        <f aca="false">IF(AND(Y622&lt;&gt;"",'Historical Score'!$C$7&lt;&gt;""),IF(Y622='Historical Score'!$C$7,1,0),0)</f>
        <v>0</v>
      </c>
      <c r="AT622" s="65" t="n">
        <f aca="false">IF(AND(K622&lt;&gt;"",'Historical Score'!$C$8&lt;&gt;""),IF(K622='Historical Score'!$C$8,1,0),0)</f>
        <v>0</v>
      </c>
      <c r="AU622" s="65" t="n">
        <f aca="false">IF(AND(J622&lt;&gt;"",'Historical Score'!$C$9&lt;&gt;""),IF(J622='Historical Score'!$C$9,1,0),0)</f>
        <v>1</v>
      </c>
      <c r="AV622" s="65" t="n">
        <f aca="false">AR622*AS622*AQ622</f>
        <v>0</v>
      </c>
      <c r="AW622" s="65" t="n">
        <f aca="false">AR622*AT622*AQ622</f>
        <v>0</v>
      </c>
      <c r="AX622" s="65" t="n">
        <f aca="false">AR622*AS622</f>
        <v>0</v>
      </c>
      <c r="AY622" s="65" t="n">
        <f aca="false">AR622*AT622</f>
        <v>0</v>
      </c>
      <c r="AZ622" s="65" t="n">
        <f aca="false">AR622*AQ622</f>
        <v>0</v>
      </c>
      <c r="BA622" s="65" t="n">
        <f aca="false">AR622</f>
        <v>1</v>
      </c>
      <c r="BB622" s="65" t="n">
        <f aca="false">1</f>
        <v>1</v>
      </c>
      <c r="BC622" s="65" t="n">
        <f aca="false">IF(AV622=1,1,IF(AW622=1,2,IF(AX622=1,3,IF(AY622=1,4,IF(AZ622=1,5,IF(BA622=1,6,7))))))</f>
        <v>6</v>
      </c>
      <c r="BD622" s="65" t="n">
        <f aca="false">IF(AD622=1,CHOOSE('Historical Score'!$C$29,AV622,AW622,AX622,AY622,AZ622,BA622,BB622),0)</f>
        <v>0</v>
      </c>
      <c r="BE622" s="65" t="str">
        <f aca="false">IF(BD622=1,COUNTIF($BD$2:BD622,1),"")</f>
        <v/>
      </c>
    </row>
    <row r="623" customFormat="false" ht="15" hidden="false" customHeight="false" outlineLevel="0" collapsed="false">
      <c r="A623" s="65" t="s">
        <v>2151</v>
      </c>
      <c r="B623" s="65" t="s">
        <v>2152</v>
      </c>
      <c r="C623" s="65" t="s">
        <v>2152</v>
      </c>
      <c r="D623" s="65" t="s">
        <v>340</v>
      </c>
      <c r="E623" s="112" t="n">
        <v>46066</v>
      </c>
      <c r="F623" s="112" t="n">
        <v>46108</v>
      </c>
      <c r="G623" s="65" t="n">
        <v>3</v>
      </c>
      <c r="H623" s="65" t="s">
        <v>442</v>
      </c>
      <c r="I623" s="65" t="s">
        <v>443</v>
      </c>
      <c r="J623" s="65" t="s">
        <v>506</v>
      </c>
      <c r="K623" s="65" t="s">
        <v>55</v>
      </c>
      <c r="L623" s="65" t="s">
        <v>64</v>
      </c>
      <c r="M623" s="113" t="n">
        <v>1.49</v>
      </c>
      <c r="N623" s="114" t="n">
        <v>15000</v>
      </c>
      <c r="O623" s="114" t="n">
        <v>2100</v>
      </c>
      <c r="P623" s="114" t="n">
        <v>22350</v>
      </c>
      <c r="Q623" s="114" t="n">
        <v>5586.25</v>
      </c>
      <c r="R623" s="114" t="n">
        <v>16763.75</v>
      </c>
      <c r="S623" s="115" t="n">
        <v>0.249944071588367</v>
      </c>
      <c r="T623" s="65" t="n">
        <v>3.279</v>
      </c>
      <c r="U623" s="65" t="n">
        <v>4</v>
      </c>
      <c r="V623" s="65" t="n">
        <v>25364.67</v>
      </c>
      <c r="W623" s="115" t="n">
        <v>0.185</v>
      </c>
      <c r="X623" s="112"/>
      <c r="Y623" s="65" t="str">
        <f aca="false">IF(I623="","No SIC",IFERROR(VLOOKUP(I623,Ref!$A$2:$B$65,2,FALSE()),"Unclassified"))</f>
        <v>General Building Contractors</v>
      </c>
      <c r="Z623" s="65" t="str">
        <f aca="false">IF(T623="","",IF(T623&lt;12,"Daily","Weekly"))</f>
        <v>Daily</v>
      </c>
      <c r="AA623" s="65" t="n">
        <f aca="false">IF(T623="",0,IF(T623&lt;12,T623*Controls!$B$29,T623*5))</f>
        <v>71.006745</v>
      </c>
      <c r="AB623" s="65" t="n">
        <f aca="false">IF(E623="",0,NETWORKDAYS(E623,Controls!$B$36,Ref!$K$2:$K$42))</f>
        <v>135</v>
      </c>
      <c r="AC623" s="65" t="n">
        <f aca="false">IF(AND(AA623&gt;0,AB623&gt;=Controls!$B$39*AA623),1,0)</f>
        <v>1</v>
      </c>
      <c r="AD623" s="65" t="n">
        <f aca="false">IF(AND(E623&lt;&gt;"",E623&gt;=Controls!$B$37,E623&lt;=Controls!$B$38),1,0)</f>
        <v>1</v>
      </c>
      <c r="AE623" s="65" t="n">
        <f aca="false">IF(IFERROR(VLOOKUP(D623,Controls!$A$64:$E$74,2,FALSE()),"No")="Yes",1,0)</f>
        <v>1</v>
      </c>
      <c r="AF623" s="65" t="n">
        <f aca="false">IF(IFERROR(VLOOKUP(D623,Controls!$A$64:$E$74,3,FALSE()),"No")="Yes",1,0)</f>
        <v>0</v>
      </c>
      <c r="AG623" s="65" t="n">
        <f aca="false">IF(IFERROR(VLOOKUP(D623,Controls!$A$64:$E$74,4,FALSE()),"No")="Yes",1,0)</f>
        <v>0</v>
      </c>
      <c r="AH623" s="65" t="n">
        <f aca="false">IF(IFERROR(VLOOKUP(D623,Controls!$A$64:$E$74,5,FALSE()),"No")="Yes",1,0)</f>
        <v>0</v>
      </c>
      <c r="AI623" s="65" t="n">
        <f aca="false">IF(ISNUMBER(MATCH(D623,Controls!$A$64:$A$74,0)),1,0)</f>
        <v>1</v>
      </c>
      <c r="AJ623" s="65" t="n">
        <f aca="false">Q623-N623</f>
        <v>-9413.75</v>
      </c>
      <c r="AK623" s="65" t="n">
        <f aca="false">IF(AE623=1,MAX(0,N623-Q623),0)</f>
        <v>9413.75</v>
      </c>
      <c r="AL623" s="65" t="n">
        <f aca="false">IF(OR(V623="",V623=0),0,N623/V623)</f>
        <v>0.591373749392364</v>
      </c>
      <c r="AM623" s="65" t="n">
        <f aca="false">IF(OR(V623="",V623=0),0,1)</f>
        <v>1</v>
      </c>
      <c r="AN623" s="65" t="n">
        <f aca="false">IF(OR(E623="",F623=""),0,NETWORKDAYS(E623,F623,Ref!$K$2:$K$42))</f>
        <v>30</v>
      </c>
      <c r="AO623" s="65" t="n">
        <f aca="false">IF(L623="Renewal",1,0)</f>
        <v>0</v>
      </c>
      <c r="AP623" s="65" t="n">
        <f aca="false">AC623*AD623</f>
        <v>1</v>
      </c>
      <c r="AQ623" s="65" t="n">
        <f aca="false">IF(AND(G623&lt;&gt;"",'Historical Score'!$C$6&lt;&gt;""),IF(G623='Historical Score'!$C$6,1,0),0)</f>
        <v>0</v>
      </c>
      <c r="AR623" s="65" t="n">
        <f aca="false">IF(AND(L623&lt;&gt;"",'Historical Score'!$C$5&lt;&gt;""),IF(L623='Historical Score'!$C$5,1,0),0)</f>
        <v>1</v>
      </c>
      <c r="AS623" s="65" t="n">
        <f aca="false">IF(AND(Y623&lt;&gt;"",'Historical Score'!$C$7&lt;&gt;""),IF(Y623='Historical Score'!$C$7,1,0),0)</f>
        <v>1</v>
      </c>
      <c r="AT623" s="65" t="n">
        <f aca="false">IF(AND(K623&lt;&gt;"",'Historical Score'!$C$8&lt;&gt;""),IF(K623='Historical Score'!$C$8,1,0),0)</f>
        <v>1</v>
      </c>
      <c r="AU623" s="65" t="n">
        <f aca="false">IF(AND(J623&lt;&gt;"",'Historical Score'!$C$9&lt;&gt;""),IF(J623='Historical Score'!$C$9,1,0),0)</f>
        <v>0</v>
      </c>
      <c r="AV623" s="65" t="n">
        <f aca="false">AR623*AS623*AQ623</f>
        <v>0</v>
      </c>
      <c r="AW623" s="65" t="n">
        <f aca="false">AR623*AT623*AQ623</f>
        <v>0</v>
      </c>
      <c r="AX623" s="65" t="n">
        <f aca="false">AR623*AS623</f>
        <v>1</v>
      </c>
      <c r="AY623" s="65" t="n">
        <f aca="false">AR623*AT623</f>
        <v>1</v>
      </c>
      <c r="AZ623" s="65" t="n">
        <f aca="false">AR623*AQ623</f>
        <v>0</v>
      </c>
      <c r="BA623" s="65" t="n">
        <f aca="false">AR623</f>
        <v>1</v>
      </c>
      <c r="BB623" s="65" t="n">
        <f aca="false">1</f>
        <v>1</v>
      </c>
      <c r="BC623" s="65" t="n">
        <f aca="false">IF(AV623=1,1,IF(AW623=1,2,IF(AX623=1,3,IF(AY623=1,4,IF(AZ623=1,5,IF(BA623=1,6,7))))))</f>
        <v>3</v>
      </c>
      <c r="BD623" s="65" t="n">
        <f aca="false">IF(AD623=1,CHOOSE('Historical Score'!$C$29,AV623,AW623,AX623,AY623,AZ623,BA623,BB623),0)</f>
        <v>0</v>
      </c>
      <c r="BE623" s="65" t="str">
        <f aca="false">IF(BD623=1,COUNTIF($BD$2:BD623,1),"")</f>
        <v/>
      </c>
    </row>
    <row r="624" customFormat="false" ht="15" hidden="false" customHeight="false" outlineLevel="0" collapsed="false">
      <c r="A624" s="65" t="s">
        <v>2153</v>
      </c>
      <c r="B624" s="65" t="s">
        <v>2154</v>
      </c>
      <c r="C624" s="65" t="s">
        <v>2154</v>
      </c>
      <c r="D624" s="65" t="s">
        <v>295</v>
      </c>
      <c r="E624" s="112" t="n">
        <v>46066</v>
      </c>
      <c r="F624" s="112" t="n">
        <v>46253</v>
      </c>
      <c r="G624" s="65" t="n">
        <v>3</v>
      </c>
      <c r="H624" s="65" t="s">
        <v>1634</v>
      </c>
      <c r="I624" s="65" t="s">
        <v>778</v>
      </c>
      <c r="J624" s="65" t="s">
        <v>373</v>
      </c>
      <c r="K624" s="65" t="s">
        <v>55</v>
      </c>
      <c r="L624" s="65" t="s">
        <v>64</v>
      </c>
      <c r="M624" s="113" t="n">
        <v>1.49</v>
      </c>
      <c r="N624" s="114" t="n">
        <v>20000</v>
      </c>
      <c r="O624" s="114" t="n">
        <v>2800</v>
      </c>
      <c r="P624" s="114" t="n">
        <v>29800</v>
      </c>
      <c r="Q624" s="114" t="n">
        <v>29800</v>
      </c>
      <c r="R624" s="114" t="n">
        <v>0</v>
      </c>
      <c r="S624" s="115" t="n">
        <v>1</v>
      </c>
      <c r="T624" s="65" t="n">
        <v>20</v>
      </c>
      <c r="U624" s="65" t="n">
        <v>0</v>
      </c>
      <c r="V624" s="65" t="n">
        <v>2423.33</v>
      </c>
      <c r="W624" s="115" t="n">
        <v>0.0298</v>
      </c>
      <c r="X624" s="112" t="n">
        <v>45657</v>
      </c>
      <c r="Y624" s="65" t="str">
        <f aca="false">IF(I624="","No SIC",IFERROR(VLOOKUP(I624,Ref!$A$2:$B$65,2,FALSE()),"Unclassified"))</f>
        <v>Electronic &amp; Electrical Equipment</v>
      </c>
      <c r="Z624" s="65" t="str">
        <f aca="false">IF(T624="","",IF(T624&lt;12,"Daily","Weekly"))</f>
        <v>Weekly</v>
      </c>
      <c r="AA624" s="65" t="n">
        <f aca="false">IF(T624="",0,IF(T624&lt;12,T624*Controls!$B$29,T624*5))</f>
        <v>100</v>
      </c>
      <c r="AB624" s="65" t="n">
        <f aca="false">IF(E624="",0,NETWORKDAYS(E624,Controls!$B$36,Ref!$K$2:$K$42))</f>
        <v>135</v>
      </c>
      <c r="AC624" s="65" t="n">
        <f aca="false">IF(AND(AA624&gt;0,AB624&gt;=Controls!$B$39*AA624),1,0)</f>
        <v>1</v>
      </c>
      <c r="AD624" s="65" t="n">
        <f aca="false">IF(AND(E624&lt;&gt;"",E624&gt;=Controls!$B$37,E624&lt;=Controls!$B$38),1,0)</f>
        <v>1</v>
      </c>
      <c r="AE624" s="65" t="n">
        <f aca="false">IF(IFERROR(VLOOKUP(D624,Controls!$A$64:$E$74,2,FALSE()),"No")="Yes",1,0)</f>
        <v>0</v>
      </c>
      <c r="AF624" s="65" t="n">
        <f aca="false">IF(IFERROR(VLOOKUP(D624,Controls!$A$64:$E$74,3,FALSE()),"No")="Yes",1,0)</f>
        <v>0</v>
      </c>
      <c r="AG624" s="65" t="n">
        <f aca="false">IF(IFERROR(VLOOKUP(D624,Controls!$A$64:$E$74,4,FALSE()),"No")="Yes",1,0)</f>
        <v>0</v>
      </c>
      <c r="AH624" s="65" t="n">
        <f aca="false">IF(IFERROR(VLOOKUP(D624,Controls!$A$64:$E$74,5,FALSE()),"No")="Yes",1,0)</f>
        <v>1</v>
      </c>
      <c r="AI624" s="65" t="n">
        <f aca="false">IF(ISNUMBER(MATCH(D624,Controls!$A$64:$A$74,0)),1,0)</f>
        <v>1</v>
      </c>
      <c r="AJ624" s="65" t="n">
        <f aca="false">Q624-N624</f>
        <v>9800</v>
      </c>
      <c r="AK624" s="65" t="n">
        <f aca="false">IF(AE624=1,MAX(0,N624-Q624),0)</f>
        <v>0</v>
      </c>
      <c r="AL624" s="65" t="n">
        <f aca="false">IF(OR(V624="",V624=0),0,N624/V624)</f>
        <v>8.25310626286969</v>
      </c>
      <c r="AM624" s="65" t="n">
        <f aca="false">IF(OR(V624="",V624=0),0,1)</f>
        <v>1</v>
      </c>
      <c r="AN624" s="65" t="n">
        <f aca="false">IF(OR(E624="",F624=""),0,NETWORKDAYS(E624,F624,Ref!$K$2:$K$42))</f>
        <v>131</v>
      </c>
      <c r="AO624" s="65" t="n">
        <f aca="false">IF(L624="Renewal",1,0)</f>
        <v>0</v>
      </c>
      <c r="AP624" s="65" t="n">
        <f aca="false">AC624*AD624</f>
        <v>1</v>
      </c>
      <c r="AQ624" s="65" t="n">
        <f aca="false">IF(AND(G624&lt;&gt;"",'Historical Score'!$C$6&lt;&gt;""),IF(G624='Historical Score'!$C$6,1,0),0)</f>
        <v>0</v>
      </c>
      <c r="AR624" s="65" t="n">
        <f aca="false">IF(AND(L624&lt;&gt;"",'Historical Score'!$C$5&lt;&gt;""),IF(L624='Historical Score'!$C$5,1,0),0)</f>
        <v>1</v>
      </c>
      <c r="AS624" s="65" t="n">
        <f aca="false">IF(AND(Y624&lt;&gt;"",'Historical Score'!$C$7&lt;&gt;""),IF(Y624='Historical Score'!$C$7,1,0),0)</f>
        <v>0</v>
      </c>
      <c r="AT624" s="65" t="n">
        <f aca="false">IF(AND(K624&lt;&gt;"",'Historical Score'!$C$8&lt;&gt;""),IF(K624='Historical Score'!$C$8,1,0),0)</f>
        <v>1</v>
      </c>
      <c r="AU624" s="65" t="n">
        <f aca="false">IF(AND(J624&lt;&gt;"",'Historical Score'!$C$9&lt;&gt;""),IF(J624='Historical Score'!$C$9,1,0),0)</f>
        <v>0</v>
      </c>
      <c r="AV624" s="65" t="n">
        <f aca="false">AR624*AS624*AQ624</f>
        <v>0</v>
      </c>
      <c r="AW624" s="65" t="n">
        <f aca="false">AR624*AT624*AQ624</f>
        <v>0</v>
      </c>
      <c r="AX624" s="65" t="n">
        <f aca="false">AR624*AS624</f>
        <v>0</v>
      </c>
      <c r="AY624" s="65" t="n">
        <f aca="false">AR624*AT624</f>
        <v>1</v>
      </c>
      <c r="AZ624" s="65" t="n">
        <f aca="false">AR624*AQ624</f>
        <v>0</v>
      </c>
      <c r="BA624" s="65" t="n">
        <f aca="false">AR624</f>
        <v>1</v>
      </c>
      <c r="BB624" s="65" t="n">
        <f aca="false">1</f>
        <v>1</v>
      </c>
      <c r="BC624" s="65" t="n">
        <f aca="false">IF(AV624=1,1,IF(AW624=1,2,IF(AX624=1,3,IF(AY624=1,4,IF(AZ624=1,5,IF(BA624=1,6,7))))))</f>
        <v>4</v>
      </c>
      <c r="BD624" s="65" t="n">
        <f aca="false">IF(AD624=1,CHOOSE('Historical Score'!$C$29,AV624,AW624,AX624,AY624,AZ624,BA624,BB624),0)</f>
        <v>0</v>
      </c>
      <c r="BE624" s="65" t="str">
        <f aca="false">IF(BD624=1,COUNTIF($BD$2:BD624,1),"")</f>
        <v/>
      </c>
    </row>
    <row r="625" customFormat="false" ht="15" hidden="false" customHeight="false" outlineLevel="0" collapsed="false">
      <c r="A625" s="65" t="s">
        <v>2155</v>
      </c>
      <c r="B625" s="65" t="s">
        <v>2156</v>
      </c>
      <c r="C625" s="65" t="s">
        <v>2156</v>
      </c>
      <c r="D625" s="65" t="s">
        <v>295</v>
      </c>
      <c r="E625" s="112" t="n">
        <v>46066</v>
      </c>
      <c r="F625" s="112" t="n">
        <v>46206</v>
      </c>
      <c r="G625" s="65" t="n">
        <v>1</v>
      </c>
      <c r="H625" s="65" t="s">
        <v>442</v>
      </c>
      <c r="I625" s="65" t="s">
        <v>443</v>
      </c>
      <c r="J625" s="65" t="s">
        <v>350</v>
      </c>
      <c r="K625" s="65" t="s">
        <v>501</v>
      </c>
      <c r="L625" s="65" t="s">
        <v>64</v>
      </c>
      <c r="M625" s="113" t="n">
        <v>1.49</v>
      </c>
      <c r="N625" s="114" t="n">
        <v>25000</v>
      </c>
      <c r="O625" s="114" t="n">
        <v>3500</v>
      </c>
      <c r="P625" s="114" t="n">
        <v>37250</v>
      </c>
      <c r="Q625" s="114" t="n">
        <v>14335.5</v>
      </c>
      <c r="R625" s="114" t="n">
        <v>22914.5</v>
      </c>
      <c r="S625" s="115" t="n">
        <v>0.384845637583893</v>
      </c>
      <c r="T625" s="65" t="n">
        <v>26</v>
      </c>
      <c r="U625" s="65" t="n">
        <v>10</v>
      </c>
      <c r="V625" s="65" t="n">
        <v>139292.82</v>
      </c>
      <c r="W625" s="115" t="n">
        <v>0.0415</v>
      </c>
      <c r="X625" s="112" t="n">
        <v>45683</v>
      </c>
      <c r="Y625" s="65" t="str">
        <f aca="false">IF(I625="","No SIC",IFERROR(VLOOKUP(I625,Ref!$A$2:$B$65,2,FALSE()),"Unclassified"))</f>
        <v>General Building Contractors</v>
      </c>
      <c r="Z625" s="65" t="str">
        <f aca="false">IF(T625="","",IF(T625&lt;12,"Daily","Weekly"))</f>
        <v>Weekly</v>
      </c>
      <c r="AA625" s="65" t="n">
        <f aca="false">IF(T625="",0,IF(T625&lt;12,T625*Controls!$B$29,T625*5))</f>
        <v>130</v>
      </c>
      <c r="AB625" s="65" t="n">
        <f aca="false">IF(E625="",0,NETWORKDAYS(E625,Controls!$B$36,Ref!$K$2:$K$42))</f>
        <v>135</v>
      </c>
      <c r="AC625" s="65" t="n">
        <f aca="false">IF(AND(AA625&gt;0,AB625&gt;=Controls!$B$39*AA625),1,0)</f>
        <v>0</v>
      </c>
      <c r="AD625" s="65" t="n">
        <f aca="false">IF(AND(E625&lt;&gt;"",E625&gt;=Controls!$B$37,E625&lt;=Controls!$B$38),1,0)</f>
        <v>1</v>
      </c>
      <c r="AE625" s="65" t="n">
        <f aca="false">IF(IFERROR(VLOOKUP(D625,Controls!$A$64:$E$74,2,FALSE()),"No")="Yes",1,0)</f>
        <v>0</v>
      </c>
      <c r="AF625" s="65" t="n">
        <f aca="false">IF(IFERROR(VLOOKUP(D625,Controls!$A$64:$E$74,3,FALSE()),"No")="Yes",1,0)</f>
        <v>0</v>
      </c>
      <c r="AG625" s="65" t="n">
        <f aca="false">IF(IFERROR(VLOOKUP(D625,Controls!$A$64:$E$74,4,FALSE()),"No")="Yes",1,0)</f>
        <v>0</v>
      </c>
      <c r="AH625" s="65" t="n">
        <f aca="false">IF(IFERROR(VLOOKUP(D625,Controls!$A$64:$E$74,5,FALSE()),"No")="Yes",1,0)</f>
        <v>1</v>
      </c>
      <c r="AI625" s="65" t="n">
        <f aca="false">IF(ISNUMBER(MATCH(D625,Controls!$A$64:$A$74,0)),1,0)</f>
        <v>1</v>
      </c>
      <c r="AJ625" s="65" t="n">
        <f aca="false">Q625-N625</f>
        <v>-10664.5</v>
      </c>
      <c r="AK625" s="65" t="n">
        <f aca="false">IF(AE625=1,MAX(0,N625-Q625),0)</f>
        <v>0</v>
      </c>
      <c r="AL625" s="65" t="n">
        <f aca="false">IF(OR(V625="",V625=0),0,N625/V625)</f>
        <v>0.179478023346788</v>
      </c>
      <c r="AM625" s="65" t="n">
        <f aca="false">IF(OR(V625="",V625=0),0,1)</f>
        <v>1</v>
      </c>
      <c r="AN625" s="65" t="n">
        <f aca="false">IF(OR(E625="",F625=""),0,NETWORKDAYS(E625,F625,Ref!$K$2:$K$42))</f>
        <v>98</v>
      </c>
      <c r="AO625" s="65" t="n">
        <f aca="false">IF(L625="Renewal",1,0)</f>
        <v>0</v>
      </c>
      <c r="AP625" s="65" t="n">
        <f aca="false">AC625*AD625</f>
        <v>0</v>
      </c>
      <c r="AQ625" s="65" t="n">
        <f aca="false">IF(AND(G625&lt;&gt;"",'Historical Score'!$C$6&lt;&gt;""),IF(G625='Historical Score'!$C$6,1,0),0)</f>
        <v>0</v>
      </c>
      <c r="AR625" s="65" t="n">
        <f aca="false">IF(AND(L625&lt;&gt;"",'Historical Score'!$C$5&lt;&gt;""),IF(L625='Historical Score'!$C$5,1,0),0)</f>
        <v>1</v>
      </c>
      <c r="AS625" s="65" t="n">
        <f aca="false">IF(AND(Y625&lt;&gt;"",'Historical Score'!$C$7&lt;&gt;""),IF(Y625='Historical Score'!$C$7,1,0),0)</f>
        <v>1</v>
      </c>
      <c r="AT625" s="65" t="n">
        <f aca="false">IF(AND(K625&lt;&gt;"",'Historical Score'!$C$8&lt;&gt;""),IF(K625='Historical Score'!$C$8,1,0),0)</f>
        <v>0</v>
      </c>
      <c r="AU625" s="65" t="n">
        <f aca="false">IF(AND(J625&lt;&gt;"",'Historical Score'!$C$9&lt;&gt;""),IF(J625='Historical Score'!$C$9,1,0),0)</f>
        <v>0</v>
      </c>
      <c r="AV625" s="65" t="n">
        <f aca="false">AR625*AS625*AQ625</f>
        <v>0</v>
      </c>
      <c r="AW625" s="65" t="n">
        <f aca="false">AR625*AT625*AQ625</f>
        <v>0</v>
      </c>
      <c r="AX625" s="65" t="n">
        <f aca="false">AR625*AS625</f>
        <v>1</v>
      </c>
      <c r="AY625" s="65" t="n">
        <f aca="false">AR625*AT625</f>
        <v>0</v>
      </c>
      <c r="AZ625" s="65" t="n">
        <f aca="false">AR625*AQ625</f>
        <v>0</v>
      </c>
      <c r="BA625" s="65" t="n">
        <f aca="false">AR625</f>
        <v>1</v>
      </c>
      <c r="BB625" s="65" t="n">
        <f aca="false">1</f>
        <v>1</v>
      </c>
      <c r="BC625" s="65" t="n">
        <f aca="false">IF(AV625=1,1,IF(AW625=1,2,IF(AX625=1,3,IF(AY625=1,4,IF(AZ625=1,5,IF(BA625=1,6,7))))))</f>
        <v>3</v>
      </c>
      <c r="BD625" s="65" t="n">
        <f aca="false">IF(AD625=1,CHOOSE('Historical Score'!$C$29,AV625,AW625,AX625,AY625,AZ625,BA625,BB625),0)</f>
        <v>0</v>
      </c>
      <c r="BE625" s="65" t="str">
        <f aca="false">IF(BD625=1,COUNTIF($BD$2:BD625,1),"")</f>
        <v/>
      </c>
    </row>
    <row r="626" customFormat="false" ht="15" hidden="false" customHeight="false" outlineLevel="0" collapsed="false">
      <c r="A626" s="65" t="s">
        <v>2157</v>
      </c>
      <c r="B626" s="65" t="s">
        <v>2158</v>
      </c>
      <c r="C626" s="65" t="s">
        <v>2158</v>
      </c>
      <c r="D626" s="65" t="s">
        <v>340</v>
      </c>
      <c r="E626" s="112" t="n">
        <v>46070</v>
      </c>
      <c r="F626" s="112" t="n">
        <v>46122</v>
      </c>
      <c r="G626" s="65" t="n">
        <v>3</v>
      </c>
      <c r="H626" s="65" t="s">
        <v>1168</v>
      </c>
      <c r="I626" s="65" t="s">
        <v>816</v>
      </c>
      <c r="J626" s="65" t="s">
        <v>410</v>
      </c>
      <c r="K626" s="65" t="s">
        <v>1464</v>
      </c>
      <c r="L626" s="65" t="s">
        <v>64</v>
      </c>
      <c r="M626" s="113" t="n">
        <v>1.49</v>
      </c>
      <c r="N626" s="114" t="n">
        <v>20000</v>
      </c>
      <c r="O626" s="114" t="n">
        <v>0</v>
      </c>
      <c r="P626" s="114" t="n">
        <v>29800</v>
      </c>
      <c r="Q626" s="114" t="n">
        <v>5867.69</v>
      </c>
      <c r="R626" s="114" t="n">
        <v>23932.31</v>
      </c>
      <c r="S626" s="115" t="n">
        <v>0.196902348993289</v>
      </c>
      <c r="T626" s="65" t="n">
        <v>20</v>
      </c>
      <c r="U626" s="65" t="n">
        <v>2</v>
      </c>
      <c r="V626" s="65" t="n">
        <v>70496.03</v>
      </c>
      <c r="W626" s="115" t="n">
        <v>0.0845</v>
      </c>
      <c r="X626" s="112" t="n">
        <v>42284</v>
      </c>
      <c r="Y626" s="65" t="str">
        <f aca="false">IF(I626="","No SIC",IFERROR(VLOOKUP(I626,Ref!$A$2:$B$65,2,FALSE()),"Unclassified"))</f>
        <v>Local &amp; Interurban Passenger Transit</v>
      </c>
      <c r="Z626" s="65" t="str">
        <f aca="false">IF(T626="","",IF(T626&lt;12,"Daily","Weekly"))</f>
        <v>Weekly</v>
      </c>
      <c r="AA626" s="65" t="n">
        <f aca="false">IF(T626="",0,IF(T626&lt;12,T626*Controls!$B$29,T626*5))</f>
        <v>100</v>
      </c>
      <c r="AB626" s="65" t="n">
        <f aca="false">IF(E626="",0,NETWORKDAYS(E626,Controls!$B$36,Ref!$K$2:$K$42))</f>
        <v>134</v>
      </c>
      <c r="AC626" s="65" t="n">
        <f aca="false">IF(AND(AA626&gt;0,AB626&gt;=Controls!$B$39*AA626),1,0)</f>
        <v>1</v>
      </c>
      <c r="AD626" s="65" t="n">
        <f aca="false">IF(AND(E626&lt;&gt;"",E626&gt;=Controls!$B$37,E626&lt;=Controls!$B$38),1,0)</f>
        <v>1</v>
      </c>
      <c r="AE626" s="65" t="n">
        <f aca="false">IF(IFERROR(VLOOKUP(D626,Controls!$A$64:$E$74,2,FALSE()),"No")="Yes",1,0)</f>
        <v>1</v>
      </c>
      <c r="AF626" s="65" t="n">
        <f aca="false">IF(IFERROR(VLOOKUP(D626,Controls!$A$64:$E$74,3,FALSE()),"No")="Yes",1,0)</f>
        <v>0</v>
      </c>
      <c r="AG626" s="65" t="n">
        <f aca="false">IF(IFERROR(VLOOKUP(D626,Controls!$A$64:$E$74,4,FALSE()),"No")="Yes",1,0)</f>
        <v>0</v>
      </c>
      <c r="AH626" s="65" t="n">
        <f aca="false">IF(IFERROR(VLOOKUP(D626,Controls!$A$64:$E$74,5,FALSE()),"No")="Yes",1,0)</f>
        <v>0</v>
      </c>
      <c r="AI626" s="65" t="n">
        <f aca="false">IF(ISNUMBER(MATCH(D626,Controls!$A$64:$A$74,0)),1,0)</f>
        <v>1</v>
      </c>
      <c r="AJ626" s="65" t="n">
        <f aca="false">Q626-N626</f>
        <v>-14132.31</v>
      </c>
      <c r="AK626" s="65" t="n">
        <f aca="false">IF(AE626=1,MAX(0,N626-Q626),0)</f>
        <v>14132.31</v>
      </c>
      <c r="AL626" s="65" t="n">
        <f aca="false">IF(OR(V626="",V626=0),0,N626/V626)</f>
        <v>0.283703919213607</v>
      </c>
      <c r="AM626" s="65" t="n">
        <f aca="false">IF(OR(V626="",V626=0),0,1)</f>
        <v>1</v>
      </c>
      <c r="AN626" s="65" t="n">
        <f aca="false">IF(OR(E626="",F626=""),0,NETWORKDAYS(E626,F626,Ref!$K$2:$K$42))</f>
        <v>39</v>
      </c>
      <c r="AO626" s="65" t="n">
        <f aca="false">IF(L626="Renewal",1,0)</f>
        <v>0</v>
      </c>
      <c r="AP626" s="65" t="n">
        <f aca="false">AC626*AD626</f>
        <v>1</v>
      </c>
      <c r="AQ626" s="65" t="n">
        <f aca="false">IF(AND(G626&lt;&gt;"",'Historical Score'!$C$6&lt;&gt;""),IF(G626='Historical Score'!$C$6,1,0),0)</f>
        <v>0</v>
      </c>
      <c r="AR626" s="65" t="n">
        <f aca="false">IF(AND(L626&lt;&gt;"",'Historical Score'!$C$5&lt;&gt;""),IF(L626='Historical Score'!$C$5,1,0),0)</f>
        <v>1</v>
      </c>
      <c r="AS626" s="65" t="n">
        <f aca="false">IF(AND(Y626&lt;&gt;"",'Historical Score'!$C$7&lt;&gt;""),IF(Y626='Historical Score'!$C$7,1,0),0)</f>
        <v>0</v>
      </c>
      <c r="AT626" s="65" t="n">
        <f aca="false">IF(AND(K626&lt;&gt;"",'Historical Score'!$C$8&lt;&gt;""),IF(K626='Historical Score'!$C$8,1,0),0)</f>
        <v>0</v>
      </c>
      <c r="AU626" s="65" t="n">
        <f aca="false">IF(AND(J626&lt;&gt;"",'Historical Score'!$C$9&lt;&gt;""),IF(J626='Historical Score'!$C$9,1,0),0)</f>
        <v>0</v>
      </c>
      <c r="AV626" s="65" t="n">
        <f aca="false">AR626*AS626*AQ626</f>
        <v>0</v>
      </c>
      <c r="AW626" s="65" t="n">
        <f aca="false">AR626*AT626*AQ626</f>
        <v>0</v>
      </c>
      <c r="AX626" s="65" t="n">
        <f aca="false">AR626*AS626</f>
        <v>0</v>
      </c>
      <c r="AY626" s="65" t="n">
        <f aca="false">AR626*AT626</f>
        <v>0</v>
      </c>
      <c r="AZ626" s="65" t="n">
        <f aca="false">AR626*AQ626</f>
        <v>0</v>
      </c>
      <c r="BA626" s="65" t="n">
        <f aca="false">AR626</f>
        <v>1</v>
      </c>
      <c r="BB626" s="65" t="n">
        <f aca="false">1</f>
        <v>1</v>
      </c>
      <c r="BC626" s="65" t="n">
        <f aca="false">IF(AV626=1,1,IF(AW626=1,2,IF(AX626=1,3,IF(AY626=1,4,IF(AZ626=1,5,IF(BA626=1,6,7))))))</f>
        <v>6</v>
      </c>
      <c r="BD626" s="65" t="n">
        <f aca="false">IF(AD626=1,CHOOSE('Historical Score'!$C$29,AV626,AW626,AX626,AY626,AZ626,BA626,BB626),0)</f>
        <v>0</v>
      </c>
      <c r="BE626" s="65" t="str">
        <f aca="false">IF(BD626=1,COUNTIF($BD$2:BD626,1),"")</f>
        <v/>
      </c>
    </row>
    <row r="627" customFormat="false" ht="15" hidden="false" customHeight="false" outlineLevel="0" collapsed="false">
      <c r="A627" s="65" t="s">
        <v>2159</v>
      </c>
      <c r="B627" s="65" t="s">
        <v>2160</v>
      </c>
      <c r="C627" s="65" t="s">
        <v>2160</v>
      </c>
      <c r="D627" s="65" t="s">
        <v>340</v>
      </c>
      <c r="E627" s="112" t="n">
        <v>46070</v>
      </c>
      <c r="F627" s="112" t="n">
        <v>46182</v>
      </c>
      <c r="G627" s="65" t="n">
        <v>3</v>
      </c>
      <c r="H627" s="65" t="s">
        <v>678</v>
      </c>
      <c r="I627" s="65" t="s">
        <v>679</v>
      </c>
      <c r="J627" s="65" t="s">
        <v>638</v>
      </c>
      <c r="K627" s="65" t="s">
        <v>496</v>
      </c>
      <c r="L627" s="65" t="s">
        <v>64</v>
      </c>
      <c r="M627" s="113" t="n">
        <v>1.49</v>
      </c>
      <c r="N627" s="114" t="n">
        <v>35000</v>
      </c>
      <c r="O627" s="114" t="n">
        <v>0</v>
      </c>
      <c r="P627" s="114" t="n">
        <v>52150</v>
      </c>
      <c r="Q627" s="114" t="n">
        <v>4345.86</v>
      </c>
      <c r="R627" s="114" t="n">
        <v>47804.14</v>
      </c>
      <c r="S627" s="115" t="n">
        <v>0.0833338446788111</v>
      </c>
      <c r="T627" s="65" t="n">
        <v>24</v>
      </c>
      <c r="U627" s="65" t="n">
        <v>19</v>
      </c>
      <c r="V627" s="65" t="n">
        <v>55010.84</v>
      </c>
      <c r="W627" s="115" t="n">
        <v>0.158</v>
      </c>
      <c r="X627" s="112" t="n">
        <v>45383</v>
      </c>
      <c r="Y627" s="65" t="str">
        <f aca="false">IF(I627="","No SIC",IFERROR(VLOOKUP(I627,Ref!$A$2:$B$65,2,FALSE()),"Unclassified"))</f>
        <v>Amusement &amp; Recreation Services</v>
      </c>
      <c r="Z627" s="65" t="str">
        <f aca="false">IF(T627="","",IF(T627&lt;12,"Daily","Weekly"))</f>
        <v>Weekly</v>
      </c>
      <c r="AA627" s="65" t="n">
        <f aca="false">IF(T627="",0,IF(T627&lt;12,T627*Controls!$B$29,T627*5))</f>
        <v>120</v>
      </c>
      <c r="AB627" s="65" t="n">
        <f aca="false">IF(E627="",0,NETWORKDAYS(E627,Controls!$B$36,Ref!$K$2:$K$42))</f>
        <v>134</v>
      </c>
      <c r="AC627" s="65" t="n">
        <f aca="false">IF(AND(AA627&gt;0,AB627&gt;=Controls!$B$39*AA627),1,0)</f>
        <v>0</v>
      </c>
      <c r="AD627" s="65" t="n">
        <f aca="false">IF(AND(E627&lt;&gt;"",E627&gt;=Controls!$B$37,E627&lt;=Controls!$B$38),1,0)</f>
        <v>1</v>
      </c>
      <c r="AE627" s="65" t="n">
        <f aca="false">IF(IFERROR(VLOOKUP(D627,Controls!$A$64:$E$74,2,FALSE()),"No")="Yes",1,0)</f>
        <v>1</v>
      </c>
      <c r="AF627" s="65" t="n">
        <f aca="false">IF(IFERROR(VLOOKUP(D627,Controls!$A$64:$E$74,3,FALSE()),"No")="Yes",1,0)</f>
        <v>0</v>
      </c>
      <c r="AG627" s="65" t="n">
        <f aca="false">IF(IFERROR(VLOOKUP(D627,Controls!$A$64:$E$74,4,FALSE()),"No")="Yes",1,0)</f>
        <v>0</v>
      </c>
      <c r="AH627" s="65" t="n">
        <f aca="false">IF(IFERROR(VLOOKUP(D627,Controls!$A$64:$E$74,5,FALSE()),"No")="Yes",1,0)</f>
        <v>0</v>
      </c>
      <c r="AI627" s="65" t="n">
        <f aca="false">IF(ISNUMBER(MATCH(D627,Controls!$A$64:$A$74,0)),1,0)</f>
        <v>1</v>
      </c>
      <c r="AJ627" s="65" t="n">
        <f aca="false">Q627-N627</f>
        <v>-30654.14</v>
      </c>
      <c r="AK627" s="65" t="n">
        <f aca="false">IF(AE627=1,MAX(0,N627-Q627),0)</f>
        <v>30654.14</v>
      </c>
      <c r="AL627" s="65" t="n">
        <f aca="false">IF(OR(V627="",V627=0),0,N627/V627)</f>
        <v>0.636238239590597</v>
      </c>
      <c r="AM627" s="65" t="n">
        <f aca="false">IF(OR(V627="",V627=0),0,1)</f>
        <v>1</v>
      </c>
      <c r="AN627" s="65" t="n">
        <f aca="false">IF(OR(E627="",F627=""),0,NETWORKDAYS(E627,F627,Ref!$K$2:$K$42))</f>
        <v>80</v>
      </c>
      <c r="AO627" s="65" t="n">
        <f aca="false">IF(L627="Renewal",1,0)</f>
        <v>0</v>
      </c>
      <c r="AP627" s="65" t="n">
        <f aca="false">AC627*AD627</f>
        <v>0</v>
      </c>
      <c r="AQ627" s="65" t="n">
        <f aca="false">IF(AND(G627&lt;&gt;"",'Historical Score'!$C$6&lt;&gt;""),IF(G627='Historical Score'!$C$6,1,0),0)</f>
        <v>0</v>
      </c>
      <c r="AR627" s="65" t="n">
        <f aca="false">IF(AND(L627&lt;&gt;"",'Historical Score'!$C$5&lt;&gt;""),IF(L627='Historical Score'!$C$5,1,0),0)</f>
        <v>1</v>
      </c>
      <c r="AS627" s="65" t="n">
        <f aca="false">IF(AND(Y627&lt;&gt;"",'Historical Score'!$C$7&lt;&gt;""),IF(Y627='Historical Score'!$C$7,1,0),0)</f>
        <v>0</v>
      </c>
      <c r="AT627" s="65" t="n">
        <f aca="false">IF(AND(K627&lt;&gt;"",'Historical Score'!$C$8&lt;&gt;""),IF(K627='Historical Score'!$C$8,1,0),0)</f>
        <v>0</v>
      </c>
      <c r="AU627" s="65" t="n">
        <f aca="false">IF(AND(J627&lt;&gt;"",'Historical Score'!$C$9&lt;&gt;""),IF(J627='Historical Score'!$C$9,1,0),0)</f>
        <v>0</v>
      </c>
      <c r="AV627" s="65" t="n">
        <f aca="false">AR627*AS627*AQ627</f>
        <v>0</v>
      </c>
      <c r="AW627" s="65" t="n">
        <f aca="false">AR627*AT627*AQ627</f>
        <v>0</v>
      </c>
      <c r="AX627" s="65" t="n">
        <f aca="false">AR627*AS627</f>
        <v>0</v>
      </c>
      <c r="AY627" s="65" t="n">
        <f aca="false">AR627*AT627</f>
        <v>0</v>
      </c>
      <c r="AZ627" s="65" t="n">
        <f aca="false">AR627*AQ627</f>
        <v>0</v>
      </c>
      <c r="BA627" s="65" t="n">
        <f aca="false">AR627</f>
        <v>1</v>
      </c>
      <c r="BB627" s="65" t="n">
        <f aca="false">1</f>
        <v>1</v>
      </c>
      <c r="BC627" s="65" t="n">
        <f aca="false">IF(AV627=1,1,IF(AW627=1,2,IF(AX627=1,3,IF(AY627=1,4,IF(AZ627=1,5,IF(BA627=1,6,7))))))</f>
        <v>6</v>
      </c>
      <c r="BD627" s="65" t="n">
        <f aca="false">IF(AD627=1,CHOOSE('Historical Score'!$C$29,AV627,AW627,AX627,AY627,AZ627,BA627,BB627),0)</f>
        <v>0</v>
      </c>
      <c r="BE627" s="65" t="str">
        <f aca="false">IF(BD627=1,COUNTIF($BD$2:BD627,1),"")</f>
        <v/>
      </c>
    </row>
    <row r="628" customFormat="false" ht="15" hidden="false" customHeight="false" outlineLevel="0" collapsed="false">
      <c r="A628" s="65" t="s">
        <v>2161</v>
      </c>
      <c r="B628" s="65" t="s">
        <v>2162</v>
      </c>
      <c r="C628" s="65" t="s">
        <v>2163</v>
      </c>
      <c r="D628" s="65" t="s">
        <v>340</v>
      </c>
      <c r="E628" s="112" t="n">
        <v>46070</v>
      </c>
      <c r="F628" s="112" t="n">
        <v>46090</v>
      </c>
      <c r="G628" s="65" t="n">
        <v>3</v>
      </c>
      <c r="H628" s="65" t="s">
        <v>409</v>
      </c>
      <c r="I628" s="65" t="s">
        <v>342</v>
      </c>
      <c r="J628" s="65" t="s">
        <v>373</v>
      </c>
      <c r="K628" s="65" t="s">
        <v>718</v>
      </c>
      <c r="L628" s="65" t="s">
        <v>64</v>
      </c>
      <c r="M628" s="113" t="n">
        <v>1.45</v>
      </c>
      <c r="N628" s="114" t="n">
        <v>20000</v>
      </c>
      <c r="O628" s="114" t="n">
        <v>0</v>
      </c>
      <c r="P628" s="114" t="n">
        <v>29000</v>
      </c>
      <c r="Q628" s="114" t="n">
        <v>3188.9</v>
      </c>
      <c r="R628" s="114" t="n">
        <v>25811.1</v>
      </c>
      <c r="S628" s="115" t="n">
        <v>0.109962068965517</v>
      </c>
      <c r="T628" s="65" t="n">
        <v>3.279</v>
      </c>
      <c r="U628" s="65" t="n">
        <v>4</v>
      </c>
      <c r="V628" s="65" t="n">
        <v>73972.82</v>
      </c>
      <c r="W628" s="115" t="n">
        <v>0.0823</v>
      </c>
      <c r="X628" s="112" t="n">
        <v>45546</v>
      </c>
      <c r="Y628" s="65" t="str">
        <f aca="false">IF(I628="","No SIC",IFERROR(VLOOKUP(I628,Ref!$A$2:$B$65,2,FALSE()),"Unclassified"))</f>
        <v>Eating &amp; Drinking Places</v>
      </c>
      <c r="Z628" s="65" t="str">
        <f aca="false">IF(T628="","",IF(T628&lt;12,"Daily","Weekly"))</f>
        <v>Daily</v>
      </c>
      <c r="AA628" s="65" t="n">
        <f aca="false">IF(T628="",0,IF(T628&lt;12,T628*Controls!$B$29,T628*5))</f>
        <v>71.006745</v>
      </c>
      <c r="AB628" s="65" t="n">
        <f aca="false">IF(E628="",0,NETWORKDAYS(E628,Controls!$B$36,Ref!$K$2:$K$42))</f>
        <v>134</v>
      </c>
      <c r="AC628" s="65" t="n">
        <f aca="false">IF(AND(AA628&gt;0,AB628&gt;=Controls!$B$39*AA628),1,0)</f>
        <v>1</v>
      </c>
      <c r="AD628" s="65" t="n">
        <f aca="false">IF(AND(E628&lt;&gt;"",E628&gt;=Controls!$B$37,E628&lt;=Controls!$B$38),1,0)</f>
        <v>1</v>
      </c>
      <c r="AE628" s="65" t="n">
        <f aca="false">IF(IFERROR(VLOOKUP(D628,Controls!$A$64:$E$74,2,FALSE()),"No")="Yes",1,0)</f>
        <v>1</v>
      </c>
      <c r="AF628" s="65" t="n">
        <f aca="false">IF(IFERROR(VLOOKUP(D628,Controls!$A$64:$E$74,3,FALSE()),"No")="Yes",1,0)</f>
        <v>0</v>
      </c>
      <c r="AG628" s="65" t="n">
        <f aca="false">IF(IFERROR(VLOOKUP(D628,Controls!$A$64:$E$74,4,FALSE()),"No")="Yes",1,0)</f>
        <v>0</v>
      </c>
      <c r="AH628" s="65" t="n">
        <f aca="false">IF(IFERROR(VLOOKUP(D628,Controls!$A$64:$E$74,5,FALSE()),"No")="Yes",1,0)</f>
        <v>0</v>
      </c>
      <c r="AI628" s="65" t="n">
        <f aca="false">IF(ISNUMBER(MATCH(D628,Controls!$A$64:$A$74,0)),1,0)</f>
        <v>1</v>
      </c>
      <c r="AJ628" s="65" t="n">
        <f aca="false">Q628-N628</f>
        <v>-16811.1</v>
      </c>
      <c r="AK628" s="65" t="n">
        <f aca="false">IF(AE628=1,MAX(0,N628-Q628),0)</f>
        <v>16811.1</v>
      </c>
      <c r="AL628" s="65" t="n">
        <f aca="false">IF(OR(V628="",V628=0),0,N628/V628)</f>
        <v>0.270369576284911</v>
      </c>
      <c r="AM628" s="65" t="n">
        <f aca="false">IF(OR(V628="",V628=0),0,1)</f>
        <v>1</v>
      </c>
      <c r="AN628" s="65" t="n">
        <f aca="false">IF(OR(E628="",F628=""),0,NETWORKDAYS(E628,F628,Ref!$K$2:$K$42))</f>
        <v>15</v>
      </c>
      <c r="AO628" s="65" t="n">
        <f aca="false">IF(L628="Renewal",1,0)</f>
        <v>0</v>
      </c>
      <c r="AP628" s="65" t="n">
        <f aca="false">AC628*AD628</f>
        <v>1</v>
      </c>
      <c r="AQ628" s="65" t="n">
        <f aca="false">IF(AND(G628&lt;&gt;"",'Historical Score'!$C$6&lt;&gt;""),IF(G628='Historical Score'!$C$6,1,0),0)</f>
        <v>0</v>
      </c>
      <c r="AR628" s="65" t="n">
        <f aca="false">IF(AND(L628&lt;&gt;"",'Historical Score'!$C$5&lt;&gt;""),IF(L628='Historical Score'!$C$5,1,0),0)</f>
        <v>1</v>
      </c>
      <c r="AS628" s="65" t="n">
        <f aca="false">IF(AND(Y628&lt;&gt;"",'Historical Score'!$C$7&lt;&gt;""),IF(Y628='Historical Score'!$C$7,1,0),0)</f>
        <v>0</v>
      </c>
      <c r="AT628" s="65" t="n">
        <f aca="false">IF(AND(K628&lt;&gt;"",'Historical Score'!$C$8&lt;&gt;""),IF(K628='Historical Score'!$C$8,1,0),0)</f>
        <v>0</v>
      </c>
      <c r="AU628" s="65" t="n">
        <f aca="false">IF(AND(J628&lt;&gt;"",'Historical Score'!$C$9&lt;&gt;""),IF(J628='Historical Score'!$C$9,1,0),0)</f>
        <v>0</v>
      </c>
      <c r="AV628" s="65" t="n">
        <f aca="false">AR628*AS628*AQ628</f>
        <v>0</v>
      </c>
      <c r="AW628" s="65" t="n">
        <f aca="false">AR628*AT628*AQ628</f>
        <v>0</v>
      </c>
      <c r="AX628" s="65" t="n">
        <f aca="false">AR628*AS628</f>
        <v>0</v>
      </c>
      <c r="AY628" s="65" t="n">
        <f aca="false">AR628*AT628</f>
        <v>0</v>
      </c>
      <c r="AZ628" s="65" t="n">
        <f aca="false">AR628*AQ628</f>
        <v>0</v>
      </c>
      <c r="BA628" s="65" t="n">
        <f aca="false">AR628</f>
        <v>1</v>
      </c>
      <c r="BB628" s="65" t="n">
        <f aca="false">1</f>
        <v>1</v>
      </c>
      <c r="BC628" s="65" t="n">
        <f aca="false">IF(AV628=1,1,IF(AW628=1,2,IF(AX628=1,3,IF(AY628=1,4,IF(AZ628=1,5,IF(BA628=1,6,7))))))</f>
        <v>6</v>
      </c>
      <c r="BD628" s="65" t="n">
        <f aca="false">IF(AD628=1,CHOOSE('Historical Score'!$C$29,AV628,AW628,AX628,AY628,AZ628,BA628,BB628),0)</f>
        <v>0</v>
      </c>
      <c r="BE628" s="65" t="str">
        <f aca="false">IF(BD628=1,COUNTIF($BD$2:BD628,1),"")</f>
        <v/>
      </c>
    </row>
    <row r="629" customFormat="false" ht="15" hidden="false" customHeight="false" outlineLevel="0" collapsed="false">
      <c r="A629" s="65" t="s">
        <v>2164</v>
      </c>
      <c r="B629" s="65" t="s">
        <v>2165</v>
      </c>
      <c r="C629" s="65" t="s">
        <v>2165</v>
      </c>
      <c r="D629" s="65" t="s">
        <v>295</v>
      </c>
      <c r="E629" s="112" t="n">
        <v>46070</v>
      </c>
      <c r="F629" s="112" t="n">
        <v>46248</v>
      </c>
      <c r="G629" s="65" t="n">
        <v>3</v>
      </c>
      <c r="H629" s="65" t="s">
        <v>442</v>
      </c>
      <c r="I629" s="65" t="s">
        <v>443</v>
      </c>
      <c r="J629" s="65" t="s">
        <v>854</v>
      </c>
      <c r="K629" s="65" t="s">
        <v>983</v>
      </c>
      <c r="L629" s="65" t="s">
        <v>64</v>
      </c>
      <c r="M629" s="113" t="n">
        <v>1.49</v>
      </c>
      <c r="N629" s="114" t="n">
        <v>20000</v>
      </c>
      <c r="O629" s="114" t="n">
        <v>2800</v>
      </c>
      <c r="P629" s="114" t="n">
        <v>29800</v>
      </c>
      <c r="Q629" s="114" t="n">
        <v>18924.38</v>
      </c>
      <c r="R629" s="114" t="n">
        <v>10875.62</v>
      </c>
      <c r="S629" s="115" t="n">
        <v>0.635046308724832</v>
      </c>
      <c r="T629" s="65" t="n">
        <v>20</v>
      </c>
      <c r="U629" s="65" t="n">
        <v>21</v>
      </c>
      <c r="V629" s="65" t="n">
        <v>444351.02</v>
      </c>
      <c r="W629" s="115" t="n">
        <v>0.0134</v>
      </c>
      <c r="X629" s="112" t="n">
        <v>43195</v>
      </c>
      <c r="Y629" s="65" t="str">
        <f aca="false">IF(I629="","No SIC",IFERROR(VLOOKUP(I629,Ref!$A$2:$B$65,2,FALSE()),"Unclassified"))</f>
        <v>General Building Contractors</v>
      </c>
      <c r="Z629" s="65" t="str">
        <f aca="false">IF(T629="","",IF(T629&lt;12,"Daily","Weekly"))</f>
        <v>Weekly</v>
      </c>
      <c r="AA629" s="65" t="n">
        <f aca="false">IF(T629="",0,IF(T629&lt;12,T629*Controls!$B$29,T629*5))</f>
        <v>100</v>
      </c>
      <c r="AB629" s="65" t="n">
        <f aca="false">IF(E629="",0,NETWORKDAYS(E629,Controls!$B$36,Ref!$K$2:$K$42))</f>
        <v>134</v>
      </c>
      <c r="AC629" s="65" t="n">
        <f aca="false">IF(AND(AA629&gt;0,AB629&gt;=Controls!$B$39*AA629),1,0)</f>
        <v>1</v>
      </c>
      <c r="AD629" s="65" t="n">
        <f aca="false">IF(AND(E629&lt;&gt;"",E629&gt;=Controls!$B$37,E629&lt;=Controls!$B$38),1,0)</f>
        <v>1</v>
      </c>
      <c r="AE629" s="65" t="n">
        <f aca="false">IF(IFERROR(VLOOKUP(D629,Controls!$A$64:$E$74,2,FALSE()),"No")="Yes",1,0)</f>
        <v>0</v>
      </c>
      <c r="AF629" s="65" t="n">
        <f aca="false">IF(IFERROR(VLOOKUP(D629,Controls!$A$64:$E$74,3,FALSE()),"No")="Yes",1,0)</f>
        <v>0</v>
      </c>
      <c r="AG629" s="65" t="n">
        <f aca="false">IF(IFERROR(VLOOKUP(D629,Controls!$A$64:$E$74,4,FALSE()),"No")="Yes",1,0)</f>
        <v>0</v>
      </c>
      <c r="AH629" s="65" t="n">
        <f aca="false">IF(IFERROR(VLOOKUP(D629,Controls!$A$64:$E$74,5,FALSE()),"No")="Yes",1,0)</f>
        <v>1</v>
      </c>
      <c r="AI629" s="65" t="n">
        <f aca="false">IF(ISNUMBER(MATCH(D629,Controls!$A$64:$A$74,0)),1,0)</f>
        <v>1</v>
      </c>
      <c r="AJ629" s="65" t="n">
        <f aca="false">Q629-N629</f>
        <v>-1075.62</v>
      </c>
      <c r="AK629" s="65" t="n">
        <f aca="false">IF(AE629=1,MAX(0,N629-Q629),0)</f>
        <v>0</v>
      </c>
      <c r="AL629" s="65" t="n">
        <f aca="false">IF(OR(V629="",V629=0),0,N629/V629)</f>
        <v>0.0450094612137944</v>
      </c>
      <c r="AM629" s="65" t="n">
        <f aca="false">IF(OR(V629="",V629=0),0,1)</f>
        <v>1</v>
      </c>
      <c r="AN629" s="65" t="n">
        <f aca="false">IF(OR(E629="",F629=""),0,NETWORKDAYS(E629,F629,Ref!$K$2:$K$42))</f>
        <v>127</v>
      </c>
      <c r="AO629" s="65" t="n">
        <f aca="false">IF(L629="Renewal",1,0)</f>
        <v>0</v>
      </c>
      <c r="AP629" s="65" t="n">
        <f aca="false">AC629*AD629</f>
        <v>1</v>
      </c>
      <c r="AQ629" s="65" t="n">
        <f aca="false">IF(AND(G629&lt;&gt;"",'Historical Score'!$C$6&lt;&gt;""),IF(G629='Historical Score'!$C$6,1,0),0)</f>
        <v>0</v>
      </c>
      <c r="AR629" s="65" t="n">
        <f aca="false">IF(AND(L629&lt;&gt;"",'Historical Score'!$C$5&lt;&gt;""),IF(L629='Historical Score'!$C$5,1,0),0)</f>
        <v>1</v>
      </c>
      <c r="AS629" s="65" t="n">
        <f aca="false">IF(AND(Y629&lt;&gt;"",'Historical Score'!$C$7&lt;&gt;""),IF(Y629='Historical Score'!$C$7,1,0),0)</f>
        <v>1</v>
      </c>
      <c r="AT629" s="65" t="n">
        <f aca="false">IF(AND(K629&lt;&gt;"",'Historical Score'!$C$8&lt;&gt;""),IF(K629='Historical Score'!$C$8,1,0),0)</f>
        <v>0</v>
      </c>
      <c r="AU629" s="65" t="n">
        <f aca="false">IF(AND(J629&lt;&gt;"",'Historical Score'!$C$9&lt;&gt;""),IF(J629='Historical Score'!$C$9,1,0),0)</f>
        <v>0</v>
      </c>
      <c r="AV629" s="65" t="n">
        <f aca="false">AR629*AS629*AQ629</f>
        <v>0</v>
      </c>
      <c r="AW629" s="65" t="n">
        <f aca="false">AR629*AT629*AQ629</f>
        <v>0</v>
      </c>
      <c r="AX629" s="65" t="n">
        <f aca="false">AR629*AS629</f>
        <v>1</v>
      </c>
      <c r="AY629" s="65" t="n">
        <f aca="false">AR629*AT629</f>
        <v>0</v>
      </c>
      <c r="AZ629" s="65" t="n">
        <f aca="false">AR629*AQ629</f>
        <v>0</v>
      </c>
      <c r="BA629" s="65" t="n">
        <f aca="false">AR629</f>
        <v>1</v>
      </c>
      <c r="BB629" s="65" t="n">
        <f aca="false">1</f>
        <v>1</v>
      </c>
      <c r="BC629" s="65" t="n">
        <f aca="false">IF(AV629=1,1,IF(AW629=1,2,IF(AX629=1,3,IF(AY629=1,4,IF(AZ629=1,5,IF(BA629=1,6,7))))))</f>
        <v>3</v>
      </c>
      <c r="BD629" s="65" t="n">
        <f aca="false">IF(AD629=1,CHOOSE('Historical Score'!$C$29,AV629,AW629,AX629,AY629,AZ629,BA629,BB629),0)</f>
        <v>0</v>
      </c>
      <c r="BE629" s="65" t="str">
        <f aca="false">IF(BD629=1,COUNTIF($BD$2:BD629,1),"")</f>
        <v/>
      </c>
    </row>
    <row r="630" customFormat="false" ht="15" hidden="false" customHeight="false" outlineLevel="0" collapsed="false">
      <c r="A630" s="65" t="s">
        <v>2166</v>
      </c>
      <c r="B630" s="65" t="s">
        <v>2167</v>
      </c>
      <c r="C630" s="65" t="s">
        <v>2168</v>
      </c>
      <c r="D630" s="65" t="s">
        <v>371</v>
      </c>
      <c r="E630" s="112" t="n">
        <v>46070</v>
      </c>
      <c r="F630" s="112" t="n">
        <v>46155</v>
      </c>
      <c r="G630" s="65" t="n">
        <v>3</v>
      </c>
      <c r="H630" s="65" t="s">
        <v>409</v>
      </c>
      <c r="I630" s="65" t="s">
        <v>342</v>
      </c>
      <c r="J630" s="65" t="s">
        <v>386</v>
      </c>
      <c r="K630" s="65" t="s">
        <v>55</v>
      </c>
      <c r="L630" s="65" t="s">
        <v>320</v>
      </c>
      <c r="M630" s="113" t="n">
        <v>1.49</v>
      </c>
      <c r="N630" s="114" t="n">
        <v>33000</v>
      </c>
      <c r="O630" s="114" t="n">
        <v>4620</v>
      </c>
      <c r="P630" s="114" t="n">
        <v>49170</v>
      </c>
      <c r="Q630" s="114" t="n">
        <v>49170</v>
      </c>
      <c r="R630" s="114" t="n">
        <v>0</v>
      </c>
      <c r="S630" s="115" t="n">
        <v>1</v>
      </c>
      <c r="T630" s="65" t="n">
        <v>3.607</v>
      </c>
      <c r="U630" s="65" t="n">
        <v>0</v>
      </c>
      <c r="V630" s="65" t="n">
        <v>55406.13</v>
      </c>
      <c r="W630" s="115" t="n">
        <v>0.1694</v>
      </c>
      <c r="X630" s="112"/>
      <c r="Y630" s="65" t="str">
        <f aca="false">IF(I630="","No SIC",IFERROR(VLOOKUP(I630,Ref!$A$2:$B$65,2,FALSE()),"Unclassified"))</f>
        <v>Eating &amp; Drinking Places</v>
      </c>
      <c r="Z630" s="65" t="str">
        <f aca="false">IF(T630="","",IF(T630&lt;12,"Daily","Weekly"))</f>
        <v>Daily</v>
      </c>
      <c r="AA630" s="65" t="n">
        <f aca="false">IF(T630="",0,IF(T630&lt;12,T630*Controls!$B$29,T630*5))</f>
        <v>78.109585</v>
      </c>
      <c r="AB630" s="65" t="n">
        <f aca="false">IF(E630="",0,NETWORKDAYS(E630,Controls!$B$36,Ref!$K$2:$K$42))</f>
        <v>134</v>
      </c>
      <c r="AC630" s="65" t="n">
        <f aca="false">IF(AND(AA630&gt;0,AB630&gt;=Controls!$B$39*AA630),1,0)</f>
        <v>1</v>
      </c>
      <c r="AD630" s="65" t="n">
        <f aca="false">IF(AND(E630&lt;&gt;"",E630&gt;=Controls!$B$37,E630&lt;=Controls!$B$38),1,0)</f>
        <v>1</v>
      </c>
      <c r="AE630" s="65" t="n">
        <f aca="false">IF(IFERROR(VLOOKUP(D630,Controls!$A$64:$E$74,2,FALSE()),"No")="Yes",1,0)</f>
        <v>0</v>
      </c>
      <c r="AF630" s="65" t="n">
        <f aca="false">IF(IFERROR(VLOOKUP(D630,Controls!$A$64:$E$74,3,FALSE()),"No")="Yes",1,0)</f>
        <v>1</v>
      </c>
      <c r="AG630" s="65" t="n">
        <f aca="false">IF(IFERROR(VLOOKUP(D630,Controls!$A$64:$E$74,4,FALSE()),"No")="Yes",1,0)</f>
        <v>1</v>
      </c>
      <c r="AH630" s="65" t="n">
        <f aca="false">IF(IFERROR(VLOOKUP(D630,Controls!$A$64:$E$74,5,FALSE()),"No")="Yes",1,0)</f>
        <v>0</v>
      </c>
      <c r="AI630" s="65" t="n">
        <f aca="false">IF(ISNUMBER(MATCH(D630,Controls!$A$64:$A$74,0)),1,0)</f>
        <v>1</v>
      </c>
      <c r="AJ630" s="65" t="n">
        <f aca="false">Q630-N630</f>
        <v>16170</v>
      </c>
      <c r="AK630" s="65" t="n">
        <f aca="false">IF(AE630=1,MAX(0,N630-Q630),0)</f>
        <v>0</v>
      </c>
      <c r="AL630" s="65" t="n">
        <f aca="false">IF(OR(V630="",V630=0),0,N630/V630)</f>
        <v>0.595601966785986</v>
      </c>
      <c r="AM630" s="65" t="n">
        <f aca="false">IF(OR(V630="",V630=0),0,1)</f>
        <v>1</v>
      </c>
      <c r="AN630" s="65" t="n">
        <f aca="false">IF(OR(E630="",F630=""),0,NETWORKDAYS(E630,F630,Ref!$K$2:$K$42))</f>
        <v>62</v>
      </c>
      <c r="AO630" s="65" t="n">
        <f aca="false">IF(L630="Renewal",1,0)</f>
        <v>1</v>
      </c>
      <c r="AP630" s="65" t="n">
        <f aca="false">AC630*AD630</f>
        <v>1</v>
      </c>
      <c r="AQ630" s="65" t="n">
        <f aca="false">IF(AND(G630&lt;&gt;"",'Historical Score'!$C$6&lt;&gt;""),IF(G630='Historical Score'!$C$6,1,0),0)</f>
        <v>0</v>
      </c>
      <c r="AR630" s="65" t="n">
        <f aca="false">IF(AND(L630&lt;&gt;"",'Historical Score'!$C$5&lt;&gt;""),IF(L630='Historical Score'!$C$5,1,0),0)</f>
        <v>0</v>
      </c>
      <c r="AS630" s="65" t="n">
        <f aca="false">IF(AND(Y630&lt;&gt;"",'Historical Score'!$C$7&lt;&gt;""),IF(Y630='Historical Score'!$C$7,1,0),0)</f>
        <v>0</v>
      </c>
      <c r="AT630" s="65" t="n">
        <f aca="false">IF(AND(K630&lt;&gt;"",'Historical Score'!$C$8&lt;&gt;""),IF(K630='Historical Score'!$C$8,1,0),0)</f>
        <v>1</v>
      </c>
      <c r="AU630" s="65" t="n">
        <f aca="false">IF(AND(J630&lt;&gt;"",'Historical Score'!$C$9&lt;&gt;""),IF(J630='Historical Score'!$C$9,1,0),0)</f>
        <v>0</v>
      </c>
      <c r="AV630" s="65" t="n">
        <f aca="false">AR630*AS630*AQ630</f>
        <v>0</v>
      </c>
      <c r="AW630" s="65" t="n">
        <f aca="false">AR630*AT630*AQ630</f>
        <v>0</v>
      </c>
      <c r="AX630" s="65" t="n">
        <f aca="false">AR630*AS630</f>
        <v>0</v>
      </c>
      <c r="AY630" s="65" t="n">
        <f aca="false">AR630*AT630</f>
        <v>0</v>
      </c>
      <c r="AZ630" s="65" t="n">
        <f aca="false">AR630*AQ630</f>
        <v>0</v>
      </c>
      <c r="BA630" s="65" t="n">
        <f aca="false">AR630</f>
        <v>0</v>
      </c>
      <c r="BB630" s="65" t="n">
        <f aca="false">1</f>
        <v>1</v>
      </c>
      <c r="BC630" s="65" t="n">
        <f aca="false">IF(AV630=1,1,IF(AW630=1,2,IF(AX630=1,3,IF(AY630=1,4,IF(AZ630=1,5,IF(BA630=1,6,7))))))</f>
        <v>7</v>
      </c>
      <c r="BD630" s="65" t="n">
        <f aca="false">IF(AD630=1,CHOOSE('Historical Score'!$C$29,AV630,AW630,AX630,AY630,AZ630,BA630,BB630),0)</f>
        <v>0</v>
      </c>
      <c r="BE630" s="65" t="str">
        <f aca="false">IF(BD630=1,COUNTIF($BD$2:BD630,1),"")</f>
        <v/>
      </c>
    </row>
    <row r="631" customFormat="false" ht="15" hidden="false" customHeight="false" outlineLevel="0" collapsed="false">
      <c r="A631" s="65" t="s">
        <v>2169</v>
      </c>
      <c r="B631" s="65" t="s">
        <v>2170</v>
      </c>
      <c r="C631" s="65" t="s">
        <v>2170</v>
      </c>
      <c r="D631" s="65" t="s">
        <v>340</v>
      </c>
      <c r="E631" s="112" t="n">
        <v>46070</v>
      </c>
      <c r="F631" s="112" t="n">
        <v>46118</v>
      </c>
      <c r="G631" s="65" t="n">
        <v>3</v>
      </c>
      <c r="H631" s="65" t="s">
        <v>409</v>
      </c>
      <c r="I631" s="65" t="s">
        <v>342</v>
      </c>
      <c r="J631" s="65" t="s">
        <v>452</v>
      </c>
      <c r="K631" s="65" t="s">
        <v>363</v>
      </c>
      <c r="L631" s="65" t="s">
        <v>64</v>
      </c>
      <c r="M631" s="113" t="n">
        <v>1.49</v>
      </c>
      <c r="N631" s="114" t="n">
        <v>10000</v>
      </c>
      <c r="O631" s="114" t="n">
        <v>0</v>
      </c>
      <c r="P631" s="114" t="n">
        <v>14900</v>
      </c>
      <c r="Q631" s="114" t="n">
        <v>2084.04</v>
      </c>
      <c r="R631" s="114" t="n">
        <v>12815.96</v>
      </c>
      <c r="S631" s="115" t="n">
        <v>0.139868456375839</v>
      </c>
      <c r="T631" s="65" t="n">
        <v>3.279</v>
      </c>
      <c r="U631" s="65" t="n">
        <v>19</v>
      </c>
      <c r="V631" s="65" t="n">
        <v>97305.76</v>
      </c>
      <c r="W631" s="115" t="n">
        <v>0.037</v>
      </c>
      <c r="X631" s="112" t="n">
        <v>42942</v>
      </c>
      <c r="Y631" s="65" t="str">
        <f aca="false">IF(I631="","No SIC",IFERROR(VLOOKUP(I631,Ref!$A$2:$B$65,2,FALSE()),"Unclassified"))</f>
        <v>Eating &amp; Drinking Places</v>
      </c>
      <c r="Z631" s="65" t="str">
        <f aca="false">IF(T631="","",IF(T631&lt;12,"Daily","Weekly"))</f>
        <v>Daily</v>
      </c>
      <c r="AA631" s="65" t="n">
        <f aca="false">IF(T631="",0,IF(T631&lt;12,T631*Controls!$B$29,T631*5))</f>
        <v>71.006745</v>
      </c>
      <c r="AB631" s="65" t="n">
        <f aca="false">IF(E631="",0,NETWORKDAYS(E631,Controls!$B$36,Ref!$K$2:$K$42))</f>
        <v>134</v>
      </c>
      <c r="AC631" s="65" t="n">
        <f aca="false">IF(AND(AA631&gt;0,AB631&gt;=Controls!$B$39*AA631),1,0)</f>
        <v>1</v>
      </c>
      <c r="AD631" s="65" t="n">
        <f aca="false">IF(AND(E631&lt;&gt;"",E631&gt;=Controls!$B$37,E631&lt;=Controls!$B$38),1,0)</f>
        <v>1</v>
      </c>
      <c r="AE631" s="65" t="n">
        <f aca="false">IF(IFERROR(VLOOKUP(D631,Controls!$A$64:$E$74,2,FALSE()),"No")="Yes",1,0)</f>
        <v>1</v>
      </c>
      <c r="AF631" s="65" t="n">
        <f aca="false">IF(IFERROR(VLOOKUP(D631,Controls!$A$64:$E$74,3,FALSE()),"No")="Yes",1,0)</f>
        <v>0</v>
      </c>
      <c r="AG631" s="65" t="n">
        <f aca="false">IF(IFERROR(VLOOKUP(D631,Controls!$A$64:$E$74,4,FALSE()),"No")="Yes",1,0)</f>
        <v>0</v>
      </c>
      <c r="AH631" s="65" t="n">
        <f aca="false">IF(IFERROR(VLOOKUP(D631,Controls!$A$64:$E$74,5,FALSE()),"No")="Yes",1,0)</f>
        <v>0</v>
      </c>
      <c r="AI631" s="65" t="n">
        <f aca="false">IF(ISNUMBER(MATCH(D631,Controls!$A$64:$A$74,0)),1,0)</f>
        <v>1</v>
      </c>
      <c r="AJ631" s="65" t="n">
        <f aca="false">Q631-N631</f>
        <v>-7915.96</v>
      </c>
      <c r="AK631" s="65" t="n">
        <f aca="false">IF(AE631=1,MAX(0,N631-Q631),0)</f>
        <v>7915.96</v>
      </c>
      <c r="AL631" s="65" t="n">
        <f aca="false">IF(OR(V631="",V631=0),0,N631/V631)</f>
        <v>0.102768839172522</v>
      </c>
      <c r="AM631" s="65" t="n">
        <f aca="false">IF(OR(V631="",V631=0),0,1)</f>
        <v>1</v>
      </c>
      <c r="AN631" s="65" t="n">
        <f aca="false">IF(OR(E631="",F631=""),0,NETWORKDAYS(E631,F631,Ref!$K$2:$K$42))</f>
        <v>35</v>
      </c>
      <c r="AO631" s="65" t="n">
        <f aca="false">IF(L631="Renewal",1,0)</f>
        <v>0</v>
      </c>
      <c r="AP631" s="65" t="n">
        <f aca="false">AC631*AD631</f>
        <v>1</v>
      </c>
      <c r="AQ631" s="65" t="n">
        <f aca="false">IF(AND(G631&lt;&gt;"",'Historical Score'!$C$6&lt;&gt;""),IF(G631='Historical Score'!$C$6,1,0),0)</f>
        <v>0</v>
      </c>
      <c r="AR631" s="65" t="n">
        <f aca="false">IF(AND(L631&lt;&gt;"",'Historical Score'!$C$5&lt;&gt;""),IF(L631='Historical Score'!$C$5,1,0),0)</f>
        <v>1</v>
      </c>
      <c r="AS631" s="65" t="n">
        <f aca="false">IF(AND(Y631&lt;&gt;"",'Historical Score'!$C$7&lt;&gt;""),IF(Y631='Historical Score'!$C$7,1,0),0)</f>
        <v>0</v>
      </c>
      <c r="AT631" s="65" t="n">
        <f aca="false">IF(AND(K631&lt;&gt;"",'Historical Score'!$C$8&lt;&gt;""),IF(K631='Historical Score'!$C$8,1,0),0)</f>
        <v>0</v>
      </c>
      <c r="AU631" s="65" t="n">
        <f aca="false">IF(AND(J631&lt;&gt;"",'Historical Score'!$C$9&lt;&gt;""),IF(J631='Historical Score'!$C$9,1,0),0)</f>
        <v>0</v>
      </c>
      <c r="AV631" s="65" t="n">
        <f aca="false">AR631*AS631*AQ631</f>
        <v>0</v>
      </c>
      <c r="AW631" s="65" t="n">
        <f aca="false">AR631*AT631*AQ631</f>
        <v>0</v>
      </c>
      <c r="AX631" s="65" t="n">
        <f aca="false">AR631*AS631</f>
        <v>0</v>
      </c>
      <c r="AY631" s="65" t="n">
        <f aca="false">AR631*AT631</f>
        <v>0</v>
      </c>
      <c r="AZ631" s="65" t="n">
        <f aca="false">AR631*AQ631</f>
        <v>0</v>
      </c>
      <c r="BA631" s="65" t="n">
        <f aca="false">AR631</f>
        <v>1</v>
      </c>
      <c r="BB631" s="65" t="n">
        <f aca="false">1</f>
        <v>1</v>
      </c>
      <c r="BC631" s="65" t="n">
        <f aca="false">IF(AV631=1,1,IF(AW631=1,2,IF(AX631=1,3,IF(AY631=1,4,IF(AZ631=1,5,IF(BA631=1,6,7))))))</f>
        <v>6</v>
      </c>
      <c r="BD631" s="65" t="n">
        <f aca="false">IF(AD631=1,CHOOSE('Historical Score'!$C$29,AV631,AW631,AX631,AY631,AZ631,BA631,BB631),0)</f>
        <v>0</v>
      </c>
      <c r="BE631" s="65" t="str">
        <f aca="false">IF(BD631=1,COUNTIF($BD$2:BD631,1),"")</f>
        <v/>
      </c>
    </row>
    <row r="632" customFormat="false" ht="15" hidden="false" customHeight="false" outlineLevel="0" collapsed="false">
      <c r="A632" s="65" t="s">
        <v>2171</v>
      </c>
      <c r="B632" s="65" t="s">
        <v>1286</v>
      </c>
      <c r="C632" s="65" t="s">
        <v>1287</v>
      </c>
      <c r="D632" s="65" t="s">
        <v>371</v>
      </c>
      <c r="E632" s="112" t="n">
        <v>46070</v>
      </c>
      <c r="F632" s="112" t="n">
        <v>46169</v>
      </c>
      <c r="G632" s="65" t="n">
        <v>3</v>
      </c>
      <c r="H632" s="65" t="s">
        <v>904</v>
      </c>
      <c r="I632" s="65" t="s">
        <v>425</v>
      </c>
      <c r="J632" s="65" t="s">
        <v>905</v>
      </c>
      <c r="K632" s="65" t="s">
        <v>906</v>
      </c>
      <c r="L632" s="65" t="s">
        <v>320</v>
      </c>
      <c r="M632" s="113" t="n">
        <v>1.49</v>
      </c>
      <c r="N632" s="114" t="n">
        <v>10000</v>
      </c>
      <c r="O632" s="114" t="n">
        <v>1400</v>
      </c>
      <c r="P632" s="114" t="n">
        <v>14900</v>
      </c>
      <c r="Q632" s="114" t="n">
        <v>14900</v>
      </c>
      <c r="R632" s="114" t="n">
        <v>0</v>
      </c>
      <c r="S632" s="115" t="n">
        <v>1</v>
      </c>
      <c r="T632" s="65" t="n">
        <v>2.951</v>
      </c>
      <c r="U632" s="65" t="n">
        <v>0</v>
      </c>
      <c r="V632" s="65" t="n">
        <v>14958.77</v>
      </c>
      <c r="W632" s="115" t="n">
        <v>0.2324</v>
      </c>
      <c r="X632" s="112" t="n">
        <v>42309</v>
      </c>
      <c r="Y632" s="65" t="str">
        <f aca="false">IF(I632="","No SIC",IFERROR(VLOOKUP(I632,Ref!$A$2:$B$65,2,FALSE()),"Unclassified"))</f>
        <v>Personal Services</v>
      </c>
      <c r="Z632" s="65" t="str">
        <f aca="false">IF(T632="","",IF(T632&lt;12,"Daily","Weekly"))</f>
        <v>Daily</v>
      </c>
      <c r="AA632" s="65" t="n">
        <f aca="false">IF(T632="",0,IF(T632&lt;12,T632*Controls!$B$29,T632*5))</f>
        <v>63.903905</v>
      </c>
      <c r="AB632" s="65" t="n">
        <f aca="false">IF(E632="",0,NETWORKDAYS(E632,Controls!$B$36,Ref!$K$2:$K$42))</f>
        <v>134</v>
      </c>
      <c r="AC632" s="65" t="n">
        <f aca="false">IF(AND(AA632&gt;0,AB632&gt;=Controls!$B$39*AA632),1,0)</f>
        <v>1</v>
      </c>
      <c r="AD632" s="65" t="n">
        <f aca="false">IF(AND(E632&lt;&gt;"",E632&gt;=Controls!$B$37,E632&lt;=Controls!$B$38),1,0)</f>
        <v>1</v>
      </c>
      <c r="AE632" s="65" t="n">
        <f aca="false">IF(IFERROR(VLOOKUP(D632,Controls!$A$64:$E$74,2,FALSE()),"No")="Yes",1,0)</f>
        <v>0</v>
      </c>
      <c r="AF632" s="65" t="n">
        <f aca="false">IF(IFERROR(VLOOKUP(D632,Controls!$A$64:$E$74,3,FALSE()),"No")="Yes",1,0)</f>
        <v>1</v>
      </c>
      <c r="AG632" s="65" t="n">
        <f aca="false">IF(IFERROR(VLOOKUP(D632,Controls!$A$64:$E$74,4,FALSE()),"No")="Yes",1,0)</f>
        <v>1</v>
      </c>
      <c r="AH632" s="65" t="n">
        <f aca="false">IF(IFERROR(VLOOKUP(D632,Controls!$A$64:$E$74,5,FALSE()),"No")="Yes",1,0)</f>
        <v>0</v>
      </c>
      <c r="AI632" s="65" t="n">
        <f aca="false">IF(ISNUMBER(MATCH(D632,Controls!$A$64:$A$74,0)),1,0)</f>
        <v>1</v>
      </c>
      <c r="AJ632" s="65" t="n">
        <f aca="false">Q632-N632</f>
        <v>4900</v>
      </c>
      <c r="AK632" s="65" t="n">
        <f aca="false">IF(AE632=1,MAX(0,N632-Q632),0)</f>
        <v>0</v>
      </c>
      <c r="AL632" s="65" t="n">
        <f aca="false">IF(OR(V632="",V632=0),0,N632/V632)</f>
        <v>0.668504161772659</v>
      </c>
      <c r="AM632" s="65" t="n">
        <f aca="false">IF(OR(V632="",V632=0),0,1)</f>
        <v>1</v>
      </c>
      <c r="AN632" s="65" t="n">
        <f aca="false">IF(OR(E632="",F632=""),0,NETWORKDAYS(E632,F632,Ref!$K$2:$K$42))</f>
        <v>71</v>
      </c>
      <c r="AO632" s="65" t="n">
        <f aca="false">IF(L632="Renewal",1,0)</f>
        <v>1</v>
      </c>
      <c r="AP632" s="65" t="n">
        <f aca="false">AC632*AD632</f>
        <v>1</v>
      </c>
      <c r="AQ632" s="65" t="n">
        <f aca="false">IF(AND(G632&lt;&gt;"",'Historical Score'!$C$6&lt;&gt;""),IF(G632='Historical Score'!$C$6,1,0),0)</f>
        <v>0</v>
      </c>
      <c r="AR632" s="65" t="n">
        <f aca="false">IF(AND(L632&lt;&gt;"",'Historical Score'!$C$5&lt;&gt;""),IF(L632='Historical Score'!$C$5,1,0),0)</f>
        <v>0</v>
      </c>
      <c r="AS632" s="65" t="n">
        <f aca="false">IF(AND(Y632&lt;&gt;"",'Historical Score'!$C$7&lt;&gt;""),IF(Y632='Historical Score'!$C$7,1,0),0)</f>
        <v>0</v>
      </c>
      <c r="AT632" s="65" t="n">
        <f aca="false">IF(AND(K632&lt;&gt;"",'Historical Score'!$C$8&lt;&gt;""),IF(K632='Historical Score'!$C$8,1,0),0)</f>
        <v>0</v>
      </c>
      <c r="AU632" s="65" t="n">
        <f aca="false">IF(AND(J632&lt;&gt;"",'Historical Score'!$C$9&lt;&gt;""),IF(J632='Historical Score'!$C$9,1,0),0)</f>
        <v>0</v>
      </c>
      <c r="AV632" s="65" t="n">
        <f aca="false">AR632*AS632*AQ632</f>
        <v>0</v>
      </c>
      <c r="AW632" s="65" t="n">
        <f aca="false">AR632*AT632*AQ632</f>
        <v>0</v>
      </c>
      <c r="AX632" s="65" t="n">
        <f aca="false">AR632*AS632</f>
        <v>0</v>
      </c>
      <c r="AY632" s="65" t="n">
        <f aca="false">AR632*AT632</f>
        <v>0</v>
      </c>
      <c r="AZ632" s="65" t="n">
        <f aca="false">AR632*AQ632</f>
        <v>0</v>
      </c>
      <c r="BA632" s="65" t="n">
        <f aca="false">AR632</f>
        <v>0</v>
      </c>
      <c r="BB632" s="65" t="n">
        <f aca="false">1</f>
        <v>1</v>
      </c>
      <c r="BC632" s="65" t="n">
        <f aca="false">IF(AV632=1,1,IF(AW632=1,2,IF(AX632=1,3,IF(AY632=1,4,IF(AZ632=1,5,IF(BA632=1,6,7))))))</f>
        <v>7</v>
      </c>
      <c r="BD632" s="65" t="n">
        <f aca="false">IF(AD632=1,CHOOSE('Historical Score'!$C$29,AV632,AW632,AX632,AY632,AZ632,BA632,BB632),0)</f>
        <v>0</v>
      </c>
      <c r="BE632" s="65" t="str">
        <f aca="false">IF(BD632=1,COUNTIF($BD$2:BD632,1),"")</f>
        <v/>
      </c>
    </row>
    <row r="633" customFormat="false" ht="15" hidden="false" customHeight="false" outlineLevel="0" collapsed="false">
      <c r="A633" s="65" t="s">
        <v>2172</v>
      </c>
      <c r="B633" s="65" t="s">
        <v>2173</v>
      </c>
      <c r="C633" s="65" t="s">
        <v>2173</v>
      </c>
      <c r="D633" s="65" t="s">
        <v>371</v>
      </c>
      <c r="E633" s="112" t="n">
        <v>46071</v>
      </c>
      <c r="F633" s="112" t="n">
        <v>46135</v>
      </c>
      <c r="G633" s="65" t="n">
        <v>3</v>
      </c>
      <c r="H633" s="65" t="s">
        <v>409</v>
      </c>
      <c r="I633" s="65" t="s">
        <v>342</v>
      </c>
      <c r="J633" s="65" t="s">
        <v>373</v>
      </c>
      <c r="K633" s="65" t="s">
        <v>55</v>
      </c>
      <c r="L633" s="65" t="s">
        <v>64</v>
      </c>
      <c r="M633" s="113" t="n">
        <v>1.49</v>
      </c>
      <c r="N633" s="114" t="n">
        <v>25000</v>
      </c>
      <c r="O633" s="114" t="n">
        <v>3500</v>
      </c>
      <c r="P633" s="114" t="n">
        <v>37250</v>
      </c>
      <c r="Q633" s="114" t="n">
        <v>37250</v>
      </c>
      <c r="R633" s="114" t="n">
        <v>0</v>
      </c>
      <c r="S633" s="115" t="n">
        <v>1</v>
      </c>
      <c r="T633" s="65" t="n">
        <v>3.607</v>
      </c>
      <c r="U633" s="65" t="n">
        <v>3</v>
      </c>
      <c r="V633" s="65" t="n">
        <v>80000</v>
      </c>
      <c r="W633" s="115" t="n">
        <v>0.0912</v>
      </c>
      <c r="X633" s="112"/>
      <c r="Y633" s="65" t="str">
        <f aca="false">IF(I633="","No SIC",IFERROR(VLOOKUP(I633,Ref!$A$2:$B$65,2,FALSE()),"Unclassified"))</f>
        <v>Eating &amp; Drinking Places</v>
      </c>
      <c r="Z633" s="65" t="str">
        <f aca="false">IF(T633="","",IF(T633&lt;12,"Daily","Weekly"))</f>
        <v>Daily</v>
      </c>
      <c r="AA633" s="65" t="n">
        <f aca="false">IF(T633="",0,IF(T633&lt;12,T633*Controls!$B$29,T633*5))</f>
        <v>78.109585</v>
      </c>
      <c r="AB633" s="65" t="n">
        <f aca="false">IF(E633="",0,NETWORKDAYS(E633,Controls!$B$36,Ref!$K$2:$K$42))</f>
        <v>133</v>
      </c>
      <c r="AC633" s="65" t="n">
        <f aca="false">IF(AND(AA633&gt;0,AB633&gt;=Controls!$B$39*AA633),1,0)</f>
        <v>1</v>
      </c>
      <c r="AD633" s="65" t="n">
        <f aca="false">IF(AND(E633&lt;&gt;"",E633&gt;=Controls!$B$37,E633&lt;=Controls!$B$38),1,0)</f>
        <v>1</v>
      </c>
      <c r="AE633" s="65" t="n">
        <f aca="false">IF(IFERROR(VLOOKUP(D633,Controls!$A$64:$E$74,2,FALSE()),"No")="Yes",1,0)</f>
        <v>0</v>
      </c>
      <c r="AF633" s="65" t="n">
        <f aca="false">IF(IFERROR(VLOOKUP(D633,Controls!$A$64:$E$74,3,FALSE()),"No")="Yes",1,0)</f>
        <v>1</v>
      </c>
      <c r="AG633" s="65" t="n">
        <f aca="false">IF(IFERROR(VLOOKUP(D633,Controls!$A$64:$E$74,4,FALSE()),"No")="Yes",1,0)</f>
        <v>1</v>
      </c>
      <c r="AH633" s="65" t="n">
        <f aca="false">IF(IFERROR(VLOOKUP(D633,Controls!$A$64:$E$74,5,FALSE()),"No")="Yes",1,0)</f>
        <v>0</v>
      </c>
      <c r="AI633" s="65" t="n">
        <f aca="false">IF(ISNUMBER(MATCH(D633,Controls!$A$64:$A$74,0)),1,0)</f>
        <v>1</v>
      </c>
      <c r="AJ633" s="65" t="n">
        <f aca="false">Q633-N633</f>
        <v>12250</v>
      </c>
      <c r="AK633" s="65" t="n">
        <f aca="false">IF(AE633=1,MAX(0,N633-Q633),0)</f>
        <v>0</v>
      </c>
      <c r="AL633" s="65" t="n">
        <f aca="false">IF(OR(V633="",V633=0),0,N633/V633)</f>
        <v>0.3125</v>
      </c>
      <c r="AM633" s="65" t="n">
        <f aca="false">IF(OR(V633="",V633=0),0,1)</f>
        <v>1</v>
      </c>
      <c r="AN633" s="65" t="n">
        <f aca="false">IF(OR(E633="",F633=""),0,NETWORKDAYS(E633,F633,Ref!$K$2:$K$42))</f>
        <v>47</v>
      </c>
      <c r="AO633" s="65" t="n">
        <f aca="false">IF(L633="Renewal",1,0)</f>
        <v>0</v>
      </c>
      <c r="AP633" s="65" t="n">
        <f aca="false">AC633*AD633</f>
        <v>1</v>
      </c>
      <c r="AQ633" s="65" t="n">
        <f aca="false">IF(AND(G633&lt;&gt;"",'Historical Score'!$C$6&lt;&gt;""),IF(G633='Historical Score'!$C$6,1,0),0)</f>
        <v>0</v>
      </c>
      <c r="AR633" s="65" t="n">
        <f aca="false">IF(AND(L633&lt;&gt;"",'Historical Score'!$C$5&lt;&gt;""),IF(L633='Historical Score'!$C$5,1,0),0)</f>
        <v>1</v>
      </c>
      <c r="AS633" s="65" t="n">
        <f aca="false">IF(AND(Y633&lt;&gt;"",'Historical Score'!$C$7&lt;&gt;""),IF(Y633='Historical Score'!$C$7,1,0),0)</f>
        <v>0</v>
      </c>
      <c r="AT633" s="65" t="n">
        <f aca="false">IF(AND(K633&lt;&gt;"",'Historical Score'!$C$8&lt;&gt;""),IF(K633='Historical Score'!$C$8,1,0),0)</f>
        <v>1</v>
      </c>
      <c r="AU633" s="65" t="n">
        <f aca="false">IF(AND(J633&lt;&gt;"",'Historical Score'!$C$9&lt;&gt;""),IF(J633='Historical Score'!$C$9,1,0),0)</f>
        <v>0</v>
      </c>
      <c r="AV633" s="65" t="n">
        <f aca="false">AR633*AS633*AQ633</f>
        <v>0</v>
      </c>
      <c r="AW633" s="65" t="n">
        <f aca="false">AR633*AT633*AQ633</f>
        <v>0</v>
      </c>
      <c r="AX633" s="65" t="n">
        <f aca="false">AR633*AS633</f>
        <v>0</v>
      </c>
      <c r="AY633" s="65" t="n">
        <f aca="false">AR633*AT633</f>
        <v>1</v>
      </c>
      <c r="AZ633" s="65" t="n">
        <f aca="false">AR633*AQ633</f>
        <v>0</v>
      </c>
      <c r="BA633" s="65" t="n">
        <f aca="false">AR633</f>
        <v>1</v>
      </c>
      <c r="BB633" s="65" t="n">
        <f aca="false">1</f>
        <v>1</v>
      </c>
      <c r="BC633" s="65" t="n">
        <f aca="false">IF(AV633=1,1,IF(AW633=1,2,IF(AX633=1,3,IF(AY633=1,4,IF(AZ633=1,5,IF(BA633=1,6,7))))))</f>
        <v>4</v>
      </c>
      <c r="BD633" s="65" t="n">
        <f aca="false">IF(AD633=1,CHOOSE('Historical Score'!$C$29,AV633,AW633,AX633,AY633,AZ633,BA633,BB633),0)</f>
        <v>0</v>
      </c>
      <c r="BE633" s="65" t="str">
        <f aca="false">IF(BD633=1,COUNTIF($BD$2:BD633,1),"")</f>
        <v/>
      </c>
    </row>
    <row r="634" customFormat="false" ht="15" hidden="false" customHeight="false" outlineLevel="0" collapsed="false">
      <c r="A634" s="65" t="s">
        <v>2174</v>
      </c>
      <c r="B634" s="65" t="s">
        <v>1514</v>
      </c>
      <c r="C634" s="65" t="s">
        <v>1514</v>
      </c>
      <c r="D634" s="65" t="s">
        <v>295</v>
      </c>
      <c r="E634" s="112" t="n">
        <v>46071</v>
      </c>
      <c r="F634" s="112" t="n">
        <v>46247</v>
      </c>
      <c r="G634" s="65" t="n">
        <v>3</v>
      </c>
      <c r="H634" s="65" t="s">
        <v>752</v>
      </c>
      <c r="I634" s="65" t="s">
        <v>405</v>
      </c>
      <c r="J634" s="65" t="s">
        <v>452</v>
      </c>
      <c r="K634" s="65" t="s">
        <v>55</v>
      </c>
      <c r="L634" s="65" t="s">
        <v>320</v>
      </c>
      <c r="M634" s="113" t="n">
        <v>1.45</v>
      </c>
      <c r="N634" s="114" t="n">
        <v>45000</v>
      </c>
      <c r="O634" s="114" t="n">
        <v>5400</v>
      </c>
      <c r="P634" s="114" t="n">
        <v>65250</v>
      </c>
      <c r="Q634" s="114" t="n">
        <v>36721.44</v>
      </c>
      <c r="R634" s="114" t="n">
        <v>28528.56</v>
      </c>
      <c r="S634" s="115" t="n">
        <v>0.562780689655173</v>
      </c>
      <c r="T634" s="65" t="n">
        <v>32</v>
      </c>
      <c r="U634" s="65" t="n">
        <v>0</v>
      </c>
      <c r="V634" s="65" t="n">
        <v>151117.26</v>
      </c>
      <c r="W634" s="115" t="n">
        <v>0.054</v>
      </c>
      <c r="X634" s="112" t="n">
        <v>36749</v>
      </c>
      <c r="Y634" s="65" t="str">
        <f aca="false">IF(I634="","No SIC",IFERROR(VLOOKUP(I634,Ref!$A$2:$B$65,2,FALSE()),"Unclassified"))</f>
        <v>Health Services</v>
      </c>
      <c r="Z634" s="65" t="str">
        <f aca="false">IF(T634="","",IF(T634&lt;12,"Daily","Weekly"))</f>
        <v>Weekly</v>
      </c>
      <c r="AA634" s="65" t="n">
        <f aca="false">IF(T634="",0,IF(T634&lt;12,T634*Controls!$B$29,T634*5))</f>
        <v>160</v>
      </c>
      <c r="AB634" s="65" t="n">
        <f aca="false">IF(E634="",0,NETWORKDAYS(E634,Controls!$B$36,Ref!$K$2:$K$42))</f>
        <v>133</v>
      </c>
      <c r="AC634" s="65" t="n">
        <f aca="false">IF(AND(AA634&gt;0,AB634&gt;=Controls!$B$39*AA634),1,0)</f>
        <v>0</v>
      </c>
      <c r="AD634" s="65" t="n">
        <f aca="false">IF(AND(E634&lt;&gt;"",E634&gt;=Controls!$B$37,E634&lt;=Controls!$B$38),1,0)</f>
        <v>1</v>
      </c>
      <c r="AE634" s="65" t="n">
        <f aca="false">IF(IFERROR(VLOOKUP(D634,Controls!$A$64:$E$74,2,FALSE()),"No")="Yes",1,0)</f>
        <v>0</v>
      </c>
      <c r="AF634" s="65" t="n">
        <f aca="false">IF(IFERROR(VLOOKUP(D634,Controls!$A$64:$E$74,3,FALSE()),"No")="Yes",1,0)</f>
        <v>0</v>
      </c>
      <c r="AG634" s="65" t="n">
        <f aca="false">IF(IFERROR(VLOOKUP(D634,Controls!$A$64:$E$74,4,FALSE()),"No")="Yes",1,0)</f>
        <v>0</v>
      </c>
      <c r="AH634" s="65" t="n">
        <f aca="false">IF(IFERROR(VLOOKUP(D634,Controls!$A$64:$E$74,5,FALSE()),"No")="Yes",1,0)</f>
        <v>1</v>
      </c>
      <c r="AI634" s="65" t="n">
        <f aca="false">IF(ISNUMBER(MATCH(D634,Controls!$A$64:$A$74,0)),1,0)</f>
        <v>1</v>
      </c>
      <c r="AJ634" s="65" t="n">
        <f aca="false">Q634-N634</f>
        <v>-8278.56</v>
      </c>
      <c r="AK634" s="65" t="n">
        <f aca="false">IF(AE634=1,MAX(0,N634-Q634),0)</f>
        <v>0</v>
      </c>
      <c r="AL634" s="65" t="n">
        <f aca="false">IF(OR(V634="",V634=0),0,N634/V634)</f>
        <v>0.297782000547125</v>
      </c>
      <c r="AM634" s="65" t="n">
        <f aca="false">IF(OR(V634="",V634=0),0,1)</f>
        <v>1</v>
      </c>
      <c r="AN634" s="65" t="n">
        <f aca="false">IF(OR(E634="",F634=""),0,NETWORKDAYS(E634,F634,Ref!$K$2:$K$42))</f>
        <v>125</v>
      </c>
      <c r="AO634" s="65" t="n">
        <f aca="false">IF(L634="Renewal",1,0)</f>
        <v>1</v>
      </c>
      <c r="AP634" s="65" t="n">
        <f aca="false">AC634*AD634</f>
        <v>0</v>
      </c>
      <c r="AQ634" s="65" t="n">
        <f aca="false">IF(AND(G634&lt;&gt;"",'Historical Score'!$C$6&lt;&gt;""),IF(G634='Historical Score'!$C$6,1,0),0)</f>
        <v>0</v>
      </c>
      <c r="AR634" s="65" t="n">
        <f aca="false">IF(AND(L634&lt;&gt;"",'Historical Score'!$C$5&lt;&gt;""),IF(L634='Historical Score'!$C$5,1,0),0)</f>
        <v>0</v>
      </c>
      <c r="AS634" s="65" t="n">
        <f aca="false">IF(AND(Y634&lt;&gt;"",'Historical Score'!$C$7&lt;&gt;""),IF(Y634='Historical Score'!$C$7,1,0),0)</f>
        <v>0</v>
      </c>
      <c r="AT634" s="65" t="n">
        <f aca="false">IF(AND(K634&lt;&gt;"",'Historical Score'!$C$8&lt;&gt;""),IF(K634='Historical Score'!$C$8,1,0),0)</f>
        <v>1</v>
      </c>
      <c r="AU634" s="65" t="n">
        <f aca="false">IF(AND(J634&lt;&gt;"",'Historical Score'!$C$9&lt;&gt;""),IF(J634='Historical Score'!$C$9,1,0),0)</f>
        <v>0</v>
      </c>
      <c r="AV634" s="65" t="n">
        <f aca="false">AR634*AS634*AQ634</f>
        <v>0</v>
      </c>
      <c r="AW634" s="65" t="n">
        <f aca="false">AR634*AT634*AQ634</f>
        <v>0</v>
      </c>
      <c r="AX634" s="65" t="n">
        <f aca="false">AR634*AS634</f>
        <v>0</v>
      </c>
      <c r="AY634" s="65" t="n">
        <f aca="false">AR634*AT634</f>
        <v>0</v>
      </c>
      <c r="AZ634" s="65" t="n">
        <f aca="false">AR634*AQ634</f>
        <v>0</v>
      </c>
      <c r="BA634" s="65" t="n">
        <f aca="false">AR634</f>
        <v>0</v>
      </c>
      <c r="BB634" s="65" t="n">
        <f aca="false">1</f>
        <v>1</v>
      </c>
      <c r="BC634" s="65" t="n">
        <f aca="false">IF(AV634=1,1,IF(AW634=1,2,IF(AX634=1,3,IF(AY634=1,4,IF(AZ634=1,5,IF(BA634=1,6,7))))))</f>
        <v>7</v>
      </c>
      <c r="BD634" s="65" t="n">
        <f aca="false">IF(AD634=1,CHOOSE('Historical Score'!$C$29,AV634,AW634,AX634,AY634,AZ634,BA634,BB634),0)</f>
        <v>0</v>
      </c>
      <c r="BE634" s="65" t="str">
        <f aca="false">IF(BD634=1,COUNTIF($BD$2:BD634,1),"")</f>
        <v/>
      </c>
    </row>
    <row r="635" customFormat="false" ht="15" hidden="false" customHeight="false" outlineLevel="0" collapsed="false">
      <c r="A635" s="65" t="s">
        <v>2175</v>
      </c>
      <c r="B635" s="65" t="s">
        <v>2176</v>
      </c>
      <c r="C635" s="65" t="s">
        <v>2176</v>
      </c>
      <c r="D635" s="65" t="s">
        <v>371</v>
      </c>
      <c r="E635" s="112" t="n">
        <v>46071</v>
      </c>
      <c r="F635" s="112" t="n">
        <v>46128</v>
      </c>
      <c r="G635" s="65" t="n">
        <v>3</v>
      </c>
      <c r="H635" s="65" t="s">
        <v>667</v>
      </c>
      <c r="I635" s="65" t="s">
        <v>668</v>
      </c>
      <c r="J635" s="65" t="s">
        <v>905</v>
      </c>
      <c r="K635" s="65" t="s">
        <v>1379</v>
      </c>
      <c r="L635" s="65" t="s">
        <v>64</v>
      </c>
      <c r="M635" s="113" t="n">
        <v>1.49</v>
      </c>
      <c r="N635" s="114" t="n">
        <v>40000</v>
      </c>
      <c r="O635" s="114" t="n">
        <v>5600</v>
      </c>
      <c r="P635" s="114" t="n">
        <v>59600</v>
      </c>
      <c r="Q635" s="114" t="n">
        <v>59600</v>
      </c>
      <c r="R635" s="114" t="n">
        <v>0</v>
      </c>
      <c r="S635" s="115" t="n">
        <v>1</v>
      </c>
      <c r="T635" s="65" t="n">
        <v>1.967</v>
      </c>
      <c r="U635" s="65" t="n">
        <v>0</v>
      </c>
      <c r="V635" s="65" t="n">
        <v>377319.5</v>
      </c>
      <c r="W635" s="115" t="n">
        <v>0.0553</v>
      </c>
      <c r="X635" s="112" t="n">
        <v>42535</v>
      </c>
      <c r="Y635" s="65" t="str">
        <f aca="false">IF(I635="","No SIC",IFERROR(VLOOKUP(I635,Ref!$A$2:$B$65,2,FALSE()),"Unclassified"))</f>
        <v>Auto Dealers &amp; Gas Stations</v>
      </c>
      <c r="Z635" s="65" t="str">
        <f aca="false">IF(T635="","",IF(T635&lt;12,"Daily","Weekly"))</f>
        <v>Daily</v>
      </c>
      <c r="AA635" s="65" t="n">
        <f aca="false">IF(T635="",0,IF(T635&lt;12,T635*Controls!$B$29,T635*5))</f>
        <v>42.595385</v>
      </c>
      <c r="AB635" s="65" t="n">
        <f aca="false">IF(E635="",0,NETWORKDAYS(E635,Controls!$B$36,Ref!$K$2:$K$42))</f>
        <v>133</v>
      </c>
      <c r="AC635" s="65" t="n">
        <f aca="false">IF(AND(AA635&gt;0,AB635&gt;=Controls!$B$39*AA635),1,0)</f>
        <v>1</v>
      </c>
      <c r="AD635" s="65" t="n">
        <f aca="false">IF(AND(E635&lt;&gt;"",E635&gt;=Controls!$B$37,E635&lt;=Controls!$B$38),1,0)</f>
        <v>1</v>
      </c>
      <c r="AE635" s="65" t="n">
        <f aca="false">IF(IFERROR(VLOOKUP(D635,Controls!$A$64:$E$74,2,FALSE()),"No")="Yes",1,0)</f>
        <v>0</v>
      </c>
      <c r="AF635" s="65" t="n">
        <f aca="false">IF(IFERROR(VLOOKUP(D635,Controls!$A$64:$E$74,3,FALSE()),"No")="Yes",1,0)</f>
        <v>1</v>
      </c>
      <c r="AG635" s="65" t="n">
        <f aca="false">IF(IFERROR(VLOOKUP(D635,Controls!$A$64:$E$74,4,FALSE()),"No")="Yes",1,0)</f>
        <v>1</v>
      </c>
      <c r="AH635" s="65" t="n">
        <f aca="false">IF(IFERROR(VLOOKUP(D635,Controls!$A$64:$E$74,5,FALSE()),"No")="Yes",1,0)</f>
        <v>0</v>
      </c>
      <c r="AI635" s="65" t="n">
        <f aca="false">IF(ISNUMBER(MATCH(D635,Controls!$A$64:$A$74,0)),1,0)</f>
        <v>1</v>
      </c>
      <c r="AJ635" s="65" t="n">
        <f aca="false">Q635-N635</f>
        <v>19600</v>
      </c>
      <c r="AK635" s="65" t="n">
        <f aca="false">IF(AE635=1,MAX(0,N635-Q635),0)</f>
        <v>0</v>
      </c>
      <c r="AL635" s="65" t="n">
        <f aca="false">IF(OR(V635="",V635=0),0,N635/V635)</f>
        <v>0.106010953581779</v>
      </c>
      <c r="AM635" s="65" t="n">
        <f aca="false">IF(OR(V635="",V635=0),0,1)</f>
        <v>1</v>
      </c>
      <c r="AN635" s="65" t="n">
        <f aca="false">IF(OR(E635="",F635=""),0,NETWORKDAYS(E635,F635,Ref!$K$2:$K$42))</f>
        <v>42</v>
      </c>
      <c r="AO635" s="65" t="n">
        <f aca="false">IF(L635="Renewal",1,0)</f>
        <v>0</v>
      </c>
      <c r="AP635" s="65" t="n">
        <f aca="false">AC635*AD635</f>
        <v>1</v>
      </c>
      <c r="AQ635" s="65" t="n">
        <f aca="false">IF(AND(G635&lt;&gt;"",'Historical Score'!$C$6&lt;&gt;""),IF(G635='Historical Score'!$C$6,1,0),0)</f>
        <v>0</v>
      </c>
      <c r="AR635" s="65" t="n">
        <f aca="false">IF(AND(L635&lt;&gt;"",'Historical Score'!$C$5&lt;&gt;""),IF(L635='Historical Score'!$C$5,1,0),0)</f>
        <v>1</v>
      </c>
      <c r="AS635" s="65" t="n">
        <f aca="false">IF(AND(Y635&lt;&gt;"",'Historical Score'!$C$7&lt;&gt;""),IF(Y635='Historical Score'!$C$7,1,0),0)</f>
        <v>0</v>
      </c>
      <c r="AT635" s="65" t="n">
        <f aca="false">IF(AND(K635&lt;&gt;"",'Historical Score'!$C$8&lt;&gt;""),IF(K635='Historical Score'!$C$8,1,0),0)</f>
        <v>0</v>
      </c>
      <c r="AU635" s="65" t="n">
        <f aca="false">IF(AND(J635&lt;&gt;"",'Historical Score'!$C$9&lt;&gt;""),IF(J635='Historical Score'!$C$9,1,0),0)</f>
        <v>0</v>
      </c>
      <c r="AV635" s="65" t="n">
        <f aca="false">AR635*AS635*AQ635</f>
        <v>0</v>
      </c>
      <c r="AW635" s="65" t="n">
        <f aca="false">AR635*AT635*AQ635</f>
        <v>0</v>
      </c>
      <c r="AX635" s="65" t="n">
        <f aca="false">AR635*AS635</f>
        <v>0</v>
      </c>
      <c r="AY635" s="65" t="n">
        <f aca="false">AR635*AT635</f>
        <v>0</v>
      </c>
      <c r="AZ635" s="65" t="n">
        <f aca="false">AR635*AQ635</f>
        <v>0</v>
      </c>
      <c r="BA635" s="65" t="n">
        <f aca="false">AR635</f>
        <v>1</v>
      </c>
      <c r="BB635" s="65" t="n">
        <f aca="false">1</f>
        <v>1</v>
      </c>
      <c r="BC635" s="65" t="n">
        <f aca="false">IF(AV635=1,1,IF(AW635=1,2,IF(AX635=1,3,IF(AY635=1,4,IF(AZ635=1,5,IF(BA635=1,6,7))))))</f>
        <v>6</v>
      </c>
      <c r="BD635" s="65" t="n">
        <f aca="false">IF(AD635=1,CHOOSE('Historical Score'!$C$29,AV635,AW635,AX635,AY635,AZ635,BA635,BB635),0)</f>
        <v>0</v>
      </c>
      <c r="BE635" s="65" t="str">
        <f aca="false">IF(BD635=1,COUNTIF($BD$2:BD635,1),"")</f>
        <v/>
      </c>
    </row>
    <row r="636" customFormat="false" ht="15" hidden="false" customHeight="false" outlineLevel="0" collapsed="false">
      <c r="A636" s="65" t="s">
        <v>2177</v>
      </c>
      <c r="B636" s="65" t="s">
        <v>1333</v>
      </c>
      <c r="C636" s="65" t="s">
        <v>1333</v>
      </c>
      <c r="D636" s="65" t="s">
        <v>371</v>
      </c>
      <c r="E636" s="112" t="n">
        <v>46071</v>
      </c>
      <c r="F636" s="112" t="n">
        <v>46202</v>
      </c>
      <c r="G636" s="65" t="n">
        <v>3</v>
      </c>
      <c r="H636" s="65" t="s">
        <v>1930</v>
      </c>
      <c r="I636" s="65" t="s">
        <v>425</v>
      </c>
      <c r="J636" s="65" t="s">
        <v>61</v>
      </c>
      <c r="K636" s="65" t="s">
        <v>444</v>
      </c>
      <c r="L636" s="65" t="s">
        <v>320</v>
      </c>
      <c r="M636" s="113" t="n">
        <v>1.49</v>
      </c>
      <c r="N636" s="114" t="n">
        <v>15000</v>
      </c>
      <c r="O636" s="114" t="n">
        <v>2100</v>
      </c>
      <c r="P636" s="114" t="n">
        <v>22350</v>
      </c>
      <c r="Q636" s="114" t="n">
        <v>22350</v>
      </c>
      <c r="R636" s="114" t="n">
        <v>0</v>
      </c>
      <c r="S636" s="115" t="n">
        <v>1</v>
      </c>
      <c r="T636" s="65" t="n">
        <v>2.984</v>
      </c>
      <c r="U636" s="65" t="n">
        <v>0</v>
      </c>
      <c r="V636" s="65" t="n">
        <v>15685.35</v>
      </c>
      <c r="W636" s="115" t="n">
        <v>0.2014</v>
      </c>
      <c r="X636" s="112"/>
      <c r="Y636" s="65" t="str">
        <f aca="false">IF(I636="","No SIC",IFERROR(VLOOKUP(I636,Ref!$A$2:$B$65,2,FALSE()),"Unclassified"))</f>
        <v>Personal Services</v>
      </c>
      <c r="Z636" s="65" t="str">
        <f aca="false">IF(T636="","",IF(T636&lt;12,"Daily","Weekly"))</f>
        <v>Daily</v>
      </c>
      <c r="AA636" s="65" t="n">
        <f aca="false">IF(T636="",0,IF(T636&lt;12,T636*Controls!$B$29,T636*5))</f>
        <v>64.61852</v>
      </c>
      <c r="AB636" s="65" t="n">
        <f aca="false">IF(E636="",0,NETWORKDAYS(E636,Controls!$B$36,Ref!$K$2:$K$42))</f>
        <v>133</v>
      </c>
      <c r="AC636" s="65" t="n">
        <f aca="false">IF(AND(AA636&gt;0,AB636&gt;=Controls!$B$39*AA636),1,0)</f>
        <v>1</v>
      </c>
      <c r="AD636" s="65" t="n">
        <f aca="false">IF(AND(E636&lt;&gt;"",E636&gt;=Controls!$B$37,E636&lt;=Controls!$B$38),1,0)</f>
        <v>1</v>
      </c>
      <c r="AE636" s="65" t="n">
        <f aca="false">IF(IFERROR(VLOOKUP(D636,Controls!$A$64:$E$74,2,FALSE()),"No")="Yes",1,0)</f>
        <v>0</v>
      </c>
      <c r="AF636" s="65" t="n">
        <f aca="false">IF(IFERROR(VLOOKUP(D636,Controls!$A$64:$E$74,3,FALSE()),"No")="Yes",1,0)</f>
        <v>1</v>
      </c>
      <c r="AG636" s="65" t="n">
        <f aca="false">IF(IFERROR(VLOOKUP(D636,Controls!$A$64:$E$74,4,FALSE()),"No")="Yes",1,0)</f>
        <v>1</v>
      </c>
      <c r="AH636" s="65" t="n">
        <f aca="false">IF(IFERROR(VLOOKUP(D636,Controls!$A$64:$E$74,5,FALSE()),"No")="Yes",1,0)</f>
        <v>0</v>
      </c>
      <c r="AI636" s="65" t="n">
        <f aca="false">IF(ISNUMBER(MATCH(D636,Controls!$A$64:$A$74,0)),1,0)</f>
        <v>1</v>
      </c>
      <c r="AJ636" s="65" t="n">
        <f aca="false">Q636-N636</f>
        <v>7350</v>
      </c>
      <c r="AK636" s="65" t="n">
        <f aca="false">IF(AE636=1,MAX(0,N636-Q636),0)</f>
        <v>0</v>
      </c>
      <c r="AL636" s="65" t="n">
        <f aca="false">IF(OR(V636="",V636=0),0,N636/V636)</f>
        <v>0.956306362306229</v>
      </c>
      <c r="AM636" s="65" t="n">
        <f aca="false">IF(OR(V636="",V636=0),0,1)</f>
        <v>1</v>
      </c>
      <c r="AN636" s="65" t="n">
        <f aca="false">IF(OR(E636="",F636=""),0,NETWORKDAYS(E636,F636,Ref!$K$2:$K$42))</f>
        <v>92</v>
      </c>
      <c r="AO636" s="65" t="n">
        <f aca="false">IF(L636="Renewal",1,0)</f>
        <v>1</v>
      </c>
      <c r="AP636" s="65" t="n">
        <f aca="false">AC636*AD636</f>
        <v>1</v>
      </c>
      <c r="AQ636" s="65" t="n">
        <f aca="false">IF(AND(G636&lt;&gt;"",'Historical Score'!$C$6&lt;&gt;""),IF(G636='Historical Score'!$C$6,1,0),0)</f>
        <v>0</v>
      </c>
      <c r="AR636" s="65" t="n">
        <f aca="false">IF(AND(L636&lt;&gt;"",'Historical Score'!$C$5&lt;&gt;""),IF(L636='Historical Score'!$C$5,1,0),0)</f>
        <v>0</v>
      </c>
      <c r="AS636" s="65" t="n">
        <f aca="false">IF(AND(Y636&lt;&gt;"",'Historical Score'!$C$7&lt;&gt;""),IF(Y636='Historical Score'!$C$7,1,0),0)</f>
        <v>0</v>
      </c>
      <c r="AT636" s="65" t="n">
        <f aca="false">IF(AND(K636&lt;&gt;"",'Historical Score'!$C$8&lt;&gt;""),IF(K636='Historical Score'!$C$8,1,0),0)</f>
        <v>0</v>
      </c>
      <c r="AU636" s="65" t="n">
        <f aca="false">IF(AND(J636&lt;&gt;"",'Historical Score'!$C$9&lt;&gt;""),IF(J636='Historical Score'!$C$9,1,0),0)</f>
        <v>1</v>
      </c>
      <c r="AV636" s="65" t="n">
        <f aca="false">AR636*AS636*AQ636</f>
        <v>0</v>
      </c>
      <c r="AW636" s="65" t="n">
        <f aca="false">AR636*AT636*AQ636</f>
        <v>0</v>
      </c>
      <c r="AX636" s="65" t="n">
        <f aca="false">AR636*AS636</f>
        <v>0</v>
      </c>
      <c r="AY636" s="65" t="n">
        <f aca="false">AR636*AT636</f>
        <v>0</v>
      </c>
      <c r="AZ636" s="65" t="n">
        <f aca="false">AR636*AQ636</f>
        <v>0</v>
      </c>
      <c r="BA636" s="65" t="n">
        <f aca="false">AR636</f>
        <v>0</v>
      </c>
      <c r="BB636" s="65" t="n">
        <f aca="false">1</f>
        <v>1</v>
      </c>
      <c r="BC636" s="65" t="n">
        <f aca="false">IF(AV636=1,1,IF(AW636=1,2,IF(AX636=1,3,IF(AY636=1,4,IF(AZ636=1,5,IF(BA636=1,6,7))))))</f>
        <v>7</v>
      </c>
      <c r="BD636" s="65" t="n">
        <f aca="false">IF(AD636=1,CHOOSE('Historical Score'!$C$29,AV636,AW636,AX636,AY636,AZ636,BA636,BB636),0)</f>
        <v>0</v>
      </c>
      <c r="BE636" s="65" t="str">
        <f aca="false">IF(BD636=1,COUNTIF($BD$2:BD636,1),"")</f>
        <v/>
      </c>
    </row>
    <row r="637" customFormat="false" ht="15" hidden="false" customHeight="false" outlineLevel="0" collapsed="false">
      <c r="A637" s="65" t="s">
        <v>2178</v>
      </c>
      <c r="B637" s="65" t="s">
        <v>2179</v>
      </c>
      <c r="C637" s="65" t="s">
        <v>2179</v>
      </c>
      <c r="D637" s="65" t="s">
        <v>340</v>
      </c>
      <c r="E637" s="112" t="n">
        <v>46071</v>
      </c>
      <c r="F637" s="112" t="n">
        <v>46126</v>
      </c>
      <c r="G637" s="65" t="n">
        <v>3</v>
      </c>
      <c r="H637" s="65" t="s">
        <v>748</v>
      </c>
      <c r="I637" s="65" t="s">
        <v>619</v>
      </c>
      <c r="J637" s="65" t="s">
        <v>410</v>
      </c>
      <c r="K637" s="65" t="s">
        <v>2180</v>
      </c>
      <c r="L637" s="65" t="s">
        <v>64</v>
      </c>
      <c r="M637" s="113" t="n">
        <v>1.49</v>
      </c>
      <c r="N637" s="114" t="n">
        <v>20000</v>
      </c>
      <c r="O637" s="114" t="n">
        <v>0</v>
      </c>
      <c r="P637" s="114" t="n">
        <v>29800</v>
      </c>
      <c r="Q637" s="114" t="n">
        <v>3180.16</v>
      </c>
      <c r="R637" s="114" t="n">
        <v>26619.84</v>
      </c>
      <c r="S637" s="115" t="n">
        <v>0.10671677852349</v>
      </c>
      <c r="T637" s="65" t="n">
        <v>2.459</v>
      </c>
      <c r="U637" s="65" t="n">
        <v>27</v>
      </c>
      <c r="V637" s="65" t="n">
        <v>296023.84</v>
      </c>
      <c r="W637" s="115" t="n">
        <v>0.0282</v>
      </c>
      <c r="X637" s="112" t="n">
        <v>43349</v>
      </c>
      <c r="Y637" s="65" t="str">
        <f aca="false">IF(I637="","No SIC",IFERROR(VLOOKUP(I637,Ref!$A$2:$B$65,2,FALSE()),"Unclassified"))</f>
        <v>Miscellaneous Retail</v>
      </c>
      <c r="Z637" s="65" t="str">
        <f aca="false">IF(T637="","",IF(T637&lt;12,"Daily","Weekly"))</f>
        <v>Daily</v>
      </c>
      <c r="AA637" s="65" t="n">
        <f aca="false">IF(T637="",0,IF(T637&lt;12,T637*Controls!$B$29,T637*5))</f>
        <v>53.249645</v>
      </c>
      <c r="AB637" s="65" t="n">
        <f aca="false">IF(E637="",0,NETWORKDAYS(E637,Controls!$B$36,Ref!$K$2:$K$42))</f>
        <v>133</v>
      </c>
      <c r="AC637" s="65" t="n">
        <f aca="false">IF(AND(AA637&gt;0,AB637&gt;=Controls!$B$39*AA637),1,0)</f>
        <v>1</v>
      </c>
      <c r="AD637" s="65" t="n">
        <f aca="false">IF(AND(E637&lt;&gt;"",E637&gt;=Controls!$B$37,E637&lt;=Controls!$B$38),1,0)</f>
        <v>1</v>
      </c>
      <c r="AE637" s="65" t="n">
        <f aca="false">IF(IFERROR(VLOOKUP(D637,Controls!$A$64:$E$74,2,FALSE()),"No")="Yes",1,0)</f>
        <v>1</v>
      </c>
      <c r="AF637" s="65" t="n">
        <f aca="false">IF(IFERROR(VLOOKUP(D637,Controls!$A$64:$E$74,3,FALSE()),"No")="Yes",1,0)</f>
        <v>0</v>
      </c>
      <c r="AG637" s="65" t="n">
        <f aca="false">IF(IFERROR(VLOOKUP(D637,Controls!$A$64:$E$74,4,FALSE()),"No")="Yes",1,0)</f>
        <v>0</v>
      </c>
      <c r="AH637" s="65" t="n">
        <f aca="false">IF(IFERROR(VLOOKUP(D637,Controls!$A$64:$E$74,5,FALSE()),"No")="Yes",1,0)</f>
        <v>0</v>
      </c>
      <c r="AI637" s="65" t="n">
        <f aca="false">IF(ISNUMBER(MATCH(D637,Controls!$A$64:$A$74,0)),1,0)</f>
        <v>1</v>
      </c>
      <c r="AJ637" s="65" t="n">
        <f aca="false">Q637-N637</f>
        <v>-16819.84</v>
      </c>
      <c r="AK637" s="65" t="n">
        <f aca="false">IF(AE637=1,MAX(0,N637-Q637),0)</f>
        <v>16819.84</v>
      </c>
      <c r="AL637" s="65" t="n">
        <f aca="false">IF(OR(V637="",V637=0),0,N637/V637)</f>
        <v>0.0675621260774132</v>
      </c>
      <c r="AM637" s="65" t="n">
        <f aca="false">IF(OR(V637="",V637=0),0,1)</f>
        <v>1</v>
      </c>
      <c r="AN637" s="65" t="n">
        <f aca="false">IF(OR(E637="",F637=""),0,NETWORKDAYS(E637,F637,Ref!$K$2:$K$42))</f>
        <v>40</v>
      </c>
      <c r="AO637" s="65" t="n">
        <f aca="false">IF(L637="Renewal",1,0)</f>
        <v>0</v>
      </c>
      <c r="AP637" s="65" t="n">
        <f aca="false">AC637*AD637</f>
        <v>1</v>
      </c>
      <c r="AQ637" s="65" t="n">
        <f aca="false">IF(AND(G637&lt;&gt;"",'Historical Score'!$C$6&lt;&gt;""),IF(G637='Historical Score'!$C$6,1,0),0)</f>
        <v>0</v>
      </c>
      <c r="AR637" s="65" t="n">
        <f aca="false">IF(AND(L637&lt;&gt;"",'Historical Score'!$C$5&lt;&gt;""),IF(L637='Historical Score'!$C$5,1,0),0)</f>
        <v>1</v>
      </c>
      <c r="AS637" s="65" t="n">
        <f aca="false">IF(AND(Y637&lt;&gt;"",'Historical Score'!$C$7&lt;&gt;""),IF(Y637='Historical Score'!$C$7,1,0),0)</f>
        <v>0</v>
      </c>
      <c r="AT637" s="65" t="n">
        <f aca="false">IF(AND(K637&lt;&gt;"",'Historical Score'!$C$8&lt;&gt;""),IF(K637='Historical Score'!$C$8,1,0),0)</f>
        <v>0</v>
      </c>
      <c r="AU637" s="65" t="n">
        <f aca="false">IF(AND(J637&lt;&gt;"",'Historical Score'!$C$9&lt;&gt;""),IF(J637='Historical Score'!$C$9,1,0),0)</f>
        <v>0</v>
      </c>
      <c r="AV637" s="65" t="n">
        <f aca="false">AR637*AS637*AQ637</f>
        <v>0</v>
      </c>
      <c r="AW637" s="65" t="n">
        <f aca="false">AR637*AT637*AQ637</f>
        <v>0</v>
      </c>
      <c r="AX637" s="65" t="n">
        <f aca="false">AR637*AS637</f>
        <v>0</v>
      </c>
      <c r="AY637" s="65" t="n">
        <f aca="false">AR637*AT637</f>
        <v>0</v>
      </c>
      <c r="AZ637" s="65" t="n">
        <f aca="false">AR637*AQ637</f>
        <v>0</v>
      </c>
      <c r="BA637" s="65" t="n">
        <f aca="false">AR637</f>
        <v>1</v>
      </c>
      <c r="BB637" s="65" t="n">
        <f aca="false">1</f>
        <v>1</v>
      </c>
      <c r="BC637" s="65" t="n">
        <f aca="false">IF(AV637=1,1,IF(AW637=1,2,IF(AX637=1,3,IF(AY637=1,4,IF(AZ637=1,5,IF(BA637=1,6,7))))))</f>
        <v>6</v>
      </c>
      <c r="BD637" s="65" t="n">
        <f aca="false">IF(AD637=1,CHOOSE('Historical Score'!$C$29,AV637,AW637,AX637,AY637,AZ637,BA637,BB637),0)</f>
        <v>0</v>
      </c>
      <c r="BE637" s="65" t="str">
        <f aca="false">IF(BD637=1,COUNTIF($BD$2:BD637,1),"")</f>
        <v/>
      </c>
    </row>
    <row r="638" customFormat="false" ht="15" hidden="false" customHeight="false" outlineLevel="0" collapsed="false">
      <c r="A638" s="65" t="s">
        <v>2181</v>
      </c>
      <c r="B638" s="65" t="s">
        <v>2182</v>
      </c>
      <c r="C638" s="65" t="s">
        <v>2182</v>
      </c>
      <c r="D638" s="65" t="s">
        <v>371</v>
      </c>
      <c r="E638" s="112" t="n">
        <v>46071</v>
      </c>
      <c r="F638" s="112" t="n">
        <v>46146</v>
      </c>
      <c r="G638" s="65" t="n">
        <v>3</v>
      </c>
      <c r="H638" s="65" t="s">
        <v>1906</v>
      </c>
      <c r="I638" s="65" t="s">
        <v>1907</v>
      </c>
      <c r="J638" s="65" t="s">
        <v>732</v>
      </c>
      <c r="K638" s="65" t="s">
        <v>1963</v>
      </c>
      <c r="L638" s="65" t="s">
        <v>64</v>
      </c>
      <c r="M638" s="113" t="n">
        <v>1.49</v>
      </c>
      <c r="N638" s="114" t="n">
        <v>10000</v>
      </c>
      <c r="O638" s="114" t="n">
        <v>1400</v>
      </c>
      <c r="P638" s="114" t="n">
        <v>14900</v>
      </c>
      <c r="Q638" s="114" t="n">
        <v>14900</v>
      </c>
      <c r="R638" s="114" t="n">
        <v>0</v>
      </c>
      <c r="S638" s="115" t="n">
        <v>1</v>
      </c>
      <c r="T638" s="65" t="n">
        <v>2.459</v>
      </c>
      <c r="U638" s="65" t="n">
        <v>0</v>
      </c>
      <c r="V638" s="65" t="n">
        <v>31854.08</v>
      </c>
      <c r="W638" s="115" t="n">
        <v>0.1304</v>
      </c>
      <c r="X638" s="112" t="n">
        <v>28525</v>
      </c>
      <c r="Y638" s="65" t="str">
        <f aca="false">IF(I638="","No SIC",IFERROR(VLOOKUP(I638,Ref!$A$2:$B$65,2,FALSE()),"Unclassified"))</f>
        <v>Printing &amp; Publishing</v>
      </c>
      <c r="Z638" s="65" t="str">
        <f aca="false">IF(T638="","",IF(T638&lt;12,"Daily","Weekly"))</f>
        <v>Daily</v>
      </c>
      <c r="AA638" s="65" t="n">
        <f aca="false">IF(T638="",0,IF(T638&lt;12,T638*Controls!$B$29,T638*5))</f>
        <v>53.249645</v>
      </c>
      <c r="AB638" s="65" t="n">
        <f aca="false">IF(E638="",0,NETWORKDAYS(E638,Controls!$B$36,Ref!$K$2:$K$42))</f>
        <v>133</v>
      </c>
      <c r="AC638" s="65" t="n">
        <f aca="false">IF(AND(AA638&gt;0,AB638&gt;=Controls!$B$39*AA638),1,0)</f>
        <v>1</v>
      </c>
      <c r="AD638" s="65" t="n">
        <f aca="false">IF(AND(E638&lt;&gt;"",E638&gt;=Controls!$B$37,E638&lt;=Controls!$B$38),1,0)</f>
        <v>1</v>
      </c>
      <c r="AE638" s="65" t="n">
        <f aca="false">IF(IFERROR(VLOOKUP(D638,Controls!$A$64:$E$74,2,FALSE()),"No")="Yes",1,0)</f>
        <v>0</v>
      </c>
      <c r="AF638" s="65" t="n">
        <f aca="false">IF(IFERROR(VLOOKUP(D638,Controls!$A$64:$E$74,3,FALSE()),"No")="Yes",1,0)</f>
        <v>1</v>
      </c>
      <c r="AG638" s="65" t="n">
        <f aca="false">IF(IFERROR(VLOOKUP(D638,Controls!$A$64:$E$74,4,FALSE()),"No")="Yes",1,0)</f>
        <v>1</v>
      </c>
      <c r="AH638" s="65" t="n">
        <f aca="false">IF(IFERROR(VLOOKUP(D638,Controls!$A$64:$E$74,5,FALSE()),"No")="Yes",1,0)</f>
        <v>0</v>
      </c>
      <c r="AI638" s="65" t="n">
        <f aca="false">IF(ISNUMBER(MATCH(D638,Controls!$A$64:$A$74,0)),1,0)</f>
        <v>1</v>
      </c>
      <c r="AJ638" s="65" t="n">
        <f aca="false">Q638-N638</f>
        <v>4900</v>
      </c>
      <c r="AK638" s="65" t="n">
        <f aca="false">IF(AE638=1,MAX(0,N638-Q638),0)</f>
        <v>0</v>
      </c>
      <c r="AL638" s="65" t="n">
        <f aca="false">IF(OR(V638="",V638=0),0,N638/V638)</f>
        <v>0.313931527766616</v>
      </c>
      <c r="AM638" s="65" t="n">
        <f aca="false">IF(OR(V638="",V638=0),0,1)</f>
        <v>1</v>
      </c>
      <c r="AN638" s="65" t="n">
        <f aca="false">IF(OR(E638="",F638=""),0,NETWORKDAYS(E638,F638,Ref!$K$2:$K$42))</f>
        <v>54</v>
      </c>
      <c r="AO638" s="65" t="n">
        <f aca="false">IF(L638="Renewal",1,0)</f>
        <v>0</v>
      </c>
      <c r="AP638" s="65" t="n">
        <f aca="false">AC638*AD638</f>
        <v>1</v>
      </c>
      <c r="AQ638" s="65" t="n">
        <f aca="false">IF(AND(G638&lt;&gt;"",'Historical Score'!$C$6&lt;&gt;""),IF(G638='Historical Score'!$C$6,1,0),0)</f>
        <v>0</v>
      </c>
      <c r="AR638" s="65" t="n">
        <f aca="false">IF(AND(L638&lt;&gt;"",'Historical Score'!$C$5&lt;&gt;""),IF(L638='Historical Score'!$C$5,1,0),0)</f>
        <v>1</v>
      </c>
      <c r="AS638" s="65" t="n">
        <f aca="false">IF(AND(Y638&lt;&gt;"",'Historical Score'!$C$7&lt;&gt;""),IF(Y638='Historical Score'!$C$7,1,0),0)</f>
        <v>0</v>
      </c>
      <c r="AT638" s="65" t="n">
        <f aca="false">IF(AND(K638&lt;&gt;"",'Historical Score'!$C$8&lt;&gt;""),IF(K638='Historical Score'!$C$8,1,0),0)</f>
        <v>0</v>
      </c>
      <c r="AU638" s="65" t="n">
        <f aca="false">IF(AND(J638&lt;&gt;"",'Historical Score'!$C$9&lt;&gt;""),IF(J638='Historical Score'!$C$9,1,0),0)</f>
        <v>0</v>
      </c>
      <c r="AV638" s="65" t="n">
        <f aca="false">AR638*AS638*AQ638</f>
        <v>0</v>
      </c>
      <c r="AW638" s="65" t="n">
        <f aca="false">AR638*AT638*AQ638</f>
        <v>0</v>
      </c>
      <c r="AX638" s="65" t="n">
        <f aca="false">AR638*AS638</f>
        <v>0</v>
      </c>
      <c r="AY638" s="65" t="n">
        <f aca="false">AR638*AT638</f>
        <v>0</v>
      </c>
      <c r="AZ638" s="65" t="n">
        <f aca="false">AR638*AQ638</f>
        <v>0</v>
      </c>
      <c r="BA638" s="65" t="n">
        <f aca="false">AR638</f>
        <v>1</v>
      </c>
      <c r="BB638" s="65" t="n">
        <f aca="false">1</f>
        <v>1</v>
      </c>
      <c r="BC638" s="65" t="n">
        <f aca="false">IF(AV638=1,1,IF(AW638=1,2,IF(AX638=1,3,IF(AY638=1,4,IF(AZ638=1,5,IF(BA638=1,6,7))))))</f>
        <v>6</v>
      </c>
      <c r="BD638" s="65" t="n">
        <f aca="false">IF(AD638=1,CHOOSE('Historical Score'!$C$29,AV638,AW638,AX638,AY638,AZ638,BA638,BB638),0)</f>
        <v>0</v>
      </c>
      <c r="BE638" s="65" t="str">
        <f aca="false">IF(BD638=1,COUNTIF($BD$2:BD638,1),"")</f>
        <v/>
      </c>
    </row>
    <row r="639" customFormat="false" ht="15" hidden="false" customHeight="false" outlineLevel="0" collapsed="false">
      <c r="A639" s="65" t="s">
        <v>2183</v>
      </c>
      <c r="B639" s="65" t="s">
        <v>2184</v>
      </c>
      <c r="C639" s="65" t="s">
        <v>2185</v>
      </c>
      <c r="D639" s="65" t="s">
        <v>371</v>
      </c>
      <c r="E639" s="112" t="n">
        <v>46071</v>
      </c>
      <c r="F639" s="112" t="n">
        <v>46198</v>
      </c>
      <c r="G639" s="65" t="n">
        <v>3</v>
      </c>
      <c r="H639" s="65" t="s">
        <v>372</v>
      </c>
      <c r="I639" s="65" t="s">
        <v>367</v>
      </c>
      <c r="J639" s="65" t="s">
        <v>854</v>
      </c>
      <c r="K639" s="65" t="s">
        <v>581</v>
      </c>
      <c r="L639" s="65" t="s">
        <v>64</v>
      </c>
      <c r="M639" s="113" t="n">
        <v>1.49</v>
      </c>
      <c r="N639" s="114" t="n">
        <v>15000</v>
      </c>
      <c r="O639" s="114" t="n">
        <v>2100</v>
      </c>
      <c r="P639" s="114" t="n">
        <v>22350</v>
      </c>
      <c r="Q639" s="114" t="n">
        <v>22350</v>
      </c>
      <c r="R639" s="114" t="n">
        <v>0</v>
      </c>
      <c r="S639" s="115" t="n">
        <v>1</v>
      </c>
      <c r="T639" s="65" t="n">
        <v>2.951</v>
      </c>
      <c r="U639" s="65" t="n">
        <v>0</v>
      </c>
      <c r="V639" s="65" t="n">
        <v>41887.96</v>
      </c>
      <c r="W639" s="115" t="n">
        <v>0.1245</v>
      </c>
      <c r="X639" s="112" t="n">
        <v>45884</v>
      </c>
      <c r="Y639" s="65" t="str">
        <f aca="false">IF(I639="","No SIC",IFERROR(VLOOKUP(I639,Ref!$A$2:$B$65,2,FALSE()),"Unclassified"))</f>
        <v>Engineering, Accounting &amp; Management</v>
      </c>
      <c r="Z639" s="65" t="str">
        <f aca="false">IF(T639="","",IF(T639&lt;12,"Daily","Weekly"))</f>
        <v>Daily</v>
      </c>
      <c r="AA639" s="65" t="n">
        <f aca="false">IF(T639="",0,IF(T639&lt;12,T639*Controls!$B$29,T639*5))</f>
        <v>63.903905</v>
      </c>
      <c r="AB639" s="65" t="n">
        <f aca="false">IF(E639="",0,NETWORKDAYS(E639,Controls!$B$36,Ref!$K$2:$K$42))</f>
        <v>133</v>
      </c>
      <c r="AC639" s="65" t="n">
        <f aca="false">IF(AND(AA639&gt;0,AB639&gt;=Controls!$B$39*AA639),1,0)</f>
        <v>1</v>
      </c>
      <c r="AD639" s="65" t="n">
        <f aca="false">IF(AND(E639&lt;&gt;"",E639&gt;=Controls!$B$37,E639&lt;=Controls!$B$38),1,0)</f>
        <v>1</v>
      </c>
      <c r="AE639" s="65" t="n">
        <f aca="false">IF(IFERROR(VLOOKUP(D639,Controls!$A$64:$E$74,2,FALSE()),"No")="Yes",1,0)</f>
        <v>0</v>
      </c>
      <c r="AF639" s="65" t="n">
        <f aca="false">IF(IFERROR(VLOOKUP(D639,Controls!$A$64:$E$74,3,FALSE()),"No")="Yes",1,0)</f>
        <v>1</v>
      </c>
      <c r="AG639" s="65" t="n">
        <f aca="false">IF(IFERROR(VLOOKUP(D639,Controls!$A$64:$E$74,4,FALSE()),"No")="Yes",1,0)</f>
        <v>1</v>
      </c>
      <c r="AH639" s="65" t="n">
        <f aca="false">IF(IFERROR(VLOOKUP(D639,Controls!$A$64:$E$74,5,FALSE()),"No")="Yes",1,0)</f>
        <v>0</v>
      </c>
      <c r="AI639" s="65" t="n">
        <f aca="false">IF(ISNUMBER(MATCH(D639,Controls!$A$64:$A$74,0)),1,0)</f>
        <v>1</v>
      </c>
      <c r="AJ639" s="65" t="n">
        <f aca="false">Q639-N639</f>
        <v>7350</v>
      </c>
      <c r="AK639" s="65" t="n">
        <f aca="false">IF(AE639=1,MAX(0,N639-Q639),0)</f>
        <v>0</v>
      </c>
      <c r="AL639" s="65" t="n">
        <f aca="false">IF(OR(V639="",V639=0),0,N639/V639)</f>
        <v>0.358098126526095</v>
      </c>
      <c r="AM639" s="65" t="n">
        <f aca="false">IF(OR(V639="",V639=0),0,1)</f>
        <v>1</v>
      </c>
      <c r="AN639" s="65" t="n">
        <f aca="false">IF(OR(E639="",F639=""),0,NETWORKDAYS(E639,F639,Ref!$K$2:$K$42))</f>
        <v>90</v>
      </c>
      <c r="AO639" s="65" t="n">
        <f aca="false">IF(L639="Renewal",1,0)</f>
        <v>0</v>
      </c>
      <c r="AP639" s="65" t="n">
        <f aca="false">AC639*AD639</f>
        <v>1</v>
      </c>
      <c r="AQ639" s="65" t="n">
        <f aca="false">IF(AND(G639&lt;&gt;"",'Historical Score'!$C$6&lt;&gt;""),IF(G639='Historical Score'!$C$6,1,0),0)</f>
        <v>0</v>
      </c>
      <c r="AR639" s="65" t="n">
        <f aca="false">IF(AND(L639&lt;&gt;"",'Historical Score'!$C$5&lt;&gt;""),IF(L639='Historical Score'!$C$5,1,0),0)</f>
        <v>1</v>
      </c>
      <c r="AS639" s="65" t="n">
        <f aca="false">IF(AND(Y639&lt;&gt;"",'Historical Score'!$C$7&lt;&gt;""),IF(Y639='Historical Score'!$C$7,1,0),0)</f>
        <v>0</v>
      </c>
      <c r="AT639" s="65" t="n">
        <f aca="false">IF(AND(K639&lt;&gt;"",'Historical Score'!$C$8&lt;&gt;""),IF(K639='Historical Score'!$C$8,1,0),0)</f>
        <v>0</v>
      </c>
      <c r="AU639" s="65" t="n">
        <f aca="false">IF(AND(J639&lt;&gt;"",'Historical Score'!$C$9&lt;&gt;""),IF(J639='Historical Score'!$C$9,1,0),0)</f>
        <v>0</v>
      </c>
      <c r="AV639" s="65" t="n">
        <f aca="false">AR639*AS639*AQ639</f>
        <v>0</v>
      </c>
      <c r="AW639" s="65" t="n">
        <f aca="false">AR639*AT639*AQ639</f>
        <v>0</v>
      </c>
      <c r="AX639" s="65" t="n">
        <f aca="false">AR639*AS639</f>
        <v>0</v>
      </c>
      <c r="AY639" s="65" t="n">
        <f aca="false">AR639*AT639</f>
        <v>0</v>
      </c>
      <c r="AZ639" s="65" t="n">
        <f aca="false">AR639*AQ639</f>
        <v>0</v>
      </c>
      <c r="BA639" s="65" t="n">
        <f aca="false">AR639</f>
        <v>1</v>
      </c>
      <c r="BB639" s="65" t="n">
        <f aca="false">1</f>
        <v>1</v>
      </c>
      <c r="BC639" s="65" t="n">
        <f aca="false">IF(AV639=1,1,IF(AW639=1,2,IF(AX639=1,3,IF(AY639=1,4,IF(AZ639=1,5,IF(BA639=1,6,7))))))</f>
        <v>6</v>
      </c>
      <c r="BD639" s="65" t="n">
        <f aca="false">IF(AD639=1,CHOOSE('Historical Score'!$C$29,AV639,AW639,AX639,AY639,AZ639,BA639,BB639),0)</f>
        <v>0</v>
      </c>
      <c r="BE639" s="65" t="str">
        <f aca="false">IF(BD639=1,COUNTIF($BD$2:BD639,1),"")</f>
        <v/>
      </c>
    </row>
    <row r="640" customFormat="false" ht="15" hidden="false" customHeight="false" outlineLevel="0" collapsed="false">
      <c r="A640" s="65" t="s">
        <v>2186</v>
      </c>
      <c r="B640" s="65" t="s">
        <v>2187</v>
      </c>
      <c r="C640" s="65" t="s">
        <v>2188</v>
      </c>
      <c r="D640" s="65" t="s">
        <v>371</v>
      </c>
      <c r="E640" s="112" t="n">
        <v>46071</v>
      </c>
      <c r="F640" s="112" t="n">
        <v>46171</v>
      </c>
      <c r="G640" s="65" t="n">
        <v>2</v>
      </c>
      <c r="H640" s="65" t="s">
        <v>391</v>
      </c>
      <c r="I640" s="65" t="s">
        <v>392</v>
      </c>
      <c r="J640" s="65" t="s">
        <v>854</v>
      </c>
      <c r="K640" s="65" t="s">
        <v>2189</v>
      </c>
      <c r="L640" s="65" t="s">
        <v>64</v>
      </c>
      <c r="M640" s="113" t="n">
        <v>1.49</v>
      </c>
      <c r="N640" s="114" t="n">
        <v>100000</v>
      </c>
      <c r="O640" s="114" t="n">
        <v>14000</v>
      </c>
      <c r="P640" s="114" t="n">
        <v>149000</v>
      </c>
      <c r="Q640" s="114" t="n">
        <v>149000</v>
      </c>
      <c r="R640" s="114" t="n">
        <v>0</v>
      </c>
      <c r="S640" s="115" t="n">
        <v>1</v>
      </c>
      <c r="T640" s="65" t="n">
        <v>25</v>
      </c>
      <c r="U640" s="65" t="n">
        <v>1</v>
      </c>
      <c r="V640" s="65" t="n">
        <v>377550.59</v>
      </c>
      <c r="W640" s="115" t="n">
        <v>0.0631</v>
      </c>
      <c r="X640" s="112" t="n">
        <v>43520</v>
      </c>
      <c r="Y640" s="65" t="str">
        <f aca="false">IF(I640="","No SIC",IFERROR(VLOOKUP(I640,Ref!$A$2:$B$65,2,FALSE()),"Unclassified"))</f>
        <v>Real Estate</v>
      </c>
      <c r="Z640" s="65" t="str">
        <f aca="false">IF(T640="","",IF(T640&lt;12,"Daily","Weekly"))</f>
        <v>Weekly</v>
      </c>
      <c r="AA640" s="65" t="n">
        <f aca="false">IF(T640="",0,IF(T640&lt;12,T640*Controls!$B$29,T640*5))</f>
        <v>125</v>
      </c>
      <c r="AB640" s="65" t="n">
        <f aca="false">IF(E640="",0,NETWORKDAYS(E640,Controls!$B$36,Ref!$K$2:$K$42))</f>
        <v>133</v>
      </c>
      <c r="AC640" s="65" t="n">
        <f aca="false">IF(AND(AA640&gt;0,AB640&gt;=Controls!$B$39*AA640),1,0)</f>
        <v>0</v>
      </c>
      <c r="AD640" s="65" t="n">
        <f aca="false">IF(AND(E640&lt;&gt;"",E640&gt;=Controls!$B$37,E640&lt;=Controls!$B$38),1,0)</f>
        <v>1</v>
      </c>
      <c r="AE640" s="65" t="n">
        <f aca="false">IF(IFERROR(VLOOKUP(D640,Controls!$A$64:$E$74,2,FALSE()),"No")="Yes",1,0)</f>
        <v>0</v>
      </c>
      <c r="AF640" s="65" t="n">
        <f aca="false">IF(IFERROR(VLOOKUP(D640,Controls!$A$64:$E$74,3,FALSE()),"No")="Yes",1,0)</f>
        <v>1</v>
      </c>
      <c r="AG640" s="65" t="n">
        <f aca="false">IF(IFERROR(VLOOKUP(D640,Controls!$A$64:$E$74,4,FALSE()),"No")="Yes",1,0)</f>
        <v>1</v>
      </c>
      <c r="AH640" s="65" t="n">
        <f aca="false">IF(IFERROR(VLOOKUP(D640,Controls!$A$64:$E$74,5,FALSE()),"No")="Yes",1,0)</f>
        <v>0</v>
      </c>
      <c r="AI640" s="65" t="n">
        <f aca="false">IF(ISNUMBER(MATCH(D640,Controls!$A$64:$A$74,0)),1,0)</f>
        <v>1</v>
      </c>
      <c r="AJ640" s="65" t="n">
        <f aca="false">Q640-N640</f>
        <v>49000</v>
      </c>
      <c r="AK640" s="65" t="n">
        <f aca="false">IF(AE640=1,MAX(0,N640-Q640),0)</f>
        <v>0</v>
      </c>
      <c r="AL640" s="65" t="n">
        <f aca="false">IF(OR(V640="",V640=0),0,N640/V640)</f>
        <v>0.264865166811155</v>
      </c>
      <c r="AM640" s="65" t="n">
        <f aca="false">IF(OR(V640="",V640=0),0,1)</f>
        <v>1</v>
      </c>
      <c r="AN640" s="65" t="n">
        <f aca="false">IF(OR(E640="",F640=""),0,NETWORKDAYS(E640,F640,Ref!$K$2:$K$42))</f>
        <v>72</v>
      </c>
      <c r="AO640" s="65" t="n">
        <f aca="false">IF(L640="Renewal",1,0)</f>
        <v>0</v>
      </c>
      <c r="AP640" s="65" t="n">
        <f aca="false">AC640*AD640</f>
        <v>0</v>
      </c>
      <c r="AQ640" s="65" t="n">
        <f aca="false">IF(AND(G640&lt;&gt;"",'Historical Score'!$C$6&lt;&gt;""),IF(G640='Historical Score'!$C$6,1,0),0)</f>
        <v>1</v>
      </c>
      <c r="AR640" s="65" t="n">
        <f aca="false">IF(AND(L640&lt;&gt;"",'Historical Score'!$C$5&lt;&gt;""),IF(L640='Historical Score'!$C$5,1,0),0)</f>
        <v>1</v>
      </c>
      <c r="AS640" s="65" t="n">
        <f aca="false">IF(AND(Y640&lt;&gt;"",'Historical Score'!$C$7&lt;&gt;""),IF(Y640='Historical Score'!$C$7,1,0),0)</f>
        <v>0</v>
      </c>
      <c r="AT640" s="65" t="n">
        <f aca="false">IF(AND(K640&lt;&gt;"",'Historical Score'!$C$8&lt;&gt;""),IF(K640='Historical Score'!$C$8,1,0),0)</f>
        <v>0</v>
      </c>
      <c r="AU640" s="65" t="n">
        <f aca="false">IF(AND(J640&lt;&gt;"",'Historical Score'!$C$9&lt;&gt;""),IF(J640='Historical Score'!$C$9,1,0),0)</f>
        <v>0</v>
      </c>
      <c r="AV640" s="65" t="n">
        <f aca="false">AR640*AS640*AQ640</f>
        <v>0</v>
      </c>
      <c r="AW640" s="65" t="n">
        <f aca="false">AR640*AT640*AQ640</f>
        <v>0</v>
      </c>
      <c r="AX640" s="65" t="n">
        <f aca="false">AR640*AS640</f>
        <v>0</v>
      </c>
      <c r="AY640" s="65" t="n">
        <f aca="false">AR640*AT640</f>
        <v>0</v>
      </c>
      <c r="AZ640" s="65" t="n">
        <f aca="false">AR640*AQ640</f>
        <v>1</v>
      </c>
      <c r="BA640" s="65" t="n">
        <f aca="false">AR640</f>
        <v>1</v>
      </c>
      <c r="BB640" s="65" t="n">
        <f aca="false">1</f>
        <v>1</v>
      </c>
      <c r="BC640" s="65" t="n">
        <f aca="false">IF(AV640=1,1,IF(AW640=1,2,IF(AX640=1,3,IF(AY640=1,4,IF(AZ640=1,5,IF(BA640=1,6,7))))))</f>
        <v>5</v>
      </c>
      <c r="BD640" s="65" t="n">
        <f aca="false">IF(AD640=1,CHOOSE('Historical Score'!$C$29,AV640,AW640,AX640,AY640,AZ640,BA640,BB640),0)</f>
        <v>0</v>
      </c>
      <c r="BE640" s="65" t="str">
        <f aca="false">IF(BD640=1,COUNTIF($BD$2:BD640,1),"")</f>
        <v/>
      </c>
    </row>
    <row r="641" customFormat="false" ht="15" hidden="false" customHeight="false" outlineLevel="0" collapsed="false">
      <c r="A641" s="65" t="s">
        <v>2190</v>
      </c>
      <c r="B641" s="65" t="s">
        <v>2191</v>
      </c>
      <c r="C641" s="65" t="s">
        <v>2191</v>
      </c>
      <c r="D641" s="65" t="s">
        <v>340</v>
      </c>
      <c r="E641" s="112" t="n">
        <v>46072</v>
      </c>
      <c r="F641" s="112" t="n">
        <v>46083</v>
      </c>
      <c r="G641" s="65" t="n">
        <v>3</v>
      </c>
      <c r="H641" s="65" t="s">
        <v>409</v>
      </c>
      <c r="I641" s="65" t="s">
        <v>342</v>
      </c>
      <c r="J641" s="65" t="s">
        <v>555</v>
      </c>
      <c r="K641" s="65" t="s">
        <v>55</v>
      </c>
      <c r="L641" s="65" t="s">
        <v>64</v>
      </c>
      <c r="M641" s="113" t="n">
        <v>1.49</v>
      </c>
      <c r="N641" s="114" t="n">
        <v>25000</v>
      </c>
      <c r="O641" s="114" t="n">
        <v>0</v>
      </c>
      <c r="P641" s="114" t="n">
        <v>37250</v>
      </c>
      <c r="Q641" s="114" t="n">
        <v>1117.35</v>
      </c>
      <c r="R641" s="114" t="n">
        <v>36132.65</v>
      </c>
      <c r="S641" s="115" t="n">
        <v>0.0299959731543624</v>
      </c>
      <c r="T641" s="65" t="n">
        <v>3.279</v>
      </c>
      <c r="U641" s="65" t="n">
        <v>4</v>
      </c>
      <c r="V641" s="65" t="n">
        <v>67136.31</v>
      </c>
      <c r="W641" s="115" t="n">
        <v>0.1165</v>
      </c>
      <c r="X641" s="112" t="n">
        <v>45816</v>
      </c>
      <c r="Y641" s="65" t="str">
        <f aca="false">IF(I641="","No SIC",IFERROR(VLOOKUP(I641,Ref!$A$2:$B$65,2,FALSE()),"Unclassified"))</f>
        <v>Eating &amp; Drinking Places</v>
      </c>
      <c r="Z641" s="65" t="str">
        <f aca="false">IF(T641="","",IF(T641&lt;12,"Daily","Weekly"))</f>
        <v>Daily</v>
      </c>
      <c r="AA641" s="65" t="n">
        <f aca="false">IF(T641="",0,IF(T641&lt;12,T641*Controls!$B$29,T641*5))</f>
        <v>71.006745</v>
      </c>
      <c r="AB641" s="65" t="n">
        <f aca="false">IF(E641="",0,NETWORKDAYS(E641,Controls!$B$36,Ref!$K$2:$K$42))</f>
        <v>132</v>
      </c>
      <c r="AC641" s="65" t="n">
        <f aca="false">IF(AND(AA641&gt;0,AB641&gt;=Controls!$B$39*AA641),1,0)</f>
        <v>1</v>
      </c>
      <c r="AD641" s="65" t="n">
        <f aca="false">IF(AND(E641&lt;&gt;"",E641&gt;=Controls!$B$37,E641&lt;=Controls!$B$38),1,0)</f>
        <v>1</v>
      </c>
      <c r="AE641" s="65" t="n">
        <f aca="false">IF(IFERROR(VLOOKUP(D641,Controls!$A$64:$E$74,2,FALSE()),"No")="Yes",1,0)</f>
        <v>1</v>
      </c>
      <c r="AF641" s="65" t="n">
        <f aca="false">IF(IFERROR(VLOOKUP(D641,Controls!$A$64:$E$74,3,FALSE()),"No")="Yes",1,0)</f>
        <v>0</v>
      </c>
      <c r="AG641" s="65" t="n">
        <f aca="false">IF(IFERROR(VLOOKUP(D641,Controls!$A$64:$E$74,4,FALSE()),"No")="Yes",1,0)</f>
        <v>0</v>
      </c>
      <c r="AH641" s="65" t="n">
        <f aca="false">IF(IFERROR(VLOOKUP(D641,Controls!$A$64:$E$74,5,FALSE()),"No")="Yes",1,0)</f>
        <v>0</v>
      </c>
      <c r="AI641" s="65" t="n">
        <f aca="false">IF(ISNUMBER(MATCH(D641,Controls!$A$64:$A$74,0)),1,0)</f>
        <v>1</v>
      </c>
      <c r="AJ641" s="65" t="n">
        <f aca="false">Q641-N641</f>
        <v>-23882.65</v>
      </c>
      <c r="AK641" s="65" t="n">
        <f aca="false">IF(AE641=1,MAX(0,N641-Q641),0)</f>
        <v>23882.65</v>
      </c>
      <c r="AL641" s="65" t="n">
        <f aca="false">IF(OR(V641="",V641=0),0,N641/V641)</f>
        <v>0.372376736225152</v>
      </c>
      <c r="AM641" s="65" t="n">
        <f aca="false">IF(OR(V641="",V641=0),0,1)</f>
        <v>1</v>
      </c>
      <c r="AN641" s="65" t="n">
        <f aca="false">IF(OR(E641="",F641=""),0,NETWORKDAYS(E641,F641,Ref!$K$2:$K$42))</f>
        <v>8</v>
      </c>
      <c r="AO641" s="65" t="n">
        <f aca="false">IF(L641="Renewal",1,0)</f>
        <v>0</v>
      </c>
      <c r="AP641" s="65" t="n">
        <f aca="false">AC641*AD641</f>
        <v>1</v>
      </c>
      <c r="AQ641" s="65" t="n">
        <f aca="false">IF(AND(G641&lt;&gt;"",'Historical Score'!$C$6&lt;&gt;""),IF(G641='Historical Score'!$C$6,1,0),0)</f>
        <v>0</v>
      </c>
      <c r="AR641" s="65" t="n">
        <f aca="false">IF(AND(L641&lt;&gt;"",'Historical Score'!$C$5&lt;&gt;""),IF(L641='Historical Score'!$C$5,1,0),0)</f>
        <v>1</v>
      </c>
      <c r="AS641" s="65" t="n">
        <f aca="false">IF(AND(Y641&lt;&gt;"",'Historical Score'!$C$7&lt;&gt;""),IF(Y641='Historical Score'!$C$7,1,0),0)</f>
        <v>0</v>
      </c>
      <c r="AT641" s="65" t="n">
        <f aca="false">IF(AND(K641&lt;&gt;"",'Historical Score'!$C$8&lt;&gt;""),IF(K641='Historical Score'!$C$8,1,0),0)</f>
        <v>1</v>
      </c>
      <c r="AU641" s="65" t="n">
        <f aca="false">IF(AND(J641&lt;&gt;"",'Historical Score'!$C$9&lt;&gt;""),IF(J641='Historical Score'!$C$9,1,0),0)</f>
        <v>0</v>
      </c>
      <c r="AV641" s="65" t="n">
        <f aca="false">AR641*AS641*AQ641</f>
        <v>0</v>
      </c>
      <c r="AW641" s="65" t="n">
        <f aca="false">AR641*AT641*AQ641</f>
        <v>0</v>
      </c>
      <c r="AX641" s="65" t="n">
        <f aca="false">AR641*AS641</f>
        <v>0</v>
      </c>
      <c r="AY641" s="65" t="n">
        <f aca="false">AR641*AT641</f>
        <v>1</v>
      </c>
      <c r="AZ641" s="65" t="n">
        <f aca="false">AR641*AQ641</f>
        <v>0</v>
      </c>
      <c r="BA641" s="65" t="n">
        <f aca="false">AR641</f>
        <v>1</v>
      </c>
      <c r="BB641" s="65" t="n">
        <f aca="false">1</f>
        <v>1</v>
      </c>
      <c r="BC641" s="65" t="n">
        <f aca="false">IF(AV641=1,1,IF(AW641=1,2,IF(AX641=1,3,IF(AY641=1,4,IF(AZ641=1,5,IF(BA641=1,6,7))))))</f>
        <v>4</v>
      </c>
      <c r="BD641" s="65" t="n">
        <f aca="false">IF(AD641=1,CHOOSE('Historical Score'!$C$29,AV641,AW641,AX641,AY641,AZ641,BA641,BB641),0)</f>
        <v>0</v>
      </c>
      <c r="BE641" s="65" t="str">
        <f aca="false">IF(BD641=1,COUNTIF($BD$2:BD641,1),"")</f>
        <v/>
      </c>
    </row>
    <row r="642" customFormat="false" ht="15" hidden="false" customHeight="false" outlineLevel="0" collapsed="false">
      <c r="A642" s="65" t="s">
        <v>2192</v>
      </c>
      <c r="B642" s="65" t="s">
        <v>2193</v>
      </c>
      <c r="C642" s="65" t="s">
        <v>2193</v>
      </c>
      <c r="D642" s="65" t="s">
        <v>340</v>
      </c>
      <c r="E642" s="112" t="n">
        <v>46072</v>
      </c>
      <c r="F642" s="112" t="n">
        <v>46149</v>
      </c>
      <c r="G642" s="65" t="n">
        <v>3</v>
      </c>
      <c r="H642" s="65" t="s">
        <v>442</v>
      </c>
      <c r="I642" s="65" t="s">
        <v>443</v>
      </c>
      <c r="J642" s="65" t="s">
        <v>373</v>
      </c>
      <c r="K642" s="65" t="s">
        <v>374</v>
      </c>
      <c r="L642" s="65" t="s">
        <v>64</v>
      </c>
      <c r="M642" s="113" t="n">
        <v>1.49</v>
      </c>
      <c r="N642" s="114" t="n">
        <v>25000</v>
      </c>
      <c r="O642" s="114" t="n">
        <v>0</v>
      </c>
      <c r="P642" s="114" t="n">
        <v>37250</v>
      </c>
      <c r="Q642" s="114" t="n">
        <v>4346.05</v>
      </c>
      <c r="R642" s="114" t="n">
        <v>32903.95</v>
      </c>
      <c r="S642" s="115" t="n">
        <v>0.116672483221477</v>
      </c>
      <c r="T642" s="65" t="n">
        <v>2.951</v>
      </c>
      <c r="U642" s="65" t="n">
        <v>40</v>
      </c>
      <c r="V642" s="65" t="n">
        <v>80000</v>
      </c>
      <c r="W642" s="115" t="n">
        <v>0.0945</v>
      </c>
      <c r="X642" s="112" t="n">
        <v>42736</v>
      </c>
      <c r="Y642" s="65" t="str">
        <f aca="false">IF(I642="","No SIC",IFERROR(VLOOKUP(I642,Ref!$A$2:$B$65,2,FALSE()),"Unclassified"))</f>
        <v>General Building Contractors</v>
      </c>
      <c r="Z642" s="65" t="str">
        <f aca="false">IF(T642="","",IF(T642&lt;12,"Daily","Weekly"))</f>
        <v>Daily</v>
      </c>
      <c r="AA642" s="65" t="n">
        <f aca="false">IF(T642="",0,IF(T642&lt;12,T642*Controls!$B$29,T642*5))</f>
        <v>63.903905</v>
      </c>
      <c r="AB642" s="65" t="n">
        <f aca="false">IF(E642="",0,NETWORKDAYS(E642,Controls!$B$36,Ref!$K$2:$K$42))</f>
        <v>132</v>
      </c>
      <c r="AC642" s="65" t="n">
        <f aca="false">IF(AND(AA642&gt;0,AB642&gt;=Controls!$B$39*AA642),1,0)</f>
        <v>1</v>
      </c>
      <c r="AD642" s="65" t="n">
        <f aca="false">IF(AND(E642&lt;&gt;"",E642&gt;=Controls!$B$37,E642&lt;=Controls!$B$38),1,0)</f>
        <v>1</v>
      </c>
      <c r="AE642" s="65" t="n">
        <f aca="false">IF(IFERROR(VLOOKUP(D642,Controls!$A$64:$E$74,2,FALSE()),"No")="Yes",1,0)</f>
        <v>1</v>
      </c>
      <c r="AF642" s="65" t="n">
        <f aca="false">IF(IFERROR(VLOOKUP(D642,Controls!$A$64:$E$74,3,FALSE()),"No")="Yes",1,0)</f>
        <v>0</v>
      </c>
      <c r="AG642" s="65" t="n">
        <f aca="false">IF(IFERROR(VLOOKUP(D642,Controls!$A$64:$E$74,4,FALSE()),"No")="Yes",1,0)</f>
        <v>0</v>
      </c>
      <c r="AH642" s="65" t="n">
        <f aca="false">IF(IFERROR(VLOOKUP(D642,Controls!$A$64:$E$74,5,FALSE()),"No")="Yes",1,0)</f>
        <v>0</v>
      </c>
      <c r="AI642" s="65" t="n">
        <f aca="false">IF(ISNUMBER(MATCH(D642,Controls!$A$64:$A$74,0)),1,0)</f>
        <v>1</v>
      </c>
      <c r="AJ642" s="65" t="n">
        <f aca="false">Q642-N642</f>
        <v>-20653.95</v>
      </c>
      <c r="AK642" s="65" t="n">
        <f aca="false">IF(AE642=1,MAX(0,N642-Q642),0)</f>
        <v>20653.95</v>
      </c>
      <c r="AL642" s="65" t="n">
        <f aca="false">IF(OR(V642="",V642=0),0,N642/V642)</f>
        <v>0.3125</v>
      </c>
      <c r="AM642" s="65" t="n">
        <f aca="false">IF(OR(V642="",V642=0),0,1)</f>
        <v>1</v>
      </c>
      <c r="AN642" s="65" t="n">
        <f aca="false">IF(OR(E642="",F642=""),0,NETWORKDAYS(E642,F642,Ref!$K$2:$K$42))</f>
        <v>56</v>
      </c>
      <c r="AO642" s="65" t="n">
        <f aca="false">IF(L642="Renewal",1,0)</f>
        <v>0</v>
      </c>
      <c r="AP642" s="65" t="n">
        <f aca="false">AC642*AD642</f>
        <v>1</v>
      </c>
      <c r="AQ642" s="65" t="n">
        <f aca="false">IF(AND(G642&lt;&gt;"",'Historical Score'!$C$6&lt;&gt;""),IF(G642='Historical Score'!$C$6,1,0),0)</f>
        <v>0</v>
      </c>
      <c r="AR642" s="65" t="n">
        <f aca="false">IF(AND(L642&lt;&gt;"",'Historical Score'!$C$5&lt;&gt;""),IF(L642='Historical Score'!$C$5,1,0),0)</f>
        <v>1</v>
      </c>
      <c r="AS642" s="65" t="n">
        <f aca="false">IF(AND(Y642&lt;&gt;"",'Historical Score'!$C$7&lt;&gt;""),IF(Y642='Historical Score'!$C$7,1,0),0)</f>
        <v>1</v>
      </c>
      <c r="AT642" s="65" t="n">
        <f aca="false">IF(AND(K642&lt;&gt;"",'Historical Score'!$C$8&lt;&gt;""),IF(K642='Historical Score'!$C$8,1,0),0)</f>
        <v>0</v>
      </c>
      <c r="AU642" s="65" t="n">
        <f aca="false">IF(AND(J642&lt;&gt;"",'Historical Score'!$C$9&lt;&gt;""),IF(J642='Historical Score'!$C$9,1,0),0)</f>
        <v>0</v>
      </c>
      <c r="AV642" s="65" t="n">
        <f aca="false">AR642*AS642*AQ642</f>
        <v>0</v>
      </c>
      <c r="AW642" s="65" t="n">
        <f aca="false">AR642*AT642*AQ642</f>
        <v>0</v>
      </c>
      <c r="AX642" s="65" t="n">
        <f aca="false">AR642*AS642</f>
        <v>1</v>
      </c>
      <c r="AY642" s="65" t="n">
        <f aca="false">AR642*AT642</f>
        <v>0</v>
      </c>
      <c r="AZ642" s="65" t="n">
        <f aca="false">AR642*AQ642</f>
        <v>0</v>
      </c>
      <c r="BA642" s="65" t="n">
        <f aca="false">AR642</f>
        <v>1</v>
      </c>
      <c r="BB642" s="65" t="n">
        <f aca="false">1</f>
        <v>1</v>
      </c>
      <c r="BC642" s="65" t="n">
        <f aca="false">IF(AV642=1,1,IF(AW642=1,2,IF(AX642=1,3,IF(AY642=1,4,IF(AZ642=1,5,IF(BA642=1,6,7))))))</f>
        <v>3</v>
      </c>
      <c r="BD642" s="65" t="n">
        <f aca="false">IF(AD642=1,CHOOSE('Historical Score'!$C$29,AV642,AW642,AX642,AY642,AZ642,BA642,BB642),0)</f>
        <v>0</v>
      </c>
      <c r="BE642" s="65" t="str">
        <f aca="false">IF(BD642=1,COUNTIF($BD$2:BD642,1),"")</f>
        <v/>
      </c>
    </row>
    <row r="643" customFormat="false" ht="15" hidden="false" customHeight="false" outlineLevel="0" collapsed="false">
      <c r="A643" s="65" t="s">
        <v>2194</v>
      </c>
      <c r="B643" s="65" t="s">
        <v>2195</v>
      </c>
      <c r="C643" s="65" t="s">
        <v>2195</v>
      </c>
      <c r="D643" s="65" t="s">
        <v>371</v>
      </c>
      <c r="E643" s="112" t="n">
        <v>46072</v>
      </c>
      <c r="F643" s="112" t="n">
        <v>46127</v>
      </c>
      <c r="G643" s="65" t="n">
        <v>2</v>
      </c>
      <c r="H643" s="65" t="s">
        <v>2196</v>
      </c>
      <c r="I643" s="65" t="s">
        <v>362</v>
      </c>
      <c r="J643" s="65" t="s">
        <v>350</v>
      </c>
      <c r="K643" s="65" t="s">
        <v>961</v>
      </c>
      <c r="L643" s="65" t="s">
        <v>64</v>
      </c>
      <c r="M643" s="113" t="n">
        <v>1.36</v>
      </c>
      <c r="N643" s="114" t="n">
        <v>275000</v>
      </c>
      <c r="O643" s="114" t="n">
        <v>27500</v>
      </c>
      <c r="P643" s="114" t="n">
        <v>374000</v>
      </c>
      <c r="Q643" s="114" t="n">
        <v>374000</v>
      </c>
      <c r="R643" s="114" t="n">
        <v>0</v>
      </c>
      <c r="S643" s="115" t="n">
        <v>1</v>
      </c>
      <c r="T643" s="65" t="n">
        <v>52</v>
      </c>
      <c r="U643" s="65" t="n">
        <v>1</v>
      </c>
      <c r="V643" s="65" t="n">
        <v>4622375.62</v>
      </c>
      <c r="W643" s="115" t="n">
        <v>0.0325</v>
      </c>
      <c r="X643" s="112" t="n">
        <v>32082</v>
      </c>
      <c r="Y643" s="65" t="str">
        <f aca="false">IF(I643="","No SIC",IFERROR(VLOOKUP(I643,Ref!$A$2:$B$65,2,FALSE()),"Unclassified"))</f>
        <v>Chemicals &amp; Allied Products</v>
      </c>
      <c r="Z643" s="65" t="str">
        <f aca="false">IF(T643="","",IF(T643&lt;12,"Daily","Weekly"))</f>
        <v>Weekly</v>
      </c>
      <c r="AA643" s="65" t="n">
        <f aca="false">IF(T643="",0,IF(T643&lt;12,T643*Controls!$B$29,T643*5))</f>
        <v>260</v>
      </c>
      <c r="AB643" s="65" t="n">
        <f aca="false">IF(E643="",0,NETWORKDAYS(E643,Controls!$B$36,Ref!$K$2:$K$42))</f>
        <v>132</v>
      </c>
      <c r="AC643" s="65" t="n">
        <f aca="false">IF(AND(AA643&gt;0,AB643&gt;=Controls!$B$39*AA643),1,0)</f>
        <v>0</v>
      </c>
      <c r="AD643" s="65" t="n">
        <f aca="false">IF(AND(E643&lt;&gt;"",E643&gt;=Controls!$B$37,E643&lt;=Controls!$B$38),1,0)</f>
        <v>1</v>
      </c>
      <c r="AE643" s="65" t="n">
        <f aca="false">IF(IFERROR(VLOOKUP(D643,Controls!$A$64:$E$74,2,FALSE()),"No")="Yes",1,0)</f>
        <v>0</v>
      </c>
      <c r="AF643" s="65" t="n">
        <f aca="false">IF(IFERROR(VLOOKUP(D643,Controls!$A$64:$E$74,3,FALSE()),"No")="Yes",1,0)</f>
        <v>1</v>
      </c>
      <c r="AG643" s="65" t="n">
        <f aca="false">IF(IFERROR(VLOOKUP(D643,Controls!$A$64:$E$74,4,FALSE()),"No")="Yes",1,0)</f>
        <v>1</v>
      </c>
      <c r="AH643" s="65" t="n">
        <f aca="false">IF(IFERROR(VLOOKUP(D643,Controls!$A$64:$E$74,5,FALSE()),"No")="Yes",1,0)</f>
        <v>0</v>
      </c>
      <c r="AI643" s="65" t="n">
        <f aca="false">IF(ISNUMBER(MATCH(D643,Controls!$A$64:$A$74,0)),1,0)</f>
        <v>1</v>
      </c>
      <c r="AJ643" s="65" t="n">
        <f aca="false">Q643-N643</f>
        <v>99000</v>
      </c>
      <c r="AK643" s="65" t="n">
        <f aca="false">IF(AE643=1,MAX(0,N643-Q643),0)</f>
        <v>0</v>
      </c>
      <c r="AL643" s="65" t="n">
        <f aca="false">IF(OR(V643="",V643=0),0,N643/V643)</f>
        <v>0.0594932179051256</v>
      </c>
      <c r="AM643" s="65" t="n">
        <f aca="false">IF(OR(V643="",V643=0),0,1)</f>
        <v>1</v>
      </c>
      <c r="AN643" s="65" t="n">
        <f aca="false">IF(OR(E643="",F643=""),0,NETWORKDAYS(E643,F643,Ref!$K$2:$K$42))</f>
        <v>40</v>
      </c>
      <c r="AO643" s="65" t="n">
        <f aca="false">IF(L643="Renewal",1,0)</f>
        <v>0</v>
      </c>
      <c r="AP643" s="65" t="n">
        <f aca="false">AC643*AD643</f>
        <v>0</v>
      </c>
      <c r="AQ643" s="65" t="n">
        <f aca="false">IF(AND(G643&lt;&gt;"",'Historical Score'!$C$6&lt;&gt;""),IF(G643='Historical Score'!$C$6,1,0),0)</f>
        <v>1</v>
      </c>
      <c r="AR643" s="65" t="n">
        <f aca="false">IF(AND(L643&lt;&gt;"",'Historical Score'!$C$5&lt;&gt;""),IF(L643='Historical Score'!$C$5,1,0),0)</f>
        <v>1</v>
      </c>
      <c r="AS643" s="65" t="n">
        <f aca="false">IF(AND(Y643&lt;&gt;"",'Historical Score'!$C$7&lt;&gt;""),IF(Y643='Historical Score'!$C$7,1,0),0)</f>
        <v>0</v>
      </c>
      <c r="AT643" s="65" t="n">
        <f aca="false">IF(AND(K643&lt;&gt;"",'Historical Score'!$C$8&lt;&gt;""),IF(K643='Historical Score'!$C$8,1,0),0)</f>
        <v>0</v>
      </c>
      <c r="AU643" s="65" t="n">
        <f aca="false">IF(AND(J643&lt;&gt;"",'Historical Score'!$C$9&lt;&gt;""),IF(J643='Historical Score'!$C$9,1,0),0)</f>
        <v>0</v>
      </c>
      <c r="AV643" s="65" t="n">
        <f aca="false">AR643*AS643*AQ643</f>
        <v>0</v>
      </c>
      <c r="AW643" s="65" t="n">
        <f aca="false">AR643*AT643*AQ643</f>
        <v>0</v>
      </c>
      <c r="AX643" s="65" t="n">
        <f aca="false">AR643*AS643</f>
        <v>0</v>
      </c>
      <c r="AY643" s="65" t="n">
        <f aca="false">AR643*AT643</f>
        <v>0</v>
      </c>
      <c r="AZ643" s="65" t="n">
        <f aca="false">AR643*AQ643</f>
        <v>1</v>
      </c>
      <c r="BA643" s="65" t="n">
        <f aca="false">AR643</f>
        <v>1</v>
      </c>
      <c r="BB643" s="65" t="n">
        <f aca="false">1</f>
        <v>1</v>
      </c>
      <c r="BC643" s="65" t="n">
        <f aca="false">IF(AV643=1,1,IF(AW643=1,2,IF(AX643=1,3,IF(AY643=1,4,IF(AZ643=1,5,IF(BA643=1,6,7))))))</f>
        <v>5</v>
      </c>
      <c r="BD643" s="65" t="n">
        <f aca="false">IF(AD643=1,CHOOSE('Historical Score'!$C$29,AV643,AW643,AX643,AY643,AZ643,BA643,BB643),0)</f>
        <v>0</v>
      </c>
      <c r="BE643" s="65" t="str">
        <f aca="false">IF(BD643=1,COUNTIF($BD$2:BD643,1),"")</f>
        <v/>
      </c>
    </row>
    <row r="644" customFormat="false" ht="15" hidden="false" customHeight="false" outlineLevel="0" collapsed="false">
      <c r="A644" s="65" t="s">
        <v>2197</v>
      </c>
      <c r="B644" s="65" t="s">
        <v>1186</v>
      </c>
      <c r="C644" s="65" t="s">
        <v>1186</v>
      </c>
      <c r="D644" s="65" t="s">
        <v>371</v>
      </c>
      <c r="E644" s="112" t="n">
        <v>46073</v>
      </c>
      <c r="F644" s="112" t="n">
        <v>46136</v>
      </c>
      <c r="G644" s="65" t="n">
        <v>3</v>
      </c>
      <c r="H644" s="65" t="s">
        <v>2198</v>
      </c>
      <c r="I644" s="65" t="s">
        <v>2055</v>
      </c>
      <c r="J644" s="65" t="s">
        <v>772</v>
      </c>
      <c r="K644" s="65" t="s">
        <v>2199</v>
      </c>
      <c r="L644" s="65" t="s">
        <v>320</v>
      </c>
      <c r="M644" s="113" t="n">
        <v>1.32024</v>
      </c>
      <c r="N644" s="114" t="n">
        <v>25000</v>
      </c>
      <c r="O644" s="114" t="n">
        <v>2125</v>
      </c>
      <c r="P644" s="114" t="n">
        <v>33006</v>
      </c>
      <c r="Q644" s="114" t="n">
        <v>33006</v>
      </c>
      <c r="R644" s="114" t="n">
        <v>0</v>
      </c>
      <c r="S644" s="115" t="n">
        <v>1</v>
      </c>
      <c r="T644" s="65" t="n">
        <v>30</v>
      </c>
      <c r="U644" s="65" t="n">
        <v>0</v>
      </c>
      <c r="V644" s="65" t="n">
        <v>120000</v>
      </c>
      <c r="W644" s="115" t="n">
        <v>0.1248</v>
      </c>
      <c r="X644" s="112" t="n">
        <v>42644</v>
      </c>
      <c r="Y644" s="65" t="str">
        <f aca="false">IF(I644="","No SIC",IFERROR(VLOOKUP(I644,Ref!$A$2:$B$65,2,FALSE()),"Unclassified"))</f>
        <v>Water Transportation</v>
      </c>
      <c r="Z644" s="65" t="str">
        <f aca="false">IF(T644="","",IF(T644&lt;12,"Daily","Weekly"))</f>
        <v>Weekly</v>
      </c>
      <c r="AA644" s="65" t="n">
        <f aca="false">IF(T644="",0,IF(T644&lt;12,T644*Controls!$B$29,T644*5))</f>
        <v>150</v>
      </c>
      <c r="AB644" s="65" t="n">
        <f aca="false">IF(E644="",0,NETWORKDAYS(E644,Controls!$B$36,Ref!$K$2:$K$42))</f>
        <v>131</v>
      </c>
      <c r="AC644" s="65" t="n">
        <f aca="false">IF(AND(AA644&gt;0,AB644&gt;=Controls!$B$39*AA644),1,0)</f>
        <v>0</v>
      </c>
      <c r="AD644" s="65" t="n">
        <f aca="false">IF(AND(E644&lt;&gt;"",E644&gt;=Controls!$B$37,E644&lt;=Controls!$B$38),1,0)</f>
        <v>1</v>
      </c>
      <c r="AE644" s="65" t="n">
        <f aca="false">IF(IFERROR(VLOOKUP(D644,Controls!$A$64:$E$74,2,FALSE()),"No")="Yes",1,0)</f>
        <v>0</v>
      </c>
      <c r="AF644" s="65" t="n">
        <f aca="false">IF(IFERROR(VLOOKUP(D644,Controls!$A$64:$E$74,3,FALSE()),"No")="Yes",1,0)</f>
        <v>1</v>
      </c>
      <c r="AG644" s="65" t="n">
        <f aca="false">IF(IFERROR(VLOOKUP(D644,Controls!$A$64:$E$74,4,FALSE()),"No")="Yes",1,0)</f>
        <v>1</v>
      </c>
      <c r="AH644" s="65" t="n">
        <f aca="false">IF(IFERROR(VLOOKUP(D644,Controls!$A$64:$E$74,5,FALSE()),"No")="Yes",1,0)</f>
        <v>0</v>
      </c>
      <c r="AI644" s="65" t="n">
        <f aca="false">IF(ISNUMBER(MATCH(D644,Controls!$A$64:$A$74,0)),1,0)</f>
        <v>1</v>
      </c>
      <c r="AJ644" s="65" t="n">
        <f aca="false">Q644-N644</f>
        <v>8006</v>
      </c>
      <c r="AK644" s="65" t="n">
        <f aca="false">IF(AE644=1,MAX(0,N644-Q644),0)</f>
        <v>0</v>
      </c>
      <c r="AL644" s="65" t="n">
        <f aca="false">IF(OR(V644="",V644=0),0,N644/V644)</f>
        <v>0.208333333333333</v>
      </c>
      <c r="AM644" s="65" t="n">
        <f aca="false">IF(OR(V644="",V644=0),0,1)</f>
        <v>1</v>
      </c>
      <c r="AN644" s="65" t="n">
        <f aca="false">IF(OR(E644="",F644=""),0,NETWORKDAYS(E644,F644,Ref!$K$2:$K$42))</f>
        <v>46</v>
      </c>
      <c r="AO644" s="65" t="n">
        <f aca="false">IF(L644="Renewal",1,0)</f>
        <v>1</v>
      </c>
      <c r="AP644" s="65" t="n">
        <f aca="false">AC644*AD644</f>
        <v>0</v>
      </c>
      <c r="AQ644" s="65" t="n">
        <f aca="false">IF(AND(G644&lt;&gt;"",'Historical Score'!$C$6&lt;&gt;""),IF(G644='Historical Score'!$C$6,1,0),0)</f>
        <v>0</v>
      </c>
      <c r="AR644" s="65" t="n">
        <f aca="false">IF(AND(L644&lt;&gt;"",'Historical Score'!$C$5&lt;&gt;""),IF(L644='Historical Score'!$C$5,1,0),0)</f>
        <v>0</v>
      </c>
      <c r="AS644" s="65" t="n">
        <f aca="false">IF(AND(Y644&lt;&gt;"",'Historical Score'!$C$7&lt;&gt;""),IF(Y644='Historical Score'!$C$7,1,0),0)</f>
        <v>0</v>
      </c>
      <c r="AT644" s="65" t="n">
        <f aca="false">IF(AND(K644&lt;&gt;"",'Historical Score'!$C$8&lt;&gt;""),IF(K644='Historical Score'!$C$8,1,0),0)</f>
        <v>0</v>
      </c>
      <c r="AU644" s="65" t="n">
        <f aca="false">IF(AND(J644&lt;&gt;"",'Historical Score'!$C$9&lt;&gt;""),IF(J644='Historical Score'!$C$9,1,0),0)</f>
        <v>0</v>
      </c>
      <c r="AV644" s="65" t="n">
        <f aca="false">AR644*AS644*AQ644</f>
        <v>0</v>
      </c>
      <c r="AW644" s="65" t="n">
        <f aca="false">AR644*AT644*AQ644</f>
        <v>0</v>
      </c>
      <c r="AX644" s="65" t="n">
        <f aca="false">AR644*AS644</f>
        <v>0</v>
      </c>
      <c r="AY644" s="65" t="n">
        <f aca="false">AR644*AT644</f>
        <v>0</v>
      </c>
      <c r="AZ644" s="65" t="n">
        <f aca="false">AR644*AQ644</f>
        <v>0</v>
      </c>
      <c r="BA644" s="65" t="n">
        <f aca="false">AR644</f>
        <v>0</v>
      </c>
      <c r="BB644" s="65" t="n">
        <f aca="false">1</f>
        <v>1</v>
      </c>
      <c r="BC644" s="65" t="n">
        <f aca="false">IF(AV644=1,1,IF(AW644=1,2,IF(AX644=1,3,IF(AY644=1,4,IF(AZ644=1,5,IF(BA644=1,6,7))))))</f>
        <v>7</v>
      </c>
      <c r="BD644" s="65" t="n">
        <f aca="false">IF(AD644=1,CHOOSE('Historical Score'!$C$29,AV644,AW644,AX644,AY644,AZ644,BA644,BB644),0)</f>
        <v>0</v>
      </c>
      <c r="BE644" s="65" t="str">
        <f aca="false">IF(BD644=1,COUNTIF($BD$2:BD644,1),"")</f>
        <v/>
      </c>
    </row>
    <row r="645" customFormat="false" ht="15" hidden="false" customHeight="false" outlineLevel="0" collapsed="false">
      <c r="A645" s="65" t="s">
        <v>2200</v>
      </c>
      <c r="B645" s="65" t="s">
        <v>2201</v>
      </c>
      <c r="C645" s="65" t="s">
        <v>2201</v>
      </c>
      <c r="D645" s="65" t="s">
        <v>371</v>
      </c>
      <c r="E645" s="112" t="n">
        <v>46073</v>
      </c>
      <c r="F645" s="112" t="n">
        <v>46213</v>
      </c>
      <c r="G645" s="65" t="n">
        <v>3</v>
      </c>
      <c r="H645" s="65" t="s">
        <v>2196</v>
      </c>
      <c r="I645" s="65" t="s">
        <v>362</v>
      </c>
      <c r="J645" s="65" t="s">
        <v>658</v>
      </c>
      <c r="K645" s="65" t="s">
        <v>983</v>
      </c>
      <c r="L645" s="65" t="s">
        <v>64</v>
      </c>
      <c r="M645" s="113" t="n">
        <v>1.41</v>
      </c>
      <c r="N645" s="114" t="n">
        <v>20000</v>
      </c>
      <c r="O645" s="114" t="n">
        <v>2000</v>
      </c>
      <c r="P645" s="114" t="n">
        <v>28200</v>
      </c>
      <c r="Q645" s="114" t="n">
        <v>28200</v>
      </c>
      <c r="R645" s="114" t="n">
        <v>0</v>
      </c>
      <c r="S645" s="115" t="n">
        <v>1</v>
      </c>
      <c r="T645" s="65" t="n">
        <v>20</v>
      </c>
      <c r="U645" s="65" t="n">
        <v>0</v>
      </c>
      <c r="V645" s="65" t="n">
        <v>32069.05</v>
      </c>
      <c r="W645" s="115" t="n">
        <v>0.1759</v>
      </c>
      <c r="X645" s="112" t="n">
        <v>45728</v>
      </c>
      <c r="Y645" s="65" t="str">
        <f aca="false">IF(I645="","No SIC",IFERROR(VLOOKUP(I645,Ref!$A$2:$B$65,2,FALSE()),"Unclassified"))</f>
        <v>Chemicals &amp; Allied Products</v>
      </c>
      <c r="Z645" s="65" t="str">
        <f aca="false">IF(T645="","",IF(T645&lt;12,"Daily","Weekly"))</f>
        <v>Weekly</v>
      </c>
      <c r="AA645" s="65" t="n">
        <f aca="false">IF(T645="",0,IF(T645&lt;12,T645*Controls!$B$29,T645*5))</f>
        <v>100</v>
      </c>
      <c r="AB645" s="65" t="n">
        <f aca="false">IF(E645="",0,NETWORKDAYS(E645,Controls!$B$36,Ref!$K$2:$K$42))</f>
        <v>131</v>
      </c>
      <c r="AC645" s="65" t="n">
        <f aca="false">IF(AND(AA645&gt;0,AB645&gt;=Controls!$B$39*AA645),1,0)</f>
        <v>1</v>
      </c>
      <c r="AD645" s="65" t="n">
        <f aca="false">IF(AND(E645&lt;&gt;"",E645&gt;=Controls!$B$37,E645&lt;=Controls!$B$38),1,0)</f>
        <v>1</v>
      </c>
      <c r="AE645" s="65" t="n">
        <f aca="false">IF(IFERROR(VLOOKUP(D645,Controls!$A$64:$E$74,2,FALSE()),"No")="Yes",1,0)</f>
        <v>0</v>
      </c>
      <c r="AF645" s="65" t="n">
        <f aca="false">IF(IFERROR(VLOOKUP(D645,Controls!$A$64:$E$74,3,FALSE()),"No")="Yes",1,0)</f>
        <v>1</v>
      </c>
      <c r="AG645" s="65" t="n">
        <f aca="false">IF(IFERROR(VLOOKUP(D645,Controls!$A$64:$E$74,4,FALSE()),"No")="Yes",1,0)</f>
        <v>1</v>
      </c>
      <c r="AH645" s="65" t="n">
        <f aca="false">IF(IFERROR(VLOOKUP(D645,Controls!$A$64:$E$74,5,FALSE()),"No")="Yes",1,0)</f>
        <v>0</v>
      </c>
      <c r="AI645" s="65" t="n">
        <f aca="false">IF(ISNUMBER(MATCH(D645,Controls!$A$64:$A$74,0)),1,0)</f>
        <v>1</v>
      </c>
      <c r="AJ645" s="65" t="n">
        <f aca="false">Q645-N645</f>
        <v>8200</v>
      </c>
      <c r="AK645" s="65" t="n">
        <f aca="false">IF(AE645=1,MAX(0,N645-Q645),0)</f>
        <v>0</v>
      </c>
      <c r="AL645" s="65" t="n">
        <f aca="false">IF(OR(V645="",V645=0),0,N645/V645)</f>
        <v>0.623654271018318</v>
      </c>
      <c r="AM645" s="65" t="n">
        <f aca="false">IF(OR(V645="",V645=0),0,1)</f>
        <v>1</v>
      </c>
      <c r="AN645" s="65" t="n">
        <f aca="false">IF(OR(E645="",F645=""),0,NETWORKDAYS(E645,F645,Ref!$K$2:$K$42))</f>
        <v>99</v>
      </c>
      <c r="AO645" s="65" t="n">
        <f aca="false">IF(L645="Renewal",1,0)</f>
        <v>0</v>
      </c>
      <c r="AP645" s="65" t="n">
        <f aca="false">AC645*AD645</f>
        <v>1</v>
      </c>
      <c r="AQ645" s="65" t="n">
        <f aca="false">IF(AND(G645&lt;&gt;"",'Historical Score'!$C$6&lt;&gt;""),IF(G645='Historical Score'!$C$6,1,0),0)</f>
        <v>0</v>
      </c>
      <c r="AR645" s="65" t="n">
        <f aca="false">IF(AND(L645&lt;&gt;"",'Historical Score'!$C$5&lt;&gt;""),IF(L645='Historical Score'!$C$5,1,0),0)</f>
        <v>1</v>
      </c>
      <c r="AS645" s="65" t="n">
        <f aca="false">IF(AND(Y645&lt;&gt;"",'Historical Score'!$C$7&lt;&gt;""),IF(Y645='Historical Score'!$C$7,1,0),0)</f>
        <v>0</v>
      </c>
      <c r="AT645" s="65" t="n">
        <f aca="false">IF(AND(K645&lt;&gt;"",'Historical Score'!$C$8&lt;&gt;""),IF(K645='Historical Score'!$C$8,1,0),0)</f>
        <v>0</v>
      </c>
      <c r="AU645" s="65" t="n">
        <f aca="false">IF(AND(J645&lt;&gt;"",'Historical Score'!$C$9&lt;&gt;""),IF(J645='Historical Score'!$C$9,1,0),0)</f>
        <v>0</v>
      </c>
      <c r="AV645" s="65" t="n">
        <f aca="false">AR645*AS645*AQ645</f>
        <v>0</v>
      </c>
      <c r="AW645" s="65" t="n">
        <f aca="false">AR645*AT645*AQ645</f>
        <v>0</v>
      </c>
      <c r="AX645" s="65" t="n">
        <f aca="false">AR645*AS645</f>
        <v>0</v>
      </c>
      <c r="AY645" s="65" t="n">
        <f aca="false">AR645*AT645</f>
        <v>0</v>
      </c>
      <c r="AZ645" s="65" t="n">
        <f aca="false">AR645*AQ645</f>
        <v>0</v>
      </c>
      <c r="BA645" s="65" t="n">
        <f aca="false">AR645</f>
        <v>1</v>
      </c>
      <c r="BB645" s="65" t="n">
        <f aca="false">1</f>
        <v>1</v>
      </c>
      <c r="BC645" s="65" t="n">
        <f aca="false">IF(AV645=1,1,IF(AW645=1,2,IF(AX645=1,3,IF(AY645=1,4,IF(AZ645=1,5,IF(BA645=1,6,7))))))</f>
        <v>6</v>
      </c>
      <c r="BD645" s="65" t="n">
        <f aca="false">IF(AD645=1,CHOOSE('Historical Score'!$C$29,AV645,AW645,AX645,AY645,AZ645,BA645,BB645),0)</f>
        <v>0</v>
      </c>
      <c r="BE645" s="65" t="str">
        <f aca="false">IF(BD645=1,COUNTIF($BD$2:BD645,1),"")</f>
        <v/>
      </c>
    </row>
    <row r="646" customFormat="false" ht="15" hidden="false" customHeight="false" outlineLevel="0" collapsed="false">
      <c r="A646" s="65" t="s">
        <v>2202</v>
      </c>
      <c r="B646" s="65" t="s">
        <v>2203</v>
      </c>
      <c r="C646" s="65" t="s">
        <v>2204</v>
      </c>
      <c r="D646" s="65" t="s">
        <v>295</v>
      </c>
      <c r="E646" s="112" t="n">
        <v>46073</v>
      </c>
      <c r="F646" s="112" t="n">
        <v>46248</v>
      </c>
      <c r="G646" s="65" t="n">
        <v>3</v>
      </c>
      <c r="H646" s="65" t="s">
        <v>442</v>
      </c>
      <c r="I646" s="65" t="s">
        <v>443</v>
      </c>
      <c r="J646" s="65" t="s">
        <v>343</v>
      </c>
      <c r="K646" s="65" t="s">
        <v>581</v>
      </c>
      <c r="L646" s="65" t="s">
        <v>64</v>
      </c>
      <c r="M646" s="113" t="n">
        <v>1.49</v>
      </c>
      <c r="N646" s="114" t="n">
        <v>18000</v>
      </c>
      <c r="O646" s="114" t="n">
        <v>2520</v>
      </c>
      <c r="P646" s="114" t="n">
        <v>26820</v>
      </c>
      <c r="Q646" s="114" t="n">
        <v>26820</v>
      </c>
      <c r="R646" s="114" t="n">
        <v>0</v>
      </c>
      <c r="S646" s="115" t="n">
        <v>1</v>
      </c>
      <c r="T646" s="65" t="n">
        <v>24</v>
      </c>
      <c r="U646" s="65" t="n">
        <v>0</v>
      </c>
      <c r="V646" s="65" t="n">
        <v>51085.47</v>
      </c>
      <c r="W646" s="115" t="n">
        <v>0.0875</v>
      </c>
      <c r="X646" s="112" t="n">
        <v>44567</v>
      </c>
      <c r="Y646" s="65" t="str">
        <f aca="false">IF(I646="","No SIC",IFERROR(VLOOKUP(I646,Ref!$A$2:$B$65,2,FALSE()),"Unclassified"))</f>
        <v>General Building Contractors</v>
      </c>
      <c r="Z646" s="65" t="str">
        <f aca="false">IF(T646="","",IF(T646&lt;12,"Daily","Weekly"))</f>
        <v>Weekly</v>
      </c>
      <c r="AA646" s="65" t="n">
        <f aca="false">IF(T646="",0,IF(T646&lt;12,T646*Controls!$B$29,T646*5))</f>
        <v>120</v>
      </c>
      <c r="AB646" s="65" t="n">
        <f aca="false">IF(E646="",0,NETWORKDAYS(E646,Controls!$B$36,Ref!$K$2:$K$42))</f>
        <v>131</v>
      </c>
      <c r="AC646" s="65" t="n">
        <f aca="false">IF(AND(AA646&gt;0,AB646&gt;=Controls!$B$39*AA646),1,0)</f>
        <v>0</v>
      </c>
      <c r="AD646" s="65" t="n">
        <f aca="false">IF(AND(E646&lt;&gt;"",E646&gt;=Controls!$B$37,E646&lt;=Controls!$B$38),1,0)</f>
        <v>1</v>
      </c>
      <c r="AE646" s="65" t="n">
        <f aca="false">IF(IFERROR(VLOOKUP(D646,Controls!$A$64:$E$74,2,FALSE()),"No")="Yes",1,0)</f>
        <v>0</v>
      </c>
      <c r="AF646" s="65" t="n">
        <f aca="false">IF(IFERROR(VLOOKUP(D646,Controls!$A$64:$E$74,3,FALSE()),"No")="Yes",1,0)</f>
        <v>0</v>
      </c>
      <c r="AG646" s="65" t="n">
        <f aca="false">IF(IFERROR(VLOOKUP(D646,Controls!$A$64:$E$74,4,FALSE()),"No")="Yes",1,0)</f>
        <v>0</v>
      </c>
      <c r="AH646" s="65" t="n">
        <f aca="false">IF(IFERROR(VLOOKUP(D646,Controls!$A$64:$E$74,5,FALSE()),"No")="Yes",1,0)</f>
        <v>1</v>
      </c>
      <c r="AI646" s="65" t="n">
        <f aca="false">IF(ISNUMBER(MATCH(D646,Controls!$A$64:$A$74,0)),1,0)</f>
        <v>1</v>
      </c>
      <c r="AJ646" s="65" t="n">
        <f aca="false">Q646-N646</f>
        <v>8820</v>
      </c>
      <c r="AK646" s="65" t="n">
        <f aca="false">IF(AE646=1,MAX(0,N646-Q646),0)</f>
        <v>0</v>
      </c>
      <c r="AL646" s="65" t="n">
        <f aca="false">IF(OR(V646="",V646=0),0,N646/V646)</f>
        <v>0.352350678186968</v>
      </c>
      <c r="AM646" s="65" t="n">
        <f aca="false">IF(OR(V646="",V646=0),0,1)</f>
        <v>1</v>
      </c>
      <c r="AN646" s="65" t="n">
        <f aca="false">IF(OR(E646="",F646=""),0,NETWORKDAYS(E646,F646,Ref!$K$2:$K$42))</f>
        <v>124</v>
      </c>
      <c r="AO646" s="65" t="n">
        <f aca="false">IF(L646="Renewal",1,0)</f>
        <v>0</v>
      </c>
      <c r="AP646" s="65" t="n">
        <f aca="false">AC646*AD646</f>
        <v>0</v>
      </c>
      <c r="AQ646" s="65" t="n">
        <f aca="false">IF(AND(G646&lt;&gt;"",'Historical Score'!$C$6&lt;&gt;""),IF(G646='Historical Score'!$C$6,1,0),0)</f>
        <v>0</v>
      </c>
      <c r="AR646" s="65" t="n">
        <f aca="false">IF(AND(L646&lt;&gt;"",'Historical Score'!$C$5&lt;&gt;""),IF(L646='Historical Score'!$C$5,1,0),0)</f>
        <v>1</v>
      </c>
      <c r="AS646" s="65" t="n">
        <f aca="false">IF(AND(Y646&lt;&gt;"",'Historical Score'!$C$7&lt;&gt;""),IF(Y646='Historical Score'!$C$7,1,0),0)</f>
        <v>1</v>
      </c>
      <c r="AT646" s="65" t="n">
        <f aca="false">IF(AND(K646&lt;&gt;"",'Historical Score'!$C$8&lt;&gt;""),IF(K646='Historical Score'!$C$8,1,0),0)</f>
        <v>0</v>
      </c>
      <c r="AU646" s="65" t="n">
        <f aca="false">IF(AND(J646&lt;&gt;"",'Historical Score'!$C$9&lt;&gt;""),IF(J646='Historical Score'!$C$9,1,0),0)</f>
        <v>0</v>
      </c>
      <c r="AV646" s="65" t="n">
        <f aca="false">AR646*AS646*AQ646</f>
        <v>0</v>
      </c>
      <c r="AW646" s="65" t="n">
        <f aca="false">AR646*AT646*AQ646</f>
        <v>0</v>
      </c>
      <c r="AX646" s="65" t="n">
        <f aca="false">AR646*AS646</f>
        <v>1</v>
      </c>
      <c r="AY646" s="65" t="n">
        <f aca="false">AR646*AT646</f>
        <v>0</v>
      </c>
      <c r="AZ646" s="65" t="n">
        <f aca="false">AR646*AQ646</f>
        <v>0</v>
      </c>
      <c r="BA646" s="65" t="n">
        <f aca="false">AR646</f>
        <v>1</v>
      </c>
      <c r="BB646" s="65" t="n">
        <f aca="false">1</f>
        <v>1</v>
      </c>
      <c r="BC646" s="65" t="n">
        <f aca="false">IF(AV646=1,1,IF(AW646=1,2,IF(AX646=1,3,IF(AY646=1,4,IF(AZ646=1,5,IF(BA646=1,6,7))))))</f>
        <v>3</v>
      </c>
      <c r="BD646" s="65" t="n">
        <f aca="false">IF(AD646=1,CHOOSE('Historical Score'!$C$29,AV646,AW646,AX646,AY646,AZ646,BA646,BB646),0)</f>
        <v>0</v>
      </c>
      <c r="BE646" s="65" t="str">
        <f aca="false">IF(BD646=1,COUNTIF($BD$2:BD646,1),"")</f>
        <v/>
      </c>
    </row>
    <row r="647" customFormat="false" ht="15" hidden="false" customHeight="false" outlineLevel="0" collapsed="false">
      <c r="A647" s="65" t="s">
        <v>2205</v>
      </c>
      <c r="B647" s="65" t="s">
        <v>1523</v>
      </c>
      <c r="C647" s="65" t="s">
        <v>1523</v>
      </c>
      <c r="D647" s="65" t="s">
        <v>295</v>
      </c>
      <c r="E647" s="112" t="n">
        <v>46073</v>
      </c>
      <c r="F647" s="112" t="n">
        <v>46253</v>
      </c>
      <c r="G647" s="65" t="n">
        <v>3</v>
      </c>
      <c r="H647" s="65" t="s">
        <v>442</v>
      </c>
      <c r="I647" s="65" t="s">
        <v>443</v>
      </c>
      <c r="J647" s="65" t="s">
        <v>61</v>
      </c>
      <c r="K647" s="65" t="s">
        <v>1461</v>
      </c>
      <c r="L647" s="65" t="s">
        <v>320</v>
      </c>
      <c r="M647" s="113" t="n">
        <v>1.49</v>
      </c>
      <c r="N647" s="114" t="n">
        <v>7500</v>
      </c>
      <c r="O647" s="114" t="n">
        <v>1050</v>
      </c>
      <c r="P647" s="114" t="n">
        <v>11175</v>
      </c>
      <c r="Q647" s="114" t="n">
        <v>8131.17</v>
      </c>
      <c r="R647" s="114" t="n">
        <v>3043.83</v>
      </c>
      <c r="S647" s="115" t="n">
        <v>0.727621476510067</v>
      </c>
      <c r="T647" s="65" t="n">
        <v>2.951</v>
      </c>
      <c r="U647" s="65" t="n">
        <v>29</v>
      </c>
      <c r="V647" s="65" t="n">
        <v>24710.48</v>
      </c>
      <c r="W647" s="115" t="n">
        <v>0.1055</v>
      </c>
      <c r="X647" s="112" t="n">
        <v>45289</v>
      </c>
      <c r="Y647" s="65" t="str">
        <f aca="false">IF(I647="","No SIC",IFERROR(VLOOKUP(I647,Ref!$A$2:$B$65,2,FALSE()),"Unclassified"))</f>
        <v>General Building Contractors</v>
      </c>
      <c r="Z647" s="65" t="str">
        <f aca="false">IF(T647="","",IF(T647&lt;12,"Daily","Weekly"))</f>
        <v>Daily</v>
      </c>
      <c r="AA647" s="65" t="n">
        <f aca="false">IF(T647="",0,IF(T647&lt;12,T647*Controls!$B$29,T647*5))</f>
        <v>63.903905</v>
      </c>
      <c r="AB647" s="65" t="n">
        <f aca="false">IF(E647="",0,NETWORKDAYS(E647,Controls!$B$36,Ref!$K$2:$K$42))</f>
        <v>131</v>
      </c>
      <c r="AC647" s="65" t="n">
        <f aca="false">IF(AND(AA647&gt;0,AB647&gt;=Controls!$B$39*AA647),1,0)</f>
        <v>1</v>
      </c>
      <c r="AD647" s="65" t="n">
        <f aca="false">IF(AND(E647&lt;&gt;"",E647&gt;=Controls!$B$37,E647&lt;=Controls!$B$38),1,0)</f>
        <v>1</v>
      </c>
      <c r="AE647" s="65" t="n">
        <f aca="false">IF(IFERROR(VLOOKUP(D647,Controls!$A$64:$E$74,2,FALSE()),"No")="Yes",1,0)</f>
        <v>0</v>
      </c>
      <c r="AF647" s="65" t="n">
        <f aca="false">IF(IFERROR(VLOOKUP(D647,Controls!$A$64:$E$74,3,FALSE()),"No")="Yes",1,0)</f>
        <v>0</v>
      </c>
      <c r="AG647" s="65" t="n">
        <f aca="false">IF(IFERROR(VLOOKUP(D647,Controls!$A$64:$E$74,4,FALSE()),"No")="Yes",1,0)</f>
        <v>0</v>
      </c>
      <c r="AH647" s="65" t="n">
        <f aca="false">IF(IFERROR(VLOOKUP(D647,Controls!$A$64:$E$74,5,FALSE()),"No")="Yes",1,0)</f>
        <v>1</v>
      </c>
      <c r="AI647" s="65" t="n">
        <f aca="false">IF(ISNUMBER(MATCH(D647,Controls!$A$64:$A$74,0)),1,0)</f>
        <v>1</v>
      </c>
      <c r="AJ647" s="65" t="n">
        <f aca="false">Q647-N647</f>
        <v>631.17</v>
      </c>
      <c r="AK647" s="65" t="n">
        <f aca="false">IF(AE647=1,MAX(0,N647-Q647),0)</f>
        <v>0</v>
      </c>
      <c r="AL647" s="65" t="n">
        <f aca="false">IF(OR(V647="",V647=0),0,N647/V647)</f>
        <v>0.303514945885309</v>
      </c>
      <c r="AM647" s="65" t="n">
        <f aca="false">IF(OR(V647="",V647=0),0,1)</f>
        <v>1</v>
      </c>
      <c r="AN647" s="65" t="n">
        <f aca="false">IF(OR(E647="",F647=""),0,NETWORKDAYS(E647,F647,Ref!$K$2:$K$42))</f>
        <v>127</v>
      </c>
      <c r="AO647" s="65" t="n">
        <f aca="false">IF(L647="Renewal",1,0)</f>
        <v>1</v>
      </c>
      <c r="AP647" s="65" t="n">
        <f aca="false">AC647*AD647</f>
        <v>1</v>
      </c>
      <c r="AQ647" s="65" t="n">
        <f aca="false">IF(AND(G647&lt;&gt;"",'Historical Score'!$C$6&lt;&gt;""),IF(G647='Historical Score'!$C$6,1,0),0)</f>
        <v>0</v>
      </c>
      <c r="AR647" s="65" t="n">
        <f aca="false">IF(AND(L647&lt;&gt;"",'Historical Score'!$C$5&lt;&gt;""),IF(L647='Historical Score'!$C$5,1,0),0)</f>
        <v>0</v>
      </c>
      <c r="AS647" s="65" t="n">
        <f aca="false">IF(AND(Y647&lt;&gt;"",'Historical Score'!$C$7&lt;&gt;""),IF(Y647='Historical Score'!$C$7,1,0),0)</f>
        <v>1</v>
      </c>
      <c r="AT647" s="65" t="n">
        <f aca="false">IF(AND(K647&lt;&gt;"",'Historical Score'!$C$8&lt;&gt;""),IF(K647='Historical Score'!$C$8,1,0),0)</f>
        <v>0</v>
      </c>
      <c r="AU647" s="65" t="n">
        <f aca="false">IF(AND(J647&lt;&gt;"",'Historical Score'!$C$9&lt;&gt;""),IF(J647='Historical Score'!$C$9,1,0),0)</f>
        <v>1</v>
      </c>
      <c r="AV647" s="65" t="n">
        <f aca="false">AR647*AS647*AQ647</f>
        <v>0</v>
      </c>
      <c r="AW647" s="65" t="n">
        <f aca="false">AR647*AT647*AQ647</f>
        <v>0</v>
      </c>
      <c r="AX647" s="65" t="n">
        <f aca="false">AR647*AS647</f>
        <v>0</v>
      </c>
      <c r="AY647" s="65" t="n">
        <f aca="false">AR647*AT647</f>
        <v>0</v>
      </c>
      <c r="AZ647" s="65" t="n">
        <f aca="false">AR647*AQ647</f>
        <v>0</v>
      </c>
      <c r="BA647" s="65" t="n">
        <f aca="false">AR647</f>
        <v>0</v>
      </c>
      <c r="BB647" s="65" t="n">
        <f aca="false">1</f>
        <v>1</v>
      </c>
      <c r="BC647" s="65" t="n">
        <f aca="false">IF(AV647=1,1,IF(AW647=1,2,IF(AX647=1,3,IF(AY647=1,4,IF(AZ647=1,5,IF(BA647=1,6,7))))))</f>
        <v>7</v>
      </c>
      <c r="BD647" s="65" t="n">
        <f aca="false">IF(AD647=1,CHOOSE('Historical Score'!$C$29,AV647,AW647,AX647,AY647,AZ647,BA647,BB647),0)</f>
        <v>0</v>
      </c>
      <c r="BE647" s="65" t="str">
        <f aca="false">IF(BD647=1,COUNTIF($BD$2:BD647,1),"")</f>
        <v/>
      </c>
    </row>
    <row r="648" customFormat="false" ht="15" hidden="false" customHeight="false" outlineLevel="0" collapsed="false">
      <c r="A648" s="65" t="s">
        <v>2206</v>
      </c>
      <c r="B648" s="65" t="s">
        <v>2207</v>
      </c>
      <c r="C648" s="65" t="s">
        <v>2208</v>
      </c>
      <c r="D648" s="65" t="s">
        <v>959</v>
      </c>
      <c r="E648" s="112" t="n">
        <v>46073</v>
      </c>
      <c r="F648" s="112" t="n">
        <v>46248</v>
      </c>
      <c r="G648" s="65" t="n">
        <v>3</v>
      </c>
      <c r="H648" s="65" t="s">
        <v>442</v>
      </c>
      <c r="I648" s="65" t="s">
        <v>443</v>
      </c>
      <c r="J648" s="65" t="s">
        <v>343</v>
      </c>
      <c r="K648" s="65" t="s">
        <v>983</v>
      </c>
      <c r="L648" s="65" t="s">
        <v>64</v>
      </c>
      <c r="M648" s="113" t="n">
        <v>1.49</v>
      </c>
      <c r="N648" s="114" t="n">
        <v>15000</v>
      </c>
      <c r="O648" s="114" t="n">
        <v>2100</v>
      </c>
      <c r="P648" s="114" t="n">
        <v>22350</v>
      </c>
      <c r="Q648" s="114" t="n">
        <v>8155.05</v>
      </c>
      <c r="R648" s="114" t="n">
        <v>14194.95</v>
      </c>
      <c r="S648" s="115" t="n">
        <v>0.364879194630873</v>
      </c>
      <c r="T648" s="65" t="n">
        <v>3.279</v>
      </c>
      <c r="U648" s="65" t="n">
        <v>17</v>
      </c>
      <c r="V648" s="65" t="n">
        <v>90501.1</v>
      </c>
      <c r="W648" s="115" t="n">
        <v>0.0519</v>
      </c>
      <c r="X648" s="112" t="n">
        <v>45057</v>
      </c>
      <c r="Y648" s="65" t="str">
        <f aca="false">IF(I648="","No SIC",IFERROR(VLOOKUP(I648,Ref!$A$2:$B$65,2,FALSE()),"Unclassified"))</f>
        <v>General Building Contractors</v>
      </c>
      <c r="Z648" s="65" t="str">
        <f aca="false">IF(T648="","",IF(T648&lt;12,"Daily","Weekly"))</f>
        <v>Daily</v>
      </c>
      <c r="AA648" s="65" t="n">
        <f aca="false">IF(T648="",0,IF(T648&lt;12,T648*Controls!$B$29,T648*5))</f>
        <v>71.006745</v>
      </c>
      <c r="AB648" s="65" t="n">
        <f aca="false">IF(E648="",0,NETWORKDAYS(E648,Controls!$B$36,Ref!$K$2:$K$42))</f>
        <v>131</v>
      </c>
      <c r="AC648" s="65" t="n">
        <f aca="false">IF(AND(AA648&gt;0,AB648&gt;=Controls!$B$39*AA648),1,0)</f>
        <v>1</v>
      </c>
      <c r="AD648" s="65" t="n">
        <f aca="false">IF(AND(E648&lt;&gt;"",E648&gt;=Controls!$B$37,E648&lt;=Controls!$B$38),1,0)</f>
        <v>1</v>
      </c>
      <c r="AE648" s="65" t="n">
        <f aca="false">IF(IFERROR(VLOOKUP(D648,Controls!$A$64:$E$74,2,FALSE()),"No")="Yes",1,0)</f>
        <v>0</v>
      </c>
      <c r="AF648" s="65" t="n">
        <f aca="false">IF(IFERROR(VLOOKUP(D648,Controls!$A$64:$E$74,3,FALSE()),"No")="Yes",1,0)</f>
        <v>0</v>
      </c>
      <c r="AG648" s="65" t="n">
        <f aca="false">IF(IFERROR(VLOOKUP(D648,Controls!$A$64:$E$74,4,FALSE()),"No")="Yes",1,0)</f>
        <v>0</v>
      </c>
      <c r="AH648" s="65" t="n">
        <f aca="false">IF(IFERROR(VLOOKUP(D648,Controls!$A$64:$E$74,5,FALSE()),"No")="Yes",1,0)</f>
        <v>0</v>
      </c>
      <c r="AI648" s="65" t="n">
        <f aca="false">IF(ISNUMBER(MATCH(D648,Controls!$A$64:$A$74,0)),1,0)</f>
        <v>1</v>
      </c>
      <c r="AJ648" s="65" t="n">
        <f aca="false">Q648-N648</f>
        <v>-6844.95</v>
      </c>
      <c r="AK648" s="65" t="n">
        <f aca="false">IF(AE648=1,MAX(0,N648-Q648),0)</f>
        <v>0</v>
      </c>
      <c r="AL648" s="65" t="n">
        <f aca="false">IF(OR(V648="",V648=0),0,N648/V648)</f>
        <v>0.165743841787558</v>
      </c>
      <c r="AM648" s="65" t="n">
        <f aca="false">IF(OR(V648="",V648=0),0,1)</f>
        <v>1</v>
      </c>
      <c r="AN648" s="65" t="n">
        <f aca="false">IF(OR(E648="",F648=""),0,NETWORKDAYS(E648,F648,Ref!$K$2:$K$42))</f>
        <v>124</v>
      </c>
      <c r="AO648" s="65" t="n">
        <f aca="false">IF(L648="Renewal",1,0)</f>
        <v>0</v>
      </c>
      <c r="AP648" s="65" t="n">
        <f aca="false">AC648*AD648</f>
        <v>1</v>
      </c>
      <c r="AQ648" s="65" t="n">
        <f aca="false">IF(AND(G648&lt;&gt;"",'Historical Score'!$C$6&lt;&gt;""),IF(G648='Historical Score'!$C$6,1,0),0)</f>
        <v>0</v>
      </c>
      <c r="AR648" s="65" t="n">
        <f aca="false">IF(AND(L648&lt;&gt;"",'Historical Score'!$C$5&lt;&gt;""),IF(L648='Historical Score'!$C$5,1,0),0)</f>
        <v>1</v>
      </c>
      <c r="AS648" s="65" t="n">
        <f aca="false">IF(AND(Y648&lt;&gt;"",'Historical Score'!$C$7&lt;&gt;""),IF(Y648='Historical Score'!$C$7,1,0),0)</f>
        <v>1</v>
      </c>
      <c r="AT648" s="65" t="n">
        <f aca="false">IF(AND(K648&lt;&gt;"",'Historical Score'!$C$8&lt;&gt;""),IF(K648='Historical Score'!$C$8,1,0),0)</f>
        <v>0</v>
      </c>
      <c r="AU648" s="65" t="n">
        <f aca="false">IF(AND(J648&lt;&gt;"",'Historical Score'!$C$9&lt;&gt;""),IF(J648='Historical Score'!$C$9,1,0),0)</f>
        <v>0</v>
      </c>
      <c r="AV648" s="65" t="n">
        <f aca="false">AR648*AS648*AQ648</f>
        <v>0</v>
      </c>
      <c r="AW648" s="65" t="n">
        <f aca="false">AR648*AT648*AQ648</f>
        <v>0</v>
      </c>
      <c r="AX648" s="65" t="n">
        <f aca="false">AR648*AS648</f>
        <v>1</v>
      </c>
      <c r="AY648" s="65" t="n">
        <f aca="false">AR648*AT648</f>
        <v>0</v>
      </c>
      <c r="AZ648" s="65" t="n">
        <f aca="false">AR648*AQ648</f>
        <v>0</v>
      </c>
      <c r="BA648" s="65" t="n">
        <f aca="false">AR648</f>
        <v>1</v>
      </c>
      <c r="BB648" s="65" t="n">
        <f aca="false">1</f>
        <v>1</v>
      </c>
      <c r="BC648" s="65" t="n">
        <f aca="false">IF(AV648=1,1,IF(AW648=1,2,IF(AX648=1,3,IF(AY648=1,4,IF(AZ648=1,5,IF(BA648=1,6,7))))))</f>
        <v>3</v>
      </c>
      <c r="BD648" s="65" t="n">
        <f aca="false">IF(AD648=1,CHOOSE('Historical Score'!$C$29,AV648,AW648,AX648,AY648,AZ648,BA648,BB648),0)</f>
        <v>0</v>
      </c>
      <c r="BE648" s="65" t="str">
        <f aca="false">IF(BD648=1,COUNTIF($BD$2:BD648,1),"")</f>
        <v/>
      </c>
    </row>
    <row r="649" customFormat="false" ht="15" hidden="false" customHeight="false" outlineLevel="0" collapsed="false">
      <c r="A649" s="65" t="s">
        <v>2209</v>
      </c>
      <c r="B649" s="65" t="s">
        <v>1826</v>
      </c>
      <c r="C649" s="65" t="s">
        <v>1826</v>
      </c>
      <c r="D649" s="65" t="s">
        <v>295</v>
      </c>
      <c r="E649" s="112" t="n">
        <v>46076</v>
      </c>
      <c r="F649" s="112" t="n">
        <v>46241</v>
      </c>
      <c r="G649" s="65" t="n">
        <v>3</v>
      </c>
      <c r="H649" s="65" t="s">
        <v>355</v>
      </c>
      <c r="I649" s="65" t="s">
        <v>356</v>
      </c>
      <c r="J649" s="65" t="s">
        <v>452</v>
      </c>
      <c r="K649" s="65" t="s">
        <v>961</v>
      </c>
      <c r="L649" s="65" t="s">
        <v>320</v>
      </c>
      <c r="M649" s="113" t="n">
        <v>1.38</v>
      </c>
      <c r="N649" s="114" t="n">
        <v>15000</v>
      </c>
      <c r="O649" s="114" t="n">
        <v>1800</v>
      </c>
      <c r="P649" s="114" t="n">
        <v>20700</v>
      </c>
      <c r="Q649" s="114" t="n">
        <v>15851.8</v>
      </c>
      <c r="R649" s="114" t="n">
        <v>4848.2</v>
      </c>
      <c r="S649" s="115" t="n">
        <v>0.765787439613527</v>
      </c>
      <c r="T649" s="65" t="n">
        <v>20</v>
      </c>
      <c r="U649" s="65" t="n">
        <v>3</v>
      </c>
      <c r="V649" s="65" t="n">
        <v>24929.12</v>
      </c>
      <c r="W649" s="115" t="n">
        <v>0.1661</v>
      </c>
      <c r="X649" s="112" t="n">
        <v>44149</v>
      </c>
      <c r="Y649" s="65" t="str">
        <f aca="false">IF(I649="","No SIC",IFERROR(VLOOKUP(I649,Ref!$A$2:$B$65,2,FALSE()),"Unclassified"))</f>
        <v>Trucking &amp; Warehousing</v>
      </c>
      <c r="Z649" s="65" t="str">
        <f aca="false">IF(T649="","",IF(T649&lt;12,"Daily","Weekly"))</f>
        <v>Weekly</v>
      </c>
      <c r="AA649" s="65" t="n">
        <f aca="false">IF(T649="",0,IF(T649&lt;12,T649*Controls!$B$29,T649*5))</f>
        <v>100</v>
      </c>
      <c r="AB649" s="65" t="n">
        <f aca="false">IF(E649="",0,NETWORKDAYS(E649,Controls!$B$36,Ref!$K$2:$K$42))</f>
        <v>130</v>
      </c>
      <c r="AC649" s="65" t="n">
        <f aca="false">IF(AND(AA649&gt;0,AB649&gt;=Controls!$B$39*AA649),1,0)</f>
        <v>1</v>
      </c>
      <c r="AD649" s="65" t="n">
        <f aca="false">IF(AND(E649&lt;&gt;"",E649&gt;=Controls!$B$37,E649&lt;=Controls!$B$38),1,0)</f>
        <v>1</v>
      </c>
      <c r="AE649" s="65" t="n">
        <f aca="false">IF(IFERROR(VLOOKUP(D649,Controls!$A$64:$E$74,2,FALSE()),"No")="Yes",1,0)</f>
        <v>0</v>
      </c>
      <c r="AF649" s="65" t="n">
        <f aca="false">IF(IFERROR(VLOOKUP(D649,Controls!$A$64:$E$74,3,FALSE()),"No")="Yes",1,0)</f>
        <v>0</v>
      </c>
      <c r="AG649" s="65" t="n">
        <f aca="false">IF(IFERROR(VLOOKUP(D649,Controls!$A$64:$E$74,4,FALSE()),"No")="Yes",1,0)</f>
        <v>0</v>
      </c>
      <c r="AH649" s="65" t="n">
        <f aca="false">IF(IFERROR(VLOOKUP(D649,Controls!$A$64:$E$74,5,FALSE()),"No")="Yes",1,0)</f>
        <v>1</v>
      </c>
      <c r="AI649" s="65" t="n">
        <f aca="false">IF(ISNUMBER(MATCH(D649,Controls!$A$64:$A$74,0)),1,0)</f>
        <v>1</v>
      </c>
      <c r="AJ649" s="65" t="n">
        <f aca="false">Q649-N649</f>
        <v>851.799999999999</v>
      </c>
      <c r="AK649" s="65" t="n">
        <f aca="false">IF(AE649=1,MAX(0,N649-Q649),0)</f>
        <v>0</v>
      </c>
      <c r="AL649" s="65" t="n">
        <f aca="false">IF(OR(V649="",V649=0),0,N649/V649)</f>
        <v>0.601705956728517</v>
      </c>
      <c r="AM649" s="65" t="n">
        <f aca="false">IF(OR(V649="",V649=0),0,1)</f>
        <v>1</v>
      </c>
      <c r="AN649" s="65" t="n">
        <f aca="false">IF(OR(E649="",F649=""),0,NETWORKDAYS(E649,F649,Ref!$K$2:$K$42))</f>
        <v>118</v>
      </c>
      <c r="AO649" s="65" t="n">
        <f aca="false">IF(L649="Renewal",1,0)</f>
        <v>1</v>
      </c>
      <c r="AP649" s="65" t="n">
        <f aca="false">AC649*AD649</f>
        <v>1</v>
      </c>
      <c r="AQ649" s="65" t="n">
        <f aca="false">IF(AND(G649&lt;&gt;"",'Historical Score'!$C$6&lt;&gt;""),IF(G649='Historical Score'!$C$6,1,0),0)</f>
        <v>0</v>
      </c>
      <c r="AR649" s="65" t="n">
        <f aca="false">IF(AND(L649&lt;&gt;"",'Historical Score'!$C$5&lt;&gt;""),IF(L649='Historical Score'!$C$5,1,0),0)</f>
        <v>0</v>
      </c>
      <c r="AS649" s="65" t="n">
        <f aca="false">IF(AND(Y649&lt;&gt;"",'Historical Score'!$C$7&lt;&gt;""),IF(Y649='Historical Score'!$C$7,1,0),0)</f>
        <v>0</v>
      </c>
      <c r="AT649" s="65" t="n">
        <f aca="false">IF(AND(K649&lt;&gt;"",'Historical Score'!$C$8&lt;&gt;""),IF(K649='Historical Score'!$C$8,1,0),0)</f>
        <v>0</v>
      </c>
      <c r="AU649" s="65" t="n">
        <f aca="false">IF(AND(J649&lt;&gt;"",'Historical Score'!$C$9&lt;&gt;""),IF(J649='Historical Score'!$C$9,1,0),0)</f>
        <v>0</v>
      </c>
      <c r="AV649" s="65" t="n">
        <f aca="false">AR649*AS649*AQ649</f>
        <v>0</v>
      </c>
      <c r="AW649" s="65" t="n">
        <f aca="false">AR649*AT649*AQ649</f>
        <v>0</v>
      </c>
      <c r="AX649" s="65" t="n">
        <f aca="false">AR649*AS649</f>
        <v>0</v>
      </c>
      <c r="AY649" s="65" t="n">
        <f aca="false">AR649*AT649</f>
        <v>0</v>
      </c>
      <c r="AZ649" s="65" t="n">
        <f aca="false">AR649*AQ649</f>
        <v>0</v>
      </c>
      <c r="BA649" s="65" t="n">
        <f aca="false">AR649</f>
        <v>0</v>
      </c>
      <c r="BB649" s="65" t="n">
        <f aca="false">1</f>
        <v>1</v>
      </c>
      <c r="BC649" s="65" t="n">
        <f aca="false">IF(AV649=1,1,IF(AW649=1,2,IF(AX649=1,3,IF(AY649=1,4,IF(AZ649=1,5,IF(BA649=1,6,7))))))</f>
        <v>7</v>
      </c>
      <c r="BD649" s="65" t="n">
        <f aca="false">IF(AD649=1,CHOOSE('Historical Score'!$C$29,AV649,AW649,AX649,AY649,AZ649,BA649,BB649),0)</f>
        <v>0</v>
      </c>
      <c r="BE649" s="65" t="str">
        <f aca="false">IF(BD649=1,COUNTIF($BD$2:BD649,1),"")</f>
        <v/>
      </c>
    </row>
    <row r="650" customFormat="false" ht="15" hidden="false" customHeight="false" outlineLevel="0" collapsed="false">
      <c r="A650" s="65" t="s">
        <v>2210</v>
      </c>
      <c r="B650" s="65" t="s">
        <v>2211</v>
      </c>
      <c r="C650" s="65" t="s">
        <v>2212</v>
      </c>
      <c r="D650" s="65" t="s">
        <v>371</v>
      </c>
      <c r="E650" s="112" t="n">
        <v>46076</v>
      </c>
      <c r="F650" s="112" t="n">
        <v>46203</v>
      </c>
      <c r="G650" s="65" t="n">
        <v>3</v>
      </c>
      <c r="H650" s="65" t="s">
        <v>748</v>
      </c>
      <c r="I650" s="65" t="s">
        <v>619</v>
      </c>
      <c r="J650" s="65" t="s">
        <v>682</v>
      </c>
      <c r="K650" s="65" t="s">
        <v>2213</v>
      </c>
      <c r="L650" s="65" t="s">
        <v>64</v>
      </c>
      <c r="M650" s="113" t="n">
        <v>1.4</v>
      </c>
      <c r="N650" s="114" t="n">
        <v>150000</v>
      </c>
      <c r="O650" s="114" t="n">
        <v>15750</v>
      </c>
      <c r="P650" s="114" t="n">
        <v>210000</v>
      </c>
      <c r="Q650" s="114" t="n">
        <v>210000</v>
      </c>
      <c r="R650" s="114" t="n">
        <v>0</v>
      </c>
      <c r="S650" s="115" t="n">
        <v>1</v>
      </c>
      <c r="T650" s="65" t="n">
        <v>40</v>
      </c>
      <c r="U650" s="65" t="n">
        <v>0</v>
      </c>
      <c r="V650" s="65" t="n">
        <v>299687.41</v>
      </c>
      <c r="W650" s="115" t="n">
        <v>0.0701</v>
      </c>
      <c r="X650" s="112" t="n">
        <v>40087</v>
      </c>
      <c r="Y650" s="65" t="str">
        <f aca="false">IF(I650="","No SIC",IFERROR(VLOOKUP(I650,Ref!$A$2:$B$65,2,FALSE()),"Unclassified"))</f>
        <v>Miscellaneous Retail</v>
      </c>
      <c r="Z650" s="65" t="str">
        <f aca="false">IF(T650="","",IF(T650&lt;12,"Daily","Weekly"))</f>
        <v>Weekly</v>
      </c>
      <c r="AA650" s="65" t="n">
        <f aca="false">IF(T650="",0,IF(T650&lt;12,T650*Controls!$B$29,T650*5))</f>
        <v>200</v>
      </c>
      <c r="AB650" s="65" t="n">
        <f aca="false">IF(E650="",0,NETWORKDAYS(E650,Controls!$B$36,Ref!$K$2:$K$42))</f>
        <v>130</v>
      </c>
      <c r="AC650" s="65" t="n">
        <f aca="false">IF(AND(AA650&gt;0,AB650&gt;=Controls!$B$39*AA650),1,0)</f>
        <v>0</v>
      </c>
      <c r="AD650" s="65" t="n">
        <f aca="false">IF(AND(E650&lt;&gt;"",E650&gt;=Controls!$B$37,E650&lt;=Controls!$B$38),1,0)</f>
        <v>1</v>
      </c>
      <c r="AE650" s="65" t="n">
        <f aca="false">IF(IFERROR(VLOOKUP(D650,Controls!$A$64:$E$74,2,FALSE()),"No")="Yes",1,0)</f>
        <v>0</v>
      </c>
      <c r="AF650" s="65" t="n">
        <f aca="false">IF(IFERROR(VLOOKUP(D650,Controls!$A$64:$E$74,3,FALSE()),"No")="Yes",1,0)</f>
        <v>1</v>
      </c>
      <c r="AG650" s="65" t="n">
        <f aca="false">IF(IFERROR(VLOOKUP(D650,Controls!$A$64:$E$74,4,FALSE()),"No")="Yes",1,0)</f>
        <v>1</v>
      </c>
      <c r="AH650" s="65" t="n">
        <f aca="false">IF(IFERROR(VLOOKUP(D650,Controls!$A$64:$E$74,5,FALSE()),"No")="Yes",1,0)</f>
        <v>0</v>
      </c>
      <c r="AI650" s="65" t="n">
        <f aca="false">IF(ISNUMBER(MATCH(D650,Controls!$A$64:$A$74,0)),1,0)</f>
        <v>1</v>
      </c>
      <c r="AJ650" s="65" t="n">
        <f aca="false">Q650-N650</f>
        <v>60000</v>
      </c>
      <c r="AK650" s="65" t="n">
        <f aca="false">IF(AE650=1,MAX(0,N650-Q650),0)</f>
        <v>0</v>
      </c>
      <c r="AL650" s="65" t="n">
        <f aca="false">IF(OR(V650="",V650=0),0,N650/V650)</f>
        <v>0.500521526746819</v>
      </c>
      <c r="AM650" s="65" t="n">
        <f aca="false">IF(OR(V650="",V650=0),0,1)</f>
        <v>1</v>
      </c>
      <c r="AN650" s="65" t="n">
        <f aca="false">IF(OR(E650="",F650=""),0,NETWORKDAYS(E650,F650,Ref!$K$2:$K$42))</f>
        <v>90</v>
      </c>
      <c r="AO650" s="65" t="n">
        <f aca="false">IF(L650="Renewal",1,0)</f>
        <v>0</v>
      </c>
      <c r="AP650" s="65" t="n">
        <f aca="false">AC650*AD650</f>
        <v>0</v>
      </c>
      <c r="AQ650" s="65" t="n">
        <f aca="false">IF(AND(G650&lt;&gt;"",'Historical Score'!$C$6&lt;&gt;""),IF(G650='Historical Score'!$C$6,1,0),0)</f>
        <v>0</v>
      </c>
      <c r="AR650" s="65" t="n">
        <f aca="false">IF(AND(L650&lt;&gt;"",'Historical Score'!$C$5&lt;&gt;""),IF(L650='Historical Score'!$C$5,1,0),0)</f>
        <v>1</v>
      </c>
      <c r="AS650" s="65" t="n">
        <f aca="false">IF(AND(Y650&lt;&gt;"",'Historical Score'!$C$7&lt;&gt;""),IF(Y650='Historical Score'!$C$7,1,0),0)</f>
        <v>0</v>
      </c>
      <c r="AT650" s="65" t="n">
        <f aca="false">IF(AND(K650&lt;&gt;"",'Historical Score'!$C$8&lt;&gt;""),IF(K650='Historical Score'!$C$8,1,0),0)</f>
        <v>0</v>
      </c>
      <c r="AU650" s="65" t="n">
        <f aca="false">IF(AND(J650&lt;&gt;"",'Historical Score'!$C$9&lt;&gt;""),IF(J650='Historical Score'!$C$9,1,0),0)</f>
        <v>0</v>
      </c>
      <c r="AV650" s="65" t="n">
        <f aca="false">AR650*AS650*AQ650</f>
        <v>0</v>
      </c>
      <c r="AW650" s="65" t="n">
        <f aca="false">AR650*AT650*AQ650</f>
        <v>0</v>
      </c>
      <c r="AX650" s="65" t="n">
        <f aca="false">AR650*AS650</f>
        <v>0</v>
      </c>
      <c r="AY650" s="65" t="n">
        <f aca="false">AR650*AT650</f>
        <v>0</v>
      </c>
      <c r="AZ650" s="65" t="n">
        <f aca="false">AR650*AQ650</f>
        <v>0</v>
      </c>
      <c r="BA650" s="65" t="n">
        <f aca="false">AR650</f>
        <v>1</v>
      </c>
      <c r="BB650" s="65" t="n">
        <f aca="false">1</f>
        <v>1</v>
      </c>
      <c r="BC650" s="65" t="n">
        <f aca="false">IF(AV650=1,1,IF(AW650=1,2,IF(AX650=1,3,IF(AY650=1,4,IF(AZ650=1,5,IF(BA650=1,6,7))))))</f>
        <v>6</v>
      </c>
      <c r="BD650" s="65" t="n">
        <f aca="false">IF(AD650=1,CHOOSE('Historical Score'!$C$29,AV650,AW650,AX650,AY650,AZ650,BA650,BB650),0)</f>
        <v>0</v>
      </c>
      <c r="BE650" s="65" t="str">
        <f aca="false">IF(BD650=1,COUNTIF($BD$2:BD650,1),"")</f>
        <v/>
      </c>
    </row>
    <row r="651" customFormat="false" ht="15" hidden="false" customHeight="false" outlineLevel="0" collapsed="false">
      <c r="A651" s="65" t="s">
        <v>2214</v>
      </c>
      <c r="B651" s="65" t="s">
        <v>1570</v>
      </c>
      <c r="C651" s="65" t="s">
        <v>1570</v>
      </c>
      <c r="D651" s="65" t="s">
        <v>340</v>
      </c>
      <c r="E651" s="112" t="n">
        <v>46077</v>
      </c>
      <c r="F651" s="112" t="n">
        <v>46161</v>
      </c>
      <c r="G651" s="65" t="n">
        <v>3</v>
      </c>
      <c r="H651" s="65" t="s">
        <v>404</v>
      </c>
      <c r="I651" s="65" t="s">
        <v>405</v>
      </c>
      <c r="J651" s="65" t="s">
        <v>495</v>
      </c>
      <c r="K651" s="65" t="s">
        <v>55</v>
      </c>
      <c r="L651" s="65" t="s">
        <v>320</v>
      </c>
      <c r="M651" s="113" t="n">
        <v>1.49</v>
      </c>
      <c r="N651" s="114" t="n">
        <v>47000</v>
      </c>
      <c r="O651" s="114" t="n">
        <v>6580</v>
      </c>
      <c r="P651" s="114" t="n">
        <v>70030</v>
      </c>
      <c r="Q651" s="114" t="n">
        <v>6129.06</v>
      </c>
      <c r="R651" s="114" t="n">
        <v>63900.94</v>
      </c>
      <c r="S651" s="115" t="n">
        <v>0.0875204912180494</v>
      </c>
      <c r="T651" s="65" t="n">
        <v>3.934</v>
      </c>
      <c r="U651" s="65" t="n">
        <v>37</v>
      </c>
      <c r="V651" s="65" t="n">
        <v>123266.6</v>
      </c>
      <c r="W651" s="115" t="n">
        <v>0.1509</v>
      </c>
      <c r="X651" s="112" t="n">
        <v>45386</v>
      </c>
      <c r="Y651" s="65" t="str">
        <f aca="false">IF(I651="","No SIC",IFERROR(VLOOKUP(I651,Ref!$A$2:$B$65,2,FALSE()),"Unclassified"))</f>
        <v>Health Services</v>
      </c>
      <c r="Z651" s="65" t="str">
        <f aca="false">IF(T651="","",IF(T651&lt;12,"Daily","Weekly"))</f>
        <v>Daily</v>
      </c>
      <c r="AA651" s="65" t="n">
        <f aca="false">IF(T651="",0,IF(T651&lt;12,T651*Controls!$B$29,T651*5))</f>
        <v>85.19077</v>
      </c>
      <c r="AB651" s="65" t="n">
        <f aca="false">IF(E651="",0,NETWORKDAYS(E651,Controls!$B$36,Ref!$K$2:$K$42))</f>
        <v>129</v>
      </c>
      <c r="AC651" s="65" t="n">
        <f aca="false">IF(AND(AA651&gt;0,AB651&gt;=Controls!$B$39*AA651),1,0)</f>
        <v>1</v>
      </c>
      <c r="AD651" s="65" t="n">
        <f aca="false">IF(AND(E651&lt;&gt;"",E651&gt;=Controls!$B$37,E651&lt;=Controls!$B$38),1,0)</f>
        <v>1</v>
      </c>
      <c r="AE651" s="65" t="n">
        <f aca="false">IF(IFERROR(VLOOKUP(D651,Controls!$A$64:$E$74,2,FALSE()),"No")="Yes",1,0)</f>
        <v>1</v>
      </c>
      <c r="AF651" s="65" t="n">
        <f aca="false">IF(IFERROR(VLOOKUP(D651,Controls!$A$64:$E$74,3,FALSE()),"No")="Yes",1,0)</f>
        <v>0</v>
      </c>
      <c r="AG651" s="65" t="n">
        <f aca="false">IF(IFERROR(VLOOKUP(D651,Controls!$A$64:$E$74,4,FALSE()),"No")="Yes",1,0)</f>
        <v>0</v>
      </c>
      <c r="AH651" s="65" t="n">
        <f aca="false">IF(IFERROR(VLOOKUP(D651,Controls!$A$64:$E$74,5,FALSE()),"No")="Yes",1,0)</f>
        <v>0</v>
      </c>
      <c r="AI651" s="65" t="n">
        <f aca="false">IF(ISNUMBER(MATCH(D651,Controls!$A$64:$A$74,0)),1,0)</f>
        <v>1</v>
      </c>
      <c r="AJ651" s="65" t="n">
        <f aca="false">Q651-N651</f>
        <v>-40870.94</v>
      </c>
      <c r="AK651" s="65" t="n">
        <f aca="false">IF(AE651=1,MAX(0,N651-Q651),0)</f>
        <v>40870.94</v>
      </c>
      <c r="AL651" s="65" t="n">
        <f aca="false">IF(OR(V651="",V651=0),0,N651/V651)</f>
        <v>0.381287388473439</v>
      </c>
      <c r="AM651" s="65" t="n">
        <f aca="false">IF(OR(V651="",V651=0),0,1)</f>
        <v>1</v>
      </c>
      <c r="AN651" s="65" t="n">
        <f aca="false">IF(OR(E651="",F651=""),0,NETWORKDAYS(E651,F651,Ref!$K$2:$K$42))</f>
        <v>61</v>
      </c>
      <c r="AO651" s="65" t="n">
        <f aca="false">IF(L651="Renewal",1,0)</f>
        <v>1</v>
      </c>
      <c r="AP651" s="65" t="n">
        <f aca="false">AC651*AD651</f>
        <v>1</v>
      </c>
      <c r="AQ651" s="65" t="n">
        <f aca="false">IF(AND(G651&lt;&gt;"",'Historical Score'!$C$6&lt;&gt;""),IF(G651='Historical Score'!$C$6,1,0),0)</f>
        <v>0</v>
      </c>
      <c r="AR651" s="65" t="n">
        <f aca="false">IF(AND(L651&lt;&gt;"",'Historical Score'!$C$5&lt;&gt;""),IF(L651='Historical Score'!$C$5,1,0),0)</f>
        <v>0</v>
      </c>
      <c r="AS651" s="65" t="n">
        <f aca="false">IF(AND(Y651&lt;&gt;"",'Historical Score'!$C$7&lt;&gt;""),IF(Y651='Historical Score'!$C$7,1,0),0)</f>
        <v>0</v>
      </c>
      <c r="AT651" s="65" t="n">
        <f aca="false">IF(AND(K651&lt;&gt;"",'Historical Score'!$C$8&lt;&gt;""),IF(K651='Historical Score'!$C$8,1,0),0)</f>
        <v>1</v>
      </c>
      <c r="AU651" s="65" t="n">
        <f aca="false">IF(AND(J651&lt;&gt;"",'Historical Score'!$C$9&lt;&gt;""),IF(J651='Historical Score'!$C$9,1,0),0)</f>
        <v>0</v>
      </c>
      <c r="AV651" s="65" t="n">
        <f aca="false">AR651*AS651*AQ651</f>
        <v>0</v>
      </c>
      <c r="AW651" s="65" t="n">
        <f aca="false">AR651*AT651*AQ651</f>
        <v>0</v>
      </c>
      <c r="AX651" s="65" t="n">
        <f aca="false">AR651*AS651</f>
        <v>0</v>
      </c>
      <c r="AY651" s="65" t="n">
        <f aca="false">AR651*AT651</f>
        <v>0</v>
      </c>
      <c r="AZ651" s="65" t="n">
        <f aca="false">AR651*AQ651</f>
        <v>0</v>
      </c>
      <c r="BA651" s="65" t="n">
        <f aca="false">AR651</f>
        <v>0</v>
      </c>
      <c r="BB651" s="65" t="n">
        <f aca="false">1</f>
        <v>1</v>
      </c>
      <c r="BC651" s="65" t="n">
        <f aca="false">IF(AV651=1,1,IF(AW651=1,2,IF(AX651=1,3,IF(AY651=1,4,IF(AZ651=1,5,IF(BA651=1,6,7))))))</f>
        <v>7</v>
      </c>
      <c r="BD651" s="65" t="n">
        <f aca="false">IF(AD651=1,CHOOSE('Historical Score'!$C$29,AV651,AW651,AX651,AY651,AZ651,BA651,BB651),0)</f>
        <v>0</v>
      </c>
      <c r="BE651" s="65" t="str">
        <f aca="false">IF(BD651=1,COUNTIF($BD$2:BD651,1),"")</f>
        <v/>
      </c>
    </row>
    <row r="652" customFormat="false" ht="15" hidden="false" customHeight="false" outlineLevel="0" collapsed="false">
      <c r="A652" s="65" t="s">
        <v>2215</v>
      </c>
      <c r="B652" s="65" t="s">
        <v>2216</v>
      </c>
      <c r="C652" s="65" t="s">
        <v>2216</v>
      </c>
      <c r="D652" s="65" t="s">
        <v>371</v>
      </c>
      <c r="E652" s="112" t="n">
        <v>46077</v>
      </c>
      <c r="F652" s="112" t="n">
        <v>46168</v>
      </c>
      <c r="G652" s="65" t="n">
        <v>3</v>
      </c>
      <c r="H652" s="65" t="s">
        <v>442</v>
      </c>
      <c r="I652" s="65" t="s">
        <v>443</v>
      </c>
      <c r="J652" s="65" t="s">
        <v>510</v>
      </c>
      <c r="K652" s="65" t="s">
        <v>983</v>
      </c>
      <c r="L652" s="65" t="s">
        <v>64</v>
      </c>
      <c r="M652" s="113" t="n">
        <v>1.49</v>
      </c>
      <c r="N652" s="114" t="n">
        <v>25000</v>
      </c>
      <c r="O652" s="114" t="n">
        <v>3500</v>
      </c>
      <c r="P652" s="114" t="n">
        <v>37250</v>
      </c>
      <c r="Q652" s="114" t="n">
        <v>37250</v>
      </c>
      <c r="R652" s="114" t="n">
        <v>0</v>
      </c>
      <c r="S652" s="115" t="n">
        <v>1</v>
      </c>
      <c r="T652" s="65" t="n">
        <v>3.279</v>
      </c>
      <c r="U652" s="65" t="n">
        <v>12</v>
      </c>
      <c r="V652" s="65" t="n">
        <v>60000</v>
      </c>
      <c r="W652" s="115" t="n">
        <v>0.0978</v>
      </c>
      <c r="X652" s="112" t="n">
        <v>37215</v>
      </c>
      <c r="Y652" s="65" t="str">
        <f aca="false">IF(I652="","No SIC",IFERROR(VLOOKUP(I652,Ref!$A$2:$B$65,2,FALSE()),"Unclassified"))</f>
        <v>General Building Contractors</v>
      </c>
      <c r="Z652" s="65" t="str">
        <f aca="false">IF(T652="","",IF(T652&lt;12,"Daily","Weekly"))</f>
        <v>Daily</v>
      </c>
      <c r="AA652" s="65" t="n">
        <f aca="false">IF(T652="",0,IF(T652&lt;12,T652*Controls!$B$29,T652*5))</f>
        <v>71.006745</v>
      </c>
      <c r="AB652" s="65" t="n">
        <f aca="false">IF(E652="",0,NETWORKDAYS(E652,Controls!$B$36,Ref!$K$2:$K$42))</f>
        <v>129</v>
      </c>
      <c r="AC652" s="65" t="n">
        <f aca="false">IF(AND(AA652&gt;0,AB652&gt;=Controls!$B$39*AA652),1,0)</f>
        <v>1</v>
      </c>
      <c r="AD652" s="65" t="n">
        <f aca="false">IF(AND(E652&lt;&gt;"",E652&gt;=Controls!$B$37,E652&lt;=Controls!$B$38),1,0)</f>
        <v>1</v>
      </c>
      <c r="AE652" s="65" t="n">
        <f aca="false">IF(IFERROR(VLOOKUP(D652,Controls!$A$64:$E$74,2,FALSE()),"No")="Yes",1,0)</f>
        <v>0</v>
      </c>
      <c r="AF652" s="65" t="n">
        <f aca="false">IF(IFERROR(VLOOKUP(D652,Controls!$A$64:$E$74,3,FALSE()),"No")="Yes",1,0)</f>
        <v>1</v>
      </c>
      <c r="AG652" s="65" t="n">
        <f aca="false">IF(IFERROR(VLOOKUP(D652,Controls!$A$64:$E$74,4,FALSE()),"No")="Yes",1,0)</f>
        <v>1</v>
      </c>
      <c r="AH652" s="65" t="n">
        <f aca="false">IF(IFERROR(VLOOKUP(D652,Controls!$A$64:$E$74,5,FALSE()),"No")="Yes",1,0)</f>
        <v>0</v>
      </c>
      <c r="AI652" s="65" t="n">
        <f aca="false">IF(ISNUMBER(MATCH(D652,Controls!$A$64:$A$74,0)),1,0)</f>
        <v>1</v>
      </c>
      <c r="AJ652" s="65" t="n">
        <f aca="false">Q652-N652</f>
        <v>12250</v>
      </c>
      <c r="AK652" s="65" t="n">
        <f aca="false">IF(AE652=1,MAX(0,N652-Q652),0)</f>
        <v>0</v>
      </c>
      <c r="AL652" s="65" t="n">
        <f aca="false">IF(OR(V652="",V652=0),0,N652/V652)</f>
        <v>0.416666666666667</v>
      </c>
      <c r="AM652" s="65" t="n">
        <f aca="false">IF(OR(V652="",V652=0),0,1)</f>
        <v>1</v>
      </c>
      <c r="AN652" s="65" t="n">
        <f aca="false">IF(OR(E652="",F652=""),0,NETWORKDAYS(E652,F652,Ref!$K$2:$K$42))</f>
        <v>65</v>
      </c>
      <c r="AO652" s="65" t="n">
        <f aca="false">IF(L652="Renewal",1,0)</f>
        <v>0</v>
      </c>
      <c r="AP652" s="65" t="n">
        <f aca="false">AC652*AD652</f>
        <v>1</v>
      </c>
      <c r="AQ652" s="65" t="n">
        <f aca="false">IF(AND(G652&lt;&gt;"",'Historical Score'!$C$6&lt;&gt;""),IF(G652='Historical Score'!$C$6,1,0),0)</f>
        <v>0</v>
      </c>
      <c r="AR652" s="65" t="n">
        <f aca="false">IF(AND(L652&lt;&gt;"",'Historical Score'!$C$5&lt;&gt;""),IF(L652='Historical Score'!$C$5,1,0),0)</f>
        <v>1</v>
      </c>
      <c r="AS652" s="65" t="n">
        <f aca="false">IF(AND(Y652&lt;&gt;"",'Historical Score'!$C$7&lt;&gt;""),IF(Y652='Historical Score'!$C$7,1,0),0)</f>
        <v>1</v>
      </c>
      <c r="AT652" s="65" t="n">
        <f aca="false">IF(AND(K652&lt;&gt;"",'Historical Score'!$C$8&lt;&gt;""),IF(K652='Historical Score'!$C$8,1,0),0)</f>
        <v>0</v>
      </c>
      <c r="AU652" s="65" t="n">
        <f aca="false">IF(AND(J652&lt;&gt;"",'Historical Score'!$C$9&lt;&gt;""),IF(J652='Historical Score'!$C$9,1,0),0)</f>
        <v>0</v>
      </c>
      <c r="AV652" s="65" t="n">
        <f aca="false">AR652*AS652*AQ652</f>
        <v>0</v>
      </c>
      <c r="AW652" s="65" t="n">
        <f aca="false">AR652*AT652*AQ652</f>
        <v>0</v>
      </c>
      <c r="AX652" s="65" t="n">
        <f aca="false">AR652*AS652</f>
        <v>1</v>
      </c>
      <c r="AY652" s="65" t="n">
        <f aca="false">AR652*AT652</f>
        <v>0</v>
      </c>
      <c r="AZ652" s="65" t="n">
        <f aca="false">AR652*AQ652</f>
        <v>0</v>
      </c>
      <c r="BA652" s="65" t="n">
        <f aca="false">AR652</f>
        <v>1</v>
      </c>
      <c r="BB652" s="65" t="n">
        <f aca="false">1</f>
        <v>1</v>
      </c>
      <c r="BC652" s="65" t="n">
        <f aca="false">IF(AV652=1,1,IF(AW652=1,2,IF(AX652=1,3,IF(AY652=1,4,IF(AZ652=1,5,IF(BA652=1,6,7))))))</f>
        <v>3</v>
      </c>
      <c r="BD652" s="65" t="n">
        <f aca="false">IF(AD652=1,CHOOSE('Historical Score'!$C$29,AV652,AW652,AX652,AY652,AZ652,BA652,BB652),0)</f>
        <v>0</v>
      </c>
      <c r="BE652" s="65" t="str">
        <f aca="false">IF(BD652=1,COUNTIF($BD$2:BD652,1),"")</f>
        <v/>
      </c>
    </row>
    <row r="653" customFormat="false" ht="15" hidden="false" customHeight="false" outlineLevel="0" collapsed="false">
      <c r="A653" s="65" t="s">
        <v>2217</v>
      </c>
      <c r="B653" s="65" t="s">
        <v>2218</v>
      </c>
      <c r="C653" s="65" t="s">
        <v>2218</v>
      </c>
      <c r="D653" s="65" t="s">
        <v>959</v>
      </c>
      <c r="E653" s="112" t="n">
        <v>46078</v>
      </c>
      <c r="F653" s="112" t="n">
        <v>46248</v>
      </c>
      <c r="G653" s="65" t="n">
        <v>3</v>
      </c>
      <c r="H653" s="65" t="s">
        <v>667</v>
      </c>
      <c r="I653" s="65" t="s">
        <v>668</v>
      </c>
      <c r="J653" s="65" t="s">
        <v>380</v>
      </c>
      <c r="K653" s="65" t="s">
        <v>1464</v>
      </c>
      <c r="L653" s="65" t="s">
        <v>64</v>
      </c>
      <c r="M653" s="113" t="n">
        <v>1.49</v>
      </c>
      <c r="N653" s="114" t="n">
        <v>25000</v>
      </c>
      <c r="O653" s="114" t="n">
        <v>3500</v>
      </c>
      <c r="P653" s="114" t="n">
        <v>37250</v>
      </c>
      <c r="Q653" s="114" t="n">
        <v>12149.15</v>
      </c>
      <c r="R653" s="114" t="n">
        <v>25100.85</v>
      </c>
      <c r="S653" s="115" t="n">
        <v>0.326151677852349</v>
      </c>
      <c r="T653" s="65" t="n">
        <v>24</v>
      </c>
      <c r="U653" s="65" t="n">
        <v>16</v>
      </c>
      <c r="V653" s="65" t="n">
        <v>198696.28</v>
      </c>
      <c r="W653" s="115" t="n">
        <v>0.0312</v>
      </c>
      <c r="X653" s="112"/>
      <c r="Y653" s="65" t="str">
        <f aca="false">IF(I653="","No SIC",IFERROR(VLOOKUP(I653,Ref!$A$2:$B$65,2,FALSE()),"Unclassified"))</f>
        <v>Auto Dealers &amp; Gas Stations</v>
      </c>
      <c r="Z653" s="65" t="str">
        <f aca="false">IF(T653="","",IF(T653&lt;12,"Daily","Weekly"))</f>
        <v>Weekly</v>
      </c>
      <c r="AA653" s="65" t="n">
        <f aca="false">IF(T653="",0,IF(T653&lt;12,T653*Controls!$B$29,T653*5))</f>
        <v>120</v>
      </c>
      <c r="AB653" s="65" t="n">
        <f aca="false">IF(E653="",0,NETWORKDAYS(E653,Controls!$B$36,Ref!$K$2:$K$42))</f>
        <v>128</v>
      </c>
      <c r="AC653" s="65" t="n">
        <f aca="false">IF(AND(AA653&gt;0,AB653&gt;=Controls!$B$39*AA653),1,0)</f>
        <v>0</v>
      </c>
      <c r="AD653" s="65" t="n">
        <f aca="false">IF(AND(E653&lt;&gt;"",E653&gt;=Controls!$B$37,E653&lt;=Controls!$B$38),1,0)</f>
        <v>1</v>
      </c>
      <c r="AE653" s="65" t="n">
        <f aca="false">IF(IFERROR(VLOOKUP(D653,Controls!$A$64:$E$74,2,FALSE()),"No")="Yes",1,0)</f>
        <v>0</v>
      </c>
      <c r="AF653" s="65" t="n">
        <f aca="false">IF(IFERROR(VLOOKUP(D653,Controls!$A$64:$E$74,3,FALSE()),"No")="Yes",1,0)</f>
        <v>0</v>
      </c>
      <c r="AG653" s="65" t="n">
        <f aca="false">IF(IFERROR(VLOOKUP(D653,Controls!$A$64:$E$74,4,FALSE()),"No")="Yes",1,0)</f>
        <v>0</v>
      </c>
      <c r="AH653" s="65" t="n">
        <f aca="false">IF(IFERROR(VLOOKUP(D653,Controls!$A$64:$E$74,5,FALSE()),"No")="Yes",1,0)</f>
        <v>0</v>
      </c>
      <c r="AI653" s="65" t="n">
        <f aca="false">IF(ISNUMBER(MATCH(D653,Controls!$A$64:$A$74,0)),1,0)</f>
        <v>1</v>
      </c>
      <c r="AJ653" s="65" t="n">
        <f aca="false">Q653-N653</f>
        <v>-12850.85</v>
      </c>
      <c r="AK653" s="65" t="n">
        <f aca="false">IF(AE653=1,MAX(0,N653-Q653),0)</f>
        <v>0</v>
      </c>
      <c r="AL653" s="65" t="n">
        <f aca="false">IF(OR(V653="",V653=0),0,N653/V653)</f>
        <v>0.125820171369087</v>
      </c>
      <c r="AM653" s="65" t="n">
        <f aca="false">IF(OR(V653="",V653=0),0,1)</f>
        <v>1</v>
      </c>
      <c r="AN653" s="65" t="n">
        <f aca="false">IF(OR(E653="",F653=""),0,NETWORKDAYS(E653,F653,Ref!$K$2:$K$42))</f>
        <v>121</v>
      </c>
      <c r="AO653" s="65" t="n">
        <f aca="false">IF(L653="Renewal",1,0)</f>
        <v>0</v>
      </c>
      <c r="AP653" s="65" t="n">
        <f aca="false">AC653*AD653</f>
        <v>0</v>
      </c>
      <c r="AQ653" s="65" t="n">
        <f aca="false">IF(AND(G653&lt;&gt;"",'Historical Score'!$C$6&lt;&gt;""),IF(G653='Historical Score'!$C$6,1,0),0)</f>
        <v>0</v>
      </c>
      <c r="AR653" s="65" t="n">
        <f aca="false">IF(AND(L653&lt;&gt;"",'Historical Score'!$C$5&lt;&gt;""),IF(L653='Historical Score'!$C$5,1,0),0)</f>
        <v>1</v>
      </c>
      <c r="AS653" s="65" t="n">
        <f aca="false">IF(AND(Y653&lt;&gt;"",'Historical Score'!$C$7&lt;&gt;""),IF(Y653='Historical Score'!$C$7,1,0),0)</f>
        <v>0</v>
      </c>
      <c r="AT653" s="65" t="n">
        <f aca="false">IF(AND(K653&lt;&gt;"",'Historical Score'!$C$8&lt;&gt;""),IF(K653='Historical Score'!$C$8,1,0),0)</f>
        <v>0</v>
      </c>
      <c r="AU653" s="65" t="n">
        <f aca="false">IF(AND(J653&lt;&gt;"",'Historical Score'!$C$9&lt;&gt;""),IF(J653='Historical Score'!$C$9,1,0),0)</f>
        <v>0</v>
      </c>
      <c r="AV653" s="65" t="n">
        <f aca="false">AR653*AS653*AQ653</f>
        <v>0</v>
      </c>
      <c r="AW653" s="65" t="n">
        <f aca="false">AR653*AT653*AQ653</f>
        <v>0</v>
      </c>
      <c r="AX653" s="65" t="n">
        <f aca="false">AR653*AS653</f>
        <v>0</v>
      </c>
      <c r="AY653" s="65" t="n">
        <f aca="false">AR653*AT653</f>
        <v>0</v>
      </c>
      <c r="AZ653" s="65" t="n">
        <f aca="false">AR653*AQ653</f>
        <v>0</v>
      </c>
      <c r="BA653" s="65" t="n">
        <f aca="false">AR653</f>
        <v>1</v>
      </c>
      <c r="BB653" s="65" t="n">
        <f aca="false">1</f>
        <v>1</v>
      </c>
      <c r="BC653" s="65" t="n">
        <f aca="false">IF(AV653=1,1,IF(AW653=1,2,IF(AX653=1,3,IF(AY653=1,4,IF(AZ653=1,5,IF(BA653=1,6,7))))))</f>
        <v>6</v>
      </c>
      <c r="BD653" s="65" t="n">
        <f aca="false">IF(AD653=1,CHOOSE('Historical Score'!$C$29,AV653,AW653,AX653,AY653,AZ653,BA653,BB653),0)</f>
        <v>0</v>
      </c>
      <c r="BE653" s="65" t="str">
        <f aca="false">IF(BD653=1,COUNTIF($BD$2:BD653,1),"")</f>
        <v/>
      </c>
    </row>
    <row r="654" customFormat="false" ht="15" hidden="false" customHeight="false" outlineLevel="0" collapsed="false">
      <c r="A654" s="65" t="s">
        <v>2219</v>
      </c>
      <c r="B654" s="65" t="s">
        <v>2220</v>
      </c>
      <c r="C654" s="65" t="s">
        <v>2220</v>
      </c>
      <c r="D654" s="65" t="s">
        <v>295</v>
      </c>
      <c r="E654" s="112" t="n">
        <v>46078</v>
      </c>
      <c r="F654" s="112" t="n">
        <v>46253</v>
      </c>
      <c r="G654" s="65" t="n">
        <v>3</v>
      </c>
      <c r="H654" s="65" t="s">
        <v>442</v>
      </c>
      <c r="I654" s="65" t="s">
        <v>443</v>
      </c>
      <c r="J654" s="65" t="s">
        <v>510</v>
      </c>
      <c r="K654" s="65" t="s">
        <v>983</v>
      </c>
      <c r="L654" s="65" t="s">
        <v>64</v>
      </c>
      <c r="M654" s="113" t="n">
        <v>1.49</v>
      </c>
      <c r="N654" s="114" t="n">
        <v>25000</v>
      </c>
      <c r="O654" s="114" t="n">
        <v>3500</v>
      </c>
      <c r="P654" s="114" t="n">
        <v>37250</v>
      </c>
      <c r="Q654" s="114" t="n">
        <v>34691.91</v>
      </c>
      <c r="R654" s="114" t="n">
        <v>2558.09</v>
      </c>
      <c r="S654" s="115" t="n">
        <v>0.93132644295302</v>
      </c>
      <c r="T654" s="65" t="n">
        <v>4.262</v>
      </c>
      <c r="U654" s="65" t="n">
        <v>3</v>
      </c>
      <c r="V654" s="65" t="n">
        <v>76118.22</v>
      </c>
      <c r="W654" s="115" t="n">
        <v>0.0791</v>
      </c>
      <c r="X654" s="112" t="n">
        <v>44571</v>
      </c>
      <c r="Y654" s="65" t="str">
        <f aca="false">IF(I654="","No SIC",IFERROR(VLOOKUP(I654,Ref!$A$2:$B$65,2,FALSE()),"Unclassified"))</f>
        <v>General Building Contractors</v>
      </c>
      <c r="Z654" s="65" t="str">
        <f aca="false">IF(T654="","",IF(T654&lt;12,"Daily","Weekly"))</f>
        <v>Daily</v>
      </c>
      <c r="AA654" s="65" t="n">
        <f aca="false">IF(T654="",0,IF(T654&lt;12,T654*Controls!$B$29,T654*5))</f>
        <v>92.29361</v>
      </c>
      <c r="AB654" s="65" t="n">
        <f aca="false">IF(E654="",0,NETWORKDAYS(E654,Controls!$B$36,Ref!$K$2:$K$42))</f>
        <v>128</v>
      </c>
      <c r="AC654" s="65" t="n">
        <f aca="false">IF(AND(AA654&gt;0,AB654&gt;=Controls!$B$39*AA654),1,0)</f>
        <v>1</v>
      </c>
      <c r="AD654" s="65" t="n">
        <f aca="false">IF(AND(E654&lt;&gt;"",E654&gt;=Controls!$B$37,E654&lt;=Controls!$B$38),1,0)</f>
        <v>1</v>
      </c>
      <c r="AE654" s="65" t="n">
        <f aca="false">IF(IFERROR(VLOOKUP(D654,Controls!$A$64:$E$74,2,FALSE()),"No")="Yes",1,0)</f>
        <v>0</v>
      </c>
      <c r="AF654" s="65" t="n">
        <f aca="false">IF(IFERROR(VLOOKUP(D654,Controls!$A$64:$E$74,3,FALSE()),"No")="Yes",1,0)</f>
        <v>0</v>
      </c>
      <c r="AG654" s="65" t="n">
        <f aca="false">IF(IFERROR(VLOOKUP(D654,Controls!$A$64:$E$74,4,FALSE()),"No")="Yes",1,0)</f>
        <v>0</v>
      </c>
      <c r="AH654" s="65" t="n">
        <f aca="false">IF(IFERROR(VLOOKUP(D654,Controls!$A$64:$E$74,5,FALSE()),"No")="Yes",1,0)</f>
        <v>1</v>
      </c>
      <c r="AI654" s="65" t="n">
        <f aca="false">IF(ISNUMBER(MATCH(D654,Controls!$A$64:$A$74,0)),1,0)</f>
        <v>1</v>
      </c>
      <c r="AJ654" s="65" t="n">
        <f aca="false">Q654-N654</f>
        <v>9691.91</v>
      </c>
      <c r="AK654" s="65" t="n">
        <f aca="false">IF(AE654=1,MAX(0,N654-Q654),0)</f>
        <v>0</v>
      </c>
      <c r="AL654" s="65" t="n">
        <f aca="false">IF(OR(V654="",V654=0),0,N654/V654)</f>
        <v>0.328436476838266</v>
      </c>
      <c r="AM654" s="65" t="n">
        <f aca="false">IF(OR(V654="",V654=0),0,1)</f>
        <v>1</v>
      </c>
      <c r="AN654" s="65" t="n">
        <f aca="false">IF(OR(E654="",F654=""),0,NETWORKDAYS(E654,F654,Ref!$K$2:$K$42))</f>
        <v>124</v>
      </c>
      <c r="AO654" s="65" t="n">
        <f aca="false">IF(L654="Renewal",1,0)</f>
        <v>0</v>
      </c>
      <c r="AP654" s="65" t="n">
        <f aca="false">AC654*AD654</f>
        <v>1</v>
      </c>
      <c r="AQ654" s="65" t="n">
        <f aca="false">IF(AND(G654&lt;&gt;"",'Historical Score'!$C$6&lt;&gt;""),IF(G654='Historical Score'!$C$6,1,0),0)</f>
        <v>0</v>
      </c>
      <c r="AR654" s="65" t="n">
        <f aca="false">IF(AND(L654&lt;&gt;"",'Historical Score'!$C$5&lt;&gt;""),IF(L654='Historical Score'!$C$5,1,0),0)</f>
        <v>1</v>
      </c>
      <c r="AS654" s="65" t="n">
        <f aca="false">IF(AND(Y654&lt;&gt;"",'Historical Score'!$C$7&lt;&gt;""),IF(Y654='Historical Score'!$C$7,1,0),0)</f>
        <v>1</v>
      </c>
      <c r="AT654" s="65" t="n">
        <f aca="false">IF(AND(K654&lt;&gt;"",'Historical Score'!$C$8&lt;&gt;""),IF(K654='Historical Score'!$C$8,1,0),0)</f>
        <v>0</v>
      </c>
      <c r="AU654" s="65" t="n">
        <f aca="false">IF(AND(J654&lt;&gt;"",'Historical Score'!$C$9&lt;&gt;""),IF(J654='Historical Score'!$C$9,1,0),0)</f>
        <v>0</v>
      </c>
      <c r="AV654" s="65" t="n">
        <f aca="false">AR654*AS654*AQ654</f>
        <v>0</v>
      </c>
      <c r="AW654" s="65" t="n">
        <f aca="false">AR654*AT654*AQ654</f>
        <v>0</v>
      </c>
      <c r="AX654" s="65" t="n">
        <f aca="false">AR654*AS654</f>
        <v>1</v>
      </c>
      <c r="AY654" s="65" t="n">
        <f aca="false">AR654*AT654</f>
        <v>0</v>
      </c>
      <c r="AZ654" s="65" t="n">
        <f aca="false">AR654*AQ654</f>
        <v>0</v>
      </c>
      <c r="BA654" s="65" t="n">
        <f aca="false">AR654</f>
        <v>1</v>
      </c>
      <c r="BB654" s="65" t="n">
        <f aca="false">1</f>
        <v>1</v>
      </c>
      <c r="BC654" s="65" t="n">
        <f aca="false">IF(AV654=1,1,IF(AW654=1,2,IF(AX654=1,3,IF(AY654=1,4,IF(AZ654=1,5,IF(BA654=1,6,7))))))</f>
        <v>3</v>
      </c>
      <c r="BD654" s="65" t="n">
        <f aca="false">IF(AD654=1,CHOOSE('Historical Score'!$C$29,AV654,AW654,AX654,AY654,AZ654,BA654,BB654),0)</f>
        <v>0</v>
      </c>
      <c r="BE654" s="65" t="str">
        <f aca="false">IF(BD654=1,COUNTIF($BD$2:BD654,1),"")</f>
        <v/>
      </c>
    </row>
    <row r="655" customFormat="false" ht="15" hidden="false" customHeight="false" outlineLevel="0" collapsed="false">
      <c r="A655" s="65" t="s">
        <v>2221</v>
      </c>
      <c r="B655" s="65" t="s">
        <v>1766</v>
      </c>
      <c r="C655" s="65" t="s">
        <v>1766</v>
      </c>
      <c r="D655" s="65" t="s">
        <v>371</v>
      </c>
      <c r="E655" s="112" t="n">
        <v>46078</v>
      </c>
      <c r="F655" s="112" t="n">
        <v>46155</v>
      </c>
      <c r="G655" s="65" t="n">
        <v>3</v>
      </c>
      <c r="H655" s="65" t="s">
        <v>409</v>
      </c>
      <c r="I655" s="65" t="s">
        <v>342</v>
      </c>
      <c r="J655" s="65" t="s">
        <v>61</v>
      </c>
      <c r="K655" s="65" t="s">
        <v>581</v>
      </c>
      <c r="L655" s="65" t="s">
        <v>320</v>
      </c>
      <c r="M655" s="113" t="n">
        <v>1.49</v>
      </c>
      <c r="N655" s="114" t="n">
        <v>25000</v>
      </c>
      <c r="O655" s="114" t="n">
        <v>3500</v>
      </c>
      <c r="P655" s="114" t="n">
        <v>37250</v>
      </c>
      <c r="Q655" s="114" t="n">
        <v>37250</v>
      </c>
      <c r="R655" s="114" t="n">
        <v>0</v>
      </c>
      <c r="S655" s="115" t="n">
        <v>1</v>
      </c>
      <c r="T655" s="65" t="n">
        <v>3.934</v>
      </c>
      <c r="U655" s="65" t="n">
        <v>0</v>
      </c>
      <c r="V655" s="65" t="n">
        <v>35000</v>
      </c>
      <c r="W655" s="115" t="n">
        <v>0.1863</v>
      </c>
      <c r="X655" s="112"/>
      <c r="Y655" s="65" t="str">
        <f aca="false">IF(I655="","No SIC",IFERROR(VLOOKUP(I655,Ref!$A$2:$B$65,2,FALSE()),"Unclassified"))</f>
        <v>Eating &amp; Drinking Places</v>
      </c>
      <c r="Z655" s="65" t="str">
        <f aca="false">IF(T655="","",IF(T655&lt;12,"Daily","Weekly"))</f>
        <v>Daily</v>
      </c>
      <c r="AA655" s="65" t="n">
        <f aca="false">IF(T655="",0,IF(T655&lt;12,T655*Controls!$B$29,T655*5))</f>
        <v>85.19077</v>
      </c>
      <c r="AB655" s="65" t="n">
        <f aca="false">IF(E655="",0,NETWORKDAYS(E655,Controls!$B$36,Ref!$K$2:$K$42))</f>
        <v>128</v>
      </c>
      <c r="AC655" s="65" t="n">
        <f aca="false">IF(AND(AA655&gt;0,AB655&gt;=Controls!$B$39*AA655),1,0)</f>
        <v>1</v>
      </c>
      <c r="AD655" s="65" t="n">
        <f aca="false">IF(AND(E655&lt;&gt;"",E655&gt;=Controls!$B$37,E655&lt;=Controls!$B$38),1,0)</f>
        <v>1</v>
      </c>
      <c r="AE655" s="65" t="n">
        <f aca="false">IF(IFERROR(VLOOKUP(D655,Controls!$A$64:$E$74,2,FALSE()),"No")="Yes",1,0)</f>
        <v>0</v>
      </c>
      <c r="AF655" s="65" t="n">
        <f aca="false">IF(IFERROR(VLOOKUP(D655,Controls!$A$64:$E$74,3,FALSE()),"No")="Yes",1,0)</f>
        <v>1</v>
      </c>
      <c r="AG655" s="65" t="n">
        <f aca="false">IF(IFERROR(VLOOKUP(D655,Controls!$A$64:$E$74,4,FALSE()),"No")="Yes",1,0)</f>
        <v>1</v>
      </c>
      <c r="AH655" s="65" t="n">
        <f aca="false">IF(IFERROR(VLOOKUP(D655,Controls!$A$64:$E$74,5,FALSE()),"No")="Yes",1,0)</f>
        <v>0</v>
      </c>
      <c r="AI655" s="65" t="n">
        <f aca="false">IF(ISNUMBER(MATCH(D655,Controls!$A$64:$A$74,0)),1,0)</f>
        <v>1</v>
      </c>
      <c r="AJ655" s="65" t="n">
        <f aca="false">Q655-N655</f>
        <v>12250</v>
      </c>
      <c r="AK655" s="65" t="n">
        <f aca="false">IF(AE655=1,MAX(0,N655-Q655),0)</f>
        <v>0</v>
      </c>
      <c r="AL655" s="65" t="n">
        <f aca="false">IF(OR(V655="",V655=0),0,N655/V655)</f>
        <v>0.714285714285714</v>
      </c>
      <c r="AM655" s="65" t="n">
        <f aca="false">IF(OR(V655="",V655=0),0,1)</f>
        <v>1</v>
      </c>
      <c r="AN655" s="65" t="n">
        <f aca="false">IF(OR(E655="",F655=""),0,NETWORKDAYS(E655,F655,Ref!$K$2:$K$42))</f>
        <v>56</v>
      </c>
      <c r="AO655" s="65" t="n">
        <f aca="false">IF(L655="Renewal",1,0)</f>
        <v>1</v>
      </c>
      <c r="AP655" s="65" t="n">
        <f aca="false">AC655*AD655</f>
        <v>1</v>
      </c>
      <c r="AQ655" s="65" t="n">
        <f aca="false">IF(AND(G655&lt;&gt;"",'Historical Score'!$C$6&lt;&gt;""),IF(G655='Historical Score'!$C$6,1,0),0)</f>
        <v>0</v>
      </c>
      <c r="AR655" s="65" t="n">
        <f aca="false">IF(AND(L655&lt;&gt;"",'Historical Score'!$C$5&lt;&gt;""),IF(L655='Historical Score'!$C$5,1,0),0)</f>
        <v>0</v>
      </c>
      <c r="AS655" s="65" t="n">
        <f aca="false">IF(AND(Y655&lt;&gt;"",'Historical Score'!$C$7&lt;&gt;""),IF(Y655='Historical Score'!$C$7,1,0),0)</f>
        <v>0</v>
      </c>
      <c r="AT655" s="65" t="n">
        <f aca="false">IF(AND(K655&lt;&gt;"",'Historical Score'!$C$8&lt;&gt;""),IF(K655='Historical Score'!$C$8,1,0),0)</f>
        <v>0</v>
      </c>
      <c r="AU655" s="65" t="n">
        <f aca="false">IF(AND(J655&lt;&gt;"",'Historical Score'!$C$9&lt;&gt;""),IF(J655='Historical Score'!$C$9,1,0),0)</f>
        <v>1</v>
      </c>
      <c r="AV655" s="65" t="n">
        <f aca="false">AR655*AS655*AQ655</f>
        <v>0</v>
      </c>
      <c r="AW655" s="65" t="n">
        <f aca="false">AR655*AT655*AQ655</f>
        <v>0</v>
      </c>
      <c r="AX655" s="65" t="n">
        <f aca="false">AR655*AS655</f>
        <v>0</v>
      </c>
      <c r="AY655" s="65" t="n">
        <f aca="false">AR655*AT655</f>
        <v>0</v>
      </c>
      <c r="AZ655" s="65" t="n">
        <f aca="false">AR655*AQ655</f>
        <v>0</v>
      </c>
      <c r="BA655" s="65" t="n">
        <f aca="false">AR655</f>
        <v>0</v>
      </c>
      <c r="BB655" s="65" t="n">
        <f aca="false">1</f>
        <v>1</v>
      </c>
      <c r="BC655" s="65" t="n">
        <f aca="false">IF(AV655=1,1,IF(AW655=1,2,IF(AX655=1,3,IF(AY655=1,4,IF(AZ655=1,5,IF(BA655=1,6,7))))))</f>
        <v>7</v>
      </c>
      <c r="BD655" s="65" t="n">
        <f aca="false">IF(AD655=1,CHOOSE('Historical Score'!$C$29,AV655,AW655,AX655,AY655,AZ655,BA655,BB655),0)</f>
        <v>0</v>
      </c>
      <c r="BE655" s="65" t="str">
        <f aca="false">IF(BD655=1,COUNTIF($BD$2:BD655,1),"")</f>
        <v/>
      </c>
    </row>
    <row r="656" customFormat="false" ht="15" hidden="false" customHeight="false" outlineLevel="0" collapsed="false">
      <c r="A656" s="65" t="s">
        <v>2222</v>
      </c>
      <c r="B656" s="65" t="s">
        <v>1111</v>
      </c>
      <c r="C656" s="65" t="s">
        <v>1111</v>
      </c>
      <c r="D656" s="65" t="s">
        <v>340</v>
      </c>
      <c r="E656" s="112" t="n">
        <v>46078</v>
      </c>
      <c r="F656" s="112" t="n">
        <v>46115</v>
      </c>
      <c r="G656" s="65" t="n">
        <v>3</v>
      </c>
      <c r="H656" s="65" t="s">
        <v>2223</v>
      </c>
      <c r="I656" s="65" t="s">
        <v>1490</v>
      </c>
      <c r="J656" s="65" t="s">
        <v>649</v>
      </c>
      <c r="K656" s="65" t="s">
        <v>855</v>
      </c>
      <c r="L656" s="65" t="s">
        <v>320</v>
      </c>
      <c r="M656" s="113" t="n">
        <v>1.41</v>
      </c>
      <c r="N656" s="114" t="n">
        <v>50000</v>
      </c>
      <c r="O656" s="114" t="n">
        <v>0</v>
      </c>
      <c r="P656" s="114" t="n">
        <v>70500</v>
      </c>
      <c r="Q656" s="114" t="n">
        <v>2958.02</v>
      </c>
      <c r="R656" s="114" t="n">
        <v>67541.98</v>
      </c>
      <c r="S656" s="115" t="n">
        <v>0.0419577304964539</v>
      </c>
      <c r="T656" s="65" t="n">
        <v>36</v>
      </c>
      <c r="U656" s="65" t="n">
        <v>3</v>
      </c>
      <c r="V656" s="65" t="n">
        <v>56713.1</v>
      </c>
      <c r="W656" s="115" t="n">
        <v>0.1381</v>
      </c>
      <c r="X656" s="112" t="n">
        <v>42308</v>
      </c>
      <c r="Y656" s="65" t="str">
        <f aca="false">IF(I656="","No SIC",IFERROR(VLOOKUP(I656,Ref!$A$2:$B$65,2,FALSE()),"Unclassified"))</f>
        <v>Furniture &amp; Fixtures</v>
      </c>
      <c r="Z656" s="65" t="str">
        <f aca="false">IF(T656="","",IF(T656&lt;12,"Daily","Weekly"))</f>
        <v>Weekly</v>
      </c>
      <c r="AA656" s="65" t="n">
        <f aca="false">IF(T656="",0,IF(T656&lt;12,T656*Controls!$B$29,T656*5))</f>
        <v>180</v>
      </c>
      <c r="AB656" s="65" t="n">
        <f aca="false">IF(E656="",0,NETWORKDAYS(E656,Controls!$B$36,Ref!$K$2:$K$42))</f>
        <v>128</v>
      </c>
      <c r="AC656" s="65" t="n">
        <f aca="false">IF(AND(AA656&gt;0,AB656&gt;=Controls!$B$39*AA656),1,0)</f>
        <v>0</v>
      </c>
      <c r="AD656" s="65" t="n">
        <f aca="false">IF(AND(E656&lt;&gt;"",E656&gt;=Controls!$B$37,E656&lt;=Controls!$B$38),1,0)</f>
        <v>1</v>
      </c>
      <c r="AE656" s="65" t="n">
        <f aca="false">IF(IFERROR(VLOOKUP(D656,Controls!$A$64:$E$74,2,FALSE()),"No")="Yes",1,0)</f>
        <v>1</v>
      </c>
      <c r="AF656" s="65" t="n">
        <f aca="false">IF(IFERROR(VLOOKUP(D656,Controls!$A$64:$E$74,3,FALSE()),"No")="Yes",1,0)</f>
        <v>0</v>
      </c>
      <c r="AG656" s="65" t="n">
        <f aca="false">IF(IFERROR(VLOOKUP(D656,Controls!$A$64:$E$74,4,FALSE()),"No")="Yes",1,0)</f>
        <v>0</v>
      </c>
      <c r="AH656" s="65" t="n">
        <f aca="false">IF(IFERROR(VLOOKUP(D656,Controls!$A$64:$E$74,5,FALSE()),"No")="Yes",1,0)</f>
        <v>0</v>
      </c>
      <c r="AI656" s="65" t="n">
        <f aca="false">IF(ISNUMBER(MATCH(D656,Controls!$A$64:$A$74,0)),1,0)</f>
        <v>1</v>
      </c>
      <c r="AJ656" s="65" t="n">
        <f aca="false">Q656-N656</f>
        <v>-47041.98</v>
      </c>
      <c r="AK656" s="65" t="n">
        <f aca="false">IF(AE656=1,MAX(0,N656-Q656),0)</f>
        <v>47041.98</v>
      </c>
      <c r="AL656" s="65" t="n">
        <f aca="false">IF(OR(V656="",V656=0),0,N656/V656)</f>
        <v>0.881630522754002</v>
      </c>
      <c r="AM656" s="65" t="n">
        <f aca="false">IF(OR(V656="",V656=0),0,1)</f>
        <v>1</v>
      </c>
      <c r="AN656" s="65" t="n">
        <f aca="false">IF(OR(E656="",F656=""),0,NETWORKDAYS(E656,F656,Ref!$K$2:$K$42))</f>
        <v>28</v>
      </c>
      <c r="AO656" s="65" t="n">
        <f aca="false">IF(L656="Renewal",1,0)</f>
        <v>1</v>
      </c>
      <c r="AP656" s="65" t="n">
        <f aca="false">AC656*AD656</f>
        <v>0</v>
      </c>
      <c r="AQ656" s="65" t="n">
        <f aca="false">IF(AND(G656&lt;&gt;"",'Historical Score'!$C$6&lt;&gt;""),IF(G656='Historical Score'!$C$6,1,0),0)</f>
        <v>0</v>
      </c>
      <c r="AR656" s="65" t="n">
        <f aca="false">IF(AND(L656&lt;&gt;"",'Historical Score'!$C$5&lt;&gt;""),IF(L656='Historical Score'!$C$5,1,0),0)</f>
        <v>0</v>
      </c>
      <c r="AS656" s="65" t="n">
        <f aca="false">IF(AND(Y656&lt;&gt;"",'Historical Score'!$C$7&lt;&gt;""),IF(Y656='Historical Score'!$C$7,1,0),0)</f>
        <v>0</v>
      </c>
      <c r="AT656" s="65" t="n">
        <f aca="false">IF(AND(K656&lt;&gt;"",'Historical Score'!$C$8&lt;&gt;""),IF(K656='Historical Score'!$C$8,1,0),0)</f>
        <v>0</v>
      </c>
      <c r="AU656" s="65" t="n">
        <f aca="false">IF(AND(J656&lt;&gt;"",'Historical Score'!$C$9&lt;&gt;""),IF(J656='Historical Score'!$C$9,1,0),0)</f>
        <v>0</v>
      </c>
      <c r="AV656" s="65" t="n">
        <f aca="false">AR656*AS656*AQ656</f>
        <v>0</v>
      </c>
      <c r="AW656" s="65" t="n">
        <f aca="false">AR656*AT656*AQ656</f>
        <v>0</v>
      </c>
      <c r="AX656" s="65" t="n">
        <f aca="false">AR656*AS656</f>
        <v>0</v>
      </c>
      <c r="AY656" s="65" t="n">
        <f aca="false">AR656*AT656</f>
        <v>0</v>
      </c>
      <c r="AZ656" s="65" t="n">
        <f aca="false">AR656*AQ656</f>
        <v>0</v>
      </c>
      <c r="BA656" s="65" t="n">
        <f aca="false">AR656</f>
        <v>0</v>
      </c>
      <c r="BB656" s="65" t="n">
        <f aca="false">1</f>
        <v>1</v>
      </c>
      <c r="BC656" s="65" t="n">
        <f aca="false">IF(AV656=1,1,IF(AW656=1,2,IF(AX656=1,3,IF(AY656=1,4,IF(AZ656=1,5,IF(BA656=1,6,7))))))</f>
        <v>7</v>
      </c>
      <c r="BD656" s="65" t="n">
        <f aca="false">IF(AD656=1,CHOOSE('Historical Score'!$C$29,AV656,AW656,AX656,AY656,AZ656,BA656,BB656),0)</f>
        <v>0</v>
      </c>
      <c r="BE656" s="65" t="str">
        <f aca="false">IF(BD656=1,COUNTIF($BD$2:BD656,1),"")</f>
        <v/>
      </c>
    </row>
    <row r="657" customFormat="false" ht="15" hidden="false" customHeight="false" outlineLevel="0" collapsed="false">
      <c r="A657" s="65" t="s">
        <v>2224</v>
      </c>
      <c r="B657" s="65" t="s">
        <v>2225</v>
      </c>
      <c r="C657" s="65" t="s">
        <v>2225</v>
      </c>
      <c r="D657" s="65" t="s">
        <v>347</v>
      </c>
      <c r="E657" s="112" t="n">
        <v>46078</v>
      </c>
      <c r="F657" s="112" t="n">
        <v>46146</v>
      </c>
      <c r="G657" s="65" t="n">
        <v>3</v>
      </c>
      <c r="H657" s="65" t="s">
        <v>1505</v>
      </c>
      <c r="I657" s="65" t="s">
        <v>1506</v>
      </c>
      <c r="J657" s="65" t="s">
        <v>61</v>
      </c>
      <c r="K657" s="65" t="s">
        <v>55</v>
      </c>
      <c r="L657" s="65" t="s">
        <v>64</v>
      </c>
      <c r="M657" s="113" t="n">
        <v>1.49</v>
      </c>
      <c r="N657" s="114" t="n">
        <v>17500</v>
      </c>
      <c r="O657" s="114" t="n">
        <v>0</v>
      </c>
      <c r="P657" s="114" t="n">
        <v>26075</v>
      </c>
      <c r="Q657" s="114" t="n">
        <v>18992.6</v>
      </c>
      <c r="R657" s="114" t="n">
        <v>7082.4</v>
      </c>
      <c r="S657" s="115" t="n">
        <v>0.728383509108341</v>
      </c>
      <c r="T657" s="65" t="n">
        <v>22</v>
      </c>
      <c r="U657" s="65" t="n">
        <v>2</v>
      </c>
      <c r="V657" s="65" t="n">
        <v>82623.64</v>
      </c>
      <c r="W657" s="115" t="n">
        <v>0.0574</v>
      </c>
      <c r="X657" s="112" t="n">
        <v>46078</v>
      </c>
      <c r="Y657" s="65" t="str">
        <f aca="false">IF(I657="","No SIC",IFERROR(VLOOKUP(I657,Ref!$A$2:$B$65,2,FALSE()),"Unclassified"))</f>
        <v>Environmental Quality &amp; Housing</v>
      </c>
      <c r="Z657" s="65" t="str">
        <f aca="false">IF(T657="","",IF(T657&lt;12,"Daily","Weekly"))</f>
        <v>Weekly</v>
      </c>
      <c r="AA657" s="65" t="n">
        <f aca="false">IF(T657="",0,IF(T657&lt;12,T657*Controls!$B$29,T657*5))</f>
        <v>110</v>
      </c>
      <c r="AB657" s="65" t="n">
        <f aca="false">IF(E657="",0,NETWORKDAYS(E657,Controls!$B$36,Ref!$K$2:$K$42))</f>
        <v>128</v>
      </c>
      <c r="AC657" s="65" t="n">
        <f aca="false">IF(AND(AA657&gt;0,AB657&gt;=Controls!$B$39*AA657),1,0)</f>
        <v>0</v>
      </c>
      <c r="AD657" s="65" t="n">
        <f aca="false">IF(AND(E657&lt;&gt;"",E657&gt;=Controls!$B$37,E657&lt;=Controls!$B$38),1,0)</f>
        <v>1</v>
      </c>
      <c r="AE657" s="65" t="n">
        <f aca="false">IF(IFERROR(VLOOKUP(D657,Controls!$A$64:$E$74,2,FALSE()),"No")="Yes",1,0)</f>
        <v>1</v>
      </c>
      <c r="AF657" s="65" t="n">
        <f aca="false">IF(IFERROR(VLOOKUP(D657,Controls!$A$64:$E$74,3,FALSE()),"No")="Yes",1,0)</f>
        <v>1</v>
      </c>
      <c r="AG657" s="65" t="n">
        <f aca="false">IF(IFERROR(VLOOKUP(D657,Controls!$A$64:$E$74,4,FALSE()),"No")="Yes",1,0)</f>
        <v>0</v>
      </c>
      <c r="AH657" s="65" t="n">
        <f aca="false">IF(IFERROR(VLOOKUP(D657,Controls!$A$64:$E$74,5,FALSE()),"No")="Yes",1,0)</f>
        <v>0</v>
      </c>
      <c r="AI657" s="65" t="n">
        <f aca="false">IF(ISNUMBER(MATCH(D657,Controls!$A$64:$A$74,0)),1,0)</f>
        <v>1</v>
      </c>
      <c r="AJ657" s="65" t="n">
        <f aca="false">Q657-N657</f>
        <v>1492.6</v>
      </c>
      <c r="AK657" s="65" t="n">
        <f aca="false">IF(AE657=1,MAX(0,N657-Q657),0)</f>
        <v>0</v>
      </c>
      <c r="AL657" s="65" t="n">
        <f aca="false">IF(OR(V657="",V657=0),0,N657/V657)</f>
        <v>0.211803788842999</v>
      </c>
      <c r="AM657" s="65" t="n">
        <f aca="false">IF(OR(V657="",V657=0),0,1)</f>
        <v>1</v>
      </c>
      <c r="AN657" s="65" t="n">
        <f aca="false">IF(OR(E657="",F657=""),0,NETWORKDAYS(E657,F657,Ref!$K$2:$K$42))</f>
        <v>49</v>
      </c>
      <c r="AO657" s="65" t="n">
        <f aca="false">IF(L657="Renewal",1,0)</f>
        <v>0</v>
      </c>
      <c r="AP657" s="65" t="n">
        <f aca="false">AC657*AD657</f>
        <v>0</v>
      </c>
      <c r="AQ657" s="65" t="n">
        <f aca="false">IF(AND(G657&lt;&gt;"",'Historical Score'!$C$6&lt;&gt;""),IF(G657='Historical Score'!$C$6,1,0),0)</f>
        <v>0</v>
      </c>
      <c r="AR657" s="65" t="n">
        <f aca="false">IF(AND(L657&lt;&gt;"",'Historical Score'!$C$5&lt;&gt;""),IF(L657='Historical Score'!$C$5,1,0),0)</f>
        <v>1</v>
      </c>
      <c r="AS657" s="65" t="n">
        <f aca="false">IF(AND(Y657&lt;&gt;"",'Historical Score'!$C$7&lt;&gt;""),IF(Y657='Historical Score'!$C$7,1,0),0)</f>
        <v>0</v>
      </c>
      <c r="AT657" s="65" t="n">
        <f aca="false">IF(AND(K657&lt;&gt;"",'Historical Score'!$C$8&lt;&gt;""),IF(K657='Historical Score'!$C$8,1,0),0)</f>
        <v>1</v>
      </c>
      <c r="AU657" s="65" t="n">
        <f aca="false">IF(AND(J657&lt;&gt;"",'Historical Score'!$C$9&lt;&gt;""),IF(J657='Historical Score'!$C$9,1,0),0)</f>
        <v>1</v>
      </c>
      <c r="AV657" s="65" t="n">
        <f aca="false">AR657*AS657*AQ657</f>
        <v>0</v>
      </c>
      <c r="AW657" s="65" t="n">
        <f aca="false">AR657*AT657*AQ657</f>
        <v>0</v>
      </c>
      <c r="AX657" s="65" t="n">
        <f aca="false">AR657*AS657</f>
        <v>0</v>
      </c>
      <c r="AY657" s="65" t="n">
        <f aca="false">AR657*AT657</f>
        <v>1</v>
      </c>
      <c r="AZ657" s="65" t="n">
        <f aca="false">AR657*AQ657</f>
        <v>0</v>
      </c>
      <c r="BA657" s="65" t="n">
        <f aca="false">AR657</f>
        <v>1</v>
      </c>
      <c r="BB657" s="65" t="n">
        <f aca="false">1</f>
        <v>1</v>
      </c>
      <c r="BC657" s="65" t="n">
        <f aca="false">IF(AV657=1,1,IF(AW657=1,2,IF(AX657=1,3,IF(AY657=1,4,IF(AZ657=1,5,IF(BA657=1,6,7))))))</f>
        <v>4</v>
      </c>
      <c r="BD657" s="65" t="n">
        <f aca="false">IF(AD657=1,CHOOSE('Historical Score'!$C$29,AV657,AW657,AX657,AY657,AZ657,BA657,BB657),0)</f>
        <v>0</v>
      </c>
      <c r="BE657" s="65" t="str">
        <f aca="false">IF(BD657=1,COUNTIF($BD$2:BD657,1),"")</f>
        <v/>
      </c>
    </row>
    <row r="658" customFormat="false" ht="15" hidden="false" customHeight="false" outlineLevel="0" collapsed="false">
      <c r="A658" s="65" t="s">
        <v>2226</v>
      </c>
      <c r="B658" s="65" t="s">
        <v>1171</v>
      </c>
      <c r="C658" s="65" t="s">
        <v>1172</v>
      </c>
      <c r="D658" s="65" t="s">
        <v>371</v>
      </c>
      <c r="E658" s="112" t="n">
        <v>46079</v>
      </c>
      <c r="F658" s="112" t="n">
        <v>46157</v>
      </c>
      <c r="G658" s="65" t="n">
        <v>2</v>
      </c>
      <c r="H658" s="65" t="s">
        <v>442</v>
      </c>
      <c r="I658" s="65" t="s">
        <v>443</v>
      </c>
      <c r="J658" s="65" t="s">
        <v>380</v>
      </c>
      <c r="K658" s="65" t="s">
        <v>1173</v>
      </c>
      <c r="L658" s="65" t="s">
        <v>320</v>
      </c>
      <c r="M658" s="113" t="n">
        <v>1.49</v>
      </c>
      <c r="N658" s="114" t="n">
        <v>25000</v>
      </c>
      <c r="O658" s="114" t="n">
        <v>3500</v>
      </c>
      <c r="P658" s="114" t="n">
        <v>37250</v>
      </c>
      <c r="Q658" s="114" t="n">
        <v>37250</v>
      </c>
      <c r="R658" s="114" t="n">
        <v>0</v>
      </c>
      <c r="S658" s="115" t="n">
        <v>1</v>
      </c>
      <c r="T658" s="65" t="n">
        <v>24</v>
      </c>
      <c r="U658" s="65" t="n">
        <v>1</v>
      </c>
      <c r="V658" s="65" t="n">
        <v>123628.7</v>
      </c>
      <c r="W658" s="115" t="n">
        <v>0.0502</v>
      </c>
      <c r="X658" s="112" t="n">
        <v>44562</v>
      </c>
      <c r="Y658" s="65" t="str">
        <f aca="false">IF(I658="","No SIC",IFERROR(VLOOKUP(I658,Ref!$A$2:$B$65,2,FALSE()),"Unclassified"))</f>
        <v>General Building Contractors</v>
      </c>
      <c r="Z658" s="65" t="str">
        <f aca="false">IF(T658="","",IF(T658&lt;12,"Daily","Weekly"))</f>
        <v>Weekly</v>
      </c>
      <c r="AA658" s="65" t="n">
        <f aca="false">IF(T658="",0,IF(T658&lt;12,T658*Controls!$B$29,T658*5))</f>
        <v>120</v>
      </c>
      <c r="AB658" s="65" t="n">
        <f aca="false">IF(E658="",0,NETWORKDAYS(E658,Controls!$B$36,Ref!$K$2:$K$42))</f>
        <v>127</v>
      </c>
      <c r="AC658" s="65" t="n">
        <f aca="false">IF(AND(AA658&gt;0,AB658&gt;=Controls!$B$39*AA658),1,0)</f>
        <v>0</v>
      </c>
      <c r="AD658" s="65" t="n">
        <f aca="false">IF(AND(E658&lt;&gt;"",E658&gt;=Controls!$B$37,E658&lt;=Controls!$B$38),1,0)</f>
        <v>1</v>
      </c>
      <c r="AE658" s="65" t="n">
        <f aca="false">IF(IFERROR(VLOOKUP(D658,Controls!$A$64:$E$74,2,FALSE()),"No")="Yes",1,0)</f>
        <v>0</v>
      </c>
      <c r="AF658" s="65" t="n">
        <f aca="false">IF(IFERROR(VLOOKUP(D658,Controls!$A$64:$E$74,3,FALSE()),"No")="Yes",1,0)</f>
        <v>1</v>
      </c>
      <c r="AG658" s="65" t="n">
        <f aca="false">IF(IFERROR(VLOOKUP(D658,Controls!$A$64:$E$74,4,FALSE()),"No")="Yes",1,0)</f>
        <v>1</v>
      </c>
      <c r="AH658" s="65" t="n">
        <f aca="false">IF(IFERROR(VLOOKUP(D658,Controls!$A$64:$E$74,5,FALSE()),"No")="Yes",1,0)</f>
        <v>0</v>
      </c>
      <c r="AI658" s="65" t="n">
        <f aca="false">IF(ISNUMBER(MATCH(D658,Controls!$A$64:$A$74,0)),1,0)</f>
        <v>1</v>
      </c>
      <c r="AJ658" s="65" t="n">
        <f aca="false">Q658-N658</f>
        <v>12250</v>
      </c>
      <c r="AK658" s="65" t="n">
        <f aca="false">IF(AE658=1,MAX(0,N658-Q658),0)</f>
        <v>0</v>
      </c>
      <c r="AL658" s="65" t="n">
        <f aca="false">IF(OR(V658="",V658=0),0,N658/V658)</f>
        <v>0.20221841692099</v>
      </c>
      <c r="AM658" s="65" t="n">
        <f aca="false">IF(OR(V658="",V658=0),0,1)</f>
        <v>1</v>
      </c>
      <c r="AN658" s="65" t="n">
        <f aca="false">IF(OR(E658="",F658=""),0,NETWORKDAYS(E658,F658,Ref!$K$2:$K$42))</f>
        <v>57</v>
      </c>
      <c r="AO658" s="65" t="n">
        <f aca="false">IF(L658="Renewal",1,0)</f>
        <v>1</v>
      </c>
      <c r="AP658" s="65" t="n">
        <f aca="false">AC658*AD658</f>
        <v>0</v>
      </c>
      <c r="AQ658" s="65" t="n">
        <f aca="false">IF(AND(G658&lt;&gt;"",'Historical Score'!$C$6&lt;&gt;""),IF(G658='Historical Score'!$C$6,1,0),0)</f>
        <v>1</v>
      </c>
      <c r="AR658" s="65" t="n">
        <f aca="false">IF(AND(L658&lt;&gt;"",'Historical Score'!$C$5&lt;&gt;""),IF(L658='Historical Score'!$C$5,1,0),0)</f>
        <v>0</v>
      </c>
      <c r="AS658" s="65" t="n">
        <f aca="false">IF(AND(Y658&lt;&gt;"",'Historical Score'!$C$7&lt;&gt;""),IF(Y658='Historical Score'!$C$7,1,0),0)</f>
        <v>1</v>
      </c>
      <c r="AT658" s="65" t="n">
        <f aca="false">IF(AND(K658&lt;&gt;"",'Historical Score'!$C$8&lt;&gt;""),IF(K658='Historical Score'!$C$8,1,0),0)</f>
        <v>0</v>
      </c>
      <c r="AU658" s="65" t="n">
        <f aca="false">IF(AND(J658&lt;&gt;"",'Historical Score'!$C$9&lt;&gt;""),IF(J658='Historical Score'!$C$9,1,0),0)</f>
        <v>0</v>
      </c>
      <c r="AV658" s="65" t="n">
        <f aca="false">AR658*AS658*AQ658</f>
        <v>0</v>
      </c>
      <c r="AW658" s="65" t="n">
        <f aca="false">AR658*AT658*AQ658</f>
        <v>0</v>
      </c>
      <c r="AX658" s="65" t="n">
        <f aca="false">AR658*AS658</f>
        <v>0</v>
      </c>
      <c r="AY658" s="65" t="n">
        <f aca="false">AR658*AT658</f>
        <v>0</v>
      </c>
      <c r="AZ658" s="65" t="n">
        <f aca="false">AR658*AQ658</f>
        <v>0</v>
      </c>
      <c r="BA658" s="65" t="n">
        <f aca="false">AR658</f>
        <v>0</v>
      </c>
      <c r="BB658" s="65" t="n">
        <f aca="false">1</f>
        <v>1</v>
      </c>
      <c r="BC658" s="65" t="n">
        <f aca="false">IF(AV658=1,1,IF(AW658=1,2,IF(AX658=1,3,IF(AY658=1,4,IF(AZ658=1,5,IF(BA658=1,6,7))))))</f>
        <v>7</v>
      </c>
      <c r="BD658" s="65" t="n">
        <f aca="false">IF(AD658=1,CHOOSE('Historical Score'!$C$29,AV658,AW658,AX658,AY658,AZ658,BA658,BB658),0)</f>
        <v>0</v>
      </c>
      <c r="BE658" s="65" t="str">
        <f aca="false">IF(BD658=1,COUNTIF($BD$2:BD658,1),"")</f>
        <v/>
      </c>
    </row>
    <row r="659" customFormat="false" ht="15" hidden="false" customHeight="false" outlineLevel="0" collapsed="false">
      <c r="A659" s="65" t="s">
        <v>2227</v>
      </c>
      <c r="B659" s="65" t="s">
        <v>1593</v>
      </c>
      <c r="C659" s="65" t="s">
        <v>1593</v>
      </c>
      <c r="D659" s="65" t="s">
        <v>371</v>
      </c>
      <c r="E659" s="112" t="n">
        <v>46079</v>
      </c>
      <c r="F659" s="112" t="n">
        <v>46161</v>
      </c>
      <c r="G659" s="65" t="n">
        <v>2</v>
      </c>
      <c r="H659" s="65" t="s">
        <v>1594</v>
      </c>
      <c r="I659" s="65" t="s">
        <v>1595</v>
      </c>
      <c r="J659" s="65" t="s">
        <v>682</v>
      </c>
      <c r="K659" s="65" t="s">
        <v>1461</v>
      </c>
      <c r="L659" s="65" t="s">
        <v>320</v>
      </c>
      <c r="M659" s="113" t="n">
        <v>1.47</v>
      </c>
      <c r="N659" s="114" t="n">
        <v>12000</v>
      </c>
      <c r="O659" s="114" t="n">
        <v>1560</v>
      </c>
      <c r="P659" s="114" t="n">
        <v>17640</v>
      </c>
      <c r="Q659" s="114" t="n">
        <v>17640</v>
      </c>
      <c r="R659" s="114" t="n">
        <v>0</v>
      </c>
      <c r="S659" s="115" t="n">
        <v>1</v>
      </c>
      <c r="T659" s="65" t="n">
        <v>2.951</v>
      </c>
      <c r="U659" s="65" t="n">
        <v>0</v>
      </c>
      <c r="V659" s="65" t="n">
        <v>38306.63</v>
      </c>
      <c r="W659" s="115" t="n">
        <v>0.1074</v>
      </c>
      <c r="X659" s="112" t="n">
        <v>43374</v>
      </c>
      <c r="Y659" s="65" t="str">
        <f aca="false">IF(I659="","No SIC",IFERROR(VLOOKUP(I659,Ref!$A$2:$B$65,2,FALSE()),"Unclassified"))</f>
        <v>Miscellaneous Repair Services</v>
      </c>
      <c r="Z659" s="65" t="str">
        <f aca="false">IF(T659="","",IF(T659&lt;12,"Daily","Weekly"))</f>
        <v>Daily</v>
      </c>
      <c r="AA659" s="65" t="n">
        <f aca="false">IF(T659="",0,IF(T659&lt;12,T659*Controls!$B$29,T659*5))</f>
        <v>63.903905</v>
      </c>
      <c r="AB659" s="65" t="n">
        <f aca="false">IF(E659="",0,NETWORKDAYS(E659,Controls!$B$36,Ref!$K$2:$K$42))</f>
        <v>127</v>
      </c>
      <c r="AC659" s="65" t="n">
        <f aca="false">IF(AND(AA659&gt;0,AB659&gt;=Controls!$B$39*AA659),1,0)</f>
        <v>1</v>
      </c>
      <c r="AD659" s="65" t="n">
        <f aca="false">IF(AND(E659&lt;&gt;"",E659&gt;=Controls!$B$37,E659&lt;=Controls!$B$38),1,0)</f>
        <v>1</v>
      </c>
      <c r="AE659" s="65" t="n">
        <f aca="false">IF(IFERROR(VLOOKUP(D659,Controls!$A$64:$E$74,2,FALSE()),"No")="Yes",1,0)</f>
        <v>0</v>
      </c>
      <c r="AF659" s="65" t="n">
        <f aca="false">IF(IFERROR(VLOOKUP(D659,Controls!$A$64:$E$74,3,FALSE()),"No")="Yes",1,0)</f>
        <v>1</v>
      </c>
      <c r="AG659" s="65" t="n">
        <f aca="false">IF(IFERROR(VLOOKUP(D659,Controls!$A$64:$E$74,4,FALSE()),"No")="Yes",1,0)</f>
        <v>1</v>
      </c>
      <c r="AH659" s="65" t="n">
        <f aca="false">IF(IFERROR(VLOOKUP(D659,Controls!$A$64:$E$74,5,FALSE()),"No")="Yes",1,0)</f>
        <v>0</v>
      </c>
      <c r="AI659" s="65" t="n">
        <f aca="false">IF(ISNUMBER(MATCH(D659,Controls!$A$64:$A$74,0)),1,0)</f>
        <v>1</v>
      </c>
      <c r="AJ659" s="65" t="n">
        <f aca="false">Q659-N659</f>
        <v>5640</v>
      </c>
      <c r="AK659" s="65" t="n">
        <f aca="false">IF(AE659=1,MAX(0,N659-Q659),0)</f>
        <v>0</v>
      </c>
      <c r="AL659" s="65" t="n">
        <f aca="false">IF(OR(V659="",V659=0),0,N659/V659)</f>
        <v>0.313261699084467</v>
      </c>
      <c r="AM659" s="65" t="n">
        <f aca="false">IF(OR(V659="",V659=0),0,1)</f>
        <v>1</v>
      </c>
      <c r="AN659" s="65" t="n">
        <f aca="false">IF(OR(E659="",F659=""),0,NETWORKDAYS(E659,F659,Ref!$K$2:$K$42))</f>
        <v>59</v>
      </c>
      <c r="AO659" s="65" t="n">
        <f aca="false">IF(L659="Renewal",1,0)</f>
        <v>1</v>
      </c>
      <c r="AP659" s="65" t="n">
        <f aca="false">AC659*AD659</f>
        <v>1</v>
      </c>
      <c r="AQ659" s="65" t="n">
        <f aca="false">IF(AND(G659&lt;&gt;"",'Historical Score'!$C$6&lt;&gt;""),IF(G659='Historical Score'!$C$6,1,0),0)</f>
        <v>1</v>
      </c>
      <c r="AR659" s="65" t="n">
        <f aca="false">IF(AND(L659&lt;&gt;"",'Historical Score'!$C$5&lt;&gt;""),IF(L659='Historical Score'!$C$5,1,0),0)</f>
        <v>0</v>
      </c>
      <c r="AS659" s="65" t="n">
        <f aca="false">IF(AND(Y659&lt;&gt;"",'Historical Score'!$C$7&lt;&gt;""),IF(Y659='Historical Score'!$C$7,1,0),0)</f>
        <v>0</v>
      </c>
      <c r="AT659" s="65" t="n">
        <f aca="false">IF(AND(K659&lt;&gt;"",'Historical Score'!$C$8&lt;&gt;""),IF(K659='Historical Score'!$C$8,1,0),0)</f>
        <v>0</v>
      </c>
      <c r="AU659" s="65" t="n">
        <f aca="false">IF(AND(J659&lt;&gt;"",'Historical Score'!$C$9&lt;&gt;""),IF(J659='Historical Score'!$C$9,1,0),0)</f>
        <v>0</v>
      </c>
      <c r="AV659" s="65" t="n">
        <f aca="false">AR659*AS659*AQ659</f>
        <v>0</v>
      </c>
      <c r="AW659" s="65" t="n">
        <f aca="false">AR659*AT659*AQ659</f>
        <v>0</v>
      </c>
      <c r="AX659" s="65" t="n">
        <f aca="false">AR659*AS659</f>
        <v>0</v>
      </c>
      <c r="AY659" s="65" t="n">
        <f aca="false">AR659*AT659</f>
        <v>0</v>
      </c>
      <c r="AZ659" s="65" t="n">
        <f aca="false">AR659*AQ659</f>
        <v>0</v>
      </c>
      <c r="BA659" s="65" t="n">
        <f aca="false">AR659</f>
        <v>0</v>
      </c>
      <c r="BB659" s="65" t="n">
        <f aca="false">1</f>
        <v>1</v>
      </c>
      <c r="BC659" s="65" t="n">
        <f aca="false">IF(AV659=1,1,IF(AW659=1,2,IF(AX659=1,3,IF(AY659=1,4,IF(AZ659=1,5,IF(BA659=1,6,7))))))</f>
        <v>7</v>
      </c>
      <c r="BD659" s="65" t="n">
        <f aca="false">IF(AD659=1,CHOOSE('Historical Score'!$C$29,AV659,AW659,AX659,AY659,AZ659,BA659,BB659),0)</f>
        <v>0</v>
      </c>
      <c r="BE659" s="65" t="str">
        <f aca="false">IF(BD659=1,COUNTIF($BD$2:BD659,1),"")</f>
        <v/>
      </c>
    </row>
    <row r="660" customFormat="false" ht="15" hidden="false" customHeight="false" outlineLevel="0" collapsed="false">
      <c r="A660" s="65" t="s">
        <v>2228</v>
      </c>
      <c r="B660" s="65" t="s">
        <v>1778</v>
      </c>
      <c r="C660" s="65" t="s">
        <v>1778</v>
      </c>
      <c r="D660" s="65" t="s">
        <v>371</v>
      </c>
      <c r="E660" s="112" t="n">
        <v>46079</v>
      </c>
      <c r="F660" s="112" t="n">
        <v>46224</v>
      </c>
      <c r="G660" s="65" t="n">
        <v>3</v>
      </c>
      <c r="H660" s="65" t="s">
        <v>409</v>
      </c>
      <c r="I660" s="65" t="s">
        <v>342</v>
      </c>
      <c r="J660" s="65" t="s">
        <v>410</v>
      </c>
      <c r="K660" s="65" t="s">
        <v>983</v>
      </c>
      <c r="L660" s="65" t="s">
        <v>320</v>
      </c>
      <c r="M660" s="113" t="n">
        <v>1.49</v>
      </c>
      <c r="N660" s="114" t="n">
        <v>40000</v>
      </c>
      <c r="O660" s="114" t="n">
        <v>5600</v>
      </c>
      <c r="P660" s="114" t="n">
        <v>59600</v>
      </c>
      <c r="Q660" s="114" t="n">
        <v>59600</v>
      </c>
      <c r="R660" s="114" t="n">
        <v>0</v>
      </c>
      <c r="S660" s="115" t="n">
        <v>1</v>
      </c>
      <c r="T660" s="65" t="n">
        <v>4.59</v>
      </c>
      <c r="U660" s="65" t="n">
        <v>4</v>
      </c>
      <c r="V660" s="65" t="n">
        <v>51003.83</v>
      </c>
      <c r="W660" s="115" t="n">
        <v>0.1753</v>
      </c>
      <c r="X660" s="112" t="n">
        <v>45344</v>
      </c>
      <c r="Y660" s="65" t="str">
        <f aca="false">IF(I660="","No SIC",IFERROR(VLOOKUP(I660,Ref!$A$2:$B$65,2,FALSE()),"Unclassified"))</f>
        <v>Eating &amp; Drinking Places</v>
      </c>
      <c r="Z660" s="65" t="str">
        <f aca="false">IF(T660="","",IF(T660&lt;12,"Daily","Weekly"))</f>
        <v>Daily</v>
      </c>
      <c r="AA660" s="65" t="n">
        <f aca="false">IF(T660="",0,IF(T660&lt;12,T660*Controls!$B$29,T660*5))</f>
        <v>99.39645</v>
      </c>
      <c r="AB660" s="65" t="n">
        <f aca="false">IF(E660="",0,NETWORKDAYS(E660,Controls!$B$36,Ref!$K$2:$K$42))</f>
        <v>127</v>
      </c>
      <c r="AC660" s="65" t="n">
        <f aca="false">IF(AND(AA660&gt;0,AB660&gt;=Controls!$B$39*AA660),1,0)</f>
        <v>1</v>
      </c>
      <c r="AD660" s="65" t="n">
        <f aca="false">IF(AND(E660&lt;&gt;"",E660&gt;=Controls!$B$37,E660&lt;=Controls!$B$38),1,0)</f>
        <v>1</v>
      </c>
      <c r="AE660" s="65" t="n">
        <f aca="false">IF(IFERROR(VLOOKUP(D660,Controls!$A$64:$E$74,2,FALSE()),"No")="Yes",1,0)</f>
        <v>0</v>
      </c>
      <c r="AF660" s="65" t="n">
        <f aca="false">IF(IFERROR(VLOOKUP(D660,Controls!$A$64:$E$74,3,FALSE()),"No")="Yes",1,0)</f>
        <v>1</v>
      </c>
      <c r="AG660" s="65" t="n">
        <f aca="false">IF(IFERROR(VLOOKUP(D660,Controls!$A$64:$E$74,4,FALSE()),"No")="Yes",1,0)</f>
        <v>1</v>
      </c>
      <c r="AH660" s="65" t="n">
        <f aca="false">IF(IFERROR(VLOOKUP(D660,Controls!$A$64:$E$74,5,FALSE()),"No")="Yes",1,0)</f>
        <v>0</v>
      </c>
      <c r="AI660" s="65" t="n">
        <f aca="false">IF(ISNUMBER(MATCH(D660,Controls!$A$64:$A$74,0)),1,0)</f>
        <v>1</v>
      </c>
      <c r="AJ660" s="65" t="n">
        <f aca="false">Q660-N660</f>
        <v>19600</v>
      </c>
      <c r="AK660" s="65" t="n">
        <f aca="false">IF(AE660=1,MAX(0,N660-Q660),0)</f>
        <v>0</v>
      </c>
      <c r="AL660" s="65" t="n">
        <f aca="false">IF(OR(V660="",V660=0),0,N660/V660)</f>
        <v>0.784254829490256</v>
      </c>
      <c r="AM660" s="65" t="n">
        <f aca="false">IF(OR(V660="",V660=0),0,1)</f>
        <v>1</v>
      </c>
      <c r="AN660" s="65" t="n">
        <f aca="false">IF(OR(E660="",F660=""),0,NETWORKDAYS(E660,F660,Ref!$K$2:$K$42))</f>
        <v>102</v>
      </c>
      <c r="AO660" s="65" t="n">
        <f aca="false">IF(L660="Renewal",1,0)</f>
        <v>1</v>
      </c>
      <c r="AP660" s="65" t="n">
        <f aca="false">AC660*AD660</f>
        <v>1</v>
      </c>
      <c r="AQ660" s="65" t="n">
        <f aca="false">IF(AND(G660&lt;&gt;"",'Historical Score'!$C$6&lt;&gt;""),IF(G660='Historical Score'!$C$6,1,0),0)</f>
        <v>0</v>
      </c>
      <c r="AR660" s="65" t="n">
        <f aca="false">IF(AND(L660&lt;&gt;"",'Historical Score'!$C$5&lt;&gt;""),IF(L660='Historical Score'!$C$5,1,0),0)</f>
        <v>0</v>
      </c>
      <c r="AS660" s="65" t="n">
        <f aca="false">IF(AND(Y660&lt;&gt;"",'Historical Score'!$C$7&lt;&gt;""),IF(Y660='Historical Score'!$C$7,1,0),0)</f>
        <v>0</v>
      </c>
      <c r="AT660" s="65" t="n">
        <f aca="false">IF(AND(K660&lt;&gt;"",'Historical Score'!$C$8&lt;&gt;""),IF(K660='Historical Score'!$C$8,1,0),0)</f>
        <v>0</v>
      </c>
      <c r="AU660" s="65" t="n">
        <f aca="false">IF(AND(J660&lt;&gt;"",'Historical Score'!$C$9&lt;&gt;""),IF(J660='Historical Score'!$C$9,1,0),0)</f>
        <v>0</v>
      </c>
      <c r="AV660" s="65" t="n">
        <f aca="false">AR660*AS660*AQ660</f>
        <v>0</v>
      </c>
      <c r="AW660" s="65" t="n">
        <f aca="false">AR660*AT660*AQ660</f>
        <v>0</v>
      </c>
      <c r="AX660" s="65" t="n">
        <f aca="false">AR660*AS660</f>
        <v>0</v>
      </c>
      <c r="AY660" s="65" t="n">
        <f aca="false">AR660*AT660</f>
        <v>0</v>
      </c>
      <c r="AZ660" s="65" t="n">
        <f aca="false">AR660*AQ660</f>
        <v>0</v>
      </c>
      <c r="BA660" s="65" t="n">
        <f aca="false">AR660</f>
        <v>0</v>
      </c>
      <c r="BB660" s="65" t="n">
        <f aca="false">1</f>
        <v>1</v>
      </c>
      <c r="BC660" s="65" t="n">
        <f aca="false">IF(AV660=1,1,IF(AW660=1,2,IF(AX660=1,3,IF(AY660=1,4,IF(AZ660=1,5,IF(BA660=1,6,7))))))</f>
        <v>7</v>
      </c>
      <c r="BD660" s="65" t="n">
        <f aca="false">IF(AD660=1,CHOOSE('Historical Score'!$C$29,AV660,AW660,AX660,AY660,AZ660,BA660,BB660),0)</f>
        <v>0</v>
      </c>
      <c r="BE660" s="65" t="str">
        <f aca="false">IF(BD660=1,COUNTIF($BD$2:BD660,1),"")</f>
        <v/>
      </c>
    </row>
    <row r="661" customFormat="false" ht="15" hidden="false" customHeight="false" outlineLevel="0" collapsed="false">
      <c r="A661" s="65" t="s">
        <v>2229</v>
      </c>
      <c r="B661" s="65" t="s">
        <v>2230</v>
      </c>
      <c r="C661" s="65" t="s">
        <v>2231</v>
      </c>
      <c r="D661" s="65" t="s">
        <v>371</v>
      </c>
      <c r="E661" s="112" t="n">
        <v>46080</v>
      </c>
      <c r="F661" s="112" t="n">
        <v>46142</v>
      </c>
      <c r="G661" s="65" t="n">
        <v>3</v>
      </c>
      <c r="H661" s="65" t="s">
        <v>1130</v>
      </c>
      <c r="I661" s="65" t="s">
        <v>668</v>
      </c>
      <c r="J661" s="65" t="s">
        <v>510</v>
      </c>
      <c r="K661" s="65" t="s">
        <v>55</v>
      </c>
      <c r="L661" s="65" t="s">
        <v>64</v>
      </c>
      <c r="M661" s="113" t="n">
        <v>1.49</v>
      </c>
      <c r="N661" s="114" t="n">
        <v>10000</v>
      </c>
      <c r="O661" s="114" t="n">
        <v>1400</v>
      </c>
      <c r="P661" s="114" t="n">
        <v>14900</v>
      </c>
      <c r="Q661" s="114" t="n">
        <v>14900</v>
      </c>
      <c r="R661" s="114" t="n">
        <v>0</v>
      </c>
      <c r="S661" s="115" t="n">
        <v>1</v>
      </c>
      <c r="T661" s="65" t="n">
        <v>14</v>
      </c>
      <c r="U661" s="65" t="n">
        <v>0</v>
      </c>
      <c r="V661" s="65" t="n">
        <v>67518.91</v>
      </c>
      <c r="W661" s="115" t="n">
        <v>0.331</v>
      </c>
      <c r="X661" s="112" t="n">
        <v>45247</v>
      </c>
      <c r="Y661" s="65" t="str">
        <f aca="false">IF(I661="","No SIC",IFERROR(VLOOKUP(I661,Ref!$A$2:$B$65,2,FALSE()),"Unclassified"))</f>
        <v>Auto Dealers &amp; Gas Stations</v>
      </c>
      <c r="Z661" s="65" t="str">
        <f aca="false">IF(T661="","",IF(T661&lt;12,"Daily","Weekly"))</f>
        <v>Weekly</v>
      </c>
      <c r="AA661" s="65" t="n">
        <f aca="false">IF(T661="",0,IF(T661&lt;12,T661*Controls!$B$29,T661*5))</f>
        <v>70</v>
      </c>
      <c r="AB661" s="65" t="n">
        <f aca="false">IF(E661="",0,NETWORKDAYS(E661,Controls!$B$36,Ref!$K$2:$K$42))</f>
        <v>126</v>
      </c>
      <c r="AC661" s="65" t="n">
        <f aca="false">IF(AND(AA661&gt;0,AB661&gt;=Controls!$B$39*AA661),1,0)</f>
        <v>1</v>
      </c>
      <c r="AD661" s="65" t="n">
        <f aca="false">IF(AND(E661&lt;&gt;"",E661&gt;=Controls!$B$37,E661&lt;=Controls!$B$38),1,0)</f>
        <v>1</v>
      </c>
      <c r="AE661" s="65" t="n">
        <f aca="false">IF(IFERROR(VLOOKUP(D661,Controls!$A$64:$E$74,2,FALSE()),"No")="Yes",1,0)</f>
        <v>0</v>
      </c>
      <c r="AF661" s="65" t="n">
        <f aca="false">IF(IFERROR(VLOOKUP(D661,Controls!$A$64:$E$74,3,FALSE()),"No")="Yes",1,0)</f>
        <v>1</v>
      </c>
      <c r="AG661" s="65" t="n">
        <f aca="false">IF(IFERROR(VLOOKUP(D661,Controls!$A$64:$E$74,4,FALSE()),"No")="Yes",1,0)</f>
        <v>1</v>
      </c>
      <c r="AH661" s="65" t="n">
        <f aca="false">IF(IFERROR(VLOOKUP(D661,Controls!$A$64:$E$74,5,FALSE()),"No")="Yes",1,0)</f>
        <v>0</v>
      </c>
      <c r="AI661" s="65" t="n">
        <f aca="false">IF(ISNUMBER(MATCH(D661,Controls!$A$64:$A$74,0)),1,0)</f>
        <v>1</v>
      </c>
      <c r="AJ661" s="65" t="n">
        <f aca="false">Q661-N661</f>
        <v>4900</v>
      </c>
      <c r="AK661" s="65" t="n">
        <f aca="false">IF(AE661=1,MAX(0,N661-Q661),0)</f>
        <v>0</v>
      </c>
      <c r="AL661" s="65" t="n">
        <f aca="false">IF(OR(V661="",V661=0),0,N661/V661)</f>
        <v>0.148106656342645</v>
      </c>
      <c r="AM661" s="65" t="n">
        <f aca="false">IF(OR(V661="",V661=0),0,1)</f>
        <v>1</v>
      </c>
      <c r="AN661" s="65" t="n">
        <f aca="false">IF(OR(E661="",F661=""),0,NETWORKDAYS(E661,F661,Ref!$K$2:$K$42))</f>
        <v>45</v>
      </c>
      <c r="AO661" s="65" t="n">
        <f aca="false">IF(L661="Renewal",1,0)</f>
        <v>0</v>
      </c>
      <c r="AP661" s="65" t="n">
        <f aca="false">AC661*AD661</f>
        <v>1</v>
      </c>
      <c r="AQ661" s="65" t="n">
        <f aca="false">IF(AND(G661&lt;&gt;"",'Historical Score'!$C$6&lt;&gt;""),IF(G661='Historical Score'!$C$6,1,0),0)</f>
        <v>0</v>
      </c>
      <c r="AR661" s="65" t="n">
        <f aca="false">IF(AND(L661&lt;&gt;"",'Historical Score'!$C$5&lt;&gt;""),IF(L661='Historical Score'!$C$5,1,0),0)</f>
        <v>1</v>
      </c>
      <c r="AS661" s="65" t="n">
        <f aca="false">IF(AND(Y661&lt;&gt;"",'Historical Score'!$C$7&lt;&gt;""),IF(Y661='Historical Score'!$C$7,1,0),0)</f>
        <v>0</v>
      </c>
      <c r="AT661" s="65" t="n">
        <f aca="false">IF(AND(K661&lt;&gt;"",'Historical Score'!$C$8&lt;&gt;""),IF(K661='Historical Score'!$C$8,1,0),0)</f>
        <v>1</v>
      </c>
      <c r="AU661" s="65" t="n">
        <f aca="false">IF(AND(J661&lt;&gt;"",'Historical Score'!$C$9&lt;&gt;""),IF(J661='Historical Score'!$C$9,1,0),0)</f>
        <v>0</v>
      </c>
      <c r="AV661" s="65" t="n">
        <f aca="false">AR661*AS661*AQ661</f>
        <v>0</v>
      </c>
      <c r="AW661" s="65" t="n">
        <f aca="false">AR661*AT661*AQ661</f>
        <v>0</v>
      </c>
      <c r="AX661" s="65" t="n">
        <f aca="false">AR661*AS661</f>
        <v>0</v>
      </c>
      <c r="AY661" s="65" t="n">
        <f aca="false">AR661*AT661</f>
        <v>1</v>
      </c>
      <c r="AZ661" s="65" t="n">
        <f aca="false">AR661*AQ661</f>
        <v>0</v>
      </c>
      <c r="BA661" s="65" t="n">
        <f aca="false">AR661</f>
        <v>1</v>
      </c>
      <c r="BB661" s="65" t="n">
        <f aca="false">1</f>
        <v>1</v>
      </c>
      <c r="BC661" s="65" t="n">
        <f aca="false">IF(AV661=1,1,IF(AW661=1,2,IF(AX661=1,3,IF(AY661=1,4,IF(AZ661=1,5,IF(BA661=1,6,7))))))</f>
        <v>4</v>
      </c>
      <c r="BD661" s="65" t="n">
        <f aca="false">IF(AD661=1,CHOOSE('Historical Score'!$C$29,AV661,AW661,AX661,AY661,AZ661,BA661,BB661),0)</f>
        <v>0</v>
      </c>
      <c r="BE661" s="65" t="str">
        <f aca="false">IF(BD661=1,COUNTIF($BD$2:BD661,1),"")</f>
        <v/>
      </c>
    </row>
    <row r="662" customFormat="false" ht="15" hidden="false" customHeight="false" outlineLevel="0" collapsed="false">
      <c r="A662" s="65" t="s">
        <v>2232</v>
      </c>
      <c r="B662" s="65" t="s">
        <v>2233</v>
      </c>
      <c r="C662" s="65" t="s">
        <v>2234</v>
      </c>
      <c r="D662" s="65" t="s">
        <v>533</v>
      </c>
      <c r="E662" s="112" t="n">
        <v>46080</v>
      </c>
      <c r="F662" s="112" t="n">
        <v>46203</v>
      </c>
      <c r="G662" s="65" t="n">
        <v>2</v>
      </c>
      <c r="H662" s="65" t="s">
        <v>1010</v>
      </c>
      <c r="I662" s="65" t="s">
        <v>405</v>
      </c>
      <c r="J662" s="65" t="s">
        <v>343</v>
      </c>
      <c r="K662" s="65" t="s">
        <v>983</v>
      </c>
      <c r="L662" s="65" t="s">
        <v>64</v>
      </c>
      <c r="M662" s="113" t="n">
        <v>1.49</v>
      </c>
      <c r="N662" s="114" t="n">
        <v>20000</v>
      </c>
      <c r="O662" s="114" t="n">
        <v>2800</v>
      </c>
      <c r="P662" s="114" t="n">
        <v>29800</v>
      </c>
      <c r="Q662" s="114" t="n">
        <v>12213.4</v>
      </c>
      <c r="R662" s="114" t="n">
        <v>17586.6</v>
      </c>
      <c r="S662" s="115" t="n">
        <v>0.409845637583893</v>
      </c>
      <c r="T662" s="65" t="n">
        <v>3.279</v>
      </c>
      <c r="U662" s="65" t="n">
        <v>38</v>
      </c>
      <c r="V662" s="65" t="n">
        <v>22205.75</v>
      </c>
      <c r="W662" s="115" t="n">
        <v>0.2818</v>
      </c>
      <c r="X662" s="112" t="n">
        <v>44211</v>
      </c>
      <c r="Y662" s="65" t="str">
        <f aca="false">IF(I662="","No SIC",IFERROR(VLOOKUP(I662,Ref!$A$2:$B$65,2,FALSE()),"Unclassified"))</f>
        <v>Health Services</v>
      </c>
      <c r="Z662" s="65" t="str">
        <f aca="false">IF(T662="","",IF(T662&lt;12,"Daily","Weekly"))</f>
        <v>Daily</v>
      </c>
      <c r="AA662" s="65" t="n">
        <f aca="false">IF(T662="",0,IF(T662&lt;12,T662*Controls!$B$29,T662*5))</f>
        <v>71.006745</v>
      </c>
      <c r="AB662" s="65" t="n">
        <f aca="false">IF(E662="",0,NETWORKDAYS(E662,Controls!$B$36,Ref!$K$2:$K$42))</f>
        <v>126</v>
      </c>
      <c r="AC662" s="65" t="n">
        <f aca="false">IF(AND(AA662&gt;0,AB662&gt;=Controls!$B$39*AA662),1,0)</f>
        <v>1</v>
      </c>
      <c r="AD662" s="65" t="n">
        <f aca="false">IF(AND(E662&lt;&gt;"",E662&gt;=Controls!$B$37,E662&lt;=Controls!$B$38),1,0)</f>
        <v>1</v>
      </c>
      <c r="AE662" s="65" t="n">
        <f aca="false">IF(IFERROR(VLOOKUP(D662,Controls!$A$64:$E$74,2,FALSE()),"No")="Yes",1,0)</f>
        <v>1</v>
      </c>
      <c r="AF662" s="65" t="n">
        <f aca="false">IF(IFERROR(VLOOKUP(D662,Controls!$A$64:$E$74,3,FALSE()),"No")="Yes",1,0)</f>
        <v>0</v>
      </c>
      <c r="AG662" s="65" t="n">
        <f aca="false">IF(IFERROR(VLOOKUP(D662,Controls!$A$64:$E$74,4,FALSE()),"No")="Yes",1,0)</f>
        <v>0</v>
      </c>
      <c r="AH662" s="65" t="n">
        <f aca="false">IF(IFERROR(VLOOKUP(D662,Controls!$A$64:$E$74,5,FALSE()),"No")="Yes",1,0)</f>
        <v>0</v>
      </c>
      <c r="AI662" s="65" t="n">
        <f aca="false">IF(ISNUMBER(MATCH(D662,Controls!$A$64:$A$74,0)),1,0)</f>
        <v>1</v>
      </c>
      <c r="AJ662" s="65" t="n">
        <f aca="false">Q662-N662</f>
        <v>-7786.6</v>
      </c>
      <c r="AK662" s="65" t="n">
        <f aca="false">IF(AE662=1,MAX(0,N662-Q662),0)</f>
        <v>7786.6</v>
      </c>
      <c r="AL662" s="65" t="n">
        <f aca="false">IF(OR(V662="",V662=0),0,N662/V662)</f>
        <v>0.900667619873231</v>
      </c>
      <c r="AM662" s="65" t="n">
        <f aca="false">IF(OR(V662="",V662=0),0,1)</f>
        <v>1</v>
      </c>
      <c r="AN662" s="65" t="n">
        <f aca="false">IF(OR(E662="",F662=""),0,NETWORKDAYS(E662,F662,Ref!$K$2:$K$42))</f>
        <v>86</v>
      </c>
      <c r="AO662" s="65" t="n">
        <f aca="false">IF(L662="Renewal",1,0)</f>
        <v>0</v>
      </c>
      <c r="AP662" s="65" t="n">
        <f aca="false">AC662*AD662</f>
        <v>1</v>
      </c>
      <c r="AQ662" s="65" t="n">
        <f aca="false">IF(AND(G662&lt;&gt;"",'Historical Score'!$C$6&lt;&gt;""),IF(G662='Historical Score'!$C$6,1,0),0)</f>
        <v>1</v>
      </c>
      <c r="AR662" s="65" t="n">
        <f aca="false">IF(AND(L662&lt;&gt;"",'Historical Score'!$C$5&lt;&gt;""),IF(L662='Historical Score'!$C$5,1,0),0)</f>
        <v>1</v>
      </c>
      <c r="AS662" s="65" t="n">
        <f aca="false">IF(AND(Y662&lt;&gt;"",'Historical Score'!$C$7&lt;&gt;""),IF(Y662='Historical Score'!$C$7,1,0),0)</f>
        <v>0</v>
      </c>
      <c r="AT662" s="65" t="n">
        <f aca="false">IF(AND(K662&lt;&gt;"",'Historical Score'!$C$8&lt;&gt;""),IF(K662='Historical Score'!$C$8,1,0),0)</f>
        <v>0</v>
      </c>
      <c r="AU662" s="65" t="n">
        <f aca="false">IF(AND(J662&lt;&gt;"",'Historical Score'!$C$9&lt;&gt;""),IF(J662='Historical Score'!$C$9,1,0),0)</f>
        <v>0</v>
      </c>
      <c r="AV662" s="65" t="n">
        <f aca="false">AR662*AS662*AQ662</f>
        <v>0</v>
      </c>
      <c r="AW662" s="65" t="n">
        <f aca="false">AR662*AT662*AQ662</f>
        <v>0</v>
      </c>
      <c r="AX662" s="65" t="n">
        <f aca="false">AR662*AS662</f>
        <v>0</v>
      </c>
      <c r="AY662" s="65" t="n">
        <f aca="false">AR662*AT662</f>
        <v>0</v>
      </c>
      <c r="AZ662" s="65" t="n">
        <f aca="false">AR662*AQ662</f>
        <v>1</v>
      </c>
      <c r="BA662" s="65" t="n">
        <f aca="false">AR662</f>
        <v>1</v>
      </c>
      <c r="BB662" s="65" t="n">
        <f aca="false">1</f>
        <v>1</v>
      </c>
      <c r="BC662" s="65" t="n">
        <f aca="false">IF(AV662=1,1,IF(AW662=1,2,IF(AX662=1,3,IF(AY662=1,4,IF(AZ662=1,5,IF(BA662=1,6,7))))))</f>
        <v>5</v>
      </c>
      <c r="BD662" s="65" t="n">
        <f aca="false">IF(AD662=1,CHOOSE('Historical Score'!$C$29,AV662,AW662,AX662,AY662,AZ662,BA662,BB662),0)</f>
        <v>0</v>
      </c>
      <c r="BE662" s="65" t="str">
        <f aca="false">IF(BD662=1,COUNTIF($BD$2:BD662,1),"")</f>
        <v/>
      </c>
    </row>
    <row r="663" customFormat="false" ht="15" hidden="false" customHeight="false" outlineLevel="0" collapsed="false">
      <c r="A663" s="65" t="s">
        <v>2235</v>
      </c>
      <c r="B663" s="65" t="s">
        <v>2236</v>
      </c>
      <c r="C663" s="65" t="s">
        <v>2236</v>
      </c>
      <c r="D663" s="65" t="s">
        <v>295</v>
      </c>
      <c r="E663" s="112" t="n">
        <v>46080</v>
      </c>
      <c r="F663" s="112" t="n">
        <v>46253</v>
      </c>
      <c r="G663" s="65" t="n">
        <v>2</v>
      </c>
      <c r="H663" s="65" t="s">
        <v>2237</v>
      </c>
      <c r="I663" s="65" t="s">
        <v>419</v>
      </c>
      <c r="J663" s="65" t="s">
        <v>495</v>
      </c>
      <c r="K663" s="65" t="s">
        <v>584</v>
      </c>
      <c r="L663" s="65" t="s">
        <v>64</v>
      </c>
      <c r="M663" s="113" t="n">
        <v>1.49</v>
      </c>
      <c r="N663" s="114" t="n">
        <v>25000</v>
      </c>
      <c r="O663" s="114" t="n">
        <v>3500</v>
      </c>
      <c r="P663" s="114" t="n">
        <v>37250</v>
      </c>
      <c r="Q663" s="114" t="n">
        <v>19557.96</v>
      </c>
      <c r="R663" s="114" t="n">
        <v>17692.04</v>
      </c>
      <c r="S663" s="115" t="n">
        <v>0.525045906040269</v>
      </c>
      <c r="T663" s="65" t="n">
        <v>24</v>
      </c>
      <c r="U663" s="65" t="n">
        <v>13</v>
      </c>
      <c r="V663" s="65" t="n">
        <v>68365.47</v>
      </c>
      <c r="W663" s="115" t="n">
        <v>0.4768</v>
      </c>
      <c r="X663" s="112" t="n">
        <v>43132</v>
      </c>
      <c r="Y663" s="65" t="str">
        <f aca="false">IF(I663="","No SIC",IFERROR(VLOOKUP(I663,Ref!$A$2:$B$65,2,FALSE()),"Unclassified"))</f>
        <v>Business Services</v>
      </c>
      <c r="Z663" s="65" t="str">
        <f aca="false">IF(T663="","",IF(T663&lt;12,"Daily","Weekly"))</f>
        <v>Weekly</v>
      </c>
      <c r="AA663" s="65" t="n">
        <f aca="false">IF(T663="",0,IF(T663&lt;12,T663*Controls!$B$29,T663*5))</f>
        <v>120</v>
      </c>
      <c r="AB663" s="65" t="n">
        <f aca="false">IF(E663="",0,NETWORKDAYS(E663,Controls!$B$36,Ref!$K$2:$K$42))</f>
        <v>126</v>
      </c>
      <c r="AC663" s="65" t="n">
        <f aca="false">IF(AND(AA663&gt;0,AB663&gt;=Controls!$B$39*AA663),1,0)</f>
        <v>0</v>
      </c>
      <c r="AD663" s="65" t="n">
        <f aca="false">IF(AND(E663&lt;&gt;"",E663&gt;=Controls!$B$37,E663&lt;=Controls!$B$38),1,0)</f>
        <v>1</v>
      </c>
      <c r="AE663" s="65" t="n">
        <f aca="false">IF(IFERROR(VLOOKUP(D663,Controls!$A$64:$E$74,2,FALSE()),"No")="Yes",1,0)</f>
        <v>0</v>
      </c>
      <c r="AF663" s="65" t="n">
        <f aca="false">IF(IFERROR(VLOOKUP(D663,Controls!$A$64:$E$74,3,FALSE()),"No")="Yes",1,0)</f>
        <v>0</v>
      </c>
      <c r="AG663" s="65" t="n">
        <f aca="false">IF(IFERROR(VLOOKUP(D663,Controls!$A$64:$E$74,4,FALSE()),"No")="Yes",1,0)</f>
        <v>0</v>
      </c>
      <c r="AH663" s="65" t="n">
        <f aca="false">IF(IFERROR(VLOOKUP(D663,Controls!$A$64:$E$74,5,FALSE()),"No")="Yes",1,0)</f>
        <v>1</v>
      </c>
      <c r="AI663" s="65" t="n">
        <f aca="false">IF(ISNUMBER(MATCH(D663,Controls!$A$64:$A$74,0)),1,0)</f>
        <v>1</v>
      </c>
      <c r="AJ663" s="65" t="n">
        <f aca="false">Q663-N663</f>
        <v>-5442.04</v>
      </c>
      <c r="AK663" s="65" t="n">
        <f aca="false">IF(AE663=1,MAX(0,N663-Q663),0)</f>
        <v>0</v>
      </c>
      <c r="AL663" s="65" t="n">
        <f aca="false">IF(OR(V663="",V663=0),0,N663/V663)</f>
        <v>0.365681681117675</v>
      </c>
      <c r="AM663" s="65" t="n">
        <f aca="false">IF(OR(V663="",V663=0),0,1)</f>
        <v>1</v>
      </c>
      <c r="AN663" s="65" t="n">
        <f aca="false">IF(OR(E663="",F663=""),0,NETWORKDAYS(E663,F663,Ref!$K$2:$K$42))</f>
        <v>122</v>
      </c>
      <c r="AO663" s="65" t="n">
        <f aca="false">IF(L663="Renewal",1,0)</f>
        <v>0</v>
      </c>
      <c r="AP663" s="65" t="n">
        <f aca="false">AC663*AD663</f>
        <v>0</v>
      </c>
      <c r="AQ663" s="65" t="n">
        <f aca="false">IF(AND(G663&lt;&gt;"",'Historical Score'!$C$6&lt;&gt;""),IF(G663='Historical Score'!$C$6,1,0),0)</f>
        <v>1</v>
      </c>
      <c r="AR663" s="65" t="n">
        <f aca="false">IF(AND(L663&lt;&gt;"",'Historical Score'!$C$5&lt;&gt;""),IF(L663='Historical Score'!$C$5,1,0),0)</f>
        <v>1</v>
      </c>
      <c r="AS663" s="65" t="n">
        <f aca="false">IF(AND(Y663&lt;&gt;"",'Historical Score'!$C$7&lt;&gt;""),IF(Y663='Historical Score'!$C$7,1,0),0)</f>
        <v>0</v>
      </c>
      <c r="AT663" s="65" t="n">
        <f aca="false">IF(AND(K663&lt;&gt;"",'Historical Score'!$C$8&lt;&gt;""),IF(K663='Historical Score'!$C$8,1,0),0)</f>
        <v>0</v>
      </c>
      <c r="AU663" s="65" t="n">
        <f aca="false">IF(AND(J663&lt;&gt;"",'Historical Score'!$C$9&lt;&gt;""),IF(J663='Historical Score'!$C$9,1,0),0)</f>
        <v>0</v>
      </c>
      <c r="AV663" s="65" t="n">
        <f aca="false">AR663*AS663*AQ663</f>
        <v>0</v>
      </c>
      <c r="AW663" s="65" t="n">
        <f aca="false">AR663*AT663*AQ663</f>
        <v>0</v>
      </c>
      <c r="AX663" s="65" t="n">
        <f aca="false">AR663*AS663</f>
        <v>0</v>
      </c>
      <c r="AY663" s="65" t="n">
        <f aca="false">AR663*AT663</f>
        <v>0</v>
      </c>
      <c r="AZ663" s="65" t="n">
        <f aca="false">AR663*AQ663</f>
        <v>1</v>
      </c>
      <c r="BA663" s="65" t="n">
        <f aca="false">AR663</f>
        <v>1</v>
      </c>
      <c r="BB663" s="65" t="n">
        <f aca="false">1</f>
        <v>1</v>
      </c>
      <c r="BC663" s="65" t="n">
        <f aca="false">IF(AV663=1,1,IF(AW663=1,2,IF(AX663=1,3,IF(AY663=1,4,IF(AZ663=1,5,IF(BA663=1,6,7))))))</f>
        <v>5</v>
      </c>
      <c r="BD663" s="65" t="n">
        <f aca="false">IF(AD663=1,CHOOSE('Historical Score'!$C$29,AV663,AW663,AX663,AY663,AZ663,BA663,BB663),0)</f>
        <v>0</v>
      </c>
      <c r="BE663" s="65" t="str">
        <f aca="false">IF(BD663=1,COUNTIF($BD$2:BD663,1),"")</f>
        <v/>
      </c>
    </row>
    <row r="664" customFormat="false" ht="15" hidden="false" customHeight="false" outlineLevel="0" collapsed="false">
      <c r="A664" s="65" t="s">
        <v>2238</v>
      </c>
      <c r="B664" s="65" t="s">
        <v>2239</v>
      </c>
      <c r="C664" s="65" t="s">
        <v>2240</v>
      </c>
      <c r="D664" s="65" t="s">
        <v>340</v>
      </c>
      <c r="E664" s="112" t="n">
        <v>46080</v>
      </c>
      <c r="F664" s="112" t="n">
        <v>46147</v>
      </c>
      <c r="G664" s="65" t="n">
        <v>1</v>
      </c>
      <c r="H664" s="65" t="s">
        <v>409</v>
      </c>
      <c r="I664" s="65" t="s">
        <v>342</v>
      </c>
      <c r="J664" s="65" t="s">
        <v>452</v>
      </c>
      <c r="K664" s="65" t="s">
        <v>2088</v>
      </c>
      <c r="L664" s="65" t="s">
        <v>64</v>
      </c>
      <c r="M664" s="113" t="n">
        <v>1.49</v>
      </c>
      <c r="N664" s="114" t="n">
        <v>120000</v>
      </c>
      <c r="O664" s="114" t="n">
        <v>16800</v>
      </c>
      <c r="P664" s="114" t="n">
        <v>178800</v>
      </c>
      <c r="Q664" s="114" t="n">
        <v>62547.24</v>
      </c>
      <c r="R664" s="114" t="n">
        <v>116252.76</v>
      </c>
      <c r="S664" s="115" t="n">
        <v>0.34981677852349</v>
      </c>
      <c r="T664" s="65" t="n">
        <v>3.934</v>
      </c>
      <c r="U664" s="65" t="n">
        <v>7</v>
      </c>
      <c r="V664" s="65" t="n">
        <v>355147.84</v>
      </c>
      <c r="W664" s="115" t="n">
        <v>0.0812</v>
      </c>
      <c r="X664" s="112" t="n">
        <v>44473</v>
      </c>
      <c r="Y664" s="65" t="str">
        <f aca="false">IF(I664="","No SIC",IFERROR(VLOOKUP(I664,Ref!$A$2:$B$65,2,FALSE()),"Unclassified"))</f>
        <v>Eating &amp; Drinking Places</v>
      </c>
      <c r="Z664" s="65" t="str">
        <f aca="false">IF(T664="","",IF(T664&lt;12,"Daily","Weekly"))</f>
        <v>Daily</v>
      </c>
      <c r="AA664" s="65" t="n">
        <f aca="false">IF(T664="",0,IF(T664&lt;12,T664*Controls!$B$29,T664*5))</f>
        <v>85.19077</v>
      </c>
      <c r="AB664" s="65" t="n">
        <f aca="false">IF(E664="",0,NETWORKDAYS(E664,Controls!$B$36,Ref!$K$2:$K$42))</f>
        <v>126</v>
      </c>
      <c r="AC664" s="65" t="n">
        <f aca="false">IF(AND(AA664&gt;0,AB664&gt;=Controls!$B$39*AA664),1,0)</f>
        <v>1</v>
      </c>
      <c r="AD664" s="65" t="n">
        <f aca="false">IF(AND(E664&lt;&gt;"",E664&gt;=Controls!$B$37,E664&lt;=Controls!$B$38),1,0)</f>
        <v>1</v>
      </c>
      <c r="AE664" s="65" t="n">
        <f aca="false">IF(IFERROR(VLOOKUP(D664,Controls!$A$64:$E$74,2,FALSE()),"No")="Yes",1,0)</f>
        <v>1</v>
      </c>
      <c r="AF664" s="65" t="n">
        <f aca="false">IF(IFERROR(VLOOKUP(D664,Controls!$A$64:$E$74,3,FALSE()),"No")="Yes",1,0)</f>
        <v>0</v>
      </c>
      <c r="AG664" s="65" t="n">
        <f aca="false">IF(IFERROR(VLOOKUP(D664,Controls!$A$64:$E$74,4,FALSE()),"No")="Yes",1,0)</f>
        <v>0</v>
      </c>
      <c r="AH664" s="65" t="n">
        <f aca="false">IF(IFERROR(VLOOKUP(D664,Controls!$A$64:$E$74,5,FALSE()),"No")="Yes",1,0)</f>
        <v>0</v>
      </c>
      <c r="AI664" s="65" t="n">
        <f aca="false">IF(ISNUMBER(MATCH(D664,Controls!$A$64:$A$74,0)),1,0)</f>
        <v>1</v>
      </c>
      <c r="AJ664" s="65" t="n">
        <f aca="false">Q664-N664</f>
        <v>-57452.76</v>
      </c>
      <c r="AK664" s="65" t="n">
        <f aca="false">IF(AE664=1,MAX(0,N664-Q664),0)</f>
        <v>57452.76</v>
      </c>
      <c r="AL664" s="65" t="n">
        <f aca="false">IF(OR(V664="",V664=0),0,N664/V664)</f>
        <v>0.337887455545274</v>
      </c>
      <c r="AM664" s="65" t="n">
        <f aca="false">IF(OR(V664="",V664=0),0,1)</f>
        <v>1</v>
      </c>
      <c r="AN664" s="65" t="n">
        <f aca="false">IF(OR(E664="",F664=""),0,NETWORKDAYS(E664,F664,Ref!$K$2:$K$42))</f>
        <v>48</v>
      </c>
      <c r="AO664" s="65" t="n">
        <f aca="false">IF(L664="Renewal",1,0)</f>
        <v>0</v>
      </c>
      <c r="AP664" s="65" t="n">
        <f aca="false">AC664*AD664</f>
        <v>1</v>
      </c>
      <c r="AQ664" s="65" t="n">
        <f aca="false">IF(AND(G664&lt;&gt;"",'Historical Score'!$C$6&lt;&gt;""),IF(G664='Historical Score'!$C$6,1,0),0)</f>
        <v>0</v>
      </c>
      <c r="AR664" s="65" t="n">
        <f aca="false">IF(AND(L664&lt;&gt;"",'Historical Score'!$C$5&lt;&gt;""),IF(L664='Historical Score'!$C$5,1,0),0)</f>
        <v>1</v>
      </c>
      <c r="AS664" s="65" t="n">
        <f aca="false">IF(AND(Y664&lt;&gt;"",'Historical Score'!$C$7&lt;&gt;""),IF(Y664='Historical Score'!$C$7,1,0),0)</f>
        <v>0</v>
      </c>
      <c r="AT664" s="65" t="n">
        <f aca="false">IF(AND(K664&lt;&gt;"",'Historical Score'!$C$8&lt;&gt;""),IF(K664='Historical Score'!$C$8,1,0),0)</f>
        <v>0</v>
      </c>
      <c r="AU664" s="65" t="n">
        <f aca="false">IF(AND(J664&lt;&gt;"",'Historical Score'!$C$9&lt;&gt;""),IF(J664='Historical Score'!$C$9,1,0),0)</f>
        <v>0</v>
      </c>
      <c r="AV664" s="65" t="n">
        <f aca="false">AR664*AS664*AQ664</f>
        <v>0</v>
      </c>
      <c r="AW664" s="65" t="n">
        <f aca="false">AR664*AT664*AQ664</f>
        <v>0</v>
      </c>
      <c r="AX664" s="65" t="n">
        <f aca="false">AR664*AS664</f>
        <v>0</v>
      </c>
      <c r="AY664" s="65" t="n">
        <f aca="false">AR664*AT664</f>
        <v>0</v>
      </c>
      <c r="AZ664" s="65" t="n">
        <f aca="false">AR664*AQ664</f>
        <v>0</v>
      </c>
      <c r="BA664" s="65" t="n">
        <f aca="false">AR664</f>
        <v>1</v>
      </c>
      <c r="BB664" s="65" t="n">
        <f aca="false">1</f>
        <v>1</v>
      </c>
      <c r="BC664" s="65" t="n">
        <f aca="false">IF(AV664=1,1,IF(AW664=1,2,IF(AX664=1,3,IF(AY664=1,4,IF(AZ664=1,5,IF(BA664=1,6,7))))))</f>
        <v>6</v>
      </c>
      <c r="BD664" s="65" t="n">
        <f aca="false">IF(AD664=1,CHOOSE('Historical Score'!$C$29,AV664,AW664,AX664,AY664,AZ664,BA664,BB664),0)</f>
        <v>0</v>
      </c>
      <c r="BE664" s="65" t="str">
        <f aca="false">IF(BD664=1,COUNTIF($BD$2:BD664,1),"")</f>
        <v/>
      </c>
    </row>
    <row r="665" customFormat="false" ht="15" hidden="false" customHeight="false" outlineLevel="0" collapsed="false">
      <c r="A665" s="65" t="s">
        <v>2241</v>
      </c>
      <c r="B665" s="65" t="s">
        <v>2242</v>
      </c>
      <c r="C665" s="65" t="s">
        <v>2242</v>
      </c>
      <c r="D665" s="65" t="s">
        <v>533</v>
      </c>
      <c r="E665" s="112" t="n">
        <v>46080</v>
      </c>
      <c r="F665" s="112" t="n">
        <v>46248</v>
      </c>
      <c r="G665" s="65" t="n">
        <v>2</v>
      </c>
      <c r="H665" s="65" t="s">
        <v>479</v>
      </c>
      <c r="I665" s="65" t="s">
        <v>356</v>
      </c>
      <c r="J665" s="65" t="s">
        <v>682</v>
      </c>
      <c r="K665" s="65" t="s">
        <v>983</v>
      </c>
      <c r="L665" s="65" t="s">
        <v>64</v>
      </c>
      <c r="M665" s="113" t="n">
        <v>1.49</v>
      </c>
      <c r="N665" s="114" t="n">
        <v>30000</v>
      </c>
      <c r="O665" s="114" t="n">
        <v>4200</v>
      </c>
      <c r="P665" s="114" t="n">
        <v>44700</v>
      </c>
      <c r="Q665" s="114" t="n">
        <v>5585.64</v>
      </c>
      <c r="R665" s="114" t="n">
        <v>39114.36</v>
      </c>
      <c r="S665" s="115" t="n">
        <v>0.124958389261745</v>
      </c>
      <c r="T665" s="65" t="n">
        <v>24</v>
      </c>
      <c r="U665" s="65" t="n">
        <v>21</v>
      </c>
      <c r="V665" s="65" t="n">
        <v>46379.6</v>
      </c>
      <c r="W665" s="115" t="n">
        <v>0.0993</v>
      </c>
      <c r="X665" s="112" t="n">
        <v>39817</v>
      </c>
      <c r="Y665" s="65" t="str">
        <f aca="false">IF(I665="","No SIC",IFERROR(VLOOKUP(I665,Ref!$A$2:$B$65,2,FALSE()),"Unclassified"))</f>
        <v>Trucking &amp; Warehousing</v>
      </c>
      <c r="Z665" s="65" t="str">
        <f aca="false">IF(T665="","",IF(T665&lt;12,"Daily","Weekly"))</f>
        <v>Weekly</v>
      </c>
      <c r="AA665" s="65" t="n">
        <f aca="false">IF(T665="",0,IF(T665&lt;12,T665*Controls!$B$29,T665*5))</f>
        <v>120</v>
      </c>
      <c r="AB665" s="65" t="n">
        <f aca="false">IF(E665="",0,NETWORKDAYS(E665,Controls!$B$36,Ref!$K$2:$K$42))</f>
        <v>126</v>
      </c>
      <c r="AC665" s="65" t="n">
        <f aca="false">IF(AND(AA665&gt;0,AB665&gt;=Controls!$B$39*AA665),1,0)</f>
        <v>0</v>
      </c>
      <c r="AD665" s="65" t="n">
        <f aca="false">IF(AND(E665&lt;&gt;"",E665&gt;=Controls!$B$37,E665&lt;=Controls!$B$38),1,0)</f>
        <v>1</v>
      </c>
      <c r="AE665" s="65" t="n">
        <f aca="false">IF(IFERROR(VLOOKUP(D665,Controls!$A$64:$E$74,2,FALSE()),"No")="Yes",1,0)</f>
        <v>1</v>
      </c>
      <c r="AF665" s="65" t="n">
        <f aca="false">IF(IFERROR(VLOOKUP(D665,Controls!$A$64:$E$74,3,FALSE()),"No")="Yes",1,0)</f>
        <v>0</v>
      </c>
      <c r="AG665" s="65" t="n">
        <f aca="false">IF(IFERROR(VLOOKUP(D665,Controls!$A$64:$E$74,4,FALSE()),"No")="Yes",1,0)</f>
        <v>0</v>
      </c>
      <c r="AH665" s="65" t="n">
        <f aca="false">IF(IFERROR(VLOOKUP(D665,Controls!$A$64:$E$74,5,FALSE()),"No")="Yes",1,0)</f>
        <v>0</v>
      </c>
      <c r="AI665" s="65" t="n">
        <f aca="false">IF(ISNUMBER(MATCH(D665,Controls!$A$64:$A$74,0)),1,0)</f>
        <v>1</v>
      </c>
      <c r="AJ665" s="65" t="n">
        <f aca="false">Q665-N665</f>
        <v>-24414.36</v>
      </c>
      <c r="AK665" s="65" t="n">
        <f aca="false">IF(AE665=1,MAX(0,N665-Q665),0)</f>
        <v>24414.36</v>
      </c>
      <c r="AL665" s="65" t="n">
        <f aca="false">IF(OR(V665="",V665=0),0,N665/V665)</f>
        <v>0.646836108978948</v>
      </c>
      <c r="AM665" s="65" t="n">
        <f aca="false">IF(OR(V665="",V665=0),0,1)</f>
        <v>1</v>
      </c>
      <c r="AN665" s="65" t="n">
        <f aca="false">IF(OR(E665="",F665=""),0,NETWORKDAYS(E665,F665,Ref!$K$2:$K$42))</f>
        <v>119</v>
      </c>
      <c r="AO665" s="65" t="n">
        <f aca="false">IF(L665="Renewal",1,0)</f>
        <v>0</v>
      </c>
      <c r="AP665" s="65" t="n">
        <f aca="false">AC665*AD665</f>
        <v>0</v>
      </c>
      <c r="AQ665" s="65" t="n">
        <f aca="false">IF(AND(G665&lt;&gt;"",'Historical Score'!$C$6&lt;&gt;""),IF(G665='Historical Score'!$C$6,1,0),0)</f>
        <v>1</v>
      </c>
      <c r="AR665" s="65" t="n">
        <f aca="false">IF(AND(L665&lt;&gt;"",'Historical Score'!$C$5&lt;&gt;""),IF(L665='Historical Score'!$C$5,1,0),0)</f>
        <v>1</v>
      </c>
      <c r="AS665" s="65" t="n">
        <f aca="false">IF(AND(Y665&lt;&gt;"",'Historical Score'!$C$7&lt;&gt;""),IF(Y665='Historical Score'!$C$7,1,0),0)</f>
        <v>0</v>
      </c>
      <c r="AT665" s="65" t="n">
        <f aca="false">IF(AND(K665&lt;&gt;"",'Historical Score'!$C$8&lt;&gt;""),IF(K665='Historical Score'!$C$8,1,0),0)</f>
        <v>0</v>
      </c>
      <c r="AU665" s="65" t="n">
        <f aca="false">IF(AND(J665&lt;&gt;"",'Historical Score'!$C$9&lt;&gt;""),IF(J665='Historical Score'!$C$9,1,0),0)</f>
        <v>0</v>
      </c>
      <c r="AV665" s="65" t="n">
        <f aca="false">AR665*AS665*AQ665</f>
        <v>0</v>
      </c>
      <c r="AW665" s="65" t="n">
        <f aca="false">AR665*AT665*AQ665</f>
        <v>0</v>
      </c>
      <c r="AX665" s="65" t="n">
        <f aca="false">AR665*AS665</f>
        <v>0</v>
      </c>
      <c r="AY665" s="65" t="n">
        <f aca="false">AR665*AT665</f>
        <v>0</v>
      </c>
      <c r="AZ665" s="65" t="n">
        <f aca="false">AR665*AQ665</f>
        <v>1</v>
      </c>
      <c r="BA665" s="65" t="n">
        <f aca="false">AR665</f>
        <v>1</v>
      </c>
      <c r="BB665" s="65" t="n">
        <f aca="false">1</f>
        <v>1</v>
      </c>
      <c r="BC665" s="65" t="n">
        <f aca="false">IF(AV665=1,1,IF(AW665=1,2,IF(AX665=1,3,IF(AY665=1,4,IF(AZ665=1,5,IF(BA665=1,6,7))))))</f>
        <v>5</v>
      </c>
      <c r="BD665" s="65" t="n">
        <f aca="false">IF(AD665=1,CHOOSE('Historical Score'!$C$29,AV665,AW665,AX665,AY665,AZ665,BA665,BB665),0)</f>
        <v>0</v>
      </c>
      <c r="BE665" s="65" t="str">
        <f aca="false">IF(BD665=1,COUNTIF($BD$2:BD665,1),"")</f>
        <v/>
      </c>
    </row>
    <row r="666" customFormat="false" ht="15" hidden="false" customHeight="false" outlineLevel="0" collapsed="false">
      <c r="A666" s="65" t="s">
        <v>2243</v>
      </c>
      <c r="B666" s="65" t="s">
        <v>2244</v>
      </c>
      <c r="C666" s="65" t="s">
        <v>2244</v>
      </c>
      <c r="D666" s="65" t="s">
        <v>371</v>
      </c>
      <c r="E666" s="112" t="n">
        <v>46080</v>
      </c>
      <c r="F666" s="112" t="n">
        <v>46199</v>
      </c>
      <c r="G666" s="65" t="n">
        <v>3</v>
      </c>
      <c r="H666" s="65" t="s">
        <v>2245</v>
      </c>
      <c r="I666" s="65" t="s">
        <v>778</v>
      </c>
      <c r="J666" s="65" t="s">
        <v>350</v>
      </c>
      <c r="K666" s="65" t="s">
        <v>2083</v>
      </c>
      <c r="L666" s="65" t="s">
        <v>64</v>
      </c>
      <c r="M666" s="113" t="n">
        <v>1.39</v>
      </c>
      <c r="N666" s="114" t="n">
        <v>25000</v>
      </c>
      <c r="O666" s="114" t="n">
        <v>2250</v>
      </c>
      <c r="P666" s="114" t="n">
        <v>34750</v>
      </c>
      <c r="Q666" s="114" t="n">
        <v>34750</v>
      </c>
      <c r="R666" s="114" t="n">
        <v>0</v>
      </c>
      <c r="S666" s="115" t="n">
        <v>1</v>
      </c>
      <c r="T666" s="65" t="n">
        <v>35</v>
      </c>
      <c r="U666" s="65" t="n">
        <v>0</v>
      </c>
      <c r="V666" s="65" t="n">
        <v>151277.94</v>
      </c>
      <c r="W666" s="115" t="n">
        <v>0.0263</v>
      </c>
      <c r="X666" s="112" t="n">
        <v>44733</v>
      </c>
      <c r="Y666" s="65" t="str">
        <f aca="false">IF(I666="","No SIC",IFERROR(VLOOKUP(I666,Ref!$A$2:$B$65,2,FALSE()),"Unclassified"))</f>
        <v>Electronic &amp; Electrical Equipment</v>
      </c>
      <c r="Z666" s="65" t="str">
        <f aca="false">IF(T666="","",IF(T666&lt;12,"Daily","Weekly"))</f>
        <v>Weekly</v>
      </c>
      <c r="AA666" s="65" t="n">
        <f aca="false">IF(T666="",0,IF(T666&lt;12,T666*Controls!$B$29,T666*5))</f>
        <v>175</v>
      </c>
      <c r="AB666" s="65" t="n">
        <f aca="false">IF(E666="",0,NETWORKDAYS(E666,Controls!$B$36,Ref!$K$2:$K$42))</f>
        <v>126</v>
      </c>
      <c r="AC666" s="65" t="n">
        <f aca="false">IF(AND(AA666&gt;0,AB666&gt;=Controls!$B$39*AA666),1,0)</f>
        <v>0</v>
      </c>
      <c r="AD666" s="65" t="n">
        <f aca="false">IF(AND(E666&lt;&gt;"",E666&gt;=Controls!$B$37,E666&lt;=Controls!$B$38),1,0)</f>
        <v>1</v>
      </c>
      <c r="AE666" s="65" t="n">
        <f aca="false">IF(IFERROR(VLOOKUP(D666,Controls!$A$64:$E$74,2,FALSE()),"No")="Yes",1,0)</f>
        <v>0</v>
      </c>
      <c r="AF666" s="65" t="n">
        <f aca="false">IF(IFERROR(VLOOKUP(D666,Controls!$A$64:$E$74,3,FALSE()),"No")="Yes",1,0)</f>
        <v>1</v>
      </c>
      <c r="AG666" s="65" t="n">
        <f aca="false">IF(IFERROR(VLOOKUP(D666,Controls!$A$64:$E$74,4,FALSE()),"No")="Yes",1,0)</f>
        <v>1</v>
      </c>
      <c r="AH666" s="65" t="n">
        <f aca="false">IF(IFERROR(VLOOKUP(D666,Controls!$A$64:$E$74,5,FALSE()),"No")="Yes",1,0)</f>
        <v>0</v>
      </c>
      <c r="AI666" s="65" t="n">
        <f aca="false">IF(ISNUMBER(MATCH(D666,Controls!$A$64:$A$74,0)),1,0)</f>
        <v>1</v>
      </c>
      <c r="AJ666" s="65" t="n">
        <f aca="false">Q666-N666</f>
        <v>9750</v>
      </c>
      <c r="AK666" s="65" t="n">
        <f aca="false">IF(AE666=1,MAX(0,N666-Q666),0)</f>
        <v>0</v>
      </c>
      <c r="AL666" s="65" t="n">
        <f aca="false">IF(OR(V666="",V666=0),0,N666/V666)</f>
        <v>0.165258728404155</v>
      </c>
      <c r="AM666" s="65" t="n">
        <f aca="false">IF(OR(V666="",V666=0),0,1)</f>
        <v>1</v>
      </c>
      <c r="AN666" s="65" t="n">
        <f aca="false">IF(OR(E666="",F666=""),0,NETWORKDAYS(E666,F666,Ref!$K$2:$K$42))</f>
        <v>84</v>
      </c>
      <c r="AO666" s="65" t="n">
        <f aca="false">IF(L666="Renewal",1,0)</f>
        <v>0</v>
      </c>
      <c r="AP666" s="65" t="n">
        <f aca="false">AC666*AD666</f>
        <v>0</v>
      </c>
      <c r="AQ666" s="65" t="n">
        <f aca="false">IF(AND(G666&lt;&gt;"",'Historical Score'!$C$6&lt;&gt;""),IF(G666='Historical Score'!$C$6,1,0),0)</f>
        <v>0</v>
      </c>
      <c r="AR666" s="65" t="n">
        <f aca="false">IF(AND(L666&lt;&gt;"",'Historical Score'!$C$5&lt;&gt;""),IF(L666='Historical Score'!$C$5,1,0),0)</f>
        <v>1</v>
      </c>
      <c r="AS666" s="65" t="n">
        <f aca="false">IF(AND(Y666&lt;&gt;"",'Historical Score'!$C$7&lt;&gt;""),IF(Y666='Historical Score'!$C$7,1,0),0)</f>
        <v>0</v>
      </c>
      <c r="AT666" s="65" t="n">
        <f aca="false">IF(AND(K666&lt;&gt;"",'Historical Score'!$C$8&lt;&gt;""),IF(K666='Historical Score'!$C$8,1,0),0)</f>
        <v>0</v>
      </c>
      <c r="AU666" s="65" t="n">
        <f aca="false">IF(AND(J666&lt;&gt;"",'Historical Score'!$C$9&lt;&gt;""),IF(J666='Historical Score'!$C$9,1,0),0)</f>
        <v>0</v>
      </c>
      <c r="AV666" s="65" t="n">
        <f aca="false">AR666*AS666*AQ666</f>
        <v>0</v>
      </c>
      <c r="AW666" s="65" t="n">
        <f aca="false">AR666*AT666*AQ666</f>
        <v>0</v>
      </c>
      <c r="AX666" s="65" t="n">
        <f aca="false">AR666*AS666</f>
        <v>0</v>
      </c>
      <c r="AY666" s="65" t="n">
        <f aca="false">AR666*AT666</f>
        <v>0</v>
      </c>
      <c r="AZ666" s="65" t="n">
        <f aca="false">AR666*AQ666</f>
        <v>0</v>
      </c>
      <c r="BA666" s="65" t="n">
        <f aca="false">AR666</f>
        <v>1</v>
      </c>
      <c r="BB666" s="65" t="n">
        <f aca="false">1</f>
        <v>1</v>
      </c>
      <c r="BC666" s="65" t="n">
        <f aca="false">IF(AV666=1,1,IF(AW666=1,2,IF(AX666=1,3,IF(AY666=1,4,IF(AZ666=1,5,IF(BA666=1,6,7))))))</f>
        <v>6</v>
      </c>
      <c r="BD666" s="65" t="n">
        <f aca="false">IF(AD666=1,CHOOSE('Historical Score'!$C$29,AV666,AW666,AX666,AY666,AZ666,BA666,BB666),0)</f>
        <v>0</v>
      </c>
      <c r="BE666" s="65" t="str">
        <f aca="false">IF(BD666=1,COUNTIF($BD$2:BD666,1),"")</f>
        <v/>
      </c>
    </row>
    <row r="667" customFormat="false" ht="15" hidden="false" customHeight="false" outlineLevel="0" collapsed="false">
      <c r="A667" s="65" t="s">
        <v>2246</v>
      </c>
      <c r="B667" s="65" t="s">
        <v>2247</v>
      </c>
      <c r="C667" s="65" t="s">
        <v>2248</v>
      </c>
      <c r="D667" s="65" t="s">
        <v>295</v>
      </c>
      <c r="E667" s="112" t="n">
        <v>46083</v>
      </c>
      <c r="F667" s="112" t="n">
        <v>46192</v>
      </c>
      <c r="G667" s="65" t="n">
        <v>1</v>
      </c>
      <c r="H667" s="65" t="s">
        <v>2249</v>
      </c>
      <c r="I667" s="65" t="s">
        <v>2250</v>
      </c>
      <c r="J667" s="65" t="s">
        <v>350</v>
      </c>
      <c r="K667" s="65" t="s">
        <v>1204</v>
      </c>
      <c r="L667" s="65" t="s">
        <v>64</v>
      </c>
      <c r="M667" s="113" t="n">
        <v>1.49</v>
      </c>
      <c r="N667" s="114" t="n">
        <v>100000</v>
      </c>
      <c r="O667" s="114" t="n">
        <v>14000</v>
      </c>
      <c r="P667" s="114" t="n">
        <v>149000</v>
      </c>
      <c r="Q667" s="114" t="n">
        <v>74555.26</v>
      </c>
      <c r="R667" s="114" t="n">
        <v>74444.74</v>
      </c>
      <c r="S667" s="115" t="n">
        <v>0.500370872483221</v>
      </c>
      <c r="T667" s="65" t="n">
        <v>26</v>
      </c>
      <c r="U667" s="65" t="n">
        <v>3</v>
      </c>
      <c r="V667" s="65" t="n">
        <v>2294006.51</v>
      </c>
      <c r="W667" s="115" t="n">
        <v>0.01</v>
      </c>
      <c r="X667" s="112" t="n">
        <v>36586</v>
      </c>
      <c r="Y667" s="65" t="str">
        <f aca="false">IF(I667="","No SIC",IFERROR(VLOOKUP(I667,Ref!$A$2:$B$65,2,FALSE()),"Unclassified"))</f>
        <v>Motion Pictures</v>
      </c>
      <c r="Z667" s="65" t="str">
        <f aca="false">IF(T667="","",IF(T667&lt;12,"Daily","Weekly"))</f>
        <v>Weekly</v>
      </c>
      <c r="AA667" s="65" t="n">
        <f aca="false">IF(T667="",0,IF(T667&lt;12,T667*Controls!$B$29,T667*5))</f>
        <v>130</v>
      </c>
      <c r="AB667" s="65" t="n">
        <f aca="false">IF(E667="",0,NETWORKDAYS(E667,Controls!$B$36,Ref!$K$2:$K$42))</f>
        <v>125</v>
      </c>
      <c r="AC667" s="65" t="n">
        <f aca="false">IF(AND(AA667&gt;0,AB667&gt;=Controls!$B$39*AA667),1,0)</f>
        <v>0</v>
      </c>
      <c r="AD667" s="65" t="n">
        <f aca="false">IF(AND(E667&lt;&gt;"",E667&gt;=Controls!$B$37,E667&lt;=Controls!$B$38),1,0)</f>
        <v>1</v>
      </c>
      <c r="AE667" s="65" t="n">
        <f aca="false">IF(IFERROR(VLOOKUP(D667,Controls!$A$64:$E$74,2,FALSE()),"No")="Yes",1,0)</f>
        <v>0</v>
      </c>
      <c r="AF667" s="65" t="n">
        <f aca="false">IF(IFERROR(VLOOKUP(D667,Controls!$A$64:$E$74,3,FALSE()),"No")="Yes",1,0)</f>
        <v>0</v>
      </c>
      <c r="AG667" s="65" t="n">
        <f aca="false">IF(IFERROR(VLOOKUP(D667,Controls!$A$64:$E$74,4,FALSE()),"No")="Yes",1,0)</f>
        <v>0</v>
      </c>
      <c r="AH667" s="65" t="n">
        <f aca="false">IF(IFERROR(VLOOKUP(D667,Controls!$A$64:$E$74,5,FALSE()),"No")="Yes",1,0)</f>
        <v>1</v>
      </c>
      <c r="AI667" s="65" t="n">
        <f aca="false">IF(ISNUMBER(MATCH(D667,Controls!$A$64:$A$74,0)),1,0)</f>
        <v>1</v>
      </c>
      <c r="AJ667" s="65" t="n">
        <f aca="false">Q667-N667</f>
        <v>-25444.74</v>
      </c>
      <c r="AK667" s="65" t="n">
        <f aca="false">IF(AE667=1,MAX(0,N667-Q667),0)</f>
        <v>0</v>
      </c>
      <c r="AL667" s="65" t="n">
        <f aca="false">IF(OR(V667="",V667=0),0,N667/V667)</f>
        <v>0.0435918553692335</v>
      </c>
      <c r="AM667" s="65" t="n">
        <f aca="false">IF(OR(V667="",V667=0),0,1)</f>
        <v>1</v>
      </c>
      <c r="AN667" s="65" t="n">
        <f aca="false">IF(OR(E667="",F667=""),0,NETWORKDAYS(E667,F667,Ref!$K$2:$K$42))</f>
        <v>78</v>
      </c>
      <c r="AO667" s="65" t="n">
        <f aca="false">IF(L667="Renewal",1,0)</f>
        <v>0</v>
      </c>
      <c r="AP667" s="65" t="n">
        <f aca="false">AC667*AD667</f>
        <v>0</v>
      </c>
      <c r="AQ667" s="65" t="n">
        <f aca="false">IF(AND(G667&lt;&gt;"",'Historical Score'!$C$6&lt;&gt;""),IF(G667='Historical Score'!$C$6,1,0),0)</f>
        <v>0</v>
      </c>
      <c r="AR667" s="65" t="n">
        <f aca="false">IF(AND(L667&lt;&gt;"",'Historical Score'!$C$5&lt;&gt;""),IF(L667='Historical Score'!$C$5,1,0),0)</f>
        <v>1</v>
      </c>
      <c r="AS667" s="65" t="n">
        <f aca="false">IF(AND(Y667&lt;&gt;"",'Historical Score'!$C$7&lt;&gt;""),IF(Y667='Historical Score'!$C$7,1,0),0)</f>
        <v>0</v>
      </c>
      <c r="AT667" s="65" t="n">
        <f aca="false">IF(AND(K667&lt;&gt;"",'Historical Score'!$C$8&lt;&gt;""),IF(K667='Historical Score'!$C$8,1,0),0)</f>
        <v>0</v>
      </c>
      <c r="AU667" s="65" t="n">
        <f aca="false">IF(AND(J667&lt;&gt;"",'Historical Score'!$C$9&lt;&gt;""),IF(J667='Historical Score'!$C$9,1,0),0)</f>
        <v>0</v>
      </c>
      <c r="AV667" s="65" t="n">
        <f aca="false">AR667*AS667*AQ667</f>
        <v>0</v>
      </c>
      <c r="AW667" s="65" t="n">
        <f aca="false">AR667*AT667*AQ667</f>
        <v>0</v>
      </c>
      <c r="AX667" s="65" t="n">
        <f aca="false">AR667*AS667</f>
        <v>0</v>
      </c>
      <c r="AY667" s="65" t="n">
        <f aca="false">AR667*AT667</f>
        <v>0</v>
      </c>
      <c r="AZ667" s="65" t="n">
        <f aca="false">AR667*AQ667</f>
        <v>0</v>
      </c>
      <c r="BA667" s="65" t="n">
        <f aca="false">AR667</f>
        <v>1</v>
      </c>
      <c r="BB667" s="65" t="n">
        <f aca="false">1</f>
        <v>1</v>
      </c>
      <c r="BC667" s="65" t="n">
        <f aca="false">IF(AV667=1,1,IF(AW667=1,2,IF(AX667=1,3,IF(AY667=1,4,IF(AZ667=1,5,IF(BA667=1,6,7))))))</f>
        <v>6</v>
      </c>
      <c r="BD667" s="65" t="n">
        <f aca="false">IF(AD667=1,CHOOSE('Historical Score'!$C$29,AV667,AW667,AX667,AY667,AZ667,BA667,BB667),0)</f>
        <v>0</v>
      </c>
      <c r="BE667" s="65" t="str">
        <f aca="false">IF(BD667=1,COUNTIF($BD$2:BD667,1),"")</f>
        <v/>
      </c>
    </row>
    <row r="668" customFormat="false" ht="15" hidden="false" customHeight="false" outlineLevel="0" collapsed="false">
      <c r="A668" s="65" t="s">
        <v>2251</v>
      </c>
      <c r="B668" s="65" t="s">
        <v>2252</v>
      </c>
      <c r="C668" s="65" t="s">
        <v>2252</v>
      </c>
      <c r="D668" s="65" t="s">
        <v>340</v>
      </c>
      <c r="E668" s="112" t="n">
        <v>46083</v>
      </c>
      <c r="F668" s="112" t="n">
        <v>46219</v>
      </c>
      <c r="G668" s="65" t="n">
        <v>3</v>
      </c>
      <c r="H668" s="65" t="s">
        <v>748</v>
      </c>
      <c r="I668" s="65" t="s">
        <v>619</v>
      </c>
      <c r="J668" s="65" t="s">
        <v>1254</v>
      </c>
      <c r="K668" s="65" t="s">
        <v>55</v>
      </c>
      <c r="L668" s="65" t="s">
        <v>320</v>
      </c>
      <c r="M668" s="113" t="n">
        <v>1.4</v>
      </c>
      <c r="N668" s="114" t="n">
        <v>30000</v>
      </c>
      <c r="O668" s="114" t="n">
        <v>2850</v>
      </c>
      <c r="P668" s="114" t="n">
        <v>42000</v>
      </c>
      <c r="Q668" s="114" t="n">
        <v>9690.36</v>
      </c>
      <c r="R668" s="114" t="n">
        <v>32309.64</v>
      </c>
      <c r="S668" s="115" t="n">
        <v>0.230722857142857</v>
      </c>
      <c r="T668" s="65" t="n">
        <v>26</v>
      </c>
      <c r="U668" s="65" t="n">
        <v>16</v>
      </c>
      <c r="V668" s="65" t="n">
        <v>63273.55</v>
      </c>
      <c r="W668" s="115" t="n">
        <v>0.1021</v>
      </c>
      <c r="X668" s="112" t="n">
        <v>45686</v>
      </c>
      <c r="Y668" s="65" t="str">
        <f aca="false">IF(I668="","No SIC",IFERROR(VLOOKUP(I668,Ref!$A$2:$B$65,2,FALSE()),"Unclassified"))</f>
        <v>Miscellaneous Retail</v>
      </c>
      <c r="Z668" s="65" t="str">
        <f aca="false">IF(T668="","",IF(T668&lt;12,"Daily","Weekly"))</f>
        <v>Weekly</v>
      </c>
      <c r="AA668" s="65" t="n">
        <f aca="false">IF(T668="",0,IF(T668&lt;12,T668*Controls!$B$29,T668*5))</f>
        <v>130</v>
      </c>
      <c r="AB668" s="65" t="n">
        <f aca="false">IF(E668="",0,NETWORKDAYS(E668,Controls!$B$36,Ref!$K$2:$K$42))</f>
        <v>125</v>
      </c>
      <c r="AC668" s="65" t="n">
        <f aca="false">IF(AND(AA668&gt;0,AB668&gt;=Controls!$B$39*AA668),1,0)</f>
        <v>0</v>
      </c>
      <c r="AD668" s="65" t="n">
        <f aca="false">IF(AND(E668&lt;&gt;"",E668&gt;=Controls!$B$37,E668&lt;=Controls!$B$38),1,0)</f>
        <v>1</v>
      </c>
      <c r="AE668" s="65" t="n">
        <f aca="false">IF(IFERROR(VLOOKUP(D668,Controls!$A$64:$E$74,2,FALSE()),"No")="Yes",1,0)</f>
        <v>1</v>
      </c>
      <c r="AF668" s="65" t="n">
        <f aca="false">IF(IFERROR(VLOOKUP(D668,Controls!$A$64:$E$74,3,FALSE()),"No")="Yes",1,0)</f>
        <v>0</v>
      </c>
      <c r="AG668" s="65" t="n">
        <f aca="false">IF(IFERROR(VLOOKUP(D668,Controls!$A$64:$E$74,4,FALSE()),"No")="Yes",1,0)</f>
        <v>0</v>
      </c>
      <c r="AH668" s="65" t="n">
        <f aca="false">IF(IFERROR(VLOOKUP(D668,Controls!$A$64:$E$74,5,FALSE()),"No")="Yes",1,0)</f>
        <v>0</v>
      </c>
      <c r="AI668" s="65" t="n">
        <f aca="false">IF(ISNUMBER(MATCH(D668,Controls!$A$64:$A$74,0)),1,0)</f>
        <v>1</v>
      </c>
      <c r="AJ668" s="65" t="n">
        <f aca="false">Q668-N668</f>
        <v>-20309.64</v>
      </c>
      <c r="AK668" s="65" t="n">
        <f aca="false">IF(AE668=1,MAX(0,N668-Q668),0)</f>
        <v>20309.64</v>
      </c>
      <c r="AL668" s="65" t="n">
        <f aca="false">IF(OR(V668="",V668=0),0,N668/V668)</f>
        <v>0.474131765959078</v>
      </c>
      <c r="AM668" s="65" t="n">
        <f aca="false">IF(OR(V668="",V668=0),0,1)</f>
        <v>1</v>
      </c>
      <c r="AN668" s="65" t="n">
        <f aca="false">IF(OR(E668="",F668=""),0,NETWORKDAYS(E668,F668,Ref!$K$2:$K$42))</f>
        <v>97</v>
      </c>
      <c r="AO668" s="65" t="n">
        <f aca="false">IF(L668="Renewal",1,0)</f>
        <v>1</v>
      </c>
      <c r="AP668" s="65" t="n">
        <f aca="false">AC668*AD668</f>
        <v>0</v>
      </c>
      <c r="AQ668" s="65" t="n">
        <f aca="false">IF(AND(G668&lt;&gt;"",'Historical Score'!$C$6&lt;&gt;""),IF(G668='Historical Score'!$C$6,1,0),0)</f>
        <v>0</v>
      </c>
      <c r="AR668" s="65" t="n">
        <f aca="false">IF(AND(L668&lt;&gt;"",'Historical Score'!$C$5&lt;&gt;""),IF(L668='Historical Score'!$C$5,1,0),0)</f>
        <v>0</v>
      </c>
      <c r="AS668" s="65" t="n">
        <f aca="false">IF(AND(Y668&lt;&gt;"",'Historical Score'!$C$7&lt;&gt;""),IF(Y668='Historical Score'!$C$7,1,0),0)</f>
        <v>0</v>
      </c>
      <c r="AT668" s="65" t="n">
        <f aca="false">IF(AND(K668&lt;&gt;"",'Historical Score'!$C$8&lt;&gt;""),IF(K668='Historical Score'!$C$8,1,0),0)</f>
        <v>1</v>
      </c>
      <c r="AU668" s="65" t="n">
        <f aca="false">IF(AND(J668&lt;&gt;"",'Historical Score'!$C$9&lt;&gt;""),IF(J668='Historical Score'!$C$9,1,0),0)</f>
        <v>0</v>
      </c>
      <c r="AV668" s="65" t="n">
        <f aca="false">AR668*AS668*AQ668</f>
        <v>0</v>
      </c>
      <c r="AW668" s="65" t="n">
        <f aca="false">AR668*AT668*AQ668</f>
        <v>0</v>
      </c>
      <c r="AX668" s="65" t="n">
        <f aca="false">AR668*AS668</f>
        <v>0</v>
      </c>
      <c r="AY668" s="65" t="n">
        <f aca="false">AR668*AT668</f>
        <v>0</v>
      </c>
      <c r="AZ668" s="65" t="n">
        <f aca="false">AR668*AQ668</f>
        <v>0</v>
      </c>
      <c r="BA668" s="65" t="n">
        <f aca="false">AR668</f>
        <v>0</v>
      </c>
      <c r="BB668" s="65" t="n">
        <f aca="false">1</f>
        <v>1</v>
      </c>
      <c r="BC668" s="65" t="n">
        <f aca="false">IF(AV668=1,1,IF(AW668=1,2,IF(AX668=1,3,IF(AY668=1,4,IF(AZ668=1,5,IF(BA668=1,6,7))))))</f>
        <v>7</v>
      </c>
      <c r="BD668" s="65" t="n">
        <f aca="false">IF(AD668=1,CHOOSE('Historical Score'!$C$29,AV668,AW668,AX668,AY668,AZ668,BA668,BB668),0)</f>
        <v>0</v>
      </c>
      <c r="BE668" s="65" t="str">
        <f aca="false">IF(BD668=1,COUNTIF($BD$2:BD668,1),"")</f>
        <v/>
      </c>
    </row>
    <row r="669" customFormat="false" ht="15" hidden="false" customHeight="false" outlineLevel="0" collapsed="false">
      <c r="A669" s="65" t="s">
        <v>2253</v>
      </c>
      <c r="B669" s="65" t="s">
        <v>2254</v>
      </c>
      <c r="C669" s="65" t="s">
        <v>2255</v>
      </c>
      <c r="D669" s="65" t="s">
        <v>371</v>
      </c>
      <c r="E669" s="112" t="n">
        <v>46083</v>
      </c>
      <c r="F669" s="112" t="n">
        <v>46168</v>
      </c>
      <c r="G669" s="65" t="n">
        <v>3</v>
      </c>
      <c r="H669" s="65" t="s">
        <v>409</v>
      </c>
      <c r="I669" s="65" t="s">
        <v>342</v>
      </c>
      <c r="J669" s="65" t="s">
        <v>732</v>
      </c>
      <c r="K669" s="65" t="s">
        <v>55</v>
      </c>
      <c r="L669" s="65" t="s">
        <v>64</v>
      </c>
      <c r="M669" s="113" t="n">
        <v>1.49</v>
      </c>
      <c r="N669" s="114" t="n">
        <v>15000</v>
      </c>
      <c r="O669" s="114" t="n">
        <v>2100</v>
      </c>
      <c r="P669" s="114" t="n">
        <v>22350</v>
      </c>
      <c r="Q669" s="114" t="n">
        <v>22350</v>
      </c>
      <c r="R669" s="114" t="n">
        <v>0</v>
      </c>
      <c r="S669" s="115" t="n">
        <v>1</v>
      </c>
      <c r="T669" s="65" t="n">
        <v>3.279</v>
      </c>
      <c r="U669" s="65" t="n">
        <v>13</v>
      </c>
      <c r="V669" s="65" t="n">
        <v>51525</v>
      </c>
      <c r="W669" s="115" t="n">
        <v>0.0911</v>
      </c>
      <c r="X669" s="112" t="n">
        <v>45597</v>
      </c>
      <c r="Y669" s="65" t="str">
        <f aca="false">IF(I669="","No SIC",IFERROR(VLOOKUP(I669,Ref!$A$2:$B$65,2,FALSE()),"Unclassified"))</f>
        <v>Eating &amp; Drinking Places</v>
      </c>
      <c r="Z669" s="65" t="str">
        <f aca="false">IF(T669="","",IF(T669&lt;12,"Daily","Weekly"))</f>
        <v>Daily</v>
      </c>
      <c r="AA669" s="65" t="n">
        <f aca="false">IF(T669="",0,IF(T669&lt;12,T669*Controls!$B$29,T669*5))</f>
        <v>71.006745</v>
      </c>
      <c r="AB669" s="65" t="n">
        <f aca="false">IF(E669="",0,NETWORKDAYS(E669,Controls!$B$36,Ref!$K$2:$K$42))</f>
        <v>125</v>
      </c>
      <c r="AC669" s="65" t="n">
        <f aca="false">IF(AND(AA669&gt;0,AB669&gt;=Controls!$B$39*AA669),1,0)</f>
        <v>1</v>
      </c>
      <c r="AD669" s="65" t="n">
        <f aca="false">IF(AND(E669&lt;&gt;"",E669&gt;=Controls!$B$37,E669&lt;=Controls!$B$38),1,0)</f>
        <v>1</v>
      </c>
      <c r="AE669" s="65" t="n">
        <f aca="false">IF(IFERROR(VLOOKUP(D669,Controls!$A$64:$E$74,2,FALSE()),"No")="Yes",1,0)</f>
        <v>0</v>
      </c>
      <c r="AF669" s="65" t="n">
        <f aca="false">IF(IFERROR(VLOOKUP(D669,Controls!$A$64:$E$74,3,FALSE()),"No")="Yes",1,0)</f>
        <v>1</v>
      </c>
      <c r="AG669" s="65" t="n">
        <f aca="false">IF(IFERROR(VLOOKUP(D669,Controls!$A$64:$E$74,4,FALSE()),"No")="Yes",1,0)</f>
        <v>1</v>
      </c>
      <c r="AH669" s="65" t="n">
        <f aca="false">IF(IFERROR(VLOOKUP(D669,Controls!$A$64:$E$74,5,FALSE()),"No")="Yes",1,0)</f>
        <v>0</v>
      </c>
      <c r="AI669" s="65" t="n">
        <f aca="false">IF(ISNUMBER(MATCH(D669,Controls!$A$64:$A$74,0)),1,0)</f>
        <v>1</v>
      </c>
      <c r="AJ669" s="65" t="n">
        <f aca="false">Q669-N669</f>
        <v>7350</v>
      </c>
      <c r="AK669" s="65" t="n">
        <f aca="false">IF(AE669=1,MAX(0,N669-Q669),0)</f>
        <v>0</v>
      </c>
      <c r="AL669" s="65" t="n">
        <f aca="false">IF(OR(V669="",V669=0),0,N669/V669)</f>
        <v>0.291120815138282</v>
      </c>
      <c r="AM669" s="65" t="n">
        <f aca="false">IF(OR(V669="",V669=0),0,1)</f>
        <v>1</v>
      </c>
      <c r="AN669" s="65" t="n">
        <f aca="false">IF(OR(E669="",F669=""),0,NETWORKDAYS(E669,F669,Ref!$K$2:$K$42))</f>
        <v>61</v>
      </c>
      <c r="AO669" s="65" t="n">
        <f aca="false">IF(L669="Renewal",1,0)</f>
        <v>0</v>
      </c>
      <c r="AP669" s="65" t="n">
        <f aca="false">AC669*AD669</f>
        <v>1</v>
      </c>
      <c r="AQ669" s="65" t="n">
        <f aca="false">IF(AND(G669&lt;&gt;"",'Historical Score'!$C$6&lt;&gt;""),IF(G669='Historical Score'!$C$6,1,0),0)</f>
        <v>0</v>
      </c>
      <c r="AR669" s="65" t="n">
        <f aca="false">IF(AND(L669&lt;&gt;"",'Historical Score'!$C$5&lt;&gt;""),IF(L669='Historical Score'!$C$5,1,0),0)</f>
        <v>1</v>
      </c>
      <c r="AS669" s="65" t="n">
        <f aca="false">IF(AND(Y669&lt;&gt;"",'Historical Score'!$C$7&lt;&gt;""),IF(Y669='Historical Score'!$C$7,1,0),0)</f>
        <v>0</v>
      </c>
      <c r="AT669" s="65" t="n">
        <f aca="false">IF(AND(K669&lt;&gt;"",'Historical Score'!$C$8&lt;&gt;""),IF(K669='Historical Score'!$C$8,1,0),0)</f>
        <v>1</v>
      </c>
      <c r="AU669" s="65" t="n">
        <f aca="false">IF(AND(J669&lt;&gt;"",'Historical Score'!$C$9&lt;&gt;""),IF(J669='Historical Score'!$C$9,1,0),0)</f>
        <v>0</v>
      </c>
      <c r="AV669" s="65" t="n">
        <f aca="false">AR669*AS669*AQ669</f>
        <v>0</v>
      </c>
      <c r="AW669" s="65" t="n">
        <f aca="false">AR669*AT669*AQ669</f>
        <v>0</v>
      </c>
      <c r="AX669" s="65" t="n">
        <f aca="false">AR669*AS669</f>
        <v>0</v>
      </c>
      <c r="AY669" s="65" t="n">
        <f aca="false">AR669*AT669</f>
        <v>1</v>
      </c>
      <c r="AZ669" s="65" t="n">
        <f aca="false">AR669*AQ669</f>
        <v>0</v>
      </c>
      <c r="BA669" s="65" t="n">
        <f aca="false">AR669</f>
        <v>1</v>
      </c>
      <c r="BB669" s="65" t="n">
        <f aca="false">1</f>
        <v>1</v>
      </c>
      <c r="BC669" s="65" t="n">
        <f aca="false">IF(AV669=1,1,IF(AW669=1,2,IF(AX669=1,3,IF(AY669=1,4,IF(AZ669=1,5,IF(BA669=1,6,7))))))</f>
        <v>4</v>
      </c>
      <c r="BD669" s="65" t="n">
        <f aca="false">IF(AD669=1,CHOOSE('Historical Score'!$C$29,AV669,AW669,AX669,AY669,AZ669,BA669,BB669),0)</f>
        <v>0</v>
      </c>
      <c r="BE669" s="65" t="str">
        <f aca="false">IF(BD669=1,COUNTIF($BD$2:BD669,1),"")</f>
        <v/>
      </c>
    </row>
    <row r="670" customFormat="false" ht="15" hidden="false" customHeight="false" outlineLevel="0" collapsed="false">
      <c r="A670" s="65" t="s">
        <v>2256</v>
      </c>
      <c r="B670" s="65" t="s">
        <v>2257</v>
      </c>
      <c r="C670" s="65" t="s">
        <v>2257</v>
      </c>
      <c r="D670" s="65" t="s">
        <v>340</v>
      </c>
      <c r="E670" s="112" t="n">
        <v>46083</v>
      </c>
      <c r="F670" s="112" t="n">
        <v>46136</v>
      </c>
      <c r="G670" s="65" t="n">
        <v>3</v>
      </c>
      <c r="H670" s="65" t="s">
        <v>442</v>
      </c>
      <c r="I670" s="65" t="s">
        <v>443</v>
      </c>
      <c r="J670" s="65" t="s">
        <v>452</v>
      </c>
      <c r="K670" s="65" t="s">
        <v>55</v>
      </c>
      <c r="L670" s="65" t="s">
        <v>64</v>
      </c>
      <c r="M670" s="113" t="n">
        <v>1.49</v>
      </c>
      <c r="N670" s="114" t="n">
        <v>25000</v>
      </c>
      <c r="O670" s="114" t="n">
        <v>3500</v>
      </c>
      <c r="P670" s="114" t="n">
        <v>37250</v>
      </c>
      <c r="Q670" s="114" t="n">
        <v>7455.12</v>
      </c>
      <c r="R670" s="114" t="n">
        <v>29794.88</v>
      </c>
      <c r="S670" s="115" t="n">
        <v>0.20013744966443</v>
      </c>
      <c r="T670" s="65" t="n">
        <v>20</v>
      </c>
      <c r="U670" s="65" t="n">
        <v>4</v>
      </c>
      <c r="V670" s="65" t="n">
        <v>304291.38</v>
      </c>
      <c r="W670" s="115" t="n">
        <v>0.0245</v>
      </c>
      <c r="X670" s="112"/>
      <c r="Y670" s="65" t="str">
        <f aca="false">IF(I670="","No SIC",IFERROR(VLOOKUP(I670,Ref!$A$2:$B$65,2,FALSE()),"Unclassified"))</f>
        <v>General Building Contractors</v>
      </c>
      <c r="Z670" s="65" t="str">
        <f aca="false">IF(T670="","",IF(T670&lt;12,"Daily","Weekly"))</f>
        <v>Weekly</v>
      </c>
      <c r="AA670" s="65" t="n">
        <f aca="false">IF(T670="",0,IF(T670&lt;12,T670*Controls!$B$29,T670*5))</f>
        <v>100</v>
      </c>
      <c r="AB670" s="65" t="n">
        <f aca="false">IF(E670="",0,NETWORKDAYS(E670,Controls!$B$36,Ref!$K$2:$K$42))</f>
        <v>125</v>
      </c>
      <c r="AC670" s="65" t="n">
        <f aca="false">IF(AND(AA670&gt;0,AB670&gt;=Controls!$B$39*AA670),1,0)</f>
        <v>1</v>
      </c>
      <c r="AD670" s="65" t="n">
        <f aca="false">IF(AND(E670&lt;&gt;"",E670&gt;=Controls!$B$37,E670&lt;=Controls!$B$38),1,0)</f>
        <v>1</v>
      </c>
      <c r="AE670" s="65" t="n">
        <f aca="false">IF(IFERROR(VLOOKUP(D670,Controls!$A$64:$E$74,2,FALSE()),"No")="Yes",1,0)</f>
        <v>1</v>
      </c>
      <c r="AF670" s="65" t="n">
        <f aca="false">IF(IFERROR(VLOOKUP(D670,Controls!$A$64:$E$74,3,FALSE()),"No")="Yes",1,0)</f>
        <v>0</v>
      </c>
      <c r="AG670" s="65" t="n">
        <f aca="false">IF(IFERROR(VLOOKUP(D670,Controls!$A$64:$E$74,4,FALSE()),"No")="Yes",1,0)</f>
        <v>0</v>
      </c>
      <c r="AH670" s="65" t="n">
        <f aca="false">IF(IFERROR(VLOOKUP(D670,Controls!$A$64:$E$74,5,FALSE()),"No")="Yes",1,0)</f>
        <v>0</v>
      </c>
      <c r="AI670" s="65" t="n">
        <f aca="false">IF(ISNUMBER(MATCH(D670,Controls!$A$64:$A$74,0)),1,0)</f>
        <v>1</v>
      </c>
      <c r="AJ670" s="65" t="n">
        <f aca="false">Q670-N670</f>
        <v>-17544.88</v>
      </c>
      <c r="AK670" s="65" t="n">
        <f aca="false">IF(AE670=1,MAX(0,N670-Q670),0)</f>
        <v>17544.88</v>
      </c>
      <c r="AL670" s="65" t="n">
        <f aca="false">IF(OR(V670="",V670=0),0,N670/V670)</f>
        <v>0.0821580946525662</v>
      </c>
      <c r="AM670" s="65" t="n">
        <f aca="false">IF(OR(V670="",V670=0),0,1)</f>
        <v>1</v>
      </c>
      <c r="AN670" s="65" t="n">
        <f aca="false">IF(OR(E670="",F670=""),0,NETWORKDAYS(E670,F670,Ref!$K$2:$K$42))</f>
        <v>40</v>
      </c>
      <c r="AO670" s="65" t="n">
        <f aca="false">IF(L670="Renewal",1,0)</f>
        <v>0</v>
      </c>
      <c r="AP670" s="65" t="n">
        <f aca="false">AC670*AD670</f>
        <v>1</v>
      </c>
      <c r="AQ670" s="65" t="n">
        <f aca="false">IF(AND(G670&lt;&gt;"",'Historical Score'!$C$6&lt;&gt;""),IF(G670='Historical Score'!$C$6,1,0),0)</f>
        <v>0</v>
      </c>
      <c r="AR670" s="65" t="n">
        <f aca="false">IF(AND(L670&lt;&gt;"",'Historical Score'!$C$5&lt;&gt;""),IF(L670='Historical Score'!$C$5,1,0),0)</f>
        <v>1</v>
      </c>
      <c r="AS670" s="65" t="n">
        <f aca="false">IF(AND(Y670&lt;&gt;"",'Historical Score'!$C$7&lt;&gt;""),IF(Y670='Historical Score'!$C$7,1,0),0)</f>
        <v>1</v>
      </c>
      <c r="AT670" s="65" t="n">
        <f aca="false">IF(AND(K670&lt;&gt;"",'Historical Score'!$C$8&lt;&gt;""),IF(K670='Historical Score'!$C$8,1,0),0)</f>
        <v>1</v>
      </c>
      <c r="AU670" s="65" t="n">
        <f aca="false">IF(AND(J670&lt;&gt;"",'Historical Score'!$C$9&lt;&gt;""),IF(J670='Historical Score'!$C$9,1,0),0)</f>
        <v>0</v>
      </c>
      <c r="AV670" s="65" t="n">
        <f aca="false">AR670*AS670*AQ670</f>
        <v>0</v>
      </c>
      <c r="AW670" s="65" t="n">
        <f aca="false">AR670*AT670*AQ670</f>
        <v>0</v>
      </c>
      <c r="AX670" s="65" t="n">
        <f aca="false">AR670*AS670</f>
        <v>1</v>
      </c>
      <c r="AY670" s="65" t="n">
        <f aca="false">AR670*AT670</f>
        <v>1</v>
      </c>
      <c r="AZ670" s="65" t="n">
        <f aca="false">AR670*AQ670</f>
        <v>0</v>
      </c>
      <c r="BA670" s="65" t="n">
        <f aca="false">AR670</f>
        <v>1</v>
      </c>
      <c r="BB670" s="65" t="n">
        <f aca="false">1</f>
        <v>1</v>
      </c>
      <c r="BC670" s="65" t="n">
        <f aca="false">IF(AV670=1,1,IF(AW670=1,2,IF(AX670=1,3,IF(AY670=1,4,IF(AZ670=1,5,IF(BA670=1,6,7))))))</f>
        <v>3</v>
      </c>
      <c r="BD670" s="65" t="n">
        <f aca="false">IF(AD670=1,CHOOSE('Historical Score'!$C$29,AV670,AW670,AX670,AY670,AZ670,BA670,BB670),0)</f>
        <v>0</v>
      </c>
      <c r="BE670" s="65" t="str">
        <f aca="false">IF(BD670=1,COUNTIF($BD$2:BD670,1),"")</f>
        <v/>
      </c>
    </row>
    <row r="671" customFormat="false" ht="15" hidden="false" customHeight="false" outlineLevel="0" collapsed="false">
      <c r="A671" s="65" t="s">
        <v>2258</v>
      </c>
      <c r="B671" s="65" t="s">
        <v>2259</v>
      </c>
      <c r="C671" s="65" t="s">
        <v>2260</v>
      </c>
      <c r="D671" s="65" t="s">
        <v>340</v>
      </c>
      <c r="E671" s="112" t="n">
        <v>46083</v>
      </c>
      <c r="F671" s="112" t="n">
        <v>46164</v>
      </c>
      <c r="G671" s="65" t="n">
        <v>3</v>
      </c>
      <c r="H671" s="65" t="s">
        <v>442</v>
      </c>
      <c r="I671" s="65" t="s">
        <v>443</v>
      </c>
      <c r="J671" s="65" t="s">
        <v>649</v>
      </c>
      <c r="K671" s="65" t="s">
        <v>476</v>
      </c>
      <c r="L671" s="65" t="s">
        <v>64</v>
      </c>
      <c r="M671" s="113" t="n">
        <v>1.49</v>
      </c>
      <c r="N671" s="114" t="n">
        <v>20000</v>
      </c>
      <c r="O671" s="114" t="n">
        <v>2800</v>
      </c>
      <c r="P671" s="114" t="n">
        <v>29800</v>
      </c>
      <c r="Q671" s="114" t="n">
        <v>9836.31</v>
      </c>
      <c r="R671" s="114" t="n">
        <v>19963.69</v>
      </c>
      <c r="S671" s="115" t="n">
        <v>0.330077516778524</v>
      </c>
      <c r="T671" s="65" t="n">
        <v>3.279</v>
      </c>
      <c r="U671" s="65" t="n">
        <v>14</v>
      </c>
      <c r="V671" s="65" t="n">
        <v>70172.82</v>
      </c>
      <c r="W671" s="115" t="n">
        <v>0.0892</v>
      </c>
      <c r="X671" s="112"/>
      <c r="Y671" s="65" t="str">
        <f aca="false">IF(I671="","No SIC",IFERROR(VLOOKUP(I671,Ref!$A$2:$B$65,2,FALSE()),"Unclassified"))</f>
        <v>General Building Contractors</v>
      </c>
      <c r="Z671" s="65" t="str">
        <f aca="false">IF(T671="","",IF(T671&lt;12,"Daily","Weekly"))</f>
        <v>Daily</v>
      </c>
      <c r="AA671" s="65" t="n">
        <f aca="false">IF(T671="",0,IF(T671&lt;12,T671*Controls!$B$29,T671*5))</f>
        <v>71.006745</v>
      </c>
      <c r="AB671" s="65" t="n">
        <f aca="false">IF(E671="",0,NETWORKDAYS(E671,Controls!$B$36,Ref!$K$2:$K$42))</f>
        <v>125</v>
      </c>
      <c r="AC671" s="65" t="n">
        <f aca="false">IF(AND(AA671&gt;0,AB671&gt;=Controls!$B$39*AA671),1,0)</f>
        <v>1</v>
      </c>
      <c r="AD671" s="65" t="n">
        <f aca="false">IF(AND(E671&lt;&gt;"",E671&gt;=Controls!$B$37,E671&lt;=Controls!$B$38),1,0)</f>
        <v>1</v>
      </c>
      <c r="AE671" s="65" t="n">
        <f aca="false">IF(IFERROR(VLOOKUP(D671,Controls!$A$64:$E$74,2,FALSE()),"No")="Yes",1,0)</f>
        <v>1</v>
      </c>
      <c r="AF671" s="65" t="n">
        <f aca="false">IF(IFERROR(VLOOKUP(D671,Controls!$A$64:$E$74,3,FALSE()),"No")="Yes",1,0)</f>
        <v>0</v>
      </c>
      <c r="AG671" s="65" t="n">
        <f aca="false">IF(IFERROR(VLOOKUP(D671,Controls!$A$64:$E$74,4,FALSE()),"No")="Yes",1,0)</f>
        <v>0</v>
      </c>
      <c r="AH671" s="65" t="n">
        <f aca="false">IF(IFERROR(VLOOKUP(D671,Controls!$A$64:$E$74,5,FALSE()),"No")="Yes",1,0)</f>
        <v>0</v>
      </c>
      <c r="AI671" s="65" t="n">
        <f aca="false">IF(ISNUMBER(MATCH(D671,Controls!$A$64:$A$74,0)),1,0)</f>
        <v>1</v>
      </c>
      <c r="AJ671" s="65" t="n">
        <f aca="false">Q671-N671</f>
        <v>-10163.69</v>
      </c>
      <c r="AK671" s="65" t="n">
        <f aca="false">IF(AE671=1,MAX(0,N671-Q671),0)</f>
        <v>10163.69</v>
      </c>
      <c r="AL671" s="65" t="n">
        <f aca="false">IF(OR(V671="",V671=0),0,N671/V671)</f>
        <v>0.285010635171851</v>
      </c>
      <c r="AM671" s="65" t="n">
        <f aca="false">IF(OR(V671="",V671=0),0,1)</f>
        <v>1</v>
      </c>
      <c r="AN671" s="65" t="n">
        <f aca="false">IF(OR(E671="",F671=""),0,NETWORKDAYS(E671,F671,Ref!$K$2:$K$42))</f>
        <v>60</v>
      </c>
      <c r="AO671" s="65" t="n">
        <f aca="false">IF(L671="Renewal",1,0)</f>
        <v>0</v>
      </c>
      <c r="AP671" s="65" t="n">
        <f aca="false">AC671*AD671</f>
        <v>1</v>
      </c>
      <c r="AQ671" s="65" t="n">
        <f aca="false">IF(AND(G671&lt;&gt;"",'Historical Score'!$C$6&lt;&gt;""),IF(G671='Historical Score'!$C$6,1,0),0)</f>
        <v>0</v>
      </c>
      <c r="AR671" s="65" t="n">
        <f aca="false">IF(AND(L671&lt;&gt;"",'Historical Score'!$C$5&lt;&gt;""),IF(L671='Historical Score'!$C$5,1,0),0)</f>
        <v>1</v>
      </c>
      <c r="AS671" s="65" t="n">
        <f aca="false">IF(AND(Y671&lt;&gt;"",'Historical Score'!$C$7&lt;&gt;""),IF(Y671='Historical Score'!$C$7,1,0),0)</f>
        <v>1</v>
      </c>
      <c r="AT671" s="65" t="n">
        <f aca="false">IF(AND(K671&lt;&gt;"",'Historical Score'!$C$8&lt;&gt;""),IF(K671='Historical Score'!$C$8,1,0),0)</f>
        <v>0</v>
      </c>
      <c r="AU671" s="65" t="n">
        <f aca="false">IF(AND(J671&lt;&gt;"",'Historical Score'!$C$9&lt;&gt;""),IF(J671='Historical Score'!$C$9,1,0),0)</f>
        <v>0</v>
      </c>
      <c r="AV671" s="65" t="n">
        <f aca="false">AR671*AS671*AQ671</f>
        <v>0</v>
      </c>
      <c r="AW671" s="65" t="n">
        <f aca="false">AR671*AT671*AQ671</f>
        <v>0</v>
      </c>
      <c r="AX671" s="65" t="n">
        <f aca="false">AR671*AS671</f>
        <v>1</v>
      </c>
      <c r="AY671" s="65" t="n">
        <f aca="false">AR671*AT671</f>
        <v>0</v>
      </c>
      <c r="AZ671" s="65" t="n">
        <f aca="false">AR671*AQ671</f>
        <v>0</v>
      </c>
      <c r="BA671" s="65" t="n">
        <f aca="false">AR671</f>
        <v>1</v>
      </c>
      <c r="BB671" s="65" t="n">
        <f aca="false">1</f>
        <v>1</v>
      </c>
      <c r="BC671" s="65" t="n">
        <f aca="false">IF(AV671=1,1,IF(AW671=1,2,IF(AX671=1,3,IF(AY671=1,4,IF(AZ671=1,5,IF(BA671=1,6,7))))))</f>
        <v>3</v>
      </c>
      <c r="BD671" s="65" t="n">
        <f aca="false">IF(AD671=1,CHOOSE('Historical Score'!$C$29,AV671,AW671,AX671,AY671,AZ671,BA671,BB671),0)</f>
        <v>0</v>
      </c>
      <c r="BE671" s="65" t="str">
        <f aca="false">IF(BD671=1,COUNTIF($BD$2:BD671,1),"")</f>
        <v/>
      </c>
    </row>
    <row r="672" customFormat="false" ht="15" hidden="false" customHeight="false" outlineLevel="0" collapsed="false">
      <c r="A672" s="65" t="s">
        <v>2261</v>
      </c>
      <c r="B672" s="65" t="s">
        <v>2262</v>
      </c>
      <c r="C672" s="65" t="s">
        <v>2263</v>
      </c>
      <c r="D672" s="65" t="s">
        <v>295</v>
      </c>
      <c r="E672" s="112" t="n">
        <v>46083</v>
      </c>
      <c r="F672" s="112" t="n">
        <v>46251</v>
      </c>
      <c r="G672" s="65" t="n">
        <v>3</v>
      </c>
      <c r="H672" s="65" t="s">
        <v>2264</v>
      </c>
      <c r="I672" s="65" t="s">
        <v>2055</v>
      </c>
      <c r="J672" s="65" t="s">
        <v>61</v>
      </c>
      <c r="K672" s="65" t="s">
        <v>961</v>
      </c>
      <c r="L672" s="65" t="s">
        <v>64</v>
      </c>
      <c r="M672" s="113" t="n">
        <v>1.33</v>
      </c>
      <c r="N672" s="114" t="n">
        <v>40000</v>
      </c>
      <c r="O672" s="114" t="n">
        <v>2400</v>
      </c>
      <c r="P672" s="114" t="n">
        <v>53200</v>
      </c>
      <c r="Q672" s="114" t="n">
        <v>32860.17</v>
      </c>
      <c r="R672" s="114" t="n">
        <v>20339.83</v>
      </c>
      <c r="S672" s="115" t="n">
        <v>0.617672368421053</v>
      </c>
      <c r="T672" s="65" t="n">
        <v>34</v>
      </c>
      <c r="U672" s="65" t="n">
        <v>3</v>
      </c>
      <c r="V672" s="65" t="n">
        <v>85000</v>
      </c>
      <c r="W672" s="115" t="n">
        <v>0.0521</v>
      </c>
      <c r="X672" s="112" t="n">
        <v>44602</v>
      </c>
      <c r="Y672" s="65" t="str">
        <f aca="false">IF(I672="","No SIC",IFERROR(VLOOKUP(I672,Ref!$A$2:$B$65,2,FALSE()),"Unclassified"))</f>
        <v>Water Transportation</v>
      </c>
      <c r="Z672" s="65" t="str">
        <f aca="false">IF(T672="","",IF(T672&lt;12,"Daily","Weekly"))</f>
        <v>Weekly</v>
      </c>
      <c r="AA672" s="65" t="n">
        <f aca="false">IF(T672="",0,IF(T672&lt;12,T672*Controls!$B$29,T672*5))</f>
        <v>170</v>
      </c>
      <c r="AB672" s="65" t="n">
        <f aca="false">IF(E672="",0,NETWORKDAYS(E672,Controls!$B$36,Ref!$K$2:$K$42))</f>
        <v>125</v>
      </c>
      <c r="AC672" s="65" t="n">
        <f aca="false">IF(AND(AA672&gt;0,AB672&gt;=Controls!$B$39*AA672),1,0)</f>
        <v>0</v>
      </c>
      <c r="AD672" s="65" t="n">
        <f aca="false">IF(AND(E672&lt;&gt;"",E672&gt;=Controls!$B$37,E672&lt;=Controls!$B$38),1,0)</f>
        <v>1</v>
      </c>
      <c r="AE672" s="65" t="n">
        <f aca="false">IF(IFERROR(VLOOKUP(D672,Controls!$A$64:$E$74,2,FALSE()),"No")="Yes",1,0)</f>
        <v>0</v>
      </c>
      <c r="AF672" s="65" t="n">
        <f aca="false">IF(IFERROR(VLOOKUP(D672,Controls!$A$64:$E$74,3,FALSE()),"No")="Yes",1,0)</f>
        <v>0</v>
      </c>
      <c r="AG672" s="65" t="n">
        <f aca="false">IF(IFERROR(VLOOKUP(D672,Controls!$A$64:$E$74,4,FALSE()),"No")="Yes",1,0)</f>
        <v>0</v>
      </c>
      <c r="AH672" s="65" t="n">
        <f aca="false">IF(IFERROR(VLOOKUP(D672,Controls!$A$64:$E$74,5,FALSE()),"No")="Yes",1,0)</f>
        <v>1</v>
      </c>
      <c r="AI672" s="65" t="n">
        <f aca="false">IF(ISNUMBER(MATCH(D672,Controls!$A$64:$A$74,0)),1,0)</f>
        <v>1</v>
      </c>
      <c r="AJ672" s="65" t="n">
        <f aca="false">Q672-N672</f>
        <v>-7139.83</v>
      </c>
      <c r="AK672" s="65" t="n">
        <f aca="false">IF(AE672=1,MAX(0,N672-Q672),0)</f>
        <v>0</v>
      </c>
      <c r="AL672" s="65" t="n">
        <f aca="false">IF(OR(V672="",V672=0),0,N672/V672)</f>
        <v>0.470588235294118</v>
      </c>
      <c r="AM672" s="65" t="n">
        <f aca="false">IF(OR(V672="",V672=0),0,1)</f>
        <v>1</v>
      </c>
      <c r="AN672" s="65" t="n">
        <f aca="false">IF(OR(E672="",F672=""),0,NETWORKDAYS(E672,F672,Ref!$K$2:$K$42))</f>
        <v>119</v>
      </c>
      <c r="AO672" s="65" t="n">
        <f aca="false">IF(L672="Renewal",1,0)</f>
        <v>0</v>
      </c>
      <c r="AP672" s="65" t="n">
        <f aca="false">AC672*AD672</f>
        <v>0</v>
      </c>
      <c r="AQ672" s="65" t="n">
        <f aca="false">IF(AND(G672&lt;&gt;"",'Historical Score'!$C$6&lt;&gt;""),IF(G672='Historical Score'!$C$6,1,0),0)</f>
        <v>0</v>
      </c>
      <c r="AR672" s="65" t="n">
        <f aca="false">IF(AND(L672&lt;&gt;"",'Historical Score'!$C$5&lt;&gt;""),IF(L672='Historical Score'!$C$5,1,0),0)</f>
        <v>1</v>
      </c>
      <c r="AS672" s="65" t="n">
        <f aca="false">IF(AND(Y672&lt;&gt;"",'Historical Score'!$C$7&lt;&gt;""),IF(Y672='Historical Score'!$C$7,1,0),0)</f>
        <v>0</v>
      </c>
      <c r="AT672" s="65" t="n">
        <f aca="false">IF(AND(K672&lt;&gt;"",'Historical Score'!$C$8&lt;&gt;""),IF(K672='Historical Score'!$C$8,1,0),0)</f>
        <v>0</v>
      </c>
      <c r="AU672" s="65" t="n">
        <f aca="false">IF(AND(J672&lt;&gt;"",'Historical Score'!$C$9&lt;&gt;""),IF(J672='Historical Score'!$C$9,1,0),0)</f>
        <v>1</v>
      </c>
      <c r="AV672" s="65" t="n">
        <f aca="false">AR672*AS672*AQ672</f>
        <v>0</v>
      </c>
      <c r="AW672" s="65" t="n">
        <f aca="false">AR672*AT672*AQ672</f>
        <v>0</v>
      </c>
      <c r="AX672" s="65" t="n">
        <f aca="false">AR672*AS672</f>
        <v>0</v>
      </c>
      <c r="AY672" s="65" t="n">
        <f aca="false">AR672*AT672</f>
        <v>0</v>
      </c>
      <c r="AZ672" s="65" t="n">
        <f aca="false">AR672*AQ672</f>
        <v>0</v>
      </c>
      <c r="BA672" s="65" t="n">
        <f aca="false">AR672</f>
        <v>1</v>
      </c>
      <c r="BB672" s="65" t="n">
        <f aca="false">1</f>
        <v>1</v>
      </c>
      <c r="BC672" s="65" t="n">
        <f aca="false">IF(AV672=1,1,IF(AW672=1,2,IF(AX672=1,3,IF(AY672=1,4,IF(AZ672=1,5,IF(BA672=1,6,7))))))</f>
        <v>6</v>
      </c>
      <c r="BD672" s="65" t="n">
        <f aca="false">IF(AD672=1,CHOOSE('Historical Score'!$C$29,AV672,AW672,AX672,AY672,AZ672,BA672,BB672),0)</f>
        <v>0</v>
      </c>
      <c r="BE672" s="65" t="str">
        <f aca="false">IF(BD672=1,COUNTIF($BD$2:BD672,1),"")</f>
        <v/>
      </c>
    </row>
    <row r="673" customFormat="false" ht="15" hidden="false" customHeight="false" outlineLevel="0" collapsed="false">
      <c r="A673" s="65" t="s">
        <v>2265</v>
      </c>
      <c r="B673" s="65" t="s">
        <v>2266</v>
      </c>
      <c r="C673" s="65" t="s">
        <v>2266</v>
      </c>
      <c r="D673" s="65" t="s">
        <v>347</v>
      </c>
      <c r="E673" s="112" t="n">
        <v>46084</v>
      </c>
      <c r="F673" s="112" t="n">
        <v>46233</v>
      </c>
      <c r="G673" s="65" t="n">
        <v>2</v>
      </c>
      <c r="H673" s="65" t="s">
        <v>752</v>
      </c>
      <c r="I673" s="65" t="s">
        <v>405</v>
      </c>
      <c r="J673" s="65" t="s">
        <v>350</v>
      </c>
      <c r="K673" s="65" t="s">
        <v>961</v>
      </c>
      <c r="L673" s="65" t="s">
        <v>64</v>
      </c>
      <c r="M673" s="113" t="n">
        <v>1.39</v>
      </c>
      <c r="N673" s="114" t="n">
        <v>20000</v>
      </c>
      <c r="O673" s="114" t="n">
        <v>2600</v>
      </c>
      <c r="P673" s="114" t="n">
        <v>27800</v>
      </c>
      <c r="Q673" s="114" t="n">
        <v>16365.67</v>
      </c>
      <c r="R673" s="114" t="n">
        <v>11434.33</v>
      </c>
      <c r="S673" s="115" t="n">
        <v>0.588693165467626</v>
      </c>
      <c r="T673" s="65" t="n">
        <v>40</v>
      </c>
      <c r="U673" s="65" t="n">
        <v>1</v>
      </c>
      <c r="V673" s="65" t="n">
        <v>96495.79</v>
      </c>
      <c r="W673" s="115" t="n">
        <v>0.0288</v>
      </c>
      <c r="X673" s="112" t="n">
        <v>42619</v>
      </c>
      <c r="Y673" s="65" t="str">
        <f aca="false">IF(I673="","No SIC",IFERROR(VLOOKUP(I673,Ref!$A$2:$B$65,2,FALSE()),"Unclassified"))</f>
        <v>Health Services</v>
      </c>
      <c r="Z673" s="65" t="str">
        <f aca="false">IF(T673="","",IF(T673&lt;12,"Daily","Weekly"))</f>
        <v>Weekly</v>
      </c>
      <c r="AA673" s="65" t="n">
        <f aca="false">IF(T673="",0,IF(T673&lt;12,T673*Controls!$B$29,T673*5))</f>
        <v>200</v>
      </c>
      <c r="AB673" s="65" t="n">
        <f aca="false">IF(E673="",0,NETWORKDAYS(E673,Controls!$B$36,Ref!$K$2:$K$42))</f>
        <v>124</v>
      </c>
      <c r="AC673" s="65" t="n">
        <f aca="false">IF(AND(AA673&gt;0,AB673&gt;=Controls!$B$39*AA673),1,0)</f>
        <v>0</v>
      </c>
      <c r="AD673" s="65" t="n">
        <f aca="false">IF(AND(E673&lt;&gt;"",E673&gt;=Controls!$B$37,E673&lt;=Controls!$B$38),1,0)</f>
        <v>1</v>
      </c>
      <c r="AE673" s="65" t="n">
        <f aca="false">IF(IFERROR(VLOOKUP(D673,Controls!$A$64:$E$74,2,FALSE()),"No")="Yes",1,0)</f>
        <v>1</v>
      </c>
      <c r="AF673" s="65" t="n">
        <f aca="false">IF(IFERROR(VLOOKUP(D673,Controls!$A$64:$E$74,3,FALSE()),"No")="Yes",1,0)</f>
        <v>1</v>
      </c>
      <c r="AG673" s="65" t="n">
        <f aca="false">IF(IFERROR(VLOOKUP(D673,Controls!$A$64:$E$74,4,FALSE()),"No")="Yes",1,0)</f>
        <v>0</v>
      </c>
      <c r="AH673" s="65" t="n">
        <f aca="false">IF(IFERROR(VLOOKUP(D673,Controls!$A$64:$E$74,5,FALSE()),"No")="Yes",1,0)</f>
        <v>0</v>
      </c>
      <c r="AI673" s="65" t="n">
        <f aca="false">IF(ISNUMBER(MATCH(D673,Controls!$A$64:$A$74,0)),1,0)</f>
        <v>1</v>
      </c>
      <c r="AJ673" s="65" t="n">
        <f aca="false">Q673-N673</f>
        <v>-3634.33</v>
      </c>
      <c r="AK673" s="65" t="n">
        <f aca="false">IF(AE673=1,MAX(0,N673-Q673),0)</f>
        <v>3634.33</v>
      </c>
      <c r="AL673" s="65" t="n">
        <f aca="false">IF(OR(V673="",V673=0),0,N673/V673)</f>
        <v>0.207262928258321</v>
      </c>
      <c r="AM673" s="65" t="n">
        <f aca="false">IF(OR(V673="",V673=0),0,1)</f>
        <v>1</v>
      </c>
      <c r="AN673" s="65" t="n">
        <f aca="false">IF(OR(E673="",F673=""),0,NETWORKDAYS(E673,F673,Ref!$K$2:$K$42))</f>
        <v>106</v>
      </c>
      <c r="AO673" s="65" t="n">
        <f aca="false">IF(L673="Renewal",1,0)</f>
        <v>0</v>
      </c>
      <c r="AP673" s="65" t="n">
        <f aca="false">AC673*AD673</f>
        <v>0</v>
      </c>
      <c r="AQ673" s="65" t="n">
        <f aca="false">IF(AND(G673&lt;&gt;"",'Historical Score'!$C$6&lt;&gt;""),IF(G673='Historical Score'!$C$6,1,0),0)</f>
        <v>1</v>
      </c>
      <c r="AR673" s="65" t="n">
        <f aca="false">IF(AND(L673&lt;&gt;"",'Historical Score'!$C$5&lt;&gt;""),IF(L673='Historical Score'!$C$5,1,0),0)</f>
        <v>1</v>
      </c>
      <c r="AS673" s="65" t="n">
        <f aca="false">IF(AND(Y673&lt;&gt;"",'Historical Score'!$C$7&lt;&gt;""),IF(Y673='Historical Score'!$C$7,1,0),0)</f>
        <v>0</v>
      </c>
      <c r="AT673" s="65" t="n">
        <f aca="false">IF(AND(K673&lt;&gt;"",'Historical Score'!$C$8&lt;&gt;""),IF(K673='Historical Score'!$C$8,1,0),0)</f>
        <v>0</v>
      </c>
      <c r="AU673" s="65" t="n">
        <f aca="false">IF(AND(J673&lt;&gt;"",'Historical Score'!$C$9&lt;&gt;""),IF(J673='Historical Score'!$C$9,1,0),0)</f>
        <v>0</v>
      </c>
      <c r="AV673" s="65" t="n">
        <f aca="false">AR673*AS673*AQ673</f>
        <v>0</v>
      </c>
      <c r="AW673" s="65" t="n">
        <f aca="false">AR673*AT673*AQ673</f>
        <v>0</v>
      </c>
      <c r="AX673" s="65" t="n">
        <f aca="false">AR673*AS673</f>
        <v>0</v>
      </c>
      <c r="AY673" s="65" t="n">
        <f aca="false">AR673*AT673</f>
        <v>0</v>
      </c>
      <c r="AZ673" s="65" t="n">
        <f aca="false">AR673*AQ673</f>
        <v>1</v>
      </c>
      <c r="BA673" s="65" t="n">
        <f aca="false">AR673</f>
        <v>1</v>
      </c>
      <c r="BB673" s="65" t="n">
        <f aca="false">1</f>
        <v>1</v>
      </c>
      <c r="BC673" s="65" t="n">
        <f aca="false">IF(AV673=1,1,IF(AW673=1,2,IF(AX673=1,3,IF(AY673=1,4,IF(AZ673=1,5,IF(BA673=1,6,7))))))</f>
        <v>5</v>
      </c>
      <c r="BD673" s="65" t="n">
        <f aca="false">IF(AD673=1,CHOOSE('Historical Score'!$C$29,AV673,AW673,AX673,AY673,AZ673,BA673,BB673),0)</f>
        <v>0</v>
      </c>
      <c r="BE673" s="65" t="str">
        <f aca="false">IF(BD673=1,COUNTIF($BD$2:BD673,1),"")</f>
        <v/>
      </c>
    </row>
    <row r="674" customFormat="false" ht="15" hidden="false" customHeight="false" outlineLevel="0" collapsed="false">
      <c r="A674" s="65" t="s">
        <v>2267</v>
      </c>
      <c r="B674" s="65" t="s">
        <v>2268</v>
      </c>
      <c r="C674" s="65" t="s">
        <v>2268</v>
      </c>
      <c r="D674" s="65" t="s">
        <v>295</v>
      </c>
      <c r="E674" s="112" t="n">
        <v>46084</v>
      </c>
      <c r="F674" s="112" t="n">
        <v>46248</v>
      </c>
      <c r="G674" s="65" t="n">
        <v>3</v>
      </c>
      <c r="H674" s="65" t="s">
        <v>1637</v>
      </c>
      <c r="I674" s="65" t="s">
        <v>469</v>
      </c>
      <c r="J674" s="65" t="s">
        <v>350</v>
      </c>
      <c r="K674" s="65" t="s">
        <v>55</v>
      </c>
      <c r="L674" s="65" t="s">
        <v>64</v>
      </c>
      <c r="M674" s="113" t="n">
        <v>1.49</v>
      </c>
      <c r="N674" s="114" t="n">
        <v>20000</v>
      </c>
      <c r="O674" s="114" t="n">
        <v>2800</v>
      </c>
      <c r="P674" s="114" t="n">
        <v>29800</v>
      </c>
      <c r="Q674" s="114" t="n">
        <v>10469.37</v>
      </c>
      <c r="R674" s="114" t="n">
        <v>19330.63</v>
      </c>
      <c r="S674" s="115" t="n">
        <v>0.351321140939597</v>
      </c>
      <c r="T674" s="65" t="n">
        <v>20</v>
      </c>
      <c r="U674" s="65" t="n">
        <v>1</v>
      </c>
      <c r="V674" s="65" t="n">
        <v>37198.13</v>
      </c>
      <c r="W674" s="115" t="n">
        <v>0.1602</v>
      </c>
      <c r="X674" s="112" t="n">
        <v>43105</v>
      </c>
      <c r="Y674" s="65" t="str">
        <f aca="false">IF(I674="","No SIC",IFERROR(VLOOKUP(I674,Ref!$A$2:$B$65,2,FALSE()),"Unclassified"))</f>
        <v>Heavy Construction</v>
      </c>
      <c r="Z674" s="65" t="str">
        <f aca="false">IF(T674="","",IF(T674&lt;12,"Daily","Weekly"))</f>
        <v>Weekly</v>
      </c>
      <c r="AA674" s="65" t="n">
        <f aca="false">IF(T674="",0,IF(T674&lt;12,T674*Controls!$B$29,T674*5))</f>
        <v>100</v>
      </c>
      <c r="AB674" s="65" t="n">
        <f aca="false">IF(E674="",0,NETWORKDAYS(E674,Controls!$B$36,Ref!$K$2:$K$42))</f>
        <v>124</v>
      </c>
      <c r="AC674" s="65" t="n">
        <f aca="false">IF(AND(AA674&gt;0,AB674&gt;=Controls!$B$39*AA674),1,0)</f>
        <v>0</v>
      </c>
      <c r="AD674" s="65" t="n">
        <f aca="false">IF(AND(E674&lt;&gt;"",E674&gt;=Controls!$B$37,E674&lt;=Controls!$B$38),1,0)</f>
        <v>1</v>
      </c>
      <c r="AE674" s="65" t="n">
        <f aca="false">IF(IFERROR(VLOOKUP(D674,Controls!$A$64:$E$74,2,FALSE()),"No")="Yes",1,0)</f>
        <v>0</v>
      </c>
      <c r="AF674" s="65" t="n">
        <f aca="false">IF(IFERROR(VLOOKUP(D674,Controls!$A$64:$E$74,3,FALSE()),"No")="Yes",1,0)</f>
        <v>0</v>
      </c>
      <c r="AG674" s="65" t="n">
        <f aca="false">IF(IFERROR(VLOOKUP(D674,Controls!$A$64:$E$74,4,FALSE()),"No")="Yes",1,0)</f>
        <v>0</v>
      </c>
      <c r="AH674" s="65" t="n">
        <f aca="false">IF(IFERROR(VLOOKUP(D674,Controls!$A$64:$E$74,5,FALSE()),"No")="Yes",1,0)</f>
        <v>1</v>
      </c>
      <c r="AI674" s="65" t="n">
        <f aca="false">IF(ISNUMBER(MATCH(D674,Controls!$A$64:$A$74,0)),1,0)</f>
        <v>1</v>
      </c>
      <c r="AJ674" s="65" t="n">
        <f aca="false">Q674-N674</f>
        <v>-9530.63</v>
      </c>
      <c r="AK674" s="65" t="n">
        <f aca="false">IF(AE674=1,MAX(0,N674-Q674),0)</f>
        <v>0</v>
      </c>
      <c r="AL674" s="65" t="n">
        <f aca="false">IF(OR(V674="",V674=0),0,N674/V674)</f>
        <v>0.537661436206605</v>
      </c>
      <c r="AM674" s="65" t="n">
        <f aca="false">IF(OR(V674="",V674=0),0,1)</f>
        <v>1</v>
      </c>
      <c r="AN674" s="65" t="n">
        <f aca="false">IF(OR(E674="",F674=""),0,NETWORKDAYS(E674,F674,Ref!$K$2:$K$42))</f>
        <v>117</v>
      </c>
      <c r="AO674" s="65" t="n">
        <f aca="false">IF(L674="Renewal",1,0)</f>
        <v>0</v>
      </c>
      <c r="AP674" s="65" t="n">
        <f aca="false">AC674*AD674</f>
        <v>0</v>
      </c>
      <c r="AQ674" s="65" t="n">
        <f aca="false">IF(AND(G674&lt;&gt;"",'Historical Score'!$C$6&lt;&gt;""),IF(G674='Historical Score'!$C$6,1,0),0)</f>
        <v>0</v>
      </c>
      <c r="AR674" s="65" t="n">
        <f aca="false">IF(AND(L674&lt;&gt;"",'Historical Score'!$C$5&lt;&gt;""),IF(L674='Historical Score'!$C$5,1,0),0)</f>
        <v>1</v>
      </c>
      <c r="AS674" s="65" t="n">
        <f aca="false">IF(AND(Y674&lt;&gt;"",'Historical Score'!$C$7&lt;&gt;""),IF(Y674='Historical Score'!$C$7,1,0),0)</f>
        <v>0</v>
      </c>
      <c r="AT674" s="65" t="n">
        <f aca="false">IF(AND(K674&lt;&gt;"",'Historical Score'!$C$8&lt;&gt;""),IF(K674='Historical Score'!$C$8,1,0),0)</f>
        <v>1</v>
      </c>
      <c r="AU674" s="65" t="n">
        <f aca="false">IF(AND(J674&lt;&gt;"",'Historical Score'!$C$9&lt;&gt;""),IF(J674='Historical Score'!$C$9,1,0),0)</f>
        <v>0</v>
      </c>
      <c r="AV674" s="65" t="n">
        <f aca="false">AR674*AS674*AQ674</f>
        <v>0</v>
      </c>
      <c r="AW674" s="65" t="n">
        <f aca="false">AR674*AT674*AQ674</f>
        <v>0</v>
      </c>
      <c r="AX674" s="65" t="n">
        <f aca="false">AR674*AS674</f>
        <v>0</v>
      </c>
      <c r="AY674" s="65" t="n">
        <f aca="false">AR674*AT674</f>
        <v>1</v>
      </c>
      <c r="AZ674" s="65" t="n">
        <f aca="false">AR674*AQ674</f>
        <v>0</v>
      </c>
      <c r="BA674" s="65" t="n">
        <f aca="false">AR674</f>
        <v>1</v>
      </c>
      <c r="BB674" s="65" t="n">
        <f aca="false">1</f>
        <v>1</v>
      </c>
      <c r="BC674" s="65" t="n">
        <f aca="false">IF(AV674=1,1,IF(AW674=1,2,IF(AX674=1,3,IF(AY674=1,4,IF(AZ674=1,5,IF(BA674=1,6,7))))))</f>
        <v>4</v>
      </c>
      <c r="BD674" s="65" t="n">
        <f aca="false">IF(AD674=1,CHOOSE('Historical Score'!$C$29,AV674,AW674,AX674,AY674,AZ674,BA674,BB674),0)</f>
        <v>0</v>
      </c>
      <c r="BE674" s="65" t="str">
        <f aca="false">IF(BD674=1,COUNTIF($BD$2:BD674,1),"")</f>
        <v/>
      </c>
    </row>
    <row r="675" customFormat="false" ht="15" hidden="false" customHeight="false" outlineLevel="0" collapsed="false">
      <c r="A675" s="65" t="s">
        <v>2269</v>
      </c>
      <c r="B675" s="65" t="s">
        <v>2270</v>
      </c>
      <c r="C675" s="65" t="s">
        <v>2270</v>
      </c>
      <c r="D675" s="65" t="s">
        <v>295</v>
      </c>
      <c r="E675" s="112" t="n">
        <v>46084</v>
      </c>
      <c r="F675" s="112" t="n">
        <v>46252</v>
      </c>
      <c r="G675" s="65" t="n">
        <v>2</v>
      </c>
      <c r="H675" s="65" t="s">
        <v>474</v>
      </c>
      <c r="I675" s="65" t="s">
        <v>475</v>
      </c>
      <c r="J675" s="65" t="s">
        <v>638</v>
      </c>
      <c r="K675" s="65" t="s">
        <v>961</v>
      </c>
      <c r="L675" s="65" t="s">
        <v>64</v>
      </c>
      <c r="M675" s="113" t="n">
        <v>1.42</v>
      </c>
      <c r="N675" s="114" t="n">
        <v>20000</v>
      </c>
      <c r="O675" s="114" t="n">
        <v>2800</v>
      </c>
      <c r="P675" s="114" t="n">
        <v>28400</v>
      </c>
      <c r="Q675" s="114" t="n">
        <v>16570.47</v>
      </c>
      <c r="R675" s="114" t="n">
        <v>11829.53</v>
      </c>
      <c r="S675" s="115" t="n">
        <v>0.583467253521127</v>
      </c>
      <c r="T675" s="65" t="n">
        <v>36</v>
      </c>
      <c r="U675" s="65" t="n">
        <v>3</v>
      </c>
      <c r="V675" s="65" t="n">
        <v>16194.43</v>
      </c>
      <c r="W675" s="115" t="n">
        <v>0.1949</v>
      </c>
      <c r="X675" s="112" t="n">
        <v>45580</v>
      </c>
      <c r="Y675" s="65" t="str">
        <f aca="false">IF(I675="","No SIC",IFERROR(VLOOKUP(I675,Ref!$A$2:$B$65,2,FALSE()),"Unclassified"))</f>
        <v>Auto Repair &amp; Services</v>
      </c>
      <c r="Z675" s="65" t="str">
        <f aca="false">IF(T675="","",IF(T675&lt;12,"Daily","Weekly"))</f>
        <v>Weekly</v>
      </c>
      <c r="AA675" s="65" t="n">
        <f aca="false">IF(T675="",0,IF(T675&lt;12,T675*Controls!$B$29,T675*5))</f>
        <v>180</v>
      </c>
      <c r="AB675" s="65" t="n">
        <f aca="false">IF(E675="",0,NETWORKDAYS(E675,Controls!$B$36,Ref!$K$2:$K$42))</f>
        <v>124</v>
      </c>
      <c r="AC675" s="65" t="n">
        <f aca="false">IF(AND(AA675&gt;0,AB675&gt;=Controls!$B$39*AA675),1,0)</f>
        <v>0</v>
      </c>
      <c r="AD675" s="65" t="n">
        <f aca="false">IF(AND(E675&lt;&gt;"",E675&gt;=Controls!$B$37,E675&lt;=Controls!$B$38),1,0)</f>
        <v>1</v>
      </c>
      <c r="AE675" s="65" t="n">
        <f aca="false">IF(IFERROR(VLOOKUP(D675,Controls!$A$64:$E$74,2,FALSE()),"No")="Yes",1,0)</f>
        <v>0</v>
      </c>
      <c r="AF675" s="65" t="n">
        <f aca="false">IF(IFERROR(VLOOKUP(D675,Controls!$A$64:$E$74,3,FALSE()),"No")="Yes",1,0)</f>
        <v>0</v>
      </c>
      <c r="AG675" s="65" t="n">
        <f aca="false">IF(IFERROR(VLOOKUP(D675,Controls!$A$64:$E$74,4,FALSE()),"No")="Yes",1,0)</f>
        <v>0</v>
      </c>
      <c r="AH675" s="65" t="n">
        <f aca="false">IF(IFERROR(VLOOKUP(D675,Controls!$A$64:$E$74,5,FALSE()),"No")="Yes",1,0)</f>
        <v>1</v>
      </c>
      <c r="AI675" s="65" t="n">
        <f aca="false">IF(ISNUMBER(MATCH(D675,Controls!$A$64:$A$74,0)),1,0)</f>
        <v>1</v>
      </c>
      <c r="AJ675" s="65" t="n">
        <f aca="false">Q675-N675</f>
        <v>-3429.53</v>
      </c>
      <c r="AK675" s="65" t="n">
        <f aca="false">IF(AE675=1,MAX(0,N675-Q675),0)</f>
        <v>0</v>
      </c>
      <c r="AL675" s="65" t="n">
        <f aca="false">IF(OR(V675="",V675=0),0,N675/V675)</f>
        <v>1.23499252520774</v>
      </c>
      <c r="AM675" s="65" t="n">
        <f aca="false">IF(OR(V675="",V675=0),0,1)</f>
        <v>1</v>
      </c>
      <c r="AN675" s="65" t="n">
        <f aca="false">IF(OR(E675="",F675=""),0,NETWORKDAYS(E675,F675,Ref!$K$2:$K$42))</f>
        <v>119</v>
      </c>
      <c r="AO675" s="65" t="n">
        <f aca="false">IF(L675="Renewal",1,0)</f>
        <v>0</v>
      </c>
      <c r="AP675" s="65" t="n">
        <f aca="false">AC675*AD675</f>
        <v>0</v>
      </c>
      <c r="AQ675" s="65" t="n">
        <f aca="false">IF(AND(G675&lt;&gt;"",'Historical Score'!$C$6&lt;&gt;""),IF(G675='Historical Score'!$C$6,1,0),0)</f>
        <v>1</v>
      </c>
      <c r="AR675" s="65" t="n">
        <f aca="false">IF(AND(L675&lt;&gt;"",'Historical Score'!$C$5&lt;&gt;""),IF(L675='Historical Score'!$C$5,1,0),0)</f>
        <v>1</v>
      </c>
      <c r="AS675" s="65" t="n">
        <f aca="false">IF(AND(Y675&lt;&gt;"",'Historical Score'!$C$7&lt;&gt;""),IF(Y675='Historical Score'!$C$7,1,0),0)</f>
        <v>0</v>
      </c>
      <c r="AT675" s="65" t="n">
        <f aca="false">IF(AND(K675&lt;&gt;"",'Historical Score'!$C$8&lt;&gt;""),IF(K675='Historical Score'!$C$8,1,0),0)</f>
        <v>0</v>
      </c>
      <c r="AU675" s="65" t="n">
        <f aca="false">IF(AND(J675&lt;&gt;"",'Historical Score'!$C$9&lt;&gt;""),IF(J675='Historical Score'!$C$9,1,0),0)</f>
        <v>0</v>
      </c>
      <c r="AV675" s="65" t="n">
        <f aca="false">AR675*AS675*AQ675</f>
        <v>0</v>
      </c>
      <c r="AW675" s="65" t="n">
        <f aca="false">AR675*AT675*AQ675</f>
        <v>0</v>
      </c>
      <c r="AX675" s="65" t="n">
        <f aca="false">AR675*AS675</f>
        <v>0</v>
      </c>
      <c r="AY675" s="65" t="n">
        <f aca="false">AR675*AT675</f>
        <v>0</v>
      </c>
      <c r="AZ675" s="65" t="n">
        <f aca="false">AR675*AQ675</f>
        <v>1</v>
      </c>
      <c r="BA675" s="65" t="n">
        <f aca="false">AR675</f>
        <v>1</v>
      </c>
      <c r="BB675" s="65" t="n">
        <f aca="false">1</f>
        <v>1</v>
      </c>
      <c r="BC675" s="65" t="n">
        <f aca="false">IF(AV675=1,1,IF(AW675=1,2,IF(AX675=1,3,IF(AY675=1,4,IF(AZ675=1,5,IF(BA675=1,6,7))))))</f>
        <v>5</v>
      </c>
      <c r="BD675" s="65" t="n">
        <f aca="false">IF(AD675=1,CHOOSE('Historical Score'!$C$29,AV675,AW675,AX675,AY675,AZ675,BA675,BB675),0)</f>
        <v>0</v>
      </c>
      <c r="BE675" s="65" t="str">
        <f aca="false">IF(BD675=1,COUNTIF($BD$2:BD675,1),"")</f>
        <v/>
      </c>
    </row>
    <row r="676" customFormat="false" ht="15" hidden="false" customHeight="false" outlineLevel="0" collapsed="false">
      <c r="A676" s="65" t="s">
        <v>2271</v>
      </c>
      <c r="B676" s="65" t="s">
        <v>2272</v>
      </c>
      <c r="C676" s="65" t="s">
        <v>2272</v>
      </c>
      <c r="D676" s="65" t="s">
        <v>371</v>
      </c>
      <c r="E676" s="112" t="n">
        <v>46085</v>
      </c>
      <c r="F676" s="112" t="n">
        <v>46168</v>
      </c>
      <c r="G676" s="65" t="n">
        <v>3</v>
      </c>
      <c r="H676" s="65" t="s">
        <v>1730</v>
      </c>
      <c r="I676" s="65" t="s">
        <v>484</v>
      </c>
      <c r="J676" s="65" t="s">
        <v>1254</v>
      </c>
      <c r="K676" s="65" t="s">
        <v>55</v>
      </c>
      <c r="L676" s="65" t="s">
        <v>64</v>
      </c>
      <c r="M676" s="113" t="n">
        <v>1.49</v>
      </c>
      <c r="N676" s="114" t="n">
        <v>15000</v>
      </c>
      <c r="O676" s="114" t="n">
        <v>2100</v>
      </c>
      <c r="P676" s="114" t="n">
        <v>22350</v>
      </c>
      <c r="Q676" s="114" t="n">
        <v>22350</v>
      </c>
      <c r="R676" s="114" t="n">
        <v>0</v>
      </c>
      <c r="S676" s="115" t="n">
        <v>1</v>
      </c>
      <c r="T676" s="65" t="n">
        <v>20</v>
      </c>
      <c r="U676" s="65" t="n">
        <v>2</v>
      </c>
      <c r="V676" s="65" t="n">
        <v>65000</v>
      </c>
      <c r="W676" s="115" t="n">
        <v>0.0993</v>
      </c>
      <c r="X676" s="112"/>
      <c r="Y676" s="65" t="str">
        <f aca="false">IF(I676="","No SIC",IFERROR(VLOOKUP(I676,Ref!$A$2:$B$65,2,FALSE()),"Unclassified"))</f>
        <v>Special Trade Contractors</v>
      </c>
      <c r="Z676" s="65" t="str">
        <f aca="false">IF(T676="","",IF(T676&lt;12,"Daily","Weekly"))</f>
        <v>Weekly</v>
      </c>
      <c r="AA676" s="65" t="n">
        <f aca="false">IF(T676="",0,IF(T676&lt;12,T676*Controls!$B$29,T676*5))</f>
        <v>100</v>
      </c>
      <c r="AB676" s="65" t="n">
        <f aca="false">IF(E676="",0,NETWORKDAYS(E676,Controls!$B$36,Ref!$K$2:$K$42))</f>
        <v>123</v>
      </c>
      <c r="AC676" s="65" t="n">
        <f aca="false">IF(AND(AA676&gt;0,AB676&gt;=Controls!$B$39*AA676),1,0)</f>
        <v>0</v>
      </c>
      <c r="AD676" s="65" t="n">
        <f aca="false">IF(AND(E676&lt;&gt;"",E676&gt;=Controls!$B$37,E676&lt;=Controls!$B$38),1,0)</f>
        <v>1</v>
      </c>
      <c r="AE676" s="65" t="n">
        <f aca="false">IF(IFERROR(VLOOKUP(D676,Controls!$A$64:$E$74,2,FALSE()),"No")="Yes",1,0)</f>
        <v>0</v>
      </c>
      <c r="AF676" s="65" t="n">
        <f aca="false">IF(IFERROR(VLOOKUP(D676,Controls!$A$64:$E$74,3,FALSE()),"No")="Yes",1,0)</f>
        <v>1</v>
      </c>
      <c r="AG676" s="65" t="n">
        <f aca="false">IF(IFERROR(VLOOKUP(D676,Controls!$A$64:$E$74,4,FALSE()),"No")="Yes",1,0)</f>
        <v>1</v>
      </c>
      <c r="AH676" s="65" t="n">
        <f aca="false">IF(IFERROR(VLOOKUP(D676,Controls!$A$64:$E$74,5,FALSE()),"No")="Yes",1,0)</f>
        <v>0</v>
      </c>
      <c r="AI676" s="65" t="n">
        <f aca="false">IF(ISNUMBER(MATCH(D676,Controls!$A$64:$A$74,0)),1,0)</f>
        <v>1</v>
      </c>
      <c r="AJ676" s="65" t="n">
        <f aca="false">Q676-N676</f>
        <v>7350</v>
      </c>
      <c r="AK676" s="65" t="n">
        <f aca="false">IF(AE676=1,MAX(0,N676-Q676),0)</f>
        <v>0</v>
      </c>
      <c r="AL676" s="65" t="n">
        <f aca="false">IF(OR(V676="",V676=0),0,N676/V676)</f>
        <v>0.230769230769231</v>
      </c>
      <c r="AM676" s="65" t="n">
        <f aca="false">IF(OR(V676="",V676=0),0,1)</f>
        <v>1</v>
      </c>
      <c r="AN676" s="65" t="n">
        <f aca="false">IF(OR(E676="",F676=""),0,NETWORKDAYS(E676,F676,Ref!$K$2:$K$42))</f>
        <v>59</v>
      </c>
      <c r="AO676" s="65" t="n">
        <f aca="false">IF(L676="Renewal",1,0)</f>
        <v>0</v>
      </c>
      <c r="AP676" s="65" t="n">
        <f aca="false">AC676*AD676</f>
        <v>0</v>
      </c>
      <c r="AQ676" s="65" t="n">
        <f aca="false">IF(AND(G676&lt;&gt;"",'Historical Score'!$C$6&lt;&gt;""),IF(G676='Historical Score'!$C$6,1,0),0)</f>
        <v>0</v>
      </c>
      <c r="AR676" s="65" t="n">
        <f aca="false">IF(AND(L676&lt;&gt;"",'Historical Score'!$C$5&lt;&gt;""),IF(L676='Historical Score'!$C$5,1,0),0)</f>
        <v>1</v>
      </c>
      <c r="AS676" s="65" t="n">
        <f aca="false">IF(AND(Y676&lt;&gt;"",'Historical Score'!$C$7&lt;&gt;""),IF(Y676='Historical Score'!$C$7,1,0),0)</f>
        <v>0</v>
      </c>
      <c r="AT676" s="65" t="n">
        <f aca="false">IF(AND(K676&lt;&gt;"",'Historical Score'!$C$8&lt;&gt;""),IF(K676='Historical Score'!$C$8,1,0),0)</f>
        <v>1</v>
      </c>
      <c r="AU676" s="65" t="n">
        <f aca="false">IF(AND(J676&lt;&gt;"",'Historical Score'!$C$9&lt;&gt;""),IF(J676='Historical Score'!$C$9,1,0),0)</f>
        <v>0</v>
      </c>
      <c r="AV676" s="65" t="n">
        <f aca="false">AR676*AS676*AQ676</f>
        <v>0</v>
      </c>
      <c r="AW676" s="65" t="n">
        <f aca="false">AR676*AT676*AQ676</f>
        <v>0</v>
      </c>
      <c r="AX676" s="65" t="n">
        <f aca="false">AR676*AS676</f>
        <v>0</v>
      </c>
      <c r="AY676" s="65" t="n">
        <f aca="false">AR676*AT676</f>
        <v>1</v>
      </c>
      <c r="AZ676" s="65" t="n">
        <f aca="false">AR676*AQ676</f>
        <v>0</v>
      </c>
      <c r="BA676" s="65" t="n">
        <f aca="false">AR676</f>
        <v>1</v>
      </c>
      <c r="BB676" s="65" t="n">
        <f aca="false">1</f>
        <v>1</v>
      </c>
      <c r="BC676" s="65" t="n">
        <f aca="false">IF(AV676=1,1,IF(AW676=1,2,IF(AX676=1,3,IF(AY676=1,4,IF(AZ676=1,5,IF(BA676=1,6,7))))))</f>
        <v>4</v>
      </c>
      <c r="BD676" s="65" t="n">
        <f aca="false">IF(AD676=1,CHOOSE('Historical Score'!$C$29,AV676,AW676,AX676,AY676,AZ676,BA676,BB676),0)</f>
        <v>0</v>
      </c>
      <c r="BE676" s="65" t="str">
        <f aca="false">IF(BD676=1,COUNTIF($BD$2:BD676,1),"")</f>
        <v/>
      </c>
    </row>
    <row r="677" customFormat="false" ht="15" hidden="false" customHeight="false" outlineLevel="0" collapsed="false">
      <c r="A677" s="65" t="s">
        <v>2273</v>
      </c>
      <c r="B677" s="65" t="s">
        <v>2274</v>
      </c>
      <c r="C677" s="65" t="s">
        <v>2274</v>
      </c>
      <c r="D677" s="65" t="s">
        <v>340</v>
      </c>
      <c r="E677" s="112" t="n">
        <v>46085</v>
      </c>
      <c r="F677" s="112" t="n">
        <v>46162</v>
      </c>
      <c r="G677" s="65" t="n">
        <v>2</v>
      </c>
      <c r="H677" s="65" t="s">
        <v>568</v>
      </c>
      <c r="I677" s="65" t="s">
        <v>569</v>
      </c>
      <c r="J677" s="65" t="s">
        <v>452</v>
      </c>
      <c r="K677" s="65" t="s">
        <v>983</v>
      </c>
      <c r="L677" s="65" t="s">
        <v>64</v>
      </c>
      <c r="M677" s="113" t="n">
        <v>1.49</v>
      </c>
      <c r="N677" s="114" t="n">
        <v>35000</v>
      </c>
      <c r="O677" s="114" t="n">
        <v>4900</v>
      </c>
      <c r="P677" s="114" t="n">
        <v>52150</v>
      </c>
      <c r="Q677" s="114" t="n">
        <v>12594.99</v>
      </c>
      <c r="R677" s="114" t="n">
        <v>39555.01</v>
      </c>
      <c r="S677" s="115" t="n">
        <v>0.241514669223394</v>
      </c>
      <c r="T677" s="65" t="n">
        <v>3.934</v>
      </c>
      <c r="U677" s="65" t="n">
        <v>27</v>
      </c>
      <c r="V677" s="65" t="n">
        <v>154586.63</v>
      </c>
      <c r="W677" s="115" t="n">
        <v>0.059</v>
      </c>
      <c r="X677" s="112" t="n">
        <v>44317</v>
      </c>
      <c r="Y677" s="65" t="str">
        <f aca="false">IF(I677="","No SIC",IFERROR(VLOOKUP(I677,Ref!$A$2:$B$65,2,FALSE()),"Unclassified"))</f>
        <v>General Merchandise Stores</v>
      </c>
      <c r="Z677" s="65" t="str">
        <f aca="false">IF(T677="","",IF(T677&lt;12,"Daily","Weekly"))</f>
        <v>Daily</v>
      </c>
      <c r="AA677" s="65" t="n">
        <f aca="false">IF(T677="",0,IF(T677&lt;12,T677*Controls!$B$29,T677*5))</f>
        <v>85.19077</v>
      </c>
      <c r="AB677" s="65" t="n">
        <f aca="false">IF(E677="",0,NETWORKDAYS(E677,Controls!$B$36,Ref!$K$2:$K$42))</f>
        <v>123</v>
      </c>
      <c r="AC677" s="65" t="n">
        <f aca="false">IF(AND(AA677&gt;0,AB677&gt;=Controls!$B$39*AA677),1,0)</f>
        <v>1</v>
      </c>
      <c r="AD677" s="65" t="n">
        <f aca="false">IF(AND(E677&lt;&gt;"",E677&gt;=Controls!$B$37,E677&lt;=Controls!$B$38),1,0)</f>
        <v>1</v>
      </c>
      <c r="AE677" s="65" t="n">
        <f aca="false">IF(IFERROR(VLOOKUP(D677,Controls!$A$64:$E$74,2,FALSE()),"No")="Yes",1,0)</f>
        <v>1</v>
      </c>
      <c r="AF677" s="65" t="n">
        <f aca="false">IF(IFERROR(VLOOKUP(D677,Controls!$A$64:$E$74,3,FALSE()),"No")="Yes",1,0)</f>
        <v>0</v>
      </c>
      <c r="AG677" s="65" t="n">
        <f aca="false">IF(IFERROR(VLOOKUP(D677,Controls!$A$64:$E$74,4,FALSE()),"No")="Yes",1,0)</f>
        <v>0</v>
      </c>
      <c r="AH677" s="65" t="n">
        <f aca="false">IF(IFERROR(VLOOKUP(D677,Controls!$A$64:$E$74,5,FALSE()),"No")="Yes",1,0)</f>
        <v>0</v>
      </c>
      <c r="AI677" s="65" t="n">
        <f aca="false">IF(ISNUMBER(MATCH(D677,Controls!$A$64:$A$74,0)),1,0)</f>
        <v>1</v>
      </c>
      <c r="AJ677" s="65" t="n">
        <f aca="false">Q677-N677</f>
        <v>-22405.01</v>
      </c>
      <c r="AK677" s="65" t="n">
        <f aca="false">IF(AE677=1,MAX(0,N677-Q677),0)</f>
        <v>22405.01</v>
      </c>
      <c r="AL677" s="65" t="n">
        <f aca="false">IF(OR(V677="",V677=0),0,N677/V677)</f>
        <v>0.226410265881338</v>
      </c>
      <c r="AM677" s="65" t="n">
        <f aca="false">IF(OR(V677="",V677=0),0,1)</f>
        <v>1</v>
      </c>
      <c r="AN677" s="65" t="n">
        <f aca="false">IF(OR(E677="",F677=""),0,NETWORKDAYS(E677,F677,Ref!$K$2:$K$42))</f>
        <v>56</v>
      </c>
      <c r="AO677" s="65" t="n">
        <f aca="false">IF(L677="Renewal",1,0)</f>
        <v>0</v>
      </c>
      <c r="AP677" s="65" t="n">
        <f aca="false">AC677*AD677</f>
        <v>1</v>
      </c>
      <c r="AQ677" s="65" t="n">
        <f aca="false">IF(AND(G677&lt;&gt;"",'Historical Score'!$C$6&lt;&gt;""),IF(G677='Historical Score'!$C$6,1,0),0)</f>
        <v>1</v>
      </c>
      <c r="AR677" s="65" t="n">
        <f aca="false">IF(AND(L677&lt;&gt;"",'Historical Score'!$C$5&lt;&gt;""),IF(L677='Historical Score'!$C$5,1,0),0)</f>
        <v>1</v>
      </c>
      <c r="AS677" s="65" t="n">
        <f aca="false">IF(AND(Y677&lt;&gt;"",'Historical Score'!$C$7&lt;&gt;""),IF(Y677='Historical Score'!$C$7,1,0),0)</f>
        <v>0</v>
      </c>
      <c r="AT677" s="65" t="n">
        <f aca="false">IF(AND(K677&lt;&gt;"",'Historical Score'!$C$8&lt;&gt;""),IF(K677='Historical Score'!$C$8,1,0),0)</f>
        <v>0</v>
      </c>
      <c r="AU677" s="65" t="n">
        <f aca="false">IF(AND(J677&lt;&gt;"",'Historical Score'!$C$9&lt;&gt;""),IF(J677='Historical Score'!$C$9,1,0),0)</f>
        <v>0</v>
      </c>
      <c r="AV677" s="65" t="n">
        <f aca="false">AR677*AS677*AQ677</f>
        <v>0</v>
      </c>
      <c r="AW677" s="65" t="n">
        <f aca="false">AR677*AT677*AQ677</f>
        <v>0</v>
      </c>
      <c r="AX677" s="65" t="n">
        <f aca="false">AR677*AS677</f>
        <v>0</v>
      </c>
      <c r="AY677" s="65" t="n">
        <f aca="false">AR677*AT677</f>
        <v>0</v>
      </c>
      <c r="AZ677" s="65" t="n">
        <f aca="false">AR677*AQ677</f>
        <v>1</v>
      </c>
      <c r="BA677" s="65" t="n">
        <f aca="false">AR677</f>
        <v>1</v>
      </c>
      <c r="BB677" s="65" t="n">
        <f aca="false">1</f>
        <v>1</v>
      </c>
      <c r="BC677" s="65" t="n">
        <f aca="false">IF(AV677=1,1,IF(AW677=1,2,IF(AX677=1,3,IF(AY677=1,4,IF(AZ677=1,5,IF(BA677=1,6,7))))))</f>
        <v>5</v>
      </c>
      <c r="BD677" s="65" t="n">
        <f aca="false">IF(AD677=1,CHOOSE('Historical Score'!$C$29,AV677,AW677,AX677,AY677,AZ677,BA677,BB677),0)</f>
        <v>0</v>
      </c>
      <c r="BE677" s="65" t="str">
        <f aca="false">IF(BD677=1,COUNTIF($BD$2:BD677,1),"")</f>
        <v/>
      </c>
    </row>
    <row r="678" customFormat="false" ht="15" hidden="false" customHeight="false" outlineLevel="0" collapsed="false">
      <c r="A678" s="65" t="s">
        <v>2275</v>
      </c>
      <c r="B678" s="65" t="s">
        <v>2276</v>
      </c>
      <c r="C678" s="65" t="s">
        <v>2276</v>
      </c>
      <c r="D678" s="65" t="s">
        <v>340</v>
      </c>
      <c r="E678" s="112" t="n">
        <v>46085</v>
      </c>
      <c r="F678" s="112" t="n">
        <v>46119</v>
      </c>
      <c r="G678" s="65" t="n">
        <v>3</v>
      </c>
      <c r="H678" s="65" t="s">
        <v>409</v>
      </c>
      <c r="I678" s="65" t="s">
        <v>342</v>
      </c>
      <c r="J678" s="65" t="s">
        <v>420</v>
      </c>
      <c r="K678" s="65" t="s">
        <v>496</v>
      </c>
      <c r="L678" s="65" t="s">
        <v>64</v>
      </c>
      <c r="M678" s="113" t="n">
        <v>1.49</v>
      </c>
      <c r="N678" s="114" t="n">
        <v>15000</v>
      </c>
      <c r="O678" s="114" t="n">
        <v>0</v>
      </c>
      <c r="P678" s="114" t="n">
        <v>22350</v>
      </c>
      <c r="Q678" s="114" t="n">
        <v>5215.77</v>
      </c>
      <c r="R678" s="114" t="n">
        <v>17134.23</v>
      </c>
      <c r="S678" s="115" t="n">
        <v>0.233367785234899</v>
      </c>
      <c r="T678" s="65" t="n">
        <v>2.951</v>
      </c>
      <c r="U678" s="65" t="n">
        <v>3</v>
      </c>
      <c r="V678" s="65" t="n">
        <v>27846.81</v>
      </c>
      <c r="W678" s="115" t="n">
        <v>0.1873</v>
      </c>
      <c r="X678" s="112" t="n">
        <v>45231</v>
      </c>
      <c r="Y678" s="65" t="str">
        <f aca="false">IF(I678="","No SIC",IFERROR(VLOOKUP(I678,Ref!$A$2:$B$65,2,FALSE()),"Unclassified"))</f>
        <v>Eating &amp; Drinking Places</v>
      </c>
      <c r="Z678" s="65" t="str">
        <f aca="false">IF(T678="","",IF(T678&lt;12,"Daily","Weekly"))</f>
        <v>Daily</v>
      </c>
      <c r="AA678" s="65" t="n">
        <f aca="false">IF(T678="",0,IF(T678&lt;12,T678*Controls!$B$29,T678*5))</f>
        <v>63.903905</v>
      </c>
      <c r="AB678" s="65" t="n">
        <f aca="false">IF(E678="",0,NETWORKDAYS(E678,Controls!$B$36,Ref!$K$2:$K$42))</f>
        <v>123</v>
      </c>
      <c r="AC678" s="65" t="n">
        <f aca="false">IF(AND(AA678&gt;0,AB678&gt;=Controls!$B$39*AA678),1,0)</f>
        <v>1</v>
      </c>
      <c r="AD678" s="65" t="n">
        <f aca="false">IF(AND(E678&lt;&gt;"",E678&gt;=Controls!$B$37,E678&lt;=Controls!$B$38),1,0)</f>
        <v>1</v>
      </c>
      <c r="AE678" s="65" t="n">
        <f aca="false">IF(IFERROR(VLOOKUP(D678,Controls!$A$64:$E$74,2,FALSE()),"No")="Yes",1,0)</f>
        <v>1</v>
      </c>
      <c r="AF678" s="65" t="n">
        <f aca="false">IF(IFERROR(VLOOKUP(D678,Controls!$A$64:$E$74,3,FALSE()),"No")="Yes",1,0)</f>
        <v>0</v>
      </c>
      <c r="AG678" s="65" t="n">
        <f aca="false">IF(IFERROR(VLOOKUP(D678,Controls!$A$64:$E$74,4,FALSE()),"No")="Yes",1,0)</f>
        <v>0</v>
      </c>
      <c r="AH678" s="65" t="n">
        <f aca="false">IF(IFERROR(VLOOKUP(D678,Controls!$A$64:$E$74,5,FALSE()),"No")="Yes",1,0)</f>
        <v>0</v>
      </c>
      <c r="AI678" s="65" t="n">
        <f aca="false">IF(ISNUMBER(MATCH(D678,Controls!$A$64:$A$74,0)),1,0)</f>
        <v>1</v>
      </c>
      <c r="AJ678" s="65" t="n">
        <f aca="false">Q678-N678</f>
        <v>-9784.23</v>
      </c>
      <c r="AK678" s="65" t="n">
        <f aca="false">IF(AE678=1,MAX(0,N678-Q678),0)</f>
        <v>9784.23</v>
      </c>
      <c r="AL678" s="65" t="n">
        <f aca="false">IF(OR(V678="",V678=0),0,N678/V678)</f>
        <v>0.538661340383333</v>
      </c>
      <c r="AM678" s="65" t="n">
        <f aca="false">IF(OR(V678="",V678=0),0,1)</f>
        <v>1</v>
      </c>
      <c r="AN678" s="65" t="n">
        <f aca="false">IF(OR(E678="",F678=""),0,NETWORKDAYS(E678,F678,Ref!$K$2:$K$42))</f>
        <v>25</v>
      </c>
      <c r="AO678" s="65" t="n">
        <f aca="false">IF(L678="Renewal",1,0)</f>
        <v>0</v>
      </c>
      <c r="AP678" s="65" t="n">
        <f aca="false">AC678*AD678</f>
        <v>1</v>
      </c>
      <c r="AQ678" s="65" t="n">
        <f aca="false">IF(AND(G678&lt;&gt;"",'Historical Score'!$C$6&lt;&gt;""),IF(G678='Historical Score'!$C$6,1,0),0)</f>
        <v>0</v>
      </c>
      <c r="AR678" s="65" t="n">
        <f aca="false">IF(AND(L678&lt;&gt;"",'Historical Score'!$C$5&lt;&gt;""),IF(L678='Historical Score'!$C$5,1,0),0)</f>
        <v>1</v>
      </c>
      <c r="AS678" s="65" t="n">
        <f aca="false">IF(AND(Y678&lt;&gt;"",'Historical Score'!$C$7&lt;&gt;""),IF(Y678='Historical Score'!$C$7,1,0),0)</f>
        <v>0</v>
      </c>
      <c r="AT678" s="65" t="n">
        <f aca="false">IF(AND(K678&lt;&gt;"",'Historical Score'!$C$8&lt;&gt;""),IF(K678='Historical Score'!$C$8,1,0),0)</f>
        <v>0</v>
      </c>
      <c r="AU678" s="65" t="n">
        <f aca="false">IF(AND(J678&lt;&gt;"",'Historical Score'!$C$9&lt;&gt;""),IF(J678='Historical Score'!$C$9,1,0),0)</f>
        <v>0</v>
      </c>
      <c r="AV678" s="65" t="n">
        <f aca="false">AR678*AS678*AQ678</f>
        <v>0</v>
      </c>
      <c r="AW678" s="65" t="n">
        <f aca="false">AR678*AT678*AQ678</f>
        <v>0</v>
      </c>
      <c r="AX678" s="65" t="n">
        <f aca="false">AR678*AS678</f>
        <v>0</v>
      </c>
      <c r="AY678" s="65" t="n">
        <f aca="false">AR678*AT678</f>
        <v>0</v>
      </c>
      <c r="AZ678" s="65" t="n">
        <f aca="false">AR678*AQ678</f>
        <v>0</v>
      </c>
      <c r="BA678" s="65" t="n">
        <f aca="false">AR678</f>
        <v>1</v>
      </c>
      <c r="BB678" s="65" t="n">
        <f aca="false">1</f>
        <v>1</v>
      </c>
      <c r="BC678" s="65" t="n">
        <f aca="false">IF(AV678=1,1,IF(AW678=1,2,IF(AX678=1,3,IF(AY678=1,4,IF(AZ678=1,5,IF(BA678=1,6,7))))))</f>
        <v>6</v>
      </c>
      <c r="BD678" s="65" t="n">
        <f aca="false">IF(AD678=1,CHOOSE('Historical Score'!$C$29,AV678,AW678,AX678,AY678,AZ678,BA678,BB678),0)</f>
        <v>0</v>
      </c>
      <c r="BE678" s="65" t="str">
        <f aca="false">IF(BD678=1,COUNTIF($BD$2:BD678,1),"")</f>
        <v/>
      </c>
    </row>
    <row r="679" customFormat="false" ht="15" hidden="false" customHeight="false" outlineLevel="0" collapsed="false">
      <c r="A679" s="65" t="s">
        <v>2277</v>
      </c>
      <c r="B679" s="65" t="s">
        <v>2278</v>
      </c>
      <c r="C679" s="65" t="s">
        <v>2278</v>
      </c>
      <c r="D679" s="65" t="s">
        <v>371</v>
      </c>
      <c r="E679" s="112" t="n">
        <v>46086</v>
      </c>
      <c r="F679" s="112" t="n">
        <v>46176</v>
      </c>
      <c r="G679" s="65" t="n">
        <v>3</v>
      </c>
      <c r="H679" s="65" t="s">
        <v>568</v>
      </c>
      <c r="I679" s="65" t="s">
        <v>569</v>
      </c>
      <c r="J679" s="65" t="s">
        <v>61</v>
      </c>
      <c r="K679" s="65" t="s">
        <v>55</v>
      </c>
      <c r="L679" s="65" t="s">
        <v>64</v>
      </c>
      <c r="M679" s="113" t="n">
        <v>1.49</v>
      </c>
      <c r="N679" s="114" t="n">
        <v>10000</v>
      </c>
      <c r="O679" s="114" t="n">
        <v>1400</v>
      </c>
      <c r="P679" s="114" t="n">
        <v>14900</v>
      </c>
      <c r="Q679" s="114" t="n">
        <v>14900</v>
      </c>
      <c r="R679" s="114" t="n">
        <v>0</v>
      </c>
      <c r="S679" s="115" t="n">
        <v>1</v>
      </c>
      <c r="T679" s="65" t="n">
        <v>2.623</v>
      </c>
      <c r="U679" s="65" t="n">
        <v>0</v>
      </c>
      <c r="V679" s="65" t="n">
        <v>68415.85</v>
      </c>
      <c r="W679" s="115" t="n">
        <v>0.0428</v>
      </c>
      <c r="X679" s="112" t="n">
        <v>39882</v>
      </c>
      <c r="Y679" s="65" t="str">
        <f aca="false">IF(I679="","No SIC",IFERROR(VLOOKUP(I679,Ref!$A$2:$B$65,2,FALSE()),"Unclassified"))</f>
        <v>General Merchandise Stores</v>
      </c>
      <c r="Z679" s="65" t="str">
        <f aca="false">IF(T679="","",IF(T679&lt;12,"Daily","Weekly"))</f>
        <v>Daily</v>
      </c>
      <c r="AA679" s="65" t="n">
        <f aca="false">IF(T679="",0,IF(T679&lt;12,T679*Controls!$B$29,T679*5))</f>
        <v>56.801065</v>
      </c>
      <c r="AB679" s="65" t="n">
        <f aca="false">IF(E679="",0,NETWORKDAYS(E679,Controls!$B$36,Ref!$K$2:$K$42))</f>
        <v>122</v>
      </c>
      <c r="AC679" s="65" t="n">
        <f aca="false">IF(AND(AA679&gt;0,AB679&gt;=Controls!$B$39*AA679),1,0)</f>
        <v>1</v>
      </c>
      <c r="AD679" s="65" t="n">
        <f aca="false">IF(AND(E679&lt;&gt;"",E679&gt;=Controls!$B$37,E679&lt;=Controls!$B$38),1,0)</f>
        <v>1</v>
      </c>
      <c r="AE679" s="65" t="n">
        <f aca="false">IF(IFERROR(VLOOKUP(D679,Controls!$A$64:$E$74,2,FALSE()),"No")="Yes",1,0)</f>
        <v>0</v>
      </c>
      <c r="AF679" s="65" t="n">
        <f aca="false">IF(IFERROR(VLOOKUP(D679,Controls!$A$64:$E$74,3,FALSE()),"No")="Yes",1,0)</f>
        <v>1</v>
      </c>
      <c r="AG679" s="65" t="n">
        <f aca="false">IF(IFERROR(VLOOKUP(D679,Controls!$A$64:$E$74,4,FALSE()),"No")="Yes",1,0)</f>
        <v>1</v>
      </c>
      <c r="AH679" s="65" t="n">
        <f aca="false">IF(IFERROR(VLOOKUP(D679,Controls!$A$64:$E$74,5,FALSE()),"No")="Yes",1,0)</f>
        <v>0</v>
      </c>
      <c r="AI679" s="65" t="n">
        <f aca="false">IF(ISNUMBER(MATCH(D679,Controls!$A$64:$A$74,0)),1,0)</f>
        <v>1</v>
      </c>
      <c r="AJ679" s="65" t="n">
        <f aca="false">Q679-N679</f>
        <v>4900</v>
      </c>
      <c r="AK679" s="65" t="n">
        <f aca="false">IF(AE679=1,MAX(0,N679-Q679),0)</f>
        <v>0</v>
      </c>
      <c r="AL679" s="65" t="n">
        <f aca="false">IF(OR(V679="",V679=0),0,N679/V679)</f>
        <v>0.146164960312559</v>
      </c>
      <c r="AM679" s="65" t="n">
        <f aca="false">IF(OR(V679="",V679=0),0,1)</f>
        <v>1</v>
      </c>
      <c r="AN679" s="65" t="n">
        <f aca="false">IF(OR(E679="",F679=""),0,NETWORKDAYS(E679,F679,Ref!$K$2:$K$42))</f>
        <v>64</v>
      </c>
      <c r="AO679" s="65" t="n">
        <f aca="false">IF(L679="Renewal",1,0)</f>
        <v>0</v>
      </c>
      <c r="AP679" s="65" t="n">
        <f aca="false">AC679*AD679</f>
        <v>1</v>
      </c>
      <c r="AQ679" s="65" t="n">
        <f aca="false">IF(AND(G679&lt;&gt;"",'Historical Score'!$C$6&lt;&gt;""),IF(G679='Historical Score'!$C$6,1,0),0)</f>
        <v>0</v>
      </c>
      <c r="AR679" s="65" t="n">
        <f aca="false">IF(AND(L679&lt;&gt;"",'Historical Score'!$C$5&lt;&gt;""),IF(L679='Historical Score'!$C$5,1,0),0)</f>
        <v>1</v>
      </c>
      <c r="AS679" s="65" t="n">
        <f aca="false">IF(AND(Y679&lt;&gt;"",'Historical Score'!$C$7&lt;&gt;""),IF(Y679='Historical Score'!$C$7,1,0),0)</f>
        <v>0</v>
      </c>
      <c r="AT679" s="65" t="n">
        <f aca="false">IF(AND(K679&lt;&gt;"",'Historical Score'!$C$8&lt;&gt;""),IF(K679='Historical Score'!$C$8,1,0),0)</f>
        <v>1</v>
      </c>
      <c r="AU679" s="65" t="n">
        <f aca="false">IF(AND(J679&lt;&gt;"",'Historical Score'!$C$9&lt;&gt;""),IF(J679='Historical Score'!$C$9,1,0),0)</f>
        <v>1</v>
      </c>
      <c r="AV679" s="65" t="n">
        <f aca="false">AR679*AS679*AQ679</f>
        <v>0</v>
      </c>
      <c r="AW679" s="65" t="n">
        <f aca="false">AR679*AT679*AQ679</f>
        <v>0</v>
      </c>
      <c r="AX679" s="65" t="n">
        <f aca="false">AR679*AS679</f>
        <v>0</v>
      </c>
      <c r="AY679" s="65" t="n">
        <f aca="false">AR679*AT679</f>
        <v>1</v>
      </c>
      <c r="AZ679" s="65" t="n">
        <f aca="false">AR679*AQ679</f>
        <v>0</v>
      </c>
      <c r="BA679" s="65" t="n">
        <f aca="false">AR679</f>
        <v>1</v>
      </c>
      <c r="BB679" s="65" t="n">
        <f aca="false">1</f>
        <v>1</v>
      </c>
      <c r="BC679" s="65" t="n">
        <f aca="false">IF(AV679=1,1,IF(AW679=1,2,IF(AX679=1,3,IF(AY679=1,4,IF(AZ679=1,5,IF(BA679=1,6,7))))))</f>
        <v>4</v>
      </c>
      <c r="BD679" s="65" t="n">
        <f aca="false">IF(AD679=1,CHOOSE('Historical Score'!$C$29,AV679,AW679,AX679,AY679,AZ679,BA679,BB679),0)</f>
        <v>0</v>
      </c>
      <c r="BE679" s="65" t="str">
        <f aca="false">IF(BD679=1,COUNTIF($BD$2:BD679,1),"")</f>
        <v/>
      </c>
    </row>
    <row r="680" customFormat="false" ht="15" hidden="false" customHeight="false" outlineLevel="0" collapsed="false">
      <c r="A680" s="65" t="s">
        <v>2279</v>
      </c>
      <c r="B680" s="65" t="s">
        <v>2280</v>
      </c>
      <c r="C680" s="65" t="s">
        <v>2281</v>
      </c>
      <c r="D680" s="65" t="s">
        <v>371</v>
      </c>
      <c r="E680" s="112" t="n">
        <v>46086</v>
      </c>
      <c r="F680" s="112" t="n">
        <v>46195</v>
      </c>
      <c r="G680" s="65" t="n">
        <v>2</v>
      </c>
      <c r="H680" s="65" t="s">
        <v>568</v>
      </c>
      <c r="I680" s="65" t="s">
        <v>569</v>
      </c>
      <c r="J680" s="65" t="s">
        <v>350</v>
      </c>
      <c r="K680" s="65" t="s">
        <v>983</v>
      </c>
      <c r="L680" s="65" t="s">
        <v>64</v>
      </c>
      <c r="M680" s="113" t="n">
        <v>1.49</v>
      </c>
      <c r="N680" s="114" t="n">
        <v>15000</v>
      </c>
      <c r="O680" s="114" t="n">
        <v>2100</v>
      </c>
      <c r="P680" s="114" t="n">
        <v>22350</v>
      </c>
      <c r="Q680" s="114" t="n">
        <v>22350</v>
      </c>
      <c r="R680" s="114" t="n">
        <v>0</v>
      </c>
      <c r="S680" s="115" t="n">
        <v>1</v>
      </c>
      <c r="T680" s="65" t="n">
        <v>2.951</v>
      </c>
      <c r="U680" s="65" t="n">
        <v>14</v>
      </c>
      <c r="V680" s="65" t="n">
        <v>33197.73</v>
      </c>
      <c r="W680" s="115" t="n">
        <v>0.1571</v>
      </c>
      <c r="X680" s="112" t="n">
        <v>36911</v>
      </c>
      <c r="Y680" s="65" t="str">
        <f aca="false">IF(I680="","No SIC",IFERROR(VLOOKUP(I680,Ref!$A$2:$B$65,2,FALSE()),"Unclassified"))</f>
        <v>General Merchandise Stores</v>
      </c>
      <c r="Z680" s="65" t="str">
        <f aca="false">IF(T680="","",IF(T680&lt;12,"Daily","Weekly"))</f>
        <v>Daily</v>
      </c>
      <c r="AA680" s="65" t="n">
        <f aca="false">IF(T680="",0,IF(T680&lt;12,T680*Controls!$B$29,T680*5))</f>
        <v>63.903905</v>
      </c>
      <c r="AB680" s="65" t="n">
        <f aca="false">IF(E680="",0,NETWORKDAYS(E680,Controls!$B$36,Ref!$K$2:$K$42))</f>
        <v>122</v>
      </c>
      <c r="AC680" s="65" t="n">
        <f aca="false">IF(AND(AA680&gt;0,AB680&gt;=Controls!$B$39*AA680),1,0)</f>
        <v>1</v>
      </c>
      <c r="AD680" s="65" t="n">
        <f aca="false">IF(AND(E680&lt;&gt;"",E680&gt;=Controls!$B$37,E680&lt;=Controls!$B$38),1,0)</f>
        <v>1</v>
      </c>
      <c r="AE680" s="65" t="n">
        <f aca="false">IF(IFERROR(VLOOKUP(D680,Controls!$A$64:$E$74,2,FALSE()),"No")="Yes",1,0)</f>
        <v>0</v>
      </c>
      <c r="AF680" s="65" t="n">
        <f aca="false">IF(IFERROR(VLOOKUP(D680,Controls!$A$64:$E$74,3,FALSE()),"No")="Yes",1,0)</f>
        <v>1</v>
      </c>
      <c r="AG680" s="65" t="n">
        <f aca="false">IF(IFERROR(VLOOKUP(D680,Controls!$A$64:$E$74,4,FALSE()),"No")="Yes",1,0)</f>
        <v>1</v>
      </c>
      <c r="AH680" s="65" t="n">
        <f aca="false">IF(IFERROR(VLOOKUP(D680,Controls!$A$64:$E$74,5,FALSE()),"No")="Yes",1,0)</f>
        <v>0</v>
      </c>
      <c r="AI680" s="65" t="n">
        <f aca="false">IF(ISNUMBER(MATCH(D680,Controls!$A$64:$A$74,0)),1,0)</f>
        <v>1</v>
      </c>
      <c r="AJ680" s="65" t="n">
        <f aca="false">Q680-N680</f>
        <v>7350</v>
      </c>
      <c r="AK680" s="65" t="n">
        <f aca="false">IF(AE680=1,MAX(0,N680-Q680),0)</f>
        <v>0</v>
      </c>
      <c r="AL680" s="65" t="n">
        <f aca="false">IF(OR(V680="",V680=0),0,N680/V680)</f>
        <v>0.451838122666821</v>
      </c>
      <c r="AM680" s="65" t="n">
        <f aca="false">IF(OR(V680="",V680=0),0,1)</f>
        <v>1</v>
      </c>
      <c r="AN680" s="65" t="n">
        <f aca="false">IF(OR(E680="",F680=""),0,NETWORKDAYS(E680,F680,Ref!$K$2:$K$42))</f>
        <v>76</v>
      </c>
      <c r="AO680" s="65" t="n">
        <f aca="false">IF(L680="Renewal",1,0)</f>
        <v>0</v>
      </c>
      <c r="AP680" s="65" t="n">
        <f aca="false">AC680*AD680</f>
        <v>1</v>
      </c>
      <c r="AQ680" s="65" t="n">
        <f aca="false">IF(AND(G680&lt;&gt;"",'Historical Score'!$C$6&lt;&gt;""),IF(G680='Historical Score'!$C$6,1,0),0)</f>
        <v>1</v>
      </c>
      <c r="AR680" s="65" t="n">
        <f aca="false">IF(AND(L680&lt;&gt;"",'Historical Score'!$C$5&lt;&gt;""),IF(L680='Historical Score'!$C$5,1,0),0)</f>
        <v>1</v>
      </c>
      <c r="AS680" s="65" t="n">
        <f aca="false">IF(AND(Y680&lt;&gt;"",'Historical Score'!$C$7&lt;&gt;""),IF(Y680='Historical Score'!$C$7,1,0),0)</f>
        <v>0</v>
      </c>
      <c r="AT680" s="65" t="n">
        <f aca="false">IF(AND(K680&lt;&gt;"",'Historical Score'!$C$8&lt;&gt;""),IF(K680='Historical Score'!$C$8,1,0),0)</f>
        <v>0</v>
      </c>
      <c r="AU680" s="65" t="n">
        <f aca="false">IF(AND(J680&lt;&gt;"",'Historical Score'!$C$9&lt;&gt;""),IF(J680='Historical Score'!$C$9,1,0),0)</f>
        <v>0</v>
      </c>
      <c r="AV680" s="65" t="n">
        <f aca="false">AR680*AS680*AQ680</f>
        <v>0</v>
      </c>
      <c r="AW680" s="65" t="n">
        <f aca="false">AR680*AT680*AQ680</f>
        <v>0</v>
      </c>
      <c r="AX680" s="65" t="n">
        <f aca="false">AR680*AS680</f>
        <v>0</v>
      </c>
      <c r="AY680" s="65" t="n">
        <f aca="false">AR680*AT680</f>
        <v>0</v>
      </c>
      <c r="AZ680" s="65" t="n">
        <f aca="false">AR680*AQ680</f>
        <v>1</v>
      </c>
      <c r="BA680" s="65" t="n">
        <f aca="false">AR680</f>
        <v>1</v>
      </c>
      <c r="BB680" s="65" t="n">
        <f aca="false">1</f>
        <v>1</v>
      </c>
      <c r="BC680" s="65" t="n">
        <f aca="false">IF(AV680=1,1,IF(AW680=1,2,IF(AX680=1,3,IF(AY680=1,4,IF(AZ680=1,5,IF(BA680=1,6,7))))))</f>
        <v>5</v>
      </c>
      <c r="BD680" s="65" t="n">
        <f aca="false">IF(AD680=1,CHOOSE('Historical Score'!$C$29,AV680,AW680,AX680,AY680,AZ680,BA680,BB680),0)</f>
        <v>0</v>
      </c>
      <c r="BE680" s="65" t="str">
        <f aca="false">IF(BD680=1,COUNTIF($BD$2:BD680,1),"")</f>
        <v/>
      </c>
    </row>
    <row r="681" customFormat="false" ht="15" hidden="false" customHeight="false" outlineLevel="0" collapsed="false">
      <c r="A681" s="65" t="s">
        <v>2282</v>
      </c>
      <c r="B681" s="65" t="s">
        <v>2283</v>
      </c>
      <c r="C681" s="65" t="s">
        <v>2284</v>
      </c>
      <c r="D681" s="65" t="s">
        <v>340</v>
      </c>
      <c r="E681" s="112" t="n">
        <v>46086</v>
      </c>
      <c r="F681" s="112" t="n">
        <v>46122</v>
      </c>
      <c r="G681" s="65" t="n">
        <v>3</v>
      </c>
      <c r="H681" s="65" t="s">
        <v>1407</v>
      </c>
      <c r="I681" s="65" t="s">
        <v>679</v>
      </c>
      <c r="J681" s="65" t="s">
        <v>452</v>
      </c>
      <c r="K681" s="65" t="s">
        <v>2285</v>
      </c>
      <c r="L681" s="65" t="s">
        <v>64</v>
      </c>
      <c r="M681" s="113" t="n">
        <v>1.49</v>
      </c>
      <c r="N681" s="114" t="n">
        <v>10000</v>
      </c>
      <c r="O681" s="114" t="n">
        <v>0</v>
      </c>
      <c r="P681" s="114" t="n">
        <v>14900</v>
      </c>
      <c r="Q681" s="114" t="n">
        <v>1725</v>
      </c>
      <c r="R681" s="114" t="n">
        <v>13175</v>
      </c>
      <c r="S681" s="115" t="n">
        <v>0.115771812080537</v>
      </c>
      <c r="T681" s="65" t="n">
        <v>26</v>
      </c>
      <c r="U681" s="65" t="n">
        <v>2</v>
      </c>
      <c r="V681" s="65" t="n">
        <v>91002.15</v>
      </c>
      <c r="W681" s="115" t="n">
        <v>0.0253</v>
      </c>
      <c r="X681" s="112"/>
      <c r="Y681" s="65" t="str">
        <f aca="false">IF(I681="","No SIC",IFERROR(VLOOKUP(I681,Ref!$A$2:$B$65,2,FALSE()),"Unclassified"))</f>
        <v>Amusement &amp; Recreation Services</v>
      </c>
      <c r="Z681" s="65" t="str">
        <f aca="false">IF(T681="","",IF(T681&lt;12,"Daily","Weekly"))</f>
        <v>Weekly</v>
      </c>
      <c r="AA681" s="65" t="n">
        <f aca="false">IF(T681="",0,IF(T681&lt;12,T681*Controls!$B$29,T681*5))</f>
        <v>130</v>
      </c>
      <c r="AB681" s="65" t="n">
        <f aca="false">IF(E681="",0,NETWORKDAYS(E681,Controls!$B$36,Ref!$K$2:$K$42))</f>
        <v>122</v>
      </c>
      <c r="AC681" s="65" t="n">
        <f aca="false">IF(AND(AA681&gt;0,AB681&gt;=Controls!$B$39*AA681),1,0)</f>
        <v>0</v>
      </c>
      <c r="AD681" s="65" t="n">
        <f aca="false">IF(AND(E681&lt;&gt;"",E681&gt;=Controls!$B$37,E681&lt;=Controls!$B$38),1,0)</f>
        <v>1</v>
      </c>
      <c r="AE681" s="65" t="n">
        <f aca="false">IF(IFERROR(VLOOKUP(D681,Controls!$A$64:$E$74,2,FALSE()),"No")="Yes",1,0)</f>
        <v>1</v>
      </c>
      <c r="AF681" s="65" t="n">
        <f aca="false">IF(IFERROR(VLOOKUP(D681,Controls!$A$64:$E$74,3,FALSE()),"No")="Yes",1,0)</f>
        <v>0</v>
      </c>
      <c r="AG681" s="65" t="n">
        <f aca="false">IF(IFERROR(VLOOKUP(D681,Controls!$A$64:$E$74,4,FALSE()),"No")="Yes",1,0)</f>
        <v>0</v>
      </c>
      <c r="AH681" s="65" t="n">
        <f aca="false">IF(IFERROR(VLOOKUP(D681,Controls!$A$64:$E$74,5,FALSE()),"No")="Yes",1,0)</f>
        <v>0</v>
      </c>
      <c r="AI681" s="65" t="n">
        <f aca="false">IF(ISNUMBER(MATCH(D681,Controls!$A$64:$A$74,0)),1,0)</f>
        <v>1</v>
      </c>
      <c r="AJ681" s="65" t="n">
        <f aca="false">Q681-N681</f>
        <v>-8275</v>
      </c>
      <c r="AK681" s="65" t="n">
        <f aca="false">IF(AE681=1,MAX(0,N681-Q681),0)</f>
        <v>8275</v>
      </c>
      <c r="AL681" s="65" t="n">
        <f aca="false">IF(OR(V681="",V681=0),0,N681/V681)</f>
        <v>0.109887513646656</v>
      </c>
      <c r="AM681" s="65" t="n">
        <f aca="false">IF(OR(V681="",V681=0),0,1)</f>
        <v>1</v>
      </c>
      <c r="AN681" s="65" t="n">
        <f aca="false">IF(OR(E681="",F681=""),0,NETWORKDAYS(E681,F681,Ref!$K$2:$K$42))</f>
        <v>27</v>
      </c>
      <c r="AO681" s="65" t="n">
        <f aca="false">IF(L681="Renewal",1,0)</f>
        <v>0</v>
      </c>
      <c r="AP681" s="65" t="n">
        <f aca="false">AC681*AD681</f>
        <v>0</v>
      </c>
      <c r="AQ681" s="65" t="n">
        <f aca="false">IF(AND(G681&lt;&gt;"",'Historical Score'!$C$6&lt;&gt;""),IF(G681='Historical Score'!$C$6,1,0),0)</f>
        <v>0</v>
      </c>
      <c r="AR681" s="65" t="n">
        <f aca="false">IF(AND(L681&lt;&gt;"",'Historical Score'!$C$5&lt;&gt;""),IF(L681='Historical Score'!$C$5,1,0),0)</f>
        <v>1</v>
      </c>
      <c r="AS681" s="65" t="n">
        <f aca="false">IF(AND(Y681&lt;&gt;"",'Historical Score'!$C$7&lt;&gt;""),IF(Y681='Historical Score'!$C$7,1,0),0)</f>
        <v>0</v>
      </c>
      <c r="AT681" s="65" t="n">
        <f aca="false">IF(AND(K681&lt;&gt;"",'Historical Score'!$C$8&lt;&gt;""),IF(K681='Historical Score'!$C$8,1,0),0)</f>
        <v>0</v>
      </c>
      <c r="AU681" s="65" t="n">
        <f aca="false">IF(AND(J681&lt;&gt;"",'Historical Score'!$C$9&lt;&gt;""),IF(J681='Historical Score'!$C$9,1,0),0)</f>
        <v>0</v>
      </c>
      <c r="AV681" s="65" t="n">
        <f aca="false">AR681*AS681*AQ681</f>
        <v>0</v>
      </c>
      <c r="AW681" s="65" t="n">
        <f aca="false">AR681*AT681*AQ681</f>
        <v>0</v>
      </c>
      <c r="AX681" s="65" t="n">
        <f aca="false">AR681*AS681</f>
        <v>0</v>
      </c>
      <c r="AY681" s="65" t="n">
        <f aca="false">AR681*AT681</f>
        <v>0</v>
      </c>
      <c r="AZ681" s="65" t="n">
        <f aca="false">AR681*AQ681</f>
        <v>0</v>
      </c>
      <c r="BA681" s="65" t="n">
        <f aca="false">AR681</f>
        <v>1</v>
      </c>
      <c r="BB681" s="65" t="n">
        <f aca="false">1</f>
        <v>1</v>
      </c>
      <c r="BC681" s="65" t="n">
        <f aca="false">IF(AV681=1,1,IF(AW681=1,2,IF(AX681=1,3,IF(AY681=1,4,IF(AZ681=1,5,IF(BA681=1,6,7))))))</f>
        <v>6</v>
      </c>
      <c r="BD681" s="65" t="n">
        <f aca="false">IF(AD681=1,CHOOSE('Historical Score'!$C$29,AV681,AW681,AX681,AY681,AZ681,BA681,BB681),0)</f>
        <v>0</v>
      </c>
      <c r="BE681" s="65" t="str">
        <f aca="false">IF(BD681=1,COUNTIF($BD$2:BD681,1),"")</f>
        <v/>
      </c>
    </row>
    <row r="682" customFormat="false" ht="15" hidden="false" customHeight="false" outlineLevel="0" collapsed="false">
      <c r="A682" s="65" t="s">
        <v>2286</v>
      </c>
      <c r="B682" s="65" t="s">
        <v>1242</v>
      </c>
      <c r="C682" s="65" t="s">
        <v>1242</v>
      </c>
      <c r="D682" s="65" t="s">
        <v>295</v>
      </c>
      <c r="E682" s="112" t="n">
        <v>46086</v>
      </c>
      <c r="F682" s="112" t="n">
        <v>46253</v>
      </c>
      <c r="G682" s="65" t="n">
        <v>3</v>
      </c>
      <c r="H682" s="65" t="s">
        <v>442</v>
      </c>
      <c r="I682" s="65" t="s">
        <v>443</v>
      </c>
      <c r="J682" s="65" t="s">
        <v>61</v>
      </c>
      <c r="K682" s="65" t="s">
        <v>581</v>
      </c>
      <c r="L682" s="65" t="s">
        <v>320</v>
      </c>
      <c r="M682" s="113" t="n">
        <v>1.49</v>
      </c>
      <c r="N682" s="114" t="n">
        <v>55000</v>
      </c>
      <c r="O682" s="114" t="n">
        <v>7700</v>
      </c>
      <c r="P682" s="114" t="n">
        <v>81950</v>
      </c>
      <c r="Q682" s="114" t="n">
        <v>63934.65</v>
      </c>
      <c r="R682" s="114" t="n">
        <v>18015.35</v>
      </c>
      <c r="S682" s="115" t="n">
        <v>0.780166564978646</v>
      </c>
      <c r="T682" s="65" t="n">
        <v>4.918</v>
      </c>
      <c r="U682" s="65" t="n">
        <v>0</v>
      </c>
      <c r="V682" s="65" t="n">
        <v>54257.4</v>
      </c>
      <c r="W682" s="115" t="n">
        <v>0.2115</v>
      </c>
      <c r="X682" s="112" t="n">
        <v>43910</v>
      </c>
      <c r="Y682" s="65" t="str">
        <f aca="false">IF(I682="","No SIC",IFERROR(VLOOKUP(I682,Ref!$A$2:$B$65,2,FALSE()),"Unclassified"))</f>
        <v>General Building Contractors</v>
      </c>
      <c r="Z682" s="65" t="str">
        <f aca="false">IF(T682="","",IF(T682&lt;12,"Daily","Weekly"))</f>
        <v>Daily</v>
      </c>
      <c r="AA682" s="65" t="n">
        <f aca="false">IF(T682="",0,IF(T682&lt;12,T682*Controls!$B$29,T682*5))</f>
        <v>106.49929</v>
      </c>
      <c r="AB682" s="65" t="n">
        <f aca="false">IF(E682="",0,NETWORKDAYS(E682,Controls!$B$36,Ref!$K$2:$K$42))</f>
        <v>122</v>
      </c>
      <c r="AC682" s="65" t="n">
        <f aca="false">IF(AND(AA682&gt;0,AB682&gt;=Controls!$B$39*AA682),1,0)</f>
        <v>0</v>
      </c>
      <c r="AD682" s="65" t="n">
        <f aca="false">IF(AND(E682&lt;&gt;"",E682&gt;=Controls!$B$37,E682&lt;=Controls!$B$38),1,0)</f>
        <v>1</v>
      </c>
      <c r="AE682" s="65" t="n">
        <f aca="false">IF(IFERROR(VLOOKUP(D682,Controls!$A$64:$E$74,2,FALSE()),"No")="Yes",1,0)</f>
        <v>0</v>
      </c>
      <c r="AF682" s="65" t="n">
        <f aca="false">IF(IFERROR(VLOOKUP(D682,Controls!$A$64:$E$74,3,FALSE()),"No")="Yes",1,0)</f>
        <v>0</v>
      </c>
      <c r="AG682" s="65" t="n">
        <f aca="false">IF(IFERROR(VLOOKUP(D682,Controls!$A$64:$E$74,4,FALSE()),"No")="Yes",1,0)</f>
        <v>0</v>
      </c>
      <c r="AH682" s="65" t="n">
        <f aca="false">IF(IFERROR(VLOOKUP(D682,Controls!$A$64:$E$74,5,FALSE()),"No")="Yes",1,0)</f>
        <v>1</v>
      </c>
      <c r="AI682" s="65" t="n">
        <f aca="false">IF(ISNUMBER(MATCH(D682,Controls!$A$64:$A$74,0)),1,0)</f>
        <v>1</v>
      </c>
      <c r="AJ682" s="65" t="n">
        <f aca="false">Q682-N682</f>
        <v>8934.65</v>
      </c>
      <c r="AK682" s="65" t="n">
        <f aca="false">IF(AE682=1,MAX(0,N682-Q682),0)</f>
        <v>0</v>
      </c>
      <c r="AL682" s="65" t="n">
        <f aca="false">IF(OR(V682="",V682=0),0,N682/V682)</f>
        <v>1.01368661233306</v>
      </c>
      <c r="AM682" s="65" t="n">
        <f aca="false">IF(OR(V682="",V682=0),0,1)</f>
        <v>1</v>
      </c>
      <c r="AN682" s="65" t="n">
        <f aca="false">IF(OR(E682="",F682=""),0,NETWORKDAYS(E682,F682,Ref!$K$2:$K$42))</f>
        <v>118</v>
      </c>
      <c r="AO682" s="65" t="n">
        <f aca="false">IF(L682="Renewal",1,0)</f>
        <v>1</v>
      </c>
      <c r="AP682" s="65" t="n">
        <f aca="false">AC682*AD682</f>
        <v>0</v>
      </c>
      <c r="AQ682" s="65" t="n">
        <f aca="false">IF(AND(G682&lt;&gt;"",'Historical Score'!$C$6&lt;&gt;""),IF(G682='Historical Score'!$C$6,1,0),0)</f>
        <v>0</v>
      </c>
      <c r="AR682" s="65" t="n">
        <f aca="false">IF(AND(L682&lt;&gt;"",'Historical Score'!$C$5&lt;&gt;""),IF(L682='Historical Score'!$C$5,1,0),0)</f>
        <v>0</v>
      </c>
      <c r="AS682" s="65" t="n">
        <f aca="false">IF(AND(Y682&lt;&gt;"",'Historical Score'!$C$7&lt;&gt;""),IF(Y682='Historical Score'!$C$7,1,0),0)</f>
        <v>1</v>
      </c>
      <c r="AT682" s="65" t="n">
        <f aca="false">IF(AND(K682&lt;&gt;"",'Historical Score'!$C$8&lt;&gt;""),IF(K682='Historical Score'!$C$8,1,0),0)</f>
        <v>0</v>
      </c>
      <c r="AU682" s="65" t="n">
        <f aca="false">IF(AND(J682&lt;&gt;"",'Historical Score'!$C$9&lt;&gt;""),IF(J682='Historical Score'!$C$9,1,0),0)</f>
        <v>1</v>
      </c>
      <c r="AV682" s="65" t="n">
        <f aca="false">AR682*AS682*AQ682</f>
        <v>0</v>
      </c>
      <c r="AW682" s="65" t="n">
        <f aca="false">AR682*AT682*AQ682</f>
        <v>0</v>
      </c>
      <c r="AX682" s="65" t="n">
        <f aca="false">AR682*AS682</f>
        <v>0</v>
      </c>
      <c r="AY682" s="65" t="n">
        <f aca="false">AR682*AT682</f>
        <v>0</v>
      </c>
      <c r="AZ682" s="65" t="n">
        <f aca="false">AR682*AQ682</f>
        <v>0</v>
      </c>
      <c r="BA682" s="65" t="n">
        <f aca="false">AR682</f>
        <v>0</v>
      </c>
      <c r="BB682" s="65" t="n">
        <f aca="false">1</f>
        <v>1</v>
      </c>
      <c r="BC682" s="65" t="n">
        <f aca="false">IF(AV682=1,1,IF(AW682=1,2,IF(AX682=1,3,IF(AY682=1,4,IF(AZ682=1,5,IF(BA682=1,6,7))))))</f>
        <v>7</v>
      </c>
      <c r="BD682" s="65" t="n">
        <f aca="false">IF(AD682=1,CHOOSE('Historical Score'!$C$29,AV682,AW682,AX682,AY682,AZ682,BA682,BB682),0)</f>
        <v>0</v>
      </c>
      <c r="BE682" s="65" t="str">
        <f aca="false">IF(BD682=1,COUNTIF($BD$2:BD682,1),"")</f>
        <v/>
      </c>
    </row>
    <row r="683" customFormat="false" ht="15" hidden="false" customHeight="false" outlineLevel="0" collapsed="false">
      <c r="A683" s="65" t="s">
        <v>2287</v>
      </c>
      <c r="B683" s="65" t="s">
        <v>1873</v>
      </c>
      <c r="C683" s="65" t="s">
        <v>1873</v>
      </c>
      <c r="D683" s="65" t="s">
        <v>371</v>
      </c>
      <c r="E683" s="112" t="n">
        <v>46087</v>
      </c>
      <c r="F683" s="112" t="n">
        <v>46213</v>
      </c>
      <c r="G683" s="65" t="n">
        <v>2</v>
      </c>
      <c r="H683" s="65" t="s">
        <v>1646</v>
      </c>
      <c r="I683" s="65" t="s">
        <v>679</v>
      </c>
      <c r="J683" s="65" t="s">
        <v>350</v>
      </c>
      <c r="K683" s="65" t="s">
        <v>961</v>
      </c>
      <c r="L683" s="65" t="s">
        <v>320</v>
      </c>
      <c r="M683" s="113" t="n">
        <v>1.46</v>
      </c>
      <c r="N683" s="114" t="n">
        <v>7500</v>
      </c>
      <c r="O683" s="114" t="n">
        <v>1125</v>
      </c>
      <c r="P683" s="114" t="n">
        <v>10950</v>
      </c>
      <c r="Q683" s="114" t="n">
        <v>10950</v>
      </c>
      <c r="R683" s="114" t="n">
        <v>0</v>
      </c>
      <c r="S683" s="115" t="n">
        <v>1</v>
      </c>
      <c r="T683" s="65" t="n">
        <v>2.951</v>
      </c>
      <c r="U683" s="65" t="n">
        <v>0</v>
      </c>
      <c r="V683" s="65" t="n">
        <v>18156.75</v>
      </c>
      <c r="W683" s="115" t="n">
        <v>0.2517</v>
      </c>
      <c r="X683" s="112" t="n">
        <v>40980</v>
      </c>
      <c r="Y683" s="65" t="str">
        <f aca="false">IF(I683="","No SIC",IFERROR(VLOOKUP(I683,Ref!$A$2:$B$65,2,FALSE()),"Unclassified"))</f>
        <v>Amusement &amp; Recreation Services</v>
      </c>
      <c r="Z683" s="65" t="str">
        <f aca="false">IF(T683="","",IF(T683&lt;12,"Daily","Weekly"))</f>
        <v>Daily</v>
      </c>
      <c r="AA683" s="65" t="n">
        <f aca="false">IF(T683="",0,IF(T683&lt;12,T683*Controls!$B$29,T683*5))</f>
        <v>63.903905</v>
      </c>
      <c r="AB683" s="65" t="n">
        <f aca="false">IF(E683="",0,NETWORKDAYS(E683,Controls!$B$36,Ref!$K$2:$K$42))</f>
        <v>121</v>
      </c>
      <c r="AC683" s="65" t="n">
        <f aca="false">IF(AND(AA683&gt;0,AB683&gt;=Controls!$B$39*AA683),1,0)</f>
        <v>1</v>
      </c>
      <c r="AD683" s="65" t="n">
        <f aca="false">IF(AND(E683&lt;&gt;"",E683&gt;=Controls!$B$37,E683&lt;=Controls!$B$38),1,0)</f>
        <v>1</v>
      </c>
      <c r="AE683" s="65" t="n">
        <f aca="false">IF(IFERROR(VLOOKUP(D683,Controls!$A$64:$E$74,2,FALSE()),"No")="Yes",1,0)</f>
        <v>0</v>
      </c>
      <c r="AF683" s="65" t="n">
        <f aca="false">IF(IFERROR(VLOOKUP(D683,Controls!$A$64:$E$74,3,FALSE()),"No")="Yes",1,0)</f>
        <v>1</v>
      </c>
      <c r="AG683" s="65" t="n">
        <f aca="false">IF(IFERROR(VLOOKUP(D683,Controls!$A$64:$E$74,4,FALSE()),"No")="Yes",1,0)</f>
        <v>1</v>
      </c>
      <c r="AH683" s="65" t="n">
        <f aca="false">IF(IFERROR(VLOOKUP(D683,Controls!$A$64:$E$74,5,FALSE()),"No")="Yes",1,0)</f>
        <v>0</v>
      </c>
      <c r="AI683" s="65" t="n">
        <f aca="false">IF(ISNUMBER(MATCH(D683,Controls!$A$64:$A$74,0)),1,0)</f>
        <v>1</v>
      </c>
      <c r="AJ683" s="65" t="n">
        <f aca="false">Q683-N683</f>
        <v>3450</v>
      </c>
      <c r="AK683" s="65" t="n">
        <f aca="false">IF(AE683=1,MAX(0,N683-Q683),0)</f>
        <v>0</v>
      </c>
      <c r="AL683" s="65" t="n">
        <f aca="false">IF(OR(V683="",V683=0),0,N683/V683)</f>
        <v>0.413069519600149</v>
      </c>
      <c r="AM683" s="65" t="n">
        <f aca="false">IF(OR(V683="",V683=0),0,1)</f>
        <v>1</v>
      </c>
      <c r="AN683" s="65" t="n">
        <f aca="false">IF(OR(E683="",F683=""),0,NETWORKDAYS(E683,F683,Ref!$K$2:$K$42))</f>
        <v>89</v>
      </c>
      <c r="AO683" s="65" t="n">
        <f aca="false">IF(L683="Renewal",1,0)</f>
        <v>1</v>
      </c>
      <c r="AP683" s="65" t="n">
        <f aca="false">AC683*AD683</f>
        <v>1</v>
      </c>
      <c r="AQ683" s="65" t="n">
        <f aca="false">IF(AND(G683&lt;&gt;"",'Historical Score'!$C$6&lt;&gt;""),IF(G683='Historical Score'!$C$6,1,0),0)</f>
        <v>1</v>
      </c>
      <c r="AR683" s="65" t="n">
        <f aca="false">IF(AND(L683&lt;&gt;"",'Historical Score'!$C$5&lt;&gt;""),IF(L683='Historical Score'!$C$5,1,0),0)</f>
        <v>0</v>
      </c>
      <c r="AS683" s="65" t="n">
        <f aca="false">IF(AND(Y683&lt;&gt;"",'Historical Score'!$C$7&lt;&gt;""),IF(Y683='Historical Score'!$C$7,1,0),0)</f>
        <v>0</v>
      </c>
      <c r="AT683" s="65" t="n">
        <f aca="false">IF(AND(K683&lt;&gt;"",'Historical Score'!$C$8&lt;&gt;""),IF(K683='Historical Score'!$C$8,1,0),0)</f>
        <v>0</v>
      </c>
      <c r="AU683" s="65" t="n">
        <f aca="false">IF(AND(J683&lt;&gt;"",'Historical Score'!$C$9&lt;&gt;""),IF(J683='Historical Score'!$C$9,1,0),0)</f>
        <v>0</v>
      </c>
      <c r="AV683" s="65" t="n">
        <f aca="false">AR683*AS683*AQ683</f>
        <v>0</v>
      </c>
      <c r="AW683" s="65" t="n">
        <f aca="false">AR683*AT683*AQ683</f>
        <v>0</v>
      </c>
      <c r="AX683" s="65" t="n">
        <f aca="false">AR683*AS683</f>
        <v>0</v>
      </c>
      <c r="AY683" s="65" t="n">
        <f aca="false">AR683*AT683</f>
        <v>0</v>
      </c>
      <c r="AZ683" s="65" t="n">
        <f aca="false">AR683*AQ683</f>
        <v>0</v>
      </c>
      <c r="BA683" s="65" t="n">
        <f aca="false">AR683</f>
        <v>0</v>
      </c>
      <c r="BB683" s="65" t="n">
        <f aca="false">1</f>
        <v>1</v>
      </c>
      <c r="BC683" s="65" t="n">
        <f aca="false">IF(AV683=1,1,IF(AW683=1,2,IF(AX683=1,3,IF(AY683=1,4,IF(AZ683=1,5,IF(BA683=1,6,7))))))</f>
        <v>7</v>
      </c>
      <c r="BD683" s="65" t="n">
        <f aca="false">IF(AD683=1,CHOOSE('Historical Score'!$C$29,AV683,AW683,AX683,AY683,AZ683,BA683,BB683),0)</f>
        <v>0</v>
      </c>
      <c r="BE683" s="65" t="str">
        <f aca="false">IF(BD683=1,COUNTIF($BD$2:BD683,1),"")</f>
        <v/>
      </c>
    </row>
    <row r="684" customFormat="false" ht="15" hidden="false" customHeight="false" outlineLevel="0" collapsed="false">
      <c r="A684" s="65" t="s">
        <v>2288</v>
      </c>
      <c r="B684" s="65" t="s">
        <v>2289</v>
      </c>
      <c r="C684" s="65" t="s">
        <v>2289</v>
      </c>
      <c r="D684" s="65" t="s">
        <v>295</v>
      </c>
      <c r="E684" s="112" t="n">
        <v>46087</v>
      </c>
      <c r="F684" s="112" t="n">
        <v>46248</v>
      </c>
      <c r="G684" s="65" t="n">
        <v>3</v>
      </c>
      <c r="H684" s="65" t="s">
        <v>1477</v>
      </c>
      <c r="I684" s="65" t="s">
        <v>1478</v>
      </c>
      <c r="J684" s="65" t="s">
        <v>649</v>
      </c>
      <c r="K684" s="65" t="s">
        <v>581</v>
      </c>
      <c r="L684" s="65" t="s">
        <v>64</v>
      </c>
      <c r="M684" s="113" t="n">
        <v>1.49</v>
      </c>
      <c r="N684" s="114" t="n">
        <v>20000</v>
      </c>
      <c r="O684" s="114" t="n">
        <v>2800</v>
      </c>
      <c r="P684" s="114" t="n">
        <v>29800</v>
      </c>
      <c r="Q684" s="114" t="n">
        <v>20273.69</v>
      </c>
      <c r="R684" s="114" t="n">
        <v>9526.31</v>
      </c>
      <c r="S684" s="115" t="n">
        <v>0.680325167785235</v>
      </c>
      <c r="T684" s="65" t="n">
        <v>25</v>
      </c>
      <c r="U684" s="65" t="n">
        <v>6</v>
      </c>
      <c r="V684" s="65" t="n">
        <v>62032.38</v>
      </c>
      <c r="W684" s="115" t="n">
        <v>0.0769</v>
      </c>
      <c r="X684" s="112" t="n">
        <v>44459</v>
      </c>
      <c r="Y684" s="65" t="str">
        <f aca="false">IF(I684="","No SIC",IFERROR(VLOOKUP(I684,Ref!$A$2:$B$65,2,FALSE()),"Unclassified"))</f>
        <v>Educational Services</v>
      </c>
      <c r="Z684" s="65" t="str">
        <f aca="false">IF(T684="","",IF(T684&lt;12,"Daily","Weekly"))</f>
        <v>Weekly</v>
      </c>
      <c r="AA684" s="65" t="n">
        <f aca="false">IF(T684="",0,IF(T684&lt;12,T684*Controls!$B$29,T684*5))</f>
        <v>125</v>
      </c>
      <c r="AB684" s="65" t="n">
        <f aca="false">IF(E684="",0,NETWORKDAYS(E684,Controls!$B$36,Ref!$K$2:$K$42))</f>
        <v>121</v>
      </c>
      <c r="AC684" s="65" t="n">
        <f aca="false">IF(AND(AA684&gt;0,AB684&gt;=Controls!$B$39*AA684),1,0)</f>
        <v>0</v>
      </c>
      <c r="AD684" s="65" t="n">
        <f aca="false">IF(AND(E684&lt;&gt;"",E684&gt;=Controls!$B$37,E684&lt;=Controls!$B$38),1,0)</f>
        <v>1</v>
      </c>
      <c r="AE684" s="65" t="n">
        <f aca="false">IF(IFERROR(VLOOKUP(D684,Controls!$A$64:$E$74,2,FALSE()),"No")="Yes",1,0)</f>
        <v>0</v>
      </c>
      <c r="AF684" s="65" t="n">
        <f aca="false">IF(IFERROR(VLOOKUP(D684,Controls!$A$64:$E$74,3,FALSE()),"No")="Yes",1,0)</f>
        <v>0</v>
      </c>
      <c r="AG684" s="65" t="n">
        <f aca="false">IF(IFERROR(VLOOKUP(D684,Controls!$A$64:$E$74,4,FALSE()),"No")="Yes",1,0)</f>
        <v>0</v>
      </c>
      <c r="AH684" s="65" t="n">
        <f aca="false">IF(IFERROR(VLOOKUP(D684,Controls!$A$64:$E$74,5,FALSE()),"No")="Yes",1,0)</f>
        <v>1</v>
      </c>
      <c r="AI684" s="65" t="n">
        <f aca="false">IF(ISNUMBER(MATCH(D684,Controls!$A$64:$A$74,0)),1,0)</f>
        <v>1</v>
      </c>
      <c r="AJ684" s="65" t="n">
        <f aca="false">Q684-N684</f>
        <v>273.689999999999</v>
      </c>
      <c r="AK684" s="65" t="n">
        <f aca="false">IF(AE684=1,MAX(0,N684-Q684),0)</f>
        <v>0</v>
      </c>
      <c r="AL684" s="65" t="n">
        <f aca="false">IF(OR(V684="",V684=0),0,N684/V684)</f>
        <v>0.322412262756967</v>
      </c>
      <c r="AM684" s="65" t="n">
        <f aca="false">IF(OR(V684="",V684=0),0,1)</f>
        <v>1</v>
      </c>
      <c r="AN684" s="65" t="n">
        <f aca="false">IF(OR(E684="",F684=""),0,NETWORKDAYS(E684,F684,Ref!$K$2:$K$42))</f>
        <v>114</v>
      </c>
      <c r="AO684" s="65" t="n">
        <f aca="false">IF(L684="Renewal",1,0)</f>
        <v>0</v>
      </c>
      <c r="AP684" s="65" t="n">
        <f aca="false">AC684*AD684</f>
        <v>0</v>
      </c>
      <c r="AQ684" s="65" t="n">
        <f aca="false">IF(AND(G684&lt;&gt;"",'Historical Score'!$C$6&lt;&gt;""),IF(G684='Historical Score'!$C$6,1,0),0)</f>
        <v>0</v>
      </c>
      <c r="AR684" s="65" t="n">
        <f aca="false">IF(AND(L684&lt;&gt;"",'Historical Score'!$C$5&lt;&gt;""),IF(L684='Historical Score'!$C$5,1,0),0)</f>
        <v>1</v>
      </c>
      <c r="AS684" s="65" t="n">
        <f aca="false">IF(AND(Y684&lt;&gt;"",'Historical Score'!$C$7&lt;&gt;""),IF(Y684='Historical Score'!$C$7,1,0),0)</f>
        <v>0</v>
      </c>
      <c r="AT684" s="65" t="n">
        <f aca="false">IF(AND(K684&lt;&gt;"",'Historical Score'!$C$8&lt;&gt;""),IF(K684='Historical Score'!$C$8,1,0),0)</f>
        <v>0</v>
      </c>
      <c r="AU684" s="65" t="n">
        <f aca="false">IF(AND(J684&lt;&gt;"",'Historical Score'!$C$9&lt;&gt;""),IF(J684='Historical Score'!$C$9,1,0),0)</f>
        <v>0</v>
      </c>
      <c r="AV684" s="65" t="n">
        <f aca="false">AR684*AS684*AQ684</f>
        <v>0</v>
      </c>
      <c r="AW684" s="65" t="n">
        <f aca="false">AR684*AT684*AQ684</f>
        <v>0</v>
      </c>
      <c r="AX684" s="65" t="n">
        <f aca="false">AR684*AS684</f>
        <v>0</v>
      </c>
      <c r="AY684" s="65" t="n">
        <f aca="false">AR684*AT684</f>
        <v>0</v>
      </c>
      <c r="AZ684" s="65" t="n">
        <f aca="false">AR684*AQ684</f>
        <v>0</v>
      </c>
      <c r="BA684" s="65" t="n">
        <f aca="false">AR684</f>
        <v>1</v>
      </c>
      <c r="BB684" s="65" t="n">
        <f aca="false">1</f>
        <v>1</v>
      </c>
      <c r="BC684" s="65" t="n">
        <f aca="false">IF(AV684=1,1,IF(AW684=1,2,IF(AX684=1,3,IF(AY684=1,4,IF(AZ684=1,5,IF(BA684=1,6,7))))))</f>
        <v>6</v>
      </c>
      <c r="BD684" s="65" t="n">
        <f aca="false">IF(AD684=1,CHOOSE('Historical Score'!$C$29,AV684,AW684,AX684,AY684,AZ684,BA684,BB684),0)</f>
        <v>0</v>
      </c>
      <c r="BE684" s="65" t="str">
        <f aca="false">IF(BD684=1,COUNTIF($BD$2:BD684,1),"")</f>
        <v/>
      </c>
    </row>
    <row r="685" customFormat="false" ht="15" hidden="false" customHeight="false" outlineLevel="0" collapsed="false">
      <c r="A685" s="65" t="s">
        <v>2290</v>
      </c>
      <c r="B685" s="65" t="s">
        <v>2291</v>
      </c>
      <c r="C685" s="65" t="s">
        <v>2292</v>
      </c>
      <c r="D685" s="65" t="s">
        <v>371</v>
      </c>
      <c r="E685" s="112" t="n">
        <v>46087</v>
      </c>
      <c r="F685" s="112" t="n">
        <v>46199</v>
      </c>
      <c r="G685" s="65" t="n">
        <v>2</v>
      </c>
      <c r="H685" s="65" t="s">
        <v>409</v>
      </c>
      <c r="I685" s="65" t="s">
        <v>342</v>
      </c>
      <c r="J685" s="65" t="s">
        <v>452</v>
      </c>
      <c r="K685" s="65" t="s">
        <v>1529</v>
      </c>
      <c r="L685" s="65" t="s">
        <v>64</v>
      </c>
      <c r="M685" s="113" t="n">
        <v>1.49</v>
      </c>
      <c r="N685" s="114" t="n">
        <v>15000</v>
      </c>
      <c r="O685" s="114" t="n">
        <v>2100</v>
      </c>
      <c r="P685" s="114" t="n">
        <v>22350</v>
      </c>
      <c r="Q685" s="114" t="n">
        <v>22350</v>
      </c>
      <c r="R685" s="114" t="n">
        <v>0</v>
      </c>
      <c r="S685" s="115" t="n">
        <v>1</v>
      </c>
      <c r="T685" s="65" t="n">
        <v>24</v>
      </c>
      <c r="U685" s="65" t="n">
        <v>1</v>
      </c>
      <c r="V685" s="65" t="n">
        <v>61925.3</v>
      </c>
      <c r="W685" s="115" t="n">
        <v>0.0602</v>
      </c>
      <c r="X685" s="112"/>
      <c r="Y685" s="65" t="str">
        <f aca="false">IF(I685="","No SIC",IFERROR(VLOOKUP(I685,Ref!$A$2:$B$65,2,FALSE()),"Unclassified"))</f>
        <v>Eating &amp; Drinking Places</v>
      </c>
      <c r="Z685" s="65" t="str">
        <f aca="false">IF(T685="","",IF(T685&lt;12,"Daily","Weekly"))</f>
        <v>Weekly</v>
      </c>
      <c r="AA685" s="65" t="n">
        <f aca="false">IF(T685="",0,IF(T685&lt;12,T685*Controls!$B$29,T685*5))</f>
        <v>120</v>
      </c>
      <c r="AB685" s="65" t="n">
        <f aca="false">IF(E685="",0,NETWORKDAYS(E685,Controls!$B$36,Ref!$K$2:$K$42))</f>
        <v>121</v>
      </c>
      <c r="AC685" s="65" t="n">
        <f aca="false">IF(AND(AA685&gt;0,AB685&gt;=Controls!$B$39*AA685),1,0)</f>
        <v>0</v>
      </c>
      <c r="AD685" s="65" t="n">
        <f aca="false">IF(AND(E685&lt;&gt;"",E685&gt;=Controls!$B$37,E685&lt;=Controls!$B$38),1,0)</f>
        <v>1</v>
      </c>
      <c r="AE685" s="65" t="n">
        <f aca="false">IF(IFERROR(VLOOKUP(D685,Controls!$A$64:$E$74,2,FALSE()),"No")="Yes",1,0)</f>
        <v>0</v>
      </c>
      <c r="AF685" s="65" t="n">
        <f aca="false">IF(IFERROR(VLOOKUP(D685,Controls!$A$64:$E$74,3,FALSE()),"No")="Yes",1,0)</f>
        <v>1</v>
      </c>
      <c r="AG685" s="65" t="n">
        <f aca="false">IF(IFERROR(VLOOKUP(D685,Controls!$A$64:$E$74,4,FALSE()),"No")="Yes",1,0)</f>
        <v>1</v>
      </c>
      <c r="AH685" s="65" t="n">
        <f aca="false">IF(IFERROR(VLOOKUP(D685,Controls!$A$64:$E$74,5,FALSE()),"No")="Yes",1,0)</f>
        <v>0</v>
      </c>
      <c r="AI685" s="65" t="n">
        <f aca="false">IF(ISNUMBER(MATCH(D685,Controls!$A$64:$A$74,0)),1,0)</f>
        <v>1</v>
      </c>
      <c r="AJ685" s="65" t="n">
        <f aca="false">Q685-N685</f>
        <v>7350</v>
      </c>
      <c r="AK685" s="65" t="n">
        <f aca="false">IF(AE685=1,MAX(0,N685-Q685),0)</f>
        <v>0</v>
      </c>
      <c r="AL685" s="65" t="n">
        <f aca="false">IF(OR(V685="",V685=0),0,N685/V685)</f>
        <v>0.242227328733167</v>
      </c>
      <c r="AM685" s="65" t="n">
        <f aca="false">IF(OR(V685="",V685=0),0,1)</f>
        <v>1</v>
      </c>
      <c r="AN685" s="65" t="n">
        <f aca="false">IF(OR(E685="",F685=""),0,NETWORKDAYS(E685,F685,Ref!$K$2:$K$42))</f>
        <v>79</v>
      </c>
      <c r="AO685" s="65" t="n">
        <f aca="false">IF(L685="Renewal",1,0)</f>
        <v>0</v>
      </c>
      <c r="AP685" s="65" t="n">
        <f aca="false">AC685*AD685</f>
        <v>0</v>
      </c>
      <c r="AQ685" s="65" t="n">
        <f aca="false">IF(AND(G685&lt;&gt;"",'Historical Score'!$C$6&lt;&gt;""),IF(G685='Historical Score'!$C$6,1,0),0)</f>
        <v>1</v>
      </c>
      <c r="AR685" s="65" t="n">
        <f aca="false">IF(AND(L685&lt;&gt;"",'Historical Score'!$C$5&lt;&gt;""),IF(L685='Historical Score'!$C$5,1,0),0)</f>
        <v>1</v>
      </c>
      <c r="AS685" s="65" t="n">
        <f aca="false">IF(AND(Y685&lt;&gt;"",'Historical Score'!$C$7&lt;&gt;""),IF(Y685='Historical Score'!$C$7,1,0),0)</f>
        <v>0</v>
      </c>
      <c r="AT685" s="65" t="n">
        <f aca="false">IF(AND(K685&lt;&gt;"",'Historical Score'!$C$8&lt;&gt;""),IF(K685='Historical Score'!$C$8,1,0),0)</f>
        <v>0</v>
      </c>
      <c r="AU685" s="65" t="n">
        <f aca="false">IF(AND(J685&lt;&gt;"",'Historical Score'!$C$9&lt;&gt;""),IF(J685='Historical Score'!$C$9,1,0),0)</f>
        <v>0</v>
      </c>
      <c r="AV685" s="65" t="n">
        <f aca="false">AR685*AS685*AQ685</f>
        <v>0</v>
      </c>
      <c r="AW685" s="65" t="n">
        <f aca="false">AR685*AT685*AQ685</f>
        <v>0</v>
      </c>
      <c r="AX685" s="65" t="n">
        <f aca="false">AR685*AS685</f>
        <v>0</v>
      </c>
      <c r="AY685" s="65" t="n">
        <f aca="false">AR685*AT685</f>
        <v>0</v>
      </c>
      <c r="AZ685" s="65" t="n">
        <f aca="false">AR685*AQ685</f>
        <v>1</v>
      </c>
      <c r="BA685" s="65" t="n">
        <f aca="false">AR685</f>
        <v>1</v>
      </c>
      <c r="BB685" s="65" t="n">
        <f aca="false">1</f>
        <v>1</v>
      </c>
      <c r="BC685" s="65" t="n">
        <f aca="false">IF(AV685=1,1,IF(AW685=1,2,IF(AX685=1,3,IF(AY685=1,4,IF(AZ685=1,5,IF(BA685=1,6,7))))))</f>
        <v>5</v>
      </c>
      <c r="BD685" s="65" t="n">
        <f aca="false">IF(AD685=1,CHOOSE('Historical Score'!$C$29,AV685,AW685,AX685,AY685,AZ685,BA685,BB685),0)</f>
        <v>0</v>
      </c>
      <c r="BE685" s="65" t="str">
        <f aca="false">IF(BD685=1,COUNTIF($BD$2:BD685,1),"")</f>
        <v/>
      </c>
    </row>
    <row r="686" customFormat="false" ht="15" hidden="false" customHeight="false" outlineLevel="0" collapsed="false">
      <c r="A686" s="65" t="s">
        <v>2293</v>
      </c>
      <c r="B686" s="65" t="s">
        <v>1351</v>
      </c>
      <c r="C686" s="65" t="s">
        <v>1351</v>
      </c>
      <c r="D686" s="65" t="s">
        <v>371</v>
      </c>
      <c r="E686" s="112" t="n">
        <v>46090</v>
      </c>
      <c r="F686" s="112" t="n">
        <v>46211</v>
      </c>
      <c r="G686" s="65" t="n">
        <v>2</v>
      </c>
      <c r="H686" s="65" t="s">
        <v>2294</v>
      </c>
      <c r="I686" s="65" t="s">
        <v>703</v>
      </c>
      <c r="J686" s="65" t="s">
        <v>410</v>
      </c>
      <c r="K686" s="65" t="s">
        <v>961</v>
      </c>
      <c r="L686" s="65" t="s">
        <v>320</v>
      </c>
      <c r="M686" s="113" t="n">
        <v>1.46</v>
      </c>
      <c r="N686" s="114" t="n">
        <v>150000</v>
      </c>
      <c r="O686" s="114" t="n">
        <v>22500</v>
      </c>
      <c r="P686" s="114" t="n">
        <v>219000</v>
      </c>
      <c r="Q686" s="114" t="n">
        <v>219000</v>
      </c>
      <c r="R686" s="114" t="n">
        <v>0</v>
      </c>
      <c r="S686" s="115" t="n">
        <v>1</v>
      </c>
      <c r="T686" s="65" t="n">
        <v>38</v>
      </c>
      <c r="U686" s="65" t="n">
        <v>0</v>
      </c>
      <c r="V686" s="65" t="n">
        <v>356120.58</v>
      </c>
      <c r="W686" s="115" t="n">
        <v>0.0647</v>
      </c>
      <c r="X686" s="112" t="n">
        <v>43945</v>
      </c>
      <c r="Y686" s="65" t="str">
        <f aca="false">IF(I686="","No SIC",IFERROR(VLOOKUP(I686,Ref!$A$2:$B$65,2,FALSE()),"Unclassified"))</f>
        <v>Wholesale Trade - Nondurable Goods</v>
      </c>
      <c r="Z686" s="65" t="str">
        <f aca="false">IF(T686="","",IF(T686&lt;12,"Daily","Weekly"))</f>
        <v>Weekly</v>
      </c>
      <c r="AA686" s="65" t="n">
        <f aca="false">IF(T686="",0,IF(T686&lt;12,T686*Controls!$B$29,T686*5))</f>
        <v>190</v>
      </c>
      <c r="AB686" s="65" t="n">
        <f aca="false">IF(E686="",0,NETWORKDAYS(E686,Controls!$B$36,Ref!$K$2:$K$42))</f>
        <v>120</v>
      </c>
      <c r="AC686" s="65" t="n">
        <f aca="false">IF(AND(AA686&gt;0,AB686&gt;=Controls!$B$39*AA686),1,0)</f>
        <v>0</v>
      </c>
      <c r="AD686" s="65" t="n">
        <f aca="false">IF(AND(E686&lt;&gt;"",E686&gt;=Controls!$B$37,E686&lt;=Controls!$B$38),1,0)</f>
        <v>1</v>
      </c>
      <c r="AE686" s="65" t="n">
        <f aca="false">IF(IFERROR(VLOOKUP(D686,Controls!$A$64:$E$74,2,FALSE()),"No")="Yes",1,0)</f>
        <v>0</v>
      </c>
      <c r="AF686" s="65" t="n">
        <f aca="false">IF(IFERROR(VLOOKUP(D686,Controls!$A$64:$E$74,3,FALSE()),"No")="Yes",1,0)</f>
        <v>1</v>
      </c>
      <c r="AG686" s="65" t="n">
        <f aca="false">IF(IFERROR(VLOOKUP(D686,Controls!$A$64:$E$74,4,FALSE()),"No")="Yes",1,0)</f>
        <v>1</v>
      </c>
      <c r="AH686" s="65" t="n">
        <f aca="false">IF(IFERROR(VLOOKUP(D686,Controls!$A$64:$E$74,5,FALSE()),"No")="Yes",1,0)</f>
        <v>0</v>
      </c>
      <c r="AI686" s="65" t="n">
        <f aca="false">IF(ISNUMBER(MATCH(D686,Controls!$A$64:$A$74,0)),1,0)</f>
        <v>1</v>
      </c>
      <c r="AJ686" s="65" t="n">
        <f aca="false">Q686-N686</f>
        <v>69000</v>
      </c>
      <c r="AK686" s="65" t="n">
        <f aca="false">IF(AE686=1,MAX(0,N686-Q686),0)</f>
        <v>0</v>
      </c>
      <c r="AL686" s="65" t="n">
        <f aca="false">IF(OR(V686="",V686=0),0,N686/V686)</f>
        <v>0.421205648940592</v>
      </c>
      <c r="AM686" s="65" t="n">
        <f aca="false">IF(OR(V686="",V686=0),0,1)</f>
        <v>1</v>
      </c>
      <c r="AN686" s="65" t="n">
        <f aca="false">IF(OR(E686="",F686=""),0,NETWORKDAYS(E686,F686,Ref!$K$2:$K$42))</f>
        <v>86</v>
      </c>
      <c r="AO686" s="65" t="n">
        <f aca="false">IF(L686="Renewal",1,0)</f>
        <v>1</v>
      </c>
      <c r="AP686" s="65" t="n">
        <f aca="false">AC686*AD686</f>
        <v>0</v>
      </c>
      <c r="AQ686" s="65" t="n">
        <f aca="false">IF(AND(G686&lt;&gt;"",'Historical Score'!$C$6&lt;&gt;""),IF(G686='Historical Score'!$C$6,1,0),0)</f>
        <v>1</v>
      </c>
      <c r="AR686" s="65" t="n">
        <f aca="false">IF(AND(L686&lt;&gt;"",'Historical Score'!$C$5&lt;&gt;""),IF(L686='Historical Score'!$C$5,1,0),0)</f>
        <v>0</v>
      </c>
      <c r="AS686" s="65" t="n">
        <f aca="false">IF(AND(Y686&lt;&gt;"",'Historical Score'!$C$7&lt;&gt;""),IF(Y686='Historical Score'!$C$7,1,0),0)</f>
        <v>0</v>
      </c>
      <c r="AT686" s="65" t="n">
        <f aca="false">IF(AND(K686&lt;&gt;"",'Historical Score'!$C$8&lt;&gt;""),IF(K686='Historical Score'!$C$8,1,0),0)</f>
        <v>0</v>
      </c>
      <c r="AU686" s="65" t="n">
        <f aca="false">IF(AND(J686&lt;&gt;"",'Historical Score'!$C$9&lt;&gt;""),IF(J686='Historical Score'!$C$9,1,0),0)</f>
        <v>0</v>
      </c>
      <c r="AV686" s="65" t="n">
        <f aca="false">AR686*AS686*AQ686</f>
        <v>0</v>
      </c>
      <c r="AW686" s="65" t="n">
        <f aca="false">AR686*AT686*AQ686</f>
        <v>0</v>
      </c>
      <c r="AX686" s="65" t="n">
        <f aca="false">AR686*AS686</f>
        <v>0</v>
      </c>
      <c r="AY686" s="65" t="n">
        <f aca="false">AR686*AT686</f>
        <v>0</v>
      </c>
      <c r="AZ686" s="65" t="n">
        <f aca="false">AR686*AQ686</f>
        <v>0</v>
      </c>
      <c r="BA686" s="65" t="n">
        <f aca="false">AR686</f>
        <v>0</v>
      </c>
      <c r="BB686" s="65" t="n">
        <f aca="false">1</f>
        <v>1</v>
      </c>
      <c r="BC686" s="65" t="n">
        <f aca="false">IF(AV686=1,1,IF(AW686=1,2,IF(AX686=1,3,IF(AY686=1,4,IF(AZ686=1,5,IF(BA686=1,6,7))))))</f>
        <v>7</v>
      </c>
      <c r="BD686" s="65" t="n">
        <f aca="false">IF(AD686=1,CHOOSE('Historical Score'!$C$29,AV686,AW686,AX686,AY686,AZ686,BA686,BB686),0)</f>
        <v>0</v>
      </c>
      <c r="BE686" s="65" t="str">
        <f aca="false">IF(BD686=1,COUNTIF($BD$2:BD686,1),"")</f>
        <v/>
      </c>
    </row>
    <row r="687" customFormat="false" ht="15" hidden="false" customHeight="false" outlineLevel="0" collapsed="false">
      <c r="A687" s="65" t="s">
        <v>2295</v>
      </c>
      <c r="B687" s="65" t="s">
        <v>2296</v>
      </c>
      <c r="C687" s="65" t="s">
        <v>2296</v>
      </c>
      <c r="D687" s="65" t="s">
        <v>340</v>
      </c>
      <c r="E687" s="112" t="n">
        <v>46090</v>
      </c>
      <c r="F687" s="112" t="n">
        <v>46141</v>
      </c>
      <c r="G687" s="65" t="n">
        <v>3</v>
      </c>
      <c r="H687" s="65" t="s">
        <v>2297</v>
      </c>
      <c r="I687" s="65" t="s">
        <v>437</v>
      </c>
      <c r="J687" s="65" t="s">
        <v>420</v>
      </c>
      <c r="K687" s="65" t="s">
        <v>55</v>
      </c>
      <c r="L687" s="65" t="s">
        <v>64</v>
      </c>
      <c r="M687" s="113" t="n">
        <v>1.49</v>
      </c>
      <c r="N687" s="114" t="n">
        <v>25000</v>
      </c>
      <c r="O687" s="114" t="n">
        <v>3500</v>
      </c>
      <c r="P687" s="114" t="n">
        <v>37250</v>
      </c>
      <c r="Q687" s="114" t="n">
        <v>6702.84</v>
      </c>
      <c r="R687" s="114" t="n">
        <v>30547.16</v>
      </c>
      <c r="S687" s="115" t="n">
        <v>0.179942013422819</v>
      </c>
      <c r="T687" s="65" t="n">
        <v>3.279</v>
      </c>
      <c r="U687" s="65" t="n">
        <v>17</v>
      </c>
      <c r="V687" s="65" t="n">
        <v>80000</v>
      </c>
      <c r="W687" s="115" t="n">
        <v>0.092</v>
      </c>
      <c r="X687" s="112" t="n">
        <v>43838</v>
      </c>
      <c r="Y687" s="65" t="str">
        <f aca="false">IF(I687="","No SIC",IFERROR(VLOOKUP(I687,Ref!$A$2:$B$65,2,FALSE()),"Unclassified"))</f>
        <v>Social Services</v>
      </c>
      <c r="Z687" s="65" t="str">
        <f aca="false">IF(T687="","",IF(T687&lt;12,"Daily","Weekly"))</f>
        <v>Daily</v>
      </c>
      <c r="AA687" s="65" t="n">
        <f aca="false">IF(T687="",0,IF(T687&lt;12,T687*Controls!$B$29,T687*5))</f>
        <v>71.006745</v>
      </c>
      <c r="AB687" s="65" t="n">
        <f aca="false">IF(E687="",0,NETWORKDAYS(E687,Controls!$B$36,Ref!$K$2:$K$42))</f>
        <v>120</v>
      </c>
      <c r="AC687" s="65" t="n">
        <f aca="false">IF(AND(AA687&gt;0,AB687&gt;=Controls!$B$39*AA687),1,0)</f>
        <v>1</v>
      </c>
      <c r="AD687" s="65" t="n">
        <f aca="false">IF(AND(E687&lt;&gt;"",E687&gt;=Controls!$B$37,E687&lt;=Controls!$B$38),1,0)</f>
        <v>1</v>
      </c>
      <c r="AE687" s="65" t="n">
        <f aca="false">IF(IFERROR(VLOOKUP(D687,Controls!$A$64:$E$74,2,FALSE()),"No")="Yes",1,0)</f>
        <v>1</v>
      </c>
      <c r="AF687" s="65" t="n">
        <f aca="false">IF(IFERROR(VLOOKUP(D687,Controls!$A$64:$E$74,3,FALSE()),"No")="Yes",1,0)</f>
        <v>0</v>
      </c>
      <c r="AG687" s="65" t="n">
        <f aca="false">IF(IFERROR(VLOOKUP(D687,Controls!$A$64:$E$74,4,FALSE()),"No")="Yes",1,0)</f>
        <v>0</v>
      </c>
      <c r="AH687" s="65" t="n">
        <f aca="false">IF(IFERROR(VLOOKUP(D687,Controls!$A$64:$E$74,5,FALSE()),"No")="Yes",1,0)</f>
        <v>0</v>
      </c>
      <c r="AI687" s="65" t="n">
        <f aca="false">IF(ISNUMBER(MATCH(D687,Controls!$A$64:$A$74,0)),1,0)</f>
        <v>1</v>
      </c>
      <c r="AJ687" s="65" t="n">
        <f aca="false">Q687-N687</f>
        <v>-18297.16</v>
      </c>
      <c r="AK687" s="65" t="n">
        <f aca="false">IF(AE687=1,MAX(0,N687-Q687),0)</f>
        <v>18297.16</v>
      </c>
      <c r="AL687" s="65" t="n">
        <f aca="false">IF(OR(V687="",V687=0),0,N687/V687)</f>
        <v>0.3125</v>
      </c>
      <c r="AM687" s="65" t="n">
        <f aca="false">IF(OR(V687="",V687=0),0,1)</f>
        <v>1</v>
      </c>
      <c r="AN687" s="65" t="n">
        <f aca="false">IF(OR(E687="",F687=""),0,NETWORKDAYS(E687,F687,Ref!$K$2:$K$42))</f>
        <v>38</v>
      </c>
      <c r="AO687" s="65" t="n">
        <f aca="false">IF(L687="Renewal",1,0)</f>
        <v>0</v>
      </c>
      <c r="AP687" s="65" t="n">
        <f aca="false">AC687*AD687</f>
        <v>1</v>
      </c>
      <c r="AQ687" s="65" t="n">
        <f aca="false">IF(AND(G687&lt;&gt;"",'Historical Score'!$C$6&lt;&gt;""),IF(G687='Historical Score'!$C$6,1,0),0)</f>
        <v>0</v>
      </c>
      <c r="AR687" s="65" t="n">
        <f aca="false">IF(AND(L687&lt;&gt;"",'Historical Score'!$C$5&lt;&gt;""),IF(L687='Historical Score'!$C$5,1,0),0)</f>
        <v>1</v>
      </c>
      <c r="AS687" s="65" t="n">
        <f aca="false">IF(AND(Y687&lt;&gt;"",'Historical Score'!$C$7&lt;&gt;""),IF(Y687='Historical Score'!$C$7,1,0),0)</f>
        <v>0</v>
      </c>
      <c r="AT687" s="65" t="n">
        <f aca="false">IF(AND(K687&lt;&gt;"",'Historical Score'!$C$8&lt;&gt;""),IF(K687='Historical Score'!$C$8,1,0),0)</f>
        <v>1</v>
      </c>
      <c r="AU687" s="65" t="n">
        <f aca="false">IF(AND(J687&lt;&gt;"",'Historical Score'!$C$9&lt;&gt;""),IF(J687='Historical Score'!$C$9,1,0),0)</f>
        <v>0</v>
      </c>
      <c r="AV687" s="65" t="n">
        <f aca="false">AR687*AS687*AQ687</f>
        <v>0</v>
      </c>
      <c r="AW687" s="65" t="n">
        <f aca="false">AR687*AT687*AQ687</f>
        <v>0</v>
      </c>
      <c r="AX687" s="65" t="n">
        <f aca="false">AR687*AS687</f>
        <v>0</v>
      </c>
      <c r="AY687" s="65" t="n">
        <f aca="false">AR687*AT687</f>
        <v>1</v>
      </c>
      <c r="AZ687" s="65" t="n">
        <f aca="false">AR687*AQ687</f>
        <v>0</v>
      </c>
      <c r="BA687" s="65" t="n">
        <f aca="false">AR687</f>
        <v>1</v>
      </c>
      <c r="BB687" s="65" t="n">
        <f aca="false">1</f>
        <v>1</v>
      </c>
      <c r="BC687" s="65" t="n">
        <f aca="false">IF(AV687=1,1,IF(AW687=1,2,IF(AX687=1,3,IF(AY687=1,4,IF(AZ687=1,5,IF(BA687=1,6,7))))))</f>
        <v>4</v>
      </c>
      <c r="BD687" s="65" t="n">
        <f aca="false">IF(AD687=1,CHOOSE('Historical Score'!$C$29,AV687,AW687,AX687,AY687,AZ687,BA687,BB687),0)</f>
        <v>0</v>
      </c>
      <c r="BE687" s="65" t="str">
        <f aca="false">IF(BD687=1,COUNTIF($BD$2:BD687,1),"")</f>
        <v/>
      </c>
    </row>
    <row r="688" customFormat="false" ht="15" hidden="false" customHeight="false" outlineLevel="0" collapsed="false">
      <c r="A688" s="65" t="s">
        <v>2298</v>
      </c>
      <c r="B688" s="65" t="s">
        <v>2299</v>
      </c>
      <c r="C688" s="65" t="s">
        <v>2300</v>
      </c>
      <c r="D688" s="65" t="s">
        <v>295</v>
      </c>
      <c r="E688" s="112" t="n">
        <v>46090</v>
      </c>
      <c r="F688" s="112" t="n">
        <v>46251</v>
      </c>
      <c r="G688" s="65" t="n">
        <v>2</v>
      </c>
      <c r="H688" s="65" t="s">
        <v>2301</v>
      </c>
      <c r="I688" s="65" t="s">
        <v>2302</v>
      </c>
      <c r="J688" s="65" t="s">
        <v>61</v>
      </c>
      <c r="K688" s="65" t="s">
        <v>1999</v>
      </c>
      <c r="L688" s="65" t="s">
        <v>64</v>
      </c>
      <c r="M688" s="113" t="n">
        <v>1.49</v>
      </c>
      <c r="N688" s="114" t="n">
        <v>85000</v>
      </c>
      <c r="O688" s="114" t="n">
        <v>11900</v>
      </c>
      <c r="P688" s="114" t="n">
        <v>126650</v>
      </c>
      <c r="Q688" s="114" t="n">
        <v>121842.96</v>
      </c>
      <c r="R688" s="114" t="n">
        <v>4807.03999999999</v>
      </c>
      <c r="S688" s="115" t="n">
        <v>0.962044690090802</v>
      </c>
      <c r="T688" s="65" t="n">
        <v>24</v>
      </c>
      <c r="U688" s="65" t="n">
        <v>0</v>
      </c>
      <c r="V688" s="65" t="n">
        <v>2561699.05</v>
      </c>
      <c r="W688" s="115" t="n">
        <v>0.0123</v>
      </c>
      <c r="X688" s="112" t="n">
        <v>45526</v>
      </c>
      <c r="Y688" s="65" t="str">
        <f aca="false">IF(I688="","No SIC",IFERROR(VLOOKUP(I688,Ref!$A$2:$B$65,2,FALSE()),"Unclassified"))</f>
        <v>Security &amp; Commodity Brokers</v>
      </c>
      <c r="Z688" s="65" t="str">
        <f aca="false">IF(T688="","",IF(T688&lt;12,"Daily","Weekly"))</f>
        <v>Weekly</v>
      </c>
      <c r="AA688" s="65" t="n">
        <f aca="false">IF(T688="",0,IF(T688&lt;12,T688*Controls!$B$29,T688*5))</f>
        <v>120</v>
      </c>
      <c r="AB688" s="65" t="n">
        <f aca="false">IF(E688="",0,NETWORKDAYS(E688,Controls!$B$36,Ref!$K$2:$K$42))</f>
        <v>120</v>
      </c>
      <c r="AC688" s="65" t="n">
        <f aca="false">IF(AND(AA688&gt;0,AB688&gt;=Controls!$B$39*AA688),1,0)</f>
        <v>0</v>
      </c>
      <c r="AD688" s="65" t="n">
        <f aca="false">IF(AND(E688&lt;&gt;"",E688&gt;=Controls!$B$37,E688&lt;=Controls!$B$38),1,0)</f>
        <v>1</v>
      </c>
      <c r="AE688" s="65" t="n">
        <f aca="false">IF(IFERROR(VLOOKUP(D688,Controls!$A$64:$E$74,2,FALSE()),"No")="Yes",1,0)</f>
        <v>0</v>
      </c>
      <c r="AF688" s="65" t="n">
        <f aca="false">IF(IFERROR(VLOOKUP(D688,Controls!$A$64:$E$74,3,FALSE()),"No")="Yes",1,0)</f>
        <v>0</v>
      </c>
      <c r="AG688" s="65" t="n">
        <f aca="false">IF(IFERROR(VLOOKUP(D688,Controls!$A$64:$E$74,4,FALSE()),"No")="Yes",1,0)</f>
        <v>0</v>
      </c>
      <c r="AH688" s="65" t="n">
        <f aca="false">IF(IFERROR(VLOOKUP(D688,Controls!$A$64:$E$74,5,FALSE()),"No")="Yes",1,0)</f>
        <v>1</v>
      </c>
      <c r="AI688" s="65" t="n">
        <f aca="false">IF(ISNUMBER(MATCH(D688,Controls!$A$64:$A$74,0)),1,0)</f>
        <v>1</v>
      </c>
      <c r="AJ688" s="65" t="n">
        <f aca="false">Q688-N688</f>
        <v>36842.96</v>
      </c>
      <c r="AK688" s="65" t="n">
        <f aca="false">IF(AE688=1,MAX(0,N688-Q688),0)</f>
        <v>0</v>
      </c>
      <c r="AL688" s="65" t="n">
        <f aca="false">IF(OR(V688="",V688=0),0,N688/V688)</f>
        <v>0.0331811029870976</v>
      </c>
      <c r="AM688" s="65" t="n">
        <f aca="false">IF(OR(V688="",V688=0),0,1)</f>
        <v>1</v>
      </c>
      <c r="AN688" s="65" t="n">
        <f aca="false">IF(OR(E688="",F688=""),0,NETWORKDAYS(E688,F688,Ref!$K$2:$K$42))</f>
        <v>114</v>
      </c>
      <c r="AO688" s="65" t="n">
        <f aca="false">IF(L688="Renewal",1,0)</f>
        <v>0</v>
      </c>
      <c r="AP688" s="65" t="n">
        <f aca="false">AC688*AD688</f>
        <v>0</v>
      </c>
      <c r="AQ688" s="65" t="n">
        <f aca="false">IF(AND(G688&lt;&gt;"",'Historical Score'!$C$6&lt;&gt;""),IF(G688='Historical Score'!$C$6,1,0),0)</f>
        <v>1</v>
      </c>
      <c r="AR688" s="65" t="n">
        <f aca="false">IF(AND(L688&lt;&gt;"",'Historical Score'!$C$5&lt;&gt;""),IF(L688='Historical Score'!$C$5,1,0),0)</f>
        <v>1</v>
      </c>
      <c r="AS688" s="65" t="n">
        <f aca="false">IF(AND(Y688&lt;&gt;"",'Historical Score'!$C$7&lt;&gt;""),IF(Y688='Historical Score'!$C$7,1,0),0)</f>
        <v>0</v>
      </c>
      <c r="AT688" s="65" t="n">
        <f aca="false">IF(AND(K688&lt;&gt;"",'Historical Score'!$C$8&lt;&gt;""),IF(K688='Historical Score'!$C$8,1,0),0)</f>
        <v>0</v>
      </c>
      <c r="AU688" s="65" t="n">
        <f aca="false">IF(AND(J688&lt;&gt;"",'Historical Score'!$C$9&lt;&gt;""),IF(J688='Historical Score'!$C$9,1,0),0)</f>
        <v>1</v>
      </c>
      <c r="AV688" s="65" t="n">
        <f aca="false">AR688*AS688*AQ688</f>
        <v>0</v>
      </c>
      <c r="AW688" s="65" t="n">
        <f aca="false">AR688*AT688*AQ688</f>
        <v>0</v>
      </c>
      <c r="AX688" s="65" t="n">
        <f aca="false">AR688*AS688</f>
        <v>0</v>
      </c>
      <c r="AY688" s="65" t="n">
        <f aca="false">AR688*AT688</f>
        <v>0</v>
      </c>
      <c r="AZ688" s="65" t="n">
        <f aca="false">AR688*AQ688</f>
        <v>1</v>
      </c>
      <c r="BA688" s="65" t="n">
        <f aca="false">AR688</f>
        <v>1</v>
      </c>
      <c r="BB688" s="65" t="n">
        <f aca="false">1</f>
        <v>1</v>
      </c>
      <c r="BC688" s="65" t="n">
        <f aca="false">IF(AV688=1,1,IF(AW688=1,2,IF(AX688=1,3,IF(AY688=1,4,IF(AZ688=1,5,IF(BA688=1,6,7))))))</f>
        <v>5</v>
      </c>
      <c r="BD688" s="65" t="n">
        <f aca="false">IF(AD688=1,CHOOSE('Historical Score'!$C$29,AV688,AW688,AX688,AY688,AZ688,BA688,BB688),0)</f>
        <v>0</v>
      </c>
      <c r="BE688" s="65" t="str">
        <f aca="false">IF(BD688=1,COUNTIF($BD$2:BD688,1),"")</f>
        <v/>
      </c>
    </row>
    <row r="689" customFormat="false" ht="15" hidden="false" customHeight="false" outlineLevel="0" collapsed="false">
      <c r="A689" s="65" t="s">
        <v>2303</v>
      </c>
      <c r="B689" s="65" t="s">
        <v>1750</v>
      </c>
      <c r="C689" s="65" t="s">
        <v>1750</v>
      </c>
      <c r="D689" s="65" t="s">
        <v>371</v>
      </c>
      <c r="E689" s="112" t="n">
        <v>46090</v>
      </c>
      <c r="F689" s="112" t="n">
        <v>46212</v>
      </c>
      <c r="G689" s="65" t="n">
        <v>3</v>
      </c>
      <c r="H689" s="65" t="s">
        <v>442</v>
      </c>
      <c r="I689" s="65" t="s">
        <v>443</v>
      </c>
      <c r="J689" s="65" t="s">
        <v>762</v>
      </c>
      <c r="K689" s="65" t="s">
        <v>1120</v>
      </c>
      <c r="L689" s="65" t="s">
        <v>320</v>
      </c>
      <c r="M689" s="113" t="n">
        <v>1.49</v>
      </c>
      <c r="N689" s="114" t="n">
        <v>16000</v>
      </c>
      <c r="O689" s="114" t="n">
        <v>2240</v>
      </c>
      <c r="P689" s="114" t="n">
        <v>23840</v>
      </c>
      <c r="Q689" s="114" t="n">
        <v>23840</v>
      </c>
      <c r="R689" s="114" t="n">
        <v>0</v>
      </c>
      <c r="S689" s="115" t="n">
        <v>1</v>
      </c>
      <c r="T689" s="65" t="n">
        <v>3.279</v>
      </c>
      <c r="U689" s="65" t="n">
        <v>0</v>
      </c>
      <c r="V689" s="65" t="n">
        <v>50226.03</v>
      </c>
      <c r="W689" s="115" t="n">
        <v>0.0997</v>
      </c>
      <c r="X689" s="112" t="n">
        <v>44627</v>
      </c>
      <c r="Y689" s="65" t="str">
        <f aca="false">IF(I689="","No SIC",IFERROR(VLOOKUP(I689,Ref!$A$2:$B$65,2,FALSE()),"Unclassified"))</f>
        <v>General Building Contractors</v>
      </c>
      <c r="Z689" s="65" t="str">
        <f aca="false">IF(T689="","",IF(T689&lt;12,"Daily","Weekly"))</f>
        <v>Daily</v>
      </c>
      <c r="AA689" s="65" t="n">
        <f aca="false">IF(T689="",0,IF(T689&lt;12,T689*Controls!$B$29,T689*5))</f>
        <v>71.006745</v>
      </c>
      <c r="AB689" s="65" t="n">
        <f aca="false">IF(E689="",0,NETWORKDAYS(E689,Controls!$B$36,Ref!$K$2:$K$42))</f>
        <v>120</v>
      </c>
      <c r="AC689" s="65" t="n">
        <f aca="false">IF(AND(AA689&gt;0,AB689&gt;=Controls!$B$39*AA689),1,0)</f>
        <v>1</v>
      </c>
      <c r="AD689" s="65" t="n">
        <f aca="false">IF(AND(E689&lt;&gt;"",E689&gt;=Controls!$B$37,E689&lt;=Controls!$B$38),1,0)</f>
        <v>1</v>
      </c>
      <c r="AE689" s="65" t="n">
        <f aca="false">IF(IFERROR(VLOOKUP(D689,Controls!$A$64:$E$74,2,FALSE()),"No")="Yes",1,0)</f>
        <v>0</v>
      </c>
      <c r="AF689" s="65" t="n">
        <f aca="false">IF(IFERROR(VLOOKUP(D689,Controls!$A$64:$E$74,3,FALSE()),"No")="Yes",1,0)</f>
        <v>1</v>
      </c>
      <c r="AG689" s="65" t="n">
        <f aca="false">IF(IFERROR(VLOOKUP(D689,Controls!$A$64:$E$74,4,FALSE()),"No")="Yes",1,0)</f>
        <v>1</v>
      </c>
      <c r="AH689" s="65" t="n">
        <f aca="false">IF(IFERROR(VLOOKUP(D689,Controls!$A$64:$E$74,5,FALSE()),"No")="Yes",1,0)</f>
        <v>0</v>
      </c>
      <c r="AI689" s="65" t="n">
        <f aca="false">IF(ISNUMBER(MATCH(D689,Controls!$A$64:$A$74,0)),1,0)</f>
        <v>1</v>
      </c>
      <c r="AJ689" s="65" t="n">
        <f aca="false">Q689-N689</f>
        <v>7840</v>
      </c>
      <c r="AK689" s="65" t="n">
        <f aca="false">IF(AE689=1,MAX(0,N689-Q689),0)</f>
        <v>0</v>
      </c>
      <c r="AL689" s="65" t="n">
        <f aca="false">IF(OR(V689="",V689=0),0,N689/V689)</f>
        <v>0.318559918034533</v>
      </c>
      <c r="AM689" s="65" t="n">
        <f aca="false">IF(OR(V689="",V689=0),0,1)</f>
        <v>1</v>
      </c>
      <c r="AN689" s="65" t="n">
        <f aca="false">IF(OR(E689="",F689=""),0,NETWORKDAYS(E689,F689,Ref!$K$2:$K$42))</f>
        <v>87</v>
      </c>
      <c r="AO689" s="65" t="n">
        <f aca="false">IF(L689="Renewal",1,0)</f>
        <v>1</v>
      </c>
      <c r="AP689" s="65" t="n">
        <f aca="false">AC689*AD689</f>
        <v>1</v>
      </c>
      <c r="AQ689" s="65" t="n">
        <f aca="false">IF(AND(G689&lt;&gt;"",'Historical Score'!$C$6&lt;&gt;""),IF(G689='Historical Score'!$C$6,1,0),0)</f>
        <v>0</v>
      </c>
      <c r="AR689" s="65" t="n">
        <f aca="false">IF(AND(L689&lt;&gt;"",'Historical Score'!$C$5&lt;&gt;""),IF(L689='Historical Score'!$C$5,1,0),0)</f>
        <v>0</v>
      </c>
      <c r="AS689" s="65" t="n">
        <f aca="false">IF(AND(Y689&lt;&gt;"",'Historical Score'!$C$7&lt;&gt;""),IF(Y689='Historical Score'!$C$7,1,0),0)</f>
        <v>1</v>
      </c>
      <c r="AT689" s="65" t="n">
        <f aca="false">IF(AND(K689&lt;&gt;"",'Historical Score'!$C$8&lt;&gt;""),IF(K689='Historical Score'!$C$8,1,0),0)</f>
        <v>0</v>
      </c>
      <c r="AU689" s="65" t="n">
        <f aca="false">IF(AND(J689&lt;&gt;"",'Historical Score'!$C$9&lt;&gt;""),IF(J689='Historical Score'!$C$9,1,0),0)</f>
        <v>0</v>
      </c>
      <c r="AV689" s="65" t="n">
        <f aca="false">AR689*AS689*AQ689</f>
        <v>0</v>
      </c>
      <c r="AW689" s="65" t="n">
        <f aca="false">AR689*AT689*AQ689</f>
        <v>0</v>
      </c>
      <c r="AX689" s="65" t="n">
        <f aca="false">AR689*AS689</f>
        <v>0</v>
      </c>
      <c r="AY689" s="65" t="n">
        <f aca="false">AR689*AT689</f>
        <v>0</v>
      </c>
      <c r="AZ689" s="65" t="n">
        <f aca="false">AR689*AQ689</f>
        <v>0</v>
      </c>
      <c r="BA689" s="65" t="n">
        <f aca="false">AR689</f>
        <v>0</v>
      </c>
      <c r="BB689" s="65" t="n">
        <f aca="false">1</f>
        <v>1</v>
      </c>
      <c r="BC689" s="65" t="n">
        <f aca="false">IF(AV689=1,1,IF(AW689=1,2,IF(AX689=1,3,IF(AY689=1,4,IF(AZ689=1,5,IF(BA689=1,6,7))))))</f>
        <v>7</v>
      </c>
      <c r="BD689" s="65" t="n">
        <f aca="false">IF(AD689=1,CHOOSE('Historical Score'!$C$29,AV689,AW689,AX689,AY689,AZ689,BA689,BB689),0)</f>
        <v>0</v>
      </c>
      <c r="BE689" s="65" t="str">
        <f aca="false">IF(BD689=1,COUNTIF($BD$2:BD689,1),"")</f>
        <v/>
      </c>
    </row>
    <row r="690" customFormat="false" ht="15" hidden="false" customHeight="false" outlineLevel="0" collapsed="false">
      <c r="A690" s="65" t="s">
        <v>2304</v>
      </c>
      <c r="B690" s="65" t="s">
        <v>2305</v>
      </c>
      <c r="C690" s="65" t="s">
        <v>2306</v>
      </c>
      <c r="D690" s="65" t="s">
        <v>371</v>
      </c>
      <c r="E690" s="112" t="n">
        <v>46091</v>
      </c>
      <c r="F690" s="112" t="n">
        <v>46224</v>
      </c>
      <c r="G690" s="65" t="n">
        <v>2</v>
      </c>
      <c r="H690" s="65" t="s">
        <v>748</v>
      </c>
      <c r="I690" s="65" t="s">
        <v>619</v>
      </c>
      <c r="J690" s="65" t="s">
        <v>61</v>
      </c>
      <c r="K690" s="65" t="s">
        <v>961</v>
      </c>
      <c r="L690" s="65" t="s">
        <v>64</v>
      </c>
      <c r="M690" s="113" t="n">
        <v>1.38</v>
      </c>
      <c r="N690" s="114" t="n">
        <v>20000</v>
      </c>
      <c r="O690" s="114" t="n">
        <v>2400</v>
      </c>
      <c r="P690" s="114" t="n">
        <v>27600</v>
      </c>
      <c r="Q690" s="114" t="n">
        <v>27600</v>
      </c>
      <c r="R690" s="114" t="n">
        <v>-3.63797880709171E-012</v>
      </c>
      <c r="S690" s="115" t="n">
        <v>1</v>
      </c>
      <c r="T690" s="65" t="n">
        <v>18</v>
      </c>
      <c r="U690" s="65" t="n">
        <v>0</v>
      </c>
      <c r="V690" s="65" t="n">
        <v>209846.36</v>
      </c>
      <c r="W690" s="115" t="n">
        <v>0.0292</v>
      </c>
      <c r="X690" s="112" t="n">
        <v>42522</v>
      </c>
      <c r="Y690" s="65" t="str">
        <f aca="false">IF(I690="","No SIC",IFERROR(VLOOKUP(I690,Ref!$A$2:$B$65,2,FALSE()),"Unclassified"))</f>
        <v>Miscellaneous Retail</v>
      </c>
      <c r="Z690" s="65" t="str">
        <f aca="false">IF(T690="","",IF(T690&lt;12,"Daily","Weekly"))</f>
        <v>Weekly</v>
      </c>
      <c r="AA690" s="65" t="n">
        <f aca="false">IF(T690="",0,IF(T690&lt;12,T690*Controls!$B$29,T690*5))</f>
        <v>90</v>
      </c>
      <c r="AB690" s="65" t="n">
        <f aca="false">IF(E690="",0,NETWORKDAYS(E690,Controls!$B$36,Ref!$K$2:$K$42))</f>
        <v>119</v>
      </c>
      <c r="AC690" s="65" t="n">
        <f aca="false">IF(AND(AA690&gt;0,AB690&gt;=Controls!$B$39*AA690),1,0)</f>
        <v>1</v>
      </c>
      <c r="AD690" s="65" t="n">
        <f aca="false">IF(AND(E690&lt;&gt;"",E690&gt;=Controls!$B$37,E690&lt;=Controls!$B$38),1,0)</f>
        <v>1</v>
      </c>
      <c r="AE690" s="65" t="n">
        <f aca="false">IF(IFERROR(VLOOKUP(D690,Controls!$A$64:$E$74,2,FALSE()),"No")="Yes",1,0)</f>
        <v>0</v>
      </c>
      <c r="AF690" s="65" t="n">
        <f aca="false">IF(IFERROR(VLOOKUP(D690,Controls!$A$64:$E$74,3,FALSE()),"No")="Yes",1,0)</f>
        <v>1</v>
      </c>
      <c r="AG690" s="65" t="n">
        <f aca="false">IF(IFERROR(VLOOKUP(D690,Controls!$A$64:$E$74,4,FALSE()),"No")="Yes",1,0)</f>
        <v>1</v>
      </c>
      <c r="AH690" s="65" t="n">
        <f aca="false">IF(IFERROR(VLOOKUP(D690,Controls!$A$64:$E$74,5,FALSE()),"No")="Yes",1,0)</f>
        <v>0</v>
      </c>
      <c r="AI690" s="65" t="n">
        <f aca="false">IF(ISNUMBER(MATCH(D690,Controls!$A$64:$A$74,0)),1,0)</f>
        <v>1</v>
      </c>
      <c r="AJ690" s="65" t="n">
        <f aca="false">Q690-N690</f>
        <v>7600</v>
      </c>
      <c r="AK690" s="65" t="n">
        <f aca="false">IF(AE690=1,MAX(0,N690-Q690),0)</f>
        <v>0</v>
      </c>
      <c r="AL690" s="65" t="n">
        <f aca="false">IF(OR(V690="",V690=0),0,N690/V690)</f>
        <v>0.0953078242577093</v>
      </c>
      <c r="AM690" s="65" t="n">
        <f aca="false">IF(OR(V690="",V690=0),0,1)</f>
        <v>1</v>
      </c>
      <c r="AN690" s="65" t="n">
        <f aca="false">IF(OR(E690="",F690=""),0,NETWORKDAYS(E690,F690,Ref!$K$2:$K$42))</f>
        <v>94</v>
      </c>
      <c r="AO690" s="65" t="n">
        <f aca="false">IF(L690="Renewal",1,0)</f>
        <v>0</v>
      </c>
      <c r="AP690" s="65" t="n">
        <f aca="false">AC690*AD690</f>
        <v>1</v>
      </c>
      <c r="AQ690" s="65" t="n">
        <f aca="false">IF(AND(G690&lt;&gt;"",'Historical Score'!$C$6&lt;&gt;""),IF(G690='Historical Score'!$C$6,1,0),0)</f>
        <v>1</v>
      </c>
      <c r="AR690" s="65" t="n">
        <f aca="false">IF(AND(L690&lt;&gt;"",'Historical Score'!$C$5&lt;&gt;""),IF(L690='Historical Score'!$C$5,1,0),0)</f>
        <v>1</v>
      </c>
      <c r="AS690" s="65" t="n">
        <f aca="false">IF(AND(Y690&lt;&gt;"",'Historical Score'!$C$7&lt;&gt;""),IF(Y690='Historical Score'!$C$7,1,0),0)</f>
        <v>0</v>
      </c>
      <c r="AT690" s="65" t="n">
        <f aca="false">IF(AND(K690&lt;&gt;"",'Historical Score'!$C$8&lt;&gt;""),IF(K690='Historical Score'!$C$8,1,0),0)</f>
        <v>0</v>
      </c>
      <c r="AU690" s="65" t="n">
        <f aca="false">IF(AND(J690&lt;&gt;"",'Historical Score'!$C$9&lt;&gt;""),IF(J690='Historical Score'!$C$9,1,0),0)</f>
        <v>1</v>
      </c>
      <c r="AV690" s="65" t="n">
        <f aca="false">AR690*AS690*AQ690</f>
        <v>0</v>
      </c>
      <c r="AW690" s="65" t="n">
        <f aca="false">AR690*AT690*AQ690</f>
        <v>0</v>
      </c>
      <c r="AX690" s="65" t="n">
        <f aca="false">AR690*AS690</f>
        <v>0</v>
      </c>
      <c r="AY690" s="65" t="n">
        <f aca="false">AR690*AT690</f>
        <v>0</v>
      </c>
      <c r="AZ690" s="65" t="n">
        <f aca="false">AR690*AQ690</f>
        <v>1</v>
      </c>
      <c r="BA690" s="65" t="n">
        <f aca="false">AR690</f>
        <v>1</v>
      </c>
      <c r="BB690" s="65" t="n">
        <f aca="false">1</f>
        <v>1</v>
      </c>
      <c r="BC690" s="65" t="n">
        <f aca="false">IF(AV690=1,1,IF(AW690=1,2,IF(AX690=1,3,IF(AY690=1,4,IF(AZ690=1,5,IF(BA690=1,6,7))))))</f>
        <v>5</v>
      </c>
      <c r="BD690" s="65" t="n">
        <f aca="false">IF(AD690=1,CHOOSE('Historical Score'!$C$29,AV690,AW690,AX690,AY690,AZ690,BA690,BB690),0)</f>
        <v>0</v>
      </c>
      <c r="BE690" s="65" t="str">
        <f aca="false">IF(BD690=1,COUNTIF($BD$2:BD690,1),"")</f>
        <v/>
      </c>
    </row>
    <row r="691" customFormat="false" ht="15" hidden="false" customHeight="false" outlineLevel="0" collapsed="false">
      <c r="A691" s="65" t="s">
        <v>2307</v>
      </c>
      <c r="B691" s="65" t="s">
        <v>1752</v>
      </c>
      <c r="C691" s="65" t="s">
        <v>1753</v>
      </c>
      <c r="D691" s="65" t="s">
        <v>533</v>
      </c>
      <c r="E691" s="112" t="n">
        <v>46091</v>
      </c>
      <c r="F691" s="112" t="n">
        <v>46233</v>
      </c>
      <c r="G691" s="65" t="n">
        <v>3</v>
      </c>
      <c r="H691" s="65" t="s">
        <v>596</v>
      </c>
      <c r="I691" s="65" t="s">
        <v>597</v>
      </c>
      <c r="J691" s="65" t="s">
        <v>854</v>
      </c>
      <c r="K691" s="65" t="s">
        <v>55</v>
      </c>
      <c r="L691" s="65" t="s">
        <v>320</v>
      </c>
      <c r="M691" s="113" t="n">
        <v>1.49</v>
      </c>
      <c r="N691" s="114" t="n">
        <v>27000</v>
      </c>
      <c r="O691" s="114" t="n">
        <v>3780</v>
      </c>
      <c r="P691" s="114" t="n">
        <v>40230</v>
      </c>
      <c r="Q691" s="114" t="n">
        <v>21973.47</v>
      </c>
      <c r="R691" s="114" t="n">
        <v>18256.53</v>
      </c>
      <c r="S691" s="115" t="n">
        <v>0.546196122296794</v>
      </c>
      <c r="T691" s="65" t="n">
        <v>3.77</v>
      </c>
      <c r="U691" s="65" t="n">
        <v>20</v>
      </c>
      <c r="V691" s="65" t="n">
        <v>120000</v>
      </c>
      <c r="W691" s="115" t="n">
        <v>0.1633</v>
      </c>
      <c r="X691" s="112" t="n">
        <v>38325</v>
      </c>
      <c r="Y691" s="65" t="str">
        <f aca="false">IF(I691="","No SIC",IFERROR(VLOOKUP(I691,Ref!$A$2:$B$65,2,FALSE()),"Unclassified"))</f>
        <v>Insurance Agents &amp; Brokers</v>
      </c>
      <c r="Z691" s="65" t="str">
        <f aca="false">IF(T691="","",IF(T691&lt;12,"Daily","Weekly"))</f>
        <v>Daily</v>
      </c>
      <c r="AA691" s="65" t="n">
        <f aca="false">IF(T691="",0,IF(T691&lt;12,T691*Controls!$B$29,T691*5))</f>
        <v>81.63935</v>
      </c>
      <c r="AB691" s="65" t="n">
        <f aca="false">IF(E691="",0,NETWORKDAYS(E691,Controls!$B$36,Ref!$K$2:$K$42))</f>
        <v>119</v>
      </c>
      <c r="AC691" s="65" t="n">
        <f aca="false">IF(AND(AA691&gt;0,AB691&gt;=Controls!$B$39*AA691),1,0)</f>
        <v>1</v>
      </c>
      <c r="AD691" s="65" t="n">
        <f aca="false">IF(AND(E691&lt;&gt;"",E691&gt;=Controls!$B$37,E691&lt;=Controls!$B$38),1,0)</f>
        <v>1</v>
      </c>
      <c r="AE691" s="65" t="n">
        <f aca="false">IF(IFERROR(VLOOKUP(D691,Controls!$A$64:$E$74,2,FALSE()),"No")="Yes",1,0)</f>
        <v>1</v>
      </c>
      <c r="AF691" s="65" t="n">
        <f aca="false">IF(IFERROR(VLOOKUP(D691,Controls!$A$64:$E$74,3,FALSE()),"No")="Yes",1,0)</f>
        <v>0</v>
      </c>
      <c r="AG691" s="65" t="n">
        <f aca="false">IF(IFERROR(VLOOKUP(D691,Controls!$A$64:$E$74,4,FALSE()),"No")="Yes",1,0)</f>
        <v>0</v>
      </c>
      <c r="AH691" s="65" t="n">
        <f aca="false">IF(IFERROR(VLOOKUP(D691,Controls!$A$64:$E$74,5,FALSE()),"No")="Yes",1,0)</f>
        <v>0</v>
      </c>
      <c r="AI691" s="65" t="n">
        <f aca="false">IF(ISNUMBER(MATCH(D691,Controls!$A$64:$A$74,0)),1,0)</f>
        <v>1</v>
      </c>
      <c r="AJ691" s="65" t="n">
        <f aca="false">Q691-N691</f>
        <v>-5026.53</v>
      </c>
      <c r="AK691" s="65" t="n">
        <f aca="false">IF(AE691=1,MAX(0,N691-Q691),0)</f>
        <v>5026.53</v>
      </c>
      <c r="AL691" s="65" t="n">
        <f aca="false">IF(OR(V691="",V691=0),0,N691/V691)</f>
        <v>0.225</v>
      </c>
      <c r="AM691" s="65" t="n">
        <f aca="false">IF(OR(V691="",V691=0),0,1)</f>
        <v>1</v>
      </c>
      <c r="AN691" s="65" t="n">
        <f aca="false">IF(OR(E691="",F691=""),0,NETWORKDAYS(E691,F691,Ref!$K$2:$K$42))</f>
        <v>101</v>
      </c>
      <c r="AO691" s="65" t="n">
        <f aca="false">IF(L691="Renewal",1,0)</f>
        <v>1</v>
      </c>
      <c r="AP691" s="65" t="n">
        <f aca="false">AC691*AD691</f>
        <v>1</v>
      </c>
      <c r="AQ691" s="65" t="n">
        <f aca="false">IF(AND(G691&lt;&gt;"",'Historical Score'!$C$6&lt;&gt;""),IF(G691='Historical Score'!$C$6,1,0),0)</f>
        <v>0</v>
      </c>
      <c r="AR691" s="65" t="n">
        <f aca="false">IF(AND(L691&lt;&gt;"",'Historical Score'!$C$5&lt;&gt;""),IF(L691='Historical Score'!$C$5,1,0),0)</f>
        <v>0</v>
      </c>
      <c r="AS691" s="65" t="n">
        <f aca="false">IF(AND(Y691&lt;&gt;"",'Historical Score'!$C$7&lt;&gt;""),IF(Y691='Historical Score'!$C$7,1,0),0)</f>
        <v>0</v>
      </c>
      <c r="AT691" s="65" t="n">
        <f aca="false">IF(AND(K691&lt;&gt;"",'Historical Score'!$C$8&lt;&gt;""),IF(K691='Historical Score'!$C$8,1,0),0)</f>
        <v>1</v>
      </c>
      <c r="AU691" s="65" t="n">
        <f aca="false">IF(AND(J691&lt;&gt;"",'Historical Score'!$C$9&lt;&gt;""),IF(J691='Historical Score'!$C$9,1,0),0)</f>
        <v>0</v>
      </c>
      <c r="AV691" s="65" t="n">
        <f aca="false">AR691*AS691*AQ691</f>
        <v>0</v>
      </c>
      <c r="AW691" s="65" t="n">
        <f aca="false">AR691*AT691*AQ691</f>
        <v>0</v>
      </c>
      <c r="AX691" s="65" t="n">
        <f aca="false">AR691*AS691</f>
        <v>0</v>
      </c>
      <c r="AY691" s="65" t="n">
        <f aca="false">AR691*AT691</f>
        <v>0</v>
      </c>
      <c r="AZ691" s="65" t="n">
        <f aca="false">AR691*AQ691</f>
        <v>0</v>
      </c>
      <c r="BA691" s="65" t="n">
        <f aca="false">AR691</f>
        <v>0</v>
      </c>
      <c r="BB691" s="65" t="n">
        <f aca="false">1</f>
        <v>1</v>
      </c>
      <c r="BC691" s="65" t="n">
        <f aca="false">IF(AV691=1,1,IF(AW691=1,2,IF(AX691=1,3,IF(AY691=1,4,IF(AZ691=1,5,IF(BA691=1,6,7))))))</f>
        <v>7</v>
      </c>
      <c r="BD691" s="65" t="n">
        <f aca="false">IF(AD691=1,CHOOSE('Historical Score'!$C$29,AV691,AW691,AX691,AY691,AZ691,BA691,BB691),0)</f>
        <v>0</v>
      </c>
      <c r="BE691" s="65" t="str">
        <f aca="false">IF(BD691=1,COUNTIF($BD$2:BD691,1),"")</f>
        <v/>
      </c>
    </row>
    <row r="692" customFormat="false" ht="15" hidden="false" customHeight="false" outlineLevel="0" collapsed="false">
      <c r="A692" s="65" t="s">
        <v>2308</v>
      </c>
      <c r="B692" s="65" t="s">
        <v>2309</v>
      </c>
      <c r="C692" s="65" t="s">
        <v>2309</v>
      </c>
      <c r="D692" s="65" t="s">
        <v>295</v>
      </c>
      <c r="E692" s="112" t="n">
        <v>46091</v>
      </c>
      <c r="F692" s="112" t="n">
        <v>46248</v>
      </c>
      <c r="G692" s="65" t="n">
        <v>3</v>
      </c>
      <c r="H692" s="65" t="s">
        <v>2310</v>
      </c>
      <c r="I692" s="65" t="s">
        <v>362</v>
      </c>
      <c r="J692" s="65" t="s">
        <v>682</v>
      </c>
      <c r="K692" s="65" t="s">
        <v>983</v>
      </c>
      <c r="L692" s="65" t="s">
        <v>64</v>
      </c>
      <c r="M692" s="113" t="n">
        <v>1.49</v>
      </c>
      <c r="N692" s="114" t="n">
        <v>40000</v>
      </c>
      <c r="O692" s="114" t="n">
        <v>5600</v>
      </c>
      <c r="P692" s="114" t="n">
        <v>59600</v>
      </c>
      <c r="Q692" s="114" t="n">
        <v>48920.31</v>
      </c>
      <c r="R692" s="114" t="n">
        <v>10679.69</v>
      </c>
      <c r="S692" s="115" t="n">
        <v>0.820810570469799</v>
      </c>
      <c r="T692" s="65" t="n">
        <v>28</v>
      </c>
      <c r="U692" s="65" t="n">
        <v>0</v>
      </c>
      <c r="V692" s="65" t="n">
        <v>157261.96</v>
      </c>
      <c r="W692" s="115" t="n">
        <v>0.0541</v>
      </c>
      <c r="X692" s="112" t="n">
        <v>44266</v>
      </c>
      <c r="Y692" s="65" t="str">
        <f aca="false">IF(I692="","No SIC",IFERROR(VLOOKUP(I692,Ref!$A$2:$B$65,2,FALSE()),"Unclassified"))</f>
        <v>Chemicals &amp; Allied Products</v>
      </c>
      <c r="Z692" s="65" t="str">
        <f aca="false">IF(T692="","",IF(T692&lt;12,"Daily","Weekly"))</f>
        <v>Weekly</v>
      </c>
      <c r="AA692" s="65" t="n">
        <f aca="false">IF(T692="",0,IF(T692&lt;12,T692*Controls!$B$29,T692*5))</f>
        <v>140</v>
      </c>
      <c r="AB692" s="65" t="n">
        <f aca="false">IF(E692="",0,NETWORKDAYS(E692,Controls!$B$36,Ref!$K$2:$K$42))</f>
        <v>119</v>
      </c>
      <c r="AC692" s="65" t="n">
        <f aca="false">IF(AND(AA692&gt;0,AB692&gt;=Controls!$B$39*AA692),1,0)</f>
        <v>0</v>
      </c>
      <c r="AD692" s="65" t="n">
        <f aca="false">IF(AND(E692&lt;&gt;"",E692&gt;=Controls!$B$37,E692&lt;=Controls!$B$38),1,0)</f>
        <v>1</v>
      </c>
      <c r="AE692" s="65" t="n">
        <f aca="false">IF(IFERROR(VLOOKUP(D692,Controls!$A$64:$E$74,2,FALSE()),"No")="Yes",1,0)</f>
        <v>0</v>
      </c>
      <c r="AF692" s="65" t="n">
        <f aca="false">IF(IFERROR(VLOOKUP(D692,Controls!$A$64:$E$74,3,FALSE()),"No")="Yes",1,0)</f>
        <v>0</v>
      </c>
      <c r="AG692" s="65" t="n">
        <f aca="false">IF(IFERROR(VLOOKUP(D692,Controls!$A$64:$E$74,4,FALSE()),"No")="Yes",1,0)</f>
        <v>0</v>
      </c>
      <c r="AH692" s="65" t="n">
        <f aca="false">IF(IFERROR(VLOOKUP(D692,Controls!$A$64:$E$74,5,FALSE()),"No")="Yes",1,0)</f>
        <v>1</v>
      </c>
      <c r="AI692" s="65" t="n">
        <f aca="false">IF(ISNUMBER(MATCH(D692,Controls!$A$64:$A$74,0)),1,0)</f>
        <v>1</v>
      </c>
      <c r="AJ692" s="65" t="n">
        <f aca="false">Q692-N692</f>
        <v>8920.31</v>
      </c>
      <c r="AK692" s="65" t="n">
        <f aca="false">IF(AE692=1,MAX(0,N692-Q692),0)</f>
        <v>0</v>
      </c>
      <c r="AL692" s="65" t="n">
        <f aca="false">IF(OR(V692="",V692=0),0,N692/V692)</f>
        <v>0.254352673717153</v>
      </c>
      <c r="AM692" s="65" t="n">
        <f aca="false">IF(OR(V692="",V692=0),0,1)</f>
        <v>1</v>
      </c>
      <c r="AN692" s="65" t="n">
        <f aca="false">IF(OR(E692="",F692=""),0,NETWORKDAYS(E692,F692,Ref!$K$2:$K$42))</f>
        <v>112</v>
      </c>
      <c r="AO692" s="65" t="n">
        <f aca="false">IF(L692="Renewal",1,0)</f>
        <v>0</v>
      </c>
      <c r="AP692" s="65" t="n">
        <f aca="false">AC692*AD692</f>
        <v>0</v>
      </c>
      <c r="AQ692" s="65" t="n">
        <f aca="false">IF(AND(G692&lt;&gt;"",'Historical Score'!$C$6&lt;&gt;""),IF(G692='Historical Score'!$C$6,1,0),0)</f>
        <v>0</v>
      </c>
      <c r="AR692" s="65" t="n">
        <f aca="false">IF(AND(L692&lt;&gt;"",'Historical Score'!$C$5&lt;&gt;""),IF(L692='Historical Score'!$C$5,1,0),0)</f>
        <v>1</v>
      </c>
      <c r="AS692" s="65" t="n">
        <f aca="false">IF(AND(Y692&lt;&gt;"",'Historical Score'!$C$7&lt;&gt;""),IF(Y692='Historical Score'!$C$7,1,0),0)</f>
        <v>0</v>
      </c>
      <c r="AT692" s="65" t="n">
        <f aca="false">IF(AND(K692&lt;&gt;"",'Historical Score'!$C$8&lt;&gt;""),IF(K692='Historical Score'!$C$8,1,0),0)</f>
        <v>0</v>
      </c>
      <c r="AU692" s="65" t="n">
        <f aca="false">IF(AND(J692&lt;&gt;"",'Historical Score'!$C$9&lt;&gt;""),IF(J692='Historical Score'!$C$9,1,0),0)</f>
        <v>0</v>
      </c>
      <c r="AV692" s="65" t="n">
        <f aca="false">AR692*AS692*AQ692</f>
        <v>0</v>
      </c>
      <c r="AW692" s="65" t="n">
        <f aca="false">AR692*AT692*AQ692</f>
        <v>0</v>
      </c>
      <c r="AX692" s="65" t="n">
        <f aca="false">AR692*AS692</f>
        <v>0</v>
      </c>
      <c r="AY692" s="65" t="n">
        <f aca="false">AR692*AT692</f>
        <v>0</v>
      </c>
      <c r="AZ692" s="65" t="n">
        <f aca="false">AR692*AQ692</f>
        <v>0</v>
      </c>
      <c r="BA692" s="65" t="n">
        <f aca="false">AR692</f>
        <v>1</v>
      </c>
      <c r="BB692" s="65" t="n">
        <f aca="false">1</f>
        <v>1</v>
      </c>
      <c r="BC692" s="65" t="n">
        <f aca="false">IF(AV692=1,1,IF(AW692=1,2,IF(AX692=1,3,IF(AY692=1,4,IF(AZ692=1,5,IF(BA692=1,6,7))))))</f>
        <v>6</v>
      </c>
      <c r="BD692" s="65" t="n">
        <f aca="false">IF(AD692=1,CHOOSE('Historical Score'!$C$29,AV692,AW692,AX692,AY692,AZ692,BA692,BB692),0)</f>
        <v>0</v>
      </c>
      <c r="BE692" s="65" t="str">
        <f aca="false">IF(BD692=1,COUNTIF($BD$2:BD692,1),"")</f>
        <v/>
      </c>
    </row>
    <row r="693" customFormat="false" ht="15" hidden="false" customHeight="false" outlineLevel="0" collapsed="false">
      <c r="A693" s="65" t="s">
        <v>2311</v>
      </c>
      <c r="B693" s="65" t="s">
        <v>2312</v>
      </c>
      <c r="C693" s="65" t="s">
        <v>2312</v>
      </c>
      <c r="D693" s="65" t="s">
        <v>295</v>
      </c>
      <c r="E693" s="112" t="n">
        <v>46091</v>
      </c>
      <c r="F693" s="112" t="n">
        <v>46227</v>
      </c>
      <c r="G693" s="65" t="n">
        <v>3</v>
      </c>
      <c r="H693" s="65" t="s">
        <v>409</v>
      </c>
      <c r="I693" s="65" t="s">
        <v>342</v>
      </c>
      <c r="J693" s="65" t="s">
        <v>61</v>
      </c>
      <c r="K693" s="65" t="s">
        <v>581</v>
      </c>
      <c r="L693" s="65" t="s">
        <v>64</v>
      </c>
      <c r="M693" s="113" t="n">
        <v>1.49</v>
      </c>
      <c r="N693" s="114" t="n">
        <v>40000</v>
      </c>
      <c r="O693" s="114" t="n">
        <v>5600</v>
      </c>
      <c r="P693" s="114" t="n">
        <v>59600</v>
      </c>
      <c r="Q693" s="114" t="n">
        <v>24211.59</v>
      </c>
      <c r="R693" s="114" t="n">
        <v>35388.41</v>
      </c>
      <c r="S693" s="115" t="n">
        <v>0.406234731543624</v>
      </c>
      <c r="T693" s="65" t="n">
        <v>32</v>
      </c>
      <c r="U693" s="65" t="n">
        <v>7</v>
      </c>
      <c r="V693" s="65" t="n">
        <v>205927.06</v>
      </c>
      <c r="W693" s="115" t="n">
        <v>0.0853</v>
      </c>
      <c r="X693" s="112" t="n">
        <v>45999</v>
      </c>
      <c r="Y693" s="65" t="str">
        <f aca="false">IF(I693="","No SIC",IFERROR(VLOOKUP(I693,Ref!$A$2:$B$65,2,FALSE()),"Unclassified"))</f>
        <v>Eating &amp; Drinking Places</v>
      </c>
      <c r="Z693" s="65" t="str">
        <f aca="false">IF(T693="","",IF(T693&lt;12,"Daily","Weekly"))</f>
        <v>Weekly</v>
      </c>
      <c r="AA693" s="65" t="n">
        <f aca="false">IF(T693="",0,IF(T693&lt;12,T693*Controls!$B$29,T693*5))</f>
        <v>160</v>
      </c>
      <c r="AB693" s="65" t="n">
        <f aca="false">IF(E693="",0,NETWORKDAYS(E693,Controls!$B$36,Ref!$K$2:$K$42))</f>
        <v>119</v>
      </c>
      <c r="AC693" s="65" t="n">
        <f aca="false">IF(AND(AA693&gt;0,AB693&gt;=Controls!$B$39*AA693),1,0)</f>
        <v>0</v>
      </c>
      <c r="AD693" s="65" t="n">
        <f aca="false">IF(AND(E693&lt;&gt;"",E693&gt;=Controls!$B$37,E693&lt;=Controls!$B$38),1,0)</f>
        <v>1</v>
      </c>
      <c r="AE693" s="65" t="n">
        <f aca="false">IF(IFERROR(VLOOKUP(D693,Controls!$A$64:$E$74,2,FALSE()),"No")="Yes",1,0)</f>
        <v>0</v>
      </c>
      <c r="AF693" s="65" t="n">
        <f aca="false">IF(IFERROR(VLOOKUP(D693,Controls!$A$64:$E$74,3,FALSE()),"No")="Yes",1,0)</f>
        <v>0</v>
      </c>
      <c r="AG693" s="65" t="n">
        <f aca="false">IF(IFERROR(VLOOKUP(D693,Controls!$A$64:$E$74,4,FALSE()),"No")="Yes",1,0)</f>
        <v>0</v>
      </c>
      <c r="AH693" s="65" t="n">
        <f aca="false">IF(IFERROR(VLOOKUP(D693,Controls!$A$64:$E$74,5,FALSE()),"No")="Yes",1,0)</f>
        <v>1</v>
      </c>
      <c r="AI693" s="65" t="n">
        <f aca="false">IF(ISNUMBER(MATCH(D693,Controls!$A$64:$A$74,0)),1,0)</f>
        <v>1</v>
      </c>
      <c r="AJ693" s="65" t="n">
        <f aca="false">Q693-N693</f>
        <v>-15788.41</v>
      </c>
      <c r="AK693" s="65" t="n">
        <f aca="false">IF(AE693=1,MAX(0,N693-Q693),0)</f>
        <v>0</v>
      </c>
      <c r="AL693" s="65" t="n">
        <f aca="false">IF(OR(V693="",V693=0),0,N693/V693)</f>
        <v>0.194243534579671</v>
      </c>
      <c r="AM693" s="65" t="n">
        <f aca="false">IF(OR(V693="",V693=0),0,1)</f>
        <v>1</v>
      </c>
      <c r="AN693" s="65" t="n">
        <f aca="false">IF(OR(E693="",F693=""),0,NETWORKDAYS(E693,F693,Ref!$K$2:$K$42))</f>
        <v>97</v>
      </c>
      <c r="AO693" s="65" t="n">
        <f aca="false">IF(L693="Renewal",1,0)</f>
        <v>0</v>
      </c>
      <c r="AP693" s="65" t="n">
        <f aca="false">AC693*AD693</f>
        <v>0</v>
      </c>
      <c r="AQ693" s="65" t="n">
        <f aca="false">IF(AND(G693&lt;&gt;"",'Historical Score'!$C$6&lt;&gt;""),IF(G693='Historical Score'!$C$6,1,0),0)</f>
        <v>0</v>
      </c>
      <c r="AR693" s="65" t="n">
        <f aca="false">IF(AND(L693&lt;&gt;"",'Historical Score'!$C$5&lt;&gt;""),IF(L693='Historical Score'!$C$5,1,0),0)</f>
        <v>1</v>
      </c>
      <c r="AS693" s="65" t="n">
        <f aca="false">IF(AND(Y693&lt;&gt;"",'Historical Score'!$C$7&lt;&gt;""),IF(Y693='Historical Score'!$C$7,1,0),0)</f>
        <v>0</v>
      </c>
      <c r="AT693" s="65" t="n">
        <f aca="false">IF(AND(K693&lt;&gt;"",'Historical Score'!$C$8&lt;&gt;""),IF(K693='Historical Score'!$C$8,1,0),0)</f>
        <v>0</v>
      </c>
      <c r="AU693" s="65" t="n">
        <f aca="false">IF(AND(J693&lt;&gt;"",'Historical Score'!$C$9&lt;&gt;""),IF(J693='Historical Score'!$C$9,1,0),0)</f>
        <v>1</v>
      </c>
      <c r="AV693" s="65" t="n">
        <f aca="false">AR693*AS693*AQ693</f>
        <v>0</v>
      </c>
      <c r="AW693" s="65" t="n">
        <f aca="false">AR693*AT693*AQ693</f>
        <v>0</v>
      </c>
      <c r="AX693" s="65" t="n">
        <f aca="false">AR693*AS693</f>
        <v>0</v>
      </c>
      <c r="AY693" s="65" t="n">
        <f aca="false">AR693*AT693</f>
        <v>0</v>
      </c>
      <c r="AZ693" s="65" t="n">
        <f aca="false">AR693*AQ693</f>
        <v>0</v>
      </c>
      <c r="BA693" s="65" t="n">
        <f aca="false">AR693</f>
        <v>1</v>
      </c>
      <c r="BB693" s="65" t="n">
        <f aca="false">1</f>
        <v>1</v>
      </c>
      <c r="BC693" s="65" t="n">
        <f aca="false">IF(AV693=1,1,IF(AW693=1,2,IF(AX693=1,3,IF(AY693=1,4,IF(AZ693=1,5,IF(BA693=1,6,7))))))</f>
        <v>6</v>
      </c>
      <c r="BD693" s="65" t="n">
        <f aca="false">IF(AD693=1,CHOOSE('Historical Score'!$C$29,AV693,AW693,AX693,AY693,AZ693,BA693,BB693),0)</f>
        <v>0</v>
      </c>
      <c r="BE693" s="65" t="str">
        <f aca="false">IF(BD693=1,COUNTIF($BD$2:BD693,1),"")</f>
        <v/>
      </c>
    </row>
    <row r="694" customFormat="false" ht="15" hidden="false" customHeight="false" outlineLevel="0" collapsed="false">
      <c r="A694" s="65" t="s">
        <v>2313</v>
      </c>
      <c r="B694" s="65" t="s">
        <v>2314</v>
      </c>
      <c r="C694" s="65" t="s">
        <v>2315</v>
      </c>
      <c r="D694" s="65" t="s">
        <v>295</v>
      </c>
      <c r="E694" s="112" t="n">
        <v>46091</v>
      </c>
      <c r="F694" s="112" t="n">
        <v>46247</v>
      </c>
      <c r="G694" s="65" t="n">
        <v>4</v>
      </c>
      <c r="H694" s="65" t="s">
        <v>1324</v>
      </c>
      <c r="I694" s="65" t="s">
        <v>1325</v>
      </c>
      <c r="J694" s="65" t="s">
        <v>61</v>
      </c>
      <c r="K694" s="65" t="s">
        <v>55</v>
      </c>
      <c r="L694" s="65" t="s">
        <v>64</v>
      </c>
      <c r="M694" s="113" t="n">
        <v>1.45</v>
      </c>
      <c r="N694" s="114" t="n">
        <v>72000</v>
      </c>
      <c r="O694" s="114" t="n">
        <v>8640</v>
      </c>
      <c r="P694" s="114" t="n">
        <v>104400</v>
      </c>
      <c r="Q694" s="114" t="n">
        <v>88931.34</v>
      </c>
      <c r="R694" s="114" t="n">
        <v>15468.66</v>
      </c>
      <c r="S694" s="115" t="n">
        <v>0.85183275862069</v>
      </c>
      <c r="T694" s="65" t="n">
        <v>27</v>
      </c>
      <c r="U694" s="65" t="n">
        <v>0</v>
      </c>
      <c r="V694" s="65" t="n">
        <v>276183.97</v>
      </c>
      <c r="W694" s="115" t="n">
        <v>0.056</v>
      </c>
      <c r="X694" s="112" t="n">
        <v>44566</v>
      </c>
      <c r="Y694" s="65" t="str">
        <f aca="false">IF(I694="","No SIC",IFERROR(VLOOKUP(I694,Ref!$A$2:$B$65,2,FALSE()),"Unclassified"))</f>
        <v>Administration of Economic Programs</v>
      </c>
      <c r="Z694" s="65" t="str">
        <f aca="false">IF(T694="","",IF(T694&lt;12,"Daily","Weekly"))</f>
        <v>Weekly</v>
      </c>
      <c r="AA694" s="65" t="n">
        <f aca="false">IF(T694="",0,IF(T694&lt;12,T694*Controls!$B$29,T694*5))</f>
        <v>135</v>
      </c>
      <c r="AB694" s="65" t="n">
        <f aca="false">IF(E694="",0,NETWORKDAYS(E694,Controls!$B$36,Ref!$K$2:$K$42))</f>
        <v>119</v>
      </c>
      <c r="AC694" s="65" t="n">
        <f aca="false">IF(AND(AA694&gt;0,AB694&gt;=Controls!$B$39*AA694),1,0)</f>
        <v>0</v>
      </c>
      <c r="AD694" s="65" t="n">
        <f aca="false">IF(AND(E694&lt;&gt;"",E694&gt;=Controls!$B$37,E694&lt;=Controls!$B$38),1,0)</f>
        <v>1</v>
      </c>
      <c r="AE694" s="65" t="n">
        <f aca="false">IF(IFERROR(VLOOKUP(D694,Controls!$A$64:$E$74,2,FALSE()),"No")="Yes",1,0)</f>
        <v>0</v>
      </c>
      <c r="AF694" s="65" t="n">
        <f aca="false">IF(IFERROR(VLOOKUP(D694,Controls!$A$64:$E$74,3,FALSE()),"No")="Yes",1,0)</f>
        <v>0</v>
      </c>
      <c r="AG694" s="65" t="n">
        <f aca="false">IF(IFERROR(VLOOKUP(D694,Controls!$A$64:$E$74,4,FALSE()),"No")="Yes",1,0)</f>
        <v>0</v>
      </c>
      <c r="AH694" s="65" t="n">
        <f aca="false">IF(IFERROR(VLOOKUP(D694,Controls!$A$64:$E$74,5,FALSE()),"No")="Yes",1,0)</f>
        <v>1</v>
      </c>
      <c r="AI694" s="65" t="n">
        <f aca="false">IF(ISNUMBER(MATCH(D694,Controls!$A$64:$A$74,0)),1,0)</f>
        <v>1</v>
      </c>
      <c r="AJ694" s="65" t="n">
        <f aca="false">Q694-N694</f>
        <v>16931.34</v>
      </c>
      <c r="AK694" s="65" t="n">
        <f aca="false">IF(AE694=1,MAX(0,N694-Q694),0)</f>
        <v>0</v>
      </c>
      <c r="AL694" s="65" t="n">
        <f aca="false">IF(OR(V694="",V694=0),0,N694/V694)</f>
        <v>0.26069579635632</v>
      </c>
      <c r="AM694" s="65" t="n">
        <f aca="false">IF(OR(V694="",V694=0),0,1)</f>
        <v>1</v>
      </c>
      <c r="AN694" s="65" t="n">
        <f aca="false">IF(OR(E694="",F694=""),0,NETWORKDAYS(E694,F694,Ref!$K$2:$K$42))</f>
        <v>111</v>
      </c>
      <c r="AO694" s="65" t="n">
        <f aca="false">IF(L694="Renewal",1,0)</f>
        <v>0</v>
      </c>
      <c r="AP694" s="65" t="n">
        <f aca="false">AC694*AD694</f>
        <v>0</v>
      </c>
      <c r="AQ694" s="65" t="n">
        <f aca="false">IF(AND(G694&lt;&gt;"",'Historical Score'!$C$6&lt;&gt;""),IF(G694='Historical Score'!$C$6,1,0),0)</f>
        <v>0</v>
      </c>
      <c r="AR694" s="65" t="n">
        <f aca="false">IF(AND(L694&lt;&gt;"",'Historical Score'!$C$5&lt;&gt;""),IF(L694='Historical Score'!$C$5,1,0),0)</f>
        <v>1</v>
      </c>
      <c r="AS694" s="65" t="n">
        <f aca="false">IF(AND(Y694&lt;&gt;"",'Historical Score'!$C$7&lt;&gt;""),IF(Y694='Historical Score'!$C$7,1,0),0)</f>
        <v>0</v>
      </c>
      <c r="AT694" s="65" t="n">
        <f aca="false">IF(AND(K694&lt;&gt;"",'Historical Score'!$C$8&lt;&gt;""),IF(K694='Historical Score'!$C$8,1,0),0)</f>
        <v>1</v>
      </c>
      <c r="AU694" s="65" t="n">
        <f aca="false">IF(AND(J694&lt;&gt;"",'Historical Score'!$C$9&lt;&gt;""),IF(J694='Historical Score'!$C$9,1,0),0)</f>
        <v>1</v>
      </c>
      <c r="AV694" s="65" t="n">
        <f aca="false">AR694*AS694*AQ694</f>
        <v>0</v>
      </c>
      <c r="AW694" s="65" t="n">
        <f aca="false">AR694*AT694*AQ694</f>
        <v>0</v>
      </c>
      <c r="AX694" s="65" t="n">
        <f aca="false">AR694*AS694</f>
        <v>0</v>
      </c>
      <c r="AY694" s="65" t="n">
        <f aca="false">AR694*AT694</f>
        <v>1</v>
      </c>
      <c r="AZ694" s="65" t="n">
        <f aca="false">AR694*AQ694</f>
        <v>0</v>
      </c>
      <c r="BA694" s="65" t="n">
        <f aca="false">AR694</f>
        <v>1</v>
      </c>
      <c r="BB694" s="65" t="n">
        <f aca="false">1</f>
        <v>1</v>
      </c>
      <c r="BC694" s="65" t="n">
        <f aca="false">IF(AV694=1,1,IF(AW694=1,2,IF(AX694=1,3,IF(AY694=1,4,IF(AZ694=1,5,IF(BA694=1,6,7))))))</f>
        <v>4</v>
      </c>
      <c r="BD694" s="65" t="n">
        <f aca="false">IF(AD694=1,CHOOSE('Historical Score'!$C$29,AV694,AW694,AX694,AY694,AZ694,BA694,BB694),0)</f>
        <v>0</v>
      </c>
      <c r="BE694" s="65" t="str">
        <f aca="false">IF(BD694=1,COUNTIF($BD$2:BD694,1),"")</f>
        <v/>
      </c>
    </row>
    <row r="695" customFormat="false" ht="15" hidden="false" customHeight="false" outlineLevel="0" collapsed="false">
      <c r="A695" s="65" t="s">
        <v>2316</v>
      </c>
      <c r="B695" s="65" t="s">
        <v>2317</v>
      </c>
      <c r="C695" s="65" t="s">
        <v>2318</v>
      </c>
      <c r="D695" s="65" t="s">
        <v>371</v>
      </c>
      <c r="E695" s="112" t="n">
        <v>46091</v>
      </c>
      <c r="F695" s="112" t="n">
        <v>46216</v>
      </c>
      <c r="G695" s="65" t="n">
        <v>3</v>
      </c>
      <c r="H695" s="65" t="s">
        <v>1097</v>
      </c>
      <c r="I695" s="65" t="s">
        <v>367</v>
      </c>
      <c r="J695" s="65" t="s">
        <v>350</v>
      </c>
      <c r="K695" s="65" t="s">
        <v>2319</v>
      </c>
      <c r="L695" s="65" t="s">
        <v>64</v>
      </c>
      <c r="M695" s="113" t="n">
        <v>1.49</v>
      </c>
      <c r="N695" s="114" t="n">
        <v>26000</v>
      </c>
      <c r="O695" s="114" t="n">
        <v>3640</v>
      </c>
      <c r="P695" s="114" t="n">
        <v>38740</v>
      </c>
      <c r="Q695" s="114" t="n">
        <v>38740</v>
      </c>
      <c r="R695" s="114" t="n">
        <v>0</v>
      </c>
      <c r="S695" s="115" t="n">
        <v>1</v>
      </c>
      <c r="T695" s="65" t="n">
        <v>30</v>
      </c>
      <c r="U695" s="65" t="n">
        <v>1</v>
      </c>
      <c r="V695" s="65" t="n">
        <v>227249.49</v>
      </c>
      <c r="W695" s="115" t="n">
        <v>0.0227</v>
      </c>
      <c r="X695" s="112" t="n">
        <v>44410</v>
      </c>
      <c r="Y695" s="65" t="str">
        <f aca="false">IF(I695="","No SIC",IFERROR(VLOOKUP(I695,Ref!$A$2:$B$65,2,FALSE()),"Unclassified"))</f>
        <v>Engineering, Accounting &amp; Management</v>
      </c>
      <c r="Z695" s="65" t="str">
        <f aca="false">IF(T695="","",IF(T695&lt;12,"Daily","Weekly"))</f>
        <v>Weekly</v>
      </c>
      <c r="AA695" s="65" t="n">
        <f aca="false">IF(T695="",0,IF(T695&lt;12,T695*Controls!$B$29,T695*5))</f>
        <v>150</v>
      </c>
      <c r="AB695" s="65" t="n">
        <f aca="false">IF(E695="",0,NETWORKDAYS(E695,Controls!$B$36,Ref!$K$2:$K$42))</f>
        <v>119</v>
      </c>
      <c r="AC695" s="65" t="n">
        <f aca="false">IF(AND(AA695&gt;0,AB695&gt;=Controls!$B$39*AA695),1,0)</f>
        <v>0</v>
      </c>
      <c r="AD695" s="65" t="n">
        <f aca="false">IF(AND(E695&lt;&gt;"",E695&gt;=Controls!$B$37,E695&lt;=Controls!$B$38),1,0)</f>
        <v>1</v>
      </c>
      <c r="AE695" s="65" t="n">
        <f aca="false">IF(IFERROR(VLOOKUP(D695,Controls!$A$64:$E$74,2,FALSE()),"No")="Yes",1,0)</f>
        <v>0</v>
      </c>
      <c r="AF695" s="65" t="n">
        <f aca="false">IF(IFERROR(VLOOKUP(D695,Controls!$A$64:$E$74,3,FALSE()),"No")="Yes",1,0)</f>
        <v>1</v>
      </c>
      <c r="AG695" s="65" t="n">
        <f aca="false">IF(IFERROR(VLOOKUP(D695,Controls!$A$64:$E$74,4,FALSE()),"No")="Yes",1,0)</f>
        <v>1</v>
      </c>
      <c r="AH695" s="65" t="n">
        <f aca="false">IF(IFERROR(VLOOKUP(D695,Controls!$A$64:$E$74,5,FALSE()),"No")="Yes",1,0)</f>
        <v>0</v>
      </c>
      <c r="AI695" s="65" t="n">
        <f aca="false">IF(ISNUMBER(MATCH(D695,Controls!$A$64:$A$74,0)),1,0)</f>
        <v>1</v>
      </c>
      <c r="AJ695" s="65" t="n">
        <f aca="false">Q695-N695</f>
        <v>12740</v>
      </c>
      <c r="AK695" s="65" t="n">
        <f aca="false">IF(AE695=1,MAX(0,N695-Q695),0)</f>
        <v>0</v>
      </c>
      <c r="AL695" s="65" t="n">
        <f aca="false">IF(OR(V695="",V695=0),0,N695/V695)</f>
        <v>0.114411697909641</v>
      </c>
      <c r="AM695" s="65" t="n">
        <f aca="false">IF(OR(V695="",V695=0),0,1)</f>
        <v>1</v>
      </c>
      <c r="AN695" s="65" t="n">
        <f aca="false">IF(OR(E695="",F695=""),0,NETWORKDAYS(E695,F695,Ref!$K$2:$K$42))</f>
        <v>88</v>
      </c>
      <c r="AO695" s="65" t="n">
        <f aca="false">IF(L695="Renewal",1,0)</f>
        <v>0</v>
      </c>
      <c r="AP695" s="65" t="n">
        <f aca="false">AC695*AD695</f>
        <v>0</v>
      </c>
      <c r="AQ695" s="65" t="n">
        <f aca="false">IF(AND(G695&lt;&gt;"",'Historical Score'!$C$6&lt;&gt;""),IF(G695='Historical Score'!$C$6,1,0),0)</f>
        <v>0</v>
      </c>
      <c r="AR695" s="65" t="n">
        <f aca="false">IF(AND(L695&lt;&gt;"",'Historical Score'!$C$5&lt;&gt;""),IF(L695='Historical Score'!$C$5,1,0),0)</f>
        <v>1</v>
      </c>
      <c r="AS695" s="65" t="n">
        <f aca="false">IF(AND(Y695&lt;&gt;"",'Historical Score'!$C$7&lt;&gt;""),IF(Y695='Historical Score'!$C$7,1,0),0)</f>
        <v>0</v>
      </c>
      <c r="AT695" s="65" t="n">
        <f aca="false">IF(AND(K695&lt;&gt;"",'Historical Score'!$C$8&lt;&gt;""),IF(K695='Historical Score'!$C$8,1,0),0)</f>
        <v>0</v>
      </c>
      <c r="AU695" s="65" t="n">
        <f aca="false">IF(AND(J695&lt;&gt;"",'Historical Score'!$C$9&lt;&gt;""),IF(J695='Historical Score'!$C$9,1,0),0)</f>
        <v>0</v>
      </c>
      <c r="AV695" s="65" t="n">
        <f aca="false">AR695*AS695*AQ695</f>
        <v>0</v>
      </c>
      <c r="AW695" s="65" t="n">
        <f aca="false">AR695*AT695*AQ695</f>
        <v>0</v>
      </c>
      <c r="AX695" s="65" t="n">
        <f aca="false">AR695*AS695</f>
        <v>0</v>
      </c>
      <c r="AY695" s="65" t="n">
        <f aca="false">AR695*AT695</f>
        <v>0</v>
      </c>
      <c r="AZ695" s="65" t="n">
        <f aca="false">AR695*AQ695</f>
        <v>0</v>
      </c>
      <c r="BA695" s="65" t="n">
        <f aca="false">AR695</f>
        <v>1</v>
      </c>
      <c r="BB695" s="65" t="n">
        <f aca="false">1</f>
        <v>1</v>
      </c>
      <c r="BC695" s="65" t="n">
        <f aca="false">IF(AV695=1,1,IF(AW695=1,2,IF(AX695=1,3,IF(AY695=1,4,IF(AZ695=1,5,IF(BA695=1,6,7))))))</f>
        <v>6</v>
      </c>
      <c r="BD695" s="65" t="n">
        <f aca="false">IF(AD695=1,CHOOSE('Historical Score'!$C$29,AV695,AW695,AX695,AY695,AZ695,BA695,BB695),0)</f>
        <v>0</v>
      </c>
      <c r="BE695" s="65" t="str">
        <f aca="false">IF(BD695=1,COUNTIF($BD$2:BD695,1),"")</f>
        <v/>
      </c>
    </row>
    <row r="696" customFormat="false" ht="15" hidden="false" customHeight="false" outlineLevel="0" collapsed="false">
      <c r="A696" s="65" t="s">
        <v>2320</v>
      </c>
      <c r="B696" s="65" t="s">
        <v>2321</v>
      </c>
      <c r="C696" s="65" t="s">
        <v>2321</v>
      </c>
      <c r="D696" s="65" t="s">
        <v>340</v>
      </c>
      <c r="E696" s="112" t="n">
        <v>46091</v>
      </c>
      <c r="F696" s="112" t="n">
        <v>46234</v>
      </c>
      <c r="G696" s="65" t="n">
        <v>3</v>
      </c>
      <c r="H696" s="65" t="s">
        <v>479</v>
      </c>
      <c r="I696" s="65" t="s">
        <v>356</v>
      </c>
      <c r="J696" s="65" t="s">
        <v>510</v>
      </c>
      <c r="K696" s="65" t="s">
        <v>2322</v>
      </c>
      <c r="L696" s="65" t="s">
        <v>64</v>
      </c>
      <c r="M696" s="113" t="n">
        <v>1.49</v>
      </c>
      <c r="N696" s="114" t="n">
        <v>5000</v>
      </c>
      <c r="O696" s="114" t="n">
        <v>700</v>
      </c>
      <c r="P696" s="114" t="n">
        <v>7450</v>
      </c>
      <c r="Q696" s="114" t="n">
        <v>5002.01</v>
      </c>
      <c r="R696" s="114" t="n">
        <v>2447.99</v>
      </c>
      <c r="S696" s="115" t="n">
        <v>0.671410738255034</v>
      </c>
      <c r="T696" s="65" t="n">
        <v>1.967</v>
      </c>
      <c r="U696" s="65" t="n">
        <v>21</v>
      </c>
      <c r="V696" s="65" t="n">
        <v>63343.36</v>
      </c>
      <c r="W696" s="115" t="n">
        <v>0.0412</v>
      </c>
      <c r="X696" s="112" t="n">
        <v>44039</v>
      </c>
      <c r="Y696" s="65" t="str">
        <f aca="false">IF(I696="","No SIC",IFERROR(VLOOKUP(I696,Ref!$A$2:$B$65,2,FALSE()),"Unclassified"))</f>
        <v>Trucking &amp; Warehousing</v>
      </c>
      <c r="Z696" s="65" t="str">
        <f aca="false">IF(T696="","",IF(T696&lt;12,"Daily","Weekly"))</f>
        <v>Daily</v>
      </c>
      <c r="AA696" s="65" t="n">
        <f aca="false">IF(T696="",0,IF(T696&lt;12,T696*Controls!$B$29,T696*5))</f>
        <v>42.595385</v>
      </c>
      <c r="AB696" s="65" t="n">
        <f aca="false">IF(E696="",0,NETWORKDAYS(E696,Controls!$B$36,Ref!$K$2:$K$42))</f>
        <v>119</v>
      </c>
      <c r="AC696" s="65" t="n">
        <f aca="false">IF(AND(AA696&gt;0,AB696&gt;=Controls!$B$39*AA696),1,0)</f>
        <v>1</v>
      </c>
      <c r="AD696" s="65" t="n">
        <f aca="false">IF(AND(E696&lt;&gt;"",E696&gt;=Controls!$B$37,E696&lt;=Controls!$B$38),1,0)</f>
        <v>1</v>
      </c>
      <c r="AE696" s="65" t="n">
        <f aca="false">IF(IFERROR(VLOOKUP(D696,Controls!$A$64:$E$74,2,FALSE()),"No")="Yes",1,0)</f>
        <v>1</v>
      </c>
      <c r="AF696" s="65" t="n">
        <f aca="false">IF(IFERROR(VLOOKUP(D696,Controls!$A$64:$E$74,3,FALSE()),"No")="Yes",1,0)</f>
        <v>0</v>
      </c>
      <c r="AG696" s="65" t="n">
        <f aca="false">IF(IFERROR(VLOOKUP(D696,Controls!$A$64:$E$74,4,FALSE()),"No")="Yes",1,0)</f>
        <v>0</v>
      </c>
      <c r="AH696" s="65" t="n">
        <f aca="false">IF(IFERROR(VLOOKUP(D696,Controls!$A$64:$E$74,5,FALSE()),"No")="Yes",1,0)</f>
        <v>0</v>
      </c>
      <c r="AI696" s="65" t="n">
        <f aca="false">IF(ISNUMBER(MATCH(D696,Controls!$A$64:$A$74,0)),1,0)</f>
        <v>1</v>
      </c>
      <c r="AJ696" s="65" t="n">
        <f aca="false">Q696-N696</f>
        <v>2.01000000000022</v>
      </c>
      <c r="AK696" s="65" t="n">
        <f aca="false">IF(AE696=1,MAX(0,N696-Q696),0)</f>
        <v>0</v>
      </c>
      <c r="AL696" s="65" t="n">
        <f aca="false">IF(OR(V696="",V696=0),0,N696/V696)</f>
        <v>0.0789348717845091</v>
      </c>
      <c r="AM696" s="65" t="n">
        <f aca="false">IF(OR(V696="",V696=0),0,1)</f>
        <v>1</v>
      </c>
      <c r="AN696" s="65" t="n">
        <f aca="false">IF(OR(E696="",F696=""),0,NETWORKDAYS(E696,F696,Ref!$K$2:$K$42))</f>
        <v>102</v>
      </c>
      <c r="AO696" s="65" t="n">
        <f aca="false">IF(L696="Renewal",1,0)</f>
        <v>0</v>
      </c>
      <c r="AP696" s="65" t="n">
        <f aca="false">AC696*AD696</f>
        <v>1</v>
      </c>
      <c r="AQ696" s="65" t="n">
        <f aca="false">IF(AND(G696&lt;&gt;"",'Historical Score'!$C$6&lt;&gt;""),IF(G696='Historical Score'!$C$6,1,0),0)</f>
        <v>0</v>
      </c>
      <c r="AR696" s="65" t="n">
        <f aca="false">IF(AND(L696&lt;&gt;"",'Historical Score'!$C$5&lt;&gt;""),IF(L696='Historical Score'!$C$5,1,0),0)</f>
        <v>1</v>
      </c>
      <c r="AS696" s="65" t="n">
        <f aca="false">IF(AND(Y696&lt;&gt;"",'Historical Score'!$C$7&lt;&gt;""),IF(Y696='Historical Score'!$C$7,1,0),0)</f>
        <v>0</v>
      </c>
      <c r="AT696" s="65" t="n">
        <f aca="false">IF(AND(K696&lt;&gt;"",'Historical Score'!$C$8&lt;&gt;""),IF(K696='Historical Score'!$C$8,1,0),0)</f>
        <v>0</v>
      </c>
      <c r="AU696" s="65" t="n">
        <f aca="false">IF(AND(J696&lt;&gt;"",'Historical Score'!$C$9&lt;&gt;""),IF(J696='Historical Score'!$C$9,1,0),0)</f>
        <v>0</v>
      </c>
      <c r="AV696" s="65" t="n">
        <f aca="false">AR696*AS696*AQ696</f>
        <v>0</v>
      </c>
      <c r="AW696" s="65" t="n">
        <f aca="false">AR696*AT696*AQ696</f>
        <v>0</v>
      </c>
      <c r="AX696" s="65" t="n">
        <f aca="false">AR696*AS696</f>
        <v>0</v>
      </c>
      <c r="AY696" s="65" t="n">
        <f aca="false">AR696*AT696</f>
        <v>0</v>
      </c>
      <c r="AZ696" s="65" t="n">
        <f aca="false">AR696*AQ696</f>
        <v>0</v>
      </c>
      <c r="BA696" s="65" t="n">
        <f aca="false">AR696</f>
        <v>1</v>
      </c>
      <c r="BB696" s="65" t="n">
        <f aca="false">1</f>
        <v>1</v>
      </c>
      <c r="BC696" s="65" t="n">
        <f aca="false">IF(AV696=1,1,IF(AW696=1,2,IF(AX696=1,3,IF(AY696=1,4,IF(AZ696=1,5,IF(BA696=1,6,7))))))</f>
        <v>6</v>
      </c>
      <c r="BD696" s="65" t="n">
        <f aca="false">IF(AD696=1,CHOOSE('Historical Score'!$C$29,AV696,AW696,AX696,AY696,AZ696,BA696,BB696),0)</f>
        <v>0</v>
      </c>
      <c r="BE696" s="65" t="str">
        <f aca="false">IF(BD696=1,COUNTIF($BD$2:BD696,1),"")</f>
        <v/>
      </c>
    </row>
    <row r="697" customFormat="false" ht="15" hidden="false" customHeight="false" outlineLevel="0" collapsed="false">
      <c r="A697" s="65" t="s">
        <v>2323</v>
      </c>
      <c r="B697" s="65" t="s">
        <v>2324</v>
      </c>
      <c r="C697" s="65" t="s">
        <v>2325</v>
      </c>
      <c r="D697" s="65" t="s">
        <v>371</v>
      </c>
      <c r="E697" s="112" t="n">
        <v>46091</v>
      </c>
      <c r="F697" s="112" t="n">
        <v>46175</v>
      </c>
      <c r="G697" s="65" t="n">
        <v>3</v>
      </c>
      <c r="H697" s="65" t="s">
        <v>1055</v>
      </c>
      <c r="I697" s="65" t="s">
        <v>643</v>
      </c>
      <c r="J697" s="65" t="s">
        <v>61</v>
      </c>
      <c r="K697" s="65" t="s">
        <v>2326</v>
      </c>
      <c r="L697" s="65" t="s">
        <v>64</v>
      </c>
      <c r="M697" s="113" t="n">
        <v>1.49</v>
      </c>
      <c r="N697" s="114" t="n">
        <v>20000</v>
      </c>
      <c r="O697" s="114" t="n">
        <v>2800</v>
      </c>
      <c r="P697" s="114" t="n">
        <v>29800</v>
      </c>
      <c r="Q697" s="114" t="n">
        <v>29800</v>
      </c>
      <c r="R697" s="114" t="n">
        <v>0</v>
      </c>
      <c r="S697" s="115" t="n">
        <v>1</v>
      </c>
      <c r="T697" s="65" t="n">
        <v>2.951</v>
      </c>
      <c r="U697" s="65" t="n">
        <v>3</v>
      </c>
      <c r="V697" s="65" t="n">
        <v>57633.25</v>
      </c>
      <c r="W697" s="115" t="n">
        <v>0.1206</v>
      </c>
      <c r="X697" s="112" t="n">
        <v>30376</v>
      </c>
      <c r="Y697" s="65" t="str">
        <f aca="false">IF(I697="","No SIC",IFERROR(VLOOKUP(I697,Ref!$A$2:$B$65,2,FALSE()),"Unclassified"))</f>
        <v>Agricultural Services</v>
      </c>
      <c r="Z697" s="65" t="str">
        <f aca="false">IF(T697="","",IF(T697&lt;12,"Daily","Weekly"))</f>
        <v>Daily</v>
      </c>
      <c r="AA697" s="65" t="n">
        <f aca="false">IF(T697="",0,IF(T697&lt;12,T697*Controls!$B$29,T697*5))</f>
        <v>63.903905</v>
      </c>
      <c r="AB697" s="65" t="n">
        <f aca="false">IF(E697="",0,NETWORKDAYS(E697,Controls!$B$36,Ref!$K$2:$K$42))</f>
        <v>119</v>
      </c>
      <c r="AC697" s="65" t="n">
        <f aca="false">IF(AND(AA697&gt;0,AB697&gt;=Controls!$B$39*AA697),1,0)</f>
        <v>1</v>
      </c>
      <c r="AD697" s="65" t="n">
        <f aca="false">IF(AND(E697&lt;&gt;"",E697&gt;=Controls!$B$37,E697&lt;=Controls!$B$38),1,0)</f>
        <v>1</v>
      </c>
      <c r="AE697" s="65" t="n">
        <f aca="false">IF(IFERROR(VLOOKUP(D697,Controls!$A$64:$E$74,2,FALSE()),"No")="Yes",1,0)</f>
        <v>0</v>
      </c>
      <c r="AF697" s="65" t="n">
        <f aca="false">IF(IFERROR(VLOOKUP(D697,Controls!$A$64:$E$74,3,FALSE()),"No")="Yes",1,0)</f>
        <v>1</v>
      </c>
      <c r="AG697" s="65" t="n">
        <f aca="false">IF(IFERROR(VLOOKUP(D697,Controls!$A$64:$E$74,4,FALSE()),"No")="Yes",1,0)</f>
        <v>1</v>
      </c>
      <c r="AH697" s="65" t="n">
        <f aca="false">IF(IFERROR(VLOOKUP(D697,Controls!$A$64:$E$74,5,FALSE()),"No")="Yes",1,0)</f>
        <v>0</v>
      </c>
      <c r="AI697" s="65" t="n">
        <f aca="false">IF(ISNUMBER(MATCH(D697,Controls!$A$64:$A$74,0)),1,0)</f>
        <v>1</v>
      </c>
      <c r="AJ697" s="65" t="n">
        <f aca="false">Q697-N697</f>
        <v>9800</v>
      </c>
      <c r="AK697" s="65" t="n">
        <f aca="false">IF(AE697=1,MAX(0,N697-Q697),0)</f>
        <v>0</v>
      </c>
      <c r="AL697" s="65" t="n">
        <f aca="false">IF(OR(V697="",V697=0),0,N697/V697)</f>
        <v>0.347021901419753</v>
      </c>
      <c r="AM697" s="65" t="n">
        <f aca="false">IF(OR(V697="",V697=0),0,1)</f>
        <v>1</v>
      </c>
      <c r="AN697" s="65" t="n">
        <f aca="false">IF(OR(E697="",F697=""),0,NETWORKDAYS(E697,F697,Ref!$K$2:$K$42))</f>
        <v>60</v>
      </c>
      <c r="AO697" s="65" t="n">
        <f aca="false">IF(L697="Renewal",1,0)</f>
        <v>0</v>
      </c>
      <c r="AP697" s="65" t="n">
        <f aca="false">AC697*AD697</f>
        <v>1</v>
      </c>
      <c r="AQ697" s="65" t="n">
        <f aca="false">IF(AND(G697&lt;&gt;"",'Historical Score'!$C$6&lt;&gt;""),IF(G697='Historical Score'!$C$6,1,0),0)</f>
        <v>0</v>
      </c>
      <c r="AR697" s="65" t="n">
        <f aca="false">IF(AND(L697&lt;&gt;"",'Historical Score'!$C$5&lt;&gt;""),IF(L697='Historical Score'!$C$5,1,0),0)</f>
        <v>1</v>
      </c>
      <c r="AS697" s="65" t="n">
        <f aca="false">IF(AND(Y697&lt;&gt;"",'Historical Score'!$C$7&lt;&gt;""),IF(Y697='Historical Score'!$C$7,1,0),0)</f>
        <v>0</v>
      </c>
      <c r="AT697" s="65" t="n">
        <f aca="false">IF(AND(K697&lt;&gt;"",'Historical Score'!$C$8&lt;&gt;""),IF(K697='Historical Score'!$C$8,1,0),0)</f>
        <v>0</v>
      </c>
      <c r="AU697" s="65" t="n">
        <f aca="false">IF(AND(J697&lt;&gt;"",'Historical Score'!$C$9&lt;&gt;""),IF(J697='Historical Score'!$C$9,1,0),0)</f>
        <v>1</v>
      </c>
      <c r="AV697" s="65" t="n">
        <f aca="false">AR697*AS697*AQ697</f>
        <v>0</v>
      </c>
      <c r="AW697" s="65" t="n">
        <f aca="false">AR697*AT697*AQ697</f>
        <v>0</v>
      </c>
      <c r="AX697" s="65" t="n">
        <f aca="false">AR697*AS697</f>
        <v>0</v>
      </c>
      <c r="AY697" s="65" t="n">
        <f aca="false">AR697*AT697</f>
        <v>0</v>
      </c>
      <c r="AZ697" s="65" t="n">
        <f aca="false">AR697*AQ697</f>
        <v>0</v>
      </c>
      <c r="BA697" s="65" t="n">
        <f aca="false">AR697</f>
        <v>1</v>
      </c>
      <c r="BB697" s="65" t="n">
        <f aca="false">1</f>
        <v>1</v>
      </c>
      <c r="BC697" s="65" t="n">
        <f aca="false">IF(AV697=1,1,IF(AW697=1,2,IF(AX697=1,3,IF(AY697=1,4,IF(AZ697=1,5,IF(BA697=1,6,7))))))</f>
        <v>6</v>
      </c>
      <c r="BD697" s="65" t="n">
        <f aca="false">IF(AD697=1,CHOOSE('Historical Score'!$C$29,AV697,AW697,AX697,AY697,AZ697,BA697,BB697),0)</f>
        <v>0</v>
      </c>
      <c r="BE697" s="65" t="str">
        <f aca="false">IF(BD697=1,COUNTIF($BD$2:BD697,1),"")</f>
        <v/>
      </c>
    </row>
    <row r="698" customFormat="false" ht="15" hidden="false" customHeight="false" outlineLevel="0" collapsed="false">
      <c r="A698" s="65" t="s">
        <v>2327</v>
      </c>
      <c r="B698" s="65" t="s">
        <v>2328</v>
      </c>
      <c r="C698" s="65" t="s">
        <v>2329</v>
      </c>
      <c r="D698" s="65" t="s">
        <v>371</v>
      </c>
      <c r="E698" s="112" t="n">
        <v>46092</v>
      </c>
      <c r="F698" s="112" t="n">
        <v>46168</v>
      </c>
      <c r="G698" s="65" t="n">
        <v>3</v>
      </c>
      <c r="H698" s="65" t="s">
        <v>748</v>
      </c>
      <c r="I698" s="65" t="s">
        <v>619</v>
      </c>
      <c r="J698" s="65" t="s">
        <v>671</v>
      </c>
      <c r="K698" s="65" t="s">
        <v>2330</v>
      </c>
      <c r="L698" s="65" t="s">
        <v>64</v>
      </c>
      <c r="M698" s="113" t="n">
        <v>1.45</v>
      </c>
      <c r="N698" s="114" t="n">
        <v>25000</v>
      </c>
      <c r="O698" s="114" t="n">
        <v>3000</v>
      </c>
      <c r="P698" s="114" t="n">
        <v>36250</v>
      </c>
      <c r="Q698" s="114" t="n">
        <v>36250</v>
      </c>
      <c r="R698" s="114" t="n">
        <v>0</v>
      </c>
      <c r="S698" s="115" t="n">
        <v>1</v>
      </c>
      <c r="T698" s="65" t="n">
        <v>2.295</v>
      </c>
      <c r="U698" s="65" t="n">
        <v>2</v>
      </c>
      <c r="V698" s="65" t="n">
        <v>152565.23</v>
      </c>
      <c r="W698" s="115" t="n">
        <v>0.0713</v>
      </c>
      <c r="X698" s="112" t="n">
        <v>45108</v>
      </c>
      <c r="Y698" s="65" t="str">
        <f aca="false">IF(I698="","No SIC",IFERROR(VLOOKUP(I698,Ref!$A$2:$B$65,2,FALSE()),"Unclassified"))</f>
        <v>Miscellaneous Retail</v>
      </c>
      <c r="Z698" s="65" t="str">
        <f aca="false">IF(T698="","",IF(T698&lt;12,"Daily","Weekly"))</f>
        <v>Daily</v>
      </c>
      <c r="AA698" s="65" t="n">
        <f aca="false">IF(T698="",0,IF(T698&lt;12,T698*Controls!$B$29,T698*5))</f>
        <v>49.698225</v>
      </c>
      <c r="AB698" s="65" t="n">
        <f aca="false">IF(E698="",0,NETWORKDAYS(E698,Controls!$B$36,Ref!$K$2:$K$42))</f>
        <v>118</v>
      </c>
      <c r="AC698" s="65" t="n">
        <f aca="false">IF(AND(AA698&gt;0,AB698&gt;=Controls!$B$39*AA698),1,0)</f>
        <v>1</v>
      </c>
      <c r="AD698" s="65" t="n">
        <f aca="false">IF(AND(E698&lt;&gt;"",E698&gt;=Controls!$B$37,E698&lt;=Controls!$B$38),1,0)</f>
        <v>1</v>
      </c>
      <c r="AE698" s="65" t="n">
        <f aca="false">IF(IFERROR(VLOOKUP(D698,Controls!$A$64:$E$74,2,FALSE()),"No")="Yes",1,0)</f>
        <v>0</v>
      </c>
      <c r="AF698" s="65" t="n">
        <f aca="false">IF(IFERROR(VLOOKUP(D698,Controls!$A$64:$E$74,3,FALSE()),"No")="Yes",1,0)</f>
        <v>1</v>
      </c>
      <c r="AG698" s="65" t="n">
        <f aca="false">IF(IFERROR(VLOOKUP(D698,Controls!$A$64:$E$74,4,FALSE()),"No")="Yes",1,0)</f>
        <v>1</v>
      </c>
      <c r="AH698" s="65" t="n">
        <f aca="false">IF(IFERROR(VLOOKUP(D698,Controls!$A$64:$E$74,5,FALSE()),"No")="Yes",1,0)</f>
        <v>0</v>
      </c>
      <c r="AI698" s="65" t="n">
        <f aca="false">IF(ISNUMBER(MATCH(D698,Controls!$A$64:$A$74,0)),1,0)</f>
        <v>1</v>
      </c>
      <c r="AJ698" s="65" t="n">
        <f aca="false">Q698-N698</f>
        <v>11250</v>
      </c>
      <c r="AK698" s="65" t="n">
        <f aca="false">IF(AE698=1,MAX(0,N698-Q698),0)</f>
        <v>0</v>
      </c>
      <c r="AL698" s="65" t="n">
        <f aca="false">IF(OR(V698="",V698=0),0,N698/V698)</f>
        <v>0.16386433527482</v>
      </c>
      <c r="AM698" s="65" t="n">
        <f aca="false">IF(OR(V698="",V698=0),0,1)</f>
        <v>1</v>
      </c>
      <c r="AN698" s="65" t="n">
        <f aca="false">IF(OR(E698="",F698=""),0,NETWORKDAYS(E698,F698,Ref!$K$2:$K$42))</f>
        <v>54</v>
      </c>
      <c r="AO698" s="65" t="n">
        <f aca="false">IF(L698="Renewal",1,0)</f>
        <v>0</v>
      </c>
      <c r="AP698" s="65" t="n">
        <f aca="false">AC698*AD698</f>
        <v>1</v>
      </c>
      <c r="AQ698" s="65" t="n">
        <f aca="false">IF(AND(G698&lt;&gt;"",'Historical Score'!$C$6&lt;&gt;""),IF(G698='Historical Score'!$C$6,1,0),0)</f>
        <v>0</v>
      </c>
      <c r="AR698" s="65" t="n">
        <f aca="false">IF(AND(L698&lt;&gt;"",'Historical Score'!$C$5&lt;&gt;""),IF(L698='Historical Score'!$C$5,1,0),0)</f>
        <v>1</v>
      </c>
      <c r="AS698" s="65" t="n">
        <f aca="false">IF(AND(Y698&lt;&gt;"",'Historical Score'!$C$7&lt;&gt;""),IF(Y698='Historical Score'!$C$7,1,0),0)</f>
        <v>0</v>
      </c>
      <c r="AT698" s="65" t="n">
        <f aca="false">IF(AND(K698&lt;&gt;"",'Historical Score'!$C$8&lt;&gt;""),IF(K698='Historical Score'!$C$8,1,0),0)</f>
        <v>0</v>
      </c>
      <c r="AU698" s="65" t="n">
        <f aca="false">IF(AND(J698&lt;&gt;"",'Historical Score'!$C$9&lt;&gt;""),IF(J698='Historical Score'!$C$9,1,0),0)</f>
        <v>0</v>
      </c>
      <c r="AV698" s="65" t="n">
        <f aca="false">AR698*AS698*AQ698</f>
        <v>0</v>
      </c>
      <c r="AW698" s="65" t="n">
        <f aca="false">AR698*AT698*AQ698</f>
        <v>0</v>
      </c>
      <c r="AX698" s="65" t="n">
        <f aca="false">AR698*AS698</f>
        <v>0</v>
      </c>
      <c r="AY698" s="65" t="n">
        <f aca="false">AR698*AT698</f>
        <v>0</v>
      </c>
      <c r="AZ698" s="65" t="n">
        <f aca="false">AR698*AQ698</f>
        <v>0</v>
      </c>
      <c r="BA698" s="65" t="n">
        <f aca="false">AR698</f>
        <v>1</v>
      </c>
      <c r="BB698" s="65" t="n">
        <f aca="false">1</f>
        <v>1</v>
      </c>
      <c r="BC698" s="65" t="n">
        <f aca="false">IF(AV698=1,1,IF(AW698=1,2,IF(AX698=1,3,IF(AY698=1,4,IF(AZ698=1,5,IF(BA698=1,6,7))))))</f>
        <v>6</v>
      </c>
      <c r="BD698" s="65" t="n">
        <f aca="false">IF(AD698=1,CHOOSE('Historical Score'!$C$29,AV698,AW698,AX698,AY698,AZ698,BA698,BB698),0)</f>
        <v>0</v>
      </c>
      <c r="BE698" s="65" t="str">
        <f aca="false">IF(BD698=1,COUNTIF($BD$2:BD698,1),"")</f>
        <v/>
      </c>
    </row>
    <row r="699" customFormat="false" ht="15" hidden="false" customHeight="false" outlineLevel="0" collapsed="false">
      <c r="A699" s="65" t="s">
        <v>2331</v>
      </c>
      <c r="B699" s="65" t="s">
        <v>2332</v>
      </c>
      <c r="C699" s="65" t="s">
        <v>2332</v>
      </c>
      <c r="D699" s="65" t="s">
        <v>295</v>
      </c>
      <c r="E699" s="112" t="n">
        <v>46092</v>
      </c>
      <c r="F699" s="112" t="n">
        <v>46253</v>
      </c>
      <c r="G699" s="65" t="n">
        <v>3</v>
      </c>
      <c r="H699" s="65" t="s">
        <v>748</v>
      </c>
      <c r="I699" s="65" t="s">
        <v>619</v>
      </c>
      <c r="J699" s="65" t="s">
        <v>373</v>
      </c>
      <c r="K699" s="65" t="s">
        <v>1963</v>
      </c>
      <c r="L699" s="65" t="s">
        <v>64</v>
      </c>
      <c r="M699" s="113" t="n">
        <v>1.49</v>
      </c>
      <c r="N699" s="114" t="n">
        <v>10000</v>
      </c>
      <c r="O699" s="114" t="n">
        <v>1400</v>
      </c>
      <c r="P699" s="114" t="n">
        <v>14900</v>
      </c>
      <c r="Q699" s="114" t="n">
        <v>11917.8</v>
      </c>
      <c r="R699" s="114" t="n">
        <v>2982.2</v>
      </c>
      <c r="S699" s="115" t="n">
        <v>0.799852348993289</v>
      </c>
      <c r="T699" s="65" t="n">
        <v>2.459</v>
      </c>
      <c r="U699" s="65" t="n">
        <v>34</v>
      </c>
      <c r="V699" s="65" t="n">
        <v>27103.39</v>
      </c>
      <c r="W699" s="115" t="n">
        <v>0.1539</v>
      </c>
      <c r="X699" s="112" t="n">
        <v>45383</v>
      </c>
      <c r="Y699" s="65" t="str">
        <f aca="false">IF(I699="","No SIC",IFERROR(VLOOKUP(I699,Ref!$A$2:$B$65,2,FALSE()),"Unclassified"))</f>
        <v>Miscellaneous Retail</v>
      </c>
      <c r="Z699" s="65" t="str">
        <f aca="false">IF(T699="","",IF(T699&lt;12,"Daily","Weekly"))</f>
        <v>Daily</v>
      </c>
      <c r="AA699" s="65" t="n">
        <f aca="false">IF(T699="",0,IF(T699&lt;12,T699*Controls!$B$29,T699*5))</f>
        <v>53.249645</v>
      </c>
      <c r="AB699" s="65" t="n">
        <f aca="false">IF(E699="",0,NETWORKDAYS(E699,Controls!$B$36,Ref!$K$2:$K$42))</f>
        <v>118</v>
      </c>
      <c r="AC699" s="65" t="n">
        <f aca="false">IF(AND(AA699&gt;0,AB699&gt;=Controls!$B$39*AA699),1,0)</f>
        <v>1</v>
      </c>
      <c r="AD699" s="65" t="n">
        <f aca="false">IF(AND(E699&lt;&gt;"",E699&gt;=Controls!$B$37,E699&lt;=Controls!$B$38),1,0)</f>
        <v>1</v>
      </c>
      <c r="AE699" s="65" t="n">
        <f aca="false">IF(IFERROR(VLOOKUP(D699,Controls!$A$64:$E$74,2,FALSE()),"No")="Yes",1,0)</f>
        <v>0</v>
      </c>
      <c r="AF699" s="65" t="n">
        <f aca="false">IF(IFERROR(VLOOKUP(D699,Controls!$A$64:$E$74,3,FALSE()),"No")="Yes",1,0)</f>
        <v>0</v>
      </c>
      <c r="AG699" s="65" t="n">
        <f aca="false">IF(IFERROR(VLOOKUP(D699,Controls!$A$64:$E$74,4,FALSE()),"No")="Yes",1,0)</f>
        <v>0</v>
      </c>
      <c r="AH699" s="65" t="n">
        <f aca="false">IF(IFERROR(VLOOKUP(D699,Controls!$A$64:$E$74,5,FALSE()),"No")="Yes",1,0)</f>
        <v>1</v>
      </c>
      <c r="AI699" s="65" t="n">
        <f aca="false">IF(ISNUMBER(MATCH(D699,Controls!$A$64:$A$74,0)),1,0)</f>
        <v>1</v>
      </c>
      <c r="AJ699" s="65" t="n">
        <f aca="false">Q699-N699</f>
        <v>1917.8</v>
      </c>
      <c r="AK699" s="65" t="n">
        <f aca="false">IF(AE699=1,MAX(0,N699-Q699),0)</f>
        <v>0</v>
      </c>
      <c r="AL699" s="65" t="n">
        <f aca="false">IF(OR(V699="",V699=0),0,N699/V699)</f>
        <v>0.368957536308189</v>
      </c>
      <c r="AM699" s="65" t="n">
        <f aca="false">IF(OR(V699="",V699=0),0,1)</f>
        <v>1</v>
      </c>
      <c r="AN699" s="65" t="n">
        <f aca="false">IF(OR(E699="",F699=""),0,NETWORKDAYS(E699,F699,Ref!$K$2:$K$42))</f>
        <v>114</v>
      </c>
      <c r="AO699" s="65" t="n">
        <f aca="false">IF(L699="Renewal",1,0)</f>
        <v>0</v>
      </c>
      <c r="AP699" s="65" t="n">
        <f aca="false">AC699*AD699</f>
        <v>1</v>
      </c>
      <c r="AQ699" s="65" t="n">
        <f aca="false">IF(AND(G699&lt;&gt;"",'Historical Score'!$C$6&lt;&gt;""),IF(G699='Historical Score'!$C$6,1,0),0)</f>
        <v>0</v>
      </c>
      <c r="AR699" s="65" t="n">
        <f aca="false">IF(AND(L699&lt;&gt;"",'Historical Score'!$C$5&lt;&gt;""),IF(L699='Historical Score'!$C$5,1,0),0)</f>
        <v>1</v>
      </c>
      <c r="AS699" s="65" t="n">
        <f aca="false">IF(AND(Y699&lt;&gt;"",'Historical Score'!$C$7&lt;&gt;""),IF(Y699='Historical Score'!$C$7,1,0),0)</f>
        <v>0</v>
      </c>
      <c r="AT699" s="65" t="n">
        <f aca="false">IF(AND(K699&lt;&gt;"",'Historical Score'!$C$8&lt;&gt;""),IF(K699='Historical Score'!$C$8,1,0),0)</f>
        <v>0</v>
      </c>
      <c r="AU699" s="65" t="n">
        <f aca="false">IF(AND(J699&lt;&gt;"",'Historical Score'!$C$9&lt;&gt;""),IF(J699='Historical Score'!$C$9,1,0),0)</f>
        <v>0</v>
      </c>
      <c r="AV699" s="65" t="n">
        <f aca="false">AR699*AS699*AQ699</f>
        <v>0</v>
      </c>
      <c r="AW699" s="65" t="n">
        <f aca="false">AR699*AT699*AQ699</f>
        <v>0</v>
      </c>
      <c r="AX699" s="65" t="n">
        <f aca="false">AR699*AS699</f>
        <v>0</v>
      </c>
      <c r="AY699" s="65" t="n">
        <f aca="false">AR699*AT699</f>
        <v>0</v>
      </c>
      <c r="AZ699" s="65" t="n">
        <f aca="false">AR699*AQ699</f>
        <v>0</v>
      </c>
      <c r="BA699" s="65" t="n">
        <f aca="false">AR699</f>
        <v>1</v>
      </c>
      <c r="BB699" s="65" t="n">
        <f aca="false">1</f>
        <v>1</v>
      </c>
      <c r="BC699" s="65" t="n">
        <f aca="false">IF(AV699=1,1,IF(AW699=1,2,IF(AX699=1,3,IF(AY699=1,4,IF(AZ699=1,5,IF(BA699=1,6,7))))))</f>
        <v>6</v>
      </c>
      <c r="BD699" s="65" t="n">
        <f aca="false">IF(AD699=1,CHOOSE('Historical Score'!$C$29,AV699,AW699,AX699,AY699,AZ699,BA699,BB699),0)</f>
        <v>0</v>
      </c>
      <c r="BE699" s="65" t="str">
        <f aca="false">IF(BD699=1,COUNTIF($BD$2:BD699,1),"")</f>
        <v/>
      </c>
    </row>
    <row r="700" customFormat="false" ht="15" hidden="false" customHeight="false" outlineLevel="0" collapsed="false">
      <c r="A700" s="65" t="s">
        <v>2333</v>
      </c>
      <c r="B700" s="65" t="s">
        <v>2334</v>
      </c>
      <c r="C700" s="65" t="s">
        <v>2334</v>
      </c>
      <c r="D700" s="65" t="s">
        <v>371</v>
      </c>
      <c r="E700" s="112" t="n">
        <v>46092</v>
      </c>
      <c r="F700" s="112" t="n">
        <v>46169</v>
      </c>
      <c r="G700" s="65" t="n">
        <v>3</v>
      </c>
      <c r="H700" s="65" t="s">
        <v>479</v>
      </c>
      <c r="I700" s="65" t="s">
        <v>356</v>
      </c>
      <c r="J700" s="65" t="s">
        <v>555</v>
      </c>
      <c r="K700" s="65" t="s">
        <v>983</v>
      </c>
      <c r="L700" s="65" t="s">
        <v>64</v>
      </c>
      <c r="M700" s="113" t="n">
        <v>1.49</v>
      </c>
      <c r="N700" s="114" t="n">
        <v>20000</v>
      </c>
      <c r="O700" s="114" t="n">
        <v>2800</v>
      </c>
      <c r="P700" s="114" t="n">
        <v>29800</v>
      </c>
      <c r="Q700" s="114" t="n">
        <v>29800</v>
      </c>
      <c r="R700" s="114" t="n">
        <v>0</v>
      </c>
      <c r="S700" s="115" t="n">
        <v>1</v>
      </c>
      <c r="T700" s="65" t="n">
        <v>24</v>
      </c>
      <c r="U700" s="65" t="n">
        <v>0</v>
      </c>
      <c r="V700" s="65" t="n">
        <v>114549.95</v>
      </c>
      <c r="W700" s="115" t="n">
        <v>0.0434</v>
      </c>
      <c r="X700" s="112" t="n">
        <v>43837</v>
      </c>
      <c r="Y700" s="65" t="str">
        <f aca="false">IF(I700="","No SIC",IFERROR(VLOOKUP(I700,Ref!$A$2:$B$65,2,FALSE()),"Unclassified"))</f>
        <v>Trucking &amp; Warehousing</v>
      </c>
      <c r="Z700" s="65" t="str">
        <f aca="false">IF(T700="","",IF(T700&lt;12,"Daily","Weekly"))</f>
        <v>Weekly</v>
      </c>
      <c r="AA700" s="65" t="n">
        <f aca="false">IF(T700="",0,IF(T700&lt;12,T700*Controls!$B$29,T700*5))</f>
        <v>120</v>
      </c>
      <c r="AB700" s="65" t="n">
        <f aca="false">IF(E700="",0,NETWORKDAYS(E700,Controls!$B$36,Ref!$K$2:$K$42))</f>
        <v>118</v>
      </c>
      <c r="AC700" s="65" t="n">
        <f aca="false">IF(AND(AA700&gt;0,AB700&gt;=Controls!$B$39*AA700),1,0)</f>
        <v>0</v>
      </c>
      <c r="AD700" s="65" t="n">
        <f aca="false">IF(AND(E700&lt;&gt;"",E700&gt;=Controls!$B$37,E700&lt;=Controls!$B$38),1,0)</f>
        <v>1</v>
      </c>
      <c r="AE700" s="65" t="n">
        <f aca="false">IF(IFERROR(VLOOKUP(D700,Controls!$A$64:$E$74,2,FALSE()),"No")="Yes",1,0)</f>
        <v>0</v>
      </c>
      <c r="AF700" s="65" t="n">
        <f aca="false">IF(IFERROR(VLOOKUP(D700,Controls!$A$64:$E$74,3,FALSE()),"No")="Yes",1,0)</f>
        <v>1</v>
      </c>
      <c r="AG700" s="65" t="n">
        <f aca="false">IF(IFERROR(VLOOKUP(D700,Controls!$A$64:$E$74,4,FALSE()),"No")="Yes",1,0)</f>
        <v>1</v>
      </c>
      <c r="AH700" s="65" t="n">
        <f aca="false">IF(IFERROR(VLOOKUP(D700,Controls!$A$64:$E$74,5,FALSE()),"No")="Yes",1,0)</f>
        <v>0</v>
      </c>
      <c r="AI700" s="65" t="n">
        <f aca="false">IF(ISNUMBER(MATCH(D700,Controls!$A$64:$A$74,0)),1,0)</f>
        <v>1</v>
      </c>
      <c r="AJ700" s="65" t="n">
        <f aca="false">Q700-N700</f>
        <v>9800</v>
      </c>
      <c r="AK700" s="65" t="n">
        <f aca="false">IF(AE700=1,MAX(0,N700-Q700),0)</f>
        <v>0</v>
      </c>
      <c r="AL700" s="65" t="n">
        <f aca="false">IF(OR(V700="",V700=0),0,N700/V700)</f>
        <v>0.174596322390363</v>
      </c>
      <c r="AM700" s="65" t="n">
        <f aca="false">IF(OR(V700="",V700=0),0,1)</f>
        <v>1</v>
      </c>
      <c r="AN700" s="65" t="n">
        <f aca="false">IF(OR(E700="",F700=""),0,NETWORKDAYS(E700,F700,Ref!$K$2:$K$42))</f>
        <v>55</v>
      </c>
      <c r="AO700" s="65" t="n">
        <f aca="false">IF(L700="Renewal",1,0)</f>
        <v>0</v>
      </c>
      <c r="AP700" s="65" t="n">
        <f aca="false">AC700*AD700</f>
        <v>0</v>
      </c>
      <c r="AQ700" s="65" t="n">
        <f aca="false">IF(AND(G700&lt;&gt;"",'Historical Score'!$C$6&lt;&gt;""),IF(G700='Historical Score'!$C$6,1,0),0)</f>
        <v>0</v>
      </c>
      <c r="AR700" s="65" t="n">
        <f aca="false">IF(AND(L700&lt;&gt;"",'Historical Score'!$C$5&lt;&gt;""),IF(L700='Historical Score'!$C$5,1,0),0)</f>
        <v>1</v>
      </c>
      <c r="AS700" s="65" t="n">
        <f aca="false">IF(AND(Y700&lt;&gt;"",'Historical Score'!$C$7&lt;&gt;""),IF(Y700='Historical Score'!$C$7,1,0),0)</f>
        <v>0</v>
      </c>
      <c r="AT700" s="65" t="n">
        <f aca="false">IF(AND(K700&lt;&gt;"",'Historical Score'!$C$8&lt;&gt;""),IF(K700='Historical Score'!$C$8,1,0),0)</f>
        <v>0</v>
      </c>
      <c r="AU700" s="65" t="n">
        <f aca="false">IF(AND(J700&lt;&gt;"",'Historical Score'!$C$9&lt;&gt;""),IF(J700='Historical Score'!$C$9,1,0),0)</f>
        <v>0</v>
      </c>
      <c r="AV700" s="65" t="n">
        <f aca="false">AR700*AS700*AQ700</f>
        <v>0</v>
      </c>
      <c r="AW700" s="65" t="n">
        <f aca="false">AR700*AT700*AQ700</f>
        <v>0</v>
      </c>
      <c r="AX700" s="65" t="n">
        <f aca="false">AR700*AS700</f>
        <v>0</v>
      </c>
      <c r="AY700" s="65" t="n">
        <f aca="false">AR700*AT700</f>
        <v>0</v>
      </c>
      <c r="AZ700" s="65" t="n">
        <f aca="false">AR700*AQ700</f>
        <v>0</v>
      </c>
      <c r="BA700" s="65" t="n">
        <f aca="false">AR700</f>
        <v>1</v>
      </c>
      <c r="BB700" s="65" t="n">
        <f aca="false">1</f>
        <v>1</v>
      </c>
      <c r="BC700" s="65" t="n">
        <f aca="false">IF(AV700=1,1,IF(AW700=1,2,IF(AX700=1,3,IF(AY700=1,4,IF(AZ700=1,5,IF(BA700=1,6,7))))))</f>
        <v>6</v>
      </c>
      <c r="BD700" s="65" t="n">
        <f aca="false">IF(AD700=1,CHOOSE('Historical Score'!$C$29,AV700,AW700,AX700,AY700,AZ700,BA700,BB700),0)</f>
        <v>0</v>
      </c>
      <c r="BE700" s="65" t="str">
        <f aca="false">IF(BD700=1,COUNTIF($BD$2:BD700,1),"")</f>
        <v/>
      </c>
    </row>
    <row r="701" customFormat="false" ht="15" hidden="false" customHeight="false" outlineLevel="0" collapsed="false">
      <c r="A701" s="65" t="s">
        <v>2335</v>
      </c>
      <c r="B701" s="65" t="s">
        <v>2336</v>
      </c>
      <c r="C701" s="65" t="s">
        <v>2336</v>
      </c>
      <c r="D701" s="65" t="s">
        <v>371</v>
      </c>
      <c r="E701" s="112" t="n">
        <v>46093</v>
      </c>
      <c r="F701" s="112" t="n">
        <v>46205</v>
      </c>
      <c r="G701" s="65" t="n">
        <v>3</v>
      </c>
      <c r="H701" s="65" t="s">
        <v>748</v>
      </c>
      <c r="I701" s="65" t="s">
        <v>619</v>
      </c>
      <c r="J701" s="65" t="s">
        <v>452</v>
      </c>
      <c r="K701" s="65" t="s">
        <v>476</v>
      </c>
      <c r="L701" s="65" t="s">
        <v>64</v>
      </c>
      <c r="M701" s="113" t="n">
        <v>1.49</v>
      </c>
      <c r="N701" s="114" t="n">
        <v>12000</v>
      </c>
      <c r="O701" s="114" t="n">
        <v>1680</v>
      </c>
      <c r="P701" s="114" t="n">
        <v>17880</v>
      </c>
      <c r="Q701" s="114" t="n">
        <v>17880</v>
      </c>
      <c r="R701" s="114" t="n">
        <v>0</v>
      </c>
      <c r="S701" s="115" t="n">
        <v>1</v>
      </c>
      <c r="T701" s="65" t="n">
        <v>30</v>
      </c>
      <c r="U701" s="65" t="n">
        <v>0</v>
      </c>
      <c r="V701" s="65" t="n">
        <v>47032.66</v>
      </c>
      <c r="W701" s="115" t="n">
        <v>0.0507</v>
      </c>
      <c r="X701" s="112" t="n">
        <v>44336</v>
      </c>
      <c r="Y701" s="65" t="str">
        <f aca="false">IF(I701="","No SIC",IFERROR(VLOOKUP(I701,Ref!$A$2:$B$65,2,FALSE()),"Unclassified"))</f>
        <v>Miscellaneous Retail</v>
      </c>
      <c r="Z701" s="65" t="str">
        <f aca="false">IF(T701="","",IF(T701&lt;12,"Daily","Weekly"))</f>
        <v>Weekly</v>
      </c>
      <c r="AA701" s="65" t="n">
        <f aca="false">IF(T701="",0,IF(T701&lt;12,T701*Controls!$B$29,T701*5))</f>
        <v>150</v>
      </c>
      <c r="AB701" s="65" t="n">
        <f aca="false">IF(E701="",0,NETWORKDAYS(E701,Controls!$B$36,Ref!$K$2:$K$42))</f>
        <v>117</v>
      </c>
      <c r="AC701" s="65" t="n">
        <f aca="false">IF(AND(AA701&gt;0,AB701&gt;=Controls!$B$39*AA701),1,0)</f>
        <v>0</v>
      </c>
      <c r="AD701" s="65" t="n">
        <f aca="false">IF(AND(E701&lt;&gt;"",E701&gt;=Controls!$B$37,E701&lt;=Controls!$B$38),1,0)</f>
        <v>1</v>
      </c>
      <c r="AE701" s="65" t="n">
        <f aca="false">IF(IFERROR(VLOOKUP(D701,Controls!$A$64:$E$74,2,FALSE()),"No")="Yes",1,0)</f>
        <v>0</v>
      </c>
      <c r="AF701" s="65" t="n">
        <f aca="false">IF(IFERROR(VLOOKUP(D701,Controls!$A$64:$E$74,3,FALSE()),"No")="Yes",1,0)</f>
        <v>1</v>
      </c>
      <c r="AG701" s="65" t="n">
        <f aca="false">IF(IFERROR(VLOOKUP(D701,Controls!$A$64:$E$74,4,FALSE()),"No")="Yes",1,0)</f>
        <v>1</v>
      </c>
      <c r="AH701" s="65" t="n">
        <f aca="false">IF(IFERROR(VLOOKUP(D701,Controls!$A$64:$E$74,5,FALSE()),"No")="Yes",1,0)</f>
        <v>0</v>
      </c>
      <c r="AI701" s="65" t="n">
        <f aca="false">IF(ISNUMBER(MATCH(D701,Controls!$A$64:$A$74,0)),1,0)</f>
        <v>1</v>
      </c>
      <c r="AJ701" s="65" t="n">
        <f aca="false">Q701-N701</f>
        <v>5880</v>
      </c>
      <c r="AK701" s="65" t="n">
        <f aca="false">IF(AE701=1,MAX(0,N701-Q701),0)</f>
        <v>0</v>
      </c>
      <c r="AL701" s="65" t="n">
        <f aca="false">IF(OR(V701="",V701=0),0,N701/V701)</f>
        <v>0.255141852491439</v>
      </c>
      <c r="AM701" s="65" t="n">
        <f aca="false">IF(OR(V701="",V701=0),0,1)</f>
        <v>1</v>
      </c>
      <c r="AN701" s="65" t="n">
        <f aca="false">IF(OR(E701="",F701=""),0,NETWORKDAYS(E701,F701,Ref!$K$2:$K$42))</f>
        <v>79</v>
      </c>
      <c r="AO701" s="65" t="n">
        <f aca="false">IF(L701="Renewal",1,0)</f>
        <v>0</v>
      </c>
      <c r="AP701" s="65" t="n">
        <f aca="false">AC701*AD701</f>
        <v>0</v>
      </c>
      <c r="AQ701" s="65" t="n">
        <f aca="false">IF(AND(G701&lt;&gt;"",'Historical Score'!$C$6&lt;&gt;""),IF(G701='Historical Score'!$C$6,1,0),0)</f>
        <v>0</v>
      </c>
      <c r="AR701" s="65" t="n">
        <f aca="false">IF(AND(L701&lt;&gt;"",'Historical Score'!$C$5&lt;&gt;""),IF(L701='Historical Score'!$C$5,1,0),0)</f>
        <v>1</v>
      </c>
      <c r="AS701" s="65" t="n">
        <f aca="false">IF(AND(Y701&lt;&gt;"",'Historical Score'!$C$7&lt;&gt;""),IF(Y701='Historical Score'!$C$7,1,0),0)</f>
        <v>0</v>
      </c>
      <c r="AT701" s="65" t="n">
        <f aca="false">IF(AND(K701&lt;&gt;"",'Historical Score'!$C$8&lt;&gt;""),IF(K701='Historical Score'!$C$8,1,0),0)</f>
        <v>0</v>
      </c>
      <c r="AU701" s="65" t="n">
        <f aca="false">IF(AND(J701&lt;&gt;"",'Historical Score'!$C$9&lt;&gt;""),IF(J701='Historical Score'!$C$9,1,0),0)</f>
        <v>0</v>
      </c>
      <c r="AV701" s="65" t="n">
        <f aca="false">AR701*AS701*AQ701</f>
        <v>0</v>
      </c>
      <c r="AW701" s="65" t="n">
        <f aca="false">AR701*AT701*AQ701</f>
        <v>0</v>
      </c>
      <c r="AX701" s="65" t="n">
        <f aca="false">AR701*AS701</f>
        <v>0</v>
      </c>
      <c r="AY701" s="65" t="n">
        <f aca="false">AR701*AT701</f>
        <v>0</v>
      </c>
      <c r="AZ701" s="65" t="n">
        <f aca="false">AR701*AQ701</f>
        <v>0</v>
      </c>
      <c r="BA701" s="65" t="n">
        <f aca="false">AR701</f>
        <v>1</v>
      </c>
      <c r="BB701" s="65" t="n">
        <f aca="false">1</f>
        <v>1</v>
      </c>
      <c r="BC701" s="65" t="n">
        <f aca="false">IF(AV701=1,1,IF(AW701=1,2,IF(AX701=1,3,IF(AY701=1,4,IF(AZ701=1,5,IF(BA701=1,6,7))))))</f>
        <v>6</v>
      </c>
      <c r="BD701" s="65" t="n">
        <f aca="false">IF(AD701=1,CHOOSE('Historical Score'!$C$29,AV701,AW701,AX701,AY701,AZ701,BA701,BB701),0)</f>
        <v>0</v>
      </c>
      <c r="BE701" s="65" t="str">
        <f aca="false">IF(BD701=1,COUNTIF($BD$2:BD701,1),"")</f>
        <v/>
      </c>
    </row>
    <row r="702" customFormat="false" ht="15" hidden="false" customHeight="false" outlineLevel="0" collapsed="false">
      <c r="A702" s="65" t="s">
        <v>2337</v>
      </c>
      <c r="B702" s="65" t="s">
        <v>2338</v>
      </c>
      <c r="C702" s="65" t="s">
        <v>2338</v>
      </c>
      <c r="D702" s="65" t="s">
        <v>371</v>
      </c>
      <c r="E702" s="112" t="n">
        <v>46093</v>
      </c>
      <c r="F702" s="112" t="n">
        <v>46237</v>
      </c>
      <c r="G702" s="65" t="n">
        <v>3</v>
      </c>
      <c r="H702" s="65" t="s">
        <v>409</v>
      </c>
      <c r="I702" s="65" t="s">
        <v>342</v>
      </c>
      <c r="J702" s="65" t="s">
        <v>350</v>
      </c>
      <c r="K702" s="65" t="s">
        <v>2339</v>
      </c>
      <c r="L702" s="65" t="s">
        <v>64</v>
      </c>
      <c r="M702" s="113" t="n">
        <v>1.41</v>
      </c>
      <c r="N702" s="114" t="n">
        <v>40000</v>
      </c>
      <c r="O702" s="114" t="n">
        <v>4000</v>
      </c>
      <c r="P702" s="114" t="n">
        <v>56400</v>
      </c>
      <c r="Q702" s="114" t="n">
        <v>56400</v>
      </c>
      <c r="R702" s="114" t="n">
        <v>0</v>
      </c>
      <c r="S702" s="115" t="n">
        <v>1</v>
      </c>
      <c r="T702" s="65" t="n">
        <v>20</v>
      </c>
      <c r="U702" s="65" t="n">
        <v>0</v>
      </c>
      <c r="V702" s="65" t="n">
        <v>105321.88</v>
      </c>
      <c r="W702" s="115" t="n">
        <v>0.1071</v>
      </c>
      <c r="X702" s="112" t="n">
        <v>44686</v>
      </c>
      <c r="Y702" s="65" t="str">
        <f aca="false">IF(I702="","No SIC",IFERROR(VLOOKUP(I702,Ref!$A$2:$B$65,2,FALSE()),"Unclassified"))</f>
        <v>Eating &amp; Drinking Places</v>
      </c>
      <c r="Z702" s="65" t="str">
        <f aca="false">IF(T702="","",IF(T702&lt;12,"Daily","Weekly"))</f>
        <v>Weekly</v>
      </c>
      <c r="AA702" s="65" t="n">
        <f aca="false">IF(T702="",0,IF(T702&lt;12,T702*Controls!$B$29,T702*5))</f>
        <v>100</v>
      </c>
      <c r="AB702" s="65" t="n">
        <f aca="false">IF(E702="",0,NETWORKDAYS(E702,Controls!$B$36,Ref!$K$2:$K$42))</f>
        <v>117</v>
      </c>
      <c r="AC702" s="65" t="n">
        <f aca="false">IF(AND(AA702&gt;0,AB702&gt;=Controls!$B$39*AA702),1,0)</f>
        <v>0</v>
      </c>
      <c r="AD702" s="65" t="n">
        <f aca="false">IF(AND(E702&lt;&gt;"",E702&gt;=Controls!$B$37,E702&lt;=Controls!$B$38),1,0)</f>
        <v>1</v>
      </c>
      <c r="AE702" s="65" t="n">
        <f aca="false">IF(IFERROR(VLOOKUP(D702,Controls!$A$64:$E$74,2,FALSE()),"No")="Yes",1,0)</f>
        <v>0</v>
      </c>
      <c r="AF702" s="65" t="n">
        <f aca="false">IF(IFERROR(VLOOKUP(D702,Controls!$A$64:$E$74,3,FALSE()),"No")="Yes",1,0)</f>
        <v>1</v>
      </c>
      <c r="AG702" s="65" t="n">
        <f aca="false">IF(IFERROR(VLOOKUP(D702,Controls!$A$64:$E$74,4,FALSE()),"No")="Yes",1,0)</f>
        <v>1</v>
      </c>
      <c r="AH702" s="65" t="n">
        <f aca="false">IF(IFERROR(VLOOKUP(D702,Controls!$A$64:$E$74,5,FALSE()),"No")="Yes",1,0)</f>
        <v>0</v>
      </c>
      <c r="AI702" s="65" t="n">
        <f aca="false">IF(ISNUMBER(MATCH(D702,Controls!$A$64:$A$74,0)),1,0)</f>
        <v>1</v>
      </c>
      <c r="AJ702" s="65" t="n">
        <f aca="false">Q702-N702</f>
        <v>16400</v>
      </c>
      <c r="AK702" s="65" t="n">
        <f aca="false">IF(AE702=1,MAX(0,N702-Q702),0)</f>
        <v>0</v>
      </c>
      <c r="AL702" s="65" t="n">
        <f aca="false">IF(OR(V702="",V702=0),0,N702/V702)</f>
        <v>0.379788131393021</v>
      </c>
      <c r="AM702" s="65" t="n">
        <f aca="false">IF(OR(V702="",V702=0),0,1)</f>
        <v>1</v>
      </c>
      <c r="AN702" s="65" t="n">
        <f aca="false">IF(OR(E702="",F702=""),0,NETWORKDAYS(E702,F702,Ref!$K$2:$K$42))</f>
        <v>101</v>
      </c>
      <c r="AO702" s="65" t="n">
        <f aca="false">IF(L702="Renewal",1,0)</f>
        <v>0</v>
      </c>
      <c r="AP702" s="65" t="n">
        <f aca="false">AC702*AD702</f>
        <v>0</v>
      </c>
      <c r="AQ702" s="65" t="n">
        <f aca="false">IF(AND(G702&lt;&gt;"",'Historical Score'!$C$6&lt;&gt;""),IF(G702='Historical Score'!$C$6,1,0),0)</f>
        <v>0</v>
      </c>
      <c r="AR702" s="65" t="n">
        <f aca="false">IF(AND(L702&lt;&gt;"",'Historical Score'!$C$5&lt;&gt;""),IF(L702='Historical Score'!$C$5,1,0),0)</f>
        <v>1</v>
      </c>
      <c r="AS702" s="65" t="n">
        <f aca="false">IF(AND(Y702&lt;&gt;"",'Historical Score'!$C$7&lt;&gt;""),IF(Y702='Historical Score'!$C$7,1,0),0)</f>
        <v>0</v>
      </c>
      <c r="AT702" s="65" t="n">
        <f aca="false">IF(AND(K702&lt;&gt;"",'Historical Score'!$C$8&lt;&gt;""),IF(K702='Historical Score'!$C$8,1,0),0)</f>
        <v>0</v>
      </c>
      <c r="AU702" s="65" t="n">
        <f aca="false">IF(AND(J702&lt;&gt;"",'Historical Score'!$C$9&lt;&gt;""),IF(J702='Historical Score'!$C$9,1,0),0)</f>
        <v>0</v>
      </c>
      <c r="AV702" s="65" t="n">
        <f aca="false">AR702*AS702*AQ702</f>
        <v>0</v>
      </c>
      <c r="AW702" s="65" t="n">
        <f aca="false">AR702*AT702*AQ702</f>
        <v>0</v>
      </c>
      <c r="AX702" s="65" t="n">
        <f aca="false">AR702*AS702</f>
        <v>0</v>
      </c>
      <c r="AY702" s="65" t="n">
        <f aca="false">AR702*AT702</f>
        <v>0</v>
      </c>
      <c r="AZ702" s="65" t="n">
        <f aca="false">AR702*AQ702</f>
        <v>0</v>
      </c>
      <c r="BA702" s="65" t="n">
        <f aca="false">AR702</f>
        <v>1</v>
      </c>
      <c r="BB702" s="65" t="n">
        <f aca="false">1</f>
        <v>1</v>
      </c>
      <c r="BC702" s="65" t="n">
        <f aca="false">IF(AV702=1,1,IF(AW702=1,2,IF(AX702=1,3,IF(AY702=1,4,IF(AZ702=1,5,IF(BA702=1,6,7))))))</f>
        <v>6</v>
      </c>
      <c r="BD702" s="65" t="n">
        <f aca="false">IF(AD702=1,CHOOSE('Historical Score'!$C$29,AV702,AW702,AX702,AY702,AZ702,BA702,BB702),0)</f>
        <v>0</v>
      </c>
      <c r="BE702" s="65" t="str">
        <f aca="false">IF(BD702=1,COUNTIF($BD$2:BD702,1),"")</f>
        <v/>
      </c>
    </row>
    <row r="703" customFormat="false" ht="15" hidden="false" customHeight="false" outlineLevel="0" collapsed="false">
      <c r="A703" s="65" t="s">
        <v>2340</v>
      </c>
      <c r="B703" s="65" t="s">
        <v>2341</v>
      </c>
      <c r="C703" s="65" t="s">
        <v>2341</v>
      </c>
      <c r="D703" s="65" t="s">
        <v>533</v>
      </c>
      <c r="E703" s="112" t="n">
        <v>46093</v>
      </c>
      <c r="F703" s="112" t="n">
        <v>46253</v>
      </c>
      <c r="G703" s="65" t="n">
        <v>1</v>
      </c>
      <c r="H703" s="65" t="s">
        <v>442</v>
      </c>
      <c r="I703" s="65" t="s">
        <v>443</v>
      </c>
      <c r="J703" s="65" t="s">
        <v>350</v>
      </c>
      <c r="K703" s="65" t="s">
        <v>983</v>
      </c>
      <c r="L703" s="65" t="s">
        <v>64</v>
      </c>
      <c r="M703" s="113" t="n">
        <v>1.49</v>
      </c>
      <c r="N703" s="114" t="n">
        <v>35000</v>
      </c>
      <c r="O703" s="114" t="n">
        <v>4900</v>
      </c>
      <c r="P703" s="114" t="n">
        <v>52150</v>
      </c>
      <c r="Q703" s="114" t="n">
        <v>22874.14</v>
      </c>
      <c r="R703" s="114" t="n">
        <v>29275.86</v>
      </c>
      <c r="S703" s="115" t="n">
        <v>0.43862205177373</v>
      </c>
      <c r="T703" s="65" t="n">
        <v>3.934</v>
      </c>
      <c r="U703" s="65" t="n">
        <v>10</v>
      </c>
      <c r="V703" s="65" t="n">
        <v>13302.29</v>
      </c>
      <c r="W703" s="115" t="n">
        <v>0.0905</v>
      </c>
      <c r="X703" s="112" t="n">
        <v>45769</v>
      </c>
      <c r="Y703" s="65" t="str">
        <f aca="false">IF(I703="","No SIC",IFERROR(VLOOKUP(I703,Ref!$A$2:$B$65,2,FALSE()),"Unclassified"))</f>
        <v>General Building Contractors</v>
      </c>
      <c r="Z703" s="65" t="str">
        <f aca="false">IF(T703="","",IF(T703&lt;12,"Daily","Weekly"))</f>
        <v>Daily</v>
      </c>
      <c r="AA703" s="65" t="n">
        <f aca="false">IF(T703="",0,IF(T703&lt;12,T703*Controls!$B$29,T703*5))</f>
        <v>85.19077</v>
      </c>
      <c r="AB703" s="65" t="n">
        <f aca="false">IF(E703="",0,NETWORKDAYS(E703,Controls!$B$36,Ref!$K$2:$K$42))</f>
        <v>117</v>
      </c>
      <c r="AC703" s="65" t="n">
        <f aca="false">IF(AND(AA703&gt;0,AB703&gt;=Controls!$B$39*AA703),1,0)</f>
        <v>1</v>
      </c>
      <c r="AD703" s="65" t="n">
        <f aca="false">IF(AND(E703&lt;&gt;"",E703&gt;=Controls!$B$37,E703&lt;=Controls!$B$38),1,0)</f>
        <v>1</v>
      </c>
      <c r="AE703" s="65" t="n">
        <f aca="false">IF(IFERROR(VLOOKUP(D703,Controls!$A$64:$E$74,2,FALSE()),"No")="Yes",1,0)</f>
        <v>1</v>
      </c>
      <c r="AF703" s="65" t="n">
        <f aca="false">IF(IFERROR(VLOOKUP(D703,Controls!$A$64:$E$74,3,FALSE()),"No")="Yes",1,0)</f>
        <v>0</v>
      </c>
      <c r="AG703" s="65" t="n">
        <f aca="false">IF(IFERROR(VLOOKUP(D703,Controls!$A$64:$E$74,4,FALSE()),"No")="Yes",1,0)</f>
        <v>0</v>
      </c>
      <c r="AH703" s="65" t="n">
        <f aca="false">IF(IFERROR(VLOOKUP(D703,Controls!$A$64:$E$74,5,FALSE()),"No")="Yes",1,0)</f>
        <v>0</v>
      </c>
      <c r="AI703" s="65" t="n">
        <f aca="false">IF(ISNUMBER(MATCH(D703,Controls!$A$64:$A$74,0)),1,0)</f>
        <v>1</v>
      </c>
      <c r="AJ703" s="65" t="n">
        <f aca="false">Q703-N703</f>
        <v>-12125.86</v>
      </c>
      <c r="AK703" s="65" t="n">
        <f aca="false">IF(AE703=1,MAX(0,N703-Q703),0)</f>
        <v>12125.86</v>
      </c>
      <c r="AL703" s="65" t="n">
        <f aca="false">IF(OR(V703="",V703=0),0,N703/V703)</f>
        <v>2.63112591892073</v>
      </c>
      <c r="AM703" s="65" t="n">
        <f aca="false">IF(OR(V703="",V703=0),0,1)</f>
        <v>1</v>
      </c>
      <c r="AN703" s="65" t="n">
        <f aca="false">IF(OR(E703="",F703=""),0,NETWORKDAYS(E703,F703,Ref!$K$2:$K$42))</f>
        <v>113</v>
      </c>
      <c r="AO703" s="65" t="n">
        <f aca="false">IF(L703="Renewal",1,0)</f>
        <v>0</v>
      </c>
      <c r="AP703" s="65" t="n">
        <f aca="false">AC703*AD703</f>
        <v>1</v>
      </c>
      <c r="AQ703" s="65" t="n">
        <f aca="false">IF(AND(G703&lt;&gt;"",'Historical Score'!$C$6&lt;&gt;""),IF(G703='Historical Score'!$C$6,1,0),0)</f>
        <v>0</v>
      </c>
      <c r="AR703" s="65" t="n">
        <f aca="false">IF(AND(L703&lt;&gt;"",'Historical Score'!$C$5&lt;&gt;""),IF(L703='Historical Score'!$C$5,1,0),0)</f>
        <v>1</v>
      </c>
      <c r="AS703" s="65" t="n">
        <f aca="false">IF(AND(Y703&lt;&gt;"",'Historical Score'!$C$7&lt;&gt;""),IF(Y703='Historical Score'!$C$7,1,0),0)</f>
        <v>1</v>
      </c>
      <c r="AT703" s="65" t="n">
        <f aca="false">IF(AND(K703&lt;&gt;"",'Historical Score'!$C$8&lt;&gt;""),IF(K703='Historical Score'!$C$8,1,0),0)</f>
        <v>0</v>
      </c>
      <c r="AU703" s="65" t="n">
        <f aca="false">IF(AND(J703&lt;&gt;"",'Historical Score'!$C$9&lt;&gt;""),IF(J703='Historical Score'!$C$9,1,0),0)</f>
        <v>0</v>
      </c>
      <c r="AV703" s="65" t="n">
        <f aca="false">AR703*AS703*AQ703</f>
        <v>0</v>
      </c>
      <c r="AW703" s="65" t="n">
        <f aca="false">AR703*AT703*AQ703</f>
        <v>0</v>
      </c>
      <c r="AX703" s="65" t="n">
        <f aca="false">AR703*AS703</f>
        <v>1</v>
      </c>
      <c r="AY703" s="65" t="n">
        <f aca="false">AR703*AT703</f>
        <v>0</v>
      </c>
      <c r="AZ703" s="65" t="n">
        <f aca="false">AR703*AQ703</f>
        <v>0</v>
      </c>
      <c r="BA703" s="65" t="n">
        <f aca="false">AR703</f>
        <v>1</v>
      </c>
      <c r="BB703" s="65" t="n">
        <f aca="false">1</f>
        <v>1</v>
      </c>
      <c r="BC703" s="65" t="n">
        <f aca="false">IF(AV703=1,1,IF(AW703=1,2,IF(AX703=1,3,IF(AY703=1,4,IF(AZ703=1,5,IF(BA703=1,6,7))))))</f>
        <v>3</v>
      </c>
      <c r="BD703" s="65" t="n">
        <f aca="false">IF(AD703=1,CHOOSE('Historical Score'!$C$29,AV703,AW703,AX703,AY703,AZ703,BA703,BB703),0)</f>
        <v>0</v>
      </c>
      <c r="BE703" s="65" t="str">
        <f aca="false">IF(BD703=1,COUNTIF($BD$2:BD703,1),"")</f>
        <v/>
      </c>
    </row>
    <row r="704" customFormat="false" ht="15" hidden="false" customHeight="false" outlineLevel="0" collapsed="false">
      <c r="A704" s="65" t="s">
        <v>2342</v>
      </c>
      <c r="B704" s="65" t="s">
        <v>1576</v>
      </c>
      <c r="C704" s="65" t="s">
        <v>1576</v>
      </c>
      <c r="D704" s="65" t="s">
        <v>533</v>
      </c>
      <c r="E704" s="112" t="n">
        <v>46093</v>
      </c>
      <c r="F704" s="112" t="n">
        <v>46234</v>
      </c>
      <c r="G704" s="65" t="n">
        <v>6</v>
      </c>
      <c r="H704" s="65" t="s">
        <v>479</v>
      </c>
      <c r="I704" s="65" t="s">
        <v>356</v>
      </c>
      <c r="J704" s="65" t="s">
        <v>343</v>
      </c>
      <c r="K704" s="65" t="s">
        <v>374</v>
      </c>
      <c r="L704" s="65" t="s">
        <v>320</v>
      </c>
      <c r="M704" s="113" t="n">
        <v>1.49</v>
      </c>
      <c r="N704" s="114" t="n">
        <v>55000</v>
      </c>
      <c r="O704" s="114" t="n">
        <v>7700</v>
      </c>
      <c r="P704" s="114" t="n">
        <v>81950</v>
      </c>
      <c r="Q704" s="114" t="n">
        <v>32289.54</v>
      </c>
      <c r="R704" s="114" t="n">
        <v>49660.46</v>
      </c>
      <c r="S704" s="115" t="n">
        <v>0.394015131177547</v>
      </c>
      <c r="T704" s="65" t="n">
        <v>18</v>
      </c>
      <c r="U704" s="65" t="n">
        <v>11</v>
      </c>
      <c r="V704" s="65" t="n">
        <v>380215.95</v>
      </c>
      <c r="W704" s="115" t="n">
        <v>0.0479</v>
      </c>
      <c r="X704" s="112" t="n">
        <v>45227</v>
      </c>
      <c r="Y704" s="65" t="str">
        <f aca="false">IF(I704="","No SIC",IFERROR(VLOOKUP(I704,Ref!$A$2:$B$65,2,FALSE()),"Unclassified"))</f>
        <v>Trucking &amp; Warehousing</v>
      </c>
      <c r="Z704" s="65" t="str">
        <f aca="false">IF(T704="","",IF(T704&lt;12,"Daily","Weekly"))</f>
        <v>Weekly</v>
      </c>
      <c r="AA704" s="65" t="n">
        <f aca="false">IF(T704="",0,IF(T704&lt;12,T704*Controls!$B$29,T704*5))</f>
        <v>90</v>
      </c>
      <c r="AB704" s="65" t="n">
        <f aca="false">IF(E704="",0,NETWORKDAYS(E704,Controls!$B$36,Ref!$K$2:$K$42))</f>
        <v>117</v>
      </c>
      <c r="AC704" s="65" t="n">
        <f aca="false">IF(AND(AA704&gt;0,AB704&gt;=Controls!$B$39*AA704),1,0)</f>
        <v>1</v>
      </c>
      <c r="AD704" s="65" t="n">
        <f aca="false">IF(AND(E704&lt;&gt;"",E704&gt;=Controls!$B$37,E704&lt;=Controls!$B$38),1,0)</f>
        <v>1</v>
      </c>
      <c r="AE704" s="65" t="n">
        <f aca="false">IF(IFERROR(VLOOKUP(D704,Controls!$A$64:$E$74,2,FALSE()),"No")="Yes",1,0)</f>
        <v>1</v>
      </c>
      <c r="AF704" s="65" t="n">
        <f aca="false">IF(IFERROR(VLOOKUP(D704,Controls!$A$64:$E$74,3,FALSE()),"No")="Yes",1,0)</f>
        <v>0</v>
      </c>
      <c r="AG704" s="65" t="n">
        <f aca="false">IF(IFERROR(VLOOKUP(D704,Controls!$A$64:$E$74,4,FALSE()),"No")="Yes",1,0)</f>
        <v>0</v>
      </c>
      <c r="AH704" s="65" t="n">
        <f aca="false">IF(IFERROR(VLOOKUP(D704,Controls!$A$64:$E$74,5,FALSE()),"No")="Yes",1,0)</f>
        <v>0</v>
      </c>
      <c r="AI704" s="65" t="n">
        <f aca="false">IF(ISNUMBER(MATCH(D704,Controls!$A$64:$A$74,0)),1,0)</f>
        <v>1</v>
      </c>
      <c r="AJ704" s="65" t="n">
        <f aca="false">Q704-N704</f>
        <v>-22710.46</v>
      </c>
      <c r="AK704" s="65" t="n">
        <f aca="false">IF(AE704=1,MAX(0,N704-Q704),0)</f>
        <v>22710.46</v>
      </c>
      <c r="AL704" s="65" t="n">
        <f aca="false">IF(OR(V704="",V704=0),0,N704/V704)</f>
        <v>0.144654636398079</v>
      </c>
      <c r="AM704" s="65" t="n">
        <f aca="false">IF(OR(V704="",V704=0),0,1)</f>
        <v>1</v>
      </c>
      <c r="AN704" s="65" t="n">
        <f aca="false">IF(OR(E704="",F704=""),0,NETWORKDAYS(E704,F704,Ref!$K$2:$K$42))</f>
        <v>100</v>
      </c>
      <c r="AO704" s="65" t="n">
        <f aca="false">IF(L704="Renewal",1,0)</f>
        <v>1</v>
      </c>
      <c r="AP704" s="65" t="n">
        <f aca="false">AC704*AD704</f>
        <v>1</v>
      </c>
      <c r="AQ704" s="65" t="n">
        <f aca="false">IF(AND(G704&lt;&gt;"",'Historical Score'!$C$6&lt;&gt;""),IF(G704='Historical Score'!$C$6,1,0),0)</f>
        <v>0</v>
      </c>
      <c r="AR704" s="65" t="n">
        <f aca="false">IF(AND(L704&lt;&gt;"",'Historical Score'!$C$5&lt;&gt;""),IF(L704='Historical Score'!$C$5,1,0),0)</f>
        <v>0</v>
      </c>
      <c r="AS704" s="65" t="n">
        <f aca="false">IF(AND(Y704&lt;&gt;"",'Historical Score'!$C$7&lt;&gt;""),IF(Y704='Historical Score'!$C$7,1,0),0)</f>
        <v>0</v>
      </c>
      <c r="AT704" s="65" t="n">
        <f aca="false">IF(AND(K704&lt;&gt;"",'Historical Score'!$C$8&lt;&gt;""),IF(K704='Historical Score'!$C$8,1,0),0)</f>
        <v>0</v>
      </c>
      <c r="AU704" s="65" t="n">
        <f aca="false">IF(AND(J704&lt;&gt;"",'Historical Score'!$C$9&lt;&gt;""),IF(J704='Historical Score'!$C$9,1,0),0)</f>
        <v>0</v>
      </c>
      <c r="AV704" s="65" t="n">
        <f aca="false">AR704*AS704*AQ704</f>
        <v>0</v>
      </c>
      <c r="AW704" s="65" t="n">
        <f aca="false">AR704*AT704*AQ704</f>
        <v>0</v>
      </c>
      <c r="AX704" s="65" t="n">
        <f aca="false">AR704*AS704</f>
        <v>0</v>
      </c>
      <c r="AY704" s="65" t="n">
        <f aca="false">AR704*AT704</f>
        <v>0</v>
      </c>
      <c r="AZ704" s="65" t="n">
        <f aca="false">AR704*AQ704</f>
        <v>0</v>
      </c>
      <c r="BA704" s="65" t="n">
        <f aca="false">AR704</f>
        <v>0</v>
      </c>
      <c r="BB704" s="65" t="n">
        <f aca="false">1</f>
        <v>1</v>
      </c>
      <c r="BC704" s="65" t="n">
        <f aca="false">IF(AV704=1,1,IF(AW704=1,2,IF(AX704=1,3,IF(AY704=1,4,IF(AZ704=1,5,IF(BA704=1,6,7))))))</f>
        <v>7</v>
      </c>
      <c r="BD704" s="65" t="n">
        <f aca="false">IF(AD704=1,CHOOSE('Historical Score'!$C$29,AV704,AW704,AX704,AY704,AZ704,BA704,BB704),0)</f>
        <v>0</v>
      </c>
      <c r="BE704" s="65" t="str">
        <f aca="false">IF(BD704=1,COUNTIF($BD$2:BD704,1),"")</f>
        <v/>
      </c>
    </row>
    <row r="705" customFormat="false" ht="15" hidden="false" customHeight="false" outlineLevel="0" collapsed="false">
      <c r="A705" s="65" t="s">
        <v>2343</v>
      </c>
      <c r="B705" s="65" t="s">
        <v>2344</v>
      </c>
      <c r="C705" s="65" t="s">
        <v>2345</v>
      </c>
      <c r="D705" s="65" t="s">
        <v>295</v>
      </c>
      <c r="E705" s="112" t="n">
        <v>46093</v>
      </c>
      <c r="F705" s="112" t="n">
        <v>46253</v>
      </c>
      <c r="G705" s="65" t="n">
        <v>3</v>
      </c>
      <c r="H705" s="65" t="s">
        <v>685</v>
      </c>
      <c r="I705" s="65" t="s">
        <v>484</v>
      </c>
      <c r="J705" s="65" t="s">
        <v>399</v>
      </c>
      <c r="K705" s="65" t="s">
        <v>433</v>
      </c>
      <c r="L705" s="65" t="s">
        <v>64</v>
      </c>
      <c r="M705" s="113" t="n">
        <v>1.35</v>
      </c>
      <c r="N705" s="114" t="n">
        <v>46000</v>
      </c>
      <c r="O705" s="114" t="n">
        <v>3220</v>
      </c>
      <c r="P705" s="114" t="n">
        <v>62100</v>
      </c>
      <c r="Q705" s="114" t="n">
        <v>41231.68</v>
      </c>
      <c r="R705" s="114" t="n">
        <v>20868.32</v>
      </c>
      <c r="S705" s="115" t="n">
        <v>0.663956199677939</v>
      </c>
      <c r="T705" s="65" t="n">
        <v>3.902</v>
      </c>
      <c r="U705" s="65" t="n">
        <v>36</v>
      </c>
      <c r="V705" s="65" t="n">
        <v>251384.46</v>
      </c>
      <c r="W705" s="115" t="n">
        <v>0.0436</v>
      </c>
      <c r="X705" s="112" t="n">
        <v>44853</v>
      </c>
      <c r="Y705" s="65" t="str">
        <f aca="false">IF(I705="","No SIC",IFERROR(VLOOKUP(I705,Ref!$A$2:$B$65,2,FALSE()),"Unclassified"))</f>
        <v>Special Trade Contractors</v>
      </c>
      <c r="Z705" s="65" t="str">
        <f aca="false">IF(T705="","",IF(T705&lt;12,"Daily","Weekly"))</f>
        <v>Daily</v>
      </c>
      <c r="AA705" s="65" t="n">
        <f aca="false">IF(T705="",0,IF(T705&lt;12,T705*Controls!$B$29,T705*5))</f>
        <v>84.49781</v>
      </c>
      <c r="AB705" s="65" t="n">
        <f aca="false">IF(E705="",0,NETWORKDAYS(E705,Controls!$B$36,Ref!$K$2:$K$42))</f>
        <v>117</v>
      </c>
      <c r="AC705" s="65" t="n">
        <f aca="false">IF(AND(AA705&gt;0,AB705&gt;=Controls!$B$39*AA705),1,0)</f>
        <v>1</v>
      </c>
      <c r="AD705" s="65" t="n">
        <f aca="false">IF(AND(E705&lt;&gt;"",E705&gt;=Controls!$B$37,E705&lt;=Controls!$B$38),1,0)</f>
        <v>1</v>
      </c>
      <c r="AE705" s="65" t="n">
        <f aca="false">IF(IFERROR(VLOOKUP(D705,Controls!$A$64:$E$74,2,FALSE()),"No")="Yes",1,0)</f>
        <v>0</v>
      </c>
      <c r="AF705" s="65" t="n">
        <f aca="false">IF(IFERROR(VLOOKUP(D705,Controls!$A$64:$E$74,3,FALSE()),"No")="Yes",1,0)</f>
        <v>0</v>
      </c>
      <c r="AG705" s="65" t="n">
        <f aca="false">IF(IFERROR(VLOOKUP(D705,Controls!$A$64:$E$74,4,FALSE()),"No")="Yes",1,0)</f>
        <v>0</v>
      </c>
      <c r="AH705" s="65" t="n">
        <f aca="false">IF(IFERROR(VLOOKUP(D705,Controls!$A$64:$E$74,5,FALSE()),"No")="Yes",1,0)</f>
        <v>1</v>
      </c>
      <c r="AI705" s="65" t="n">
        <f aca="false">IF(ISNUMBER(MATCH(D705,Controls!$A$64:$A$74,0)),1,0)</f>
        <v>1</v>
      </c>
      <c r="AJ705" s="65" t="n">
        <f aca="false">Q705-N705</f>
        <v>-4768.32</v>
      </c>
      <c r="AK705" s="65" t="n">
        <f aca="false">IF(AE705=1,MAX(0,N705-Q705),0)</f>
        <v>0</v>
      </c>
      <c r="AL705" s="65" t="n">
        <f aca="false">IF(OR(V705="",V705=0),0,N705/V705)</f>
        <v>0.182986649214514</v>
      </c>
      <c r="AM705" s="65" t="n">
        <f aca="false">IF(OR(V705="",V705=0),0,1)</f>
        <v>1</v>
      </c>
      <c r="AN705" s="65" t="n">
        <f aca="false">IF(OR(E705="",F705=""),0,NETWORKDAYS(E705,F705,Ref!$K$2:$K$42))</f>
        <v>113</v>
      </c>
      <c r="AO705" s="65" t="n">
        <f aca="false">IF(L705="Renewal",1,0)</f>
        <v>0</v>
      </c>
      <c r="AP705" s="65" t="n">
        <f aca="false">AC705*AD705</f>
        <v>1</v>
      </c>
      <c r="AQ705" s="65" t="n">
        <f aca="false">IF(AND(G705&lt;&gt;"",'Historical Score'!$C$6&lt;&gt;""),IF(G705='Historical Score'!$C$6,1,0),0)</f>
        <v>0</v>
      </c>
      <c r="AR705" s="65" t="n">
        <f aca="false">IF(AND(L705&lt;&gt;"",'Historical Score'!$C$5&lt;&gt;""),IF(L705='Historical Score'!$C$5,1,0),0)</f>
        <v>1</v>
      </c>
      <c r="AS705" s="65" t="n">
        <f aca="false">IF(AND(Y705&lt;&gt;"",'Historical Score'!$C$7&lt;&gt;""),IF(Y705='Historical Score'!$C$7,1,0),0)</f>
        <v>0</v>
      </c>
      <c r="AT705" s="65" t="n">
        <f aca="false">IF(AND(K705&lt;&gt;"",'Historical Score'!$C$8&lt;&gt;""),IF(K705='Historical Score'!$C$8,1,0),0)</f>
        <v>0</v>
      </c>
      <c r="AU705" s="65" t="n">
        <f aca="false">IF(AND(J705&lt;&gt;"",'Historical Score'!$C$9&lt;&gt;""),IF(J705='Historical Score'!$C$9,1,0),0)</f>
        <v>0</v>
      </c>
      <c r="AV705" s="65" t="n">
        <f aca="false">AR705*AS705*AQ705</f>
        <v>0</v>
      </c>
      <c r="AW705" s="65" t="n">
        <f aca="false">AR705*AT705*AQ705</f>
        <v>0</v>
      </c>
      <c r="AX705" s="65" t="n">
        <f aca="false">AR705*AS705</f>
        <v>0</v>
      </c>
      <c r="AY705" s="65" t="n">
        <f aca="false">AR705*AT705</f>
        <v>0</v>
      </c>
      <c r="AZ705" s="65" t="n">
        <f aca="false">AR705*AQ705</f>
        <v>0</v>
      </c>
      <c r="BA705" s="65" t="n">
        <f aca="false">AR705</f>
        <v>1</v>
      </c>
      <c r="BB705" s="65" t="n">
        <f aca="false">1</f>
        <v>1</v>
      </c>
      <c r="BC705" s="65" t="n">
        <f aca="false">IF(AV705=1,1,IF(AW705=1,2,IF(AX705=1,3,IF(AY705=1,4,IF(AZ705=1,5,IF(BA705=1,6,7))))))</f>
        <v>6</v>
      </c>
      <c r="BD705" s="65" t="n">
        <f aca="false">IF(AD705=1,CHOOSE('Historical Score'!$C$29,AV705,AW705,AX705,AY705,AZ705,BA705,BB705),0)</f>
        <v>0</v>
      </c>
      <c r="BE705" s="65" t="str">
        <f aca="false">IF(BD705=1,COUNTIF($BD$2:BD705,1),"")</f>
        <v/>
      </c>
    </row>
    <row r="706" customFormat="false" ht="15" hidden="false" customHeight="false" outlineLevel="0" collapsed="false">
      <c r="A706" s="65" t="s">
        <v>2346</v>
      </c>
      <c r="B706" s="65" t="s">
        <v>2347</v>
      </c>
      <c r="C706" s="65" t="s">
        <v>2347</v>
      </c>
      <c r="D706" s="65" t="s">
        <v>371</v>
      </c>
      <c r="E706" s="112" t="n">
        <v>46094</v>
      </c>
      <c r="F706" s="112" t="n">
        <v>46161</v>
      </c>
      <c r="G706" s="65" t="n">
        <v>4</v>
      </c>
      <c r="H706" s="65" t="s">
        <v>748</v>
      </c>
      <c r="I706" s="65" t="s">
        <v>619</v>
      </c>
      <c r="J706" s="65" t="s">
        <v>905</v>
      </c>
      <c r="K706" s="65" t="s">
        <v>581</v>
      </c>
      <c r="L706" s="65" t="s">
        <v>64</v>
      </c>
      <c r="M706" s="113" t="n">
        <v>1.49</v>
      </c>
      <c r="N706" s="114" t="n">
        <v>12000</v>
      </c>
      <c r="O706" s="114" t="n">
        <v>1680</v>
      </c>
      <c r="P706" s="114" t="n">
        <v>17880</v>
      </c>
      <c r="Q706" s="114" t="n">
        <v>17880</v>
      </c>
      <c r="R706" s="114" t="n">
        <v>0</v>
      </c>
      <c r="S706" s="115" t="n">
        <v>1</v>
      </c>
      <c r="T706" s="65" t="n">
        <v>2.951</v>
      </c>
      <c r="U706" s="65" t="n">
        <v>3</v>
      </c>
      <c r="V706" s="65" t="n">
        <v>61560.84</v>
      </c>
      <c r="W706" s="115" t="n">
        <v>0.0678</v>
      </c>
      <c r="X706" s="112" t="n">
        <v>40850</v>
      </c>
      <c r="Y706" s="65" t="str">
        <f aca="false">IF(I706="","No SIC",IFERROR(VLOOKUP(I706,Ref!$A$2:$B$65,2,FALSE()),"Unclassified"))</f>
        <v>Miscellaneous Retail</v>
      </c>
      <c r="Z706" s="65" t="str">
        <f aca="false">IF(T706="","",IF(T706&lt;12,"Daily","Weekly"))</f>
        <v>Daily</v>
      </c>
      <c r="AA706" s="65" t="n">
        <f aca="false">IF(T706="",0,IF(T706&lt;12,T706*Controls!$B$29,T706*5))</f>
        <v>63.903905</v>
      </c>
      <c r="AB706" s="65" t="n">
        <f aca="false">IF(E706="",0,NETWORKDAYS(E706,Controls!$B$36,Ref!$K$2:$K$42))</f>
        <v>116</v>
      </c>
      <c r="AC706" s="65" t="n">
        <f aca="false">IF(AND(AA706&gt;0,AB706&gt;=Controls!$B$39*AA706),1,0)</f>
        <v>1</v>
      </c>
      <c r="AD706" s="65" t="n">
        <f aca="false">IF(AND(E706&lt;&gt;"",E706&gt;=Controls!$B$37,E706&lt;=Controls!$B$38),1,0)</f>
        <v>1</v>
      </c>
      <c r="AE706" s="65" t="n">
        <f aca="false">IF(IFERROR(VLOOKUP(D706,Controls!$A$64:$E$74,2,FALSE()),"No")="Yes",1,0)</f>
        <v>0</v>
      </c>
      <c r="AF706" s="65" t="n">
        <f aca="false">IF(IFERROR(VLOOKUP(D706,Controls!$A$64:$E$74,3,FALSE()),"No")="Yes",1,0)</f>
        <v>1</v>
      </c>
      <c r="AG706" s="65" t="n">
        <f aca="false">IF(IFERROR(VLOOKUP(D706,Controls!$A$64:$E$74,4,FALSE()),"No")="Yes",1,0)</f>
        <v>1</v>
      </c>
      <c r="AH706" s="65" t="n">
        <f aca="false">IF(IFERROR(VLOOKUP(D706,Controls!$A$64:$E$74,5,FALSE()),"No")="Yes",1,0)</f>
        <v>0</v>
      </c>
      <c r="AI706" s="65" t="n">
        <f aca="false">IF(ISNUMBER(MATCH(D706,Controls!$A$64:$A$74,0)),1,0)</f>
        <v>1</v>
      </c>
      <c r="AJ706" s="65" t="n">
        <f aca="false">Q706-N706</f>
        <v>5880</v>
      </c>
      <c r="AK706" s="65" t="n">
        <f aca="false">IF(AE706=1,MAX(0,N706-Q706),0)</f>
        <v>0</v>
      </c>
      <c r="AL706" s="65" t="n">
        <f aca="false">IF(OR(V706="",V706=0),0,N706/V706)</f>
        <v>0.194929114027684</v>
      </c>
      <c r="AM706" s="65" t="n">
        <f aca="false">IF(OR(V706="",V706=0),0,1)</f>
        <v>1</v>
      </c>
      <c r="AN706" s="65" t="n">
        <f aca="false">IF(OR(E706="",F706=""),0,NETWORKDAYS(E706,F706,Ref!$K$2:$K$42))</f>
        <v>48</v>
      </c>
      <c r="AO706" s="65" t="n">
        <f aca="false">IF(L706="Renewal",1,0)</f>
        <v>0</v>
      </c>
      <c r="AP706" s="65" t="n">
        <f aca="false">AC706*AD706</f>
        <v>1</v>
      </c>
      <c r="AQ706" s="65" t="n">
        <f aca="false">IF(AND(G706&lt;&gt;"",'Historical Score'!$C$6&lt;&gt;""),IF(G706='Historical Score'!$C$6,1,0),0)</f>
        <v>0</v>
      </c>
      <c r="AR706" s="65" t="n">
        <f aca="false">IF(AND(L706&lt;&gt;"",'Historical Score'!$C$5&lt;&gt;""),IF(L706='Historical Score'!$C$5,1,0),0)</f>
        <v>1</v>
      </c>
      <c r="AS706" s="65" t="n">
        <f aca="false">IF(AND(Y706&lt;&gt;"",'Historical Score'!$C$7&lt;&gt;""),IF(Y706='Historical Score'!$C$7,1,0),0)</f>
        <v>0</v>
      </c>
      <c r="AT706" s="65" t="n">
        <f aca="false">IF(AND(K706&lt;&gt;"",'Historical Score'!$C$8&lt;&gt;""),IF(K706='Historical Score'!$C$8,1,0),0)</f>
        <v>0</v>
      </c>
      <c r="AU706" s="65" t="n">
        <f aca="false">IF(AND(J706&lt;&gt;"",'Historical Score'!$C$9&lt;&gt;""),IF(J706='Historical Score'!$C$9,1,0),0)</f>
        <v>0</v>
      </c>
      <c r="AV706" s="65" t="n">
        <f aca="false">AR706*AS706*AQ706</f>
        <v>0</v>
      </c>
      <c r="AW706" s="65" t="n">
        <f aca="false">AR706*AT706*AQ706</f>
        <v>0</v>
      </c>
      <c r="AX706" s="65" t="n">
        <f aca="false">AR706*AS706</f>
        <v>0</v>
      </c>
      <c r="AY706" s="65" t="n">
        <f aca="false">AR706*AT706</f>
        <v>0</v>
      </c>
      <c r="AZ706" s="65" t="n">
        <f aca="false">AR706*AQ706</f>
        <v>0</v>
      </c>
      <c r="BA706" s="65" t="n">
        <f aca="false">AR706</f>
        <v>1</v>
      </c>
      <c r="BB706" s="65" t="n">
        <f aca="false">1</f>
        <v>1</v>
      </c>
      <c r="BC706" s="65" t="n">
        <f aca="false">IF(AV706=1,1,IF(AW706=1,2,IF(AX706=1,3,IF(AY706=1,4,IF(AZ706=1,5,IF(BA706=1,6,7))))))</f>
        <v>6</v>
      </c>
      <c r="BD706" s="65" t="n">
        <f aca="false">IF(AD706=1,CHOOSE('Historical Score'!$C$29,AV706,AW706,AX706,AY706,AZ706,BA706,BB706),0)</f>
        <v>0</v>
      </c>
      <c r="BE706" s="65" t="str">
        <f aca="false">IF(BD706=1,COUNTIF($BD$2:BD706,1),"")</f>
        <v/>
      </c>
    </row>
    <row r="707" customFormat="false" ht="15" hidden="false" customHeight="false" outlineLevel="0" collapsed="false">
      <c r="A707" s="65" t="s">
        <v>2348</v>
      </c>
      <c r="B707" s="65" t="s">
        <v>2349</v>
      </c>
      <c r="C707" s="65" t="s">
        <v>2349</v>
      </c>
      <c r="D707" s="65" t="s">
        <v>340</v>
      </c>
      <c r="E707" s="112" t="n">
        <v>46094</v>
      </c>
      <c r="F707" s="112" t="n">
        <v>46115</v>
      </c>
      <c r="G707" s="65" t="n">
        <v>3</v>
      </c>
      <c r="H707" s="65" t="s">
        <v>391</v>
      </c>
      <c r="I707" s="65" t="s">
        <v>392</v>
      </c>
      <c r="J707" s="65" t="s">
        <v>704</v>
      </c>
      <c r="K707" s="65" t="s">
        <v>983</v>
      </c>
      <c r="L707" s="65" t="s">
        <v>64</v>
      </c>
      <c r="M707" s="113" t="n">
        <v>1.49</v>
      </c>
      <c r="N707" s="114" t="n">
        <v>15000</v>
      </c>
      <c r="O707" s="114" t="n">
        <v>0</v>
      </c>
      <c r="P707" s="114" t="n">
        <v>22350</v>
      </c>
      <c r="Q707" s="114" t="n">
        <v>2732.29</v>
      </c>
      <c r="R707" s="114" t="n">
        <v>19617.71</v>
      </c>
      <c r="S707" s="115" t="n">
        <v>0.122250111856823</v>
      </c>
      <c r="T707" s="65" t="n">
        <v>2.951</v>
      </c>
      <c r="U707" s="65" t="n">
        <v>4</v>
      </c>
      <c r="V707" s="65" t="n">
        <v>26238.89</v>
      </c>
      <c r="W707" s="115" t="n">
        <v>0.1988</v>
      </c>
      <c r="X707" s="112" t="n">
        <v>39448</v>
      </c>
      <c r="Y707" s="65" t="str">
        <f aca="false">IF(I707="","No SIC",IFERROR(VLOOKUP(I707,Ref!$A$2:$B$65,2,FALSE()),"Unclassified"))</f>
        <v>Real Estate</v>
      </c>
      <c r="Z707" s="65" t="str">
        <f aca="false">IF(T707="","",IF(T707&lt;12,"Daily","Weekly"))</f>
        <v>Daily</v>
      </c>
      <c r="AA707" s="65" t="n">
        <f aca="false">IF(T707="",0,IF(T707&lt;12,T707*Controls!$B$29,T707*5))</f>
        <v>63.903905</v>
      </c>
      <c r="AB707" s="65" t="n">
        <f aca="false">IF(E707="",0,NETWORKDAYS(E707,Controls!$B$36,Ref!$K$2:$K$42))</f>
        <v>116</v>
      </c>
      <c r="AC707" s="65" t="n">
        <f aca="false">IF(AND(AA707&gt;0,AB707&gt;=Controls!$B$39*AA707),1,0)</f>
        <v>1</v>
      </c>
      <c r="AD707" s="65" t="n">
        <f aca="false">IF(AND(E707&lt;&gt;"",E707&gt;=Controls!$B$37,E707&lt;=Controls!$B$38),1,0)</f>
        <v>1</v>
      </c>
      <c r="AE707" s="65" t="n">
        <f aca="false">IF(IFERROR(VLOOKUP(D707,Controls!$A$64:$E$74,2,FALSE()),"No")="Yes",1,0)</f>
        <v>1</v>
      </c>
      <c r="AF707" s="65" t="n">
        <f aca="false">IF(IFERROR(VLOOKUP(D707,Controls!$A$64:$E$74,3,FALSE()),"No")="Yes",1,0)</f>
        <v>0</v>
      </c>
      <c r="AG707" s="65" t="n">
        <f aca="false">IF(IFERROR(VLOOKUP(D707,Controls!$A$64:$E$74,4,FALSE()),"No")="Yes",1,0)</f>
        <v>0</v>
      </c>
      <c r="AH707" s="65" t="n">
        <f aca="false">IF(IFERROR(VLOOKUP(D707,Controls!$A$64:$E$74,5,FALSE()),"No")="Yes",1,0)</f>
        <v>0</v>
      </c>
      <c r="AI707" s="65" t="n">
        <f aca="false">IF(ISNUMBER(MATCH(D707,Controls!$A$64:$A$74,0)),1,0)</f>
        <v>1</v>
      </c>
      <c r="AJ707" s="65" t="n">
        <f aca="false">Q707-N707</f>
        <v>-12267.71</v>
      </c>
      <c r="AK707" s="65" t="n">
        <f aca="false">IF(AE707=1,MAX(0,N707-Q707),0)</f>
        <v>12267.71</v>
      </c>
      <c r="AL707" s="65" t="n">
        <f aca="false">IF(OR(V707="",V707=0),0,N707/V707)</f>
        <v>0.571670524172326</v>
      </c>
      <c r="AM707" s="65" t="n">
        <f aca="false">IF(OR(V707="",V707=0),0,1)</f>
        <v>1</v>
      </c>
      <c r="AN707" s="65" t="n">
        <f aca="false">IF(OR(E707="",F707=""),0,NETWORKDAYS(E707,F707,Ref!$K$2:$K$42))</f>
        <v>16</v>
      </c>
      <c r="AO707" s="65" t="n">
        <f aca="false">IF(L707="Renewal",1,0)</f>
        <v>0</v>
      </c>
      <c r="AP707" s="65" t="n">
        <f aca="false">AC707*AD707</f>
        <v>1</v>
      </c>
      <c r="AQ707" s="65" t="n">
        <f aca="false">IF(AND(G707&lt;&gt;"",'Historical Score'!$C$6&lt;&gt;""),IF(G707='Historical Score'!$C$6,1,0),0)</f>
        <v>0</v>
      </c>
      <c r="AR707" s="65" t="n">
        <f aca="false">IF(AND(L707&lt;&gt;"",'Historical Score'!$C$5&lt;&gt;""),IF(L707='Historical Score'!$C$5,1,0),0)</f>
        <v>1</v>
      </c>
      <c r="AS707" s="65" t="n">
        <f aca="false">IF(AND(Y707&lt;&gt;"",'Historical Score'!$C$7&lt;&gt;""),IF(Y707='Historical Score'!$C$7,1,0),0)</f>
        <v>0</v>
      </c>
      <c r="AT707" s="65" t="n">
        <f aca="false">IF(AND(K707&lt;&gt;"",'Historical Score'!$C$8&lt;&gt;""),IF(K707='Historical Score'!$C$8,1,0),0)</f>
        <v>0</v>
      </c>
      <c r="AU707" s="65" t="n">
        <f aca="false">IF(AND(J707&lt;&gt;"",'Historical Score'!$C$9&lt;&gt;""),IF(J707='Historical Score'!$C$9,1,0),0)</f>
        <v>0</v>
      </c>
      <c r="AV707" s="65" t="n">
        <f aca="false">AR707*AS707*AQ707</f>
        <v>0</v>
      </c>
      <c r="AW707" s="65" t="n">
        <f aca="false">AR707*AT707*AQ707</f>
        <v>0</v>
      </c>
      <c r="AX707" s="65" t="n">
        <f aca="false">AR707*AS707</f>
        <v>0</v>
      </c>
      <c r="AY707" s="65" t="n">
        <f aca="false">AR707*AT707</f>
        <v>0</v>
      </c>
      <c r="AZ707" s="65" t="n">
        <f aca="false">AR707*AQ707</f>
        <v>0</v>
      </c>
      <c r="BA707" s="65" t="n">
        <f aca="false">AR707</f>
        <v>1</v>
      </c>
      <c r="BB707" s="65" t="n">
        <f aca="false">1</f>
        <v>1</v>
      </c>
      <c r="BC707" s="65" t="n">
        <f aca="false">IF(AV707=1,1,IF(AW707=1,2,IF(AX707=1,3,IF(AY707=1,4,IF(AZ707=1,5,IF(BA707=1,6,7))))))</f>
        <v>6</v>
      </c>
      <c r="BD707" s="65" t="n">
        <f aca="false">IF(AD707=1,CHOOSE('Historical Score'!$C$29,AV707,AW707,AX707,AY707,AZ707,BA707,BB707),0)</f>
        <v>0</v>
      </c>
      <c r="BE707" s="65" t="str">
        <f aca="false">IF(BD707=1,COUNTIF($BD$2:BD707,1),"")</f>
        <v/>
      </c>
    </row>
    <row r="708" customFormat="false" ht="15" hidden="false" customHeight="false" outlineLevel="0" collapsed="false">
      <c r="A708" s="65" t="s">
        <v>2350</v>
      </c>
      <c r="B708" s="65" t="s">
        <v>2351</v>
      </c>
      <c r="C708" s="65" t="s">
        <v>2351</v>
      </c>
      <c r="D708" s="65" t="s">
        <v>533</v>
      </c>
      <c r="E708" s="112" t="n">
        <v>46094</v>
      </c>
      <c r="F708" s="112" t="n">
        <v>46182</v>
      </c>
      <c r="G708" s="65" t="n">
        <v>2</v>
      </c>
      <c r="H708" s="65" t="s">
        <v>685</v>
      </c>
      <c r="I708" s="65" t="s">
        <v>484</v>
      </c>
      <c r="J708" s="65" t="s">
        <v>452</v>
      </c>
      <c r="K708" s="65" t="s">
        <v>426</v>
      </c>
      <c r="L708" s="65" t="s">
        <v>64</v>
      </c>
      <c r="M708" s="113" t="n">
        <v>1.37</v>
      </c>
      <c r="N708" s="114" t="n">
        <v>10000</v>
      </c>
      <c r="O708" s="114" t="n">
        <v>0</v>
      </c>
      <c r="P708" s="114" t="n">
        <v>13700</v>
      </c>
      <c r="Q708" s="114" t="n">
        <v>877.72</v>
      </c>
      <c r="R708" s="114" t="n">
        <v>12822.28</v>
      </c>
      <c r="S708" s="115" t="n">
        <v>0.0640671532846715</v>
      </c>
      <c r="T708" s="65" t="n">
        <v>20</v>
      </c>
      <c r="U708" s="65" t="n">
        <v>1</v>
      </c>
      <c r="V708" s="65" t="n">
        <v>39861.55</v>
      </c>
      <c r="W708" s="115" t="n">
        <v>0.0687</v>
      </c>
      <c r="X708" s="112" t="n">
        <v>45790</v>
      </c>
      <c r="Y708" s="65" t="str">
        <f aca="false">IF(I708="","No SIC",IFERROR(VLOOKUP(I708,Ref!$A$2:$B$65,2,FALSE()),"Unclassified"))</f>
        <v>Special Trade Contractors</v>
      </c>
      <c r="Z708" s="65" t="str">
        <f aca="false">IF(T708="","",IF(T708&lt;12,"Daily","Weekly"))</f>
        <v>Weekly</v>
      </c>
      <c r="AA708" s="65" t="n">
        <f aca="false">IF(T708="",0,IF(T708&lt;12,T708*Controls!$B$29,T708*5))</f>
        <v>100</v>
      </c>
      <c r="AB708" s="65" t="n">
        <f aca="false">IF(E708="",0,NETWORKDAYS(E708,Controls!$B$36,Ref!$K$2:$K$42))</f>
        <v>116</v>
      </c>
      <c r="AC708" s="65" t="n">
        <f aca="false">IF(AND(AA708&gt;0,AB708&gt;=Controls!$B$39*AA708),1,0)</f>
        <v>0</v>
      </c>
      <c r="AD708" s="65" t="n">
        <f aca="false">IF(AND(E708&lt;&gt;"",E708&gt;=Controls!$B$37,E708&lt;=Controls!$B$38),1,0)</f>
        <v>1</v>
      </c>
      <c r="AE708" s="65" t="n">
        <f aca="false">IF(IFERROR(VLOOKUP(D708,Controls!$A$64:$E$74,2,FALSE()),"No")="Yes",1,0)</f>
        <v>1</v>
      </c>
      <c r="AF708" s="65" t="n">
        <f aca="false">IF(IFERROR(VLOOKUP(D708,Controls!$A$64:$E$74,3,FALSE()),"No")="Yes",1,0)</f>
        <v>0</v>
      </c>
      <c r="AG708" s="65" t="n">
        <f aca="false">IF(IFERROR(VLOOKUP(D708,Controls!$A$64:$E$74,4,FALSE()),"No")="Yes",1,0)</f>
        <v>0</v>
      </c>
      <c r="AH708" s="65" t="n">
        <f aca="false">IF(IFERROR(VLOOKUP(D708,Controls!$A$64:$E$74,5,FALSE()),"No")="Yes",1,0)</f>
        <v>0</v>
      </c>
      <c r="AI708" s="65" t="n">
        <f aca="false">IF(ISNUMBER(MATCH(D708,Controls!$A$64:$A$74,0)),1,0)</f>
        <v>1</v>
      </c>
      <c r="AJ708" s="65" t="n">
        <f aca="false">Q708-N708</f>
        <v>-9122.28</v>
      </c>
      <c r="AK708" s="65" t="n">
        <f aca="false">IF(AE708=1,MAX(0,N708-Q708),0)</f>
        <v>9122.28</v>
      </c>
      <c r="AL708" s="65" t="n">
        <f aca="false">IF(OR(V708="",V708=0),0,N708/V708)</f>
        <v>0.250868317965558</v>
      </c>
      <c r="AM708" s="65" t="n">
        <f aca="false">IF(OR(V708="",V708=0),0,1)</f>
        <v>1</v>
      </c>
      <c r="AN708" s="65" t="n">
        <f aca="false">IF(OR(E708="",F708=""),0,NETWORKDAYS(E708,F708,Ref!$K$2:$K$42))</f>
        <v>62</v>
      </c>
      <c r="AO708" s="65" t="n">
        <f aca="false">IF(L708="Renewal",1,0)</f>
        <v>0</v>
      </c>
      <c r="AP708" s="65" t="n">
        <f aca="false">AC708*AD708</f>
        <v>0</v>
      </c>
      <c r="AQ708" s="65" t="n">
        <f aca="false">IF(AND(G708&lt;&gt;"",'Historical Score'!$C$6&lt;&gt;""),IF(G708='Historical Score'!$C$6,1,0),0)</f>
        <v>1</v>
      </c>
      <c r="AR708" s="65" t="n">
        <f aca="false">IF(AND(L708&lt;&gt;"",'Historical Score'!$C$5&lt;&gt;""),IF(L708='Historical Score'!$C$5,1,0),0)</f>
        <v>1</v>
      </c>
      <c r="AS708" s="65" t="n">
        <f aca="false">IF(AND(Y708&lt;&gt;"",'Historical Score'!$C$7&lt;&gt;""),IF(Y708='Historical Score'!$C$7,1,0),0)</f>
        <v>0</v>
      </c>
      <c r="AT708" s="65" t="n">
        <f aca="false">IF(AND(K708&lt;&gt;"",'Historical Score'!$C$8&lt;&gt;""),IF(K708='Historical Score'!$C$8,1,0),0)</f>
        <v>0</v>
      </c>
      <c r="AU708" s="65" t="n">
        <f aca="false">IF(AND(J708&lt;&gt;"",'Historical Score'!$C$9&lt;&gt;""),IF(J708='Historical Score'!$C$9,1,0),0)</f>
        <v>0</v>
      </c>
      <c r="AV708" s="65" t="n">
        <f aca="false">AR708*AS708*AQ708</f>
        <v>0</v>
      </c>
      <c r="AW708" s="65" t="n">
        <f aca="false">AR708*AT708*AQ708</f>
        <v>0</v>
      </c>
      <c r="AX708" s="65" t="n">
        <f aca="false">AR708*AS708</f>
        <v>0</v>
      </c>
      <c r="AY708" s="65" t="n">
        <f aca="false">AR708*AT708</f>
        <v>0</v>
      </c>
      <c r="AZ708" s="65" t="n">
        <f aca="false">AR708*AQ708</f>
        <v>1</v>
      </c>
      <c r="BA708" s="65" t="n">
        <f aca="false">AR708</f>
        <v>1</v>
      </c>
      <c r="BB708" s="65" t="n">
        <f aca="false">1</f>
        <v>1</v>
      </c>
      <c r="BC708" s="65" t="n">
        <f aca="false">IF(AV708=1,1,IF(AW708=1,2,IF(AX708=1,3,IF(AY708=1,4,IF(AZ708=1,5,IF(BA708=1,6,7))))))</f>
        <v>5</v>
      </c>
      <c r="BD708" s="65" t="n">
        <f aca="false">IF(AD708=1,CHOOSE('Historical Score'!$C$29,AV708,AW708,AX708,AY708,AZ708,BA708,BB708),0)</f>
        <v>0</v>
      </c>
      <c r="BE708" s="65" t="str">
        <f aca="false">IF(BD708=1,COUNTIF($BD$2:BD708,1),"")</f>
        <v/>
      </c>
    </row>
    <row r="709" customFormat="false" ht="15" hidden="false" customHeight="false" outlineLevel="0" collapsed="false">
      <c r="A709" s="65" t="s">
        <v>2352</v>
      </c>
      <c r="B709" s="65" t="s">
        <v>2353</v>
      </c>
      <c r="C709" s="65" t="s">
        <v>2354</v>
      </c>
      <c r="D709" s="65" t="s">
        <v>295</v>
      </c>
      <c r="E709" s="112" t="n">
        <v>46094</v>
      </c>
      <c r="F709" s="112" t="n">
        <v>46248</v>
      </c>
      <c r="G709" s="65" t="n">
        <v>3</v>
      </c>
      <c r="H709" s="65" t="s">
        <v>479</v>
      </c>
      <c r="I709" s="65" t="s">
        <v>356</v>
      </c>
      <c r="J709" s="65" t="s">
        <v>555</v>
      </c>
      <c r="K709" s="65" t="s">
        <v>1120</v>
      </c>
      <c r="L709" s="65" t="s">
        <v>64</v>
      </c>
      <c r="M709" s="113" t="n">
        <v>1.49</v>
      </c>
      <c r="N709" s="114" t="n">
        <v>20000</v>
      </c>
      <c r="O709" s="114" t="n">
        <v>2800</v>
      </c>
      <c r="P709" s="114" t="n">
        <v>29800</v>
      </c>
      <c r="Q709" s="114" t="n">
        <v>17885.88</v>
      </c>
      <c r="R709" s="114" t="n">
        <v>11914.12</v>
      </c>
      <c r="S709" s="115" t="n">
        <v>0.600197315436242</v>
      </c>
      <c r="T709" s="65" t="n">
        <v>20</v>
      </c>
      <c r="U709" s="65" t="n">
        <v>10</v>
      </c>
      <c r="V709" s="65" t="n">
        <v>50482.4</v>
      </c>
      <c r="W709" s="115" t="n">
        <v>0.1181</v>
      </c>
      <c r="X709" s="112" t="n">
        <v>44216</v>
      </c>
      <c r="Y709" s="65" t="str">
        <f aca="false">IF(I709="","No SIC",IFERROR(VLOOKUP(I709,Ref!$A$2:$B$65,2,FALSE()),"Unclassified"))</f>
        <v>Trucking &amp; Warehousing</v>
      </c>
      <c r="Z709" s="65" t="str">
        <f aca="false">IF(T709="","",IF(T709&lt;12,"Daily","Weekly"))</f>
        <v>Weekly</v>
      </c>
      <c r="AA709" s="65" t="n">
        <f aca="false">IF(T709="",0,IF(T709&lt;12,T709*Controls!$B$29,T709*5))</f>
        <v>100</v>
      </c>
      <c r="AB709" s="65" t="n">
        <f aca="false">IF(E709="",0,NETWORKDAYS(E709,Controls!$B$36,Ref!$K$2:$K$42))</f>
        <v>116</v>
      </c>
      <c r="AC709" s="65" t="n">
        <f aca="false">IF(AND(AA709&gt;0,AB709&gt;=Controls!$B$39*AA709),1,0)</f>
        <v>0</v>
      </c>
      <c r="AD709" s="65" t="n">
        <f aca="false">IF(AND(E709&lt;&gt;"",E709&gt;=Controls!$B$37,E709&lt;=Controls!$B$38),1,0)</f>
        <v>1</v>
      </c>
      <c r="AE709" s="65" t="n">
        <f aca="false">IF(IFERROR(VLOOKUP(D709,Controls!$A$64:$E$74,2,FALSE()),"No")="Yes",1,0)</f>
        <v>0</v>
      </c>
      <c r="AF709" s="65" t="n">
        <f aca="false">IF(IFERROR(VLOOKUP(D709,Controls!$A$64:$E$74,3,FALSE()),"No")="Yes",1,0)</f>
        <v>0</v>
      </c>
      <c r="AG709" s="65" t="n">
        <f aca="false">IF(IFERROR(VLOOKUP(D709,Controls!$A$64:$E$74,4,FALSE()),"No")="Yes",1,0)</f>
        <v>0</v>
      </c>
      <c r="AH709" s="65" t="n">
        <f aca="false">IF(IFERROR(VLOOKUP(D709,Controls!$A$64:$E$74,5,FALSE()),"No")="Yes",1,0)</f>
        <v>1</v>
      </c>
      <c r="AI709" s="65" t="n">
        <f aca="false">IF(ISNUMBER(MATCH(D709,Controls!$A$64:$A$74,0)),1,0)</f>
        <v>1</v>
      </c>
      <c r="AJ709" s="65" t="n">
        <f aca="false">Q709-N709</f>
        <v>-2114.12</v>
      </c>
      <c r="AK709" s="65" t="n">
        <f aca="false">IF(AE709=1,MAX(0,N709-Q709),0)</f>
        <v>0</v>
      </c>
      <c r="AL709" s="65" t="n">
        <f aca="false">IF(OR(V709="",V709=0),0,N709/V709)</f>
        <v>0.396177677764924</v>
      </c>
      <c r="AM709" s="65" t="n">
        <f aca="false">IF(OR(V709="",V709=0),0,1)</f>
        <v>1</v>
      </c>
      <c r="AN709" s="65" t="n">
        <f aca="false">IF(OR(E709="",F709=""),0,NETWORKDAYS(E709,F709,Ref!$K$2:$K$42))</f>
        <v>109</v>
      </c>
      <c r="AO709" s="65" t="n">
        <f aca="false">IF(L709="Renewal",1,0)</f>
        <v>0</v>
      </c>
      <c r="AP709" s="65" t="n">
        <f aca="false">AC709*AD709</f>
        <v>0</v>
      </c>
      <c r="AQ709" s="65" t="n">
        <f aca="false">IF(AND(G709&lt;&gt;"",'Historical Score'!$C$6&lt;&gt;""),IF(G709='Historical Score'!$C$6,1,0),0)</f>
        <v>0</v>
      </c>
      <c r="AR709" s="65" t="n">
        <f aca="false">IF(AND(L709&lt;&gt;"",'Historical Score'!$C$5&lt;&gt;""),IF(L709='Historical Score'!$C$5,1,0),0)</f>
        <v>1</v>
      </c>
      <c r="AS709" s="65" t="n">
        <f aca="false">IF(AND(Y709&lt;&gt;"",'Historical Score'!$C$7&lt;&gt;""),IF(Y709='Historical Score'!$C$7,1,0),0)</f>
        <v>0</v>
      </c>
      <c r="AT709" s="65" t="n">
        <f aca="false">IF(AND(K709&lt;&gt;"",'Historical Score'!$C$8&lt;&gt;""),IF(K709='Historical Score'!$C$8,1,0),0)</f>
        <v>0</v>
      </c>
      <c r="AU709" s="65" t="n">
        <f aca="false">IF(AND(J709&lt;&gt;"",'Historical Score'!$C$9&lt;&gt;""),IF(J709='Historical Score'!$C$9,1,0),0)</f>
        <v>0</v>
      </c>
      <c r="AV709" s="65" t="n">
        <f aca="false">AR709*AS709*AQ709</f>
        <v>0</v>
      </c>
      <c r="AW709" s="65" t="n">
        <f aca="false">AR709*AT709*AQ709</f>
        <v>0</v>
      </c>
      <c r="AX709" s="65" t="n">
        <f aca="false">AR709*AS709</f>
        <v>0</v>
      </c>
      <c r="AY709" s="65" t="n">
        <f aca="false">AR709*AT709</f>
        <v>0</v>
      </c>
      <c r="AZ709" s="65" t="n">
        <f aca="false">AR709*AQ709</f>
        <v>0</v>
      </c>
      <c r="BA709" s="65" t="n">
        <f aca="false">AR709</f>
        <v>1</v>
      </c>
      <c r="BB709" s="65" t="n">
        <f aca="false">1</f>
        <v>1</v>
      </c>
      <c r="BC709" s="65" t="n">
        <f aca="false">IF(AV709=1,1,IF(AW709=1,2,IF(AX709=1,3,IF(AY709=1,4,IF(AZ709=1,5,IF(BA709=1,6,7))))))</f>
        <v>6</v>
      </c>
      <c r="BD709" s="65" t="n">
        <f aca="false">IF(AD709=1,CHOOSE('Historical Score'!$C$29,AV709,AW709,AX709,AY709,AZ709,BA709,BB709),0)</f>
        <v>0</v>
      </c>
      <c r="BE709" s="65" t="str">
        <f aca="false">IF(BD709=1,COUNTIF($BD$2:BD709,1),"")</f>
        <v/>
      </c>
    </row>
    <row r="710" customFormat="false" ht="15" hidden="false" customHeight="false" outlineLevel="0" collapsed="false">
      <c r="A710" s="65" t="s">
        <v>2355</v>
      </c>
      <c r="B710" s="65" t="s">
        <v>2356</v>
      </c>
      <c r="C710" s="65" t="s">
        <v>2357</v>
      </c>
      <c r="D710" s="65" t="s">
        <v>1348</v>
      </c>
      <c r="E710" s="112" t="n">
        <v>46094</v>
      </c>
      <c r="F710" s="112" t="n">
        <v>46244</v>
      </c>
      <c r="G710" s="65" t="n">
        <v>1</v>
      </c>
      <c r="H710" s="65" t="s">
        <v>348</v>
      </c>
      <c r="I710" s="65" t="s">
        <v>349</v>
      </c>
      <c r="J710" s="65" t="s">
        <v>555</v>
      </c>
      <c r="K710" s="65" t="s">
        <v>584</v>
      </c>
      <c r="L710" s="65" t="s">
        <v>64</v>
      </c>
      <c r="M710" s="113" t="n">
        <v>1.49</v>
      </c>
      <c r="N710" s="114" t="n">
        <v>30000</v>
      </c>
      <c r="O710" s="114" t="n">
        <v>4200</v>
      </c>
      <c r="P710" s="114" t="n">
        <v>44700</v>
      </c>
      <c r="Q710" s="114" t="n">
        <v>44700</v>
      </c>
      <c r="R710" s="114" t="n">
        <v>0</v>
      </c>
      <c r="S710" s="115" t="n">
        <v>1</v>
      </c>
      <c r="T710" s="65" t="n">
        <v>3.279</v>
      </c>
      <c r="U710" s="65" t="n">
        <v>4</v>
      </c>
      <c r="V710" s="65" t="n">
        <v>190677.94</v>
      </c>
      <c r="W710" s="115" t="n">
        <v>0.0492</v>
      </c>
      <c r="X710" s="112" t="n">
        <v>43617</v>
      </c>
      <c r="Y710" s="65" t="str">
        <f aca="false">IF(I710="","No SIC",IFERROR(VLOOKUP(I710,Ref!$A$2:$B$65,2,FALSE()),"Unclassified"))</f>
        <v>Nonmetallic Minerals Mining</v>
      </c>
      <c r="Z710" s="65" t="str">
        <f aca="false">IF(T710="","",IF(T710&lt;12,"Daily","Weekly"))</f>
        <v>Daily</v>
      </c>
      <c r="AA710" s="65" t="n">
        <f aca="false">IF(T710="",0,IF(T710&lt;12,T710*Controls!$B$29,T710*5))</f>
        <v>71.006745</v>
      </c>
      <c r="AB710" s="65" t="n">
        <f aca="false">IF(E710="",0,NETWORKDAYS(E710,Controls!$B$36,Ref!$K$2:$K$42))</f>
        <v>116</v>
      </c>
      <c r="AC710" s="65" t="n">
        <f aca="false">IF(AND(AA710&gt;0,AB710&gt;=Controls!$B$39*AA710),1,0)</f>
        <v>1</v>
      </c>
      <c r="AD710" s="65" t="n">
        <f aca="false">IF(AND(E710&lt;&gt;"",E710&gt;=Controls!$B$37,E710&lt;=Controls!$B$38),1,0)</f>
        <v>1</v>
      </c>
      <c r="AE710" s="65" t="n">
        <f aca="false">IF(IFERROR(VLOOKUP(D710,Controls!$A$64:$E$74,2,FALSE()),"No")="Yes",1,0)</f>
        <v>0</v>
      </c>
      <c r="AF710" s="65" t="n">
        <f aca="false">IF(IFERROR(VLOOKUP(D710,Controls!$A$64:$E$74,3,FALSE()),"No")="Yes",1,0)</f>
        <v>1</v>
      </c>
      <c r="AG710" s="65" t="n">
        <f aca="false">IF(IFERROR(VLOOKUP(D710,Controls!$A$64:$E$74,4,FALSE()),"No")="Yes",1,0)</f>
        <v>1</v>
      </c>
      <c r="AH710" s="65" t="n">
        <f aca="false">IF(IFERROR(VLOOKUP(D710,Controls!$A$64:$E$74,5,FALSE()),"No")="Yes",1,0)</f>
        <v>0</v>
      </c>
      <c r="AI710" s="65" t="n">
        <f aca="false">IF(ISNUMBER(MATCH(D710,Controls!$A$64:$A$74,0)),1,0)</f>
        <v>1</v>
      </c>
      <c r="AJ710" s="65" t="n">
        <f aca="false">Q710-N710</f>
        <v>14700</v>
      </c>
      <c r="AK710" s="65" t="n">
        <f aca="false">IF(AE710=1,MAX(0,N710-Q710),0)</f>
        <v>0</v>
      </c>
      <c r="AL710" s="65" t="n">
        <f aca="false">IF(OR(V710="",V710=0),0,N710/V710)</f>
        <v>0.157333354870521</v>
      </c>
      <c r="AM710" s="65" t="n">
        <f aca="false">IF(OR(V710="",V710=0),0,1)</f>
        <v>1</v>
      </c>
      <c r="AN710" s="65" t="n">
        <f aca="false">IF(OR(E710="",F710=""),0,NETWORKDAYS(E710,F710,Ref!$K$2:$K$42))</f>
        <v>105</v>
      </c>
      <c r="AO710" s="65" t="n">
        <f aca="false">IF(L710="Renewal",1,0)</f>
        <v>0</v>
      </c>
      <c r="AP710" s="65" t="n">
        <f aca="false">AC710*AD710</f>
        <v>1</v>
      </c>
      <c r="AQ710" s="65" t="n">
        <f aca="false">IF(AND(G710&lt;&gt;"",'Historical Score'!$C$6&lt;&gt;""),IF(G710='Historical Score'!$C$6,1,0),0)</f>
        <v>0</v>
      </c>
      <c r="AR710" s="65" t="n">
        <f aca="false">IF(AND(L710&lt;&gt;"",'Historical Score'!$C$5&lt;&gt;""),IF(L710='Historical Score'!$C$5,1,0),0)</f>
        <v>1</v>
      </c>
      <c r="AS710" s="65" t="n">
        <f aca="false">IF(AND(Y710&lt;&gt;"",'Historical Score'!$C$7&lt;&gt;""),IF(Y710='Historical Score'!$C$7,1,0),0)</f>
        <v>0</v>
      </c>
      <c r="AT710" s="65" t="n">
        <f aca="false">IF(AND(K710&lt;&gt;"",'Historical Score'!$C$8&lt;&gt;""),IF(K710='Historical Score'!$C$8,1,0),0)</f>
        <v>0</v>
      </c>
      <c r="AU710" s="65" t="n">
        <f aca="false">IF(AND(J710&lt;&gt;"",'Historical Score'!$C$9&lt;&gt;""),IF(J710='Historical Score'!$C$9,1,0),0)</f>
        <v>0</v>
      </c>
      <c r="AV710" s="65" t="n">
        <f aca="false">AR710*AS710*AQ710</f>
        <v>0</v>
      </c>
      <c r="AW710" s="65" t="n">
        <f aca="false">AR710*AT710*AQ710</f>
        <v>0</v>
      </c>
      <c r="AX710" s="65" t="n">
        <f aca="false">AR710*AS710</f>
        <v>0</v>
      </c>
      <c r="AY710" s="65" t="n">
        <f aca="false">AR710*AT710</f>
        <v>0</v>
      </c>
      <c r="AZ710" s="65" t="n">
        <f aca="false">AR710*AQ710</f>
        <v>0</v>
      </c>
      <c r="BA710" s="65" t="n">
        <f aca="false">AR710</f>
        <v>1</v>
      </c>
      <c r="BB710" s="65" t="n">
        <f aca="false">1</f>
        <v>1</v>
      </c>
      <c r="BC710" s="65" t="n">
        <f aca="false">IF(AV710=1,1,IF(AW710=1,2,IF(AX710=1,3,IF(AY710=1,4,IF(AZ710=1,5,IF(BA710=1,6,7))))))</f>
        <v>6</v>
      </c>
      <c r="BD710" s="65" t="n">
        <f aca="false">IF(AD710=1,CHOOSE('Historical Score'!$C$29,AV710,AW710,AX710,AY710,AZ710,BA710,BB710),0)</f>
        <v>0</v>
      </c>
      <c r="BE710" s="65" t="str">
        <f aca="false">IF(BD710=1,COUNTIF($BD$2:BD710,1),"")</f>
        <v/>
      </c>
    </row>
    <row r="711" customFormat="false" ht="15" hidden="false" customHeight="false" outlineLevel="0" collapsed="false">
      <c r="A711" s="65" t="s">
        <v>2358</v>
      </c>
      <c r="B711" s="65" t="s">
        <v>2359</v>
      </c>
      <c r="C711" s="65" t="s">
        <v>2359</v>
      </c>
      <c r="D711" s="65" t="s">
        <v>295</v>
      </c>
      <c r="E711" s="112" t="n">
        <v>46094</v>
      </c>
      <c r="F711" s="112" t="n">
        <v>46248</v>
      </c>
      <c r="G711" s="65" t="n">
        <v>4</v>
      </c>
      <c r="H711" s="65" t="s">
        <v>430</v>
      </c>
      <c r="I711" s="65" t="s">
        <v>431</v>
      </c>
      <c r="J711" s="65" t="s">
        <v>470</v>
      </c>
      <c r="K711" s="65" t="s">
        <v>983</v>
      </c>
      <c r="L711" s="65" t="s">
        <v>64</v>
      </c>
      <c r="M711" s="113" t="n">
        <v>1.49</v>
      </c>
      <c r="N711" s="114" t="n">
        <v>25000</v>
      </c>
      <c r="O711" s="114" t="n">
        <v>3500</v>
      </c>
      <c r="P711" s="114" t="n">
        <v>37250</v>
      </c>
      <c r="Q711" s="114" t="n">
        <v>35102</v>
      </c>
      <c r="R711" s="114" t="n">
        <v>2148</v>
      </c>
      <c r="S711" s="115" t="n">
        <v>0.942335570469799</v>
      </c>
      <c r="T711" s="65" t="n">
        <v>20</v>
      </c>
      <c r="U711" s="65" t="n">
        <v>1</v>
      </c>
      <c r="V711" s="65" t="n">
        <v>85000</v>
      </c>
      <c r="W711" s="115" t="n">
        <v>0.133</v>
      </c>
      <c r="X711" s="112" t="n">
        <v>46094</v>
      </c>
      <c r="Y711" s="65" t="str">
        <f aca="false">IF(I711="","No SIC",IFERROR(VLOOKUP(I711,Ref!$A$2:$B$65,2,FALSE()),"Unclassified"))</f>
        <v>Apparel &amp; Accessory Stores</v>
      </c>
      <c r="Z711" s="65" t="str">
        <f aca="false">IF(T711="","",IF(T711&lt;12,"Daily","Weekly"))</f>
        <v>Weekly</v>
      </c>
      <c r="AA711" s="65" t="n">
        <f aca="false">IF(T711="",0,IF(T711&lt;12,T711*Controls!$B$29,T711*5))</f>
        <v>100</v>
      </c>
      <c r="AB711" s="65" t="n">
        <f aca="false">IF(E711="",0,NETWORKDAYS(E711,Controls!$B$36,Ref!$K$2:$K$42))</f>
        <v>116</v>
      </c>
      <c r="AC711" s="65" t="n">
        <f aca="false">IF(AND(AA711&gt;0,AB711&gt;=Controls!$B$39*AA711),1,0)</f>
        <v>0</v>
      </c>
      <c r="AD711" s="65" t="n">
        <f aca="false">IF(AND(E711&lt;&gt;"",E711&gt;=Controls!$B$37,E711&lt;=Controls!$B$38),1,0)</f>
        <v>1</v>
      </c>
      <c r="AE711" s="65" t="n">
        <f aca="false">IF(IFERROR(VLOOKUP(D711,Controls!$A$64:$E$74,2,FALSE()),"No")="Yes",1,0)</f>
        <v>0</v>
      </c>
      <c r="AF711" s="65" t="n">
        <f aca="false">IF(IFERROR(VLOOKUP(D711,Controls!$A$64:$E$74,3,FALSE()),"No")="Yes",1,0)</f>
        <v>0</v>
      </c>
      <c r="AG711" s="65" t="n">
        <f aca="false">IF(IFERROR(VLOOKUP(D711,Controls!$A$64:$E$74,4,FALSE()),"No")="Yes",1,0)</f>
        <v>0</v>
      </c>
      <c r="AH711" s="65" t="n">
        <f aca="false">IF(IFERROR(VLOOKUP(D711,Controls!$A$64:$E$74,5,FALSE()),"No")="Yes",1,0)</f>
        <v>1</v>
      </c>
      <c r="AI711" s="65" t="n">
        <f aca="false">IF(ISNUMBER(MATCH(D711,Controls!$A$64:$A$74,0)),1,0)</f>
        <v>1</v>
      </c>
      <c r="AJ711" s="65" t="n">
        <f aca="false">Q711-N711</f>
        <v>10102</v>
      </c>
      <c r="AK711" s="65" t="n">
        <f aca="false">IF(AE711=1,MAX(0,N711-Q711),0)</f>
        <v>0</v>
      </c>
      <c r="AL711" s="65" t="n">
        <f aca="false">IF(OR(V711="",V711=0),0,N711/V711)</f>
        <v>0.294117647058824</v>
      </c>
      <c r="AM711" s="65" t="n">
        <f aca="false">IF(OR(V711="",V711=0),0,1)</f>
        <v>1</v>
      </c>
      <c r="AN711" s="65" t="n">
        <f aca="false">IF(OR(E711="",F711=""),0,NETWORKDAYS(E711,F711,Ref!$K$2:$K$42))</f>
        <v>109</v>
      </c>
      <c r="AO711" s="65" t="n">
        <f aca="false">IF(L711="Renewal",1,0)</f>
        <v>0</v>
      </c>
      <c r="AP711" s="65" t="n">
        <f aca="false">AC711*AD711</f>
        <v>0</v>
      </c>
      <c r="AQ711" s="65" t="n">
        <f aca="false">IF(AND(G711&lt;&gt;"",'Historical Score'!$C$6&lt;&gt;""),IF(G711='Historical Score'!$C$6,1,0),0)</f>
        <v>0</v>
      </c>
      <c r="AR711" s="65" t="n">
        <f aca="false">IF(AND(L711&lt;&gt;"",'Historical Score'!$C$5&lt;&gt;""),IF(L711='Historical Score'!$C$5,1,0),0)</f>
        <v>1</v>
      </c>
      <c r="AS711" s="65" t="n">
        <f aca="false">IF(AND(Y711&lt;&gt;"",'Historical Score'!$C$7&lt;&gt;""),IF(Y711='Historical Score'!$C$7,1,0),0)</f>
        <v>0</v>
      </c>
      <c r="AT711" s="65" t="n">
        <f aca="false">IF(AND(K711&lt;&gt;"",'Historical Score'!$C$8&lt;&gt;""),IF(K711='Historical Score'!$C$8,1,0),0)</f>
        <v>0</v>
      </c>
      <c r="AU711" s="65" t="n">
        <f aca="false">IF(AND(J711&lt;&gt;"",'Historical Score'!$C$9&lt;&gt;""),IF(J711='Historical Score'!$C$9,1,0),0)</f>
        <v>0</v>
      </c>
      <c r="AV711" s="65" t="n">
        <f aca="false">AR711*AS711*AQ711</f>
        <v>0</v>
      </c>
      <c r="AW711" s="65" t="n">
        <f aca="false">AR711*AT711*AQ711</f>
        <v>0</v>
      </c>
      <c r="AX711" s="65" t="n">
        <f aca="false">AR711*AS711</f>
        <v>0</v>
      </c>
      <c r="AY711" s="65" t="n">
        <f aca="false">AR711*AT711</f>
        <v>0</v>
      </c>
      <c r="AZ711" s="65" t="n">
        <f aca="false">AR711*AQ711</f>
        <v>0</v>
      </c>
      <c r="BA711" s="65" t="n">
        <f aca="false">AR711</f>
        <v>1</v>
      </c>
      <c r="BB711" s="65" t="n">
        <f aca="false">1</f>
        <v>1</v>
      </c>
      <c r="BC711" s="65" t="n">
        <f aca="false">IF(AV711=1,1,IF(AW711=1,2,IF(AX711=1,3,IF(AY711=1,4,IF(AZ711=1,5,IF(BA711=1,6,7))))))</f>
        <v>6</v>
      </c>
      <c r="BD711" s="65" t="n">
        <f aca="false">IF(AD711=1,CHOOSE('Historical Score'!$C$29,AV711,AW711,AX711,AY711,AZ711,BA711,BB711),0)</f>
        <v>0</v>
      </c>
      <c r="BE711" s="65" t="str">
        <f aca="false">IF(BD711=1,COUNTIF($BD$2:BD711,1),"")</f>
        <v/>
      </c>
    </row>
    <row r="712" customFormat="false" ht="15" hidden="false" customHeight="false" outlineLevel="0" collapsed="false">
      <c r="A712" s="65" t="s">
        <v>2360</v>
      </c>
      <c r="B712" s="65" t="s">
        <v>2361</v>
      </c>
      <c r="C712" s="65" t="s">
        <v>2362</v>
      </c>
      <c r="D712" s="65" t="s">
        <v>959</v>
      </c>
      <c r="E712" s="112" t="n">
        <v>46094</v>
      </c>
      <c r="F712" s="112" t="n">
        <v>46248</v>
      </c>
      <c r="G712" s="65" t="n">
        <v>3</v>
      </c>
      <c r="J712" s="65" t="s">
        <v>350</v>
      </c>
      <c r="K712" s="65" t="s">
        <v>961</v>
      </c>
      <c r="L712" s="65" t="s">
        <v>64</v>
      </c>
      <c r="M712" s="113" t="n">
        <v>1.42</v>
      </c>
      <c r="N712" s="114" t="n">
        <v>22000</v>
      </c>
      <c r="O712" s="114" t="n">
        <v>3080</v>
      </c>
      <c r="P712" s="114" t="n">
        <v>31240</v>
      </c>
      <c r="Q712" s="114" t="n">
        <v>19600.58</v>
      </c>
      <c r="R712" s="114" t="n">
        <v>11639.42</v>
      </c>
      <c r="S712" s="115" t="n">
        <v>0.62741933418694</v>
      </c>
      <c r="T712" s="65" t="n">
        <v>28</v>
      </c>
      <c r="U712" s="65" t="n">
        <v>1</v>
      </c>
      <c r="V712" s="65" t="n">
        <v>25855.28</v>
      </c>
      <c r="W712" s="115" t="n">
        <v>0.1726</v>
      </c>
      <c r="X712" s="112" t="n">
        <v>43160</v>
      </c>
      <c r="Y712" s="65" t="str">
        <f aca="false">IF(I712="","No SIC",IFERROR(VLOOKUP(I712,Ref!$A$2:$B$65,2,FALSE()),"Unclassified"))</f>
        <v>No SIC</v>
      </c>
      <c r="Z712" s="65" t="str">
        <f aca="false">IF(T712="","",IF(T712&lt;12,"Daily","Weekly"))</f>
        <v>Weekly</v>
      </c>
      <c r="AA712" s="65" t="n">
        <f aca="false">IF(T712="",0,IF(T712&lt;12,T712*Controls!$B$29,T712*5))</f>
        <v>140</v>
      </c>
      <c r="AB712" s="65" t="n">
        <f aca="false">IF(E712="",0,NETWORKDAYS(E712,Controls!$B$36,Ref!$K$2:$K$42))</f>
        <v>116</v>
      </c>
      <c r="AC712" s="65" t="n">
        <f aca="false">IF(AND(AA712&gt;0,AB712&gt;=Controls!$B$39*AA712),1,0)</f>
        <v>0</v>
      </c>
      <c r="AD712" s="65" t="n">
        <f aca="false">IF(AND(E712&lt;&gt;"",E712&gt;=Controls!$B$37,E712&lt;=Controls!$B$38),1,0)</f>
        <v>1</v>
      </c>
      <c r="AE712" s="65" t="n">
        <f aca="false">IF(IFERROR(VLOOKUP(D712,Controls!$A$64:$E$74,2,FALSE()),"No")="Yes",1,0)</f>
        <v>0</v>
      </c>
      <c r="AF712" s="65" t="n">
        <f aca="false">IF(IFERROR(VLOOKUP(D712,Controls!$A$64:$E$74,3,FALSE()),"No")="Yes",1,0)</f>
        <v>0</v>
      </c>
      <c r="AG712" s="65" t="n">
        <f aca="false">IF(IFERROR(VLOOKUP(D712,Controls!$A$64:$E$74,4,FALSE()),"No")="Yes",1,0)</f>
        <v>0</v>
      </c>
      <c r="AH712" s="65" t="n">
        <f aca="false">IF(IFERROR(VLOOKUP(D712,Controls!$A$64:$E$74,5,FALSE()),"No")="Yes",1,0)</f>
        <v>0</v>
      </c>
      <c r="AI712" s="65" t="n">
        <f aca="false">IF(ISNUMBER(MATCH(D712,Controls!$A$64:$A$74,0)),1,0)</f>
        <v>1</v>
      </c>
      <c r="AJ712" s="65" t="n">
        <f aca="false">Q712-N712</f>
        <v>-2399.42</v>
      </c>
      <c r="AK712" s="65" t="n">
        <f aca="false">IF(AE712=1,MAX(0,N712-Q712),0)</f>
        <v>0</v>
      </c>
      <c r="AL712" s="65" t="n">
        <f aca="false">IF(OR(V712="",V712=0),0,N712/V712)</f>
        <v>0.850890030972397</v>
      </c>
      <c r="AM712" s="65" t="n">
        <f aca="false">IF(OR(V712="",V712=0),0,1)</f>
        <v>1</v>
      </c>
      <c r="AN712" s="65" t="n">
        <f aca="false">IF(OR(E712="",F712=""),0,NETWORKDAYS(E712,F712,Ref!$K$2:$K$42))</f>
        <v>109</v>
      </c>
      <c r="AO712" s="65" t="n">
        <f aca="false">IF(L712="Renewal",1,0)</f>
        <v>0</v>
      </c>
      <c r="AP712" s="65" t="n">
        <f aca="false">AC712*AD712</f>
        <v>0</v>
      </c>
      <c r="AQ712" s="65" t="n">
        <f aca="false">IF(AND(G712&lt;&gt;"",'Historical Score'!$C$6&lt;&gt;""),IF(G712='Historical Score'!$C$6,1,0),0)</f>
        <v>0</v>
      </c>
      <c r="AR712" s="65" t="n">
        <f aca="false">IF(AND(L712&lt;&gt;"",'Historical Score'!$C$5&lt;&gt;""),IF(L712='Historical Score'!$C$5,1,0),0)</f>
        <v>1</v>
      </c>
      <c r="AS712" s="65" t="n">
        <f aca="false">IF(AND(Y712&lt;&gt;"",'Historical Score'!$C$7&lt;&gt;""),IF(Y712='Historical Score'!$C$7,1,0),0)</f>
        <v>0</v>
      </c>
      <c r="AT712" s="65" t="n">
        <f aca="false">IF(AND(K712&lt;&gt;"",'Historical Score'!$C$8&lt;&gt;""),IF(K712='Historical Score'!$C$8,1,0),0)</f>
        <v>0</v>
      </c>
      <c r="AU712" s="65" t="n">
        <f aca="false">IF(AND(J712&lt;&gt;"",'Historical Score'!$C$9&lt;&gt;""),IF(J712='Historical Score'!$C$9,1,0),0)</f>
        <v>0</v>
      </c>
      <c r="AV712" s="65" t="n">
        <f aca="false">AR712*AS712*AQ712</f>
        <v>0</v>
      </c>
      <c r="AW712" s="65" t="n">
        <f aca="false">AR712*AT712*AQ712</f>
        <v>0</v>
      </c>
      <c r="AX712" s="65" t="n">
        <f aca="false">AR712*AS712</f>
        <v>0</v>
      </c>
      <c r="AY712" s="65" t="n">
        <f aca="false">AR712*AT712</f>
        <v>0</v>
      </c>
      <c r="AZ712" s="65" t="n">
        <f aca="false">AR712*AQ712</f>
        <v>0</v>
      </c>
      <c r="BA712" s="65" t="n">
        <f aca="false">AR712</f>
        <v>1</v>
      </c>
      <c r="BB712" s="65" t="n">
        <f aca="false">1</f>
        <v>1</v>
      </c>
      <c r="BC712" s="65" t="n">
        <f aca="false">IF(AV712=1,1,IF(AW712=1,2,IF(AX712=1,3,IF(AY712=1,4,IF(AZ712=1,5,IF(BA712=1,6,7))))))</f>
        <v>6</v>
      </c>
      <c r="BD712" s="65" t="n">
        <f aca="false">IF(AD712=1,CHOOSE('Historical Score'!$C$29,AV712,AW712,AX712,AY712,AZ712,BA712,BB712),0)</f>
        <v>0</v>
      </c>
      <c r="BE712" s="65" t="str">
        <f aca="false">IF(BD712=1,COUNTIF($BD$2:BD712,1),"")</f>
        <v/>
      </c>
    </row>
    <row r="713" customFormat="false" ht="15" hidden="false" customHeight="false" outlineLevel="0" collapsed="false">
      <c r="A713" s="65" t="s">
        <v>2363</v>
      </c>
      <c r="B713" s="65" t="s">
        <v>2364</v>
      </c>
      <c r="C713" s="65" t="s">
        <v>2365</v>
      </c>
      <c r="D713" s="65" t="s">
        <v>371</v>
      </c>
      <c r="E713" s="112" t="n">
        <v>46097</v>
      </c>
      <c r="F713" s="112" t="n">
        <v>46219</v>
      </c>
      <c r="G713" s="65" t="n">
        <v>3</v>
      </c>
      <c r="H713" s="65" t="s">
        <v>2366</v>
      </c>
      <c r="I713" s="65" t="s">
        <v>2367</v>
      </c>
      <c r="J713" s="65" t="s">
        <v>638</v>
      </c>
      <c r="K713" s="65" t="s">
        <v>961</v>
      </c>
      <c r="L713" s="65" t="s">
        <v>320</v>
      </c>
      <c r="M713" s="113" t="n">
        <v>1.4</v>
      </c>
      <c r="N713" s="114" t="n">
        <v>15500</v>
      </c>
      <c r="O713" s="114" t="n">
        <v>2015</v>
      </c>
      <c r="P713" s="114" t="n">
        <v>21700</v>
      </c>
      <c r="Q713" s="114" t="n">
        <v>21700</v>
      </c>
      <c r="R713" s="114" t="n">
        <v>0</v>
      </c>
      <c r="S713" s="115" t="n">
        <v>1</v>
      </c>
      <c r="T713" s="65" t="n">
        <v>4.262</v>
      </c>
      <c r="U713" s="65" t="n">
        <v>0</v>
      </c>
      <c r="V713" s="65" t="n">
        <v>14934.99</v>
      </c>
      <c r="W713" s="115" t="n">
        <v>0.2347</v>
      </c>
      <c r="X713" s="112" t="n">
        <v>45524</v>
      </c>
      <c r="Y713" s="65" t="str">
        <f aca="false">IF(I713="","No SIC",IFERROR(VLOOKUP(I713,Ref!$A$2:$B$65,2,FALSE()),"Unclassified"))</f>
        <v>Services - Miscellaneous</v>
      </c>
      <c r="Z713" s="65" t="str">
        <f aca="false">IF(T713="","",IF(T713&lt;12,"Daily","Weekly"))</f>
        <v>Daily</v>
      </c>
      <c r="AA713" s="65" t="n">
        <f aca="false">IF(T713="",0,IF(T713&lt;12,T713*Controls!$B$29,T713*5))</f>
        <v>92.29361</v>
      </c>
      <c r="AB713" s="65" t="n">
        <f aca="false">IF(E713="",0,NETWORKDAYS(E713,Controls!$B$36,Ref!$K$2:$K$42))</f>
        <v>115</v>
      </c>
      <c r="AC713" s="65" t="n">
        <f aca="false">IF(AND(AA713&gt;0,AB713&gt;=Controls!$B$39*AA713),1,0)</f>
        <v>0</v>
      </c>
      <c r="AD713" s="65" t="n">
        <f aca="false">IF(AND(E713&lt;&gt;"",E713&gt;=Controls!$B$37,E713&lt;=Controls!$B$38),1,0)</f>
        <v>1</v>
      </c>
      <c r="AE713" s="65" t="n">
        <f aca="false">IF(IFERROR(VLOOKUP(D713,Controls!$A$64:$E$74,2,FALSE()),"No")="Yes",1,0)</f>
        <v>0</v>
      </c>
      <c r="AF713" s="65" t="n">
        <f aca="false">IF(IFERROR(VLOOKUP(D713,Controls!$A$64:$E$74,3,FALSE()),"No")="Yes",1,0)</f>
        <v>1</v>
      </c>
      <c r="AG713" s="65" t="n">
        <f aca="false">IF(IFERROR(VLOOKUP(D713,Controls!$A$64:$E$74,4,FALSE()),"No")="Yes",1,0)</f>
        <v>1</v>
      </c>
      <c r="AH713" s="65" t="n">
        <f aca="false">IF(IFERROR(VLOOKUP(D713,Controls!$A$64:$E$74,5,FALSE()),"No")="Yes",1,0)</f>
        <v>0</v>
      </c>
      <c r="AI713" s="65" t="n">
        <f aca="false">IF(ISNUMBER(MATCH(D713,Controls!$A$64:$A$74,0)),1,0)</f>
        <v>1</v>
      </c>
      <c r="AJ713" s="65" t="n">
        <f aca="false">Q713-N713</f>
        <v>6200</v>
      </c>
      <c r="AK713" s="65" t="n">
        <f aca="false">IF(AE713=1,MAX(0,N713-Q713),0)</f>
        <v>0</v>
      </c>
      <c r="AL713" s="65" t="n">
        <f aca="false">IF(OR(V713="",V713=0),0,N713/V713)</f>
        <v>1.03783129416223</v>
      </c>
      <c r="AM713" s="65" t="n">
        <f aca="false">IF(OR(V713="",V713=0),0,1)</f>
        <v>1</v>
      </c>
      <c r="AN713" s="65" t="n">
        <f aca="false">IF(OR(E713="",F713=""),0,NETWORKDAYS(E713,F713,Ref!$K$2:$K$42))</f>
        <v>87</v>
      </c>
      <c r="AO713" s="65" t="n">
        <f aca="false">IF(L713="Renewal",1,0)</f>
        <v>1</v>
      </c>
      <c r="AP713" s="65" t="n">
        <f aca="false">AC713*AD713</f>
        <v>0</v>
      </c>
      <c r="AQ713" s="65" t="n">
        <f aca="false">IF(AND(G713&lt;&gt;"",'Historical Score'!$C$6&lt;&gt;""),IF(G713='Historical Score'!$C$6,1,0),0)</f>
        <v>0</v>
      </c>
      <c r="AR713" s="65" t="n">
        <f aca="false">IF(AND(L713&lt;&gt;"",'Historical Score'!$C$5&lt;&gt;""),IF(L713='Historical Score'!$C$5,1,0),0)</f>
        <v>0</v>
      </c>
      <c r="AS713" s="65" t="n">
        <f aca="false">IF(AND(Y713&lt;&gt;"",'Historical Score'!$C$7&lt;&gt;""),IF(Y713='Historical Score'!$C$7,1,0),0)</f>
        <v>0</v>
      </c>
      <c r="AT713" s="65" t="n">
        <f aca="false">IF(AND(K713&lt;&gt;"",'Historical Score'!$C$8&lt;&gt;""),IF(K713='Historical Score'!$C$8,1,0),0)</f>
        <v>0</v>
      </c>
      <c r="AU713" s="65" t="n">
        <f aca="false">IF(AND(J713&lt;&gt;"",'Historical Score'!$C$9&lt;&gt;""),IF(J713='Historical Score'!$C$9,1,0),0)</f>
        <v>0</v>
      </c>
      <c r="AV713" s="65" t="n">
        <f aca="false">AR713*AS713*AQ713</f>
        <v>0</v>
      </c>
      <c r="AW713" s="65" t="n">
        <f aca="false">AR713*AT713*AQ713</f>
        <v>0</v>
      </c>
      <c r="AX713" s="65" t="n">
        <f aca="false">AR713*AS713</f>
        <v>0</v>
      </c>
      <c r="AY713" s="65" t="n">
        <f aca="false">AR713*AT713</f>
        <v>0</v>
      </c>
      <c r="AZ713" s="65" t="n">
        <f aca="false">AR713*AQ713</f>
        <v>0</v>
      </c>
      <c r="BA713" s="65" t="n">
        <f aca="false">AR713</f>
        <v>0</v>
      </c>
      <c r="BB713" s="65" t="n">
        <f aca="false">1</f>
        <v>1</v>
      </c>
      <c r="BC713" s="65" t="n">
        <f aca="false">IF(AV713=1,1,IF(AW713=1,2,IF(AX713=1,3,IF(AY713=1,4,IF(AZ713=1,5,IF(BA713=1,6,7))))))</f>
        <v>7</v>
      </c>
      <c r="BD713" s="65" t="n">
        <f aca="false">IF(AD713=1,CHOOSE('Historical Score'!$C$29,AV713,AW713,AX713,AY713,AZ713,BA713,BB713),0)</f>
        <v>0</v>
      </c>
      <c r="BE713" s="65" t="str">
        <f aca="false">IF(BD713=1,COUNTIF($BD$2:BD713,1),"")</f>
        <v/>
      </c>
    </row>
    <row r="714" customFormat="false" ht="15" hidden="false" customHeight="false" outlineLevel="0" collapsed="false">
      <c r="A714" s="65" t="s">
        <v>2368</v>
      </c>
      <c r="B714" s="65" t="s">
        <v>2369</v>
      </c>
      <c r="C714" s="65" t="s">
        <v>2370</v>
      </c>
      <c r="D714" s="65" t="s">
        <v>340</v>
      </c>
      <c r="E714" s="112" t="n">
        <v>46097</v>
      </c>
      <c r="F714" s="112" t="n">
        <v>46189</v>
      </c>
      <c r="G714" s="65" t="n">
        <v>3</v>
      </c>
      <c r="H714" s="65" t="s">
        <v>372</v>
      </c>
      <c r="I714" s="65" t="s">
        <v>367</v>
      </c>
      <c r="J714" s="65" t="s">
        <v>61</v>
      </c>
      <c r="K714" s="65" t="s">
        <v>368</v>
      </c>
      <c r="L714" s="65" t="s">
        <v>64</v>
      </c>
      <c r="M714" s="113" t="n">
        <v>1.49</v>
      </c>
      <c r="N714" s="114" t="n">
        <v>80000</v>
      </c>
      <c r="O714" s="114" t="n">
        <v>0</v>
      </c>
      <c r="P714" s="114" t="n">
        <v>119200</v>
      </c>
      <c r="Q714" s="114" t="n">
        <v>15018.62</v>
      </c>
      <c r="R714" s="114" t="n">
        <v>104181.38</v>
      </c>
      <c r="S714" s="115" t="n">
        <v>0.125995134228188</v>
      </c>
      <c r="T714" s="65" t="n">
        <v>27</v>
      </c>
      <c r="U714" s="65" t="n">
        <v>32</v>
      </c>
      <c r="V714" s="65" t="n">
        <v>241369.86</v>
      </c>
      <c r="W714" s="115" t="n">
        <v>0.0732</v>
      </c>
      <c r="X714" s="112" t="n">
        <v>44197</v>
      </c>
      <c r="Y714" s="65" t="str">
        <f aca="false">IF(I714="","No SIC",IFERROR(VLOOKUP(I714,Ref!$A$2:$B$65,2,FALSE()),"Unclassified"))</f>
        <v>Engineering, Accounting &amp; Management</v>
      </c>
      <c r="Z714" s="65" t="str">
        <f aca="false">IF(T714="","",IF(T714&lt;12,"Daily","Weekly"))</f>
        <v>Weekly</v>
      </c>
      <c r="AA714" s="65" t="n">
        <f aca="false">IF(T714="",0,IF(T714&lt;12,T714*Controls!$B$29,T714*5))</f>
        <v>135</v>
      </c>
      <c r="AB714" s="65" t="n">
        <f aca="false">IF(E714="",0,NETWORKDAYS(E714,Controls!$B$36,Ref!$K$2:$K$42))</f>
        <v>115</v>
      </c>
      <c r="AC714" s="65" t="n">
        <f aca="false">IF(AND(AA714&gt;0,AB714&gt;=Controls!$B$39*AA714),1,0)</f>
        <v>0</v>
      </c>
      <c r="AD714" s="65" t="n">
        <f aca="false">IF(AND(E714&lt;&gt;"",E714&gt;=Controls!$B$37,E714&lt;=Controls!$B$38),1,0)</f>
        <v>1</v>
      </c>
      <c r="AE714" s="65" t="n">
        <f aca="false">IF(IFERROR(VLOOKUP(D714,Controls!$A$64:$E$74,2,FALSE()),"No")="Yes",1,0)</f>
        <v>1</v>
      </c>
      <c r="AF714" s="65" t="n">
        <f aca="false">IF(IFERROR(VLOOKUP(D714,Controls!$A$64:$E$74,3,FALSE()),"No")="Yes",1,0)</f>
        <v>0</v>
      </c>
      <c r="AG714" s="65" t="n">
        <f aca="false">IF(IFERROR(VLOOKUP(D714,Controls!$A$64:$E$74,4,FALSE()),"No")="Yes",1,0)</f>
        <v>0</v>
      </c>
      <c r="AH714" s="65" t="n">
        <f aca="false">IF(IFERROR(VLOOKUP(D714,Controls!$A$64:$E$74,5,FALSE()),"No")="Yes",1,0)</f>
        <v>0</v>
      </c>
      <c r="AI714" s="65" t="n">
        <f aca="false">IF(ISNUMBER(MATCH(D714,Controls!$A$64:$A$74,0)),1,0)</f>
        <v>1</v>
      </c>
      <c r="AJ714" s="65" t="n">
        <f aca="false">Q714-N714</f>
        <v>-64981.38</v>
      </c>
      <c r="AK714" s="65" t="n">
        <f aca="false">IF(AE714=1,MAX(0,N714-Q714),0)</f>
        <v>64981.38</v>
      </c>
      <c r="AL714" s="65" t="n">
        <f aca="false">IF(OR(V714="",V714=0),0,N714/V714)</f>
        <v>0.331441547838657</v>
      </c>
      <c r="AM714" s="65" t="n">
        <f aca="false">IF(OR(V714="",V714=0),0,1)</f>
        <v>1</v>
      </c>
      <c r="AN714" s="65" t="n">
        <f aca="false">IF(OR(E714="",F714=""),0,NETWORKDAYS(E714,F714,Ref!$K$2:$K$42))</f>
        <v>66</v>
      </c>
      <c r="AO714" s="65" t="n">
        <f aca="false">IF(L714="Renewal",1,0)</f>
        <v>0</v>
      </c>
      <c r="AP714" s="65" t="n">
        <f aca="false">AC714*AD714</f>
        <v>0</v>
      </c>
      <c r="AQ714" s="65" t="n">
        <f aca="false">IF(AND(G714&lt;&gt;"",'Historical Score'!$C$6&lt;&gt;""),IF(G714='Historical Score'!$C$6,1,0),0)</f>
        <v>0</v>
      </c>
      <c r="AR714" s="65" t="n">
        <f aca="false">IF(AND(L714&lt;&gt;"",'Historical Score'!$C$5&lt;&gt;""),IF(L714='Historical Score'!$C$5,1,0),0)</f>
        <v>1</v>
      </c>
      <c r="AS714" s="65" t="n">
        <f aca="false">IF(AND(Y714&lt;&gt;"",'Historical Score'!$C$7&lt;&gt;""),IF(Y714='Historical Score'!$C$7,1,0),0)</f>
        <v>0</v>
      </c>
      <c r="AT714" s="65" t="n">
        <f aca="false">IF(AND(K714&lt;&gt;"",'Historical Score'!$C$8&lt;&gt;""),IF(K714='Historical Score'!$C$8,1,0),0)</f>
        <v>0</v>
      </c>
      <c r="AU714" s="65" t="n">
        <f aca="false">IF(AND(J714&lt;&gt;"",'Historical Score'!$C$9&lt;&gt;""),IF(J714='Historical Score'!$C$9,1,0),0)</f>
        <v>1</v>
      </c>
      <c r="AV714" s="65" t="n">
        <f aca="false">AR714*AS714*AQ714</f>
        <v>0</v>
      </c>
      <c r="AW714" s="65" t="n">
        <f aca="false">AR714*AT714*AQ714</f>
        <v>0</v>
      </c>
      <c r="AX714" s="65" t="n">
        <f aca="false">AR714*AS714</f>
        <v>0</v>
      </c>
      <c r="AY714" s="65" t="n">
        <f aca="false">AR714*AT714</f>
        <v>0</v>
      </c>
      <c r="AZ714" s="65" t="n">
        <f aca="false">AR714*AQ714</f>
        <v>0</v>
      </c>
      <c r="BA714" s="65" t="n">
        <f aca="false">AR714</f>
        <v>1</v>
      </c>
      <c r="BB714" s="65" t="n">
        <f aca="false">1</f>
        <v>1</v>
      </c>
      <c r="BC714" s="65" t="n">
        <f aca="false">IF(AV714=1,1,IF(AW714=1,2,IF(AX714=1,3,IF(AY714=1,4,IF(AZ714=1,5,IF(BA714=1,6,7))))))</f>
        <v>6</v>
      </c>
      <c r="BD714" s="65" t="n">
        <f aca="false">IF(AD714=1,CHOOSE('Historical Score'!$C$29,AV714,AW714,AX714,AY714,AZ714,BA714,BB714),0)</f>
        <v>0</v>
      </c>
      <c r="BE714" s="65" t="str">
        <f aca="false">IF(BD714=1,COUNTIF($BD$2:BD714,1),"")</f>
        <v/>
      </c>
    </row>
    <row r="715" customFormat="false" ht="15" hidden="false" customHeight="false" outlineLevel="0" collapsed="false">
      <c r="A715" s="65" t="s">
        <v>2371</v>
      </c>
      <c r="B715" s="65" t="s">
        <v>2372</v>
      </c>
      <c r="C715" s="65" t="s">
        <v>2373</v>
      </c>
      <c r="D715" s="65" t="s">
        <v>340</v>
      </c>
      <c r="E715" s="112" t="n">
        <v>46097</v>
      </c>
      <c r="F715" s="112" t="n">
        <v>46177</v>
      </c>
      <c r="G715" s="65" t="n">
        <v>3</v>
      </c>
      <c r="H715" s="65" t="s">
        <v>479</v>
      </c>
      <c r="I715" s="65" t="s">
        <v>356</v>
      </c>
      <c r="J715" s="65" t="s">
        <v>732</v>
      </c>
      <c r="K715" s="65" t="s">
        <v>55</v>
      </c>
      <c r="L715" s="65" t="s">
        <v>64</v>
      </c>
      <c r="M715" s="113" t="n">
        <v>1.49</v>
      </c>
      <c r="N715" s="114" t="n">
        <v>20000</v>
      </c>
      <c r="O715" s="114" t="n">
        <v>2800</v>
      </c>
      <c r="P715" s="114" t="n">
        <v>29800</v>
      </c>
      <c r="Q715" s="114" t="n">
        <v>12220.05</v>
      </c>
      <c r="R715" s="114" t="n">
        <v>17579.95</v>
      </c>
      <c r="S715" s="115" t="n">
        <v>0.410068791946309</v>
      </c>
      <c r="T715" s="65" t="n">
        <v>3.279</v>
      </c>
      <c r="U715" s="65" t="n">
        <v>17</v>
      </c>
      <c r="V715" s="65" t="n">
        <v>145000</v>
      </c>
      <c r="W715" s="115" t="n">
        <v>0.1138</v>
      </c>
      <c r="X715" s="112" t="n">
        <v>44883</v>
      </c>
      <c r="Y715" s="65" t="str">
        <f aca="false">IF(I715="","No SIC",IFERROR(VLOOKUP(I715,Ref!$A$2:$B$65,2,FALSE()),"Unclassified"))</f>
        <v>Trucking &amp; Warehousing</v>
      </c>
      <c r="Z715" s="65" t="str">
        <f aca="false">IF(T715="","",IF(T715&lt;12,"Daily","Weekly"))</f>
        <v>Daily</v>
      </c>
      <c r="AA715" s="65" t="n">
        <f aca="false">IF(T715="",0,IF(T715&lt;12,T715*Controls!$B$29,T715*5))</f>
        <v>71.006745</v>
      </c>
      <c r="AB715" s="65" t="n">
        <f aca="false">IF(E715="",0,NETWORKDAYS(E715,Controls!$B$36,Ref!$K$2:$K$42))</f>
        <v>115</v>
      </c>
      <c r="AC715" s="65" t="n">
        <f aca="false">IF(AND(AA715&gt;0,AB715&gt;=Controls!$B$39*AA715),1,0)</f>
        <v>1</v>
      </c>
      <c r="AD715" s="65" t="n">
        <f aca="false">IF(AND(E715&lt;&gt;"",E715&gt;=Controls!$B$37,E715&lt;=Controls!$B$38),1,0)</f>
        <v>1</v>
      </c>
      <c r="AE715" s="65" t="n">
        <f aca="false">IF(IFERROR(VLOOKUP(D715,Controls!$A$64:$E$74,2,FALSE()),"No")="Yes",1,0)</f>
        <v>1</v>
      </c>
      <c r="AF715" s="65" t="n">
        <f aca="false">IF(IFERROR(VLOOKUP(D715,Controls!$A$64:$E$74,3,FALSE()),"No")="Yes",1,0)</f>
        <v>0</v>
      </c>
      <c r="AG715" s="65" t="n">
        <f aca="false">IF(IFERROR(VLOOKUP(D715,Controls!$A$64:$E$74,4,FALSE()),"No")="Yes",1,0)</f>
        <v>0</v>
      </c>
      <c r="AH715" s="65" t="n">
        <f aca="false">IF(IFERROR(VLOOKUP(D715,Controls!$A$64:$E$74,5,FALSE()),"No")="Yes",1,0)</f>
        <v>0</v>
      </c>
      <c r="AI715" s="65" t="n">
        <f aca="false">IF(ISNUMBER(MATCH(D715,Controls!$A$64:$A$74,0)),1,0)</f>
        <v>1</v>
      </c>
      <c r="AJ715" s="65" t="n">
        <f aca="false">Q715-N715</f>
        <v>-7779.95</v>
      </c>
      <c r="AK715" s="65" t="n">
        <f aca="false">IF(AE715=1,MAX(0,N715-Q715),0)</f>
        <v>7779.95</v>
      </c>
      <c r="AL715" s="65" t="n">
        <f aca="false">IF(OR(V715="",V715=0),0,N715/V715)</f>
        <v>0.137931034482759</v>
      </c>
      <c r="AM715" s="65" t="n">
        <f aca="false">IF(OR(V715="",V715=0),0,1)</f>
        <v>1</v>
      </c>
      <c r="AN715" s="65" t="n">
        <f aca="false">IF(OR(E715="",F715=""),0,NETWORKDAYS(E715,F715,Ref!$K$2:$K$42))</f>
        <v>58</v>
      </c>
      <c r="AO715" s="65" t="n">
        <f aca="false">IF(L715="Renewal",1,0)</f>
        <v>0</v>
      </c>
      <c r="AP715" s="65" t="n">
        <f aca="false">AC715*AD715</f>
        <v>1</v>
      </c>
      <c r="AQ715" s="65" t="n">
        <f aca="false">IF(AND(G715&lt;&gt;"",'Historical Score'!$C$6&lt;&gt;""),IF(G715='Historical Score'!$C$6,1,0),0)</f>
        <v>0</v>
      </c>
      <c r="AR715" s="65" t="n">
        <f aca="false">IF(AND(L715&lt;&gt;"",'Historical Score'!$C$5&lt;&gt;""),IF(L715='Historical Score'!$C$5,1,0),0)</f>
        <v>1</v>
      </c>
      <c r="AS715" s="65" t="n">
        <f aca="false">IF(AND(Y715&lt;&gt;"",'Historical Score'!$C$7&lt;&gt;""),IF(Y715='Historical Score'!$C$7,1,0),0)</f>
        <v>0</v>
      </c>
      <c r="AT715" s="65" t="n">
        <f aca="false">IF(AND(K715&lt;&gt;"",'Historical Score'!$C$8&lt;&gt;""),IF(K715='Historical Score'!$C$8,1,0),0)</f>
        <v>1</v>
      </c>
      <c r="AU715" s="65" t="n">
        <f aca="false">IF(AND(J715&lt;&gt;"",'Historical Score'!$C$9&lt;&gt;""),IF(J715='Historical Score'!$C$9,1,0),0)</f>
        <v>0</v>
      </c>
      <c r="AV715" s="65" t="n">
        <f aca="false">AR715*AS715*AQ715</f>
        <v>0</v>
      </c>
      <c r="AW715" s="65" t="n">
        <f aca="false">AR715*AT715*AQ715</f>
        <v>0</v>
      </c>
      <c r="AX715" s="65" t="n">
        <f aca="false">AR715*AS715</f>
        <v>0</v>
      </c>
      <c r="AY715" s="65" t="n">
        <f aca="false">AR715*AT715</f>
        <v>1</v>
      </c>
      <c r="AZ715" s="65" t="n">
        <f aca="false">AR715*AQ715</f>
        <v>0</v>
      </c>
      <c r="BA715" s="65" t="n">
        <f aca="false">AR715</f>
        <v>1</v>
      </c>
      <c r="BB715" s="65" t="n">
        <f aca="false">1</f>
        <v>1</v>
      </c>
      <c r="BC715" s="65" t="n">
        <f aca="false">IF(AV715=1,1,IF(AW715=1,2,IF(AX715=1,3,IF(AY715=1,4,IF(AZ715=1,5,IF(BA715=1,6,7))))))</f>
        <v>4</v>
      </c>
      <c r="BD715" s="65" t="n">
        <f aca="false">IF(AD715=1,CHOOSE('Historical Score'!$C$29,AV715,AW715,AX715,AY715,AZ715,BA715,BB715),0)</f>
        <v>0</v>
      </c>
      <c r="BE715" s="65" t="str">
        <f aca="false">IF(BD715=1,COUNTIF($BD$2:BD715,1),"")</f>
        <v/>
      </c>
    </row>
    <row r="716" customFormat="false" ht="15" hidden="false" customHeight="false" outlineLevel="0" collapsed="false">
      <c r="A716" s="65" t="s">
        <v>2374</v>
      </c>
      <c r="B716" s="65" t="s">
        <v>2375</v>
      </c>
      <c r="C716" s="65" t="s">
        <v>2376</v>
      </c>
      <c r="D716" s="65" t="s">
        <v>295</v>
      </c>
      <c r="E716" s="112" t="n">
        <v>46097</v>
      </c>
      <c r="F716" s="112" t="n">
        <v>46248</v>
      </c>
      <c r="G716" s="65" t="n">
        <v>3</v>
      </c>
      <c r="H716" s="65" t="s">
        <v>409</v>
      </c>
      <c r="I716" s="65" t="s">
        <v>342</v>
      </c>
      <c r="J716" s="65" t="s">
        <v>350</v>
      </c>
      <c r="K716" s="65" t="s">
        <v>2377</v>
      </c>
      <c r="L716" s="65" t="s">
        <v>64</v>
      </c>
      <c r="M716" s="113" t="n">
        <v>1.49</v>
      </c>
      <c r="N716" s="114" t="n">
        <v>20000</v>
      </c>
      <c r="O716" s="114" t="n">
        <v>2800</v>
      </c>
      <c r="P716" s="114" t="n">
        <v>29800</v>
      </c>
      <c r="Q716" s="114" t="n">
        <v>17634.27</v>
      </c>
      <c r="R716" s="114" t="n">
        <v>12165.73</v>
      </c>
      <c r="S716" s="115" t="n">
        <v>0.591754026845638</v>
      </c>
      <c r="T716" s="65" t="n">
        <v>3.934</v>
      </c>
      <c r="U716" s="65" t="n">
        <v>20</v>
      </c>
      <c r="V716" s="65" t="n">
        <v>80989.14</v>
      </c>
      <c r="W716" s="115" t="n">
        <v>0.0644</v>
      </c>
      <c r="X716" s="112" t="n">
        <v>45519</v>
      </c>
      <c r="Y716" s="65" t="str">
        <f aca="false">IF(I716="","No SIC",IFERROR(VLOOKUP(I716,Ref!$A$2:$B$65,2,FALSE()),"Unclassified"))</f>
        <v>Eating &amp; Drinking Places</v>
      </c>
      <c r="Z716" s="65" t="str">
        <f aca="false">IF(T716="","",IF(T716&lt;12,"Daily","Weekly"))</f>
        <v>Daily</v>
      </c>
      <c r="AA716" s="65" t="n">
        <f aca="false">IF(T716="",0,IF(T716&lt;12,T716*Controls!$B$29,T716*5))</f>
        <v>85.19077</v>
      </c>
      <c r="AB716" s="65" t="n">
        <f aca="false">IF(E716="",0,NETWORKDAYS(E716,Controls!$B$36,Ref!$K$2:$K$42))</f>
        <v>115</v>
      </c>
      <c r="AC716" s="65" t="n">
        <f aca="false">IF(AND(AA716&gt;0,AB716&gt;=Controls!$B$39*AA716),1,0)</f>
        <v>1</v>
      </c>
      <c r="AD716" s="65" t="n">
        <f aca="false">IF(AND(E716&lt;&gt;"",E716&gt;=Controls!$B$37,E716&lt;=Controls!$B$38),1,0)</f>
        <v>1</v>
      </c>
      <c r="AE716" s="65" t="n">
        <f aca="false">IF(IFERROR(VLOOKUP(D716,Controls!$A$64:$E$74,2,FALSE()),"No")="Yes",1,0)</f>
        <v>0</v>
      </c>
      <c r="AF716" s="65" t="n">
        <f aca="false">IF(IFERROR(VLOOKUP(D716,Controls!$A$64:$E$74,3,FALSE()),"No")="Yes",1,0)</f>
        <v>0</v>
      </c>
      <c r="AG716" s="65" t="n">
        <f aca="false">IF(IFERROR(VLOOKUP(D716,Controls!$A$64:$E$74,4,FALSE()),"No")="Yes",1,0)</f>
        <v>0</v>
      </c>
      <c r="AH716" s="65" t="n">
        <f aca="false">IF(IFERROR(VLOOKUP(D716,Controls!$A$64:$E$74,5,FALSE()),"No")="Yes",1,0)</f>
        <v>1</v>
      </c>
      <c r="AI716" s="65" t="n">
        <f aca="false">IF(ISNUMBER(MATCH(D716,Controls!$A$64:$A$74,0)),1,0)</f>
        <v>1</v>
      </c>
      <c r="AJ716" s="65" t="n">
        <f aca="false">Q716-N716</f>
        <v>-2365.73</v>
      </c>
      <c r="AK716" s="65" t="n">
        <f aca="false">IF(AE716=1,MAX(0,N716-Q716),0)</f>
        <v>0</v>
      </c>
      <c r="AL716" s="65" t="n">
        <f aca="false">IF(OR(V716="",V716=0),0,N716/V716)</f>
        <v>0.24694668939564</v>
      </c>
      <c r="AM716" s="65" t="n">
        <f aca="false">IF(OR(V716="",V716=0),0,1)</f>
        <v>1</v>
      </c>
      <c r="AN716" s="65" t="n">
        <f aca="false">IF(OR(E716="",F716=""),0,NETWORKDAYS(E716,F716,Ref!$K$2:$K$42))</f>
        <v>108</v>
      </c>
      <c r="AO716" s="65" t="n">
        <f aca="false">IF(L716="Renewal",1,0)</f>
        <v>0</v>
      </c>
      <c r="AP716" s="65" t="n">
        <f aca="false">AC716*AD716</f>
        <v>1</v>
      </c>
      <c r="AQ716" s="65" t="n">
        <f aca="false">IF(AND(G716&lt;&gt;"",'Historical Score'!$C$6&lt;&gt;""),IF(G716='Historical Score'!$C$6,1,0),0)</f>
        <v>0</v>
      </c>
      <c r="AR716" s="65" t="n">
        <f aca="false">IF(AND(L716&lt;&gt;"",'Historical Score'!$C$5&lt;&gt;""),IF(L716='Historical Score'!$C$5,1,0),0)</f>
        <v>1</v>
      </c>
      <c r="AS716" s="65" t="n">
        <f aca="false">IF(AND(Y716&lt;&gt;"",'Historical Score'!$C$7&lt;&gt;""),IF(Y716='Historical Score'!$C$7,1,0),0)</f>
        <v>0</v>
      </c>
      <c r="AT716" s="65" t="n">
        <f aca="false">IF(AND(K716&lt;&gt;"",'Historical Score'!$C$8&lt;&gt;""),IF(K716='Historical Score'!$C$8,1,0),0)</f>
        <v>0</v>
      </c>
      <c r="AU716" s="65" t="n">
        <f aca="false">IF(AND(J716&lt;&gt;"",'Historical Score'!$C$9&lt;&gt;""),IF(J716='Historical Score'!$C$9,1,0),0)</f>
        <v>0</v>
      </c>
      <c r="AV716" s="65" t="n">
        <f aca="false">AR716*AS716*AQ716</f>
        <v>0</v>
      </c>
      <c r="AW716" s="65" t="n">
        <f aca="false">AR716*AT716*AQ716</f>
        <v>0</v>
      </c>
      <c r="AX716" s="65" t="n">
        <f aca="false">AR716*AS716</f>
        <v>0</v>
      </c>
      <c r="AY716" s="65" t="n">
        <f aca="false">AR716*AT716</f>
        <v>0</v>
      </c>
      <c r="AZ716" s="65" t="n">
        <f aca="false">AR716*AQ716</f>
        <v>0</v>
      </c>
      <c r="BA716" s="65" t="n">
        <f aca="false">AR716</f>
        <v>1</v>
      </c>
      <c r="BB716" s="65" t="n">
        <f aca="false">1</f>
        <v>1</v>
      </c>
      <c r="BC716" s="65" t="n">
        <f aca="false">IF(AV716=1,1,IF(AW716=1,2,IF(AX716=1,3,IF(AY716=1,4,IF(AZ716=1,5,IF(BA716=1,6,7))))))</f>
        <v>6</v>
      </c>
      <c r="BD716" s="65" t="n">
        <f aca="false">IF(AD716=1,CHOOSE('Historical Score'!$C$29,AV716,AW716,AX716,AY716,AZ716,BA716,BB716),0)</f>
        <v>0</v>
      </c>
      <c r="BE716" s="65" t="str">
        <f aca="false">IF(BD716=1,COUNTIF($BD$2:BD716,1),"")</f>
        <v/>
      </c>
    </row>
    <row r="717" customFormat="false" ht="15" hidden="false" customHeight="false" outlineLevel="0" collapsed="false">
      <c r="A717" s="65" t="s">
        <v>2378</v>
      </c>
      <c r="B717" s="65" t="s">
        <v>2379</v>
      </c>
      <c r="C717" s="65" t="s">
        <v>2379</v>
      </c>
      <c r="D717" s="65" t="s">
        <v>295</v>
      </c>
      <c r="E717" s="112" t="n">
        <v>46097</v>
      </c>
      <c r="F717" s="112" t="n">
        <v>46248</v>
      </c>
      <c r="G717" s="65" t="n">
        <v>3</v>
      </c>
      <c r="H717" s="65" t="s">
        <v>442</v>
      </c>
      <c r="I717" s="65" t="s">
        <v>443</v>
      </c>
      <c r="J717" s="65" t="s">
        <v>350</v>
      </c>
      <c r="K717" s="65" t="s">
        <v>2380</v>
      </c>
      <c r="L717" s="65" t="s">
        <v>64</v>
      </c>
      <c r="M717" s="113" t="n">
        <v>1.49</v>
      </c>
      <c r="N717" s="114" t="n">
        <v>15000</v>
      </c>
      <c r="O717" s="114" t="n">
        <v>2100</v>
      </c>
      <c r="P717" s="114" t="n">
        <v>22350</v>
      </c>
      <c r="Q717" s="114" t="n">
        <v>9451.09</v>
      </c>
      <c r="R717" s="114" t="n">
        <v>12898.91</v>
      </c>
      <c r="S717" s="115" t="n">
        <v>0.422867561521253</v>
      </c>
      <c r="T717" s="65" t="n">
        <v>26</v>
      </c>
      <c r="U717" s="65" t="n">
        <v>11</v>
      </c>
      <c r="V717" s="65" t="n">
        <v>101513.17</v>
      </c>
      <c r="W717" s="115" t="n">
        <v>0.042</v>
      </c>
      <c r="X717" s="112" t="n">
        <v>43936</v>
      </c>
      <c r="Y717" s="65" t="str">
        <f aca="false">IF(I717="","No SIC",IFERROR(VLOOKUP(I717,Ref!$A$2:$B$65,2,FALSE()),"Unclassified"))</f>
        <v>General Building Contractors</v>
      </c>
      <c r="Z717" s="65" t="str">
        <f aca="false">IF(T717="","",IF(T717&lt;12,"Daily","Weekly"))</f>
        <v>Weekly</v>
      </c>
      <c r="AA717" s="65" t="n">
        <f aca="false">IF(T717="",0,IF(T717&lt;12,T717*Controls!$B$29,T717*5))</f>
        <v>130</v>
      </c>
      <c r="AB717" s="65" t="n">
        <f aca="false">IF(E717="",0,NETWORKDAYS(E717,Controls!$B$36,Ref!$K$2:$K$42))</f>
        <v>115</v>
      </c>
      <c r="AC717" s="65" t="n">
        <f aca="false">IF(AND(AA717&gt;0,AB717&gt;=Controls!$B$39*AA717),1,0)</f>
        <v>0</v>
      </c>
      <c r="AD717" s="65" t="n">
        <f aca="false">IF(AND(E717&lt;&gt;"",E717&gt;=Controls!$B$37,E717&lt;=Controls!$B$38),1,0)</f>
        <v>1</v>
      </c>
      <c r="AE717" s="65" t="n">
        <f aca="false">IF(IFERROR(VLOOKUP(D717,Controls!$A$64:$E$74,2,FALSE()),"No")="Yes",1,0)</f>
        <v>0</v>
      </c>
      <c r="AF717" s="65" t="n">
        <f aca="false">IF(IFERROR(VLOOKUP(D717,Controls!$A$64:$E$74,3,FALSE()),"No")="Yes",1,0)</f>
        <v>0</v>
      </c>
      <c r="AG717" s="65" t="n">
        <f aca="false">IF(IFERROR(VLOOKUP(D717,Controls!$A$64:$E$74,4,FALSE()),"No")="Yes",1,0)</f>
        <v>0</v>
      </c>
      <c r="AH717" s="65" t="n">
        <f aca="false">IF(IFERROR(VLOOKUP(D717,Controls!$A$64:$E$74,5,FALSE()),"No")="Yes",1,0)</f>
        <v>1</v>
      </c>
      <c r="AI717" s="65" t="n">
        <f aca="false">IF(ISNUMBER(MATCH(D717,Controls!$A$64:$A$74,0)),1,0)</f>
        <v>1</v>
      </c>
      <c r="AJ717" s="65" t="n">
        <f aca="false">Q717-N717</f>
        <v>-5548.91</v>
      </c>
      <c r="AK717" s="65" t="n">
        <f aca="false">IF(AE717=1,MAX(0,N717-Q717),0)</f>
        <v>0</v>
      </c>
      <c r="AL717" s="65" t="n">
        <f aca="false">IF(OR(V717="",V717=0),0,N717/V717)</f>
        <v>0.147764078296442</v>
      </c>
      <c r="AM717" s="65" t="n">
        <f aca="false">IF(OR(V717="",V717=0),0,1)</f>
        <v>1</v>
      </c>
      <c r="AN717" s="65" t="n">
        <f aca="false">IF(OR(E717="",F717=""),0,NETWORKDAYS(E717,F717,Ref!$K$2:$K$42))</f>
        <v>108</v>
      </c>
      <c r="AO717" s="65" t="n">
        <f aca="false">IF(L717="Renewal",1,0)</f>
        <v>0</v>
      </c>
      <c r="AP717" s="65" t="n">
        <f aca="false">AC717*AD717</f>
        <v>0</v>
      </c>
      <c r="AQ717" s="65" t="n">
        <f aca="false">IF(AND(G717&lt;&gt;"",'Historical Score'!$C$6&lt;&gt;""),IF(G717='Historical Score'!$C$6,1,0),0)</f>
        <v>0</v>
      </c>
      <c r="AR717" s="65" t="n">
        <f aca="false">IF(AND(L717&lt;&gt;"",'Historical Score'!$C$5&lt;&gt;""),IF(L717='Historical Score'!$C$5,1,0),0)</f>
        <v>1</v>
      </c>
      <c r="AS717" s="65" t="n">
        <f aca="false">IF(AND(Y717&lt;&gt;"",'Historical Score'!$C$7&lt;&gt;""),IF(Y717='Historical Score'!$C$7,1,0),0)</f>
        <v>1</v>
      </c>
      <c r="AT717" s="65" t="n">
        <f aca="false">IF(AND(K717&lt;&gt;"",'Historical Score'!$C$8&lt;&gt;""),IF(K717='Historical Score'!$C$8,1,0),0)</f>
        <v>0</v>
      </c>
      <c r="AU717" s="65" t="n">
        <f aca="false">IF(AND(J717&lt;&gt;"",'Historical Score'!$C$9&lt;&gt;""),IF(J717='Historical Score'!$C$9,1,0),0)</f>
        <v>0</v>
      </c>
      <c r="AV717" s="65" t="n">
        <f aca="false">AR717*AS717*AQ717</f>
        <v>0</v>
      </c>
      <c r="AW717" s="65" t="n">
        <f aca="false">AR717*AT717*AQ717</f>
        <v>0</v>
      </c>
      <c r="AX717" s="65" t="n">
        <f aca="false">AR717*AS717</f>
        <v>1</v>
      </c>
      <c r="AY717" s="65" t="n">
        <f aca="false">AR717*AT717</f>
        <v>0</v>
      </c>
      <c r="AZ717" s="65" t="n">
        <f aca="false">AR717*AQ717</f>
        <v>0</v>
      </c>
      <c r="BA717" s="65" t="n">
        <f aca="false">AR717</f>
        <v>1</v>
      </c>
      <c r="BB717" s="65" t="n">
        <f aca="false">1</f>
        <v>1</v>
      </c>
      <c r="BC717" s="65" t="n">
        <f aca="false">IF(AV717=1,1,IF(AW717=1,2,IF(AX717=1,3,IF(AY717=1,4,IF(AZ717=1,5,IF(BA717=1,6,7))))))</f>
        <v>3</v>
      </c>
      <c r="BD717" s="65" t="n">
        <f aca="false">IF(AD717=1,CHOOSE('Historical Score'!$C$29,AV717,AW717,AX717,AY717,AZ717,BA717,BB717),0)</f>
        <v>0</v>
      </c>
      <c r="BE717" s="65" t="str">
        <f aca="false">IF(BD717=1,COUNTIF($BD$2:BD717,1),"")</f>
        <v/>
      </c>
    </row>
    <row r="718" customFormat="false" ht="15" hidden="false" customHeight="false" outlineLevel="0" collapsed="false">
      <c r="A718" s="65" t="s">
        <v>2381</v>
      </c>
      <c r="B718" s="65" t="s">
        <v>2382</v>
      </c>
      <c r="C718" s="65" t="s">
        <v>2382</v>
      </c>
      <c r="D718" s="65" t="s">
        <v>371</v>
      </c>
      <c r="E718" s="112" t="n">
        <v>46098</v>
      </c>
      <c r="F718" s="112" t="n">
        <v>46177</v>
      </c>
      <c r="G718" s="65" t="n">
        <v>3</v>
      </c>
      <c r="H718" s="65" t="s">
        <v>596</v>
      </c>
      <c r="I718" s="65" t="s">
        <v>597</v>
      </c>
      <c r="J718" s="65" t="s">
        <v>1203</v>
      </c>
      <c r="K718" s="65" t="s">
        <v>584</v>
      </c>
      <c r="L718" s="65" t="s">
        <v>64</v>
      </c>
      <c r="M718" s="113" t="n">
        <v>1.42</v>
      </c>
      <c r="N718" s="114" t="n">
        <v>25000</v>
      </c>
      <c r="O718" s="114" t="n">
        <v>2625</v>
      </c>
      <c r="P718" s="114" t="n">
        <v>35500</v>
      </c>
      <c r="Q718" s="114" t="n">
        <v>35500</v>
      </c>
      <c r="R718" s="114" t="n">
        <v>0</v>
      </c>
      <c r="S718" s="115" t="n">
        <v>1</v>
      </c>
      <c r="T718" s="65" t="n">
        <v>18</v>
      </c>
      <c r="U718" s="65" t="n">
        <v>0</v>
      </c>
      <c r="V718" s="65" t="n">
        <v>48422.85</v>
      </c>
      <c r="W718" s="115" t="n">
        <v>0.1629</v>
      </c>
      <c r="X718" s="112" t="n">
        <v>45405</v>
      </c>
      <c r="Y718" s="65" t="str">
        <f aca="false">IF(I718="","No SIC",IFERROR(VLOOKUP(I718,Ref!$A$2:$B$65,2,FALSE()),"Unclassified"))</f>
        <v>Insurance Agents &amp; Brokers</v>
      </c>
      <c r="Z718" s="65" t="str">
        <f aca="false">IF(T718="","",IF(T718&lt;12,"Daily","Weekly"))</f>
        <v>Weekly</v>
      </c>
      <c r="AA718" s="65" t="n">
        <f aca="false">IF(T718="",0,IF(T718&lt;12,T718*Controls!$B$29,T718*5))</f>
        <v>90</v>
      </c>
      <c r="AB718" s="65" t="n">
        <f aca="false">IF(E718="",0,NETWORKDAYS(E718,Controls!$B$36,Ref!$K$2:$K$42))</f>
        <v>114</v>
      </c>
      <c r="AC718" s="65" t="n">
        <f aca="false">IF(AND(AA718&gt;0,AB718&gt;=Controls!$B$39*AA718),1,0)</f>
        <v>1</v>
      </c>
      <c r="AD718" s="65" t="n">
        <f aca="false">IF(AND(E718&lt;&gt;"",E718&gt;=Controls!$B$37,E718&lt;=Controls!$B$38),1,0)</f>
        <v>1</v>
      </c>
      <c r="AE718" s="65" t="n">
        <f aca="false">IF(IFERROR(VLOOKUP(D718,Controls!$A$64:$E$74,2,FALSE()),"No")="Yes",1,0)</f>
        <v>0</v>
      </c>
      <c r="AF718" s="65" t="n">
        <f aca="false">IF(IFERROR(VLOOKUP(D718,Controls!$A$64:$E$74,3,FALSE()),"No")="Yes",1,0)</f>
        <v>1</v>
      </c>
      <c r="AG718" s="65" t="n">
        <f aca="false">IF(IFERROR(VLOOKUP(D718,Controls!$A$64:$E$74,4,FALSE()),"No")="Yes",1,0)</f>
        <v>1</v>
      </c>
      <c r="AH718" s="65" t="n">
        <f aca="false">IF(IFERROR(VLOOKUP(D718,Controls!$A$64:$E$74,5,FALSE()),"No")="Yes",1,0)</f>
        <v>0</v>
      </c>
      <c r="AI718" s="65" t="n">
        <f aca="false">IF(ISNUMBER(MATCH(D718,Controls!$A$64:$A$74,0)),1,0)</f>
        <v>1</v>
      </c>
      <c r="AJ718" s="65" t="n">
        <f aca="false">Q718-N718</f>
        <v>10500</v>
      </c>
      <c r="AK718" s="65" t="n">
        <f aca="false">IF(AE718=1,MAX(0,N718-Q718),0)</f>
        <v>0</v>
      </c>
      <c r="AL718" s="65" t="n">
        <f aca="false">IF(OR(V718="",V718=0),0,N718/V718)</f>
        <v>0.516285183544546</v>
      </c>
      <c r="AM718" s="65" t="n">
        <f aca="false">IF(OR(V718="",V718=0),0,1)</f>
        <v>1</v>
      </c>
      <c r="AN718" s="65" t="n">
        <f aca="false">IF(OR(E718="",F718=""),0,NETWORKDAYS(E718,F718,Ref!$K$2:$K$42))</f>
        <v>57</v>
      </c>
      <c r="AO718" s="65" t="n">
        <f aca="false">IF(L718="Renewal",1,0)</f>
        <v>0</v>
      </c>
      <c r="AP718" s="65" t="n">
        <f aca="false">AC718*AD718</f>
        <v>1</v>
      </c>
      <c r="AQ718" s="65" t="n">
        <f aca="false">IF(AND(G718&lt;&gt;"",'Historical Score'!$C$6&lt;&gt;""),IF(G718='Historical Score'!$C$6,1,0),0)</f>
        <v>0</v>
      </c>
      <c r="AR718" s="65" t="n">
        <f aca="false">IF(AND(L718&lt;&gt;"",'Historical Score'!$C$5&lt;&gt;""),IF(L718='Historical Score'!$C$5,1,0),0)</f>
        <v>1</v>
      </c>
      <c r="AS718" s="65" t="n">
        <f aca="false">IF(AND(Y718&lt;&gt;"",'Historical Score'!$C$7&lt;&gt;""),IF(Y718='Historical Score'!$C$7,1,0),0)</f>
        <v>0</v>
      </c>
      <c r="AT718" s="65" t="n">
        <f aca="false">IF(AND(K718&lt;&gt;"",'Historical Score'!$C$8&lt;&gt;""),IF(K718='Historical Score'!$C$8,1,0),0)</f>
        <v>0</v>
      </c>
      <c r="AU718" s="65" t="n">
        <f aca="false">IF(AND(J718&lt;&gt;"",'Historical Score'!$C$9&lt;&gt;""),IF(J718='Historical Score'!$C$9,1,0),0)</f>
        <v>0</v>
      </c>
      <c r="AV718" s="65" t="n">
        <f aca="false">AR718*AS718*AQ718</f>
        <v>0</v>
      </c>
      <c r="AW718" s="65" t="n">
        <f aca="false">AR718*AT718*AQ718</f>
        <v>0</v>
      </c>
      <c r="AX718" s="65" t="n">
        <f aca="false">AR718*AS718</f>
        <v>0</v>
      </c>
      <c r="AY718" s="65" t="n">
        <f aca="false">AR718*AT718</f>
        <v>0</v>
      </c>
      <c r="AZ718" s="65" t="n">
        <f aca="false">AR718*AQ718</f>
        <v>0</v>
      </c>
      <c r="BA718" s="65" t="n">
        <f aca="false">AR718</f>
        <v>1</v>
      </c>
      <c r="BB718" s="65" t="n">
        <f aca="false">1</f>
        <v>1</v>
      </c>
      <c r="BC718" s="65" t="n">
        <f aca="false">IF(AV718=1,1,IF(AW718=1,2,IF(AX718=1,3,IF(AY718=1,4,IF(AZ718=1,5,IF(BA718=1,6,7))))))</f>
        <v>6</v>
      </c>
      <c r="BD718" s="65" t="n">
        <f aca="false">IF(AD718=1,CHOOSE('Historical Score'!$C$29,AV718,AW718,AX718,AY718,AZ718,BA718,BB718),0)</f>
        <v>0</v>
      </c>
      <c r="BE718" s="65" t="str">
        <f aca="false">IF(BD718=1,COUNTIF($BD$2:BD718,1),"")</f>
        <v/>
      </c>
    </row>
    <row r="719" customFormat="false" ht="15" hidden="false" customHeight="false" outlineLevel="0" collapsed="false">
      <c r="A719" s="65" t="s">
        <v>2383</v>
      </c>
      <c r="B719" s="65" t="s">
        <v>2384</v>
      </c>
      <c r="C719" s="65" t="s">
        <v>2385</v>
      </c>
      <c r="D719" s="65" t="s">
        <v>371</v>
      </c>
      <c r="E719" s="112" t="n">
        <v>46098</v>
      </c>
      <c r="F719" s="112" t="n">
        <v>46168</v>
      </c>
      <c r="G719" s="65" t="n">
        <v>4</v>
      </c>
      <c r="H719" s="65" t="s">
        <v>847</v>
      </c>
      <c r="I719" s="65" t="s">
        <v>415</v>
      </c>
      <c r="J719" s="65" t="s">
        <v>61</v>
      </c>
      <c r="K719" s="65" t="s">
        <v>55</v>
      </c>
      <c r="L719" s="65" t="s">
        <v>64</v>
      </c>
      <c r="M719" s="113" t="n">
        <v>1.39</v>
      </c>
      <c r="N719" s="114" t="n">
        <v>50000</v>
      </c>
      <c r="O719" s="114" t="n">
        <v>4500</v>
      </c>
      <c r="P719" s="114" t="n">
        <v>69500</v>
      </c>
      <c r="Q719" s="114" t="n">
        <v>69500</v>
      </c>
      <c r="R719" s="114" t="n">
        <v>0</v>
      </c>
      <c r="S719" s="115" t="n">
        <v>1</v>
      </c>
      <c r="T719" s="65" t="n">
        <v>2.721</v>
      </c>
      <c r="U719" s="65" t="n">
        <v>0</v>
      </c>
      <c r="V719" s="65" t="n">
        <v>950775.36</v>
      </c>
      <c r="W719" s="115" t="n">
        <v>0.019</v>
      </c>
      <c r="X719" s="112" t="n">
        <v>41277</v>
      </c>
      <c r="Y719" s="65" t="str">
        <f aca="false">IF(I719="","No SIC",IFERROR(VLOOKUP(I719,Ref!$A$2:$B$65,2,FALSE()),"Unclassified"))</f>
        <v>Wholesale Trade - Durable Goods</v>
      </c>
      <c r="Z719" s="65" t="str">
        <f aca="false">IF(T719="","",IF(T719&lt;12,"Daily","Weekly"))</f>
        <v>Daily</v>
      </c>
      <c r="AA719" s="65" t="n">
        <f aca="false">IF(T719="",0,IF(T719&lt;12,T719*Controls!$B$29,T719*5))</f>
        <v>58.923255</v>
      </c>
      <c r="AB719" s="65" t="n">
        <f aca="false">IF(E719="",0,NETWORKDAYS(E719,Controls!$B$36,Ref!$K$2:$K$42))</f>
        <v>114</v>
      </c>
      <c r="AC719" s="65" t="n">
        <f aca="false">IF(AND(AA719&gt;0,AB719&gt;=Controls!$B$39*AA719),1,0)</f>
        <v>1</v>
      </c>
      <c r="AD719" s="65" t="n">
        <f aca="false">IF(AND(E719&lt;&gt;"",E719&gt;=Controls!$B$37,E719&lt;=Controls!$B$38),1,0)</f>
        <v>1</v>
      </c>
      <c r="AE719" s="65" t="n">
        <f aca="false">IF(IFERROR(VLOOKUP(D719,Controls!$A$64:$E$74,2,FALSE()),"No")="Yes",1,0)</f>
        <v>0</v>
      </c>
      <c r="AF719" s="65" t="n">
        <f aca="false">IF(IFERROR(VLOOKUP(D719,Controls!$A$64:$E$74,3,FALSE()),"No")="Yes",1,0)</f>
        <v>1</v>
      </c>
      <c r="AG719" s="65" t="n">
        <f aca="false">IF(IFERROR(VLOOKUP(D719,Controls!$A$64:$E$74,4,FALSE()),"No")="Yes",1,0)</f>
        <v>1</v>
      </c>
      <c r="AH719" s="65" t="n">
        <f aca="false">IF(IFERROR(VLOOKUP(D719,Controls!$A$64:$E$74,5,FALSE()),"No")="Yes",1,0)</f>
        <v>0</v>
      </c>
      <c r="AI719" s="65" t="n">
        <f aca="false">IF(ISNUMBER(MATCH(D719,Controls!$A$64:$A$74,0)),1,0)</f>
        <v>1</v>
      </c>
      <c r="AJ719" s="65" t="n">
        <f aca="false">Q719-N719</f>
        <v>19500</v>
      </c>
      <c r="AK719" s="65" t="n">
        <f aca="false">IF(AE719=1,MAX(0,N719-Q719),0)</f>
        <v>0</v>
      </c>
      <c r="AL719" s="65" t="n">
        <f aca="false">IF(OR(V719="",V719=0),0,N719/V719)</f>
        <v>0.0525886577456109</v>
      </c>
      <c r="AM719" s="65" t="n">
        <f aca="false">IF(OR(V719="",V719=0),0,1)</f>
        <v>1</v>
      </c>
      <c r="AN719" s="65" t="n">
        <f aca="false">IF(OR(E719="",F719=""),0,NETWORKDAYS(E719,F719,Ref!$K$2:$K$42))</f>
        <v>50</v>
      </c>
      <c r="AO719" s="65" t="n">
        <f aca="false">IF(L719="Renewal",1,0)</f>
        <v>0</v>
      </c>
      <c r="AP719" s="65" t="n">
        <f aca="false">AC719*AD719</f>
        <v>1</v>
      </c>
      <c r="AQ719" s="65" t="n">
        <f aca="false">IF(AND(G719&lt;&gt;"",'Historical Score'!$C$6&lt;&gt;""),IF(G719='Historical Score'!$C$6,1,0),0)</f>
        <v>0</v>
      </c>
      <c r="AR719" s="65" t="n">
        <f aca="false">IF(AND(L719&lt;&gt;"",'Historical Score'!$C$5&lt;&gt;""),IF(L719='Historical Score'!$C$5,1,0),0)</f>
        <v>1</v>
      </c>
      <c r="AS719" s="65" t="n">
        <f aca="false">IF(AND(Y719&lt;&gt;"",'Historical Score'!$C$7&lt;&gt;""),IF(Y719='Historical Score'!$C$7,1,0),0)</f>
        <v>0</v>
      </c>
      <c r="AT719" s="65" t="n">
        <f aca="false">IF(AND(K719&lt;&gt;"",'Historical Score'!$C$8&lt;&gt;""),IF(K719='Historical Score'!$C$8,1,0),0)</f>
        <v>1</v>
      </c>
      <c r="AU719" s="65" t="n">
        <f aca="false">IF(AND(J719&lt;&gt;"",'Historical Score'!$C$9&lt;&gt;""),IF(J719='Historical Score'!$C$9,1,0),0)</f>
        <v>1</v>
      </c>
      <c r="AV719" s="65" t="n">
        <f aca="false">AR719*AS719*AQ719</f>
        <v>0</v>
      </c>
      <c r="AW719" s="65" t="n">
        <f aca="false">AR719*AT719*AQ719</f>
        <v>0</v>
      </c>
      <c r="AX719" s="65" t="n">
        <f aca="false">AR719*AS719</f>
        <v>0</v>
      </c>
      <c r="AY719" s="65" t="n">
        <f aca="false">AR719*AT719</f>
        <v>1</v>
      </c>
      <c r="AZ719" s="65" t="n">
        <f aca="false">AR719*AQ719</f>
        <v>0</v>
      </c>
      <c r="BA719" s="65" t="n">
        <f aca="false">AR719</f>
        <v>1</v>
      </c>
      <c r="BB719" s="65" t="n">
        <f aca="false">1</f>
        <v>1</v>
      </c>
      <c r="BC719" s="65" t="n">
        <f aca="false">IF(AV719=1,1,IF(AW719=1,2,IF(AX719=1,3,IF(AY719=1,4,IF(AZ719=1,5,IF(BA719=1,6,7))))))</f>
        <v>4</v>
      </c>
      <c r="BD719" s="65" t="n">
        <f aca="false">IF(AD719=1,CHOOSE('Historical Score'!$C$29,AV719,AW719,AX719,AY719,AZ719,BA719,BB719),0)</f>
        <v>0</v>
      </c>
      <c r="BE719" s="65" t="str">
        <f aca="false">IF(BD719=1,COUNTIF($BD$2:BD719,1),"")</f>
        <v/>
      </c>
    </row>
    <row r="720" customFormat="false" ht="15" hidden="false" customHeight="false" outlineLevel="0" collapsed="false">
      <c r="A720" s="65" t="s">
        <v>2386</v>
      </c>
      <c r="B720" s="65" t="s">
        <v>2387</v>
      </c>
      <c r="C720" s="65" t="s">
        <v>2387</v>
      </c>
      <c r="D720" s="65" t="s">
        <v>295</v>
      </c>
      <c r="E720" s="112" t="n">
        <v>46099</v>
      </c>
      <c r="F720" s="112" t="n">
        <v>46248</v>
      </c>
      <c r="G720" s="65" t="n">
        <v>3</v>
      </c>
      <c r="H720" s="65" t="s">
        <v>442</v>
      </c>
      <c r="I720" s="65" t="s">
        <v>443</v>
      </c>
      <c r="J720" s="65" t="s">
        <v>61</v>
      </c>
      <c r="K720" s="65" t="s">
        <v>476</v>
      </c>
      <c r="L720" s="65" t="s">
        <v>64</v>
      </c>
      <c r="M720" s="113" t="n">
        <v>1.49</v>
      </c>
      <c r="N720" s="114" t="n">
        <v>30000</v>
      </c>
      <c r="O720" s="114" t="n">
        <v>4200</v>
      </c>
      <c r="P720" s="114" t="n">
        <v>44700</v>
      </c>
      <c r="Q720" s="114" t="n">
        <v>29790.4</v>
      </c>
      <c r="R720" s="114" t="n">
        <v>14909.6</v>
      </c>
      <c r="S720" s="115" t="n">
        <v>0.666451901565996</v>
      </c>
      <c r="T720" s="65" t="n">
        <v>30</v>
      </c>
      <c r="U720" s="65" t="n">
        <v>3</v>
      </c>
      <c r="V720" s="65" t="n">
        <v>130659.57</v>
      </c>
      <c r="W720" s="115" t="n">
        <v>0.0456</v>
      </c>
      <c r="X720" s="112" t="n">
        <v>44197</v>
      </c>
      <c r="Y720" s="65" t="str">
        <f aca="false">IF(I720="","No SIC",IFERROR(VLOOKUP(I720,Ref!$A$2:$B$65,2,FALSE()),"Unclassified"))</f>
        <v>General Building Contractors</v>
      </c>
      <c r="Z720" s="65" t="str">
        <f aca="false">IF(T720="","",IF(T720&lt;12,"Daily","Weekly"))</f>
        <v>Weekly</v>
      </c>
      <c r="AA720" s="65" t="n">
        <f aca="false">IF(T720="",0,IF(T720&lt;12,T720*Controls!$B$29,T720*5))</f>
        <v>150</v>
      </c>
      <c r="AB720" s="65" t="n">
        <f aca="false">IF(E720="",0,NETWORKDAYS(E720,Controls!$B$36,Ref!$K$2:$K$42))</f>
        <v>113</v>
      </c>
      <c r="AC720" s="65" t="n">
        <f aca="false">IF(AND(AA720&gt;0,AB720&gt;=Controls!$B$39*AA720),1,0)</f>
        <v>0</v>
      </c>
      <c r="AD720" s="65" t="n">
        <f aca="false">IF(AND(E720&lt;&gt;"",E720&gt;=Controls!$B$37,E720&lt;=Controls!$B$38),1,0)</f>
        <v>1</v>
      </c>
      <c r="AE720" s="65" t="n">
        <f aca="false">IF(IFERROR(VLOOKUP(D720,Controls!$A$64:$E$74,2,FALSE()),"No")="Yes",1,0)</f>
        <v>0</v>
      </c>
      <c r="AF720" s="65" t="n">
        <f aca="false">IF(IFERROR(VLOOKUP(D720,Controls!$A$64:$E$74,3,FALSE()),"No")="Yes",1,0)</f>
        <v>0</v>
      </c>
      <c r="AG720" s="65" t="n">
        <f aca="false">IF(IFERROR(VLOOKUP(D720,Controls!$A$64:$E$74,4,FALSE()),"No")="Yes",1,0)</f>
        <v>0</v>
      </c>
      <c r="AH720" s="65" t="n">
        <f aca="false">IF(IFERROR(VLOOKUP(D720,Controls!$A$64:$E$74,5,FALSE()),"No")="Yes",1,0)</f>
        <v>1</v>
      </c>
      <c r="AI720" s="65" t="n">
        <f aca="false">IF(ISNUMBER(MATCH(D720,Controls!$A$64:$A$74,0)),1,0)</f>
        <v>1</v>
      </c>
      <c r="AJ720" s="65" t="n">
        <f aca="false">Q720-N720</f>
        <v>-209.599999999999</v>
      </c>
      <c r="AK720" s="65" t="n">
        <f aca="false">IF(AE720=1,MAX(0,N720-Q720),0)</f>
        <v>0</v>
      </c>
      <c r="AL720" s="65" t="n">
        <f aca="false">IF(OR(V720="",V720=0),0,N720/V720)</f>
        <v>0.229604306825746</v>
      </c>
      <c r="AM720" s="65" t="n">
        <f aca="false">IF(OR(V720="",V720=0),0,1)</f>
        <v>1</v>
      </c>
      <c r="AN720" s="65" t="n">
        <f aca="false">IF(OR(E720="",F720=""),0,NETWORKDAYS(E720,F720,Ref!$K$2:$K$42))</f>
        <v>106</v>
      </c>
      <c r="AO720" s="65" t="n">
        <f aca="false">IF(L720="Renewal",1,0)</f>
        <v>0</v>
      </c>
      <c r="AP720" s="65" t="n">
        <f aca="false">AC720*AD720</f>
        <v>0</v>
      </c>
      <c r="AQ720" s="65" t="n">
        <f aca="false">IF(AND(G720&lt;&gt;"",'Historical Score'!$C$6&lt;&gt;""),IF(G720='Historical Score'!$C$6,1,0),0)</f>
        <v>0</v>
      </c>
      <c r="AR720" s="65" t="n">
        <f aca="false">IF(AND(L720&lt;&gt;"",'Historical Score'!$C$5&lt;&gt;""),IF(L720='Historical Score'!$C$5,1,0),0)</f>
        <v>1</v>
      </c>
      <c r="AS720" s="65" t="n">
        <f aca="false">IF(AND(Y720&lt;&gt;"",'Historical Score'!$C$7&lt;&gt;""),IF(Y720='Historical Score'!$C$7,1,0),0)</f>
        <v>1</v>
      </c>
      <c r="AT720" s="65" t="n">
        <f aca="false">IF(AND(K720&lt;&gt;"",'Historical Score'!$C$8&lt;&gt;""),IF(K720='Historical Score'!$C$8,1,0),0)</f>
        <v>0</v>
      </c>
      <c r="AU720" s="65" t="n">
        <f aca="false">IF(AND(J720&lt;&gt;"",'Historical Score'!$C$9&lt;&gt;""),IF(J720='Historical Score'!$C$9,1,0),0)</f>
        <v>1</v>
      </c>
      <c r="AV720" s="65" t="n">
        <f aca="false">AR720*AS720*AQ720</f>
        <v>0</v>
      </c>
      <c r="AW720" s="65" t="n">
        <f aca="false">AR720*AT720*AQ720</f>
        <v>0</v>
      </c>
      <c r="AX720" s="65" t="n">
        <f aca="false">AR720*AS720</f>
        <v>1</v>
      </c>
      <c r="AY720" s="65" t="n">
        <f aca="false">AR720*AT720</f>
        <v>0</v>
      </c>
      <c r="AZ720" s="65" t="n">
        <f aca="false">AR720*AQ720</f>
        <v>0</v>
      </c>
      <c r="BA720" s="65" t="n">
        <f aca="false">AR720</f>
        <v>1</v>
      </c>
      <c r="BB720" s="65" t="n">
        <f aca="false">1</f>
        <v>1</v>
      </c>
      <c r="BC720" s="65" t="n">
        <f aca="false">IF(AV720=1,1,IF(AW720=1,2,IF(AX720=1,3,IF(AY720=1,4,IF(AZ720=1,5,IF(BA720=1,6,7))))))</f>
        <v>3</v>
      </c>
      <c r="BD720" s="65" t="n">
        <f aca="false">IF(AD720=1,CHOOSE('Historical Score'!$C$29,AV720,AW720,AX720,AY720,AZ720,BA720,BB720),0)</f>
        <v>0</v>
      </c>
      <c r="BE720" s="65" t="str">
        <f aca="false">IF(BD720=1,COUNTIF($BD$2:BD720,1),"")</f>
        <v/>
      </c>
    </row>
    <row r="721" customFormat="false" ht="15" hidden="false" customHeight="false" outlineLevel="0" collapsed="false">
      <c r="A721" s="65" t="s">
        <v>2388</v>
      </c>
      <c r="B721" s="65" t="s">
        <v>2389</v>
      </c>
      <c r="C721" s="65" t="s">
        <v>2389</v>
      </c>
      <c r="D721" s="65" t="s">
        <v>340</v>
      </c>
      <c r="E721" s="112" t="n">
        <v>46099</v>
      </c>
      <c r="F721" s="112" t="n">
        <v>46129</v>
      </c>
      <c r="G721" s="65" t="n">
        <v>3</v>
      </c>
      <c r="H721" s="65" t="s">
        <v>2390</v>
      </c>
      <c r="I721" s="65" t="s">
        <v>475</v>
      </c>
      <c r="J721" s="65" t="s">
        <v>350</v>
      </c>
      <c r="K721" s="65" t="s">
        <v>721</v>
      </c>
      <c r="L721" s="65" t="s">
        <v>64</v>
      </c>
      <c r="M721" s="113" t="n">
        <v>1.49</v>
      </c>
      <c r="N721" s="114" t="n">
        <v>17000</v>
      </c>
      <c r="O721" s="114" t="n">
        <v>0</v>
      </c>
      <c r="P721" s="114" t="n">
        <v>25330</v>
      </c>
      <c r="Q721" s="114" t="n">
        <v>2110.72</v>
      </c>
      <c r="R721" s="114" t="n">
        <v>23219.28</v>
      </c>
      <c r="S721" s="115" t="n">
        <v>0.0833288590604027</v>
      </c>
      <c r="T721" s="65" t="n">
        <v>24</v>
      </c>
      <c r="U721" s="65" t="n">
        <v>2</v>
      </c>
      <c r="V721" s="65" t="n">
        <v>35327.94</v>
      </c>
      <c r="W721" s="115" t="n">
        <v>0.1116</v>
      </c>
      <c r="X721" s="112" t="n">
        <v>45400</v>
      </c>
      <c r="Y721" s="65" t="str">
        <f aca="false">IF(I721="","No SIC",IFERROR(VLOOKUP(I721,Ref!$A$2:$B$65,2,FALSE()),"Unclassified"))</f>
        <v>Auto Repair &amp; Services</v>
      </c>
      <c r="Z721" s="65" t="str">
        <f aca="false">IF(T721="","",IF(T721&lt;12,"Daily","Weekly"))</f>
        <v>Weekly</v>
      </c>
      <c r="AA721" s="65" t="n">
        <f aca="false">IF(T721="",0,IF(T721&lt;12,T721*Controls!$B$29,T721*5))</f>
        <v>120</v>
      </c>
      <c r="AB721" s="65" t="n">
        <f aca="false">IF(E721="",0,NETWORKDAYS(E721,Controls!$B$36,Ref!$K$2:$K$42))</f>
        <v>113</v>
      </c>
      <c r="AC721" s="65" t="n">
        <f aca="false">IF(AND(AA721&gt;0,AB721&gt;=Controls!$B$39*AA721),1,0)</f>
        <v>0</v>
      </c>
      <c r="AD721" s="65" t="n">
        <f aca="false">IF(AND(E721&lt;&gt;"",E721&gt;=Controls!$B$37,E721&lt;=Controls!$B$38),1,0)</f>
        <v>1</v>
      </c>
      <c r="AE721" s="65" t="n">
        <f aca="false">IF(IFERROR(VLOOKUP(D721,Controls!$A$64:$E$74,2,FALSE()),"No")="Yes",1,0)</f>
        <v>1</v>
      </c>
      <c r="AF721" s="65" t="n">
        <f aca="false">IF(IFERROR(VLOOKUP(D721,Controls!$A$64:$E$74,3,FALSE()),"No")="Yes",1,0)</f>
        <v>0</v>
      </c>
      <c r="AG721" s="65" t="n">
        <f aca="false">IF(IFERROR(VLOOKUP(D721,Controls!$A$64:$E$74,4,FALSE()),"No")="Yes",1,0)</f>
        <v>0</v>
      </c>
      <c r="AH721" s="65" t="n">
        <f aca="false">IF(IFERROR(VLOOKUP(D721,Controls!$A$64:$E$74,5,FALSE()),"No")="Yes",1,0)</f>
        <v>0</v>
      </c>
      <c r="AI721" s="65" t="n">
        <f aca="false">IF(ISNUMBER(MATCH(D721,Controls!$A$64:$A$74,0)),1,0)</f>
        <v>1</v>
      </c>
      <c r="AJ721" s="65" t="n">
        <f aca="false">Q721-N721</f>
        <v>-14889.28</v>
      </c>
      <c r="AK721" s="65" t="n">
        <f aca="false">IF(AE721=1,MAX(0,N721-Q721),0)</f>
        <v>14889.28</v>
      </c>
      <c r="AL721" s="65" t="n">
        <f aca="false">IF(OR(V721="",V721=0),0,N721/V721)</f>
        <v>0.48120552740975</v>
      </c>
      <c r="AM721" s="65" t="n">
        <f aca="false">IF(OR(V721="",V721=0),0,1)</f>
        <v>1</v>
      </c>
      <c r="AN721" s="65" t="n">
        <f aca="false">IF(OR(E721="",F721=""),0,NETWORKDAYS(E721,F721,Ref!$K$2:$K$42))</f>
        <v>23</v>
      </c>
      <c r="AO721" s="65" t="n">
        <f aca="false">IF(L721="Renewal",1,0)</f>
        <v>0</v>
      </c>
      <c r="AP721" s="65" t="n">
        <f aca="false">AC721*AD721</f>
        <v>0</v>
      </c>
      <c r="AQ721" s="65" t="n">
        <f aca="false">IF(AND(G721&lt;&gt;"",'Historical Score'!$C$6&lt;&gt;""),IF(G721='Historical Score'!$C$6,1,0),0)</f>
        <v>0</v>
      </c>
      <c r="AR721" s="65" t="n">
        <f aca="false">IF(AND(L721&lt;&gt;"",'Historical Score'!$C$5&lt;&gt;""),IF(L721='Historical Score'!$C$5,1,0),0)</f>
        <v>1</v>
      </c>
      <c r="AS721" s="65" t="n">
        <f aca="false">IF(AND(Y721&lt;&gt;"",'Historical Score'!$C$7&lt;&gt;""),IF(Y721='Historical Score'!$C$7,1,0),0)</f>
        <v>0</v>
      </c>
      <c r="AT721" s="65" t="n">
        <f aca="false">IF(AND(K721&lt;&gt;"",'Historical Score'!$C$8&lt;&gt;""),IF(K721='Historical Score'!$C$8,1,0),0)</f>
        <v>0</v>
      </c>
      <c r="AU721" s="65" t="n">
        <f aca="false">IF(AND(J721&lt;&gt;"",'Historical Score'!$C$9&lt;&gt;""),IF(J721='Historical Score'!$C$9,1,0),0)</f>
        <v>0</v>
      </c>
      <c r="AV721" s="65" t="n">
        <f aca="false">AR721*AS721*AQ721</f>
        <v>0</v>
      </c>
      <c r="AW721" s="65" t="n">
        <f aca="false">AR721*AT721*AQ721</f>
        <v>0</v>
      </c>
      <c r="AX721" s="65" t="n">
        <f aca="false">AR721*AS721</f>
        <v>0</v>
      </c>
      <c r="AY721" s="65" t="n">
        <f aca="false">AR721*AT721</f>
        <v>0</v>
      </c>
      <c r="AZ721" s="65" t="n">
        <f aca="false">AR721*AQ721</f>
        <v>0</v>
      </c>
      <c r="BA721" s="65" t="n">
        <f aca="false">AR721</f>
        <v>1</v>
      </c>
      <c r="BB721" s="65" t="n">
        <f aca="false">1</f>
        <v>1</v>
      </c>
      <c r="BC721" s="65" t="n">
        <f aca="false">IF(AV721=1,1,IF(AW721=1,2,IF(AX721=1,3,IF(AY721=1,4,IF(AZ721=1,5,IF(BA721=1,6,7))))))</f>
        <v>6</v>
      </c>
      <c r="BD721" s="65" t="n">
        <f aca="false">IF(AD721=1,CHOOSE('Historical Score'!$C$29,AV721,AW721,AX721,AY721,AZ721,BA721,BB721),0)</f>
        <v>0</v>
      </c>
      <c r="BE721" s="65" t="str">
        <f aca="false">IF(BD721=1,COUNTIF($BD$2:BD721,1),"")</f>
        <v/>
      </c>
    </row>
    <row r="722" customFormat="false" ht="15" hidden="false" customHeight="false" outlineLevel="0" collapsed="false">
      <c r="A722" s="65" t="s">
        <v>2391</v>
      </c>
      <c r="B722" s="65" t="s">
        <v>2392</v>
      </c>
      <c r="C722" s="65" t="s">
        <v>2392</v>
      </c>
      <c r="D722" s="65" t="s">
        <v>340</v>
      </c>
      <c r="E722" s="112" t="n">
        <v>46099</v>
      </c>
      <c r="F722" s="112" t="n">
        <v>46122</v>
      </c>
      <c r="G722" s="65" t="n">
        <v>3</v>
      </c>
      <c r="H722" s="65" t="s">
        <v>1246</v>
      </c>
      <c r="I722" s="65" t="s">
        <v>405</v>
      </c>
      <c r="J722" s="65" t="s">
        <v>432</v>
      </c>
      <c r="K722" s="65" t="s">
        <v>983</v>
      </c>
      <c r="L722" s="65" t="s">
        <v>64</v>
      </c>
      <c r="M722" s="113" t="n">
        <v>1.49</v>
      </c>
      <c r="N722" s="114" t="n">
        <v>35000</v>
      </c>
      <c r="O722" s="114" t="n">
        <v>0</v>
      </c>
      <c r="P722" s="114" t="n">
        <v>52150</v>
      </c>
      <c r="Q722" s="114" t="n">
        <v>2006</v>
      </c>
      <c r="R722" s="114" t="n">
        <v>50144</v>
      </c>
      <c r="S722" s="115" t="n">
        <v>0.0384659635666347</v>
      </c>
      <c r="T722" s="65" t="n">
        <v>26</v>
      </c>
      <c r="U722" s="65" t="n">
        <v>2</v>
      </c>
      <c r="V722" s="65" t="n">
        <v>107844.81</v>
      </c>
      <c r="W722" s="115" t="n">
        <v>0.0744</v>
      </c>
      <c r="X722" s="112" t="n">
        <v>41380</v>
      </c>
      <c r="Y722" s="65" t="str">
        <f aca="false">IF(I722="","No SIC",IFERROR(VLOOKUP(I722,Ref!$A$2:$B$65,2,FALSE()),"Unclassified"))</f>
        <v>Health Services</v>
      </c>
      <c r="Z722" s="65" t="str">
        <f aca="false">IF(T722="","",IF(T722&lt;12,"Daily","Weekly"))</f>
        <v>Weekly</v>
      </c>
      <c r="AA722" s="65" t="n">
        <f aca="false">IF(T722="",0,IF(T722&lt;12,T722*Controls!$B$29,T722*5))</f>
        <v>130</v>
      </c>
      <c r="AB722" s="65" t="n">
        <f aca="false">IF(E722="",0,NETWORKDAYS(E722,Controls!$B$36,Ref!$K$2:$K$42))</f>
        <v>113</v>
      </c>
      <c r="AC722" s="65" t="n">
        <f aca="false">IF(AND(AA722&gt;0,AB722&gt;=Controls!$B$39*AA722),1,0)</f>
        <v>0</v>
      </c>
      <c r="AD722" s="65" t="n">
        <f aca="false">IF(AND(E722&lt;&gt;"",E722&gt;=Controls!$B$37,E722&lt;=Controls!$B$38),1,0)</f>
        <v>1</v>
      </c>
      <c r="AE722" s="65" t="n">
        <f aca="false">IF(IFERROR(VLOOKUP(D722,Controls!$A$64:$E$74,2,FALSE()),"No")="Yes",1,0)</f>
        <v>1</v>
      </c>
      <c r="AF722" s="65" t="n">
        <f aca="false">IF(IFERROR(VLOOKUP(D722,Controls!$A$64:$E$74,3,FALSE()),"No")="Yes",1,0)</f>
        <v>0</v>
      </c>
      <c r="AG722" s="65" t="n">
        <f aca="false">IF(IFERROR(VLOOKUP(D722,Controls!$A$64:$E$74,4,FALSE()),"No")="Yes",1,0)</f>
        <v>0</v>
      </c>
      <c r="AH722" s="65" t="n">
        <f aca="false">IF(IFERROR(VLOOKUP(D722,Controls!$A$64:$E$74,5,FALSE()),"No")="Yes",1,0)</f>
        <v>0</v>
      </c>
      <c r="AI722" s="65" t="n">
        <f aca="false">IF(ISNUMBER(MATCH(D722,Controls!$A$64:$A$74,0)),1,0)</f>
        <v>1</v>
      </c>
      <c r="AJ722" s="65" t="n">
        <f aca="false">Q722-N722</f>
        <v>-32994</v>
      </c>
      <c r="AK722" s="65" t="n">
        <f aca="false">IF(AE722=1,MAX(0,N722-Q722),0)</f>
        <v>32994</v>
      </c>
      <c r="AL722" s="65" t="n">
        <f aca="false">IF(OR(V722="",V722=0),0,N722/V722)</f>
        <v>0.324540420628494</v>
      </c>
      <c r="AM722" s="65" t="n">
        <f aca="false">IF(OR(V722="",V722=0),0,1)</f>
        <v>1</v>
      </c>
      <c r="AN722" s="65" t="n">
        <f aca="false">IF(OR(E722="",F722=""),0,NETWORKDAYS(E722,F722,Ref!$K$2:$K$42))</f>
        <v>18</v>
      </c>
      <c r="AO722" s="65" t="n">
        <f aca="false">IF(L722="Renewal",1,0)</f>
        <v>0</v>
      </c>
      <c r="AP722" s="65" t="n">
        <f aca="false">AC722*AD722</f>
        <v>0</v>
      </c>
      <c r="AQ722" s="65" t="n">
        <f aca="false">IF(AND(G722&lt;&gt;"",'Historical Score'!$C$6&lt;&gt;""),IF(G722='Historical Score'!$C$6,1,0),0)</f>
        <v>0</v>
      </c>
      <c r="AR722" s="65" t="n">
        <f aca="false">IF(AND(L722&lt;&gt;"",'Historical Score'!$C$5&lt;&gt;""),IF(L722='Historical Score'!$C$5,1,0),0)</f>
        <v>1</v>
      </c>
      <c r="AS722" s="65" t="n">
        <f aca="false">IF(AND(Y722&lt;&gt;"",'Historical Score'!$C$7&lt;&gt;""),IF(Y722='Historical Score'!$C$7,1,0),0)</f>
        <v>0</v>
      </c>
      <c r="AT722" s="65" t="n">
        <f aca="false">IF(AND(K722&lt;&gt;"",'Historical Score'!$C$8&lt;&gt;""),IF(K722='Historical Score'!$C$8,1,0),0)</f>
        <v>0</v>
      </c>
      <c r="AU722" s="65" t="n">
        <f aca="false">IF(AND(J722&lt;&gt;"",'Historical Score'!$C$9&lt;&gt;""),IF(J722='Historical Score'!$C$9,1,0),0)</f>
        <v>0</v>
      </c>
      <c r="AV722" s="65" t="n">
        <f aca="false">AR722*AS722*AQ722</f>
        <v>0</v>
      </c>
      <c r="AW722" s="65" t="n">
        <f aca="false">AR722*AT722*AQ722</f>
        <v>0</v>
      </c>
      <c r="AX722" s="65" t="n">
        <f aca="false">AR722*AS722</f>
        <v>0</v>
      </c>
      <c r="AY722" s="65" t="n">
        <f aca="false">AR722*AT722</f>
        <v>0</v>
      </c>
      <c r="AZ722" s="65" t="n">
        <f aca="false">AR722*AQ722</f>
        <v>0</v>
      </c>
      <c r="BA722" s="65" t="n">
        <f aca="false">AR722</f>
        <v>1</v>
      </c>
      <c r="BB722" s="65" t="n">
        <f aca="false">1</f>
        <v>1</v>
      </c>
      <c r="BC722" s="65" t="n">
        <f aca="false">IF(AV722=1,1,IF(AW722=1,2,IF(AX722=1,3,IF(AY722=1,4,IF(AZ722=1,5,IF(BA722=1,6,7))))))</f>
        <v>6</v>
      </c>
      <c r="BD722" s="65" t="n">
        <f aca="false">IF(AD722=1,CHOOSE('Historical Score'!$C$29,AV722,AW722,AX722,AY722,AZ722,BA722,BB722),0)</f>
        <v>0</v>
      </c>
      <c r="BE722" s="65" t="str">
        <f aca="false">IF(BD722=1,COUNTIF($BD$2:BD722,1),"")</f>
        <v/>
      </c>
    </row>
    <row r="723" customFormat="false" ht="15" hidden="false" customHeight="false" outlineLevel="0" collapsed="false">
      <c r="A723" s="65" t="s">
        <v>2393</v>
      </c>
      <c r="B723" s="65" t="s">
        <v>2394</v>
      </c>
      <c r="C723" s="65" t="s">
        <v>2394</v>
      </c>
      <c r="D723" s="65" t="s">
        <v>533</v>
      </c>
      <c r="E723" s="112" t="n">
        <v>46099</v>
      </c>
      <c r="F723" s="112" t="n">
        <v>46245</v>
      </c>
      <c r="G723" s="65" t="n">
        <v>4</v>
      </c>
      <c r="H723" s="65" t="s">
        <v>748</v>
      </c>
      <c r="I723" s="65" t="s">
        <v>619</v>
      </c>
      <c r="J723" s="65" t="s">
        <v>420</v>
      </c>
      <c r="K723" s="65" t="s">
        <v>374</v>
      </c>
      <c r="L723" s="65" t="s">
        <v>64</v>
      </c>
      <c r="M723" s="113" t="n">
        <v>1.49</v>
      </c>
      <c r="N723" s="114" t="n">
        <v>10000</v>
      </c>
      <c r="O723" s="114" t="n">
        <v>1400</v>
      </c>
      <c r="P723" s="114" t="n">
        <v>14900</v>
      </c>
      <c r="Q723" s="114" t="n">
        <v>3507.4</v>
      </c>
      <c r="R723" s="114" t="n">
        <v>11392.6</v>
      </c>
      <c r="S723" s="115" t="n">
        <v>0.235395973154362</v>
      </c>
      <c r="T723" s="65" t="n">
        <v>2.787</v>
      </c>
      <c r="U723" s="65" t="n">
        <v>35</v>
      </c>
      <c r="V723" s="65" t="n">
        <v>48265.96</v>
      </c>
      <c r="W723" s="115" t="n">
        <v>0.0763</v>
      </c>
      <c r="X723" s="112" t="n">
        <v>45658</v>
      </c>
      <c r="Y723" s="65" t="str">
        <f aca="false">IF(I723="","No SIC",IFERROR(VLOOKUP(I723,Ref!$A$2:$B$65,2,FALSE()),"Unclassified"))</f>
        <v>Miscellaneous Retail</v>
      </c>
      <c r="Z723" s="65" t="str">
        <f aca="false">IF(T723="","",IF(T723&lt;12,"Daily","Weekly"))</f>
        <v>Daily</v>
      </c>
      <c r="AA723" s="65" t="n">
        <f aca="false">IF(T723="",0,IF(T723&lt;12,T723*Controls!$B$29,T723*5))</f>
        <v>60.352485</v>
      </c>
      <c r="AB723" s="65" t="n">
        <f aca="false">IF(E723="",0,NETWORKDAYS(E723,Controls!$B$36,Ref!$K$2:$K$42))</f>
        <v>113</v>
      </c>
      <c r="AC723" s="65" t="n">
        <f aca="false">IF(AND(AA723&gt;0,AB723&gt;=Controls!$B$39*AA723),1,0)</f>
        <v>1</v>
      </c>
      <c r="AD723" s="65" t="n">
        <f aca="false">IF(AND(E723&lt;&gt;"",E723&gt;=Controls!$B$37,E723&lt;=Controls!$B$38),1,0)</f>
        <v>1</v>
      </c>
      <c r="AE723" s="65" t="n">
        <f aca="false">IF(IFERROR(VLOOKUP(D723,Controls!$A$64:$E$74,2,FALSE()),"No")="Yes",1,0)</f>
        <v>1</v>
      </c>
      <c r="AF723" s="65" t="n">
        <f aca="false">IF(IFERROR(VLOOKUP(D723,Controls!$A$64:$E$74,3,FALSE()),"No")="Yes",1,0)</f>
        <v>0</v>
      </c>
      <c r="AG723" s="65" t="n">
        <f aca="false">IF(IFERROR(VLOOKUP(D723,Controls!$A$64:$E$74,4,FALSE()),"No")="Yes",1,0)</f>
        <v>0</v>
      </c>
      <c r="AH723" s="65" t="n">
        <f aca="false">IF(IFERROR(VLOOKUP(D723,Controls!$A$64:$E$74,5,FALSE()),"No")="Yes",1,0)</f>
        <v>0</v>
      </c>
      <c r="AI723" s="65" t="n">
        <f aca="false">IF(ISNUMBER(MATCH(D723,Controls!$A$64:$A$74,0)),1,0)</f>
        <v>1</v>
      </c>
      <c r="AJ723" s="65" t="n">
        <f aca="false">Q723-N723</f>
        <v>-6492.6</v>
      </c>
      <c r="AK723" s="65" t="n">
        <f aca="false">IF(AE723=1,MAX(0,N723-Q723),0)</f>
        <v>6492.6</v>
      </c>
      <c r="AL723" s="65" t="n">
        <f aca="false">IF(OR(V723="",V723=0),0,N723/V723)</f>
        <v>0.207185353818716</v>
      </c>
      <c r="AM723" s="65" t="n">
        <f aca="false">IF(OR(V723="",V723=0),0,1)</f>
        <v>1</v>
      </c>
      <c r="AN723" s="65" t="n">
        <f aca="false">IF(OR(E723="",F723=""),0,NETWORKDAYS(E723,F723,Ref!$K$2:$K$42))</f>
        <v>103</v>
      </c>
      <c r="AO723" s="65" t="n">
        <f aca="false">IF(L723="Renewal",1,0)</f>
        <v>0</v>
      </c>
      <c r="AP723" s="65" t="n">
        <f aca="false">AC723*AD723</f>
        <v>1</v>
      </c>
      <c r="AQ723" s="65" t="n">
        <f aca="false">IF(AND(G723&lt;&gt;"",'Historical Score'!$C$6&lt;&gt;""),IF(G723='Historical Score'!$C$6,1,0),0)</f>
        <v>0</v>
      </c>
      <c r="AR723" s="65" t="n">
        <f aca="false">IF(AND(L723&lt;&gt;"",'Historical Score'!$C$5&lt;&gt;""),IF(L723='Historical Score'!$C$5,1,0),0)</f>
        <v>1</v>
      </c>
      <c r="AS723" s="65" t="n">
        <f aca="false">IF(AND(Y723&lt;&gt;"",'Historical Score'!$C$7&lt;&gt;""),IF(Y723='Historical Score'!$C$7,1,0),0)</f>
        <v>0</v>
      </c>
      <c r="AT723" s="65" t="n">
        <f aca="false">IF(AND(K723&lt;&gt;"",'Historical Score'!$C$8&lt;&gt;""),IF(K723='Historical Score'!$C$8,1,0),0)</f>
        <v>0</v>
      </c>
      <c r="AU723" s="65" t="n">
        <f aca="false">IF(AND(J723&lt;&gt;"",'Historical Score'!$C$9&lt;&gt;""),IF(J723='Historical Score'!$C$9,1,0),0)</f>
        <v>0</v>
      </c>
      <c r="AV723" s="65" t="n">
        <f aca="false">AR723*AS723*AQ723</f>
        <v>0</v>
      </c>
      <c r="AW723" s="65" t="n">
        <f aca="false">AR723*AT723*AQ723</f>
        <v>0</v>
      </c>
      <c r="AX723" s="65" t="n">
        <f aca="false">AR723*AS723</f>
        <v>0</v>
      </c>
      <c r="AY723" s="65" t="n">
        <f aca="false">AR723*AT723</f>
        <v>0</v>
      </c>
      <c r="AZ723" s="65" t="n">
        <f aca="false">AR723*AQ723</f>
        <v>0</v>
      </c>
      <c r="BA723" s="65" t="n">
        <f aca="false">AR723</f>
        <v>1</v>
      </c>
      <c r="BB723" s="65" t="n">
        <f aca="false">1</f>
        <v>1</v>
      </c>
      <c r="BC723" s="65" t="n">
        <f aca="false">IF(AV723=1,1,IF(AW723=1,2,IF(AX723=1,3,IF(AY723=1,4,IF(AZ723=1,5,IF(BA723=1,6,7))))))</f>
        <v>6</v>
      </c>
      <c r="BD723" s="65" t="n">
        <f aca="false">IF(AD723=1,CHOOSE('Historical Score'!$C$29,AV723,AW723,AX723,AY723,AZ723,BA723,BB723),0)</f>
        <v>0</v>
      </c>
      <c r="BE723" s="65" t="str">
        <f aca="false">IF(BD723=1,COUNTIF($BD$2:BD723,1),"")</f>
        <v/>
      </c>
    </row>
    <row r="724" customFormat="false" ht="15" hidden="false" customHeight="false" outlineLevel="0" collapsed="false">
      <c r="A724" s="65" t="s">
        <v>2395</v>
      </c>
      <c r="B724" s="65" t="s">
        <v>2396</v>
      </c>
      <c r="C724" s="65" t="s">
        <v>2396</v>
      </c>
      <c r="D724" s="65" t="s">
        <v>295</v>
      </c>
      <c r="E724" s="112" t="n">
        <v>46100</v>
      </c>
      <c r="F724" s="112" t="n">
        <v>46248</v>
      </c>
      <c r="G724" s="65" t="n">
        <v>3</v>
      </c>
      <c r="H724" s="65" t="s">
        <v>409</v>
      </c>
      <c r="I724" s="65" t="s">
        <v>342</v>
      </c>
      <c r="J724" s="65" t="s">
        <v>1203</v>
      </c>
      <c r="K724" s="65" t="s">
        <v>2397</v>
      </c>
      <c r="L724" s="65" t="s">
        <v>64</v>
      </c>
      <c r="M724" s="113" t="n">
        <v>1.41</v>
      </c>
      <c r="N724" s="114" t="n">
        <v>25000</v>
      </c>
      <c r="O724" s="114" t="n">
        <v>2500</v>
      </c>
      <c r="P724" s="114" t="n">
        <v>35250</v>
      </c>
      <c r="Q724" s="114" t="n">
        <v>24669.54</v>
      </c>
      <c r="R724" s="114" t="n">
        <v>10580.46</v>
      </c>
      <c r="S724" s="115" t="n">
        <v>0.699845106382979</v>
      </c>
      <c r="T724" s="65" t="n">
        <v>30</v>
      </c>
      <c r="U724" s="65" t="n">
        <v>0</v>
      </c>
      <c r="V724" s="65" t="n">
        <v>59707.27</v>
      </c>
      <c r="W724" s="115" t="n">
        <v>0.0787</v>
      </c>
      <c r="X724" s="112" t="n">
        <v>42875</v>
      </c>
      <c r="Y724" s="65" t="str">
        <f aca="false">IF(I724="","No SIC",IFERROR(VLOOKUP(I724,Ref!$A$2:$B$65,2,FALSE()),"Unclassified"))</f>
        <v>Eating &amp; Drinking Places</v>
      </c>
      <c r="Z724" s="65" t="str">
        <f aca="false">IF(T724="","",IF(T724&lt;12,"Daily","Weekly"))</f>
        <v>Weekly</v>
      </c>
      <c r="AA724" s="65" t="n">
        <f aca="false">IF(T724="",0,IF(T724&lt;12,T724*Controls!$B$29,T724*5))</f>
        <v>150</v>
      </c>
      <c r="AB724" s="65" t="n">
        <f aca="false">IF(E724="",0,NETWORKDAYS(E724,Controls!$B$36,Ref!$K$2:$K$42))</f>
        <v>112</v>
      </c>
      <c r="AC724" s="65" t="n">
        <f aca="false">IF(AND(AA724&gt;0,AB724&gt;=Controls!$B$39*AA724),1,0)</f>
        <v>0</v>
      </c>
      <c r="AD724" s="65" t="n">
        <f aca="false">IF(AND(E724&lt;&gt;"",E724&gt;=Controls!$B$37,E724&lt;=Controls!$B$38),1,0)</f>
        <v>1</v>
      </c>
      <c r="AE724" s="65" t="n">
        <f aca="false">IF(IFERROR(VLOOKUP(D724,Controls!$A$64:$E$74,2,FALSE()),"No")="Yes",1,0)</f>
        <v>0</v>
      </c>
      <c r="AF724" s="65" t="n">
        <f aca="false">IF(IFERROR(VLOOKUP(D724,Controls!$A$64:$E$74,3,FALSE()),"No")="Yes",1,0)</f>
        <v>0</v>
      </c>
      <c r="AG724" s="65" t="n">
        <f aca="false">IF(IFERROR(VLOOKUP(D724,Controls!$A$64:$E$74,4,FALSE()),"No")="Yes",1,0)</f>
        <v>0</v>
      </c>
      <c r="AH724" s="65" t="n">
        <f aca="false">IF(IFERROR(VLOOKUP(D724,Controls!$A$64:$E$74,5,FALSE()),"No")="Yes",1,0)</f>
        <v>1</v>
      </c>
      <c r="AI724" s="65" t="n">
        <f aca="false">IF(ISNUMBER(MATCH(D724,Controls!$A$64:$A$74,0)),1,0)</f>
        <v>1</v>
      </c>
      <c r="AJ724" s="65" t="n">
        <f aca="false">Q724-N724</f>
        <v>-330.459999999999</v>
      </c>
      <c r="AK724" s="65" t="n">
        <f aca="false">IF(AE724=1,MAX(0,N724-Q724),0)</f>
        <v>0</v>
      </c>
      <c r="AL724" s="65" t="n">
        <f aca="false">IF(OR(V724="",V724=0),0,N724/V724)</f>
        <v>0.418709480436804</v>
      </c>
      <c r="AM724" s="65" t="n">
        <f aca="false">IF(OR(V724="",V724=0),0,1)</f>
        <v>1</v>
      </c>
      <c r="AN724" s="65" t="n">
        <f aca="false">IF(OR(E724="",F724=""),0,NETWORKDAYS(E724,F724,Ref!$K$2:$K$42))</f>
        <v>105</v>
      </c>
      <c r="AO724" s="65" t="n">
        <f aca="false">IF(L724="Renewal",1,0)</f>
        <v>0</v>
      </c>
      <c r="AP724" s="65" t="n">
        <f aca="false">AC724*AD724</f>
        <v>0</v>
      </c>
      <c r="AQ724" s="65" t="n">
        <f aca="false">IF(AND(G724&lt;&gt;"",'Historical Score'!$C$6&lt;&gt;""),IF(G724='Historical Score'!$C$6,1,0),0)</f>
        <v>0</v>
      </c>
      <c r="AR724" s="65" t="n">
        <f aca="false">IF(AND(L724&lt;&gt;"",'Historical Score'!$C$5&lt;&gt;""),IF(L724='Historical Score'!$C$5,1,0),0)</f>
        <v>1</v>
      </c>
      <c r="AS724" s="65" t="n">
        <f aca="false">IF(AND(Y724&lt;&gt;"",'Historical Score'!$C$7&lt;&gt;""),IF(Y724='Historical Score'!$C$7,1,0),0)</f>
        <v>0</v>
      </c>
      <c r="AT724" s="65" t="n">
        <f aca="false">IF(AND(K724&lt;&gt;"",'Historical Score'!$C$8&lt;&gt;""),IF(K724='Historical Score'!$C$8,1,0),0)</f>
        <v>0</v>
      </c>
      <c r="AU724" s="65" t="n">
        <f aca="false">IF(AND(J724&lt;&gt;"",'Historical Score'!$C$9&lt;&gt;""),IF(J724='Historical Score'!$C$9,1,0),0)</f>
        <v>0</v>
      </c>
      <c r="AV724" s="65" t="n">
        <f aca="false">AR724*AS724*AQ724</f>
        <v>0</v>
      </c>
      <c r="AW724" s="65" t="n">
        <f aca="false">AR724*AT724*AQ724</f>
        <v>0</v>
      </c>
      <c r="AX724" s="65" t="n">
        <f aca="false">AR724*AS724</f>
        <v>0</v>
      </c>
      <c r="AY724" s="65" t="n">
        <f aca="false">AR724*AT724</f>
        <v>0</v>
      </c>
      <c r="AZ724" s="65" t="n">
        <f aca="false">AR724*AQ724</f>
        <v>0</v>
      </c>
      <c r="BA724" s="65" t="n">
        <f aca="false">AR724</f>
        <v>1</v>
      </c>
      <c r="BB724" s="65" t="n">
        <f aca="false">1</f>
        <v>1</v>
      </c>
      <c r="BC724" s="65" t="n">
        <f aca="false">IF(AV724=1,1,IF(AW724=1,2,IF(AX724=1,3,IF(AY724=1,4,IF(AZ724=1,5,IF(BA724=1,6,7))))))</f>
        <v>6</v>
      </c>
      <c r="BD724" s="65" t="n">
        <f aca="false">IF(AD724=1,CHOOSE('Historical Score'!$C$29,AV724,AW724,AX724,AY724,AZ724,BA724,BB724),0)</f>
        <v>0</v>
      </c>
      <c r="BE724" s="65" t="str">
        <f aca="false">IF(BD724=1,COUNTIF($BD$2:BD724,1),"")</f>
        <v/>
      </c>
    </row>
    <row r="725" customFormat="false" ht="15" hidden="false" customHeight="false" outlineLevel="0" collapsed="false">
      <c r="A725" s="65" t="s">
        <v>2398</v>
      </c>
      <c r="B725" s="65" t="s">
        <v>2399</v>
      </c>
      <c r="C725" s="65" t="s">
        <v>2399</v>
      </c>
      <c r="D725" s="65" t="s">
        <v>371</v>
      </c>
      <c r="E725" s="112" t="n">
        <v>46100</v>
      </c>
      <c r="F725" s="112" t="n">
        <v>46231</v>
      </c>
      <c r="G725" s="65" t="n">
        <v>3</v>
      </c>
      <c r="H725" s="65" t="s">
        <v>409</v>
      </c>
      <c r="I725" s="65" t="s">
        <v>342</v>
      </c>
      <c r="J725" s="65" t="s">
        <v>373</v>
      </c>
      <c r="K725" s="65" t="s">
        <v>1963</v>
      </c>
      <c r="L725" s="65" t="s">
        <v>64</v>
      </c>
      <c r="M725" s="113" t="n">
        <v>1.49</v>
      </c>
      <c r="N725" s="114" t="n">
        <v>15000</v>
      </c>
      <c r="O725" s="114" t="n">
        <v>2100</v>
      </c>
      <c r="P725" s="114" t="n">
        <v>22350</v>
      </c>
      <c r="Q725" s="114" t="n">
        <v>22350</v>
      </c>
      <c r="R725" s="114" t="n">
        <v>0</v>
      </c>
      <c r="S725" s="115" t="n">
        <v>1</v>
      </c>
      <c r="T725" s="65" t="n">
        <v>2.623</v>
      </c>
      <c r="U725" s="65" t="n">
        <v>0</v>
      </c>
      <c r="V725" s="65" t="n">
        <v>32880.33</v>
      </c>
      <c r="W725" s="115" t="n">
        <v>0.1784</v>
      </c>
      <c r="X725" s="112" t="n">
        <v>44288</v>
      </c>
      <c r="Y725" s="65" t="str">
        <f aca="false">IF(I725="","No SIC",IFERROR(VLOOKUP(I725,Ref!$A$2:$B$65,2,FALSE()),"Unclassified"))</f>
        <v>Eating &amp; Drinking Places</v>
      </c>
      <c r="Z725" s="65" t="str">
        <f aca="false">IF(T725="","",IF(T725&lt;12,"Daily","Weekly"))</f>
        <v>Daily</v>
      </c>
      <c r="AA725" s="65" t="n">
        <f aca="false">IF(T725="",0,IF(T725&lt;12,T725*Controls!$B$29,T725*5))</f>
        <v>56.801065</v>
      </c>
      <c r="AB725" s="65" t="n">
        <f aca="false">IF(E725="",0,NETWORKDAYS(E725,Controls!$B$36,Ref!$K$2:$K$42))</f>
        <v>112</v>
      </c>
      <c r="AC725" s="65" t="n">
        <f aca="false">IF(AND(AA725&gt;0,AB725&gt;=Controls!$B$39*AA725),1,0)</f>
        <v>1</v>
      </c>
      <c r="AD725" s="65" t="n">
        <f aca="false">IF(AND(E725&lt;&gt;"",E725&gt;=Controls!$B$37,E725&lt;=Controls!$B$38),1,0)</f>
        <v>1</v>
      </c>
      <c r="AE725" s="65" t="n">
        <f aca="false">IF(IFERROR(VLOOKUP(D725,Controls!$A$64:$E$74,2,FALSE()),"No")="Yes",1,0)</f>
        <v>0</v>
      </c>
      <c r="AF725" s="65" t="n">
        <f aca="false">IF(IFERROR(VLOOKUP(D725,Controls!$A$64:$E$74,3,FALSE()),"No")="Yes",1,0)</f>
        <v>1</v>
      </c>
      <c r="AG725" s="65" t="n">
        <f aca="false">IF(IFERROR(VLOOKUP(D725,Controls!$A$64:$E$74,4,FALSE()),"No")="Yes",1,0)</f>
        <v>1</v>
      </c>
      <c r="AH725" s="65" t="n">
        <f aca="false">IF(IFERROR(VLOOKUP(D725,Controls!$A$64:$E$74,5,FALSE()),"No")="Yes",1,0)</f>
        <v>0</v>
      </c>
      <c r="AI725" s="65" t="n">
        <f aca="false">IF(ISNUMBER(MATCH(D725,Controls!$A$64:$A$74,0)),1,0)</f>
        <v>1</v>
      </c>
      <c r="AJ725" s="65" t="n">
        <f aca="false">Q725-N725</f>
        <v>7350</v>
      </c>
      <c r="AK725" s="65" t="n">
        <f aca="false">IF(AE725=1,MAX(0,N725-Q725),0)</f>
        <v>0</v>
      </c>
      <c r="AL725" s="65" t="n">
        <f aca="false">IF(OR(V725="",V725=0),0,N725/V725)</f>
        <v>0.456199800914407</v>
      </c>
      <c r="AM725" s="65" t="n">
        <f aca="false">IF(OR(V725="",V725=0),0,1)</f>
        <v>1</v>
      </c>
      <c r="AN725" s="65" t="n">
        <f aca="false">IF(OR(E725="",F725=""),0,NETWORKDAYS(E725,F725,Ref!$K$2:$K$42))</f>
        <v>92</v>
      </c>
      <c r="AO725" s="65" t="n">
        <f aca="false">IF(L725="Renewal",1,0)</f>
        <v>0</v>
      </c>
      <c r="AP725" s="65" t="n">
        <f aca="false">AC725*AD725</f>
        <v>1</v>
      </c>
      <c r="AQ725" s="65" t="n">
        <f aca="false">IF(AND(G725&lt;&gt;"",'Historical Score'!$C$6&lt;&gt;""),IF(G725='Historical Score'!$C$6,1,0),0)</f>
        <v>0</v>
      </c>
      <c r="AR725" s="65" t="n">
        <f aca="false">IF(AND(L725&lt;&gt;"",'Historical Score'!$C$5&lt;&gt;""),IF(L725='Historical Score'!$C$5,1,0),0)</f>
        <v>1</v>
      </c>
      <c r="AS725" s="65" t="n">
        <f aca="false">IF(AND(Y725&lt;&gt;"",'Historical Score'!$C$7&lt;&gt;""),IF(Y725='Historical Score'!$C$7,1,0),0)</f>
        <v>0</v>
      </c>
      <c r="AT725" s="65" t="n">
        <f aca="false">IF(AND(K725&lt;&gt;"",'Historical Score'!$C$8&lt;&gt;""),IF(K725='Historical Score'!$C$8,1,0),0)</f>
        <v>0</v>
      </c>
      <c r="AU725" s="65" t="n">
        <f aca="false">IF(AND(J725&lt;&gt;"",'Historical Score'!$C$9&lt;&gt;""),IF(J725='Historical Score'!$C$9,1,0),0)</f>
        <v>0</v>
      </c>
      <c r="AV725" s="65" t="n">
        <f aca="false">AR725*AS725*AQ725</f>
        <v>0</v>
      </c>
      <c r="AW725" s="65" t="n">
        <f aca="false">AR725*AT725*AQ725</f>
        <v>0</v>
      </c>
      <c r="AX725" s="65" t="n">
        <f aca="false">AR725*AS725</f>
        <v>0</v>
      </c>
      <c r="AY725" s="65" t="n">
        <f aca="false">AR725*AT725</f>
        <v>0</v>
      </c>
      <c r="AZ725" s="65" t="n">
        <f aca="false">AR725*AQ725</f>
        <v>0</v>
      </c>
      <c r="BA725" s="65" t="n">
        <f aca="false">AR725</f>
        <v>1</v>
      </c>
      <c r="BB725" s="65" t="n">
        <f aca="false">1</f>
        <v>1</v>
      </c>
      <c r="BC725" s="65" t="n">
        <f aca="false">IF(AV725=1,1,IF(AW725=1,2,IF(AX725=1,3,IF(AY725=1,4,IF(AZ725=1,5,IF(BA725=1,6,7))))))</f>
        <v>6</v>
      </c>
      <c r="BD725" s="65" t="n">
        <f aca="false">IF(AD725=1,CHOOSE('Historical Score'!$C$29,AV725,AW725,AX725,AY725,AZ725,BA725,BB725),0)</f>
        <v>0</v>
      </c>
      <c r="BE725" s="65" t="str">
        <f aca="false">IF(BD725=1,COUNTIF($BD$2:BD725,1),"")</f>
        <v/>
      </c>
    </row>
    <row r="726" customFormat="false" ht="15" hidden="false" customHeight="false" outlineLevel="0" collapsed="false">
      <c r="A726" s="65" t="s">
        <v>2400</v>
      </c>
      <c r="B726" s="65" t="s">
        <v>2401</v>
      </c>
      <c r="C726" s="65" t="s">
        <v>2402</v>
      </c>
      <c r="D726" s="65" t="s">
        <v>295</v>
      </c>
      <c r="E726" s="112" t="n">
        <v>46100</v>
      </c>
      <c r="F726" s="112" t="n">
        <v>46230</v>
      </c>
      <c r="G726" s="65" t="n">
        <v>4</v>
      </c>
      <c r="H726" s="65" t="s">
        <v>500</v>
      </c>
      <c r="I726" s="65" t="s">
        <v>475</v>
      </c>
      <c r="J726" s="65" t="s">
        <v>380</v>
      </c>
      <c r="K726" s="65" t="s">
        <v>581</v>
      </c>
      <c r="L726" s="65" t="s">
        <v>320</v>
      </c>
      <c r="M726" s="113" t="n">
        <v>1.48</v>
      </c>
      <c r="N726" s="114" t="n">
        <v>185000</v>
      </c>
      <c r="O726" s="114" t="n">
        <v>25900</v>
      </c>
      <c r="P726" s="114" t="n">
        <v>273800</v>
      </c>
      <c r="Q726" s="114" t="n">
        <v>83602.09</v>
      </c>
      <c r="R726" s="114" t="n">
        <v>190197.91</v>
      </c>
      <c r="S726" s="115" t="n">
        <v>0.305339992695398</v>
      </c>
      <c r="T726" s="65" t="n">
        <v>36</v>
      </c>
      <c r="U726" s="65" t="n">
        <v>2</v>
      </c>
      <c r="V726" s="65" t="n">
        <v>188237.32</v>
      </c>
      <c r="W726" s="115" t="n">
        <v>0.1396</v>
      </c>
      <c r="X726" s="112" t="n">
        <v>43573</v>
      </c>
      <c r="Y726" s="65" t="str">
        <f aca="false">IF(I726="","No SIC",IFERROR(VLOOKUP(I726,Ref!$A$2:$B$65,2,FALSE()),"Unclassified"))</f>
        <v>Auto Repair &amp; Services</v>
      </c>
      <c r="Z726" s="65" t="str">
        <f aca="false">IF(T726="","",IF(T726&lt;12,"Daily","Weekly"))</f>
        <v>Weekly</v>
      </c>
      <c r="AA726" s="65" t="n">
        <f aca="false">IF(T726="",0,IF(T726&lt;12,T726*Controls!$B$29,T726*5))</f>
        <v>180</v>
      </c>
      <c r="AB726" s="65" t="n">
        <f aca="false">IF(E726="",0,NETWORKDAYS(E726,Controls!$B$36,Ref!$K$2:$K$42))</f>
        <v>112</v>
      </c>
      <c r="AC726" s="65" t="n">
        <f aca="false">IF(AND(AA726&gt;0,AB726&gt;=Controls!$B$39*AA726),1,0)</f>
        <v>0</v>
      </c>
      <c r="AD726" s="65" t="n">
        <f aca="false">IF(AND(E726&lt;&gt;"",E726&gt;=Controls!$B$37,E726&lt;=Controls!$B$38),1,0)</f>
        <v>1</v>
      </c>
      <c r="AE726" s="65" t="n">
        <f aca="false">IF(IFERROR(VLOOKUP(D726,Controls!$A$64:$E$74,2,FALSE()),"No")="Yes",1,0)</f>
        <v>0</v>
      </c>
      <c r="AF726" s="65" t="n">
        <f aca="false">IF(IFERROR(VLOOKUP(D726,Controls!$A$64:$E$74,3,FALSE()),"No")="Yes",1,0)</f>
        <v>0</v>
      </c>
      <c r="AG726" s="65" t="n">
        <f aca="false">IF(IFERROR(VLOOKUP(D726,Controls!$A$64:$E$74,4,FALSE()),"No")="Yes",1,0)</f>
        <v>0</v>
      </c>
      <c r="AH726" s="65" t="n">
        <f aca="false">IF(IFERROR(VLOOKUP(D726,Controls!$A$64:$E$74,5,FALSE()),"No")="Yes",1,0)</f>
        <v>1</v>
      </c>
      <c r="AI726" s="65" t="n">
        <f aca="false">IF(ISNUMBER(MATCH(D726,Controls!$A$64:$A$74,0)),1,0)</f>
        <v>1</v>
      </c>
      <c r="AJ726" s="65" t="n">
        <f aca="false">Q726-N726</f>
        <v>-101397.91</v>
      </c>
      <c r="AK726" s="65" t="n">
        <f aca="false">IF(AE726=1,MAX(0,N726-Q726),0)</f>
        <v>0</v>
      </c>
      <c r="AL726" s="65" t="n">
        <f aca="false">IF(OR(V726="",V726=0),0,N726/V726)</f>
        <v>0.982801922594308</v>
      </c>
      <c r="AM726" s="65" t="n">
        <f aca="false">IF(OR(V726="",V726=0),0,1)</f>
        <v>1</v>
      </c>
      <c r="AN726" s="65" t="n">
        <f aca="false">IF(OR(E726="",F726=""),0,NETWORKDAYS(E726,F726,Ref!$K$2:$K$42))</f>
        <v>91</v>
      </c>
      <c r="AO726" s="65" t="n">
        <f aca="false">IF(L726="Renewal",1,0)</f>
        <v>1</v>
      </c>
      <c r="AP726" s="65" t="n">
        <f aca="false">AC726*AD726</f>
        <v>0</v>
      </c>
      <c r="AQ726" s="65" t="n">
        <f aca="false">IF(AND(G726&lt;&gt;"",'Historical Score'!$C$6&lt;&gt;""),IF(G726='Historical Score'!$C$6,1,0),0)</f>
        <v>0</v>
      </c>
      <c r="AR726" s="65" t="n">
        <f aca="false">IF(AND(L726&lt;&gt;"",'Historical Score'!$C$5&lt;&gt;""),IF(L726='Historical Score'!$C$5,1,0),0)</f>
        <v>0</v>
      </c>
      <c r="AS726" s="65" t="n">
        <f aca="false">IF(AND(Y726&lt;&gt;"",'Historical Score'!$C$7&lt;&gt;""),IF(Y726='Historical Score'!$C$7,1,0),0)</f>
        <v>0</v>
      </c>
      <c r="AT726" s="65" t="n">
        <f aca="false">IF(AND(K726&lt;&gt;"",'Historical Score'!$C$8&lt;&gt;""),IF(K726='Historical Score'!$C$8,1,0),0)</f>
        <v>0</v>
      </c>
      <c r="AU726" s="65" t="n">
        <f aca="false">IF(AND(J726&lt;&gt;"",'Historical Score'!$C$9&lt;&gt;""),IF(J726='Historical Score'!$C$9,1,0),0)</f>
        <v>0</v>
      </c>
      <c r="AV726" s="65" t="n">
        <f aca="false">AR726*AS726*AQ726</f>
        <v>0</v>
      </c>
      <c r="AW726" s="65" t="n">
        <f aca="false">AR726*AT726*AQ726</f>
        <v>0</v>
      </c>
      <c r="AX726" s="65" t="n">
        <f aca="false">AR726*AS726</f>
        <v>0</v>
      </c>
      <c r="AY726" s="65" t="n">
        <f aca="false">AR726*AT726</f>
        <v>0</v>
      </c>
      <c r="AZ726" s="65" t="n">
        <f aca="false">AR726*AQ726</f>
        <v>0</v>
      </c>
      <c r="BA726" s="65" t="n">
        <f aca="false">AR726</f>
        <v>0</v>
      </c>
      <c r="BB726" s="65" t="n">
        <f aca="false">1</f>
        <v>1</v>
      </c>
      <c r="BC726" s="65" t="n">
        <f aca="false">IF(AV726=1,1,IF(AW726=1,2,IF(AX726=1,3,IF(AY726=1,4,IF(AZ726=1,5,IF(BA726=1,6,7))))))</f>
        <v>7</v>
      </c>
      <c r="BD726" s="65" t="n">
        <f aca="false">IF(AD726=1,CHOOSE('Historical Score'!$C$29,AV726,AW726,AX726,AY726,AZ726,BA726,BB726),0)</f>
        <v>0</v>
      </c>
      <c r="BE726" s="65" t="str">
        <f aca="false">IF(BD726=1,COUNTIF($BD$2:BD726,1),"")</f>
        <v/>
      </c>
    </row>
    <row r="727" customFormat="false" ht="15" hidden="false" customHeight="false" outlineLevel="0" collapsed="false">
      <c r="A727" s="65" t="s">
        <v>2403</v>
      </c>
      <c r="B727" s="65" t="s">
        <v>2404</v>
      </c>
      <c r="C727" s="65" t="s">
        <v>2404</v>
      </c>
      <c r="D727" s="65" t="s">
        <v>295</v>
      </c>
      <c r="E727" s="112" t="n">
        <v>46100</v>
      </c>
      <c r="F727" s="112" t="n">
        <v>46247</v>
      </c>
      <c r="G727" s="65" t="n">
        <v>2</v>
      </c>
      <c r="H727" s="65" t="s">
        <v>826</v>
      </c>
      <c r="I727" s="65" t="s">
        <v>484</v>
      </c>
      <c r="J727" s="65" t="s">
        <v>682</v>
      </c>
      <c r="K727" s="65" t="s">
        <v>1204</v>
      </c>
      <c r="L727" s="65" t="s">
        <v>64</v>
      </c>
      <c r="M727" s="113" t="n">
        <v>1.4</v>
      </c>
      <c r="N727" s="114" t="n">
        <v>11000</v>
      </c>
      <c r="O727" s="114" t="n">
        <v>1045</v>
      </c>
      <c r="P727" s="114" t="n">
        <v>15400</v>
      </c>
      <c r="Q727" s="114" t="n">
        <v>12837.2</v>
      </c>
      <c r="R727" s="114" t="n">
        <v>2562.8</v>
      </c>
      <c r="S727" s="115" t="n">
        <v>0.833584415584416</v>
      </c>
      <c r="T727" s="65" t="n">
        <v>24</v>
      </c>
      <c r="U727" s="65" t="n">
        <v>1</v>
      </c>
      <c r="V727" s="65" t="n">
        <v>59431.27</v>
      </c>
      <c r="W727" s="115" t="n">
        <v>0.0432</v>
      </c>
      <c r="X727" s="112" t="n">
        <v>41038</v>
      </c>
      <c r="Y727" s="65" t="str">
        <f aca="false">IF(I727="","No SIC",IFERROR(VLOOKUP(I727,Ref!$A$2:$B$65,2,FALSE()),"Unclassified"))</f>
        <v>Special Trade Contractors</v>
      </c>
      <c r="Z727" s="65" t="str">
        <f aca="false">IF(T727="","",IF(T727&lt;12,"Daily","Weekly"))</f>
        <v>Weekly</v>
      </c>
      <c r="AA727" s="65" t="n">
        <f aca="false">IF(T727="",0,IF(T727&lt;12,T727*Controls!$B$29,T727*5))</f>
        <v>120</v>
      </c>
      <c r="AB727" s="65" t="n">
        <f aca="false">IF(E727="",0,NETWORKDAYS(E727,Controls!$B$36,Ref!$K$2:$K$42))</f>
        <v>112</v>
      </c>
      <c r="AC727" s="65" t="n">
        <f aca="false">IF(AND(AA727&gt;0,AB727&gt;=Controls!$B$39*AA727),1,0)</f>
        <v>0</v>
      </c>
      <c r="AD727" s="65" t="n">
        <f aca="false">IF(AND(E727&lt;&gt;"",E727&gt;=Controls!$B$37,E727&lt;=Controls!$B$38),1,0)</f>
        <v>1</v>
      </c>
      <c r="AE727" s="65" t="n">
        <f aca="false">IF(IFERROR(VLOOKUP(D727,Controls!$A$64:$E$74,2,FALSE()),"No")="Yes",1,0)</f>
        <v>0</v>
      </c>
      <c r="AF727" s="65" t="n">
        <f aca="false">IF(IFERROR(VLOOKUP(D727,Controls!$A$64:$E$74,3,FALSE()),"No")="Yes",1,0)</f>
        <v>0</v>
      </c>
      <c r="AG727" s="65" t="n">
        <f aca="false">IF(IFERROR(VLOOKUP(D727,Controls!$A$64:$E$74,4,FALSE()),"No")="Yes",1,0)</f>
        <v>0</v>
      </c>
      <c r="AH727" s="65" t="n">
        <f aca="false">IF(IFERROR(VLOOKUP(D727,Controls!$A$64:$E$74,5,FALSE()),"No")="Yes",1,0)</f>
        <v>1</v>
      </c>
      <c r="AI727" s="65" t="n">
        <f aca="false">IF(ISNUMBER(MATCH(D727,Controls!$A$64:$A$74,0)),1,0)</f>
        <v>1</v>
      </c>
      <c r="AJ727" s="65" t="n">
        <f aca="false">Q727-N727</f>
        <v>1837.2</v>
      </c>
      <c r="AK727" s="65" t="n">
        <f aca="false">IF(AE727=1,MAX(0,N727-Q727),0)</f>
        <v>0</v>
      </c>
      <c r="AL727" s="65" t="n">
        <f aca="false">IF(OR(V727="",V727=0),0,N727/V727)</f>
        <v>0.185087749260617</v>
      </c>
      <c r="AM727" s="65" t="n">
        <f aca="false">IF(OR(V727="",V727=0),0,1)</f>
        <v>1</v>
      </c>
      <c r="AN727" s="65" t="n">
        <f aca="false">IF(OR(E727="",F727=""),0,NETWORKDAYS(E727,F727,Ref!$K$2:$K$42))</f>
        <v>104</v>
      </c>
      <c r="AO727" s="65" t="n">
        <f aca="false">IF(L727="Renewal",1,0)</f>
        <v>0</v>
      </c>
      <c r="AP727" s="65" t="n">
        <f aca="false">AC727*AD727</f>
        <v>0</v>
      </c>
      <c r="AQ727" s="65" t="n">
        <f aca="false">IF(AND(G727&lt;&gt;"",'Historical Score'!$C$6&lt;&gt;""),IF(G727='Historical Score'!$C$6,1,0),0)</f>
        <v>1</v>
      </c>
      <c r="AR727" s="65" t="n">
        <f aca="false">IF(AND(L727&lt;&gt;"",'Historical Score'!$C$5&lt;&gt;""),IF(L727='Historical Score'!$C$5,1,0),0)</f>
        <v>1</v>
      </c>
      <c r="AS727" s="65" t="n">
        <f aca="false">IF(AND(Y727&lt;&gt;"",'Historical Score'!$C$7&lt;&gt;""),IF(Y727='Historical Score'!$C$7,1,0),0)</f>
        <v>0</v>
      </c>
      <c r="AT727" s="65" t="n">
        <f aca="false">IF(AND(K727&lt;&gt;"",'Historical Score'!$C$8&lt;&gt;""),IF(K727='Historical Score'!$C$8,1,0),0)</f>
        <v>0</v>
      </c>
      <c r="AU727" s="65" t="n">
        <f aca="false">IF(AND(J727&lt;&gt;"",'Historical Score'!$C$9&lt;&gt;""),IF(J727='Historical Score'!$C$9,1,0),0)</f>
        <v>0</v>
      </c>
      <c r="AV727" s="65" t="n">
        <f aca="false">AR727*AS727*AQ727</f>
        <v>0</v>
      </c>
      <c r="AW727" s="65" t="n">
        <f aca="false">AR727*AT727*AQ727</f>
        <v>0</v>
      </c>
      <c r="AX727" s="65" t="n">
        <f aca="false">AR727*AS727</f>
        <v>0</v>
      </c>
      <c r="AY727" s="65" t="n">
        <f aca="false">AR727*AT727</f>
        <v>0</v>
      </c>
      <c r="AZ727" s="65" t="n">
        <f aca="false">AR727*AQ727</f>
        <v>1</v>
      </c>
      <c r="BA727" s="65" t="n">
        <f aca="false">AR727</f>
        <v>1</v>
      </c>
      <c r="BB727" s="65" t="n">
        <f aca="false">1</f>
        <v>1</v>
      </c>
      <c r="BC727" s="65" t="n">
        <f aca="false">IF(AV727=1,1,IF(AW727=1,2,IF(AX727=1,3,IF(AY727=1,4,IF(AZ727=1,5,IF(BA727=1,6,7))))))</f>
        <v>5</v>
      </c>
      <c r="BD727" s="65" t="n">
        <f aca="false">IF(AD727=1,CHOOSE('Historical Score'!$C$29,AV727,AW727,AX727,AY727,AZ727,BA727,BB727),0)</f>
        <v>0</v>
      </c>
      <c r="BE727" s="65" t="str">
        <f aca="false">IF(BD727=1,COUNTIF($BD$2:BD727,1),"")</f>
        <v/>
      </c>
    </row>
    <row r="728" customFormat="false" ht="15" hidden="false" customHeight="false" outlineLevel="0" collapsed="false">
      <c r="A728" s="65" t="s">
        <v>2405</v>
      </c>
      <c r="B728" s="65" t="s">
        <v>2406</v>
      </c>
      <c r="C728" s="65" t="s">
        <v>2406</v>
      </c>
      <c r="D728" s="65" t="s">
        <v>371</v>
      </c>
      <c r="E728" s="112" t="n">
        <v>46100</v>
      </c>
      <c r="F728" s="112" t="n">
        <v>46225</v>
      </c>
      <c r="G728" s="65" t="n">
        <v>3</v>
      </c>
      <c r="H728" s="65" t="s">
        <v>479</v>
      </c>
      <c r="I728" s="65" t="s">
        <v>356</v>
      </c>
      <c r="J728" s="65" t="s">
        <v>546</v>
      </c>
      <c r="K728" s="65" t="s">
        <v>2088</v>
      </c>
      <c r="L728" s="65" t="s">
        <v>64</v>
      </c>
      <c r="M728" s="113" t="n">
        <v>1.49</v>
      </c>
      <c r="N728" s="114" t="n">
        <v>5000</v>
      </c>
      <c r="O728" s="114" t="n">
        <v>700</v>
      </c>
      <c r="P728" s="114" t="n">
        <v>7450</v>
      </c>
      <c r="Q728" s="114" t="n">
        <v>7450</v>
      </c>
      <c r="R728" s="114" t="n">
        <v>0</v>
      </c>
      <c r="S728" s="115" t="n">
        <v>1</v>
      </c>
      <c r="T728" s="65" t="n">
        <v>30</v>
      </c>
      <c r="U728" s="65" t="n">
        <v>0</v>
      </c>
      <c r="V728" s="65" t="n">
        <v>37897</v>
      </c>
      <c r="W728" s="115" t="n">
        <v>0.0262</v>
      </c>
      <c r="X728" s="112" t="n">
        <v>44256</v>
      </c>
      <c r="Y728" s="65" t="str">
        <f aca="false">IF(I728="","No SIC",IFERROR(VLOOKUP(I728,Ref!$A$2:$B$65,2,FALSE()),"Unclassified"))</f>
        <v>Trucking &amp; Warehousing</v>
      </c>
      <c r="Z728" s="65" t="str">
        <f aca="false">IF(T728="","",IF(T728&lt;12,"Daily","Weekly"))</f>
        <v>Weekly</v>
      </c>
      <c r="AA728" s="65" t="n">
        <f aca="false">IF(T728="",0,IF(T728&lt;12,T728*Controls!$B$29,T728*5))</f>
        <v>150</v>
      </c>
      <c r="AB728" s="65" t="n">
        <f aca="false">IF(E728="",0,NETWORKDAYS(E728,Controls!$B$36,Ref!$K$2:$K$42))</f>
        <v>112</v>
      </c>
      <c r="AC728" s="65" t="n">
        <f aca="false">IF(AND(AA728&gt;0,AB728&gt;=Controls!$B$39*AA728),1,0)</f>
        <v>0</v>
      </c>
      <c r="AD728" s="65" t="n">
        <f aca="false">IF(AND(E728&lt;&gt;"",E728&gt;=Controls!$B$37,E728&lt;=Controls!$B$38),1,0)</f>
        <v>1</v>
      </c>
      <c r="AE728" s="65" t="n">
        <f aca="false">IF(IFERROR(VLOOKUP(D728,Controls!$A$64:$E$74,2,FALSE()),"No")="Yes",1,0)</f>
        <v>0</v>
      </c>
      <c r="AF728" s="65" t="n">
        <f aca="false">IF(IFERROR(VLOOKUP(D728,Controls!$A$64:$E$74,3,FALSE()),"No")="Yes",1,0)</f>
        <v>1</v>
      </c>
      <c r="AG728" s="65" t="n">
        <f aca="false">IF(IFERROR(VLOOKUP(D728,Controls!$A$64:$E$74,4,FALSE()),"No")="Yes",1,0)</f>
        <v>1</v>
      </c>
      <c r="AH728" s="65" t="n">
        <f aca="false">IF(IFERROR(VLOOKUP(D728,Controls!$A$64:$E$74,5,FALSE()),"No")="Yes",1,0)</f>
        <v>0</v>
      </c>
      <c r="AI728" s="65" t="n">
        <f aca="false">IF(ISNUMBER(MATCH(D728,Controls!$A$64:$A$74,0)),1,0)</f>
        <v>1</v>
      </c>
      <c r="AJ728" s="65" t="n">
        <f aca="false">Q728-N728</f>
        <v>2450</v>
      </c>
      <c r="AK728" s="65" t="n">
        <f aca="false">IF(AE728=1,MAX(0,N728-Q728),0)</f>
        <v>0</v>
      </c>
      <c r="AL728" s="65" t="n">
        <f aca="false">IF(OR(V728="",V728=0),0,N728/V728)</f>
        <v>0.131936564899596</v>
      </c>
      <c r="AM728" s="65" t="n">
        <f aca="false">IF(OR(V728="",V728=0),0,1)</f>
        <v>1</v>
      </c>
      <c r="AN728" s="65" t="n">
        <f aca="false">IF(OR(E728="",F728=""),0,NETWORKDAYS(E728,F728,Ref!$K$2:$K$42))</f>
        <v>88</v>
      </c>
      <c r="AO728" s="65" t="n">
        <f aca="false">IF(L728="Renewal",1,0)</f>
        <v>0</v>
      </c>
      <c r="AP728" s="65" t="n">
        <f aca="false">AC728*AD728</f>
        <v>0</v>
      </c>
      <c r="AQ728" s="65" t="n">
        <f aca="false">IF(AND(G728&lt;&gt;"",'Historical Score'!$C$6&lt;&gt;""),IF(G728='Historical Score'!$C$6,1,0),0)</f>
        <v>0</v>
      </c>
      <c r="AR728" s="65" t="n">
        <f aca="false">IF(AND(L728&lt;&gt;"",'Historical Score'!$C$5&lt;&gt;""),IF(L728='Historical Score'!$C$5,1,0),0)</f>
        <v>1</v>
      </c>
      <c r="AS728" s="65" t="n">
        <f aca="false">IF(AND(Y728&lt;&gt;"",'Historical Score'!$C$7&lt;&gt;""),IF(Y728='Historical Score'!$C$7,1,0),0)</f>
        <v>0</v>
      </c>
      <c r="AT728" s="65" t="n">
        <f aca="false">IF(AND(K728&lt;&gt;"",'Historical Score'!$C$8&lt;&gt;""),IF(K728='Historical Score'!$C$8,1,0),0)</f>
        <v>0</v>
      </c>
      <c r="AU728" s="65" t="n">
        <f aca="false">IF(AND(J728&lt;&gt;"",'Historical Score'!$C$9&lt;&gt;""),IF(J728='Historical Score'!$C$9,1,0),0)</f>
        <v>0</v>
      </c>
      <c r="AV728" s="65" t="n">
        <f aca="false">AR728*AS728*AQ728</f>
        <v>0</v>
      </c>
      <c r="AW728" s="65" t="n">
        <f aca="false">AR728*AT728*AQ728</f>
        <v>0</v>
      </c>
      <c r="AX728" s="65" t="n">
        <f aca="false">AR728*AS728</f>
        <v>0</v>
      </c>
      <c r="AY728" s="65" t="n">
        <f aca="false">AR728*AT728</f>
        <v>0</v>
      </c>
      <c r="AZ728" s="65" t="n">
        <f aca="false">AR728*AQ728</f>
        <v>0</v>
      </c>
      <c r="BA728" s="65" t="n">
        <f aca="false">AR728</f>
        <v>1</v>
      </c>
      <c r="BB728" s="65" t="n">
        <f aca="false">1</f>
        <v>1</v>
      </c>
      <c r="BC728" s="65" t="n">
        <f aca="false">IF(AV728=1,1,IF(AW728=1,2,IF(AX728=1,3,IF(AY728=1,4,IF(AZ728=1,5,IF(BA728=1,6,7))))))</f>
        <v>6</v>
      </c>
      <c r="BD728" s="65" t="n">
        <f aca="false">IF(AD728=1,CHOOSE('Historical Score'!$C$29,AV728,AW728,AX728,AY728,AZ728,BA728,BB728),0)</f>
        <v>0</v>
      </c>
      <c r="BE728" s="65" t="str">
        <f aca="false">IF(BD728=1,COUNTIF($BD$2:BD728,1),"")</f>
        <v/>
      </c>
    </row>
    <row r="729" customFormat="false" ht="15" hidden="false" customHeight="false" outlineLevel="0" collapsed="false">
      <c r="A729" s="65" t="s">
        <v>2407</v>
      </c>
      <c r="B729" s="65" t="s">
        <v>1775</v>
      </c>
      <c r="C729" s="65" t="s">
        <v>1776</v>
      </c>
      <c r="D729" s="65" t="s">
        <v>295</v>
      </c>
      <c r="E729" s="112" t="n">
        <v>46100</v>
      </c>
      <c r="F729" s="112" t="n">
        <v>46248</v>
      </c>
      <c r="G729" s="65" t="n">
        <v>4</v>
      </c>
      <c r="H729" s="65" t="s">
        <v>748</v>
      </c>
      <c r="I729" s="65" t="s">
        <v>619</v>
      </c>
      <c r="J729" s="65" t="s">
        <v>452</v>
      </c>
      <c r="K729" s="65" t="s">
        <v>961</v>
      </c>
      <c r="L729" s="65" t="s">
        <v>320</v>
      </c>
      <c r="M729" s="113" t="n">
        <v>1.49</v>
      </c>
      <c r="N729" s="114" t="n">
        <v>30000</v>
      </c>
      <c r="O729" s="114" t="n">
        <v>4800</v>
      </c>
      <c r="P729" s="114" t="n">
        <v>44700</v>
      </c>
      <c r="Q729" s="114" t="n">
        <v>24584.34</v>
      </c>
      <c r="R729" s="114" t="n">
        <v>20115.66</v>
      </c>
      <c r="S729" s="115" t="n">
        <v>0.549985234899329</v>
      </c>
      <c r="T729" s="65" t="n">
        <v>3.934</v>
      </c>
      <c r="U729" s="65" t="n">
        <v>38</v>
      </c>
      <c r="V729" s="65" t="n">
        <v>129019.66</v>
      </c>
      <c r="W729" s="115" t="n">
        <v>0.1083</v>
      </c>
      <c r="X729" s="112" t="n">
        <v>42017</v>
      </c>
      <c r="Y729" s="65" t="str">
        <f aca="false">IF(I729="","No SIC",IFERROR(VLOOKUP(I729,Ref!$A$2:$B$65,2,FALSE()),"Unclassified"))</f>
        <v>Miscellaneous Retail</v>
      </c>
      <c r="Z729" s="65" t="str">
        <f aca="false">IF(T729="","",IF(T729&lt;12,"Daily","Weekly"))</f>
        <v>Daily</v>
      </c>
      <c r="AA729" s="65" t="n">
        <f aca="false">IF(T729="",0,IF(T729&lt;12,T729*Controls!$B$29,T729*5))</f>
        <v>85.19077</v>
      </c>
      <c r="AB729" s="65" t="n">
        <f aca="false">IF(E729="",0,NETWORKDAYS(E729,Controls!$B$36,Ref!$K$2:$K$42))</f>
        <v>112</v>
      </c>
      <c r="AC729" s="65" t="n">
        <f aca="false">IF(AND(AA729&gt;0,AB729&gt;=Controls!$B$39*AA729),1,0)</f>
        <v>1</v>
      </c>
      <c r="AD729" s="65" t="n">
        <f aca="false">IF(AND(E729&lt;&gt;"",E729&gt;=Controls!$B$37,E729&lt;=Controls!$B$38),1,0)</f>
        <v>1</v>
      </c>
      <c r="AE729" s="65" t="n">
        <f aca="false">IF(IFERROR(VLOOKUP(D729,Controls!$A$64:$E$74,2,FALSE()),"No")="Yes",1,0)</f>
        <v>0</v>
      </c>
      <c r="AF729" s="65" t="n">
        <f aca="false">IF(IFERROR(VLOOKUP(D729,Controls!$A$64:$E$74,3,FALSE()),"No")="Yes",1,0)</f>
        <v>0</v>
      </c>
      <c r="AG729" s="65" t="n">
        <f aca="false">IF(IFERROR(VLOOKUP(D729,Controls!$A$64:$E$74,4,FALSE()),"No")="Yes",1,0)</f>
        <v>0</v>
      </c>
      <c r="AH729" s="65" t="n">
        <f aca="false">IF(IFERROR(VLOOKUP(D729,Controls!$A$64:$E$74,5,FALSE()),"No")="Yes",1,0)</f>
        <v>1</v>
      </c>
      <c r="AI729" s="65" t="n">
        <f aca="false">IF(ISNUMBER(MATCH(D729,Controls!$A$64:$A$74,0)),1,0)</f>
        <v>1</v>
      </c>
      <c r="AJ729" s="65" t="n">
        <f aca="false">Q729-N729</f>
        <v>-5415.66</v>
      </c>
      <c r="AK729" s="65" t="n">
        <f aca="false">IF(AE729=1,MAX(0,N729-Q729),0)</f>
        <v>0</v>
      </c>
      <c r="AL729" s="65" t="n">
        <f aca="false">IF(OR(V729="",V729=0),0,N729/V729)</f>
        <v>0.232522702354044</v>
      </c>
      <c r="AM729" s="65" t="n">
        <f aca="false">IF(OR(V729="",V729=0),0,1)</f>
        <v>1</v>
      </c>
      <c r="AN729" s="65" t="n">
        <f aca="false">IF(OR(E729="",F729=""),0,NETWORKDAYS(E729,F729,Ref!$K$2:$K$42))</f>
        <v>105</v>
      </c>
      <c r="AO729" s="65" t="n">
        <f aca="false">IF(L729="Renewal",1,0)</f>
        <v>1</v>
      </c>
      <c r="AP729" s="65" t="n">
        <f aca="false">AC729*AD729</f>
        <v>1</v>
      </c>
      <c r="AQ729" s="65" t="n">
        <f aca="false">IF(AND(G729&lt;&gt;"",'Historical Score'!$C$6&lt;&gt;""),IF(G729='Historical Score'!$C$6,1,0),0)</f>
        <v>0</v>
      </c>
      <c r="AR729" s="65" t="n">
        <f aca="false">IF(AND(L729&lt;&gt;"",'Historical Score'!$C$5&lt;&gt;""),IF(L729='Historical Score'!$C$5,1,0),0)</f>
        <v>0</v>
      </c>
      <c r="AS729" s="65" t="n">
        <f aca="false">IF(AND(Y729&lt;&gt;"",'Historical Score'!$C$7&lt;&gt;""),IF(Y729='Historical Score'!$C$7,1,0),0)</f>
        <v>0</v>
      </c>
      <c r="AT729" s="65" t="n">
        <f aca="false">IF(AND(K729&lt;&gt;"",'Historical Score'!$C$8&lt;&gt;""),IF(K729='Historical Score'!$C$8,1,0),0)</f>
        <v>0</v>
      </c>
      <c r="AU729" s="65" t="n">
        <f aca="false">IF(AND(J729&lt;&gt;"",'Historical Score'!$C$9&lt;&gt;""),IF(J729='Historical Score'!$C$9,1,0),0)</f>
        <v>0</v>
      </c>
      <c r="AV729" s="65" t="n">
        <f aca="false">AR729*AS729*AQ729</f>
        <v>0</v>
      </c>
      <c r="AW729" s="65" t="n">
        <f aca="false">AR729*AT729*AQ729</f>
        <v>0</v>
      </c>
      <c r="AX729" s="65" t="n">
        <f aca="false">AR729*AS729</f>
        <v>0</v>
      </c>
      <c r="AY729" s="65" t="n">
        <f aca="false">AR729*AT729</f>
        <v>0</v>
      </c>
      <c r="AZ729" s="65" t="n">
        <f aca="false">AR729*AQ729</f>
        <v>0</v>
      </c>
      <c r="BA729" s="65" t="n">
        <f aca="false">AR729</f>
        <v>0</v>
      </c>
      <c r="BB729" s="65" t="n">
        <f aca="false">1</f>
        <v>1</v>
      </c>
      <c r="BC729" s="65" t="n">
        <f aca="false">IF(AV729=1,1,IF(AW729=1,2,IF(AX729=1,3,IF(AY729=1,4,IF(AZ729=1,5,IF(BA729=1,6,7))))))</f>
        <v>7</v>
      </c>
      <c r="BD729" s="65" t="n">
        <f aca="false">IF(AD729=1,CHOOSE('Historical Score'!$C$29,AV729,AW729,AX729,AY729,AZ729,BA729,BB729),0)</f>
        <v>0</v>
      </c>
      <c r="BE729" s="65" t="str">
        <f aca="false">IF(BD729=1,COUNTIF($BD$2:BD729,1),"")</f>
        <v/>
      </c>
    </row>
    <row r="730" customFormat="false" ht="15" hidden="false" customHeight="false" outlineLevel="0" collapsed="false">
      <c r="A730" s="65" t="s">
        <v>2408</v>
      </c>
      <c r="B730" s="65" t="s">
        <v>2409</v>
      </c>
      <c r="C730" s="65" t="s">
        <v>2409</v>
      </c>
      <c r="D730" s="65" t="s">
        <v>371</v>
      </c>
      <c r="E730" s="112" t="n">
        <v>46100</v>
      </c>
      <c r="F730" s="112" t="n">
        <v>46161</v>
      </c>
      <c r="G730" s="65" t="n">
        <v>3</v>
      </c>
      <c r="H730" s="65" t="s">
        <v>442</v>
      </c>
      <c r="I730" s="65" t="s">
        <v>443</v>
      </c>
      <c r="J730" s="65" t="s">
        <v>343</v>
      </c>
      <c r="K730" s="65" t="s">
        <v>496</v>
      </c>
      <c r="L730" s="65" t="s">
        <v>64</v>
      </c>
      <c r="M730" s="113" t="n">
        <v>1.45</v>
      </c>
      <c r="N730" s="114" t="n">
        <v>20000</v>
      </c>
      <c r="O730" s="114" t="n">
        <v>2400</v>
      </c>
      <c r="P730" s="114" t="n">
        <v>29000</v>
      </c>
      <c r="Q730" s="114" t="n">
        <v>29000</v>
      </c>
      <c r="R730" s="114" t="n">
        <v>0</v>
      </c>
      <c r="S730" s="115" t="n">
        <v>1</v>
      </c>
      <c r="T730" s="65" t="n">
        <v>16</v>
      </c>
      <c r="U730" s="65" t="n">
        <v>0</v>
      </c>
      <c r="V730" s="65" t="n">
        <v>61785.9</v>
      </c>
      <c r="W730" s="115" t="n">
        <v>0.1173</v>
      </c>
      <c r="X730" s="112" t="n">
        <v>41591</v>
      </c>
      <c r="Y730" s="65" t="str">
        <f aca="false">IF(I730="","No SIC",IFERROR(VLOOKUP(I730,Ref!$A$2:$B$65,2,FALSE()),"Unclassified"))</f>
        <v>General Building Contractors</v>
      </c>
      <c r="Z730" s="65" t="str">
        <f aca="false">IF(T730="","",IF(T730&lt;12,"Daily","Weekly"))</f>
        <v>Weekly</v>
      </c>
      <c r="AA730" s="65" t="n">
        <f aca="false">IF(T730="",0,IF(T730&lt;12,T730*Controls!$B$29,T730*5))</f>
        <v>80</v>
      </c>
      <c r="AB730" s="65" t="n">
        <f aca="false">IF(E730="",0,NETWORKDAYS(E730,Controls!$B$36,Ref!$K$2:$K$42))</f>
        <v>112</v>
      </c>
      <c r="AC730" s="65" t="n">
        <f aca="false">IF(AND(AA730&gt;0,AB730&gt;=Controls!$B$39*AA730),1,0)</f>
        <v>1</v>
      </c>
      <c r="AD730" s="65" t="n">
        <f aca="false">IF(AND(E730&lt;&gt;"",E730&gt;=Controls!$B$37,E730&lt;=Controls!$B$38),1,0)</f>
        <v>1</v>
      </c>
      <c r="AE730" s="65" t="n">
        <f aca="false">IF(IFERROR(VLOOKUP(D730,Controls!$A$64:$E$74,2,FALSE()),"No")="Yes",1,0)</f>
        <v>0</v>
      </c>
      <c r="AF730" s="65" t="n">
        <f aca="false">IF(IFERROR(VLOOKUP(D730,Controls!$A$64:$E$74,3,FALSE()),"No")="Yes",1,0)</f>
        <v>1</v>
      </c>
      <c r="AG730" s="65" t="n">
        <f aca="false">IF(IFERROR(VLOOKUP(D730,Controls!$A$64:$E$74,4,FALSE()),"No")="Yes",1,0)</f>
        <v>1</v>
      </c>
      <c r="AH730" s="65" t="n">
        <f aca="false">IF(IFERROR(VLOOKUP(D730,Controls!$A$64:$E$74,5,FALSE()),"No")="Yes",1,0)</f>
        <v>0</v>
      </c>
      <c r="AI730" s="65" t="n">
        <f aca="false">IF(ISNUMBER(MATCH(D730,Controls!$A$64:$A$74,0)),1,0)</f>
        <v>1</v>
      </c>
      <c r="AJ730" s="65" t="n">
        <f aca="false">Q730-N730</f>
        <v>9000</v>
      </c>
      <c r="AK730" s="65" t="n">
        <f aca="false">IF(AE730=1,MAX(0,N730-Q730),0)</f>
        <v>0</v>
      </c>
      <c r="AL730" s="65" t="n">
        <f aca="false">IF(OR(V730="",V730=0),0,N730/V730)</f>
        <v>0.323698448998882</v>
      </c>
      <c r="AM730" s="65" t="n">
        <f aca="false">IF(OR(V730="",V730=0),0,1)</f>
        <v>1</v>
      </c>
      <c r="AN730" s="65" t="n">
        <f aca="false">IF(OR(E730="",F730=""),0,NETWORKDAYS(E730,F730,Ref!$K$2:$K$42))</f>
        <v>44</v>
      </c>
      <c r="AO730" s="65" t="n">
        <f aca="false">IF(L730="Renewal",1,0)</f>
        <v>0</v>
      </c>
      <c r="AP730" s="65" t="n">
        <f aca="false">AC730*AD730</f>
        <v>1</v>
      </c>
      <c r="AQ730" s="65" t="n">
        <f aca="false">IF(AND(G730&lt;&gt;"",'Historical Score'!$C$6&lt;&gt;""),IF(G730='Historical Score'!$C$6,1,0),0)</f>
        <v>0</v>
      </c>
      <c r="AR730" s="65" t="n">
        <f aca="false">IF(AND(L730&lt;&gt;"",'Historical Score'!$C$5&lt;&gt;""),IF(L730='Historical Score'!$C$5,1,0),0)</f>
        <v>1</v>
      </c>
      <c r="AS730" s="65" t="n">
        <f aca="false">IF(AND(Y730&lt;&gt;"",'Historical Score'!$C$7&lt;&gt;""),IF(Y730='Historical Score'!$C$7,1,0),0)</f>
        <v>1</v>
      </c>
      <c r="AT730" s="65" t="n">
        <f aca="false">IF(AND(K730&lt;&gt;"",'Historical Score'!$C$8&lt;&gt;""),IF(K730='Historical Score'!$C$8,1,0),0)</f>
        <v>0</v>
      </c>
      <c r="AU730" s="65" t="n">
        <f aca="false">IF(AND(J730&lt;&gt;"",'Historical Score'!$C$9&lt;&gt;""),IF(J730='Historical Score'!$C$9,1,0),0)</f>
        <v>0</v>
      </c>
      <c r="AV730" s="65" t="n">
        <f aca="false">AR730*AS730*AQ730</f>
        <v>0</v>
      </c>
      <c r="AW730" s="65" t="n">
        <f aca="false">AR730*AT730*AQ730</f>
        <v>0</v>
      </c>
      <c r="AX730" s="65" t="n">
        <f aca="false">AR730*AS730</f>
        <v>1</v>
      </c>
      <c r="AY730" s="65" t="n">
        <f aca="false">AR730*AT730</f>
        <v>0</v>
      </c>
      <c r="AZ730" s="65" t="n">
        <f aca="false">AR730*AQ730</f>
        <v>0</v>
      </c>
      <c r="BA730" s="65" t="n">
        <f aca="false">AR730</f>
        <v>1</v>
      </c>
      <c r="BB730" s="65" t="n">
        <f aca="false">1</f>
        <v>1</v>
      </c>
      <c r="BC730" s="65" t="n">
        <f aca="false">IF(AV730=1,1,IF(AW730=1,2,IF(AX730=1,3,IF(AY730=1,4,IF(AZ730=1,5,IF(BA730=1,6,7))))))</f>
        <v>3</v>
      </c>
      <c r="BD730" s="65" t="n">
        <f aca="false">IF(AD730=1,CHOOSE('Historical Score'!$C$29,AV730,AW730,AX730,AY730,AZ730,BA730,BB730),0)</f>
        <v>0</v>
      </c>
      <c r="BE730" s="65" t="str">
        <f aca="false">IF(BD730=1,COUNTIF($BD$2:BD730,1),"")</f>
        <v/>
      </c>
    </row>
    <row r="731" customFormat="false" ht="15" hidden="false" customHeight="false" outlineLevel="0" collapsed="false">
      <c r="A731" s="65" t="s">
        <v>2410</v>
      </c>
      <c r="B731" s="65" t="s">
        <v>2411</v>
      </c>
      <c r="C731" s="65" t="s">
        <v>2411</v>
      </c>
      <c r="D731" s="65" t="s">
        <v>371</v>
      </c>
      <c r="E731" s="112" t="n">
        <v>46101</v>
      </c>
      <c r="F731" s="112" t="n">
        <v>46230</v>
      </c>
      <c r="G731" s="65" t="n">
        <v>2</v>
      </c>
      <c r="H731" s="65" t="s">
        <v>568</v>
      </c>
      <c r="I731" s="65" t="s">
        <v>569</v>
      </c>
      <c r="J731" s="65" t="s">
        <v>350</v>
      </c>
      <c r="K731" s="65" t="s">
        <v>55</v>
      </c>
      <c r="L731" s="65" t="s">
        <v>64</v>
      </c>
      <c r="M731" s="113" t="n">
        <v>1.49</v>
      </c>
      <c r="N731" s="114" t="n">
        <v>25000</v>
      </c>
      <c r="O731" s="114" t="n">
        <v>3500</v>
      </c>
      <c r="P731" s="114" t="n">
        <v>37250</v>
      </c>
      <c r="Q731" s="114" t="n">
        <v>37250</v>
      </c>
      <c r="R731" s="114" t="n">
        <v>0</v>
      </c>
      <c r="S731" s="115" t="n">
        <v>1</v>
      </c>
      <c r="T731" s="65" t="n">
        <v>22</v>
      </c>
      <c r="U731" s="65" t="n">
        <v>0</v>
      </c>
      <c r="V731" s="65" t="n">
        <v>296382.23</v>
      </c>
      <c r="W731" s="115" t="n">
        <v>0.0229</v>
      </c>
      <c r="X731" s="112" t="n">
        <v>45547</v>
      </c>
      <c r="Y731" s="65" t="str">
        <f aca="false">IF(I731="","No SIC",IFERROR(VLOOKUP(I731,Ref!$A$2:$B$65,2,FALSE()),"Unclassified"))</f>
        <v>General Merchandise Stores</v>
      </c>
      <c r="Z731" s="65" t="str">
        <f aca="false">IF(T731="","",IF(T731&lt;12,"Daily","Weekly"))</f>
        <v>Weekly</v>
      </c>
      <c r="AA731" s="65" t="n">
        <f aca="false">IF(T731="",0,IF(T731&lt;12,T731*Controls!$B$29,T731*5))</f>
        <v>110</v>
      </c>
      <c r="AB731" s="65" t="n">
        <f aca="false">IF(E731="",0,NETWORKDAYS(E731,Controls!$B$36,Ref!$K$2:$K$42))</f>
        <v>111</v>
      </c>
      <c r="AC731" s="65" t="n">
        <f aca="false">IF(AND(AA731&gt;0,AB731&gt;=Controls!$B$39*AA731),1,0)</f>
        <v>0</v>
      </c>
      <c r="AD731" s="65" t="n">
        <f aca="false">IF(AND(E731&lt;&gt;"",E731&gt;=Controls!$B$37,E731&lt;=Controls!$B$38),1,0)</f>
        <v>1</v>
      </c>
      <c r="AE731" s="65" t="n">
        <f aca="false">IF(IFERROR(VLOOKUP(D731,Controls!$A$64:$E$74,2,FALSE()),"No")="Yes",1,0)</f>
        <v>0</v>
      </c>
      <c r="AF731" s="65" t="n">
        <f aca="false">IF(IFERROR(VLOOKUP(D731,Controls!$A$64:$E$74,3,FALSE()),"No")="Yes",1,0)</f>
        <v>1</v>
      </c>
      <c r="AG731" s="65" t="n">
        <f aca="false">IF(IFERROR(VLOOKUP(D731,Controls!$A$64:$E$74,4,FALSE()),"No")="Yes",1,0)</f>
        <v>1</v>
      </c>
      <c r="AH731" s="65" t="n">
        <f aca="false">IF(IFERROR(VLOOKUP(D731,Controls!$A$64:$E$74,5,FALSE()),"No")="Yes",1,0)</f>
        <v>0</v>
      </c>
      <c r="AI731" s="65" t="n">
        <f aca="false">IF(ISNUMBER(MATCH(D731,Controls!$A$64:$A$74,0)),1,0)</f>
        <v>1</v>
      </c>
      <c r="AJ731" s="65" t="n">
        <f aca="false">Q731-N731</f>
        <v>12250</v>
      </c>
      <c r="AK731" s="65" t="n">
        <f aca="false">IF(AE731=1,MAX(0,N731-Q731),0)</f>
        <v>0</v>
      </c>
      <c r="AL731" s="65" t="n">
        <f aca="false">IF(OR(V731="",V731=0),0,N731/V731)</f>
        <v>0.0843505361303206</v>
      </c>
      <c r="AM731" s="65" t="n">
        <f aca="false">IF(OR(V731="",V731=0),0,1)</f>
        <v>1</v>
      </c>
      <c r="AN731" s="65" t="n">
        <f aca="false">IF(OR(E731="",F731=""),0,NETWORKDAYS(E731,F731,Ref!$K$2:$K$42))</f>
        <v>90</v>
      </c>
      <c r="AO731" s="65" t="n">
        <f aca="false">IF(L731="Renewal",1,0)</f>
        <v>0</v>
      </c>
      <c r="AP731" s="65" t="n">
        <f aca="false">AC731*AD731</f>
        <v>0</v>
      </c>
      <c r="AQ731" s="65" t="n">
        <f aca="false">IF(AND(G731&lt;&gt;"",'Historical Score'!$C$6&lt;&gt;""),IF(G731='Historical Score'!$C$6,1,0),0)</f>
        <v>1</v>
      </c>
      <c r="AR731" s="65" t="n">
        <f aca="false">IF(AND(L731&lt;&gt;"",'Historical Score'!$C$5&lt;&gt;""),IF(L731='Historical Score'!$C$5,1,0),0)</f>
        <v>1</v>
      </c>
      <c r="AS731" s="65" t="n">
        <f aca="false">IF(AND(Y731&lt;&gt;"",'Historical Score'!$C$7&lt;&gt;""),IF(Y731='Historical Score'!$C$7,1,0),0)</f>
        <v>0</v>
      </c>
      <c r="AT731" s="65" t="n">
        <f aca="false">IF(AND(K731&lt;&gt;"",'Historical Score'!$C$8&lt;&gt;""),IF(K731='Historical Score'!$C$8,1,0),0)</f>
        <v>1</v>
      </c>
      <c r="AU731" s="65" t="n">
        <f aca="false">IF(AND(J731&lt;&gt;"",'Historical Score'!$C$9&lt;&gt;""),IF(J731='Historical Score'!$C$9,1,0),0)</f>
        <v>0</v>
      </c>
      <c r="AV731" s="65" t="n">
        <f aca="false">AR731*AS731*AQ731</f>
        <v>0</v>
      </c>
      <c r="AW731" s="65" t="n">
        <f aca="false">AR731*AT731*AQ731</f>
        <v>1</v>
      </c>
      <c r="AX731" s="65" t="n">
        <f aca="false">AR731*AS731</f>
        <v>0</v>
      </c>
      <c r="AY731" s="65" t="n">
        <f aca="false">AR731*AT731</f>
        <v>1</v>
      </c>
      <c r="AZ731" s="65" t="n">
        <f aca="false">AR731*AQ731</f>
        <v>1</v>
      </c>
      <c r="BA731" s="65" t="n">
        <f aca="false">AR731</f>
        <v>1</v>
      </c>
      <c r="BB731" s="65" t="n">
        <f aca="false">1</f>
        <v>1</v>
      </c>
      <c r="BC731" s="65" t="n">
        <f aca="false">IF(AV731=1,1,IF(AW731=1,2,IF(AX731=1,3,IF(AY731=1,4,IF(AZ731=1,5,IF(BA731=1,6,7))))))</f>
        <v>2</v>
      </c>
      <c r="BD731" s="65" t="n">
        <f aca="false">IF(AD731=1,CHOOSE('Historical Score'!$C$29,AV731,AW731,AX731,AY731,AZ731,BA731,BB731),0)</f>
        <v>0</v>
      </c>
      <c r="BE731" s="65" t="str">
        <f aca="false">IF(BD731=1,COUNTIF($BD$2:BD731,1),"")</f>
        <v/>
      </c>
    </row>
    <row r="732" customFormat="false" ht="15" hidden="false" customHeight="false" outlineLevel="0" collapsed="false">
      <c r="A732" s="65" t="s">
        <v>2412</v>
      </c>
      <c r="B732" s="65" t="s">
        <v>2413</v>
      </c>
      <c r="C732" s="65" t="s">
        <v>2414</v>
      </c>
      <c r="D732" s="65" t="s">
        <v>371</v>
      </c>
      <c r="E732" s="112" t="n">
        <v>46101</v>
      </c>
      <c r="F732" s="112" t="n">
        <v>46223</v>
      </c>
      <c r="G732" s="65" t="n">
        <v>3</v>
      </c>
      <c r="H732" s="65" t="s">
        <v>2415</v>
      </c>
      <c r="I732" s="65" t="s">
        <v>405</v>
      </c>
      <c r="J732" s="65" t="s">
        <v>510</v>
      </c>
      <c r="K732" s="65" t="s">
        <v>55</v>
      </c>
      <c r="L732" s="65" t="s">
        <v>64</v>
      </c>
      <c r="M732" s="113" t="n">
        <v>1.34</v>
      </c>
      <c r="N732" s="114" t="n">
        <v>200000</v>
      </c>
      <c r="O732" s="114" t="n">
        <v>25000</v>
      </c>
      <c r="P732" s="114" t="n">
        <v>268000</v>
      </c>
      <c r="Q732" s="114" t="n">
        <v>268000</v>
      </c>
      <c r="R732" s="114" t="n">
        <v>0</v>
      </c>
      <c r="S732" s="115" t="n">
        <v>1</v>
      </c>
      <c r="T732" s="65" t="n">
        <v>40</v>
      </c>
      <c r="U732" s="65" t="n">
        <v>0</v>
      </c>
      <c r="V732" s="65" t="n">
        <v>653595.48</v>
      </c>
      <c r="W732" s="115" t="n">
        <v>0.0487</v>
      </c>
      <c r="X732" s="112" t="n">
        <v>41695</v>
      </c>
      <c r="Y732" s="65" t="str">
        <f aca="false">IF(I732="","No SIC",IFERROR(VLOOKUP(I732,Ref!$A$2:$B$65,2,FALSE()),"Unclassified"))</f>
        <v>Health Services</v>
      </c>
      <c r="Z732" s="65" t="str">
        <f aca="false">IF(T732="","",IF(T732&lt;12,"Daily","Weekly"))</f>
        <v>Weekly</v>
      </c>
      <c r="AA732" s="65" t="n">
        <f aca="false">IF(T732="",0,IF(T732&lt;12,T732*Controls!$B$29,T732*5))</f>
        <v>200</v>
      </c>
      <c r="AB732" s="65" t="n">
        <f aca="false">IF(E732="",0,NETWORKDAYS(E732,Controls!$B$36,Ref!$K$2:$K$42))</f>
        <v>111</v>
      </c>
      <c r="AC732" s="65" t="n">
        <f aca="false">IF(AND(AA732&gt;0,AB732&gt;=Controls!$B$39*AA732),1,0)</f>
        <v>0</v>
      </c>
      <c r="AD732" s="65" t="n">
        <f aca="false">IF(AND(E732&lt;&gt;"",E732&gt;=Controls!$B$37,E732&lt;=Controls!$B$38),1,0)</f>
        <v>1</v>
      </c>
      <c r="AE732" s="65" t="n">
        <f aca="false">IF(IFERROR(VLOOKUP(D732,Controls!$A$64:$E$74,2,FALSE()),"No")="Yes",1,0)</f>
        <v>0</v>
      </c>
      <c r="AF732" s="65" t="n">
        <f aca="false">IF(IFERROR(VLOOKUP(D732,Controls!$A$64:$E$74,3,FALSE()),"No")="Yes",1,0)</f>
        <v>1</v>
      </c>
      <c r="AG732" s="65" t="n">
        <f aca="false">IF(IFERROR(VLOOKUP(D732,Controls!$A$64:$E$74,4,FALSE()),"No")="Yes",1,0)</f>
        <v>1</v>
      </c>
      <c r="AH732" s="65" t="n">
        <f aca="false">IF(IFERROR(VLOOKUP(D732,Controls!$A$64:$E$74,5,FALSE()),"No")="Yes",1,0)</f>
        <v>0</v>
      </c>
      <c r="AI732" s="65" t="n">
        <f aca="false">IF(ISNUMBER(MATCH(D732,Controls!$A$64:$A$74,0)),1,0)</f>
        <v>1</v>
      </c>
      <c r="AJ732" s="65" t="n">
        <f aca="false">Q732-N732</f>
        <v>68000</v>
      </c>
      <c r="AK732" s="65" t="n">
        <f aca="false">IF(AE732=1,MAX(0,N732-Q732),0)</f>
        <v>0</v>
      </c>
      <c r="AL732" s="65" t="n">
        <f aca="false">IF(OR(V732="",V732=0),0,N732/V732)</f>
        <v>0.30599966817396</v>
      </c>
      <c r="AM732" s="65" t="n">
        <f aca="false">IF(OR(V732="",V732=0),0,1)</f>
        <v>1</v>
      </c>
      <c r="AN732" s="65" t="n">
        <f aca="false">IF(OR(E732="",F732=""),0,NETWORKDAYS(E732,F732,Ref!$K$2:$K$42))</f>
        <v>85</v>
      </c>
      <c r="AO732" s="65" t="n">
        <f aca="false">IF(L732="Renewal",1,0)</f>
        <v>0</v>
      </c>
      <c r="AP732" s="65" t="n">
        <f aca="false">AC732*AD732</f>
        <v>0</v>
      </c>
      <c r="AQ732" s="65" t="n">
        <f aca="false">IF(AND(G732&lt;&gt;"",'Historical Score'!$C$6&lt;&gt;""),IF(G732='Historical Score'!$C$6,1,0),0)</f>
        <v>0</v>
      </c>
      <c r="AR732" s="65" t="n">
        <f aca="false">IF(AND(L732&lt;&gt;"",'Historical Score'!$C$5&lt;&gt;""),IF(L732='Historical Score'!$C$5,1,0),0)</f>
        <v>1</v>
      </c>
      <c r="AS732" s="65" t="n">
        <f aca="false">IF(AND(Y732&lt;&gt;"",'Historical Score'!$C$7&lt;&gt;""),IF(Y732='Historical Score'!$C$7,1,0),0)</f>
        <v>0</v>
      </c>
      <c r="AT732" s="65" t="n">
        <f aca="false">IF(AND(K732&lt;&gt;"",'Historical Score'!$C$8&lt;&gt;""),IF(K732='Historical Score'!$C$8,1,0),0)</f>
        <v>1</v>
      </c>
      <c r="AU732" s="65" t="n">
        <f aca="false">IF(AND(J732&lt;&gt;"",'Historical Score'!$C$9&lt;&gt;""),IF(J732='Historical Score'!$C$9,1,0),0)</f>
        <v>0</v>
      </c>
      <c r="AV732" s="65" t="n">
        <f aca="false">AR732*AS732*AQ732</f>
        <v>0</v>
      </c>
      <c r="AW732" s="65" t="n">
        <f aca="false">AR732*AT732*AQ732</f>
        <v>0</v>
      </c>
      <c r="AX732" s="65" t="n">
        <f aca="false">AR732*AS732</f>
        <v>0</v>
      </c>
      <c r="AY732" s="65" t="n">
        <f aca="false">AR732*AT732</f>
        <v>1</v>
      </c>
      <c r="AZ732" s="65" t="n">
        <f aca="false">AR732*AQ732</f>
        <v>0</v>
      </c>
      <c r="BA732" s="65" t="n">
        <f aca="false">AR732</f>
        <v>1</v>
      </c>
      <c r="BB732" s="65" t="n">
        <f aca="false">1</f>
        <v>1</v>
      </c>
      <c r="BC732" s="65" t="n">
        <f aca="false">IF(AV732=1,1,IF(AW732=1,2,IF(AX732=1,3,IF(AY732=1,4,IF(AZ732=1,5,IF(BA732=1,6,7))))))</f>
        <v>4</v>
      </c>
      <c r="BD732" s="65" t="n">
        <f aca="false">IF(AD732=1,CHOOSE('Historical Score'!$C$29,AV732,AW732,AX732,AY732,AZ732,BA732,BB732),0)</f>
        <v>0</v>
      </c>
      <c r="BE732" s="65" t="str">
        <f aca="false">IF(BD732=1,COUNTIF($BD$2:BD732,1),"")</f>
        <v/>
      </c>
    </row>
    <row r="733" customFormat="false" ht="15" hidden="false" customHeight="false" outlineLevel="0" collapsed="false">
      <c r="A733" s="65" t="s">
        <v>2416</v>
      </c>
      <c r="B733" s="65" t="s">
        <v>2417</v>
      </c>
      <c r="C733" s="65" t="s">
        <v>2417</v>
      </c>
      <c r="D733" s="65" t="s">
        <v>533</v>
      </c>
      <c r="E733" s="112" t="n">
        <v>46101</v>
      </c>
      <c r="F733" s="112" t="n">
        <v>46223</v>
      </c>
      <c r="G733" s="65" t="n">
        <v>3</v>
      </c>
      <c r="H733" s="65" t="s">
        <v>1146</v>
      </c>
      <c r="I733" s="65" t="s">
        <v>419</v>
      </c>
      <c r="J733" s="65" t="s">
        <v>61</v>
      </c>
      <c r="K733" s="65" t="s">
        <v>584</v>
      </c>
      <c r="L733" s="65" t="s">
        <v>64</v>
      </c>
      <c r="M733" s="113" t="n">
        <v>1.49</v>
      </c>
      <c r="N733" s="114" t="n">
        <v>3000</v>
      </c>
      <c r="O733" s="114" t="n">
        <v>420</v>
      </c>
      <c r="P733" s="114" t="n">
        <v>4470</v>
      </c>
      <c r="Q733" s="114" t="n">
        <v>1117.76</v>
      </c>
      <c r="R733" s="114" t="n">
        <v>3352.24</v>
      </c>
      <c r="S733" s="115" t="n">
        <v>0.250058165548099</v>
      </c>
      <c r="T733" s="65" t="n">
        <v>26</v>
      </c>
      <c r="U733" s="65" t="n">
        <v>8</v>
      </c>
      <c r="V733" s="65" t="n">
        <v>3089.98</v>
      </c>
      <c r="W733" s="115" t="n">
        <v>0.2226</v>
      </c>
      <c r="X733" s="112" t="n">
        <v>45566</v>
      </c>
      <c r="Y733" s="65" t="str">
        <f aca="false">IF(I733="","No SIC",IFERROR(VLOOKUP(I733,Ref!$A$2:$B$65,2,FALSE()),"Unclassified"))</f>
        <v>Business Services</v>
      </c>
      <c r="Z733" s="65" t="str">
        <f aca="false">IF(T733="","",IF(T733&lt;12,"Daily","Weekly"))</f>
        <v>Weekly</v>
      </c>
      <c r="AA733" s="65" t="n">
        <f aca="false">IF(T733="",0,IF(T733&lt;12,T733*Controls!$B$29,T733*5))</f>
        <v>130</v>
      </c>
      <c r="AB733" s="65" t="n">
        <f aca="false">IF(E733="",0,NETWORKDAYS(E733,Controls!$B$36,Ref!$K$2:$K$42))</f>
        <v>111</v>
      </c>
      <c r="AC733" s="65" t="n">
        <f aca="false">IF(AND(AA733&gt;0,AB733&gt;=Controls!$B$39*AA733),1,0)</f>
        <v>0</v>
      </c>
      <c r="AD733" s="65" t="n">
        <f aca="false">IF(AND(E733&lt;&gt;"",E733&gt;=Controls!$B$37,E733&lt;=Controls!$B$38),1,0)</f>
        <v>1</v>
      </c>
      <c r="AE733" s="65" t="n">
        <f aca="false">IF(IFERROR(VLOOKUP(D733,Controls!$A$64:$E$74,2,FALSE()),"No")="Yes",1,0)</f>
        <v>1</v>
      </c>
      <c r="AF733" s="65" t="n">
        <f aca="false">IF(IFERROR(VLOOKUP(D733,Controls!$A$64:$E$74,3,FALSE()),"No")="Yes",1,0)</f>
        <v>0</v>
      </c>
      <c r="AG733" s="65" t="n">
        <f aca="false">IF(IFERROR(VLOOKUP(D733,Controls!$A$64:$E$74,4,FALSE()),"No")="Yes",1,0)</f>
        <v>0</v>
      </c>
      <c r="AH733" s="65" t="n">
        <f aca="false">IF(IFERROR(VLOOKUP(D733,Controls!$A$64:$E$74,5,FALSE()),"No")="Yes",1,0)</f>
        <v>0</v>
      </c>
      <c r="AI733" s="65" t="n">
        <f aca="false">IF(ISNUMBER(MATCH(D733,Controls!$A$64:$A$74,0)),1,0)</f>
        <v>1</v>
      </c>
      <c r="AJ733" s="65" t="n">
        <f aca="false">Q733-N733</f>
        <v>-1882.24</v>
      </c>
      <c r="AK733" s="65" t="n">
        <f aca="false">IF(AE733=1,MAX(0,N733-Q733),0)</f>
        <v>1882.24</v>
      </c>
      <c r="AL733" s="65" t="n">
        <f aca="false">IF(OR(V733="",V733=0),0,N733/V733)</f>
        <v>0.970880070421168</v>
      </c>
      <c r="AM733" s="65" t="n">
        <f aca="false">IF(OR(V733="",V733=0),0,1)</f>
        <v>1</v>
      </c>
      <c r="AN733" s="65" t="n">
        <f aca="false">IF(OR(E733="",F733=""),0,NETWORKDAYS(E733,F733,Ref!$K$2:$K$42))</f>
        <v>85</v>
      </c>
      <c r="AO733" s="65" t="n">
        <f aca="false">IF(L733="Renewal",1,0)</f>
        <v>0</v>
      </c>
      <c r="AP733" s="65" t="n">
        <f aca="false">AC733*AD733</f>
        <v>0</v>
      </c>
      <c r="AQ733" s="65" t="n">
        <f aca="false">IF(AND(G733&lt;&gt;"",'Historical Score'!$C$6&lt;&gt;""),IF(G733='Historical Score'!$C$6,1,0),0)</f>
        <v>0</v>
      </c>
      <c r="AR733" s="65" t="n">
        <f aca="false">IF(AND(L733&lt;&gt;"",'Historical Score'!$C$5&lt;&gt;""),IF(L733='Historical Score'!$C$5,1,0),0)</f>
        <v>1</v>
      </c>
      <c r="AS733" s="65" t="n">
        <f aca="false">IF(AND(Y733&lt;&gt;"",'Historical Score'!$C$7&lt;&gt;""),IF(Y733='Historical Score'!$C$7,1,0),0)</f>
        <v>0</v>
      </c>
      <c r="AT733" s="65" t="n">
        <f aca="false">IF(AND(K733&lt;&gt;"",'Historical Score'!$C$8&lt;&gt;""),IF(K733='Historical Score'!$C$8,1,0),0)</f>
        <v>0</v>
      </c>
      <c r="AU733" s="65" t="n">
        <f aca="false">IF(AND(J733&lt;&gt;"",'Historical Score'!$C$9&lt;&gt;""),IF(J733='Historical Score'!$C$9,1,0),0)</f>
        <v>1</v>
      </c>
      <c r="AV733" s="65" t="n">
        <f aca="false">AR733*AS733*AQ733</f>
        <v>0</v>
      </c>
      <c r="AW733" s="65" t="n">
        <f aca="false">AR733*AT733*AQ733</f>
        <v>0</v>
      </c>
      <c r="AX733" s="65" t="n">
        <f aca="false">AR733*AS733</f>
        <v>0</v>
      </c>
      <c r="AY733" s="65" t="n">
        <f aca="false">AR733*AT733</f>
        <v>0</v>
      </c>
      <c r="AZ733" s="65" t="n">
        <f aca="false">AR733*AQ733</f>
        <v>0</v>
      </c>
      <c r="BA733" s="65" t="n">
        <f aca="false">AR733</f>
        <v>1</v>
      </c>
      <c r="BB733" s="65" t="n">
        <f aca="false">1</f>
        <v>1</v>
      </c>
      <c r="BC733" s="65" t="n">
        <f aca="false">IF(AV733=1,1,IF(AW733=1,2,IF(AX733=1,3,IF(AY733=1,4,IF(AZ733=1,5,IF(BA733=1,6,7))))))</f>
        <v>6</v>
      </c>
      <c r="BD733" s="65" t="n">
        <f aca="false">IF(AD733=1,CHOOSE('Historical Score'!$C$29,AV733,AW733,AX733,AY733,AZ733,BA733,BB733),0)</f>
        <v>0</v>
      </c>
      <c r="BE733" s="65" t="str">
        <f aca="false">IF(BD733=1,COUNTIF($BD$2:BD733,1),"")</f>
        <v/>
      </c>
    </row>
    <row r="734" customFormat="false" ht="15" hidden="false" customHeight="false" outlineLevel="0" collapsed="false">
      <c r="A734" s="65" t="s">
        <v>2418</v>
      </c>
      <c r="B734" s="65" t="s">
        <v>2419</v>
      </c>
      <c r="C734" s="65" t="s">
        <v>2419</v>
      </c>
      <c r="D734" s="65" t="s">
        <v>340</v>
      </c>
      <c r="E734" s="112" t="n">
        <v>46101</v>
      </c>
      <c r="F734" s="112" t="n">
        <v>46230</v>
      </c>
      <c r="G734" s="65" t="n">
        <v>4</v>
      </c>
      <c r="H734" s="65" t="s">
        <v>1146</v>
      </c>
      <c r="I734" s="65" t="s">
        <v>419</v>
      </c>
      <c r="J734" s="65" t="s">
        <v>682</v>
      </c>
      <c r="K734" s="65" t="s">
        <v>55</v>
      </c>
      <c r="L734" s="65" t="s">
        <v>64</v>
      </c>
      <c r="M734" s="113" t="n">
        <v>1.49</v>
      </c>
      <c r="N734" s="114" t="n">
        <v>15000</v>
      </c>
      <c r="O734" s="114" t="n">
        <v>0</v>
      </c>
      <c r="P734" s="114" t="n">
        <v>22350</v>
      </c>
      <c r="Q734" s="114" t="n">
        <v>3577.47</v>
      </c>
      <c r="R734" s="114" t="n">
        <v>18772.53</v>
      </c>
      <c r="S734" s="115" t="n">
        <v>0.160065771812081</v>
      </c>
      <c r="T734" s="65" t="n">
        <v>20</v>
      </c>
      <c r="U734" s="65" t="n">
        <v>7</v>
      </c>
      <c r="V734" s="65" t="n">
        <v>64875.77</v>
      </c>
      <c r="W734" s="115" t="n">
        <v>0.0689</v>
      </c>
      <c r="X734" s="112" t="n">
        <v>44812</v>
      </c>
      <c r="Y734" s="65" t="str">
        <f aca="false">IF(I734="","No SIC",IFERROR(VLOOKUP(I734,Ref!$A$2:$B$65,2,FALSE()),"Unclassified"))</f>
        <v>Business Services</v>
      </c>
      <c r="Z734" s="65" t="str">
        <f aca="false">IF(T734="","",IF(T734&lt;12,"Daily","Weekly"))</f>
        <v>Weekly</v>
      </c>
      <c r="AA734" s="65" t="n">
        <f aca="false">IF(T734="",0,IF(T734&lt;12,T734*Controls!$B$29,T734*5))</f>
        <v>100</v>
      </c>
      <c r="AB734" s="65" t="n">
        <f aca="false">IF(E734="",0,NETWORKDAYS(E734,Controls!$B$36,Ref!$K$2:$K$42))</f>
        <v>111</v>
      </c>
      <c r="AC734" s="65" t="n">
        <f aca="false">IF(AND(AA734&gt;0,AB734&gt;=Controls!$B$39*AA734),1,0)</f>
        <v>0</v>
      </c>
      <c r="AD734" s="65" t="n">
        <f aca="false">IF(AND(E734&lt;&gt;"",E734&gt;=Controls!$B$37,E734&lt;=Controls!$B$38),1,0)</f>
        <v>1</v>
      </c>
      <c r="AE734" s="65" t="n">
        <f aca="false">IF(IFERROR(VLOOKUP(D734,Controls!$A$64:$E$74,2,FALSE()),"No")="Yes",1,0)</f>
        <v>1</v>
      </c>
      <c r="AF734" s="65" t="n">
        <f aca="false">IF(IFERROR(VLOOKUP(D734,Controls!$A$64:$E$74,3,FALSE()),"No")="Yes",1,0)</f>
        <v>0</v>
      </c>
      <c r="AG734" s="65" t="n">
        <f aca="false">IF(IFERROR(VLOOKUP(D734,Controls!$A$64:$E$74,4,FALSE()),"No")="Yes",1,0)</f>
        <v>0</v>
      </c>
      <c r="AH734" s="65" t="n">
        <f aca="false">IF(IFERROR(VLOOKUP(D734,Controls!$A$64:$E$74,5,FALSE()),"No")="Yes",1,0)</f>
        <v>0</v>
      </c>
      <c r="AI734" s="65" t="n">
        <f aca="false">IF(ISNUMBER(MATCH(D734,Controls!$A$64:$A$74,0)),1,0)</f>
        <v>1</v>
      </c>
      <c r="AJ734" s="65" t="n">
        <f aca="false">Q734-N734</f>
        <v>-11422.53</v>
      </c>
      <c r="AK734" s="65" t="n">
        <f aca="false">IF(AE734=1,MAX(0,N734-Q734),0)</f>
        <v>11422.53</v>
      </c>
      <c r="AL734" s="65" t="n">
        <f aca="false">IF(OR(V734="",V734=0),0,N734/V734)</f>
        <v>0.231211128592385</v>
      </c>
      <c r="AM734" s="65" t="n">
        <f aca="false">IF(OR(V734="",V734=0),0,1)</f>
        <v>1</v>
      </c>
      <c r="AN734" s="65" t="n">
        <f aca="false">IF(OR(E734="",F734=""),0,NETWORKDAYS(E734,F734,Ref!$K$2:$K$42))</f>
        <v>90</v>
      </c>
      <c r="AO734" s="65" t="n">
        <f aca="false">IF(L734="Renewal",1,0)</f>
        <v>0</v>
      </c>
      <c r="AP734" s="65" t="n">
        <f aca="false">AC734*AD734</f>
        <v>0</v>
      </c>
      <c r="AQ734" s="65" t="n">
        <f aca="false">IF(AND(G734&lt;&gt;"",'Historical Score'!$C$6&lt;&gt;""),IF(G734='Historical Score'!$C$6,1,0),0)</f>
        <v>0</v>
      </c>
      <c r="AR734" s="65" t="n">
        <f aca="false">IF(AND(L734&lt;&gt;"",'Historical Score'!$C$5&lt;&gt;""),IF(L734='Historical Score'!$C$5,1,0),0)</f>
        <v>1</v>
      </c>
      <c r="AS734" s="65" t="n">
        <f aca="false">IF(AND(Y734&lt;&gt;"",'Historical Score'!$C$7&lt;&gt;""),IF(Y734='Historical Score'!$C$7,1,0),0)</f>
        <v>0</v>
      </c>
      <c r="AT734" s="65" t="n">
        <f aca="false">IF(AND(K734&lt;&gt;"",'Historical Score'!$C$8&lt;&gt;""),IF(K734='Historical Score'!$C$8,1,0),0)</f>
        <v>1</v>
      </c>
      <c r="AU734" s="65" t="n">
        <f aca="false">IF(AND(J734&lt;&gt;"",'Historical Score'!$C$9&lt;&gt;""),IF(J734='Historical Score'!$C$9,1,0),0)</f>
        <v>0</v>
      </c>
      <c r="AV734" s="65" t="n">
        <f aca="false">AR734*AS734*AQ734</f>
        <v>0</v>
      </c>
      <c r="AW734" s="65" t="n">
        <f aca="false">AR734*AT734*AQ734</f>
        <v>0</v>
      </c>
      <c r="AX734" s="65" t="n">
        <f aca="false">AR734*AS734</f>
        <v>0</v>
      </c>
      <c r="AY734" s="65" t="n">
        <f aca="false">AR734*AT734</f>
        <v>1</v>
      </c>
      <c r="AZ734" s="65" t="n">
        <f aca="false">AR734*AQ734</f>
        <v>0</v>
      </c>
      <c r="BA734" s="65" t="n">
        <f aca="false">AR734</f>
        <v>1</v>
      </c>
      <c r="BB734" s="65" t="n">
        <f aca="false">1</f>
        <v>1</v>
      </c>
      <c r="BC734" s="65" t="n">
        <f aca="false">IF(AV734=1,1,IF(AW734=1,2,IF(AX734=1,3,IF(AY734=1,4,IF(AZ734=1,5,IF(BA734=1,6,7))))))</f>
        <v>4</v>
      </c>
      <c r="BD734" s="65" t="n">
        <f aca="false">IF(AD734=1,CHOOSE('Historical Score'!$C$29,AV734,AW734,AX734,AY734,AZ734,BA734,BB734),0)</f>
        <v>0</v>
      </c>
      <c r="BE734" s="65" t="str">
        <f aca="false">IF(BD734=1,COUNTIF($BD$2:BD734,1),"")</f>
        <v/>
      </c>
    </row>
    <row r="735" customFormat="false" ht="15" hidden="false" customHeight="false" outlineLevel="0" collapsed="false">
      <c r="A735" s="65" t="s">
        <v>2420</v>
      </c>
      <c r="B735" s="65" t="s">
        <v>1208</v>
      </c>
      <c r="C735" s="65" t="s">
        <v>1208</v>
      </c>
      <c r="D735" s="65" t="s">
        <v>295</v>
      </c>
      <c r="E735" s="112" t="n">
        <v>46101</v>
      </c>
      <c r="F735" s="112" t="n">
        <v>46253</v>
      </c>
      <c r="G735" s="65" t="n">
        <v>3</v>
      </c>
      <c r="H735" s="65" t="s">
        <v>596</v>
      </c>
      <c r="I735" s="65" t="s">
        <v>597</v>
      </c>
      <c r="J735" s="65" t="s">
        <v>682</v>
      </c>
      <c r="K735" s="65" t="s">
        <v>581</v>
      </c>
      <c r="L735" s="65" t="s">
        <v>320</v>
      </c>
      <c r="M735" s="113" t="n">
        <v>1.49</v>
      </c>
      <c r="N735" s="114" t="n">
        <v>27500</v>
      </c>
      <c r="O735" s="114" t="n">
        <v>3850</v>
      </c>
      <c r="P735" s="114" t="n">
        <v>40975</v>
      </c>
      <c r="Q735" s="114" t="n">
        <v>14096.46</v>
      </c>
      <c r="R735" s="114" t="n">
        <v>26878.54</v>
      </c>
      <c r="S735" s="115" t="n">
        <v>0.344025869432581</v>
      </c>
      <c r="T735" s="65" t="n">
        <v>3.607</v>
      </c>
      <c r="U735" s="65" t="n">
        <v>67</v>
      </c>
      <c r="V735" s="65" t="n">
        <v>47795.52</v>
      </c>
      <c r="W735" s="115" t="n">
        <v>0.1637</v>
      </c>
      <c r="X735" s="112" t="n">
        <v>43574</v>
      </c>
      <c r="Y735" s="65" t="str">
        <f aca="false">IF(I735="","No SIC",IFERROR(VLOOKUP(I735,Ref!$A$2:$B$65,2,FALSE()),"Unclassified"))</f>
        <v>Insurance Agents &amp; Brokers</v>
      </c>
      <c r="Z735" s="65" t="str">
        <f aca="false">IF(T735="","",IF(T735&lt;12,"Daily","Weekly"))</f>
        <v>Daily</v>
      </c>
      <c r="AA735" s="65" t="n">
        <f aca="false">IF(T735="",0,IF(T735&lt;12,T735*Controls!$B$29,T735*5))</f>
        <v>78.109585</v>
      </c>
      <c r="AB735" s="65" t="n">
        <f aca="false">IF(E735="",0,NETWORKDAYS(E735,Controls!$B$36,Ref!$K$2:$K$42))</f>
        <v>111</v>
      </c>
      <c r="AC735" s="65" t="n">
        <f aca="false">IF(AND(AA735&gt;0,AB735&gt;=Controls!$B$39*AA735),1,0)</f>
        <v>1</v>
      </c>
      <c r="AD735" s="65" t="n">
        <f aca="false">IF(AND(E735&lt;&gt;"",E735&gt;=Controls!$B$37,E735&lt;=Controls!$B$38),1,0)</f>
        <v>1</v>
      </c>
      <c r="AE735" s="65" t="n">
        <f aca="false">IF(IFERROR(VLOOKUP(D735,Controls!$A$64:$E$74,2,FALSE()),"No")="Yes",1,0)</f>
        <v>0</v>
      </c>
      <c r="AF735" s="65" t="n">
        <f aca="false">IF(IFERROR(VLOOKUP(D735,Controls!$A$64:$E$74,3,FALSE()),"No")="Yes",1,0)</f>
        <v>0</v>
      </c>
      <c r="AG735" s="65" t="n">
        <f aca="false">IF(IFERROR(VLOOKUP(D735,Controls!$A$64:$E$74,4,FALSE()),"No")="Yes",1,0)</f>
        <v>0</v>
      </c>
      <c r="AH735" s="65" t="n">
        <f aca="false">IF(IFERROR(VLOOKUP(D735,Controls!$A$64:$E$74,5,FALSE()),"No")="Yes",1,0)</f>
        <v>1</v>
      </c>
      <c r="AI735" s="65" t="n">
        <f aca="false">IF(ISNUMBER(MATCH(D735,Controls!$A$64:$A$74,0)),1,0)</f>
        <v>1</v>
      </c>
      <c r="AJ735" s="65" t="n">
        <f aca="false">Q735-N735</f>
        <v>-13403.54</v>
      </c>
      <c r="AK735" s="65" t="n">
        <f aca="false">IF(AE735=1,MAX(0,N735-Q735),0)</f>
        <v>0</v>
      </c>
      <c r="AL735" s="65" t="n">
        <f aca="false">IF(OR(V735="",V735=0),0,N735/V735)</f>
        <v>0.575367733210142</v>
      </c>
      <c r="AM735" s="65" t="n">
        <f aca="false">IF(OR(V735="",V735=0),0,1)</f>
        <v>1</v>
      </c>
      <c r="AN735" s="65" t="n">
        <f aca="false">IF(OR(E735="",F735=""),0,NETWORKDAYS(E735,F735,Ref!$K$2:$K$42))</f>
        <v>107</v>
      </c>
      <c r="AO735" s="65" t="n">
        <f aca="false">IF(L735="Renewal",1,0)</f>
        <v>1</v>
      </c>
      <c r="AP735" s="65" t="n">
        <f aca="false">AC735*AD735</f>
        <v>1</v>
      </c>
      <c r="AQ735" s="65" t="n">
        <f aca="false">IF(AND(G735&lt;&gt;"",'Historical Score'!$C$6&lt;&gt;""),IF(G735='Historical Score'!$C$6,1,0),0)</f>
        <v>0</v>
      </c>
      <c r="AR735" s="65" t="n">
        <f aca="false">IF(AND(L735&lt;&gt;"",'Historical Score'!$C$5&lt;&gt;""),IF(L735='Historical Score'!$C$5,1,0),0)</f>
        <v>0</v>
      </c>
      <c r="AS735" s="65" t="n">
        <f aca="false">IF(AND(Y735&lt;&gt;"",'Historical Score'!$C$7&lt;&gt;""),IF(Y735='Historical Score'!$C$7,1,0),0)</f>
        <v>0</v>
      </c>
      <c r="AT735" s="65" t="n">
        <f aca="false">IF(AND(K735&lt;&gt;"",'Historical Score'!$C$8&lt;&gt;""),IF(K735='Historical Score'!$C$8,1,0),0)</f>
        <v>0</v>
      </c>
      <c r="AU735" s="65" t="n">
        <f aca="false">IF(AND(J735&lt;&gt;"",'Historical Score'!$C$9&lt;&gt;""),IF(J735='Historical Score'!$C$9,1,0),0)</f>
        <v>0</v>
      </c>
      <c r="AV735" s="65" t="n">
        <f aca="false">AR735*AS735*AQ735</f>
        <v>0</v>
      </c>
      <c r="AW735" s="65" t="n">
        <f aca="false">AR735*AT735*AQ735</f>
        <v>0</v>
      </c>
      <c r="AX735" s="65" t="n">
        <f aca="false">AR735*AS735</f>
        <v>0</v>
      </c>
      <c r="AY735" s="65" t="n">
        <f aca="false">AR735*AT735</f>
        <v>0</v>
      </c>
      <c r="AZ735" s="65" t="n">
        <f aca="false">AR735*AQ735</f>
        <v>0</v>
      </c>
      <c r="BA735" s="65" t="n">
        <f aca="false">AR735</f>
        <v>0</v>
      </c>
      <c r="BB735" s="65" t="n">
        <f aca="false">1</f>
        <v>1</v>
      </c>
      <c r="BC735" s="65" t="n">
        <f aca="false">IF(AV735=1,1,IF(AW735=1,2,IF(AX735=1,3,IF(AY735=1,4,IF(AZ735=1,5,IF(BA735=1,6,7))))))</f>
        <v>7</v>
      </c>
      <c r="BD735" s="65" t="n">
        <f aca="false">IF(AD735=1,CHOOSE('Historical Score'!$C$29,AV735,AW735,AX735,AY735,AZ735,BA735,BB735),0)</f>
        <v>0</v>
      </c>
      <c r="BE735" s="65" t="str">
        <f aca="false">IF(BD735=1,COUNTIF($BD$2:BD735,1),"")</f>
        <v/>
      </c>
    </row>
    <row r="736" customFormat="false" ht="15" hidden="false" customHeight="false" outlineLevel="0" collapsed="false">
      <c r="A736" s="65" t="s">
        <v>2421</v>
      </c>
      <c r="B736" s="65" t="s">
        <v>670</v>
      </c>
      <c r="C736" s="65" t="s">
        <v>670</v>
      </c>
      <c r="D736" s="65" t="s">
        <v>959</v>
      </c>
      <c r="E736" s="112" t="n">
        <v>46101</v>
      </c>
      <c r="F736" s="112" t="n">
        <v>46253</v>
      </c>
      <c r="G736" s="65" t="n">
        <v>4</v>
      </c>
      <c r="H736" s="65" t="s">
        <v>409</v>
      </c>
      <c r="I736" s="65" t="s">
        <v>342</v>
      </c>
      <c r="J736" s="65" t="s">
        <v>671</v>
      </c>
      <c r="K736" s="65" t="s">
        <v>672</v>
      </c>
      <c r="L736" s="65" t="s">
        <v>320</v>
      </c>
      <c r="M736" s="113" t="n">
        <v>1.45</v>
      </c>
      <c r="N736" s="114" t="n">
        <v>27000</v>
      </c>
      <c r="O736" s="114" t="n">
        <v>3240</v>
      </c>
      <c r="P736" s="114" t="n">
        <v>39150</v>
      </c>
      <c r="Q736" s="114" t="n">
        <v>14777</v>
      </c>
      <c r="R736" s="114" t="n">
        <v>24373</v>
      </c>
      <c r="S736" s="115" t="n">
        <v>0.377445721583653</v>
      </c>
      <c r="T736" s="65" t="n">
        <v>4.59</v>
      </c>
      <c r="U736" s="65" t="n">
        <v>4</v>
      </c>
      <c r="V736" s="65" t="n">
        <v>82755.78</v>
      </c>
      <c r="W736" s="115" t="n">
        <v>0.1035</v>
      </c>
      <c r="X736" s="112" t="n">
        <v>44378</v>
      </c>
      <c r="Y736" s="65" t="str">
        <f aca="false">IF(I736="","No SIC",IFERROR(VLOOKUP(I736,Ref!$A$2:$B$65,2,FALSE()),"Unclassified"))</f>
        <v>Eating &amp; Drinking Places</v>
      </c>
      <c r="Z736" s="65" t="str">
        <f aca="false">IF(T736="","",IF(T736&lt;12,"Daily","Weekly"))</f>
        <v>Daily</v>
      </c>
      <c r="AA736" s="65" t="n">
        <f aca="false">IF(T736="",0,IF(T736&lt;12,T736*Controls!$B$29,T736*5))</f>
        <v>99.39645</v>
      </c>
      <c r="AB736" s="65" t="n">
        <f aca="false">IF(E736="",0,NETWORKDAYS(E736,Controls!$B$36,Ref!$K$2:$K$42))</f>
        <v>111</v>
      </c>
      <c r="AC736" s="65" t="n">
        <f aca="false">IF(AND(AA736&gt;0,AB736&gt;=Controls!$B$39*AA736),1,0)</f>
        <v>0</v>
      </c>
      <c r="AD736" s="65" t="n">
        <f aca="false">IF(AND(E736&lt;&gt;"",E736&gt;=Controls!$B$37,E736&lt;=Controls!$B$38),1,0)</f>
        <v>1</v>
      </c>
      <c r="AE736" s="65" t="n">
        <f aca="false">IF(IFERROR(VLOOKUP(D736,Controls!$A$64:$E$74,2,FALSE()),"No")="Yes",1,0)</f>
        <v>0</v>
      </c>
      <c r="AF736" s="65" t="n">
        <f aca="false">IF(IFERROR(VLOOKUP(D736,Controls!$A$64:$E$74,3,FALSE()),"No")="Yes",1,0)</f>
        <v>0</v>
      </c>
      <c r="AG736" s="65" t="n">
        <f aca="false">IF(IFERROR(VLOOKUP(D736,Controls!$A$64:$E$74,4,FALSE()),"No")="Yes",1,0)</f>
        <v>0</v>
      </c>
      <c r="AH736" s="65" t="n">
        <f aca="false">IF(IFERROR(VLOOKUP(D736,Controls!$A$64:$E$74,5,FALSE()),"No")="Yes",1,0)</f>
        <v>0</v>
      </c>
      <c r="AI736" s="65" t="n">
        <f aca="false">IF(ISNUMBER(MATCH(D736,Controls!$A$64:$A$74,0)),1,0)</f>
        <v>1</v>
      </c>
      <c r="AJ736" s="65" t="n">
        <f aca="false">Q736-N736</f>
        <v>-12223</v>
      </c>
      <c r="AK736" s="65" t="n">
        <f aca="false">IF(AE736=1,MAX(0,N736-Q736),0)</f>
        <v>0</v>
      </c>
      <c r="AL736" s="65" t="n">
        <f aca="false">IF(OR(V736="",V736=0),0,N736/V736)</f>
        <v>0.326261198915653</v>
      </c>
      <c r="AM736" s="65" t="n">
        <f aca="false">IF(OR(V736="",V736=0),0,1)</f>
        <v>1</v>
      </c>
      <c r="AN736" s="65" t="n">
        <f aca="false">IF(OR(E736="",F736=""),0,NETWORKDAYS(E736,F736,Ref!$K$2:$K$42))</f>
        <v>107</v>
      </c>
      <c r="AO736" s="65" t="n">
        <f aca="false">IF(L736="Renewal",1,0)</f>
        <v>1</v>
      </c>
      <c r="AP736" s="65" t="n">
        <f aca="false">AC736*AD736</f>
        <v>0</v>
      </c>
      <c r="AQ736" s="65" t="n">
        <f aca="false">IF(AND(G736&lt;&gt;"",'Historical Score'!$C$6&lt;&gt;""),IF(G736='Historical Score'!$C$6,1,0),0)</f>
        <v>0</v>
      </c>
      <c r="AR736" s="65" t="n">
        <f aca="false">IF(AND(L736&lt;&gt;"",'Historical Score'!$C$5&lt;&gt;""),IF(L736='Historical Score'!$C$5,1,0),0)</f>
        <v>0</v>
      </c>
      <c r="AS736" s="65" t="n">
        <f aca="false">IF(AND(Y736&lt;&gt;"",'Historical Score'!$C$7&lt;&gt;""),IF(Y736='Historical Score'!$C$7,1,0),0)</f>
        <v>0</v>
      </c>
      <c r="AT736" s="65" t="n">
        <f aca="false">IF(AND(K736&lt;&gt;"",'Historical Score'!$C$8&lt;&gt;""),IF(K736='Historical Score'!$C$8,1,0),0)</f>
        <v>0</v>
      </c>
      <c r="AU736" s="65" t="n">
        <f aca="false">IF(AND(J736&lt;&gt;"",'Historical Score'!$C$9&lt;&gt;""),IF(J736='Historical Score'!$C$9,1,0),0)</f>
        <v>0</v>
      </c>
      <c r="AV736" s="65" t="n">
        <f aca="false">AR736*AS736*AQ736</f>
        <v>0</v>
      </c>
      <c r="AW736" s="65" t="n">
        <f aca="false">AR736*AT736*AQ736</f>
        <v>0</v>
      </c>
      <c r="AX736" s="65" t="n">
        <f aca="false">AR736*AS736</f>
        <v>0</v>
      </c>
      <c r="AY736" s="65" t="n">
        <f aca="false">AR736*AT736</f>
        <v>0</v>
      </c>
      <c r="AZ736" s="65" t="n">
        <f aca="false">AR736*AQ736</f>
        <v>0</v>
      </c>
      <c r="BA736" s="65" t="n">
        <f aca="false">AR736</f>
        <v>0</v>
      </c>
      <c r="BB736" s="65" t="n">
        <f aca="false">1</f>
        <v>1</v>
      </c>
      <c r="BC736" s="65" t="n">
        <f aca="false">IF(AV736=1,1,IF(AW736=1,2,IF(AX736=1,3,IF(AY736=1,4,IF(AZ736=1,5,IF(BA736=1,6,7))))))</f>
        <v>7</v>
      </c>
      <c r="BD736" s="65" t="n">
        <f aca="false">IF(AD736=1,CHOOSE('Historical Score'!$C$29,AV736,AW736,AX736,AY736,AZ736,BA736,BB736),0)</f>
        <v>0</v>
      </c>
      <c r="BE736" s="65" t="str">
        <f aca="false">IF(BD736=1,COUNTIF($BD$2:BD736,1),"")</f>
        <v/>
      </c>
    </row>
    <row r="737" customFormat="false" ht="15" hidden="false" customHeight="false" outlineLevel="0" collapsed="false">
      <c r="A737" s="65" t="s">
        <v>2422</v>
      </c>
      <c r="B737" s="65" t="s">
        <v>2423</v>
      </c>
      <c r="C737" s="65" t="s">
        <v>2424</v>
      </c>
      <c r="D737" s="65" t="s">
        <v>295</v>
      </c>
      <c r="E737" s="112" t="n">
        <v>46104</v>
      </c>
      <c r="F737" s="112" t="n">
        <v>46248</v>
      </c>
      <c r="G737" s="65" t="n">
        <v>2</v>
      </c>
      <c r="H737" s="65" t="s">
        <v>2425</v>
      </c>
      <c r="I737" s="65" t="s">
        <v>488</v>
      </c>
      <c r="J737" s="65" t="s">
        <v>350</v>
      </c>
      <c r="K737" s="65" t="s">
        <v>961</v>
      </c>
      <c r="L737" s="65" t="s">
        <v>64</v>
      </c>
      <c r="M737" s="113" t="n">
        <v>1.4</v>
      </c>
      <c r="N737" s="114" t="n">
        <v>300000</v>
      </c>
      <c r="O737" s="114" t="n">
        <v>39000</v>
      </c>
      <c r="P737" s="114" t="n">
        <v>420000</v>
      </c>
      <c r="Q737" s="114" t="n">
        <v>233313.2</v>
      </c>
      <c r="R737" s="114" t="n">
        <v>186686.8</v>
      </c>
      <c r="S737" s="115" t="n">
        <v>0.555507619047619</v>
      </c>
      <c r="T737" s="65" t="n">
        <v>36</v>
      </c>
      <c r="U737" s="65" t="n">
        <v>1</v>
      </c>
      <c r="V737" s="65" t="n">
        <v>1300604.97</v>
      </c>
      <c r="W737" s="115" t="n">
        <v>0.039</v>
      </c>
      <c r="X737" s="112" t="n">
        <v>42628</v>
      </c>
      <c r="Y737" s="65" t="str">
        <f aca="false">IF(I737="","No SIC",IFERROR(VLOOKUP(I737,Ref!$A$2:$B$65,2,FALSE()),"Unclassified"))</f>
        <v>Food &amp; Kindred Products</v>
      </c>
      <c r="Z737" s="65" t="str">
        <f aca="false">IF(T737="","",IF(T737&lt;12,"Daily","Weekly"))</f>
        <v>Weekly</v>
      </c>
      <c r="AA737" s="65" t="n">
        <f aca="false">IF(T737="",0,IF(T737&lt;12,T737*Controls!$B$29,T737*5))</f>
        <v>180</v>
      </c>
      <c r="AB737" s="65" t="n">
        <f aca="false">IF(E737="",0,NETWORKDAYS(E737,Controls!$B$36,Ref!$K$2:$K$42))</f>
        <v>110</v>
      </c>
      <c r="AC737" s="65" t="n">
        <f aca="false">IF(AND(AA737&gt;0,AB737&gt;=Controls!$B$39*AA737),1,0)</f>
        <v>0</v>
      </c>
      <c r="AD737" s="65" t="n">
        <f aca="false">IF(AND(E737&lt;&gt;"",E737&gt;=Controls!$B$37,E737&lt;=Controls!$B$38),1,0)</f>
        <v>1</v>
      </c>
      <c r="AE737" s="65" t="n">
        <f aca="false">IF(IFERROR(VLOOKUP(D737,Controls!$A$64:$E$74,2,FALSE()),"No")="Yes",1,0)</f>
        <v>0</v>
      </c>
      <c r="AF737" s="65" t="n">
        <f aca="false">IF(IFERROR(VLOOKUP(D737,Controls!$A$64:$E$74,3,FALSE()),"No")="Yes",1,0)</f>
        <v>0</v>
      </c>
      <c r="AG737" s="65" t="n">
        <f aca="false">IF(IFERROR(VLOOKUP(D737,Controls!$A$64:$E$74,4,FALSE()),"No")="Yes",1,0)</f>
        <v>0</v>
      </c>
      <c r="AH737" s="65" t="n">
        <f aca="false">IF(IFERROR(VLOOKUP(D737,Controls!$A$64:$E$74,5,FALSE()),"No")="Yes",1,0)</f>
        <v>1</v>
      </c>
      <c r="AI737" s="65" t="n">
        <f aca="false">IF(ISNUMBER(MATCH(D737,Controls!$A$64:$A$74,0)),1,0)</f>
        <v>1</v>
      </c>
      <c r="AJ737" s="65" t="n">
        <f aca="false">Q737-N737</f>
        <v>-66686.8</v>
      </c>
      <c r="AK737" s="65" t="n">
        <f aca="false">IF(AE737=1,MAX(0,N737-Q737),0)</f>
        <v>0</v>
      </c>
      <c r="AL737" s="65" t="n">
        <f aca="false">IF(OR(V737="",V737=0),0,N737/V737)</f>
        <v>0.230661889597423</v>
      </c>
      <c r="AM737" s="65" t="n">
        <f aca="false">IF(OR(V737="",V737=0),0,1)</f>
        <v>1</v>
      </c>
      <c r="AN737" s="65" t="n">
        <f aca="false">IF(OR(E737="",F737=""),0,NETWORKDAYS(E737,F737,Ref!$K$2:$K$42))</f>
        <v>103</v>
      </c>
      <c r="AO737" s="65" t="n">
        <f aca="false">IF(L737="Renewal",1,0)</f>
        <v>0</v>
      </c>
      <c r="AP737" s="65" t="n">
        <f aca="false">AC737*AD737</f>
        <v>0</v>
      </c>
      <c r="AQ737" s="65" t="n">
        <f aca="false">IF(AND(G737&lt;&gt;"",'Historical Score'!$C$6&lt;&gt;""),IF(G737='Historical Score'!$C$6,1,0),0)</f>
        <v>1</v>
      </c>
      <c r="AR737" s="65" t="n">
        <f aca="false">IF(AND(L737&lt;&gt;"",'Historical Score'!$C$5&lt;&gt;""),IF(L737='Historical Score'!$C$5,1,0),0)</f>
        <v>1</v>
      </c>
      <c r="AS737" s="65" t="n">
        <f aca="false">IF(AND(Y737&lt;&gt;"",'Historical Score'!$C$7&lt;&gt;""),IF(Y737='Historical Score'!$C$7,1,0),0)</f>
        <v>0</v>
      </c>
      <c r="AT737" s="65" t="n">
        <f aca="false">IF(AND(K737&lt;&gt;"",'Historical Score'!$C$8&lt;&gt;""),IF(K737='Historical Score'!$C$8,1,0),0)</f>
        <v>0</v>
      </c>
      <c r="AU737" s="65" t="n">
        <f aca="false">IF(AND(J737&lt;&gt;"",'Historical Score'!$C$9&lt;&gt;""),IF(J737='Historical Score'!$C$9,1,0),0)</f>
        <v>0</v>
      </c>
      <c r="AV737" s="65" t="n">
        <f aca="false">AR737*AS737*AQ737</f>
        <v>0</v>
      </c>
      <c r="AW737" s="65" t="n">
        <f aca="false">AR737*AT737*AQ737</f>
        <v>0</v>
      </c>
      <c r="AX737" s="65" t="n">
        <f aca="false">AR737*AS737</f>
        <v>0</v>
      </c>
      <c r="AY737" s="65" t="n">
        <f aca="false">AR737*AT737</f>
        <v>0</v>
      </c>
      <c r="AZ737" s="65" t="n">
        <f aca="false">AR737*AQ737</f>
        <v>1</v>
      </c>
      <c r="BA737" s="65" t="n">
        <f aca="false">AR737</f>
        <v>1</v>
      </c>
      <c r="BB737" s="65" t="n">
        <f aca="false">1</f>
        <v>1</v>
      </c>
      <c r="BC737" s="65" t="n">
        <f aca="false">IF(AV737=1,1,IF(AW737=1,2,IF(AX737=1,3,IF(AY737=1,4,IF(AZ737=1,5,IF(BA737=1,6,7))))))</f>
        <v>5</v>
      </c>
      <c r="BD737" s="65" t="n">
        <f aca="false">IF(AD737=1,CHOOSE('Historical Score'!$C$29,AV737,AW737,AX737,AY737,AZ737,BA737,BB737),0)</f>
        <v>0</v>
      </c>
      <c r="BE737" s="65" t="str">
        <f aca="false">IF(BD737=1,COUNTIF($BD$2:BD737,1),"")</f>
        <v/>
      </c>
    </row>
    <row r="738" customFormat="false" ht="15" hidden="false" customHeight="false" outlineLevel="0" collapsed="false">
      <c r="A738" s="65" t="s">
        <v>2426</v>
      </c>
      <c r="B738" s="65" t="s">
        <v>2427</v>
      </c>
      <c r="C738" s="65" t="s">
        <v>2427</v>
      </c>
      <c r="D738" s="65" t="s">
        <v>340</v>
      </c>
      <c r="E738" s="112" t="n">
        <v>46104</v>
      </c>
      <c r="F738" s="112" t="n">
        <v>46181</v>
      </c>
      <c r="G738" s="65" t="n">
        <v>3</v>
      </c>
      <c r="H738" s="65" t="s">
        <v>748</v>
      </c>
      <c r="I738" s="65" t="s">
        <v>619</v>
      </c>
      <c r="J738" s="65" t="s">
        <v>350</v>
      </c>
      <c r="K738" s="65" t="s">
        <v>2428</v>
      </c>
      <c r="L738" s="65" t="s">
        <v>64</v>
      </c>
      <c r="M738" s="113" t="n">
        <v>1.38</v>
      </c>
      <c r="N738" s="114" t="n">
        <v>15000</v>
      </c>
      <c r="O738" s="114" t="n">
        <v>1575</v>
      </c>
      <c r="P738" s="114" t="n">
        <v>20700</v>
      </c>
      <c r="Q738" s="114" t="n">
        <v>4924.52</v>
      </c>
      <c r="R738" s="114" t="n">
        <v>15775.48</v>
      </c>
      <c r="S738" s="115" t="n">
        <v>0.237899516908213</v>
      </c>
      <c r="T738" s="65" t="n">
        <v>3.279</v>
      </c>
      <c r="U738" s="65" t="n">
        <v>25</v>
      </c>
      <c r="V738" s="65" t="n">
        <v>177014.65</v>
      </c>
      <c r="W738" s="115"/>
      <c r="X738" s="112" t="n">
        <v>42416</v>
      </c>
      <c r="Y738" s="65" t="str">
        <f aca="false">IF(I738="","No SIC",IFERROR(VLOOKUP(I738,Ref!$A$2:$B$65,2,FALSE()),"Unclassified"))</f>
        <v>Miscellaneous Retail</v>
      </c>
      <c r="Z738" s="65" t="str">
        <f aca="false">IF(T738="","",IF(T738&lt;12,"Daily","Weekly"))</f>
        <v>Daily</v>
      </c>
      <c r="AA738" s="65" t="n">
        <f aca="false">IF(T738="",0,IF(T738&lt;12,T738*Controls!$B$29,T738*5))</f>
        <v>71.006745</v>
      </c>
      <c r="AB738" s="65" t="n">
        <f aca="false">IF(E738="",0,NETWORKDAYS(E738,Controls!$B$36,Ref!$K$2:$K$42))</f>
        <v>110</v>
      </c>
      <c r="AC738" s="65" t="n">
        <f aca="false">IF(AND(AA738&gt;0,AB738&gt;=Controls!$B$39*AA738),1,0)</f>
        <v>1</v>
      </c>
      <c r="AD738" s="65" t="n">
        <f aca="false">IF(AND(E738&lt;&gt;"",E738&gt;=Controls!$B$37,E738&lt;=Controls!$B$38),1,0)</f>
        <v>1</v>
      </c>
      <c r="AE738" s="65" t="n">
        <f aca="false">IF(IFERROR(VLOOKUP(D738,Controls!$A$64:$E$74,2,FALSE()),"No")="Yes",1,0)</f>
        <v>1</v>
      </c>
      <c r="AF738" s="65" t="n">
        <f aca="false">IF(IFERROR(VLOOKUP(D738,Controls!$A$64:$E$74,3,FALSE()),"No")="Yes",1,0)</f>
        <v>0</v>
      </c>
      <c r="AG738" s="65" t="n">
        <f aca="false">IF(IFERROR(VLOOKUP(D738,Controls!$A$64:$E$74,4,FALSE()),"No")="Yes",1,0)</f>
        <v>0</v>
      </c>
      <c r="AH738" s="65" t="n">
        <f aca="false">IF(IFERROR(VLOOKUP(D738,Controls!$A$64:$E$74,5,FALSE()),"No")="Yes",1,0)</f>
        <v>0</v>
      </c>
      <c r="AI738" s="65" t="n">
        <f aca="false">IF(ISNUMBER(MATCH(D738,Controls!$A$64:$A$74,0)),1,0)</f>
        <v>1</v>
      </c>
      <c r="AJ738" s="65" t="n">
        <f aca="false">Q738-N738</f>
        <v>-10075.48</v>
      </c>
      <c r="AK738" s="65" t="n">
        <f aca="false">IF(AE738=1,MAX(0,N738-Q738),0)</f>
        <v>10075.48</v>
      </c>
      <c r="AL738" s="65" t="n">
        <f aca="false">IF(OR(V738="",V738=0),0,N738/V738)</f>
        <v>0.0847387490244452</v>
      </c>
      <c r="AM738" s="65" t="n">
        <f aca="false">IF(OR(V738="",V738=0),0,1)</f>
        <v>1</v>
      </c>
      <c r="AN738" s="65" t="n">
        <f aca="false">IF(OR(E738="",F738=""),0,NETWORKDAYS(E738,F738,Ref!$K$2:$K$42))</f>
        <v>55</v>
      </c>
      <c r="AO738" s="65" t="n">
        <f aca="false">IF(L738="Renewal",1,0)</f>
        <v>0</v>
      </c>
      <c r="AP738" s="65" t="n">
        <f aca="false">AC738*AD738</f>
        <v>1</v>
      </c>
      <c r="AQ738" s="65" t="n">
        <f aca="false">IF(AND(G738&lt;&gt;"",'Historical Score'!$C$6&lt;&gt;""),IF(G738='Historical Score'!$C$6,1,0),0)</f>
        <v>0</v>
      </c>
      <c r="AR738" s="65" t="n">
        <f aca="false">IF(AND(L738&lt;&gt;"",'Historical Score'!$C$5&lt;&gt;""),IF(L738='Historical Score'!$C$5,1,0),0)</f>
        <v>1</v>
      </c>
      <c r="AS738" s="65" t="n">
        <f aca="false">IF(AND(Y738&lt;&gt;"",'Historical Score'!$C$7&lt;&gt;""),IF(Y738='Historical Score'!$C$7,1,0),0)</f>
        <v>0</v>
      </c>
      <c r="AT738" s="65" t="n">
        <f aca="false">IF(AND(K738&lt;&gt;"",'Historical Score'!$C$8&lt;&gt;""),IF(K738='Historical Score'!$C$8,1,0),0)</f>
        <v>0</v>
      </c>
      <c r="AU738" s="65" t="n">
        <f aca="false">IF(AND(J738&lt;&gt;"",'Historical Score'!$C$9&lt;&gt;""),IF(J738='Historical Score'!$C$9,1,0),0)</f>
        <v>0</v>
      </c>
      <c r="AV738" s="65" t="n">
        <f aca="false">AR738*AS738*AQ738</f>
        <v>0</v>
      </c>
      <c r="AW738" s="65" t="n">
        <f aca="false">AR738*AT738*AQ738</f>
        <v>0</v>
      </c>
      <c r="AX738" s="65" t="n">
        <f aca="false">AR738*AS738</f>
        <v>0</v>
      </c>
      <c r="AY738" s="65" t="n">
        <f aca="false">AR738*AT738</f>
        <v>0</v>
      </c>
      <c r="AZ738" s="65" t="n">
        <f aca="false">AR738*AQ738</f>
        <v>0</v>
      </c>
      <c r="BA738" s="65" t="n">
        <f aca="false">AR738</f>
        <v>1</v>
      </c>
      <c r="BB738" s="65" t="n">
        <f aca="false">1</f>
        <v>1</v>
      </c>
      <c r="BC738" s="65" t="n">
        <f aca="false">IF(AV738=1,1,IF(AW738=1,2,IF(AX738=1,3,IF(AY738=1,4,IF(AZ738=1,5,IF(BA738=1,6,7))))))</f>
        <v>6</v>
      </c>
      <c r="BD738" s="65" t="n">
        <f aca="false">IF(AD738=1,CHOOSE('Historical Score'!$C$29,AV738,AW738,AX738,AY738,AZ738,BA738,BB738),0)</f>
        <v>0</v>
      </c>
      <c r="BE738" s="65" t="str">
        <f aca="false">IF(BD738=1,COUNTIF($BD$2:BD738,1),"")</f>
        <v/>
      </c>
    </row>
    <row r="739" customFormat="false" ht="15" hidden="false" customHeight="false" outlineLevel="0" collapsed="false">
      <c r="A739" s="65" t="s">
        <v>2429</v>
      </c>
      <c r="B739" s="65" t="s">
        <v>2430</v>
      </c>
      <c r="C739" s="65" t="s">
        <v>2431</v>
      </c>
      <c r="D739" s="65" t="s">
        <v>371</v>
      </c>
      <c r="E739" s="112" t="n">
        <v>46104</v>
      </c>
      <c r="F739" s="112" t="n">
        <v>46140</v>
      </c>
      <c r="G739" s="65" t="n">
        <v>1</v>
      </c>
      <c r="H739" s="65" t="s">
        <v>678</v>
      </c>
      <c r="I739" s="65" t="s">
        <v>679</v>
      </c>
      <c r="J739" s="65" t="s">
        <v>61</v>
      </c>
      <c r="K739" s="65" t="s">
        <v>2432</v>
      </c>
      <c r="L739" s="65" t="s">
        <v>64</v>
      </c>
      <c r="M739" s="113" t="n">
        <v>1.3899888</v>
      </c>
      <c r="N739" s="114" t="n">
        <v>50000</v>
      </c>
      <c r="O739" s="114" t="n">
        <v>7000</v>
      </c>
      <c r="P739" s="114" t="n">
        <v>69499.44</v>
      </c>
      <c r="Q739" s="114" t="n">
        <v>69499.44</v>
      </c>
      <c r="R739" s="114" t="n">
        <v>0</v>
      </c>
      <c r="S739" s="115" t="n">
        <v>1</v>
      </c>
      <c r="T739" s="65" t="n">
        <v>35</v>
      </c>
      <c r="U739" s="65" t="n">
        <v>0</v>
      </c>
      <c r="V739" s="65" t="n">
        <v>56029.2</v>
      </c>
      <c r="W739" s="115" t="n">
        <v>0.152</v>
      </c>
      <c r="X739" s="112" t="n">
        <v>45444</v>
      </c>
      <c r="Y739" s="65" t="str">
        <f aca="false">IF(I739="","No SIC",IFERROR(VLOOKUP(I739,Ref!$A$2:$B$65,2,FALSE()),"Unclassified"))</f>
        <v>Amusement &amp; Recreation Services</v>
      </c>
      <c r="Z739" s="65" t="str">
        <f aca="false">IF(T739="","",IF(T739&lt;12,"Daily","Weekly"))</f>
        <v>Weekly</v>
      </c>
      <c r="AA739" s="65" t="n">
        <f aca="false">IF(T739="",0,IF(T739&lt;12,T739*Controls!$B$29,T739*5))</f>
        <v>175</v>
      </c>
      <c r="AB739" s="65" t="n">
        <f aca="false">IF(E739="",0,NETWORKDAYS(E739,Controls!$B$36,Ref!$K$2:$K$42))</f>
        <v>110</v>
      </c>
      <c r="AC739" s="65" t="n">
        <f aca="false">IF(AND(AA739&gt;0,AB739&gt;=Controls!$B$39*AA739),1,0)</f>
        <v>0</v>
      </c>
      <c r="AD739" s="65" t="n">
        <f aca="false">IF(AND(E739&lt;&gt;"",E739&gt;=Controls!$B$37,E739&lt;=Controls!$B$38),1,0)</f>
        <v>1</v>
      </c>
      <c r="AE739" s="65" t="n">
        <f aca="false">IF(IFERROR(VLOOKUP(D739,Controls!$A$64:$E$74,2,FALSE()),"No")="Yes",1,0)</f>
        <v>0</v>
      </c>
      <c r="AF739" s="65" t="n">
        <f aca="false">IF(IFERROR(VLOOKUP(D739,Controls!$A$64:$E$74,3,FALSE()),"No")="Yes",1,0)</f>
        <v>1</v>
      </c>
      <c r="AG739" s="65" t="n">
        <f aca="false">IF(IFERROR(VLOOKUP(D739,Controls!$A$64:$E$74,4,FALSE()),"No")="Yes",1,0)</f>
        <v>1</v>
      </c>
      <c r="AH739" s="65" t="n">
        <f aca="false">IF(IFERROR(VLOOKUP(D739,Controls!$A$64:$E$74,5,FALSE()),"No")="Yes",1,0)</f>
        <v>0</v>
      </c>
      <c r="AI739" s="65" t="n">
        <f aca="false">IF(ISNUMBER(MATCH(D739,Controls!$A$64:$A$74,0)),1,0)</f>
        <v>1</v>
      </c>
      <c r="AJ739" s="65" t="n">
        <f aca="false">Q739-N739</f>
        <v>19499.44</v>
      </c>
      <c r="AK739" s="65" t="n">
        <f aca="false">IF(AE739=1,MAX(0,N739-Q739),0)</f>
        <v>0</v>
      </c>
      <c r="AL739" s="65" t="n">
        <f aca="false">IF(OR(V739="",V739=0),0,N739/V739)</f>
        <v>0.892391824263063</v>
      </c>
      <c r="AM739" s="65" t="n">
        <f aca="false">IF(OR(V739="",V739=0),0,1)</f>
        <v>1</v>
      </c>
      <c r="AN739" s="65" t="n">
        <f aca="false">IF(OR(E739="",F739=""),0,NETWORKDAYS(E739,F739,Ref!$K$2:$K$42))</f>
        <v>27</v>
      </c>
      <c r="AO739" s="65" t="n">
        <f aca="false">IF(L739="Renewal",1,0)</f>
        <v>0</v>
      </c>
      <c r="AP739" s="65" t="n">
        <f aca="false">AC739*AD739</f>
        <v>0</v>
      </c>
      <c r="AQ739" s="65" t="n">
        <f aca="false">IF(AND(G739&lt;&gt;"",'Historical Score'!$C$6&lt;&gt;""),IF(G739='Historical Score'!$C$6,1,0),0)</f>
        <v>0</v>
      </c>
      <c r="AR739" s="65" t="n">
        <f aca="false">IF(AND(L739&lt;&gt;"",'Historical Score'!$C$5&lt;&gt;""),IF(L739='Historical Score'!$C$5,1,0),0)</f>
        <v>1</v>
      </c>
      <c r="AS739" s="65" t="n">
        <f aca="false">IF(AND(Y739&lt;&gt;"",'Historical Score'!$C$7&lt;&gt;""),IF(Y739='Historical Score'!$C$7,1,0),0)</f>
        <v>0</v>
      </c>
      <c r="AT739" s="65" t="n">
        <f aca="false">IF(AND(K739&lt;&gt;"",'Historical Score'!$C$8&lt;&gt;""),IF(K739='Historical Score'!$C$8,1,0),0)</f>
        <v>0</v>
      </c>
      <c r="AU739" s="65" t="n">
        <f aca="false">IF(AND(J739&lt;&gt;"",'Historical Score'!$C$9&lt;&gt;""),IF(J739='Historical Score'!$C$9,1,0),0)</f>
        <v>1</v>
      </c>
      <c r="AV739" s="65" t="n">
        <f aca="false">AR739*AS739*AQ739</f>
        <v>0</v>
      </c>
      <c r="AW739" s="65" t="n">
        <f aca="false">AR739*AT739*AQ739</f>
        <v>0</v>
      </c>
      <c r="AX739" s="65" t="n">
        <f aca="false">AR739*AS739</f>
        <v>0</v>
      </c>
      <c r="AY739" s="65" t="n">
        <f aca="false">AR739*AT739</f>
        <v>0</v>
      </c>
      <c r="AZ739" s="65" t="n">
        <f aca="false">AR739*AQ739</f>
        <v>0</v>
      </c>
      <c r="BA739" s="65" t="n">
        <f aca="false">AR739</f>
        <v>1</v>
      </c>
      <c r="BB739" s="65" t="n">
        <f aca="false">1</f>
        <v>1</v>
      </c>
      <c r="BC739" s="65" t="n">
        <f aca="false">IF(AV739=1,1,IF(AW739=1,2,IF(AX739=1,3,IF(AY739=1,4,IF(AZ739=1,5,IF(BA739=1,6,7))))))</f>
        <v>6</v>
      </c>
      <c r="BD739" s="65" t="n">
        <f aca="false">IF(AD739=1,CHOOSE('Historical Score'!$C$29,AV739,AW739,AX739,AY739,AZ739,BA739,BB739),0)</f>
        <v>0</v>
      </c>
      <c r="BE739" s="65" t="str">
        <f aca="false">IF(BD739=1,COUNTIF($BD$2:BD739,1),"")</f>
        <v/>
      </c>
    </row>
    <row r="740" customFormat="false" ht="15" hidden="false" customHeight="false" outlineLevel="0" collapsed="false">
      <c r="A740" s="65" t="s">
        <v>2433</v>
      </c>
      <c r="B740" s="65" t="s">
        <v>2434</v>
      </c>
      <c r="C740" s="65" t="s">
        <v>2435</v>
      </c>
      <c r="D740" s="65" t="s">
        <v>371</v>
      </c>
      <c r="E740" s="112" t="n">
        <v>46105</v>
      </c>
      <c r="F740" s="112" t="n">
        <v>46133</v>
      </c>
      <c r="G740" s="65" t="n">
        <v>4</v>
      </c>
      <c r="H740" s="65" t="s">
        <v>2436</v>
      </c>
      <c r="I740" s="65" t="s">
        <v>2302</v>
      </c>
      <c r="J740" s="65" t="s">
        <v>732</v>
      </c>
      <c r="K740" s="65" t="s">
        <v>368</v>
      </c>
      <c r="L740" s="65" t="s">
        <v>64</v>
      </c>
      <c r="M740" s="113" t="n">
        <v>1.44556942</v>
      </c>
      <c r="N740" s="114" t="n">
        <v>120000</v>
      </c>
      <c r="O740" s="114" t="n">
        <v>16800</v>
      </c>
      <c r="P740" s="114" t="n">
        <v>173468.3304</v>
      </c>
      <c r="Q740" s="114" t="n">
        <v>173468.33</v>
      </c>
      <c r="R740" s="114" t="n">
        <v>0.000400000018998981</v>
      </c>
      <c r="S740" s="115" t="n">
        <v>0.999999997694104</v>
      </c>
      <c r="T740" s="65" t="n">
        <v>32</v>
      </c>
      <c r="U740" s="65" t="n">
        <v>0</v>
      </c>
      <c r="V740" s="65" t="n">
        <v>137728.39</v>
      </c>
      <c r="W740" s="115" t="n">
        <v>0.1623</v>
      </c>
      <c r="X740" s="112" t="n">
        <v>45117</v>
      </c>
      <c r="Y740" s="65" t="str">
        <f aca="false">IF(I740="","No SIC",IFERROR(VLOOKUP(I740,Ref!$A$2:$B$65,2,FALSE()),"Unclassified"))</f>
        <v>Security &amp; Commodity Brokers</v>
      </c>
      <c r="Z740" s="65" t="str">
        <f aca="false">IF(T740="","",IF(T740&lt;12,"Daily","Weekly"))</f>
        <v>Weekly</v>
      </c>
      <c r="AA740" s="65" t="n">
        <f aca="false">IF(T740="",0,IF(T740&lt;12,T740*Controls!$B$29,T740*5))</f>
        <v>160</v>
      </c>
      <c r="AB740" s="65" t="n">
        <f aca="false">IF(E740="",0,NETWORKDAYS(E740,Controls!$B$36,Ref!$K$2:$K$42))</f>
        <v>109</v>
      </c>
      <c r="AC740" s="65" t="n">
        <f aca="false">IF(AND(AA740&gt;0,AB740&gt;=Controls!$B$39*AA740),1,0)</f>
        <v>0</v>
      </c>
      <c r="AD740" s="65" t="n">
        <f aca="false">IF(AND(E740&lt;&gt;"",E740&gt;=Controls!$B$37,E740&lt;=Controls!$B$38),1,0)</f>
        <v>1</v>
      </c>
      <c r="AE740" s="65" t="n">
        <f aca="false">IF(IFERROR(VLOOKUP(D740,Controls!$A$64:$E$74,2,FALSE()),"No")="Yes",1,0)</f>
        <v>0</v>
      </c>
      <c r="AF740" s="65" t="n">
        <f aca="false">IF(IFERROR(VLOOKUP(D740,Controls!$A$64:$E$74,3,FALSE()),"No")="Yes",1,0)</f>
        <v>1</v>
      </c>
      <c r="AG740" s="65" t="n">
        <f aca="false">IF(IFERROR(VLOOKUP(D740,Controls!$A$64:$E$74,4,FALSE()),"No")="Yes",1,0)</f>
        <v>1</v>
      </c>
      <c r="AH740" s="65" t="n">
        <f aca="false">IF(IFERROR(VLOOKUP(D740,Controls!$A$64:$E$74,5,FALSE()),"No")="Yes",1,0)</f>
        <v>0</v>
      </c>
      <c r="AI740" s="65" t="n">
        <f aca="false">IF(ISNUMBER(MATCH(D740,Controls!$A$64:$A$74,0)),1,0)</f>
        <v>1</v>
      </c>
      <c r="AJ740" s="65" t="n">
        <f aca="false">Q740-N740</f>
        <v>53468.33</v>
      </c>
      <c r="AK740" s="65" t="n">
        <f aca="false">IF(AE740=1,MAX(0,N740-Q740),0)</f>
        <v>0</v>
      </c>
      <c r="AL740" s="65" t="n">
        <f aca="false">IF(OR(V740="",V740=0),0,N740/V740)</f>
        <v>0.871280060704986</v>
      </c>
      <c r="AM740" s="65" t="n">
        <f aca="false">IF(OR(V740="",V740=0),0,1)</f>
        <v>1</v>
      </c>
      <c r="AN740" s="65" t="n">
        <f aca="false">IF(OR(E740="",F740=""),0,NETWORKDAYS(E740,F740,Ref!$K$2:$K$42))</f>
        <v>21</v>
      </c>
      <c r="AO740" s="65" t="n">
        <f aca="false">IF(L740="Renewal",1,0)</f>
        <v>0</v>
      </c>
      <c r="AP740" s="65" t="n">
        <f aca="false">AC740*AD740</f>
        <v>0</v>
      </c>
      <c r="AQ740" s="65" t="n">
        <f aca="false">IF(AND(G740&lt;&gt;"",'Historical Score'!$C$6&lt;&gt;""),IF(G740='Historical Score'!$C$6,1,0),0)</f>
        <v>0</v>
      </c>
      <c r="AR740" s="65" t="n">
        <f aca="false">IF(AND(L740&lt;&gt;"",'Historical Score'!$C$5&lt;&gt;""),IF(L740='Historical Score'!$C$5,1,0),0)</f>
        <v>1</v>
      </c>
      <c r="AS740" s="65" t="n">
        <f aca="false">IF(AND(Y740&lt;&gt;"",'Historical Score'!$C$7&lt;&gt;""),IF(Y740='Historical Score'!$C$7,1,0),0)</f>
        <v>0</v>
      </c>
      <c r="AT740" s="65" t="n">
        <f aca="false">IF(AND(K740&lt;&gt;"",'Historical Score'!$C$8&lt;&gt;""),IF(K740='Historical Score'!$C$8,1,0),0)</f>
        <v>0</v>
      </c>
      <c r="AU740" s="65" t="n">
        <f aca="false">IF(AND(J740&lt;&gt;"",'Historical Score'!$C$9&lt;&gt;""),IF(J740='Historical Score'!$C$9,1,0),0)</f>
        <v>0</v>
      </c>
      <c r="AV740" s="65" t="n">
        <f aca="false">AR740*AS740*AQ740</f>
        <v>0</v>
      </c>
      <c r="AW740" s="65" t="n">
        <f aca="false">AR740*AT740*AQ740</f>
        <v>0</v>
      </c>
      <c r="AX740" s="65" t="n">
        <f aca="false">AR740*AS740</f>
        <v>0</v>
      </c>
      <c r="AY740" s="65" t="n">
        <f aca="false">AR740*AT740</f>
        <v>0</v>
      </c>
      <c r="AZ740" s="65" t="n">
        <f aca="false">AR740*AQ740</f>
        <v>0</v>
      </c>
      <c r="BA740" s="65" t="n">
        <f aca="false">AR740</f>
        <v>1</v>
      </c>
      <c r="BB740" s="65" t="n">
        <f aca="false">1</f>
        <v>1</v>
      </c>
      <c r="BC740" s="65" t="n">
        <f aca="false">IF(AV740=1,1,IF(AW740=1,2,IF(AX740=1,3,IF(AY740=1,4,IF(AZ740=1,5,IF(BA740=1,6,7))))))</f>
        <v>6</v>
      </c>
      <c r="BD740" s="65" t="n">
        <f aca="false">IF(AD740=1,CHOOSE('Historical Score'!$C$29,AV740,AW740,AX740,AY740,AZ740,BA740,BB740),0)</f>
        <v>0</v>
      </c>
      <c r="BE740" s="65" t="str">
        <f aca="false">IF(BD740=1,COUNTIF($BD$2:BD740,1),"")</f>
        <v/>
      </c>
    </row>
    <row r="741" customFormat="false" ht="15" hidden="false" customHeight="false" outlineLevel="0" collapsed="false">
      <c r="A741" s="65" t="s">
        <v>2437</v>
      </c>
      <c r="B741" s="65" t="s">
        <v>2438</v>
      </c>
      <c r="C741" s="65" t="s">
        <v>2439</v>
      </c>
      <c r="D741" s="65" t="s">
        <v>371</v>
      </c>
      <c r="E741" s="112" t="n">
        <v>46105</v>
      </c>
      <c r="F741" s="112" t="n">
        <v>46237</v>
      </c>
      <c r="G741" s="65" t="n">
        <v>3</v>
      </c>
      <c r="H741" s="65" t="s">
        <v>748</v>
      </c>
      <c r="I741" s="65" t="s">
        <v>619</v>
      </c>
      <c r="J741" s="65" t="s">
        <v>386</v>
      </c>
      <c r="K741" s="65" t="s">
        <v>983</v>
      </c>
      <c r="L741" s="65" t="s">
        <v>64</v>
      </c>
      <c r="M741" s="113" t="n">
        <v>1.48</v>
      </c>
      <c r="N741" s="114" t="n">
        <v>15000</v>
      </c>
      <c r="O741" s="114" t="n">
        <v>2175</v>
      </c>
      <c r="P741" s="114" t="n">
        <v>22200</v>
      </c>
      <c r="Q741" s="114" t="n">
        <v>22200</v>
      </c>
      <c r="R741" s="114" t="n">
        <v>0</v>
      </c>
      <c r="S741" s="115" t="n">
        <v>1</v>
      </c>
      <c r="T741" s="65" t="n">
        <v>24</v>
      </c>
      <c r="U741" s="65" t="n">
        <v>0</v>
      </c>
      <c r="V741" s="65" t="n">
        <v>34518.42</v>
      </c>
      <c r="W741" s="115" t="n">
        <v>0.1072</v>
      </c>
      <c r="X741" s="112" t="n">
        <v>28856</v>
      </c>
      <c r="Y741" s="65" t="str">
        <f aca="false">IF(I741="","No SIC",IFERROR(VLOOKUP(I741,Ref!$A$2:$B$65,2,FALSE()),"Unclassified"))</f>
        <v>Miscellaneous Retail</v>
      </c>
      <c r="Z741" s="65" t="str">
        <f aca="false">IF(T741="","",IF(T741&lt;12,"Daily","Weekly"))</f>
        <v>Weekly</v>
      </c>
      <c r="AA741" s="65" t="n">
        <f aca="false">IF(T741="",0,IF(T741&lt;12,T741*Controls!$B$29,T741*5))</f>
        <v>120</v>
      </c>
      <c r="AB741" s="65" t="n">
        <f aca="false">IF(E741="",0,NETWORKDAYS(E741,Controls!$B$36,Ref!$K$2:$K$42))</f>
        <v>109</v>
      </c>
      <c r="AC741" s="65" t="n">
        <f aca="false">IF(AND(AA741&gt;0,AB741&gt;=Controls!$B$39*AA741),1,0)</f>
        <v>0</v>
      </c>
      <c r="AD741" s="65" t="n">
        <f aca="false">IF(AND(E741&lt;&gt;"",E741&gt;=Controls!$B$37,E741&lt;=Controls!$B$38),1,0)</f>
        <v>1</v>
      </c>
      <c r="AE741" s="65" t="n">
        <f aca="false">IF(IFERROR(VLOOKUP(D741,Controls!$A$64:$E$74,2,FALSE()),"No")="Yes",1,0)</f>
        <v>0</v>
      </c>
      <c r="AF741" s="65" t="n">
        <f aca="false">IF(IFERROR(VLOOKUP(D741,Controls!$A$64:$E$74,3,FALSE()),"No")="Yes",1,0)</f>
        <v>1</v>
      </c>
      <c r="AG741" s="65" t="n">
        <f aca="false">IF(IFERROR(VLOOKUP(D741,Controls!$A$64:$E$74,4,FALSE()),"No")="Yes",1,0)</f>
        <v>1</v>
      </c>
      <c r="AH741" s="65" t="n">
        <f aca="false">IF(IFERROR(VLOOKUP(D741,Controls!$A$64:$E$74,5,FALSE()),"No")="Yes",1,0)</f>
        <v>0</v>
      </c>
      <c r="AI741" s="65" t="n">
        <f aca="false">IF(ISNUMBER(MATCH(D741,Controls!$A$64:$A$74,0)),1,0)</f>
        <v>1</v>
      </c>
      <c r="AJ741" s="65" t="n">
        <f aca="false">Q741-N741</f>
        <v>7200</v>
      </c>
      <c r="AK741" s="65" t="n">
        <f aca="false">IF(AE741=1,MAX(0,N741-Q741),0)</f>
        <v>0</v>
      </c>
      <c r="AL741" s="65" t="n">
        <f aca="false">IF(OR(V741="",V741=0),0,N741/V741)</f>
        <v>0.434550596464149</v>
      </c>
      <c r="AM741" s="65" t="n">
        <f aca="false">IF(OR(V741="",V741=0),0,1)</f>
        <v>1</v>
      </c>
      <c r="AN741" s="65" t="n">
        <f aca="false">IF(OR(E741="",F741=""),0,NETWORKDAYS(E741,F741,Ref!$K$2:$K$42))</f>
        <v>93</v>
      </c>
      <c r="AO741" s="65" t="n">
        <f aca="false">IF(L741="Renewal",1,0)</f>
        <v>0</v>
      </c>
      <c r="AP741" s="65" t="n">
        <f aca="false">AC741*AD741</f>
        <v>0</v>
      </c>
      <c r="AQ741" s="65" t="n">
        <f aca="false">IF(AND(G741&lt;&gt;"",'Historical Score'!$C$6&lt;&gt;""),IF(G741='Historical Score'!$C$6,1,0),0)</f>
        <v>0</v>
      </c>
      <c r="AR741" s="65" t="n">
        <f aca="false">IF(AND(L741&lt;&gt;"",'Historical Score'!$C$5&lt;&gt;""),IF(L741='Historical Score'!$C$5,1,0),0)</f>
        <v>1</v>
      </c>
      <c r="AS741" s="65" t="n">
        <f aca="false">IF(AND(Y741&lt;&gt;"",'Historical Score'!$C$7&lt;&gt;""),IF(Y741='Historical Score'!$C$7,1,0),0)</f>
        <v>0</v>
      </c>
      <c r="AT741" s="65" t="n">
        <f aca="false">IF(AND(K741&lt;&gt;"",'Historical Score'!$C$8&lt;&gt;""),IF(K741='Historical Score'!$C$8,1,0),0)</f>
        <v>0</v>
      </c>
      <c r="AU741" s="65" t="n">
        <f aca="false">IF(AND(J741&lt;&gt;"",'Historical Score'!$C$9&lt;&gt;""),IF(J741='Historical Score'!$C$9,1,0),0)</f>
        <v>0</v>
      </c>
      <c r="AV741" s="65" t="n">
        <f aca="false">AR741*AS741*AQ741</f>
        <v>0</v>
      </c>
      <c r="AW741" s="65" t="n">
        <f aca="false">AR741*AT741*AQ741</f>
        <v>0</v>
      </c>
      <c r="AX741" s="65" t="n">
        <f aca="false">AR741*AS741</f>
        <v>0</v>
      </c>
      <c r="AY741" s="65" t="n">
        <f aca="false">AR741*AT741</f>
        <v>0</v>
      </c>
      <c r="AZ741" s="65" t="n">
        <f aca="false">AR741*AQ741</f>
        <v>0</v>
      </c>
      <c r="BA741" s="65" t="n">
        <f aca="false">AR741</f>
        <v>1</v>
      </c>
      <c r="BB741" s="65" t="n">
        <f aca="false">1</f>
        <v>1</v>
      </c>
      <c r="BC741" s="65" t="n">
        <f aca="false">IF(AV741=1,1,IF(AW741=1,2,IF(AX741=1,3,IF(AY741=1,4,IF(AZ741=1,5,IF(BA741=1,6,7))))))</f>
        <v>6</v>
      </c>
      <c r="BD741" s="65" t="n">
        <f aca="false">IF(AD741=1,CHOOSE('Historical Score'!$C$29,AV741,AW741,AX741,AY741,AZ741,BA741,BB741),0)</f>
        <v>0</v>
      </c>
      <c r="BE741" s="65" t="str">
        <f aca="false">IF(BD741=1,COUNTIF($BD$2:BD741,1),"")</f>
        <v/>
      </c>
    </row>
    <row r="742" customFormat="false" ht="15" hidden="false" customHeight="false" outlineLevel="0" collapsed="false">
      <c r="A742" s="65" t="s">
        <v>2440</v>
      </c>
      <c r="B742" s="65" t="s">
        <v>2441</v>
      </c>
      <c r="C742" s="65" t="s">
        <v>2442</v>
      </c>
      <c r="D742" s="65" t="s">
        <v>533</v>
      </c>
      <c r="E742" s="112" t="n">
        <v>46105</v>
      </c>
      <c r="F742" s="112" t="n">
        <v>46253</v>
      </c>
      <c r="G742" s="65" t="n">
        <v>3</v>
      </c>
      <c r="H742" s="65" t="s">
        <v>355</v>
      </c>
      <c r="I742" s="65" t="s">
        <v>356</v>
      </c>
      <c r="J742" s="65" t="s">
        <v>410</v>
      </c>
      <c r="K742" s="65" t="s">
        <v>501</v>
      </c>
      <c r="L742" s="65" t="s">
        <v>64</v>
      </c>
      <c r="M742" s="113" t="n">
        <v>1.4525</v>
      </c>
      <c r="N742" s="114" t="n">
        <v>40000</v>
      </c>
      <c r="O742" s="114" t="n">
        <v>0</v>
      </c>
      <c r="P742" s="114" t="n">
        <v>58100</v>
      </c>
      <c r="Q742" s="114" t="n">
        <v>24751.65</v>
      </c>
      <c r="R742" s="114" t="n">
        <v>33348.35</v>
      </c>
      <c r="S742" s="115" t="n">
        <v>0.426018072289157</v>
      </c>
      <c r="T742" s="65" t="n">
        <v>24</v>
      </c>
      <c r="U742" s="65" t="n">
        <v>1</v>
      </c>
      <c r="V742" s="65" t="n">
        <v>189983.54</v>
      </c>
      <c r="W742" s="115" t="n">
        <v>0.0488</v>
      </c>
      <c r="X742" s="112" t="n">
        <v>39521</v>
      </c>
      <c r="Y742" s="65" t="str">
        <f aca="false">IF(I742="","No SIC",IFERROR(VLOOKUP(I742,Ref!$A$2:$B$65,2,FALSE()),"Unclassified"))</f>
        <v>Trucking &amp; Warehousing</v>
      </c>
      <c r="Z742" s="65" t="str">
        <f aca="false">IF(T742="","",IF(T742&lt;12,"Daily","Weekly"))</f>
        <v>Weekly</v>
      </c>
      <c r="AA742" s="65" t="n">
        <f aca="false">IF(T742="",0,IF(T742&lt;12,T742*Controls!$B$29,T742*5))</f>
        <v>120</v>
      </c>
      <c r="AB742" s="65" t="n">
        <f aca="false">IF(E742="",0,NETWORKDAYS(E742,Controls!$B$36,Ref!$K$2:$K$42))</f>
        <v>109</v>
      </c>
      <c r="AC742" s="65" t="n">
        <f aca="false">IF(AND(AA742&gt;0,AB742&gt;=Controls!$B$39*AA742),1,0)</f>
        <v>0</v>
      </c>
      <c r="AD742" s="65" t="n">
        <f aca="false">IF(AND(E742&lt;&gt;"",E742&gt;=Controls!$B$37,E742&lt;=Controls!$B$38),1,0)</f>
        <v>1</v>
      </c>
      <c r="AE742" s="65" t="n">
        <f aca="false">IF(IFERROR(VLOOKUP(D742,Controls!$A$64:$E$74,2,FALSE()),"No")="Yes",1,0)</f>
        <v>1</v>
      </c>
      <c r="AF742" s="65" t="n">
        <f aca="false">IF(IFERROR(VLOOKUP(D742,Controls!$A$64:$E$74,3,FALSE()),"No")="Yes",1,0)</f>
        <v>0</v>
      </c>
      <c r="AG742" s="65" t="n">
        <f aca="false">IF(IFERROR(VLOOKUP(D742,Controls!$A$64:$E$74,4,FALSE()),"No")="Yes",1,0)</f>
        <v>0</v>
      </c>
      <c r="AH742" s="65" t="n">
        <f aca="false">IF(IFERROR(VLOOKUP(D742,Controls!$A$64:$E$74,5,FALSE()),"No")="Yes",1,0)</f>
        <v>0</v>
      </c>
      <c r="AI742" s="65" t="n">
        <f aca="false">IF(ISNUMBER(MATCH(D742,Controls!$A$64:$A$74,0)),1,0)</f>
        <v>1</v>
      </c>
      <c r="AJ742" s="65" t="n">
        <f aca="false">Q742-N742</f>
        <v>-15248.35</v>
      </c>
      <c r="AK742" s="65" t="n">
        <f aca="false">IF(AE742=1,MAX(0,N742-Q742),0)</f>
        <v>15248.35</v>
      </c>
      <c r="AL742" s="65" t="n">
        <f aca="false">IF(OR(V742="",V742=0),0,N742/V742)</f>
        <v>0.210544555596764</v>
      </c>
      <c r="AM742" s="65" t="n">
        <f aca="false">IF(OR(V742="",V742=0),0,1)</f>
        <v>1</v>
      </c>
      <c r="AN742" s="65" t="n">
        <f aca="false">IF(OR(E742="",F742=""),0,NETWORKDAYS(E742,F742,Ref!$K$2:$K$42))</f>
        <v>105</v>
      </c>
      <c r="AO742" s="65" t="n">
        <f aca="false">IF(L742="Renewal",1,0)</f>
        <v>0</v>
      </c>
      <c r="AP742" s="65" t="n">
        <f aca="false">AC742*AD742</f>
        <v>0</v>
      </c>
      <c r="AQ742" s="65" t="n">
        <f aca="false">IF(AND(G742&lt;&gt;"",'Historical Score'!$C$6&lt;&gt;""),IF(G742='Historical Score'!$C$6,1,0),0)</f>
        <v>0</v>
      </c>
      <c r="AR742" s="65" t="n">
        <f aca="false">IF(AND(L742&lt;&gt;"",'Historical Score'!$C$5&lt;&gt;""),IF(L742='Historical Score'!$C$5,1,0),0)</f>
        <v>1</v>
      </c>
      <c r="AS742" s="65" t="n">
        <f aca="false">IF(AND(Y742&lt;&gt;"",'Historical Score'!$C$7&lt;&gt;""),IF(Y742='Historical Score'!$C$7,1,0),0)</f>
        <v>0</v>
      </c>
      <c r="AT742" s="65" t="n">
        <f aca="false">IF(AND(K742&lt;&gt;"",'Historical Score'!$C$8&lt;&gt;""),IF(K742='Historical Score'!$C$8,1,0),0)</f>
        <v>0</v>
      </c>
      <c r="AU742" s="65" t="n">
        <f aca="false">IF(AND(J742&lt;&gt;"",'Historical Score'!$C$9&lt;&gt;""),IF(J742='Historical Score'!$C$9,1,0),0)</f>
        <v>0</v>
      </c>
      <c r="AV742" s="65" t="n">
        <f aca="false">AR742*AS742*AQ742</f>
        <v>0</v>
      </c>
      <c r="AW742" s="65" t="n">
        <f aca="false">AR742*AT742*AQ742</f>
        <v>0</v>
      </c>
      <c r="AX742" s="65" t="n">
        <f aca="false">AR742*AS742</f>
        <v>0</v>
      </c>
      <c r="AY742" s="65" t="n">
        <f aca="false">AR742*AT742</f>
        <v>0</v>
      </c>
      <c r="AZ742" s="65" t="n">
        <f aca="false">AR742*AQ742</f>
        <v>0</v>
      </c>
      <c r="BA742" s="65" t="n">
        <f aca="false">AR742</f>
        <v>1</v>
      </c>
      <c r="BB742" s="65" t="n">
        <f aca="false">1</f>
        <v>1</v>
      </c>
      <c r="BC742" s="65" t="n">
        <f aca="false">IF(AV742=1,1,IF(AW742=1,2,IF(AX742=1,3,IF(AY742=1,4,IF(AZ742=1,5,IF(BA742=1,6,7))))))</f>
        <v>6</v>
      </c>
      <c r="BD742" s="65" t="n">
        <f aca="false">IF(AD742=1,CHOOSE('Historical Score'!$C$29,AV742,AW742,AX742,AY742,AZ742,BA742,BB742),0)</f>
        <v>0</v>
      </c>
      <c r="BE742" s="65" t="str">
        <f aca="false">IF(BD742=1,COUNTIF($BD$2:BD742,1),"")</f>
        <v/>
      </c>
    </row>
    <row r="743" customFormat="false" ht="15" hidden="false" customHeight="false" outlineLevel="0" collapsed="false">
      <c r="A743" s="65" t="s">
        <v>2443</v>
      </c>
      <c r="B743" s="65" t="s">
        <v>2444</v>
      </c>
      <c r="C743" s="65" t="s">
        <v>2444</v>
      </c>
      <c r="D743" s="65" t="s">
        <v>371</v>
      </c>
      <c r="E743" s="112" t="n">
        <v>46106</v>
      </c>
      <c r="F743" s="112" t="n">
        <v>46216</v>
      </c>
      <c r="G743" s="65" t="n">
        <v>3</v>
      </c>
      <c r="H743" s="65" t="s">
        <v>479</v>
      </c>
      <c r="I743" s="65" t="s">
        <v>356</v>
      </c>
      <c r="J743" s="65" t="s">
        <v>61</v>
      </c>
      <c r="K743" s="65" t="s">
        <v>55</v>
      </c>
      <c r="L743" s="65" t="s">
        <v>64</v>
      </c>
      <c r="M743" s="113" t="n">
        <v>1.49</v>
      </c>
      <c r="N743" s="114" t="n">
        <v>10000</v>
      </c>
      <c r="O743" s="114" t="n">
        <v>1400</v>
      </c>
      <c r="P743" s="114" t="n">
        <v>14900</v>
      </c>
      <c r="Q743" s="114" t="n">
        <v>14900</v>
      </c>
      <c r="R743" s="114" t="n">
        <v>0</v>
      </c>
      <c r="S743" s="115" t="n">
        <v>1</v>
      </c>
      <c r="T743" s="65" t="n">
        <v>2.623</v>
      </c>
      <c r="U743" s="65" t="n">
        <v>0</v>
      </c>
      <c r="V743" s="65" t="n">
        <v>45946.75</v>
      </c>
      <c r="W743" s="115" t="n">
        <v>0.0851</v>
      </c>
      <c r="X743" s="112" t="n">
        <v>45185</v>
      </c>
      <c r="Y743" s="65" t="str">
        <f aca="false">IF(I743="","No SIC",IFERROR(VLOOKUP(I743,Ref!$A$2:$B$65,2,FALSE()),"Unclassified"))</f>
        <v>Trucking &amp; Warehousing</v>
      </c>
      <c r="Z743" s="65" t="str">
        <f aca="false">IF(T743="","",IF(T743&lt;12,"Daily","Weekly"))</f>
        <v>Daily</v>
      </c>
      <c r="AA743" s="65" t="n">
        <f aca="false">IF(T743="",0,IF(T743&lt;12,T743*Controls!$B$29,T743*5))</f>
        <v>56.801065</v>
      </c>
      <c r="AB743" s="65" t="n">
        <f aca="false">IF(E743="",0,NETWORKDAYS(E743,Controls!$B$36,Ref!$K$2:$K$42))</f>
        <v>108</v>
      </c>
      <c r="AC743" s="65" t="n">
        <f aca="false">IF(AND(AA743&gt;0,AB743&gt;=Controls!$B$39*AA743),1,0)</f>
        <v>1</v>
      </c>
      <c r="AD743" s="65" t="n">
        <f aca="false">IF(AND(E743&lt;&gt;"",E743&gt;=Controls!$B$37,E743&lt;=Controls!$B$38),1,0)</f>
        <v>1</v>
      </c>
      <c r="AE743" s="65" t="n">
        <f aca="false">IF(IFERROR(VLOOKUP(D743,Controls!$A$64:$E$74,2,FALSE()),"No")="Yes",1,0)</f>
        <v>0</v>
      </c>
      <c r="AF743" s="65" t="n">
        <f aca="false">IF(IFERROR(VLOOKUP(D743,Controls!$A$64:$E$74,3,FALSE()),"No")="Yes",1,0)</f>
        <v>1</v>
      </c>
      <c r="AG743" s="65" t="n">
        <f aca="false">IF(IFERROR(VLOOKUP(D743,Controls!$A$64:$E$74,4,FALSE()),"No")="Yes",1,0)</f>
        <v>1</v>
      </c>
      <c r="AH743" s="65" t="n">
        <f aca="false">IF(IFERROR(VLOOKUP(D743,Controls!$A$64:$E$74,5,FALSE()),"No")="Yes",1,0)</f>
        <v>0</v>
      </c>
      <c r="AI743" s="65" t="n">
        <f aca="false">IF(ISNUMBER(MATCH(D743,Controls!$A$64:$A$74,0)),1,0)</f>
        <v>1</v>
      </c>
      <c r="AJ743" s="65" t="n">
        <f aca="false">Q743-N743</f>
        <v>4900</v>
      </c>
      <c r="AK743" s="65" t="n">
        <f aca="false">IF(AE743=1,MAX(0,N743-Q743),0)</f>
        <v>0</v>
      </c>
      <c r="AL743" s="65" t="n">
        <f aca="false">IF(OR(V743="",V743=0),0,N743/V743)</f>
        <v>0.217643250066653</v>
      </c>
      <c r="AM743" s="65" t="n">
        <f aca="false">IF(OR(V743="",V743=0),0,1)</f>
        <v>1</v>
      </c>
      <c r="AN743" s="65" t="n">
        <f aca="false">IF(OR(E743="",F743=""),0,NETWORKDAYS(E743,F743,Ref!$K$2:$K$42))</f>
        <v>77</v>
      </c>
      <c r="AO743" s="65" t="n">
        <f aca="false">IF(L743="Renewal",1,0)</f>
        <v>0</v>
      </c>
      <c r="AP743" s="65" t="n">
        <f aca="false">AC743*AD743</f>
        <v>1</v>
      </c>
      <c r="AQ743" s="65" t="n">
        <f aca="false">IF(AND(G743&lt;&gt;"",'Historical Score'!$C$6&lt;&gt;""),IF(G743='Historical Score'!$C$6,1,0),0)</f>
        <v>0</v>
      </c>
      <c r="AR743" s="65" t="n">
        <f aca="false">IF(AND(L743&lt;&gt;"",'Historical Score'!$C$5&lt;&gt;""),IF(L743='Historical Score'!$C$5,1,0),0)</f>
        <v>1</v>
      </c>
      <c r="AS743" s="65" t="n">
        <f aca="false">IF(AND(Y743&lt;&gt;"",'Historical Score'!$C$7&lt;&gt;""),IF(Y743='Historical Score'!$C$7,1,0),0)</f>
        <v>0</v>
      </c>
      <c r="AT743" s="65" t="n">
        <f aca="false">IF(AND(K743&lt;&gt;"",'Historical Score'!$C$8&lt;&gt;""),IF(K743='Historical Score'!$C$8,1,0),0)</f>
        <v>1</v>
      </c>
      <c r="AU743" s="65" t="n">
        <f aca="false">IF(AND(J743&lt;&gt;"",'Historical Score'!$C$9&lt;&gt;""),IF(J743='Historical Score'!$C$9,1,0),0)</f>
        <v>1</v>
      </c>
      <c r="AV743" s="65" t="n">
        <f aca="false">AR743*AS743*AQ743</f>
        <v>0</v>
      </c>
      <c r="AW743" s="65" t="n">
        <f aca="false">AR743*AT743*AQ743</f>
        <v>0</v>
      </c>
      <c r="AX743" s="65" t="n">
        <f aca="false">AR743*AS743</f>
        <v>0</v>
      </c>
      <c r="AY743" s="65" t="n">
        <f aca="false">AR743*AT743</f>
        <v>1</v>
      </c>
      <c r="AZ743" s="65" t="n">
        <f aca="false">AR743*AQ743</f>
        <v>0</v>
      </c>
      <c r="BA743" s="65" t="n">
        <f aca="false">AR743</f>
        <v>1</v>
      </c>
      <c r="BB743" s="65" t="n">
        <f aca="false">1</f>
        <v>1</v>
      </c>
      <c r="BC743" s="65" t="n">
        <f aca="false">IF(AV743=1,1,IF(AW743=1,2,IF(AX743=1,3,IF(AY743=1,4,IF(AZ743=1,5,IF(BA743=1,6,7))))))</f>
        <v>4</v>
      </c>
      <c r="BD743" s="65" t="n">
        <f aca="false">IF(AD743=1,CHOOSE('Historical Score'!$C$29,AV743,AW743,AX743,AY743,AZ743,BA743,BB743),0)</f>
        <v>0</v>
      </c>
      <c r="BE743" s="65" t="str">
        <f aca="false">IF(BD743=1,COUNTIF($BD$2:BD743,1),"")</f>
        <v/>
      </c>
    </row>
    <row r="744" customFormat="false" ht="15" hidden="false" customHeight="false" outlineLevel="0" collapsed="false">
      <c r="A744" s="65" t="s">
        <v>2445</v>
      </c>
      <c r="B744" s="65" t="s">
        <v>1799</v>
      </c>
      <c r="C744" s="65" t="s">
        <v>1799</v>
      </c>
      <c r="D744" s="65" t="s">
        <v>295</v>
      </c>
      <c r="E744" s="112" t="n">
        <v>46106</v>
      </c>
      <c r="F744" s="112" t="n">
        <v>46241</v>
      </c>
      <c r="G744" s="65" t="n">
        <v>3</v>
      </c>
      <c r="H744" s="65" t="s">
        <v>685</v>
      </c>
      <c r="I744" s="65" t="s">
        <v>484</v>
      </c>
      <c r="J744" s="65" t="s">
        <v>399</v>
      </c>
      <c r="K744" s="65" t="s">
        <v>55</v>
      </c>
      <c r="L744" s="65" t="s">
        <v>320</v>
      </c>
      <c r="M744" s="113" t="n">
        <v>1.42</v>
      </c>
      <c r="N744" s="114" t="n">
        <v>33000</v>
      </c>
      <c r="O744" s="114" t="n">
        <v>3465</v>
      </c>
      <c r="P744" s="114" t="n">
        <v>46860</v>
      </c>
      <c r="Q744" s="114" t="n">
        <v>19871.69</v>
      </c>
      <c r="R744" s="114" t="n">
        <v>26988.31</v>
      </c>
      <c r="S744" s="115" t="n">
        <v>0.424065087494665</v>
      </c>
      <c r="T744" s="65" t="n">
        <v>34</v>
      </c>
      <c r="U744" s="65" t="n">
        <v>2</v>
      </c>
      <c r="V744" s="65" t="n">
        <v>94340.63</v>
      </c>
      <c r="W744" s="115" t="n">
        <v>0.0584</v>
      </c>
      <c r="X744" s="112" t="n">
        <v>45679</v>
      </c>
      <c r="Y744" s="65" t="str">
        <f aca="false">IF(I744="","No SIC",IFERROR(VLOOKUP(I744,Ref!$A$2:$B$65,2,FALSE()),"Unclassified"))</f>
        <v>Special Trade Contractors</v>
      </c>
      <c r="Z744" s="65" t="str">
        <f aca="false">IF(T744="","",IF(T744&lt;12,"Daily","Weekly"))</f>
        <v>Weekly</v>
      </c>
      <c r="AA744" s="65" t="n">
        <f aca="false">IF(T744="",0,IF(T744&lt;12,T744*Controls!$B$29,T744*5))</f>
        <v>170</v>
      </c>
      <c r="AB744" s="65" t="n">
        <f aca="false">IF(E744="",0,NETWORKDAYS(E744,Controls!$B$36,Ref!$K$2:$K$42))</f>
        <v>108</v>
      </c>
      <c r="AC744" s="65" t="n">
        <f aca="false">IF(AND(AA744&gt;0,AB744&gt;=Controls!$B$39*AA744),1,0)</f>
        <v>0</v>
      </c>
      <c r="AD744" s="65" t="n">
        <f aca="false">IF(AND(E744&lt;&gt;"",E744&gt;=Controls!$B$37,E744&lt;=Controls!$B$38),1,0)</f>
        <v>1</v>
      </c>
      <c r="AE744" s="65" t="n">
        <f aca="false">IF(IFERROR(VLOOKUP(D744,Controls!$A$64:$E$74,2,FALSE()),"No")="Yes",1,0)</f>
        <v>0</v>
      </c>
      <c r="AF744" s="65" t="n">
        <f aca="false">IF(IFERROR(VLOOKUP(D744,Controls!$A$64:$E$74,3,FALSE()),"No")="Yes",1,0)</f>
        <v>0</v>
      </c>
      <c r="AG744" s="65" t="n">
        <f aca="false">IF(IFERROR(VLOOKUP(D744,Controls!$A$64:$E$74,4,FALSE()),"No")="Yes",1,0)</f>
        <v>0</v>
      </c>
      <c r="AH744" s="65" t="n">
        <f aca="false">IF(IFERROR(VLOOKUP(D744,Controls!$A$64:$E$74,5,FALSE()),"No")="Yes",1,0)</f>
        <v>1</v>
      </c>
      <c r="AI744" s="65" t="n">
        <f aca="false">IF(ISNUMBER(MATCH(D744,Controls!$A$64:$A$74,0)),1,0)</f>
        <v>1</v>
      </c>
      <c r="AJ744" s="65" t="n">
        <f aca="false">Q744-N744</f>
        <v>-13128.31</v>
      </c>
      <c r="AK744" s="65" t="n">
        <f aca="false">IF(AE744=1,MAX(0,N744-Q744),0)</f>
        <v>0</v>
      </c>
      <c r="AL744" s="65" t="n">
        <f aca="false">IF(OR(V744="",V744=0),0,N744/V744)</f>
        <v>0.349796264875484</v>
      </c>
      <c r="AM744" s="65" t="n">
        <f aca="false">IF(OR(V744="",V744=0),0,1)</f>
        <v>1</v>
      </c>
      <c r="AN744" s="65" t="n">
        <f aca="false">IF(OR(E744="",F744=""),0,NETWORKDAYS(E744,F744,Ref!$K$2:$K$42))</f>
        <v>96</v>
      </c>
      <c r="AO744" s="65" t="n">
        <f aca="false">IF(L744="Renewal",1,0)</f>
        <v>1</v>
      </c>
      <c r="AP744" s="65" t="n">
        <f aca="false">AC744*AD744</f>
        <v>0</v>
      </c>
      <c r="AQ744" s="65" t="n">
        <f aca="false">IF(AND(G744&lt;&gt;"",'Historical Score'!$C$6&lt;&gt;""),IF(G744='Historical Score'!$C$6,1,0),0)</f>
        <v>0</v>
      </c>
      <c r="AR744" s="65" t="n">
        <f aca="false">IF(AND(L744&lt;&gt;"",'Historical Score'!$C$5&lt;&gt;""),IF(L744='Historical Score'!$C$5,1,0),0)</f>
        <v>0</v>
      </c>
      <c r="AS744" s="65" t="n">
        <f aca="false">IF(AND(Y744&lt;&gt;"",'Historical Score'!$C$7&lt;&gt;""),IF(Y744='Historical Score'!$C$7,1,0),0)</f>
        <v>0</v>
      </c>
      <c r="AT744" s="65" t="n">
        <f aca="false">IF(AND(K744&lt;&gt;"",'Historical Score'!$C$8&lt;&gt;""),IF(K744='Historical Score'!$C$8,1,0),0)</f>
        <v>1</v>
      </c>
      <c r="AU744" s="65" t="n">
        <f aca="false">IF(AND(J744&lt;&gt;"",'Historical Score'!$C$9&lt;&gt;""),IF(J744='Historical Score'!$C$9,1,0),0)</f>
        <v>0</v>
      </c>
      <c r="AV744" s="65" t="n">
        <f aca="false">AR744*AS744*AQ744</f>
        <v>0</v>
      </c>
      <c r="AW744" s="65" t="n">
        <f aca="false">AR744*AT744*AQ744</f>
        <v>0</v>
      </c>
      <c r="AX744" s="65" t="n">
        <f aca="false">AR744*AS744</f>
        <v>0</v>
      </c>
      <c r="AY744" s="65" t="n">
        <f aca="false">AR744*AT744</f>
        <v>0</v>
      </c>
      <c r="AZ744" s="65" t="n">
        <f aca="false">AR744*AQ744</f>
        <v>0</v>
      </c>
      <c r="BA744" s="65" t="n">
        <f aca="false">AR744</f>
        <v>0</v>
      </c>
      <c r="BB744" s="65" t="n">
        <f aca="false">1</f>
        <v>1</v>
      </c>
      <c r="BC744" s="65" t="n">
        <f aca="false">IF(AV744=1,1,IF(AW744=1,2,IF(AX744=1,3,IF(AY744=1,4,IF(AZ744=1,5,IF(BA744=1,6,7))))))</f>
        <v>7</v>
      </c>
      <c r="BD744" s="65" t="n">
        <f aca="false">IF(AD744=1,CHOOSE('Historical Score'!$C$29,AV744,AW744,AX744,AY744,AZ744,BA744,BB744),0)</f>
        <v>0</v>
      </c>
      <c r="BE744" s="65" t="str">
        <f aca="false">IF(BD744=1,COUNTIF($BD$2:BD744,1),"")</f>
        <v/>
      </c>
    </row>
    <row r="745" customFormat="false" ht="15" hidden="false" customHeight="false" outlineLevel="0" collapsed="false">
      <c r="A745" s="65" t="s">
        <v>2446</v>
      </c>
      <c r="B745" s="65" t="s">
        <v>2447</v>
      </c>
      <c r="C745" s="65" t="s">
        <v>2447</v>
      </c>
      <c r="D745" s="65" t="s">
        <v>371</v>
      </c>
      <c r="E745" s="112" t="n">
        <v>46106</v>
      </c>
      <c r="F745" s="112" t="n">
        <v>46234</v>
      </c>
      <c r="G745" s="65" t="n">
        <v>3</v>
      </c>
      <c r="H745" s="65" t="s">
        <v>479</v>
      </c>
      <c r="I745" s="65" t="s">
        <v>356</v>
      </c>
      <c r="J745" s="65" t="s">
        <v>452</v>
      </c>
      <c r="K745" s="65" t="s">
        <v>55</v>
      </c>
      <c r="L745" s="65" t="s">
        <v>64</v>
      </c>
      <c r="M745" s="113" t="n">
        <v>1.44</v>
      </c>
      <c r="N745" s="114" t="n">
        <v>35000</v>
      </c>
      <c r="O745" s="114" t="n">
        <v>4025</v>
      </c>
      <c r="P745" s="114" t="n">
        <v>50400</v>
      </c>
      <c r="Q745" s="114" t="n">
        <v>50400</v>
      </c>
      <c r="R745" s="114" t="n">
        <v>0</v>
      </c>
      <c r="S745" s="115" t="n">
        <v>1</v>
      </c>
      <c r="T745" s="65" t="n">
        <v>36</v>
      </c>
      <c r="U745" s="65" t="n">
        <v>1</v>
      </c>
      <c r="V745" s="65" t="n">
        <v>514264.29</v>
      </c>
      <c r="W745" s="115" t="n">
        <v>0.0109</v>
      </c>
      <c r="X745" s="112" t="n">
        <v>45524</v>
      </c>
      <c r="Y745" s="65" t="str">
        <f aca="false">IF(I745="","No SIC",IFERROR(VLOOKUP(I745,Ref!$A$2:$B$65,2,FALSE()),"Unclassified"))</f>
        <v>Trucking &amp; Warehousing</v>
      </c>
      <c r="Z745" s="65" t="str">
        <f aca="false">IF(T745="","",IF(T745&lt;12,"Daily","Weekly"))</f>
        <v>Weekly</v>
      </c>
      <c r="AA745" s="65" t="n">
        <f aca="false">IF(T745="",0,IF(T745&lt;12,T745*Controls!$B$29,T745*5))</f>
        <v>180</v>
      </c>
      <c r="AB745" s="65" t="n">
        <f aca="false">IF(E745="",0,NETWORKDAYS(E745,Controls!$B$36,Ref!$K$2:$K$42))</f>
        <v>108</v>
      </c>
      <c r="AC745" s="65" t="n">
        <f aca="false">IF(AND(AA745&gt;0,AB745&gt;=Controls!$B$39*AA745),1,0)</f>
        <v>0</v>
      </c>
      <c r="AD745" s="65" t="n">
        <f aca="false">IF(AND(E745&lt;&gt;"",E745&gt;=Controls!$B$37,E745&lt;=Controls!$B$38),1,0)</f>
        <v>1</v>
      </c>
      <c r="AE745" s="65" t="n">
        <f aca="false">IF(IFERROR(VLOOKUP(D745,Controls!$A$64:$E$74,2,FALSE()),"No")="Yes",1,0)</f>
        <v>0</v>
      </c>
      <c r="AF745" s="65" t="n">
        <f aca="false">IF(IFERROR(VLOOKUP(D745,Controls!$A$64:$E$74,3,FALSE()),"No")="Yes",1,0)</f>
        <v>1</v>
      </c>
      <c r="AG745" s="65" t="n">
        <f aca="false">IF(IFERROR(VLOOKUP(D745,Controls!$A$64:$E$74,4,FALSE()),"No")="Yes",1,0)</f>
        <v>1</v>
      </c>
      <c r="AH745" s="65" t="n">
        <f aca="false">IF(IFERROR(VLOOKUP(D745,Controls!$A$64:$E$74,5,FALSE()),"No")="Yes",1,0)</f>
        <v>0</v>
      </c>
      <c r="AI745" s="65" t="n">
        <f aca="false">IF(ISNUMBER(MATCH(D745,Controls!$A$64:$A$74,0)),1,0)</f>
        <v>1</v>
      </c>
      <c r="AJ745" s="65" t="n">
        <f aca="false">Q745-N745</f>
        <v>15400</v>
      </c>
      <c r="AK745" s="65" t="n">
        <f aca="false">IF(AE745=1,MAX(0,N745-Q745),0)</f>
        <v>0</v>
      </c>
      <c r="AL745" s="65" t="n">
        <f aca="false">IF(OR(V745="",V745=0),0,N745/V745)</f>
        <v>0.0680583907546837</v>
      </c>
      <c r="AM745" s="65" t="n">
        <f aca="false">IF(OR(V745="",V745=0),0,1)</f>
        <v>1</v>
      </c>
      <c r="AN745" s="65" t="n">
        <f aca="false">IF(OR(E745="",F745=""),0,NETWORKDAYS(E745,F745,Ref!$K$2:$K$42))</f>
        <v>91</v>
      </c>
      <c r="AO745" s="65" t="n">
        <f aca="false">IF(L745="Renewal",1,0)</f>
        <v>0</v>
      </c>
      <c r="AP745" s="65" t="n">
        <f aca="false">AC745*AD745</f>
        <v>0</v>
      </c>
      <c r="AQ745" s="65" t="n">
        <f aca="false">IF(AND(G745&lt;&gt;"",'Historical Score'!$C$6&lt;&gt;""),IF(G745='Historical Score'!$C$6,1,0),0)</f>
        <v>0</v>
      </c>
      <c r="AR745" s="65" t="n">
        <f aca="false">IF(AND(L745&lt;&gt;"",'Historical Score'!$C$5&lt;&gt;""),IF(L745='Historical Score'!$C$5,1,0),0)</f>
        <v>1</v>
      </c>
      <c r="AS745" s="65" t="n">
        <f aca="false">IF(AND(Y745&lt;&gt;"",'Historical Score'!$C$7&lt;&gt;""),IF(Y745='Historical Score'!$C$7,1,0),0)</f>
        <v>0</v>
      </c>
      <c r="AT745" s="65" t="n">
        <f aca="false">IF(AND(K745&lt;&gt;"",'Historical Score'!$C$8&lt;&gt;""),IF(K745='Historical Score'!$C$8,1,0),0)</f>
        <v>1</v>
      </c>
      <c r="AU745" s="65" t="n">
        <f aca="false">IF(AND(J745&lt;&gt;"",'Historical Score'!$C$9&lt;&gt;""),IF(J745='Historical Score'!$C$9,1,0),0)</f>
        <v>0</v>
      </c>
      <c r="AV745" s="65" t="n">
        <f aca="false">AR745*AS745*AQ745</f>
        <v>0</v>
      </c>
      <c r="AW745" s="65" t="n">
        <f aca="false">AR745*AT745*AQ745</f>
        <v>0</v>
      </c>
      <c r="AX745" s="65" t="n">
        <f aca="false">AR745*AS745</f>
        <v>0</v>
      </c>
      <c r="AY745" s="65" t="n">
        <f aca="false">AR745*AT745</f>
        <v>1</v>
      </c>
      <c r="AZ745" s="65" t="n">
        <f aca="false">AR745*AQ745</f>
        <v>0</v>
      </c>
      <c r="BA745" s="65" t="n">
        <f aca="false">AR745</f>
        <v>1</v>
      </c>
      <c r="BB745" s="65" t="n">
        <f aca="false">1</f>
        <v>1</v>
      </c>
      <c r="BC745" s="65" t="n">
        <f aca="false">IF(AV745=1,1,IF(AW745=1,2,IF(AX745=1,3,IF(AY745=1,4,IF(AZ745=1,5,IF(BA745=1,6,7))))))</f>
        <v>4</v>
      </c>
      <c r="BD745" s="65" t="n">
        <f aca="false">IF(AD745=1,CHOOSE('Historical Score'!$C$29,AV745,AW745,AX745,AY745,AZ745,BA745,BB745),0)</f>
        <v>0</v>
      </c>
      <c r="BE745" s="65" t="str">
        <f aca="false">IF(BD745=1,COUNTIF($BD$2:BD745,1),"")</f>
        <v/>
      </c>
    </row>
    <row r="746" customFormat="false" ht="15" hidden="false" customHeight="false" outlineLevel="0" collapsed="false">
      <c r="A746" s="65" t="s">
        <v>2448</v>
      </c>
      <c r="B746" s="65" t="s">
        <v>864</v>
      </c>
      <c r="C746" s="65" t="s">
        <v>865</v>
      </c>
      <c r="D746" s="65" t="s">
        <v>371</v>
      </c>
      <c r="E746" s="112" t="n">
        <v>46106</v>
      </c>
      <c r="F746" s="112" t="n">
        <v>46176</v>
      </c>
      <c r="G746" s="65" t="n">
        <v>3</v>
      </c>
      <c r="H746" s="65" t="s">
        <v>500</v>
      </c>
      <c r="I746" s="65" t="s">
        <v>475</v>
      </c>
      <c r="J746" s="65" t="s">
        <v>555</v>
      </c>
      <c r="K746" s="65" t="s">
        <v>411</v>
      </c>
      <c r="L746" s="65" t="s">
        <v>320</v>
      </c>
      <c r="M746" s="113" t="n">
        <v>1.49</v>
      </c>
      <c r="N746" s="114" t="n">
        <v>17000</v>
      </c>
      <c r="O746" s="114" t="n">
        <v>2380</v>
      </c>
      <c r="P746" s="114" t="n">
        <v>25330</v>
      </c>
      <c r="Q746" s="114" t="n">
        <v>25330</v>
      </c>
      <c r="R746" s="114" t="n">
        <v>0</v>
      </c>
      <c r="S746" s="115" t="n">
        <v>1</v>
      </c>
      <c r="T746" s="65" t="n">
        <v>3.279</v>
      </c>
      <c r="U746" s="65" t="n">
        <v>0</v>
      </c>
      <c r="V746" s="65" t="n">
        <v>47264.79</v>
      </c>
      <c r="W746" s="115" t="n">
        <v>0.1456</v>
      </c>
      <c r="X746" s="112" t="n">
        <v>30767</v>
      </c>
      <c r="Y746" s="65" t="str">
        <f aca="false">IF(I746="","No SIC",IFERROR(VLOOKUP(I746,Ref!$A$2:$B$65,2,FALSE()),"Unclassified"))</f>
        <v>Auto Repair &amp; Services</v>
      </c>
      <c r="Z746" s="65" t="str">
        <f aca="false">IF(T746="","",IF(T746&lt;12,"Daily","Weekly"))</f>
        <v>Daily</v>
      </c>
      <c r="AA746" s="65" t="n">
        <f aca="false">IF(T746="",0,IF(T746&lt;12,T746*Controls!$B$29,T746*5))</f>
        <v>71.006745</v>
      </c>
      <c r="AB746" s="65" t="n">
        <f aca="false">IF(E746="",0,NETWORKDAYS(E746,Controls!$B$36,Ref!$K$2:$K$42))</f>
        <v>108</v>
      </c>
      <c r="AC746" s="65" t="n">
        <f aca="false">IF(AND(AA746&gt;0,AB746&gt;=Controls!$B$39*AA746),1,0)</f>
        <v>1</v>
      </c>
      <c r="AD746" s="65" t="n">
        <f aca="false">IF(AND(E746&lt;&gt;"",E746&gt;=Controls!$B$37,E746&lt;=Controls!$B$38),1,0)</f>
        <v>1</v>
      </c>
      <c r="AE746" s="65" t="n">
        <f aca="false">IF(IFERROR(VLOOKUP(D746,Controls!$A$64:$E$74,2,FALSE()),"No")="Yes",1,0)</f>
        <v>0</v>
      </c>
      <c r="AF746" s="65" t="n">
        <f aca="false">IF(IFERROR(VLOOKUP(D746,Controls!$A$64:$E$74,3,FALSE()),"No")="Yes",1,0)</f>
        <v>1</v>
      </c>
      <c r="AG746" s="65" t="n">
        <f aca="false">IF(IFERROR(VLOOKUP(D746,Controls!$A$64:$E$74,4,FALSE()),"No")="Yes",1,0)</f>
        <v>1</v>
      </c>
      <c r="AH746" s="65" t="n">
        <f aca="false">IF(IFERROR(VLOOKUP(D746,Controls!$A$64:$E$74,5,FALSE()),"No")="Yes",1,0)</f>
        <v>0</v>
      </c>
      <c r="AI746" s="65" t="n">
        <f aca="false">IF(ISNUMBER(MATCH(D746,Controls!$A$64:$A$74,0)),1,0)</f>
        <v>1</v>
      </c>
      <c r="AJ746" s="65" t="n">
        <f aca="false">Q746-N746</f>
        <v>8330</v>
      </c>
      <c r="AK746" s="65" t="n">
        <f aca="false">IF(AE746=1,MAX(0,N746-Q746),0)</f>
        <v>0</v>
      </c>
      <c r="AL746" s="65" t="n">
        <f aca="false">IF(OR(V746="",V746=0),0,N746/V746)</f>
        <v>0.35967577556147</v>
      </c>
      <c r="AM746" s="65" t="n">
        <f aca="false">IF(OR(V746="",V746=0),0,1)</f>
        <v>1</v>
      </c>
      <c r="AN746" s="65" t="n">
        <f aca="false">IF(OR(E746="",F746=""),0,NETWORKDAYS(E746,F746,Ref!$K$2:$K$42))</f>
        <v>50</v>
      </c>
      <c r="AO746" s="65" t="n">
        <f aca="false">IF(L746="Renewal",1,0)</f>
        <v>1</v>
      </c>
      <c r="AP746" s="65" t="n">
        <f aca="false">AC746*AD746</f>
        <v>1</v>
      </c>
      <c r="AQ746" s="65" t="n">
        <f aca="false">IF(AND(G746&lt;&gt;"",'Historical Score'!$C$6&lt;&gt;""),IF(G746='Historical Score'!$C$6,1,0),0)</f>
        <v>0</v>
      </c>
      <c r="AR746" s="65" t="n">
        <f aca="false">IF(AND(L746&lt;&gt;"",'Historical Score'!$C$5&lt;&gt;""),IF(L746='Historical Score'!$C$5,1,0),0)</f>
        <v>0</v>
      </c>
      <c r="AS746" s="65" t="n">
        <f aca="false">IF(AND(Y746&lt;&gt;"",'Historical Score'!$C$7&lt;&gt;""),IF(Y746='Historical Score'!$C$7,1,0),0)</f>
        <v>0</v>
      </c>
      <c r="AT746" s="65" t="n">
        <f aca="false">IF(AND(K746&lt;&gt;"",'Historical Score'!$C$8&lt;&gt;""),IF(K746='Historical Score'!$C$8,1,0),0)</f>
        <v>0</v>
      </c>
      <c r="AU746" s="65" t="n">
        <f aca="false">IF(AND(J746&lt;&gt;"",'Historical Score'!$C$9&lt;&gt;""),IF(J746='Historical Score'!$C$9,1,0),0)</f>
        <v>0</v>
      </c>
      <c r="AV746" s="65" t="n">
        <f aca="false">AR746*AS746*AQ746</f>
        <v>0</v>
      </c>
      <c r="AW746" s="65" t="n">
        <f aca="false">AR746*AT746*AQ746</f>
        <v>0</v>
      </c>
      <c r="AX746" s="65" t="n">
        <f aca="false">AR746*AS746</f>
        <v>0</v>
      </c>
      <c r="AY746" s="65" t="n">
        <f aca="false">AR746*AT746</f>
        <v>0</v>
      </c>
      <c r="AZ746" s="65" t="n">
        <f aca="false">AR746*AQ746</f>
        <v>0</v>
      </c>
      <c r="BA746" s="65" t="n">
        <f aca="false">AR746</f>
        <v>0</v>
      </c>
      <c r="BB746" s="65" t="n">
        <f aca="false">1</f>
        <v>1</v>
      </c>
      <c r="BC746" s="65" t="n">
        <f aca="false">IF(AV746=1,1,IF(AW746=1,2,IF(AX746=1,3,IF(AY746=1,4,IF(AZ746=1,5,IF(BA746=1,6,7))))))</f>
        <v>7</v>
      </c>
      <c r="BD746" s="65" t="n">
        <f aca="false">IF(AD746=1,CHOOSE('Historical Score'!$C$29,AV746,AW746,AX746,AY746,AZ746,BA746,BB746),0)</f>
        <v>0</v>
      </c>
      <c r="BE746" s="65" t="str">
        <f aca="false">IF(BD746=1,COUNTIF($BD$2:BD746,1),"")</f>
        <v/>
      </c>
    </row>
    <row r="747" customFormat="false" ht="15" hidden="false" customHeight="false" outlineLevel="0" collapsed="false">
      <c r="A747" s="65" t="s">
        <v>2449</v>
      </c>
      <c r="B747" s="65" t="s">
        <v>2450</v>
      </c>
      <c r="C747" s="65" t="s">
        <v>2451</v>
      </c>
      <c r="D747" s="65" t="s">
        <v>533</v>
      </c>
      <c r="E747" s="112" t="n">
        <v>46106</v>
      </c>
      <c r="F747" s="112" t="n">
        <v>46206</v>
      </c>
      <c r="G747" s="65" t="n">
        <v>3</v>
      </c>
      <c r="H747" s="65" t="s">
        <v>494</v>
      </c>
      <c r="I747" s="65" t="s">
        <v>484</v>
      </c>
      <c r="J747" s="65" t="s">
        <v>452</v>
      </c>
      <c r="K747" s="65" t="s">
        <v>501</v>
      </c>
      <c r="L747" s="65" t="s">
        <v>64</v>
      </c>
      <c r="M747" s="113" t="n">
        <v>1.49</v>
      </c>
      <c r="N747" s="114" t="n">
        <v>15000</v>
      </c>
      <c r="O747" s="114" t="n">
        <v>2100</v>
      </c>
      <c r="P747" s="114" t="n">
        <v>22350</v>
      </c>
      <c r="Q747" s="114" t="n">
        <v>4655.25</v>
      </c>
      <c r="R747" s="114" t="n">
        <v>17694.75</v>
      </c>
      <c r="S747" s="115" t="n">
        <v>0.208288590604027</v>
      </c>
      <c r="T747" s="65" t="n">
        <v>24</v>
      </c>
      <c r="U747" s="65" t="n">
        <v>10</v>
      </c>
      <c r="V747" s="65" t="n">
        <v>20295.44</v>
      </c>
      <c r="W747" s="115" t="n">
        <v>0.1835</v>
      </c>
      <c r="X747" s="112" t="n">
        <v>45887</v>
      </c>
      <c r="Y747" s="65" t="str">
        <f aca="false">IF(I747="","No SIC",IFERROR(VLOOKUP(I747,Ref!$A$2:$B$65,2,FALSE()),"Unclassified"))</f>
        <v>Special Trade Contractors</v>
      </c>
      <c r="Z747" s="65" t="str">
        <f aca="false">IF(T747="","",IF(T747&lt;12,"Daily","Weekly"))</f>
        <v>Weekly</v>
      </c>
      <c r="AA747" s="65" t="n">
        <f aca="false">IF(T747="",0,IF(T747&lt;12,T747*Controls!$B$29,T747*5))</f>
        <v>120</v>
      </c>
      <c r="AB747" s="65" t="n">
        <f aca="false">IF(E747="",0,NETWORKDAYS(E747,Controls!$B$36,Ref!$K$2:$K$42))</f>
        <v>108</v>
      </c>
      <c r="AC747" s="65" t="n">
        <f aca="false">IF(AND(AA747&gt;0,AB747&gt;=Controls!$B$39*AA747),1,0)</f>
        <v>0</v>
      </c>
      <c r="AD747" s="65" t="n">
        <f aca="false">IF(AND(E747&lt;&gt;"",E747&gt;=Controls!$B$37,E747&lt;=Controls!$B$38),1,0)</f>
        <v>1</v>
      </c>
      <c r="AE747" s="65" t="n">
        <f aca="false">IF(IFERROR(VLOOKUP(D747,Controls!$A$64:$E$74,2,FALSE()),"No")="Yes",1,0)</f>
        <v>1</v>
      </c>
      <c r="AF747" s="65" t="n">
        <f aca="false">IF(IFERROR(VLOOKUP(D747,Controls!$A$64:$E$74,3,FALSE()),"No")="Yes",1,0)</f>
        <v>0</v>
      </c>
      <c r="AG747" s="65" t="n">
        <f aca="false">IF(IFERROR(VLOOKUP(D747,Controls!$A$64:$E$74,4,FALSE()),"No")="Yes",1,0)</f>
        <v>0</v>
      </c>
      <c r="AH747" s="65" t="n">
        <f aca="false">IF(IFERROR(VLOOKUP(D747,Controls!$A$64:$E$74,5,FALSE()),"No")="Yes",1,0)</f>
        <v>0</v>
      </c>
      <c r="AI747" s="65" t="n">
        <f aca="false">IF(ISNUMBER(MATCH(D747,Controls!$A$64:$A$74,0)),1,0)</f>
        <v>1</v>
      </c>
      <c r="AJ747" s="65" t="n">
        <f aca="false">Q747-N747</f>
        <v>-10344.75</v>
      </c>
      <c r="AK747" s="65" t="n">
        <f aca="false">IF(AE747=1,MAX(0,N747-Q747),0)</f>
        <v>10344.75</v>
      </c>
      <c r="AL747" s="65" t="n">
        <f aca="false">IF(OR(V747="",V747=0),0,N747/V747)</f>
        <v>0.739082276609918</v>
      </c>
      <c r="AM747" s="65" t="n">
        <f aca="false">IF(OR(V747="",V747=0),0,1)</f>
        <v>1</v>
      </c>
      <c r="AN747" s="65" t="n">
        <f aca="false">IF(OR(E747="",F747=""),0,NETWORKDAYS(E747,F747,Ref!$K$2:$K$42))</f>
        <v>71</v>
      </c>
      <c r="AO747" s="65" t="n">
        <f aca="false">IF(L747="Renewal",1,0)</f>
        <v>0</v>
      </c>
      <c r="AP747" s="65" t="n">
        <f aca="false">AC747*AD747</f>
        <v>0</v>
      </c>
      <c r="AQ747" s="65" t="n">
        <f aca="false">IF(AND(G747&lt;&gt;"",'Historical Score'!$C$6&lt;&gt;""),IF(G747='Historical Score'!$C$6,1,0),0)</f>
        <v>0</v>
      </c>
      <c r="AR747" s="65" t="n">
        <f aca="false">IF(AND(L747&lt;&gt;"",'Historical Score'!$C$5&lt;&gt;""),IF(L747='Historical Score'!$C$5,1,0),0)</f>
        <v>1</v>
      </c>
      <c r="AS747" s="65" t="n">
        <f aca="false">IF(AND(Y747&lt;&gt;"",'Historical Score'!$C$7&lt;&gt;""),IF(Y747='Historical Score'!$C$7,1,0),0)</f>
        <v>0</v>
      </c>
      <c r="AT747" s="65" t="n">
        <f aca="false">IF(AND(K747&lt;&gt;"",'Historical Score'!$C$8&lt;&gt;""),IF(K747='Historical Score'!$C$8,1,0),0)</f>
        <v>0</v>
      </c>
      <c r="AU747" s="65" t="n">
        <f aca="false">IF(AND(J747&lt;&gt;"",'Historical Score'!$C$9&lt;&gt;""),IF(J747='Historical Score'!$C$9,1,0),0)</f>
        <v>0</v>
      </c>
      <c r="AV747" s="65" t="n">
        <f aca="false">AR747*AS747*AQ747</f>
        <v>0</v>
      </c>
      <c r="AW747" s="65" t="n">
        <f aca="false">AR747*AT747*AQ747</f>
        <v>0</v>
      </c>
      <c r="AX747" s="65" t="n">
        <f aca="false">AR747*AS747</f>
        <v>0</v>
      </c>
      <c r="AY747" s="65" t="n">
        <f aca="false">AR747*AT747</f>
        <v>0</v>
      </c>
      <c r="AZ747" s="65" t="n">
        <f aca="false">AR747*AQ747</f>
        <v>0</v>
      </c>
      <c r="BA747" s="65" t="n">
        <f aca="false">AR747</f>
        <v>1</v>
      </c>
      <c r="BB747" s="65" t="n">
        <f aca="false">1</f>
        <v>1</v>
      </c>
      <c r="BC747" s="65" t="n">
        <f aca="false">IF(AV747=1,1,IF(AW747=1,2,IF(AX747=1,3,IF(AY747=1,4,IF(AZ747=1,5,IF(BA747=1,6,7))))))</f>
        <v>6</v>
      </c>
      <c r="BD747" s="65" t="n">
        <f aca="false">IF(AD747=1,CHOOSE('Historical Score'!$C$29,AV747,AW747,AX747,AY747,AZ747,BA747,BB747),0)</f>
        <v>0</v>
      </c>
      <c r="BE747" s="65" t="str">
        <f aca="false">IF(BD747=1,COUNTIF($BD$2:BD747,1),"")</f>
        <v/>
      </c>
    </row>
    <row r="748" customFormat="false" ht="15" hidden="false" customHeight="false" outlineLevel="0" collapsed="false">
      <c r="A748" s="65" t="s">
        <v>2452</v>
      </c>
      <c r="B748" s="65" t="s">
        <v>2453</v>
      </c>
      <c r="C748" s="65" t="s">
        <v>2453</v>
      </c>
      <c r="D748" s="65" t="s">
        <v>295</v>
      </c>
      <c r="E748" s="112" t="n">
        <v>46107</v>
      </c>
      <c r="F748" s="112" t="n">
        <v>46253</v>
      </c>
      <c r="G748" s="65" t="n">
        <v>2</v>
      </c>
      <c r="H748" s="65" t="s">
        <v>436</v>
      </c>
      <c r="I748" s="65" t="s">
        <v>437</v>
      </c>
      <c r="J748" s="65" t="s">
        <v>61</v>
      </c>
      <c r="K748" s="65" t="s">
        <v>55</v>
      </c>
      <c r="L748" s="65" t="s">
        <v>64</v>
      </c>
      <c r="M748" s="113" t="n">
        <v>1.49</v>
      </c>
      <c r="N748" s="114" t="n">
        <v>18000</v>
      </c>
      <c r="O748" s="114" t="n">
        <v>2520</v>
      </c>
      <c r="P748" s="114" t="n">
        <v>26820</v>
      </c>
      <c r="Q748" s="114" t="n">
        <v>19571.16</v>
      </c>
      <c r="R748" s="114" t="n">
        <v>7248.84</v>
      </c>
      <c r="S748" s="115" t="n">
        <v>0.7297225950783</v>
      </c>
      <c r="T748" s="65" t="n">
        <v>3.77</v>
      </c>
      <c r="U748" s="65" t="n">
        <v>18</v>
      </c>
      <c r="V748" s="65" t="n">
        <v>166424.4</v>
      </c>
      <c r="W748" s="115" t="n">
        <v>0.0294</v>
      </c>
      <c r="X748" s="112" t="n">
        <v>41369</v>
      </c>
      <c r="Y748" s="65" t="str">
        <f aca="false">IF(I748="","No SIC",IFERROR(VLOOKUP(I748,Ref!$A$2:$B$65,2,FALSE()),"Unclassified"))</f>
        <v>Social Services</v>
      </c>
      <c r="Z748" s="65" t="str">
        <f aca="false">IF(T748="","",IF(T748&lt;12,"Daily","Weekly"))</f>
        <v>Daily</v>
      </c>
      <c r="AA748" s="65" t="n">
        <f aca="false">IF(T748="",0,IF(T748&lt;12,T748*Controls!$B$29,T748*5))</f>
        <v>81.63935</v>
      </c>
      <c r="AB748" s="65" t="n">
        <f aca="false">IF(E748="",0,NETWORKDAYS(E748,Controls!$B$36,Ref!$K$2:$K$42))</f>
        <v>107</v>
      </c>
      <c r="AC748" s="65" t="n">
        <f aca="false">IF(AND(AA748&gt;0,AB748&gt;=Controls!$B$39*AA748),1,0)</f>
        <v>1</v>
      </c>
      <c r="AD748" s="65" t="n">
        <f aca="false">IF(AND(E748&lt;&gt;"",E748&gt;=Controls!$B$37,E748&lt;=Controls!$B$38),1,0)</f>
        <v>1</v>
      </c>
      <c r="AE748" s="65" t="n">
        <f aca="false">IF(IFERROR(VLOOKUP(D748,Controls!$A$64:$E$74,2,FALSE()),"No")="Yes",1,0)</f>
        <v>0</v>
      </c>
      <c r="AF748" s="65" t="n">
        <f aca="false">IF(IFERROR(VLOOKUP(D748,Controls!$A$64:$E$74,3,FALSE()),"No")="Yes",1,0)</f>
        <v>0</v>
      </c>
      <c r="AG748" s="65" t="n">
        <f aca="false">IF(IFERROR(VLOOKUP(D748,Controls!$A$64:$E$74,4,FALSE()),"No")="Yes",1,0)</f>
        <v>0</v>
      </c>
      <c r="AH748" s="65" t="n">
        <f aca="false">IF(IFERROR(VLOOKUP(D748,Controls!$A$64:$E$74,5,FALSE()),"No")="Yes",1,0)</f>
        <v>1</v>
      </c>
      <c r="AI748" s="65" t="n">
        <f aca="false">IF(ISNUMBER(MATCH(D748,Controls!$A$64:$A$74,0)),1,0)</f>
        <v>1</v>
      </c>
      <c r="AJ748" s="65" t="n">
        <f aca="false">Q748-N748</f>
        <v>1571.16</v>
      </c>
      <c r="AK748" s="65" t="n">
        <f aca="false">IF(AE748=1,MAX(0,N748-Q748),0)</f>
        <v>0</v>
      </c>
      <c r="AL748" s="65" t="n">
        <f aca="false">IF(OR(V748="",V748=0),0,N748/V748)</f>
        <v>0.108157217331113</v>
      </c>
      <c r="AM748" s="65" t="n">
        <f aca="false">IF(OR(V748="",V748=0),0,1)</f>
        <v>1</v>
      </c>
      <c r="AN748" s="65" t="n">
        <f aca="false">IF(OR(E748="",F748=""),0,NETWORKDAYS(E748,F748,Ref!$K$2:$K$42))</f>
        <v>103</v>
      </c>
      <c r="AO748" s="65" t="n">
        <f aca="false">IF(L748="Renewal",1,0)</f>
        <v>0</v>
      </c>
      <c r="AP748" s="65" t="n">
        <f aca="false">AC748*AD748</f>
        <v>1</v>
      </c>
      <c r="AQ748" s="65" t="n">
        <f aca="false">IF(AND(G748&lt;&gt;"",'Historical Score'!$C$6&lt;&gt;""),IF(G748='Historical Score'!$C$6,1,0),0)</f>
        <v>1</v>
      </c>
      <c r="AR748" s="65" t="n">
        <f aca="false">IF(AND(L748&lt;&gt;"",'Historical Score'!$C$5&lt;&gt;""),IF(L748='Historical Score'!$C$5,1,0),0)</f>
        <v>1</v>
      </c>
      <c r="AS748" s="65" t="n">
        <f aca="false">IF(AND(Y748&lt;&gt;"",'Historical Score'!$C$7&lt;&gt;""),IF(Y748='Historical Score'!$C$7,1,0),0)</f>
        <v>0</v>
      </c>
      <c r="AT748" s="65" t="n">
        <f aca="false">IF(AND(K748&lt;&gt;"",'Historical Score'!$C$8&lt;&gt;""),IF(K748='Historical Score'!$C$8,1,0),0)</f>
        <v>1</v>
      </c>
      <c r="AU748" s="65" t="n">
        <f aca="false">IF(AND(J748&lt;&gt;"",'Historical Score'!$C$9&lt;&gt;""),IF(J748='Historical Score'!$C$9,1,0),0)</f>
        <v>1</v>
      </c>
      <c r="AV748" s="65" t="n">
        <f aca="false">AR748*AS748*AQ748</f>
        <v>0</v>
      </c>
      <c r="AW748" s="65" t="n">
        <f aca="false">AR748*AT748*AQ748</f>
        <v>1</v>
      </c>
      <c r="AX748" s="65" t="n">
        <f aca="false">AR748*AS748</f>
        <v>0</v>
      </c>
      <c r="AY748" s="65" t="n">
        <f aca="false">AR748*AT748</f>
        <v>1</v>
      </c>
      <c r="AZ748" s="65" t="n">
        <f aca="false">AR748*AQ748</f>
        <v>1</v>
      </c>
      <c r="BA748" s="65" t="n">
        <f aca="false">AR748</f>
        <v>1</v>
      </c>
      <c r="BB748" s="65" t="n">
        <f aca="false">1</f>
        <v>1</v>
      </c>
      <c r="BC748" s="65" t="n">
        <f aca="false">IF(AV748=1,1,IF(AW748=1,2,IF(AX748=1,3,IF(AY748=1,4,IF(AZ748=1,5,IF(BA748=1,6,7))))))</f>
        <v>2</v>
      </c>
      <c r="BD748" s="65" t="n">
        <f aca="false">IF(AD748=1,CHOOSE('Historical Score'!$C$29,AV748,AW748,AX748,AY748,AZ748,BA748,BB748),0)</f>
        <v>0</v>
      </c>
      <c r="BE748" s="65" t="str">
        <f aca="false">IF(BD748=1,COUNTIF($BD$2:BD748,1),"")</f>
        <v/>
      </c>
    </row>
    <row r="749" customFormat="false" ht="15" hidden="false" customHeight="false" outlineLevel="0" collapsed="false">
      <c r="A749" s="65" t="s">
        <v>2454</v>
      </c>
      <c r="B749" s="65" t="s">
        <v>2455</v>
      </c>
      <c r="C749" s="65" t="s">
        <v>2455</v>
      </c>
      <c r="D749" s="65" t="s">
        <v>371</v>
      </c>
      <c r="E749" s="112" t="n">
        <v>46107</v>
      </c>
      <c r="F749" s="112" t="n">
        <v>46164</v>
      </c>
      <c r="G749" s="65" t="n">
        <v>3</v>
      </c>
      <c r="H749" s="65" t="s">
        <v>637</v>
      </c>
      <c r="I749" s="65" t="s">
        <v>484</v>
      </c>
      <c r="J749" s="65" t="s">
        <v>506</v>
      </c>
      <c r="K749" s="65" t="s">
        <v>55</v>
      </c>
      <c r="L749" s="65" t="s">
        <v>64</v>
      </c>
      <c r="M749" s="113" t="n">
        <v>1.49</v>
      </c>
      <c r="N749" s="114" t="n">
        <v>28000</v>
      </c>
      <c r="O749" s="114" t="n">
        <v>3920</v>
      </c>
      <c r="P749" s="114" t="n">
        <v>41720</v>
      </c>
      <c r="Q749" s="114" t="n">
        <v>41720</v>
      </c>
      <c r="R749" s="114" t="n">
        <v>0</v>
      </c>
      <c r="S749" s="115" t="n">
        <v>1</v>
      </c>
      <c r="T749" s="65" t="n">
        <v>20</v>
      </c>
      <c r="U749" s="65" t="n">
        <v>2</v>
      </c>
      <c r="V749" s="65" t="n">
        <v>57015.76</v>
      </c>
      <c r="W749" s="115" t="n">
        <v>0.1463</v>
      </c>
      <c r="X749" s="112" t="n">
        <v>44034</v>
      </c>
      <c r="Y749" s="65" t="str">
        <f aca="false">IF(I749="","No SIC",IFERROR(VLOOKUP(I749,Ref!$A$2:$B$65,2,FALSE()),"Unclassified"))</f>
        <v>Special Trade Contractors</v>
      </c>
      <c r="Z749" s="65" t="str">
        <f aca="false">IF(T749="","",IF(T749&lt;12,"Daily","Weekly"))</f>
        <v>Weekly</v>
      </c>
      <c r="AA749" s="65" t="n">
        <f aca="false">IF(T749="",0,IF(T749&lt;12,T749*Controls!$B$29,T749*5))</f>
        <v>100</v>
      </c>
      <c r="AB749" s="65" t="n">
        <f aca="false">IF(E749="",0,NETWORKDAYS(E749,Controls!$B$36,Ref!$K$2:$K$42))</f>
        <v>107</v>
      </c>
      <c r="AC749" s="65" t="n">
        <f aca="false">IF(AND(AA749&gt;0,AB749&gt;=Controls!$B$39*AA749),1,0)</f>
        <v>0</v>
      </c>
      <c r="AD749" s="65" t="n">
        <f aca="false">IF(AND(E749&lt;&gt;"",E749&gt;=Controls!$B$37,E749&lt;=Controls!$B$38),1,0)</f>
        <v>1</v>
      </c>
      <c r="AE749" s="65" t="n">
        <f aca="false">IF(IFERROR(VLOOKUP(D749,Controls!$A$64:$E$74,2,FALSE()),"No")="Yes",1,0)</f>
        <v>0</v>
      </c>
      <c r="AF749" s="65" t="n">
        <f aca="false">IF(IFERROR(VLOOKUP(D749,Controls!$A$64:$E$74,3,FALSE()),"No")="Yes",1,0)</f>
        <v>1</v>
      </c>
      <c r="AG749" s="65" t="n">
        <f aca="false">IF(IFERROR(VLOOKUP(D749,Controls!$A$64:$E$74,4,FALSE()),"No")="Yes",1,0)</f>
        <v>1</v>
      </c>
      <c r="AH749" s="65" t="n">
        <f aca="false">IF(IFERROR(VLOOKUP(D749,Controls!$A$64:$E$74,5,FALSE()),"No")="Yes",1,0)</f>
        <v>0</v>
      </c>
      <c r="AI749" s="65" t="n">
        <f aca="false">IF(ISNUMBER(MATCH(D749,Controls!$A$64:$A$74,0)),1,0)</f>
        <v>1</v>
      </c>
      <c r="AJ749" s="65" t="n">
        <f aca="false">Q749-N749</f>
        <v>13720</v>
      </c>
      <c r="AK749" s="65" t="n">
        <f aca="false">IF(AE749=1,MAX(0,N749-Q749),0)</f>
        <v>0</v>
      </c>
      <c r="AL749" s="65" t="n">
        <f aca="false">IF(OR(V749="",V749=0),0,N749/V749)</f>
        <v>0.491092287465781</v>
      </c>
      <c r="AM749" s="65" t="n">
        <f aca="false">IF(OR(V749="",V749=0),0,1)</f>
        <v>1</v>
      </c>
      <c r="AN749" s="65" t="n">
        <f aca="false">IF(OR(E749="",F749=""),0,NETWORKDAYS(E749,F749,Ref!$K$2:$K$42))</f>
        <v>42</v>
      </c>
      <c r="AO749" s="65" t="n">
        <f aca="false">IF(L749="Renewal",1,0)</f>
        <v>0</v>
      </c>
      <c r="AP749" s="65" t="n">
        <f aca="false">AC749*AD749</f>
        <v>0</v>
      </c>
      <c r="AQ749" s="65" t="n">
        <f aca="false">IF(AND(G749&lt;&gt;"",'Historical Score'!$C$6&lt;&gt;""),IF(G749='Historical Score'!$C$6,1,0),0)</f>
        <v>0</v>
      </c>
      <c r="AR749" s="65" t="n">
        <f aca="false">IF(AND(L749&lt;&gt;"",'Historical Score'!$C$5&lt;&gt;""),IF(L749='Historical Score'!$C$5,1,0),0)</f>
        <v>1</v>
      </c>
      <c r="AS749" s="65" t="n">
        <f aca="false">IF(AND(Y749&lt;&gt;"",'Historical Score'!$C$7&lt;&gt;""),IF(Y749='Historical Score'!$C$7,1,0),0)</f>
        <v>0</v>
      </c>
      <c r="AT749" s="65" t="n">
        <f aca="false">IF(AND(K749&lt;&gt;"",'Historical Score'!$C$8&lt;&gt;""),IF(K749='Historical Score'!$C$8,1,0),0)</f>
        <v>1</v>
      </c>
      <c r="AU749" s="65" t="n">
        <f aca="false">IF(AND(J749&lt;&gt;"",'Historical Score'!$C$9&lt;&gt;""),IF(J749='Historical Score'!$C$9,1,0),0)</f>
        <v>0</v>
      </c>
      <c r="AV749" s="65" t="n">
        <f aca="false">AR749*AS749*AQ749</f>
        <v>0</v>
      </c>
      <c r="AW749" s="65" t="n">
        <f aca="false">AR749*AT749*AQ749</f>
        <v>0</v>
      </c>
      <c r="AX749" s="65" t="n">
        <f aca="false">AR749*AS749</f>
        <v>0</v>
      </c>
      <c r="AY749" s="65" t="n">
        <f aca="false">AR749*AT749</f>
        <v>1</v>
      </c>
      <c r="AZ749" s="65" t="n">
        <f aca="false">AR749*AQ749</f>
        <v>0</v>
      </c>
      <c r="BA749" s="65" t="n">
        <f aca="false">AR749</f>
        <v>1</v>
      </c>
      <c r="BB749" s="65" t="n">
        <f aca="false">1</f>
        <v>1</v>
      </c>
      <c r="BC749" s="65" t="n">
        <f aca="false">IF(AV749=1,1,IF(AW749=1,2,IF(AX749=1,3,IF(AY749=1,4,IF(AZ749=1,5,IF(BA749=1,6,7))))))</f>
        <v>4</v>
      </c>
      <c r="BD749" s="65" t="n">
        <f aca="false">IF(AD749=1,CHOOSE('Historical Score'!$C$29,AV749,AW749,AX749,AY749,AZ749,BA749,BB749),0)</f>
        <v>0</v>
      </c>
      <c r="BE749" s="65" t="str">
        <f aca="false">IF(BD749=1,COUNTIF($BD$2:BD749,1),"")</f>
        <v/>
      </c>
    </row>
    <row r="750" customFormat="false" ht="15" hidden="false" customHeight="false" outlineLevel="0" collapsed="false">
      <c r="A750" s="65" t="s">
        <v>2456</v>
      </c>
      <c r="B750" s="65" t="s">
        <v>2457</v>
      </c>
      <c r="C750" s="65" t="s">
        <v>2457</v>
      </c>
      <c r="D750" s="65" t="s">
        <v>371</v>
      </c>
      <c r="E750" s="112" t="n">
        <v>46107</v>
      </c>
      <c r="F750" s="112" t="n">
        <v>46182</v>
      </c>
      <c r="G750" s="65" t="n">
        <v>3</v>
      </c>
      <c r="H750" s="65" t="s">
        <v>436</v>
      </c>
      <c r="I750" s="65" t="s">
        <v>437</v>
      </c>
      <c r="J750" s="65" t="s">
        <v>420</v>
      </c>
      <c r="K750" s="65" t="s">
        <v>55</v>
      </c>
      <c r="L750" s="65" t="s">
        <v>64</v>
      </c>
      <c r="M750" s="113" t="n">
        <v>1.49</v>
      </c>
      <c r="N750" s="114" t="n">
        <v>20000</v>
      </c>
      <c r="O750" s="114" t="n">
        <v>2800</v>
      </c>
      <c r="P750" s="114" t="n">
        <v>29800</v>
      </c>
      <c r="Q750" s="114" t="n">
        <v>29800</v>
      </c>
      <c r="R750" s="114" t="n">
        <v>0</v>
      </c>
      <c r="S750" s="115" t="n">
        <v>1</v>
      </c>
      <c r="T750" s="65" t="n">
        <v>22</v>
      </c>
      <c r="U750" s="65" t="n">
        <v>0</v>
      </c>
      <c r="V750" s="65" t="n">
        <v>24532.07</v>
      </c>
      <c r="W750" s="115" t="n">
        <v>0.2209</v>
      </c>
      <c r="X750" s="112" t="n">
        <v>43181</v>
      </c>
      <c r="Y750" s="65" t="str">
        <f aca="false">IF(I750="","No SIC",IFERROR(VLOOKUP(I750,Ref!$A$2:$B$65,2,FALSE()),"Unclassified"))</f>
        <v>Social Services</v>
      </c>
      <c r="Z750" s="65" t="str">
        <f aca="false">IF(T750="","",IF(T750&lt;12,"Daily","Weekly"))</f>
        <v>Weekly</v>
      </c>
      <c r="AA750" s="65" t="n">
        <f aca="false">IF(T750="",0,IF(T750&lt;12,T750*Controls!$B$29,T750*5))</f>
        <v>110</v>
      </c>
      <c r="AB750" s="65" t="n">
        <f aca="false">IF(E750="",0,NETWORKDAYS(E750,Controls!$B$36,Ref!$K$2:$K$42))</f>
        <v>107</v>
      </c>
      <c r="AC750" s="65" t="n">
        <f aca="false">IF(AND(AA750&gt;0,AB750&gt;=Controls!$B$39*AA750),1,0)</f>
        <v>0</v>
      </c>
      <c r="AD750" s="65" t="n">
        <f aca="false">IF(AND(E750&lt;&gt;"",E750&gt;=Controls!$B$37,E750&lt;=Controls!$B$38),1,0)</f>
        <v>1</v>
      </c>
      <c r="AE750" s="65" t="n">
        <f aca="false">IF(IFERROR(VLOOKUP(D750,Controls!$A$64:$E$74,2,FALSE()),"No")="Yes",1,0)</f>
        <v>0</v>
      </c>
      <c r="AF750" s="65" t="n">
        <f aca="false">IF(IFERROR(VLOOKUP(D750,Controls!$A$64:$E$74,3,FALSE()),"No")="Yes",1,0)</f>
        <v>1</v>
      </c>
      <c r="AG750" s="65" t="n">
        <f aca="false">IF(IFERROR(VLOOKUP(D750,Controls!$A$64:$E$74,4,FALSE()),"No")="Yes",1,0)</f>
        <v>1</v>
      </c>
      <c r="AH750" s="65" t="n">
        <f aca="false">IF(IFERROR(VLOOKUP(D750,Controls!$A$64:$E$74,5,FALSE()),"No")="Yes",1,0)</f>
        <v>0</v>
      </c>
      <c r="AI750" s="65" t="n">
        <f aca="false">IF(ISNUMBER(MATCH(D750,Controls!$A$64:$A$74,0)),1,0)</f>
        <v>1</v>
      </c>
      <c r="AJ750" s="65" t="n">
        <f aca="false">Q750-N750</f>
        <v>9800</v>
      </c>
      <c r="AK750" s="65" t="n">
        <f aca="false">IF(AE750=1,MAX(0,N750-Q750),0)</f>
        <v>0</v>
      </c>
      <c r="AL750" s="65" t="n">
        <f aca="false">IF(OR(V750="",V750=0),0,N750/V750)</f>
        <v>0.815259372731286</v>
      </c>
      <c r="AM750" s="65" t="n">
        <f aca="false">IF(OR(V750="",V750=0),0,1)</f>
        <v>1</v>
      </c>
      <c r="AN750" s="65" t="n">
        <f aca="false">IF(OR(E750="",F750=""),0,NETWORKDAYS(E750,F750,Ref!$K$2:$K$42))</f>
        <v>53</v>
      </c>
      <c r="AO750" s="65" t="n">
        <f aca="false">IF(L750="Renewal",1,0)</f>
        <v>0</v>
      </c>
      <c r="AP750" s="65" t="n">
        <f aca="false">AC750*AD750</f>
        <v>0</v>
      </c>
      <c r="AQ750" s="65" t="n">
        <f aca="false">IF(AND(G750&lt;&gt;"",'Historical Score'!$C$6&lt;&gt;""),IF(G750='Historical Score'!$C$6,1,0),0)</f>
        <v>0</v>
      </c>
      <c r="AR750" s="65" t="n">
        <f aca="false">IF(AND(L750&lt;&gt;"",'Historical Score'!$C$5&lt;&gt;""),IF(L750='Historical Score'!$C$5,1,0),0)</f>
        <v>1</v>
      </c>
      <c r="AS750" s="65" t="n">
        <f aca="false">IF(AND(Y750&lt;&gt;"",'Historical Score'!$C$7&lt;&gt;""),IF(Y750='Historical Score'!$C$7,1,0),0)</f>
        <v>0</v>
      </c>
      <c r="AT750" s="65" t="n">
        <f aca="false">IF(AND(K750&lt;&gt;"",'Historical Score'!$C$8&lt;&gt;""),IF(K750='Historical Score'!$C$8,1,0),0)</f>
        <v>1</v>
      </c>
      <c r="AU750" s="65" t="n">
        <f aca="false">IF(AND(J750&lt;&gt;"",'Historical Score'!$C$9&lt;&gt;""),IF(J750='Historical Score'!$C$9,1,0),0)</f>
        <v>0</v>
      </c>
      <c r="AV750" s="65" t="n">
        <f aca="false">AR750*AS750*AQ750</f>
        <v>0</v>
      </c>
      <c r="AW750" s="65" t="n">
        <f aca="false">AR750*AT750*AQ750</f>
        <v>0</v>
      </c>
      <c r="AX750" s="65" t="n">
        <f aca="false">AR750*AS750</f>
        <v>0</v>
      </c>
      <c r="AY750" s="65" t="n">
        <f aca="false">AR750*AT750</f>
        <v>1</v>
      </c>
      <c r="AZ750" s="65" t="n">
        <f aca="false">AR750*AQ750</f>
        <v>0</v>
      </c>
      <c r="BA750" s="65" t="n">
        <f aca="false">AR750</f>
        <v>1</v>
      </c>
      <c r="BB750" s="65" t="n">
        <f aca="false">1</f>
        <v>1</v>
      </c>
      <c r="BC750" s="65" t="n">
        <f aca="false">IF(AV750=1,1,IF(AW750=1,2,IF(AX750=1,3,IF(AY750=1,4,IF(AZ750=1,5,IF(BA750=1,6,7))))))</f>
        <v>4</v>
      </c>
      <c r="BD750" s="65" t="n">
        <f aca="false">IF(AD750=1,CHOOSE('Historical Score'!$C$29,AV750,AW750,AX750,AY750,AZ750,BA750,BB750),0)</f>
        <v>0</v>
      </c>
      <c r="BE750" s="65" t="str">
        <f aca="false">IF(BD750=1,COUNTIF($BD$2:BD750,1),"")</f>
        <v/>
      </c>
    </row>
    <row r="751" customFormat="false" ht="15" hidden="false" customHeight="false" outlineLevel="0" collapsed="false">
      <c r="A751" s="65" t="s">
        <v>2458</v>
      </c>
      <c r="B751" s="65" t="s">
        <v>1210</v>
      </c>
      <c r="C751" s="65" t="s">
        <v>1211</v>
      </c>
      <c r="D751" s="65" t="s">
        <v>295</v>
      </c>
      <c r="E751" s="112" t="n">
        <v>46107</v>
      </c>
      <c r="F751" s="112" t="n">
        <v>46253</v>
      </c>
      <c r="G751" s="65" t="n">
        <v>3</v>
      </c>
      <c r="H751" s="65" t="s">
        <v>494</v>
      </c>
      <c r="I751" s="65" t="s">
        <v>484</v>
      </c>
      <c r="J751" s="65" t="s">
        <v>61</v>
      </c>
      <c r="K751" s="65" t="s">
        <v>1047</v>
      </c>
      <c r="L751" s="65" t="s">
        <v>320</v>
      </c>
      <c r="M751" s="113" t="n">
        <v>1.49</v>
      </c>
      <c r="N751" s="114" t="n">
        <v>15000</v>
      </c>
      <c r="O751" s="114" t="n">
        <v>2100</v>
      </c>
      <c r="P751" s="114" t="n">
        <v>22350</v>
      </c>
      <c r="Q751" s="114" t="n">
        <v>13657.76</v>
      </c>
      <c r="R751" s="114" t="n">
        <v>8692.24</v>
      </c>
      <c r="S751" s="115" t="n">
        <v>0.611085458612975</v>
      </c>
      <c r="T751" s="65" t="n">
        <v>4.59</v>
      </c>
      <c r="U751" s="65" t="n">
        <v>15</v>
      </c>
      <c r="W751" s="115" t="n">
        <v>0.0464</v>
      </c>
      <c r="X751" s="112" t="n">
        <v>44562</v>
      </c>
      <c r="Y751" s="65" t="str">
        <f aca="false">IF(I751="","No SIC",IFERROR(VLOOKUP(I751,Ref!$A$2:$B$65,2,FALSE()),"Unclassified"))</f>
        <v>Special Trade Contractors</v>
      </c>
      <c r="Z751" s="65" t="str">
        <f aca="false">IF(T751="","",IF(T751&lt;12,"Daily","Weekly"))</f>
        <v>Daily</v>
      </c>
      <c r="AA751" s="65" t="n">
        <f aca="false">IF(T751="",0,IF(T751&lt;12,T751*Controls!$B$29,T751*5))</f>
        <v>99.39645</v>
      </c>
      <c r="AB751" s="65" t="n">
        <f aca="false">IF(E751="",0,NETWORKDAYS(E751,Controls!$B$36,Ref!$K$2:$K$42))</f>
        <v>107</v>
      </c>
      <c r="AC751" s="65" t="n">
        <f aca="false">IF(AND(AA751&gt;0,AB751&gt;=Controls!$B$39*AA751),1,0)</f>
        <v>0</v>
      </c>
      <c r="AD751" s="65" t="n">
        <f aca="false">IF(AND(E751&lt;&gt;"",E751&gt;=Controls!$B$37,E751&lt;=Controls!$B$38),1,0)</f>
        <v>1</v>
      </c>
      <c r="AE751" s="65" t="n">
        <f aca="false">IF(IFERROR(VLOOKUP(D751,Controls!$A$64:$E$74,2,FALSE()),"No")="Yes",1,0)</f>
        <v>0</v>
      </c>
      <c r="AF751" s="65" t="n">
        <f aca="false">IF(IFERROR(VLOOKUP(D751,Controls!$A$64:$E$74,3,FALSE()),"No")="Yes",1,0)</f>
        <v>0</v>
      </c>
      <c r="AG751" s="65" t="n">
        <f aca="false">IF(IFERROR(VLOOKUP(D751,Controls!$A$64:$E$74,4,FALSE()),"No")="Yes",1,0)</f>
        <v>0</v>
      </c>
      <c r="AH751" s="65" t="n">
        <f aca="false">IF(IFERROR(VLOOKUP(D751,Controls!$A$64:$E$74,5,FALSE()),"No")="Yes",1,0)</f>
        <v>1</v>
      </c>
      <c r="AI751" s="65" t="n">
        <f aca="false">IF(ISNUMBER(MATCH(D751,Controls!$A$64:$A$74,0)),1,0)</f>
        <v>1</v>
      </c>
      <c r="AJ751" s="65" t="n">
        <f aca="false">Q751-N751</f>
        <v>-1342.24</v>
      </c>
      <c r="AK751" s="65" t="n">
        <f aca="false">IF(AE751=1,MAX(0,N751-Q751),0)</f>
        <v>0</v>
      </c>
      <c r="AL751" s="65" t="n">
        <f aca="false">IF(OR(V751="",V751=0),0,N751/V751)</f>
        <v>0</v>
      </c>
      <c r="AM751" s="65" t="n">
        <f aca="false">IF(OR(V751="",V751=0),0,1)</f>
        <v>0</v>
      </c>
      <c r="AN751" s="65" t="n">
        <f aca="false">IF(OR(E751="",F751=""),0,NETWORKDAYS(E751,F751,Ref!$K$2:$K$42))</f>
        <v>103</v>
      </c>
      <c r="AO751" s="65" t="n">
        <f aca="false">IF(L751="Renewal",1,0)</f>
        <v>1</v>
      </c>
      <c r="AP751" s="65" t="n">
        <f aca="false">AC751*AD751</f>
        <v>0</v>
      </c>
      <c r="AQ751" s="65" t="n">
        <f aca="false">IF(AND(G751&lt;&gt;"",'Historical Score'!$C$6&lt;&gt;""),IF(G751='Historical Score'!$C$6,1,0),0)</f>
        <v>0</v>
      </c>
      <c r="AR751" s="65" t="n">
        <f aca="false">IF(AND(L751&lt;&gt;"",'Historical Score'!$C$5&lt;&gt;""),IF(L751='Historical Score'!$C$5,1,0),0)</f>
        <v>0</v>
      </c>
      <c r="AS751" s="65" t="n">
        <f aca="false">IF(AND(Y751&lt;&gt;"",'Historical Score'!$C$7&lt;&gt;""),IF(Y751='Historical Score'!$C$7,1,0),0)</f>
        <v>0</v>
      </c>
      <c r="AT751" s="65" t="n">
        <f aca="false">IF(AND(K751&lt;&gt;"",'Historical Score'!$C$8&lt;&gt;""),IF(K751='Historical Score'!$C$8,1,0),0)</f>
        <v>0</v>
      </c>
      <c r="AU751" s="65" t="n">
        <f aca="false">IF(AND(J751&lt;&gt;"",'Historical Score'!$C$9&lt;&gt;""),IF(J751='Historical Score'!$C$9,1,0),0)</f>
        <v>1</v>
      </c>
      <c r="AV751" s="65" t="n">
        <f aca="false">AR751*AS751*AQ751</f>
        <v>0</v>
      </c>
      <c r="AW751" s="65" t="n">
        <f aca="false">AR751*AT751*AQ751</f>
        <v>0</v>
      </c>
      <c r="AX751" s="65" t="n">
        <f aca="false">AR751*AS751</f>
        <v>0</v>
      </c>
      <c r="AY751" s="65" t="n">
        <f aca="false">AR751*AT751</f>
        <v>0</v>
      </c>
      <c r="AZ751" s="65" t="n">
        <f aca="false">AR751*AQ751</f>
        <v>0</v>
      </c>
      <c r="BA751" s="65" t="n">
        <f aca="false">AR751</f>
        <v>0</v>
      </c>
      <c r="BB751" s="65" t="n">
        <f aca="false">1</f>
        <v>1</v>
      </c>
      <c r="BC751" s="65" t="n">
        <f aca="false">IF(AV751=1,1,IF(AW751=1,2,IF(AX751=1,3,IF(AY751=1,4,IF(AZ751=1,5,IF(BA751=1,6,7))))))</f>
        <v>7</v>
      </c>
      <c r="BD751" s="65" t="n">
        <f aca="false">IF(AD751=1,CHOOSE('Historical Score'!$C$29,AV751,AW751,AX751,AY751,AZ751,BA751,BB751),0)</f>
        <v>0</v>
      </c>
      <c r="BE751" s="65" t="str">
        <f aca="false">IF(BD751=1,COUNTIF($BD$2:BD751,1),"")</f>
        <v/>
      </c>
    </row>
    <row r="752" customFormat="false" ht="15" hidden="false" customHeight="false" outlineLevel="0" collapsed="false">
      <c r="A752" s="65" t="s">
        <v>2459</v>
      </c>
      <c r="B752" s="65" t="s">
        <v>2460</v>
      </c>
      <c r="C752" s="65" t="s">
        <v>2460</v>
      </c>
      <c r="D752" s="65" t="s">
        <v>340</v>
      </c>
      <c r="E752" s="112" t="n">
        <v>46107</v>
      </c>
      <c r="F752" s="112" t="n">
        <v>46157</v>
      </c>
      <c r="G752" s="65" t="n">
        <v>3</v>
      </c>
      <c r="H752" s="65" t="s">
        <v>525</v>
      </c>
      <c r="I752" s="65" t="s">
        <v>367</v>
      </c>
      <c r="J752" s="65" t="s">
        <v>452</v>
      </c>
      <c r="K752" s="65" t="s">
        <v>55</v>
      </c>
      <c r="L752" s="65" t="s">
        <v>64</v>
      </c>
      <c r="M752" s="113" t="n">
        <v>1.49</v>
      </c>
      <c r="N752" s="114" t="n">
        <v>26500</v>
      </c>
      <c r="O752" s="114" t="n">
        <v>0</v>
      </c>
      <c r="P752" s="114" t="n">
        <v>39485</v>
      </c>
      <c r="Q752" s="114" t="n">
        <v>5883.8</v>
      </c>
      <c r="R752" s="114" t="n">
        <v>33601.2</v>
      </c>
      <c r="S752" s="115" t="n">
        <v>0.149013549449158</v>
      </c>
      <c r="T752" s="65" t="n">
        <v>22</v>
      </c>
      <c r="U752" s="65" t="n">
        <v>6</v>
      </c>
      <c r="V752" s="65" t="n">
        <v>23015.11</v>
      </c>
      <c r="W752" s="115" t="n">
        <v>0.3119</v>
      </c>
      <c r="X752" s="112" t="n">
        <v>42441</v>
      </c>
      <c r="Y752" s="65" t="str">
        <f aca="false">IF(I752="","No SIC",IFERROR(VLOOKUP(I752,Ref!$A$2:$B$65,2,FALSE()),"Unclassified"))</f>
        <v>Engineering, Accounting &amp; Management</v>
      </c>
      <c r="Z752" s="65" t="str">
        <f aca="false">IF(T752="","",IF(T752&lt;12,"Daily","Weekly"))</f>
        <v>Weekly</v>
      </c>
      <c r="AA752" s="65" t="n">
        <f aca="false">IF(T752="",0,IF(T752&lt;12,T752*Controls!$B$29,T752*5))</f>
        <v>110</v>
      </c>
      <c r="AB752" s="65" t="n">
        <f aca="false">IF(E752="",0,NETWORKDAYS(E752,Controls!$B$36,Ref!$K$2:$K$42))</f>
        <v>107</v>
      </c>
      <c r="AC752" s="65" t="n">
        <f aca="false">IF(AND(AA752&gt;0,AB752&gt;=Controls!$B$39*AA752),1,0)</f>
        <v>0</v>
      </c>
      <c r="AD752" s="65" t="n">
        <f aca="false">IF(AND(E752&lt;&gt;"",E752&gt;=Controls!$B$37,E752&lt;=Controls!$B$38),1,0)</f>
        <v>1</v>
      </c>
      <c r="AE752" s="65" t="n">
        <f aca="false">IF(IFERROR(VLOOKUP(D752,Controls!$A$64:$E$74,2,FALSE()),"No")="Yes",1,0)</f>
        <v>1</v>
      </c>
      <c r="AF752" s="65" t="n">
        <f aca="false">IF(IFERROR(VLOOKUP(D752,Controls!$A$64:$E$74,3,FALSE()),"No")="Yes",1,0)</f>
        <v>0</v>
      </c>
      <c r="AG752" s="65" t="n">
        <f aca="false">IF(IFERROR(VLOOKUP(D752,Controls!$A$64:$E$74,4,FALSE()),"No")="Yes",1,0)</f>
        <v>0</v>
      </c>
      <c r="AH752" s="65" t="n">
        <f aca="false">IF(IFERROR(VLOOKUP(D752,Controls!$A$64:$E$74,5,FALSE()),"No")="Yes",1,0)</f>
        <v>0</v>
      </c>
      <c r="AI752" s="65" t="n">
        <f aca="false">IF(ISNUMBER(MATCH(D752,Controls!$A$64:$A$74,0)),1,0)</f>
        <v>1</v>
      </c>
      <c r="AJ752" s="65" t="n">
        <f aca="false">Q752-N752</f>
        <v>-20616.2</v>
      </c>
      <c r="AK752" s="65" t="n">
        <f aca="false">IF(AE752=1,MAX(0,N752-Q752),0)</f>
        <v>20616.2</v>
      </c>
      <c r="AL752" s="65" t="n">
        <f aca="false">IF(OR(V752="",V752=0),0,N752/V752)</f>
        <v>1.15141748181955</v>
      </c>
      <c r="AM752" s="65" t="n">
        <f aca="false">IF(OR(V752="",V752=0),0,1)</f>
        <v>1</v>
      </c>
      <c r="AN752" s="65" t="n">
        <f aca="false">IF(OR(E752="",F752=""),0,NETWORKDAYS(E752,F752,Ref!$K$2:$K$42))</f>
        <v>37</v>
      </c>
      <c r="AO752" s="65" t="n">
        <f aca="false">IF(L752="Renewal",1,0)</f>
        <v>0</v>
      </c>
      <c r="AP752" s="65" t="n">
        <f aca="false">AC752*AD752</f>
        <v>0</v>
      </c>
      <c r="AQ752" s="65" t="n">
        <f aca="false">IF(AND(G752&lt;&gt;"",'Historical Score'!$C$6&lt;&gt;""),IF(G752='Historical Score'!$C$6,1,0),0)</f>
        <v>0</v>
      </c>
      <c r="AR752" s="65" t="n">
        <f aca="false">IF(AND(L752&lt;&gt;"",'Historical Score'!$C$5&lt;&gt;""),IF(L752='Historical Score'!$C$5,1,0),0)</f>
        <v>1</v>
      </c>
      <c r="AS752" s="65" t="n">
        <f aca="false">IF(AND(Y752&lt;&gt;"",'Historical Score'!$C$7&lt;&gt;""),IF(Y752='Historical Score'!$C$7,1,0),0)</f>
        <v>0</v>
      </c>
      <c r="AT752" s="65" t="n">
        <f aca="false">IF(AND(K752&lt;&gt;"",'Historical Score'!$C$8&lt;&gt;""),IF(K752='Historical Score'!$C$8,1,0),0)</f>
        <v>1</v>
      </c>
      <c r="AU752" s="65" t="n">
        <f aca="false">IF(AND(J752&lt;&gt;"",'Historical Score'!$C$9&lt;&gt;""),IF(J752='Historical Score'!$C$9,1,0),0)</f>
        <v>0</v>
      </c>
      <c r="AV752" s="65" t="n">
        <f aca="false">AR752*AS752*AQ752</f>
        <v>0</v>
      </c>
      <c r="AW752" s="65" t="n">
        <f aca="false">AR752*AT752*AQ752</f>
        <v>0</v>
      </c>
      <c r="AX752" s="65" t="n">
        <f aca="false">AR752*AS752</f>
        <v>0</v>
      </c>
      <c r="AY752" s="65" t="n">
        <f aca="false">AR752*AT752</f>
        <v>1</v>
      </c>
      <c r="AZ752" s="65" t="n">
        <f aca="false">AR752*AQ752</f>
        <v>0</v>
      </c>
      <c r="BA752" s="65" t="n">
        <f aca="false">AR752</f>
        <v>1</v>
      </c>
      <c r="BB752" s="65" t="n">
        <f aca="false">1</f>
        <v>1</v>
      </c>
      <c r="BC752" s="65" t="n">
        <f aca="false">IF(AV752=1,1,IF(AW752=1,2,IF(AX752=1,3,IF(AY752=1,4,IF(AZ752=1,5,IF(BA752=1,6,7))))))</f>
        <v>4</v>
      </c>
      <c r="BD752" s="65" t="n">
        <f aca="false">IF(AD752=1,CHOOSE('Historical Score'!$C$29,AV752,AW752,AX752,AY752,AZ752,BA752,BB752),0)</f>
        <v>0</v>
      </c>
      <c r="BE752" s="65" t="str">
        <f aca="false">IF(BD752=1,COUNTIF($BD$2:BD752,1),"")</f>
        <v/>
      </c>
    </row>
    <row r="753" customFormat="false" ht="15" hidden="false" customHeight="false" outlineLevel="0" collapsed="false">
      <c r="A753" s="65" t="s">
        <v>2461</v>
      </c>
      <c r="B753" s="65" t="s">
        <v>2462</v>
      </c>
      <c r="C753" s="65" t="s">
        <v>2462</v>
      </c>
      <c r="D753" s="65" t="s">
        <v>533</v>
      </c>
      <c r="E753" s="112" t="n">
        <v>46107</v>
      </c>
      <c r="F753" s="112" t="n">
        <v>46189</v>
      </c>
      <c r="G753" s="65" t="n">
        <v>3</v>
      </c>
      <c r="H753" s="65" t="s">
        <v>442</v>
      </c>
      <c r="I753" s="65" t="s">
        <v>443</v>
      </c>
      <c r="J753" s="65" t="s">
        <v>452</v>
      </c>
      <c r="K753" s="65" t="s">
        <v>55</v>
      </c>
      <c r="L753" s="65" t="s">
        <v>64</v>
      </c>
      <c r="M753" s="113" t="n">
        <v>1.49</v>
      </c>
      <c r="N753" s="114" t="n">
        <v>10000</v>
      </c>
      <c r="O753" s="114" t="n">
        <v>1400</v>
      </c>
      <c r="P753" s="114" t="n">
        <v>14900</v>
      </c>
      <c r="Q753" s="114" t="n">
        <v>10858.92</v>
      </c>
      <c r="R753" s="114" t="n">
        <v>4041.08</v>
      </c>
      <c r="S753" s="115" t="n">
        <v>0.728786577181208</v>
      </c>
      <c r="T753" s="65" t="n">
        <v>2.295</v>
      </c>
      <c r="U753" s="65" t="n">
        <v>6</v>
      </c>
      <c r="V753" s="65" t="n">
        <v>41248.09</v>
      </c>
      <c r="W753" s="115" t="n">
        <v>0.1084</v>
      </c>
      <c r="X753" s="112" t="n">
        <v>26104</v>
      </c>
      <c r="Y753" s="65" t="str">
        <f aca="false">IF(I753="","No SIC",IFERROR(VLOOKUP(I753,Ref!$A$2:$B$65,2,FALSE()),"Unclassified"))</f>
        <v>General Building Contractors</v>
      </c>
      <c r="Z753" s="65" t="str">
        <f aca="false">IF(T753="","",IF(T753&lt;12,"Daily","Weekly"))</f>
        <v>Daily</v>
      </c>
      <c r="AA753" s="65" t="n">
        <f aca="false">IF(T753="",0,IF(T753&lt;12,T753*Controls!$B$29,T753*5))</f>
        <v>49.698225</v>
      </c>
      <c r="AB753" s="65" t="n">
        <f aca="false">IF(E753="",0,NETWORKDAYS(E753,Controls!$B$36,Ref!$K$2:$K$42))</f>
        <v>107</v>
      </c>
      <c r="AC753" s="65" t="n">
        <f aca="false">IF(AND(AA753&gt;0,AB753&gt;=Controls!$B$39*AA753),1,0)</f>
        <v>1</v>
      </c>
      <c r="AD753" s="65" t="n">
        <f aca="false">IF(AND(E753&lt;&gt;"",E753&gt;=Controls!$B$37,E753&lt;=Controls!$B$38),1,0)</f>
        <v>1</v>
      </c>
      <c r="AE753" s="65" t="n">
        <f aca="false">IF(IFERROR(VLOOKUP(D753,Controls!$A$64:$E$74,2,FALSE()),"No")="Yes",1,0)</f>
        <v>1</v>
      </c>
      <c r="AF753" s="65" t="n">
        <f aca="false">IF(IFERROR(VLOOKUP(D753,Controls!$A$64:$E$74,3,FALSE()),"No")="Yes",1,0)</f>
        <v>0</v>
      </c>
      <c r="AG753" s="65" t="n">
        <f aca="false">IF(IFERROR(VLOOKUP(D753,Controls!$A$64:$E$74,4,FALSE()),"No")="Yes",1,0)</f>
        <v>0</v>
      </c>
      <c r="AH753" s="65" t="n">
        <f aca="false">IF(IFERROR(VLOOKUP(D753,Controls!$A$64:$E$74,5,FALSE()),"No")="Yes",1,0)</f>
        <v>0</v>
      </c>
      <c r="AI753" s="65" t="n">
        <f aca="false">IF(ISNUMBER(MATCH(D753,Controls!$A$64:$A$74,0)),1,0)</f>
        <v>1</v>
      </c>
      <c r="AJ753" s="65" t="n">
        <f aca="false">Q753-N753</f>
        <v>858.92</v>
      </c>
      <c r="AK753" s="65" t="n">
        <f aca="false">IF(AE753=1,MAX(0,N753-Q753),0)</f>
        <v>0</v>
      </c>
      <c r="AL753" s="65" t="n">
        <f aca="false">IF(OR(V753="",V753=0),0,N753/V753)</f>
        <v>0.24243546792106</v>
      </c>
      <c r="AM753" s="65" t="n">
        <f aca="false">IF(OR(V753="",V753=0),0,1)</f>
        <v>1</v>
      </c>
      <c r="AN753" s="65" t="n">
        <f aca="false">IF(OR(E753="",F753=""),0,NETWORKDAYS(E753,F753,Ref!$K$2:$K$42))</f>
        <v>58</v>
      </c>
      <c r="AO753" s="65" t="n">
        <f aca="false">IF(L753="Renewal",1,0)</f>
        <v>0</v>
      </c>
      <c r="AP753" s="65" t="n">
        <f aca="false">AC753*AD753</f>
        <v>1</v>
      </c>
      <c r="AQ753" s="65" t="n">
        <f aca="false">IF(AND(G753&lt;&gt;"",'Historical Score'!$C$6&lt;&gt;""),IF(G753='Historical Score'!$C$6,1,0),0)</f>
        <v>0</v>
      </c>
      <c r="AR753" s="65" t="n">
        <f aca="false">IF(AND(L753&lt;&gt;"",'Historical Score'!$C$5&lt;&gt;""),IF(L753='Historical Score'!$C$5,1,0),0)</f>
        <v>1</v>
      </c>
      <c r="AS753" s="65" t="n">
        <f aca="false">IF(AND(Y753&lt;&gt;"",'Historical Score'!$C$7&lt;&gt;""),IF(Y753='Historical Score'!$C$7,1,0),0)</f>
        <v>1</v>
      </c>
      <c r="AT753" s="65" t="n">
        <f aca="false">IF(AND(K753&lt;&gt;"",'Historical Score'!$C$8&lt;&gt;""),IF(K753='Historical Score'!$C$8,1,0),0)</f>
        <v>1</v>
      </c>
      <c r="AU753" s="65" t="n">
        <f aca="false">IF(AND(J753&lt;&gt;"",'Historical Score'!$C$9&lt;&gt;""),IF(J753='Historical Score'!$C$9,1,0),0)</f>
        <v>0</v>
      </c>
      <c r="AV753" s="65" t="n">
        <f aca="false">AR753*AS753*AQ753</f>
        <v>0</v>
      </c>
      <c r="AW753" s="65" t="n">
        <f aca="false">AR753*AT753*AQ753</f>
        <v>0</v>
      </c>
      <c r="AX753" s="65" t="n">
        <f aca="false">AR753*AS753</f>
        <v>1</v>
      </c>
      <c r="AY753" s="65" t="n">
        <f aca="false">AR753*AT753</f>
        <v>1</v>
      </c>
      <c r="AZ753" s="65" t="n">
        <f aca="false">AR753*AQ753</f>
        <v>0</v>
      </c>
      <c r="BA753" s="65" t="n">
        <f aca="false">AR753</f>
        <v>1</v>
      </c>
      <c r="BB753" s="65" t="n">
        <f aca="false">1</f>
        <v>1</v>
      </c>
      <c r="BC753" s="65" t="n">
        <f aca="false">IF(AV753=1,1,IF(AW753=1,2,IF(AX753=1,3,IF(AY753=1,4,IF(AZ753=1,5,IF(BA753=1,6,7))))))</f>
        <v>3</v>
      </c>
      <c r="BD753" s="65" t="n">
        <f aca="false">IF(AD753=1,CHOOSE('Historical Score'!$C$29,AV753,AW753,AX753,AY753,AZ753,BA753,BB753),0)</f>
        <v>0</v>
      </c>
      <c r="BE753" s="65" t="str">
        <f aca="false">IF(BD753=1,COUNTIF($BD$2:BD753,1),"")</f>
        <v/>
      </c>
    </row>
    <row r="754" customFormat="false" ht="15" hidden="false" customHeight="false" outlineLevel="0" collapsed="false">
      <c r="A754" s="65" t="s">
        <v>2463</v>
      </c>
      <c r="B754" s="65" t="s">
        <v>2464</v>
      </c>
      <c r="C754" s="65" t="s">
        <v>2465</v>
      </c>
      <c r="D754" s="65" t="s">
        <v>340</v>
      </c>
      <c r="E754" s="112" t="n">
        <v>46107</v>
      </c>
      <c r="F754" s="112" t="n">
        <v>46177</v>
      </c>
      <c r="G754" s="65" t="n">
        <v>3</v>
      </c>
      <c r="H754" s="65" t="s">
        <v>1059</v>
      </c>
      <c r="I754" s="65" t="s">
        <v>703</v>
      </c>
      <c r="J754" s="65" t="s">
        <v>399</v>
      </c>
      <c r="K754" s="65" t="s">
        <v>538</v>
      </c>
      <c r="L754" s="65" t="s">
        <v>64</v>
      </c>
      <c r="M754" s="113" t="n">
        <v>1.42</v>
      </c>
      <c r="N754" s="114" t="n">
        <v>250000</v>
      </c>
      <c r="O754" s="114" t="n">
        <v>0</v>
      </c>
      <c r="P754" s="114" t="n">
        <v>355000</v>
      </c>
      <c r="Q754" s="114" t="n">
        <v>23071.94</v>
      </c>
      <c r="R754" s="114" t="n">
        <v>331928.06</v>
      </c>
      <c r="S754" s="115" t="n">
        <v>0.0649913802816901</v>
      </c>
      <c r="T754" s="65" t="n">
        <v>3.279</v>
      </c>
      <c r="U754" s="65" t="n">
        <v>32</v>
      </c>
      <c r="V754" s="65" t="n">
        <v>2129544.31</v>
      </c>
      <c r="W754" s="115" t="n">
        <v>0.0535</v>
      </c>
      <c r="X754" s="112" t="n">
        <v>43017</v>
      </c>
      <c r="Y754" s="65" t="str">
        <f aca="false">IF(I754="","No SIC",IFERROR(VLOOKUP(I754,Ref!$A$2:$B$65,2,FALSE()),"Unclassified"))</f>
        <v>Wholesale Trade - Nondurable Goods</v>
      </c>
      <c r="Z754" s="65" t="str">
        <f aca="false">IF(T754="","",IF(T754&lt;12,"Daily","Weekly"))</f>
        <v>Daily</v>
      </c>
      <c r="AA754" s="65" t="n">
        <f aca="false">IF(T754="",0,IF(T754&lt;12,T754*Controls!$B$29,T754*5))</f>
        <v>71.006745</v>
      </c>
      <c r="AB754" s="65" t="n">
        <f aca="false">IF(E754="",0,NETWORKDAYS(E754,Controls!$B$36,Ref!$K$2:$K$42))</f>
        <v>107</v>
      </c>
      <c r="AC754" s="65" t="n">
        <f aca="false">IF(AND(AA754&gt;0,AB754&gt;=Controls!$B$39*AA754),1,0)</f>
        <v>1</v>
      </c>
      <c r="AD754" s="65" t="n">
        <f aca="false">IF(AND(E754&lt;&gt;"",E754&gt;=Controls!$B$37,E754&lt;=Controls!$B$38),1,0)</f>
        <v>1</v>
      </c>
      <c r="AE754" s="65" t="n">
        <f aca="false">IF(IFERROR(VLOOKUP(D754,Controls!$A$64:$E$74,2,FALSE()),"No")="Yes",1,0)</f>
        <v>1</v>
      </c>
      <c r="AF754" s="65" t="n">
        <f aca="false">IF(IFERROR(VLOOKUP(D754,Controls!$A$64:$E$74,3,FALSE()),"No")="Yes",1,0)</f>
        <v>0</v>
      </c>
      <c r="AG754" s="65" t="n">
        <f aca="false">IF(IFERROR(VLOOKUP(D754,Controls!$A$64:$E$74,4,FALSE()),"No")="Yes",1,0)</f>
        <v>0</v>
      </c>
      <c r="AH754" s="65" t="n">
        <f aca="false">IF(IFERROR(VLOOKUP(D754,Controls!$A$64:$E$74,5,FALSE()),"No")="Yes",1,0)</f>
        <v>0</v>
      </c>
      <c r="AI754" s="65" t="n">
        <f aca="false">IF(ISNUMBER(MATCH(D754,Controls!$A$64:$A$74,0)),1,0)</f>
        <v>1</v>
      </c>
      <c r="AJ754" s="65" t="n">
        <f aca="false">Q754-N754</f>
        <v>-226928.06</v>
      </c>
      <c r="AK754" s="65" t="n">
        <f aca="false">IF(AE754=1,MAX(0,N754-Q754),0)</f>
        <v>226928.06</v>
      </c>
      <c r="AL754" s="65" t="n">
        <f aca="false">IF(OR(V754="",V754=0),0,N754/V754)</f>
        <v>0.117396007599391</v>
      </c>
      <c r="AM754" s="65" t="n">
        <f aca="false">IF(OR(V754="",V754=0),0,1)</f>
        <v>1</v>
      </c>
      <c r="AN754" s="65" t="n">
        <f aca="false">IF(OR(E754="",F754=""),0,NETWORKDAYS(E754,F754,Ref!$K$2:$K$42))</f>
        <v>50</v>
      </c>
      <c r="AO754" s="65" t="n">
        <f aca="false">IF(L754="Renewal",1,0)</f>
        <v>0</v>
      </c>
      <c r="AP754" s="65" t="n">
        <f aca="false">AC754*AD754</f>
        <v>1</v>
      </c>
      <c r="AQ754" s="65" t="n">
        <f aca="false">IF(AND(G754&lt;&gt;"",'Historical Score'!$C$6&lt;&gt;""),IF(G754='Historical Score'!$C$6,1,0),0)</f>
        <v>0</v>
      </c>
      <c r="AR754" s="65" t="n">
        <f aca="false">IF(AND(L754&lt;&gt;"",'Historical Score'!$C$5&lt;&gt;""),IF(L754='Historical Score'!$C$5,1,0),0)</f>
        <v>1</v>
      </c>
      <c r="AS754" s="65" t="n">
        <f aca="false">IF(AND(Y754&lt;&gt;"",'Historical Score'!$C$7&lt;&gt;""),IF(Y754='Historical Score'!$C$7,1,0),0)</f>
        <v>0</v>
      </c>
      <c r="AT754" s="65" t="n">
        <f aca="false">IF(AND(K754&lt;&gt;"",'Historical Score'!$C$8&lt;&gt;""),IF(K754='Historical Score'!$C$8,1,0),0)</f>
        <v>0</v>
      </c>
      <c r="AU754" s="65" t="n">
        <f aca="false">IF(AND(J754&lt;&gt;"",'Historical Score'!$C$9&lt;&gt;""),IF(J754='Historical Score'!$C$9,1,0),0)</f>
        <v>0</v>
      </c>
      <c r="AV754" s="65" t="n">
        <f aca="false">AR754*AS754*AQ754</f>
        <v>0</v>
      </c>
      <c r="AW754" s="65" t="n">
        <f aca="false">AR754*AT754*AQ754</f>
        <v>0</v>
      </c>
      <c r="AX754" s="65" t="n">
        <f aca="false">AR754*AS754</f>
        <v>0</v>
      </c>
      <c r="AY754" s="65" t="n">
        <f aca="false">AR754*AT754</f>
        <v>0</v>
      </c>
      <c r="AZ754" s="65" t="n">
        <f aca="false">AR754*AQ754</f>
        <v>0</v>
      </c>
      <c r="BA754" s="65" t="n">
        <f aca="false">AR754</f>
        <v>1</v>
      </c>
      <c r="BB754" s="65" t="n">
        <f aca="false">1</f>
        <v>1</v>
      </c>
      <c r="BC754" s="65" t="n">
        <f aca="false">IF(AV754=1,1,IF(AW754=1,2,IF(AX754=1,3,IF(AY754=1,4,IF(AZ754=1,5,IF(BA754=1,6,7))))))</f>
        <v>6</v>
      </c>
      <c r="BD754" s="65" t="n">
        <f aca="false">IF(AD754=1,CHOOSE('Historical Score'!$C$29,AV754,AW754,AX754,AY754,AZ754,BA754,BB754),0)</f>
        <v>0</v>
      </c>
      <c r="BE754" s="65" t="str">
        <f aca="false">IF(BD754=1,COUNTIF($BD$2:BD754,1),"")</f>
        <v/>
      </c>
    </row>
    <row r="755" customFormat="false" ht="15" hidden="false" customHeight="false" outlineLevel="0" collapsed="false">
      <c r="A755" s="65" t="s">
        <v>2466</v>
      </c>
      <c r="B755" s="65" t="s">
        <v>2467</v>
      </c>
      <c r="C755" s="65" t="s">
        <v>2467</v>
      </c>
      <c r="D755" s="65" t="s">
        <v>533</v>
      </c>
      <c r="E755" s="112" t="n">
        <v>46108</v>
      </c>
      <c r="F755" s="112" t="n">
        <v>46174</v>
      </c>
      <c r="G755" s="65" t="n">
        <v>3</v>
      </c>
      <c r="H755" s="65" t="s">
        <v>1662</v>
      </c>
      <c r="I755" s="65" t="s">
        <v>970</v>
      </c>
      <c r="J755" s="65" t="s">
        <v>854</v>
      </c>
      <c r="K755" s="65" t="s">
        <v>2468</v>
      </c>
      <c r="L755" s="65" t="s">
        <v>64</v>
      </c>
      <c r="M755" s="113" t="n">
        <v>1.45</v>
      </c>
      <c r="N755" s="114" t="n">
        <v>30000</v>
      </c>
      <c r="O755" s="114" t="n">
        <v>3600</v>
      </c>
      <c r="P755" s="114" t="n">
        <v>43500</v>
      </c>
      <c r="Q755" s="114" t="n">
        <v>15225</v>
      </c>
      <c r="R755" s="114" t="n">
        <v>28275</v>
      </c>
      <c r="S755" s="115" t="n">
        <v>0.35</v>
      </c>
      <c r="T755" s="65" t="n">
        <v>3.934</v>
      </c>
      <c r="U755" s="65" t="n">
        <v>4</v>
      </c>
      <c r="V755" s="65" t="n">
        <v>47194.8</v>
      </c>
      <c r="W755" s="115" t="n">
        <v>0.1613</v>
      </c>
      <c r="X755" s="112" t="n">
        <v>44511</v>
      </c>
      <c r="Y755" s="65" t="str">
        <f aca="false">IF(I755="","No SIC",IFERROR(VLOOKUP(I755,Ref!$A$2:$B$65,2,FALSE()),"Unclassified"))</f>
        <v>Industrial Machinery &amp; Equipment</v>
      </c>
      <c r="Z755" s="65" t="str">
        <f aca="false">IF(T755="","",IF(T755&lt;12,"Daily","Weekly"))</f>
        <v>Daily</v>
      </c>
      <c r="AA755" s="65" t="n">
        <f aca="false">IF(T755="",0,IF(T755&lt;12,T755*Controls!$B$29,T755*5))</f>
        <v>85.19077</v>
      </c>
      <c r="AB755" s="65" t="n">
        <f aca="false">IF(E755="",0,NETWORKDAYS(E755,Controls!$B$36,Ref!$K$2:$K$42))</f>
        <v>106</v>
      </c>
      <c r="AC755" s="65" t="n">
        <f aca="false">IF(AND(AA755&gt;0,AB755&gt;=Controls!$B$39*AA755),1,0)</f>
        <v>0</v>
      </c>
      <c r="AD755" s="65" t="n">
        <f aca="false">IF(AND(E755&lt;&gt;"",E755&gt;=Controls!$B$37,E755&lt;=Controls!$B$38),1,0)</f>
        <v>1</v>
      </c>
      <c r="AE755" s="65" t="n">
        <f aca="false">IF(IFERROR(VLOOKUP(D755,Controls!$A$64:$E$74,2,FALSE()),"No")="Yes",1,0)</f>
        <v>1</v>
      </c>
      <c r="AF755" s="65" t="n">
        <f aca="false">IF(IFERROR(VLOOKUP(D755,Controls!$A$64:$E$74,3,FALSE()),"No")="Yes",1,0)</f>
        <v>0</v>
      </c>
      <c r="AG755" s="65" t="n">
        <f aca="false">IF(IFERROR(VLOOKUP(D755,Controls!$A$64:$E$74,4,FALSE()),"No")="Yes",1,0)</f>
        <v>0</v>
      </c>
      <c r="AH755" s="65" t="n">
        <f aca="false">IF(IFERROR(VLOOKUP(D755,Controls!$A$64:$E$74,5,FALSE()),"No")="Yes",1,0)</f>
        <v>0</v>
      </c>
      <c r="AI755" s="65" t="n">
        <f aca="false">IF(ISNUMBER(MATCH(D755,Controls!$A$64:$A$74,0)),1,0)</f>
        <v>1</v>
      </c>
      <c r="AJ755" s="65" t="n">
        <f aca="false">Q755-N755</f>
        <v>-14775</v>
      </c>
      <c r="AK755" s="65" t="n">
        <f aca="false">IF(AE755=1,MAX(0,N755-Q755),0)</f>
        <v>14775</v>
      </c>
      <c r="AL755" s="65" t="n">
        <f aca="false">IF(OR(V755="",V755=0),0,N755/V755)</f>
        <v>0.635663251036131</v>
      </c>
      <c r="AM755" s="65" t="n">
        <f aca="false">IF(OR(V755="",V755=0),0,1)</f>
        <v>1</v>
      </c>
      <c r="AN755" s="65" t="n">
        <f aca="false">IF(OR(E755="",F755=""),0,NETWORKDAYS(E755,F755,Ref!$K$2:$K$42))</f>
        <v>46</v>
      </c>
      <c r="AO755" s="65" t="n">
        <f aca="false">IF(L755="Renewal",1,0)</f>
        <v>0</v>
      </c>
      <c r="AP755" s="65" t="n">
        <f aca="false">AC755*AD755</f>
        <v>0</v>
      </c>
      <c r="AQ755" s="65" t="n">
        <f aca="false">IF(AND(G755&lt;&gt;"",'Historical Score'!$C$6&lt;&gt;""),IF(G755='Historical Score'!$C$6,1,0),0)</f>
        <v>0</v>
      </c>
      <c r="AR755" s="65" t="n">
        <f aca="false">IF(AND(L755&lt;&gt;"",'Historical Score'!$C$5&lt;&gt;""),IF(L755='Historical Score'!$C$5,1,0),0)</f>
        <v>1</v>
      </c>
      <c r="AS755" s="65" t="n">
        <f aca="false">IF(AND(Y755&lt;&gt;"",'Historical Score'!$C$7&lt;&gt;""),IF(Y755='Historical Score'!$C$7,1,0),0)</f>
        <v>0</v>
      </c>
      <c r="AT755" s="65" t="n">
        <f aca="false">IF(AND(K755&lt;&gt;"",'Historical Score'!$C$8&lt;&gt;""),IF(K755='Historical Score'!$C$8,1,0),0)</f>
        <v>0</v>
      </c>
      <c r="AU755" s="65" t="n">
        <f aca="false">IF(AND(J755&lt;&gt;"",'Historical Score'!$C$9&lt;&gt;""),IF(J755='Historical Score'!$C$9,1,0),0)</f>
        <v>0</v>
      </c>
      <c r="AV755" s="65" t="n">
        <f aca="false">AR755*AS755*AQ755</f>
        <v>0</v>
      </c>
      <c r="AW755" s="65" t="n">
        <f aca="false">AR755*AT755*AQ755</f>
        <v>0</v>
      </c>
      <c r="AX755" s="65" t="n">
        <f aca="false">AR755*AS755</f>
        <v>0</v>
      </c>
      <c r="AY755" s="65" t="n">
        <f aca="false">AR755*AT755</f>
        <v>0</v>
      </c>
      <c r="AZ755" s="65" t="n">
        <f aca="false">AR755*AQ755</f>
        <v>0</v>
      </c>
      <c r="BA755" s="65" t="n">
        <f aca="false">AR755</f>
        <v>1</v>
      </c>
      <c r="BB755" s="65" t="n">
        <f aca="false">1</f>
        <v>1</v>
      </c>
      <c r="BC755" s="65" t="n">
        <f aca="false">IF(AV755=1,1,IF(AW755=1,2,IF(AX755=1,3,IF(AY755=1,4,IF(AZ755=1,5,IF(BA755=1,6,7))))))</f>
        <v>6</v>
      </c>
      <c r="BD755" s="65" t="n">
        <f aca="false">IF(AD755=1,CHOOSE('Historical Score'!$C$29,AV755,AW755,AX755,AY755,AZ755,BA755,BB755),0)</f>
        <v>0</v>
      </c>
      <c r="BE755" s="65" t="str">
        <f aca="false">IF(BD755=1,COUNTIF($BD$2:BD755,1),"")</f>
        <v/>
      </c>
    </row>
    <row r="756" customFormat="false" ht="15" hidden="false" customHeight="false" outlineLevel="0" collapsed="false">
      <c r="A756" s="65" t="s">
        <v>2469</v>
      </c>
      <c r="B756" s="65" t="s">
        <v>2470</v>
      </c>
      <c r="C756" s="65" t="s">
        <v>2471</v>
      </c>
      <c r="D756" s="65" t="s">
        <v>371</v>
      </c>
      <c r="E756" s="112" t="n">
        <v>46108</v>
      </c>
      <c r="F756" s="112" t="n">
        <v>46237</v>
      </c>
      <c r="G756" s="65" t="n">
        <v>1</v>
      </c>
      <c r="H756" s="65" t="s">
        <v>409</v>
      </c>
      <c r="I756" s="65" t="s">
        <v>342</v>
      </c>
      <c r="J756" s="65" t="s">
        <v>350</v>
      </c>
      <c r="K756" s="65" t="s">
        <v>433</v>
      </c>
      <c r="L756" s="65" t="s">
        <v>320</v>
      </c>
      <c r="M756" s="113" t="n">
        <v>1.49</v>
      </c>
      <c r="N756" s="114" t="n">
        <v>20000</v>
      </c>
      <c r="O756" s="114" t="n">
        <v>2800</v>
      </c>
      <c r="P756" s="114" t="n">
        <v>29800</v>
      </c>
      <c r="Q756" s="114" t="n">
        <v>29800</v>
      </c>
      <c r="R756" s="114" t="n">
        <v>0</v>
      </c>
      <c r="S756" s="115" t="n">
        <v>1</v>
      </c>
      <c r="T756" s="65" t="n">
        <v>3.016</v>
      </c>
      <c r="U756" s="65" t="n">
        <v>1</v>
      </c>
      <c r="V756" s="65" t="n">
        <v>36941.24</v>
      </c>
      <c r="W756" s="115" t="n">
        <v>0.0746</v>
      </c>
      <c r="X756" s="112" t="n">
        <v>45139</v>
      </c>
      <c r="Y756" s="65" t="str">
        <f aca="false">IF(I756="","No SIC",IFERROR(VLOOKUP(I756,Ref!$A$2:$B$65,2,FALSE()),"Unclassified"))</f>
        <v>Eating &amp; Drinking Places</v>
      </c>
      <c r="Z756" s="65" t="str">
        <f aca="false">IF(T756="","",IF(T756&lt;12,"Daily","Weekly"))</f>
        <v>Daily</v>
      </c>
      <c r="AA756" s="65" t="n">
        <f aca="false">IF(T756="",0,IF(T756&lt;12,T756*Controls!$B$29,T756*5))</f>
        <v>65.31148</v>
      </c>
      <c r="AB756" s="65" t="n">
        <f aca="false">IF(E756="",0,NETWORKDAYS(E756,Controls!$B$36,Ref!$K$2:$K$42))</f>
        <v>106</v>
      </c>
      <c r="AC756" s="65" t="n">
        <f aca="false">IF(AND(AA756&gt;0,AB756&gt;=Controls!$B$39*AA756),1,0)</f>
        <v>1</v>
      </c>
      <c r="AD756" s="65" t="n">
        <f aca="false">IF(AND(E756&lt;&gt;"",E756&gt;=Controls!$B$37,E756&lt;=Controls!$B$38),1,0)</f>
        <v>1</v>
      </c>
      <c r="AE756" s="65" t="n">
        <f aca="false">IF(IFERROR(VLOOKUP(D756,Controls!$A$64:$E$74,2,FALSE()),"No")="Yes",1,0)</f>
        <v>0</v>
      </c>
      <c r="AF756" s="65" t="n">
        <f aca="false">IF(IFERROR(VLOOKUP(D756,Controls!$A$64:$E$74,3,FALSE()),"No")="Yes",1,0)</f>
        <v>1</v>
      </c>
      <c r="AG756" s="65" t="n">
        <f aca="false">IF(IFERROR(VLOOKUP(D756,Controls!$A$64:$E$74,4,FALSE()),"No")="Yes",1,0)</f>
        <v>1</v>
      </c>
      <c r="AH756" s="65" t="n">
        <f aca="false">IF(IFERROR(VLOOKUP(D756,Controls!$A$64:$E$74,5,FALSE()),"No")="Yes",1,0)</f>
        <v>0</v>
      </c>
      <c r="AI756" s="65" t="n">
        <f aca="false">IF(ISNUMBER(MATCH(D756,Controls!$A$64:$A$74,0)),1,0)</f>
        <v>1</v>
      </c>
      <c r="AJ756" s="65" t="n">
        <f aca="false">Q756-N756</f>
        <v>9800</v>
      </c>
      <c r="AK756" s="65" t="n">
        <f aca="false">IF(AE756=1,MAX(0,N756-Q756),0)</f>
        <v>0</v>
      </c>
      <c r="AL756" s="65" t="n">
        <f aca="false">IF(OR(V756="",V756=0),0,N756/V756)</f>
        <v>0.541400342814697</v>
      </c>
      <c r="AM756" s="65" t="n">
        <f aca="false">IF(OR(V756="",V756=0),0,1)</f>
        <v>1</v>
      </c>
      <c r="AN756" s="65" t="n">
        <f aca="false">IF(OR(E756="",F756=""),0,NETWORKDAYS(E756,F756,Ref!$K$2:$K$42))</f>
        <v>90</v>
      </c>
      <c r="AO756" s="65" t="n">
        <f aca="false">IF(L756="Renewal",1,0)</f>
        <v>1</v>
      </c>
      <c r="AP756" s="65" t="n">
        <f aca="false">AC756*AD756</f>
        <v>1</v>
      </c>
      <c r="AQ756" s="65" t="n">
        <f aca="false">IF(AND(G756&lt;&gt;"",'Historical Score'!$C$6&lt;&gt;""),IF(G756='Historical Score'!$C$6,1,0),0)</f>
        <v>0</v>
      </c>
      <c r="AR756" s="65" t="n">
        <f aca="false">IF(AND(L756&lt;&gt;"",'Historical Score'!$C$5&lt;&gt;""),IF(L756='Historical Score'!$C$5,1,0),0)</f>
        <v>0</v>
      </c>
      <c r="AS756" s="65" t="n">
        <f aca="false">IF(AND(Y756&lt;&gt;"",'Historical Score'!$C$7&lt;&gt;""),IF(Y756='Historical Score'!$C$7,1,0),0)</f>
        <v>0</v>
      </c>
      <c r="AT756" s="65" t="n">
        <f aca="false">IF(AND(K756&lt;&gt;"",'Historical Score'!$C$8&lt;&gt;""),IF(K756='Historical Score'!$C$8,1,0),0)</f>
        <v>0</v>
      </c>
      <c r="AU756" s="65" t="n">
        <f aca="false">IF(AND(J756&lt;&gt;"",'Historical Score'!$C$9&lt;&gt;""),IF(J756='Historical Score'!$C$9,1,0),0)</f>
        <v>0</v>
      </c>
      <c r="AV756" s="65" t="n">
        <f aca="false">AR756*AS756*AQ756</f>
        <v>0</v>
      </c>
      <c r="AW756" s="65" t="n">
        <f aca="false">AR756*AT756*AQ756</f>
        <v>0</v>
      </c>
      <c r="AX756" s="65" t="n">
        <f aca="false">AR756*AS756</f>
        <v>0</v>
      </c>
      <c r="AY756" s="65" t="n">
        <f aca="false">AR756*AT756</f>
        <v>0</v>
      </c>
      <c r="AZ756" s="65" t="n">
        <f aca="false">AR756*AQ756</f>
        <v>0</v>
      </c>
      <c r="BA756" s="65" t="n">
        <f aca="false">AR756</f>
        <v>0</v>
      </c>
      <c r="BB756" s="65" t="n">
        <f aca="false">1</f>
        <v>1</v>
      </c>
      <c r="BC756" s="65" t="n">
        <f aca="false">IF(AV756=1,1,IF(AW756=1,2,IF(AX756=1,3,IF(AY756=1,4,IF(AZ756=1,5,IF(BA756=1,6,7))))))</f>
        <v>7</v>
      </c>
      <c r="BD756" s="65" t="n">
        <f aca="false">IF(AD756=1,CHOOSE('Historical Score'!$C$29,AV756,AW756,AX756,AY756,AZ756,BA756,BB756),0)</f>
        <v>0</v>
      </c>
      <c r="BE756" s="65" t="str">
        <f aca="false">IF(BD756=1,COUNTIF($BD$2:BD756,1),"")</f>
        <v/>
      </c>
    </row>
    <row r="757" customFormat="false" ht="15" hidden="false" customHeight="false" outlineLevel="0" collapsed="false">
      <c r="A757" s="65" t="s">
        <v>2472</v>
      </c>
      <c r="B757" s="65" t="s">
        <v>2473</v>
      </c>
      <c r="C757" s="65" t="s">
        <v>2473</v>
      </c>
      <c r="D757" s="65" t="s">
        <v>295</v>
      </c>
      <c r="E757" s="112" t="n">
        <v>46108</v>
      </c>
      <c r="F757" s="112" t="n">
        <v>46253</v>
      </c>
      <c r="G757" s="65" t="n">
        <v>2</v>
      </c>
      <c r="H757" s="65" t="s">
        <v>2474</v>
      </c>
      <c r="I757" s="65" t="s">
        <v>778</v>
      </c>
      <c r="J757" s="65" t="s">
        <v>399</v>
      </c>
      <c r="K757" s="65" t="s">
        <v>961</v>
      </c>
      <c r="L757" s="65" t="s">
        <v>320</v>
      </c>
      <c r="M757" s="113" t="n">
        <v>1.45</v>
      </c>
      <c r="N757" s="114" t="n">
        <v>20000</v>
      </c>
      <c r="O757" s="114" t="n">
        <v>2960</v>
      </c>
      <c r="P757" s="114" t="n">
        <v>29000</v>
      </c>
      <c r="Q757" s="114" t="n">
        <v>20053.63</v>
      </c>
      <c r="R757" s="114" t="n">
        <v>8946.37</v>
      </c>
      <c r="S757" s="115" t="n">
        <v>0.691504482758621</v>
      </c>
      <c r="T757" s="65" t="n">
        <v>3.934</v>
      </c>
      <c r="U757" s="65" t="n">
        <v>11</v>
      </c>
      <c r="V757" s="65" t="n">
        <v>37312.1</v>
      </c>
      <c r="W757" s="115" t="n">
        <v>0.1443</v>
      </c>
      <c r="X757" s="112" t="n">
        <v>40922</v>
      </c>
      <c r="Y757" s="65" t="str">
        <f aca="false">IF(I757="","No SIC",IFERROR(VLOOKUP(I757,Ref!$A$2:$B$65,2,FALSE()),"Unclassified"))</f>
        <v>Electronic &amp; Electrical Equipment</v>
      </c>
      <c r="Z757" s="65" t="str">
        <f aca="false">IF(T757="","",IF(T757&lt;12,"Daily","Weekly"))</f>
        <v>Daily</v>
      </c>
      <c r="AA757" s="65" t="n">
        <f aca="false">IF(T757="",0,IF(T757&lt;12,T757*Controls!$B$29,T757*5))</f>
        <v>85.19077</v>
      </c>
      <c r="AB757" s="65" t="n">
        <f aca="false">IF(E757="",0,NETWORKDAYS(E757,Controls!$B$36,Ref!$K$2:$K$42))</f>
        <v>106</v>
      </c>
      <c r="AC757" s="65" t="n">
        <f aca="false">IF(AND(AA757&gt;0,AB757&gt;=Controls!$B$39*AA757),1,0)</f>
        <v>0</v>
      </c>
      <c r="AD757" s="65" t="n">
        <f aca="false">IF(AND(E757&lt;&gt;"",E757&gt;=Controls!$B$37,E757&lt;=Controls!$B$38),1,0)</f>
        <v>1</v>
      </c>
      <c r="AE757" s="65" t="n">
        <f aca="false">IF(IFERROR(VLOOKUP(D757,Controls!$A$64:$E$74,2,FALSE()),"No")="Yes",1,0)</f>
        <v>0</v>
      </c>
      <c r="AF757" s="65" t="n">
        <f aca="false">IF(IFERROR(VLOOKUP(D757,Controls!$A$64:$E$74,3,FALSE()),"No")="Yes",1,0)</f>
        <v>0</v>
      </c>
      <c r="AG757" s="65" t="n">
        <f aca="false">IF(IFERROR(VLOOKUP(D757,Controls!$A$64:$E$74,4,FALSE()),"No")="Yes",1,0)</f>
        <v>0</v>
      </c>
      <c r="AH757" s="65" t="n">
        <f aca="false">IF(IFERROR(VLOOKUP(D757,Controls!$A$64:$E$74,5,FALSE()),"No")="Yes",1,0)</f>
        <v>1</v>
      </c>
      <c r="AI757" s="65" t="n">
        <f aca="false">IF(ISNUMBER(MATCH(D757,Controls!$A$64:$A$74,0)),1,0)</f>
        <v>1</v>
      </c>
      <c r="AJ757" s="65" t="n">
        <f aca="false">Q757-N757</f>
        <v>53.630000000001</v>
      </c>
      <c r="AK757" s="65" t="n">
        <f aca="false">IF(AE757=1,MAX(0,N757-Q757),0)</f>
        <v>0</v>
      </c>
      <c r="AL757" s="65" t="n">
        <f aca="false">IF(OR(V757="",V757=0),0,N757/V757)</f>
        <v>0.536019146603917</v>
      </c>
      <c r="AM757" s="65" t="n">
        <f aca="false">IF(OR(V757="",V757=0),0,1)</f>
        <v>1</v>
      </c>
      <c r="AN757" s="65" t="n">
        <f aca="false">IF(OR(E757="",F757=""),0,NETWORKDAYS(E757,F757,Ref!$K$2:$K$42))</f>
        <v>102</v>
      </c>
      <c r="AO757" s="65" t="n">
        <f aca="false">IF(L757="Renewal",1,0)</f>
        <v>1</v>
      </c>
      <c r="AP757" s="65" t="n">
        <f aca="false">AC757*AD757</f>
        <v>0</v>
      </c>
      <c r="AQ757" s="65" t="n">
        <f aca="false">IF(AND(G757&lt;&gt;"",'Historical Score'!$C$6&lt;&gt;""),IF(G757='Historical Score'!$C$6,1,0),0)</f>
        <v>1</v>
      </c>
      <c r="AR757" s="65" t="n">
        <f aca="false">IF(AND(L757&lt;&gt;"",'Historical Score'!$C$5&lt;&gt;""),IF(L757='Historical Score'!$C$5,1,0),0)</f>
        <v>0</v>
      </c>
      <c r="AS757" s="65" t="n">
        <f aca="false">IF(AND(Y757&lt;&gt;"",'Historical Score'!$C$7&lt;&gt;""),IF(Y757='Historical Score'!$C$7,1,0),0)</f>
        <v>0</v>
      </c>
      <c r="AT757" s="65" t="n">
        <f aca="false">IF(AND(K757&lt;&gt;"",'Historical Score'!$C$8&lt;&gt;""),IF(K757='Historical Score'!$C$8,1,0),0)</f>
        <v>0</v>
      </c>
      <c r="AU757" s="65" t="n">
        <f aca="false">IF(AND(J757&lt;&gt;"",'Historical Score'!$C$9&lt;&gt;""),IF(J757='Historical Score'!$C$9,1,0),0)</f>
        <v>0</v>
      </c>
      <c r="AV757" s="65" t="n">
        <f aca="false">AR757*AS757*AQ757</f>
        <v>0</v>
      </c>
      <c r="AW757" s="65" t="n">
        <f aca="false">AR757*AT757*AQ757</f>
        <v>0</v>
      </c>
      <c r="AX757" s="65" t="n">
        <f aca="false">AR757*AS757</f>
        <v>0</v>
      </c>
      <c r="AY757" s="65" t="n">
        <f aca="false">AR757*AT757</f>
        <v>0</v>
      </c>
      <c r="AZ757" s="65" t="n">
        <f aca="false">AR757*AQ757</f>
        <v>0</v>
      </c>
      <c r="BA757" s="65" t="n">
        <f aca="false">AR757</f>
        <v>0</v>
      </c>
      <c r="BB757" s="65" t="n">
        <f aca="false">1</f>
        <v>1</v>
      </c>
      <c r="BC757" s="65" t="n">
        <f aca="false">IF(AV757=1,1,IF(AW757=1,2,IF(AX757=1,3,IF(AY757=1,4,IF(AZ757=1,5,IF(BA757=1,6,7))))))</f>
        <v>7</v>
      </c>
      <c r="BD757" s="65" t="n">
        <f aca="false">IF(AD757=1,CHOOSE('Historical Score'!$C$29,AV757,AW757,AX757,AY757,AZ757,BA757,BB757),0)</f>
        <v>0</v>
      </c>
      <c r="BE757" s="65" t="str">
        <f aca="false">IF(BD757=1,COUNTIF($BD$2:BD757,1),"")</f>
        <v/>
      </c>
    </row>
    <row r="758" customFormat="false" ht="15" hidden="false" customHeight="false" outlineLevel="0" collapsed="false">
      <c r="A758" s="65" t="s">
        <v>2475</v>
      </c>
      <c r="B758" s="65" t="s">
        <v>2476</v>
      </c>
      <c r="C758" s="65" t="s">
        <v>2476</v>
      </c>
      <c r="D758" s="65" t="s">
        <v>533</v>
      </c>
      <c r="E758" s="112" t="n">
        <v>46108</v>
      </c>
      <c r="F758" s="112" t="n">
        <v>46223</v>
      </c>
      <c r="G758" s="65" t="n">
        <v>3</v>
      </c>
      <c r="H758" s="65" t="s">
        <v>442</v>
      </c>
      <c r="I758" s="65" t="s">
        <v>443</v>
      </c>
      <c r="J758" s="65" t="s">
        <v>646</v>
      </c>
      <c r="K758" s="65" t="s">
        <v>55</v>
      </c>
      <c r="L758" s="65" t="s">
        <v>64</v>
      </c>
      <c r="M758" s="113" t="n">
        <v>1.49</v>
      </c>
      <c r="N758" s="114" t="n">
        <v>5000</v>
      </c>
      <c r="O758" s="114" t="n">
        <v>0</v>
      </c>
      <c r="P758" s="114" t="n">
        <v>7450</v>
      </c>
      <c r="Q758" s="114" t="n">
        <v>1304.17</v>
      </c>
      <c r="R758" s="114" t="n">
        <v>6145.83</v>
      </c>
      <c r="S758" s="115" t="n">
        <v>0.175056375838926</v>
      </c>
      <c r="T758" s="65" t="n">
        <v>2.623</v>
      </c>
      <c r="U758" s="65" t="n">
        <v>49</v>
      </c>
      <c r="V758" s="65" t="n">
        <v>39596.57</v>
      </c>
      <c r="W758" s="115" t="n">
        <v>0.0494</v>
      </c>
      <c r="X758" s="112" t="n">
        <v>45860</v>
      </c>
      <c r="Y758" s="65" t="str">
        <f aca="false">IF(I758="","No SIC",IFERROR(VLOOKUP(I758,Ref!$A$2:$B$65,2,FALSE()),"Unclassified"))</f>
        <v>General Building Contractors</v>
      </c>
      <c r="Z758" s="65" t="str">
        <f aca="false">IF(T758="","",IF(T758&lt;12,"Daily","Weekly"))</f>
        <v>Daily</v>
      </c>
      <c r="AA758" s="65" t="n">
        <f aca="false">IF(T758="",0,IF(T758&lt;12,T758*Controls!$B$29,T758*5))</f>
        <v>56.801065</v>
      </c>
      <c r="AB758" s="65" t="n">
        <f aca="false">IF(E758="",0,NETWORKDAYS(E758,Controls!$B$36,Ref!$K$2:$K$42))</f>
        <v>106</v>
      </c>
      <c r="AC758" s="65" t="n">
        <f aca="false">IF(AND(AA758&gt;0,AB758&gt;=Controls!$B$39*AA758),1,0)</f>
        <v>1</v>
      </c>
      <c r="AD758" s="65" t="n">
        <f aca="false">IF(AND(E758&lt;&gt;"",E758&gt;=Controls!$B$37,E758&lt;=Controls!$B$38),1,0)</f>
        <v>1</v>
      </c>
      <c r="AE758" s="65" t="n">
        <f aca="false">IF(IFERROR(VLOOKUP(D758,Controls!$A$64:$E$74,2,FALSE()),"No")="Yes",1,0)</f>
        <v>1</v>
      </c>
      <c r="AF758" s="65" t="n">
        <f aca="false">IF(IFERROR(VLOOKUP(D758,Controls!$A$64:$E$74,3,FALSE()),"No")="Yes",1,0)</f>
        <v>0</v>
      </c>
      <c r="AG758" s="65" t="n">
        <f aca="false">IF(IFERROR(VLOOKUP(D758,Controls!$A$64:$E$74,4,FALSE()),"No")="Yes",1,0)</f>
        <v>0</v>
      </c>
      <c r="AH758" s="65" t="n">
        <f aca="false">IF(IFERROR(VLOOKUP(D758,Controls!$A$64:$E$74,5,FALSE()),"No")="Yes",1,0)</f>
        <v>0</v>
      </c>
      <c r="AI758" s="65" t="n">
        <f aca="false">IF(ISNUMBER(MATCH(D758,Controls!$A$64:$A$74,0)),1,0)</f>
        <v>1</v>
      </c>
      <c r="AJ758" s="65" t="n">
        <f aca="false">Q758-N758</f>
        <v>-3695.83</v>
      </c>
      <c r="AK758" s="65" t="n">
        <f aca="false">IF(AE758=1,MAX(0,N758-Q758),0)</f>
        <v>3695.83</v>
      </c>
      <c r="AL758" s="65" t="n">
        <f aca="false">IF(OR(V758="",V758=0),0,N758/V758)</f>
        <v>0.126273563594018</v>
      </c>
      <c r="AM758" s="65" t="n">
        <f aca="false">IF(OR(V758="",V758=0),0,1)</f>
        <v>1</v>
      </c>
      <c r="AN758" s="65" t="n">
        <f aca="false">IF(OR(E758="",F758=""),0,NETWORKDAYS(E758,F758,Ref!$K$2:$K$42))</f>
        <v>80</v>
      </c>
      <c r="AO758" s="65" t="n">
        <f aca="false">IF(L758="Renewal",1,0)</f>
        <v>0</v>
      </c>
      <c r="AP758" s="65" t="n">
        <f aca="false">AC758*AD758</f>
        <v>1</v>
      </c>
      <c r="AQ758" s="65" t="n">
        <f aca="false">IF(AND(G758&lt;&gt;"",'Historical Score'!$C$6&lt;&gt;""),IF(G758='Historical Score'!$C$6,1,0),0)</f>
        <v>0</v>
      </c>
      <c r="AR758" s="65" t="n">
        <f aca="false">IF(AND(L758&lt;&gt;"",'Historical Score'!$C$5&lt;&gt;""),IF(L758='Historical Score'!$C$5,1,0),0)</f>
        <v>1</v>
      </c>
      <c r="AS758" s="65" t="n">
        <f aca="false">IF(AND(Y758&lt;&gt;"",'Historical Score'!$C$7&lt;&gt;""),IF(Y758='Historical Score'!$C$7,1,0),0)</f>
        <v>1</v>
      </c>
      <c r="AT758" s="65" t="n">
        <f aca="false">IF(AND(K758&lt;&gt;"",'Historical Score'!$C$8&lt;&gt;""),IF(K758='Historical Score'!$C$8,1,0),0)</f>
        <v>1</v>
      </c>
      <c r="AU758" s="65" t="n">
        <f aca="false">IF(AND(J758&lt;&gt;"",'Historical Score'!$C$9&lt;&gt;""),IF(J758='Historical Score'!$C$9,1,0),0)</f>
        <v>0</v>
      </c>
      <c r="AV758" s="65" t="n">
        <f aca="false">AR758*AS758*AQ758</f>
        <v>0</v>
      </c>
      <c r="AW758" s="65" t="n">
        <f aca="false">AR758*AT758*AQ758</f>
        <v>0</v>
      </c>
      <c r="AX758" s="65" t="n">
        <f aca="false">AR758*AS758</f>
        <v>1</v>
      </c>
      <c r="AY758" s="65" t="n">
        <f aca="false">AR758*AT758</f>
        <v>1</v>
      </c>
      <c r="AZ758" s="65" t="n">
        <f aca="false">AR758*AQ758</f>
        <v>0</v>
      </c>
      <c r="BA758" s="65" t="n">
        <f aca="false">AR758</f>
        <v>1</v>
      </c>
      <c r="BB758" s="65" t="n">
        <f aca="false">1</f>
        <v>1</v>
      </c>
      <c r="BC758" s="65" t="n">
        <f aca="false">IF(AV758=1,1,IF(AW758=1,2,IF(AX758=1,3,IF(AY758=1,4,IF(AZ758=1,5,IF(BA758=1,6,7))))))</f>
        <v>3</v>
      </c>
      <c r="BD758" s="65" t="n">
        <f aca="false">IF(AD758=1,CHOOSE('Historical Score'!$C$29,AV758,AW758,AX758,AY758,AZ758,BA758,BB758),0)</f>
        <v>0</v>
      </c>
      <c r="BE758" s="65" t="str">
        <f aca="false">IF(BD758=1,COUNTIF($BD$2:BD758,1),"")</f>
        <v/>
      </c>
    </row>
    <row r="759" customFormat="false" ht="15" hidden="false" customHeight="false" outlineLevel="0" collapsed="false">
      <c r="A759" s="65" t="s">
        <v>2477</v>
      </c>
      <c r="B759" s="65" t="s">
        <v>2478</v>
      </c>
      <c r="C759" s="65" t="s">
        <v>2478</v>
      </c>
      <c r="D759" s="65" t="s">
        <v>340</v>
      </c>
      <c r="E759" s="112" t="n">
        <v>46108</v>
      </c>
      <c r="F759" s="112" t="n">
        <v>46136</v>
      </c>
      <c r="G759" s="65" t="n">
        <v>3</v>
      </c>
      <c r="H759" s="65" t="s">
        <v>2479</v>
      </c>
      <c r="I759" s="65" t="s">
        <v>419</v>
      </c>
      <c r="J759" s="65" t="s">
        <v>61</v>
      </c>
      <c r="K759" s="65" t="s">
        <v>55</v>
      </c>
      <c r="L759" s="65" t="s">
        <v>64</v>
      </c>
      <c r="M759" s="113" t="n">
        <v>1.39</v>
      </c>
      <c r="N759" s="114" t="n">
        <v>30000</v>
      </c>
      <c r="O759" s="114" t="n">
        <v>0</v>
      </c>
      <c r="P759" s="114" t="n">
        <v>41700</v>
      </c>
      <c r="Q759" s="114" t="n">
        <v>6575.73</v>
      </c>
      <c r="R759" s="114" t="n">
        <v>35124.27</v>
      </c>
      <c r="S759" s="115" t="n">
        <v>0.157691366906475</v>
      </c>
      <c r="T759" s="65" t="n">
        <v>19</v>
      </c>
      <c r="U759" s="65" t="n">
        <v>1</v>
      </c>
      <c r="V759" s="65" t="n">
        <v>301293.75</v>
      </c>
      <c r="W759" s="115" t="n">
        <v>0.0291</v>
      </c>
      <c r="X759" s="112" t="n">
        <v>43101</v>
      </c>
      <c r="Y759" s="65" t="str">
        <f aca="false">IF(I759="","No SIC",IFERROR(VLOOKUP(I759,Ref!$A$2:$B$65,2,FALSE()),"Unclassified"))</f>
        <v>Business Services</v>
      </c>
      <c r="Z759" s="65" t="str">
        <f aca="false">IF(T759="","",IF(T759&lt;12,"Daily","Weekly"))</f>
        <v>Weekly</v>
      </c>
      <c r="AA759" s="65" t="n">
        <f aca="false">IF(T759="",0,IF(T759&lt;12,T759*Controls!$B$29,T759*5))</f>
        <v>95</v>
      </c>
      <c r="AB759" s="65" t="n">
        <f aca="false">IF(E759="",0,NETWORKDAYS(E759,Controls!$B$36,Ref!$K$2:$K$42))</f>
        <v>106</v>
      </c>
      <c r="AC759" s="65" t="n">
        <f aca="false">IF(AND(AA759&gt;0,AB759&gt;=Controls!$B$39*AA759),1,0)</f>
        <v>0</v>
      </c>
      <c r="AD759" s="65" t="n">
        <f aca="false">IF(AND(E759&lt;&gt;"",E759&gt;=Controls!$B$37,E759&lt;=Controls!$B$38),1,0)</f>
        <v>1</v>
      </c>
      <c r="AE759" s="65" t="n">
        <f aca="false">IF(IFERROR(VLOOKUP(D759,Controls!$A$64:$E$74,2,FALSE()),"No")="Yes",1,0)</f>
        <v>1</v>
      </c>
      <c r="AF759" s="65" t="n">
        <f aca="false">IF(IFERROR(VLOOKUP(D759,Controls!$A$64:$E$74,3,FALSE()),"No")="Yes",1,0)</f>
        <v>0</v>
      </c>
      <c r="AG759" s="65" t="n">
        <f aca="false">IF(IFERROR(VLOOKUP(D759,Controls!$A$64:$E$74,4,FALSE()),"No")="Yes",1,0)</f>
        <v>0</v>
      </c>
      <c r="AH759" s="65" t="n">
        <f aca="false">IF(IFERROR(VLOOKUP(D759,Controls!$A$64:$E$74,5,FALSE()),"No")="Yes",1,0)</f>
        <v>0</v>
      </c>
      <c r="AI759" s="65" t="n">
        <f aca="false">IF(ISNUMBER(MATCH(D759,Controls!$A$64:$A$74,0)),1,0)</f>
        <v>1</v>
      </c>
      <c r="AJ759" s="65" t="n">
        <f aca="false">Q759-N759</f>
        <v>-23424.27</v>
      </c>
      <c r="AK759" s="65" t="n">
        <f aca="false">IF(AE759=1,MAX(0,N759-Q759),0)</f>
        <v>23424.27</v>
      </c>
      <c r="AL759" s="65" t="n">
        <f aca="false">IF(OR(V759="",V759=0),0,N759/V759)</f>
        <v>0.0995706017798245</v>
      </c>
      <c r="AM759" s="65" t="n">
        <f aca="false">IF(OR(V759="",V759=0),0,1)</f>
        <v>1</v>
      </c>
      <c r="AN759" s="65" t="n">
        <f aca="false">IF(OR(E759="",F759=""),0,NETWORKDAYS(E759,F759,Ref!$K$2:$K$42))</f>
        <v>21</v>
      </c>
      <c r="AO759" s="65" t="n">
        <f aca="false">IF(L759="Renewal",1,0)</f>
        <v>0</v>
      </c>
      <c r="AP759" s="65" t="n">
        <f aca="false">AC759*AD759</f>
        <v>0</v>
      </c>
      <c r="AQ759" s="65" t="n">
        <f aca="false">IF(AND(G759&lt;&gt;"",'Historical Score'!$C$6&lt;&gt;""),IF(G759='Historical Score'!$C$6,1,0),0)</f>
        <v>0</v>
      </c>
      <c r="AR759" s="65" t="n">
        <f aca="false">IF(AND(L759&lt;&gt;"",'Historical Score'!$C$5&lt;&gt;""),IF(L759='Historical Score'!$C$5,1,0),0)</f>
        <v>1</v>
      </c>
      <c r="AS759" s="65" t="n">
        <f aca="false">IF(AND(Y759&lt;&gt;"",'Historical Score'!$C$7&lt;&gt;""),IF(Y759='Historical Score'!$C$7,1,0),0)</f>
        <v>0</v>
      </c>
      <c r="AT759" s="65" t="n">
        <f aca="false">IF(AND(K759&lt;&gt;"",'Historical Score'!$C$8&lt;&gt;""),IF(K759='Historical Score'!$C$8,1,0),0)</f>
        <v>1</v>
      </c>
      <c r="AU759" s="65" t="n">
        <f aca="false">IF(AND(J759&lt;&gt;"",'Historical Score'!$C$9&lt;&gt;""),IF(J759='Historical Score'!$C$9,1,0),0)</f>
        <v>1</v>
      </c>
      <c r="AV759" s="65" t="n">
        <f aca="false">AR759*AS759*AQ759</f>
        <v>0</v>
      </c>
      <c r="AW759" s="65" t="n">
        <f aca="false">AR759*AT759*AQ759</f>
        <v>0</v>
      </c>
      <c r="AX759" s="65" t="n">
        <f aca="false">AR759*AS759</f>
        <v>0</v>
      </c>
      <c r="AY759" s="65" t="n">
        <f aca="false">AR759*AT759</f>
        <v>1</v>
      </c>
      <c r="AZ759" s="65" t="n">
        <f aca="false">AR759*AQ759</f>
        <v>0</v>
      </c>
      <c r="BA759" s="65" t="n">
        <f aca="false">AR759</f>
        <v>1</v>
      </c>
      <c r="BB759" s="65" t="n">
        <f aca="false">1</f>
        <v>1</v>
      </c>
      <c r="BC759" s="65" t="n">
        <f aca="false">IF(AV759=1,1,IF(AW759=1,2,IF(AX759=1,3,IF(AY759=1,4,IF(AZ759=1,5,IF(BA759=1,6,7))))))</f>
        <v>4</v>
      </c>
      <c r="BD759" s="65" t="n">
        <f aca="false">IF(AD759=1,CHOOSE('Historical Score'!$C$29,AV759,AW759,AX759,AY759,AZ759,BA759,BB759),0)</f>
        <v>0</v>
      </c>
      <c r="BE759" s="65" t="str">
        <f aca="false">IF(BD759=1,COUNTIF($BD$2:BD759,1),"")</f>
        <v/>
      </c>
    </row>
    <row r="760" customFormat="false" ht="15" hidden="false" customHeight="false" outlineLevel="0" collapsed="false">
      <c r="A760" s="65" t="s">
        <v>2480</v>
      </c>
      <c r="B760" s="65" t="s">
        <v>2481</v>
      </c>
      <c r="C760" s="65" t="s">
        <v>2482</v>
      </c>
      <c r="D760" s="65" t="s">
        <v>295</v>
      </c>
      <c r="E760" s="112" t="n">
        <v>46111</v>
      </c>
      <c r="F760" s="112" t="n">
        <v>46252</v>
      </c>
      <c r="G760" s="65" t="n">
        <v>2</v>
      </c>
      <c r="H760" s="65" t="s">
        <v>479</v>
      </c>
      <c r="I760" s="65" t="s">
        <v>356</v>
      </c>
      <c r="J760" s="65" t="s">
        <v>399</v>
      </c>
      <c r="K760" s="65" t="s">
        <v>55</v>
      </c>
      <c r="L760" s="65" t="s">
        <v>64</v>
      </c>
      <c r="M760" s="113" t="n">
        <v>1.36</v>
      </c>
      <c r="N760" s="114" t="n">
        <v>30000</v>
      </c>
      <c r="O760" s="114" t="n">
        <v>2250</v>
      </c>
      <c r="P760" s="114" t="n">
        <v>40800</v>
      </c>
      <c r="Q760" s="114" t="n">
        <v>40800</v>
      </c>
      <c r="R760" s="114" t="n">
        <v>0</v>
      </c>
      <c r="S760" s="115" t="n">
        <v>1</v>
      </c>
      <c r="T760" s="65" t="n">
        <v>3.279</v>
      </c>
      <c r="U760" s="65" t="n">
        <v>0</v>
      </c>
      <c r="V760" s="65" t="n">
        <v>101082.98</v>
      </c>
      <c r="W760" s="115" t="n">
        <v>0.0848</v>
      </c>
      <c r="X760" s="112" t="n">
        <v>43466</v>
      </c>
      <c r="Y760" s="65" t="str">
        <f aca="false">IF(I760="","No SIC",IFERROR(VLOOKUP(I760,Ref!$A$2:$B$65,2,FALSE()),"Unclassified"))</f>
        <v>Trucking &amp; Warehousing</v>
      </c>
      <c r="Z760" s="65" t="str">
        <f aca="false">IF(T760="","",IF(T760&lt;12,"Daily","Weekly"))</f>
        <v>Daily</v>
      </c>
      <c r="AA760" s="65" t="n">
        <f aca="false">IF(T760="",0,IF(T760&lt;12,T760*Controls!$B$29,T760*5))</f>
        <v>71.006745</v>
      </c>
      <c r="AB760" s="65" t="n">
        <f aca="false">IF(E760="",0,NETWORKDAYS(E760,Controls!$B$36,Ref!$K$2:$K$42))</f>
        <v>105</v>
      </c>
      <c r="AC760" s="65" t="n">
        <f aca="false">IF(AND(AA760&gt;0,AB760&gt;=Controls!$B$39*AA760),1,0)</f>
        <v>1</v>
      </c>
      <c r="AD760" s="65" t="n">
        <f aca="false">IF(AND(E760&lt;&gt;"",E760&gt;=Controls!$B$37,E760&lt;=Controls!$B$38),1,0)</f>
        <v>1</v>
      </c>
      <c r="AE760" s="65" t="n">
        <f aca="false">IF(IFERROR(VLOOKUP(D760,Controls!$A$64:$E$74,2,FALSE()),"No")="Yes",1,0)</f>
        <v>0</v>
      </c>
      <c r="AF760" s="65" t="n">
        <f aca="false">IF(IFERROR(VLOOKUP(D760,Controls!$A$64:$E$74,3,FALSE()),"No")="Yes",1,0)</f>
        <v>0</v>
      </c>
      <c r="AG760" s="65" t="n">
        <f aca="false">IF(IFERROR(VLOOKUP(D760,Controls!$A$64:$E$74,4,FALSE()),"No")="Yes",1,0)</f>
        <v>0</v>
      </c>
      <c r="AH760" s="65" t="n">
        <f aca="false">IF(IFERROR(VLOOKUP(D760,Controls!$A$64:$E$74,5,FALSE()),"No")="Yes",1,0)</f>
        <v>1</v>
      </c>
      <c r="AI760" s="65" t="n">
        <f aca="false">IF(ISNUMBER(MATCH(D760,Controls!$A$64:$A$74,0)),1,0)</f>
        <v>1</v>
      </c>
      <c r="AJ760" s="65" t="n">
        <f aca="false">Q760-N760</f>
        <v>10800</v>
      </c>
      <c r="AK760" s="65" t="n">
        <f aca="false">IF(AE760=1,MAX(0,N760-Q760),0)</f>
        <v>0</v>
      </c>
      <c r="AL760" s="65" t="n">
        <f aca="false">IF(OR(V760="",V760=0),0,N760/V760)</f>
        <v>0.296785868402376</v>
      </c>
      <c r="AM760" s="65" t="n">
        <f aca="false">IF(OR(V760="",V760=0),0,1)</f>
        <v>1</v>
      </c>
      <c r="AN760" s="65" t="n">
        <f aca="false">IF(OR(E760="",F760=""),0,NETWORKDAYS(E760,F760,Ref!$K$2:$K$42))</f>
        <v>100</v>
      </c>
      <c r="AO760" s="65" t="n">
        <f aca="false">IF(L760="Renewal",1,0)</f>
        <v>0</v>
      </c>
      <c r="AP760" s="65" t="n">
        <f aca="false">AC760*AD760</f>
        <v>1</v>
      </c>
      <c r="AQ760" s="65" t="n">
        <f aca="false">IF(AND(G760&lt;&gt;"",'Historical Score'!$C$6&lt;&gt;""),IF(G760='Historical Score'!$C$6,1,0),0)</f>
        <v>1</v>
      </c>
      <c r="AR760" s="65" t="n">
        <f aca="false">IF(AND(L760&lt;&gt;"",'Historical Score'!$C$5&lt;&gt;""),IF(L760='Historical Score'!$C$5,1,0),0)</f>
        <v>1</v>
      </c>
      <c r="AS760" s="65" t="n">
        <f aca="false">IF(AND(Y760&lt;&gt;"",'Historical Score'!$C$7&lt;&gt;""),IF(Y760='Historical Score'!$C$7,1,0),0)</f>
        <v>0</v>
      </c>
      <c r="AT760" s="65" t="n">
        <f aca="false">IF(AND(K760&lt;&gt;"",'Historical Score'!$C$8&lt;&gt;""),IF(K760='Historical Score'!$C$8,1,0),0)</f>
        <v>1</v>
      </c>
      <c r="AU760" s="65" t="n">
        <f aca="false">IF(AND(J760&lt;&gt;"",'Historical Score'!$C$9&lt;&gt;""),IF(J760='Historical Score'!$C$9,1,0),0)</f>
        <v>0</v>
      </c>
      <c r="AV760" s="65" t="n">
        <f aca="false">AR760*AS760*AQ760</f>
        <v>0</v>
      </c>
      <c r="AW760" s="65" t="n">
        <f aca="false">AR760*AT760*AQ760</f>
        <v>1</v>
      </c>
      <c r="AX760" s="65" t="n">
        <f aca="false">AR760*AS760</f>
        <v>0</v>
      </c>
      <c r="AY760" s="65" t="n">
        <f aca="false">AR760*AT760</f>
        <v>1</v>
      </c>
      <c r="AZ760" s="65" t="n">
        <f aca="false">AR760*AQ760</f>
        <v>1</v>
      </c>
      <c r="BA760" s="65" t="n">
        <f aca="false">AR760</f>
        <v>1</v>
      </c>
      <c r="BB760" s="65" t="n">
        <f aca="false">1</f>
        <v>1</v>
      </c>
      <c r="BC760" s="65" t="n">
        <f aca="false">IF(AV760=1,1,IF(AW760=1,2,IF(AX760=1,3,IF(AY760=1,4,IF(AZ760=1,5,IF(BA760=1,6,7))))))</f>
        <v>2</v>
      </c>
      <c r="BD760" s="65" t="n">
        <f aca="false">IF(AD760=1,CHOOSE('Historical Score'!$C$29,AV760,AW760,AX760,AY760,AZ760,BA760,BB760),0)</f>
        <v>0</v>
      </c>
      <c r="BE760" s="65" t="str">
        <f aca="false">IF(BD760=1,COUNTIF($BD$2:BD760,1),"")</f>
        <v/>
      </c>
    </row>
    <row r="761" customFormat="false" ht="15" hidden="false" customHeight="false" outlineLevel="0" collapsed="false">
      <c r="A761" s="65" t="s">
        <v>2483</v>
      </c>
      <c r="B761" s="65" t="s">
        <v>1164</v>
      </c>
      <c r="C761" s="65" t="s">
        <v>2484</v>
      </c>
      <c r="D761" s="65" t="s">
        <v>295</v>
      </c>
      <c r="E761" s="112" t="n">
        <v>46111</v>
      </c>
      <c r="F761" s="112" t="n">
        <v>46253</v>
      </c>
      <c r="G761" s="65" t="n">
        <v>3</v>
      </c>
      <c r="H761" s="65" t="s">
        <v>748</v>
      </c>
      <c r="I761" s="65" t="s">
        <v>619</v>
      </c>
      <c r="J761" s="65" t="s">
        <v>350</v>
      </c>
      <c r="K761" s="65" t="s">
        <v>1047</v>
      </c>
      <c r="L761" s="65" t="s">
        <v>320</v>
      </c>
      <c r="M761" s="113" t="n">
        <v>1.49</v>
      </c>
      <c r="N761" s="114" t="n">
        <v>16000</v>
      </c>
      <c r="O761" s="114" t="n">
        <v>2240</v>
      </c>
      <c r="P761" s="114" t="n">
        <v>23840</v>
      </c>
      <c r="Q761" s="114" t="n">
        <v>7368.82</v>
      </c>
      <c r="R761" s="114" t="n">
        <v>16471.18</v>
      </c>
      <c r="S761" s="115" t="n">
        <v>0.309094798657718</v>
      </c>
      <c r="T761" s="65" t="n">
        <v>3.607</v>
      </c>
      <c r="U761" s="65" t="n">
        <v>24</v>
      </c>
      <c r="V761" s="65" t="n">
        <v>19576</v>
      </c>
      <c r="W761" s="115" t="n">
        <v>0.2325</v>
      </c>
      <c r="X761" s="112" t="n">
        <v>43863</v>
      </c>
      <c r="Y761" s="65" t="str">
        <f aca="false">IF(I761="","No SIC",IFERROR(VLOOKUP(I761,Ref!$A$2:$B$65,2,FALSE()),"Unclassified"))</f>
        <v>Miscellaneous Retail</v>
      </c>
      <c r="Z761" s="65" t="str">
        <f aca="false">IF(T761="","",IF(T761&lt;12,"Daily","Weekly"))</f>
        <v>Daily</v>
      </c>
      <c r="AA761" s="65" t="n">
        <f aca="false">IF(T761="",0,IF(T761&lt;12,T761*Controls!$B$29,T761*5))</f>
        <v>78.109585</v>
      </c>
      <c r="AB761" s="65" t="n">
        <f aca="false">IF(E761="",0,NETWORKDAYS(E761,Controls!$B$36,Ref!$K$2:$K$42))</f>
        <v>105</v>
      </c>
      <c r="AC761" s="65" t="n">
        <f aca="false">IF(AND(AA761&gt;0,AB761&gt;=Controls!$B$39*AA761),1,0)</f>
        <v>1</v>
      </c>
      <c r="AD761" s="65" t="n">
        <f aca="false">IF(AND(E761&lt;&gt;"",E761&gt;=Controls!$B$37,E761&lt;=Controls!$B$38),1,0)</f>
        <v>1</v>
      </c>
      <c r="AE761" s="65" t="n">
        <f aca="false">IF(IFERROR(VLOOKUP(D761,Controls!$A$64:$E$74,2,FALSE()),"No")="Yes",1,0)</f>
        <v>0</v>
      </c>
      <c r="AF761" s="65" t="n">
        <f aca="false">IF(IFERROR(VLOOKUP(D761,Controls!$A$64:$E$74,3,FALSE()),"No")="Yes",1,0)</f>
        <v>0</v>
      </c>
      <c r="AG761" s="65" t="n">
        <f aca="false">IF(IFERROR(VLOOKUP(D761,Controls!$A$64:$E$74,4,FALSE()),"No")="Yes",1,0)</f>
        <v>0</v>
      </c>
      <c r="AH761" s="65" t="n">
        <f aca="false">IF(IFERROR(VLOOKUP(D761,Controls!$A$64:$E$74,5,FALSE()),"No")="Yes",1,0)</f>
        <v>1</v>
      </c>
      <c r="AI761" s="65" t="n">
        <f aca="false">IF(ISNUMBER(MATCH(D761,Controls!$A$64:$A$74,0)),1,0)</f>
        <v>1</v>
      </c>
      <c r="AJ761" s="65" t="n">
        <f aca="false">Q761-N761</f>
        <v>-8631.18</v>
      </c>
      <c r="AK761" s="65" t="n">
        <f aca="false">IF(AE761=1,MAX(0,N761-Q761),0)</f>
        <v>0</v>
      </c>
      <c r="AL761" s="65" t="n">
        <f aca="false">IF(OR(V761="",V761=0),0,N761/V761)</f>
        <v>0.81732733959951</v>
      </c>
      <c r="AM761" s="65" t="n">
        <f aca="false">IF(OR(V761="",V761=0),0,1)</f>
        <v>1</v>
      </c>
      <c r="AN761" s="65" t="n">
        <f aca="false">IF(OR(E761="",F761=""),0,NETWORKDAYS(E761,F761,Ref!$K$2:$K$42))</f>
        <v>101</v>
      </c>
      <c r="AO761" s="65" t="n">
        <f aca="false">IF(L761="Renewal",1,0)</f>
        <v>1</v>
      </c>
      <c r="AP761" s="65" t="n">
        <f aca="false">AC761*AD761</f>
        <v>1</v>
      </c>
      <c r="AQ761" s="65" t="n">
        <f aca="false">IF(AND(G761&lt;&gt;"",'Historical Score'!$C$6&lt;&gt;""),IF(G761='Historical Score'!$C$6,1,0),0)</f>
        <v>0</v>
      </c>
      <c r="AR761" s="65" t="n">
        <f aca="false">IF(AND(L761&lt;&gt;"",'Historical Score'!$C$5&lt;&gt;""),IF(L761='Historical Score'!$C$5,1,0),0)</f>
        <v>0</v>
      </c>
      <c r="AS761" s="65" t="n">
        <f aca="false">IF(AND(Y761&lt;&gt;"",'Historical Score'!$C$7&lt;&gt;""),IF(Y761='Historical Score'!$C$7,1,0),0)</f>
        <v>0</v>
      </c>
      <c r="AT761" s="65" t="n">
        <f aca="false">IF(AND(K761&lt;&gt;"",'Historical Score'!$C$8&lt;&gt;""),IF(K761='Historical Score'!$C$8,1,0),0)</f>
        <v>0</v>
      </c>
      <c r="AU761" s="65" t="n">
        <f aca="false">IF(AND(J761&lt;&gt;"",'Historical Score'!$C$9&lt;&gt;""),IF(J761='Historical Score'!$C$9,1,0),0)</f>
        <v>0</v>
      </c>
      <c r="AV761" s="65" t="n">
        <f aca="false">AR761*AS761*AQ761</f>
        <v>0</v>
      </c>
      <c r="AW761" s="65" t="n">
        <f aca="false">AR761*AT761*AQ761</f>
        <v>0</v>
      </c>
      <c r="AX761" s="65" t="n">
        <f aca="false">AR761*AS761</f>
        <v>0</v>
      </c>
      <c r="AY761" s="65" t="n">
        <f aca="false">AR761*AT761</f>
        <v>0</v>
      </c>
      <c r="AZ761" s="65" t="n">
        <f aca="false">AR761*AQ761</f>
        <v>0</v>
      </c>
      <c r="BA761" s="65" t="n">
        <f aca="false">AR761</f>
        <v>0</v>
      </c>
      <c r="BB761" s="65" t="n">
        <f aca="false">1</f>
        <v>1</v>
      </c>
      <c r="BC761" s="65" t="n">
        <f aca="false">IF(AV761=1,1,IF(AW761=1,2,IF(AX761=1,3,IF(AY761=1,4,IF(AZ761=1,5,IF(BA761=1,6,7))))))</f>
        <v>7</v>
      </c>
      <c r="BD761" s="65" t="n">
        <f aca="false">IF(AD761=1,CHOOSE('Historical Score'!$C$29,AV761,AW761,AX761,AY761,AZ761,BA761,BB761),0)</f>
        <v>0</v>
      </c>
      <c r="BE761" s="65" t="str">
        <f aca="false">IF(BD761=1,COUNTIF($BD$2:BD761,1),"")</f>
        <v/>
      </c>
    </row>
    <row r="762" customFormat="false" ht="15" hidden="false" customHeight="false" outlineLevel="0" collapsed="false">
      <c r="A762" s="65" t="s">
        <v>2485</v>
      </c>
      <c r="B762" s="65" t="s">
        <v>1937</v>
      </c>
      <c r="C762" s="65" t="s">
        <v>1938</v>
      </c>
      <c r="D762" s="65" t="s">
        <v>295</v>
      </c>
      <c r="E762" s="112" t="n">
        <v>46112</v>
      </c>
      <c r="F762" s="112" t="n">
        <v>46247</v>
      </c>
      <c r="G762" s="65" t="n">
        <v>3</v>
      </c>
      <c r="H762" s="65" t="s">
        <v>500</v>
      </c>
      <c r="I762" s="65" t="s">
        <v>475</v>
      </c>
      <c r="J762" s="65" t="s">
        <v>61</v>
      </c>
      <c r="K762" s="65" t="s">
        <v>983</v>
      </c>
      <c r="L762" s="65" t="s">
        <v>320</v>
      </c>
      <c r="M762" s="113" t="n">
        <v>1.49</v>
      </c>
      <c r="N762" s="114" t="n">
        <v>30000</v>
      </c>
      <c r="O762" s="114" t="n">
        <v>4500</v>
      </c>
      <c r="P762" s="114" t="n">
        <v>44700</v>
      </c>
      <c r="Q762" s="114" t="n">
        <v>17139.14</v>
      </c>
      <c r="R762" s="114" t="n">
        <v>27560.86</v>
      </c>
      <c r="S762" s="115" t="n">
        <v>0.383425950782998</v>
      </c>
      <c r="T762" s="65" t="n">
        <v>3.934</v>
      </c>
      <c r="U762" s="65" t="n">
        <v>49</v>
      </c>
      <c r="V762" s="65" t="n">
        <v>50675.93</v>
      </c>
      <c r="W762" s="115" t="n">
        <v>0.1544</v>
      </c>
      <c r="X762" s="112" t="n">
        <v>44845</v>
      </c>
      <c r="Y762" s="65" t="str">
        <f aca="false">IF(I762="","No SIC",IFERROR(VLOOKUP(I762,Ref!$A$2:$B$65,2,FALSE()),"Unclassified"))</f>
        <v>Auto Repair &amp; Services</v>
      </c>
      <c r="Z762" s="65" t="str">
        <f aca="false">IF(T762="","",IF(T762&lt;12,"Daily","Weekly"))</f>
        <v>Daily</v>
      </c>
      <c r="AA762" s="65" t="n">
        <f aca="false">IF(T762="",0,IF(T762&lt;12,T762*Controls!$B$29,T762*5))</f>
        <v>85.19077</v>
      </c>
      <c r="AB762" s="65" t="n">
        <f aca="false">IF(E762="",0,NETWORKDAYS(E762,Controls!$B$36,Ref!$K$2:$K$42))</f>
        <v>104</v>
      </c>
      <c r="AC762" s="65" t="n">
        <f aca="false">IF(AND(AA762&gt;0,AB762&gt;=Controls!$B$39*AA762),1,0)</f>
        <v>0</v>
      </c>
      <c r="AD762" s="65" t="n">
        <f aca="false">IF(AND(E762&lt;&gt;"",E762&gt;=Controls!$B$37,E762&lt;=Controls!$B$38),1,0)</f>
        <v>1</v>
      </c>
      <c r="AE762" s="65" t="n">
        <f aca="false">IF(IFERROR(VLOOKUP(D762,Controls!$A$64:$E$74,2,FALSE()),"No")="Yes",1,0)</f>
        <v>0</v>
      </c>
      <c r="AF762" s="65" t="n">
        <f aca="false">IF(IFERROR(VLOOKUP(D762,Controls!$A$64:$E$74,3,FALSE()),"No")="Yes",1,0)</f>
        <v>0</v>
      </c>
      <c r="AG762" s="65" t="n">
        <f aca="false">IF(IFERROR(VLOOKUP(D762,Controls!$A$64:$E$74,4,FALSE()),"No")="Yes",1,0)</f>
        <v>0</v>
      </c>
      <c r="AH762" s="65" t="n">
        <f aca="false">IF(IFERROR(VLOOKUP(D762,Controls!$A$64:$E$74,5,FALSE()),"No")="Yes",1,0)</f>
        <v>1</v>
      </c>
      <c r="AI762" s="65" t="n">
        <f aca="false">IF(ISNUMBER(MATCH(D762,Controls!$A$64:$A$74,0)),1,0)</f>
        <v>1</v>
      </c>
      <c r="AJ762" s="65" t="n">
        <f aca="false">Q762-N762</f>
        <v>-12860.86</v>
      </c>
      <c r="AK762" s="65" t="n">
        <f aca="false">IF(AE762=1,MAX(0,N762-Q762),0)</f>
        <v>0</v>
      </c>
      <c r="AL762" s="65" t="n">
        <f aca="false">IF(OR(V762="",V762=0),0,N762/V762)</f>
        <v>0.591997028964244</v>
      </c>
      <c r="AM762" s="65" t="n">
        <f aca="false">IF(OR(V762="",V762=0),0,1)</f>
        <v>1</v>
      </c>
      <c r="AN762" s="65" t="n">
        <f aca="false">IF(OR(E762="",F762=""),0,NETWORKDAYS(E762,F762,Ref!$K$2:$K$42))</f>
        <v>96</v>
      </c>
      <c r="AO762" s="65" t="n">
        <f aca="false">IF(L762="Renewal",1,0)</f>
        <v>1</v>
      </c>
      <c r="AP762" s="65" t="n">
        <f aca="false">AC762*AD762</f>
        <v>0</v>
      </c>
      <c r="AQ762" s="65" t="n">
        <f aca="false">IF(AND(G762&lt;&gt;"",'Historical Score'!$C$6&lt;&gt;""),IF(G762='Historical Score'!$C$6,1,0),0)</f>
        <v>0</v>
      </c>
      <c r="AR762" s="65" t="n">
        <f aca="false">IF(AND(L762&lt;&gt;"",'Historical Score'!$C$5&lt;&gt;""),IF(L762='Historical Score'!$C$5,1,0),0)</f>
        <v>0</v>
      </c>
      <c r="AS762" s="65" t="n">
        <f aca="false">IF(AND(Y762&lt;&gt;"",'Historical Score'!$C$7&lt;&gt;""),IF(Y762='Historical Score'!$C$7,1,0),0)</f>
        <v>0</v>
      </c>
      <c r="AT762" s="65" t="n">
        <f aca="false">IF(AND(K762&lt;&gt;"",'Historical Score'!$C$8&lt;&gt;""),IF(K762='Historical Score'!$C$8,1,0),0)</f>
        <v>0</v>
      </c>
      <c r="AU762" s="65" t="n">
        <f aca="false">IF(AND(J762&lt;&gt;"",'Historical Score'!$C$9&lt;&gt;""),IF(J762='Historical Score'!$C$9,1,0),0)</f>
        <v>1</v>
      </c>
      <c r="AV762" s="65" t="n">
        <f aca="false">AR762*AS762*AQ762</f>
        <v>0</v>
      </c>
      <c r="AW762" s="65" t="n">
        <f aca="false">AR762*AT762*AQ762</f>
        <v>0</v>
      </c>
      <c r="AX762" s="65" t="n">
        <f aca="false">AR762*AS762</f>
        <v>0</v>
      </c>
      <c r="AY762" s="65" t="n">
        <f aca="false">AR762*AT762</f>
        <v>0</v>
      </c>
      <c r="AZ762" s="65" t="n">
        <f aca="false">AR762*AQ762</f>
        <v>0</v>
      </c>
      <c r="BA762" s="65" t="n">
        <f aca="false">AR762</f>
        <v>0</v>
      </c>
      <c r="BB762" s="65" t="n">
        <f aca="false">1</f>
        <v>1</v>
      </c>
      <c r="BC762" s="65" t="n">
        <f aca="false">IF(AV762=1,1,IF(AW762=1,2,IF(AX762=1,3,IF(AY762=1,4,IF(AZ762=1,5,IF(BA762=1,6,7))))))</f>
        <v>7</v>
      </c>
      <c r="BD762" s="65" t="n">
        <f aca="false">IF(AD762=1,CHOOSE('Historical Score'!$C$29,AV762,AW762,AX762,AY762,AZ762,BA762,BB762),0)</f>
        <v>0</v>
      </c>
      <c r="BE762" s="65" t="str">
        <f aca="false">IF(BD762=1,COUNTIF($BD$2:BD762,1),"")</f>
        <v/>
      </c>
    </row>
    <row r="763" customFormat="false" ht="15" hidden="false" customHeight="false" outlineLevel="0" collapsed="false">
      <c r="A763" s="65" t="s">
        <v>2486</v>
      </c>
      <c r="B763" s="65" t="s">
        <v>2487</v>
      </c>
      <c r="C763" s="65" t="s">
        <v>2487</v>
      </c>
      <c r="D763" s="65" t="s">
        <v>371</v>
      </c>
      <c r="E763" s="112" t="n">
        <v>46112</v>
      </c>
      <c r="F763" s="112" t="n">
        <v>46169</v>
      </c>
      <c r="G763" s="65" t="n">
        <v>3</v>
      </c>
      <c r="H763" s="65" t="s">
        <v>1097</v>
      </c>
      <c r="I763" s="65" t="s">
        <v>367</v>
      </c>
      <c r="J763" s="65" t="s">
        <v>61</v>
      </c>
      <c r="K763" s="65" t="s">
        <v>496</v>
      </c>
      <c r="L763" s="65" t="s">
        <v>64</v>
      </c>
      <c r="M763" s="113" t="n">
        <v>1.3972744</v>
      </c>
      <c r="N763" s="114" t="n">
        <v>25000</v>
      </c>
      <c r="O763" s="114" t="n">
        <v>3000</v>
      </c>
      <c r="P763" s="114" t="n">
        <v>34931.86</v>
      </c>
      <c r="Q763" s="114" t="n">
        <v>34931.86</v>
      </c>
      <c r="R763" s="114" t="n">
        <v>0</v>
      </c>
      <c r="S763" s="115" t="n">
        <v>1</v>
      </c>
      <c r="T763" s="65" t="n">
        <v>22</v>
      </c>
      <c r="U763" s="65" t="n">
        <v>0</v>
      </c>
      <c r="V763" s="65" t="n">
        <v>14086.41</v>
      </c>
      <c r="W763" s="115" t="n">
        <v>0.4679</v>
      </c>
      <c r="X763" s="112" t="n">
        <v>42005</v>
      </c>
      <c r="Y763" s="65" t="str">
        <f aca="false">IF(I763="","No SIC",IFERROR(VLOOKUP(I763,Ref!$A$2:$B$65,2,FALSE()),"Unclassified"))</f>
        <v>Engineering, Accounting &amp; Management</v>
      </c>
      <c r="Z763" s="65" t="str">
        <f aca="false">IF(T763="","",IF(T763&lt;12,"Daily","Weekly"))</f>
        <v>Weekly</v>
      </c>
      <c r="AA763" s="65" t="n">
        <f aca="false">IF(T763="",0,IF(T763&lt;12,T763*Controls!$B$29,T763*5))</f>
        <v>110</v>
      </c>
      <c r="AB763" s="65" t="n">
        <f aca="false">IF(E763="",0,NETWORKDAYS(E763,Controls!$B$36,Ref!$K$2:$K$42))</f>
        <v>104</v>
      </c>
      <c r="AC763" s="65" t="n">
        <f aca="false">IF(AND(AA763&gt;0,AB763&gt;=Controls!$B$39*AA763),1,0)</f>
        <v>0</v>
      </c>
      <c r="AD763" s="65" t="n">
        <f aca="false">IF(AND(E763&lt;&gt;"",E763&gt;=Controls!$B$37,E763&lt;=Controls!$B$38),1,0)</f>
        <v>1</v>
      </c>
      <c r="AE763" s="65" t="n">
        <f aca="false">IF(IFERROR(VLOOKUP(D763,Controls!$A$64:$E$74,2,FALSE()),"No")="Yes",1,0)</f>
        <v>0</v>
      </c>
      <c r="AF763" s="65" t="n">
        <f aca="false">IF(IFERROR(VLOOKUP(D763,Controls!$A$64:$E$74,3,FALSE()),"No")="Yes",1,0)</f>
        <v>1</v>
      </c>
      <c r="AG763" s="65" t="n">
        <f aca="false">IF(IFERROR(VLOOKUP(D763,Controls!$A$64:$E$74,4,FALSE()),"No")="Yes",1,0)</f>
        <v>1</v>
      </c>
      <c r="AH763" s="65" t="n">
        <f aca="false">IF(IFERROR(VLOOKUP(D763,Controls!$A$64:$E$74,5,FALSE()),"No")="Yes",1,0)</f>
        <v>0</v>
      </c>
      <c r="AI763" s="65" t="n">
        <f aca="false">IF(ISNUMBER(MATCH(D763,Controls!$A$64:$A$74,0)),1,0)</f>
        <v>1</v>
      </c>
      <c r="AJ763" s="65" t="n">
        <f aca="false">Q763-N763</f>
        <v>9931.86</v>
      </c>
      <c r="AK763" s="65" t="n">
        <f aca="false">IF(AE763=1,MAX(0,N763-Q763),0)</f>
        <v>0</v>
      </c>
      <c r="AL763" s="65" t="n">
        <f aca="false">IF(OR(V763="",V763=0),0,N763/V763)</f>
        <v>1.77476021214774</v>
      </c>
      <c r="AM763" s="65" t="n">
        <f aca="false">IF(OR(V763="",V763=0),0,1)</f>
        <v>1</v>
      </c>
      <c r="AN763" s="65" t="n">
        <f aca="false">IF(OR(E763="",F763=""),0,NETWORKDAYS(E763,F763,Ref!$K$2:$K$42))</f>
        <v>41</v>
      </c>
      <c r="AO763" s="65" t="n">
        <f aca="false">IF(L763="Renewal",1,0)</f>
        <v>0</v>
      </c>
      <c r="AP763" s="65" t="n">
        <f aca="false">AC763*AD763</f>
        <v>0</v>
      </c>
      <c r="AQ763" s="65" t="n">
        <f aca="false">IF(AND(G763&lt;&gt;"",'Historical Score'!$C$6&lt;&gt;""),IF(G763='Historical Score'!$C$6,1,0),0)</f>
        <v>0</v>
      </c>
      <c r="AR763" s="65" t="n">
        <f aca="false">IF(AND(L763&lt;&gt;"",'Historical Score'!$C$5&lt;&gt;""),IF(L763='Historical Score'!$C$5,1,0),0)</f>
        <v>1</v>
      </c>
      <c r="AS763" s="65" t="n">
        <f aca="false">IF(AND(Y763&lt;&gt;"",'Historical Score'!$C$7&lt;&gt;""),IF(Y763='Historical Score'!$C$7,1,0),0)</f>
        <v>0</v>
      </c>
      <c r="AT763" s="65" t="n">
        <f aca="false">IF(AND(K763&lt;&gt;"",'Historical Score'!$C$8&lt;&gt;""),IF(K763='Historical Score'!$C$8,1,0),0)</f>
        <v>0</v>
      </c>
      <c r="AU763" s="65" t="n">
        <f aca="false">IF(AND(J763&lt;&gt;"",'Historical Score'!$C$9&lt;&gt;""),IF(J763='Historical Score'!$C$9,1,0),0)</f>
        <v>1</v>
      </c>
      <c r="AV763" s="65" t="n">
        <f aca="false">AR763*AS763*AQ763</f>
        <v>0</v>
      </c>
      <c r="AW763" s="65" t="n">
        <f aca="false">AR763*AT763*AQ763</f>
        <v>0</v>
      </c>
      <c r="AX763" s="65" t="n">
        <f aca="false">AR763*AS763</f>
        <v>0</v>
      </c>
      <c r="AY763" s="65" t="n">
        <f aca="false">AR763*AT763</f>
        <v>0</v>
      </c>
      <c r="AZ763" s="65" t="n">
        <f aca="false">AR763*AQ763</f>
        <v>0</v>
      </c>
      <c r="BA763" s="65" t="n">
        <f aca="false">AR763</f>
        <v>1</v>
      </c>
      <c r="BB763" s="65" t="n">
        <f aca="false">1</f>
        <v>1</v>
      </c>
      <c r="BC763" s="65" t="n">
        <f aca="false">IF(AV763=1,1,IF(AW763=1,2,IF(AX763=1,3,IF(AY763=1,4,IF(AZ763=1,5,IF(BA763=1,6,7))))))</f>
        <v>6</v>
      </c>
      <c r="BD763" s="65" t="n">
        <f aca="false">IF(AD763=1,CHOOSE('Historical Score'!$C$29,AV763,AW763,AX763,AY763,AZ763,BA763,BB763),0)</f>
        <v>0</v>
      </c>
      <c r="BE763" s="65" t="str">
        <f aca="false">IF(BD763=1,COUNTIF($BD$2:BD763,1),"")</f>
        <v/>
      </c>
    </row>
    <row r="764" customFormat="false" ht="15" hidden="false" customHeight="false" outlineLevel="0" collapsed="false">
      <c r="A764" s="65" t="s">
        <v>2488</v>
      </c>
      <c r="B764" s="65" t="s">
        <v>1371</v>
      </c>
      <c r="C764" s="65" t="s">
        <v>1372</v>
      </c>
      <c r="D764" s="65" t="s">
        <v>295</v>
      </c>
      <c r="E764" s="112" t="n">
        <v>46112</v>
      </c>
      <c r="F764" s="112" t="n">
        <v>46252</v>
      </c>
      <c r="G764" s="65" t="n">
        <v>2</v>
      </c>
      <c r="H764" s="65" t="s">
        <v>1373</v>
      </c>
      <c r="I764" s="65" t="s">
        <v>488</v>
      </c>
      <c r="J764" s="65" t="s">
        <v>61</v>
      </c>
      <c r="K764" s="65" t="s">
        <v>363</v>
      </c>
      <c r="L764" s="65" t="s">
        <v>320</v>
      </c>
      <c r="M764" s="113" t="n">
        <v>1.49</v>
      </c>
      <c r="N764" s="114" t="n">
        <v>55000</v>
      </c>
      <c r="O764" s="114" t="n">
        <v>7700</v>
      </c>
      <c r="P764" s="114" t="n">
        <v>81950</v>
      </c>
      <c r="Q764" s="114" t="n">
        <v>46114.56</v>
      </c>
      <c r="R764" s="114" t="n">
        <v>35835.44</v>
      </c>
      <c r="S764" s="115" t="n">
        <v>0.562715802318487</v>
      </c>
      <c r="T764" s="65" t="n">
        <v>32</v>
      </c>
      <c r="U764" s="65" t="n">
        <v>2</v>
      </c>
      <c r="V764" s="65" t="n">
        <v>94974</v>
      </c>
      <c r="W764" s="115" t="n">
        <v>0.1079</v>
      </c>
      <c r="X764" s="112"/>
      <c r="Y764" s="65" t="str">
        <f aca="false">IF(I764="","No SIC",IFERROR(VLOOKUP(I764,Ref!$A$2:$B$65,2,FALSE()),"Unclassified"))</f>
        <v>Food &amp; Kindred Products</v>
      </c>
      <c r="Z764" s="65" t="str">
        <f aca="false">IF(T764="","",IF(T764&lt;12,"Daily","Weekly"))</f>
        <v>Weekly</v>
      </c>
      <c r="AA764" s="65" t="n">
        <f aca="false">IF(T764="",0,IF(T764&lt;12,T764*Controls!$B$29,T764*5))</f>
        <v>160</v>
      </c>
      <c r="AB764" s="65" t="n">
        <f aca="false">IF(E764="",0,NETWORKDAYS(E764,Controls!$B$36,Ref!$K$2:$K$42))</f>
        <v>104</v>
      </c>
      <c r="AC764" s="65" t="n">
        <f aca="false">IF(AND(AA764&gt;0,AB764&gt;=Controls!$B$39*AA764),1,0)</f>
        <v>0</v>
      </c>
      <c r="AD764" s="65" t="n">
        <f aca="false">IF(AND(E764&lt;&gt;"",E764&gt;=Controls!$B$37,E764&lt;=Controls!$B$38),1,0)</f>
        <v>1</v>
      </c>
      <c r="AE764" s="65" t="n">
        <f aca="false">IF(IFERROR(VLOOKUP(D764,Controls!$A$64:$E$74,2,FALSE()),"No")="Yes",1,0)</f>
        <v>0</v>
      </c>
      <c r="AF764" s="65" t="n">
        <f aca="false">IF(IFERROR(VLOOKUP(D764,Controls!$A$64:$E$74,3,FALSE()),"No")="Yes",1,0)</f>
        <v>0</v>
      </c>
      <c r="AG764" s="65" t="n">
        <f aca="false">IF(IFERROR(VLOOKUP(D764,Controls!$A$64:$E$74,4,FALSE()),"No")="Yes",1,0)</f>
        <v>0</v>
      </c>
      <c r="AH764" s="65" t="n">
        <f aca="false">IF(IFERROR(VLOOKUP(D764,Controls!$A$64:$E$74,5,FALSE()),"No")="Yes",1,0)</f>
        <v>1</v>
      </c>
      <c r="AI764" s="65" t="n">
        <f aca="false">IF(ISNUMBER(MATCH(D764,Controls!$A$64:$A$74,0)),1,0)</f>
        <v>1</v>
      </c>
      <c r="AJ764" s="65" t="n">
        <f aca="false">Q764-N764</f>
        <v>-8885.44</v>
      </c>
      <c r="AK764" s="65" t="n">
        <f aca="false">IF(AE764=1,MAX(0,N764-Q764),0)</f>
        <v>0</v>
      </c>
      <c r="AL764" s="65" t="n">
        <f aca="false">IF(OR(V764="",V764=0),0,N764/V764)</f>
        <v>0.579105860551309</v>
      </c>
      <c r="AM764" s="65" t="n">
        <f aca="false">IF(OR(V764="",V764=0),0,1)</f>
        <v>1</v>
      </c>
      <c r="AN764" s="65" t="n">
        <f aca="false">IF(OR(E764="",F764=""),0,NETWORKDAYS(E764,F764,Ref!$K$2:$K$42))</f>
        <v>99</v>
      </c>
      <c r="AO764" s="65" t="n">
        <f aca="false">IF(L764="Renewal",1,0)</f>
        <v>1</v>
      </c>
      <c r="AP764" s="65" t="n">
        <f aca="false">AC764*AD764</f>
        <v>0</v>
      </c>
      <c r="AQ764" s="65" t="n">
        <f aca="false">IF(AND(G764&lt;&gt;"",'Historical Score'!$C$6&lt;&gt;""),IF(G764='Historical Score'!$C$6,1,0),0)</f>
        <v>1</v>
      </c>
      <c r="AR764" s="65" t="n">
        <f aca="false">IF(AND(L764&lt;&gt;"",'Historical Score'!$C$5&lt;&gt;""),IF(L764='Historical Score'!$C$5,1,0),0)</f>
        <v>0</v>
      </c>
      <c r="AS764" s="65" t="n">
        <f aca="false">IF(AND(Y764&lt;&gt;"",'Historical Score'!$C$7&lt;&gt;""),IF(Y764='Historical Score'!$C$7,1,0),0)</f>
        <v>0</v>
      </c>
      <c r="AT764" s="65" t="n">
        <f aca="false">IF(AND(K764&lt;&gt;"",'Historical Score'!$C$8&lt;&gt;""),IF(K764='Historical Score'!$C$8,1,0),0)</f>
        <v>0</v>
      </c>
      <c r="AU764" s="65" t="n">
        <f aca="false">IF(AND(J764&lt;&gt;"",'Historical Score'!$C$9&lt;&gt;""),IF(J764='Historical Score'!$C$9,1,0),0)</f>
        <v>1</v>
      </c>
      <c r="AV764" s="65" t="n">
        <f aca="false">AR764*AS764*AQ764</f>
        <v>0</v>
      </c>
      <c r="AW764" s="65" t="n">
        <f aca="false">AR764*AT764*AQ764</f>
        <v>0</v>
      </c>
      <c r="AX764" s="65" t="n">
        <f aca="false">AR764*AS764</f>
        <v>0</v>
      </c>
      <c r="AY764" s="65" t="n">
        <f aca="false">AR764*AT764</f>
        <v>0</v>
      </c>
      <c r="AZ764" s="65" t="n">
        <f aca="false">AR764*AQ764</f>
        <v>0</v>
      </c>
      <c r="BA764" s="65" t="n">
        <f aca="false">AR764</f>
        <v>0</v>
      </c>
      <c r="BB764" s="65" t="n">
        <f aca="false">1</f>
        <v>1</v>
      </c>
      <c r="BC764" s="65" t="n">
        <f aca="false">IF(AV764=1,1,IF(AW764=1,2,IF(AX764=1,3,IF(AY764=1,4,IF(AZ764=1,5,IF(BA764=1,6,7))))))</f>
        <v>7</v>
      </c>
      <c r="BD764" s="65" t="n">
        <f aca="false">IF(AD764=1,CHOOSE('Historical Score'!$C$29,AV764,AW764,AX764,AY764,AZ764,BA764,BB764),0)</f>
        <v>0</v>
      </c>
      <c r="BE764" s="65" t="str">
        <f aca="false">IF(BD764=1,COUNTIF($BD$2:BD764,1),"")</f>
        <v/>
      </c>
    </row>
    <row r="765" customFormat="false" ht="15" hidden="false" customHeight="false" outlineLevel="0" collapsed="false">
      <c r="A765" s="65" t="s">
        <v>2489</v>
      </c>
      <c r="B765" s="65" t="s">
        <v>2490</v>
      </c>
      <c r="C765" s="65" t="s">
        <v>2491</v>
      </c>
      <c r="D765" s="65" t="s">
        <v>533</v>
      </c>
      <c r="E765" s="112" t="n">
        <v>46113</v>
      </c>
      <c r="F765" s="112" t="n">
        <v>46190</v>
      </c>
      <c r="G765" s="65" t="n">
        <v>3</v>
      </c>
      <c r="H765" s="65" t="s">
        <v>568</v>
      </c>
      <c r="I765" s="65" t="s">
        <v>569</v>
      </c>
      <c r="J765" s="65" t="s">
        <v>61</v>
      </c>
      <c r="K765" s="65" t="s">
        <v>2083</v>
      </c>
      <c r="L765" s="65" t="s">
        <v>64</v>
      </c>
      <c r="M765" s="113" t="n">
        <v>1.49</v>
      </c>
      <c r="N765" s="114" t="n">
        <v>3000</v>
      </c>
      <c r="O765" s="114" t="n">
        <v>420</v>
      </c>
      <c r="P765" s="114" t="n">
        <v>4470</v>
      </c>
      <c r="Q765" s="114" t="n">
        <v>2554</v>
      </c>
      <c r="R765" s="114" t="n">
        <v>1916</v>
      </c>
      <c r="S765" s="115" t="n">
        <v>0.571364653243848</v>
      </c>
      <c r="T765" s="65" t="n">
        <v>2.295</v>
      </c>
      <c r="U765" s="65" t="n">
        <v>9</v>
      </c>
      <c r="V765" s="65" t="n">
        <v>11618.3</v>
      </c>
      <c r="W765" s="115" t="n">
        <v>0.1154</v>
      </c>
      <c r="X765" s="112" t="n">
        <v>45675</v>
      </c>
      <c r="Y765" s="65" t="str">
        <f aca="false">IF(I765="","No SIC",IFERROR(VLOOKUP(I765,Ref!$A$2:$B$65,2,FALSE()),"Unclassified"))</f>
        <v>General Merchandise Stores</v>
      </c>
      <c r="Z765" s="65" t="str">
        <f aca="false">IF(T765="","",IF(T765&lt;12,"Daily","Weekly"))</f>
        <v>Daily</v>
      </c>
      <c r="AA765" s="65" t="n">
        <f aca="false">IF(T765="",0,IF(T765&lt;12,T765*Controls!$B$29,T765*5))</f>
        <v>49.698225</v>
      </c>
      <c r="AB765" s="65" t="n">
        <f aca="false">IF(E765="",0,NETWORKDAYS(E765,Controls!$B$36,Ref!$K$2:$K$42))</f>
        <v>103</v>
      </c>
      <c r="AC765" s="65" t="n">
        <f aca="false">IF(AND(AA765&gt;0,AB765&gt;=Controls!$B$39*AA765),1,0)</f>
        <v>1</v>
      </c>
      <c r="AD765" s="65" t="n">
        <f aca="false">IF(AND(E765&lt;&gt;"",E765&gt;=Controls!$B$37,E765&lt;=Controls!$B$38),1,0)</f>
        <v>1</v>
      </c>
      <c r="AE765" s="65" t="n">
        <f aca="false">IF(IFERROR(VLOOKUP(D765,Controls!$A$64:$E$74,2,FALSE()),"No")="Yes",1,0)</f>
        <v>1</v>
      </c>
      <c r="AF765" s="65" t="n">
        <f aca="false">IF(IFERROR(VLOOKUP(D765,Controls!$A$64:$E$74,3,FALSE()),"No")="Yes",1,0)</f>
        <v>0</v>
      </c>
      <c r="AG765" s="65" t="n">
        <f aca="false">IF(IFERROR(VLOOKUP(D765,Controls!$A$64:$E$74,4,FALSE()),"No")="Yes",1,0)</f>
        <v>0</v>
      </c>
      <c r="AH765" s="65" t="n">
        <f aca="false">IF(IFERROR(VLOOKUP(D765,Controls!$A$64:$E$74,5,FALSE()),"No")="Yes",1,0)</f>
        <v>0</v>
      </c>
      <c r="AI765" s="65" t="n">
        <f aca="false">IF(ISNUMBER(MATCH(D765,Controls!$A$64:$A$74,0)),1,0)</f>
        <v>1</v>
      </c>
      <c r="AJ765" s="65" t="n">
        <f aca="false">Q765-N765</f>
        <v>-446</v>
      </c>
      <c r="AK765" s="65" t="n">
        <f aca="false">IF(AE765=1,MAX(0,N765-Q765),0)</f>
        <v>446</v>
      </c>
      <c r="AL765" s="65" t="n">
        <f aca="false">IF(OR(V765="",V765=0),0,N765/V765)</f>
        <v>0.258213335858086</v>
      </c>
      <c r="AM765" s="65" t="n">
        <f aca="false">IF(OR(V765="",V765=0),0,1)</f>
        <v>1</v>
      </c>
      <c r="AN765" s="65" t="n">
        <f aca="false">IF(OR(E765="",F765=""),0,NETWORKDAYS(E765,F765,Ref!$K$2:$K$42))</f>
        <v>55</v>
      </c>
      <c r="AO765" s="65" t="n">
        <f aca="false">IF(L765="Renewal",1,0)</f>
        <v>0</v>
      </c>
      <c r="AP765" s="65" t="n">
        <f aca="false">AC765*AD765</f>
        <v>1</v>
      </c>
      <c r="AQ765" s="65" t="n">
        <f aca="false">IF(AND(G765&lt;&gt;"",'Historical Score'!$C$6&lt;&gt;""),IF(G765='Historical Score'!$C$6,1,0),0)</f>
        <v>0</v>
      </c>
      <c r="AR765" s="65" t="n">
        <f aca="false">IF(AND(L765&lt;&gt;"",'Historical Score'!$C$5&lt;&gt;""),IF(L765='Historical Score'!$C$5,1,0),0)</f>
        <v>1</v>
      </c>
      <c r="AS765" s="65" t="n">
        <f aca="false">IF(AND(Y765&lt;&gt;"",'Historical Score'!$C$7&lt;&gt;""),IF(Y765='Historical Score'!$C$7,1,0),0)</f>
        <v>0</v>
      </c>
      <c r="AT765" s="65" t="n">
        <f aca="false">IF(AND(K765&lt;&gt;"",'Historical Score'!$C$8&lt;&gt;""),IF(K765='Historical Score'!$C$8,1,0),0)</f>
        <v>0</v>
      </c>
      <c r="AU765" s="65" t="n">
        <f aca="false">IF(AND(J765&lt;&gt;"",'Historical Score'!$C$9&lt;&gt;""),IF(J765='Historical Score'!$C$9,1,0),0)</f>
        <v>1</v>
      </c>
      <c r="AV765" s="65" t="n">
        <f aca="false">AR765*AS765*AQ765</f>
        <v>0</v>
      </c>
      <c r="AW765" s="65" t="n">
        <f aca="false">AR765*AT765*AQ765</f>
        <v>0</v>
      </c>
      <c r="AX765" s="65" t="n">
        <f aca="false">AR765*AS765</f>
        <v>0</v>
      </c>
      <c r="AY765" s="65" t="n">
        <f aca="false">AR765*AT765</f>
        <v>0</v>
      </c>
      <c r="AZ765" s="65" t="n">
        <f aca="false">AR765*AQ765</f>
        <v>0</v>
      </c>
      <c r="BA765" s="65" t="n">
        <f aca="false">AR765</f>
        <v>1</v>
      </c>
      <c r="BB765" s="65" t="n">
        <f aca="false">1</f>
        <v>1</v>
      </c>
      <c r="BC765" s="65" t="n">
        <f aca="false">IF(AV765=1,1,IF(AW765=1,2,IF(AX765=1,3,IF(AY765=1,4,IF(AZ765=1,5,IF(BA765=1,6,7))))))</f>
        <v>6</v>
      </c>
      <c r="BD765" s="65" t="n">
        <f aca="false">IF(AD765=1,CHOOSE('Historical Score'!$C$29,AV765,AW765,AX765,AY765,AZ765,BA765,BB765),0)</f>
        <v>0</v>
      </c>
      <c r="BE765" s="65" t="str">
        <f aca="false">IF(BD765=1,COUNTIF($BD$2:BD765,1),"")</f>
        <v/>
      </c>
    </row>
    <row r="766" customFormat="false" ht="15" hidden="false" customHeight="false" outlineLevel="0" collapsed="false">
      <c r="A766" s="65" t="s">
        <v>2492</v>
      </c>
      <c r="B766" s="65" t="s">
        <v>2493</v>
      </c>
      <c r="C766" s="65" t="s">
        <v>2493</v>
      </c>
      <c r="D766" s="65" t="s">
        <v>340</v>
      </c>
      <c r="E766" s="112" t="n">
        <v>46113</v>
      </c>
      <c r="F766" s="112" t="n">
        <v>46147</v>
      </c>
      <c r="G766" s="65" t="n">
        <v>3</v>
      </c>
      <c r="H766" s="65" t="s">
        <v>479</v>
      </c>
      <c r="I766" s="65" t="s">
        <v>356</v>
      </c>
      <c r="J766" s="65" t="s">
        <v>399</v>
      </c>
      <c r="K766" s="65" t="s">
        <v>983</v>
      </c>
      <c r="L766" s="65" t="s">
        <v>64</v>
      </c>
      <c r="M766" s="113" t="n">
        <v>1.49</v>
      </c>
      <c r="N766" s="114" t="n">
        <v>20000</v>
      </c>
      <c r="O766" s="114" t="n">
        <v>0</v>
      </c>
      <c r="P766" s="114" t="n">
        <v>29800</v>
      </c>
      <c r="Q766" s="114" t="n">
        <v>743.56</v>
      </c>
      <c r="R766" s="114" t="n">
        <v>29056.44</v>
      </c>
      <c r="S766" s="115" t="n">
        <v>0.024951677852349</v>
      </c>
      <c r="T766" s="65" t="n">
        <v>2.623</v>
      </c>
      <c r="U766" s="65" t="n">
        <v>21</v>
      </c>
      <c r="V766" s="65" t="n">
        <v>361452.41</v>
      </c>
      <c r="W766" s="115" t="n">
        <v>0.0216</v>
      </c>
      <c r="X766" s="112" t="n">
        <v>43466</v>
      </c>
      <c r="Y766" s="65" t="str">
        <f aca="false">IF(I766="","No SIC",IFERROR(VLOOKUP(I766,Ref!$A$2:$B$65,2,FALSE()),"Unclassified"))</f>
        <v>Trucking &amp; Warehousing</v>
      </c>
      <c r="Z766" s="65" t="str">
        <f aca="false">IF(T766="","",IF(T766&lt;12,"Daily","Weekly"))</f>
        <v>Daily</v>
      </c>
      <c r="AA766" s="65" t="n">
        <f aca="false">IF(T766="",0,IF(T766&lt;12,T766*Controls!$B$29,T766*5))</f>
        <v>56.801065</v>
      </c>
      <c r="AB766" s="65" t="n">
        <f aca="false">IF(E766="",0,NETWORKDAYS(E766,Controls!$B$36,Ref!$K$2:$K$42))</f>
        <v>103</v>
      </c>
      <c r="AC766" s="65" t="n">
        <f aca="false">IF(AND(AA766&gt;0,AB766&gt;=Controls!$B$39*AA766),1,0)</f>
        <v>1</v>
      </c>
      <c r="AD766" s="65" t="n">
        <f aca="false">IF(AND(E766&lt;&gt;"",E766&gt;=Controls!$B$37,E766&lt;=Controls!$B$38),1,0)</f>
        <v>1</v>
      </c>
      <c r="AE766" s="65" t="n">
        <f aca="false">IF(IFERROR(VLOOKUP(D766,Controls!$A$64:$E$74,2,FALSE()),"No")="Yes",1,0)</f>
        <v>1</v>
      </c>
      <c r="AF766" s="65" t="n">
        <f aca="false">IF(IFERROR(VLOOKUP(D766,Controls!$A$64:$E$74,3,FALSE()),"No")="Yes",1,0)</f>
        <v>0</v>
      </c>
      <c r="AG766" s="65" t="n">
        <f aca="false">IF(IFERROR(VLOOKUP(D766,Controls!$A$64:$E$74,4,FALSE()),"No")="Yes",1,0)</f>
        <v>0</v>
      </c>
      <c r="AH766" s="65" t="n">
        <f aca="false">IF(IFERROR(VLOOKUP(D766,Controls!$A$64:$E$74,5,FALSE()),"No")="Yes",1,0)</f>
        <v>0</v>
      </c>
      <c r="AI766" s="65" t="n">
        <f aca="false">IF(ISNUMBER(MATCH(D766,Controls!$A$64:$A$74,0)),1,0)</f>
        <v>1</v>
      </c>
      <c r="AJ766" s="65" t="n">
        <f aca="false">Q766-N766</f>
        <v>-19256.44</v>
      </c>
      <c r="AK766" s="65" t="n">
        <f aca="false">IF(AE766=1,MAX(0,N766-Q766),0)</f>
        <v>19256.44</v>
      </c>
      <c r="AL766" s="65" t="n">
        <f aca="false">IF(OR(V766="",V766=0),0,N766/V766)</f>
        <v>0.0553323188521554</v>
      </c>
      <c r="AM766" s="65" t="n">
        <f aca="false">IF(OR(V766="",V766=0),0,1)</f>
        <v>1</v>
      </c>
      <c r="AN766" s="65" t="n">
        <f aca="false">IF(OR(E766="",F766=""),0,NETWORKDAYS(E766,F766,Ref!$K$2:$K$42))</f>
        <v>25</v>
      </c>
      <c r="AO766" s="65" t="n">
        <f aca="false">IF(L766="Renewal",1,0)</f>
        <v>0</v>
      </c>
      <c r="AP766" s="65" t="n">
        <f aca="false">AC766*AD766</f>
        <v>1</v>
      </c>
      <c r="AQ766" s="65" t="n">
        <f aca="false">IF(AND(G766&lt;&gt;"",'Historical Score'!$C$6&lt;&gt;""),IF(G766='Historical Score'!$C$6,1,0),0)</f>
        <v>0</v>
      </c>
      <c r="AR766" s="65" t="n">
        <f aca="false">IF(AND(L766&lt;&gt;"",'Historical Score'!$C$5&lt;&gt;""),IF(L766='Historical Score'!$C$5,1,0),0)</f>
        <v>1</v>
      </c>
      <c r="AS766" s="65" t="n">
        <f aca="false">IF(AND(Y766&lt;&gt;"",'Historical Score'!$C$7&lt;&gt;""),IF(Y766='Historical Score'!$C$7,1,0),0)</f>
        <v>0</v>
      </c>
      <c r="AT766" s="65" t="n">
        <f aca="false">IF(AND(K766&lt;&gt;"",'Historical Score'!$C$8&lt;&gt;""),IF(K766='Historical Score'!$C$8,1,0),0)</f>
        <v>0</v>
      </c>
      <c r="AU766" s="65" t="n">
        <f aca="false">IF(AND(J766&lt;&gt;"",'Historical Score'!$C$9&lt;&gt;""),IF(J766='Historical Score'!$C$9,1,0),0)</f>
        <v>0</v>
      </c>
      <c r="AV766" s="65" t="n">
        <f aca="false">AR766*AS766*AQ766</f>
        <v>0</v>
      </c>
      <c r="AW766" s="65" t="n">
        <f aca="false">AR766*AT766*AQ766</f>
        <v>0</v>
      </c>
      <c r="AX766" s="65" t="n">
        <f aca="false">AR766*AS766</f>
        <v>0</v>
      </c>
      <c r="AY766" s="65" t="n">
        <f aca="false">AR766*AT766</f>
        <v>0</v>
      </c>
      <c r="AZ766" s="65" t="n">
        <f aca="false">AR766*AQ766</f>
        <v>0</v>
      </c>
      <c r="BA766" s="65" t="n">
        <f aca="false">AR766</f>
        <v>1</v>
      </c>
      <c r="BB766" s="65" t="n">
        <f aca="false">1</f>
        <v>1</v>
      </c>
      <c r="BC766" s="65" t="n">
        <f aca="false">IF(AV766=1,1,IF(AW766=1,2,IF(AX766=1,3,IF(AY766=1,4,IF(AZ766=1,5,IF(BA766=1,6,7))))))</f>
        <v>6</v>
      </c>
      <c r="BD766" s="65" t="n">
        <f aca="false">IF(AD766=1,CHOOSE('Historical Score'!$C$29,AV766,AW766,AX766,AY766,AZ766,BA766,BB766),0)</f>
        <v>0</v>
      </c>
      <c r="BE766" s="65" t="str">
        <f aca="false">IF(BD766=1,COUNTIF($BD$2:BD766,1),"")</f>
        <v/>
      </c>
    </row>
    <row r="767" customFormat="false" ht="15" hidden="false" customHeight="false" outlineLevel="0" collapsed="false">
      <c r="A767" s="65" t="s">
        <v>2494</v>
      </c>
      <c r="B767" s="65" t="s">
        <v>982</v>
      </c>
      <c r="C767" s="65" t="s">
        <v>982</v>
      </c>
      <c r="D767" s="65" t="s">
        <v>295</v>
      </c>
      <c r="E767" s="112" t="n">
        <v>46113</v>
      </c>
      <c r="F767" s="112" t="n">
        <v>46253</v>
      </c>
      <c r="G767" s="65" t="n">
        <v>3</v>
      </c>
      <c r="H767" s="65" t="s">
        <v>442</v>
      </c>
      <c r="I767" s="65" t="s">
        <v>443</v>
      </c>
      <c r="J767" s="65" t="s">
        <v>61</v>
      </c>
      <c r="K767" s="65" t="s">
        <v>983</v>
      </c>
      <c r="L767" s="65" t="s">
        <v>320</v>
      </c>
      <c r="M767" s="113" t="n">
        <v>1.35</v>
      </c>
      <c r="N767" s="114" t="n">
        <v>50000</v>
      </c>
      <c r="O767" s="114" t="n">
        <v>4000</v>
      </c>
      <c r="P767" s="114" t="n">
        <v>67500</v>
      </c>
      <c r="Q767" s="114" t="n">
        <v>41343.26</v>
      </c>
      <c r="R767" s="114" t="n">
        <v>26156.74</v>
      </c>
      <c r="S767" s="115" t="n">
        <v>0.612492740740741</v>
      </c>
      <c r="T767" s="65" t="n">
        <v>5.246</v>
      </c>
      <c r="U767" s="65" t="n">
        <v>0</v>
      </c>
      <c r="V767" s="65" t="n">
        <v>63010.24</v>
      </c>
      <c r="W767" s="115" t="n">
        <v>0.1406</v>
      </c>
      <c r="X767" s="112"/>
      <c r="Y767" s="65" t="str">
        <f aca="false">IF(I767="","No SIC",IFERROR(VLOOKUP(I767,Ref!$A$2:$B$65,2,FALSE()),"Unclassified"))</f>
        <v>General Building Contractors</v>
      </c>
      <c r="Z767" s="65" t="str">
        <f aca="false">IF(T767="","",IF(T767&lt;12,"Daily","Weekly"))</f>
        <v>Daily</v>
      </c>
      <c r="AA767" s="65" t="n">
        <f aca="false">IF(T767="",0,IF(T767&lt;12,T767*Controls!$B$29,T767*5))</f>
        <v>113.60213</v>
      </c>
      <c r="AB767" s="65" t="n">
        <f aca="false">IF(E767="",0,NETWORKDAYS(E767,Controls!$B$36,Ref!$K$2:$K$42))</f>
        <v>103</v>
      </c>
      <c r="AC767" s="65" t="n">
        <f aca="false">IF(AND(AA767&gt;0,AB767&gt;=Controls!$B$39*AA767),1,0)</f>
        <v>0</v>
      </c>
      <c r="AD767" s="65" t="n">
        <f aca="false">IF(AND(E767&lt;&gt;"",E767&gt;=Controls!$B$37,E767&lt;=Controls!$B$38),1,0)</f>
        <v>1</v>
      </c>
      <c r="AE767" s="65" t="n">
        <f aca="false">IF(IFERROR(VLOOKUP(D767,Controls!$A$64:$E$74,2,FALSE()),"No")="Yes",1,0)</f>
        <v>0</v>
      </c>
      <c r="AF767" s="65" t="n">
        <f aca="false">IF(IFERROR(VLOOKUP(D767,Controls!$A$64:$E$74,3,FALSE()),"No")="Yes",1,0)</f>
        <v>0</v>
      </c>
      <c r="AG767" s="65" t="n">
        <f aca="false">IF(IFERROR(VLOOKUP(D767,Controls!$A$64:$E$74,4,FALSE()),"No")="Yes",1,0)</f>
        <v>0</v>
      </c>
      <c r="AH767" s="65" t="n">
        <f aca="false">IF(IFERROR(VLOOKUP(D767,Controls!$A$64:$E$74,5,FALSE()),"No")="Yes",1,0)</f>
        <v>1</v>
      </c>
      <c r="AI767" s="65" t="n">
        <f aca="false">IF(ISNUMBER(MATCH(D767,Controls!$A$64:$A$74,0)),1,0)</f>
        <v>1</v>
      </c>
      <c r="AJ767" s="65" t="n">
        <f aca="false">Q767-N767</f>
        <v>-8656.74</v>
      </c>
      <c r="AK767" s="65" t="n">
        <f aca="false">IF(AE767=1,MAX(0,N767-Q767),0)</f>
        <v>0</v>
      </c>
      <c r="AL767" s="65" t="n">
        <f aca="false">IF(OR(V767="",V767=0),0,N767/V767)</f>
        <v>0.793521814866917</v>
      </c>
      <c r="AM767" s="65" t="n">
        <f aca="false">IF(OR(V767="",V767=0),0,1)</f>
        <v>1</v>
      </c>
      <c r="AN767" s="65" t="n">
        <f aca="false">IF(OR(E767="",F767=""),0,NETWORKDAYS(E767,F767,Ref!$K$2:$K$42))</f>
        <v>99</v>
      </c>
      <c r="AO767" s="65" t="n">
        <f aca="false">IF(L767="Renewal",1,0)</f>
        <v>1</v>
      </c>
      <c r="AP767" s="65" t="n">
        <f aca="false">AC767*AD767</f>
        <v>0</v>
      </c>
      <c r="AQ767" s="65" t="n">
        <f aca="false">IF(AND(G767&lt;&gt;"",'Historical Score'!$C$6&lt;&gt;""),IF(G767='Historical Score'!$C$6,1,0),0)</f>
        <v>0</v>
      </c>
      <c r="AR767" s="65" t="n">
        <f aca="false">IF(AND(L767&lt;&gt;"",'Historical Score'!$C$5&lt;&gt;""),IF(L767='Historical Score'!$C$5,1,0),0)</f>
        <v>0</v>
      </c>
      <c r="AS767" s="65" t="n">
        <f aca="false">IF(AND(Y767&lt;&gt;"",'Historical Score'!$C$7&lt;&gt;""),IF(Y767='Historical Score'!$C$7,1,0),0)</f>
        <v>1</v>
      </c>
      <c r="AT767" s="65" t="n">
        <f aca="false">IF(AND(K767&lt;&gt;"",'Historical Score'!$C$8&lt;&gt;""),IF(K767='Historical Score'!$C$8,1,0),0)</f>
        <v>0</v>
      </c>
      <c r="AU767" s="65" t="n">
        <f aca="false">IF(AND(J767&lt;&gt;"",'Historical Score'!$C$9&lt;&gt;""),IF(J767='Historical Score'!$C$9,1,0),0)</f>
        <v>1</v>
      </c>
      <c r="AV767" s="65" t="n">
        <f aca="false">AR767*AS767*AQ767</f>
        <v>0</v>
      </c>
      <c r="AW767" s="65" t="n">
        <f aca="false">AR767*AT767*AQ767</f>
        <v>0</v>
      </c>
      <c r="AX767" s="65" t="n">
        <f aca="false">AR767*AS767</f>
        <v>0</v>
      </c>
      <c r="AY767" s="65" t="n">
        <f aca="false">AR767*AT767</f>
        <v>0</v>
      </c>
      <c r="AZ767" s="65" t="n">
        <f aca="false">AR767*AQ767</f>
        <v>0</v>
      </c>
      <c r="BA767" s="65" t="n">
        <f aca="false">AR767</f>
        <v>0</v>
      </c>
      <c r="BB767" s="65" t="n">
        <f aca="false">1</f>
        <v>1</v>
      </c>
      <c r="BC767" s="65" t="n">
        <f aca="false">IF(AV767=1,1,IF(AW767=1,2,IF(AX767=1,3,IF(AY767=1,4,IF(AZ767=1,5,IF(BA767=1,6,7))))))</f>
        <v>7</v>
      </c>
      <c r="BD767" s="65" t="n">
        <f aca="false">IF(AD767=1,CHOOSE('Historical Score'!$C$29,AV767,AW767,AX767,AY767,AZ767,BA767,BB767),0)</f>
        <v>0</v>
      </c>
      <c r="BE767" s="65" t="str">
        <f aca="false">IF(BD767=1,COUNTIF($BD$2:BD767,1),"")</f>
        <v/>
      </c>
    </row>
    <row r="768" customFormat="false" ht="15" hidden="false" customHeight="false" outlineLevel="0" collapsed="false">
      <c r="A768" s="65" t="s">
        <v>2495</v>
      </c>
      <c r="B768" s="65" t="s">
        <v>2496</v>
      </c>
      <c r="C768" s="65" t="s">
        <v>2497</v>
      </c>
      <c r="D768" s="65" t="s">
        <v>295</v>
      </c>
      <c r="E768" s="112" t="n">
        <v>46114</v>
      </c>
      <c r="F768" s="112" t="n">
        <v>46247</v>
      </c>
      <c r="G768" s="65" t="n">
        <v>2</v>
      </c>
      <c r="H768" s="65" t="s">
        <v>479</v>
      </c>
      <c r="I768" s="65" t="s">
        <v>356</v>
      </c>
      <c r="J768" s="65" t="s">
        <v>772</v>
      </c>
      <c r="K768" s="65" t="s">
        <v>2498</v>
      </c>
      <c r="L768" s="65" t="s">
        <v>64</v>
      </c>
      <c r="M768" s="113" t="n">
        <v>1.37</v>
      </c>
      <c r="N768" s="114" t="n">
        <v>160000</v>
      </c>
      <c r="O768" s="114" t="n">
        <v>12800</v>
      </c>
      <c r="P768" s="114" t="n">
        <v>219200</v>
      </c>
      <c r="Q768" s="114" t="n">
        <v>138810.77</v>
      </c>
      <c r="R768" s="114" t="n">
        <v>80389.23</v>
      </c>
      <c r="S768" s="115" t="n">
        <v>0.633260812043796</v>
      </c>
      <c r="T768" s="65" t="n">
        <v>30</v>
      </c>
      <c r="U768" s="65" t="n">
        <v>0</v>
      </c>
      <c r="V768" s="65" t="n">
        <v>716257.36</v>
      </c>
      <c r="W768" s="115" t="n">
        <v>0.0408</v>
      </c>
      <c r="X768" s="112" t="n">
        <v>43259</v>
      </c>
      <c r="Y768" s="65" t="str">
        <f aca="false">IF(I768="","No SIC",IFERROR(VLOOKUP(I768,Ref!$A$2:$B$65,2,FALSE()),"Unclassified"))</f>
        <v>Trucking &amp; Warehousing</v>
      </c>
      <c r="Z768" s="65" t="str">
        <f aca="false">IF(T768="","",IF(T768&lt;12,"Daily","Weekly"))</f>
        <v>Weekly</v>
      </c>
      <c r="AA768" s="65" t="n">
        <f aca="false">IF(T768="",0,IF(T768&lt;12,T768*Controls!$B$29,T768*5))</f>
        <v>150</v>
      </c>
      <c r="AB768" s="65" t="n">
        <f aca="false">IF(E768="",0,NETWORKDAYS(E768,Controls!$B$36,Ref!$K$2:$K$42))</f>
        <v>102</v>
      </c>
      <c r="AC768" s="65" t="n">
        <f aca="false">IF(AND(AA768&gt;0,AB768&gt;=Controls!$B$39*AA768),1,0)</f>
        <v>0</v>
      </c>
      <c r="AD768" s="65" t="n">
        <f aca="false">IF(AND(E768&lt;&gt;"",E768&gt;=Controls!$B$37,E768&lt;=Controls!$B$38),1,0)</f>
        <v>1</v>
      </c>
      <c r="AE768" s="65" t="n">
        <f aca="false">IF(IFERROR(VLOOKUP(D768,Controls!$A$64:$E$74,2,FALSE()),"No")="Yes",1,0)</f>
        <v>0</v>
      </c>
      <c r="AF768" s="65" t="n">
        <f aca="false">IF(IFERROR(VLOOKUP(D768,Controls!$A$64:$E$74,3,FALSE()),"No")="Yes",1,0)</f>
        <v>0</v>
      </c>
      <c r="AG768" s="65" t="n">
        <f aca="false">IF(IFERROR(VLOOKUP(D768,Controls!$A$64:$E$74,4,FALSE()),"No")="Yes",1,0)</f>
        <v>0</v>
      </c>
      <c r="AH768" s="65" t="n">
        <f aca="false">IF(IFERROR(VLOOKUP(D768,Controls!$A$64:$E$74,5,FALSE()),"No")="Yes",1,0)</f>
        <v>1</v>
      </c>
      <c r="AI768" s="65" t="n">
        <f aca="false">IF(ISNUMBER(MATCH(D768,Controls!$A$64:$A$74,0)),1,0)</f>
        <v>1</v>
      </c>
      <c r="AJ768" s="65" t="n">
        <f aca="false">Q768-N768</f>
        <v>-21189.23</v>
      </c>
      <c r="AK768" s="65" t="n">
        <f aca="false">IF(AE768=1,MAX(0,N768-Q768),0)</f>
        <v>0</v>
      </c>
      <c r="AL768" s="65" t="n">
        <f aca="false">IF(OR(V768="",V768=0),0,N768/V768)</f>
        <v>0.223383393924217</v>
      </c>
      <c r="AM768" s="65" t="n">
        <f aca="false">IF(OR(V768="",V768=0),0,1)</f>
        <v>1</v>
      </c>
      <c r="AN768" s="65" t="n">
        <f aca="false">IF(OR(E768="",F768=""),0,NETWORKDAYS(E768,F768,Ref!$K$2:$K$42))</f>
        <v>94</v>
      </c>
      <c r="AO768" s="65" t="n">
        <f aca="false">IF(L768="Renewal",1,0)</f>
        <v>0</v>
      </c>
      <c r="AP768" s="65" t="n">
        <f aca="false">AC768*AD768</f>
        <v>0</v>
      </c>
      <c r="AQ768" s="65" t="n">
        <f aca="false">IF(AND(G768&lt;&gt;"",'Historical Score'!$C$6&lt;&gt;""),IF(G768='Historical Score'!$C$6,1,0),0)</f>
        <v>1</v>
      </c>
      <c r="AR768" s="65" t="n">
        <f aca="false">IF(AND(L768&lt;&gt;"",'Historical Score'!$C$5&lt;&gt;""),IF(L768='Historical Score'!$C$5,1,0),0)</f>
        <v>1</v>
      </c>
      <c r="AS768" s="65" t="n">
        <f aca="false">IF(AND(Y768&lt;&gt;"",'Historical Score'!$C$7&lt;&gt;""),IF(Y768='Historical Score'!$C$7,1,0),0)</f>
        <v>0</v>
      </c>
      <c r="AT768" s="65" t="n">
        <f aca="false">IF(AND(K768&lt;&gt;"",'Historical Score'!$C$8&lt;&gt;""),IF(K768='Historical Score'!$C$8,1,0),0)</f>
        <v>0</v>
      </c>
      <c r="AU768" s="65" t="n">
        <f aca="false">IF(AND(J768&lt;&gt;"",'Historical Score'!$C$9&lt;&gt;""),IF(J768='Historical Score'!$C$9,1,0),0)</f>
        <v>0</v>
      </c>
      <c r="AV768" s="65" t="n">
        <f aca="false">AR768*AS768*AQ768</f>
        <v>0</v>
      </c>
      <c r="AW768" s="65" t="n">
        <f aca="false">AR768*AT768*AQ768</f>
        <v>0</v>
      </c>
      <c r="AX768" s="65" t="n">
        <f aca="false">AR768*AS768</f>
        <v>0</v>
      </c>
      <c r="AY768" s="65" t="n">
        <f aca="false">AR768*AT768</f>
        <v>0</v>
      </c>
      <c r="AZ768" s="65" t="n">
        <f aca="false">AR768*AQ768</f>
        <v>1</v>
      </c>
      <c r="BA768" s="65" t="n">
        <f aca="false">AR768</f>
        <v>1</v>
      </c>
      <c r="BB768" s="65" t="n">
        <f aca="false">1</f>
        <v>1</v>
      </c>
      <c r="BC768" s="65" t="n">
        <f aca="false">IF(AV768=1,1,IF(AW768=1,2,IF(AX768=1,3,IF(AY768=1,4,IF(AZ768=1,5,IF(BA768=1,6,7))))))</f>
        <v>5</v>
      </c>
      <c r="BD768" s="65" t="n">
        <f aca="false">IF(AD768=1,CHOOSE('Historical Score'!$C$29,AV768,AW768,AX768,AY768,AZ768,BA768,BB768),0)</f>
        <v>0</v>
      </c>
      <c r="BE768" s="65" t="str">
        <f aca="false">IF(BD768=1,COUNTIF($BD$2:BD768,1),"")</f>
        <v/>
      </c>
    </row>
    <row r="769" customFormat="false" ht="15" hidden="false" customHeight="false" outlineLevel="0" collapsed="false">
      <c r="A769" s="65" t="s">
        <v>2499</v>
      </c>
      <c r="B769" s="65" t="s">
        <v>2500</v>
      </c>
      <c r="C769" s="65" t="s">
        <v>2501</v>
      </c>
      <c r="D769" s="65" t="s">
        <v>371</v>
      </c>
      <c r="E769" s="112" t="n">
        <v>46114</v>
      </c>
      <c r="F769" s="112" t="n">
        <v>46168</v>
      </c>
      <c r="G769" s="65" t="n">
        <v>3</v>
      </c>
      <c r="H769" s="65" t="s">
        <v>479</v>
      </c>
      <c r="I769" s="65" t="s">
        <v>356</v>
      </c>
      <c r="J769" s="65" t="s">
        <v>380</v>
      </c>
      <c r="K769" s="65" t="s">
        <v>581</v>
      </c>
      <c r="L769" s="65" t="s">
        <v>64</v>
      </c>
      <c r="M769" s="113" t="n">
        <v>1.49</v>
      </c>
      <c r="N769" s="114" t="n">
        <v>20000</v>
      </c>
      <c r="O769" s="114" t="n">
        <v>2800</v>
      </c>
      <c r="P769" s="114" t="n">
        <v>29800</v>
      </c>
      <c r="Q769" s="114" t="n">
        <v>29800</v>
      </c>
      <c r="R769" s="114" t="n">
        <v>0</v>
      </c>
      <c r="S769" s="115" t="n">
        <v>1</v>
      </c>
      <c r="T769" s="65" t="n">
        <v>1.639</v>
      </c>
      <c r="U769" s="65" t="n">
        <v>0</v>
      </c>
      <c r="V769" s="65" t="n">
        <v>80000</v>
      </c>
      <c r="W769" s="115" t="n">
        <v>0.1422</v>
      </c>
      <c r="X769" s="112" t="n">
        <v>44621</v>
      </c>
      <c r="Y769" s="65" t="str">
        <f aca="false">IF(I769="","No SIC",IFERROR(VLOOKUP(I769,Ref!$A$2:$B$65,2,FALSE()),"Unclassified"))</f>
        <v>Trucking &amp; Warehousing</v>
      </c>
      <c r="Z769" s="65" t="str">
        <f aca="false">IF(T769="","",IF(T769&lt;12,"Daily","Weekly"))</f>
        <v>Daily</v>
      </c>
      <c r="AA769" s="65" t="n">
        <f aca="false">IF(T769="",0,IF(T769&lt;12,T769*Controls!$B$29,T769*5))</f>
        <v>35.492545</v>
      </c>
      <c r="AB769" s="65" t="n">
        <f aca="false">IF(E769="",0,NETWORKDAYS(E769,Controls!$B$36,Ref!$K$2:$K$42))</f>
        <v>102</v>
      </c>
      <c r="AC769" s="65" t="n">
        <f aca="false">IF(AND(AA769&gt;0,AB769&gt;=Controls!$B$39*AA769),1,0)</f>
        <v>1</v>
      </c>
      <c r="AD769" s="65" t="n">
        <f aca="false">IF(AND(E769&lt;&gt;"",E769&gt;=Controls!$B$37,E769&lt;=Controls!$B$38),1,0)</f>
        <v>1</v>
      </c>
      <c r="AE769" s="65" t="n">
        <f aca="false">IF(IFERROR(VLOOKUP(D769,Controls!$A$64:$E$74,2,FALSE()),"No")="Yes",1,0)</f>
        <v>0</v>
      </c>
      <c r="AF769" s="65" t="n">
        <f aca="false">IF(IFERROR(VLOOKUP(D769,Controls!$A$64:$E$74,3,FALSE()),"No")="Yes",1,0)</f>
        <v>1</v>
      </c>
      <c r="AG769" s="65" t="n">
        <f aca="false">IF(IFERROR(VLOOKUP(D769,Controls!$A$64:$E$74,4,FALSE()),"No")="Yes",1,0)</f>
        <v>1</v>
      </c>
      <c r="AH769" s="65" t="n">
        <f aca="false">IF(IFERROR(VLOOKUP(D769,Controls!$A$64:$E$74,5,FALSE()),"No")="Yes",1,0)</f>
        <v>0</v>
      </c>
      <c r="AI769" s="65" t="n">
        <f aca="false">IF(ISNUMBER(MATCH(D769,Controls!$A$64:$A$74,0)),1,0)</f>
        <v>1</v>
      </c>
      <c r="AJ769" s="65" t="n">
        <f aca="false">Q769-N769</f>
        <v>9800</v>
      </c>
      <c r="AK769" s="65" t="n">
        <f aca="false">IF(AE769=1,MAX(0,N769-Q769),0)</f>
        <v>0</v>
      </c>
      <c r="AL769" s="65" t="n">
        <f aca="false">IF(OR(V769="",V769=0),0,N769/V769)</f>
        <v>0.25</v>
      </c>
      <c r="AM769" s="65" t="n">
        <f aca="false">IF(OR(V769="",V769=0),0,1)</f>
        <v>1</v>
      </c>
      <c r="AN769" s="65" t="n">
        <f aca="false">IF(OR(E769="",F769=""),0,NETWORKDAYS(E769,F769,Ref!$K$2:$K$42))</f>
        <v>38</v>
      </c>
      <c r="AO769" s="65" t="n">
        <f aca="false">IF(L769="Renewal",1,0)</f>
        <v>0</v>
      </c>
      <c r="AP769" s="65" t="n">
        <f aca="false">AC769*AD769</f>
        <v>1</v>
      </c>
      <c r="AQ769" s="65" t="n">
        <f aca="false">IF(AND(G769&lt;&gt;"",'Historical Score'!$C$6&lt;&gt;""),IF(G769='Historical Score'!$C$6,1,0),0)</f>
        <v>0</v>
      </c>
      <c r="AR769" s="65" t="n">
        <f aca="false">IF(AND(L769&lt;&gt;"",'Historical Score'!$C$5&lt;&gt;""),IF(L769='Historical Score'!$C$5,1,0),0)</f>
        <v>1</v>
      </c>
      <c r="AS769" s="65" t="n">
        <f aca="false">IF(AND(Y769&lt;&gt;"",'Historical Score'!$C$7&lt;&gt;""),IF(Y769='Historical Score'!$C$7,1,0),0)</f>
        <v>0</v>
      </c>
      <c r="AT769" s="65" t="n">
        <f aca="false">IF(AND(K769&lt;&gt;"",'Historical Score'!$C$8&lt;&gt;""),IF(K769='Historical Score'!$C$8,1,0),0)</f>
        <v>0</v>
      </c>
      <c r="AU769" s="65" t="n">
        <f aca="false">IF(AND(J769&lt;&gt;"",'Historical Score'!$C$9&lt;&gt;""),IF(J769='Historical Score'!$C$9,1,0),0)</f>
        <v>0</v>
      </c>
      <c r="AV769" s="65" t="n">
        <f aca="false">AR769*AS769*AQ769</f>
        <v>0</v>
      </c>
      <c r="AW769" s="65" t="n">
        <f aca="false">AR769*AT769*AQ769</f>
        <v>0</v>
      </c>
      <c r="AX769" s="65" t="n">
        <f aca="false">AR769*AS769</f>
        <v>0</v>
      </c>
      <c r="AY769" s="65" t="n">
        <f aca="false">AR769*AT769</f>
        <v>0</v>
      </c>
      <c r="AZ769" s="65" t="n">
        <f aca="false">AR769*AQ769</f>
        <v>0</v>
      </c>
      <c r="BA769" s="65" t="n">
        <f aca="false">AR769</f>
        <v>1</v>
      </c>
      <c r="BB769" s="65" t="n">
        <f aca="false">1</f>
        <v>1</v>
      </c>
      <c r="BC769" s="65" t="n">
        <f aca="false">IF(AV769=1,1,IF(AW769=1,2,IF(AX769=1,3,IF(AY769=1,4,IF(AZ769=1,5,IF(BA769=1,6,7))))))</f>
        <v>6</v>
      </c>
      <c r="BD769" s="65" t="n">
        <f aca="false">IF(AD769=1,CHOOSE('Historical Score'!$C$29,AV769,AW769,AX769,AY769,AZ769,BA769,BB769),0)</f>
        <v>0</v>
      </c>
      <c r="BE769" s="65" t="str">
        <f aca="false">IF(BD769=1,COUNTIF($BD$2:BD769,1),"")</f>
        <v/>
      </c>
    </row>
    <row r="770" customFormat="false" ht="15" hidden="false" customHeight="false" outlineLevel="0" collapsed="false">
      <c r="A770" s="65" t="s">
        <v>2502</v>
      </c>
      <c r="B770" s="65" t="s">
        <v>2503</v>
      </c>
      <c r="C770" s="65" t="s">
        <v>2503</v>
      </c>
      <c r="D770" s="65" t="s">
        <v>689</v>
      </c>
      <c r="E770" s="112" t="n">
        <v>46114</v>
      </c>
      <c r="F770" s="112" t="n">
        <v>46234</v>
      </c>
      <c r="G770" s="65" t="n">
        <v>3</v>
      </c>
      <c r="H770" s="65" t="s">
        <v>442</v>
      </c>
      <c r="I770" s="65" t="s">
        <v>443</v>
      </c>
      <c r="J770" s="65" t="s">
        <v>1349</v>
      </c>
      <c r="K770" s="65" t="s">
        <v>496</v>
      </c>
      <c r="L770" s="65" t="s">
        <v>64</v>
      </c>
      <c r="M770" s="113" t="n">
        <v>1.49</v>
      </c>
      <c r="N770" s="114" t="n">
        <v>20000</v>
      </c>
      <c r="O770" s="114" t="n">
        <v>2800</v>
      </c>
      <c r="P770" s="114" t="n">
        <v>29800</v>
      </c>
      <c r="Q770" s="114" t="n">
        <v>19206.12</v>
      </c>
      <c r="R770" s="114" t="n">
        <v>10593.88</v>
      </c>
      <c r="S770" s="115" t="n">
        <v>0.64450067114094</v>
      </c>
      <c r="T770" s="65" t="n">
        <v>2.951</v>
      </c>
      <c r="U770" s="65" t="n">
        <v>19</v>
      </c>
      <c r="V770" s="65" t="n">
        <v>74692.34</v>
      </c>
      <c r="W770" s="115" t="n">
        <v>0.0931</v>
      </c>
      <c r="X770" s="112" t="n">
        <v>45797</v>
      </c>
      <c r="Y770" s="65" t="str">
        <f aca="false">IF(I770="","No SIC",IFERROR(VLOOKUP(I770,Ref!$A$2:$B$65,2,FALSE()),"Unclassified"))</f>
        <v>General Building Contractors</v>
      </c>
      <c r="Z770" s="65" t="str">
        <f aca="false">IF(T770="","",IF(T770&lt;12,"Daily","Weekly"))</f>
        <v>Daily</v>
      </c>
      <c r="AA770" s="65" t="n">
        <f aca="false">IF(T770="",0,IF(T770&lt;12,T770*Controls!$B$29,T770*5))</f>
        <v>63.903905</v>
      </c>
      <c r="AB770" s="65" t="n">
        <f aca="false">IF(E770="",0,NETWORKDAYS(E770,Controls!$B$36,Ref!$K$2:$K$42))</f>
        <v>102</v>
      </c>
      <c r="AC770" s="65" t="n">
        <f aca="false">IF(AND(AA770&gt;0,AB770&gt;=Controls!$B$39*AA770),1,0)</f>
        <v>1</v>
      </c>
      <c r="AD770" s="65" t="n">
        <f aca="false">IF(AND(E770&lt;&gt;"",E770&gt;=Controls!$B$37,E770&lt;=Controls!$B$38),1,0)</f>
        <v>1</v>
      </c>
      <c r="AE770" s="65" t="n">
        <f aca="false">IF(IFERROR(VLOOKUP(D770,Controls!$A$64:$E$74,2,FALSE()),"No")="Yes",1,0)</f>
        <v>1</v>
      </c>
      <c r="AF770" s="65" t="n">
        <f aca="false">IF(IFERROR(VLOOKUP(D770,Controls!$A$64:$E$74,3,FALSE()),"No")="Yes",1,0)</f>
        <v>1</v>
      </c>
      <c r="AG770" s="65" t="n">
        <f aca="false">IF(IFERROR(VLOOKUP(D770,Controls!$A$64:$E$74,4,FALSE()),"No")="Yes",1,0)</f>
        <v>0</v>
      </c>
      <c r="AH770" s="65" t="n">
        <f aca="false">IF(IFERROR(VLOOKUP(D770,Controls!$A$64:$E$74,5,FALSE()),"No")="Yes",1,0)</f>
        <v>0</v>
      </c>
      <c r="AI770" s="65" t="n">
        <f aca="false">IF(ISNUMBER(MATCH(D770,Controls!$A$64:$A$74,0)),1,0)</f>
        <v>1</v>
      </c>
      <c r="AJ770" s="65" t="n">
        <f aca="false">Q770-N770</f>
        <v>-793.880000000001</v>
      </c>
      <c r="AK770" s="65" t="n">
        <f aca="false">IF(AE770=1,MAX(0,N770-Q770),0)</f>
        <v>793.880000000001</v>
      </c>
      <c r="AL770" s="65" t="n">
        <f aca="false">IF(OR(V770="",V770=0),0,N770/V770)</f>
        <v>0.267765074705117</v>
      </c>
      <c r="AM770" s="65" t="n">
        <f aca="false">IF(OR(V770="",V770=0),0,1)</f>
        <v>1</v>
      </c>
      <c r="AN770" s="65" t="n">
        <f aca="false">IF(OR(E770="",F770=""),0,NETWORKDAYS(E770,F770,Ref!$K$2:$K$42))</f>
        <v>85</v>
      </c>
      <c r="AO770" s="65" t="n">
        <f aca="false">IF(L770="Renewal",1,0)</f>
        <v>0</v>
      </c>
      <c r="AP770" s="65" t="n">
        <f aca="false">AC770*AD770</f>
        <v>1</v>
      </c>
      <c r="AQ770" s="65" t="n">
        <f aca="false">IF(AND(G770&lt;&gt;"",'Historical Score'!$C$6&lt;&gt;""),IF(G770='Historical Score'!$C$6,1,0),0)</f>
        <v>0</v>
      </c>
      <c r="AR770" s="65" t="n">
        <f aca="false">IF(AND(L770&lt;&gt;"",'Historical Score'!$C$5&lt;&gt;""),IF(L770='Historical Score'!$C$5,1,0),0)</f>
        <v>1</v>
      </c>
      <c r="AS770" s="65" t="n">
        <f aca="false">IF(AND(Y770&lt;&gt;"",'Historical Score'!$C$7&lt;&gt;""),IF(Y770='Historical Score'!$C$7,1,0),0)</f>
        <v>1</v>
      </c>
      <c r="AT770" s="65" t="n">
        <f aca="false">IF(AND(K770&lt;&gt;"",'Historical Score'!$C$8&lt;&gt;""),IF(K770='Historical Score'!$C$8,1,0),0)</f>
        <v>0</v>
      </c>
      <c r="AU770" s="65" t="n">
        <f aca="false">IF(AND(J770&lt;&gt;"",'Historical Score'!$C$9&lt;&gt;""),IF(J770='Historical Score'!$C$9,1,0),0)</f>
        <v>0</v>
      </c>
      <c r="AV770" s="65" t="n">
        <f aca="false">AR770*AS770*AQ770</f>
        <v>0</v>
      </c>
      <c r="AW770" s="65" t="n">
        <f aca="false">AR770*AT770*AQ770</f>
        <v>0</v>
      </c>
      <c r="AX770" s="65" t="n">
        <f aca="false">AR770*AS770</f>
        <v>1</v>
      </c>
      <c r="AY770" s="65" t="n">
        <f aca="false">AR770*AT770</f>
        <v>0</v>
      </c>
      <c r="AZ770" s="65" t="n">
        <f aca="false">AR770*AQ770</f>
        <v>0</v>
      </c>
      <c r="BA770" s="65" t="n">
        <f aca="false">AR770</f>
        <v>1</v>
      </c>
      <c r="BB770" s="65" t="n">
        <f aca="false">1</f>
        <v>1</v>
      </c>
      <c r="BC770" s="65" t="n">
        <f aca="false">IF(AV770=1,1,IF(AW770=1,2,IF(AX770=1,3,IF(AY770=1,4,IF(AZ770=1,5,IF(BA770=1,6,7))))))</f>
        <v>3</v>
      </c>
      <c r="BD770" s="65" t="n">
        <f aca="false">IF(AD770=1,CHOOSE('Historical Score'!$C$29,AV770,AW770,AX770,AY770,AZ770,BA770,BB770),0)</f>
        <v>0</v>
      </c>
      <c r="BE770" s="65" t="str">
        <f aca="false">IF(BD770=1,COUNTIF($BD$2:BD770,1),"")</f>
        <v/>
      </c>
    </row>
    <row r="771" customFormat="false" ht="15" hidden="false" customHeight="false" outlineLevel="0" collapsed="false">
      <c r="A771" s="65" t="s">
        <v>2504</v>
      </c>
      <c r="B771" s="65" t="s">
        <v>2505</v>
      </c>
      <c r="C771" s="65" t="s">
        <v>2505</v>
      </c>
      <c r="D771" s="65" t="s">
        <v>371</v>
      </c>
      <c r="E771" s="112" t="n">
        <v>46114</v>
      </c>
      <c r="F771" s="112" t="n">
        <v>46218</v>
      </c>
      <c r="G771" s="65" t="n">
        <v>2</v>
      </c>
      <c r="H771" s="65" t="s">
        <v>1182</v>
      </c>
      <c r="I771" s="65" t="s">
        <v>367</v>
      </c>
      <c r="J771" s="65" t="s">
        <v>646</v>
      </c>
      <c r="K771" s="65" t="s">
        <v>581</v>
      </c>
      <c r="L771" s="65" t="s">
        <v>64</v>
      </c>
      <c r="M771" s="113" t="n">
        <v>1.49</v>
      </c>
      <c r="N771" s="114" t="n">
        <v>30000</v>
      </c>
      <c r="O771" s="114" t="n">
        <v>4200</v>
      </c>
      <c r="P771" s="114" t="n">
        <v>44700</v>
      </c>
      <c r="Q771" s="114" t="n">
        <v>44700</v>
      </c>
      <c r="R771" s="114" t="n">
        <v>0</v>
      </c>
      <c r="S771" s="115" t="n">
        <v>1</v>
      </c>
      <c r="T771" s="65" t="n">
        <v>23</v>
      </c>
      <c r="U771" s="65" t="n">
        <v>3</v>
      </c>
      <c r="V771" s="65" t="n">
        <v>103955.24</v>
      </c>
      <c r="W771" s="115" t="n">
        <v>0.0748</v>
      </c>
      <c r="X771" s="112" t="n">
        <v>40380</v>
      </c>
      <c r="Y771" s="65" t="str">
        <f aca="false">IF(I771="","No SIC",IFERROR(VLOOKUP(I771,Ref!$A$2:$B$65,2,FALSE()),"Unclassified"))</f>
        <v>Engineering, Accounting &amp; Management</v>
      </c>
      <c r="Z771" s="65" t="str">
        <f aca="false">IF(T771="","",IF(T771&lt;12,"Daily","Weekly"))</f>
        <v>Weekly</v>
      </c>
      <c r="AA771" s="65" t="n">
        <f aca="false">IF(T771="",0,IF(T771&lt;12,T771*Controls!$B$29,T771*5))</f>
        <v>115</v>
      </c>
      <c r="AB771" s="65" t="n">
        <f aca="false">IF(E771="",0,NETWORKDAYS(E771,Controls!$B$36,Ref!$K$2:$K$42))</f>
        <v>102</v>
      </c>
      <c r="AC771" s="65" t="n">
        <f aca="false">IF(AND(AA771&gt;0,AB771&gt;=Controls!$B$39*AA771),1,0)</f>
        <v>0</v>
      </c>
      <c r="AD771" s="65" t="n">
        <f aca="false">IF(AND(E771&lt;&gt;"",E771&gt;=Controls!$B$37,E771&lt;=Controls!$B$38),1,0)</f>
        <v>1</v>
      </c>
      <c r="AE771" s="65" t="n">
        <f aca="false">IF(IFERROR(VLOOKUP(D771,Controls!$A$64:$E$74,2,FALSE()),"No")="Yes",1,0)</f>
        <v>0</v>
      </c>
      <c r="AF771" s="65" t="n">
        <f aca="false">IF(IFERROR(VLOOKUP(D771,Controls!$A$64:$E$74,3,FALSE()),"No")="Yes",1,0)</f>
        <v>1</v>
      </c>
      <c r="AG771" s="65" t="n">
        <f aca="false">IF(IFERROR(VLOOKUP(D771,Controls!$A$64:$E$74,4,FALSE()),"No")="Yes",1,0)</f>
        <v>1</v>
      </c>
      <c r="AH771" s="65" t="n">
        <f aca="false">IF(IFERROR(VLOOKUP(D771,Controls!$A$64:$E$74,5,FALSE()),"No")="Yes",1,0)</f>
        <v>0</v>
      </c>
      <c r="AI771" s="65" t="n">
        <f aca="false">IF(ISNUMBER(MATCH(D771,Controls!$A$64:$A$74,0)),1,0)</f>
        <v>1</v>
      </c>
      <c r="AJ771" s="65" t="n">
        <f aca="false">Q771-N771</f>
        <v>14700</v>
      </c>
      <c r="AK771" s="65" t="n">
        <f aca="false">IF(AE771=1,MAX(0,N771-Q771),0)</f>
        <v>0</v>
      </c>
      <c r="AL771" s="65" t="n">
        <f aca="false">IF(OR(V771="",V771=0),0,N771/V771)</f>
        <v>0.288585741324824</v>
      </c>
      <c r="AM771" s="65" t="n">
        <f aca="false">IF(OR(V771="",V771=0),0,1)</f>
        <v>1</v>
      </c>
      <c r="AN771" s="65" t="n">
        <f aca="false">IF(OR(E771="",F771=""),0,NETWORKDAYS(E771,F771,Ref!$K$2:$K$42))</f>
        <v>73</v>
      </c>
      <c r="AO771" s="65" t="n">
        <f aca="false">IF(L771="Renewal",1,0)</f>
        <v>0</v>
      </c>
      <c r="AP771" s="65" t="n">
        <f aca="false">AC771*AD771</f>
        <v>0</v>
      </c>
      <c r="AQ771" s="65" t="n">
        <f aca="false">IF(AND(G771&lt;&gt;"",'Historical Score'!$C$6&lt;&gt;""),IF(G771='Historical Score'!$C$6,1,0),0)</f>
        <v>1</v>
      </c>
      <c r="AR771" s="65" t="n">
        <f aca="false">IF(AND(L771&lt;&gt;"",'Historical Score'!$C$5&lt;&gt;""),IF(L771='Historical Score'!$C$5,1,0),0)</f>
        <v>1</v>
      </c>
      <c r="AS771" s="65" t="n">
        <f aca="false">IF(AND(Y771&lt;&gt;"",'Historical Score'!$C$7&lt;&gt;""),IF(Y771='Historical Score'!$C$7,1,0),0)</f>
        <v>0</v>
      </c>
      <c r="AT771" s="65" t="n">
        <f aca="false">IF(AND(K771&lt;&gt;"",'Historical Score'!$C$8&lt;&gt;""),IF(K771='Historical Score'!$C$8,1,0),0)</f>
        <v>0</v>
      </c>
      <c r="AU771" s="65" t="n">
        <f aca="false">IF(AND(J771&lt;&gt;"",'Historical Score'!$C$9&lt;&gt;""),IF(J771='Historical Score'!$C$9,1,0),0)</f>
        <v>0</v>
      </c>
      <c r="AV771" s="65" t="n">
        <f aca="false">AR771*AS771*AQ771</f>
        <v>0</v>
      </c>
      <c r="AW771" s="65" t="n">
        <f aca="false">AR771*AT771*AQ771</f>
        <v>0</v>
      </c>
      <c r="AX771" s="65" t="n">
        <f aca="false">AR771*AS771</f>
        <v>0</v>
      </c>
      <c r="AY771" s="65" t="n">
        <f aca="false">AR771*AT771</f>
        <v>0</v>
      </c>
      <c r="AZ771" s="65" t="n">
        <f aca="false">AR771*AQ771</f>
        <v>1</v>
      </c>
      <c r="BA771" s="65" t="n">
        <f aca="false">AR771</f>
        <v>1</v>
      </c>
      <c r="BB771" s="65" t="n">
        <f aca="false">1</f>
        <v>1</v>
      </c>
      <c r="BC771" s="65" t="n">
        <f aca="false">IF(AV771=1,1,IF(AW771=1,2,IF(AX771=1,3,IF(AY771=1,4,IF(AZ771=1,5,IF(BA771=1,6,7))))))</f>
        <v>5</v>
      </c>
      <c r="BD771" s="65" t="n">
        <f aca="false">IF(AD771=1,CHOOSE('Historical Score'!$C$29,AV771,AW771,AX771,AY771,AZ771,BA771,BB771),0)</f>
        <v>0</v>
      </c>
      <c r="BE771" s="65" t="str">
        <f aca="false">IF(BD771=1,COUNTIF($BD$2:BD771,1),"")</f>
        <v/>
      </c>
    </row>
    <row r="772" customFormat="false" ht="15" hidden="false" customHeight="false" outlineLevel="0" collapsed="false">
      <c r="A772" s="65" t="s">
        <v>2506</v>
      </c>
      <c r="B772" s="65" t="s">
        <v>2507</v>
      </c>
      <c r="C772" s="65" t="s">
        <v>2508</v>
      </c>
      <c r="D772" s="65" t="s">
        <v>295</v>
      </c>
      <c r="E772" s="112" t="n">
        <v>46115</v>
      </c>
      <c r="F772" s="112" t="n">
        <v>46248</v>
      </c>
      <c r="G772" s="65" t="n">
        <v>3</v>
      </c>
      <c r="H772" s="65" t="s">
        <v>409</v>
      </c>
      <c r="I772" s="65" t="s">
        <v>342</v>
      </c>
      <c r="J772" s="65" t="s">
        <v>1155</v>
      </c>
      <c r="K772" s="65" t="s">
        <v>983</v>
      </c>
      <c r="L772" s="65" t="s">
        <v>64</v>
      </c>
      <c r="M772" s="113" t="n">
        <v>1.49</v>
      </c>
      <c r="N772" s="114" t="n">
        <v>25000</v>
      </c>
      <c r="O772" s="114" t="n">
        <v>3500</v>
      </c>
      <c r="P772" s="114" t="n">
        <v>37250</v>
      </c>
      <c r="Q772" s="114" t="n">
        <v>14165.35</v>
      </c>
      <c r="R772" s="114" t="n">
        <v>23084.65</v>
      </c>
      <c r="S772" s="115" t="n">
        <v>0.380277852348993</v>
      </c>
      <c r="T772" s="65" t="n">
        <v>26</v>
      </c>
      <c r="U772" s="65" t="n">
        <v>0</v>
      </c>
      <c r="V772" s="65" t="n">
        <v>47968.78</v>
      </c>
      <c r="W772" s="115" t="n">
        <v>0.1195</v>
      </c>
      <c r="X772" s="112" t="n">
        <v>41377</v>
      </c>
      <c r="Y772" s="65" t="str">
        <f aca="false">IF(I772="","No SIC",IFERROR(VLOOKUP(I772,Ref!$A$2:$B$65,2,FALSE()),"Unclassified"))</f>
        <v>Eating &amp; Drinking Places</v>
      </c>
      <c r="Z772" s="65" t="str">
        <f aca="false">IF(T772="","",IF(T772&lt;12,"Daily","Weekly"))</f>
        <v>Weekly</v>
      </c>
      <c r="AA772" s="65" t="n">
        <f aca="false">IF(T772="",0,IF(T772&lt;12,T772*Controls!$B$29,T772*5))</f>
        <v>130</v>
      </c>
      <c r="AB772" s="65" t="n">
        <f aca="false">IF(E772="",0,NETWORKDAYS(E772,Controls!$B$36,Ref!$K$2:$K$42))</f>
        <v>101</v>
      </c>
      <c r="AC772" s="65" t="n">
        <f aca="false">IF(AND(AA772&gt;0,AB772&gt;=Controls!$B$39*AA772),1,0)</f>
        <v>0</v>
      </c>
      <c r="AD772" s="65" t="n">
        <f aca="false">IF(AND(E772&lt;&gt;"",E772&gt;=Controls!$B$37,E772&lt;=Controls!$B$38),1,0)</f>
        <v>1</v>
      </c>
      <c r="AE772" s="65" t="n">
        <f aca="false">IF(IFERROR(VLOOKUP(D772,Controls!$A$64:$E$74,2,FALSE()),"No")="Yes",1,0)</f>
        <v>0</v>
      </c>
      <c r="AF772" s="65" t="n">
        <f aca="false">IF(IFERROR(VLOOKUP(D772,Controls!$A$64:$E$74,3,FALSE()),"No")="Yes",1,0)</f>
        <v>0</v>
      </c>
      <c r="AG772" s="65" t="n">
        <f aca="false">IF(IFERROR(VLOOKUP(D772,Controls!$A$64:$E$74,4,FALSE()),"No")="Yes",1,0)</f>
        <v>0</v>
      </c>
      <c r="AH772" s="65" t="n">
        <f aca="false">IF(IFERROR(VLOOKUP(D772,Controls!$A$64:$E$74,5,FALSE()),"No")="Yes",1,0)</f>
        <v>1</v>
      </c>
      <c r="AI772" s="65" t="n">
        <f aca="false">IF(ISNUMBER(MATCH(D772,Controls!$A$64:$A$74,0)),1,0)</f>
        <v>1</v>
      </c>
      <c r="AJ772" s="65" t="n">
        <f aca="false">Q772-N772</f>
        <v>-10834.65</v>
      </c>
      <c r="AK772" s="65" t="n">
        <f aca="false">IF(AE772=1,MAX(0,N772-Q772),0)</f>
        <v>0</v>
      </c>
      <c r="AL772" s="65" t="n">
        <f aca="false">IF(OR(V772="",V772=0),0,N772/V772)</f>
        <v>0.521172312491583</v>
      </c>
      <c r="AM772" s="65" t="n">
        <f aca="false">IF(OR(V772="",V772=0),0,1)</f>
        <v>1</v>
      </c>
      <c r="AN772" s="65" t="n">
        <f aca="false">IF(OR(E772="",F772=""),0,NETWORKDAYS(E772,F772,Ref!$K$2:$K$42))</f>
        <v>94</v>
      </c>
      <c r="AO772" s="65" t="n">
        <f aca="false">IF(L772="Renewal",1,0)</f>
        <v>0</v>
      </c>
      <c r="AP772" s="65" t="n">
        <f aca="false">AC772*AD772</f>
        <v>0</v>
      </c>
      <c r="AQ772" s="65" t="n">
        <f aca="false">IF(AND(G772&lt;&gt;"",'Historical Score'!$C$6&lt;&gt;""),IF(G772='Historical Score'!$C$6,1,0),0)</f>
        <v>0</v>
      </c>
      <c r="AR772" s="65" t="n">
        <f aca="false">IF(AND(L772&lt;&gt;"",'Historical Score'!$C$5&lt;&gt;""),IF(L772='Historical Score'!$C$5,1,0),0)</f>
        <v>1</v>
      </c>
      <c r="AS772" s="65" t="n">
        <f aca="false">IF(AND(Y772&lt;&gt;"",'Historical Score'!$C$7&lt;&gt;""),IF(Y772='Historical Score'!$C$7,1,0),0)</f>
        <v>0</v>
      </c>
      <c r="AT772" s="65" t="n">
        <f aca="false">IF(AND(K772&lt;&gt;"",'Historical Score'!$C$8&lt;&gt;""),IF(K772='Historical Score'!$C$8,1,0),0)</f>
        <v>0</v>
      </c>
      <c r="AU772" s="65" t="n">
        <f aca="false">IF(AND(J772&lt;&gt;"",'Historical Score'!$C$9&lt;&gt;""),IF(J772='Historical Score'!$C$9,1,0),0)</f>
        <v>0</v>
      </c>
      <c r="AV772" s="65" t="n">
        <f aca="false">AR772*AS772*AQ772</f>
        <v>0</v>
      </c>
      <c r="AW772" s="65" t="n">
        <f aca="false">AR772*AT772*AQ772</f>
        <v>0</v>
      </c>
      <c r="AX772" s="65" t="n">
        <f aca="false">AR772*AS772</f>
        <v>0</v>
      </c>
      <c r="AY772" s="65" t="n">
        <f aca="false">AR772*AT772</f>
        <v>0</v>
      </c>
      <c r="AZ772" s="65" t="n">
        <f aca="false">AR772*AQ772</f>
        <v>0</v>
      </c>
      <c r="BA772" s="65" t="n">
        <f aca="false">AR772</f>
        <v>1</v>
      </c>
      <c r="BB772" s="65" t="n">
        <f aca="false">1</f>
        <v>1</v>
      </c>
      <c r="BC772" s="65" t="n">
        <f aca="false">IF(AV772=1,1,IF(AW772=1,2,IF(AX772=1,3,IF(AY772=1,4,IF(AZ772=1,5,IF(BA772=1,6,7))))))</f>
        <v>6</v>
      </c>
      <c r="BD772" s="65" t="n">
        <f aca="false">IF(AD772=1,CHOOSE('Historical Score'!$C$29,AV772,AW772,AX772,AY772,AZ772,BA772,BB772),0)</f>
        <v>0</v>
      </c>
      <c r="BE772" s="65" t="str">
        <f aca="false">IF(BD772=1,COUNTIF($BD$2:BD772,1),"")</f>
        <v/>
      </c>
    </row>
    <row r="773" customFormat="false" ht="15" hidden="false" customHeight="false" outlineLevel="0" collapsed="false">
      <c r="A773" s="65" t="s">
        <v>2509</v>
      </c>
      <c r="B773" s="65" t="s">
        <v>1743</v>
      </c>
      <c r="C773" s="65" t="s">
        <v>1743</v>
      </c>
      <c r="D773" s="65" t="s">
        <v>371</v>
      </c>
      <c r="E773" s="112" t="n">
        <v>46118</v>
      </c>
      <c r="F773" s="112" t="n">
        <v>46213</v>
      </c>
      <c r="G773" s="65" t="n">
        <v>3</v>
      </c>
      <c r="H773" s="65" t="s">
        <v>500</v>
      </c>
      <c r="I773" s="65" t="s">
        <v>475</v>
      </c>
      <c r="J773" s="65" t="s">
        <v>704</v>
      </c>
      <c r="K773" s="65" t="s">
        <v>55</v>
      </c>
      <c r="L773" s="65" t="s">
        <v>320</v>
      </c>
      <c r="M773" s="113" t="n">
        <v>1.45</v>
      </c>
      <c r="N773" s="114" t="n">
        <v>25000</v>
      </c>
      <c r="O773" s="114" t="n">
        <v>3000</v>
      </c>
      <c r="P773" s="114" t="n">
        <v>36250</v>
      </c>
      <c r="Q773" s="114" t="n">
        <v>36250</v>
      </c>
      <c r="R773" s="114" t="n">
        <v>0</v>
      </c>
      <c r="S773" s="115" t="n">
        <v>1</v>
      </c>
      <c r="T773" s="65" t="n">
        <v>30</v>
      </c>
      <c r="U773" s="65" t="n">
        <v>0</v>
      </c>
      <c r="V773" s="65" t="n">
        <v>36089.77</v>
      </c>
      <c r="W773" s="115" t="n">
        <v>0.1339</v>
      </c>
      <c r="X773" s="112" t="n">
        <v>45812</v>
      </c>
      <c r="Y773" s="65" t="str">
        <f aca="false">IF(I773="","No SIC",IFERROR(VLOOKUP(I773,Ref!$A$2:$B$65,2,FALSE()),"Unclassified"))</f>
        <v>Auto Repair &amp; Services</v>
      </c>
      <c r="Z773" s="65" t="str">
        <f aca="false">IF(T773="","",IF(T773&lt;12,"Daily","Weekly"))</f>
        <v>Weekly</v>
      </c>
      <c r="AA773" s="65" t="n">
        <f aca="false">IF(T773="",0,IF(T773&lt;12,T773*Controls!$B$29,T773*5))</f>
        <v>150</v>
      </c>
      <c r="AB773" s="65" t="n">
        <f aca="false">IF(E773="",0,NETWORKDAYS(E773,Controls!$B$36,Ref!$K$2:$K$42))</f>
        <v>100</v>
      </c>
      <c r="AC773" s="65" t="n">
        <f aca="false">IF(AND(AA773&gt;0,AB773&gt;=Controls!$B$39*AA773),1,0)</f>
        <v>0</v>
      </c>
      <c r="AD773" s="65" t="n">
        <f aca="false">IF(AND(E773&lt;&gt;"",E773&gt;=Controls!$B$37,E773&lt;=Controls!$B$38),1,0)</f>
        <v>1</v>
      </c>
      <c r="AE773" s="65" t="n">
        <f aca="false">IF(IFERROR(VLOOKUP(D773,Controls!$A$64:$E$74,2,FALSE()),"No")="Yes",1,0)</f>
        <v>0</v>
      </c>
      <c r="AF773" s="65" t="n">
        <f aca="false">IF(IFERROR(VLOOKUP(D773,Controls!$A$64:$E$74,3,FALSE()),"No")="Yes",1,0)</f>
        <v>1</v>
      </c>
      <c r="AG773" s="65" t="n">
        <f aca="false">IF(IFERROR(VLOOKUP(D773,Controls!$A$64:$E$74,4,FALSE()),"No")="Yes",1,0)</f>
        <v>1</v>
      </c>
      <c r="AH773" s="65" t="n">
        <f aca="false">IF(IFERROR(VLOOKUP(D773,Controls!$A$64:$E$74,5,FALSE()),"No")="Yes",1,0)</f>
        <v>0</v>
      </c>
      <c r="AI773" s="65" t="n">
        <f aca="false">IF(ISNUMBER(MATCH(D773,Controls!$A$64:$A$74,0)),1,0)</f>
        <v>1</v>
      </c>
      <c r="AJ773" s="65" t="n">
        <f aca="false">Q773-N773</f>
        <v>11250</v>
      </c>
      <c r="AK773" s="65" t="n">
        <f aca="false">IF(AE773=1,MAX(0,N773-Q773),0)</f>
        <v>0</v>
      </c>
      <c r="AL773" s="65" t="n">
        <f aca="false">IF(OR(V773="",V773=0),0,N773/V773)</f>
        <v>0.692717077443276</v>
      </c>
      <c r="AM773" s="65" t="n">
        <f aca="false">IF(OR(V773="",V773=0),0,1)</f>
        <v>1</v>
      </c>
      <c r="AN773" s="65" t="n">
        <f aca="false">IF(OR(E773="",F773=""),0,NETWORKDAYS(E773,F773,Ref!$K$2:$K$42))</f>
        <v>68</v>
      </c>
      <c r="AO773" s="65" t="n">
        <f aca="false">IF(L773="Renewal",1,0)</f>
        <v>1</v>
      </c>
      <c r="AP773" s="65" t="n">
        <f aca="false">AC773*AD773</f>
        <v>0</v>
      </c>
      <c r="AQ773" s="65" t="n">
        <f aca="false">IF(AND(G773&lt;&gt;"",'Historical Score'!$C$6&lt;&gt;""),IF(G773='Historical Score'!$C$6,1,0),0)</f>
        <v>0</v>
      </c>
      <c r="AR773" s="65" t="n">
        <f aca="false">IF(AND(L773&lt;&gt;"",'Historical Score'!$C$5&lt;&gt;""),IF(L773='Historical Score'!$C$5,1,0),0)</f>
        <v>0</v>
      </c>
      <c r="AS773" s="65" t="n">
        <f aca="false">IF(AND(Y773&lt;&gt;"",'Historical Score'!$C$7&lt;&gt;""),IF(Y773='Historical Score'!$C$7,1,0),0)</f>
        <v>0</v>
      </c>
      <c r="AT773" s="65" t="n">
        <f aca="false">IF(AND(K773&lt;&gt;"",'Historical Score'!$C$8&lt;&gt;""),IF(K773='Historical Score'!$C$8,1,0),0)</f>
        <v>1</v>
      </c>
      <c r="AU773" s="65" t="n">
        <f aca="false">IF(AND(J773&lt;&gt;"",'Historical Score'!$C$9&lt;&gt;""),IF(J773='Historical Score'!$C$9,1,0),0)</f>
        <v>0</v>
      </c>
      <c r="AV773" s="65" t="n">
        <f aca="false">AR773*AS773*AQ773</f>
        <v>0</v>
      </c>
      <c r="AW773" s="65" t="n">
        <f aca="false">AR773*AT773*AQ773</f>
        <v>0</v>
      </c>
      <c r="AX773" s="65" t="n">
        <f aca="false">AR773*AS773</f>
        <v>0</v>
      </c>
      <c r="AY773" s="65" t="n">
        <f aca="false">AR773*AT773</f>
        <v>0</v>
      </c>
      <c r="AZ773" s="65" t="n">
        <f aca="false">AR773*AQ773</f>
        <v>0</v>
      </c>
      <c r="BA773" s="65" t="n">
        <f aca="false">AR773</f>
        <v>0</v>
      </c>
      <c r="BB773" s="65" t="n">
        <f aca="false">1</f>
        <v>1</v>
      </c>
      <c r="BC773" s="65" t="n">
        <f aca="false">IF(AV773=1,1,IF(AW773=1,2,IF(AX773=1,3,IF(AY773=1,4,IF(AZ773=1,5,IF(BA773=1,6,7))))))</f>
        <v>7</v>
      </c>
      <c r="BD773" s="65" t="n">
        <f aca="false">IF(AD773=1,CHOOSE('Historical Score'!$C$29,AV773,AW773,AX773,AY773,AZ773,BA773,BB773),0)</f>
        <v>0</v>
      </c>
      <c r="BE773" s="65" t="str">
        <f aca="false">IF(BD773=1,COUNTIF($BD$2:BD773,1),"")</f>
        <v/>
      </c>
    </row>
    <row r="774" customFormat="false" ht="15" hidden="false" customHeight="false" outlineLevel="0" collapsed="false">
      <c r="A774" s="65" t="s">
        <v>2510</v>
      </c>
      <c r="B774" s="65" t="s">
        <v>2511</v>
      </c>
      <c r="C774" s="65" t="s">
        <v>2512</v>
      </c>
      <c r="D774" s="65" t="s">
        <v>295</v>
      </c>
      <c r="E774" s="112" t="n">
        <v>46118</v>
      </c>
      <c r="F774" s="112" t="n">
        <v>46248</v>
      </c>
      <c r="G774" s="65" t="n">
        <v>2</v>
      </c>
      <c r="H774" s="65" t="s">
        <v>494</v>
      </c>
      <c r="I774" s="65" t="s">
        <v>484</v>
      </c>
      <c r="J774" s="65" t="s">
        <v>61</v>
      </c>
      <c r="K774" s="65" t="s">
        <v>961</v>
      </c>
      <c r="L774" s="65" t="s">
        <v>64</v>
      </c>
      <c r="M774" s="113" t="n">
        <v>1.4</v>
      </c>
      <c r="N774" s="114" t="n">
        <v>12000</v>
      </c>
      <c r="O774" s="114" t="n">
        <v>1560</v>
      </c>
      <c r="P774" s="114" t="n">
        <v>16800</v>
      </c>
      <c r="Q774" s="114" t="n">
        <v>8400.6</v>
      </c>
      <c r="R774" s="114" t="n">
        <v>8399.4</v>
      </c>
      <c r="S774" s="115" t="n">
        <v>0.500035714285714</v>
      </c>
      <c r="T774" s="65" t="n">
        <v>20</v>
      </c>
      <c r="U774" s="65" t="n">
        <v>9</v>
      </c>
      <c r="V774" s="65" t="n">
        <v>26129.33</v>
      </c>
      <c r="W774" s="115" t="n">
        <v>0.1286</v>
      </c>
      <c r="X774" s="112" t="n">
        <v>42170</v>
      </c>
      <c r="Y774" s="65" t="str">
        <f aca="false">IF(I774="","No SIC",IFERROR(VLOOKUP(I774,Ref!$A$2:$B$65,2,FALSE()),"Unclassified"))</f>
        <v>Special Trade Contractors</v>
      </c>
      <c r="Z774" s="65" t="str">
        <f aca="false">IF(T774="","",IF(T774&lt;12,"Daily","Weekly"))</f>
        <v>Weekly</v>
      </c>
      <c r="AA774" s="65" t="n">
        <f aca="false">IF(T774="",0,IF(T774&lt;12,T774*Controls!$B$29,T774*5))</f>
        <v>100</v>
      </c>
      <c r="AB774" s="65" t="n">
        <f aca="false">IF(E774="",0,NETWORKDAYS(E774,Controls!$B$36,Ref!$K$2:$K$42))</f>
        <v>100</v>
      </c>
      <c r="AC774" s="65" t="n">
        <f aca="false">IF(AND(AA774&gt;0,AB774&gt;=Controls!$B$39*AA774),1,0)</f>
        <v>0</v>
      </c>
      <c r="AD774" s="65" t="n">
        <f aca="false">IF(AND(E774&lt;&gt;"",E774&gt;=Controls!$B$37,E774&lt;=Controls!$B$38),1,0)</f>
        <v>1</v>
      </c>
      <c r="AE774" s="65" t="n">
        <f aca="false">IF(IFERROR(VLOOKUP(D774,Controls!$A$64:$E$74,2,FALSE()),"No")="Yes",1,0)</f>
        <v>0</v>
      </c>
      <c r="AF774" s="65" t="n">
        <f aca="false">IF(IFERROR(VLOOKUP(D774,Controls!$A$64:$E$74,3,FALSE()),"No")="Yes",1,0)</f>
        <v>0</v>
      </c>
      <c r="AG774" s="65" t="n">
        <f aca="false">IF(IFERROR(VLOOKUP(D774,Controls!$A$64:$E$74,4,FALSE()),"No")="Yes",1,0)</f>
        <v>0</v>
      </c>
      <c r="AH774" s="65" t="n">
        <f aca="false">IF(IFERROR(VLOOKUP(D774,Controls!$A$64:$E$74,5,FALSE()),"No")="Yes",1,0)</f>
        <v>1</v>
      </c>
      <c r="AI774" s="65" t="n">
        <f aca="false">IF(ISNUMBER(MATCH(D774,Controls!$A$64:$A$74,0)),1,0)</f>
        <v>1</v>
      </c>
      <c r="AJ774" s="65" t="n">
        <f aca="false">Q774-N774</f>
        <v>-3599.4</v>
      </c>
      <c r="AK774" s="65" t="n">
        <f aca="false">IF(AE774=1,MAX(0,N774-Q774),0)</f>
        <v>0</v>
      </c>
      <c r="AL774" s="65" t="n">
        <f aca="false">IF(OR(V774="",V774=0),0,N774/V774)</f>
        <v>0.459254026031284</v>
      </c>
      <c r="AM774" s="65" t="n">
        <f aca="false">IF(OR(V774="",V774=0),0,1)</f>
        <v>1</v>
      </c>
      <c r="AN774" s="65" t="n">
        <f aca="false">IF(OR(E774="",F774=""),0,NETWORKDAYS(E774,F774,Ref!$K$2:$K$42))</f>
        <v>93</v>
      </c>
      <c r="AO774" s="65" t="n">
        <f aca="false">IF(L774="Renewal",1,0)</f>
        <v>0</v>
      </c>
      <c r="AP774" s="65" t="n">
        <f aca="false">AC774*AD774</f>
        <v>0</v>
      </c>
      <c r="AQ774" s="65" t="n">
        <f aca="false">IF(AND(G774&lt;&gt;"",'Historical Score'!$C$6&lt;&gt;""),IF(G774='Historical Score'!$C$6,1,0),0)</f>
        <v>1</v>
      </c>
      <c r="AR774" s="65" t="n">
        <f aca="false">IF(AND(L774&lt;&gt;"",'Historical Score'!$C$5&lt;&gt;""),IF(L774='Historical Score'!$C$5,1,0),0)</f>
        <v>1</v>
      </c>
      <c r="AS774" s="65" t="n">
        <f aca="false">IF(AND(Y774&lt;&gt;"",'Historical Score'!$C$7&lt;&gt;""),IF(Y774='Historical Score'!$C$7,1,0),0)</f>
        <v>0</v>
      </c>
      <c r="AT774" s="65" t="n">
        <f aca="false">IF(AND(K774&lt;&gt;"",'Historical Score'!$C$8&lt;&gt;""),IF(K774='Historical Score'!$C$8,1,0),0)</f>
        <v>0</v>
      </c>
      <c r="AU774" s="65" t="n">
        <f aca="false">IF(AND(J774&lt;&gt;"",'Historical Score'!$C$9&lt;&gt;""),IF(J774='Historical Score'!$C$9,1,0),0)</f>
        <v>1</v>
      </c>
      <c r="AV774" s="65" t="n">
        <f aca="false">AR774*AS774*AQ774</f>
        <v>0</v>
      </c>
      <c r="AW774" s="65" t="n">
        <f aca="false">AR774*AT774*AQ774</f>
        <v>0</v>
      </c>
      <c r="AX774" s="65" t="n">
        <f aca="false">AR774*AS774</f>
        <v>0</v>
      </c>
      <c r="AY774" s="65" t="n">
        <f aca="false">AR774*AT774</f>
        <v>0</v>
      </c>
      <c r="AZ774" s="65" t="n">
        <f aca="false">AR774*AQ774</f>
        <v>1</v>
      </c>
      <c r="BA774" s="65" t="n">
        <f aca="false">AR774</f>
        <v>1</v>
      </c>
      <c r="BB774" s="65" t="n">
        <f aca="false">1</f>
        <v>1</v>
      </c>
      <c r="BC774" s="65" t="n">
        <f aca="false">IF(AV774=1,1,IF(AW774=1,2,IF(AX774=1,3,IF(AY774=1,4,IF(AZ774=1,5,IF(BA774=1,6,7))))))</f>
        <v>5</v>
      </c>
      <c r="BD774" s="65" t="n">
        <f aca="false">IF(AD774=1,CHOOSE('Historical Score'!$C$29,AV774,AW774,AX774,AY774,AZ774,BA774,BB774),0)</f>
        <v>0</v>
      </c>
      <c r="BE774" s="65" t="str">
        <f aca="false">IF(BD774=1,COUNTIF($BD$2:BD774,1),"")</f>
        <v/>
      </c>
    </row>
    <row r="775" customFormat="false" ht="15" hidden="false" customHeight="false" outlineLevel="0" collapsed="false">
      <c r="A775" s="65" t="s">
        <v>2513</v>
      </c>
      <c r="B775" s="65" t="s">
        <v>2514</v>
      </c>
      <c r="C775" s="65" t="s">
        <v>2514</v>
      </c>
      <c r="D775" s="65" t="s">
        <v>295</v>
      </c>
      <c r="E775" s="112" t="n">
        <v>46118</v>
      </c>
      <c r="F775" s="112" t="n">
        <v>46253</v>
      </c>
      <c r="G775" s="65" t="n">
        <v>3</v>
      </c>
      <c r="H775" s="65" t="s">
        <v>2515</v>
      </c>
      <c r="I775" s="65" t="s">
        <v>970</v>
      </c>
      <c r="J775" s="65" t="s">
        <v>350</v>
      </c>
      <c r="K775" s="65" t="s">
        <v>983</v>
      </c>
      <c r="L775" s="65" t="s">
        <v>64</v>
      </c>
      <c r="M775" s="113" t="n">
        <v>1.45</v>
      </c>
      <c r="N775" s="114" t="n">
        <v>25000</v>
      </c>
      <c r="O775" s="114" t="n">
        <v>3000</v>
      </c>
      <c r="P775" s="114" t="n">
        <v>36250</v>
      </c>
      <c r="Q775" s="114" t="n">
        <v>21750.75</v>
      </c>
      <c r="R775" s="114" t="n">
        <v>14499.25</v>
      </c>
      <c r="S775" s="115" t="n">
        <v>0.600020689655172</v>
      </c>
      <c r="T775" s="65" t="n">
        <v>4.098</v>
      </c>
      <c r="U775" s="65" t="n">
        <v>20</v>
      </c>
      <c r="V775" s="65" t="n">
        <v>25882.4</v>
      </c>
      <c r="W775" s="115" t="n">
        <v>0.2353</v>
      </c>
      <c r="X775" s="112" t="n">
        <v>43472</v>
      </c>
      <c r="Y775" s="65" t="str">
        <f aca="false">IF(I775="","No SIC",IFERROR(VLOOKUP(I775,Ref!$A$2:$B$65,2,FALSE()),"Unclassified"))</f>
        <v>Industrial Machinery &amp; Equipment</v>
      </c>
      <c r="Z775" s="65" t="str">
        <f aca="false">IF(T775="","",IF(T775&lt;12,"Daily","Weekly"))</f>
        <v>Daily</v>
      </c>
      <c r="AA775" s="65" t="n">
        <f aca="false">IF(T775="",0,IF(T775&lt;12,T775*Controls!$B$29,T775*5))</f>
        <v>88.74219</v>
      </c>
      <c r="AB775" s="65" t="n">
        <f aca="false">IF(E775="",0,NETWORKDAYS(E775,Controls!$B$36,Ref!$K$2:$K$42))</f>
        <v>100</v>
      </c>
      <c r="AC775" s="65" t="n">
        <f aca="false">IF(AND(AA775&gt;0,AB775&gt;=Controls!$B$39*AA775),1,0)</f>
        <v>0</v>
      </c>
      <c r="AD775" s="65" t="n">
        <f aca="false">IF(AND(E775&lt;&gt;"",E775&gt;=Controls!$B$37,E775&lt;=Controls!$B$38),1,0)</f>
        <v>1</v>
      </c>
      <c r="AE775" s="65" t="n">
        <f aca="false">IF(IFERROR(VLOOKUP(D775,Controls!$A$64:$E$74,2,FALSE()),"No")="Yes",1,0)</f>
        <v>0</v>
      </c>
      <c r="AF775" s="65" t="n">
        <f aca="false">IF(IFERROR(VLOOKUP(D775,Controls!$A$64:$E$74,3,FALSE()),"No")="Yes",1,0)</f>
        <v>0</v>
      </c>
      <c r="AG775" s="65" t="n">
        <f aca="false">IF(IFERROR(VLOOKUP(D775,Controls!$A$64:$E$74,4,FALSE()),"No")="Yes",1,0)</f>
        <v>0</v>
      </c>
      <c r="AH775" s="65" t="n">
        <f aca="false">IF(IFERROR(VLOOKUP(D775,Controls!$A$64:$E$74,5,FALSE()),"No")="Yes",1,0)</f>
        <v>1</v>
      </c>
      <c r="AI775" s="65" t="n">
        <f aca="false">IF(ISNUMBER(MATCH(D775,Controls!$A$64:$A$74,0)),1,0)</f>
        <v>1</v>
      </c>
      <c r="AJ775" s="65" t="n">
        <f aca="false">Q775-N775</f>
        <v>-3249.25</v>
      </c>
      <c r="AK775" s="65" t="n">
        <f aca="false">IF(AE775=1,MAX(0,N775-Q775),0)</f>
        <v>0</v>
      </c>
      <c r="AL775" s="65" t="n">
        <f aca="false">IF(OR(V775="",V775=0),0,N775/V775)</f>
        <v>0.965907334713937</v>
      </c>
      <c r="AM775" s="65" t="n">
        <f aca="false">IF(OR(V775="",V775=0),0,1)</f>
        <v>1</v>
      </c>
      <c r="AN775" s="65" t="n">
        <f aca="false">IF(OR(E775="",F775=""),0,NETWORKDAYS(E775,F775,Ref!$K$2:$K$42))</f>
        <v>96</v>
      </c>
      <c r="AO775" s="65" t="n">
        <f aca="false">IF(L775="Renewal",1,0)</f>
        <v>0</v>
      </c>
      <c r="AP775" s="65" t="n">
        <f aca="false">AC775*AD775</f>
        <v>0</v>
      </c>
      <c r="AQ775" s="65" t="n">
        <f aca="false">IF(AND(G775&lt;&gt;"",'Historical Score'!$C$6&lt;&gt;""),IF(G775='Historical Score'!$C$6,1,0),0)</f>
        <v>0</v>
      </c>
      <c r="AR775" s="65" t="n">
        <f aca="false">IF(AND(L775&lt;&gt;"",'Historical Score'!$C$5&lt;&gt;""),IF(L775='Historical Score'!$C$5,1,0),0)</f>
        <v>1</v>
      </c>
      <c r="AS775" s="65" t="n">
        <f aca="false">IF(AND(Y775&lt;&gt;"",'Historical Score'!$C$7&lt;&gt;""),IF(Y775='Historical Score'!$C$7,1,0),0)</f>
        <v>0</v>
      </c>
      <c r="AT775" s="65" t="n">
        <f aca="false">IF(AND(K775&lt;&gt;"",'Historical Score'!$C$8&lt;&gt;""),IF(K775='Historical Score'!$C$8,1,0),0)</f>
        <v>0</v>
      </c>
      <c r="AU775" s="65" t="n">
        <f aca="false">IF(AND(J775&lt;&gt;"",'Historical Score'!$C$9&lt;&gt;""),IF(J775='Historical Score'!$C$9,1,0),0)</f>
        <v>0</v>
      </c>
      <c r="AV775" s="65" t="n">
        <f aca="false">AR775*AS775*AQ775</f>
        <v>0</v>
      </c>
      <c r="AW775" s="65" t="n">
        <f aca="false">AR775*AT775*AQ775</f>
        <v>0</v>
      </c>
      <c r="AX775" s="65" t="n">
        <f aca="false">AR775*AS775</f>
        <v>0</v>
      </c>
      <c r="AY775" s="65" t="n">
        <f aca="false">AR775*AT775</f>
        <v>0</v>
      </c>
      <c r="AZ775" s="65" t="n">
        <f aca="false">AR775*AQ775</f>
        <v>0</v>
      </c>
      <c r="BA775" s="65" t="n">
        <f aca="false">AR775</f>
        <v>1</v>
      </c>
      <c r="BB775" s="65" t="n">
        <f aca="false">1</f>
        <v>1</v>
      </c>
      <c r="BC775" s="65" t="n">
        <f aca="false">IF(AV775=1,1,IF(AW775=1,2,IF(AX775=1,3,IF(AY775=1,4,IF(AZ775=1,5,IF(BA775=1,6,7))))))</f>
        <v>6</v>
      </c>
      <c r="BD775" s="65" t="n">
        <f aca="false">IF(AD775=1,CHOOSE('Historical Score'!$C$29,AV775,AW775,AX775,AY775,AZ775,BA775,BB775),0)</f>
        <v>0</v>
      </c>
      <c r="BE775" s="65" t="str">
        <f aca="false">IF(BD775=1,COUNTIF($BD$2:BD775,1),"")</f>
        <v/>
      </c>
    </row>
    <row r="776" customFormat="false" ht="15" hidden="false" customHeight="false" outlineLevel="0" collapsed="false">
      <c r="A776" s="65" t="s">
        <v>2516</v>
      </c>
      <c r="B776" s="65" t="s">
        <v>2517</v>
      </c>
      <c r="C776" s="65" t="s">
        <v>2517</v>
      </c>
      <c r="D776" s="65" t="s">
        <v>340</v>
      </c>
      <c r="E776" s="112" t="n">
        <v>46118</v>
      </c>
      <c r="F776" s="112" t="n">
        <v>46163</v>
      </c>
      <c r="G776" s="65" t="n">
        <v>3</v>
      </c>
      <c r="H776" s="65" t="s">
        <v>637</v>
      </c>
      <c r="I776" s="65" t="s">
        <v>484</v>
      </c>
      <c r="J776" s="65" t="s">
        <v>373</v>
      </c>
      <c r="K776" s="65" t="s">
        <v>983</v>
      </c>
      <c r="L776" s="65" t="s">
        <v>64</v>
      </c>
      <c r="M776" s="113" t="n">
        <v>1.49</v>
      </c>
      <c r="N776" s="114" t="n">
        <v>20000</v>
      </c>
      <c r="O776" s="114" t="n">
        <v>0</v>
      </c>
      <c r="P776" s="114" t="n">
        <v>29800</v>
      </c>
      <c r="Q776" s="114" t="n">
        <v>7945.44</v>
      </c>
      <c r="R776" s="114" t="n">
        <v>21854.56</v>
      </c>
      <c r="S776" s="115" t="n">
        <v>0.266625503355705</v>
      </c>
      <c r="T776" s="65" t="n">
        <v>2.951</v>
      </c>
      <c r="U776" s="65" t="n">
        <v>6</v>
      </c>
      <c r="V776" s="65" t="n">
        <v>66592.34</v>
      </c>
      <c r="W776" s="115" t="n">
        <v>0.1044</v>
      </c>
      <c r="X776" s="112" t="n">
        <v>44927</v>
      </c>
      <c r="Y776" s="65" t="str">
        <f aca="false">IF(I776="","No SIC",IFERROR(VLOOKUP(I776,Ref!$A$2:$B$65,2,FALSE()),"Unclassified"))</f>
        <v>Special Trade Contractors</v>
      </c>
      <c r="Z776" s="65" t="str">
        <f aca="false">IF(T776="","",IF(T776&lt;12,"Daily","Weekly"))</f>
        <v>Daily</v>
      </c>
      <c r="AA776" s="65" t="n">
        <f aca="false">IF(T776="",0,IF(T776&lt;12,T776*Controls!$B$29,T776*5))</f>
        <v>63.903905</v>
      </c>
      <c r="AB776" s="65" t="n">
        <f aca="false">IF(E776="",0,NETWORKDAYS(E776,Controls!$B$36,Ref!$K$2:$K$42))</f>
        <v>100</v>
      </c>
      <c r="AC776" s="65" t="n">
        <f aca="false">IF(AND(AA776&gt;0,AB776&gt;=Controls!$B$39*AA776),1,0)</f>
        <v>1</v>
      </c>
      <c r="AD776" s="65" t="n">
        <f aca="false">IF(AND(E776&lt;&gt;"",E776&gt;=Controls!$B$37,E776&lt;=Controls!$B$38),1,0)</f>
        <v>1</v>
      </c>
      <c r="AE776" s="65" t="n">
        <f aca="false">IF(IFERROR(VLOOKUP(D776,Controls!$A$64:$E$74,2,FALSE()),"No")="Yes",1,0)</f>
        <v>1</v>
      </c>
      <c r="AF776" s="65" t="n">
        <f aca="false">IF(IFERROR(VLOOKUP(D776,Controls!$A$64:$E$74,3,FALSE()),"No")="Yes",1,0)</f>
        <v>0</v>
      </c>
      <c r="AG776" s="65" t="n">
        <f aca="false">IF(IFERROR(VLOOKUP(D776,Controls!$A$64:$E$74,4,FALSE()),"No")="Yes",1,0)</f>
        <v>0</v>
      </c>
      <c r="AH776" s="65" t="n">
        <f aca="false">IF(IFERROR(VLOOKUP(D776,Controls!$A$64:$E$74,5,FALSE()),"No")="Yes",1,0)</f>
        <v>0</v>
      </c>
      <c r="AI776" s="65" t="n">
        <f aca="false">IF(ISNUMBER(MATCH(D776,Controls!$A$64:$A$74,0)),1,0)</f>
        <v>1</v>
      </c>
      <c r="AJ776" s="65" t="n">
        <f aca="false">Q776-N776</f>
        <v>-12054.56</v>
      </c>
      <c r="AK776" s="65" t="n">
        <f aca="false">IF(AE776=1,MAX(0,N776-Q776),0)</f>
        <v>12054.56</v>
      </c>
      <c r="AL776" s="65" t="n">
        <f aca="false">IF(OR(V776="",V776=0),0,N776/V776)</f>
        <v>0.300334843316814</v>
      </c>
      <c r="AM776" s="65" t="n">
        <f aca="false">IF(OR(V776="",V776=0),0,1)</f>
        <v>1</v>
      </c>
      <c r="AN776" s="65" t="n">
        <f aca="false">IF(OR(E776="",F776=""),0,NETWORKDAYS(E776,F776,Ref!$K$2:$K$42))</f>
        <v>34</v>
      </c>
      <c r="AO776" s="65" t="n">
        <f aca="false">IF(L776="Renewal",1,0)</f>
        <v>0</v>
      </c>
      <c r="AP776" s="65" t="n">
        <f aca="false">AC776*AD776</f>
        <v>1</v>
      </c>
      <c r="AQ776" s="65" t="n">
        <f aca="false">IF(AND(G776&lt;&gt;"",'Historical Score'!$C$6&lt;&gt;""),IF(G776='Historical Score'!$C$6,1,0),0)</f>
        <v>0</v>
      </c>
      <c r="AR776" s="65" t="n">
        <f aca="false">IF(AND(L776&lt;&gt;"",'Historical Score'!$C$5&lt;&gt;""),IF(L776='Historical Score'!$C$5,1,0),0)</f>
        <v>1</v>
      </c>
      <c r="AS776" s="65" t="n">
        <f aca="false">IF(AND(Y776&lt;&gt;"",'Historical Score'!$C$7&lt;&gt;""),IF(Y776='Historical Score'!$C$7,1,0),0)</f>
        <v>0</v>
      </c>
      <c r="AT776" s="65" t="n">
        <f aca="false">IF(AND(K776&lt;&gt;"",'Historical Score'!$C$8&lt;&gt;""),IF(K776='Historical Score'!$C$8,1,0),0)</f>
        <v>0</v>
      </c>
      <c r="AU776" s="65" t="n">
        <f aca="false">IF(AND(J776&lt;&gt;"",'Historical Score'!$C$9&lt;&gt;""),IF(J776='Historical Score'!$C$9,1,0),0)</f>
        <v>0</v>
      </c>
      <c r="AV776" s="65" t="n">
        <f aca="false">AR776*AS776*AQ776</f>
        <v>0</v>
      </c>
      <c r="AW776" s="65" t="n">
        <f aca="false">AR776*AT776*AQ776</f>
        <v>0</v>
      </c>
      <c r="AX776" s="65" t="n">
        <f aca="false">AR776*AS776</f>
        <v>0</v>
      </c>
      <c r="AY776" s="65" t="n">
        <f aca="false">AR776*AT776</f>
        <v>0</v>
      </c>
      <c r="AZ776" s="65" t="n">
        <f aca="false">AR776*AQ776</f>
        <v>0</v>
      </c>
      <c r="BA776" s="65" t="n">
        <f aca="false">AR776</f>
        <v>1</v>
      </c>
      <c r="BB776" s="65" t="n">
        <f aca="false">1</f>
        <v>1</v>
      </c>
      <c r="BC776" s="65" t="n">
        <f aca="false">IF(AV776=1,1,IF(AW776=1,2,IF(AX776=1,3,IF(AY776=1,4,IF(AZ776=1,5,IF(BA776=1,6,7))))))</f>
        <v>6</v>
      </c>
      <c r="BD776" s="65" t="n">
        <f aca="false">IF(AD776=1,CHOOSE('Historical Score'!$C$29,AV776,AW776,AX776,AY776,AZ776,BA776,BB776),0)</f>
        <v>0</v>
      </c>
      <c r="BE776" s="65" t="str">
        <f aca="false">IF(BD776=1,COUNTIF($BD$2:BD776,1),"")</f>
        <v/>
      </c>
    </row>
    <row r="777" customFormat="false" ht="15" hidden="false" customHeight="false" outlineLevel="0" collapsed="false">
      <c r="A777" s="65" t="s">
        <v>2518</v>
      </c>
      <c r="B777" s="65" t="s">
        <v>2519</v>
      </c>
      <c r="C777" s="65" t="s">
        <v>2519</v>
      </c>
      <c r="D777" s="65" t="s">
        <v>533</v>
      </c>
      <c r="E777" s="112" t="n">
        <v>46119</v>
      </c>
      <c r="F777" s="112" t="n">
        <v>46248</v>
      </c>
      <c r="G777" s="65" t="n">
        <v>3</v>
      </c>
      <c r="H777" s="65" t="s">
        <v>391</v>
      </c>
      <c r="I777" s="65" t="s">
        <v>392</v>
      </c>
      <c r="J777" s="65" t="s">
        <v>61</v>
      </c>
      <c r="K777" s="65" t="s">
        <v>55</v>
      </c>
      <c r="L777" s="65" t="s">
        <v>64</v>
      </c>
      <c r="M777" s="113" t="n">
        <v>1.43</v>
      </c>
      <c r="N777" s="114" t="n">
        <v>25000</v>
      </c>
      <c r="O777" s="114" t="n">
        <v>2750</v>
      </c>
      <c r="P777" s="114" t="n">
        <v>35750</v>
      </c>
      <c r="Q777" s="114" t="n">
        <v>3715.2</v>
      </c>
      <c r="R777" s="114" t="n">
        <v>32034.8</v>
      </c>
      <c r="S777" s="115" t="n">
        <v>0.103921678321678</v>
      </c>
      <c r="T777" s="65" t="n">
        <v>25</v>
      </c>
      <c r="U777" s="65" t="n">
        <v>13</v>
      </c>
      <c r="V777" s="65" t="n">
        <v>196465.29</v>
      </c>
      <c r="W777" s="115" t="n">
        <v>0.0291</v>
      </c>
      <c r="X777" s="112" t="n">
        <v>42704</v>
      </c>
      <c r="Y777" s="65" t="str">
        <f aca="false">IF(I777="","No SIC",IFERROR(VLOOKUP(I777,Ref!$A$2:$B$65,2,FALSE()),"Unclassified"))</f>
        <v>Real Estate</v>
      </c>
      <c r="Z777" s="65" t="str">
        <f aca="false">IF(T777="","",IF(T777&lt;12,"Daily","Weekly"))</f>
        <v>Weekly</v>
      </c>
      <c r="AA777" s="65" t="n">
        <f aca="false">IF(T777="",0,IF(T777&lt;12,T777*Controls!$B$29,T777*5))</f>
        <v>125</v>
      </c>
      <c r="AB777" s="65" t="n">
        <f aca="false">IF(E777="",0,NETWORKDAYS(E777,Controls!$B$36,Ref!$K$2:$K$42))</f>
        <v>99</v>
      </c>
      <c r="AC777" s="65" t="n">
        <f aca="false">IF(AND(AA777&gt;0,AB777&gt;=Controls!$B$39*AA777),1,0)</f>
        <v>0</v>
      </c>
      <c r="AD777" s="65" t="n">
        <f aca="false">IF(AND(E777&lt;&gt;"",E777&gt;=Controls!$B$37,E777&lt;=Controls!$B$38),1,0)</f>
        <v>1</v>
      </c>
      <c r="AE777" s="65" t="n">
        <f aca="false">IF(IFERROR(VLOOKUP(D777,Controls!$A$64:$E$74,2,FALSE()),"No")="Yes",1,0)</f>
        <v>1</v>
      </c>
      <c r="AF777" s="65" t="n">
        <f aca="false">IF(IFERROR(VLOOKUP(D777,Controls!$A$64:$E$74,3,FALSE()),"No")="Yes",1,0)</f>
        <v>0</v>
      </c>
      <c r="AG777" s="65" t="n">
        <f aca="false">IF(IFERROR(VLOOKUP(D777,Controls!$A$64:$E$74,4,FALSE()),"No")="Yes",1,0)</f>
        <v>0</v>
      </c>
      <c r="AH777" s="65" t="n">
        <f aca="false">IF(IFERROR(VLOOKUP(D777,Controls!$A$64:$E$74,5,FALSE()),"No")="Yes",1,0)</f>
        <v>0</v>
      </c>
      <c r="AI777" s="65" t="n">
        <f aca="false">IF(ISNUMBER(MATCH(D777,Controls!$A$64:$A$74,0)),1,0)</f>
        <v>1</v>
      </c>
      <c r="AJ777" s="65" t="n">
        <f aca="false">Q777-N777</f>
        <v>-21284.8</v>
      </c>
      <c r="AK777" s="65" t="n">
        <f aca="false">IF(AE777=1,MAX(0,N777-Q777),0)</f>
        <v>21284.8</v>
      </c>
      <c r="AL777" s="65" t="n">
        <f aca="false">IF(OR(V777="",V777=0),0,N777/V777)</f>
        <v>0.127248940512596</v>
      </c>
      <c r="AM777" s="65" t="n">
        <f aca="false">IF(OR(V777="",V777=0),0,1)</f>
        <v>1</v>
      </c>
      <c r="AN777" s="65" t="n">
        <f aca="false">IF(OR(E777="",F777=""),0,NETWORKDAYS(E777,F777,Ref!$K$2:$K$42))</f>
        <v>92</v>
      </c>
      <c r="AO777" s="65" t="n">
        <f aca="false">IF(L777="Renewal",1,0)</f>
        <v>0</v>
      </c>
      <c r="AP777" s="65" t="n">
        <f aca="false">AC777*AD777</f>
        <v>0</v>
      </c>
      <c r="AQ777" s="65" t="n">
        <f aca="false">IF(AND(G777&lt;&gt;"",'Historical Score'!$C$6&lt;&gt;""),IF(G777='Historical Score'!$C$6,1,0),0)</f>
        <v>0</v>
      </c>
      <c r="AR777" s="65" t="n">
        <f aca="false">IF(AND(L777&lt;&gt;"",'Historical Score'!$C$5&lt;&gt;""),IF(L777='Historical Score'!$C$5,1,0),0)</f>
        <v>1</v>
      </c>
      <c r="AS777" s="65" t="n">
        <f aca="false">IF(AND(Y777&lt;&gt;"",'Historical Score'!$C$7&lt;&gt;""),IF(Y777='Historical Score'!$C$7,1,0),0)</f>
        <v>0</v>
      </c>
      <c r="AT777" s="65" t="n">
        <f aca="false">IF(AND(K777&lt;&gt;"",'Historical Score'!$C$8&lt;&gt;""),IF(K777='Historical Score'!$C$8,1,0),0)</f>
        <v>1</v>
      </c>
      <c r="AU777" s="65" t="n">
        <f aca="false">IF(AND(J777&lt;&gt;"",'Historical Score'!$C$9&lt;&gt;""),IF(J777='Historical Score'!$C$9,1,0),0)</f>
        <v>1</v>
      </c>
      <c r="AV777" s="65" t="n">
        <f aca="false">AR777*AS777*AQ777</f>
        <v>0</v>
      </c>
      <c r="AW777" s="65" t="n">
        <f aca="false">AR777*AT777*AQ777</f>
        <v>0</v>
      </c>
      <c r="AX777" s="65" t="n">
        <f aca="false">AR777*AS777</f>
        <v>0</v>
      </c>
      <c r="AY777" s="65" t="n">
        <f aca="false">AR777*AT777</f>
        <v>1</v>
      </c>
      <c r="AZ777" s="65" t="n">
        <f aca="false">AR777*AQ777</f>
        <v>0</v>
      </c>
      <c r="BA777" s="65" t="n">
        <f aca="false">AR777</f>
        <v>1</v>
      </c>
      <c r="BB777" s="65" t="n">
        <f aca="false">1</f>
        <v>1</v>
      </c>
      <c r="BC777" s="65" t="n">
        <f aca="false">IF(AV777=1,1,IF(AW777=1,2,IF(AX777=1,3,IF(AY777=1,4,IF(AZ777=1,5,IF(BA777=1,6,7))))))</f>
        <v>4</v>
      </c>
      <c r="BD777" s="65" t="n">
        <f aca="false">IF(AD777=1,CHOOSE('Historical Score'!$C$29,AV777,AW777,AX777,AY777,AZ777,BA777,BB777),0)</f>
        <v>0</v>
      </c>
      <c r="BE777" s="65" t="str">
        <f aca="false">IF(BD777=1,COUNTIF($BD$2:BD777,1),"")</f>
        <v/>
      </c>
    </row>
    <row r="778" customFormat="false" ht="15" hidden="false" customHeight="false" outlineLevel="0" collapsed="false">
      <c r="A778" s="65" t="s">
        <v>2520</v>
      </c>
      <c r="B778" s="65" t="s">
        <v>1887</v>
      </c>
      <c r="C778" s="65" t="s">
        <v>1888</v>
      </c>
      <c r="D778" s="65" t="s">
        <v>295</v>
      </c>
      <c r="E778" s="112" t="n">
        <v>46119</v>
      </c>
      <c r="F778" s="112" t="n">
        <v>46246</v>
      </c>
      <c r="G778" s="65" t="n">
        <v>3</v>
      </c>
      <c r="H778" s="65" t="s">
        <v>409</v>
      </c>
      <c r="I778" s="65" t="s">
        <v>342</v>
      </c>
      <c r="J778" s="65" t="s">
        <v>61</v>
      </c>
      <c r="K778" s="65" t="s">
        <v>961</v>
      </c>
      <c r="L778" s="65" t="s">
        <v>320</v>
      </c>
      <c r="M778" s="113" t="n">
        <v>1.49</v>
      </c>
      <c r="N778" s="114" t="n">
        <v>10000</v>
      </c>
      <c r="O778" s="114" t="n">
        <v>1600</v>
      </c>
      <c r="P778" s="114" t="n">
        <v>14900</v>
      </c>
      <c r="Q778" s="114" t="n">
        <v>14900</v>
      </c>
      <c r="R778" s="114" t="n">
        <v>0</v>
      </c>
      <c r="S778" s="115" t="n">
        <v>1</v>
      </c>
      <c r="T778" s="65" t="n">
        <v>2.951</v>
      </c>
      <c r="U778" s="65" t="n">
        <v>0</v>
      </c>
      <c r="V778" s="65" t="n">
        <v>25456</v>
      </c>
      <c r="W778" s="115" t="n">
        <v>0.1537</v>
      </c>
      <c r="X778" s="112" t="n">
        <v>43623</v>
      </c>
      <c r="Y778" s="65" t="str">
        <f aca="false">IF(I778="","No SIC",IFERROR(VLOOKUP(I778,Ref!$A$2:$B$65,2,FALSE()),"Unclassified"))</f>
        <v>Eating &amp; Drinking Places</v>
      </c>
      <c r="Z778" s="65" t="str">
        <f aca="false">IF(T778="","",IF(T778&lt;12,"Daily","Weekly"))</f>
        <v>Daily</v>
      </c>
      <c r="AA778" s="65" t="n">
        <f aca="false">IF(T778="",0,IF(T778&lt;12,T778*Controls!$B$29,T778*5))</f>
        <v>63.903905</v>
      </c>
      <c r="AB778" s="65" t="n">
        <f aca="false">IF(E778="",0,NETWORKDAYS(E778,Controls!$B$36,Ref!$K$2:$K$42))</f>
        <v>99</v>
      </c>
      <c r="AC778" s="65" t="n">
        <f aca="false">IF(AND(AA778&gt;0,AB778&gt;=Controls!$B$39*AA778),1,0)</f>
        <v>1</v>
      </c>
      <c r="AD778" s="65" t="n">
        <f aca="false">IF(AND(E778&lt;&gt;"",E778&gt;=Controls!$B$37,E778&lt;=Controls!$B$38),1,0)</f>
        <v>1</v>
      </c>
      <c r="AE778" s="65" t="n">
        <f aca="false">IF(IFERROR(VLOOKUP(D778,Controls!$A$64:$E$74,2,FALSE()),"No")="Yes",1,0)</f>
        <v>0</v>
      </c>
      <c r="AF778" s="65" t="n">
        <f aca="false">IF(IFERROR(VLOOKUP(D778,Controls!$A$64:$E$74,3,FALSE()),"No")="Yes",1,0)</f>
        <v>0</v>
      </c>
      <c r="AG778" s="65" t="n">
        <f aca="false">IF(IFERROR(VLOOKUP(D778,Controls!$A$64:$E$74,4,FALSE()),"No")="Yes",1,0)</f>
        <v>0</v>
      </c>
      <c r="AH778" s="65" t="n">
        <f aca="false">IF(IFERROR(VLOOKUP(D778,Controls!$A$64:$E$74,5,FALSE()),"No")="Yes",1,0)</f>
        <v>1</v>
      </c>
      <c r="AI778" s="65" t="n">
        <f aca="false">IF(ISNUMBER(MATCH(D778,Controls!$A$64:$A$74,0)),1,0)</f>
        <v>1</v>
      </c>
      <c r="AJ778" s="65" t="n">
        <f aca="false">Q778-N778</f>
        <v>4900</v>
      </c>
      <c r="AK778" s="65" t="n">
        <f aca="false">IF(AE778=1,MAX(0,N778-Q778),0)</f>
        <v>0</v>
      </c>
      <c r="AL778" s="65" t="n">
        <f aca="false">IF(OR(V778="",V778=0),0,N778/V778)</f>
        <v>0.392834695160277</v>
      </c>
      <c r="AM778" s="65" t="n">
        <f aca="false">IF(OR(V778="",V778=0),0,1)</f>
        <v>1</v>
      </c>
      <c r="AN778" s="65" t="n">
        <f aca="false">IF(OR(E778="",F778=""),0,NETWORKDAYS(E778,F778,Ref!$K$2:$K$42))</f>
        <v>90</v>
      </c>
      <c r="AO778" s="65" t="n">
        <f aca="false">IF(L778="Renewal",1,0)</f>
        <v>1</v>
      </c>
      <c r="AP778" s="65" t="n">
        <f aca="false">AC778*AD778</f>
        <v>1</v>
      </c>
      <c r="AQ778" s="65" t="n">
        <f aca="false">IF(AND(G778&lt;&gt;"",'Historical Score'!$C$6&lt;&gt;""),IF(G778='Historical Score'!$C$6,1,0),0)</f>
        <v>0</v>
      </c>
      <c r="AR778" s="65" t="n">
        <f aca="false">IF(AND(L778&lt;&gt;"",'Historical Score'!$C$5&lt;&gt;""),IF(L778='Historical Score'!$C$5,1,0),0)</f>
        <v>0</v>
      </c>
      <c r="AS778" s="65" t="n">
        <f aca="false">IF(AND(Y778&lt;&gt;"",'Historical Score'!$C$7&lt;&gt;""),IF(Y778='Historical Score'!$C$7,1,0),0)</f>
        <v>0</v>
      </c>
      <c r="AT778" s="65" t="n">
        <f aca="false">IF(AND(K778&lt;&gt;"",'Historical Score'!$C$8&lt;&gt;""),IF(K778='Historical Score'!$C$8,1,0),0)</f>
        <v>0</v>
      </c>
      <c r="AU778" s="65" t="n">
        <f aca="false">IF(AND(J778&lt;&gt;"",'Historical Score'!$C$9&lt;&gt;""),IF(J778='Historical Score'!$C$9,1,0),0)</f>
        <v>1</v>
      </c>
      <c r="AV778" s="65" t="n">
        <f aca="false">AR778*AS778*AQ778</f>
        <v>0</v>
      </c>
      <c r="AW778" s="65" t="n">
        <f aca="false">AR778*AT778*AQ778</f>
        <v>0</v>
      </c>
      <c r="AX778" s="65" t="n">
        <f aca="false">AR778*AS778</f>
        <v>0</v>
      </c>
      <c r="AY778" s="65" t="n">
        <f aca="false">AR778*AT778</f>
        <v>0</v>
      </c>
      <c r="AZ778" s="65" t="n">
        <f aca="false">AR778*AQ778</f>
        <v>0</v>
      </c>
      <c r="BA778" s="65" t="n">
        <f aca="false">AR778</f>
        <v>0</v>
      </c>
      <c r="BB778" s="65" t="n">
        <f aca="false">1</f>
        <v>1</v>
      </c>
      <c r="BC778" s="65" t="n">
        <f aca="false">IF(AV778=1,1,IF(AW778=1,2,IF(AX778=1,3,IF(AY778=1,4,IF(AZ778=1,5,IF(BA778=1,6,7))))))</f>
        <v>7</v>
      </c>
      <c r="BD778" s="65" t="n">
        <f aca="false">IF(AD778=1,CHOOSE('Historical Score'!$C$29,AV778,AW778,AX778,AY778,AZ778,BA778,BB778),0)</f>
        <v>0</v>
      </c>
      <c r="BE778" s="65" t="str">
        <f aca="false">IF(BD778=1,COUNTIF($BD$2:BD778,1),"")</f>
        <v/>
      </c>
    </row>
    <row r="779" customFormat="false" ht="15" hidden="false" customHeight="false" outlineLevel="0" collapsed="false">
      <c r="A779" s="65" t="s">
        <v>2521</v>
      </c>
      <c r="B779" s="65" t="s">
        <v>2522</v>
      </c>
      <c r="C779" s="65" t="s">
        <v>2523</v>
      </c>
      <c r="D779" s="65" t="s">
        <v>340</v>
      </c>
      <c r="E779" s="112" t="n">
        <v>46119</v>
      </c>
      <c r="F779" s="112" t="n">
        <v>46204</v>
      </c>
      <c r="G779" s="65" t="n">
        <v>2</v>
      </c>
      <c r="H779" s="65" t="s">
        <v>1146</v>
      </c>
      <c r="I779" s="65" t="s">
        <v>419</v>
      </c>
      <c r="J779" s="65" t="s">
        <v>61</v>
      </c>
      <c r="K779" s="65" t="s">
        <v>961</v>
      </c>
      <c r="L779" s="65" t="s">
        <v>64</v>
      </c>
      <c r="M779" s="113" t="n">
        <v>1.42</v>
      </c>
      <c r="N779" s="114" t="n">
        <v>10000</v>
      </c>
      <c r="O779" s="114" t="n">
        <v>0</v>
      </c>
      <c r="P779" s="114" t="n">
        <v>14200</v>
      </c>
      <c r="Q779" s="114" t="n">
        <v>6394.86</v>
      </c>
      <c r="R779" s="114" t="n">
        <v>7805.14</v>
      </c>
      <c r="S779" s="115" t="n">
        <v>0.450342253521127</v>
      </c>
      <c r="T779" s="65" t="n">
        <v>20</v>
      </c>
      <c r="U779" s="65" t="n">
        <v>3</v>
      </c>
      <c r="V779" s="65" t="n">
        <v>47369.23</v>
      </c>
      <c r="W779" s="115" t="n">
        <v>0.06</v>
      </c>
      <c r="X779" s="112" t="n">
        <v>44089</v>
      </c>
      <c r="Y779" s="65" t="str">
        <f aca="false">IF(I779="","No SIC",IFERROR(VLOOKUP(I779,Ref!$A$2:$B$65,2,FALSE()),"Unclassified"))</f>
        <v>Business Services</v>
      </c>
      <c r="Z779" s="65" t="str">
        <f aca="false">IF(T779="","",IF(T779&lt;12,"Daily","Weekly"))</f>
        <v>Weekly</v>
      </c>
      <c r="AA779" s="65" t="n">
        <f aca="false">IF(T779="",0,IF(T779&lt;12,T779*Controls!$B$29,T779*5))</f>
        <v>100</v>
      </c>
      <c r="AB779" s="65" t="n">
        <f aca="false">IF(E779="",0,NETWORKDAYS(E779,Controls!$B$36,Ref!$K$2:$K$42))</f>
        <v>99</v>
      </c>
      <c r="AC779" s="65" t="n">
        <f aca="false">IF(AND(AA779&gt;0,AB779&gt;=Controls!$B$39*AA779),1,0)</f>
        <v>0</v>
      </c>
      <c r="AD779" s="65" t="n">
        <f aca="false">IF(AND(E779&lt;&gt;"",E779&gt;=Controls!$B$37,E779&lt;=Controls!$B$38),1,0)</f>
        <v>1</v>
      </c>
      <c r="AE779" s="65" t="n">
        <f aca="false">IF(IFERROR(VLOOKUP(D779,Controls!$A$64:$E$74,2,FALSE()),"No")="Yes",1,0)</f>
        <v>1</v>
      </c>
      <c r="AF779" s="65" t="n">
        <f aca="false">IF(IFERROR(VLOOKUP(D779,Controls!$A$64:$E$74,3,FALSE()),"No")="Yes",1,0)</f>
        <v>0</v>
      </c>
      <c r="AG779" s="65" t="n">
        <f aca="false">IF(IFERROR(VLOOKUP(D779,Controls!$A$64:$E$74,4,FALSE()),"No")="Yes",1,0)</f>
        <v>0</v>
      </c>
      <c r="AH779" s="65" t="n">
        <f aca="false">IF(IFERROR(VLOOKUP(D779,Controls!$A$64:$E$74,5,FALSE()),"No")="Yes",1,0)</f>
        <v>0</v>
      </c>
      <c r="AI779" s="65" t="n">
        <f aca="false">IF(ISNUMBER(MATCH(D779,Controls!$A$64:$A$74,0)),1,0)</f>
        <v>1</v>
      </c>
      <c r="AJ779" s="65" t="n">
        <f aca="false">Q779-N779</f>
        <v>-3605.14</v>
      </c>
      <c r="AK779" s="65" t="n">
        <f aca="false">IF(AE779=1,MAX(0,N779-Q779),0)</f>
        <v>3605.14</v>
      </c>
      <c r="AL779" s="65" t="n">
        <f aca="false">IF(OR(V779="",V779=0),0,N779/V779)</f>
        <v>0.211107505864039</v>
      </c>
      <c r="AM779" s="65" t="n">
        <f aca="false">IF(OR(V779="",V779=0),0,1)</f>
        <v>1</v>
      </c>
      <c r="AN779" s="65" t="n">
        <f aca="false">IF(OR(E779="",F779=""),0,NETWORKDAYS(E779,F779,Ref!$K$2:$K$42))</f>
        <v>60</v>
      </c>
      <c r="AO779" s="65" t="n">
        <f aca="false">IF(L779="Renewal",1,0)</f>
        <v>0</v>
      </c>
      <c r="AP779" s="65" t="n">
        <f aca="false">AC779*AD779</f>
        <v>0</v>
      </c>
      <c r="AQ779" s="65" t="n">
        <f aca="false">IF(AND(G779&lt;&gt;"",'Historical Score'!$C$6&lt;&gt;""),IF(G779='Historical Score'!$C$6,1,0),0)</f>
        <v>1</v>
      </c>
      <c r="AR779" s="65" t="n">
        <f aca="false">IF(AND(L779&lt;&gt;"",'Historical Score'!$C$5&lt;&gt;""),IF(L779='Historical Score'!$C$5,1,0),0)</f>
        <v>1</v>
      </c>
      <c r="AS779" s="65" t="n">
        <f aca="false">IF(AND(Y779&lt;&gt;"",'Historical Score'!$C$7&lt;&gt;""),IF(Y779='Historical Score'!$C$7,1,0),0)</f>
        <v>0</v>
      </c>
      <c r="AT779" s="65" t="n">
        <f aca="false">IF(AND(K779&lt;&gt;"",'Historical Score'!$C$8&lt;&gt;""),IF(K779='Historical Score'!$C$8,1,0),0)</f>
        <v>0</v>
      </c>
      <c r="AU779" s="65" t="n">
        <f aca="false">IF(AND(J779&lt;&gt;"",'Historical Score'!$C$9&lt;&gt;""),IF(J779='Historical Score'!$C$9,1,0),0)</f>
        <v>1</v>
      </c>
      <c r="AV779" s="65" t="n">
        <f aca="false">AR779*AS779*AQ779</f>
        <v>0</v>
      </c>
      <c r="AW779" s="65" t="n">
        <f aca="false">AR779*AT779*AQ779</f>
        <v>0</v>
      </c>
      <c r="AX779" s="65" t="n">
        <f aca="false">AR779*AS779</f>
        <v>0</v>
      </c>
      <c r="AY779" s="65" t="n">
        <f aca="false">AR779*AT779</f>
        <v>0</v>
      </c>
      <c r="AZ779" s="65" t="n">
        <f aca="false">AR779*AQ779</f>
        <v>1</v>
      </c>
      <c r="BA779" s="65" t="n">
        <f aca="false">AR779</f>
        <v>1</v>
      </c>
      <c r="BB779" s="65" t="n">
        <f aca="false">1</f>
        <v>1</v>
      </c>
      <c r="BC779" s="65" t="n">
        <f aca="false">IF(AV779=1,1,IF(AW779=1,2,IF(AX779=1,3,IF(AY779=1,4,IF(AZ779=1,5,IF(BA779=1,6,7))))))</f>
        <v>5</v>
      </c>
      <c r="BD779" s="65" t="n">
        <f aca="false">IF(AD779=1,CHOOSE('Historical Score'!$C$29,AV779,AW779,AX779,AY779,AZ779,BA779,BB779),0)</f>
        <v>0</v>
      </c>
      <c r="BE779" s="65" t="str">
        <f aca="false">IF(BD779=1,COUNTIF($BD$2:BD779,1),"")</f>
        <v/>
      </c>
    </row>
    <row r="780" customFormat="false" ht="15" hidden="false" customHeight="false" outlineLevel="0" collapsed="false">
      <c r="A780" s="65" t="s">
        <v>2524</v>
      </c>
      <c r="B780" s="65" t="s">
        <v>2525</v>
      </c>
      <c r="C780" s="65" t="s">
        <v>2525</v>
      </c>
      <c r="D780" s="65" t="s">
        <v>340</v>
      </c>
      <c r="E780" s="112" t="n">
        <v>46120</v>
      </c>
      <c r="F780" s="112" t="n">
        <v>46212</v>
      </c>
      <c r="G780" s="65" t="n">
        <v>3</v>
      </c>
      <c r="H780" s="65" t="s">
        <v>442</v>
      </c>
      <c r="I780" s="65" t="s">
        <v>443</v>
      </c>
      <c r="J780" s="65" t="s">
        <v>1349</v>
      </c>
      <c r="K780" s="65" t="s">
        <v>2526</v>
      </c>
      <c r="L780" s="65" t="s">
        <v>64</v>
      </c>
      <c r="M780" s="113" t="n">
        <v>1.45</v>
      </c>
      <c r="N780" s="114" t="n">
        <v>10000</v>
      </c>
      <c r="O780" s="114" t="n">
        <v>1200</v>
      </c>
      <c r="P780" s="114" t="n">
        <v>14500</v>
      </c>
      <c r="Q780" s="114" t="n">
        <v>5478.08</v>
      </c>
      <c r="R780" s="114" t="n">
        <v>9021.92</v>
      </c>
      <c r="S780" s="115" t="n">
        <v>0.377798620689655</v>
      </c>
      <c r="T780" s="65" t="n">
        <v>2.951</v>
      </c>
      <c r="U780" s="65" t="n">
        <v>19</v>
      </c>
      <c r="V780" s="65" t="n">
        <v>58058.07</v>
      </c>
      <c r="W780" s="115" t="n">
        <v>0.0572</v>
      </c>
      <c r="X780" s="112" t="n">
        <v>44409</v>
      </c>
      <c r="Y780" s="65" t="str">
        <f aca="false">IF(I780="","No SIC",IFERROR(VLOOKUP(I780,Ref!$A$2:$B$65,2,FALSE()),"Unclassified"))</f>
        <v>General Building Contractors</v>
      </c>
      <c r="Z780" s="65" t="str">
        <f aca="false">IF(T780="","",IF(T780&lt;12,"Daily","Weekly"))</f>
        <v>Daily</v>
      </c>
      <c r="AA780" s="65" t="n">
        <f aca="false">IF(T780="",0,IF(T780&lt;12,T780*Controls!$B$29,T780*5))</f>
        <v>63.903905</v>
      </c>
      <c r="AB780" s="65" t="n">
        <f aca="false">IF(E780="",0,NETWORKDAYS(E780,Controls!$B$36,Ref!$K$2:$K$42))</f>
        <v>98</v>
      </c>
      <c r="AC780" s="65" t="n">
        <f aca="false">IF(AND(AA780&gt;0,AB780&gt;=Controls!$B$39*AA780),1,0)</f>
        <v>1</v>
      </c>
      <c r="AD780" s="65" t="n">
        <f aca="false">IF(AND(E780&lt;&gt;"",E780&gt;=Controls!$B$37,E780&lt;=Controls!$B$38),1,0)</f>
        <v>1</v>
      </c>
      <c r="AE780" s="65" t="n">
        <f aca="false">IF(IFERROR(VLOOKUP(D780,Controls!$A$64:$E$74,2,FALSE()),"No")="Yes",1,0)</f>
        <v>1</v>
      </c>
      <c r="AF780" s="65" t="n">
        <f aca="false">IF(IFERROR(VLOOKUP(D780,Controls!$A$64:$E$74,3,FALSE()),"No")="Yes",1,0)</f>
        <v>0</v>
      </c>
      <c r="AG780" s="65" t="n">
        <f aca="false">IF(IFERROR(VLOOKUP(D780,Controls!$A$64:$E$74,4,FALSE()),"No")="Yes",1,0)</f>
        <v>0</v>
      </c>
      <c r="AH780" s="65" t="n">
        <f aca="false">IF(IFERROR(VLOOKUP(D780,Controls!$A$64:$E$74,5,FALSE()),"No")="Yes",1,0)</f>
        <v>0</v>
      </c>
      <c r="AI780" s="65" t="n">
        <f aca="false">IF(ISNUMBER(MATCH(D780,Controls!$A$64:$A$74,0)),1,0)</f>
        <v>1</v>
      </c>
      <c r="AJ780" s="65" t="n">
        <f aca="false">Q780-N780</f>
        <v>-4521.92</v>
      </c>
      <c r="AK780" s="65" t="n">
        <f aca="false">IF(AE780=1,MAX(0,N780-Q780),0)</f>
        <v>4521.92</v>
      </c>
      <c r="AL780" s="65" t="n">
        <f aca="false">IF(OR(V780="",V780=0),0,N780/V780)</f>
        <v>0.172241343882082</v>
      </c>
      <c r="AM780" s="65" t="n">
        <f aca="false">IF(OR(V780="",V780=0),0,1)</f>
        <v>1</v>
      </c>
      <c r="AN780" s="65" t="n">
        <f aca="false">IF(OR(E780="",F780=""),0,NETWORKDAYS(E780,F780,Ref!$K$2:$K$42))</f>
        <v>65</v>
      </c>
      <c r="AO780" s="65" t="n">
        <f aca="false">IF(L780="Renewal",1,0)</f>
        <v>0</v>
      </c>
      <c r="AP780" s="65" t="n">
        <f aca="false">AC780*AD780</f>
        <v>1</v>
      </c>
      <c r="AQ780" s="65" t="n">
        <f aca="false">IF(AND(G780&lt;&gt;"",'Historical Score'!$C$6&lt;&gt;""),IF(G780='Historical Score'!$C$6,1,0),0)</f>
        <v>0</v>
      </c>
      <c r="AR780" s="65" t="n">
        <f aca="false">IF(AND(L780&lt;&gt;"",'Historical Score'!$C$5&lt;&gt;""),IF(L780='Historical Score'!$C$5,1,0),0)</f>
        <v>1</v>
      </c>
      <c r="AS780" s="65" t="n">
        <f aca="false">IF(AND(Y780&lt;&gt;"",'Historical Score'!$C$7&lt;&gt;""),IF(Y780='Historical Score'!$C$7,1,0),0)</f>
        <v>1</v>
      </c>
      <c r="AT780" s="65" t="n">
        <f aca="false">IF(AND(K780&lt;&gt;"",'Historical Score'!$C$8&lt;&gt;""),IF(K780='Historical Score'!$C$8,1,0),0)</f>
        <v>0</v>
      </c>
      <c r="AU780" s="65" t="n">
        <f aca="false">IF(AND(J780&lt;&gt;"",'Historical Score'!$C$9&lt;&gt;""),IF(J780='Historical Score'!$C$9,1,0),0)</f>
        <v>0</v>
      </c>
      <c r="AV780" s="65" t="n">
        <f aca="false">AR780*AS780*AQ780</f>
        <v>0</v>
      </c>
      <c r="AW780" s="65" t="n">
        <f aca="false">AR780*AT780*AQ780</f>
        <v>0</v>
      </c>
      <c r="AX780" s="65" t="n">
        <f aca="false">AR780*AS780</f>
        <v>1</v>
      </c>
      <c r="AY780" s="65" t="n">
        <f aca="false">AR780*AT780</f>
        <v>0</v>
      </c>
      <c r="AZ780" s="65" t="n">
        <f aca="false">AR780*AQ780</f>
        <v>0</v>
      </c>
      <c r="BA780" s="65" t="n">
        <f aca="false">AR780</f>
        <v>1</v>
      </c>
      <c r="BB780" s="65" t="n">
        <f aca="false">1</f>
        <v>1</v>
      </c>
      <c r="BC780" s="65" t="n">
        <f aca="false">IF(AV780=1,1,IF(AW780=1,2,IF(AX780=1,3,IF(AY780=1,4,IF(AZ780=1,5,IF(BA780=1,6,7))))))</f>
        <v>3</v>
      </c>
      <c r="BD780" s="65" t="n">
        <f aca="false">IF(AD780=1,CHOOSE('Historical Score'!$C$29,AV780,AW780,AX780,AY780,AZ780,BA780,BB780),0)</f>
        <v>0</v>
      </c>
      <c r="BE780" s="65" t="str">
        <f aca="false">IF(BD780=1,COUNTIF($BD$2:BD780,1),"")</f>
        <v/>
      </c>
    </row>
    <row r="781" customFormat="false" ht="15" hidden="false" customHeight="false" outlineLevel="0" collapsed="false">
      <c r="A781" s="65" t="s">
        <v>2527</v>
      </c>
      <c r="B781" s="65" t="s">
        <v>1628</v>
      </c>
      <c r="C781" s="65" t="s">
        <v>1628</v>
      </c>
      <c r="D781" s="65" t="s">
        <v>371</v>
      </c>
      <c r="E781" s="112" t="n">
        <v>46120</v>
      </c>
      <c r="F781" s="112" t="n">
        <v>46231</v>
      </c>
      <c r="G781" s="65" t="n">
        <v>3</v>
      </c>
      <c r="H781" s="65" t="s">
        <v>479</v>
      </c>
      <c r="I781" s="65" t="s">
        <v>356</v>
      </c>
      <c r="J781" s="65" t="s">
        <v>732</v>
      </c>
      <c r="K781" s="65" t="s">
        <v>581</v>
      </c>
      <c r="L781" s="65" t="s">
        <v>320</v>
      </c>
      <c r="M781" s="113" t="n">
        <v>1.4</v>
      </c>
      <c r="N781" s="114" t="n">
        <v>30000</v>
      </c>
      <c r="O781" s="114" t="n">
        <v>2850</v>
      </c>
      <c r="P781" s="114" t="n">
        <v>42000</v>
      </c>
      <c r="Q781" s="114" t="n">
        <v>42000</v>
      </c>
      <c r="R781" s="114" t="n">
        <v>0</v>
      </c>
      <c r="S781" s="115" t="n">
        <v>1</v>
      </c>
      <c r="T781" s="65" t="n">
        <v>3.934</v>
      </c>
      <c r="U781" s="65" t="n">
        <v>0</v>
      </c>
      <c r="V781" s="65" t="n">
        <v>99070.63</v>
      </c>
      <c r="W781" s="115" t="n">
        <v>0.0742</v>
      </c>
      <c r="X781" s="112" t="n">
        <v>44047</v>
      </c>
      <c r="Y781" s="65" t="str">
        <f aca="false">IF(I781="","No SIC",IFERROR(VLOOKUP(I781,Ref!$A$2:$B$65,2,FALSE()),"Unclassified"))</f>
        <v>Trucking &amp; Warehousing</v>
      </c>
      <c r="Z781" s="65" t="str">
        <f aca="false">IF(T781="","",IF(T781&lt;12,"Daily","Weekly"))</f>
        <v>Daily</v>
      </c>
      <c r="AA781" s="65" t="n">
        <f aca="false">IF(T781="",0,IF(T781&lt;12,T781*Controls!$B$29,T781*5))</f>
        <v>85.19077</v>
      </c>
      <c r="AB781" s="65" t="n">
        <f aca="false">IF(E781="",0,NETWORKDAYS(E781,Controls!$B$36,Ref!$K$2:$K$42))</f>
        <v>98</v>
      </c>
      <c r="AC781" s="65" t="n">
        <f aca="false">IF(AND(AA781&gt;0,AB781&gt;=Controls!$B$39*AA781),1,0)</f>
        <v>0</v>
      </c>
      <c r="AD781" s="65" t="n">
        <f aca="false">IF(AND(E781&lt;&gt;"",E781&gt;=Controls!$B$37,E781&lt;=Controls!$B$38),1,0)</f>
        <v>1</v>
      </c>
      <c r="AE781" s="65" t="n">
        <f aca="false">IF(IFERROR(VLOOKUP(D781,Controls!$A$64:$E$74,2,FALSE()),"No")="Yes",1,0)</f>
        <v>0</v>
      </c>
      <c r="AF781" s="65" t="n">
        <f aca="false">IF(IFERROR(VLOOKUP(D781,Controls!$A$64:$E$74,3,FALSE()),"No")="Yes",1,0)</f>
        <v>1</v>
      </c>
      <c r="AG781" s="65" t="n">
        <f aca="false">IF(IFERROR(VLOOKUP(D781,Controls!$A$64:$E$74,4,FALSE()),"No")="Yes",1,0)</f>
        <v>1</v>
      </c>
      <c r="AH781" s="65" t="n">
        <f aca="false">IF(IFERROR(VLOOKUP(D781,Controls!$A$64:$E$74,5,FALSE()),"No")="Yes",1,0)</f>
        <v>0</v>
      </c>
      <c r="AI781" s="65" t="n">
        <f aca="false">IF(ISNUMBER(MATCH(D781,Controls!$A$64:$A$74,0)),1,0)</f>
        <v>1</v>
      </c>
      <c r="AJ781" s="65" t="n">
        <f aca="false">Q781-N781</f>
        <v>12000</v>
      </c>
      <c r="AK781" s="65" t="n">
        <f aca="false">IF(AE781=1,MAX(0,N781-Q781),0)</f>
        <v>0</v>
      </c>
      <c r="AL781" s="65" t="n">
        <f aca="false">IF(OR(V781="",V781=0),0,N781/V781)</f>
        <v>0.302814264934017</v>
      </c>
      <c r="AM781" s="65" t="n">
        <f aca="false">IF(OR(V781="",V781=0),0,1)</f>
        <v>1</v>
      </c>
      <c r="AN781" s="65" t="n">
        <f aca="false">IF(OR(E781="",F781=""),0,NETWORKDAYS(E781,F781,Ref!$K$2:$K$42))</f>
        <v>78</v>
      </c>
      <c r="AO781" s="65" t="n">
        <f aca="false">IF(L781="Renewal",1,0)</f>
        <v>1</v>
      </c>
      <c r="AP781" s="65" t="n">
        <f aca="false">AC781*AD781</f>
        <v>0</v>
      </c>
      <c r="AQ781" s="65" t="n">
        <f aca="false">IF(AND(G781&lt;&gt;"",'Historical Score'!$C$6&lt;&gt;""),IF(G781='Historical Score'!$C$6,1,0),0)</f>
        <v>0</v>
      </c>
      <c r="AR781" s="65" t="n">
        <f aca="false">IF(AND(L781&lt;&gt;"",'Historical Score'!$C$5&lt;&gt;""),IF(L781='Historical Score'!$C$5,1,0),0)</f>
        <v>0</v>
      </c>
      <c r="AS781" s="65" t="n">
        <f aca="false">IF(AND(Y781&lt;&gt;"",'Historical Score'!$C$7&lt;&gt;""),IF(Y781='Historical Score'!$C$7,1,0),0)</f>
        <v>0</v>
      </c>
      <c r="AT781" s="65" t="n">
        <f aca="false">IF(AND(K781&lt;&gt;"",'Historical Score'!$C$8&lt;&gt;""),IF(K781='Historical Score'!$C$8,1,0),0)</f>
        <v>0</v>
      </c>
      <c r="AU781" s="65" t="n">
        <f aca="false">IF(AND(J781&lt;&gt;"",'Historical Score'!$C$9&lt;&gt;""),IF(J781='Historical Score'!$C$9,1,0),0)</f>
        <v>0</v>
      </c>
      <c r="AV781" s="65" t="n">
        <f aca="false">AR781*AS781*AQ781</f>
        <v>0</v>
      </c>
      <c r="AW781" s="65" t="n">
        <f aca="false">AR781*AT781*AQ781</f>
        <v>0</v>
      </c>
      <c r="AX781" s="65" t="n">
        <f aca="false">AR781*AS781</f>
        <v>0</v>
      </c>
      <c r="AY781" s="65" t="n">
        <f aca="false">AR781*AT781</f>
        <v>0</v>
      </c>
      <c r="AZ781" s="65" t="n">
        <f aca="false">AR781*AQ781</f>
        <v>0</v>
      </c>
      <c r="BA781" s="65" t="n">
        <f aca="false">AR781</f>
        <v>0</v>
      </c>
      <c r="BB781" s="65" t="n">
        <f aca="false">1</f>
        <v>1</v>
      </c>
      <c r="BC781" s="65" t="n">
        <f aca="false">IF(AV781=1,1,IF(AW781=1,2,IF(AX781=1,3,IF(AY781=1,4,IF(AZ781=1,5,IF(BA781=1,6,7))))))</f>
        <v>7</v>
      </c>
      <c r="BD781" s="65" t="n">
        <f aca="false">IF(AD781=1,CHOOSE('Historical Score'!$C$29,AV781,AW781,AX781,AY781,AZ781,BA781,BB781),0)</f>
        <v>0</v>
      </c>
      <c r="BE781" s="65" t="str">
        <f aca="false">IF(BD781=1,COUNTIF($BD$2:BD781,1),"")</f>
        <v/>
      </c>
    </row>
    <row r="782" customFormat="false" ht="15" hidden="false" customHeight="false" outlineLevel="0" collapsed="false">
      <c r="A782" s="65" t="s">
        <v>2528</v>
      </c>
      <c r="B782" s="65" t="s">
        <v>1289</v>
      </c>
      <c r="C782" s="65" t="s">
        <v>1289</v>
      </c>
      <c r="D782" s="65" t="s">
        <v>371</v>
      </c>
      <c r="E782" s="112" t="n">
        <v>46120</v>
      </c>
      <c r="F782" s="112" t="n">
        <v>46225</v>
      </c>
      <c r="G782" s="65" t="n">
        <v>3</v>
      </c>
      <c r="H782" s="65" t="s">
        <v>409</v>
      </c>
      <c r="I782" s="65" t="s">
        <v>342</v>
      </c>
      <c r="J782" s="65" t="s">
        <v>61</v>
      </c>
      <c r="K782" s="65" t="s">
        <v>581</v>
      </c>
      <c r="L782" s="65" t="s">
        <v>320</v>
      </c>
      <c r="M782" s="113" t="n">
        <v>1.49</v>
      </c>
      <c r="N782" s="114" t="n">
        <v>25000</v>
      </c>
      <c r="O782" s="114" t="n">
        <v>3500</v>
      </c>
      <c r="P782" s="114" t="n">
        <v>37250</v>
      </c>
      <c r="Q782" s="114" t="n">
        <v>37250</v>
      </c>
      <c r="R782" s="114" t="n">
        <v>0</v>
      </c>
      <c r="S782" s="115" t="n">
        <v>1</v>
      </c>
      <c r="T782" s="65" t="n">
        <v>20</v>
      </c>
      <c r="U782" s="65" t="n">
        <v>0</v>
      </c>
      <c r="V782" s="65" t="n">
        <v>42000</v>
      </c>
      <c r="W782" s="115" t="n">
        <v>0.149</v>
      </c>
      <c r="X782" s="112" t="n">
        <v>44977</v>
      </c>
      <c r="Y782" s="65" t="str">
        <f aca="false">IF(I782="","No SIC",IFERROR(VLOOKUP(I782,Ref!$A$2:$B$65,2,FALSE()),"Unclassified"))</f>
        <v>Eating &amp; Drinking Places</v>
      </c>
      <c r="Z782" s="65" t="str">
        <f aca="false">IF(T782="","",IF(T782&lt;12,"Daily","Weekly"))</f>
        <v>Weekly</v>
      </c>
      <c r="AA782" s="65" t="n">
        <f aca="false">IF(T782="",0,IF(T782&lt;12,T782*Controls!$B$29,T782*5))</f>
        <v>100</v>
      </c>
      <c r="AB782" s="65" t="n">
        <f aca="false">IF(E782="",0,NETWORKDAYS(E782,Controls!$B$36,Ref!$K$2:$K$42))</f>
        <v>98</v>
      </c>
      <c r="AC782" s="65" t="n">
        <f aca="false">IF(AND(AA782&gt;0,AB782&gt;=Controls!$B$39*AA782),1,0)</f>
        <v>0</v>
      </c>
      <c r="AD782" s="65" t="n">
        <f aca="false">IF(AND(E782&lt;&gt;"",E782&gt;=Controls!$B$37,E782&lt;=Controls!$B$38),1,0)</f>
        <v>1</v>
      </c>
      <c r="AE782" s="65" t="n">
        <f aca="false">IF(IFERROR(VLOOKUP(D782,Controls!$A$64:$E$74,2,FALSE()),"No")="Yes",1,0)</f>
        <v>0</v>
      </c>
      <c r="AF782" s="65" t="n">
        <f aca="false">IF(IFERROR(VLOOKUP(D782,Controls!$A$64:$E$74,3,FALSE()),"No")="Yes",1,0)</f>
        <v>1</v>
      </c>
      <c r="AG782" s="65" t="n">
        <f aca="false">IF(IFERROR(VLOOKUP(D782,Controls!$A$64:$E$74,4,FALSE()),"No")="Yes",1,0)</f>
        <v>1</v>
      </c>
      <c r="AH782" s="65" t="n">
        <f aca="false">IF(IFERROR(VLOOKUP(D782,Controls!$A$64:$E$74,5,FALSE()),"No")="Yes",1,0)</f>
        <v>0</v>
      </c>
      <c r="AI782" s="65" t="n">
        <f aca="false">IF(ISNUMBER(MATCH(D782,Controls!$A$64:$A$74,0)),1,0)</f>
        <v>1</v>
      </c>
      <c r="AJ782" s="65" t="n">
        <f aca="false">Q782-N782</f>
        <v>12250</v>
      </c>
      <c r="AK782" s="65" t="n">
        <f aca="false">IF(AE782=1,MAX(0,N782-Q782),0)</f>
        <v>0</v>
      </c>
      <c r="AL782" s="65" t="n">
        <f aca="false">IF(OR(V782="",V782=0),0,N782/V782)</f>
        <v>0.595238095238095</v>
      </c>
      <c r="AM782" s="65" t="n">
        <f aca="false">IF(OR(V782="",V782=0),0,1)</f>
        <v>1</v>
      </c>
      <c r="AN782" s="65" t="n">
        <f aca="false">IF(OR(E782="",F782=""),0,NETWORKDAYS(E782,F782,Ref!$K$2:$K$42))</f>
        <v>74</v>
      </c>
      <c r="AO782" s="65" t="n">
        <f aca="false">IF(L782="Renewal",1,0)</f>
        <v>1</v>
      </c>
      <c r="AP782" s="65" t="n">
        <f aca="false">AC782*AD782</f>
        <v>0</v>
      </c>
      <c r="AQ782" s="65" t="n">
        <f aca="false">IF(AND(G782&lt;&gt;"",'Historical Score'!$C$6&lt;&gt;""),IF(G782='Historical Score'!$C$6,1,0),0)</f>
        <v>0</v>
      </c>
      <c r="AR782" s="65" t="n">
        <f aca="false">IF(AND(L782&lt;&gt;"",'Historical Score'!$C$5&lt;&gt;""),IF(L782='Historical Score'!$C$5,1,0),0)</f>
        <v>0</v>
      </c>
      <c r="AS782" s="65" t="n">
        <f aca="false">IF(AND(Y782&lt;&gt;"",'Historical Score'!$C$7&lt;&gt;""),IF(Y782='Historical Score'!$C$7,1,0),0)</f>
        <v>0</v>
      </c>
      <c r="AT782" s="65" t="n">
        <f aca="false">IF(AND(K782&lt;&gt;"",'Historical Score'!$C$8&lt;&gt;""),IF(K782='Historical Score'!$C$8,1,0),0)</f>
        <v>0</v>
      </c>
      <c r="AU782" s="65" t="n">
        <f aca="false">IF(AND(J782&lt;&gt;"",'Historical Score'!$C$9&lt;&gt;""),IF(J782='Historical Score'!$C$9,1,0),0)</f>
        <v>1</v>
      </c>
      <c r="AV782" s="65" t="n">
        <f aca="false">AR782*AS782*AQ782</f>
        <v>0</v>
      </c>
      <c r="AW782" s="65" t="n">
        <f aca="false">AR782*AT782*AQ782</f>
        <v>0</v>
      </c>
      <c r="AX782" s="65" t="n">
        <f aca="false">AR782*AS782</f>
        <v>0</v>
      </c>
      <c r="AY782" s="65" t="n">
        <f aca="false">AR782*AT782</f>
        <v>0</v>
      </c>
      <c r="AZ782" s="65" t="n">
        <f aca="false">AR782*AQ782</f>
        <v>0</v>
      </c>
      <c r="BA782" s="65" t="n">
        <f aca="false">AR782</f>
        <v>0</v>
      </c>
      <c r="BB782" s="65" t="n">
        <f aca="false">1</f>
        <v>1</v>
      </c>
      <c r="BC782" s="65" t="n">
        <f aca="false">IF(AV782=1,1,IF(AW782=1,2,IF(AX782=1,3,IF(AY782=1,4,IF(AZ782=1,5,IF(BA782=1,6,7))))))</f>
        <v>7</v>
      </c>
      <c r="BD782" s="65" t="n">
        <f aca="false">IF(AD782=1,CHOOSE('Historical Score'!$C$29,AV782,AW782,AX782,AY782,AZ782,BA782,BB782),0)</f>
        <v>0</v>
      </c>
      <c r="BE782" s="65" t="str">
        <f aca="false">IF(BD782=1,COUNTIF($BD$2:BD782,1),"")</f>
        <v/>
      </c>
    </row>
    <row r="783" customFormat="false" ht="15" hidden="false" customHeight="false" outlineLevel="0" collapsed="false">
      <c r="A783" s="65" t="s">
        <v>2529</v>
      </c>
      <c r="B783" s="65" t="s">
        <v>2530</v>
      </c>
      <c r="C783" s="65" t="s">
        <v>2530</v>
      </c>
      <c r="D783" s="65" t="s">
        <v>533</v>
      </c>
      <c r="E783" s="112" t="n">
        <v>46121</v>
      </c>
      <c r="F783" s="112" t="n">
        <v>46175</v>
      </c>
      <c r="G783" s="65" t="n">
        <v>3</v>
      </c>
      <c r="H783" s="65" t="s">
        <v>442</v>
      </c>
      <c r="I783" s="65" t="s">
        <v>443</v>
      </c>
      <c r="J783" s="65" t="s">
        <v>646</v>
      </c>
      <c r="K783" s="65" t="s">
        <v>983</v>
      </c>
      <c r="L783" s="65" t="s">
        <v>64</v>
      </c>
      <c r="M783" s="113" t="n">
        <v>1.49</v>
      </c>
      <c r="N783" s="114" t="n">
        <v>10000</v>
      </c>
      <c r="O783" s="114" t="n">
        <v>0</v>
      </c>
      <c r="P783" s="114" t="n">
        <v>14900</v>
      </c>
      <c r="Q783" s="114" t="n">
        <v>4285.12</v>
      </c>
      <c r="R783" s="114" t="n">
        <v>10614.88</v>
      </c>
      <c r="S783" s="115" t="n">
        <v>0.287591946308725</v>
      </c>
      <c r="T783" s="65" t="n">
        <v>2.623</v>
      </c>
      <c r="U783" s="65" t="n">
        <v>12</v>
      </c>
      <c r="V783" s="65" t="n">
        <v>28127.66</v>
      </c>
      <c r="W783" s="115" t="n">
        <v>0.1391</v>
      </c>
      <c r="X783" s="112" t="n">
        <v>36942</v>
      </c>
      <c r="Y783" s="65" t="str">
        <f aca="false">IF(I783="","No SIC",IFERROR(VLOOKUP(I783,Ref!$A$2:$B$65,2,FALSE()),"Unclassified"))</f>
        <v>General Building Contractors</v>
      </c>
      <c r="Z783" s="65" t="str">
        <f aca="false">IF(T783="","",IF(T783&lt;12,"Daily","Weekly"))</f>
        <v>Daily</v>
      </c>
      <c r="AA783" s="65" t="n">
        <f aca="false">IF(T783="",0,IF(T783&lt;12,T783*Controls!$B$29,T783*5))</f>
        <v>56.801065</v>
      </c>
      <c r="AB783" s="65" t="n">
        <f aca="false">IF(E783="",0,NETWORKDAYS(E783,Controls!$B$36,Ref!$K$2:$K$42))</f>
        <v>97</v>
      </c>
      <c r="AC783" s="65" t="n">
        <f aca="false">IF(AND(AA783&gt;0,AB783&gt;=Controls!$B$39*AA783),1,0)</f>
        <v>1</v>
      </c>
      <c r="AD783" s="65" t="n">
        <f aca="false">IF(AND(E783&lt;&gt;"",E783&gt;=Controls!$B$37,E783&lt;=Controls!$B$38),1,0)</f>
        <v>1</v>
      </c>
      <c r="AE783" s="65" t="n">
        <f aca="false">IF(IFERROR(VLOOKUP(D783,Controls!$A$64:$E$74,2,FALSE()),"No")="Yes",1,0)</f>
        <v>1</v>
      </c>
      <c r="AF783" s="65" t="n">
        <f aca="false">IF(IFERROR(VLOOKUP(D783,Controls!$A$64:$E$74,3,FALSE()),"No")="Yes",1,0)</f>
        <v>0</v>
      </c>
      <c r="AG783" s="65" t="n">
        <f aca="false">IF(IFERROR(VLOOKUP(D783,Controls!$A$64:$E$74,4,FALSE()),"No")="Yes",1,0)</f>
        <v>0</v>
      </c>
      <c r="AH783" s="65" t="n">
        <f aca="false">IF(IFERROR(VLOOKUP(D783,Controls!$A$64:$E$74,5,FALSE()),"No")="Yes",1,0)</f>
        <v>0</v>
      </c>
      <c r="AI783" s="65" t="n">
        <f aca="false">IF(ISNUMBER(MATCH(D783,Controls!$A$64:$A$74,0)),1,0)</f>
        <v>1</v>
      </c>
      <c r="AJ783" s="65" t="n">
        <f aca="false">Q783-N783</f>
        <v>-5714.88</v>
      </c>
      <c r="AK783" s="65" t="n">
        <f aca="false">IF(AE783=1,MAX(0,N783-Q783),0)</f>
        <v>5714.88</v>
      </c>
      <c r="AL783" s="65" t="n">
        <f aca="false">IF(OR(V783="",V783=0),0,N783/V783)</f>
        <v>0.355521931081363</v>
      </c>
      <c r="AM783" s="65" t="n">
        <f aca="false">IF(OR(V783="",V783=0),0,1)</f>
        <v>1</v>
      </c>
      <c r="AN783" s="65" t="n">
        <f aca="false">IF(OR(E783="",F783=""),0,NETWORKDAYS(E783,F783,Ref!$K$2:$K$42))</f>
        <v>38</v>
      </c>
      <c r="AO783" s="65" t="n">
        <f aca="false">IF(L783="Renewal",1,0)</f>
        <v>0</v>
      </c>
      <c r="AP783" s="65" t="n">
        <f aca="false">AC783*AD783</f>
        <v>1</v>
      </c>
      <c r="AQ783" s="65" t="n">
        <f aca="false">IF(AND(G783&lt;&gt;"",'Historical Score'!$C$6&lt;&gt;""),IF(G783='Historical Score'!$C$6,1,0),0)</f>
        <v>0</v>
      </c>
      <c r="AR783" s="65" t="n">
        <f aca="false">IF(AND(L783&lt;&gt;"",'Historical Score'!$C$5&lt;&gt;""),IF(L783='Historical Score'!$C$5,1,0),0)</f>
        <v>1</v>
      </c>
      <c r="AS783" s="65" t="n">
        <f aca="false">IF(AND(Y783&lt;&gt;"",'Historical Score'!$C$7&lt;&gt;""),IF(Y783='Historical Score'!$C$7,1,0),0)</f>
        <v>1</v>
      </c>
      <c r="AT783" s="65" t="n">
        <f aca="false">IF(AND(K783&lt;&gt;"",'Historical Score'!$C$8&lt;&gt;""),IF(K783='Historical Score'!$C$8,1,0),0)</f>
        <v>0</v>
      </c>
      <c r="AU783" s="65" t="n">
        <f aca="false">IF(AND(J783&lt;&gt;"",'Historical Score'!$C$9&lt;&gt;""),IF(J783='Historical Score'!$C$9,1,0),0)</f>
        <v>0</v>
      </c>
      <c r="AV783" s="65" t="n">
        <f aca="false">AR783*AS783*AQ783</f>
        <v>0</v>
      </c>
      <c r="AW783" s="65" t="n">
        <f aca="false">AR783*AT783*AQ783</f>
        <v>0</v>
      </c>
      <c r="AX783" s="65" t="n">
        <f aca="false">AR783*AS783</f>
        <v>1</v>
      </c>
      <c r="AY783" s="65" t="n">
        <f aca="false">AR783*AT783</f>
        <v>0</v>
      </c>
      <c r="AZ783" s="65" t="n">
        <f aca="false">AR783*AQ783</f>
        <v>0</v>
      </c>
      <c r="BA783" s="65" t="n">
        <f aca="false">AR783</f>
        <v>1</v>
      </c>
      <c r="BB783" s="65" t="n">
        <f aca="false">1</f>
        <v>1</v>
      </c>
      <c r="BC783" s="65" t="n">
        <f aca="false">IF(AV783=1,1,IF(AW783=1,2,IF(AX783=1,3,IF(AY783=1,4,IF(AZ783=1,5,IF(BA783=1,6,7))))))</f>
        <v>3</v>
      </c>
      <c r="BD783" s="65" t="n">
        <f aca="false">IF(AD783=1,CHOOSE('Historical Score'!$C$29,AV783,AW783,AX783,AY783,AZ783,BA783,BB783),0)</f>
        <v>0</v>
      </c>
      <c r="BE783" s="65" t="str">
        <f aca="false">IF(BD783=1,COUNTIF($BD$2:BD783,1),"")</f>
        <v/>
      </c>
    </row>
    <row r="784" customFormat="false" ht="15" hidden="false" customHeight="false" outlineLevel="0" collapsed="false">
      <c r="A784" s="65" t="s">
        <v>2531</v>
      </c>
      <c r="B784" s="65" t="s">
        <v>2532</v>
      </c>
      <c r="C784" s="65" t="s">
        <v>2533</v>
      </c>
      <c r="D784" s="65" t="s">
        <v>295</v>
      </c>
      <c r="E784" s="112" t="n">
        <v>46121</v>
      </c>
      <c r="F784" s="112" t="n">
        <v>46247</v>
      </c>
      <c r="G784" s="65" t="n">
        <v>3</v>
      </c>
      <c r="H784" s="65" t="s">
        <v>451</v>
      </c>
      <c r="I784" s="65" t="s">
        <v>425</v>
      </c>
      <c r="J784" s="65" t="s">
        <v>61</v>
      </c>
      <c r="K784" s="65" t="s">
        <v>983</v>
      </c>
      <c r="L784" s="65" t="s">
        <v>64</v>
      </c>
      <c r="M784" s="113" t="n">
        <v>1.49</v>
      </c>
      <c r="N784" s="114" t="n">
        <v>20000</v>
      </c>
      <c r="O784" s="114" t="n">
        <v>2800</v>
      </c>
      <c r="P784" s="114" t="n">
        <v>29800</v>
      </c>
      <c r="Q784" s="114" t="n">
        <v>5297.12</v>
      </c>
      <c r="R784" s="114" t="n">
        <v>24502.88</v>
      </c>
      <c r="S784" s="115" t="n">
        <v>0.177755704697987</v>
      </c>
      <c r="T784" s="65" t="n">
        <v>2.951</v>
      </c>
      <c r="U784" s="65" t="n">
        <v>7</v>
      </c>
      <c r="V784" s="65" t="n">
        <v>48000</v>
      </c>
      <c r="W784" s="115" t="n">
        <v>0.1545</v>
      </c>
      <c r="X784" s="112" t="n">
        <v>41091</v>
      </c>
      <c r="Y784" s="65" t="str">
        <f aca="false">IF(I784="","No SIC",IFERROR(VLOOKUP(I784,Ref!$A$2:$B$65,2,FALSE()),"Unclassified"))</f>
        <v>Personal Services</v>
      </c>
      <c r="Z784" s="65" t="str">
        <f aca="false">IF(T784="","",IF(T784&lt;12,"Daily","Weekly"))</f>
        <v>Daily</v>
      </c>
      <c r="AA784" s="65" t="n">
        <f aca="false">IF(T784="",0,IF(T784&lt;12,T784*Controls!$B$29,T784*5))</f>
        <v>63.903905</v>
      </c>
      <c r="AB784" s="65" t="n">
        <f aca="false">IF(E784="",0,NETWORKDAYS(E784,Controls!$B$36,Ref!$K$2:$K$42))</f>
        <v>97</v>
      </c>
      <c r="AC784" s="65" t="n">
        <f aca="false">IF(AND(AA784&gt;0,AB784&gt;=Controls!$B$39*AA784),1,0)</f>
        <v>1</v>
      </c>
      <c r="AD784" s="65" t="n">
        <f aca="false">IF(AND(E784&lt;&gt;"",E784&gt;=Controls!$B$37,E784&lt;=Controls!$B$38),1,0)</f>
        <v>1</v>
      </c>
      <c r="AE784" s="65" t="n">
        <f aca="false">IF(IFERROR(VLOOKUP(D784,Controls!$A$64:$E$74,2,FALSE()),"No")="Yes",1,0)</f>
        <v>0</v>
      </c>
      <c r="AF784" s="65" t="n">
        <f aca="false">IF(IFERROR(VLOOKUP(D784,Controls!$A$64:$E$74,3,FALSE()),"No")="Yes",1,0)</f>
        <v>0</v>
      </c>
      <c r="AG784" s="65" t="n">
        <f aca="false">IF(IFERROR(VLOOKUP(D784,Controls!$A$64:$E$74,4,FALSE()),"No")="Yes",1,0)</f>
        <v>0</v>
      </c>
      <c r="AH784" s="65" t="n">
        <f aca="false">IF(IFERROR(VLOOKUP(D784,Controls!$A$64:$E$74,5,FALSE()),"No")="Yes",1,0)</f>
        <v>1</v>
      </c>
      <c r="AI784" s="65" t="n">
        <f aca="false">IF(ISNUMBER(MATCH(D784,Controls!$A$64:$A$74,0)),1,0)</f>
        <v>1</v>
      </c>
      <c r="AJ784" s="65" t="n">
        <f aca="false">Q784-N784</f>
        <v>-14702.88</v>
      </c>
      <c r="AK784" s="65" t="n">
        <f aca="false">IF(AE784=1,MAX(0,N784-Q784),0)</f>
        <v>0</v>
      </c>
      <c r="AL784" s="65" t="n">
        <f aca="false">IF(OR(V784="",V784=0),0,N784/V784)</f>
        <v>0.416666666666667</v>
      </c>
      <c r="AM784" s="65" t="n">
        <f aca="false">IF(OR(V784="",V784=0),0,1)</f>
        <v>1</v>
      </c>
      <c r="AN784" s="65" t="n">
        <f aca="false">IF(OR(E784="",F784=""),0,NETWORKDAYS(E784,F784,Ref!$K$2:$K$42))</f>
        <v>89</v>
      </c>
      <c r="AO784" s="65" t="n">
        <f aca="false">IF(L784="Renewal",1,0)</f>
        <v>0</v>
      </c>
      <c r="AP784" s="65" t="n">
        <f aca="false">AC784*AD784</f>
        <v>1</v>
      </c>
      <c r="AQ784" s="65" t="n">
        <f aca="false">IF(AND(G784&lt;&gt;"",'Historical Score'!$C$6&lt;&gt;""),IF(G784='Historical Score'!$C$6,1,0),0)</f>
        <v>0</v>
      </c>
      <c r="AR784" s="65" t="n">
        <f aca="false">IF(AND(L784&lt;&gt;"",'Historical Score'!$C$5&lt;&gt;""),IF(L784='Historical Score'!$C$5,1,0),0)</f>
        <v>1</v>
      </c>
      <c r="AS784" s="65" t="n">
        <f aca="false">IF(AND(Y784&lt;&gt;"",'Historical Score'!$C$7&lt;&gt;""),IF(Y784='Historical Score'!$C$7,1,0),0)</f>
        <v>0</v>
      </c>
      <c r="AT784" s="65" t="n">
        <f aca="false">IF(AND(K784&lt;&gt;"",'Historical Score'!$C$8&lt;&gt;""),IF(K784='Historical Score'!$C$8,1,0),0)</f>
        <v>0</v>
      </c>
      <c r="AU784" s="65" t="n">
        <f aca="false">IF(AND(J784&lt;&gt;"",'Historical Score'!$C$9&lt;&gt;""),IF(J784='Historical Score'!$C$9,1,0),0)</f>
        <v>1</v>
      </c>
      <c r="AV784" s="65" t="n">
        <f aca="false">AR784*AS784*AQ784</f>
        <v>0</v>
      </c>
      <c r="AW784" s="65" t="n">
        <f aca="false">AR784*AT784*AQ784</f>
        <v>0</v>
      </c>
      <c r="AX784" s="65" t="n">
        <f aca="false">AR784*AS784</f>
        <v>0</v>
      </c>
      <c r="AY784" s="65" t="n">
        <f aca="false">AR784*AT784</f>
        <v>0</v>
      </c>
      <c r="AZ784" s="65" t="n">
        <f aca="false">AR784*AQ784</f>
        <v>0</v>
      </c>
      <c r="BA784" s="65" t="n">
        <f aca="false">AR784</f>
        <v>1</v>
      </c>
      <c r="BB784" s="65" t="n">
        <f aca="false">1</f>
        <v>1</v>
      </c>
      <c r="BC784" s="65" t="n">
        <f aca="false">IF(AV784=1,1,IF(AW784=1,2,IF(AX784=1,3,IF(AY784=1,4,IF(AZ784=1,5,IF(BA784=1,6,7))))))</f>
        <v>6</v>
      </c>
      <c r="BD784" s="65" t="n">
        <f aca="false">IF(AD784=1,CHOOSE('Historical Score'!$C$29,AV784,AW784,AX784,AY784,AZ784,BA784,BB784),0)</f>
        <v>0</v>
      </c>
      <c r="BE784" s="65" t="str">
        <f aca="false">IF(BD784=1,COUNTIF($BD$2:BD784,1),"")</f>
        <v/>
      </c>
    </row>
    <row r="785" customFormat="false" ht="15" hidden="false" customHeight="false" outlineLevel="0" collapsed="false">
      <c r="A785" s="65" t="s">
        <v>2534</v>
      </c>
      <c r="B785" s="65" t="s">
        <v>2535</v>
      </c>
      <c r="C785" s="65" t="s">
        <v>2535</v>
      </c>
      <c r="D785" s="65" t="s">
        <v>295</v>
      </c>
      <c r="E785" s="112" t="n">
        <v>46121</v>
      </c>
      <c r="F785" s="112" t="n">
        <v>46248</v>
      </c>
      <c r="G785" s="65" t="n">
        <v>3</v>
      </c>
      <c r="H785" s="65" t="s">
        <v>500</v>
      </c>
      <c r="I785" s="65" t="s">
        <v>475</v>
      </c>
      <c r="J785" s="65" t="s">
        <v>671</v>
      </c>
      <c r="K785" s="65" t="s">
        <v>1591</v>
      </c>
      <c r="L785" s="65" t="s">
        <v>64</v>
      </c>
      <c r="M785" s="113" t="n">
        <v>1.49</v>
      </c>
      <c r="N785" s="114" t="n">
        <v>35000</v>
      </c>
      <c r="O785" s="114" t="n">
        <v>4900</v>
      </c>
      <c r="P785" s="114" t="n">
        <v>52150</v>
      </c>
      <c r="Q785" s="114" t="n">
        <v>33542.1</v>
      </c>
      <c r="R785" s="114" t="n">
        <v>18607.9</v>
      </c>
      <c r="S785" s="115" t="n">
        <v>0.643185043144775</v>
      </c>
      <c r="T785" s="65" t="n">
        <v>28</v>
      </c>
      <c r="U785" s="65" t="n">
        <v>0</v>
      </c>
      <c r="V785" s="65" t="n">
        <v>80000</v>
      </c>
      <c r="W785" s="115" t="n">
        <v>0.0909</v>
      </c>
      <c r="X785" s="112" t="n">
        <v>44854</v>
      </c>
      <c r="Y785" s="65" t="str">
        <f aca="false">IF(I785="","No SIC",IFERROR(VLOOKUP(I785,Ref!$A$2:$B$65,2,FALSE()),"Unclassified"))</f>
        <v>Auto Repair &amp; Services</v>
      </c>
      <c r="Z785" s="65" t="str">
        <f aca="false">IF(T785="","",IF(T785&lt;12,"Daily","Weekly"))</f>
        <v>Weekly</v>
      </c>
      <c r="AA785" s="65" t="n">
        <f aca="false">IF(T785="",0,IF(T785&lt;12,T785*Controls!$B$29,T785*5))</f>
        <v>140</v>
      </c>
      <c r="AB785" s="65" t="n">
        <f aca="false">IF(E785="",0,NETWORKDAYS(E785,Controls!$B$36,Ref!$K$2:$K$42))</f>
        <v>97</v>
      </c>
      <c r="AC785" s="65" t="n">
        <f aca="false">IF(AND(AA785&gt;0,AB785&gt;=Controls!$B$39*AA785),1,0)</f>
        <v>0</v>
      </c>
      <c r="AD785" s="65" t="n">
        <f aca="false">IF(AND(E785&lt;&gt;"",E785&gt;=Controls!$B$37,E785&lt;=Controls!$B$38),1,0)</f>
        <v>1</v>
      </c>
      <c r="AE785" s="65" t="n">
        <f aca="false">IF(IFERROR(VLOOKUP(D785,Controls!$A$64:$E$74,2,FALSE()),"No")="Yes",1,0)</f>
        <v>0</v>
      </c>
      <c r="AF785" s="65" t="n">
        <f aca="false">IF(IFERROR(VLOOKUP(D785,Controls!$A$64:$E$74,3,FALSE()),"No")="Yes",1,0)</f>
        <v>0</v>
      </c>
      <c r="AG785" s="65" t="n">
        <f aca="false">IF(IFERROR(VLOOKUP(D785,Controls!$A$64:$E$74,4,FALSE()),"No")="Yes",1,0)</f>
        <v>0</v>
      </c>
      <c r="AH785" s="65" t="n">
        <f aca="false">IF(IFERROR(VLOOKUP(D785,Controls!$A$64:$E$74,5,FALSE()),"No")="Yes",1,0)</f>
        <v>1</v>
      </c>
      <c r="AI785" s="65" t="n">
        <f aca="false">IF(ISNUMBER(MATCH(D785,Controls!$A$64:$A$74,0)),1,0)</f>
        <v>1</v>
      </c>
      <c r="AJ785" s="65" t="n">
        <f aca="false">Q785-N785</f>
        <v>-1457.9</v>
      </c>
      <c r="AK785" s="65" t="n">
        <f aca="false">IF(AE785=1,MAX(0,N785-Q785),0)</f>
        <v>0</v>
      </c>
      <c r="AL785" s="65" t="n">
        <f aca="false">IF(OR(V785="",V785=0),0,N785/V785)</f>
        <v>0.4375</v>
      </c>
      <c r="AM785" s="65" t="n">
        <f aca="false">IF(OR(V785="",V785=0),0,1)</f>
        <v>1</v>
      </c>
      <c r="AN785" s="65" t="n">
        <f aca="false">IF(OR(E785="",F785=""),0,NETWORKDAYS(E785,F785,Ref!$K$2:$K$42))</f>
        <v>90</v>
      </c>
      <c r="AO785" s="65" t="n">
        <f aca="false">IF(L785="Renewal",1,0)</f>
        <v>0</v>
      </c>
      <c r="AP785" s="65" t="n">
        <f aca="false">AC785*AD785</f>
        <v>0</v>
      </c>
      <c r="AQ785" s="65" t="n">
        <f aca="false">IF(AND(G785&lt;&gt;"",'Historical Score'!$C$6&lt;&gt;""),IF(G785='Historical Score'!$C$6,1,0),0)</f>
        <v>0</v>
      </c>
      <c r="AR785" s="65" t="n">
        <f aca="false">IF(AND(L785&lt;&gt;"",'Historical Score'!$C$5&lt;&gt;""),IF(L785='Historical Score'!$C$5,1,0),0)</f>
        <v>1</v>
      </c>
      <c r="AS785" s="65" t="n">
        <f aca="false">IF(AND(Y785&lt;&gt;"",'Historical Score'!$C$7&lt;&gt;""),IF(Y785='Historical Score'!$C$7,1,0),0)</f>
        <v>0</v>
      </c>
      <c r="AT785" s="65" t="n">
        <f aca="false">IF(AND(K785&lt;&gt;"",'Historical Score'!$C$8&lt;&gt;""),IF(K785='Historical Score'!$C$8,1,0),0)</f>
        <v>0</v>
      </c>
      <c r="AU785" s="65" t="n">
        <f aca="false">IF(AND(J785&lt;&gt;"",'Historical Score'!$C$9&lt;&gt;""),IF(J785='Historical Score'!$C$9,1,0),0)</f>
        <v>0</v>
      </c>
      <c r="AV785" s="65" t="n">
        <f aca="false">AR785*AS785*AQ785</f>
        <v>0</v>
      </c>
      <c r="AW785" s="65" t="n">
        <f aca="false">AR785*AT785*AQ785</f>
        <v>0</v>
      </c>
      <c r="AX785" s="65" t="n">
        <f aca="false">AR785*AS785</f>
        <v>0</v>
      </c>
      <c r="AY785" s="65" t="n">
        <f aca="false">AR785*AT785</f>
        <v>0</v>
      </c>
      <c r="AZ785" s="65" t="n">
        <f aca="false">AR785*AQ785</f>
        <v>0</v>
      </c>
      <c r="BA785" s="65" t="n">
        <f aca="false">AR785</f>
        <v>1</v>
      </c>
      <c r="BB785" s="65" t="n">
        <f aca="false">1</f>
        <v>1</v>
      </c>
      <c r="BC785" s="65" t="n">
        <f aca="false">IF(AV785=1,1,IF(AW785=1,2,IF(AX785=1,3,IF(AY785=1,4,IF(AZ785=1,5,IF(BA785=1,6,7))))))</f>
        <v>6</v>
      </c>
      <c r="BD785" s="65" t="n">
        <f aca="false">IF(AD785=1,CHOOSE('Historical Score'!$C$29,AV785,AW785,AX785,AY785,AZ785,BA785,BB785),0)</f>
        <v>0</v>
      </c>
      <c r="BE785" s="65" t="str">
        <f aca="false">IF(BD785=1,COUNTIF($BD$2:BD785,1),"")</f>
        <v/>
      </c>
    </row>
    <row r="786" customFormat="false" ht="15" hidden="false" customHeight="false" outlineLevel="0" collapsed="false">
      <c r="A786" s="65" t="s">
        <v>2536</v>
      </c>
      <c r="B786" s="65" t="s">
        <v>2537</v>
      </c>
      <c r="C786" s="65" t="s">
        <v>2537</v>
      </c>
      <c r="D786" s="65" t="s">
        <v>295</v>
      </c>
      <c r="E786" s="112" t="n">
        <v>46122</v>
      </c>
      <c r="F786" s="112" t="n">
        <v>46253</v>
      </c>
      <c r="G786" s="65" t="n">
        <v>3</v>
      </c>
      <c r="H786" s="65" t="s">
        <v>748</v>
      </c>
      <c r="I786" s="65" t="s">
        <v>619</v>
      </c>
      <c r="J786" s="65" t="s">
        <v>452</v>
      </c>
      <c r="K786" s="65" t="s">
        <v>581</v>
      </c>
      <c r="L786" s="65" t="s">
        <v>64</v>
      </c>
      <c r="M786" s="113" t="n">
        <v>1.46</v>
      </c>
      <c r="N786" s="114" t="n">
        <v>17500</v>
      </c>
      <c r="O786" s="114" t="n">
        <v>2187.5</v>
      </c>
      <c r="P786" s="114" t="n">
        <v>25550</v>
      </c>
      <c r="Q786" s="114" t="n">
        <v>11500.38</v>
      </c>
      <c r="R786" s="114" t="n">
        <v>14049.62</v>
      </c>
      <c r="S786" s="115" t="n">
        <v>0.450112720156556</v>
      </c>
      <c r="T786" s="65" t="n">
        <v>3.934</v>
      </c>
      <c r="U786" s="65" t="n">
        <v>32</v>
      </c>
      <c r="V786" s="65" t="n">
        <v>41680.35</v>
      </c>
      <c r="W786" s="115" t="n">
        <v>0.1073</v>
      </c>
      <c r="X786" s="112" t="n">
        <v>45575</v>
      </c>
      <c r="Y786" s="65" t="str">
        <f aca="false">IF(I786="","No SIC",IFERROR(VLOOKUP(I786,Ref!$A$2:$B$65,2,FALSE()),"Unclassified"))</f>
        <v>Miscellaneous Retail</v>
      </c>
      <c r="Z786" s="65" t="str">
        <f aca="false">IF(T786="","",IF(T786&lt;12,"Daily","Weekly"))</f>
        <v>Daily</v>
      </c>
      <c r="AA786" s="65" t="n">
        <f aca="false">IF(T786="",0,IF(T786&lt;12,T786*Controls!$B$29,T786*5))</f>
        <v>85.19077</v>
      </c>
      <c r="AB786" s="65" t="n">
        <f aca="false">IF(E786="",0,NETWORKDAYS(E786,Controls!$B$36,Ref!$K$2:$K$42))</f>
        <v>96</v>
      </c>
      <c r="AC786" s="65" t="n">
        <f aca="false">IF(AND(AA786&gt;0,AB786&gt;=Controls!$B$39*AA786),1,0)</f>
        <v>0</v>
      </c>
      <c r="AD786" s="65" t="n">
        <f aca="false">IF(AND(E786&lt;&gt;"",E786&gt;=Controls!$B$37,E786&lt;=Controls!$B$38),1,0)</f>
        <v>1</v>
      </c>
      <c r="AE786" s="65" t="n">
        <f aca="false">IF(IFERROR(VLOOKUP(D786,Controls!$A$64:$E$74,2,FALSE()),"No")="Yes",1,0)</f>
        <v>0</v>
      </c>
      <c r="AF786" s="65" t="n">
        <f aca="false">IF(IFERROR(VLOOKUP(D786,Controls!$A$64:$E$74,3,FALSE()),"No")="Yes",1,0)</f>
        <v>0</v>
      </c>
      <c r="AG786" s="65" t="n">
        <f aca="false">IF(IFERROR(VLOOKUP(D786,Controls!$A$64:$E$74,4,FALSE()),"No")="Yes",1,0)</f>
        <v>0</v>
      </c>
      <c r="AH786" s="65" t="n">
        <f aca="false">IF(IFERROR(VLOOKUP(D786,Controls!$A$64:$E$74,5,FALSE()),"No")="Yes",1,0)</f>
        <v>1</v>
      </c>
      <c r="AI786" s="65" t="n">
        <f aca="false">IF(ISNUMBER(MATCH(D786,Controls!$A$64:$A$74,0)),1,0)</f>
        <v>1</v>
      </c>
      <c r="AJ786" s="65" t="n">
        <f aca="false">Q786-N786</f>
        <v>-5999.62</v>
      </c>
      <c r="AK786" s="65" t="n">
        <f aca="false">IF(AE786=1,MAX(0,N786-Q786),0)</f>
        <v>0</v>
      </c>
      <c r="AL786" s="65" t="n">
        <f aca="false">IF(OR(V786="",V786=0),0,N786/V786)</f>
        <v>0.419862117280685</v>
      </c>
      <c r="AM786" s="65" t="n">
        <f aca="false">IF(OR(V786="",V786=0),0,1)</f>
        <v>1</v>
      </c>
      <c r="AN786" s="65" t="n">
        <f aca="false">IF(OR(E786="",F786=""),0,NETWORKDAYS(E786,F786,Ref!$K$2:$K$42))</f>
        <v>92</v>
      </c>
      <c r="AO786" s="65" t="n">
        <f aca="false">IF(L786="Renewal",1,0)</f>
        <v>0</v>
      </c>
      <c r="AP786" s="65" t="n">
        <f aca="false">AC786*AD786</f>
        <v>0</v>
      </c>
      <c r="AQ786" s="65" t="n">
        <f aca="false">IF(AND(G786&lt;&gt;"",'Historical Score'!$C$6&lt;&gt;""),IF(G786='Historical Score'!$C$6,1,0),0)</f>
        <v>0</v>
      </c>
      <c r="AR786" s="65" t="n">
        <f aca="false">IF(AND(L786&lt;&gt;"",'Historical Score'!$C$5&lt;&gt;""),IF(L786='Historical Score'!$C$5,1,0),0)</f>
        <v>1</v>
      </c>
      <c r="AS786" s="65" t="n">
        <f aca="false">IF(AND(Y786&lt;&gt;"",'Historical Score'!$C$7&lt;&gt;""),IF(Y786='Historical Score'!$C$7,1,0),0)</f>
        <v>0</v>
      </c>
      <c r="AT786" s="65" t="n">
        <f aca="false">IF(AND(K786&lt;&gt;"",'Historical Score'!$C$8&lt;&gt;""),IF(K786='Historical Score'!$C$8,1,0),0)</f>
        <v>0</v>
      </c>
      <c r="AU786" s="65" t="n">
        <f aca="false">IF(AND(J786&lt;&gt;"",'Historical Score'!$C$9&lt;&gt;""),IF(J786='Historical Score'!$C$9,1,0),0)</f>
        <v>0</v>
      </c>
      <c r="AV786" s="65" t="n">
        <f aca="false">AR786*AS786*AQ786</f>
        <v>0</v>
      </c>
      <c r="AW786" s="65" t="n">
        <f aca="false">AR786*AT786*AQ786</f>
        <v>0</v>
      </c>
      <c r="AX786" s="65" t="n">
        <f aca="false">AR786*AS786</f>
        <v>0</v>
      </c>
      <c r="AY786" s="65" t="n">
        <f aca="false">AR786*AT786</f>
        <v>0</v>
      </c>
      <c r="AZ786" s="65" t="n">
        <f aca="false">AR786*AQ786</f>
        <v>0</v>
      </c>
      <c r="BA786" s="65" t="n">
        <f aca="false">AR786</f>
        <v>1</v>
      </c>
      <c r="BB786" s="65" t="n">
        <f aca="false">1</f>
        <v>1</v>
      </c>
      <c r="BC786" s="65" t="n">
        <f aca="false">IF(AV786=1,1,IF(AW786=1,2,IF(AX786=1,3,IF(AY786=1,4,IF(AZ786=1,5,IF(BA786=1,6,7))))))</f>
        <v>6</v>
      </c>
      <c r="BD786" s="65" t="n">
        <f aca="false">IF(AD786=1,CHOOSE('Historical Score'!$C$29,AV786,AW786,AX786,AY786,AZ786,BA786,BB786),0)</f>
        <v>0</v>
      </c>
      <c r="BE786" s="65" t="str">
        <f aca="false">IF(BD786=1,COUNTIF($BD$2:BD786,1),"")</f>
        <v/>
      </c>
    </row>
    <row r="787" customFormat="false" ht="15" hidden="false" customHeight="false" outlineLevel="0" collapsed="false">
      <c r="A787" s="65" t="s">
        <v>2538</v>
      </c>
      <c r="B787" s="65" t="s">
        <v>1985</v>
      </c>
      <c r="C787" s="65" t="s">
        <v>1985</v>
      </c>
      <c r="D787" s="65" t="s">
        <v>371</v>
      </c>
      <c r="E787" s="112" t="n">
        <v>46122</v>
      </c>
      <c r="F787" s="112" t="n">
        <v>46213</v>
      </c>
      <c r="G787" s="65" t="n">
        <v>3</v>
      </c>
      <c r="H787" s="65" t="s">
        <v>748</v>
      </c>
      <c r="I787" s="65" t="s">
        <v>619</v>
      </c>
      <c r="J787" s="65" t="s">
        <v>350</v>
      </c>
      <c r="K787" s="65" t="s">
        <v>1120</v>
      </c>
      <c r="L787" s="65" t="s">
        <v>320</v>
      </c>
      <c r="M787" s="113" t="n">
        <v>1.49</v>
      </c>
      <c r="N787" s="114" t="n">
        <v>15000</v>
      </c>
      <c r="O787" s="114" t="n">
        <v>2100</v>
      </c>
      <c r="P787" s="114" t="n">
        <v>22350</v>
      </c>
      <c r="Q787" s="114" t="n">
        <v>22350</v>
      </c>
      <c r="R787" s="114" t="n">
        <v>0</v>
      </c>
      <c r="S787" s="115" t="n">
        <v>1</v>
      </c>
      <c r="T787" s="65" t="n">
        <v>2.951</v>
      </c>
      <c r="U787" s="65" t="n">
        <v>6</v>
      </c>
      <c r="V787" s="65" t="n">
        <v>14538.12</v>
      </c>
      <c r="W787" s="115" t="n">
        <v>0.2037</v>
      </c>
      <c r="X787" s="112" t="n">
        <v>42370</v>
      </c>
      <c r="Y787" s="65" t="str">
        <f aca="false">IF(I787="","No SIC",IFERROR(VLOOKUP(I787,Ref!$A$2:$B$65,2,FALSE()),"Unclassified"))</f>
        <v>Miscellaneous Retail</v>
      </c>
      <c r="Z787" s="65" t="str">
        <f aca="false">IF(T787="","",IF(T787&lt;12,"Daily","Weekly"))</f>
        <v>Daily</v>
      </c>
      <c r="AA787" s="65" t="n">
        <f aca="false">IF(T787="",0,IF(T787&lt;12,T787*Controls!$B$29,T787*5))</f>
        <v>63.903905</v>
      </c>
      <c r="AB787" s="65" t="n">
        <f aca="false">IF(E787="",0,NETWORKDAYS(E787,Controls!$B$36,Ref!$K$2:$K$42))</f>
        <v>96</v>
      </c>
      <c r="AC787" s="65" t="n">
        <f aca="false">IF(AND(AA787&gt;0,AB787&gt;=Controls!$B$39*AA787),1,0)</f>
        <v>1</v>
      </c>
      <c r="AD787" s="65" t="n">
        <f aca="false">IF(AND(E787&lt;&gt;"",E787&gt;=Controls!$B$37,E787&lt;=Controls!$B$38),1,0)</f>
        <v>1</v>
      </c>
      <c r="AE787" s="65" t="n">
        <f aca="false">IF(IFERROR(VLOOKUP(D787,Controls!$A$64:$E$74,2,FALSE()),"No")="Yes",1,0)</f>
        <v>0</v>
      </c>
      <c r="AF787" s="65" t="n">
        <f aca="false">IF(IFERROR(VLOOKUP(D787,Controls!$A$64:$E$74,3,FALSE()),"No")="Yes",1,0)</f>
        <v>1</v>
      </c>
      <c r="AG787" s="65" t="n">
        <f aca="false">IF(IFERROR(VLOOKUP(D787,Controls!$A$64:$E$74,4,FALSE()),"No")="Yes",1,0)</f>
        <v>1</v>
      </c>
      <c r="AH787" s="65" t="n">
        <f aca="false">IF(IFERROR(VLOOKUP(D787,Controls!$A$64:$E$74,5,FALSE()),"No")="Yes",1,0)</f>
        <v>0</v>
      </c>
      <c r="AI787" s="65" t="n">
        <f aca="false">IF(ISNUMBER(MATCH(D787,Controls!$A$64:$A$74,0)),1,0)</f>
        <v>1</v>
      </c>
      <c r="AJ787" s="65" t="n">
        <f aca="false">Q787-N787</f>
        <v>7350</v>
      </c>
      <c r="AK787" s="65" t="n">
        <f aca="false">IF(AE787=1,MAX(0,N787-Q787),0)</f>
        <v>0</v>
      </c>
      <c r="AL787" s="65" t="n">
        <f aca="false">IF(OR(V787="",V787=0),0,N787/V787)</f>
        <v>1.03177027015873</v>
      </c>
      <c r="AM787" s="65" t="n">
        <f aca="false">IF(OR(V787="",V787=0),0,1)</f>
        <v>1</v>
      </c>
      <c r="AN787" s="65" t="n">
        <f aca="false">IF(OR(E787="",F787=""),0,NETWORKDAYS(E787,F787,Ref!$K$2:$K$42))</f>
        <v>64</v>
      </c>
      <c r="AO787" s="65" t="n">
        <f aca="false">IF(L787="Renewal",1,0)</f>
        <v>1</v>
      </c>
      <c r="AP787" s="65" t="n">
        <f aca="false">AC787*AD787</f>
        <v>1</v>
      </c>
      <c r="AQ787" s="65" t="n">
        <f aca="false">IF(AND(G787&lt;&gt;"",'Historical Score'!$C$6&lt;&gt;""),IF(G787='Historical Score'!$C$6,1,0),0)</f>
        <v>0</v>
      </c>
      <c r="AR787" s="65" t="n">
        <f aca="false">IF(AND(L787&lt;&gt;"",'Historical Score'!$C$5&lt;&gt;""),IF(L787='Historical Score'!$C$5,1,0),0)</f>
        <v>0</v>
      </c>
      <c r="AS787" s="65" t="n">
        <f aca="false">IF(AND(Y787&lt;&gt;"",'Historical Score'!$C$7&lt;&gt;""),IF(Y787='Historical Score'!$C$7,1,0),0)</f>
        <v>0</v>
      </c>
      <c r="AT787" s="65" t="n">
        <f aca="false">IF(AND(K787&lt;&gt;"",'Historical Score'!$C$8&lt;&gt;""),IF(K787='Historical Score'!$C$8,1,0),0)</f>
        <v>0</v>
      </c>
      <c r="AU787" s="65" t="n">
        <f aca="false">IF(AND(J787&lt;&gt;"",'Historical Score'!$C$9&lt;&gt;""),IF(J787='Historical Score'!$C$9,1,0),0)</f>
        <v>0</v>
      </c>
      <c r="AV787" s="65" t="n">
        <f aca="false">AR787*AS787*AQ787</f>
        <v>0</v>
      </c>
      <c r="AW787" s="65" t="n">
        <f aca="false">AR787*AT787*AQ787</f>
        <v>0</v>
      </c>
      <c r="AX787" s="65" t="n">
        <f aca="false">AR787*AS787</f>
        <v>0</v>
      </c>
      <c r="AY787" s="65" t="n">
        <f aca="false">AR787*AT787</f>
        <v>0</v>
      </c>
      <c r="AZ787" s="65" t="n">
        <f aca="false">AR787*AQ787</f>
        <v>0</v>
      </c>
      <c r="BA787" s="65" t="n">
        <f aca="false">AR787</f>
        <v>0</v>
      </c>
      <c r="BB787" s="65" t="n">
        <f aca="false">1</f>
        <v>1</v>
      </c>
      <c r="BC787" s="65" t="n">
        <f aca="false">IF(AV787=1,1,IF(AW787=1,2,IF(AX787=1,3,IF(AY787=1,4,IF(AZ787=1,5,IF(BA787=1,6,7))))))</f>
        <v>7</v>
      </c>
      <c r="BD787" s="65" t="n">
        <f aca="false">IF(AD787=1,CHOOSE('Historical Score'!$C$29,AV787,AW787,AX787,AY787,AZ787,BA787,BB787),0)</f>
        <v>0</v>
      </c>
      <c r="BE787" s="65" t="str">
        <f aca="false">IF(BD787=1,COUNTIF($BD$2:BD787,1),"")</f>
        <v/>
      </c>
    </row>
    <row r="788" customFormat="false" ht="15" hidden="false" customHeight="false" outlineLevel="0" collapsed="false">
      <c r="A788" s="65" t="s">
        <v>2539</v>
      </c>
      <c r="B788" s="65" t="s">
        <v>1910</v>
      </c>
      <c r="C788" s="65" t="s">
        <v>1910</v>
      </c>
      <c r="D788" s="65" t="s">
        <v>295</v>
      </c>
      <c r="E788" s="112" t="n">
        <v>46122</v>
      </c>
      <c r="F788" s="112" t="n">
        <v>46247</v>
      </c>
      <c r="G788" s="65" t="n">
        <v>3</v>
      </c>
      <c r="H788" s="65" t="s">
        <v>436</v>
      </c>
      <c r="I788" s="65" t="s">
        <v>437</v>
      </c>
      <c r="J788" s="65" t="s">
        <v>373</v>
      </c>
      <c r="K788" s="65" t="s">
        <v>983</v>
      </c>
      <c r="L788" s="65" t="s">
        <v>320</v>
      </c>
      <c r="M788" s="113" t="n">
        <v>1.49</v>
      </c>
      <c r="N788" s="114" t="n">
        <v>25000</v>
      </c>
      <c r="O788" s="114" t="n">
        <v>3500</v>
      </c>
      <c r="P788" s="114" t="n">
        <v>37250</v>
      </c>
      <c r="Q788" s="114" t="n">
        <v>15410.64</v>
      </c>
      <c r="R788" s="114" t="n">
        <v>21839.36</v>
      </c>
      <c r="S788" s="115" t="n">
        <v>0.413708456375839</v>
      </c>
      <c r="T788" s="65" t="n">
        <v>3.934</v>
      </c>
      <c r="U788" s="65" t="n">
        <v>5</v>
      </c>
      <c r="V788" s="65" t="n">
        <v>43810.35</v>
      </c>
      <c r="W788" s="115" t="n">
        <v>0.1488</v>
      </c>
      <c r="X788" s="112" t="n">
        <v>43621</v>
      </c>
      <c r="Y788" s="65" t="str">
        <f aca="false">IF(I788="","No SIC",IFERROR(VLOOKUP(I788,Ref!$A$2:$B$65,2,FALSE()),"Unclassified"))</f>
        <v>Social Services</v>
      </c>
      <c r="Z788" s="65" t="str">
        <f aca="false">IF(T788="","",IF(T788&lt;12,"Daily","Weekly"))</f>
        <v>Daily</v>
      </c>
      <c r="AA788" s="65" t="n">
        <f aca="false">IF(T788="",0,IF(T788&lt;12,T788*Controls!$B$29,T788*5))</f>
        <v>85.19077</v>
      </c>
      <c r="AB788" s="65" t="n">
        <f aca="false">IF(E788="",0,NETWORKDAYS(E788,Controls!$B$36,Ref!$K$2:$K$42))</f>
        <v>96</v>
      </c>
      <c r="AC788" s="65" t="n">
        <f aca="false">IF(AND(AA788&gt;0,AB788&gt;=Controls!$B$39*AA788),1,0)</f>
        <v>0</v>
      </c>
      <c r="AD788" s="65" t="n">
        <f aca="false">IF(AND(E788&lt;&gt;"",E788&gt;=Controls!$B$37,E788&lt;=Controls!$B$38),1,0)</f>
        <v>1</v>
      </c>
      <c r="AE788" s="65" t="n">
        <f aca="false">IF(IFERROR(VLOOKUP(D788,Controls!$A$64:$E$74,2,FALSE()),"No")="Yes",1,0)</f>
        <v>0</v>
      </c>
      <c r="AF788" s="65" t="n">
        <f aca="false">IF(IFERROR(VLOOKUP(D788,Controls!$A$64:$E$74,3,FALSE()),"No")="Yes",1,0)</f>
        <v>0</v>
      </c>
      <c r="AG788" s="65" t="n">
        <f aca="false">IF(IFERROR(VLOOKUP(D788,Controls!$A$64:$E$74,4,FALSE()),"No")="Yes",1,0)</f>
        <v>0</v>
      </c>
      <c r="AH788" s="65" t="n">
        <f aca="false">IF(IFERROR(VLOOKUP(D788,Controls!$A$64:$E$74,5,FALSE()),"No")="Yes",1,0)</f>
        <v>1</v>
      </c>
      <c r="AI788" s="65" t="n">
        <f aca="false">IF(ISNUMBER(MATCH(D788,Controls!$A$64:$A$74,0)),1,0)</f>
        <v>1</v>
      </c>
      <c r="AJ788" s="65" t="n">
        <f aca="false">Q788-N788</f>
        <v>-9589.36</v>
      </c>
      <c r="AK788" s="65" t="n">
        <f aca="false">IF(AE788=1,MAX(0,N788-Q788),0)</f>
        <v>0</v>
      </c>
      <c r="AL788" s="65" t="n">
        <f aca="false">IF(OR(V788="",V788=0),0,N788/V788)</f>
        <v>0.570641412360321</v>
      </c>
      <c r="AM788" s="65" t="n">
        <f aca="false">IF(OR(V788="",V788=0),0,1)</f>
        <v>1</v>
      </c>
      <c r="AN788" s="65" t="n">
        <f aca="false">IF(OR(E788="",F788=""),0,NETWORKDAYS(E788,F788,Ref!$K$2:$K$42))</f>
        <v>88</v>
      </c>
      <c r="AO788" s="65" t="n">
        <f aca="false">IF(L788="Renewal",1,0)</f>
        <v>1</v>
      </c>
      <c r="AP788" s="65" t="n">
        <f aca="false">AC788*AD788</f>
        <v>0</v>
      </c>
      <c r="AQ788" s="65" t="n">
        <f aca="false">IF(AND(G788&lt;&gt;"",'Historical Score'!$C$6&lt;&gt;""),IF(G788='Historical Score'!$C$6,1,0),0)</f>
        <v>0</v>
      </c>
      <c r="AR788" s="65" t="n">
        <f aca="false">IF(AND(L788&lt;&gt;"",'Historical Score'!$C$5&lt;&gt;""),IF(L788='Historical Score'!$C$5,1,0),0)</f>
        <v>0</v>
      </c>
      <c r="AS788" s="65" t="n">
        <f aca="false">IF(AND(Y788&lt;&gt;"",'Historical Score'!$C$7&lt;&gt;""),IF(Y788='Historical Score'!$C$7,1,0),0)</f>
        <v>0</v>
      </c>
      <c r="AT788" s="65" t="n">
        <f aca="false">IF(AND(K788&lt;&gt;"",'Historical Score'!$C$8&lt;&gt;""),IF(K788='Historical Score'!$C$8,1,0),0)</f>
        <v>0</v>
      </c>
      <c r="AU788" s="65" t="n">
        <f aca="false">IF(AND(J788&lt;&gt;"",'Historical Score'!$C$9&lt;&gt;""),IF(J788='Historical Score'!$C$9,1,0),0)</f>
        <v>0</v>
      </c>
      <c r="AV788" s="65" t="n">
        <f aca="false">AR788*AS788*AQ788</f>
        <v>0</v>
      </c>
      <c r="AW788" s="65" t="n">
        <f aca="false">AR788*AT788*AQ788</f>
        <v>0</v>
      </c>
      <c r="AX788" s="65" t="n">
        <f aca="false">AR788*AS788</f>
        <v>0</v>
      </c>
      <c r="AY788" s="65" t="n">
        <f aca="false">AR788*AT788</f>
        <v>0</v>
      </c>
      <c r="AZ788" s="65" t="n">
        <f aca="false">AR788*AQ788</f>
        <v>0</v>
      </c>
      <c r="BA788" s="65" t="n">
        <f aca="false">AR788</f>
        <v>0</v>
      </c>
      <c r="BB788" s="65" t="n">
        <f aca="false">1</f>
        <v>1</v>
      </c>
      <c r="BC788" s="65" t="n">
        <f aca="false">IF(AV788=1,1,IF(AW788=1,2,IF(AX788=1,3,IF(AY788=1,4,IF(AZ788=1,5,IF(BA788=1,6,7))))))</f>
        <v>7</v>
      </c>
      <c r="BD788" s="65" t="n">
        <f aca="false">IF(AD788=1,CHOOSE('Historical Score'!$C$29,AV788,AW788,AX788,AY788,AZ788,BA788,BB788),0)</f>
        <v>0</v>
      </c>
      <c r="BE788" s="65" t="str">
        <f aca="false">IF(BD788=1,COUNTIF($BD$2:BD788,1),"")</f>
        <v/>
      </c>
    </row>
    <row r="789" customFormat="false" ht="15" hidden="false" customHeight="false" outlineLevel="0" collapsed="false">
      <c r="A789" s="65" t="s">
        <v>2540</v>
      </c>
      <c r="B789" s="65" t="s">
        <v>2541</v>
      </c>
      <c r="C789" s="65" t="s">
        <v>2541</v>
      </c>
      <c r="D789" s="65" t="s">
        <v>295</v>
      </c>
      <c r="E789" s="112" t="n">
        <v>46125</v>
      </c>
      <c r="F789" s="112" t="n">
        <v>46248</v>
      </c>
      <c r="G789" s="65" t="n">
        <v>3</v>
      </c>
      <c r="H789" s="65" t="s">
        <v>628</v>
      </c>
      <c r="I789" s="65" t="s">
        <v>629</v>
      </c>
      <c r="J789" s="65" t="s">
        <v>638</v>
      </c>
      <c r="K789" s="65" t="s">
        <v>55</v>
      </c>
      <c r="L789" s="65" t="s">
        <v>64</v>
      </c>
      <c r="M789" s="113" t="n">
        <v>1.49</v>
      </c>
      <c r="N789" s="114" t="n">
        <v>20000</v>
      </c>
      <c r="O789" s="114" t="n">
        <v>2800</v>
      </c>
      <c r="P789" s="114" t="n">
        <v>29800</v>
      </c>
      <c r="Q789" s="114" t="n">
        <v>15608.43</v>
      </c>
      <c r="R789" s="114" t="n">
        <v>14191.57</v>
      </c>
      <c r="S789" s="115" t="n">
        <v>0.523772818791946</v>
      </c>
      <c r="T789" s="65" t="n">
        <v>24</v>
      </c>
      <c r="U789" s="65" t="n">
        <v>1</v>
      </c>
      <c r="V789" s="65" t="n">
        <v>124047.57</v>
      </c>
      <c r="W789" s="115" t="n">
        <v>0.2089</v>
      </c>
      <c r="X789" s="112" t="n">
        <v>43160</v>
      </c>
      <c r="Y789" s="65" t="str">
        <f aca="false">IF(I789="","No SIC",IFERROR(VLOOKUP(I789,Ref!$A$2:$B$65,2,FALSE()),"Unclassified"))</f>
        <v>Hotels &amp; Lodging</v>
      </c>
      <c r="Z789" s="65" t="str">
        <f aca="false">IF(T789="","",IF(T789&lt;12,"Daily","Weekly"))</f>
        <v>Weekly</v>
      </c>
      <c r="AA789" s="65" t="n">
        <f aca="false">IF(T789="",0,IF(T789&lt;12,T789*Controls!$B$29,T789*5))</f>
        <v>120</v>
      </c>
      <c r="AB789" s="65" t="n">
        <f aca="false">IF(E789="",0,NETWORKDAYS(E789,Controls!$B$36,Ref!$K$2:$K$42))</f>
        <v>95</v>
      </c>
      <c r="AC789" s="65" t="n">
        <f aca="false">IF(AND(AA789&gt;0,AB789&gt;=Controls!$B$39*AA789),1,0)</f>
        <v>0</v>
      </c>
      <c r="AD789" s="65" t="n">
        <f aca="false">IF(AND(E789&lt;&gt;"",E789&gt;=Controls!$B$37,E789&lt;=Controls!$B$38),1,0)</f>
        <v>1</v>
      </c>
      <c r="AE789" s="65" t="n">
        <f aca="false">IF(IFERROR(VLOOKUP(D789,Controls!$A$64:$E$74,2,FALSE()),"No")="Yes",1,0)</f>
        <v>0</v>
      </c>
      <c r="AF789" s="65" t="n">
        <f aca="false">IF(IFERROR(VLOOKUP(D789,Controls!$A$64:$E$74,3,FALSE()),"No")="Yes",1,0)</f>
        <v>0</v>
      </c>
      <c r="AG789" s="65" t="n">
        <f aca="false">IF(IFERROR(VLOOKUP(D789,Controls!$A$64:$E$74,4,FALSE()),"No")="Yes",1,0)</f>
        <v>0</v>
      </c>
      <c r="AH789" s="65" t="n">
        <f aca="false">IF(IFERROR(VLOOKUP(D789,Controls!$A$64:$E$74,5,FALSE()),"No")="Yes",1,0)</f>
        <v>1</v>
      </c>
      <c r="AI789" s="65" t="n">
        <f aca="false">IF(ISNUMBER(MATCH(D789,Controls!$A$64:$A$74,0)),1,0)</f>
        <v>1</v>
      </c>
      <c r="AJ789" s="65" t="n">
        <f aca="false">Q789-N789</f>
        <v>-4391.57</v>
      </c>
      <c r="AK789" s="65" t="n">
        <f aca="false">IF(AE789=1,MAX(0,N789-Q789),0)</f>
        <v>0</v>
      </c>
      <c r="AL789" s="65" t="n">
        <f aca="false">IF(OR(V789="",V789=0),0,N789/V789)</f>
        <v>0.161228470658474</v>
      </c>
      <c r="AM789" s="65" t="n">
        <f aca="false">IF(OR(V789="",V789=0),0,1)</f>
        <v>1</v>
      </c>
      <c r="AN789" s="65" t="n">
        <f aca="false">IF(OR(E789="",F789=""),0,NETWORKDAYS(E789,F789,Ref!$K$2:$K$42))</f>
        <v>88</v>
      </c>
      <c r="AO789" s="65" t="n">
        <f aca="false">IF(L789="Renewal",1,0)</f>
        <v>0</v>
      </c>
      <c r="AP789" s="65" t="n">
        <f aca="false">AC789*AD789</f>
        <v>0</v>
      </c>
      <c r="AQ789" s="65" t="n">
        <f aca="false">IF(AND(G789&lt;&gt;"",'Historical Score'!$C$6&lt;&gt;""),IF(G789='Historical Score'!$C$6,1,0),0)</f>
        <v>0</v>
      </c>
      <c r="AR789" s="65" t="n">
        <f aca="false">IF(AND(L789&lt;&gt;"",'Historical Score'!$C$5&lt;&gt;""),IF(L789='Historical Score'!$C$5,1,0),0)</f>
        <v>1</v>
      </c>
      <c r="AS789" s="65" t="n">
        <f aca="false">IF(AND(Y789&lt;&gt;"",'Historical Score'!$C$7&lt;&gt;""),IF(Y789='Historical Score'!$C$7,1,0),0)</f>
        <v>0</v>
      </c>
      <c r="AT789" s="65" t="n">
        <f aca="false">IF(AND(K789&lt;&gt;"",'Historical Score'!$C$8&lt;&gt;""),IF(K789='Historical Score'!$C$8,1,0),0)</f>
        <v>1</v>
      </c>
      <c r="AU789" s="65" t="n">
        <f aca="false">IF(AND(J789&lt;&gt;"",'Historical Score'!$C$9&lt;&gt;""),IF(J789='Historical Score'!$C$9,1,0),0)</f>
        <v>0</v>
      </c>
      <c r="AV789" s="65" t="n">
        <f aca="false">AR789*AS789*AQ789</f>
        <v>0</v>
      </c>
      <c r="AW789" s="65" t="n">
        <f aca="false">AR789*AT789*AQ789</f>
        <v>0</v>
      </c>
      <c r="AX789" s="65" t="n">
        <f aca="false">AR789*AS789</f>
        <v>0</v>
      </c>
      <c r="AY789" s="65" t="n">
        <f aca="false">AR789*AT789</f>
        <v>1</v>
      </c>
      <c r="AZ789" s="65" t="n">
        <f aca="false">AR789*AQ789</f>
        <v>0</v>
      </c>
      <c r="BA789" s="65" t="n">
        <f aca="false">AR789</f>
        <v>1</v>
      </c>
      <c r="BB789" s="65" t="n">
        <f aca="false">1</f>
        <v>1</v>
      </c>
      <c r="BC789" s="65" t="n">
        <f aca="false">IF(AV789=1,1,IF(AW789=1,2,IF(AX789=1,3,IF(AY789=1,4,IF(AZ789=1,5,IF(BA789=1,6,7))))))</f>
        <v>4</v>
      </c>
      <c r="BD789" s="65" t="n">
        <f aca="false">IF(AD789=1,CHOOSE('Historical Score'!$C$29,AV789,AW789,AX789,AY789,AZ789,BA789,BB789),0)</f>
        <v>0</v>
      </c>
      <c r="BE789" s="65" t="str">
        <f aca="false">IF(BD789=1,COUNTIF($BD$2:BD789,1),"")</f>
        <v/>
      </c>
    </row>
    <row r="790" customFormat="false" ht="15" hidden="false" customHeight="false" outlineLevel="0" collapsed="false">
      <c r="A790" s="65" t="s">
        <v>2542</v>
      </c>
      <c r="B790" s="65" t="s">
        <v>2543</v>
      </c>
      <c r="C790" s="65" t="s">
        <v>2543</v>
      </c>
      <c r="D790" s="65" t="s">
        <v>295</v>
      </c>
      <c r="E790" s="112" t="n">
        <v>46126</v>
      </c>
      <c r="F790" s="112" t="n">
        <v>46253</v>
      </c>
      <c r="G790" s="65" t="n">
        <v>3</v>
      </c>
      <c r="H790" s="65" t="s">
        <v>572</v>
      </c>
      <c r="I790" s="65" t="s">
        <v>419</v>
      </c>
      <c r="J790" s="65" t="s">
        <v>1977</v>
      </c>
      <c r="K790" s="65" t="s">
        <v>672</v>
      </c>
      <c r="L790" s="65" t="s">
        <v>64</v>
      </c>
      <c r="M790" s="113" t="n">
        <v>1.49</v>
      </c>
      <c r="N790" s="114" t="n">
        <v>10000</v>
      </c>
      <c r="O790" s="114" t="n">
        <v>1400</v>
      </c>
      <c r="P790" s="114" t="n">
        <v>14900</v>
      </c>
      <c r="Q790" s="114" t="n">
        <v>13409.1</v>
      </c>
      <c r="R790" s="114" t="n">
        <v>1490.9</v>
      </c>
      <c r="S790" s="115" t="n">
        <v>0.899939597315436</v>
      </c>
      <c r="T790" s="65" t="n">
        <v>3.279</v>
      </c>
      <c r="U790" s="65" t="n">
        <v>0</v>
      </c>
      <c r="V790" s="65" t="n">
        <v>22590.58</v>
      </c>
      <c r="W790" s="115" t="n">
        <v>0.1385</v>
      </c>
      <c r="X790" s="112" t="n">
        <v>39569</v>
      </c>
      <c r="Y790" s="65" t="str">
        <f aca="false">IF(I790="","No SIC",IFERROR(VLOOKUP(I790,Ref!$A$2:$B$65,2,FALSE()),"Unclassified"))</f>
        <v>Business Services</v>
      </c>
      <c r="Z790" s="65" t="str">
        <f aca="false">IF(T790="","",IF(T790&lt;12,"Daily","Weekly"))</f>
        <v>Daily</v>
      </c>
      <c r="AA790" s="65" t="n">
        <f aca="false">IF(T790="",0,IF(T790&lt;12,T790*Controls!$B$29,T790*5))</f>
        <v>71.006745</v>
      </c>
      <c r="AB790" s="65" t="n">
        <f aca="false">IF(E790="",0,NETWORKDAYS(E790,Controls!$B$36,Ref!$K$2:$K$42))</f>
        <v>94</v>
      </c>
      <c r="AC790" s="65" t="n">
        <f aca="false">IF(AND(AA790&gt;0,AB790&gt;=Controls!$B$39*AA790),1,0)</f>
        <v>1</v>
      </c>
      <c r="AD790" s="65" t="n">
        <f aca="false">IF(AND(E790&lt;&gt;"",E790&gt;=Controls!$B$37,E790&lt;=Controls!$B$38),1,0)</f>
        <v>1</v>
      </c>
      <c r="AE790" s="65" t="n">
        <f aca="false">IF(IFERROR(VLOOKUP(D790,Controls!$A$64:$E$74,2,FALSE()),"No")="Yes",1,0)</f>
        <v>0</v>
      </c>
      <c r="AF790" s="65" t="n">
        <f aca="false">IF(IFERROR(VLOOKUP(D790,Controls!$A$64:$E$74,3,FALSE()),"No")="Yes",1,0)</f>
        <v>0</v>
      </c>
      <c r="AG790" s="65" t="n">
        <f aca="false">IF(IFERROR(VLOOKUP(D790,Controls!$A$64:$E$74,4,FALSE()),"No")="Yes",1,0)</f>
        <v>0</v>
      </c>
      <c r="AH790" s="65" t="n">
        <f aca="false">IF(IFERROR(VLOOKUP(D790,Controls!$A$64:$E$74,5,FALSE()),"No")="Yes",1,0)</f>
        <v>1</v>
      </c>
      <c r="AI790" s="65" t="n">
        <f aca="false">IF(ISNUMBER(MATCH(D790,Controls!$A$64:$A$74,0)),1,0)</f>
        <v>1</v>
      </c>
      <c r="AJ790" s="65" t="n">
        <f aca="false">Q790-N790</f>
        <v>3409.1</v>
      </c>
      <c r="AK790" s="65" t="n">
        <f aca="false">IF(AE790=1,MAX(0,N790-Q790),0)</f>
        <v>0</v>
      </c>
      <c r="AL790" s="65" t="n">
        <f aca="false">IF(OR(V790="",V790=0),0,N790/V790)</f>
        <v>0.442662384055655</v>
      </c>
      <c r="AM790" s="65" t="n">
        <f aca="false">IF(OR(V790="",V790=0),0,1)</f>
        <v>1</v>
      </c>
      <c r="AN790" s="65" t="n">
        <f aca="false">IF(OR(E790="",F790=""),0,NETWORKDAYS(E790,F790,Ref!$K$2:$K$42))</f>
        <v>90</v>
      </c>
      <c r="AO790" s="65" t="n">
        <f aca="false">IF(L790="Renewal",1,0)</f>
        <v>0</v>
      </c>
      <c r="AP790" s="65" t="n">
        <f aca="false">AC790*AD790</f>
        <v>1</v>
      </c>
      <c r="AQ790" s="65" t="n">
        <f aca="false">IF(AND(G790&lt;&gt;"",'Historical Score'!$C$6&lt;&gt;""),IF(G790='Historical Score'!$C$6,1,0),0)</f>
        <v>0</v>
      </c>
      <c r="AR790" s="65" t="n">
        <f aca="false">IF(AND(L790&lt;&gt;"",'Historical Score'!$C$5&lt;&gt;""),IF(L790='Historical Score'!$C$5,1,0),0)</f>
        <v>1</v>
      </c>
      <c r="AS790" s="65" t="n">
        <f aca="false">IF(AND(Y790&lt;&gt;"",'Historical Score'!$C$7&lt;&gt;""),IF(Y790='Historical Score'!$C$7,1,0),0)</f>
        <v>0</v>
      </c>
      <c r="AT790" s="65" t="n">
        <f aca="false">IF(AND(K790&lt;&gt;"",'Historical Score'!$C$8&lt;&gt;""),IF(K790='Historical Score'!$C$8,1,0),0)</f>
        <v>0</v>
      </c>
      <c r="AU790" s="65" t="n">
        <f aca="false">IF(AND(J790&lt;&gt;"",'Historical Score'!$C$9&lt;&gt;""),IF(J790='Historical Score'!$C$9,1,0),0)</f>
        <v>0</v>
      </c>
      <c r="AV790" s="65" t="n">
        <f aca="false">AR790*AS790*AQ790</f>
        <v>0</v>
      </c>
      <c r="AW790" s="65" t="n">
        <f aca="false">AR790*AT790*AQ790</f>
        <v>0</v>
      </c>
      <c r="AX790" s="65" t="n">
        <f aca="false">AR790*AS790</f>
        <v>0</v>
      </c>
      <c r="AY790" s="65" t="n">
        <f aca="false">AR790*AT790</f>
        <v>0</v>
      </c>
      <c r="AZ790" s="65" t="n">
        <f aca="false">AR790*AQ790</f>
        <v>0</v>
      </c>
      <c r="BA790" s="65" t="n">
        <f aca="false">AR790</f>
        <v>1</v>
      </c>
      <c r="BB790" s="65" t="n">
        <f aca="false">1</f>
        <v>1</v>
      </c>
      <c r="BC790" s="65" t="n">
        <f aca="false">IF(AV790=1,1,IF(AW790=1,2,IF(AX790=1,3,IF(AY790=1,4,IF(AZ790=1,5,IF(BA790=1,6,7))))))</f>
        <v>6</v>
      </c>
      <c r="BD790" s="65" t="n">
        <f aca="false">IF(AD790=1,CHOOSE('Historical Score'!$C$29,AV790,AW790,AX790,AY790,AZ790,BA790,BB790),0)</f>
        <v>0</v>
      </c>
      <c r="BE790" s="65" t="str">
        <f aca="false">IF(BD790=1,COUNTIF($BD$2:BD790,1),"")</f>
        <v/>
      </c>
    </row>
    <row r="791" customFormat="false" ht="15" hidden="false" customHeight="false" outlineLevel="0" collapsed="false">
      <c r="A791" s="65" t="s">
        <v>2544</v>
      </c>
      <c r="B791" s="65" t="s">
        <v>2545</v>
      </c>
      <c r="C791" s="65" t="s">
        <v>2545</v>
      </c>
      <c r="D791" s="65" t="s">
        <v>371</v>
      </c>
      <c r="E791" s="112" t="n">
        <v>46126</v>
      </c>
      <c r="F791" s="112" t="n">
        <v>46188</v>
      </c>
      <c r="G791" s="65" t="n">
        <v>3</v>
      </c>
      <c r="H791" s="65" t="s">
        <v>372</v>
      </c>
      <c r="I791" s="65" t="s">
        <v>367</v>
      </c>
      <c r="J791" s="65" t="s">
        <v>350</v>
      </c>
      <c r="K791" s="65" t="s">
        <v>1999</v>
      </c>
      <c r="L791" s="65" t="s">
        <v>64</v>
      </c>
      <c r="M791" s="113" t="n">
        <v>1.4</v>
      </c>
      <c r="N791" s="114" t="n">
        <v>20000</v>
      </c>
      <c r="O791" s="114" t="n">
        <v>1900</v>
      </c>
      <c r="P791" s="114" t="n">
        <v>28000</v>
      </c>
      <c r="Q791" s="114" t="n">
        <v>28000</v>
      </c>
      <c r="R791" s="114" t="n">
        <v>0</v>
      </c>
      <c r="S791" s="115" t="n">
        <v>1</v>
      </c>
      <c r="T791" s="65" t="n">
        <v>24</v>
      </c>
      <c r="U791" s="65" t="n">
        <v>0</v>
      </c>
      <c r="V791" s="65" t="n">
        <v>235136.27</v>
      </c>
      <c r="W791" s="115" t="n">
        <v>0.0198</v>
      </c>
      <c r="X791" s="112" t="n">
        <v>44761</v>
      </c>
      <c r="Y791" s="65" t="str">
        <f aca="false">IF(I791="","No SIC",IFERROR(VLOOKUP(I791,Ref!$A$2:$B$65,2,FALSE()),"Unclassified"))</f>
        <v>Engineering, Accounting &amp; Management</v>
      </c>
      <c r="Z791" s="65" t="str">
        <f aca="false">IF(T791="","",IF(T791&lt;12,"Daily","Weekly"))</f>
        <v>Weekly</v>
      </c>
      <c r="AA791" s="65" t="n">
        <f aca="false">IF(T791="",0,IF(T791&lt;12,T791*Controls!$B$29,T791*5))</f>
        <v>120</v>
      </c>
      <c r="AB791" s="65" t="n">
        <f aca="false">IF(E791="",0,NETWORKDAYS(E791,Controls!$B$36,Ref!$K$2:$K$42))</f>
        <v>94</v>
      </c>
      <c r="AC791" s="65" t="n">
        <f aca="false">IF(AND(AA791&gt;0,AB791&gt;=Controls!$B$39*AA791),1,0)</f>
        <v>0</v>
      </c>
      <c r="AD791" s="65" t="n">
        <f aca="false">IF(AND(E791&lt;&gt;"",E791&gt;=Controls!$B$37,E791&lt;=Controls!$B$38),1,0)</f>
        <v>1</v>
      </c>
      <c r="AE791" s="65" t="n">
        <f aca="false">IF(IFERROR(VLOOKUP(D791,Controls!$A$64:$E$74,2,FALSE()),"No")="Yes",1,0)</f>
        <v>0</v>
      </c>
      <c r="AF791" s="65" t="n">
        <f aca="false">IF(IFERROR(VLOOKUP(D791,Controls!$A$64:$E$74,3,FALSE()),"No")="Yes",1,0)</f>
        <v>1</v>
      </c>
      <c r="AG791" s="65" t="n">
        <f aca="false">IF(IFERROR(VLOOKUP(D791,Controls!$A$64:$E$74,4,FALSE()),"No")="Yes",1,0)</f>
        <v>1</v>
      </c>
      <c r="AH791" s="65" t="n">
        <f aca="false">IF(IFERROR(VLOOKUP(D791,Controls!$A$64:$E$74,5,FALSE()),"No")="Yes",1,0)</f>
        <v>0</v>
      </c>
      <c r="AI791" s="65" t="n">
        <f aca="false">IF(ISNUMBER(MATCH(D791,Controls!$A$64:$A$74,0)),1,0)</f>
        <v>1</v>
      </c>
      <c r="AJ791" s="65" t="n">
        <f aca="false">Q791-N791</f>
        <v>8000</v>
      </c>
      <c r="AK791" s="65" t="n">
        <f aca="false">IF(AE791=1,MAX(0,N791-Q791),0)</f>
        <v>0</v>
      </c>
      <c r="AL791" s="65" t="n">
        <f aca="false">IF(OR(V791="",V791=0),0,N791/V791)</f>
        <v>0.0850570607418413</v>
      </c>
      <c r="AM791" s="65" t="n">
        <f aca="false">IF(OR(V791="",V791=0),0,1)</f>
        <v>1</v>
      </c>
      <c r="AN791" s="65" t="n">
        <f aca="false">IF(OR(E791="",F791=""),0,NETWORKDAYS(E791,F791,Ref!$K$2:$K$42))</f>
        <v>44</v>
      </c>
      <c r="AO791" s="65" t="n">
        <f aca="false">IF(L791="Renewal",1,0)</f>
        <v>0</v>
      </c>
      <c r="AP791" s="65" t="n">
        <f aca="false">AC791*AD791</f>
        <v>0</v>
      </c>
      <c r="AQ791" s="65" t="n">
        <f aca="false">IF(AND(G791&lt;&gt;"",'Historical Score'!$C$6&lt;&gt;""),IF(G791='Historical Score'!$C$6,1,0),0)</f>
        <v>0</v>
      </c>
      <c r="AR791" s="65" t="n">
        <f aca="false">IF(AND(L791&lt;&gt;"",'Historical Score'!$C$5&lt;&gt;""),IF(L791='Historical Score'!$C$5,1,0),0)</f>
        <v>1</v>
      </c>
      <c r="AS791" s="65" t="n">
        <f aca="false">IF(AND(Y791&lt;&gt;"",'Historical Score'!$C$7&lt;&gt;""),IF(Y791='Historical Score'!$C$7,1,0),0)</f>
        <v>0</v>
      </c>
      <c r="AT791" s="65" t="n">
        <f aca="false">IF(AND(K791&lt;&gt;"",'Historical Score'!$C$8&lt;&gt;""),IF(K791='Historical Score'!$C$8,1,0),0)</f>
        <v>0</v>
      </c>
      <c r="AU791" s="65" t="n">
        <f aca="false">IF(AND(J791&lt;&gt;"",'Historical Score'!$C$9&lt;&gt;""),IF(J791='Historical Score'!$C$9,1,0),0)</f>
        <v>0</v>
      </c>
      <c r="AV791" s="65" t="n">
        <f aca="false">AR791*AS791*AQ791</f>
        <v>0</v>
      </c>
      <c r="AW791" s="65" t="n">
        <f aca="false">AR791*AT791*AQ791</f>
        <v>0</v>
      </c>
      <c r="AX791" s="65" t="n">
        <f aca="false">AR791*AS791</f>
        <v>0</v>
      </c>
      <c r="AY791" s="65" t="n">
        <f aca="false">AR791*AT791</f>
        <v>0</v>
      </c>
      <c r="AZ791" s="65" t="n">
        <f aca="false">AR791*AQ791</f>
        <v>0</v>
      </c>
      <c r="BA791" s="65" t="n">
        <f aca="false">AR791</f>
        <v>1</v>
      </c>
      <c r="BB791" s="65" t="n">
        <f aca="false">1</f>
        <v>1</v>
      </c>
      <c r="BC791" s="65" t="n">
        <f aca="false">IF(AV791=1,1,IF(AW791=1,2,IF(AX791=1,3,IF(AY791=1,4,IF(AZ791=1,5,IF(BA791=1,6,7))))))</f>
        <v>6</v>
      </c>
      <c r="BD791" s="65" t="n">
        <f aca="false">IF(AD791=1,CHOOSE('Historical Score'!$C$29,AV791,AW791,AX791,AY791,AZ791,BA791,BB791),0)</f>
        <v>0</v>
      </c>
      <c r="BE791" s="65" t="str">
        <f aca="false">IF(BD791=1,COUNTIF($BD$2:BD791,1),"")</f>
        <v/>
      </c>
    </row>
    <row r="792" customFormat="false" ht="15" hidden="false" customHeight="false" outlineLevel="0" collapsed="false">
      <c r="A792" s="65" t="s">
        <v>2546</v>
      </c>
      <c r="B792" s="65" t="s">
        <v>2547</v>
      </c>
      <c r="C792" s="65" t="s">
        <v>2548</v>
      </c>
      <c r="D792" s="65" t="s">
        <v>340</v>
      </c>
      <c r="E792" s="112" t="n">
        <v>46126</v>
      </c>
      <c r="F792" s="112" t="n">
        <v>46155</v>
      </c>
      <c r="G792" s="65" t="n">
        <v>3</v>
      </c>
      <c r="H792" s="65" t="s">
        <v>442</v>
      </c>
      <c r="I792" s="65" t="s">
        <v>443</v>
      </c>
      <c r="J792" s="65" t="s">
        <v>350</v>
      </c>
      <c r="K792" s="65" t="s">
        <v>581</v>
      </c>
      <c r="L792" s="65" t="s">
        <v>64</v>
      </c>
      <c r="M792" s="113" t="n">
        <v>1.49</v>
      </c>
      <c r="N792" s="114" t="n">
        <v>10000</v>
      </c>
      <c r="O792" s="114" t="n">
        <v>0</v>
      </c>
      <c r="P792" s="114" t="n">
        <v>14900</v>
      </c>
      <c r="Q792" s="114" t="n">
        <v>2978.82</v>
      </c>
      <c r="R792" s="114" t="n">
        <v>11921.18</v>
      </c>
      <c r="S792" s="115" t="n">
        <v>0.199920805369128</v>
      </c>
      <c r="T792" s="65" t="n">
        <v>2.951</v>
      </c>
      <c r="U792" s="65" t="n">
        <v>8</v>
      </c>
      <c r="V792" s="65" t="n">
        <v>31795.77</v>
      </c>
      <c r="W792" s="115" t="n">
        <v>0.1093</v>
      </c>
      <c r="X792" s="112" t="n">
        <v>45272</v>
      </c>
      <c r="Y792" s="65" t="str">
        <f aca="false">IF(I792="","No SIC",IFERROR(VLOOKUP(I792,Ref!$A$2:$B$65,2,FALSE()),"Unclassified"))</f>
        <v>General Building Contractors</v>
      </c>
      <c r="Z792" s="65" t="str">
        <f aca="false">IF(T792="","",IF(T792&lt;12,"Daily","Weekly"))</f>
        <v>Daily</v>
      </c>
      <c r="AA792" s="65" t="n">
        <f aca="false">IF(T792="",0,IF(T792&lt;12,T792*Controls!$B$29,T792*5))</f>
        <v>63.903905</v>
      </c>
      <c r="AB792" s="65" t="n">
        <f aca="false">IF(E792="",0,NETWORKDAYS(E792,Controls!$B$36,Ref!$K$2:$K$42))</f>
        <v>94</v>
      </c>
      <c r="AC792" s="65" t="n">
        <f aca="false">IF(AND(AA792&gt;0,AB792&gt;=Controls!$B$39*AA792),1,0)</f>
        <v>1</v>
      </c>
      <c r="AD792" s="65" t="n">
        <f aca="false">IF(AND(E792&lt;&gt;"",E792&gt;=Controls!$B$37,E792&lt;=Controls!$B$38),1,0)</f>
        <v>1</v>
      </c>
      <c r="AE792" s="65" t="n">
        <f aca="false">IF(IFERROR(VLOOKUP(D792,Controls!$A$64:$E$74,2,FALSE()),"No")="Yes",1,0)</f>
        <v>1</v>
      </c>
      <c r="AF792" s="65" t="n">
        <f aca="false">IF(IFERROR(VLOOKUP(D792,Controls!$A$64:$E$74,3,FALSE()),"No")="Yes",1,0)</f>
        <v>0</v>
      </c>
      <c r="AG792" s="65" t="n">
        <f aca="false">IF(IFERROR(VLOOKUP(D792,Controls!$A$64:$E$74,4,FALSE()),"No")="Yes",1,0)</f>
        <v>0</v>
      </c>
      <c r="AH792" s="65" t="n">
        <f aca="false">IF(IFERROR(VLOOKUP(D792,Controls!$A$64:$E$74,5,FALSE()),"No")="Yes",1,0)</f>
        <v>0</v>
      </c>
      <c r="AI792" s="65" t="n">
        <f aca="false">IF(ISNUMBER(MATCH(D792,Controls!$A$64:$A$74,0)),1,0)</f>
        <v>1</v>
      </c>
      <c r="AJ792" s="65" t="n">
        <f aca="false">Q792-N792</f>
        <v>-7021.18</v>
      </c>
      <c r="AK792" s="65" t="n">
        <f aca="false">IF(AE792=1,MAX(0,N792-Q792),0)</f>
        <v>7021.18</v>
      </c>
      <c r="AL792" s="65" t="n">
        <f aca="false">IF(OR(V792="",V792=0),0,N792/V792)</f>
        <v>0.314507244202609</v>
      </c>
      <c r="AM792" s="65" t="n">
        <f aca="false">IF(OR(V792="",V792=0),0,1)</f>
        <v>1</v>
      </c>
      <c r="AN792" s="65" t="n">
        <f aca="false">IF(OR(E792="",F792=""),0,NETWORKDAYS(E792,F792,Ref!$K$2:$K$42))</f>
        <v>22</v>
      </c>
      <c r="AO792" s="65" t="n">
        <f aca="false">IF(L792="Renewal",1,0)</f>
        <v>0</v>
      </c>
      <c r="AP792" s="65" t="n">
        <f aca="false">AC792*AD792</f>
        <v>1</v>
      </c>
      <c r="AQ792" s="65" t="n">
        <f aca="false">IF(AND(G792&lt;&gt;"",'Historical Score'!$C$6&lt;&gt;""),IF(G792='Historical Score'!$C$6,1,0),0)</f>
        <v>0</v>
      </c>
      <c r="AR792" s="65" t="n">
        <f aca="false">IF(AND(L792&lt;&gt;"",'Historical Score'!$C$5&lt;&gt;""),IF(L792='Historical Score'!$C$5,1,0),0)</f>
        <v>1</v>
      </c>
      <c r="AS792" s="65" t="n">
        <f aca="false">IF(AND(Y792&lt;&gt;"",'Historical Score'!$C$7&lt;&gt;""),IF(Y792='Historical Score'!$C$7,1,0),0)</f>
        <v>1</v>
      </c>
      <c r="AT792" s="65" t="n">
        <f aca="false">IF(AND(K792&lt;&gt;"",'Historical Score'!$C$8&lt;&gt;""),IF(K792='Historical Score'!$C$8,1,0),0)</f>
        <v>0</v>
      </c>
      <c r="AU792" s="65" t="n">
        <f aca="false">IF(AND(J792&lt;&gt;"",'Historical Score'!$C$9&lt;&gt;""),IF(J792='Historical Score'!$C$9,1,0),0)</f>
        <v>0</v>
      </c>
      <c r="AV792" s="65" t="n">
        <f aca="false">AR792*AS792*AQ792</f>
        <v>0</v>
      </c>
      <c r="AW792" s="65" t="n">
        <f aca="false">AR792*AT792*AQ792</f>
        <v>0</v>
      </c>
      <c r="AX792" s="65" t="n">
        <f aca="false">AR792*AS792</f>
        <v>1</v>
      </c>
      <c r="AY792" s="65" t="n">
        <f aca="false">AR792*AT792</f>
        <v>0</v>
      </c>
      <c r="AZ792" s="65" t="n">
        <f aca="false">AR792*AQ792</f>
        <v>0</v>
      </c>
      <c r="BA792" s="65" t="n">
        <f aca="false">AR792</f>
        <v>1</v>
      </c>
      <c r="BB792" s="65" t="n">
        <f aca="false">1</f>
        <v>1</v>
      </c>
      <c r="BC792" s="65" t="n">
        <f aca="false">IF(AV792=1,1,IF(AW792=1,2,IF(AX792=1,3,IF(AY792=1,4,IF(AZ792=1,5,IF(BA792=1,6,7))))))</f>
        <v>3</v>
      </c>
      <c r="BD792" s="65" t="n">
        <f aca="false">IF(AD792=1,CHOOSE('Historical Score'!$C$29,AV792,AW792,AX792,AY792,AZ792,BA792,BB792),0)</f>
        <v>0</v>
      </c>
      <c r="BE792" s="65" t="str">
        <f aca="false">IF(BD792=1,COUNTIF($BD$2:BD792,1),"")</f>
        <v/>
      </c>
    </row>
    <row r="793" customFormat="false" ht="15" hidden="false" customHeight="false" outlineLevel="0" collapsed="false">
      <c r="A793" s="65" t="s">
        <v>2549</v>
      </c>
      <c r="B793" s="65" t="s">
        <v>2550</v>
      </c>
      <c r="C793" s="65" t="s">
        <v>2550</v>
      </c>
      <c r="D793" s="65" t="s">
        <v>295</v>
      </c>
      <c r="E793" s="112" t="n">
        <v>46127</v>
      </c>
      <c r="F793" s="112" t="n">
        <v>46248</v>
      </c>
      <c r="G793" s="65" t="n">
        <v>3</v>
      </c>
      <c r="H793" s="65" t="s">
        <v>479</v>
      </c>
      <c r="I793" s="65" t="s">
        <v>356</v>
      </c>
      <c r="J793" s="65" t="s">
        <v>510</v>
      </c>
      <c r="K793" s="65" t="s">
        <v>433</v>
      </c>
      <c r="L793" s="65" t="s">
        <v>64</v>
      </c>
      <c r="M793" s="113" t="n">
        <v>1.48</v>
      </c>
      <c r="N793" s="114" t="n">
        <v>45000</v>
      </c>
      <c r="O793" s="114" t="n">
        <v>6075</v>
      </c>
      <c r="P793" s="114" t="n">
        <v>66600</v>
      </c>
      <c r="Q793" s="114" t="n">
        <v>22878.68</v>
      </c>
      <c r="R793" s="114" t="n">
        <v>43721.32</v>
      </c>
      <c r="S793" s="115" t="n">
        <v>0.343523723723724</v>
      </c>
      <c r="T793" s="65" t="n">
        <v>32</v>
      </c>
      <c r="U793" s="65" t="n">
        <v>7</v>
      </c>
      <c r="V793" s="65" t="n">
        <v>158466.98</v>
      </c>
      <c r="W793" s="115" t="n">
        <v>0.0525</v>
      </c>
      <c r="X793" s="112" t="n">
        <v>41640</v>
      </c>
      <c r="Y793" s="65" t="str">
        <f aca="false">IF(I793="","No SIC",IFERROR(VLOOKUP(I793,Ref!$A$2:$B$65,2,FALSE()),"Unclassified"))</f>
        <v>Trucking &amp; Warehousing</v>
      </c>
      <c r="Z793" s="65" t="str">
        <f aca="false">IF(T793="","",IF(T793&lt;12,"Daily","Weekly"))</f>
        <v>Weekly</v>
      </c>
      <c r="AA793" s="65" t="n">
        <f aca="false">IF(T793="",0,IF(T793&lt;12,T793*Controls!$B$29,T793*5))</f>
        <v>160</v>
      </c>
      <c r="AB793" s="65" t="n">
        <f aca="false">IF(E793="",0,NETWORKDAYS(E793,Controls!$B$36,Ref!$K$2:$K$42))</f>
        <v>93</v>
      </c>
      <c r="AC793" s="65" t="n">
        <f aca="false">IF(AND(AA793&gt;0,AB793&gt;=Controls!$B$39*AA793),1,0)</f>
        <v>0</v>
      </c>
      <c r="AD793" s="65" t="n">
        <f aca="false">IF(AND(E793&lt;&gt;"",E793&gt;=Controls!$B$37,E793&lt;=Controls!$B$38),1,0)</f>
        <v>1</v>
      </c>
      <c r="AE793" s="65" t="n">
        <f aca="false">IF(IFERROR(VLOOKUP(D793,Controls!$A$64:$E$74,2,FALSE()),"No")="Yes",1,0)</f>
        <v>0</v>
      </c>
      <c r="AF793" s="65" t="n">
        <f aca="false">IF(IFERROR(VLOOKUP(D793,Controls!$A$64:$E$74,3,FALSE()),"No")="Yes",1,0)</f>
        <v>0</v>
      </c>
      <c r="AG793" s="65" t="n">
        <f aca="false">IF(IFERROR(VLOOKUP(D793,Controls!$A$64:$E$74,4,FALSE()),"No")="Yes",1,0)</f>
        <v>0</v>
      </c>
      <c r="AH793" s="65" t="n">
        <f aca="false">IF(IFERROR(VLOOKUP(D793,Controls!$A$64:$E$74,5,FALSE()),"No")="Yes",1,0)</f>
        <v>1</v>
      </c>
      <c r="AI793" s="65" t="n">
        <f aca="false">IF(ISNUMBER(MATCH(D793,Controls!$A$64:$A$74,0)),1,0)</f>
        <v>1</v>
      </c>
      <c r="AJ793" s="65" t="n">
        <f aca="false">Q793-N793</f>
        <v>-22121.32</v>
      </c>
      <c r="AK793" s="65" t="n">
        <f aca="false">IF(AE793=1,MAX(0,N793-Q793),0)</f>
        <v>0</v>
      </c>
      <c r="AL793" s="65" t="n">
        <f aca="false">IF(OR(V793="",V793=0),0,N793/V793)</f>
        <v>0.283970831021075</v>
      </c>
      <c r="AM793" s="65" t="n">
        <f aca="false">IF(OR(V793="",V793=0),0,1)</f>
        <v>1</v>
      </c>
      <c r="AN793" s="65" t="n">
        <f aca="false">IF(OR(E793="",F793=""),0,NETWORKDAYS(E793,F793,Ref!$K$2:$K$42))</f>
        <v>86</v>
      </c>
      <c r="AO793" s="65" t="n">
        <f aca="false">IF(L793="Renewal",1,0)</f>
        <v>0</v>
      </c>
      <c r="AP793" s="65" t="n">
        <f aca="false">AC793*AD793</f>
        <v>0</v>
      </c>
      <c r="AQ793" s="65" t="n">
        <f aca="false">IF(AND(G793&lt;&gt;"",'Historical Score'!$C$6&lt;&gt;""),IF(G793='Historical Score'!$C$6,1,0),0)</f>
        <v>0</v>
      </c>
      <c r="AR793" s="65" t="n">
        <f aca="false">IF(AND(L793&lt;&gt;"",'Historical Score'!$C$5&lt;&gt;""),IF(L793='Historical Score'!$C$5,1,0),0)</f>
        <v>1</v>
      </c>
      <c r="AS793" s="65" t="n">
        <f aca="false">IF(AND(Y793&lt;&gt;"",'Historical Score'!$C$7&lt;&gt;""),IF(Y793='Historical Score'!$C$7,1,0),0)</f>
        <v>0</v>
      </c>
      <c r="AT793" s="65" t="n">
        <f aca="false">IF(AND(K793&lt;&gt;"",'Historical Score'!$C$8&lt;&gt;""),IF(K793='Historical Score'!$C$8,1,0),0)</f>
        <v>0</v>
      </c>
      <c r="AU793" s="65" t="n">
        <f aca="false">IF(AND(J793&lt;&gt;"",'Historical Score'!$C$9&lt;&gt;""),IF(J793='Historical Score'!$C$9,1,0),0)</f>
        <v>0</v>
      </c>
      <c r="AV793" s="65" t="n">
        <f aca="false">AR793*AS793*AQ793</f>
        <v>0</v>
      </c>
      <c r="AW793" s="65" t="n">
        <f aca="false">AR793*AT793*AQ793</f>
        <v>0</v>
      </c>
      <c r="AX793" s="65" t="n">
        <f aca="false">AR793*AS793</f>
        <v>0</v>
      </c>
      <c r="AY793" s="65" t="n">
        <f aca="false">AR793*AT793</f>
        <v>0</v>
      </c>
      <c r="AZ793" s="65" t="n">
        <f aca="false">AR793*AQ793</f>
        <v>0</v>
      </c>
      <c r="BA793" s="65" t="n">
        <f aca="false">AR793</f>
        <v>1</v>
      </c>
      <c r="BB793" s="65" t="n">
        <f aca="false">1</f>
        <v>1</v>
      </c>
      <c r="BC793" s="65" t="n">
        <f aca="false">IF(AV793=1,1,IF(AW793=1,2,IF(AX793=1,3,IF(AY793=1,4,IF(AZ793=1,5,IF(BA793=1,6,7))))))</f>
        <v>6</v>
      </c>
      <c r="BD793" s="65" t="n">
        <f aca="false">IF(AD793=1,CHOOSE('Historical Score'!$C$29,AV793,AW793,AX793,AY793,AZ793,BA793,BB793),0)</f>
        <v>0</v>
      </c>
      <c r="BE793" s="65" t="str">
        <f aca="false">IF(BD793=1,COUNTIF($BD$2:BD793,1),"")</f>
        <v/>
      </c>
    </row>
    <row r="794" customFormat="false" ht="15" hidden="false" customHeight="false" outlineLevel="0" collapsed="false">
      <c r="A794" s="65" t="s">
        <v>2551</v>
      </c>
      <c r="B794" s="65" t="s">
        <v>1074</v>
      </c>
      <c r="C794" s="65" t="s">
        <v>1075</v>
      </c>
      <c r="D794" s="65" t="s">
        <v>295</v>
      </c>
      <c r="E794" s="112" t="n">
        <v>46127</v>
      </c>
      <c r="F794" s="112" t="n">
        <v>46248</v>
      </c>
      <c r="G794" s="65" t="n">
        <v>3</v>
      </c>
      <c r="H794" s="65" t="s">
        <v>442</v>
      </c>
      <c r="I794" s="65" t="s">
        <v>443</v>
      </c>
      <c r="J794" s="65" t="s">
        <v>717</v>
      </c>
      <c r="K794" s="65" t="s">
        <v>1076</v>
      </c>
      <c r="L794" s="65" t="s">
        <v>320</v>
      </c>
      <c r="M794" s="113" t="n">
        <v>1.49</v>
      </c>
      <c r="N794" s="114" t="n">
        <v>70000</v>
      </c>
      <c r="O794" s="114" t="n">
        <v>9800</v>
      </c>
      <c r="P794" s="114" t="n">
        <v>104300</v>
      </c>
      <c r="Q794" s="114" t="n">
        <v>39937.84</v>
      </c>
      <c r="R794" s="114" t="n">
        <v>64362.16</v>
      </c>
      <c r="S794" s="115" t="n">
        <v>0.382913135186961</v>
      </c>
      <c r="T794" s="65" t="n">
        <v>38</v>
      </c>
      <c r="U794" s="65" t="n">
        <v>0</v>
      </c>
      <c r="V794" s="65" t="n">
        <v>64267.19</v>
      </c>
      <c r="W794" s="115"/>
      <c r="X794" s="112" t="n">
        <v>44367</v>
      </c>
      <c r="Y794" s="65" t="str">
        <f aca="false">IF(I794="","No SIC",IFERROR(VLOOKUP(I794,Ref!$A$2:$B$65,2,FALSE()),"Unclassified"))</f>
        <v>General Building Contractors</v>
      </c>
      <c r="Z794" s="65" t="str">
        <f aca="false">IF(T794="","",IF(T794&lt;12,"Daily","Weekly"))</f>
        <v>Weekly</v>
      </c>
      <c r="AA794" s="65" t="n">
        <f aca="false">IF(T794="",0,IF(T794&lt;12,T794*Controls!$B$29,T794*5))</f>
        <v>190</v>
      </c>
      <c r="AB794" s="65" t="n">
        <f aca="false">IF(E794="",0,NETWORKDAYS(E794,Controls!$B$36,Ref!$K$2:$K$42))</f>
        <v>93</v>
      </c>
      <c r="AC794" s="65" t="n">
        <f aca="false">IF(AND(AA794&gt;0,AB794&gt;=Controls!$B$39*AA794),1,0)</f>
        <v>0</v>
      </c>
      <c r="AD794" s="65" t="n">
        <f aca="false">IF(AND(E794&lt;&gt;"",E794&gt;=Controls!$B$37,E794&lt;=Controls!$B$38),1,0)</f>
        <v>1</v>
      </c>
      <c r="AE794" s="65" t="n">
        <f aca="false">IF(IFERROR(VLOOKUP(D794,Controls!$A$64:$E$74,2,FALSE()),"No")="Yes",1,0)</f>
        <v>0</v>
      </c>
      <c r="AF794" s="65" t="n">
        <f aca="false">IF(IFERROR(VLOOKUP(D794,Controls!$A$64:$E$74,3,FALSE()),"No")="Yes",1,0)</f>
        <v>0</v>
      </c>
      <c r="AG794" s="65" t="n">
        <f aca="false">IF(IFERROR(VLOOKUP(D794,Controls!$A$64:$E$74,4,FALSE()),"No")="Yes",1,0)</f>
        <v>0</v>
      </c>
      <c r="AH794" s="65" t="n">
        <f aca="false">IF(IFERROR(VLOOKUP(D794,Controls!$A$64:$E$74,5,FALSE()),"No")="Yes",1,0)</f>
        <v>1</v>
      </c>
      <c r="AI794" s="65" t="n">
        <f aca="false">IF(ISNUMBER(MATCH(D794,Controls!$A$64:$A$74,0)),1,0)</f>
        <v>1</v>
      </c>
      <c r="AJ794" s="65" t="n">
        <f aca="false">Q794-N794</f>
        <v>-30062.16</v>
      </c>
      <c r="AK794" s="65" t="n">
        <f aca="false">IF(AE794=1,MAX(0,N794-Q794),0)</f>
        <v>0</v>
      </c>
      <c r="AL794" s="65" t="n">
        <f aca="false">IF(OR(V794="",V794=0),0,N794/V794)</f>
        <v>1.08920274871206</v>
      </c>
      <c r="AM794" s="65" t="n">
        <f aca="false">IF(OR(V794="",V794=0),0,1)</f>
        <v>1</v>
      </c>
      <c r="AN794" s="65" t="n">
        <f aca="false">IF(OR(E794="",F794=""),0,NETWORKDAYS(E794,F794,Ref!$K$2:$K$42))</f>
        <v>86</v>
      </c>
      <c r="AO794" s="65" t="n">
        <f aca="false">IF(L794="Renewal",1,0)</f>
        <v>1</v>
      </c>
      <c r="AP794" s="65" t="n">
        <f aca="false">AC794*AD794</f>
        <v>0</v>
      </c>
      <c r="AQ794" s="65" t="n">
        <f aca="false">IF(AND(G794&lt;&gt;"",'Historical Score'!$C$6&lt;&gt;""),IF(G794='Historical Score'!$C$6,1,0),0)</f>
        <v>0</v>
      </c>
      <c r="AR794" s="65" t="n">
        <f aca="false">IF(AND(L794&lt;&gt;"",'Historical Score'!$C$5&lt;&gt;""),IF(L794='Historical Score'!$C$5,1,0),0)</f>
        <v>0</v>
      </c>
      <c r="AS794" s="65" t="n">
        <f aca="false">IF(AND(Y794&lt;&gt;"",'Historical Score'!$C$7&lt;&gt;""),IF(Y794='Historical Score'!$C$7,1,0),0)</f>
        <v>1</v>
      </c>
      <c r="AT794" s="65" t="n">
        <f aca="false">IF(AND(K794&lt;&gt;"",'Historical Score'!$C$8&lt;&gt;""),IF(K794='Historical Score'!$C$8,1,0),0)</f>
        <v>0</v>
      </c>
      <c r="AU794" s="65" t="n">
        <f aca="false">IF(AND(J794&lt;&gt;"",'Historical Score'!$C$9&lt;&gt;""),IF(J794='Historical Score'!$C$9,1,0),0)</f>
        <v>0</v>
      </c>
      <c r="AV794" s="65" t="n">
        <f aca="false">AR794*AS794*AQ794</f>
        <v>0</v>
      </c>
      <c r="AW794" s="65" t="n">
        <f aca="false">AR794*AT794*AQ794</f>
        <v>0</v>
      </c>
      <c r="AX794" s="65" t="n">
        <f aca="false">AR794*AS794</f>
        <v>0</v>
      </c>
      <c r="AY794" s="65" t="n">
        <f aca="false">AR794*AT794</f>
        <v>0</v>
      </c>
      <c r="AZ794" s="65" t="n">
        <f aca="false">AR794*AQ794</f>
        <v>0</v>
      </c>
      <c r="BA794" s="65" t="n">
        <f aca="false">AR794</f>
        <v>0</v>
      </c>
      <c r="BB794" s="65" t="n">
        <f aca="false">1</f>
        <v>1</v>
      </c>
      <c r="BC794" s="65" t="n">
        <f aca="false">IF(AV794=1,1,IF(AW794=1,2,IF(AX794=1,3,IF(AY794=1,4,IF(AZ794=1,5,IF(BA794=1,6,7))))))</f>
        <v>7</v>
      </c>
      <c r="BD794" s="65" t="n">
        <f aca="false">IF(AD794=1,CHOOSE('Historical Score'!$C$29,AV794,AW794,AX794,AY794,AZ794,BA794,BB794),0)</f>
        <v>0</v>
      </c>
      <c r="BE794" s="65" t="str">
        <f aca="false">IF(BD794=1,COUNTIF($BD$2:BD794,1),"")</f>
        <v/>
      </c>
    </row>
    <row r="795" customFormat="false" ht="15" hidden="false" customHeight="false" outlineLevel="0" collapsed="false">
      <c r="A795" s="65" t="s">
        <v>2552</v>
      </c>
      <c r="B795" s="65" t="s">
        <v>2553</v>
      </c>
      <c r="C795" s="65" t="s">
        <v>2553</v>
      </c>
      <c r="D795" s="65" t="s">
        <v>371</v>
      </c>
      <c r="E795" s="112" t="n">
        <v>46127</v>
      </c>
      <c r="F795" s="112" t="n">
        <v>46241</v>
      </c>
      <c r="G795" s="65" t="n">
        <v>3</v>
      </c>
      <c r="H795" s="65" t="s">
        <v>451</v>
      </c>
      <c r="I795" s="65" t="s">
        <v>425</v>
      </c>
      <c r="J795" s="65" t="s">
        <v>432</v>
      </c>
      <c r="K795" s="65" t="s">
        <v>55</v>
      </c>
      <c r="L795" s="65" t="s">
        <v>64</v>
      </c>
      <c r="M795" s="113" t="n">
        <v>1.49</v>
      </c>
      <c r="N795" s="114" t="n">
        <v>5000</v>
      </c>
      <c r="O795" s="114" t="n">
        <v>700</v>
      </c>
      <c r="P795" s="114" t="n">
        <v>7450</v>
      </c>
      <c r="Q795" s="114" t="n">
        <v>7450</v>
      </c>
      <c r="R795" s="114" t="n">
        <v>0</v>
      </c>
      <c r="S795" s="115" t="n">
        <v>1</v>
      </c>
      <c r="T795" s="65" t="n">
        <v>2.623</v>
      </c>
      <c r="U795" s="65" t="n">
        <v>0</v>
      </c>
      <c r="V795" s="65" t="n">
        <v>50624.1</v>
      </c>
      <c r="W795" s="115" t="n">
        <v>0.0386</v>
      </c>
      <c r="X795" s="112" t="n">
        <v>45612</v>
      </c>
      <c r="Y795" s="65" t="str">
        <f aca="false">IF(I795="","No SIC",IFERROR(VLOOKUP(I795,Ref!$A$2:$B$65,2,FALSE()),"Unclassified"))</f>
        <v>Personal Services</v>
      </c>
      <c r="Z795" s="65" t="str">
        <f aca="false">IF(T795="","",IF(T795&lt;12,"Daily","Weekly"))</f>
        <v>Daily</v>
      </c>
      <c r="AA795" s="65" t="n">
        <f aca="false">IF(T795="",0,IF(T795&lt;12,T795*Controls!$B$29,T795*5))</f>
        <v>56.801065</v>
      </c>
      <c r="AB795" s="65" t="n">
        <f aca="false">IF(E795="",0,NETWORKDAYS(E795,Controls!$B$36,Ref!$K$2:$K$42))</f>
        <v>93</v>
      </c>
      <c r="AC795" s="65" t="n">
        <f aca="false">IF(AND(AA795&gt;0,AB795&gt;=Controls!$B$39*AA795),1,0)</f>
        <v>1</v>
      </c>
      <c r="AD795" s="65" t="n">
        <f aca="false">IF(AND(E795&lt;&gt;"",E795&gt;=Controls!$B$37,E795&lt;=Controls!$B$38),1,0)</f>
        <v>1</v>
      </c>
      <c r="AE795" s="65" t="n">
        <f aca="false">IF(IFERROR(VLOOKUP(D795,Controls!$A$64:$E$74,2,FALSE()),"No")="Yes",1,0)</f>
        <v>0</v>
      </c>
      <c r="AF795" s="65" t="n">
        <f aca="false">IF(IFERROR(VLOOKUP(D795,Controls!$A$64:$E$74,3,FALSE()),"No")="Yes",1,0)</f>
        <v>1</v>
      </c>
      <c r="AG795" s="65" t="n">
        <f aca="false">IF(IFERROR(VLOOKUP(D795,Controls!$A$64:$E$74,4,FALSE()),"No")="Yes",1,0)</f>
        <v>1</v>
      </c>
      <c r="AH795" s="65" t="n">
        <f aca="false">IF(IFERROR(VLOOKUP(D795,Controls!$A$64:$E$74,5,FALSE()),"No")="Yes",1,0)</f>
        <v>0</v>
      </c>
      <c r="AI795" s="65" t="n">
        <f aca="false">IF(ISNUMBER(MATCH(D795,Controls!$A$64:$A$74,0)),1,0)</f>
        <v>1</v>
      </c>
      <c r="AJ795" s="65" t="n">
        <f aca="false">Q795-N795</f>
        <v>2450</v>
      </c>
      <c r="AK795" s="65" t="n">
        <f aca="false">IF(AE795=1,MAX(0,N795-Q795),0)</f>
        <v>0</v>
      </c>
      <c r="AL795" s="65" t="n">
        <f aca="false">IF(OR(V795="",V795=0),0,N795/V795)</f>
        <v>0.0987671879598847</v>
      </c>
      <c r="AM795" s="65" t="n">
        <f aca="false">IF(OR(V795="",V795=0),0,1)</f>
        <v>1</v>
      </c>
      <c r="AN795" s="65" t="n">
        <f aca="false">IF(OR(E795="",F795=""),0,NETWORKDAYS(E795,F795,Ref!$K$2:$K$42))</f>
        <v>81</v>
      </c>
      <c r="AO795" s="65" t="n">
        <f aca="false">IF(L795="Renewal",1,0)</f>
        <v>0</v>
      </c>
      <c r="AP795" s="65" t="n">
        <f aca="false">AC795*AD795</f>
        <v>1</v>
      </c>
      <c r="AQ795" s="65" t="n">
        <f aca="false">IF(AND(G795&lt;&gt;"",'Historical Score'!$C$6&lt;&gt;""),IF(G795='Historical Score'!$C$6,1,0),0)</f>
        <v>0</v>
      </c>
      <c r="AR795" s="65" t="n">
        <f aca="false">IF(AND(L795&lt;&gt;"",'Historical Score'!$C$5&lt;&gt;""),IF(L795='Historical Score'!$C$5,1,0),0)</f>
        <v>1</v>
      </c>
      <c r="AS795" s="65" t="n">
        <f aca="false">IF(AND(Y795&lt;&gt;"",'Historical Score'!$C$7&lt;&gt;""),IF(Y795='Historical Score'!$C$7,1,0),0)</f>
        <v>0</v>
      </c>
      <c r="AT795" s="65" t="n">
        <f aca="false">IF(AND(K795&lt;&gt;"",'Historical Score'!$C$8&lt;&gt;""),IF(K795='Historical Score'!$C$8,1,0),0)</f>
        <v>1</v>
      </c>
      <c r="AU795" s="65" t="n">
        <f aca="false">IF(AND(J795&lt;&gt;"",'Historical Score'!$C$9&lt;&gt;""),IF(J795='Historical Score'!$C$9,1,0),0)</f>
        <v>0</v>
      </c>
      <c r="AV795" s="65" t="n">
        <f aca="false">AR795*AS795*AQ795</f>
        <v>0</v>
      </c>
      <c r="AW795" s="65" t="n">
        <f aca="false">AR795*AT795*AQ795</f>
        <v>0</v>
      </c>
      <c r="AX795" s="65" t="n">
        <f aca="false">AR795*AS795</f>
        <v>0</v>
      </c>
      <c r="AY795" s="65" t="n">
        <f aca="false">AR795*AT795</f>
        <v>1</v>
      </c>
      <c r="AZ795" s="65" t="n">
        <f aca="false">AR795*AQ795</f>
        <v>0</v>
      </c>
      <c r="BA795" s="65" t="n">
        <f aca="false">AR795</f>
        <v>1</v>
      </c>
      <c r="BB795" s="65" t="n">
        <f aca="false">1</f>
        <v>1</v>
      </c>
      <c r="BC795" s="65" t="n">
        <f aca="false">IF(AV795=1,1,IF(AW795=1,2,IF(AX795=1,3,IF(AY795=1,4,IF(AZ795=1,5,IF(BA795=1,6,7))))))</f>
        <v>4</v>
      </c>
      <c r="BD795" s="65" t="n">
        <f aca="false">IF(AD795=1,CHOOSE('Historical Score'!$C$29,AV795,AW795,AX795,AY795,AZ795,BA795,BB795),0)</f>
        <v>0</v>
      </c>
      <c r="BE795" s="65" t="str">
        <f aca="false">IF(BD795=1,COUNTIF($BD$2:BD795,1),"")</f>
        <v/>
      </c>
    </row>
    <row r="796" customFormat="false" ht="15" hidden="false" customHeight="false" outlineLevel="0" collapsed="false">
      <c r="A796" s="65" t="s">
        <v>2554</v>
      </c>
      <c r="B796" s="65" t="s">
        <v>2555</v>
      </c>
      <c r="C796" s="65" t="s">
        <v>2555</v>
      </c>
      <c r="D796" s="65" t="s">
        <v>295</v>
      </c>
      <c r="E796" s="112" t="n">
        <v>46128</v>
      </c>
      <c r="F796" s="112" t="n">
        <v>46248</v>
      </c>
      <c r="G796" s="65" t="n">
        <v>3</v>
      </c>
      <c r="H796" s="65" t="s">
        <v>685</v>
      </c>
      <c r="I796" s="65" t="s">
        <v>484</v>
      </c>
      <c r="J796" s="65" t="s">
        <v>350</v>
      </c>
      <c r="K796" s="65" t="s">
        <v>584</v>
      </c>
      <c r="L796" s="65" t="s">
        <v>64</v>
      </c>
      <c r="M796" s="113" t="n">
        <v>1.4</v>
      </c>
      <c r="N796" s="114" t="n">
        <v>20000</v>
      </c>
      <c r="O796" s="114" t="n">
        <v>1900</v>
      </c>
      <c r="P796" s="114" t="n">
        <v>28000</v>
      </c>
      <c r="Q796" s="114" t="n">
        <v>21629.61</v>
      </c>
      <c r="R796" s="114" t="n">
        <v>6370.39</v>
      </c>
      <c r="S796" s="115" t="n">
        <v>0.772486071428571</v>
      </c>
      <c r="T796" s="65" t="n">
        <v>22</v>
      </c>
      <c r="U796" s="65" t="n">
        <v>0</v>
      </c>
      <c r="V796" s="65" t="n">
        <v>65584.03</v>
      </c>
      <c r="W796" s="115" t="n">
        <v>0.0776</v>
      </c>
      <c r="X796" s="112" t="n">
        <v>43800</v>
      </c>
      <c r="Y796" s="65" t="str">
        <f aca="false">IF(I796="","No SIC",IFERROR(VLOOKUP(I796,Ref!$A$2:$B$65,2,FALSE()),"Unclassified"))</f>
        <v>Special Trade Contractors</v>
      </c>
      <c r="Z796" s="65" t="str">
        <f aca="false">IF(T796="","",IF(T796&lt;12,"Daily","Weekly"))</f>
        <v>Weekly</v>
      </c>
      <c r="AA796" s="65" t="n">
        <f aca="false">IF(T796="",0,IF(T796&lt;12,T796*Controls!$B$29,T796*5))</f>
        <v>110</v>
      </c>
      <c r="AB796" s="65" t="n">
        <f aca="false">IF(E796="",0,NETWORKDAYS(E796,Controls!$B$36,Ref!$K$2:$K$42))</f>
        <v>92</v>
      </c>
      <c r="AC796" s="65" t="n">
        <f aca="false">IF(AND(AA796&gt;0,AB796&gt;=Controls!$B$39*AA796),1,0)</f>
        <v>0</v>
      </c>
      <c r="AD796" s="65" t="n">
        <f aca="false">IF(AND(E796&lt;&gt;"",E796&gt;=Controls!$B$37,E796&lt;=Controls!$B$38),1,0)</f>
        <v>1</v>
      </c>
      <c r="AE796" s="65" t="n">
        <f aca="false">IF(IFERROR(VLOOKUP(D796,Controls!$A$64:$E$74,2,FALSE()),"No")="Yes",1,0)</f>
        <v>0</v>
      </c>
      <c r="AF796" s="65" t="n">
        <f aca="false">IF(IFERROR(VLOOKUP(D796,Controls!$A$64:$E$74,3,FALSE()),"No")="Yes",1,0)</f>
        <v>0</v>
      </c>
      <c r="AG796" s="65" t="n">
        <f aca="false">IF(IFERROR(VLOOKUP(D796,Controls!$A$64:$E$74,4,FALSE()),"No")="Yes",1,0)</f>
        <v>0</v>
      </c>
      <c r="AH796" s="65" t="n">
        <f aca="false">IF(IFERROR(VLOOKUP(D796,Controls!$A$64:$E$74,5,FALSE()),"No")="Yes",1,0)</f>
        <v>1</v>
      </c>
      <c r="AI796" s="65" t="n">
        <f aca="false">IF(ISNUMBER(MATCH(D796,Controls!$A$64:$A$74,0)),1,0)</f>
        <v>1</v>
      </c>
      <c r="AJ796" s="65" t="n">
        <f aca="false">Q796-N796</f>
        <v>1629.61</v>
      </c>
      <c r="AK796" s="65" t="n">
        <f aca="false">IF(AE796=1,MAX(0,N796-Q796),0)</f>
        <v>0</v>
      </c>
      <c r="AL796" s="65" t="n">
        <f aca="false">IF(OR(V796="",V796=0),0,N796/V796)</f>
        <v>0.304952287927412</v>
      </c>
      <c r="AM796" s="65" t="n">
        <f aca="false">IF(OR(V796="",V796=0),0,1)</f>
        <v>1</v>
      </c>
      <c r="AN796" s="65" t="n">
        <f aca="false">IF(OR(E796="",F796=""),0,NETWORKDAYS(E796,F796,Ref!$K$2:$K$42))</f>
        <v>85</v>
      </c>
      <c r="AO796" s="65" t="n">
        <f aca="false">IF(L796="Renewal",1,0)</f>
        <v>0</v>
      </c>
      <c r="AP796" s="65" t="n">
        <f aca="false">AC796*AD796</f>
        <v>0</v>
      </c>
      <c r="AQ796" s="65" t="n">
        <f aca="false">IF(AND(G796&lt;&gt;"",'Historical Score'!$C$6&lt;&gt;""),IF(G796='Historical Score'!$C$6,1,0),0)</f>
        <v>0</v>
      </c>
      <c r="AR796" s="65" t="n">
        <f aca="false">IF(AND(L796&lt;&gt;"",'Historical Score'!$C$5&lt;&gt;""),IF(L796='Historical Score'!$C$5,1,0),0)</f>
        <v>1</v>
      </c>
      <c r="AS796" s="65" t="n">
        <f aca="false">IF(AND(Y796&lt;&gt;"",'Historical Score'!$C$7&lt;&gt;""),IF(Y796='Historical Score'!$C$7,1,0),0)</f>
        <v>0</v>
      </c>
      <c r="AT796" s="65" t="n">
        <f aca="false">IF(AND(K796&lt;&gt;"",'Historical Score'!$C$8&lt;&gt;""),IF(K796='Historical Score'!$C$8,1,0),0)</f>
        <v>0</v>
      </c>
      <c r="AU796" s="65" t="n">
        <f aca="false">IF(AND(J796&lt;&gt;"",'Historical Score'!$C$9&lt;&gt;""),IF(J796='Historical Score'!$C$9,1,0),0)</f>
        <v>0</v>
      </c>
      <c r="AV796" s="65" t="n">
        <f aca="false">AR796*AS796*AQ796</f>
        <v>0</v>
      </c>
      <c r="AW796" s="65" t="n">
        <f aca="false">AR796*AT796*AQ796</f>
        <v>0</v>
      </c>
      <c r="AX796" s="65" t="n">
        <f aca="false">AR796*AS796</f>
        <v>0</v>
      </c>
      <c r="AY796" s="65" t="n">
        <f aca="false">AR796*AT796</f>
        <v>0</v>
      </c>
      <c r="AZ796" s="65" t="n">
        <f aca="false">AR796*AQ796</f>
        <v>0</v>
      </c>
      <c r="BA796" s="65" t="n">
        <f aca="false">AR796</f>
        <v>1</v>
      </c>
      <c r="BB796" s="65" t="n">
        <f aca="false">1</f>
        <v>1</v>
      </c>
      <c r="BC796" s="65" t="n">
        <f aca="false">IF(AV796=1,1,IF(AW796=1,2,IF(AX796=1,3,IF(AY796=1,4,IF(AZ796=1,5,IF(BA796=1,6,7))))))</f>
        <v>6</v>
      </c>
      <c r="BD796" s="65" t="n">
        <f aca="false">IF(AD796=1,CHOOSE('Historical Score'!$C$29,AV796,AW796,AX796,AY796,AZ796,BA796,BB796),0)</f>
        <v>0</v>
      </c>
      <c r="BE796" s="65" t="str">
        <f aca="false">IF(BD796=1,COUNTIF($BD$2:BD796,1),"")</f>
        <v/>
      </c>
    </row>
    <row r="797" customFormat="false" ht="15" hidden="false" customHeight="false" outlineLevel="0" collapsed="false">
      <c r="A797" s="65" t="s">
        <v>2556</v>
      </c>
      <c r="B797" s="65" t="s">
        <v>1642</v>
      </c>
      <c r="C797" s="65" t="s">
        <v>1642</v>
      </c>
      <c r="D797" s="65" t="s">
        <v>295</v>
      </c>
      <c r="E797" s="112" t="n">
        <v>46128</v>
      </c>
      <c r="F797" s="112" t="n">
        <v>46248</v>
      </c>
      <c r="G797" s="65" t="n">
        <v>3</v>
      </c>
      <c r="H797" s="65" t="s">
        <v>525</v>
      </c>
      <c r="I797" s="65" t="s">
        <v>367</v>
      </c>
      <c r="J797" s="65" t="s">
        <v>452</v>
      </c>
      <c r="K797" s="65" t="s">
        <v>1461</v>
      </c>
      <c r="L797" s="65" t="s">
        <v>64</v>
      </c>
      <c r="M797" s="113" t="n">
        <v>1.49</v>
      </c>
      <c r="N797" s="114" t="n">
        <v>6000</v>
      </c>
      <c r="O797" s="114" t="n">
        <v>840</v>
      </c>
      <c r="P797" s="114" t="n">
        <v>8940</v>
      </c>
      <c r="Q797" s="114" t="n">
        <v>4470.24</v>
      </c>
      <c r="R797" s="114" t="n">
        <v>4469.76</v>
      </c>
      <c r="S797" s="115" t="n">
        <v>0.500026845637584</v>
      </c>
      <c r="T797" s="65" t="n">
        <v>24</v>
      </c>
      <c r="U797" s="65" t="n">
        <v>5</v>
      </c>
      <c r="V797" s="65" t="n">
        <v>6400.67</v>
      </c>
      <c r="W797" s="115" t="n">
        <v>0.2328</v>
      </c>
      <c r="X797" s="112" t="n">
        <v>45627</v>
      </c>
      <c r="Y797" s="65" t="str">
        <f aca="false">IF(I797="","No SIC",IFERROR(VLOOKUP(I797,Ref!$A$2:$B$65,2,FALSE()),"Unclassified"))</f>
        <v>Engineering, Accounting &amp; Management</v>
      </c>
      <c r="Z797" s="65" t="str">
        <f aca="false">IF(T797="","",IF(T797&lt;12,"Daily","Weekly"))</f>
        <v>Weekly</v>
      </c>
      <c r="AA797" s="65" t="n">
        <f aca="false">IF(T797="",0,IF(T797&lt;12,T797*Controls!$B$29,T797*5))</f>
        <v>120</v>
      </c>
      <c r="AB797" s="65" t="n">
        <f aca="false">IF(E797="",0,NETWORKDAYS(E797,Controls!$B$36,Ref!$K$2:$K$42))</f>
        <v>92</v>
      </c>
      <c r="AC797" s="65" t="n">
        <f aca="false">IF(AND(AA797&gt;0,AB797&gt;=Controls!$B$39*AA797),1,0)</f>
        <v>0</v>
      </c>
      <c r="AD797" s="65" t="n">
        <f aca="false">IF(AND(E797&lt;&gt;"",E797&gt;=Controls!$B$37,E797&lt;=Controls!$B$38),1,0)</f>
        <v>1</v>
      </c>
      <c r="AE797" s="65" t="n">
        <f aca="false">IF(IFERROR(VLOOKUP(D797,Controls!$A$64:$E$74,2,FALSE()),"No")="Yes",1,0)</f>
        <v>0</v>
      </c>
      <c r="AF797" s="65" t="n">
        <f aca="false">IF(IFERROR(VLOOKUP(D797,Controls!$A$64:$E$74,3,FALSE()),"No")="Yes",1,0)</f>
        <v>0</v>
      </c>
      <c r="AG797" s="65" t="n">
        <f aca="false">IF(IFERROR(VLOOKUP(D797,Controls!$A$64:$E$74,4,FALSE()),"No")="Yes",1,0)</f>
        <v>0</v>
      </c>
      <c r="AH797" s="65" t="n">
        <f aca="false">IF(IFERROR(VLOOKUP(D797,Controls!$A$64:$E$74,5,FALSE()),"No")="Yes",1,0)</f>
        <v>1</v>
      </c>
      <c r="AI797" s="65" t="n">
        <f aca="false">IF(ISNUMBER(MATCH(D797,Controls!$A$64:$A$74,0)),1,0)</f>
        <v>1</v>
      </c>
      <c r="AJ797" s="65" t="n">
        <f aca="false">Q797-N797</f>
        <v>-1529.76</v>
      </c>
      <c r="AK797" s="65" t="n">
        <f aca="false">IF(AE797=1,MAX(0,N797-Q797),0)</f>
        <v>0</v>
      </c>
      <c r="AL797" s="65" t="n">
        <f aca="false">IF(OR(V797="",V797=0),0,N797/V797)</f>
        <v>0.93740186574218</v>
      </c>
      <c r="AM797" s="65" t="n">
        <f aca="false">IF(OR(V797="",V797=0),0,1)</f>
        <v>1</v>
      </c>
      <c r="AN797" s="65" t="n">
        <f aca="false">IF(OR(E797="",F797=""),0,NETWORKDAYS(E797,F797,Ref!$K$2:$K$42))</f>
        <v>85</v>
      </c>
      <c r="AO797" s="65" t="n">
        <f aca="false">IF(L797="Renewal",1,0)</f>
        <v>0</v>
      </c>
      <c r="AP797" s="65" t="n">
        <f aca="false">AC797*AD797</f>
        <v>0</v>
      </c>
      <c r="AQ797" s="65" t="n">
        <f aca="false">IF(AND(G797&lt;&gt;"",'Historical Score'!$C$6&lt;&gt;""),IF(G797='Historical Score'!$C$6,1,0),0)</f>
        <v>0</v>
      </c>
      <c r="AR797" s="65" t="n">
        <f aca="false">IF(AND(L797&lt;&gt;"",'Historical Score'!$C$5&lt;&gt;""),IF(L797='Historical Score'!$C$5,1,0),0)</f>
        <v>1</v>
      </c>
      <c r="AS797" s="65" t="n">
        <f aca="false">IF(AND(Y797&lt;&gt;"",'Historical Score'!$C$7&lt;&gt;""),IF(Y797='Historical Score'!$C$7,1,0),0)</f>
        <v>0</v>
      </c>
      <c r="AT797" s="65" t="n">
        <f aca="false">IF(AND(K797&lt;&gt;"",'Historical Score'!$C$8&lt;&gt;""),IF(K797='Historical Score'!$C$8,1,0),0)</f>
        <v>0</v>
      </c>
      <c r="AU797" s="65" t="n">
        <f aca="false">IF(AND(J797&lt;&gt;"",'Historical Score'!$C$9&lt;&gt;""),IF(J797='Historical Score'!$C$9,1,0),0)</f>
        <v>0</v>
      </c>
      <c r="AV797" s="65" t="n">
        <f aca="false">AR797*AS797*AQ797</f>
        <v>0</v>
      </c>
      <c r="AW797" s="65" t="n">
        <f aca="false">AR797*AT797*AQ797</f>
        <v>0</v>
      </c>
      <c r="AX797" s="65" t="n">
        <f aca="false">AR797*AS797</f>
        <v>0</v>
      </c>
      <c r="AY797" s="65" t="n">
        <f aca="false">AR797*AT797</f>
        <v>0</v>
      </c>
      <c r="AZ797" s="65" t="n">
        <f aca="false">AR797*AQ797</f>
        <v>0</v>
      </c>
      <c r="BA797" s="65" t="n">
        <f aca="false">AR797</f>
        <v>1</v>
      </c>
      <c r="BB797" s="65" t="n">
        <f aca="false">1</f>
        <v>1</v>
      </c>
      <c r="BC797" s="65" t="n">
        <f aca="false">IF(AV797=1,1,IF(AW797=1,2,IF(AX797=1,3,IF(AY797=1,4,IF(AZ797=1,5,IF(BA797=1,6,7))))))</f>
        <v>6</v>
      </c>
      <c r="BD797" s="65" t="n">
        <f aca="false">IF(AD797=1,CHOOSE('Historical Score'!$C$29,AV797,AW797,AX797,AY797,AZ797,BA797,BB797),0)</f>
        <v>0</v>
      </c>
      <c r="BE797" s="65" t="str">
        <f aca="false">IF(BD797=1,COUNTIF($BD$2:BD797,1),"")</f>
        <v/>
      </c>
    </row>
    <row r="798" customFormat="false" ht="15" hidden="false" customHeight="false" outlineLevel="0" collapsed="false">
      <c r="A798" s="65" t="s">
        <v>2557</v>
      </c>
      <c r="B798" s="65" t="s">
        <v>2176</v>
      </c>
      <c r="C798" s="65" t="s">
        <v>2176</v>
      </c>
      <c r="D798" s="65" t="s">
        <v>371</v>
      </c>
      <c r="E798" s="112" t="n">
        <v>46128</v>
      </c>
      <c r="F798" s="112" t="n">
        <v>46181</v>
      </c>
      <c r="G798" s="65" t="n">
        <v>3</v>
      </c>
      <c r="H798" s="65" t="s">
        <v>667</v>
      </c>
      <c r="I798" s="65" t="s">
        <v>668</v>
      </c>
      <c r="J798" s="65" t="s">
        <v>905</v>
      </c>
      <c r="K798" s="65" t="s">
        <v>1379</v>
      </c>
      <c r="L798" s="65" t="s">
        <v>320</v>
      </c>
      <c r="M798" s="113" t="n">
        <v>1.49</v>
      </c>
      <c r="N798" s="114" t="n">
        <v>40000</v>
      </c>
      <c r="O798" s="114" t="n">
        <v>5600</v>
      </c>
      <c r="P798" s="114" t="n">
        <v>59600</v>
      </c>
      <c r="Q798" s="114" t="n">
        <v>59600</v>
      </c>
      <c r="R798" s="114" t="n">
        <v>0</v>
      </c>
      <c r="S798" s="115" t="n">
        <v>1</v>
      </c>
      <c r="T798" s="65" t="n">
        <v>1.967</v>
      </c>
      <c r="U798" s="65" t="n">
        <v>0</v>
      </c>
      <c r="V798" s="65" t="n">
        <v>457409.35</v>
      </c>
      <c r="W798" s="115" t="n">
        <v>0.0553</v>
      </c>
      <c r="X798" s="112" t="n">
        <v>42535</v>
      </c>
      <c r="Y798" s="65" t="str">
        <f aca="false">IF(I798="","No SIC",IFERROR(VLOOKUP(I798,Ref!$A$2:$B$65,2,FALSE()),"Unclassified"))</f>
        <v>Auto Dealers &amp; Gas Stations</v>
      </c>
      <c r="Z798" s="65" t="str">
        <f aca="false">IF(T798="","",IF(T798&lt;12,"Daily","Weekly"))</f>
        <v>Daily</v>
      </c>
      <c r="AA798" s="65" t="n">
        <f aca="false">IF(T798="",0,IF(T798&lt;12,T798*Controls!$B$29,T798*5))</f>
        <v>42.595385</v>
      </c>
      <c r="AB798" s="65" t="n">
        <f aca="false">IF(E798="",0,NETWORKDAYS(E798,Controls!$B$36,Ref!$K$2:$K$42))</f>
        <v>92</v>
      </c>
      <c r="AC798" s="65" t="n">
        <f aca="false">IF(AND(AA798&gt;0,AB798&gt;=Controls!$B$39*AA798),1,0)</f>
        <v>1</v>
      </c>
      <c r="AD798" s="65" t="n">
        <f aca="false">IF(AND(E798&lt;&gt;"",E798&gt;=Controls!$B$37,E798&lt;=Controls!$B$38),1,0)</f>
        <v>1</v>
      </c>
      <c r="AE798" s="65" t="n">
        <f aca="false">IF(IFERROR(VLOOKUP(D798,Controls!$A$64:$E$74,2,FALSE()),"No")="Yes",1,0)</f>
        <v>0</v>
      </c>
      <c r="AF798" s="65" t="n">
        <f aca="false">IF(IFERROR(VLOOKUP(D798,Controls!$A$64:$E$74,3,FALSE()),"No")="Yes",1,0)</f>
        <v>1</v>
      </c>
      <c r="AG798" s="65" t="n">
        <f aca="false">IF(IFERROR(VLOOKUP(D798,Controls!$A$64:$E$74,4,FALSE()),"No")="Yes",1,0)</f>
        <v>1</v>
      </c>
      <c r="AH798" s="65" t="n">
        <f aca="false">IF(IFERROR(VLOOKUP(D798,Controls!$A$64:$E$74,5,FALSE()),"No")="Yes",1,0)</f>
        <v>0</v>
      </c>
      <c r="AI798" s="65" t="n">
        <f aca="false">IF(ISNUMBER(MATCH(D798,Controls!$A$64:$A$74,0)),1,0)</f>
        <v>1</v>
      </c>
      <c r="AJ798" s="65" t="n">
        <f aca="false">Q798-N798</f>
        <v>19600</v>
      </c>
      <c r="AK798" s="65" t="n">
        <f aca="false">IF(AE798=1,MAX(0,N798-Q798),0)</f>
        <v>0</v>
      </c>
      <c r="AL798" s="65" t="n">
        <f aca="false">IF(OR(V798="",V798=0),0,N798/V798)</f>
        <v>0.0874490213197435</v>
      </c>
      <c r="AM798" s="65" t="n">
        <f aca="false">IF(OR(V798="",V798=0),0,1)</f>
        <v>1</v>
      </c>
      <c r="AN798" s="65" t="n">
        <f aca="false">IF(OR(E798="",F798=""),0,NETWORKDAYS(E798,F798,Ref!$K$2:$K$42))</f>
        <v>37</v>
      </c>
      <c r="AO798" s="65" t="n">
        <f aca="false">IF(L798="Renewal",1,0)</f>
        <v>1</v>
      </c>
      <c r="AP798" s="65" t="n">
        <f aca="false">AC798*AD798</f>
        <v>1</v>
      </c>
      <c r="AQ798" s="65" t="n">
        <f aca="false">IF(AND(G798&lt;&gt;"",'Historical Score'!$C$6&lt;&gt;""),IF(G798='Historical Score'!$C$6,1,0),0)</f>
        <v>0</v>
      </c>
      <c r="AR798" s="65" t="n">
        <f aca="false">IF(AND(L798&lt;&gt;"",'Historical Score'!$C$5&lt;&gt;""),IF(L798='Historical Score'!$C$5,1,0),0)</f>
        <v>0</v>
      </c>
      <c r="AS798" s="65" t="n">
        <f aca="false">IF(AND(Y798&lt;&gt;"",'Historical Score'!$C$7&lt;&gt;""),IF(Y798='Historical Score'!$C$7,1,0),0)</f>
        <v>0</v>
      </c>
      <c r="AT798" s="65" t="n">
        <f aca="false">IF(AND(K798&lt;&gt;"",'Historical Score'!$C$8&lt;&gt;""),IF(K798='Historical Score'!$C$8,1,0),0)</f>
        <v>0</v>
      </c>
      <c r="AU798" s="65" t="n">
        <f aca="false">IF(AND(J798&lt;&gt;"",'Historical Score'!$C$9&lt;&gt;""),IF(J798='Historical Score'!$C$9,1,0),0)</f>
        <v>0</v>
      </c>
      <c r="AV798" s="65" t="n">
        <f aca="false">AR798*AS798*AQ798</f>
        <v>0</v>
      </c>
      <c r="AW798" s="65" t="n">
        <f aca="false">AR798*AT798*AQ798</f>
        <v>0</v>
      </c>
      <c r="AX798" s="65" t="n">
        <f aca="false">AR798*AS798</f>
        <v>0</v>
      </c>
      <c r="AY798" s="65" t="n">
        <f aca="false">AR798*AT798</f>
        <v>0</v>
      </c>
      <c r="AZ798" s="65" t="n">
        <f aca="false">AR798*AQ798</f>
        <v>0</v>
      </c>
      <c r="BA798" s="65" t="n">
        <f aca="false">AR798</f>
        <v>0</v>
      </c>
      <c r="BB798" s="65" t="n">
        <f aca="false">1</f>
        <v>1</v>
      </c>
      <c r="BC798" s="65" t="n">
        <f aca="false">IF(AV798=1,1,IF(AW798=1,2,IF(AX798=1,3,IF(AY798=1,4,IF(AZ798=1,5,IF(BA798=1,6,7))))))</f>
        <v>7</v>
      </c>
      <c r="BD798" s="65" t="n">
        <f aca="false">IF(AD798=1,CHOOSE('Historical Score'!$C$29,AV798,AW798,AX798,AY798,AZ798,BA798,BB798),0)</f>
        <v>0</v>
      </c>
      <c r="BE798" s="65" t="str">
        <f aca="false">IF(BD798=1,COUNTIF($BD$2:BD798,1),"")</f>
        <v/>
      </c>
    </row>
    <row r="799" customFormat="false" ht="15" hidden="false" customHeight="false" outlineLevel="0" collapsed="false">
      <c r="A799" s="65" t="s">
        <v>2558</v>
      </c>
      <c r="B799" s="65" t="s">
        <v>2559</v>
      </c>
      <c r="C799" s="65" t="s">
        <v>2559</v>
      </c>
      <c r="D799" s="65" t="s">
        <v>295</v>
      </c>
      <c r="E799" s="112" t="n">
        <v>46128</v>
      </c>
      <c r="F799" s="112" t="n">
        <v>46233</v>
      </c>
      <c r="G799" s="65" t="n">
        <v>3</v>
      </c>
      <c r="H799" s="65" t="s">
        <v>391</v>
      </c>
      <c r="I799" s="65" t="s">
        <v>392</v>
      </c>
      <c r="J799" s="65" t="s">
        <v>470</v>
      </c>
      <c r="K799" s="65" t="s">
        <v>55</v>
      </c>
      <c r="L799" s="65" t="s">
        <v>64</v>
      </c>
      <c r="M799" s="113" t="n">
        <v>1.49</v>
      </c>
      <c r="N799" s="114" t="n">
        <v>20000</v>
      </c>
      <c r="O799" s="114" t="n">
        <v>2800</v>
      </c>
      <c r="P799" s="114" t="n">
        <v>29800</v>
      </c>
      <c r="Q799" s="114" t="n">
        <v>29765</v>
      </c>
      <c r="R799" s="114" t="n">
        <v>35</v>
      </c>
      <c r="S799" s="115" t="n">
        <v>0.998825503355705</v>
      </c>
      <c r="T799" s="65" t="n">
        <v>3.279</v>
      </c>
      <c r="U799" s="65" t="n">
        <v>1</v>
      </c>
      <c r="V799" s="65" t="n">
        <v>144343.78</v>
      </c>
      <c r="W799" s="115" t="n">
        <v>0.0434</v>
      </c>
      <c r="X799" s="112" t="n">
        <v>44044</v>
      </c>
      <c r="Y799" s="65" t="str">
        <f aca="false">IF(I799="","No SIC",IFERROR(VLOOKUP(I799,Ref!$A$2:$B$65,2,FALSE()),"Unclassified"))</f>
        <v>Real Estate</v>
      </c>
      <c r="Z799" s="65" t="str">
        <f aca="false">IF(T799="","",IF(T799&lt;12,"Daily","Weekly"))</f>
        <v>Daily</v>
      </c>
      <c r="AA799" s="65" t="n">
        <f aca="false">IF(T799="",0,IF(T799&lt;12,T799*Controls!$B$29,T799*5))</f>
        <v>71.006745</v>
      </c>
      <c r="AB799" s="65" t="n">
        <f aca="false">IF(E799="",0,NETWORKDAYS(E799,Controls!$B$36,Ref!$K$2:$K$42))</f>
        <v>92</v>
      </c>
      <c r="AC799" s="65" t="n">
        <f aca="false">IF(AND(AA799&gt;0,AB799&gt;=Controls!$B$39*AA799),1,0)</f>
        <v>1</v>
      </c>
      <c r="AD799" s="65" t="n">
        <f aca="false">IF(AND(E799&lt;&gt;"",E799&gt;=Controls!$B$37,E799&lt;=Controls!$B$38),1,0)</f>
        <v>1</v>
      </c>
      <c r="AE799" s="65" t="n">
        <f aca="false">IF(IFERROR(VLOOKUP(D799,Controls!$A$64:$E$74,2,FALSE()),"No")="Yes",1,0)</f>
        <v>0</v>
      </c>
      <c r="AF799" s="65" t="n">
        <f aca="false">IF(IFERROR(VLOOKUP(D799,Controls!$A$64:$E$74,3,FALSE()),"No")="Yes",1,0)</f>
        <v>0</v>
      </c>
      <c r="AG799" s="65" t="n">
        <f aca="false">IF(IFERROR(VLOOKUP(D799,Controls!$A$64:$E$74,4,FALSE()),"No")="Yes",1,0)</f>
        <v>0</v>
      </c>
      <c r="AH799" s="65" t="n">
        <f aca="false">IF(IFERROR(VLOOKUP(D799,Controls!$A$64:$E$74,5,FALSE()),"No")="Yes",1,0)</f>
        <v>1</v>
      </c>
      <c r="AI799" s="65" t="n">
        <f aca="false">IF(ISNUMBER(MATCH(D799,Controls!$A$64:$A$74,0)),1,0)</f>
        <v>1</v>
      </c>
      <c r="AJ799" s="65" t="n">
        <f aca="false">Q799-N799</f>
        <v>9765</v>
      </c>
      <c r="AK799" s="65" t="n">
        <f aca="false">IF(AE799=1,MAX(0,N799-Q799),0)</f>
        <v>0</v>
      </c>
      <c r="AL799" s="65" t="n">
        <f aca="false">IF(OR(V799="",V799=0),0,N799/V799)</f>
        <v>0.138558100667725</v>
      </c>
      <c r="AM799" s="65" t="n">
        <f aca="false">IF(OR(V799="",V799=0),0,1)</f>
        <v>1</v>
      </c>
      <c r="AN799" s="65" t="n">
        <f aca="false">IF(OR(E799="",F799=""),0,NETWORKDAYS(E799,F799,Ref!$K$2:$K$42))</f>
        <v>74</v>
      </c>
      <c r="AO799" s="65" t="n">
        <f aca="false">IF(L799="Renewal",1,0)</f>
        <v>0</v>
      </c>
      <c r="AP799" s="65" t="n">
        <f aca="false">AC799*AD799</f>
        <v>1</v>
      </c>
      <c r="AQ799" s="65" t="n">
        <f aca="false">IF(AND(G799&lt;&gt;"",'Historical Score'!$C$6&lt;&gt;""),IF(G799='Historical Score'!$C$6,1,0),0)</f>
        <v>0</v>
      </c>
      <c r="AR799" s="65" t="n">
        <f aca="false">IF(AND(L799&lt;&gt;"",'Historical Score'!$C$5&lt;&gt;""),IF(L799='Historical Score'!$C$5,1,0),0)</f>
        <v>1</v>
      </c>
      <c r="AS799" s="65" t="n">
        <f aca="false">IF(AND(Y799&lt;&gt;"",'Historical Score'!$C$7&lt;&gt;""),IF(Y799='Historical Score'!$C$7,1,0),0)</f>
        <v>0</v>
      </c>
      <c r="AT799" s="65" t="n">
        <f aca="false">IF(AND(K799&lt;&gt;"",'Historical Score'!$C$8&lt;&gt;""),IF(K799='Historical Score'!$C$8,1,0),0)</f>
        <v>1</v>
      </c>
      <c r="AU799" s="65" t="n">
        <f aca="false">IF(AND(J799&lt;&gt;"",'Historical Score'!$C$9&lt;&gt;""),IF(J799='Historical Score'!$C$9,1,0),0)</f>
        <v>0</v>
      </c>
      <c r="AV799" s="65" t="n">
        <f aca="false">AR799*AS799*AQ799</f>
        <v>0</v>
      </c>
      <c r="AW799" s="65" t="n">
        <f aca="false">AR799*AT799*AQ799</f>
        <v>0</v>
      </c>
      <c r="AX799" s="65" t="n">
        <f aca="false">AR799*AS799</f>
        <v>0</v>
      </c>
      <c r="AY799" s="65" t="n">
        <f aca="false">AR799*AT799</f>
        <v>1</v>
      </c>
      <c r="AZ799" s="65" t="n">
        <f aca="false">AR799*AQ799</f>
        <v>0</v>
      </c>
      <c r="BA799" s="65" t="n">
        <f aca="false">AR799</f>
        <v>1</v>
      </c>
      <c r="BB799" s="65" t="n">
        <f aca="false">1</f>
        <v>1</v>
      </c>
      <c r="BC799" s="65" t="n">
        <f aca="false">IF(AV799=1,1,IF(AW799=1,2,IF(AX799=1,3,IF(AY799=1,4,IF(AZ799=1,5,IF(BA799=1,6,7))))))</f>
        <v>4</v>
      </c>
      <c r="BD799" s="65" t="n">
        <f aca="false">IF(AD799=1,CHOOSE('Historical Score'!$C$29,AV799,AW799,AX799,AY799,AZ799,BA799,BB799),0)</f>
        <v>0</v>
      </c>
      <c r="BE799" s="65" t="str">
        <f aca="false">IF(BD799=1,COUNTIF($BD$2:BD799,1),"")</f>
        <v/>
      </c>
    </row>
    <row r="800" customFormat="false" ht="15" hidden="false" customHeight="false" outlineLevel="0" collapsed="false">
      <c r="A800" s="65" t="s">
        <v>2560</v>
      </c>
      <c r="B800" s="65" t="s">
        <v>2561</v>
      </c>
      <c r="C800" s="65" t="s">
        <v>2561</v>
      </c>
      <c r="D800" s="65" t="s">
        <v>371</v>
      </c>
      <c r="E800" s="112" t="n">
        <v>46128</v>
      </c>
      <c r="F800" s="112" t="n">
        <v>46218</v>
      </c>
      <c r="G800" s="65" t="n">
        <v>3</v>
      </c>
      <c r="H800" s="65" t="s">
        <v>391</v>
      </c>
      <c r="I800" s="65" t="s">
        <v>392</v>
      </c>
      <c r="J800" s="65" t="s">
        <v>772</v>
      </c>
      <c r="K800" s="65" t="s">
        <v>2397</v>
      </c>
      <c r="L800" s="65" t="s">
        <v>64</v>
      </c>
      <c r="M800" s="113" t="n">
        <v>1.49</v>
      </c>
      <c r="N800" s="114" t="n">
        <v>10000</v>
      </c>
      <c r="O800" s="114" t="n">
        <v>1400</v>
      </c>
      <c r="P800" s="114" t="n">
        <v>14900</v>
      </c>
      <c r="Q800" s="114" t="n">
        <v>14900</v>
      </c>
      <c r="R800" s="114" t="n">
        <v>0</v>
      </c>
      <c r="S800" s="115" t="n">
        <v>1</v>
      </c>
      <c r="T800" s="65" t="n">
        <v>2.459</v>
      </c>
      <c r="U800" s="65" t="n">
        <v>0</v>
      </c>
      <c r="V800" s="65" t="n">
        <v>96907.37</v>
      </c>
      <c r="W800" s="115" t="n">
        <v>0.0431</v>
      </c>
      <c r="X800" s="112" t="n">
        <v>44232</v>
      </c>
      <c r="Y800" s="65" t="str">
        <f aca="false">IF(I800="","No SIC",IFERROR(VLOOKUP(I800,Ref!$A$2:$B$65,2,FALSE()),"Unclassified"))</f>
        <v>Real Estate</v>
      </c>
      <c r="Z800" s="65" t="str">
        <f aca="false">IF(T800="","",IF(T800&lt;12,"Daily","Weekly"))</f>
        <v>Daily</v>
      </c>
      <c r="AA800" s="65" t="n">
        <f aca="false">IF(T800="",0,IF(T800&lt;12,T800*Controls!$B$29,T800*5))</f>
        <v>53.249645</v>
      </c>
      <c r="AB800" s="65" t="n">
        <f aca="false">IF(E800="",0,NETWORKDAYS(E800,Controls!$B$36,Ref!$K$2:$K$42))</f>
        <v>92</v>
      </c>
      <c r="AC800" s="65" t="n">
        <f aca="false">IF(AND(AA800&gt;0,AB800&gt;=Controls!$B$39*AA800),1,0)</f>
        <v>1</v>
      </c>
      <c r="AD800" s="65" t="n">
        <f aca="false">IF(AND(E800&lt;&gt;"",E800&gt;=Controls!$B$37,E800&lt;=Controls!$B$38),1,0)</f>
        <v>1</v>
      </c>
      <c r="AE800" s="65" t="n">
        <f aca="false">IF(IFERROR(VLOOKUP(D800,Controls!$A$64:$E$74,2,FALSE()),"No")="Yes",1,0)</f>
        <v>0</v>
      </c>
      <c r="AF800" s="65" t="n">
        <f aca="false">IF(IFERROR(VLOOKUP(D800,Controls!$A$64:$E$74,3,FALSE()),"No")="Yes",1,0)</f>
        <v>1</v>
      </c>
      <c r="AG800" s="65" t="n">
        <f aca="false">IF(IFERROR(VLOOKUP(D800,Controls!$A$64:$E$74,4,FALSE()),"No")="Yes",1,0)</f>
        <v>1</v>
      </c>
      <c r="AH800" s="65" t="n">
        <f aca="false">IF(IFERROR(VLOOKUP(D800,Controls!$A$64:$E$74,5,FALSE()),"No")="Yes",1,0)</f>
        <v>0</v>
      </c>
      <c r="AI800" s="65" t="n">
        <f aca="false">IF(ISNUMBER(MATCH(D800,Controls!$A$64:$A$74,0)),1,0)</f>
        <v>1</v>
      </c>
      <c r="AJ800" s="65" t="n">
        <f aca="false">Q800-N800</f>
        <v>4900</v>
      </c>
      <c r="AK800" s="65" t="n">
        <f aca="false">IF(AE800=1,MAX(0,N800-Q800),0)</f>
        <v>0</v>
      </c>
      <c r="AL800" s="65" t="n">
        <f aca="false">IF(OR(V800="",V800=0),0,N800/V800)</f>
        <v>0.103191325902251</v>
      </c>
      <c r="AM800" s="65" t="n">
        <f aca="false">IF(OR(V800="",V800=0),0,1)</f>
        <v>1</v>
      </c>
      <c r="AN800" s="65" t="n">
        <f aca="false">IF(OR(E800="",F800=""),0,NETWORKDAYS(E800,F800,Ref!$K$2:$K$42))</f>
        <v>63</v>
      </c>
      <c r="AO800" s="65" t="n">
        <f aca="false">IF(L800="Renewal",1,0)</f>
        <v>0</v>
      </c>
      <c r="AP800" s="65" t="n">
        <f aca="false">AC800*AD800</f>
        <v>1</v>
      </c>
      <c r="AQ800" s="65" t="n">
        <f aca="false">IF(AND(G800&lt;&gt;"",'Historical Score'!$C$6&lt;&gt;""),IF(G800='Historical Score'!$C$6,1,0),0)</f>
        <v>0</v>
      </c>
      <c r="AR800" s="65" t="n">
        <f aca="false">IF(AND(L800&lt;&gt;"",'Historical Score'!$C$5&lt;&gt;""),IF(L800='Historical Score'!$C$5,1,0),0)</f>
        <v>1</v>
      </c>
      <c r="AS800" s="65" t="n">
        <f aca="false">IF(AND(Y800&lt;&gt;"",'Historical Score'!$C$7&lt;&gt;""),IF(Y800='Historical Score'!$C$7,1,0),0)</f>
        <v>0</v>
      </c>
      <c r="AT800" s="65" t="n">
        <f aca="false">IF(AND(K800&lt;&gt;"",'Historical Score'!$C$8&lt;&gt;""),IF(K800='Historical Score'!$C$8,1,0),0)</f>
        <v>0</v>
      </c>
      <c r="AU800" s="65" t="n">
        <f aca="false">IF(AND(J800&lt;&gt;"",'Historical Score'!$C$9&lt;&gt;""),IF(J800='Historical Score'!$C$9,1,0),0)</f>
        <v>0</v>
      </c>
      <c r="AV800" s="65" t="n">
        <f aca="false">AR800*AS800*AQ800</f>
        <v>0</v>
      </c>
      <c r="AW800" s="65" t="n">
        <f aca="false">AR800*AT800*AQ800</f>
        <v>0</v>
      </c>
      <c r="AX800" s="65" t="n">
        <f aca="false">AR800*AS800</f>
        <v>0</v>
      </c>
      <c r="AY800" s="65" t="n">
        <f aca="false">AR800*AT800</f>
        <v>0</v>
      </c>
      <c r="AZ800" s="65" t="n">
        <f aca="false">AR800*AQ800</f>
        <v>0</v>
      </c>
      <c r="BA800" s="65" t="n">
        <f aca="false">AR800</f>
        <v>1</v>
      </c>
      <c r="BB800" s="65" t="n">
        <f aca="false">1</f>
        <v>1</v>
      </c>
      <c r="BC800" s="65" t="n">
        <f aca="false">IF(AV800=1,1,IF(AW800=1,2,IF(AX800=1,3,IF(AY800=1,4,IF(AZ800=1,5,IF(BA800=1,6,7))))))</f>
        <v>6</v>
      </c>
      <c r="BD800" s="65" t="n">
        <f aca="false">IF(AD800=1,CHOOSE('Historical Score'!$C$29,AV800,AW800,AX800,AY800,AZ800,BA800,BB800),0)</f>
        <v>0</v>
      </c>
      <c r="BE800" s="65" t="str">
        <f aca="false">IF(BD800=1,COUNTIF($BD$2:BD800,1),"")</f>
        <v/>
      </c>
    </row>
    <row r="801" customFormat="false" ht="15" hidden="false" customHeight="false" outlineLevel="0" collapsed="false">
      <c r="A801" s="65" t="s">
        <v>2562</v>
      </c>
      <c r="B801" s="65" t="s">
        <v>1732</v>
      </c>
      <c r="C801" s="65" t="s">
        <v>1732</v>
      </c>
      <c r="D801" s="65" t="s">
        <v>371</v>
      </c>
      <c r="E801" s="112" t="n">
        <v>46129</v>
      </c>
      <c r="F801" s="112" t="n">
        <v>46231</v>
      </c>
      <c r="G801" s="65" t="n">
        <v>7</v>
      </c>
      <c r="H801" s="65" t="s">
        <v>463</v>
      </c>
      <c r="I801" s="65" t="s">
        <v>419</v>
      </c>
      <c r="J801" s="65" t="s">
        <v>682</v>
      </c>
      <c r="K801" s="65" t="s">
        <v>394</v>
      </c>
      <c r="L801" s="65" t="s">
        <v>320</v>
      </c>
      <c r="M801" s="113" t="n">
        <v>1.49</v>
      </c>
      <c r="N801" s="114" t="n">
        <v>25000</v>
      </c>
      <c r="O801" s="114" t="n">
        <v>3500</v>
      </c>
      <c r="P801" s="114" t="n">
        <v>37250</v>
      </c>
      <c r="Q801" s="114" t="n">
        <v>37250</v>
      </c>
      <c r="R801" s="114" t="n">
        <v>0</v>
      </c>
      <c r="S801" s="115" t="n">
        <v>1</v>
      </c>
      <c r="T801" s="65" t="n">
        <v>3.934</v>
      </c>
      <c r="U801" s="65" t="n">
        <v>0</v>
      </c>
      <c r="V801" s="65" t="n">
        <v>56609.08</v>
      </c>
      <c r="W801" s="115" t="n">
        <v>0.1152</v>
      </c>
      <c r="X801" s="112" t="n">
        <v>42223</v>
      </c>
      <c r="Y801" s="65" t="str">
        <f aca="false">IF(I801="","No SIC",IFERROR(VLOOKUP(I801,Ref!$A$2:$B$65,2,FALSE()),"Unclassified"))</f>
        <v>Business Services</v>
      </c>
      <c r="Z801" s="65" t="str">
        <f aca="false">IF(T801="","",IF(T801&lt;12,"Daily","Weekly"))</f>
        <v>Daily</v>
      </c>
      <c r="AA801" s="65" t="n">
        <f aca="false">IF(T801="",0,IF(T801&lt;12,T801*Controls!$B$29,T801*5))</f>
        <v>85.19077</v>
      </c>
      <c r="AB801" s="65" t="n">
        <f aca="false">IF(E801="",0,NETWORKDAYS(E801,Controls!$B$36,Ref!$K$2:$K$42))</f>
        <v>91</v>
      </c>
      <c r="AC801" s="65" t="n">
        <f aca="false">IF(AND(AA801&gt;0,AB801&gt;=Controls!$B$39*AA801),1,0)</f>
        <v>0</v>
      </c>
      <c r="AD801" s="65" t="n">
        <f aca="false">IF(AND(E801&lt;&gt;"",E801&gt;=Controls!$B$37,E801&lt;=Controls!$B$38),1,0)</f>
        <v>1</v>
      </c>
      <c r="AE801" s="65" t="n">
        <f aca="false">IF(IFERROR(VLOOKUP(D801,Controls!$A$64:$E$74,2,FALSE()),"No")="Yes",1,0)</f>
        <v>0</v>
      </c>
      <c r="AF801" s="65" t="n">
        <f aca="false">IF(IFERROR(VLOOKUP(D801,Controls!$A$64:$E$74,3,FALSE()),"No")="Yes",1,0)</f>
        <v>1</v>
      </c>
      <c r="AG801" s="65" t="n">
        <f aca="false">IF(IFERROR(VLOOKUP(D801,Controls!$A$64:$E$74,4,FALSE()),"No")="Yes",1,0)</f>
        <v>1</v>
      </c>
      <c r="AH801" s="65" t="n">
        <f aca="false">IF(IFERROR(VLOOKUP(D801,Controls!$A$64:$E$74,5,FALSE()),"No")="Yes",1,0)</f>
        <v>0</v>
      </c>
      <c r="AI801" s="65" t="n">
        <f aca="false">IF(ISNUMBER(MATCH(D801,Controls!$A$64:$A$74,0)),1,0)</f>
        <v>1</v>
      </c>
      <c r="AJ801" s="65" t="n">
        <f aca="false">Q801-N801</f>
        <v>12250</v>
      </c>
      <c r="AK801" s="65" t="n">
        <f aca="false">IF(AE801=1,MAX(0,N801-Q801),0)</f>
        <v>0</v>
      </c>
      <c r="AL801" s="65" t="n">
        <f aca="false">IF(OR(V801="",V801=0),0,N801/V801)</f>
        <v>0.441625265770085</v>
      </c>
      <c r="AM801" s="65" t="n">
        <f aca="false">IF(OR(V801="",V801=0),0,1)</f>
        <v>1</v>
      </c>
      <c r="AN801" s="65" t="n">
        <f aca="false">IF(OR(E801="",F801=""),0,NETWORKDAYS(E801,F801,Ref!$K$2:$K$42))</f>
        <v>71</v>
      </c>
      <c r="AO801" s="65" t="n">
        <f aca="false">IF(L801="Renewal",1,0)</f>
        <v>1</v>
      </c>
      <c r="AP801" s="65" t="n">
        <f aca="false">AC801*AD801</f>
        <v>0</v>
      </c>
      <c r="AQ801" s="65" t="n">
        <f aca="false">IF(AND(G801&lt;&gt;"",'Historical Score'!$C$6&lt;&gt;""),IF(G801='Historical Score'!$C$6,1,0),0)</f>
        <v>0</v>
      </c>
      <c r="AR801" s="65" t="n">
        <f aca="false">IF(AND(L801&lt;&gt;"",'Historical Score'!$C$5&lt;&gt;""),IF(L801='Historical Score'!$C$5,1,0),0)</f>
        <v>0</v>
      </c>
      <c r="AS801" s="65" t="n">
        <f aca="false">IF(AND(Y801&lt;&gt;"",'Historical Score'!$C$7&lt;&gt;""),IF(Y801='Historical Score'!$C$7,1,0),0)</f>
        <v>0</v>
      </c>
      <c r="AT801" s="65" t="n">
        <f aca="false">IF(AND(K801&lt;&gt;"",'Historical Score'!$C$8&lt;&gt;""),IF(K801='Historical Score'!$C$8,1,0),0)</f>
        <v>0</v>
      </c>
      <c r="AU801" s="65" t="n">
        <f aca="false">IF(AND(J801&lt;&gt;"",'Historical Score'!$C$9&lt;&gt;""),IF(J801='Historical Score'!$C$9,1,0),0)</f>
        <v>0</v>
      </c>
      <c r="AV801" s="65" t="n">
        <f aca="false">AR801*AS801*AQ801</f>
        <v>0</v>
      </c>
      <c r="AW801" s="65" t="n">
        <f aca="false">AR801*AT801*AQ801</f>
        <v>0</v>
      </c>
      <c r="AX801" s="65" t="n">
        <f aca="false">AR801*AS801</f>
        <v>0</v>
      </c>
      <c r="AY801" s="65" t="n">
        <f aca="false">AR801*AT801</f>
        <v>0</v>
      </c>
      <c r="AZ801" s="65" t="n">
        <f aca="false">AR801*AQ801</f>
        <v>0</v>
      </c>
      <c r="BA801" s="65" t="n">
        <f aca="false">AR801</f>
        <v>0</v>
      </c>
      <c r="BB801" s="65" t="n">
        <f aca="false">1</f>
        <v>1</v>
      </c>
      <c r="BC801" s="65" t="n">
        <f aca="false">IF(AV801=1,1,IF(AW801=1,2,IF(AX801=1,3,IF(AY801=1,4,IF(AZ801=1,5,IF(BA801=1,6,7))))))</f>
        <v>7</v>
      </c>
      <c r="BD801" s="65" t="n">
        <f aca="false">IF(AD801=1,CHOOSE('Historical Score'!$C$29,AV801,AW801,AX801,AY801,AZ801,BA801,BB801),0)</f>
        <v>0</v>
      </c>
      <c r="BE801" s="65" t="str">
        <f aca="false">IF(BD801=1,COUNTIF($BD$2:BD801,1),"")</f>
        <v/>
      </c>
    </row>
    <row r="802" customFormat="false" ht="15" hidden="false" customHeight="false" outlineLevel="0" collapsed="false">
      <c r="A802" s="65" t="s">
        <v>2563</v>
      </c>
      <c r="B802" s="65" t="s">
        <v>2564</v>
      </c>
      <c r="C802" s="65" t="s">
        <v>2564</v>
      </c>
      <c r="D802" s="65" t="s">
        <v>533</v>
      </c>
      <c r="E802" s="112" t="n">
        <v>46129</v>
      </c>
      <c r="F802" s="112" t="n">
        <v>46203</v>
      </c>
      <c r="G802" s="65" t="n">
        <v>3</v>
      </c>
      <c r="H802" s="65" t="s">
        <v>442</v>
      </c>
      <c r="I802" s="65" t="s">
        <v>443</v>
      </c>
      <c r="J802" s="65" t="s">
        <v>61</v>
      </c>
      <c r="K802" s="65" t="s">
        <v>578</v>
      </c>
      <c r="L802" s="65" t="s">
        <v>64</v>
      </c>
      <c r="M802" s="113" t="n">
        <v>1.49</v>
      </c>
      <c r="N802" s="114" t="n">
        <v>3500</v>
      </c>
      <c r="O802" s="114" t="n">
        <v>490</v>
      </c>
      <c r="P802" s="114" t="n">
        <v>5215</v>
      </c>
      <c r="Q802" s="114" t="n">
        <v>1490.82</v>
      </c>
      <c r="R802" s="114" t="n">
        <v>3724.18</v>
      </c>
      <c r="S802" s="115" t="n">
        <v>0.285871524448706</v>
      </c>
      <c r="T802" s="65" t="n">
        <v>2.295</v>
      </c>
      <c r="U802" s="65" t="n">
        <v>19</v>
      </c>
      <c r="V802" s="65" t="n">
        <v>23956.58</v>
      </c>
      <c r="W802" s="115" t="n">
        <v>0.0653</v>
      </c>
      <c r="X802" s="112" t="n">
        <v>45139</v>
      </c>
      <c r="Y802" s="65" t="str">
        <f aca="false">IF(I802="","No SIC",IFERROR(VLOOKUP(I802,Ref!$A$2:$B$65,2,FALSE()),"Unclassified"))</f>
        <v>General Building Contractors</v>
      </c>
      <c r="Z802" s="65" t="str">
        <f aca="false">IF(T802="","",IF(T802&lt;12,"Daily","Weekly"))</f>
        <v>Daily</v>
      </c>
      <c r="AA802" s="65" t="n">
        <f aca="false">IF(T802="",0,IF(T802&lt;12,T802*Controls!$B$29,T802*5))</f>
        <v>49.698225</v>
      </c>
      <c r="AB802" s="65" t="n">
        <f aca="false">IF(E802="",0,NETWORKDAYS(E802,Controls!$B$36,Ref!$K$2:$K$42))</f>
        <v>91</v>
      </c>
      <c r="AC802" s="65" t="n">
        <f aca="false">IF(AND(AA802&gt;0,AB802&gt;=Controls!$B$39*AA802),1,0)</f>
        <v>1</v>
      </c>
      <c r="AD802" s="65" t="n">
        <f aca="false">IF(AND(E802&lt;&gt;"",E802&gt;=Controls!$B$37,E802&lt;=Controls!$B$38),1,0)</f>
        <v>1</v>
      </c>
      <c r="AE802" s="65" t="n">
        <f aca="false">IF(IFERROR(VLOOKUP(D802,Controls!$A$64:$E$74,2,FALSE()),"No")="Yes",1,0)</f>
        <v>1</v>
      </c>
      <c r="AF802" s="65" t="n">
        <f aca="false">IF(IFERROR(VLOOKUP(D802,Controls!$A$64:$E$74,3,FALSE()),"No")="Yes",1,0)</f>
        <v>0</v>
      </c>
      <c r="AG802" s="65" t="n">
        <f aca="false">IF(IFERROR(VLOOKUP(D802,Controls!$A$64:$E$74,4,FALSE()),"No")="Yes",1,0)</f>
        <v>0</v>
      </c>
      <c r="AH802" s="65" t="n">
        <f aca="false">IF(IFERROR(VLOOKUP(D802,Controls!$A$64:$E$74,5,FALSE()),"No")="Yes",1,0)</f>
        <v>0</v>
      </c>
      <c r="AI802" s="65" t="n">
        <f aca="false">IF(ISNUMBER(MATCH(D802,Controls!$A$64:$A$74,0)),1,0)</f>
        <v>1</v>
      </c>
      <c r="AJ802" s="65" t="n">
        <f aca="false">Q802-N802</f>
        <v>-2009.18</v>
      </c>
      <c r="AK802" s="65" t="n">
        <f aca="false">IF(AE802=1,MAX(0,N802-Q802),0)</f>
        <v>2009.18</v>
      </c>
      <c r="AL802" s="65" t="n">
        <f aca="false">IF(OR(V802="",V802=0),0,N802/V802)</f>
        <v>0.146097648328768</v>
      </c>
      <c r="AM802" s="65" t="n">
        <f aca="false">IF(OR(V802="",V802=0),0,1)</f>
        <v>1</v>
      </c>
      <c r="AN802" s="65" t="n">
        <f aca="false">IF(OR(E802="",F802=""),0,NETWORKDAYS(E802,F802,Ref!$K$2:$K$42))</f>
        <v>51</v>
      </c>
      <c r="AO802" s="65" t="n">
        <f aca="false">IF(L802="Renewal",1,0)</f>
        <v>0</v>
      </c>
      <c r="AP802" s="65" t="n">
        <f aca="false">AC802*AD802</f>
        <v>1</v>
      </c>
      <c r="AQ802" s="65" t="n">
        <f aca="false">IF(AND(G802&lt;&gt;"",'Historical Score'!$C$6&lt;&gt;""),IF(G802='Historical Score'!$C$6,1,0),0)</f>
        <v>0</v>
      </c>
      <c r="AR802" s="65" t="n">
        <f aca="false">IF(AND(L802&lt;&gt;"",'Historical Score'!$C$5&lt;&gt;""),IF(L802='Historical Score'!$C$5,1,0),0)</f>
        <v>1</v>
      </c>
      <c r="AS802" s="65" t="n">
        <f aca="false">IF(AND(Y802&lt;&gt;"",'Historical Score'!$C$7&lt;&gt;""),IF(Y802='Historical Score'!$C$7,1,0),0)</f>
        <v>1</v>
      </c>
      <c r="AT802" s="65" t="n">
        <f aca="false">IF(AND(K802&lt;&gt;"",'Historical Score'!$C$8&lt;&gt;""),IF(K802='Historical Score'!$C$8,1,0),0)</f>
        <v>0</v>
      </c>
      <c r="AU802" s="65" t="n">
        <f aca="false">IF(AND(J802&lt;&gt;"",'Historical Score'!$C$9&lt;&gt;""),IF(J802='Historical Score'!$C$9,1,0),0)</f>
        <v>1</v>
      </c>
      <c r="AV802" s="65" t="n">
        <f aca="false">AR802*AS802*AQ802</f>
        <v>0</v>
      </c>
      <c r="AW802" s="65" t="n">
        <f aca="false">AR802*AT802*AQ802</f>
        <v>0</v>
      </c>
      <c r="AX802" s="65" t="n">
        <f aca="false">AR802*AS802</f>
        <v>1</v>
      </c>
      <c r="AY802" s="65" t="n">
        <f aca="false">AR802*AT802</f>
        <v>0</v>
      </c>
      <c r="AZ802" s="65" t="n">
        <f aca="false">AR802*AQ802</f>
        <v>0</v>
      </c>
      <c r="BA802" s="65" t="n">
        <f aca="false">AR802</f>
        <v>1</v>
      </c>
      <c r="BB802" s="65" t="n">
        <f aca="false">1</f>
        <v>1</v>
      </c>
      <c r="BC802" s="65" t="n">
        <f aca="false">IF(AV802=1,1,IF(AW802=1,2,IF(AX802=1,3,IF(AY802=1,4,IF(AZ802=1,5,IF(BA802=1,6,7))))))</f>
        <v>3</v>
      </c>
      <c r="BD802" s="65" t="n">
        <f aca="false">IF(AD802=1,CHOOSE('Historical Score'!$C$29,AV802,AW802,AX802,AY802,AZ802,BA802,BB802),0)</f>
        <v>0</v>
      </c>
      <c r="BE802" s="65" t="str">
        <f aca="false">IF(BD802=1,COUNTIF($BD$2:BD802,1),"")</f>
        <v/>
      </c>
    </row>
    <row r="803" customFormat="false" ht="15" hidden="false" customHeight="false" outlineLevel="0" collapsed="false">
      <c r="A803" s="65" t="s">
        <v>2565</v>
      </c>
      <c r="B803" s="65" t="s">
        <v>1875</v>
      </c>
      <c r="C803" s="65" t="s">
        <v>1875</v>
      </c>
      <c r="D803" s="65" t="s">
        <v>295</v>
      </c>
      <c r="E803" s="112" t="n">
        <v>46132</v>
      </c>
      <c r="F803" s="112" t="n">
        <v>46248</v>
      </c>
      <c r="G803" s="65" t="n">
        <v>3</v>
      </c>
      <c r="H803" s="65" t="s">
        <v>391</v>
      </c>
      <c r="I803" s="65" t="s">
        <v>392</v>
      </c>
      <c r="J803" s="65" t="s">
        <v>373</v>
      </c>
      <c r="K803" s="65" t="s">
        <v>983</v>
      </c>
      <c r="L803" s="65" t="s">
        <v>320</v>
      </c>
      <c r="M803" s="113" t="n">
        <v>1.49</v>
      </c>
      <c r="N803" s="114" t="n">
        <v>40000</v>
      </c>
      <c r="O803" s="114" t="n">
        <v>5600</v>
      </c>
      <c r="P803" s="114" t="n">
        <v>59600</v>
      </c>
      <c r="Q803" s="114" t="n">
        <v>16385.49</v>
      </c>
      <c r="R803" s="114" t="n">
        <v>43214.51</v>
      </c>
      <c r="S803" s="115" t="n">
        <v>0.27492432885906</v>
      </c>
      <c r="T803" s="65" t="n">
        <v>40</v>
      </c>
      <c r="U803" s="65" t="n">
        <v>6</v>
      </c>
      <c r="V803" s="65" t="n">
        <v>40259.29</v>
      </c>
      <c r="W803" s="115" t="n">
        <v>0.148</v>
      </c>
      <c r="X803" s="112" t="n">
        <v>43466</v>
      </c>
      <c r="Y803" s="65" t="str">
        <f aca="false">IF(I803="","No SIC",IFERROR(VLOOKUP(I803,Ref!$A$2:$B$65,2,FALSE()),"Unclassified"))</f>
        <v>Real Estate</v>
      </c>
      <c r="Z803" s="65" t="str">
        <f aca="false">IF(T803="","",IF(T803&lt;12,"Daily","Weekly"))</f>
        <v>Weekly</v>
      </c>
      <c r="AA803" s="65" t="n">
        <f aca="false">IF(T803="",0,IF(T803&lt;12,T803*Controls!$B$29,T803*5))</f>
        <v>200</v>
      </c>
      <c r="AB803" s="65" t="n">
        <f aca="false">IF(E803="",0,NETWORKDAYS(E803,Controls!$B$36,Ref!$K$2:$K$42))</f>
        <v>90</v>
      </c>
      <c r="AC803" s="65" t="n">
        <f aca="false">IF(AND(AA803&gt;0,AB803&gt;=Controls!$B$39*AA803),1,0)</f>
        <v>0</v>
      </c>
      <c r="AD803" s="65" t="n">
        <f aca="false">IF(AND(E803&lt;&gt;"",E803&gt;=Controls!$B$37,E803&lt;=Controls!$B$38),1,0)</f>
        <v>1</v>
      </c>
      <c r="AE803" s="65" t="n">
        <f aca="false">IF(IFERROR(VLOOKUP(D803,Controls!$A$64:$E$74,2,FALSE()),"No")="Yes",1,0)</f>
        <v>0</v>
      </c>
      <c r="AF803" s="65" t="n">
        <f aca="false">IF(IFERROR(VLOOKUP(D803,Controls!$A$64:$E$74,3,FALSE()),"No")="Yes",1,0)</f>
        <v>0</v>
      </c>
      <c r="AG803" s="65" t="n">
        <f aca="false">IF(IFERROR(VLOOKUP(D803,Controls!$A$64:$E$74,4,FALSE()),"No")="Yes",1,0)</f>
        <v>0</v>
      </c>
      <c r="AH803" s="65" t="n">
        <f aca="false">IF(IFERROR(VLOOKUP(D803,Controls!$A$64:$E$74,5,FALSE()),"No")="Yes",1,0)</f>
        <v>1</v>
      </c>
      <c r="AI803" s="65" t="n">
        <f aca="false">IF(ISNUMBER(MATCH(D803,Controls!$A$64:$A$74,0)),1,0)</f>
        <v>1</v>
      </c>
      <c r="AJ803" s="65" t="n">
        <f aca="false">Q803-N803</f>
        <v>-23614.51</v>
      </c>
      <c r="AK803" s="65" t="n">
        <f aca="false">IF(AE803=1,MAX(0,N803-Q803),0)</f>
        <v>0</v>
      </c>
      <c r="AL803" s="65" t="n">
        <f aca="false">IF(OR(V803="",V803=0),0,N803/V803)</f>
        <v>0.993559498938009</v>
      </c>
      <c r="AM803" s="65" t="n">
        <f aca="false">IF(OR(V803="",V803=0),0,1)</f>
        <v>1</v>
      </c>
      <c r="AN803" s="65" t="n">
        <f aca="false">IF(OR(E803="",F803=""),0,NETWORKDAYS(E803,F803,Ref!$K$2:$K$42))</f>
        <v>83</v>
      </c>
      <c r="AO803" s="65" t="n">
        <f aca="false">IF(L803="Renewal",1,0)</f>
        <v>1</v>
      </c>
      <c r="AP803" s="65" t="n">
        <f aca="false">AC803*AD803</f>
        <v>0</v>
      </c>
      <c r="AQ803" s="65" t="n">
        <f aca="false">IF(AND(G803&lt;&gt;"",'Historical Score'!$C$6&lt;&gt;""),IF(G803='Historical Score'!$C$6,1,0),0)</f>
        <v>0</v>
      </c>
      <c r="AR803" s="65" t="n">
        <f aca="false">IF(AND(L803&lt;&gt;"",'Historical Score'!$C$5&lt;&gt;""),IF(L803='Historical Score'!$C$5,1,0),0)</f>
        <v>0</v>
      </c>
      <c r="AS803" s="65" t="n">
        <f aca="false">IF(AND(Y803&lt;&gt;"",'Historical Score'!$C$7&lt;&gt;""),IF(Y803='Historical Score'!$C$7,1,0),0)</f>
        <v>0</v>
      </c>
      <c r="AT803" s="65" t="n">
        <f aca="false">IF(AND(K803&lt;&gt;"",'Historical Score'!$C$8&lt;&gt;""),IF(K803='Historical Score'!$C$8,1,0),0)</f>
        <v>0</v>
      </c>
      <c r="AU803" s="65" t="n">
        <f aca="false">IF(AND(J803&lt;&gt;"",'Historical Score'!$C$9&lt;&gt;""),IF(J803='Historical Score'!$C$9,1,0),0)</f>
        <v>0</v>
      </c>
      <c r="AV803" s="65" t="n">
        <f aca="false">AR803*AS803*AQ803</f>
        <v>0</v>
      </c>
      <c r="AW803" s="65" t="n">
        <f aca="false">AR803*AT803*AQ803</f>
        <v>0</v>
      </c>
      <c r="AX803" s="65" t="n">
        <f aca="false">AR803*AS803</f>
        <v>0</v>
      </c>
      <c r="AY803" s="65" t="n">
        <f aca="false">AR803*AT803</f>
        <v>0</v>
      </c>
      <c r="AZ803" s="65" t="n">
        <f aca="false">AR803*AQ803</f>
        <v>0</v>
      </c>
      <c r="BA803" s="65" t="n">
        <f aca="false">AR803</f>
        <v>0</v>
      </c>
      <c r="BB803" s="65" t="n">
        <f aca="false">1</f>
        <v>1</v>
      </c>
      <c r="BC803" s="65" t="n">
        <f aca="false">IF(AV803=1,1,IF(AW803=1,2,IF(AX803=1,3,IF(AY803=1,4,IF(AZ803=1,5,IF(BA803=1,6,7))))))</f>
        <v>7</v>
      </c>
      <c r="BD803" s="65" t="n">
        <f aca="false">IF(AD803=1,CHOOSE('Historical Score'!$C$29,AV803,AW803,AX803,AY803,AZ803,BA803,BB803),0)</f>
        <v>0</v>
      </c>
      <c r="BE803" s="65" t="str">
        <f aca="false">IF(BD803=1,COUNTIF($BD$2:BD803,1),"")</f>
        <v/>
      </c>
    </row>
    <row r="804" customFormat="false" ht="15" hidden="false" customHeight="false" outlineLevel="0" collapsed="false">
      <c r="A804" s="65" t="s">
        <v>2566</v>
      </c>
      <c r="B804" s="65" t="s">
        <v>2113</v>
      </c>
      <c r="C804" s="65" t="s">
        <v>2113</v>
      </c>
      <c r="D804" s="65" t="s">
        <v>371</v>
      </c>
      <c r="E804" s="112" t="n">
        <v>46132</v>
      </c>
      <c r="F804" s="112" t="n">
        <v>46230</v>
      </c>
      <c r="G804" s="65" t="n">
        <v>3</v>
      </c>
      <c r="H804" s="65" t="s">
        <v>2567</v>
      </c>
      <c r="I804" s="65" t="s">
        <v>2302</v>
      </c>
      <c r="J804" s="65" t="s">
        <v>61</v>
      </c>
      <c r="K804" s="65" t="s">
        <v>55</v>
      </c>
      <c r="L804" s="65" t="s">
        <v>320</v>
      </c>
      <c r="M804" s="113" t="n">
        <v>1.49</v>
      </c>
      <c r="N804" s="114" t="n">
        <v>30000</v>
      </c>
      <c r="O804" s="114" t="n">
        <v>4200</v>
      </c>
      <c r="P804" s="114" t="n">
        <v>44700</v>
      </c>
      <c r="Q804" s="114" t="n">
        <v>44700</v>
      </c>
      <c r="R804" s="114" t="n">
        <v>0</v>
      </c>
      <c r="S804" s="115" t="n">
        <v>1</v>
      </c>
      <c r="T804" s="65" t="n">
        <v>26</v>
      </c>
      <c r="U804" s="65" t="n">
        <v>0</v>
      </c>
      <c r="V804" s="65" t="n">
        <v>45291.67</v>
      </c>
      <c r="W804" s="115" t="n">
        <v>0.1518</v>
      </c>
      <c r="X804" s="112" t="n">
        <v>44427</v>
      </c>
      <c r="Y804" s="65" t="str">
        <f aca="false">IF(I804="","No SIC",IFERROR(VLOOKUP(I804,Ref!$A$2:$B$65,2,FALSE()),"Unclassified"))</f>
        <v>Security &amp; Commodity Brokers</v>
      </c>
      <c r="Z804" s="65" t="str">
        <f aca="false">IF(T804="","",IF(T804&lt;12,"Daily","Weekly"))</f>
        <v>Weekly</v>
      </c>
      <c r="AA804" s="65" t="n">
        <f aca="false">IF(T804="",0,IF(T804&lt;12,T804*Controls!$B$29,T804*5))</f>
        <v>130</v>
      </c>
      <c r="AB804" s="65" t="n">
        <f aca="false">IF(E804="",0,NETWORKDAYS(E804,Controls!$B$36,Ref!$K$2:$K$42))</f>
        <v>90</v>
      </c>
      <c r="AC804" s="65" t="n">
        <f aca="false">IF(AND(AA804&gt;0,AB804&gt;=Controls!$B$39*AA804),1,0)</f>
        <v>0</v>
      </c>
      <c r="AD804" s="65" t="n">
        <f aca="false">IF(AND(E804&lt;&gt;"",E804&gt;=Controls!$B$37,E804&lt;=Controls!$B$38),1,0)</f>
        <v>1</v>
      </c>
      <c r="AE804" s="65" t="n">
        <f aca="false">IF(IFERROR(VLOOKUP(D804,Controls!$A$64:$E$74,2,FALSE()),"No")="Yes",1,0)</f>
        <v>0</v>
      </c>
      <c r="AF804" s="65" t="n">
        <f aca="false">IF(IFERROR(VLOOKUP(D804,Controls!$A$64:$E$74,3,FALSE()),"No")="Yes",1,0)</f>
        <v>1</v>
      </c>
      <c r="AG804" s="65" t="n">
        <f aca="false">IF(IFERROR(VLOOKUP(D804,Controls!$A$64:$E$74,4,FALSE()),"No")="Yes",1,0)</f>
        <v>1</v>
      </c>
      <c r="AH804" s="65" t="n">
        <f aca="false">IF(IFERROR(VLOOKUP(D804,Controls!$A$64:$E$74,5,FALSE()),"No")="Yes",1,0)</f>
        <v>0</v>
      </c>
      <c r="AI804" s="65" t="n">
        <f aca="false">IF(ISNUMBER(MATCH(D804,Controls!$A$64:$A$74,0)),1,0)</f>
        <v>1</v>
      </c>
      <c r="AJ804" s="65" t="n">
        <f aca="false">Q804-N804</f>
        <v>14700</v>
      </c>
      <c r="AK804" s="65" t="n">
        <f aca="false">IF(AE804=1,MAX(0,N804-Q804),0)</f>
        <v>0</v>
      </c>
      <c r="AL804" s="65" t="n">
        <f aca="false">IF(OR(V804="",V804=0),0,N804/V804)</f>
        <v>0.662373456311061</v>
      </c>
      <c r="AM804" s="65" t="n">
        <f aca="false">IF(OR(V804="",V804=0),0,1)</f>
        <v>1</v>
      </c>
      <c r="AN804" s="65" t="n">
        <f aca="false">IF(OR(E804="",F804=""),0,NETWORKDAYS(E804,F804,Ref!$K$2:$K$42))</f>
        <v>69</v>
      </c>
      <c r="AO804" s="65" t="n">
        <f aca="false">IF(L804="Renewal",1,0)</f>
        <v>1</v>
      </c>
      <c r="AP804" s="65" t="n">
        <f aca="false">AC804*AD804</f>
        <v>0</v>
      </c>
      <c r="AQ804" s="65" t="n">
        <f aca="false">IF(AND(G804&lt;&gt;"",'Historical Score'!$C$6&lt;&gt;""),IF(G804='Historical Score'!$C$6,1,0),0)</f>
        <v>0</v>
      </c>
      <c r="AR804" s="65" t="n">
        <f aca="false">IF(AND(L804&lt;&gt;"",'Historical Score'!$C$5&lt;&gt;""),IF(L804='Historical Score'!$C$5,1,0),0)</f>
        <v>0</v>
      </c>
      <c r="AS804" s="65" t="n">
        <f aca="false">IF(AND(Y804&lt;&gt;"",'Historical Score'!$C$7&lt;&gt;""),IF(Y804='Historical Score'!$C$7,1,0),0)</f>
        <v>0</v>
      </c>
      <c r="AT804" s="65" t="n">
        <f aca="false">IF(AND(K804&lt;&gt;"",'Historical Score'!$C$8&lt;&gt;""),IF(K804='Historical Score'!$C$8,1,0),0)</f>
        <v>1</v>
      </c>
      <c r="AU804" s="65" t="n">
        <f aca="false">IF(AND(J804&lt;&gt;"",'Historical Score'!$C$9&lt;&gt;""),IF(J804='Historical Score'!$C$9,1,0),0)</f>
        <v>1</v>
      </c>
      <c r="AV804" s="65" t="n">
        <f aca="false">AR804*AS804*AQ804</f>
        <v>0</v>
      </c>
      <c r="AW804" s="65" t="n">
        <f aca="false">AR804*AT804*AQ804</f>
        <v>0</v>
      </c>
      <c r="AX804" s="65" t="n">
        <f aca="false">AR804*AS804</f>
        <v>0</v>
      </c>
      <c r="AY804" s="65" t="n">
        <f aca="false">AR804*AT804</f>
        <v>0</v>
      </c>
      <c r="AZ804" s="65" t="n">
        <f aca="false">AR804*AQ804</f>
        <v>0</v>
      </c>
      <c r="BA804" s="65" t="n">
        <f aca="false">AR804</f>
        <v>0</v>
      </c>
      <c r="BB804" s="65" t="n">
        <f aca="false">1</f>
        <v>1</v>
      </c>
      <c r="BC804" s="65" t="n">
        <f aca="false">IF(AV804=1,1,IF(AW804=1,2,IF(AX804=1,3,IF(AY804=1,4,IF(AZ804=1,5,IF(BA804=1,6,7))))))</f>
        <v>7</v>
      </c>
      <c r="BD804" s="65" t="n">
        <f aca="false">IF(AD804=1,CHOOSE('Historical Score'!$C$29,AV804,AW804,AX804,AY804,AZ804,BA804,BB804),0)</f>
        <v>0</v>
      </c>
      <c r="BE804" s="65" t="str">
        <f aca="false">IF(BD804=1,COUNTIF($BD$2:BD804,1),"")</f>
        <v/>
      </c>
    </row>
    <row r="805" customFormat="false" ht="15" hidden="false" customHeight="false" outlineLevel="0" collapsed="false">
      <c r="A805" s="65" t="s">
        <v>2568</v>
      </c>
      <c r="B805" s="65" t="s">
        <v>2569</v>
      </c>
      <c r="C805" s="65" t="s">
        <v>2570</v>
      </c>
      <c r="D805" s="65" t="s">
        <v>295</v>
      </c>
      <c r="E805" s="112" t="n">
        <v>46132</v>
      </c>
      <c r="F805" s="112" t="n">
        <v>46248</v>
      </c>
      <c r="G805" s="65" t="n">
        <v>3</v>
      </c>
      <c r="H805" s="65" t="s">
        <v>409</v>
      </c>
      <c r="I805" s="65" t="s">
        <v>342</v>
      </c>
      <c r="J805" s="65" t="s">
        <v>386</v>
      </c>
      <c r="K805" s="65" t="s">
        <v>983</v>
      </c>
      <c r="L805" s="65" t="s">
        <v>64</v>
      </c>
      <c r="M805" s="113" t="n">
        <v>1.4</v>
      </c>
      <c r="N805" s="114" t="n">
        <v>20000</v>
      </c>
      <c r="O805" s="114" t="n">
        <v>1900</v>
      </c>
      <c r="P805" s="114" t="n">
        <v>28000</v>
      </c>
      <c r="Q805" s="114" t="n">
        <v>15410.78</v>
      </c>
      <c r="R805" s="114" t="n">
        <v>12589.22</v>
      </c>
      <c r="S805" s="115" t="n">
        <v>0.550385</v>
      </c>
      <c r="T805" s="65" t="n">
        <v>20</v>
      </c>
      <c r="U805" s="65" t="n">
        <v>6</v>
      </c>
      <c r="V805" s="65" t="n">
        <v>94025.76</v>
      </c>
      <c r="W805" s="115" t="n">
        <v>0.0596</v>
      </c>
      <c r="X805" s="112" t="n">
        <v>38949</v>
      </c>
      <c r="Y805" s="65" t="str">
        <f aca="false">IF(I805="","No SIC",IFERROR(VLOOKUP(I805,Ref!$A$2:$B$65,2,FALSE()),"Unclassified"))</f>
        <v>Eating &amp; Drinking Places</v>
      </c>
      <c r="Z805" s="65" t="str">
        <f aca="false">IF(T805="","",IF(T805&lt;12,"Daily","Weekly"))</f>
        <v>Weekly</v>
      </c>
      <c r="AA805" s="65" t="n">
        <f aca="false">IF(T805="",0,IF(T805&lt;12,T805*Controls!$B$29,T805*5))</f>
        <v>100</v>
      </c>
      <c r="AB805" s="65" t="n">
        <f aca="false">IF(E805="",0,NETWORKDAYS(E805,Controls!$B$36,Ref!$K$2:$K$42))</f>
        <v>90</v>
      </c>
      <c r="AC805" s="65" t="n">
        <f aca="false">IF(AND(AA805&gt;0,AB805&gt;=Controls!$B$39*AA805),1,0)</f>
        <v>0</v>
      </c>
      <c r="AD805" s="65" t="n">
        <f aca="false">IF(AND(E805&lt;&gt;"",E805&gt;=Controls!$B$37,E805&lt;=Controls!$B$38),1,0)</f>
        <v>1</v>
      </c>
      <c r="AE805" s="65" t="n">
        <f aca="false">IF(IFERROR(VLOOKUP(D805,Controls!$A$64:$E$74,2,FALSE()),"No")="Yes",1,0)</f>
        <v>0</v>
      </c>
      <c r="AF805" s="65" t="n">
        <f aca="false">IF(IFERROR(VLOOKUP(D805,Controls!$A$64:$E$74,3,FALSE()),"No")="Yes",1,0)</f>
        <v>0</v>
      </c>
      <c r="AG805" s="65" t="n">
        <f aca="false">IF(IFERROR(VLOOKUP(D805,Controls!$A$64:$E$74,4,FALSE()),"No")="Yes",1,0)</f>
        <v>0</v>
      </c>
      <c r="AH805" s="65" t="n">
        <f aca="false">IF(IFERROR(VLOOKUP(D805,Controls!$A$64:$E$74,5,FALSE()),"No")="Yes",1,0)</f>
        <v>1</v>
      </c>
      <c r="AI805" s="65" t="n">
        <f aca="false">IF(ISNUMBER(MATCH(D805,Controls!$A$64:$A$74,0)),1,0)</f>
        <v>1</v>
      </c>
      <c r="AJ805" s="65" t="n">
        <f aca="false">Q805-N805</f>
        <v>-4589.22</v>
      </c>
      <c r="AK805" s="65" t="n">
        <f aca="false">IF(AE805=1,MAX(0,N805-Q805),0)</f>
        <v>0</v>
      </c>
      <c r="AL805" s="65" t="n">
        <f aca="false">IF(OR(V805="",V805=0),0,N805/V805)</f>
        <v>0.212707666494799</v>
      </c>
      <c r="AM805" s="65" t="n">
        <f aca="false">IF(OR(V805="",V805=0),0,1)</f>
        <v>1</v>
      </c>
      <c r="AN805" s="65" t="n">
        <f aca="false">IF(OR(E805="",F805=""),0,NETWORKDAYS(E805,F805,Ref!$K$2:$K$42))</f>
        <v>83</v>
      </c>
      <c r="AO805" s="65" t="n">
        <f aca="false">IF(L805="Renewal",1,0)</f>
        <v>0</v>
      </c>
      <c r="AP805" s="65" t="n">
        <f aca="false">AC805*AD805</f>
        <v>0</v>
      </c>
      <c r="AQ805" s="65" t="n">
        <f aca="false">IF(AND(G805&lt;&gt;"",'Historical Score'!$C$6&lt;&gt;""),IF(G805='Historical Score'!$C$6,1,0),0)</f>
        <v>0</v>
      </c>
      <c r="AR805" s="65" t="n">
        <f aca="false">IF(AND(L805&lt;&gt;"",'Historical Score'!$C$5&lt;&gt;""),IF(L805='Historical Score'!$C$5,1,0),0)</f>
        <v>1</v>
      </c>
      <c r="AS805" s="65" t="n">
        <f aca="false">IF(AND(Y805&lt;&gt;"",'Historical Score'!$C$7&lt;&gt;""),IF(Y805='Historical Score'!$C$7,1,0),0)</f>
        <v>0</v>
      </c>
      <c r="AT805" s="65" t="n">
        <f aca="false">IF(AND(K805&lt;&gt;"",'Historical Score'!$C$8&lt;&gt;""),IF(K805='Historical Score'!$C$8,1,0),0)</f>
        <v>0</v>
      </c>
      <c r="AU805" s="65" t="n">
        <f aca="false">IF(AND(J805&lt;&gt;"",'Historical Score'!$C$9&lt;&gt;""),IF(J805='Historical Score'!$C$9,1,0),0)</f>
        <v>0</v>
      </c>
      <c r="AV805" s="65" t="n">
        <f aca="false">AR805*AS805*AQ805</f>
        <v>0</v>
      </c>
      <c r="AW805" s="65" t="n">
        <f aca="false">AR805*AT805*AQ805</f>
        <v>0</v>
      </c>
      <c r="AX805" s="65" t="n">
        <f aca="false">AR805*AS805</f>
        <v>0</v>
      </c>
      <c r="AY805" s="65" t="n">
        <f aca="false">AR805*AT805</f>
        <v>0</v>
      </c>
      <c r="AZ805" s="65" t="n">
        <f aca="false">AR805*AQ805</f>
        <v>0</v>
      </c>
      <c r="BA805" s="65" t="n">
        <f aca="false">AR805</f>
        <v>1</v>
      </c>
      <c r="BB805" s="65" t="n">
        <f aca="false">1</f>
        <v>1</v>
      </c>
      <c r="BC805" s="65" t="n">
        <f aca="false">IF(AV805=1,1,IF(AW805=1,2,IF(AX805=1,3,IF(AY805=1,4,IF(AZ805=1,5,IF(BA805=1,6,7))))))</f>
        <v>6</v>
      </c>
      <c r="BD805" s="65" t="n">
        <f aca="false">IF(AD805=1,CHOOSE('Historical Score'!$C$29,AV805,AW805,AX805,AY805,AZ805,BA805,BB805),0)</f>
        <v>0</v>
      </c>
      <c r="BE805" s="65" t="str">
        <f aca="false">IF(BD805=1,COUNTIF($BD$2:BD805,1),"")</f>
        <v/>
      </c>
    </row>
    <row r="806" customFormat="false" ht="15" hidden="false" customHeight="false" outlineLevel="0" collapsed="false">
      <c r="A806" s="65" t="s">
        <v>2571</v>
      </c>
      <c r="B806" s="65" t="s">
        <v>2572</v>
      </c>
      <c r="C806" s="65" t="s">
        <v>2572</v>
      </c>
      <c r="D806" s="65" t="s">
        <v>371</v>
      </c>
      <c r="E806" s="112" t="n">
        <v>46133</v>
      </c>
      <c r="F806" s="112" t="n">
        <v>46177</v>
      </c>
      <c r="G806" s="65" t="n">
        <v>3</v>
      </c>
      <c r="H806" s="65" t="s">
        <v>500</v>
      </c>
      <c r="I806" s="65" t="s">
        <v>475</v>
      </c>
      <c r="J806" s="65" t="s">
        <v>61</v>
      </c>
      <c r="K806" s="65" t="s">
        <v>538</v>
      </c>
      <c r="L806" s="65" t="s">
        <v>64</v>
      </c>
      <c r="M806" s="113" t="n">
        <v>1.49</v>
      </c>
      <c r="N806" s="114" t="n">
        <v>8500</v>
      </c>
      <c r="O806" s="114" t="n">
        <v>1190</v>
      </c>
      <c r="P806" s="114" t="n">
        <v>12665</v>
      </c>
      <c r="Q806" s="114" t="n">
        <v>12665</v>
      </c>
      <c r="R806" s="114" t="n">
        <v>0</v>
      </c>
      <c r="S806" s="115" t="n">
        <v>1</v>
      </c>
      <c r="T806" s="65" t="n">
        <v>1.311</v>
      </c>
      <c r="U806" s="65" t="n">
        <v>0</v>
      </c>
      <c r="V806" s="65" t="n">
        <v>94553.25</v>
      </c>
      <c r="W806" s="115" t="n">
        <v>0.0703</v>
      </c>
      <c r="X806" s="112" t="n">
        <v>45465</v>
      </c>
      <c r="Y806" s="65" t="str">
        <f aca="false">IF(I806="","No SIC",IFERROR(VLOOKUP(I806,Ref!$A$2:$B$65,2,FALSE()),"Unclassified"))</f>
        <v>Auto Repair &amp; Services</v>
      </c>
      <c r="Z806" s="65" t="str">
        <f aca="false">IF(T806="","",IF(T806&lt;12,"Daily","Weekly"))</f>
        <v>Daily</v>
      </c>
      <c r="AA806" s="65" t="n">
        <f aca="false">IF(T806="",0,IF(T806&lt;12,T806*Controls!$B$29,T806*5))</f>
        <v>28.389705</v>
      </c>
      <c r="AB806" s="65" t="n">
        <f aca="false">IF(E806="",0,NETWORKDAYS(E806,Controls!$B$36,Ref!$K$2:$K$42))</f>
        <v>89</v>
      </c>
      <c r="AC806" s="65" t="n">
        <f aca="false">IF(AND(AA806&gt;0,AB806&gt;=Controls!$B$39*AA806),1,0)</f>
        <v>1</v>
      </c>
      <c r="AD806" s="65" t="n">
        <f aca="false">IF(AND(E806&lt;&gt;"",E806&gt;=Controls!$B$37,E806&lt;=Controls!$B$38),1,0)</f>
        <v>1</v>
      </c>
      <c r="AE806" s="65" t="n">
        <f aca="false">IF(IFERROR(VLOOKUP(D806,Controls!$A$64:$E$74,2,FALSE()),"No")="Yes",1,0)</f>
        <v>0</v>
      </c>
      <c r="AF806" s="65" t="n">
        <f aca="false">IF(IFERROR(VLOOKUP(D806,Controls!$A$64:$E$74,3,FALSE()),"No")="Yes",1,0)</f>
        <v>1</v>
      </c>
      <c r="AG806" s="65" t="n">
        <f aca="false">IF(IFERROR(VLOOKUP(D806,Controls!$A$64:$E$74,4,FALSE()),"No")="Yes",1,0)</f>
        <v>1</v>
      </c>
      <c r="AH806" s="65" t="n">
        <f aca="false">IF(IFERROR(VLOOKUP(D806,Controls!$A$64:$E$74,5,FALSE()),"No")="Yes",1,0)</f>
        <v>0</v>
      </c>
      <c r="AI806" s="65" t="n">
        <f aca="false">IF(ISNUMBER(MATCH(D806,Controls!$A$64:$A$74,0)),1,0)</f>
        <v>1</v>
      </c>
      <c r="AJ806" s="65" t="n">
        <f aca="false">Q806-N806</f>
        <v>4165</v>
      </c>
      <c r="AK806" s="65" t="n">
        <f aca="false">IF(AE806=1,MAX(0,N806-Q806),0)</f>
        <v>0</v>
      </c>
      <c r="AL806" s="65" t="n">
        <f aca="false">IF(OR(V806="",V806=0),0,N806/V806)</f>
        <v>0.0898964340199834</v>
      </c>
      <c r="AM806" s="65" t="n">
        <f aca="false">IF(OR(V806="",V806=0),0,1)</f>
        <v>1</v>
      </c>
      <c r="AN806" s="65" t="n">
        <f aca="false">IF(OR(E806="",F806=""),0,NETWORKDAYS(E806,F806,Ref!$K$2:$K$42))</f>
        <v>32</v>
      </c>
      <c r="AO806" s="65" t="n">
        <f aca="false">IF(L806="Renewal",1,0)</f>
        <v>0</v>
      </c>
      <c r="AP806" s="65" t="n">
        <f aca="false">AC806*AD806</f>
        <v>1</v>
      </c>
      <c r="AQ806" s="65" t="n">
        <f aca="false">IF(AND(G806&lt;&gt;"",'Historical Score'!$C$6&lt;&gt;""),IF(G806='Historical Score'!$C$6,1,0),0)</f>
        <v>0</v>
      </c>
      <c r="AR806" s="65" t="n">
        <f aca="false">IF(AND(L806&lt;&gt;"",'Historical Score'!$C$5&lt;&gt;""),IF(L806='Historical Score'!$C$5,1,0),0)</f>
        <v>1</v>
      </c>
      <c r="AS806" s="65" t="n">
        <f aca="false">IF(AND(Y806&lt;&gt;"",'Historical Score'!$C$7&lt;&gt;""),IF(Y806='Historical Score'!$C$7,1,0),0)</f>
        <v>0</v>
      </c>
      <c r="AT806" s="65" t="n">
        <f aca="false">IF(AND(K806&lt;&gt;"",'Historical Score'!$C$8&lt;&gt;""),IF(K806='Historical Score'!$C$8,1,0),0)</f>
        <v>0</v>
      </c>
      <c r="AU806" s="65" t="n">
        <f aca="false">IF(AND(J806&lt;&gt;"",'Historical Score'!$C$9&lt;&gt;""),IF(J806='Historical Score'!$C$9,1,0),0)</f>
        <v>1</v>
      </c>
      <c r="AV806" s="65" t="n">
        <f aca="false">AR806*AS806*AQ806</f>
        <v>0</v>
      </c>
      <c r="AW806" s="65" t="n">
        <f aca="false">AR806*AT806*AQ806</f>
        <v>0</v>
      </c>
      <c r="AX806" s="65" t="n">
        <f aca="false">AR806*AS806</f>
        <v>0</v>
      </c>
      <c r="AY806" s="65" t="n">
        <f aca="false">AR806*AT806</f>
        <v>0</v>
      </c>
      <c r="AZ806" s="65" t="n">
        <f aca="false">AR806*AQ806</f>
        <v>0</v>
      </c>
      <c r="BA806" s="65" t="n">
        <f aca="false">AR806</f>
        <v>1</v>
      </c>
      <c r="BB806" s="65" t="n">
        <f aca="false">1</f>
        <v>1</v>
      </c>
      <c r="BC806" s="65" t="n">
        <f aca="false">IF(AV806=1,1,IF(AW806=1,2,IF(AX806=1,3,IF(AY806=1,4,IF(AZ806=1,5,IF(BA806=1,6,7))))))</f>
        <v>6</v>
      </c>
      <c r="BD806" s="65" t="n">
        <f aca="false">IF(AD806=1,CHOOSE('Historical Score'!$C$29,AV806,AW806,AX806,AY806,AZ806,BA806,BB806),0)</f>
        <v>0</v>
      </c>
      <c r="BE806" s="65" t="str">
        <f aca="false">IF(BD806=1,COUNTIF($BD$2:BD806,1),"")</f>
        <v/>
      </c>
    </row>
    <row r="807" customFormat="false" ht="15" hidden="false" customHeight="false" outlineLevel="0" collapsed="false">
      <c r="A807" s="65" t="s">
        <v>2573</v>
      </c>
      <c r="B807" s="65" t="s">
        <v>2100</v>
      </c>
      <c r="C807" s="65" t="s">
        <v>2100</v>
      </c>
      <c r="D807" s="65" t="s">
        <v>295</v>
      </c>
      <c r="E807" s="112" t="n">
        <v>46133</v>
      </c>
      <c r="F807" s="112" t="n">
        <v>46253</v>
      </c>
      <c r="G807" s="65" t="n">
        <v>3</v>
      </c>
      <c r="H807" s="65" t="s">
        <v>1650</v>
      </c>
      <c r="I807" s="65" t="s">
        <v>425</v>
      </c>
      <c r="J807" s="65" t="s">
        <v>646</v>
      </c>
      <c r="K807" s="65" t="s">
        <v>1461</v>
      </c>
      <c r="L807" s="65" t="s">
        <v>320</v>
      </c>
      <c r="M807" s="113" t="n">
        <v>1.49</v>
      </c>
      <c r="N807" s="114" t="n">
        <v>7500</v>
      </c>
      <c r="O807" s="114" t="n">
        <v>1050</v>
      </c>
      <c r="P807" s="114" t="n">
        <v>11175</v>
      </c>
      <c r="Q807" s="114" t="n">
        <v>3677.81</v>
      </c>
      <c r="R807" s="114" t="n">
        <v>7497.19</v>
      </c>
      <c r="S807" s="115" t="n">
        <v>0.329110514541387</v>
      </c>
      <c r="T807" s="65" t="n">
        <v>4.098</v>
      </c>
      <c r="U807" s="65" t="n">
        <v>48</v>
      </c>
      <c r="V807" s="65" t="n">
        <v>34534.9</v>
      </c>
      <c r="W807" s="115" t="n">
        <v>0.0444</v>
      </c>
      <c r="X807" s="112" t="n">
        <v>44289</v>
      </c>
      <c r="Y807" s="65" t="str">
        <f aca="false">IF(I807="","No SIC",IFERROR(VLOOKUP(I807,Ref!$A$2:$B$65,2,FALSE()),"Unclassified"))</f>
        <v>Personal Services</v>
      </c>
      <c r="Z807" s="65" t="str">
        <f aca="false">IF(T807="","",IF(T807&lt;12,"Daily","Weekly"))</f>
        <v>Daily</v>
      </c>
      <c r="AA807" s="65" t="n">
        <f aca="false">IF(T807="",0,IF(T807&lt;12,T807*Controls!$B$29,T807*5))</f>
        <v>88.74219</v>
      </c>
      <c r="AB807" s="65" t="n">
        <f aca="false">IF(E807="",0,NETWORKDAYS(E807,Controls!$B$36,Ref!$K$2:$K$42))</f>
        <v>89</v>
      </c>
      <c r="AC807" s="65" t="n">
        <f aca="false">IF(AND(AA807&gt;0,AB807&gt;=Controls!$B$39*AA807),1,0)</f>
        <v>0</v>
      </c>
      <c r="AD807" s="65" t="n">
        <f aca="false">IF(AND(E807&lt;&gt;"",E807&gt;=Controls!$B$37,E807&lt;=Controls!$B$38),1,0)</f>
        <v>1</v>
      </c>
      <c r="AE807" s="65" t="n">
        <f aca="false">IF(IFERROR(VLOOKUP(D807,Controls!$A$64:$E$74,2,FALSE()),"No")="Yes",1,0)</f>
        <v>0</v>
      </c>
      <c r="AF807" s="65" t="n">
        <f aca="false">IF(IFERROR(VLOOKUP(D807,Controls!$A$64:$E$74,3,FALSE()),"No")="Yes",1,0)</f>
        <v>0</v>
      </c>
      <c r="AG807" s="65" t="n">
        <f aca="false">IF(IFERROR(VLOOKUP(D807,Controls!$A$64:$E$74,4,FALSE()),"No")="Yes",1,0)</f>
        <v>0</v>
      </c>
      <c r="AH807" s="65" t="n">
        <f aca="false">IF(IFERROR(VLOOKUP(D807,Controls!$A$64:$E$74,5,FALSE()),"No")="Yes",1,0)</f>
        <v>1</v>
      </c>
      <c r="AI807" s="65" t="n">
        <f aca="false">IF(ISNUMBER(MATCH(D807,Controls!$A$64:$A$74,0)),1,0)</f>
        <v>1</v>
      </c>
      <c r="AJ807" s="65" t="n">
        <f aca="false">Q807-N807</f>
        <v>-3822.19</v>
      </c>
      <c r="AK807" s="65" t="n">
        <f aca="false">IF(AE807=1,MAX(0,N807-Q807),0)</f>
        <v>0</v>
      </c>
      <c r="AL807" s="65" t="n">
        <f aca="false">IF(OR(V807="",V807=0),0,N807/V807)</f>
        <v>0.217171614801259</v>
      </c>
      <c r="AM807" s="65" t="n">
        <f aca="false">IF(OR(V807="",V807=0),0,1)</f>
        <v>1</v>
      </c>
      <c r="AN807" s="65" t="n">
        <f aca="false">IF(OR(E807="",F807=""),0,NETWORKDAYS(E807,F807,Ref!$K$2:$K$42))</f>
        <v>85</v>
      </c>
      <c r="AO807" s="65" t="n">
        <f aca="false">IF(L807="Renewal",1,0)</f>
        <v>1</v>
      </c>
      <c r="AP807" s="65" t="n">
        <f aca="false">AC807*AD807</f>
        <v>0</v>
      </c>
      <c r="AQ807" s="65" t="n">
        <f aca="false">IF(AND(G807&lt;&gt;"",'Historical Score'!$C$6&lt;&gt;""),IF(G807='Historical Score'!$C$6,1,0),0)</f>
        <v>0</v>
      </c>
      <c r="AR807" s="65" t="n">
        <f aca="false">IF(AND(L807&lt;&gt;"",'Historical Score'!$C$5&lt;&gt;""),IF(L807='Historical Score'!$C$5,1,0),0)</f>
        <v>0</v>
      </c>
      <c r="AS807" s="65" t="n">
        <f aca="false">IF(AND(Y807&lt;&gt;"",'Historical Score'!$C$7&lt;&gt;""),IF(Y807='Historical Score'!$C$7,1,0),0)</f>
        <v>0</v>
      </c>
      <c r="AT807" s="65" t="n">
        <f aca="false">IF(AND(K807&lt;&gt;"",'Historical Score'!$C$8&lt;&gt;""),IF(K807='Historical Score'!$C$8,1,0),0)</f>
        <v>0</v>
      </c>
      <c r="AU807" s="65" t="n">
        <f aca="false">IF(AND(J807&lt;&gt;"",'Historical Score'!$C$9&lt;&gt;""),IF(J807='Historical Score'!$C$9,1,0),0)</f>
        <v>0</v>
      </c>
      <c r="AV807" s="65" t="n">
        <f aca="false">AR807*AS807*AQ807</f>
        <v>0</v>
      </c>
      <c r="AW807" s="65" t="n">
        <f aca="false">AR807*AT807*AQ807</f>
        <v>0</v>
      </c>
      <c r="AX807" s="65" t="n">
        <f aca="false">AR807*AS807</f>
        <v>0</v>
      </c>
      <c r="AY807" s="65" t="n">
        <f aca="false">AR807*AT807</f>
        <v>0</v>
      </c>
      <c r="AZ807" s="65" t="n">
        <f aca="false">AR807*AQ807</f>
        <v>0</v>
      </c>
      <c r="BA807" s="65" t="n">
        <f aca="false">AR807</f>
        <v>0</v>
      </c>
      <c r="BB807" s="65" t="n">
        <f aca="false">1</f>
        <v>1</v>
      </c>
      <c r="BC807" s="65" t="n">
        <f aca="false">IF(AV807=1,1,IF(AW807=1,2,IF(AX807=1,3,IF(AY807=1,4,IF(AZ807=1,5,IF(BA807=1,6,7))))))</f>
        <v>7</v>
      </c>
      <c r="BD807" s="65" t="n">
        <f aca="false">IF(AD807=1,CHOOSE('Historical Score'!$C$29,AV807,AW807,AX807,AY807,AZ807,BA807,BB807),0)</f>
        <v>0</v>
      </c>
      <c r="BE807" s="65" t="str">
        <f aca="false">IF(BD807=1,COUNTIF($BD$2:BD807,1),"")</f>
        <v/>
      </c>
    </row>
    <row r="808" customFormat="false" ht="15" hidden="false" customHeight="false" outlineLevel="0" collapsed="false">
      <c r="A808" s="65" t="s">
        <v>2574</v>
      </c>
      <c r="B808" s="65" t="s">
        <v>2143</v>
      </c>
      <c r="C808" s="65" t="s">
        <v>2144</v>
      </c>
      <c r="D808" s="65" t="s">
        <v>295</v>
      </c>
      <c r="E808" s="112" t="n">
        <v>46133</v>
      </c>
      <c r="F808" s="112" t="n">
        <v>46253</v>
      </c>
      <c r="G808" s="65" t="n">
        <v>4</v>
      </c>
      <c r="H808" s="65" t="s">
        <v>1589</v>
      </c>
      <c r="I808" s="65" t="s">
        <v>1590</v>
      </c>
      <c r="J808" s="65" t="s">
        <v>410</v>
      </c>
      <c r="K808" s="65" t="s">
        <v>581</v>
      </c>
      <c r="L808" s="65" t="s">
        <v>320</v>
      </c>
      <c r="M808" s="113" t="n">
        <v>1.49</v>
      </c>
      <c r="N808" s="114" t="n">
        <v>210000</v>
      </c>
      <c r="O808" s="114" t="n">
        <v>31500</v>
      </c>
      <c r="P808" s="114" t="n">
        <v>312900</v>
      </c>
      <c r="Q808" s="114" t="n">
        <v>98912.6</v>
      </c>
      <c r="R808" s="114" t="n">
        <v>213987.4</v>
      </c>
      <c r="S808" s="115" t="n">
        <v>0.31611569191435</v>
      </c>
      <c r="T808" s="65" t="n">
        <v>3.77</v>
      </c>
      <c r="U808" s="65" t="n">
        <v>39</v>
      </c>
      <c r="V808" s="65" t="n">
        <v>215089.84</v>
      </c>
      <c r="W808" s="115" t="n">
        <v>0.2148</v>
      </c>
      <c r="X808" s="112" t="n">
        <v>40198</v>
      </c>
      <c r="Y808" s="65" t="str">
        <f aca="false">IF(I808="","No SIC",IFERROR(VLOOKUP(I808,Ref!$A$2:$B$65,2,FALSE()),"Unclassified"))</f>
        <v>Legal Services</v>
      </c>
      <c r="Z808" s="65" t="str">
        <f aca="false">IF(T808="","",IF(T808&lt;12,"Daily","Weekly"))</f>
        <v>Daily</v>
      </c>
      <c r="AA808" s="65" t="n">
        <f aca="false">IF(T808="",0,IF(T808&lt;12,T808*Controls!$B$29,T808*5))</f>
        <v>81.63935</v>
      </c>
      <c r="AB808" s="65" t="n">
        <f aca="false">IF(E808="",0,NETWORKDAYS(E808,Controls!$B$36,Ref!$K$2:$K$42))</f>
        <v>89</v>
      </c>
      <c r="AC808" s="65" t="n">
        <f aca="false">IF(AND(AA808&gt;0,AB808&gt;=Controls!$B$39*AA808),1,0)</f>
        <v>0</v>
      </c>
      <c r="AD808" s="65" t="n">
        <f aca="false">IF(AND(E808&lt;&gt;"",E808&gt;=Controls!$B$37,E808&lt;=Controls!$B$38),1,0)</f>
        <v>1</v>
      </c>
      <c r="AE808" s="65" t="n">
        <f aca="false">IF(IFERROR(VLOOKUP(D808,Controls!$A$64:$E$74,2,FALSE()),"No")="Yes",1,0)</f>
        <v>0</v>
      </c>
      <c r="AF808" s="65" t="n">
        <f aca="false">IF(IFERROR(VLOOKUP(D808,Controls!$A$64:$E$74,3,FALSE()),"No")="Yes",1,0)</f>
        <v>0</v>
      </c>
      <c r="AG808" s="65" t="n">
        <f aca="false">IF(IFERROR(VLOOKUP(D808,Controls!$A$64:$E$74,4,FALSE()),"No")="Yes",1,0)</f>
        <v>0</v>
      </c>
      <c r="AH808" s="65" t="n">
        <f aca="false">IF(IFERROR(VLOOKUP(D808,Controls!$A$64:$E$74,5,FALSE()),"No")="Yes",1,0)</f>
        <v>1</v>
      </c>
      <c r="AI808" s="65" t="n">
        <f aca="false">IF(ISNUMBER(MATCH(D808,Controls!$A$64:$A$74,0)),1,0)</f>
        <v>1</v>
      </c>
      <c r="AJ808" s="65" t="n">
        <f aca="false">Q808-N808</f>
        <v>-111087.4</v>
      </c>
      <c r="AK808" s="65" t="n">
        <f aca="false">IF(AE808=1,MAX(0,N808-Q808),0)</f>
        <v>0</v>
      </c>
      <c r="AL808" s="65" t="n">
        <f aca="false">IF(OR(V808="",V808=0),0,N808/V808)</f>
        <v>0.976336213742128</v>
      </c>
      <c r="AM808" s="65" t="n">
        <f aca="false">IF(OR(V808="",V808=0),0,1)</f>
        <v>1</v>
      </c>
      <c r="AN808" s="65" t="n">
        <f aca="false">IF(OR(E808="",F808=""),0,NETWORKDAYS(E808,F808,Ref!$K$2:$K$42))</f>
        <v>85</v>
      </c>
      <c r="AO808" s="65" t="n">
        <f aca="false">IF(L808="Renewal",1,0)</f>
        <v>1</v>
      </c>
      <c r="AP808" s="65" t="n">
        <f aca="false">AC808*AD808</f>
        <v>0</v>
      </c>
      <c r="AQ808" s="65" t="n">
        <f aca="false">IF(AND(G808&lt;&gt;"",'Historical Score'!$C$6&lt;&gt;""),IF(G808='Historical Score'!$C$6,1,0),0)</f>
        <v>0</v>
      </c>
      <c r="AR808" s="65" t="n">
        <f aca="false">IF(AND(L808&lt;&gt;"",'Historical Score'!$C$5&lt;&gt;""),IF(L808='Historical Score'!$C$5,1,0),0)</f>
        <v>0</v>
      </c>
      <c r="AS808" s="65" t="n">
        <f aca="false">IF(AND(Y808&lt;&gt;"",'Historical Score'!$C$7&lt;&gt;""),IF(Y808='Historical Score'!$C$7,1,0),0)</f>
        <v>0</v>
      </c>
      <c r="AT808" s="65" t="n">
        <f aca="false">IF(AND(K808&lt;&gt;"",'Historical Score'!$C$8&lt;&gt;""),IF(K808='Historical Score'!$C$8,1,0),0)</f>
        <v>0</v>
      </c>
      <c r="AU808" s="65" t="n">
        <f aca="false">IF(AND(J808&lt;&gt;"",'Historical Score'!$C$9&lt;&gt;""),IF(J808='Historical Score'!$C$9,1,0),0)</f>
        <v>0</v>
      </c>
      <c r="AV808" s="65" t="n">
        <f aca="false">AR808*AS808*AQ808</f>
        <v>0</v>
      </c>
      <c r="AW808" s="65" t="n">
        <f aca="false">AR808*AT808*AQ808</f>
        <v>0</v>
      </c>
      <c r="AX808" s="65" t="n">
        <f aca="false">AR808*AS808</f>
        <v>0</v>
      </c>
      <c r="AY808" s="65" t="n">
        <f aca="false">AR808*AT808</f>
        <v>0</v>
      </c>
      <c r="AZ808" s="65" t="n">
        <f aca="false">AR808*AQ808</f>
        <v>0</v>
      </c>
      <c r="BA808" s="65" t="n">
        <f aca="false">AR808</f>
        <v>0</v>
      </c>
      <c r="BB808" s="65" t="n">
        <f aca="false">1</f>
        <v>1</v>
      </c>
      <c r="BC808" s="65" t="n">
        <f aca="false">IF(AV808=1,1,IF(AW808=1,2,IF(AX808=1,3,IF(AY808=1,4,IF(AZ808=1,5,IF(BA808=1,6,7))))))</f>
        <v>7</v>
      </c>
      <c r="BD808" s="65" t="n">
        <f aca="false">IF(AD808=1,CHOOSE('Historical Score'!$C$29,AV808,AW808,AX808,AY808,AZ808,BA808,BB808),0)</f>
        <v>0</v>
      </c>
      <c r="BE808" s="65" t="str">
        <f aca="false">IF(BD808=1,COUNTIF($BD$2:BD808,1),"")</f>
        <v/>
      </c>
    </row>
    <row r="809" customFormat="false" ht="15" hidden="false" customHeight="false" outlineLevel="0" collapsed="false">
      <c r="A809" s="65" t="s">
        <v>2575</v>
      </c>
      <c r="B809" s="65" t="s">
        <v>2576</v>
      </c>
      <c r="C809" s="65" t="s">
        <v>2577</v>
      </c>
      <c r="D809" s="65" t="s">
        <v>295</v>
      </c>
      <c r="E809" s="112" t="n">
        <v>46133</v>
      </c>
      <c r="F809" s="112" t="n">
        <v>46211</v>
      </c>
      <c r="G809" s="65" t="n">
        <v>3</v>
      </c>
      <c r="H809" s="65" t="s">
        <v>748</v>
      </c>
      <c r="I809" s="65" t="s">
        <v>619</v>
      </c>
      <c r="J809" s="65" t="s">
        <v>658</v>
      </c>
      <c r="K809" s="65" t="s">
        <v>55</v>
      </c>
      <c r="L809" s="65" t="s">
        <v>64</v>
      </c>
      <c r="M809" s="113" t="n">
        <v>1.49</v>
      </c>
      <c r="N809" s="114" t="n">
        <v>25000</v>
      </c>
      <c r="O809" s="114" t="n">
        <v>3500</v>
      </c>
      <c r="P809" s="114" t="n">
        <v>37250</v>
      </c>
      <c r="Q809" s="114" t="n">
        <v>12672.14</v>
      </c>
      <c r="R809" s="114" t="n">
        <v>24577.86</v>
      </c>
      <c r="S809" s="115" t="n">
        <v>0.340191677852349</v>
      </c>
      <c r="T809" s="65" t="n">
        <v>3.279</v>
      </c>
      <c r="U809" s="65" t="n">
        <v>15</v>
      </c>
      <c r="V809" s="65" t="n">
        <v>148238.19</v>
      </c>
      <c r="W809" s="115" t="n">
        <v>0.0528</v>
      </c>
      <c r="X809" s="112" t="n">
        <v>44063</v>
      </c>
      <c r="Y809" s="65" t="str">
        <f aca="false">IF(I809="","No SIC",IFERROR(VLOOKUP(I809,Ref!$A$2:$B$65,2,FALSE()),"Unclassified"))</f>
        <v>Miscellaneous Retail</v>
      </c>
      <c r="Z809" s="65" t="str">
        <f aca="false">IF(T809="","",IF(T809&lt;12,"Daily","Weekly"))</f>
        <v>Daily</v>
      </c>
      <c r="AA809" s="65" t="n">
        <f aca="false">IF(T809="",0,IF(T809&lt;12,T809*Controls!$B$29,T809*5))</f>
        <v>71.006745</v>
      </c>
      <c r="AB809" s="65" t="n">
        <f aca="false">IF(E809="",0,NETWORKDAYS(E809,Controls!$B$36,Ref!$K$2:$K$42))</f>
        <v>89</v>
      </c>
      <c r="AC809" s="65" t="n">
        <f aca="false">IF(AND(AA809&gt;0,AB809&gt;=Controls!$B$39*AA809),1,0)</f>
        <v>1</v>
      </c>
      <c r="AD809" s="65" t="n">
        <f aca="false">IF(AND(E809&lt;&gt;"",E809&gt;=Controls!$B$37,E809&lt;=Controls!$B$38),1,0)</f>
        <v>1</v>
      </c>
      <c r="AE809" s="65" t="n">
        <f aca="false">IF(IFERROR(VLOOKUP(D809,Controls!$A$64:$E$74,2,FALSE()),"No")="Yes",1,0)</f>
        <v>0</v>
      </c>
      <c r="AF809" s="65" t="n">
        <f aca="false">IF(IFERROR(VLOOKUP(D809,Controls!$A$64:$E$74,3,FALSE()),"No")="Yes",1,0)</f>
        <v>0</v>
      </c>
      <c r="AG809" s="65" t="n">
        <f aca="false">IF(IFERROR(VLOOKUP(D809,Controls!$A$64:$E$74,4,FALSE()),"No")="Yes",1,0)</f>
        <v>0</v>
      </c>
      <c r="AH809" s="65" t="n">
        <f aca="false">IF(IFERROR(VLOOKUP(D809,Controls!$A$64:$E$74,5,FALSE()),"No")="Yes",1,0)</f>
        <v>1</v>
      </c>
      <c r="AI809" s="65" t="n">
        <f aca="false">IF(ISNUMBER(MATCH(D809,Controls!$A$64:$A$74,0)),1,0)</f>
        <v>1</v>
      </c>
      <c r="AJ809" s="65" t="n">
        <f aca="false">Q809-N809</f>
        <v>-12327.86</v>
      </c>
      <c r="AK809" s="65" t="n">
        <f aca="false">IF(AE809=1,MAX(0,N809-Q809),0)</f>
        <v>0</v>
      </c>
      <c r="AL809" s="65" t="n">
        <f aca="false">IF(OR(V809="",V809=0),0,N809/V809)</f>
        <v>0.168647499001438</v>
      </c>
      <c r="AM809" s="65" t="n">
        <f aca="false">IF(OR(V809="",V809=0),0,1)</f>
        <v>1</v>
      </c>
      <c r="AN809" s="65" t="n">
        <f aca="false">IF(OR(E809="",F809=""),0,NETWORKDAYS(E809,F809,Ref!$K$2:$K$42))</f>
        <v>55</v>
      </c>
      <c r="AO809" s="65" t="n">
        <f aca="false">IF(L809="Renewal",1,0)</f>
        <v>0</v>
      </c>
      <c r="AP809" s="65" t="n">
        <f aca="false">AC809*AD809</f>
        <v>1</v>
      </c>
      <c r="AQ809" s="65" t="n">
        <f aca="false">IF(AND(G809&lt;&gt;"",'Historical Score'!$C$6&lt;&gt;""),IF(G809='Historical Score'!$C$6,1,0),0)</f>
        <v>0</v>
      </c>
      <c r="AR809" s="65" t="n">
        <f aca="false">IF(AND(L809&lt;&gt;"",'Historical Score'!$C$5&lt;&gt;""),IF(L809='Historical Score'!$C$5,1,0),0)</f>
        <v>1</v>
      </c>
      <c r="AS809" s="65" t="n">
        <f aca="false">IF(AND(Y809&lt;&gt;"",'Historical Score'!$C$7&lt;&gt;""),IF(Y809='Historical Score'!$C$7,1,0),0)</f>
        <v>0</v>
      </c>
      <c r="AT809" s="65" t="n">
        <f aca="false">IF(AND(K809&lt;&gt;"",'Historical Score'!$C$8&lt;&gt;""),IF(K809='Historical Score'!$C$8,1,0),0)</f>
        <v>1</v>
      </c>
      <c r="AU809" s="65" t="n">
        <f aca="false">IF(AND(J809&lt;&gt;"",'Historical Score'!$C$9&lt;&gt;""),IF(J809='Historical Score'!$C$9,1,0),0)</f>
        <v>0</v>
      </c>
      <c r="AV809" s="65" t="n">
        <f aca="false">AR809*AS809*AQ809</f>
        <v>0</v>
      </c>
      <c r="AW809" s="65" t="n">
        <f aca="false">AR809*AT809*AQ809</f>
        <v>0</v>
      </c>
      <c r="AX809" s="65" t="n">
        <f aca="false">AR809*AS809</f>
        <v>0</v>
      </c>
      <c r="AY809" s="65" t="n">
        <f aca="false">AR809*AT809</f>
        <v>1</v>
      </c>
      <c r="AZ809" s="65" t="n">
        <f aca="false">AR809*AQ809</f>
        <v>0</v>
      </c>
      <c r="BA809" s="65" t="n">
        <f aca="false">AR809</f>
        <v>1</v>
      </c>
      <c r="BB809" s="65" t="n">
        <f aca="false">1</f>
        <v>1</v>
      </c>
      <c r="BC809" s="65" t="n">
        <f aca="false">IF(AV809=1,1,IF(AW809=1,2,IF(AX809=1,3,IF(AY809=1,4,IF(AZ809=1,5,IF(BA809=1,6,7))))))</f>
        <v>4</v>
      </c>
      <c r="BD809" s="65" t="n">
        <f aca="false">IF(AD809=1,CHOOSE('Historical Score'!$C$29,AV809,AW809,AX809,AY809,AZ809,BA809,BB809),0)</f>
        <v>0</v>
      </c>
      <c r="BE809" s="65" t="str">
        <f aca="false">IF(BD809=1,COUNTIF($BD$2:BD809,1),"")</f>
        <v/>
      </c>
    </row>
    <row r="810" customFormat="false" ht="15" hidden="false" customHeight="false" outlineLevel="0" collapsed="false">
      <c r="A810" s="65" t="s">
        <v>2578</v>
      </c>
      <c r="B810" s="65" t="s">
        <v>2579</v>
      </c>
      <c r="C810" s="65" t="s">
        <v>2579</v>
      </c>
      <c r="D810" s="65" t="s">
        <v>533</v>
      </c>
      <c r="E810" s="112" t="n">
        <v>46134</v>
      </c>
      <c r="F810" s="112" t="n">
        <v>46241</v>
      </c>
      <c r="G810" s="65" t="n">
        <v>3</v>
      </c>
      <c r="H810" s="65" t="s">
        <v>2580</v>
      </c>
      <c r="I810" s="65" t="s">
        <v>415</v>
      </c>
      <c r="J810" s="65" t="s">
        <v>452</v>
      </c>
      <c r="K810" s="65" t="s">
        <v>496</v>
      </c>
      <c r="L810" s="65" t="s">
        <v>64</v>
      </c>
      <c r="M810" s="113" t="n">
        <v>1.49</v>
      </c>
      <c r="N810" s="114" t="n">
        <v>20000</v>
      </c>
      <c r="O810" s="114" t="n">
        <v>2800</v>
      </c>
      <c r="P810" s="114" t="n">
        <v>29800</v>
      </c>
      <c r="Q810" s="114" t="n">
        <v>17383.1</v>
      </c>
      <c r="R810" s="114" t="n">
        <v>12416.9</v>
      </c>
      <c r="S810" s="115" t="n">
        <v>0.583325503355705</v>
      </c>
      <c r="T810" s="65" t="n">
        <v>24</v>
      </c>
      <c r="U810" s="65" t="n">
        <v>2</v>
      </c>
      <c r="V810" s="65" t="n">
        <v>29829.51</v>
      </c>
      <c r="W810" s="115" t="n">
        <v>0.1665</v>
      </c>
      <c r="X810" s="112" t="n">
        <v>44583</v>
      </c>
      <c r="Y810" s="65" t="str">
        <f aca="false">IF(I810="","No SIC",IFERROR(VLOOKUP(I810,Ref!$A$2:$B$65,2,FALSE()),"Unclassified"))</f>
        <v>Wholesale Trade - Durable Goods</v>
      </c>
      <c r="Z810" s="65" t="str">
        <f aca="false">IF(T810="","",IF(T810&lt;12,"Daily","Weekly"))</f>
        <v>Weekly</v>
      </c>
      <c r="AA810" s="65" t="n">
        <f aca="false">IF(T810="",0,IF(T810&lt;12,T810*Controls!$B$29,T810*5))</f>
        <v>120</v>
      </c>
      <c r="AB810" s="65" t="n">
        <f aca="false">IF(E810="",0,NETWORKDAYS(E810,Controls!$B$36,Ref!$K$2:$K$42))</f>
        <v>88</v>
      </c>
      <c r="AC810" s="65" t="n">
        <f aca="false">IF(AND(AA810&gt;0,AB810&gt;=Controls!$B$39*AA810),1,0)</f>
        <v>0</v>
      </c>
      <c r="AD810" s="65" t="n">
        <f aca="false">IF(AND(E810&lt;&gt;"",E810&gt;=Controls!$B$37,E810&lt;=Controls!$B$38),1,0)</f>
        <v>1</v>
      </c>
      <c r="AE810" s="65" t="n">
        <f aca="false">IF(IFERROR(VLOOKUP(D810,Controls!$A$64:$E$74,2,FALSE()),"No")="Yes",1,0)</f>
        <v>1</v>
      </c>
      <c r="AF810" s="65" t="n">
        <f aca="false">IF(IFERROR(VLOOKUP(D810,Controls!$A$64:$E$74,3,FALSE()),"No")="Yes",1,0)</f>
        <v>0</v>
      </c>
      <c r="AG810" s="65" t="n">
        <f aca="false">IF(IFERROR(VLOOKUP(D810,Controls!$A$64:$E$74,4,FALSE()),"No")="Yes",1,0)</f>
        <v>0</v>
      </c>
      <c r="AH810" s="65" t="n">
        <f aca="false">IF(IFERROR(VLOOKUP(D810,Controls!$A$64:$E$74,5,FALSE()),"No")="Yes",1,0)</f>
        <v>0</v>
      </c>
      <c r="AI810" s="65" t="n">
        <f aca="false">IF(ISNUMBER(MATCH(D810,Controls!$A$64:$A$74,0)),1,0)</f>
        <v>1</v>
      </c>
      <c r="AJ810" s="65" t="n">
        <f aca="false">Q810-N810</f>
        <v>-2616.9</v>
      </c>
      <c r="AK810" s="65" t="n">
        <f aca="false">IF(AE810=1,MAX(0,N810-Q810),0)</f>
        <v>2616.9</v>
      </c>
      <c r="AL810" s="65" t="n">
        <f aca="false">IF(OR(V810="",V810=0),0,N810/V810)</f>
        <v>0.670476987385981</v>
      </c>
      <c r="AM810" s="65" t="n">
        <f aca="false">IF(OR(V810="",V810=0),0,1)</f>
        <v>1</v>
      </c>
      <c r="AN810" s="65" t="n">
        <f aca="false">IF(OR(E810="",F810=""),0,NETWORKDAYS(E810,F810,Ref!$K$2:$K$42))</f>
        <v>76</v>
      </c>
      <c r="AO810" s="65" t="n">
        <f aca="false">IF(L810="Renewal",1,0)</f>
        <v>0</v>
      </c>
      <c r="AP810" s="65" t="n">
        <f aca="false">AC810*AD810</f>
        <v>0</v>
      </c>
      <c r="AQ810" s="65" t="n">
        <f aca="false">IF(AND(G810&lt;&gt;"",'Historical Score'!$C$6&lt;&gt;""),IF(G810='Historical Score'!$C$6,1,0),0)</f>
        <v>0</v>
      </c>
      <c r="AR810" s="65" t="n">
        <f aca="false">IF(AND(L810&lt;&gt;"",'Historical Score'!$C$5&lt;&gt;""),IF(L810='Historical Score'!$C$5,1,0),0)</f>
        <v>1</v>
      </c>
      <c r="AS810" s="65" t="n">
        <f aca="false">IF(AND(Y810&lt;&gt;"",'Historical Score'!$C$7&lt;&gt;""),IF(Y810='Historical Score'!$C$7,1,0),0)</f>
        <v>0</v>
      </c>
      <c r="AT810" s="65" t="n">
        <f aca="false">IF(AND(K810&lt;&gt;"",'Historical Score'!$C$8&lt;&gt;""),IF(K810='Historical Score'!$C$8,1,0),0)</f>
        <v>0</v>
      </c>
      <c r="AU810" s="65" t="n">
        <f aca="false">IF(AND(J810&lt;&gt;"",'Historical Score'!$C$9&lt;&gt;""),IF(J810='Historical Score'!$C$9,1,0),0)</f>
        <v>0</v>
      </c>
      <c r="AV810" s="65" t="n">
        <f aca="false">AR810*AS810*AQ810</f>
        <v>0</v>
      </c>
      <c r="AW810" s="65" t="n">
        <f aca="false">AR810*AT810*AQ810</f>
        <v>0</v>
      </c>
      <c r="AX810" s="65" t="n">
        <f aca="false">AR810*AS810</f>
        <v>0</v>
      </c>
      <c r="AY810" s="65" t="n">
        <f aca="false">AR810*AT810</f>
        <v>0</v>
      </c>
      <c r="AZ810" s="65" t="n">
        <f aca="false">AR810*AQ810</f>
        <v>0</v>
      </c>
      <c r="BA810" s="65" t="n">
        <f aca="false">AR810</f>
        <v>1</v>
      </c>
      <c r="BB810" s="65" t="n">
        <f aca="false">1</f>
        <v>1</v>
      </c>
      <c r="BC810" s="65" t="n">
        <f aca="false">IF(AV810=1,1,IF(AW810=1,2,IF(AX810=1,3,IF(AY810=1,4,IF(AZ810=1,5,IF(BA810=1,6,7))))))</f>
        <v>6</v>
      </c>
      <c r="BD810" s="65" t="n">
        <f aca="false">IF(AD810=1,CHOOSE('Historical Score'!$C$29,AV810,AW810,AX810,AY810,AZ810,BA810,BB810),0)</f>
        <v>0</v>
      </c>
      <c r="BE810" s="65" t="str">
        <f aca="false">IF(BD810=1,COUNTIF($BD$2:BD810,1),"")</f>
        <v/>
      </c>
    </row>
    <row r="811" customFormat="false" ht="15" hidden="false" customHeight="false" outlineLevel="0" collapsed="false">
      <c r="A811" s="65" t="s">
        <v>2581</v>
      </c>
      <c r="B811" s="65" t="s">
        <v>2582</v>
      </c>
      <c r="C811" s="65" t="s">
        <v>2583</v>
      </c>
      <c r="D811" s="65" t="s">
        <v>295</v>
      </c>
      <c r="E811" s="112" t="n">
        <v>46134</v>
      </c>
      <c r="F811" s="112" t="n">
        <v>46251</v>
      </c>
      <c r="G811" s="65" t="n">
        <v>4</v>
      </c>
      <c r="H811" s="65" t="s">
        <v>752</v>
      </c>
      <c r="I811" s="65" t="s">
        <v>405</v>
      </c>
      <c r="J811" s="65" t="s">
        <v>61</v>
      </c>
      <c r="K811" s="65" t="s">
        <v>584</v>
      </c>
      <c r="L811" s="65" t="s">
        <v>64</v>
      </c>
      <c r="M811" s="113" t="n">
        <v>1.49</v>
      </c>
      <c r="N811" s="114" t="n">
        <v>15000</v>
      </c>
      <c r="O811" s="114" t="n">
        <v>2100</v>
      </c>
      <c r="P811" s="114" t="n">
        <v>22350</v>
      </c>
      <c r="Q811" s="114" t="n">
        <v>13966.35</v>
      </c>
      <c r="R811" s="114" t="n">
        <v>8383.65</v>
      </c>
      <c r="S811" s="115" t="n">
        <v>0.624892617449664</v>
      </c>
      <c r="T811" s="65" t="n">
        <v>24</v>
      </c>
      <c r="U811" s="65" t="n">
        <v>2</v>
      </c>
      <c r="V811" s="65" t="n">
        <v>26621.57</v>
      </c>
      <c r="W811" s="115" t="n">
        <v>0.1399</v>
      </c>
      <c r="X811" s="112" t="n">
        <v>36100</v>
      </c>
      <c r="Y811" s="65" t="str">
        <f aca="false">IF(I811="","No SIC",IFERROR(VLOOKUP(I811,Ref!$A$2:$B$65,2,FALSE()),"Unclassified"))</f>
        <v>Health Services</v>
      </c>
      <c r="Z811" s="65" t="str">
        <f aca="false">IF(T811="","",IF(T811&lt;12,"Daily","Weekly"))</f>
        <v>Weekly</v>
      </c>
      <c r="AA811" s="65" t="n">
        <f aca="false">IF(T811="",0,IF(T811&lt;12,T811*Controls!$B$29,T811*5))</f>
        <v>120</v>
      </c>
      <c r="AB811" s="65" t="n">
        <f aca="false">IF(E811="",0,NETWORKDAYS(E811,Controls!$B$36,Ref!$K$2:$K$42))</f>
        <v>88</v>
      </c>
      <c r="AC811" s="65" t="n">
        <f aca="false">IF(AND(AA811&gt;0,AB811&gt;=Controls!$B$39*AA811),1,0)</f>
        <v>0</v>
      </c>
      <c r="AD811" s="65" t="n">
        <f aca="false">IF(AND(E811&lt;&gt;"",E811&gt;=Controls!$B$37,E811&lt;=Controls!$B$38),1,0)</f>
        <v>1</v>
      </c>
      <c r="AE811" s="65" t="n">
        <f aca="false">IF(IFERROR(VLOOKUP(D811,Controls!$A$64:$E$74,2,FALSE()),"No")="Yes",1,0)</f>
        <v>0</v>
      </c>
      <c r="AF811" s="65" t="n">
        <f aca="false">IF(IFERROR(VLOOKUP(D811,Controls!$A$64:$E$74,3,FALSE()),"No")="Yes",1,0)</f>
        <v>0</v>
      </c>
      <c r="AG811" s="65" t="n">
        <f aca="false">IF(IFERROR(VLOOKUP(D811,Controls!$A$64:$E$74,4,FALSE()),"No")="Yes",1,0)</f>
        <v>0</v>
      </c>
      <c r="AH811" s="65" t="n">
        <f aca="false">IF(IFERROR(VLOOKUP(D811,Controls!$A$64:$E$74,5,FALSE()),"No")="Yes",1,0)</f>
        <v>1</v>
      </c>
      <c r="AI811" s="65" t="n">
        <f aca="false">IF(ISNUMBER(MATCH(D811,Controls!$A$64:$A$74,0)),1,0)</f>
        <v>1</v>
      </c>
      <c r="AJ811" s="65" t="n">
        <f aca="false">Q811-N811</f>
        <v>-1033.65</v>
      </c>
      <c r="AK811" s="65" t="n">
        <f aca="false">IF(AE811=1,MAX(0,N811-Q811),0)</f>
        <v>0</v>
      </c>
      <c r="AL811" s="65" t="n">
        <f aca="false">IF(OR(V811="",V811=0),0,N811/V811)</f>
        <v>0.563452869233483</v>
      </c>
      <c r="AM811" s="65" t="n">
        <f aca="false">IF(OR(V811="",V811=0),0,1)</f>
        <v>1</v>
      </c>
      <c r="AN811" s="65" t="n">
        <f aca="false">IF(OR(E811="",F811=""),0,NETWORKDAYS(E811,F811,Ref!$K$2:$K$42))</f>
        <v>82</v>
      </c>
      <c r="AO811" s="65" t="n">
        <f aca="false">IF(L811="Renewal",1,0)</f>
        <v>0</v>
      </c>
      <c r="AP811" s="65" t="n">
        <f aca="false">AC811*AD811</f>
        <v>0</v>
      </c>
      <c r="AQ811" s="65" t="n">
        <f aca="false">IF(AND(G811&lt;&gt;"",'Historical Score'!$C$6&lt;&gt;""),IF(G811='Historical Score'!$C$6,1,0),0)</f>
        <v>0</v>
      </c>
      <c r="AR811" s="65" t="n">
        <f aca="false">IF(AND(L811&lt;&gt;"",'Historical Score'!$C$5&lt;&gt;""),IF(L811='Historical Score'!$C$5,1,0),0)</f>
        <v>1</v>
      </c>
      <c r="AS811" s="65" t="n">
        <f aca="false">IF(AND(Y811&lt;&gt;"",'Historical Score'!$C$7&lt;&gt;""),IF(Y811='Historical Score'!$C$7,1,0),0)</f>
        <v>0</v>
      </c>
      <c r="AT811" s="65" t="n">
        <f aca="false">IF(AND(K811&lt;&gt;"",'Historical Score'!$C$8&lt;&gt;""),IF(K811='Historical Score'!$C$8,1,0),0)</f>
        <v>0</v>
      </c>
      <c r="AU811" s="65" t="n">
        <f aca="false">IF(AND(J811&lt;&gt;"",'Historical Score'!$C$9&lt;&gt;""),IF(J811='Historical Score'!$C$9,1,0),0)</f>
        <v>1</v>
      </c>
      <c r="AV811" s="65" t="n">
        <f aca="false">AR811*AS811*AQ811</f>
        <v>0</v>
      </c>
      <c r="AW811" s="65" t="n">
        <f aca="false">AR811*AT811*AQ811</f>
        <v>0</v>
      </c>
      <c r="AX811" s="65" t="n">
        <f aca="false">AR811*AS811</f>
        <v>0</v>
      </c>
      <c r="AY811" s="65" t="n">
        <f aca="false">AR811*AT811</f>
        <v>0</v>
      </c>
      <c r="AZ811" s="65" t="n">
        <f aca="false">AR811*AQ811</f>
        <v>0</v>
      </c>
      <c r="BA811" s="65" t="n">
        <f aca="false">AR811</f>
        <v>1</v>
      </c>
      <c r="BB811" s="65" t="n">
        <f aca="false">1</f>
        <v>1</v>
      </c>
      <c r="BC811" s="65" t="n">
        <f aca="false">IF(AV811=1,1,IF(AW811=1,2,IF(AX811=1,3,IF(AY811=1,4,IF(AZ811=1,5,IF(BA811=1,6,7))))))</f>
        <v>6</v>
      </c>
      <c r="BD811" s="65" t="n">
        <f aca="false">IF(AD811=1,CHOOSE('Historical Score'!$C$29,AV811,AW811,AX811,AY811,AZ811,BA811,BB811),0)</f>
        <v>0</v>
      </c>
      <c r="BE811" s="65" t="str">
        <f aca="false">IF(BD811=1,COUNTIF($BD$2:BD811,1),"")</f>
        <v/>
      </c>
    </row>
    <row r="812" customFormat="false" ht="15" hidden="false" customHeight="false" outlineLevel="0" collapsed="false">
      <c r="A812" s="65" t="s">
        <v>2584</v>
      </c>
      <c r="B812" s="65" t="s">
        <v>2585</v>
      </c>
      <c r="C812" s="65" t="s">
        <v>2585</v>
      </c>
      <c r="D812" s="65" t="s">
        <v>295</v>
      </c>
      <c r="E812" s="112" t="n">
        <v>46135</v>
      </c>
      <c r="F812" s="112" t="n">
        <v>46253</v>
      </c>
      <c r="G812" s="65" t="n">
        <v>3</v>
      </c>
      <c r="H812" s="65" t="s">
        <v>442</v>
      </c>
      <c r="I812" s="65" t="s">
        <v>443</v>
      </c>
      <c r="J812" s="65" t="s">
        <v>682</v>
      </c>
      <c r="K812" s="65" t="s">
        <v>2586</v>
      </c>
      <c r="L812" s="65" t="s">
        <v>64</v>
      </c>
      <c r="M812" s="113" t="n">
        <v>1.45</v>
      </c>
      <c r="N812" s="114" t="n">
        <v>30000</v>
      </c>
      <c r="O812" s="114" t="n">
        <v>3600</v>
      </c>
      <c r="P812" s="114" t="n">
        <v>43500</v>
      </c>
      <c r="Q812" s="114" t="n">
        <v>19919.35</v>
      </c>
      <c r="R812" s="114" t="n">
        <v>23580.65</v>
      </c>
      <c r="S812" s="115" t="n">
        <v>0.457916091954023</v>
      </c>
      <c r="T812" s="65" t="n">
        <v>3.934</v>
      </c>
      <c r="U812" s="65" t="n">
        <v>27</v>
      </c>
      <c r="V812" s="65" t="n">
        <v>139553.38</v>
      </c>
      <c r="W812" s="115" t="n">
        <v>0.0545</v>
      </c>
      <c r="X812" s="112" t="n">
        <v>45839</v>
      </c>
      <c r="Y812" s="65" t="str">
        <f aca="false">IF(I812="","No SIC",IFERROR(VLOOKUP(I812,Ref!$A$2:$B$65,2,FALSE()),"Unclassified"))</f>
        <v>General Building Contractors</v>
      </c>
      <c r="Z812" s="65" t="str">
        <f aca="false">IF(T812="","",IF(T812&lt;12,"Daily","Weekly"))</f>
        <v>Daily</v>
      </c>
      <c r="AA812" s="65" t="n">
        <f aca="false">IF(T812="",0,IF(T812&lt;12,T812*Controls!$B$29,T812*5))</f>
        <v>85.19077</v>
      </c>
      <c r="AB812" s="65" t="n">
        <f aca="false">IF(E812="",0,NETWORKDAYS(E812,Controls!$B$36,Ref!$K$2:$K$42))</f>
        <v>87</v>
      </c>
      <c r="AC812" s="65" t="n">
        <f aca="false">IF(AND(AA812&gt;0,AB812&gt;=Controls!$B$39*AA812),1,0)</f>
        <v>0</v>
      </c>
      <c r="AD812" s="65" t="n">
        <f aca="false">IF(AND(E812&lt;&gt;"",E812&gt;=Controls!$B$37,E812&lt;=Controls!$B$38),1,0)</f>
        <v>1</v>
      </c>
      <c r="AE812" s="65" t="n">
        <f aca="false">IF(IFERROR(VLOOKUP(D812,Controls!$A$64:$E$74,2,FALSE()),"No")="Yes",1,0)</f>
        <v>0</v>
      </c>
      <c r="AF812" s="65" t="n">
        <f aca="false">IF(IFERROR(VLOOKUP(D812,Controls!$A$64:$E$74,3,FALSE()),"No")="Yes",1,0)</f>
        <v>0</v>
      </c>
      <c r="AG812" s="65" t="n">
        <f aca="false">IF(IFERROR(VLOOKUP(D812,Controls!$A$64:$E$74,4,FALSE()),"No")="Yes",1,0)</f>
        <v>0</v>
      </c>
      <c r="AH812" s="65" t="n">
        <f aca="false">IF(IFERROR(VLOOKUP(D812,Controls!$A$64:$E$74,5,FALSE()),"No")="Yes",1,0)</f>
        <v>1</v>
      </c>
      <c r="AI812" s="65" t="n">
        <f aca="false">IF(ISNUMBER(MATCH(D812,Controls!$A$64:$A$74,0)),1,0)</f>
        <v>1</v>
      </c>
      <c r="AJ812" s="65" t="n">
        <f aca="false">Q812-N812</f>
        <v>-10080.65</v>
      </c>
      <c r="AK812" s="65" t="n">
        <f aca="false">IF(AE812=1,MAX(0,N812-Q812),0)</f>
        <v>0</v>
      </c>
      <c r="AL812" s="65" t="n">
        <f aca="false">IF(OR(V812="",V812=0),0,N812/V812)</f>
        <v>0.214971504093989</v>
      </c>
      <c r="AM812" s="65" t="n">
        <f aca="false">IF(OR(V812="",V812=0),0,1)</f>
        <v>1</v>
      </c>
      <c r="AN812" s="65" t="n">
        <f aca="false">IF(OR(E812="",F812=""),0,NETWORKDAYS(E812,F812,Ref!$K$2:$K$42))</f>
        <v>83</v>
      </c>
      <c r="AO812" s="65" t="n">
        <f aca="false">IF(L812="Renewal",1,0)</f>
        <v>0</v>
      </c>
      <c r="AP812" s="65" t="n">
        <f aca="false">AC812*AD812</f>
        <v>0</v>
      </c>
      <c r="AQ812" s="65" t="n">
        <f aca="false">IF(AND(G812&lt;&gt;"",'Historical Score'!$C$6&lt;&gt;""),IF(G812='Historical Score'!$C$6,1,0),0)</f>
        <v>0</v>
      </c>
      <c r="AR812" s="65" t="n">
        <f aca="false">IF(AND(L812&lt;&gt;"",'Historical Score'!$C$5&lt;&gt;""),IF(L812='Historical Score'!$C$5,1,0),0)</f>
        <v>1</v>
      </c>
      <c r="AS812" s="65" t="n">
        <f aca="false">IF(AND(Y812&lt;&gt;"",'Historical Score'!$C$7&lt;&gt;""),IF(Y812='Historical Score'!$C$7,1,0),0)</f>
        <v>1</v>
      </c>
      <c r="AT812" s="65" t="n">
        <f aca="false">IF(AND(K812&lt;&gt;"",'Historical Score'!$C$8&lt;&gt;""),IF(K812='Historical Score'!$C$8,1,0),0)</f>
        <v>0</v>
      </c>
      <c r="AU812" s="65" t="n">
        <f aca="false">IF(AND(J812&lt;&gt;"",'Historical Score'!$C$9&lt;&gt;""),IF(J812='Historical Score'!$C$9,1,0),0)</f>
        <v>0</v>
      </c>
      <c r="AV812" s="65" t="n">
        <f aca="false">AR812*AS812*AQ812</f>
        <v>0</v>
      </c>
      <c r="AW812" s="65" t="n">
        <f aca="false">AR812*AT812*AQ812</f>
        <v>0</v>
      </c>
      <c r="AX812" s="65" t="n">
        <f aca="false">AR812*AS812</f>
        <v>1</v>
      </c>
      <c r="AY812" s="65" t="n">
        <f aca="false">AR812*AT812</f>
        <v>0</v>
      </c>
      <c r="AZ812" s="65" t="n">
        <f aca="false">AR812*AQ812</f>
        <v>0</v>
      </c>
      <c r="BA812" s="65" t="n">
        <f aca="false">AR812</f>
        <v>1</v>
      </c>
      <c r="BB812" s="65" t="n">
        <f aca="false">1</f>
        <v>1</v>
      </c>
      <c r="BC812" s="65" t="n">
        <f aca="false">IF(AV812=1,1,IF(AW812=1,2,IF(AX812=1,3,IF(AY812=1,4,IF(AZ812=1,5,IF(BA812=1,6,7))))))</f>
        <v>3</v>
      </c>
      <c r="BD812" s="65" t="n">
        <f aca="false">IF(AD812=1,CHOOSE('Historical Score'!$C$29,AV812,AW812,AX812,AY812,AZ812,BA812,BB812),0)</f>
        <v>0</v>
      </c>
      <c r="BE812" s="65" t="str">
        <f aca="false">IF(BD812=1,COUNTIF($BD$2:BD812,1),"")</f>
        <v/>
      </c>
    </row>
    <row r="813" customFormat="false" ht="15" hidden="false" customHeight="false" outlineLevel="0" collapsed="false">
      <c r="A813" s="65" t="s">
        <v>2587</v>
      </c>
      <c r="B813" s="65" t="s">
        <v>2173</v>
      </c>
      <c r="C813" s="65" t="s">
        <v>2173</v>
      </c>
      <c r="D813" s="65" t="s">
        <v>295</v>
      </c>
      <c r="E813" s="112" t="n">
        <v>46135</v>
      </c>
      <c r="F813" s="112" t="n">
        <v>46253</v>
      </c>
      <c r="G813" s="65" t="n">
        <v>3</v>
      </c>
      <c r="H813" s="65" t="s">
        <v>748</v>
      </c>
      <c r="I813" s="65" t="s">
        <v>619</v>
      </c>
      <c r="J813" s="65" t="s">
        <v>373</v>
      </c>
      <c r="K813" s="65" t="s">
        <v>55</v>
      </c>
      <c r="L813" s="65" t="s">
        <v>320</v>
      </c>
      <c r="M813" s="113" t="n">
        <v>1.49</v>
      </c>
      <c r="N813" s="114" t="n">
        <v>40000</v>
      </c>
      <c r="O813" s="114" t="n">
        <v>5600</v>
      </c>
      <c r="P813" s="114" t="n">
        <v>59600</v>
      </c>
      <c r="Q813" s="114" t="n">
        <v>22084.92</v>
      </c>
      <c r="R813" s="114" t="n">
        <v>37515.08</v>
      </c>
      <c r="S813" s="115" t="n">
        <v>0.370552348993289</v>
      </c>
      <c r="T813" s="65" t="n">
        <v>4.262</v>
      </c>
      <c r="U813" s="65" t="n">
        <v>33</v>
      </c>
      <c r="V813" s="65" t="n">
        <v>94891.3</v>
      </c>
      <c r="W813" s="115" t="n">
        <v>0.1234</v>
      </c>
      <c r="X813" s="112" t="n">
        <v>45045</v>
      </c>
      <c r="Y813" s="65" t="str">
        <f aca="false">IF(I813="","No SIC",IFERROR(VLOOKUP(I813,Ref!$A$2:$B$65,2,FALSE()),"Unclassified"))</f>
        <v>Miscellaneous Retail</v>
      </c>
      <c r="Z813" s="65" t="str">
        <f aca="false">IF(T813="","",IF(T813&lt;12,"Daily","Weekly"))</f>
        <v>Daily</v>
      </c>
      <c r="AA813" s="65" t="n">
        <f aca="false">IF(T813="",0,IF(T813&lt;12,T813*Controls!$B$29,T813*5))</f>
        <v>92.29361</v>
      </c>
      <c r="AB813" s="65" t="n">
        <f aca="false">IF(E813="",0,NETWORKDAYS(E813,Controls!$B$36,Ref!$K$2:$K$42))</f>
        <v>87</v>
      </c>
      <c r="AC813" s="65" t="n">
        <f aca="false">IF(AND(AA813&gt;0,AB813&gt;=Controls!$B$39*AA813),1,0)</f>
        <v>0</v>
      </c>
      <c r="AD813" s="65" t="n">
        <f aca="false">IF(AND(E813&lt;&gt;"",E813&gt;=Controls!$B$37,E813&lt;=Controls!$B$38),1,0)</f>
        <v>1</v>
      </c>
      <c r="AE813" s="65" t="n">
        <f aca="false">IF(IFERROR(VLOOKUP(D813,Controls!$A$64:$E$74,2,FALSE()),"No")="Yes",1,0)</f>
        <v>0</v>
      </c>
      <c r="AF813" s="65" t="n">
        <f aca="false">IF(IFERROR(VLOOKUP(D813,Controls!$A$64:$E$74,3,FALSE()),"No")="Yes",1,0)</f>
        <v>0</v>
      </c>
      <c r="AG813" s="65" t="n">
        <f aca="false">IF(IFERROR(VLOOKUP(D813,Controls!$A$64:$E$74,4,FALSE()),"No")="Yes",1,0)</f>
        <v>0</v>
      </c>
      <c r="AH813" s="65" t="n">
        <f aca="false">IF(IFERROR(VLOOKUP(D813,Controls!$A$64:$E$74,5,FALSE()),"No")="Yes",1,0)</f>
        <v>1</v>
      </c>
      <c r="AI813" s="65" t="n">
        <f aca="false">IF(ISNUMBER(MATCH(D813,Controls!$A$64:$A$74,0)),1,0)</f>
        <v>1</v>
      </c>
      <c r="AJ813" s="65" t="n">
        <f aca="false">Q813-N813</f>
        <v>-17915.08</v>
      </c>
      <c r="AK813" s="65" t="n">
        <f aca="false">IF(AE813=1,MAX(0,N813-Q813),0)</f>
        <v>0</v>
      </c>
      <c r="AL813" s="65" t="n">
        <f aca="false">IF(OR(V813="",V813=0),0,N813/V813)</f>
        <v>0.421534956313171</v>
      </c>
      <c r="AM813" s="65" t="n">
        <f aca="false">IF(OR(V813="",V813=0),0,1)</f>
        <v>1</v>
      </c>
      <c r="AN813" s="65" t="n">
        <f aca="false">IF(OR(E813="",F813=""),0,NETWORKDAYS(E813,F813,Ref!$K$2:$K$42))</f>
        <v>83</v>
      </c>
      <c r="AO813" s="65" t="n">
        <f aca="false">IF(L813="Renewal",1,0)</f>
        <v>1</v>
      </c>
      <c r="AP813" s="65" t="n">
        <f aca="false">AC813*AD813</f>
        <v>0</v>
      </c>
      <c r="AQ813" s="65" t="n">
        <f aca="false">IF(AND(G813&lt;&gt;"",'Historical Score'!$C$6&lt;&gt;""),IF(G813='Historical Score'!$C$6,1,0),0)</f>
        <v>0</v>
      </c>
      <c r="AR813" s="65" t="n">
        <f aca="false">IF(AND(L813&lt;&gt;"",'Historical Score'!$C$5&lt;&gt;""),IF(L813='Historical Score'!$C$5,1,0),0)</f>
        <v>0</v>
      </c>
      <c r="AS813" s="65" t="n">
        <f aca="false">IF(AND(Y813&lt;&gt;"",'Historical Score'!$C$7&lt;&gt;""),IF(Y813='Historical Score'!$C$7,1,0),0)</f>
        <v>0</v>
      </c>
      <c r="AT813" s="65" t="n">
        <f aca="false">IF(AND(K813&lt;&gt;"",'Historical Score'!$C$8&lt;&gt;""),IF(K813='Historical Score'!$C$8,1,0),0)</f>
        <v>1</v>
      </c>
      <c r="AU813" s="65" t="n">
        <f aca="false">IF(AND(J813&lt;&gt;"",'Historical Score'!$C$9&lt;&gt;""),IF(J813='Historical Score'!$C$9,1,0),0)</f>
        <v>0</v>
      </c>
      <c r="AV813" s="65" t="n">
        <f aca="false">AR813*AS813*AQ813</f>
        <v>0</v>
      </c>
      <c r="AW813" s="65" t="n">
        <f aca="false">AR813*AT813*AQ813</f>
        <v>0</v>
      </c>
      <c r="AX813" s="65" t="n">
        <f aca="false">AR813*AS813</f>
        <v>0</v>
      </c>
      <c r="AY813" s="65" t="n">
        <f aca="false">AR813*AT813</f>
        <v>0</v>
      </c>
      <c r="AZ813" s="65" t="n">
        <f aca="false">AR813*AQ813</f>
        <v>0</v>
      </c>
      <c r="BA813" s="65" t="n">
        <f aca="false">AR813</f>
        <v>0</v>
      </c>
      <c r="BB813" s="65" t="n">
        <f aca="false">1</f>
        <v>1</v>
      </c>
      <c r="BC813" s="65" t="n">
        <f aca="false">IF(AV813=1,1,IF(AW813=1,2,IF(AX813=1,3,IF(AY813=1,4,IF(AZ813=1,5,IF(BA813=1,6,7))))))</f>
        <v>7</v>
      </c>
      <c r="BD813" s="65" t="n">
        <f aca="false">IF(AD813=1,CHOOSE('Historical Score'!$C$29,AV813,AW813,AX813,AY813,AZ813,BA813,BB813),0)</f>
        <v>0</v>
      </c>
      <c r="BE813" s="65" t="str">
        <f aca="false">IF(BD813=1,COUNTIF($BD$2:BD813,1),"")</f>
        <v/>
      </c>
    </row>
    <row r="814" customFormat="false" ht="15" hidden="false" customHeight="false" outlineLevel="0" collapsed="false">
      <c r="A814" s="65" t="s">
        <v>2588</v>
      </c>
      <c r="B814" s="65" t="s">
        <v>2589</v>
      </c>
      <c r="C814" s="65" t="s">
        <v>2589</v>
      </c>
      <c r="D814" s="65" t="s">
        <v>340</v>
      </c>
      <c r="E814" s="112" t="n">
        <v>46135</v>
      </c>
      <c r="F814" s="112" t="n">
        <v>46150</v>
      </c>
      <c r="G814" s="65" t="n">
        <v>3</v>
      </c>
      <c r="H814" s="65" t="s">
        <v>752</v>
      </c>
      <c r="I814" s="65" t="s">
        <v>405</v>
      </c>
      <c r="J814" s="65" t="s">
        <v>61</v>
      </c>
      <c r="K814" s="65" t="s">
        <v>433</v>
      </c>
      <c r="L814" s="65" t="s">
        <v>64</v>
      </c>
      <c r="M814" s="113" t="n">
        <v>1.45</v>
      </c>
      <c r="N814" s="114" t="n">
        <v>40000</v>
      </c>
      <c r="O814" s="114" t="n">
        <v>4800</v>
      </c>
      <c r="P814" s="114" t="n">
        <v>58000</v>
      </c>
      <c r="Q814" s="114" t="n">
        <v>2898.17</v>
      </c>
      <c r="R814" s="114" t="n">
        <v>55101.83</v>
      </c>
      <c r="S814" s="115" t="n">
        <v>0.0499684482758621</v>
      </c>
      <c r="T814" s="65" t="n">
        <v>20</v>
      </c>
      <c r="U814" s="65" t="n">
        <v>1</v>
      </c>
      <c r="V814" s="65" t="n">
        <v>167282.61</v>
      </c>
      <c r="W814" s="115" t="n">
        <v>0.0693</v>
      </c>
      <c r="X814" s="112" t="n">
        <v>43770</v>
      </c>
      <c r="Y814" s="65" t="str">
        <f aca="false">IF(I814="","No SIC",IFERROR(VLOOKUP(I814,Ref!$A$2:$B$65,2,FALSE()),"Unclassified"))</f>
        <v>Health Services</v>
      </c>
      <c r="Z814" s="65" t="str">
        <f aca="false">IF(T814="","",IF(T814&lt;12,"Daily","Weekly"))</f>
        <v>Weekly</v>
      </c>
      <c r="AA814" s="65" t="n">
        <f aca="false">IF(T814="",0,IF(T814&lt;12,T814*Controls!$B$29,T814*5))</f>
        <v>100</v>
      </c>
      <c r="AB814" s="65" t="n">
        <f aca="false">IF(E814="",0,NETWORKDAYS(E814,Controls!$B$36,Ref!$K$2:$K$42))</f>
        <v>87</v>
      </c>
      <c r="AC814" s="65" t="n">
        <f aca="false">IF(AND(AA814&gt;0,AB814&gt;=Controls!$B$39*AA814),1,0)</f>
        <v>0</v>
      </c>
      <c r="AD814" s="65" t="n">
        <f aca="false">IF(AND(E814&lt;&gt;"",E814&gt;=Controls!$B$37,E814&lt;=Controls!$B$38),1,0)</f>
        <v>1</v>
      </c>
      <c r="AE814" s="65" t="n">
        <f aca="false">IF(IFERROR(VLOOKUP(D814,Controls!$A$64:$E$74,2,FALSE()),"No")="Yes",1,0)</f>
        <v>1</v>
      </c>
      <c r="AF814" s="65" t="n">
        <f aca="false">IF(IFERROR(VLOOKUP(D814,Controls!$A$64:$E$74,3,FALSE()),"No")="Yes",1,0)</f>
        <v>0</v>
      </c>
      <c r="AG814" s="65" t="n">
        <f aca="false">IF(IFERROR(VLOOKUP(D814,Controls!$A$64:$E$74,4,FALSE()),"No")="Yes",1,0)</f>
        <v>0</v>
      </c>
      <c r="AH814" s="65" t="n">
        <f aca="false">IF(IFERROR(VLOOKUP(D814,Controls!$A$64:$E$74,5,FALSE()),"No")="Yes",1,0)</f>
        <v>0</v>
      </c>
      <c r="AI814" s="65" t="n">
        <f aca="false">IF(ISNUMBER(MATCH(D814,Controls!$A$64:$A$74,0)),1,0)</f>
        <v>1</v>
      </c>
      <c r="AJ814" s="65" t="n">
        <f aca="false">Q814-N814</f>
        <v>-37101.83</v>
      </c>
      <c r="AK814" s="65" t="n">
        <f aca="false">IF(AE814=1,MAX(0,N814-Q814),0)</f>
        <v>37101.83</v>
      </c>
      <c r="AL814" s="65" t="n">
        <f aca="false">IF(OR(V814="",V814=0),0,N814/V814)</f>
        <v>0.239116307427293</v>
      </c>
      <c r="AM814" s="65" t="n">
        <f aca="false">IF(OR(V814="",V814=0),0,1)</f>
        <v>1</v>
      </c>
      <c r="AN814" s="65" t="n">
        <f aca="false">IF(OR(E814="",F814=""),0,NETWORKDAYS(E814,F814,Ref!$K$2:$K$42))</f>
        <v>12</v>
      </c>
      <c r="AO814" s="65" t="n">
        <f aca="false">IF(L814="Renewal",1,0)</f>
        <v>0</v>
      </c>
      <c r="AP814" s="65" t="n">
        <f aca="false">AC814*AD814</f>
        <v>0</v>
      </c>
      <c r="AQ814" s="65" t="n">
        <f aca="false">IF(AND(G814&lt;&gt;"",'Historical Score'!$C$6&lt;&gt;""),IF(G814='Historical Score'!$C$6,1,0),0)</f>
        <v>0</v>
      </c>
      <c r="AR814" s="65" t="n">
        <f aca="false">IF(AND(L814&lt;&gt;"",'Historical Score'!$C$5&lt;&gt;""),IF(L814='Historical Score'!$C$5,1,0),0)</f>
        <v>1</v>
      </c>
      <c r="AS814" s="65" t="n">
        <f aca="false">IF(AND(Y814&lt;&gt;"",'Historical Score'!$C$7&lt;&gt;""),IF(Y814='Historical Score'!$C$7,1,0),0)</f>
        <v>0</v>
      </c>
      <c r="AT814" s="65" t="n">
        <f aca="false">IF(AND(K814&lt;&gt;"",'Historical Score'!$C$8&lt;&gt;""),IF(K814='Historical Score'!$C$8,1,0),0)</f>
        <v>0</v>
      </c>
      <c r="AU814" s="65" t="n">
        <f aca="false">IF(AND(J814&lt;&gt;"",'Historical Score'!$C$9&lt;&gt;""),IF(J814='Historical Score'!$C$9,1,0),0)</f>
        <v>1</v>
      </c>
      <c r="AV814" s="65" t="n">
        <f aca="false">AR814*AS814*AQ814</f>
        <v>0</v>
      </c>
      <c r="AW814" s="65" t="n">
        <f aca="false">AR814*AT814*AQ814</f>
        <v>0</v>
      </c>
      <c r="AX814" s="65" t="n">
        <f aca="false">AR814*AS814</f>
        <v>0</v>
      </c>
      <c r="AY814" s="65" t="n">
        <f aca="false">AR814*AT814</f>
        <v>0</v>
      </c>
      <c r="AZ814" s="65" t="n">
        <f aca="false">AR814*AQ814</f>
        <v>0</v>
      </c>
      <c r="BA814" s="65" t="n">
        <f aca="false">AR814</f>
        <v>1</v>
      </c>
      <c r="BB814" s="65" t="n">
        <f aca="false">1</f>
        <v>1</v>
      </c>
      <c r="BC814" s="65" t="n">
        <f aca="false">IF(AV814=1,1,IF(AW814=1,2,IF(AX814=1,3,IF(AY814=1,4,IF(AZ814=1,5,IF(BA814=1,6,7))))))</f>
        <v>6</v>
      </c>
      <c r="BD814" s="65" t="n">
        <f aca="false">IF(AD814=1,CHOOSE('Historical Score'!$C$29,AV814,AW814,AX814,AY814,AZ814,BA814,BB814),0)</f>
        <v>0</v>
      </c>
      <c r="BE814" s="65" t="str">
        <f aca="false">IF(BD814=1,COUNTIF($BD$2:BD814,1),"")</f>
        <v/>
      </c>
    </row>
    <row r="815" customFormat="false" ht="15" hidden="false" customHeight="false" outlineLevel="0" collapsed="false">
      <c r="A815" s="65" t="s">
        <v>2590</v>
      </c>
      <c r="B815" s="65" t="s">
        <v>2591</v>
      </c>
      <c r="C815" s="65" t="s">
        <v>2591</v>
      </c>
      <c r="D815" s="65" t="s">
        <v>295</v>
      </c>
      <c r="E815" s="112" t="n">
        <v>46135</v>
      </c>
      <c r="F815" s="112" t="n">
        <v>46253</v>
      </c>
      <c r="G815" s="65" t="n">
        <v>3</v>
      </c>
      <c r="H815" s="65" t="s">
        <v>1146</v>
      </c>
      <c r="I815" s="65" t="s">
        <v>419</v>
      </c>
      <c r="J815" s="65" t="s">
        <v>452</v>
      </c>
      <c r="K815" s="65" t="s">
        <v>581</v>
      </c>
      <c r="L815" s="65" t="s">
        <v>64</v>
      </c>
      <c r="M815" s="113" t="n">
        <v>1.49</v>
      </c>
      <c r="N815" s="114" t="n">
        <v>15000</v>
      </c>
      <c r="O815" s="114" t="n">
        <v>2100</v>
      </c>
      <c r="P815" s="114" t="n">
        <v>22350</v>
      </c>
      <c r="Q815" s="114" t="n">
        <v>20608.9</v>
      </c>
      <c r="R815" s="114" t="n">
        <v>1741.1</v>
      </c>
      <c r="S815" s="115" t="n">
        <v>0.922098434004474</v>
      </c>
      <c r="T815" s="65" t="n">
        <v>2.951</v>
      </c>
      <c r="U815" s="65" t="n">
        <v>0</v>
      </c>
      <c r="V815" s="65" t="n">
        <v>147294.84</v>
      </c>
      <c r="W815" s="115" t="n">
        <v>0.0354</v>
      </c>
      <c r="X815" s="112" t="n">
        <v>45585</v>
      </c>
      <c r="Y815" s="65" t="str">
        <f aca="false">IF(I815="","No SIC",IFERROR(VLOOKUP(I815,Ref!$A$2:$B$65,2,FALSE()),"Unclassified"))</f>
        <v>Business Services</v>
      </c>
      <c r="Z815" s="65" t="str">
        <f aca="false">IF(T815="","",IF(T815&lt;12,"Daily","Weekly"))</f>
        <v>Daily</v>
      </c>
      <c r="AA815" s="65" t="n">
        <f aca="false">IF(T815="",0,IF(T815&lt;12,T815*Controls!$B$29,T815*5))</f>
        <v>63.903905</v>
      </c>
      <c r="AB815" s="65" t="n">
        <f aca="false">IF(E815="",0,NETWORKDAYS(E815,Controls!$B$36,Ref!$K$2:$K$42))</f>
        <v>87</v>
      </c>
      <c r="AC815" s="65" t="n">
        <f aca="false">IF(AND(AA815&gt;0,AB815&gt;=Controls!$B$39*AA815),1,0)</f>
        <v>1</v>
      </c>
      <c r="AD815" s="65" t="n">
        <f aca="false">IF(AND(E815&lt;&gt;"",E815&gt;=Controls!$B$37,E815&lt;=Controls!$B$38),1,0)</f>
        <v>1</v>
      </c>
      <c r="AE815" s="65" t="n">
        <f aca="false">IF(IFERROR(VLOOKUP(D815,Controls!$A$64:$E$74,2,FALSE()),"No")="Yes",1,0)</f>
        <v>0</v>
      </c>
      <c r="AF815" s="65" t="n">
        <f aca="false">IF(IFERROR(VLOOKUP(D815,Controls!$A$64:$E$74,3,FALSE()),"No")="Yes",1,0)</f>
        <v>0</v>
      </c>
      <c r="AG815" s="65" t="n">
        <f aca="false">IF(IFERROR(VLOOKUP(D815,Controls!$A$64:$E$74,4,FALSE()),"No")="Yes",1,0)</f>
        <v>0</v>
      </c>
      <c r="AH815" s="65" t="n">
        <f aca="false">IF(IFERROR(VLOOKUP(D815,Controls!$A$64:$E$74,5,FALSE()),"No")="Yes",1,0)</f>
        <v>1</v>
      </c>
      <c r="AI815" s="65" t="n">
        <f aca="false">IF(ISNUMBER(MATCH(D815,Controls!$A$64:$A$74,0)),1,0)</f>
        <v>1</v>
      </c>
      <c r="AJ815" s="65" t="n">
        <f aca="false">Q815-N815</f>
        <v>5608.9</v>
      </c>
      <c r="AK815" s="65" t="n">
        <f aca="false">IF(AE815=1,MAX(0,N815-Q815),0)</f>
        <v>0</v>
      </c>
      <c r="AL815" s="65" t="n">
        <f aca="false">IF(OR(V815="",V815=0),0,N815/V815)</f>
        <v>0.101836561280762</v>
      </c>
      <c r="AM815" s="65" t="n">
        <f aca="false">IF(OR(V815="",V815=0),0,1)</f>
        <v>1</v>
      </c>
      <c r="AN815" s="65" t="n">
        <f aca="false">IF(OR(E815="",F815=""),0,NETWORKDAYS(E815,F815,Ref!$K$2:$K$42))</f>
        <v>83</v>
      </c>
      <c r="AO815" s="65" t="n">
        <f aca="false">IF(L815="Renewal",1,0)</f>
        <v>0</v>
      </c>
      <c r="AP815" s="65" t="n">
        <f aca="false">AC815*AD815</f>
        <v>1</v>
      </c>
      <c r="AQ815" s="65" t="n">
        <f aca="false">IF(AND(G815&lt;&gt;"",'Historical Score'!$C$6&lt;&gt;""),IF(G815='Historical Score'!$C$6,1,0),0)</f>
        <v>0</v>
      </c>
      <c r="AR815" s="65" t="n">
        <f aca="false">IF(AND(L815&lt;&gt;"",'Historical Score'!$C$5&lt;&gt;""),IF(L815='Historical Score'!$C$5,1,0),0)</f>
        <v>1</v>
      </c>
      <c r="AS815" s="65" t="n">
        <f aca="false">IF(AND(Y815&lt;&gt;"",'Historical Score'!$C$7&lt;&gt;""),IF(Y815='Historical Score'!$C$7,1,0),0)</f>
        <v>0</v>
      </c>
      <c r="AT815" s="65" t="n">
        <f aca="false">IF(AND(K815&lt;&gt;"",'Historical Score'!$C$8&lt;&gt;""),IF(K815='Historical Score'!$C$8,1,0),0)</f>
        <v>0</v>
      </c>
      <c r="AU815" s="65" t="n">
        <f aca="false">IF(AND(J815&lt;&gt;"",'Historical Score'!$C$9&lt;&gt;""),IF(J815='Historical Score'!$C$9,1,0),0)</f>
        <v>0</v>
      </c>
      <c r="AV815" s="65" t="n">
        <f aca="false">AR815*AS815*AQ815</f>
        <v>0</v>
      </c>
      <c r="AW815" s="65" t="n">
        <f aca="false">AR815*AT815*AQ815</f>
        <v>0</v>
      </c>
      <c r="AX815" s="65" t="n">
        <f aca="false">AR815*AS815</f>
        <v>0</v>
      </c>
      <c r="AY815" s="65" t="n">
        <f aca="false">AR815*AT815</f>
        <v>0</v>
      </c>
      <c r="AZ815" s="65" t="n">
        <f aca="false">AR815*AQ815</f>
        <v>0</v>
      </c>
      <c r="BA815" s="65" t="n">
        <f aca="false">AR815</f>
        <v>1</v>
      </c>
      <c r="BB815" s="65" t="n">
        <f aca="false">1</f>
        <v>1</v>
      </c>
      <c r="BC815" s="65" t="n">
        <f aca="false">IF(AV815=1,1,IF(AW815=1,2,IF(AX815=1,3,IF(AY815=1,4,IF(AZ815=1,5,IF(BA815=1,6,7))))))</f>
        <v>6</v>
      </c>
      <c r="BD815" s="65" t="n">
        <f aca="false">IF(AD815=1,CHOOSE('Historical Score'!$C$29,AV815,AW815,AX815,AY815,AZ815,BA815,BB815),0)</f>
        <v>0</v>
      </c>
      <c r="BE815" s="65" t="str">
        <f aca="false">IF(BD815=1,COUNTIF($BD$2:BD815,1),"")</f>
        <v/>
      </c>
    </row>
    <row r="816" customFormat="false" ht="15" hidden="false" customHeight="false" outlineLevel="0" collapsed="false">
      <c r="A816" s="65" t="s">
        <v>2592</v>
      </c>
      <c r="B816" s="65" t="s">
        <v>2593</v>
      </c>
      <c r="C816" s="65" t="s">
        <v>2593</v>
      </c>
      <c r="D816" s="65" t="s">
        <v>295</v>
      </c>
      <c r="E816" s="112" t="n">
        <v>46136</v>
      </c>
      <c r="F816" s="112" t="n">
        <v>46248</v>
      </c>
      <c r="G816" s="65" t="n">
        <v>3</v>
      </c>
      <c r="H816" s="65" t="s">
        <v>1192</v>
      </c>
      <c r="I816" s="65" t="s">
        <v>643</v>
      </c>
      <c r="J816" s="65" t="s">
        <v>452</v>
      </c>
      <c r="K816" s="65" t="s">
        <v>2594</v>
      </c>
      <c r="L816" s="65" t="s">
        <v>64</v>
      </c>
      <c r="M816" s="113" t="n">
        <v>1.35</v>
      </c>
      <c r="N816" s="114" t="n">
        <v>15000</v>
      </c>
      <c r="O816" s="114" t="n">
        <v>1050</v>
      </c>
      <c r="P816" s="114" t="n">
        <v>20250</v>
      </c>
      <c r="Q816" s="114" t="n">
        <v>12464</v>
      </c>
      <c r="R816" s="114" t="n">
        <v>7786</v>
      </c>
      <c r="S816" s="115" t="n">
        <v>0.615506172839506</v>
      </c>
      <c r="T816" s="65" t="n">
        <v>26</v>
      </c>
      <c r="U816" s="65" t="n">
        <v>0</v>
      </c>
      <c r="V816" s="65" t="n">
        <v>38000</v>
      </c>
      <c r="W816" s="115" t="n">
        <v>0.1558</v>
      </c>
      <c r="X816" s="112" t="n">
        <v>45005</v>
      </c>
      <c r="Y816" s="65" t="str">
        <f aca="false">IF(I816="","No SIC",IFERROR(VLOOKUP(I816,Ref!$A$2:$B$65,2,FALSE()),"Unclassified"))</f>
        <v>Agricultural Services</v>
      </c>
      <c r="Z816" s="65" t="str">
        <f aca="false">IF(T816="","",IF(T816&lt;12,"Daily","Weekly"))</f>
        <v>Weekly</v>
      </c>
      <c r="AA816" s="65" t="n">
        <f aca="false">IF(T816="",0,IF(T816&lt;12,T816*Controls!$B$29,T816*5))</f>
        <v>130</v>
      </c>
      <c r="AB816" s="65" t="n">
        <f aca="false">IF(E816="",0,NETWORKDAYS(E816,Controls!$B$36,Ref!$K$2:$K$42))</f>
        <v>86</v>
      </c>
      <c r="AC816" s="65" t="n">
        <f aca="false">IF(AND(AA816&gt;0,AB816&gt;=Controls!$B$39*AA816),1,0)</f>
        <v>0</v>
      </c>
      <c r="AD816" s="65" t="n">
        <f aca="false">IF(AND(E816&lt;&gt;"",E816&gt;=Controls!$B$37,E816&lt;=Controls!$B$38),1,0)</f>
        <v>1</v>
      </c>
      <c r="AE816" s="65" t="n">
        <f aca="false">IF(IFERROR(VLOOKUP(D816,Controls!$A$64:$E$74,2,FALSE()),"No")="Yes",1,0)</f>
        <v>0</v>
      </c>
      <c r="AF816" s="65" t="n">
        <f aca="false">IF(IFERROR(VLOOKUP(D816,Controls!$A$64:$E$74,3,FALSE()),"No")="Yes",1,0)</f>
        <v>0</v>
      </c>
      <c r="AG816" s="65" t="n">
        <f aca="false">IF(IFERROR(VLOOKUP(D816,Controls!$A$64:$E$74,4,FALSE()),"No")="Yes",1,0)</f>
        <v>0</v>
      </c>
      <c r="AH816" s="65" t="n">
        <f aca="false">IF(IFERROR(VLOOKUP(D816,Controls!$A$64:$E$74,5,FALSE()),"No")="Yes",1,0)</f>
        <v>1</v>
      </c>
      <c r="AI816" s="65" t="n">
        <f aca="false">IF(ISNUMBER(MATCH(D816,Controls!$A$64:$A$74,0)),1,0)</f>
        <v>1</v>
      </c>
      <c r="AJ816" s="65" t="n">
        <f aca="false">Q816-N816</f>
        <v>-2536</v>
      </c>
      <c r="AK816" s="65" t="n">
        <f aca="false">IF(AE816=1,MAX(0,N816-Q816),0)</f>
        <v>0</v>
      </c>
      <c r="AL816" s="65" t="n">
        <f aca="false">IF(OR(V816="",V816=0),0,N816/V816)</f>
        <v>0.394736842105263</v>
      </c>
      <c r="AM816" s="65" t="n">
        <f aca="false">IF(OR(V816="",V816=0),0,1)</f>
        <v>1</v>
      </c>
      <c r="AN816" s="65" t="n">
        <f aca="false">IF(OR(E816="",F816=""),0,NETWORKDAYS(E816,F816,Ref!$K$2:$K$42))</f>
        <v>79</v>
      </c>
      <c r="AO816" s="65" t="n">
        <f aca="false">IF(L816="Renewal",1,0)</f>
        <v>0</v>
      </c>
      <c r="AP816" s="65" t="n">
        <f aca="false">AC816*AD816</f>
        <v>0</v>
      </c>
      <c r="AQ816" s="65" t="n">
        <f aca="false">IF(AND(G816&lt;&gt;"",'Historical Score'!$C$6&lt;&gt;""),IF(G816='Historical Score'!$C$6,1,0),0)</f>
        <v>0</v>
      </c>
      <c r="AR816" s="65" t="n">
        <f aca="false">IF(AND(L816&lt;&gt;"",'Historical Score'!$C$5&lt;&gt;""),IF(L816='Historical Score'!$C$5,1,0),0)</f>
        <v>1</v>
      </c>
      <c r="AS816" s="65" t="n">
        <f aca="false">IF(AND(Y816&lt;&gt;"",'Historical Score'!$C$7&lt;&gt;""),IF(Y816='Historical Score'!$C$7,1,0),0)</f>
        <v>0</v>
      </c>
      <c r="AT816" s="65" t="n">
        <f aca="false">IF(AND(K816&lt;&gt;"",'Historical Score'!$C$8&lt;&gt;""),IF(K816='Historical Score'!$C$8,1,0),0)</f>
        <v>0</v>
      </c>
      <c r="AU816" s="65" t="n">
        <f aca="false">IF(AND(J816&lt;&gt;"",'Historical Score'!$C$9&lt;&gt;""),IF(J816='Historical Score'!$C$9,1,0),0)</f>
        <v>0</v>
      </c>
      <c r="AV816" s="65" t="n">
        <f aca="false">AR816*AS816*AQ816</f>
        <v>0</v>
      </c>
      <c r="AW816" s="65" t="n">
        <f aca="false">AR816*AT816*AQ816</f>
        <v>0</v>
      </c>
      <c r="AX816" s="65" t="n">
        <f aca="false">AR816*AS816</f>
        <v>0</v>
      </c>
      <c r="AY816" s="65" t="n">
        <f aca="false">AR816*AT816</f>
        <v>0</v>
      </c>
      <c r="AZ816" s="65" t="n">
        <f aca="false">AR816*AQ816</f>
        <v>0</v>
      </c>
      <c r="BA816" s="65" t="n">
        <f aca="false">AR816</f>
        <v>1</v>
      </c>
      <c r="BB816" s="65" t="n">
        <f aca="false">1</f>
        <v>1</v>
      </c>
      <c r="BC816" s="65" t="n">
        <f aca="false">IF(AV816=1,1,IF(AW816=1,2,IF(AX816=1,3,IF(AY816=1,4,IF(AZ816=1,5,IF(BA816=1,6,7))))))</f>
        <v>6</v>
      </c>
      <c r="BD816" s="65" t="n">
        <f aca="false">IF(AD816=1,CHOOSE('Historical Score'!$C$29,AV816,AW816,AX816,AY816,AZ816,BA816,BB816),0)</f>
        <v>0</v>
      </c>
      <c r="BE816" s="65" t="str">
        <f aca="false">IF(BD816=1,COUNTIF($BD$2:BD816,1),"")</f>
        <v/>
      </c>
    </row>
    <row r="817" customFormat="false" ht="15" hidden="false" customHeight="false" outlineLevel="0" collapsed="false">
      <c r="A817" s="65" t="s">
        <v>2595</v>
      </c>
      <c r="B817" s="65" t="s">
        <v>2071</v>
      </c>
      <c r="C817" s="65" t="s">
        <v>2071</v>
      </c>
      <c r="D817" s="65" t="s">
        <v>295</v>
      </c>
      <c r="E817" s="112" t="n">
        <v>46136</v>
      </c>
      <c r="F817" s="112" t="n">
        <v>46253</v>
      </c>
      <c r="G817" s="65" t="n">
        <v>3</v>
      </c>
      <c r="H817" s="65" t="s">
        <v>2072</v>
      </c>
      <c r="I817" s="65" t="s">
        <v>425</v>
      </c>
      <c r="J817" s="65" t="s">
        <v>555</v>
      </c>
      <c r="K817" s="65" t="s">
        <v>983</v>
      </c>
      <c r="L817" s="65" t="s">
        <v>320</v>
      </c>
      <c r="M817" s="113" t="n">
        <v>1.49</v>
      </c>
      <c r="N817" s="114" t="n">
        <v>40000</v>
      </c>
      <c r="O817" s="114" t="n">
        <v>5600</v>
      </c>
      <c r="P817" s="114" t="n">
        <v>59600</v>
      </c>
      <c r="Q817" s="114" t="n">
        <v>28809.18</v>
      </c>
      <c r="R817" s="114" t="n">
        <v>30790.82</v>
      </c>
      <c r="S817" s="115" t="n">
        <v>0.483375503355705</v>
      </c>
      <c r="T817" s="65" t="n">
        <v>3.934</v>
      </c>
      <c r="U817" s="65" t="n">
        <v>10</v>
      </c>
      <c r="V817" s="65" t="n">
        <v>57502.52</v>
      </c>
      <c r="W817" s="115" t="n">
        <v>0.1814</v>
      </c>
      <c r="X817" s="112" t="n">
        <v>36323</v>
      </c>
      <c r="Y817" s="65" t="str">
        <f aca="false">IF(I817="","No SIC",IFERROR(VLOOKUP(I817,Ref!$A$2:$B$65,2,FALSE()),"Unclassified"))</f>
        <v>Personal Services</v>
      </c>
      <c r="Z817" s="65" t="str">
        <f aca="false">IF(T817="","",IF(T817&lt;12,"Daily","Weekly"))</f>
        <v>Daily</v>
      </c>
      <c r="AA817" s="65" t="n">
        <f aca="false">IF(T817="",0,IF(T817&lt;12,T817*Controls!$B$29,T817*5))</f>
        <v>85.19077</v>
      </c>
      <c r="AB817" s="65" t="n">
        <f aca="false">IF(E817="",0,NETWORKDAYS(E817,Controls!$B$36,Ref!$K$2:$K$42))</f>
        <v>86</v>
      </c>
      <c r="AC817" s="65" t="n">
        <f aca="false">IF(AND(AA817&gt;0,AB817&gt;=Controls!$B$39*AA817),1,0)</f>
        <v>0</v>
      </c>
      <c r="AD817" s="65" t="n">
        <f aca="false">IF(AND(E817&lt;&gt;"",E817&gt;=Controls!$B$37,E817&lt;=Controls!$B$38),1,0)</f>
        <v>1</v>
      </c>
      <c r="AE817" s="65" t="n">
        <f aca="false">IF(IFERROR(VLOOKUP(D817,Controls!$A$64:$E$74,2,FALSE()),"No")="Yes",1,0)</f>
        <v>0</v>
      </c>
      <c r="AF817" s="65" t="n">
        <f aca="false">IF(IFERROR(VLOOKUP(D817,Controls!$A$64:$E$74,3,FALSE()),"No")="Yes",1,0)</f>
        <v>0</v>
      </c>
      <c r="AG817" s="65" t="n">
        <f aca="false">IF(IFERROR(VLOOKUP(D817,Controls!$A$64:$E$74,4,FALSE()),"No")="Yes",1,0)</f>
        <v>0</v>
      </c>
      <c r="AH817" s="65" t="n">
        <f aca="false">IF(IFERROR(VLOOKUP(D817,Controls!$A$64:$E$74,5,FALSE()),"No")="Yes",1,0)</f>
        <v>1</v>
      </c>
      <c r="AI817" s="65" t="n">
        <f aca="false">IF(ISNUMBER(MATCH(D817,Controls!$A$64:$A$74,0)),1,0)</f>
        <v>1</v>
      </c>
      <c r="AJ817" s="65" t="n">
        <f aca="false">Q817-N817</f>
        <v>-11190.82</v>
      </c>
      <c r="AK817" s="65" t="n">
        <f aca="false">IF(AE817=1,MAX(0,N817-Q817),0)</f>
        <v>0</v>
      </c>
      <c r="AL817" s="65" t="n">
        <f aca="false">IF(OR(V817="",V817=0),0,N817/V817)</f>
        <v>0.695621687536477</v>
      </c>
      <c r="AM817" s="65" t="n">
        <f aca="false">IF(OR(V817="",V817=0),0,1)</f>
        <v>1</v>
      </c>
      <c r="AN817" s="65" t="n">
        <f aca="false">IF(OR(E817="",F817=""),0,NETWORKDAYS(E817,F817,Ref!$K$2:$K$42))</f>
        <v>82</v>
      </c>
      <c r="AO817" s="65" t="n">
        <f aca="false">IF(L817="Renewal",1,0)</f>
        <v>1</v>
      </c>
      <c r="AP817" s="65" t="n">
        <f aca="false">AC817*AD817</f>
        <v>0</v>
      </c>
      <c r="AQ817" s="65" t="n">
        <f aca="false">IF(AND(G817&lt;&gt;"",'Historical Score'!$C$6&lt;&gt;""),IF(G817='Historical Score'!$C$6,1,0),0)</f>
        <v>0</v>
      </c>
      <c r="AR817" s="65" t="n">
        <f aca="false">IF(AND(L817&lt;&gt;"",'Historical Score'!$C$5&lt;&gt;""),IF(L817='Historical Score'!$C$5,1,0),0)</f>
        <v>0</v>
      </c>
      <c r="AS817" s="65" t="n">
        <f aca="false">IF(AND(Y817&lt;&gt;"",'Historical Score'!$C$7&lt;&gt;""),IF(Y817='Historical Score'!$C$7,1,0),0)</f>
        <v>0</v>
      </c>
      <c r="AT817" s="65" t="n">
        <f aca="false">IF(AND(K817&lt;&gt;"",'Historical Score'!$C$8&lt;&gt;""),IF(K817='Historical Score'!$C$8,1,0),0)</f>
        <v>0</v>
      </c>
      <c r="AU817" s="65" t="n">
        <f aca="false">IF(AND(J817&lt;&gt;"",'Historical Score'!$C$9&lt;&gt;""),IF(J817='Historical Score'!$C$9,1,0),0)</f>
        <v>0</v>
      </c>
      <c r="AV817" s="65" t="n">
        <f aca="false">AR817*AS817*AQ817</f>
        <v>0</v>
      </c>
      <c r="AW817" s="65" t="n">
        <f aca="false">AR817*AT817*AQ817</f>
        <v>0</v>
      </c>
      <c r="AX817" s="65" t="n">
        <f aca="false">AR817*AS817</f>
        <v>0</v>
      </c>
      <c r="AY817" s="65" t="n">
        <f aca="false">AR817*AT817</f>
        <v>0</v>
      </c>
      <c r="AZ817" s="65" t="n">
        <f aca="false">AR817*AQ817</f>
        <v>0</v>
      </c>
      <c r="BA817" s="65" t="n">
        <f aca="false">AR817</f>
        <v>0</v>
      </c>
      <c r="BB817" s="65" t="n">
        <f aca="false">1</f>
        <v>1</v>
      </c>
      <c r="BC817" s="65" t="n">
        <f aca="false">IF(AV817=1,1,IF(AW817=1,2,IF(AX817=1,3,IF(AY817=1,4,IF(AZ817=1,5,IF(BA817=1,6,7))))))</f>
        <v>7</v>
      </c>
      <c r="BD817" s="65" t="n">
        <f aca="false">IF(AD817=1,CHOOSE('Historical Score'!$C$29,AV817,AW817,AX817,AY817,AZ817,BA817,BB817),0)</f>
        <v>0</v>
      </c>
      <c r="BE817" s="65" t="str">
        <f aca="false">IF(BD817=1,COUNTIF($BD$2:BD817,1),"")</f>
        <v/>
      </c>
    </row>
    <row r="818" customFormat="false" ht="15" hidden="false" customHeight="false" outlineLevel="0" collapsed="false">
      <c r="A818" s="65" t="s">
        <v>2596</v>
      </c>
      <c r="B818" s="65" t="s">
        <v>2597</v>
      </c>
      <c r="C818" s="65" t="s">
        <v>2598</v>
      </c>
      <c r="D818" s="65" t="s">
        <v>340</v>
      </c>
      <c r="E818" s="112" t="n">
        <v>46136</v>
      </c>
      <c r="F818" s="112" t="n">
        <v>46168</v>
      </c>
      <c r="G818" s="65" t="n">
        <v>1</v>
      </c>
      <c r="H818" s="65" t="s">
        <v>442</v>
      </c>
      <c r="I818" s="65" t="s">
        <v>443</v>
      </c>
      <c r="J818" s="65" t="s">
        <v>61</v>
      </c>
      <c r="K818" s="65" t="s">
        <v>578</v>
      </c>
      <c r="L818" s="65" t="s">
        <v>64</v>
      </c>
      <c r="M818" s="113" t="n">
        <v>1.4</v>
      </c>
      <c r="N818" s="114" t="n">
        <v>15000</v>
      </c>
      <c r="O818" s="114" t="n">
        <v>0</v>
      </c>
      <c r="P818" s="114" t="n">
        <v>21000</v>
      </c>
      <c r="Q818" s="114" t="n">
        <v>2247.3</v>
      </c>
      <c r="R818" s="114" t="n">
        <v>18752.7</v>
      </c>
      <c r="S818" s="115" t="n">
        <v>0.107014285714286</v>
      </c>
      <c r="T818" s="65" t="n">
        <v>28</v>
      </c>
      <c r="U818" s="65" t="n">
        <v>1</v>
      </c>
      <c r="V818" s="65" t="n">
        <v>121805.2</v>
      </c>
      <c r="W818" s="115" t="n">
        <v>0.0246</v>
      </c>
      <c r="X818" s="112" t="n">
        <v>40179</v>
      </c>
      <c r="Y818" s="65" t="str">
        <f aca="false">IF(I818="","No SIC",IFERROR(VLOOKUP(I818,Ref!$A$2:$B$65,2,FALSE()),"Unclassified"))</f>
        <v>General Building Contractors</v>
      </c>
      <c r="Z818" s="65" t="str">
        <f aca="false">IF(T818="","",IF(T818&lt;12,"Daily","Weekly"))</f>
        <v>Weekly</v>
      </c>
      <c r="AA818" s="65" t="n">
        <f aca="false">IF(T818="",0,IF(T818&lt;12,T818*Controls!$B$29,T818*5))</f>
        <v>140</v>
      </c>
      <c r="AB818" s="65" t="n">
        <f aca="false">IF(E818="",0,NETWORKDAYS(E818,Controls!$B$36,Ref!$K$2:$K$42))</f>
        <v>86</v>
      </c>
      <c r="AC818" s="65" t="n">
        <f aca="false">IF(AND(AA818&gt;0,AB818&gt;=Controls!$B$39*AA818),1,0)</f>
        <v>0</v>
      </c>
      <c r="AD818" s="65" t="n">
        <f aca="false">IF(AND(E818&lt;&gt;"",E818&gt;=Controls!$B$37,E818&lt;=Controls!$B$38),1,0)</f>
        <v>1</v>
      </c>
      <c r="AE818" s="65" t="n">
        <f aca="false">IF(IFERROR(VLOOKUP(D818,Controls!$A$64:$E$74,2,FALSE()),"No")="Yes",1,0)</f>
        <v>1</v>
      </c>
      <c r="AF818" s="65" t="n">
        <f aca="false">IF(IFERROR(VLOOKUP(D818,Controls!$A$64:$E$74,3,FALSE()),"No")="Yes",1,0)</f>
        <v>0</v>
      </c>
      <c r="AG818" s="65" t="n">
        <f aca="false">IF(IFERROR(VLOOKUP(D818,Controls!$A$64:$E$74,4,FALSE()),"No")="Yes",1,0)</f>
        <v>0</v>
      </c>
      <c r="AH818" s="65" t="n">
        <f aca="false">IF(IFERROR(VLOOKUP(D818,Controls!$A$64:$E$74,5,FALSE()),"No")="Yes",1,0)</f>
        <v>0</v>
      </c>
      <c r="AI818" s="65" t="n">
        <f aca="false">IF(ISNUMBER(MATCH(D818,Controls!$A$64:$A$74,0)),1,0)</f>
        <v>1</v>
      </c>
      <c r="AJ818" s="65" t="n">
        <f aca="false">Q818-N818</f>
        <v>-12752.7</v>
      </c>
      <c r="AK818" s="65" t="n">
        <f aca="false">IF(AE818=1,MAX(0,N818-Q818),0)</f>
        <v>12752.7</v>
      </c>
      <c r="AL818" s="65" t="n">
        <f aca="false">IF(OR(V818="",V818=0),0,N818/V818)</f>
        <v>0.123147451832927</v>
      </c>
      <c r="AM818" s="65" t="n">
        <f aca="false">IF(OR(V818="",V818=0),0,1)</f>
        <v>1</v>
      </c>
      <c r="AN818" s="65" t="n">
        <f aca="false">IF(OR(E818="",F818=""),0,NETWORKDAYS(E818,F818,Ref!$K$2:$K$42))</f>
        <v>22</v>
      </c>
      <c r="AO818" s="65" t="n">
        <f aca="false">IF(L818="Renewal",1,0)</f>
        <v>0</v>
      </c>
      <c r="AP818" s="65" t="n">
        <f aca="false">AC818*AD818</f>
        <v>0</v>
      </c>
      <c r="AQ818" s="65" t="n">
        <f aca="false">IF(AND(G818&lt;&gt;"",'Historical Score'!$C$6&lt;&gt;""),IF(G818='Historical Score'!$C$6,1,0),0)</f>
        <v>0</v>
      </c>
      <c r="AR818" s="65" t="n">
        <f aca="false">IF(AND(L818&lt;&gt;"",'Historical Score'!$C$5&lt;&gt;""),IF(L818='Historical Score'!$C$5,1,0),0)</f>
        <v>1</v>
      </c>
      <c r="AS818" s="65" t="n">
        <f aca="false">IF(AND(Y818&lt;&gt;"",'Historical Score'!$C$7&lt;&gt;""),IF(Y818='Historical Score'!$C$7,1,0),0)</f>
        <v>1</v>
      </c>
      <c r="AT818" s="65" t="n">
        <f aca="false">IF(AND(K818&lt;&gt;"",'Historical Score'!$C$8&lt;&gt;""),IF(K818='Historical Score'!$C$8,1,0),0)</f>
        <v>0</v>
      </c>
      <c r="AU818" s="65" t="n">
        <f aca="false">IF(AND(J818&lt;&gt;"",'Historical Score'!$C$9&lt;&gt;""),IF(J818='Historical Score'!$C$9,1,0),0)</f>
        <v>1</v>
      </c>
      <c r="AV818" s="65" t="n">
        <f aca="false">AR818*AS818*AQ818</f>
        <v>0</v>
      </c>
      <c r="AW818" s="65" t="n">
        <f aca="false">AR818*AT818*AQ818</f>
        <v>0</v>
      </c>
      <c r="AX818" s="65" t="n">
        <f aca="false">AR818*AS818</f>
        <v>1</v>
      </c>
      <c r="AY818" s="65" t="n">
        <f aca="false">AR818*AT818</f>
        <v>0</v>
      </c>
      <c r="AZ818" s="65" t="n">
        <f aca="false">AR818*AQ818</f>
        <v>0</v>
      </c>
      <c r="BA818" s="65" t="n">
        <f aca="false">AR818</f>
        <v>1</v>
      </c>
      <c r="BB818" s="65" t="n">
        <f aca="false">1</f>
        <v>1</v>
      </c>
      <c r="BC818" s="65" t="n">
        <f aca="false">IF(AV818=1,1,IF(AW818=1,2,IF(AX818=1,3,IF(AY818=1,4,IF(AZ818=1,5,IF(BA818=1,6,7))))))</f>
        <v>3</v>
      </c>
      <c r="BD818" s="65" t="n">
        <f aca="false">IF(AD818=1,CHOOSE('Historical Score'!$C$29,AV818,AW818,AX818,AY818,AZ818,BA818,BB818),0)</f>
        <v>0</v>
      </c>
      <c r="BE818" s="65" t="str">
        <f aca="false">IF(BD818=1,COUNTIF($BD$2:BD818,1),"")</f>
        <v/>
      </c>
    </row>
    <row r="819" customFormat="false" ht="15" hidden="false" customHeight="false" outlineLevel="0" collapsed="false">
      <c r="A819" s="65" t="s">
        <v>2599</v>
      </c>
      <c r="B819" s="65" t="s">
        <v>1679</v>
      </c>
      <c r="C819" s="65" t="s">
        <v>1680</v>
      </c>
      <c r="D819" s="65" t="s">
        <v>295</v>
      </c>
      <c r="E819" s="112" t="n">
        <v>46136</v>
      </c>
      <c r="F819" s="112" t="n">
        <v>46253</v>
      </c>
      <c r="G819" s="65" t="n">
        <v>3</v>
      </c>
      <c r="H819" s="65" t="s">
        <v>414</v>
      </c>
      <c r="I819" s="65" t="s">
        <v>415</v>
      </c>
      <c r="J819" s="65" t="s">
        <v>373</v>
      </c>
      <c r="K819" s="65" t="s">
        <v>581</v>
      </c>
      <c r="L819" s="65" t="s">
        <v>320</v>
      </c>
      <c r="M819" s="113" t="n">
        <v>1.459</v>
      </c>
      <c r="N819" s="114" t="n">
        <v>200000</v>
      </c>
      <c r="O819" s="114" t="n">
        <v>26000</v>
      </c>
      <c r="P819" s="114" t="n">
        <v>291800</v>
      </c>
      <c r="Q819" s="114" t="n">
        <v>103589</v>
      </c>
      <c r="R819" s="114" t="n">
        <v>188211</v>
      </c>
      <c r="S819" s="115" t="n">
        <v>0.355</v>
      </c>
      <c r="T819" s="65" t="n">
        <v>6.557</v>
      </c>
      <c r="U819" s="65" t="n">
        <v>4</v>
      </c>
      <c r="V819" s="65" t="n">
        <v>210633.67</v>
      </c>
      <c r="W819" s="115" t="n">
        <v>0.1282</v>
      </c>
      <c r="X819" s="112" t="n">
        <v>43714</v>
      </c>
      <c r="Y819" s="65" t="str">
        <f aca="false">IF(I819="","No SIC",IFERROR(VLOOKUP(I819,Ref!$A$2:$B$65,2,FALSE()),"Unclassified"))</f>
        <v>Wholesale Trade - Durable Goods</v>
      </c>
      <c r="Z819" s="65" t="str">
        <f aca="false">IF(T819="","",IF(T819&lt;12,"Daily","Weekly"))</f>
        <v>Daily</v>
      </c>
      <c r="AA819" s="65" t="n">
        <f aca="false">IF(T819="",0,IF(T819&lt;12,T819*Controls!$B$29,T819*5))</f>
        <v>141.991835</v>
      </c>
      <c r="AB819" s="65" t="n">
        <f aca="false">IF(E819="",0,NETWORKDAYS(E819,Controls!$B$36,Ref!$K$2:$K$42))</f>
        <v>86</v>
      </c>
      <c r="AC819" s="65" t="n">
        <f aca="false">IF(AND(AA819&gt;0,AB819&gt;=Controls!$B$39*AA819),1,0)</f>
        <v>0</v>
      </c>
      <c r="AD819" s="65" t="n">
        <f aca="false">IF(AND(E819&lt;&gt;"",E819&gt;=Controls!$B$37,E819&lt;=Controls!$B$38),1,0)</f>
        <v>1</v>
      </c>
      <c r="AE819" s="65" t="n">
        <f aca="false">IF(IFERROR(VLOOKUP(D819,Controls!$A$64:$E$74,2,FALSE()),"No")="Yes",1,0)</f>
        <v>0</v>
      </c>
      <c r="AF819" s="65" t="n">
        <f aca="false">IF(IFERROR(VLOOKUP(D819,Controls!$A$64:$E$74,3,FALSE()),"No")="Yes",1,0)</f>
        <v>0</v>
      </c>
      <c r="AG819" s="65" t="n">
        <f aca="false">IF(IFERROR(VLOOKUP(D819,Controls!$A$64:$E$74,4,FALSE()),"No")="Yes",1,0)</f>
        <v>0</v>
      </c>
      <c r="AH819" s="65" t="n">
        <f aca="false">IF(IFERROR(VLOOKUP(D819,Controls!$A$64:$E$74,5,FALSE()),"No")="Yes",1,0)</f>
        <v>1</v>
      </c>
      <c r="AI819" s="65" t="n">
        <f aca="false">IF(ISNUMBER(MATCH(D819,Controls!$A$64:$A$74,0)),1,0)</f>
        <v>1</v>
      </c>
      <c r="AJ819" s="65" t="n">
        <f aca="false">Q819-N819</f>
        <v>-96411</v>
      </c>
      <c r="AK819" s="65" t="n">
        <f aca="false">IF(AE819=1,MAX(0,N819-Q819),0)</f>
        <v>0</v>
      </c>
      <c r="AL819" s="65" t="n">
        <f aca="false">IF(OR(V819="",V819=0),0,N819/V819)</f>
        <v>0.949515811028693</v>
      </c>
      <c r="AM819" s="65" t="n">
        <f aca="false">IF(OR(V819="",V819=0),0,1)</f>
        <v>1</v>
      </c>
      <c r="AN819" s="65" t="n">
        <f aca="false">IF(OR(E819="",F819=""),0,NETWORKDAYS(E819,F819,Ref!$K$2:$K$42))</f>
        <v>82</v>
      </c>
      <c r="AO819" s="65" t="n">
        <f aca="false">IF(L819="Renewal",1,0)</f>
        <v>1</v>
      </c>
      <c r="AP819" s="65" t="n">
        <f aca="false">AC819*AD819</f>
        <v>0</v>
      </c>
      <c r="AQ819" s="65" t="n">
        <f aca="false">IF(AND(G819&lt;&gt;"",'Historical Score'!$C$6&lt;&gt;""),IF(G819='Historical Score'!$C$6,1,0),0)</f>
        <v>0</v>
      </c>
      <c r="AR819" s="65" t="n">
        <f aca="false">IF(AND(L819&lt;&gt;"",'Historical Score'!$C$5&lt;&gt;""),IF(L819='Historical Score'!$C$5,1,0),0)</f>
        <v>0</v>
      </c>
      <c r="AS819" s="65" t="n">
        <f aca="false">IF(AND(Y819&lt;&gt;"",'Historical Score'!$C$7&lt;&gt;""),IF(Y819='Historical Score'!$C$7,1,0),0)</f>
        <v>0</v>
      </c>
      <c r="AT819" s="65" t="n">
        <f aca="false">IF(AND(K819&lt;&gt;"",'Historical Score'!$C$8&lt;&gt;""),IF(K819='Historical Score'!$C$8,1,0),0)</f>
        <v>0</v>
      </c>
      <c r="AU819" s="65" t="n">
        <f aca="false">IF(AND(J819&lt;&gt;"",'Historical Score'!$C$9&lt;&gt;""),IF(J819='Historical Score'!$C$9,1,0),0)</f>
        <v>0</v>
      </c>
      <c r="AV819" s="65" t="n">
        <f aca="false">AR819*AS819*AQ819</f>
        <v>0</v>
      </c>
      <c r="AW819" s="65" t="n">
        <f aca="false">AR819*AT819*AQ819</f>
        <v>0</v>
      </c>
      <c r="AX819" s="65" t="n">
        <f aca="false">AR819*AS819</f>
        <v>0</v>
      </c>
      <c r="AY819" s="65" t="n">
        <f aca="false">AR819*AT819</f>
        <v>0</v>
      </c>
      <c r="AZ819" s="65" t="n">
        <f aca="false">AR819*AQ819</f>
        <v>0</v>
      </c>
      <c r="BA819" s="65" t="n">
        <f aca="false">AR819</f>
        <v>0</v>
      </c>
      <c r="BB819" s="65" t="n">
        <f aca="false">1</f>
        <v>1</v>
      </c>
      <c r="BC819" s="65" t="n">
        <f aca="false">IF(AV819=1,1,IF(AW819=1,2,IF(AX819=1,3,IF(AY819=1,4,IF(AZ819=1,5,IF(BA819=1,6,7))))))</f>
        <v>7</v>
      </c>
      <c r="BD819" s="65" t="n">
        <f aca="false">IF(AD819=1,CHOOSE('Historical Score'!$C$29,AV819,AW819,AX819,AY819,AZ819,BA819,BB819),0)</f>
        <v>0</v>
      </c>
      <c r="BE819" s="65" t="str">
        <f aca="false">IF(BD819=1,COUNTIF($BD$2:BD819,1),"")</f>
        <v/>
      </c>
    </row>
    <row r="820" customFormat="false" ht="15" hidden="false" customHeight="false" outlineLevel="0" collapsed="false">
      <c r="A820" s="65" t="s">
        <v>2600</v>
      </c>
      <c r="B820" s="65" t="s">
        <v>1525</v>
      </c>
      <c r="C820" s="65" t="s">
        <v>1525</v>
      </c>
      <c r="D820" s="65" t="s">
        <v>371</v>
      </c>
      <c r="E820" s="112" t="n">
        <v>46139</v>
      </c>
      <c r="F820" s="112" t="n">
        <v>46237</v>
      </c>
      <c r="G820" s="65" t="n">
        <v>3</v>
      </c>
      <c r="J820" s="65" t="s">
        <v>506</v>
      </c>
      <c r="K820" s="65" t="s">
        <v>55</v>
      </c>
      <c r="L820" s="65" t="s">
        <v>320</v>
      </c>
      <c r="M820" s="113" t="n">
        <v>1.49</v>
      </c>
      <c r="N820" s="114" t="n">
        <v>25000</v>
      </c>
      <c r="O820" s="114" t="n">
        <v>3500</v>
      </c>
      <c r="P820" s="114" t="n">
        <v>37250</v>
      </c>
      <c r="Q820" s="114" t="n">
        <v>37250</v>
      </c>
      <c r="R820" s="114" t="n">
        <v>0</v>
      </c>
      <c r="S820" s="115" t="n">
        <v>1</v>
      </c>
      <c r="T820" s="65" t="n">
        <v>3.607</v>
      </c>
      <c r="U820" s="65" t="n">
        <v>0</v>
      </c>
      <c r="V820" s="65" t="n">
        <v>37733.39</v>
      </c>
      <c r="W820" s="115" t="n">
        <v>0.1885</v>
      </c>
      <c r="X820" s="112" t="n">
        <v>44793</v>
      </c>
      <c r="Y820" s="65" t="str">
        <f aca="false">IF(I820="","No SIC",IFERROR(VLOOKUP(I820,Ref!$A$2:$B$65,2,FALSE()),"Unclassified"))</f>
        <v>No SIC</v>
      </c>
      <c r="Z820" s="65" t="str">
        <f aca="false">IF(T820="","",IF(T820&lt;12,"Daily","Weekly"))</f>
        <v>Daily</v>
      </c>
      <c r="AA820" s="65" t="n">
        <f aca="false">IF(T820="",0,IF(T820&lt;12,T820*Controls!$B$29,T820*5))</f>
        <v>78.109585</v>
      </c>
      <c r="AB820" s="65" t="n">
        <f aca="false">IF(E820="",0,NETWORKDAYS(E820,Controls!$B$36,Ref!$K$2:$K$42))</f>
        <v>85</v>
      </c>
      <c r="AC820" s="65" t="n">
        <f aca="false">IF(AND(AA820&gt;0,AB820&gt;=Controls!$B$39*AA820),1,0)</f>
        <v>0</v>
      </c>
      <c r="AD820" s="65" t="n">
        <f aca="false">IF(AND(E820&lt;&gt;"",E820&gt;=Controls!$B$37,E820&lt;=Controls!$B$38),1,0)</f>
        <v>1</v>
      </c>
      <c r="AE820" s="65" t="n">
        <f aca="false">IF(IFERROR(VLOOKUP(D820,Controls!$A$64:$E$74,2,FALSE()),"No")="Yes",1,0)</f>
        <v>0</v>
      </c>
      <c r="AF820" s="65" t="n">
        <f aca="false">IF(IFERROR(VLOOKUP(D820,Controls!$A$64:$E$74,3,FALSE()),"No")="Yes",1,0)</f>
        <v>1</v>
      </c>
      <c r="AG820" s="65" t="n">
        <f aca="false">IF(IFERROR(VLOOKUP(D820,Controls!$A$64:$E$74,4,FALSE()),"No")="Yes",1,0)</f>
        <v>1</v>
      </c>
      <c r="AH820" s="65" t="n">
        <f aca="false">IF(IFERROR(VLOOKUP(D820,Controls!$A$64:$E$74,5,FALSE()),"No")="Yes",1,0)</f>
        <v>0</v>
      </c>
      <c r="AI820" s="65" t="n">
        <f aca="false">IF(ISNUMBER(MATCH(D820,Controls!$A$64:$A$74,0)),1,0)</f>
        <v>1</v>
      </c>
      <c r="AJ820" s="65" t="n">
        <f aca="false">Q820-N820</f>
        <v>12250</v>
      </c>
      <c r="AK820" s="65" t="n">
        <f aca="false">IF(AE820=1,MAX(0,N820-Q820),0)</f>
        <v>0</v>
      </c>
      <c r="AL820" s="65" t="n">
        <f aca="false">IF(OR(V820="",V820=0),0,N820/V820)</f>
        <v>0.662543174625975</v>
      </c>
      <c r="AM820" s="65" t="n">
        <f aca="false">IF(OR(V820="",V820=0),0,1)</f>
        <v>1</v>
      </c>
      <c r="AN820" s="65" t="n">
        <f aca="false">IF(OR(E820="",F820=""),0,NETWORKDAYS(E820,F820,Ref!$K$2:$K$42))</f>
        <v>69</v>
      </c>
      <c r="AO820" s="65" t="n">
        <f aca="false">IF(L820="Renewal",1,0)</f>
        <v>1</v>
      </c>
      <c r="AP820" s="65" t="n">
        <f aca="false">AC820*AD820</f>
        <v>0</v>
      </c>
      <c r="AQ820" s="65" t="n">
        <f aca="false">IF(AND(G820&lt;&gt;"",'Historical Score'!$C$6&lt;&gt;""),IF(G820='Historical Score'!$C$6,1,0),0)</f>
        <v>0</v>
      </c>
      <c r="AR820" s="65" t="n">
        <f aca="false">IF(AND(L820&lt;&gt;"",'Historical Score'!$C$5&lt;&gt;""),IF(L820='Historical Score'!$C$5,1,0),0)</f>
        <v>0</v>
      </c>
      <c r="AS820" s="65" t="n">
        <f aca="false">IF(AND(Y820&lt;&gt;"",'Historical Score'!$C$7&lt;&gt;""),IF(Y820='Historical Score'!$C$7,1,0),0)</f>
        <v>0</v>
      </c>
      <c r="AT820" s="65" t="n">
        <f aca="false">IF(AND(K820&lt;&gt;"",'Historical Score'!$C$8&lt;&gt;""),IF(K820='Historical Score'!$C$8,1,0),0)</f>
        <v>1</v>
      </c>
      <c r="AU820" s="65" t="n">
        <f aca="false">IF(AND(J820&lt;&gt;"",'Historical Score'!$C$9&lt;&gt;""),IF(J820='Historical Score'!$C$9,1,0),0)</f>
        <v>0</v>
      </c>
      <c r="AV820" s="65" t="n">
        <f aca="false">AR820*AS820*AQ820</f>
        <v>0</v>
      </c>
      <c r="AW820" s="65" t="n">
        <f aca="false">AR820*AT820*AQ820</f>
        <v>0</v>
      </c>
      <c r="AX820" s="65" t="n">
        <f aca="false">AR820*AS820</f>
        <v>0</v>
      </c>
      <c r="AY820" s="65" t="n">
        <f aca="false">AR820*AT820</f>
        <v>0</v>
      </c>
      <c r="AZ820" s="65" t="n">
        <f aca="false">AR820*AQ820</f>
        <v>0</v>
      </c>
      <c r="BA820" s="65" t="n">
        <f aca="false">AR820</f>
        <v>0</v>
      </c>
      <c r="BB820" s="65" t="n">
        <f aca="false">1</f>
        <v>1</v>
      </c>
      <c r="BC820" s="65" t="n">
        <f aca="false">IF(AV820=1,1,IF(AW820=1,2,IF(AX820=1,3,IF(AY820=1,4,IF(AZ820=1,5,IF(BA820=1,6,7))))))</f>
        <v>7</v>
      </c>
      <c r="BD820" s="65" t="n">
        <f aca="false">IF(AD820=1,CHOOSE('Historical Score'!$C$29,AV820,AW820,AX820,AY820,AZ820,BA820,BB820),0)</f>
        <v>0</v>
      </c>
      <c r="BE820" s="65" t="str">
        <f aca="false">IF(BD820=1,COUNTIF($BD$2:BD820,1),"")</f>
        <v/>
      </c>
    </row>
    <row r="821" customFormat="false" ht="15" hidden="false" customHeight="false" outlineLevel="0" collapsed="false">
      <c r="A821" s="65" t="s">
        <v>2601</v>
      </c>
      <c r="B821" s="65" t="s">
        <v>2602</v>
      </c>
      <c r="C821" s="65" t="s">
        <v>2603</v>
      </c>
      <c r="D821" s="65" t="s">
        <v>340</v>
      </c>
      <c r="E821" s="112" t="n">
        <v>46139</v>
      </c>
      <c r="F821" s="112" t="n">
        <v>46217</v>
      </c>
      <c r="G821" s="65" t="n">
        <v>4</v>
      </c>
      <c r="H821" s="65" t="s">
        <v>409</v>
      </c>
      <c r="I821" s="65" t="s">
        <v>342</v>
      </c>
      <c r="J821" s="65" t="s">
        <v>350</v>
      </c>
      <c r="K821" s="65" t="s">
        <v>538</v>
      </c>
      <c r="L821" s="65" t="s">
        <v>64</v>
      </c>
      <c r="M821" s="113" t="n">
        <v>1.37</v>
      </c>
      <c r="N821" s="114" t="n">
        <v>80000</v>
      </c>
      <c r="O821" s="114" t="n">
        <v>4000</v>
      </c>
      <c r="P821" s="114" t="n">
        <v>109600</v>
      </c>
      <c r="Q821" s="114" t="n">
        <v>20549.94</v>
      </c>
      <c r="R821" s="114" t="n">
        <v>89050.06</v>
      </c>
      <c r="S821" s="115" t="n">
        <v>0.187499452554745</v>
      </c>
      <c r="T821" s="65" t="n">
        <v>32</v>
      </c>
      <c r="U821" s="65" t="n">
        <v>5</v>
      </c>
      <c r="V821" s="65" t="n">
        <v>111745.14</v>
      </c>
      <c r="W821" s="115" t="n">
        <v>0.1226</v>
      </c>
      <c r="X821" s="112" t="n">
        <v>36861</v>
      </c>
      <c r="Y821" s="65" t="str">
        <f aca="false">IF(I821="","No SIC",IFERROR(VLOOKUP(I821,Ref!$A$2:$B$65,2,FALSE()),"Unclassified"))</f>
        <v>Eating &amp; Drinking Places</v>
      </c>
      <c r="Z821" s="65" t="str">
        <f aca="false">IF(T821="","",IF(T821&lt;12,"Daily","Weekly"))</f>
        <v>Weekly</v>
      </c>
      <c r="AA821" s="65" t="n">
        <f aca="false">IF(T821="",0,IF(T821&lt;12,T821*Controls!$B$29,T821*5))</f>
        <v>160</v>
      </c>
      <c r="AB821" s="65" t="n">
        <f aca="false">IF(E821="",0,NETWORKDAYS(E821,Controls!$B$36,Ref!$K$2:$K$42))</f>
        <v>85</v>
      </c>
      <c r="AC821" s="65" t="n">
        <f aca="false">IF(AND(AA821&gt;0,AB821&gt;=Controls!$B$39*AA821),1,0)</f>
        <v>0</v>
      </c>
      <c r="AD821" s="65" t="n">
        <f aca="false">IF(AND(E821&lt;&gt;"",E821&gt;=Controls!$B$37,E821&lt;=Controls!$B$38),1,0)</f>
        <v>1</v>
      </c>
      <c r="AE821" s="65" t="n">
        <f aca="false">IF(IFERROR(VLOOKUP(D821,Controls!$A$64:$E$74,2,FALSE()),"No")="Yes",1,0)</f>
        <v>1</v>
      </c>
      <c r="AF821" s="65" t="n">
        <f aca="false">IF(IFERROR(VLOOKUP(D821,Controls!$A$64:$E$74,3,FALSE()),"No")="Yes",1,0)</f>
        <v>0</v>
      </c>
      <c r="AG821" s="65" t="n">
        <f aca="false">IF(IFERROR(VLOOKUP(D821,Controls!$A$64:$E$74,4,FALSE()),"No")="Yes",1,0)</f>
        <v>0</v>
      </c>
      <c r="AH821" s="65" t="n">
        <f aca="false">IF(IFERROR(VLOOKUP(D821,Controls!$A$64:$E$74,5,FALSE()),"No")="Yes",1,0)</f>
        <v>0</v>
      </c>
      <c r="AI821" s="65" t="n">
        <f aca="false">IF(ISNUMBER(MATCH(D821,Controls!$A$64:$A$74,0)),1,0)</f>
        <v>1</v>
      </c>
      <c r="AJ821" s="65" t="n">
        <f aca="false">Q821-N821</f>
        <v>-59450.06</v>
      </c>
      <c r="AK821" s="65" t="n">
        <f aca="false">IF(AE821=1,MAX(0,N821-Q821),0)</f>
        <v>59450.06</v>
      </c>
      <c r="AL821" s="65" t="n">
        <f aca="false">IF(OR(V821="",V821=0),0,N821/V821)</f>
        <v>0.715914803990581</v>
      </c>
      <c r="AM821" s="65" t="n">
        <f aca="false">IF(OR(V821="",V821=0),0,1)</f>
        <v>1</v>
      </c>
      <c r="AN821" s="65" t="n">
        <f aca="false">IF(OR(E821="",F821=""),0,NETWORKDAYS(E821,F821,Ref!$K$2:$K$42))</f>
        <v>55</v>
      </c>
      <c r="AO821" s="65" t="n">
        <f aca="false">IF(L821="Renewal",1,0)</f>
        <v>0</v>
      </c>
      <c r="AP821" s="65" t="n">
        <f aca="false">AC821*AD821</f>
        <v>0</v>
      </c>
      <c r="AQ821" s="65" t="n">
        <f aca="false">IF(AND(G821&lt;&gt;"",'Historical Score'!$C$6&lt;&gt;""),IF(G821='Historical Score'!$C$6,1,0),0)</f>
        <v>0</v>
      </c>
      <c r="AR821" s="65" t="n">
        <f aca="false">IF(AND(L821&lt;&gt;"",'Historical Score'!$C$5&lt;&gt;""),IF(L821='Historical Score'!$C$5,1,0),0)</f>
        <v>1</v>
      </c>
      <c r="AS821" s="65" t="n">
        <f aca="false">IF(AND(Y821&lt;&gt;"",'Historical Score'!$C$7&lt;&gt;""),IF(Y821='Historical Score'!$C$7,1,0),0)</f>
        <v>0</v>
      </c>
      <c r="AT821" s="65" t="n">
        <f aca="false">IF(AND(K821&lt;&gt;"",'Historical Score'!$C$8&lt;&gt;""),IF(K821='Historical Score'!$C$8,1,0),0)</f>
        <v>0</v>
      </c>
      <c r="AU821" s="65" t="n">
        <f aca="false">IF(AND(J821&lt;&gt;"",'Historical Score'!$C$9&lt;&gt;""),IF(J821='Historical Score'!$C$9,1,0),0)</f>
        <v>0</v>
      </c>
      <c r="AV821" s="65" t="n">
        <f aca="false">AR821*AS821*AQ821</f>
        <v>0</v>
      </c>
      <c r="AW821" s="65" t="n">
        <f aca="false">AR821*AT821*AQ821</f>
        <v>0</v>
      </c>
      <c r="AX821" s="65" t="n">
        <f aca="false">AR821*AS821</f>
        <v>0</v>
      </c>
      <c r="AY821" s="65" t="n">
        <f aca="false">AR821*AT821</f>
        <v>0</v>
      </c>
      <c r="AZ821" s="65" t="n">
        <f aca="false">AR821*AQ821</f>
        <v>0</v>
      </c>
      <c r="BA821" s="65" t="n">
        <f aca="false">AR821</f>
        <v>1</v>
      </c>
      <c r="BB821" s="65" t="n">
        <f aca="false">1</f>
        <v>1</v>
      </c>
      <c r="BC821" s="65" t="n">
        <f aca="false">IF(AV821=1,1,IF(AW821=1,2,IF(AX821=1,3,IF(AY821=1,4,IF(AZ821=1,5,IF(BA821=1,6,7))))))</f>
        <v>6</v>
      </c>
      <c r="BD821" s="65" t="n">
        <f aca="false">IF(AD821=1,CHOOSE('Historical Score'!$C$29,AV821,AW821,AX821,AY821,AZ821,BA821,BB821),0)</f>
        <v>0</v>
      </c>
      <c r="BE821" s="65" t="str">
        <f aca="false">IF(BD821=1,COUNTIF($BD$2:BD821,1),"")</f>
        <v/>
      </c>
    </row>
    <row r="822" customFormat="false" ht="15" hidden="false" customHeight="false" outlineLevel="0" collapsed="false">
      <c r="A822" s="65" t="s">
        <v>2604</v>
      </c>
      <c r="B822" s="65" t="s">
        <v>2135</v>
      </c>
      <c r="C822" s="65" t="s">
        <v>2605</v>
      </c>
      <c r="D822" s="65" t="s">
        <v>371</v>
      </c>
      <c r="E822" s="112" t="n">
        <v>46140</v>
      </c>
      <c r="F822" s="112" t="n">
        <v>46213</v>
      </c>
      <c r="G822" s="65" t="n">
        <v>3</v>
      </c>
      <c r="H822" s="65" t="s">
        <v>500</v>
      </c>
      <c r="I822" s="65" t="s">
        <v>475</v>
      </c>
      <c r="J822" s="65" t="s">
        <v>373</v>
      </c>
      <c r="K822" s="65" t="s">
        <v>983</v>
      </c>
      <c r="L822" s="65" t="s">
        <v>320</v>
      </c>
      <c r="M822" s="113" t="n">
        <v>1.49</v>
      </c>
      <c r="N822" s="114" t="n">
        <v>35000</v>
      </c>
      <c r="O822" s="114" t="n">
        <v>4900</v>
      </c>
      <c r="P822" s="114" t="n">
        <v>52150</v>
      </c>
      <c r="Q822" s="114" t="n">
        <v>52150</v>
      </c>
      <c r="R822" s="114" t="n">
        <v>0</v>
      </c>
      <c r="S822" s="115" t="n">
        <v>1</v>
      </c>
      <c r="T822" s="65" t="n">
        <v>3.934</v>
      </c>
      <c r="U822" s="65" t="n">
        <v>3</v>
      </c>
      <c r="V822" s="65" t="n">
        <v>41414.05</v>
      </c>
      <c r="W822" s="115" t="n">
        <v>0.2204</v>
      </c>
      <c r="X822" s="112" t="n">
        <v>41351</v>
      </c>
      <c r="Y822" s="65" t="str">
        <f aca="false">IF(I822="","No SIC",IFERROR(VLOOKUP(I822,Ref!$A$2:$B$65,2,FALSE()),"Unclassified"))</f>
        <v>Auto Repair &amp; Services</v>
      </c>
      <c r="Z822" s="65" t="str">
        <f aca="false">IF(T822="","",IF(T822&lt;12,"Daily","Weekly"))</f>
        <v>Daily</v>
      </c>
      <c r="AA822" s="65" t="n">
        <f aca="false">IF(T822="",0,IF(T822&lt;12,T822*Controls!$B$29,T822*5))</f>
        <v>85.19077</v>
      </c>
      <c r="AB822" s="65" t="n">
        <f aca="false">IF(E822="",0,NETWORKDAYS(E822,Controls!$B$36,Ref!$K$2:$K$42))</f>
        <v>84</v>
      </c>
      <c r="AC822" s="65" t="n">
        <f aca="false">IF(AND(AA822&gt;0,AB822&gt;=Controls!$B$39*AA822),1,0)</f>
        <v>0</v>
      </c>
      <c r="AD822" s="65" t="n">
        <f aca="false">IF(AND(E822&lt;&gt;"",E822&gt;=Controls!$B$37,E822&lt;=Controls!$B$38),1,0)</f>
        <v>1</v>
      </c>
      <c r="AE822" s="65" t="n">
        <f aca="false">IF(IFERROR(VLOOKUP(D822,Controls!$A$64:$E$74,2,FALSE()),"No")="Yes",1,0)</f>
        <v>0</v>
      </c>
      <c r="AF822" s="65" t="n">
        <f aca="false">IF(IFERROR(VLOOKUP(D822,Controls!$A$64:$E$74,3,FALSE()),"No")="Yes",1,0)</f>
        <v>1</v>
      </c>
      <c r="AG822" s="65" t="n">
        <f aca="false">IF(IFERROR(VLOOKUP(D822,Controls!$A$64:$E$74,4,FALSE()),"No")="Yes",1,0)</f>
        <v>1</v>
      </c>
      <c r="AH822" s="65" t="n">
        <f aca="false">IF(IFERROR(VLOOKUP(D822,Controls!$A$64:$E$74,5,FALSE()),"No")="Yes",1,0)</f>
        <v>0</v>
      </c>
      <c r="AI822" s="65" t="n">
        <f aca="false">IF(ISNUMBER(MATCH(D822,Controls!$A$64:$A$74,0)),1,0)</f>
        <v>1</v>
      </c>
      <c r="AJ822" s="65" t="n">
        <f aca="false">Q822-N822</f>
        <v>17150</v>
      </c>
      <c r="AK822" s="65" t="n">
        <f aca="false">IF(AE822=1,MAX(0,N822-Q822),0)</f>
        <v>0</v>
      </c>
      <c r="AL822" s="65" t="n">
        <f aca="false">IF(OR(V822="",V822=0),0,N822/V822)</f>
        <v>0.845123816675742</v>
      </c>
      <c r="AM822" s="65" t="n">
        <f aca="false">IF(OR(V822="",V822=0),0,1)</f>
        <v>1</v>
      </c>
      <c r="AN822" s="65" t="n">
        <f aca="false">IF(OR(E822="",F822=""),0,NETWORKDAYS(E822,F822,Ref!$K$2:$K$42))</f>
        <v>52</v>
      </c>
      <c r="AO822" s="65" t="n">
        <f aca="false">IF(L822="Renewal",1,0)</f>
        <v>1</v>
      </c>
      <c r="AP822" s="65" t="n">
        <f aca="false">AC822*AD822</f>
        <v>0</v>
      </c>
      <c r="AQ822" s="65" t="n">
        <f aca="false">IF(AND(G822&lt;&gt;"",'Historical Score'!$C$6&lt;&gt;""),IF(G822='Historical Score'!$C$6,1,0),0)</f>
        <v>0</v>
      </c>
      <c r="AR822" s="65" t="n">
        <f aca="false">IF(AND(L822&lt;&gt;"",'Historical Score'!$C$5&lt;&gt;""),IF(L822='Historical Score'!$C$5,1,0),0)</f>
        <v>0</v>
      </c>
      <c r="AS822" s="65" t="n">
        <f aca="false">IF(AND(Y822&lt;&gt;"",'Historical Score'!$C$7&lt;&gt;""),IF(Y822='Historical Score'!$C$7,1,0),0)</f>
        <v>0</v>
      </c>
      <c r="AT822" s="65" t="n">
        <f aca="false">IF(AND(K822&lt;&gt;"",'Historical Score'!$C$8&lt;&gt;""),IF(K822='Historical Score'!$C$8,1,0),0)</f>
        <v>0</v>
      </c>
      <c r="AU822" s="65" t="n">
        <f aca="false">IF(AND(J822&lt;&gt;"",'Historical Score'!$C$9&lt;&gt;""),IF(J822='Historical Score'!$C$9,1,0),0)</f>
        <v>0</v>
      </c>
      <c r="AV822" s="65" t="n">
        <f aca="false">AR822*AS822*AQ822</f>
        <v>0</v>
      </c>
      <c r="AW822" s="65" t="n">
        <f aca="false">AR822*AT822*AQ822</f>
        <v>0</v>
      </c>
      <c r="AX822" s="65" t="n">
        <f aca="false">AR822*AS822</f>
        <v>0</v>
      </c>
      <c r="AY822" s="65" t="n">
        <f aca="false">AR822*AT822</f>
        <v>0</v>
      </c>
      <c r="AZ822" s="65" t="n">
        <f aca="false">AR822*AQ822</f>
        <v>0</v>
      </c>
      <c r="BA822" s="65" t="n">
        <f aca="false">AR822</f>
        <v>0</v>
      </c>
      <c r="BB822" s="65" t="n">
        <f aca="false">1</f>
        <v>1</v>
      </c>
      <c r="BC822" s="65" t="n">
        <f aca="false">IF(AV822=1,1,IF(AW822=1,2,IF(AX822=1,3,IF(AY822=1,4,IF(AZ822=1,5,IF(BA822=1,6,7))))))</f>
        <v>7</v>
      </c>
      <c r="BD822" s="65" t="n">
        <f aca="false">IF(AD822=1,CHOOSE('Historical Score'!$C$29,AV822,AW822,AX822,AY822,AZ822,BA822,BB822),0)</f>
        <v>0</v>
      </c>
      <c r="BE822" s="65" t="str">
        <f aca="false">IF(BD822=1,COUNTIF($BD$2:BD822,1),"")</f>
        <v/>
      </c>
    </row>
    <row r="823" customFormat="false" ht="15" hidden="false" customHeight="false" outlineLevel="0" collapsed="false">
      <c r="A823" s="65" t="s">
        <v>2606</v>
      </c>
      <c r="B823" s="65" t="s">
        <v>2607</v>
      </c>
      <c r="C823" s="65" t="s">
        <v>2607</v>
      </c>
      <c r="D823" s="65" t="s">
        <v>295</v>
      </c>
      <c r="E823" s="112" t="n">
        <v>46140</v>
      </c>
      <c r="F823" s="112" t="n">
        <v>46227</v>
      </c>
      <c r="G823" s="65" t="n">
        <v>3</v>
      </c>
      <c r="H823" s="65" t="s">
        <v>391</v>
      </c>
      <c r="I823" s="65" t="s">
        <v>392</v>
      </c>
      <c r="J823" s="65" t="s">
        <v>61</v>
      </c>
      <c r="K823" s="65" t="s">
        <v>2608</v>
      </c>
      <c r="L823" s="65" t="s">
        <v>64</v>
      </c>
      <c r="M823" s="113" t="n">
        <v>1.48</v>
      </c>
      <c r="N823" s="114" t="n">
        <v>30000</v>
      </c>
      <c r="O823" s="114" t="n">
        <v>4050</v>
      </c>
      <c r="P823" s="114" t="n">
        <v>44400</v>
      </c>
      <c r="Q823" s="114" t="n">
        <v>20337.24</v>
      </c>
      <c r="R823" s="114" t="n">
        <v>24062.76</v>
      </c>
      <c r="S823" s="115" t="n">
        <v>0.458045945945946</v>
      </c>
      <c r="T823" s="65" t="n">
        <v>24</v>
      </c>
      <c r="U823" s="65" t="n">
        <v>1</v>
      </c>
      <c r="V823" s="65" t="n">
        <v>324357.13</v>
      </c>
      <c r="W823" s="115" t="n">
        <v>0.0228</v>
      </c>
      <c r="X823" s="112" t="n">
        <v>45323</v>
      </c>
      <c r="Y823" s="65" t="str">
        <f aca="false">IF(I823="","No SIC",IFERROR(VLOOKUP(I823,Ref!$A$2:$B$65,2,FALSE()),"Unclassified"))</f>
        <v>Real Estate</v>
      </c>
      <c r="Z823" s="65" t="str">
        <f aca="false">IF(T823="","",IF(T823&lt;12,"Daily","Weekly"))</f>
        <v>Weekly</v>
      </c>
      <c r="AA823" s="65" t="n">
        <f aca="false">IF(T823="",0,IF(T823&lt;12,T823*Controls!$B$29,T823*5))</f>
        <v>120</v>
      </c>
      <c r="AB823" s="65" t="n">
        <f aca="false">IF(E823="",0,NETWORKDAYS(E823,Controls!$B$36,Ref!$K$2:$K$42))</f>
        <v>84</v>
      </c>
      <c r="AC823" s="65" t="n">
        <f aca="false">IF(AND(AA823&gt;0,AB823&gt;=Controls!$B$39*AA823),1,0)</f>
        <v>0</v>
      </c>
      <c r="AD823" s="65" t="n">
        <f aca="false">IF(AND(E823&lt;&gt;"",E823&gt;=Controls!$B$37,E823&lt;=Controls!$B$38),1,0)</f>
        <v>1</v>
      </c>
      <c r="AE823" s="65" t="n">
        <f aca="false">IF(IFERROR(VLOOKUP(D823,Controls!$A$64:$E$74,2,FALSE()),"No")="Yes",1,0)</f>
        <v>0</v>
      </c>
      <c r="AF823" s="65" t="n">
        <f aca="false">IF(IFERROR(VLOOKUP(D823,Controls!$A$64:$E$74,3,FALSE()),"No")="Yes",1,0)</f>
        <v>0</v>
      </c>
      <c r="AG823" s="65" t="n">
        <f aca="false">IF(IFERROR(VLOOKUP(D823,Controls!$A$64:$E$74,4,FALSE()),"No")="Yes",1,0)</f>
        <v>0</v>
      </c>
      <c r="AH823" s="65" t="n">
        <f aca="false">IF(IFERROR(VLOOKUP(D823,Controls!$A$64:$E$74,5,FALSE()),"No")="Yes",1,0)</f>
        <v>1</v>
      </c>
      <c r="AI823" s="65" t="n">
        <f aca="false">IF(ISNUMBER(MATCH(D823,Controls!$A$64:$A$74,0)),1,0)</f>
        <v>1</v>
      </c>
      <c r="AJ823" s="65" t="n">
        <f aca="false">Q823-N823</f>
        <v>-9662.76</v>
      </c>
      <c r="AK823" s="65" t="n">
        <f aca="false">IF(AE823=1,MAX(0,N823-Q823),0)</f>
        <v>0</v>
      </c>
      <c r="AL823" s="65" t="n">
        <f aca="false">IF(OR(V823="",V823=0),0,N823/V823)</f>
        <v>0.0924906444942339</v>
      </c>
      <c r="AM823" s="65" t="n">
        <f aca="false">IF(OR(V823="",V823=0),0,1)</f>
        <v>1</v>
      </c>
      <c r="AN823" s="65" t="n">
        <f aca="false">IF(OR(E823="",F823=""),0,NETWORKDAYS(E823,F823,Ref!$K$2:$K$42))</f>
        <v>62</v>
      </c>
      <c r="AO823" s="65" t="n">
        <f aca="false">IF(L823="Renewal",1,0)</f>
        <v>0</v>
      </c>
      <c r="AP823" s="65" t="n">
        <f aca="false">AC823*AD823</f>
        <v>0</v>
      </c>
      <c r="AQ823" s="65" t="n">
        <f aca="false">IF(AND(G823&lt;&gt;"",'Historical Score'!$C$6&lt;&gt;""),IF(G823='Historical Score'!$C$6,1,0),0)</f>
        <v>0</v>
      </c>
      <c r="AR823" s="65" t="n">
        <f aca="false">IF(AND(L823&lt;&gt;"",'Historical Score'!$C$5&lt;&gt;""),IF(L823='Historical Score'!$C$5,1,0),0)</f>
        <v>1</v>
      </c>
      <c r="AS823" s="65" t="n">
        <f aca="false">IF(AND(Y823&lt;&gt;"",'Historical Score'!$C$7&lt;&gt;""),IF(Y823='Historical Score'!$C$7,1,0),0)</f>
        <v>0</v>
      </c>
      <c r="AT823" s="65" t="n">
        <f aca="false">IF(AND(K823&lt;&gt;"",'Historical Score'!$C$8&lt;&gt;""),IF(K823='Historical Score'!$C$8,1,0),0)</f>
        <v>0</v>
      </c>
      <c r="AU823" s="65" t="n">
        <f aca="false">IF(AND(J823&lt;&gt;"",'Historical Score'!$C$9&lt;&gt;""),IF(J823='Historical Score'!$C$9,1,0),0)</f>
        <v>1</v>
      </c>
      <c r="AV823" s="65" t="n">
        <f aca="false">AR823*AS823*AQ823</f>
        <v>0</v>
      </c>
      <c r="AW823" s="65" t="n">
        <f aca="false">AR823*AT823*AQ823</f>
        <v>0</v>
      </c>
      <c r="AX823" s="65" t="n">
        <f aca="false">AR823*AS823</f>
        <v>0</v>
      </c>
      <c r="AY823" s="65" t="n">
        <f aca="false">AR823*AT823</f>
        <v>0</v>
      </c>
      <c r="AZ823" s="65" t="n">
        <f aca="false">AR823*AQ823</f>
        <v>0</v>
      </c>
      <c r="BA823" s="65" t="n">
        <f aca="false">AR823</f>
        <v>1</v>
      </c>
      <c r="BB823" s="65" t="n">
        <f aca="false">1</f>
        <v>1</v>
      </c>
      <c r="BC823" s="65" t="n">
        <f aca="false">IF(AV823=1,1,IF(AW823=1,2,IF(AX823=1,3,IF(AY823=1,4,IF(AZ823=1,5,IF(BA823=1,6,7))))))</f>
        <v>6</v>
      </c>
      <c r="BD823" s="65" t="n">
        <f aca="false">IF(AD823=1,CHOOSE('Historical Score'!$C$29,AV823,AW823,AX823,AY823,AZ823,BA823,BB823),0)</f>
        <v>0</v>
      </c>
      <c r="BE823" s="65" t="str">
        <f aca="false">IF(BD823=1,COUNTIF($BD$2:BD823,1),"")</f>
        <v/>
      </c>
    </row>
    <row r="824" customFormat="false" ht="15" hidden="false" customHeight="false" outlineLevel="0" collapsed="false">
      <c r="A824" s="65" t="s">
        <v>2609</v>
      </c>
      <c r="B824" s="65" t="s">
        <v>1790</v>
      </c>
      <c r="C824" s="65" t="s">
        <v>1791</v>
      </c>
      <c r="D824" s="65" t="s">
        <v>295</v>
      </c>
      <c r="E824" s="112" t="n">
        <v>46140</v>
      </c>
      <c r="F824" s="112" t="n">
        <v>46248</v>
      </c>
      <c r="G824" s="65" t="n">
        <v>3</v>
      </c>
      <c r="H824" s="65" t="s">
        <v>372</v>
      </c>
      <c r="I824" s="65" t="s">
        <v>367</v>
      </c>
      <c r="J824" s="65" t="s">
        <v>61</v>
      </c>
      <c r="K824" s="65" t="s">
        <v>394</v>
      </c>
      <c r="L824" s="65" t="s">
        <v>320</v>
      </c>
      <c r="M824" s="113" t="n">
        <v>1.49</v>
      </c>
      <c r="N824" s="114" t="n">
        <v>30000</v>
      </c>
      <c r="O824" s="114" t="n">
        <v>4200</v>
      </c>
      <c r="P824" s="114" t="n">
        <v>44700</v>
      </c>
      <c r="Q824" s="114" t="n">
        <v>25782.15</v>
      </c>
      <c r="R824" s="114" t="n">
        <v>18917.85</v>
      </c>
      <c r="S824" s="115" t="n">
        <v>0.576781879194631</v>
      </c>
      <c r="T824" s="65" t="n">
        <v>26</v>
      </c>
      <c r="U824" s="65" t="n">
        <v>0</v>
      </c>
      <c r="V824" s="65" t="n">
        <v>50516.18</v>
      </c>
      <c r="W824" s="115" t="n">
        <v>0.1361</v>
      </c>
      <c r="X824" s="112" t="n">
        <v>44341</v>
      </c>
      <c r="Y824" s="65" t="str">
        <f aca="false">IF(I824="","No SIC",IFERROR(VLOOKUP(I824,Ref!$A$2:$B$65,2,FALSE()),"Unclassified"))</f>
        <v>Engineering, Accounting &amp; Management</v>
      </c>
      <c r="Z824" s="65" t="str">
        <f aca="false">IF(T824="","",IF(T824&lt;12,"Daily","Weekly"))</f>
        <v>Weekly</v>
      </c>
      <c r="AA824" s="65" t="n">
        <f aca="false">IF(T824="",0,IF(T824&lt;12,T824*Controls!$B$29,T824*5))</f>
        <v>130</v>
      </c>
      <c r="AB824" s="65" t="n">
        <f aca="false">IF(E824="",0,NETWORKDAYS(E824,Controls!$B$36,Ref!$K$2:$K$42))</f>
        <v>84</v>
      </c>
      <c r="AC824" s="65" t="n">
        <f aca="false">IF(AND(AA824&gt;0,AB824&gt;=Controls!$B$39*AA824),1,0)</f>
        <v>0</v>
      </c>
      <c r="AD824" s="65" t="n">
        <f aca="false">IF(AND(E824&lt;&gt;"",E824&gt;=Controls!$B$37,E824&lt;=Controls!$B$38),1,0)</f>
        <v>1</v>
      </c>
      <c r="AE824" s="65" t="n">
        <f aca="false">IF(IFERROR(VLOOKUP(D824,Controls!$A$64:$E$74,2,FALSE()),"No")="Yes",1,0)</f>
        <v>0</v>
      </c>
      <c r="AF824" s="65" t="n">
        <f aca="false">IF(IFERROR(VLOOKUP(D824,Controls!$A$64:$E$74,3,FALSE()),"No")="Yes",1,0)</f>
        <v>0</v>
      </c>
      <c r="AG824" s="65" t="n">
        <f aca="false">IF(IFERROR(VLOOKUP(D824,Controls!$A$64:$E$74,4,FALSE()),"No")="Yes",1,0)</f>
        <v>0</v>
      </c>
      <c r="AH824" s="65" t="n">
        <f aca="false">IF(IFERROR(VLOOKUP(D824,Controls!$A$64:$E$74,5,FALSE()),"No")="Yes",1,0)</f>
        <v>1</v>
      </c>
      <c r="AI824" s="65" t="n">
        <f aca="false">IF(ISNUMBER(MATCH(D824,Controls!$A$64:$A$74,0)),1,0)</f>
        <v>1</v>
      </c>
      <c r="AJ824" s="65" t="n">
        <f aca="false">Q824-N824</f>
        <v>-4217.85</v>
      </c>
      <c r="AK824" s="65" t="n">
        <f aca="false">IF(AE824=1,MAX(0,N824-Q824),0)</f>
        <v>0</v>
      </c>
      <c r="AL824" s="65" t="n">
        <f aca="false">IF(OR(V824="",V824=0),0,N824/V824)</f>
        <v>0.593869132622459</v>
      </c>
      <c r="AM824" s="65" t="n">
        <f aca="false">IF(OR(V824="",V824=0),0,1)</f>
        <v>1</v>
      </c>
      <c r="AN824" s="65" t="n">
        <f aca="false">IF(OR(E824="",F824=""),0,NETWORKDAYS(E824,F824,Ref!$K$2:$K$42))</f>
        <v>77</v>
      </c>
      <c r="AO824" s="65" t="n">
        <f aca="false">IF(L824="Renewal",1,0)</f>
        <v>1</v>
      </c>
      <c r="AP824" s="65" t="n">
        <f aca="false">AC824*AD824</f>
        <v>0</v>
      </c>
      <c r="AQ824" s="65" t="n">
        <f aca="false">IF(AND(G824&lt;&gt;"",'Historical Score'!$C$6&lt;&gt;""),IF(G824='Historical Score'!$C$6,1,0),0)</f>
        <v>0</v>
      </c>
      <c r="AR824" s="65" t="n">
        <f aca="false">IF(AND(L824&lt;&gt;"",'Historical Score'!$C$5&lt;&gt;""),IF(L824='Historical Score'!$C$5,1,0),0)</f>
        <v>0</v>
      </c>
      <c r="AS824" s="65" t="n">
        <f aca="false">IF(AND(Y824&lt;&gt;"",'Historical Score'!$C$7&lt;&gt;""),IF(Y824='Historical Score'!$C$7,1,0),0)</f>
        <v>0</v>
      </c>
      <c r="AT824" s="65" t="n">
        <f aca="false">IF(AND(K824&lt;&gt;"",'Historical Score'!$C$8&lt;&gt;""),IF(K824='Historical Score'!$C$8,1,0),0)</f>
        <v>0</v>
      </c>
      <c r="AU824" s="65" t="n">
        <f aca="false">IF(AND(J824&lt;&gt;"",'Historical Score'!$C$9&lt;&gt;""),IF(J824='Historical Score'!$C$9,1,0),0)</f>
        <v>1</v>
      </c>
      <c r="AV824" s="65" t="n">
        <f aca="false">AR824*AS824*AQ824</f>
        <v>0</v>
      </c>
      <c r="AW824" s="65" t="n">
        <f aca="false">AR824*AT824*AQ824</f>
        <v>0</v>
      </c>
      <c r="AX824" s="65" t="n">
        <f aca="false">AR824*AS824</f>
        <v>0</v>
      </c>
      <c r="AY824" s="65" t="n">
        <f aca="false">AR824*AT824</f>
        <v>0</v>
      </c>
      <c r="AZ824" s="65" t="n">
        <f aca="false">AR824*AQ824</f>
        <v>0</v>
      </c>
      <c r="BA824" s="65" t="n">
        <f aca="false">AR824</f>
        <v>0</v>
      </c>
      <c r="BB824" s="65" t="n">
        <f aca="false">1</f>
        <v>1</v>
      </c>
      <c r="BC824" s="65" t="n">
        <f aca="false">IF(AV824=1,1,IF(AW824=1,2,IF(AX824=1,3,IF(AY824=1,4,IF(AZ824=1,5,IF(BA824=1,6,7))))))</f>
        <v>7</v>
      </c>
      <c r="BD824" s="65" t="n">
        <f aca="false">IF(AD824=1,CHOOSE('Historical Score'!$C$29,AV824,AW824,AX824,AY824,AZ824,BA824,BB824),0)</f>
        <v>0</v>
      </c>
      <c r="BE824" s="65" t="str">
        <f aca="false">IF(BD824=1,COUNTIF($BD$2:BD824,1),"")</f>
        <v/>
      </c>
    </row>
    <row r="825" customFormat="false" ht="15" hidden="false" customHeight="false" outlineLevel="0" collapsed="false">
      <c r="A825" s="65" t="s">
        <v>2610</v>
      </c>
      <c r="B825" s="65" t="s">
        <v>2611</v>
      </c>
      <c r="C825" s="65" t="s">
        <v>2611</v>
      </c>
      <c r="D825" s="65" t="s">
        <v>371</v>
      </c>
      <c r="E825" s="112" t="n">
        <v>46140</v>
      </c>
      <c r="F825" s="112" t="n">
        <v>46220</v>
      </c>
      <c r="G825" s="65" t="n">
        <v>3</v>
      </c>
      <c r="H825" s="65" t="s">
        <v>442</v>
      </c>
      <c r="I825" s="65" t="s">
        <v>443</v>
      </c>
      <c r="J825" s="65" t="s">
        <v>61</v>
      </c>
      <c r="K825" s="65" t="s">
        <v>2612</v>
      </c>
      <c r="L825" s="65" t="s">
        <v>64</v>
      </c>
      <c r="M825" s="113" t="n">
        <v>1.49</v>
      </c>
      <c r="N825" s="114" t="n">
        <v>8000</v>
      </c>
      <c r="O825" s="114" t="n">
        <v>1120</v>
      </c>
      <c r="P825" s="114" t="n">
        <v>11920</v>
      </c>
      <c r="Q825" s="114" t="n">
        <v>11920</v>
      </c>
      <c r="R825" s="114" t="n">
        <v>0</v>
      </c>
      <c r="S825" s="115" t="n">
        <v>1</v>
      </c>
      <c r="T825" s="65" t="n">
        <v>3.279</v>
      </c>
      <c r="U825" s="65" t="n">
        <v>0</v>
      </c>
      <c r="V825" s="65" t="n">
        <v>51341.83</v>
      </c>
      <c r="W825" s="115" t="n">
        <v>0.0488</v>
      </c>
      <c r="X825" s="112" t="n">
        <v>39965</v>
      </c>
      <c r="Y825" s="65" t="str">
        <f aca="false">IF(I825="","No SIC",IFERROR(VLOOKUP(I825,Ref!$A$2:$B$65,2,FALSE()),"Unclassified"))</f>
        <v>General Building Contractors</v>
      </c>
      <c r="Z825" s="65" t="str">
        <f aca="false">IF(T825="","",IF(T825&lt;12,"Daily","Weekly"))</f>
        <v>Daily</v>
      </c>
      <c r="AA825" s="65" t="n">
        <f aca="false">IF(T825="",0,IF(T825&lt;12,T825*Controls!$B$29,T825*5))</f>
        <v>71.006745</v>
      </c>
      <c r="AB825" s="65" t="n">
        <f aca="false">IF(E825="",0,NETWORKDAYS(E825,Controls!$B$36,Ref!$K$2:$K$42))</f>
        <v>84</v>
      </c>
      <c r="AC825" s="65" t="n">
        <f aca="false">IF(AND(AA825&gt;0,AB825&gt;=Controls!$B$39*AA825),1,0)</f>
        <v>0</v>
      </c>
      <c r="AD825" s="65" t="n">
        <f aca="false">IF(AND(E825&lt;&gt;"",E825&gt;=Controls!$B$37,E825&lt;=Controls!$B$38),1,0)</f>
        <v>1</v>
      </c>
      <c r="AE825" s="65" t="n">
        <f aca="false">IF(IFERROR(VLOOKUP(D825,Controls!$A$64:$E$74,2,FALSE()),"No")="Yes",1,0)</f>
        <v>0</v>
      </c>
      <c r="AF825" s="65" t="n">
        <f aca="false">IF(IFERROR(VLOOKUP(D825,Controls!$A$64:$E$74,3,FALSE()),"No")="Yes",1,0)</f>
        <v>1</v>
      </c>
      <c r="AG825" s="65" t="n">
        <f aca="false">IF(IFERROR(VLOOKUP(D825,Controls!$A$64:$E$74,4,FALSE()),"No")="Yes",1,0)</f>
        <v>1</v>
      </c>
      <c r="AH825" s="65" t="n">
        <f aca="false">IF(IFERROR(VLOOKUP(D825,Controls!$A$64:$E$74,5,FALSE()),"No")="Yes",1,0)</f>
        <v>0</v>
      </c>
      <c r="AI825" s="65" t="n">
        <f aca="false">IF(ISNUMBER(MATCH(D825,Controls!$A$64:$A$74,0)),1,0)</f>
        <v>1</v>
      </c>
      <c r="AJ825" s="65" t="n">
        <f aca="false">Q825-N825</f>
        <v>3920</v>
      </c>
      <c r="AK825" s="65" t="n">
        <f aca="false">IF(AE825=1,MAX(0,N825-Q825),0)</f>
        <v>0</v>
      </c>
      <c r="AL825" s="65" t="n">
        <f aca="false">IF(OR(V825="",V825=0),0,N825/V825)</f>
        <v>0.155818364869347</v>
      </c>
      <c r="AM825" s="65" t="n">
        <f aca="false">IF(OR(V825="",V825=0),0,1)</f>
        <v>1</v>
      </c>
      <c r="AN825" s="65" t="n">
        <f aca="false">IF(OR(E825="",F825=""),0,NETWORKDAYS(E825,F825,Ref!$K$2:$K$42))</f>
        <v>57</v>
      </c>
      <c r="AO825" s="65" t="n">
        <f aca="false">IF(L825="Renewal",1,0)</f>
        <v>0</v>
      </c>
      <c r="AP825" s="65" t="n">
        <f aca="false">AC825*AD825</f>
        <v>0</v>
      </c>
      <c r="AQ825" s="65" t="n">
        <f aca="false">IF(AND(G825&lt;&gt;"",'Historical Score'!$C$6&lt;&gt;""),IF(G825='Historical Score'!$C$6,1,0),0)</f>
        <v>0</v>
      </c>
      <c r="AR825" s="65" t="n">
        <f aca="false">IF(AND(L825&lt;&gt;"",'Historical Score'!$C$5&lt;&gt;""),IF(L825='Historical Score'!$C$5,1,0),0)</f>
        <v>1</v>
      </c>
      <c r="AS825" s="65" t="n">
        <f aca="false">IF(AND(Y825&lt;&gt;"",'Historical Score'!$C$7&lt;&gt;""),IF(Y825='Historical Score'!$C$7,1,0),0)</f>
        <v>1</v>
      </c>
      <c r="AT825" s="65" t="n">
        <f aca="false">IF(AND(K825&lt;&gt;"",'Historical Score'!$C$8&lt;&gt;""),IF(K825='Historical Score'!$C$8,1,0),0)</f>
        <v>0</v>
      </c>
      <c r="AU825" s="65" t="n">
        <f aca="false">IF(AND(J825&lt;&gt;"",'Historical Score'!$C$9&lt;&gt;""),IF(J825='Historical Score'!$C$9,1,0),0)</f>
        <v>1</v>
      </c>
      <c r="AV825" s="65" t="n">
        <f aca="false">AR825*AS825*AQ825</f>
        <v>0</v>
      </c>
      <c r="AW825" s="65" t="n">
        <f aca="false">AR825*AT825*AQ825</f>
        <v>0</v>
      </c>
      <c r="AX825" s="65" t="n">
        <f aca="false">AR825*AS825</f>
        <v>1</v>
      </c>
      <c r="AY825" s="65" t="n">
        <f aca="false">AR825*AT825</f>
        <v>0</v>
      </c>
      <c r="AZ825" s="65" t="n">
        <f aca="false">AR825*AQ825</f>
        <v>0</v>
      </c>
      <c r="BA825" s="65" t="n">
        <f aca="false">AR825</f>
        <v>1</v>
      </c>
      <c r="BB825" s="65" t="n">
        <f aca="false">1</f>
        <v>1</v>
      </c>
      <c r="BC825" s="65" t="n">
        <f aca="false">IF(AV825=1,1,IF(AW825=1,2,IF(AX825=1,3,IF(AY825=1,4,IF(AZ825=1,5,IF(BA825=1,6,7))))))</f>
        <v>3</v>
      </c>
      <c r="BD825" s="65" t="n">
        <f aca="false">IF(AD825=1,CHOOSE('Historical Score'!$C$29,AV825,AW825,AX825,AY825,AZ825,BA825,BB825),0)</f>
        <v>0</v>
      </c>
      <c r="BE825" s="65" t="str">
        <f aca="false">IF(BD825=1,COUNTIF($BD$2:BD825,1),"")</f>
        <v/>
      </c>
    </row>
    <row r="826" customFormat="false" ht="15" hidden="false" customHeight="false" outlineLevel="0" collapsed="false">
      <c r="A826" s="65" t="s">
        <v>2613</v>
      </c>
      <c r="B826" s="65" t="s">
        <v>2614</v>
      </c>
      <c r="C826" s="65" t="s">
        <v>2614</v>
      </c>
      <c r="D826" s="65" t="s">
        <v>295</v>
      </c>
      <c r="E826" s="112" t="n">
        <v>46140</v>
      </c>
      <c r="F826" s="112" t="n">
        <v>46253</v>
      </c>
      <c r="G826" s="65" t="n">
        <v>3</v>
      </c>
      <c r="H826" s="65" t="s">
        <v>685</v>
      </c>
      <c r="I826" s="65" t="s">
        <v>484</v>
      </c>
      <c r="J826" s="65" t="s">
        <v>452</v>
      </c>
      <c r="K826" s="65" t="s">
        <v>2594</v>
      </c>
      <c r="L826" s="65" t="s">
        <v>64</v>
      </c>
      <c r="M826" s="113" t="n">
        <v>1.34</v>
      </c>
      <c r="N826" s="114" t="n">
        <v>10000</v>
      </c>
      <c r="O826" s="114" t="n">
        <v>600</v>
      </c>
      <c r="P826" s="114" t="n">
        <v>13400</v>
      </c>
      <c r="Q826" s="114" t="n">
        <v>5474.77</v>
      </c>
      <c r="R826" s="114" t="n">
        <v>7925.23</v>
      </c>
      <c r="S826" s="115" t="n">
        <v>0.408564925373134</v>
      </c>
      <c r="T826" s="65" t="n">
        <v>3.934</v>
      </c>
      <c r="U826" s="65" t="n">
        <v>31</v>
      </c>
      <c r="V826" s="65" t="n">
        <v>26098.36</v>
      </c>
      <c r="W826" s="115" t="n">
        <v>0.0899</v>
      </c>
      <c r="X826" s="112" t="n">
        <v>45007</v>
      </c>
      <c r="Y826" s="65" t="str">
        <f aca="false">IF(I826="","No SIC",IFERROR(VLOOKUP(I826,Ref!$A$2:$B$65,2,FALSE()),"Unclassified"))</f>
        <v>Special Trade Contractors</v>
      </c>
      <c r="Z826" s="65" t="str">
        <f aca="false">IF(T826="","",IF(T826&lt;12,"Daily","Weekly"))</f>
        <v>Daily</v>
      </c>
      <c r="AA826" s="65" t="n">
        <f aca="false">IF(T826="",0,IF(T826&lt;12,T826*Controls!$B$29,T826*5))</f>
        <v>85.19077</v>
      </c>
      <c r="AB826" s="65" t="n">
        <f aca="false">IF(E826="",0,NETWORKDAYS(E826,Controls!$B$36,Ref!$K$2:$K$42))</f>
        <v>84</v>
      </c>
      <c r="AC826" s="65" t="n">
        <f aca="false">IF(AND(AA826&gt;0,AB826&gt;=Controls!$B$39*AA826),1,0)</f>
        <v>0</v>
      </c>
      <c r="AD826" s="65" t="n">
        <f aca="false">IF(AND(E826&lt;&gt;"",E826&gt;=Controls!$B$37,E826&lt;=Controls!$B$38),1,0)</f>
        <v>1</v>
      </c>
      <c r="AE826" s="65" t="n">
        <f aca="false">IF(IFERROR(VLOOKUP(D826,Controls!$A$64:$E$74,2,FALSE()),"No")="Yes",1,0)</f>
        <v>0</v>
      </c>
      <c r="AF826" s="65" t="n">
        <f aca="false">IF(IFERROR(VLOOKUP(D826,Controls!$A$64:$E$74,3,FALSE()),"No")="Yes",1,0)</f>
        <v>0</v>
      </c>
      <c r="AG826" s="65" t="n">
        <f aca="false">IF(IFERROR(VLOOKUP(D826,Controls!$A$64:$E$74,4,FALSE()),"No")="Yes",1,0)</f>
        <v>0</v>
      </c>
      <c r="AH826" s="65" t="n">
        <f aca="false">IF(IFERROR(VLOOKUP(D826,Controls!$A$64:$E$74,5,FALSE()),"No")="Yes",1,0)</f>
        <v>1</v>
      </c>
      <c r="AI826" s="65" t="n">
        <f aca="false">IF(ISNUMBER(MATCH(D826,Controls!$A$64:$A$74,0)),1,0)</f>
        <v>1</v>
      </c>
      <c r="AJ826" s="65" t="n">
        <f aca="false">Q826-N826</f>
        <v>-4525.23</v>
      </c>
      <c r="AK826" s="65" t="n">
        <f aca="false">IF(AE826=1,MAX(0,N826-Q826),0)</f>
        <v>0</v>
      </c>
      <c r="AL826" s="65" t="n">
        <f aca="false">IF(OR(V826="",V826=0),0,N826/V826)</f>
        <v>0.383165838773011</v>
      </c>
      <c r="AM826" s="65" t="n">
        <f aca="false">IF(OR(V826="",V826=0),0,1)</f>
        <v>1</v>
      </c>
      <c r="AN826" s="65" t="n">
        <f aca="false">IF(OR(E826="",F826=""),0,NETWORKDAYS(E826,F826,Ref!$K$2:$K$42))</f>
        <v>80</v>
      </c>
      <c r="AO826" s="65" t="n">
        <f aca="false">IF(L826="Renewal",1,0)</f>
        <v>0</v>
      </c>
      <c r="AP826" s="65" t="n">
        <f aca="false">AC826*AD826</f>
        <v>0</v>
      </c>
      <c r="AQ826" s="65" t="n">
        <f aca="false">IF(AND(G826&lt;&gt;"",'Historical Score'!$C$6&lt;&gt;""),IF(G826='Historical Score'!$C$6,1,0),0)</f>
        <v>0</v>
      </c>
      <c r="AR826" s="65" t="n">
        <f aca="false">IF(AND(L826&lt;&gt;"",'Historical Score'!$C$5&lt;&gt;""),IF(L826='Historical Score'!$C$5,1,0),0)</f>
        <v>1</v>
      </c>
      <c r="AS826" s="65" t="n">
        <f aca="false">IF(AND(Y826&lt;&gt;"",'Historical Score'!$C$7&lt;&gt;""),IF(Y826='Historical Score'!$C$7,1,0),0)</f>
        <v>0</v>
      </c>
      <c r="AT826" s="65" t="n">
        <f aca="false">IF(AND(K826&lt;&gt;"",'Historical Score'!$C$8&lt;&gt;""),IF(K826='Historical Score'!$C$8,1,0),0)</f>
        <v>0</v>
      </c>
      <c r="AU826" s="65" t="n">
        <f aca="false">IF(AND(J826&lt;&gt;"",'Historical Score'!$C$9&lt;&gt;""),IF(J826='Historical Score'!$C$9,1,0),0)</f>
        <v>0</v>
      </c>
      <c r="AV826" s="65" t="n">
        <f aca="false">AR826*AS826*AQ826</f>
        <v>0</v>
      </c>
      <c r="AW826" s="65" t="n">
        <f aca="false">AR826*AT826*AQ826</f>
        <v>0</v>
      </c>
      <c r="AX826" s="65" t="n">
        <f aca="false">AR826*AS826</f>
        <v>0</v>
      </c>
      <c r="AY826" s="65" t="n">
        <f aca="false">AR826*AT826</f>
        <v>0</v>
      </c>
      <c r="AZ826" s="65" t="n">
        <f aca="false">AR826*AQ826</f>
        <v>0</v>
      </c>
      <c r="BA826" s="65" t="n">
        <f aca="false">AR826</f>
        <v>1</v>
      </c>
      <c r="BB826" s="65" t="n">
        <f aca="false">1</f>
        <v>1</v>
      </c>
      <c r="BC826" s="65" t="n">
        <f aca="false">IF(AV826=1,1,IF(AW826=1,2,IF(AX826=1,3,IF(AY826=1,4,IF(AZ826=1,5,IF(BA826=1,6,7))))))</f>
        <v>6</v>
      </c>
      <c r="BD826" s="65" t="n">
        <f aca="false">IF(AD826=1,CHOOSE('Historical Score'!$C$29,AV826,AW826,AX826,AY826,AZ826,BA826,BB826),0)</f>
        <v>0</v>
      </c>
      <c r="BE826" s="65" t="str">
        <f aca="false">IF(BD826=1,COUNTIF($BD$2:BD826,1),"")</f>
        <v/>
      </c>
    </row>
    <row r="827" customFormat="false" ht="15" hidden="false" customHeight="false" outlineLevel="0" collapsed="false">
      <c r="A827" s="65" t="s">
        <v>2615</v>
      </c>
      <c r="B827" s="65" t="s">
        <v>2616</v>
      </c>
      <c r="C827" s="65" t="s">
        <v>2616</v>
      </c>
      <c r="D827" s="65" t="s">
        <v>340</v>
      </c>
      <c r="E827" s="112" t="n">
        <v>46140</v>
      </c>
      <c r="F827" s="112" t="n">
        <v>46150</v>
      </c>
      <c r="G827" s="65" t="n">
        <v>3</v>
      </c>
      <c r="H827" s="65" t="s">
        <v>442</v>
      </c>
      <c r="I827" s="65" t="s">
        <v>443</v>
      </c>
      <c r="J827" s="65" t="s">
        <v>386</v>
      </c>
      <c r="K827" s="65" t="s">
        <v>1047</v>
      </c>
      <c r="L827" s="65" t="s">
        <v>64</v>
      </c>
      <c r="M827" s="113" t="n">
        <v>1.49</v>
      </c>
      <c r="N827" s="114" t="n">
        <v>20000</v>
      </c>
      <c r="O827" s="114" t="n">
        <v>0</v>
      </c>
      <c r="P827" s="114" t="n">
        <v>29800</v>
      </c>
      <c r="Q827" s="114" t="n">
        <v>0</v>
      </c>
      <c r="R827" s="114" t="n">
        <v>29800</v>
      </c>
      <c r="S827" s="115" t="n">
        <v>0</v>
      </c>
      <c r="T827" s="65" t="n">
        <v>28</v>
      </c>
      <c r="U827" s="65" t="n">
        <v>1</v>
      </c>
      <c r="V827" s="65" t="n">
        <v>49200.57</v>
      </c>
      <c r="W827" s="115" t="n">
        <v>0.0865</v>
      </c>
      <c r="X827" s="112" t="n">
        <v>32025</v>
      </c>
      <c r="Y827" s="65" t="str">
        <f aca="false">IF(I827="","No SIC",IFERROR(VLOOKUP(I827,Ref!$A$2:$B$65,2,FALSE()),"Unclassified"))</f>
        <v>General Building Contractors</v>
      </c>
      <c r="Z827" s="65" t="str">
        <f aca="false">IF(T827="","",IF(T827&lt;12,"Daily","Weekly"))</f>
        <v>Weekly</v>
      </c>
      <c r="AA827" s="65" t="n">
        <f aca="false">IF(T827="",0,IF(T827&lt;12,T827*Controls!$B$29,T827*5))</f>
        <v>140</v>
      </c>
      <c r="AB827" s="65" t="n">
        <f aca="false">IF(E827="",0,NETWORKDAYS(E827,Controls!$B$36,Ref!$K$2:$K$42))</f>
        <v>84</v>
      </c>
      <c r="AC827" s="65" t="n">
        <f aca="false">IF(AND(AA827&gt;0,AB827&gt;=Controls!$B$39*AA827),1,0)</f>
        <v>0</v>
      </c>
      <c r="AD827" s="65" t="n">
        <f aca="false">IF(AND(E827&lt;&gt;"",E827&gt;=Controls!$B$37,E827&lt;=Controls!$B$38),1,0)</f>
        <v>1</v>
      </c>
      <c r="AE827" s="65" t="n">
        <f aca="false">IF(IFERROR(VLOOKUP(D827,Controls!$A$64:$E$74,2,FALSE()),"No")="Yes",1,0)</f>
        <v>1</v>
      </c>
      <c r="AF827" s="65" t="n">
        <f aca="false">IF(IFERROR(VLOOKUP(D827,Controls!$A$64:$E$74,3,FALSE()),"No")="Yes",1,0)</f>
        <v>0</v>
      </c>
      <c r="AG827" s="65" t="n">
        <f aca="false">IF(IFERROR(VLOOKUP(D827,Controls!$A$64:$E$74,4,FALSE()),"No")="Yes",1,0)</f>
        <v>0</v>
      </c>
      <c r="AH827" s="65" t="n">
        <f aca="false">IF(IFERROR(VLOOKUP(D827,Controls!$A$64:$E$74,5,FALSE()),"No")="Yes",1,0)</f>
        <v>0</v>
      </c>
      <c r="AI827" s="65" t="n">
        <f aca="false">IF(ISNUMBER(MATCH(D827,Controls!$A$64:$A$74,0)),1,0)</f>
        <v>1</v>
      </c>
      <c r="AJ827" s="65" t="n">
        <f aca="false">Q827-N827</f>
        <v>-20000</v>
      </c>
      <c r="AK827" s="65" t="n">
        <f aca="false">IF(AE827=1,MAX(0,N827-Q827),0)</f>
        <v>20000</v>
      </c>
      <c r="AL827" s="65" t="n">
        <f aca="false">IF(OR(V827="",V827=0),0,N827/V827)</f>
        <v>0.406499355596897</v>
      </c>
      <c r="AM827" s="65" t="n">
        <f aca="false">IF(OR(V827="",V827=0),0,1)</f>
        <v>1</v>
      </c>
      <c r="AN827" s="65" t="n">
        <f aca="false">IF(OR(E827="",F827=""),0,NETWORKDAYS(E827,F827,Ref!$K$2:$K$42))</f>
        <v>9</v>
      </c>
      <c r="AO827" s="65" t="n">
        <f aca="false">IF(L827="Renewal",1,0)</f>
        <v>0</v>
      </c>
      <c r="AP827" s="65" t="n">
        <f aca="false">AC827*AD827</f>
        <v>0</v>
      </c>
      <c r="AQ827" s="65" t="n">
        <f aca="false">IF(AND(G827&lt;&gt;"",'Historical Score'!$C$6&lt;&gt;""),IF(G827='Historical Score'!$C$6,1,0),0)</f>
        <v>0</v>
      </c>
      <c r="AR827" s="65" t="n">
        <f aca="false">IF(AND(L827&lt;&gt;"",'Historical Score'!$C$5&lt;&gt;""),IF(L827='Historical Score'!$C$5,1,0),0)</f>
        <v>1</v>
      </c>
      <c r="AS827" s="65" t="n">
        <f aca="false">IF(AND(Y827&lt;&gt;"",'Historical Score'!$C$7&lt;&gt;""),IF(Y827='Historical Score'!$C$7,1,0),0)</f>
        <v>1</v>
      </c>
      <c r="AT827" s="65" t="n">
        <f aca="false">IF(AND(K827&lt;&gt;"",'Historical Score'!$C$8&lt;&gt;""),IF(K827='Historical Score'!$C$8,1,0),0)</f>
        <v>0</v>
      </c>
      <c r="AU827" s="65" t="n">
        <f aca="false">IF(AND(J827&lt;&gt;"",'Historical Score'!$C$9&lt;&gt;""),IF(J827='Historical Score'!$C$9,1,0),0)</f>
        <v>0</v>
      </c>
      <c r="AV827" s="65" t="n">
        <f aca="false">AR827*AS827*AQ827</f>
        <v>0</v>
      </c>
      <c r="AW827" s="65" t="n">
        <f aca="false">AR827*AT827*AQ827</f>
        <v>0</v>
      </c>
      <c r="AX827" s="65" t="n">
        <f aca="false">AR827*AS827</f>
        <v>1</v>
      </c>
      <c r="AY827" s="65" t="n">
        <f aca="false">AR827*AT827</f>
        <v>0</v>
      </c>
      <c r="AZ827" s="65" t="n">
        <f aca="false">AR827*AQ827</f>
        <v>0</v>
      </c>
      <c r="BA827" s="65" t="n">
        <f aca="false">AR827</f>
        <v>1</v>
      </c>
      <c r="BB827" s="65" t="n">
        <f aca="false">1</f>
        <v>1</v>
      </c>
      <c r="BC827" s="65" t="n">
        <f aca="false">IF(AV827=1,1,IF(AW827=1,2,IF(AX827=1,3,IF(AY827=1,4,IF(AZ827=1,5,IF(BA827=1,6,7))))))</f>
        <v>3</v>
      </c>
      <c r="BD827" s="65" t="n">
        <f aca="false">IF(AD827=1,CHOOSE('Historical Score'!$C$29,AV827,AW827,AX827,AY827,AZ827,BA827,BB827),0)</f>
        <v>0</v>
      </c>
      <c r="BE827" s="65" t="str">
        <f aca="false">IF(BD827=1,COUNTIF($BD$2:BD827,1),"")</f>
        <v/>
      </c>
    </row>
    <row r="828" customFormat="false" ht="15" hidden="false" customHeight="false" outlineLevel="0" collapsed="false">
      <c r="A828" s="65" t="s">
        <v>2617</v>
      </c>
      <c r="B828" s="65" t="s">
        <v>2618</v>
      </c>
      <c r="C828" s="65" t="s">
        <v>2618</v>
      </c>
      <c r="D828" s="65" t="s">
        <v>295</v>
      </c>
      <c r="E828" s="112" t="n">
        <v>46141</v>
      </c>
      <c r="F828" s="112" t="n">
        <v>46251</v>
      </c>
      <c r="G828" s="65" t="n">
        <v>3</v>
      </c>
      <c r="H828" s="65" t="s">
        <v>628</v>
      </c>
      <c r="I828" s="65" t="s">
        <v>629</v>
      </c>
      <c r="J828" s="65" t="s">
        <v>350</v>
      </c>
      <c r="K828" s="65" t="s">
        <v>672</v>
      </c>
      <c r="L828" s="65" t="s">
        <v>64</v>
      </c>
      <c r="M828" s="113" t="n">
        <v>1.49</v>
      </c>
      <c r="N828" s="114" t="n">
        <v>45000</v>
      </c>
      <c r="O828" s="114" t="n">
        <v>6300</v>
      </c>
      <c r="P828" s="114" t="n">
        <v>67050</v>
      </c>
      <c r="Q828" s="114" t="n">
        <v>67050</v>
      </c>
      <c r="R828" s="114" t="n">
        <v>0</v>
      </c>
      <c r="S828" s="115" t="n">
        <v>1</v>
      </c>
      <c r="T828" s="65" t="n">
        <v>24</v>
      </c>
      <c r="U828" s="65" t="n">
        <v>0</v>
      </c>
      <c r="V828" s="65" t="n">
        <v>71345.28</v>
      </c>
      <c r="W828" s="115" t="n">
        <v>0.1566</v>
      </c>
      <c r="X828" s="112" t="n">
        <v>37257</v>
      </c>
      <c r="Y828" s="65" t="str">
        <f aca="false">IF(I828="","No SIC",IFERROR(VLOOKUP(I828,Ref!$A$2:$B$65,2,FALSE()),"Unclassified"))</f>
        <v>Hotels &amp; Lodging</v>
      </c>
      <c r="Z828" s="65" t="str">
        <f aca="false">IF(T828="","",IF(T828&lt;12,"Daily","Weekly"))</f>
        <v>Weekly</v>
      </c>
      <c r="AA828" s="65" t="n">
        <f aca="false">IF(T828="",0,IF(T828&lt;12,T828*Controls!$B$29,T828*5))</f>
        <v>120</v>
      </c>
      <c r="AB828" s="65" t="n">
        <f aca="false">IF(E828="",0,NETWORKDAYS(E828,Controls!$B$36,Ref!$K$2:$K$42))</f>
        <v>83</v>
      </c>
      <c r="AC828" s="65" t="n">
        <f aca="false">IF(AND(AA828&gt;0,AB828&gt;=Controls!$B$39*AA828),1,0)</f>
        <v>0</v>
      </c>
      <c r="AD828" s="65" t="n">
        <f aca="false">IF(AND(E828&lt;&gt;"",E828&gt;=Controls!$B$37,E828&lt;=Controls!$B$38),1,0)</f>
        <v>1</v>
      </c>
      <c r="AE828" s="65" t="n">
        <f aca="false">IF(IFERROR(VLOOKUP(D828,Controls!$A$64:$E$74,2,FALSE()),"No")="Yes",1,0)</f>
        <v>0</v>
      </c>
      <c r="AF828" s="65" t="n">
        <f aca="false">IF(IFERROR(VLOOKUP(D828,Controls!$A$64:$E$74,3,FALSE()),"No")="Yes",1,0)</f>
        <v>0</v>
      </c>
      <c r="AG828" s="65" t="n">
        <f aca="false">IF(IFERROR(VLOOKUP(D828,Controls!$A$64:$E$74,4,FALSE()),"No")="Yes",1,0)</f>
        <v>0</v>
      </c>
      <c r="AH828" s="65" t="n">
        <f aca="false">IF(IFERROR(VLOOKUP(D828,Controls!$A$64:$E$74,5,FALSE()),"No")="Yes",1,0)</f>
        <v>1</v>
      </c>
      <c r="AI828" s="65" t="n">
        <f aca="false">IF(ISNUMBER(MATCH(D828,Controls!$A$64:$A$74,0)),1,0)</f>
        <v>1</v>
      </c>
      <c r="AJ828" s="65" t="n">
        <f aca="false">Q828-N828</f>
        <v>22050</v>
      </c>
      <c r="AK828" s="65" t="n">
        <f aca="false">IF(AE828=1,MAX(0,N828-Q828),0)</f>
        <v>0</v>
      </c>
      <c r="AL828" s="65" t="n">
        <f aca="false">IF(OR(V828="",V828=0),0,N828/V828)</f>
        <v>0.630735488037891</v>
      </c>
      <c r="AM828" s="65" t="n">
        <f aca="false">IF(OR(V828="",V828=0),0,1)</f>
        <v>1</v>
      </c>
      <c r="AN828" s="65" t="n">
        <f aca="false">IF(OR(E828="",F828=""),0,NETWORKDAYS(E828,F828,Ref!$K$2:$K$42))</f>
        <v>77</v>
      </c>
      <c r="AO828" s="65" t="n">
        <f aca="false">IF(L828="Renewal",1,0)</f>
        <v>0</v>
      </c>
      <c r="AP828" s="65" t="n">
        <f aca="false">AC828*AD828</f>
        <v>0</v>
      </c>
      <c r="AQ828" s="65" t="n">
        <f aca="false">IF(AND(G828&lt;&gt;"",'Historical Score'!$C$6&lt;&gt;""),IF(G828='Historical Score'!$C$6,1,0),0)</f>
        <v>0</v>
      </c>
      <c r="AR828" s="65" t="n">
        <f aca="false">IF(AND(L828&lt;&gt;"",'Historical Score'!$C$5&lt;&gt;""),IF(L828='Historical Score'!$C$5,1,0),0)</f>
        <v>1</v>
      </c>
      <c r="AS828" s="65" t="n">
        <f aca="false">IF(AND(Y828&lt;&gt;"",'Historical Score'!$C$7&lt;&gt;""),IF(Y828='Historical Score'!$C$7,1,0),0)</f>
        <v>0</v>
      </c>
      <c r="AT828" s="65" t="n">
        <f aca="false">IF(AND(K828&lt;&gt;"",'Historical Score'!$C$8&lt;&gt;""),IF(K828='Historical Score'!$C$8,1,0),0)</f>
        <v>0</v>
      </c>
      <c r="AU828" s="65" t="n">
        <f aca="false">IF(AND(J828&lt;&gt;"",'Historical Score'!$C$9&lt;&gt;""),IF(J828='Historical Score'!$C$9,1,0),0)</f>
        <v>0</v>
      </c>
      <c r="AV828" s="65" t="n">
        <f aca="false">AR828*AS828*AQ828</f>
        <v>0</v>
      </c>
      <c r="AW828" s="65" t="n">
        <f aca="false">AR828*AT828*AQ828</f>
        <v>0</v>
      </c>
      <c r="AX828" s="65" t="n">
        <f aca="false">AR828*AS828</f>
        <v>0</v>
      </c>
      <c r="AY828" s="65" t="n">
        <f aca="false">AR828*AT828</f>
        <v>0</v>
      </c>
      <c r="AZ828" s="65" t="n">
        <f aca="false">AR828*AQ828</f>
        <v>0</v>
      </c>
      <c r="BA828" s="65" t="n">
        <f aca="false">AR828</f>
        <v>1</v>
      </c>
      <c r="BB828" s="65" t="n">
        <f aca="false">1</f>
        <v>1</v>
      </c>
      <c r="BC828" s="65" t="n">
        <f aca="false">IF(AV828=1,1,IF(AW828=1,2,IF(AX828=1,3,IF(AY828=1,4,IF(AZ828=1,5,IF(BA828=1,6,7))))))</f>
        <v>6</v>
      </c>
      <c r="BD828" s="65" t="n">
        <f aca="false">IF(AD828=1,CHOOSE('Historical Score'!$C$29,AV828,AW828,AX828,AY828,AZ828,BA828,BB828),0)</f>
        <v>0</v>
      </c>
      <c r="BE828" s="65" t="str">
        <f aca="false">IF(BD828=1,COUNTIF($BD$2:BD828,1),"")</f>
        <v/>
      </c>
    </row>
    <row r="829" customFormat="false" ht="15" hidden="false" customHeight="false" outlineLevel="0" collapsed="false">
      <c r="A829" s="65" t="s">
        <v>2619</v>
      </c>
      <c r="B829" s="65" t="s">
        <v>1082</v>
      </c>
      <c r="C829" s="65" t="s">
        <v>1082</v>
      </c>
      <c r="D829" s="65" t="s">
        <v>533</v>
      </c>
      <c r="E829" s="112" t="n">
        <v>46141</v>
      </c>
      <c r="F829" s="112" t="n">
        <v>46195</v>
      </c>
      <c r="G829" s="65" t="n">
        <v>3</v>
      </c>
      <c r="H829" s="65" t="s">
        <v>430</v>
      </c>
      <c r="I829" s="65" t="s">
        <v>431</v>
      </c>
      <c r="J829" s="65" t="s">
        <v>343</v>
      </c>
      <c r="K829" s="65" t="s">
        <v>55</v>
      </c>
      <c r="L829" s="65" t="s">
        <v>320</v>
      </c>
      <c r="M829" s="113" t="n">
        <v>1.49</v>
      </c>
      <c r="N829" s="114" t="n">
        <v>50000</v>
      </c>
      <c r="O829" s="114" t="n">
        <v>7000</v>
      </c>
      <c r="P829" s="114" t="n">
        <v>74500</v>
      </c>
      <c r="Q829" s="114" t="n">
        <v>12240.14</v>
      </c>
      <c r="R829" s="114" t="n">
        <v>62259.86</v>
      </c>
      <c r="S829" s="115" t="n">
        <v>0.164297181208054</v>
      </c>
      <c r="T829" s="65" t="n">
        <v>4.59</v>
      </c>
      <c r="U829" s="65" t="n">
        <v>4</v>
      </c>
      <c r="V829" s="65" t="n">
        <v>42013.9</v>
      </c>
      <c r="W829" s="115" t="n">
        <v>0.266</v>
      </c>
      <c r="X829" s="112" t="n">
        <v>44659</v>
      </c>
      <c r="Y829" s="65" t="str">
        <f aca="false">IF(I829="","No SIC",IFERROR(VLOOKUP(I829,Ref!$A$2:$B$65,2,FALSE()),"Unclassified"))</f>
        <v>Apparel &amp; Accessory Stores</v>
      </c>
      <c r="Z829" s="65" t="str">
        <f aca="false">IF(T829="","",IF(T829&lt;12,"Daily","Weekly"))</f>
        <v>Daily</v>
      </c>
      <c r="AA829" s="65" t="n">
        <f aca="false">IF(T829="",0,IF(T829&lt;12,T829*Controls!$B$29,T829*5))</f>
        <v>99.39645</v>
      </c>
      <c r="AB829" s="65" t="n">
        <f aca="false">IF(E829="",0,NETWORKDAYS(E829,Controls!$B$36,Ref!$K$2:$K$42))</f>
        <v>83</v>
      </c>
      <c r="AC829" s="65" t="n">
        <f aca="false">IF(AND(AA829&gt;0,AB829&gt;=Controls!$B$39*AA829),1,0)</f>
        <v>0</v>
      </c>
      <c r="AD829" s="65" t="n">
        <f aca="false">IF(AND(E829&lt;&gt;"",E829&gt;=Controls!$B$37,E829&lt;=Controls!$B$38),1,0)</f>
        <v>1</v>
      </c>
      <c r="AE829" s="65" t="n">
        <f aca="false">IF(IFERROR(VLOOKUP(D829,Controls!$A$64:$E$74,2,FALSE()),"No")="Yes",1,0)</f>
        <v>1</v>
      </c>
      <c r="AF829" s="65" t="n">
        <f aca="false">IF(IFERROR(VLOOKUP(D829,Controls!$A$64:$E$74,3,FALSE()),"No")="Yes",1,0)</f>
        <v>0</v>
      </c>
      <c r="AG829" s="65" t="n">
        <f aca="false">IF(IFERROR(VLOOKUP(D829,Controls!$A$64:$E$74,4,FALSE()),"No")="Yes",1,0)</f>
        <v>0</v>
      </c>
      <c r="AH829" s="65" t="n">
        <f aca="false">IF(IFERROR(VLOOKUP(D829,Controls!$A$64:$E$74,5,FALSE()),"No")="Yes",1,0)</f>
        <v>0</v>
      </c>
      <c r="AI829" s="65" t="n">
        <f aca="false">IF(ISNUMBER(MATCH(D829,Controls!$A$64:$A$74,0)),1,0)</f>
        <v>1</v>
      </c>
      <c r="AJ829" s="65" t="n">
        <f aca="false">Q829-N829</f>
        <v>-37759.86</v>
      </c>
      <c r="AK829" s="65" t="n">
        <f aca="false">IF(AE829=1,MAX(0,N829-Q829),0)</f>
        <v>37759.86</v>
      </c>
      <c r="AL829" s="65" t="n">
        <f aca="false">IF(OR(V829="",V829=0),0,N829/V829)</f>
        <v>1.19008232989558</v>
      </c>
      <c r="AM829" s="65" t="n">
        <f aca="false">IF(OR(V829="",V829=0),0,1)</f>
        <v>1</v>
      </c>
      <c r="AN829" s="65" t="n">
        <f aca="false">IF(OR(E829="",F829=""),0,NETWORKDAYS(E829,F829,Ref!$K$2:$K$42))</f>
        <v>37</v>
      </c>
      <c r="AO829" s="65" t="n">
        <f aca="false">IF(L829="Renewal",1,0)</f>
        <v>1</v>
      </c>
      <c r="AP829" s="65" t="n">
        <f aca="false">AC829*AD829</f>
        <v>0</v>
      </c>
      <c r="AQ829" s="65" t="n">
        <f aca="false">IF(AND(G829&lt;&gt;"",'Historical Score'!$C$6&lt;&gt;""),IF(G829='Historical Score'!$C$6,1,0),0)</f>
        <v>0</v>
      </c>
      <c r="AR829" s="65" t="n">
        <f aca="false">IF(AND(L829&lt;&gt;"",'Historical Score'!$C$5&lt;&gt;""),IF(L829='Historical Score'!$C$5,1,0),0)</f>
        <v>0</v>
      </c>
      <c r="AS829" s="65" t="n">
        <f aca="false">IF(AND(Y829&lt;&gt;"",'Historical Score'!$C$7&lt;&gt;""),IF(Y829='Historical Score'!$C$7,1,0),0)</f>
        <v>0</v>
      </c>
      <c r="AT829" s="65" t="n">
        <f aca="false">IF(AND(K829&lt;&gt;"",'Historical Score'!$C$8&lt;&gt;""),IF(K829='Historical Score'!$C$8,1,0),0)</f>
        <v>1</v>
      </c>
      <c r="AU829" s="65" t="n">
        <f aca="false">IF(AND(J829&lt;&gt;"",'Historical Score'!$C$9&lt;&gt;""),IF(J829='Historical Score'!$C$9,1,0),0)</f>
        <v>0</v>
      </c>
      <c r="AV829" s="65" t="n">
        <f aca="false">AR829*AS829*AQ829</f>
        <v>0</v>
      </c>
      <c r="AW829" s="65" t="n">
        <f aca="false">AR829*AT829*AQ829</f>
        <v>0</v>
      </c>
      <c r="AX829" s="65" t="n">
        <f aca="false">AR829*AS829</f>
        <v>0</v>
      </c>
      <c r="AY829" s="65" t="n">
        <f aca="false">AR829*AT829</f>
        <v>0</v>
      </c>
      <c r="AZ829" s="65" t="n">
        <f aca="false">AR829*AQ829</f>
        <v>0</v>
      </c>
      <c r="BA829" s="65" t="n">
        <f aca="false">AR829</f>
        <v>0</v>
      </c>
      <c r="BB829" s="65" t="n">
        <f aca="false">1</f>
        <v>1</v>
      </c>
      <c r="BC829" s="65" t="n">
        <f aca="false">IF(AV829=1,1,IF(AW829=1,2,IF(AX829=1,3,IF(AY829=1,4,IF(AZ829=1,5,IF(BA829=1,6,7))))))</f>
        <v>7</v>
      </c>
      <c r="BD829" s="65" t="n">
        <f aca="false">IF(AD829=1,CHOOSE('Historical Score'!$C$29,AV829,AW829,AX829,AY829,AZ829,BA829,BB829),0)</f>
        <v>0</v>
      </c>
      <c r="BE829" s="65" t="str">
        <f aca="false">IF(BD829=1,COUNTIF($BD$2:BD829,1),"")</f>
        <v/>
      </c>
    </row>
    <row r="830" customFormat="false" ht="15" hidden="false" customHeight="false" outlineLevel="0" collapsed="false">
      <c r="A830" s="65" t="s">
        <v>2620</v>
      </c>
      <c r="B830" s="65" t="s">
        <v>2621</v>
      </c>
      <c r="C830" s="65" t="s">
        <v>2621</v>
      </c>
      <c r="D830" s="65" t="s">
        <v>340</v>
      </c>
      <c r="E830" s="112" t="n">
        <v>46141</v>
      </c>
      <c r="F830" s="112" t="n">
        <v>46171</v>
      </c>
      <c r="G830" s="65" t="n">
        <v>3</v>
      </c>
      <c r="H830" s="65" t="s">
        <v>685</v>
      </c>
      <c r="I830" s="65" t="s">
        <v>484</v>
      </c>
      <c r="J830" s="65" t="s">
        <v>682</v>
      </c>
      <c r="K830" s="65" t="s">
        <v>538</v>
      </c>
      <c r="L830" s="65" t="s">
        <v>64</v>
      </c>
      <c r="M830" s="113" t="n">
        <v>1.49</v>
      </c>
      <c r="N830" s="114" t="n">
        <v>35000</v>
      </c>
      <c r="O830" s="114" t="n">
        <v>0</v>
      </c>
      <c r="P830" s="114" t="n">
        <v>52150</v>
      </c>
      <c r="Q830" s="114" t="n">
        <v>3722.18</v>
      </c>
      <c r="R830" s="114" t="n">
        <v>48427.82</v>
      </c>
      <c r="S830" s="115" t="n">
        <v>0.0713744966442953</v>
      </c>
      <c r="T830" s="65" t="n">
        <v>28</v>
      </c>
      <c r="U830" s="65" t="n">
        <v>2</v>
      </c>
      <c r="V830" s="65" t="n">
        <v>809169.74</v>
      </c>
      <c r="W830" s="115" t="n">
        <v>0.0092</v>
      </c>
      <c r="X830" s="112" t="n">
        <v>42467</v>
      </c>
      <c r="Y830" s="65" t="str">
        <f aca="false">IF(I830="","No SIC",IFERROR(VLOOKUP(I830,Ref!$A$2:$B$65,2,FALSE()),"Unclassified"))</f>
        <v>Special Trade Contractors</v>
      </c>
      <c r="Z830" s="65" t="str">
        <f aca="false">IF(T830="","",IF(T830&lt;12,"Daily","Weekly"))</f>
        <v>Weekly</v>
      </c>
      <c r="AA830" s="65" t="n">
        <f aca="false">IF(T830="",0,IF(T830&lt;12,T830*Controls!$B$29,T830*5))</f>
        <v>140</v>
      </c>
      <c r="AB830" s="65" t="n">
        <f aca="false">IF(E830="",0,NETWORKDAYS(E830,Controls!$B$36,Ref!$K$2:$K$42))</f>
        <v>83</v>
      </c>
      <c r="AC830" s="65" t="n">
        <f aca="false">IF(AND(AA830&gt;0,AB830&gt;=Controls!$B$39*AA830),1,0)</f>
        <v>0</v>
      </c>
      <c r="AD830" s="65" t="n">
        <f aca="false">IF(AND(E830&lt;&gt;"",E830&gt;=Controls!$B$37,E830&lt;=Controls!$B$38),1,0)</f>
        <v>1</v>
      </c>
      <c r="AE830" s="65" t="n">
        <f aca="false">IF(IFERROR(VLOOKUP(D830,Controls!$A$64:$E$74,2,FALSE()),"No")="Yes",1,0)</f>
        <v>1</v>
      </c>
      <c r="AF830" s="65" t="n">
        <f aca="false">IF(IFERROR(VLOOKUP(D830,Controls!$A$64:$E$74,3,FALSE()),"No")="Yes",1,0)</f>
        <v>0</v>
      </c>
      <c r="AG830" s="65" t="n">
        <f aca="false">IF(IFERROR(VLOOKUP(D830,Controls!$A$64:$E$74,4,FALSE()),"No")="Yes",1,0)</f>
        <v>0</v>
      </c>
      <c r="AH830" s="65" t="n">
        <f aca="false">IF(IFERROR(VLOOKUP(D830,Controls!$A$64:$E$74,5,FALSE()),"No")="Yes",1,0)</f>
        <v>0</v>
      </c>
      <c r="AI830" s="65" t="n">
        <f aca="false">IF(ISNUMBER(MATCH(D830,Controls!$A$64:$A$74,0)),1,0)</f>
        <v>1</v>
      </c>
      <c r="AJ830" s="65" t="n">
        <f aca="false">Q830-N830</f>
        <v>-31277.82</v>
      </c>
      <c r="AK830" s="65" t="n">
        <f aca="false">IF(AE830=1,MAX(0,N830-Q830),0)</f>
        <v>31277.82</v>
      </c>
      <c r="AL830" s="65" t="n">
        <f aca="false">IF(OR(V830="",V830=0),0,N830/V830)</f>
        <v>0.0432542126451738</v>
      </c>
      <c r="AM830" s="65" t="n">
        <f aca="false">IF(OR(V830="",V830=0),0,1)</f>
        <v>1</v>
      </c>
      <c r="AN830" s="65" t="n">
        <f aca="false">IF(OR(E830="",F830=""),0,NETWORKDAYS(E830,F830,Ref!$K$2:$K$42))</f>
        <v>22</v>
      </c>
      <c r="AO830" s="65" t="n">
        <f aca="false">IF(L830="Renewal",1,0)</f>
        <v>0</v>
      </c>
      <c r="AP830" s="65" t="n">
        <f aca="false">AC830*AD830</f>
        <v>0</v>
      </c>
      <c r="AQ830" s="65" t="n">
        <f aca="false">IF(AND(G830&lt;&gt;"",'Historical Score'!$C$6&lt;&gt;""),IF(G830='Historical Score'!$C$6,1,0),0)</f>
        <v>0</v>
      </c>
      <c r="AR830" s="65" t="n">
        <f aca="false">IF(AND(L830&lt;&gt;"",'Historical Score'!$C$5&lt;&gt;""),IF(L830='Historical Score'!$C$5,1,0),0)</f>
        <v>1</v>
      </c>
      <c r="AS830" s="65" t="n">
        <f aca="false">IF(AND(Y830&lt;&gt;"",'Historical Score'!$C$7&lt;&gt;""),IF(Y830='Historical Score'!$C$7,1,0),0)</f>
        <v>0</v>
      </c>
      <c r="AT830" s="65" t="n">
        <f aca="false">IF(AND(K830&lt;&gt;"",'Historical Score'!$C$8&lt;&gt;""),IF(K830='Historical Score'!$C$8,1,0),0)</f>
        <v>0</v>
      </c>
      <c r="AU830" s="65" t="n">
        <f aca="false">IF(AND(J830&lt;&gt;"",'Historical Score'!$C$9&lt;&gt;""),IF(J830='Historical Score'!$C$9,1,0),0)</f>
        <v>0</v>
      </c>
      <c r="AV830" s="65" t="n">
        <f aca="false">AR830*AS830*AQ830</f>
        <v>0</v>
      </c>
      <c r="AW830" s="65" t="n">
        <f aca="false">AR830*AT830*AQ830</f>
        <v>0</v>
      </c>
      <c r="AX830" s="65" t="n">
        <f aca="false">AR830*AS830</f>
        <v>0</v>
      </c>
      <c r="AY830" s="65" t="n">
        <f aca="false">AR830*AT830</f>
        <v>0</v>
      </c>
      <c r="AZ830" s="65" t="n">
        <f aca="false">AR830*AQ830</f>
        <v>0</v>
      </c>
      <c r="BA830" s="65" t="n">
        <f aca="false">AR830</f>
        <v>1</v>
      </c>
      <c r="BB830" s="65" t="n">
        <f aca="false">1</f>
        <v>1</v>
      </c>
      <c r="BC830" s="65" t="n">
        <f aca="false">IF(AV830=1,1,IF(AW830=1,2,IF(AX830=1,3,IF(AY830=1,4,IF(AZ830=1,5,IF(BA830=1,6,7))))))</f>
        <v>6</v>
      </c>
      <c r="BD830" s="65" t="n">
        <f aca="false">IF(AD830=1,CHOOSE('Historical Score'!$C$29,AV830,AW830,AX830,AY830,AZ830,BA830,BB830),0)</f>
        <v>0</v>
      </c>
      <c r="BE830" s="65" t="str">
        <f aca="false">IF(BD830=1,COUNTIF($BD$2:BD830,1),"")</f>
        <v/>
      </c>
    </row>
    <row r="831" customFormat="false" ht="15" hidden="false" customHeight="false" outlineLevel="0" collapsed="false">
      <c r="A831" s="65" t="s">
        <v>2622</v>
      </c>
      <c r="B831" s="65" t="s">
        <v>2129</v>
      </c>
      <c r="C831" s="65" t="s">
        <v>2129</v>
      </c>
      <c r="D831" s="65" t="s">
        <v>295</v>
      </c>
      <c r="E831" s="112" t="n">
        <v>46141</v>
      </c>
      <c r="F831" s="112" t="n">
        <v>46218</v>
      </c>
      <c r="G831" s="65" t="n">
        <v>3</v>
      </c>
      <c r="H831" s="65" t="s">
        <v>451</v>
      </c>
      <c r="I831" s="65" t="s">
        <v>425</v>
      </c>
      <c r="J831" s="65" t="s">
        <v>399</v>
      </c>
      <c r="K831" s="65" t="s">
        <v>983</v>
      </c>
      <c r="L831" s="65" t="s">
        <v>320</v>
      </c>
      <c r="M831" s="113" t="n">
        <v>1.49</v>
      </c>
      <c r="N831" s="114" t="n">
        <v>50000</v>
      </c>
      <c r="O831" s="114" t="n">
        <v>7000</v>
      </c>
      <c r="P831" s="114" t="n">
        <v>74500</v>
      </c>
      <c r="Q831" s="114" t="n">
        <v>19864</v>
      </c>
      <c r="R831" s="114" t="n">
        <v>54636</v>
      </c>
      <c r="S831" s="115" t="n">
        <v>0.266630872483222</v>
      </c>
      <c r="T831" s="65" t="n">
        <v>30</v>
      </c>
      <c r="U831" s="65" t="n">
        <v>2</v>
      </c>
      <c r="V831" s="65" t="n">
        <v>165533.36</v>
      </c>
      <c r="W831" s="115" t="n">
        <v>0.06</v>
      </c>
      <c r="X831" s="112" t="n">
        <v>43908</v>
      </c>
      <c r="Y831" s="65" t="str">
        <f aca="false">IF(I831="","No SIC",IFERROR(VLOOKUP(I831,Ref!$A$2:$B$65,2,FALSE()),"Unclassified"))</f>
        <v>Personal Services</v>
      </c>
      <c r="Z831" s="65" t="str">
        <f aca="false">IF(T831="","",IF(T831&lt;12,"Daily","Weekly"))</f>
        <v>Weekly</v>
      </c>
      <c r="AA831" s="65" t="n">
        <f aca="false">IF(T831="",0,IF(T831&lt;12,T831*Controls!$B$29,T831*5))</f>
        <v>150</v>
      </c>
      <c r="AB831" s="65" t="n">
        <f aca="false">IF(E831="",0,NETWORKDAYS(E831,Controls!$B$36,Ref!$K$2:$K$42))</f>
        <v>83</v>
      </c>
      <c r="AC831" s="65" t="n">
        <f aca="false">IF(AND(AA831&gt;0,AB831&gt;=Controls!$B$39*AA831),1,0)</f>
        <v>0</v>
      </c>
      <c r="AD831" s="65" t="n">
        <f aca="false">IF(AND(E831&lt;&gt;"",E831&gt;=Controls!$B$37,E831&lt;=Controls!$B$38),1,0)</f>
        <v>1</v>
      </c>
      <c r="AE831" s="65" t="n">
        <f aca="false">IF(IFERROR(VLOOKUP(D831,Controls!$A$64:$E$74,2,FALSE()),"No")="Yes",1,0)</f>
        <v>0</v>
      </c>
      <c r="AF831" s="65" t="n">
        <f aca="false">IF(IFERROR(VLOOKUP(D831,Controls!$A$64:$E$74,3,FALSE()),"No")="Yes",1,0)</f>
        <v>0</v>
      </c>
      <c r="AG831" s="65" t="n">
        <f aca="false">IF(IFERROR(VLOOKUP(D831,Controls!$A$64:$E$74,4,FALSE()),"No")="Yes",1,0)</f>
        <v>0</v>
      </c>
      <c r="AH831" s="65" t="n">
        <f aca="false">IF(IFERROR(VLOOKUP(D831,Controls!$A$64:$E$74,5,FALSE()),"No")="Yes",1,0)</f>
        <v>1</v>
      </c>
      <c r="AI831" s="65" t="n">
        <f aca="false">IF(ISNUMBER(MATCH(D831,Controls!$A$64:$A$74,0)),1,0)</f>
        <v>1</v>
      </c>
      <c r="AJ831" s="65" t="n">
        <f aca="false">Q831-N831</f>
        <v>-30136</v>
      </c>
      <c r="AK831" s="65" t="n">
        <f aca="false">IF(AE831=1,MAX(0,N831-Q831),0)</f>
        <v>0</v>
      </c>
      <c r="AL831" s="65" t="n">
        <f aca="false">IF(OR(V831="",V831=0),0,N831/V831)</f>
        <v>0.302053918315921</v>
      </c>
      <c r="AM831" s="65" t="n">
        <f aca="false">IF(OR(V831="",V831=0),0,1)</f>
        <v>1</v>
      </c>
      <c r="AN831" s="65" t="n">
        <f aca="false">IF(OR(E831="",F831=""),0,NETWORKDAYS(E831,F831,Ref!$K$2:$K$42))</f>
        <v>54</v>
      </c>
      <c r="AO831" s="65" t="n">
        <f aca="false">IF(L831="Renewal",1,0)</f>
        <v>1</v>
      </c>
      <c r="AP831" s="65" t="n">
        <f aca="false">AC831*AD831</f>
        <v>0</v>
      </c>
      <c r="AQ831" s="65" t="n">
        <f aca="false">IF(AND(G831&lt;&gt;"",'Historical Score'!$C$6&lt;&gt;""),IF(G831='Historical Score'!$C$6,1,0),0)</f>
        <v>0</v>
      </c>
      <c r="AR831" s="65" t="n">
        <f aca="false">IF(AND(L831&lt;&gt;"",'Historical Score'!$C$5&lt;&gt;""),IF(L831='Historical Score'!$C$5,1,0),0)</f>
        <v>0</v>
      </c>
      <c r="AS831" s="65" t="n">
        <f aca="false">IF(AND(Y831&lt;&gt;"",'Historical Score'!$C$7&lt;&gt;""),IF(Y831='Historical Score'!$C$7,1,0),0)</f>
        <v>0</v>
      </c>
      <c r="AT831" s="65" t="n">
        <f aca="false">IF(AND(K831&lt;&gt;"",'Historical Score'!$C$8&lt;&gt;""),IF(K831='Historical Score'!$C$8,1,0),0)</f>
        <v>0</v>
      </c>
      <c r="AU831" s="65" t="n">
        <f aca="false">IF(AND(J831&lt;&gt;"",'Historical Score'!$C$9&lt;&gt;""),IF(J831='Historical Score'!$C$9,1,0),0)</f>
        <v>0</v>
      </c>
      <c r="AV831" s="65" t="n">
        <f aca="false">AR831*AS831*AQ831</f>
        <v>0</v>
      </c>
      <c r="AW831" s="65" t="n">
        <f aca="false">AR831*AT831*AQ831</f>
        <v>0</v>
      </c>
      <c r="AX831" s="65" t="n">
        <f aca="false">AR831*AS831</f>
        <v>0</v>
      </c>
      <c r="AY831" s="65" t="n">
        <f aca="false">AR831*AT831</f>
        <v>0</v>
      </c>
      <c r="AZ831" s="65" t="n">
        <f aca="false">AR831*AQ831</f>
        <v>0</v>
      </c>
      <c r="BA831" s="65" t="n">
        <f aca="false">AR831</f>
        <v>0</v>
      </c>
      <c r="BB831" s="65" t="n">
        <f aca="false">1</f>
        <v>1</v>
      </c>
      <c r="BC831" s="65" t="n">
        <f aca="false">IF(AV831=1,1,IF(AW831=1,2,IF(AX831=1,3,IF(AY831=1,4,IF(AZ831=1,5,IF(BA831=1,6,7))))))</f>
        <v>7</v>
      </c>
      <c r="BD831" s="65" t="n">
        <f aca="false">IF(AD831=1,CHOOSE('Historical Score'!$C$29,AV831,AW831,AX831,AY831,AZ831,BA831,BB831),0)</f>
        <v>0</v>
      </c>
      <c r="BE831" s="65" t="str">
        <f aca="false">IF(BD831=1,COUNTIF($BD$2:BD831,1),"")</f>
        <v/>
      </c>
    </row>
    <row r="832" customFormat="false" ht="15" hidden="false" customHeight="false" outlineLevel="0" collapsed="false">
      <c r="A832" s="65" t="s">
        <v>2623</v>
      </c>
      <c r="B832" s="65" t="s">
        <v>1553</v>
      </c>
      <c r="C832" s="65" t="s">
        <v>1553</v>
      </c>
      <c r="D832" s="65" t="s">
        <v>371</v>
      </c>
      <c r="E832" s="112" t="n">
        <v>46142</v>
      </c>
      <c r="F832" s="112" t="n">
        <v>46231</v>
      </c>
      <c r="G832" s="65" t="n">
        <v>3</v>
      </c>
      <c r="H832" s="65" t="s">
        <v>748</v>
      </c>
      <c r="I832" s="65" t="s">
        <v>619</v>
      </c>
      <c r="J832" s="65" t="s">
        <v>61</v>
      </c>
      <c r="K832" s="65" t="s">
        <v>538</v>
      </c>
      <c r="L832" s="65" t="s">
        <v>320</v>
      </c>
      <c r="M832" s="113" t="n">
        <v>1.49</v>
      </c>
      <c r="N832" s="114" t="n">
        <v>10000</v>
      </c>
      <c r="O832" s="114" t="n">
        <v>1400</v>
      </c>
      <c r="P832" s="114" t="n">
        <v>14900</v>
      </c>
      <c r="Q832" s="114" t="n">
        <v>14900</v>
      </c>
      <c r="R832" s="114" t="n">
        <v>0</v>
      </c>
      <c r="S832" s="115" t="n">
        <v>1</v>
      </c>
      <c r="T832" s="65" t="n">
        <v>3.279</v>
      </c>
      <c r="U832" s="65" t="n">
        <v>1</v>
      </c>
      <c r="V832" s="65" t="n">
        <v>19491.45</v>
      </c>
      <c r="W832" s="115" t="n">
        <v>0.1622</v>
      </c>
      <c r="X832" s="112" t="n">
        <v>44356</v>
      </c>
      <c r="Y832" s="65" t="str">
        <f aca="false">IF(I832="","No SIC",IFERROR(VLOOKUP(I832,Ref!$A$2:$B$65,2,FALSE()),"Unclassified"))</f>
        <v>Miscellaneous Retail</v>
      </c>
      <c r="Z832" s="65" t="str">
        <f aca="false">IF(T832="","",IF(T832&lt;12,"Daily","Weekly"))</f>
        <v>Daily</v>
      </c>
      <c r="AA832" s="65" t="n">
        <f aca="false">IF(T832="",0,IF(T832&lt;12,T832*Controls!$B$29,T832*5))</f>
        <v>71.006745</v>
      </c>
      <c r="AB832" s="65" t="n">
        <f aca="false">IF(E832="",0,NETWORKDAYS(E832,Controls!$B$36,Ref!$K$2:$K$42))</f>
        <v>82</v>
      </c>
      <c r="AC832" s="65" t="n">
        <f aca="false">IF(AND(AA832&gt;0,AB832&gt;=Controls!$B$39*AA832),1,0)</f>
        <v>0</v>
      </c>
      <c r="AD832" s="65" t="n">
        <f aca="false">IF(AND(E832&lt;&gt;"",E832&gt;=Controls!$B$37,E832&lt;=Controls!$B$38),1,0)</f>
        <v>1</v>
      </c>
      <c r="AE832" s="65" t="n">
        <f aca="false">IF(IFERROR(VLOOKUP(D832,Controls!$A$64:$E$74,2,FALSE()),"No")="Yes",1,0)</f>
        <v>0</v>
      </c>
      <c r="AF832" s="65" t="n">
        <f aca="false">IF(IFERROR(VLOOKUP(D832,Controls!$A$64:$E$74,3,FALSE()),"No")="Yes",1,0)</f>
        <v>1</v>
      </c>
      <c r="AG832" s="65" t="n">
        <f aca="false">IF(IFERROR(VLOOKUP(D832,Controls!$A$64:$E$74,4,FALSE()),"No")="Yes",1,0)</f>
        <v>1</v>
      </c>
      <c r="AH832" s="65" t="n">
        <f aca="false">IF(IFERROR(VLOOKUP(D832,Controls!$A$64:$E$74,5,FALSE()),"No")="Yes",1,0)</f>
        <v>0</v>
      </c>
      <c r="AI832" s="65" t="n">
        <f aca="false">IF(ISNUMBER(MATCH(D832,Controls!$A$64:$A$74,0)),1,0)</f>
        <v>1</v>
      </c>
      <c r="AJ832" s="65" t="n">
        <f aca="false">Q832-N832</f>
        <v>4900</v>
      </c>
      <c r="AK832" s="65" t="n">
        <f aca="false">IF(AE832=1,MAX(0,N832-Q832),0)</f>
        <v>0</v>
      </c>
      <c r="AL832" s="65" t="n">
        <f aca="false">IF(OR(V832="",V832=0),0,N832/V832)</f>
        <v>0.51304546352375</v>
      </c>
      <c r="AM832" s="65" t="n">
        <f aca="false">IF(OR(V832="",V832=0),0,1)</f>
        <v>1</v>
      </c>
      <c r="AN832" s="65" t="n">
        <f aca="false">IF(OR(E832="",F832=""),0,NETWORKDAYS(E832,F832,Ref!$K$2:$K$42))</f>
        <v>62</v>
      </c>
      <c r="AO832" s="65" t="n">
        <f aca="false">IF(L832="Renewal",1,0)</f>
        <v>1</v>
      </c>
      <c r="AP832" s="65" t="n">
        <f aca="false">AC832*AD832</f>
        <v>0</v>
      </c>
      <c r="AQ832" s="65" t="n">
        <f aca="false">IF(AND(G832&lt;&gt;"",'Historical Score'!$C$6&lt;&gt;""),IF(G832='Historical Score'!$C$6,1,0),0)</f>
        <v>0</v>
      </c>
      <c r="AR832" s="65" t="n">
        <f aca="false">IF(AND(L832&lt;&gt;"",'Historical Score'!$C$5&lt;&gt;""),IF(L832='Historical Score'!$C$5,1,0),0)</f>
        <v>0</v>
      </c>
      <c r="AS832" s="65" t="n">
        <f aca="false">IF(AND(Y832&lt;&gt;"",'Historical Score'!$C$7&lt;&gt;""),IF(Y832='Historical Score'!$C$7,1,0),0)</f>
        <v>0</v>
      </c>
      <c r="AT832" s="65" t="n">
        <f aca="false">IF(AND(K832&lt;&gt;"",'Historical Score'!$C$8&lt;&gt;""),IF(K832='Historical Score'!$C$8,1,0),0)</f>
        <v>0</v>
      </c>
      <c r="AU832" s="65" t="n">
        <f aca="false">IF(AND(J832&lt;&gt;"",'Historical Score'!$C$9&lt;&gt;""),IF(J832='Historical Score'!$C$9,1,0),0)</f>
        <v>1</v>
      </c>
      <c r="AV832" s="65" t="n">
        <f aca="false">AR832*AS832*AQ832</f>
        <v>0</v>
      </c>
      <c r="AW832" s="65" t="n">
        <f aca="false">AR832*AT832*AQ832</f>
        <v>0</v>
      </c>
      <c r="AX832" s="65" t="n">
        <f aca="false">AR832*AS832</f>
        <v>0</v>
      </c>
      <c r="AY832" s="65" t="n">
        <f aca="false">AR832*AT832</f>
        <v>0</v>
      </c>
      <c r="AZ832" s="65" t="n">
        <f aca="false">AR832*AQ832</f>
        <v>0</v>
      </c>
      <c r="BA832" s="65" t="n">
        <f aca="false">AR832</f>
        <v>0</v>
      </c>
      <c r="BB832" s="65" t="n">
        <f aca="false">1</f>
        <v>1</v>
      </c>
      <c r="BC832" s="65" t="n">
        <f aca="false">IF(AV832=1,1,IF(AW832=1,2,IF(AX832=1,3,IF(AY832=1,4,IF(AZ832=1,5,IF(BA832=1,6,7))))))</f>
        <v>7</v>
      </c>
      <c r="BD832" s="65" t="n">
        <f aca="false">IF(AD832=1,CHOOSE('Historical Score'!$C$29,AV832,AW832,AX832,AY832,AZ832,BA832,BB832),0)</f>
        <v>0</v>
      </c>
      <c r="BE832" s="65" t="str">
        <f aca="false">IF(BD832=1,COUNTIF($BD$2:BD832,1),"")</f>
        <v/>
      </c>
    </row>
    <row r="833" customFormat="false" ht="15" hidden="false" customHeight="false" outlineLevel="0" collapsed="false">
      <c r="A833" s="65" t="s">
        <v>2624</v>
      </c>
      <c r="B833" s="65" t="s">
        <v>2625</v>
      </c>
      <c r="C833" s="65" t="s">
        <v>2625</v>
      </c>
      <c r="D833" s="65" t="s">
        <v>295</v>
      </c>
      <c r="E833" s="112" t="n">
        <v>46142</v>
      </c>
      <c r="F833" s="112" t="n">
        <v>46253</v>
      </c>
      <c r="G833" s="65" t="n">
        <v>3</v>
      </c>
      <c r="H833" s="65" t="s">
        <v>748</v>
      </c>
      <c r="I833" s="65" t="s">
        <v>619</v>
      </c>
      <c r="J833" s="65" t="s">
        <v>452</v>
      </c>
      <c r="K833" s="65" t="s">
        <v>2594</v>
      </c>
      <c r="L833" s="65" t="s">
        <v>64</v>
      </c>
      <c r="M833" s="113" t="n">
        <v>1.41</v>
      </c>
      <c r="N833" s="114" t="n">
        <v>10000</v>
      </c>
      <c r="O833" s="114" t="n">
        <v>1000</v>
      </c>
      <c r="P833" s="114" t="n">
        <v>14100</v>
      </c>
      <c r="Q833" s="114" t="n">
        <v>8607.1</v>
      </c>
      <c r="R833" s="114" t="n">
        <v>5492.9</v>
      </c>
      <c r="S833" s="115" t="n">
        <v>0.610432624113475</v>
      </c>
      <c r="T833" s="65" t="n">
        <v>3.279</v>
      </c>
      <c r="U833" s="65" t="n">
        <v>17</v>
      </c>
      <c r="V833" s="65" t="n">
        <v>44893.89</v>
      </c>
      <c r="W833" s="115" t="n">
        <v>0.066</v>
      </c>
      <c r="X833" s="112" t="n">
        <v>45748</v>
      </c>
      <c r="Y833" s="65" t="str">
        <f aca="false">IF(I833="","No SIC",IFERROR(VLOOKUP(I833,Ref!$A$2:$B$65,2,FALSE()),"Unclassified"))</f>
        <v>Miscellaneous Retail</v>
      </c>
      <c r="Z833" s="65" t="str">
        <f aca="false">IF(T833="","",IF(T833&lt;12,"Daily","Weekly"))</f>
        <v>Daily</v>
      </c>
      <c r="AA833" s="65" t="n">
        <f aca="false">IF(T833="",0,IF(T833&lt;12,T833*Controls!$B$29,T833*5))</f>
        <v>71.006745</v>
      </c>
      <c r="AB833" s="65" t="n">
        <f aca="false">IF(E833="",0,NETWORKDAYS(E833,Controls!$B$36,Ref!$K$2:$K$42))</f>
        <v>82</v>
      </c>
      <c r="AC833" s="65" t="n">
        <f aca="false">IF(AND(AA833&gt;0,AB833&gt;=Controls!$B$39*AA833),1,0)</f>
        <v>0</v>
      </c>
      <c r="AD833" s="65" t="n">
        <f aca="false">IF(AND(E833&lt;&gt;"",E833&gt;=Controls!$B$37,E833&lt;=Controls!$B$38),1,0)</f>
        <v>1</v>
      </c>
      <c r="AE833" s="65" t="n">
        <f aca="false">IF(IFERROR(VLOOKUP(D833,Controls!$A$64:$E$74,2,FALSE()),"No")="Yes",1,0)</f>
        <v>0</v>
      </c>
      <c r="AF833" s="65" t="n">
        <f aca="false">IF(IFERROR(VLOOKUP(D833,Controls!$A$64:$E$74,3,FALSE()),"No")="Yes",1,0)</f>
        <v>0</v>
      </c>
      <c r="AG833" s="65" t="n">
        <f aca="false">IF(IFERROR(VLOOKUP(D833,Controls!$A$64:$E$74,4,FALSE()),"No")="Yes",1,0)</f>
        <v>0</v>
      </c>
      <c r="AH833" s="65" t="n">
        <f aca="false">IF(IFERROR(VLOOKUP(D833,Controls!$A$64:$E$74,5,FALSE()),"No")="Yes",1,0)</f>
        <v>1</v>
      </c>
      <c r="AI833" s="65" t="n">
        <f aca="false">IF(ISNUMBER(MATCH(D833,Controls!$A$64:$A$74,0)),1,0)</f>
        <v>1</v>
      </c>
      <c r="AJ833" s="65" t="n">
        <f aca="false">Q833-N833</f>
        <v>-1392.9</v>
      </c>
      <c r="AK833" s="65" t="n">
        <f aca="false">IF(AE833=1,MAX(0,N833-Q833),0)</f>
        <v>0</v>
      </c>
      <c r="AL833" s="65" t="n">
        <f aca="false">IF(OR(V833="",V833=0),0,N833/V833)</f>
        <v>0.222747460734635</v>
      </c>
      <c r="AM833" s="65" t="n">
        <f aca="false">IF(OR(V833="",V833=0),0,1)</f>
        <v>1</v>
      </c>
      <c r="AN833" s="65" t="n">
        <f aca="false">IF(OR(E833="",F833=""),0,NETWORKDAYS(E833,F833,Ref!$K$2:$K$42))</f>
        <v>78</v>
      </c>
      <c r="AO833" s="65" t="n">
        <f aca="false">IF(L833="Renewal",1,0)</f>
        <v>0</v>
      </c>
      <c r="AP833" s="65" t="n">
        <f aca="false">AC833*AD833</f>
        <v>0</v>
      </c>
      <c r="AQ833" s="65" t="n">
        <f aca="false">IF(AND(G833&lt;&gt;"",'Historical Score'!$C$6&lt;&gt;""),IF(G833='Historical Score'!$C$6,1,0),0)</f>
        <v>0</v>
      </c>
      <c r="AR833" s="65" t="n">
        <f aca="false">IF(AND(L833&lt;&gt;"",'Historical Score'!$C$5&lt;&gt;""),IF(L833='Historical Score'!$C$5,1,0),0)</f>
        <v>1</v>
      </c>
      <c r="AS833" s="65" t="n">
        <f aca="false">IF(AND(Y833&lt;&gt;"",'Historical Score'!$C$7&lt;&gt;""),IF(Y833='Historical Score'!$C$7,1,0),0)</f>
        <v>0</v>
      </c>
      <c r="AT833" s="65" t="n">
        <f aca="false">IF(AND(K833&lt;&gt;"",'Historical Score'!$C$8&lt;&gt;""),IF(K833='Historical Score'!$C$8,1,0),0)</f>
        <v>0</v>
      </c>
      <c r="AU833" s="65" t="n">
        <f aca="false">IF(AND(J833&lt;&gt;"",'Historical Score'!$C$9&lt;&gt;""),IF(J833='Historical Score'!$C$9,1,0),0)</f>
        <v>0</v>
      </c>
      <c r="AV833" s="65" t="n">
        <f aca="false">AR833*AS833*AQ833</f>
        <v>0</v>
      </c>
      <c r="AW833" s="65" t="n">
        <f aca="false">AR833*AT833*AQ833</f>
        <v>0</v>
      </c>
      <c r="AX833" s="65" t="n">
        <f aca="false">AR833*AS833</f>
        <v>0</v>
      </c>
      <c r="AY833" s="65" t="n">
        <f aca="false">AR833*AT833</f>
        <v>0</v>
      </c>
      <c r="AZ833" s="65" t="n">
        <f aca="false">AR833*AQ833</f>
        <v>0</v>
      </c>
      <c r="BA833" s="65" t="n">
        <f aca="false">AR833</f>
        <v>1</v>
      </c>
      <c r="BB833" s="65" t="n">
        <f aca="false">1</f>
        <v>1</v>
      </c>
      <c r="BC833" s="65" t="n">
        <f aca="false">IF(AV833=1,1,IF(AW833=1,2,IF(AX833=1,3,IF(AY833=1,4,IF(AZ833=1,5,IF(BA833=1,6,7))))))</f>
        <v>6</v>
      </c>
      <c r="BD833" s="65" t="n">
        <f aca="false">IF(AD833=1,CHOOSE('Historical Score'!$C$29,AV833,AW833,AX833,AY833,AZ833,BA833,BB833),0)</f>
        <v>0</v>
      </c>
      <c r="BE833" s="65" t="str">
        <f aca="false">IF(BD833=1,COUNTIF($BD$2:BD833,1),"")</f>
        <v/>
      </c>
    </row>
    <row r="834" customFormat="false" ht="15" hidden="false" customHeight="false" outlineLevel="0" collapsed="false">
      <c r="A834" s="65" t="s">
        <v>2626</v>
      </c>
      <c r="B834" s="65" t="s">
        <v>2627</v>
      </c>
      <c r="C834" s="65" t="s">
        <v>2627</v>
      </c>
      <c r="D834" s="65" t="s">
        <v>371</v>
      </c>
      <c r="E834" s="112" t="n">
        <v>46142</v>
      </c>
      <c r="F834" s="112" t="n">
        <v>46244</v>
      </c>
      <c r="G834" s="65" t="n">
        <v>3</v>
      </c>
      <c r="H834" s="65" t="s">
        <v>355</v>
      </c>
      <c r="I834" s="65" t="s">
        <v>356</v>
      </c>
      <c r="J834" s="65" t="s">
        <v>732</v>
      </c>
      <c r="K834" s="65" t="s">
        <v>983</v>
      </c>
      <c r="L834" s="65" t="s">
        <v>64</v>
      </c>
      <c r="M834" s="113" t="n">
        <v>1.49</v>
      </c>
      <c r="N834" s="114" t="n">
        <v>25000</v>
      </c>
      <c r="O834" s="114" t="n">
        <v>3500</v>
      </c>
      <c r="P834" s="114" t="n">
        <v>37250</v>
      </c>
      <c r="Q834" s="114" t="n">
        <v>37250</v>
      </c>
      <c r="R834" s="114" t="n">
        <v>0</v>
      </c>
      <c r="S834" s="115" t="n">
        <v>1</v>
      </c>
      <c r="T834" s="65" t="n">
        <v>22</v>
      </c>
      <c r="U834" s="65" t="n">
        <v>0</v>
      </c>
      <c r="V834" s="65" t="n">
        <v>109364.95</v>
      </c>
      <c r="W834" s="115" t="n">
        <v>0.0619</v>
      </c>
      <c r="X834" s="112" t="n">
        <v>42282</v>
      </c>
      <c r="Y834" s="65" t="str">
        <f aca="false">IF(I834="","No SIC",IFERROR(VLOOKUP(I834,Ref!$A$2:$B$65,2,FALSE()),"Unclassified"))</f>
        <v>Trucking &amp; Warehousing</v>
      </c>
      <c r="Z834" s="65" t="str">
        <f aca="false">IF(T834="","",IF(T834&lt;12,"Daily","Weekly"))</f>
        <v>Weekly</v>
      </c>
      <c r="AA834" s="65" t="n">
        <f aca="false">IF(T834="",0,IF(T834&lt;12,T834*Controls!$B$29,T834*5))</f>
        <v>110</v>
      </c>
      <c r="AB834" s="65" t="n">
        <f aca="false">IF(E834="",0,NETWORKDAYS(E834,Controls!$B$36,Ref!$K$2:$K$42))</f>
        <v>82</v>
      </c>
      <c r="AC834" s="65" t="n">
        <f aca="false">IF(AND(AA834&gt;0,AB834&gt;=Controls!$B$39*AA834),1,0)</f>
        <v>0</v>
      </c>
      <c r="AD834" s="65" t="n">
        <f aca="false">IF(AND(E834&lt;&gt;"",E834&gt;=Controls!$B$37,E834&lt;=Controls!$B$38),1,0)</f>
        <v>1</v>
      </c>
      <c r="AE834" s="65" t="n">
        <f aca="false">IF(IFERROR(VLOOKUP(D834,Controls!$A$64:$E$74,2,FALSE()),"No")="Yes",1,0)</f>
        <v>0</v>
      </c>
      <c r="AF834" s="65" t="n">
        <f aca="false">IF(IFERROR(VLOOKUP(D834,Controls!$A$64:$E$74,3,FALSE()),"No")="Yes",1,0)</f>
        <v>1</v>
      </c>
      <c r="AG834" s="65" t="n">
        <f aca="false">IF(IFERROR(VLOOKUP(D834,Controls!$A$64:$E$74,4,FALSE()),"No")="Yes",1,0)</f>
        <v>1</v>
      </c>
      <c r="AH834" s="65" t="n">
        <f aca="false">IF(IFERROR(VLOOKUP(D834,Controls!$A$64:$E$74,5,FALSE()),"No")="Yes",1,0)</f>
        <v>0</v>
      </c>
      <c r="AI834" s="65" t="n">
        <f aca="false">IF(ISNUMBER(MATCH(D834,Controls!$A$64:$A$74,0)),1,0)</f>
        <v>1</v>
      </c>
      <c r="AJ834" s="65" t="n">
        <f aca="false">Q834-N834</f>
        <v>12250</v>
      </c>
      <c r="AK834" s="65" t="n">
        <f aca="false">IF(AE834=1,MAX(0,N834-Q834),0)</f>
        <v>0</v>
      </c>
      <c r="AL834" s="65" t="n">
        <f aca="false">IF(OR(V834="",V834=0),0,N834/V834)</f>
        <v>0.228592432950411</v>
      </c>
      <c r="AM834" s="65" t="n">
        <f aca="false">IF(OR(V834="",V834=0),0,1)</f>
        <v>1</v>
      </c>
      <c r="AN834" s="65" t="n">
        <f aca="false">IF(OR(E834="",F834=""),0,NETWORKDAYS(E834,F834,Ref!$K$2:$K$42))</f>
        <v>71</v>
      </c>
      <c r="AO834" s="65" t="n">
        <f aca="false">IF(L834="Renewal",1,0)</f>
        <v>0</v>
      </c>
      <c r="AP834" s="65" t="n">
        <f aca="false">AC834*AD834</f>
        <v>0</v>
      </c>
      <c r="AQ834" s="65" t="n">
        <f aca="false">IF(AND(G834&lt;&gt;"",'Historical Score'!$C$6&lt;&gt;""),IF(G834='Historical Score'!$C$6,1,0),0)</f>
        <v>0</v>
      </c>
      <c r="AR834" s="65" t="n">
        <f aca="false">IF(AND(L834&lt;&gt;"",'Historical Score'!$C$5&lt;&gt;""),IF(L834='Historical Score'!$C$5,1,0),0)</f>
        <v>1</v>
      </c>
      <c r="AS834" s="65" t="n">
        <f aca="false">IF(AND(Y834&lt;&gt;"",'Historical Score'!$C$7&lt;&gt;""),IF(Y834='Historical Score'!$C$7,1,0),0)</f>
        <v>0</v>
      </c>
      <c r="AT834" s="65" t="n">
        <f aca="false">IF(AND(K834&lt;&gt;"",'Historical Score'!$C$8&lt;&gt;""),IF(K834='Historical Score'!$C$8,1,0),0)</f>
        <v>0</v>
      </c>
      <c r="AU834" s="65" t="n">
        <f aca="false">IF(AND(J834&lt;&gt;"",'Historical Score'!$C$9&lt;&gt;""),IF(J834='Historical Score'!$C$9,1,0),0)</f>
        <v>0</v>
      </c>
      <c r="AV834" s="65" t="n">
        <f aca="false">AR834*AS834*AQ834</f>
        <v>0</v>
      </c>
      <c r="AW834" s="65" t="n">
        <f aca="false">AR834*AT834*AQ834</f>
        <v>0</v>
      </c>
      <c r="AX834" s="65" t="n">
        <f aca="false">AR834*AS834</f>
        <v>0</v>
      </c>
      <c r="AY834" s="65" t="n">
        <f aca="false">AR834*AT834</f>
        <v>0</v>
      </c>
      <c r="AZ834" s="65" t="n">
        <f aca="false">AR834*AQ834</f>
        <v>0</v>
      </c>
      <c r="BA834" s="65" t="n">
        <f aca="false">AR834</f>
        <v>1</v>
      </c>
      <c r="BB834" s="65" t="n">
        <f aca="false">1</f>
        <v>1</v>
      </c>
      <c r="BC834" s="65" t="n">
        <f aca="false">IF(AV834=1,1,IF(AW834=1,2,IF(AX834=1,3,IF(AY834=1,4,IF(AZ834=1,5,IF(BA834=1,6,7))))))</f>
        <v>6</v>
      </c>
      <c r="BD834" s="65" t="n">
        <f aca="false">IF(AD834=1,CHOOSE('Historical Score'!$C$29,AV834,AW834,AX834,AY834,AZ834,BA834,BB834),0)</f>
        <v>0</v>
      </c>
      <c r="BE834" s="65" t="str">
        <f aca="false">IF(BD834=1,COUNTIF($BD$2:BD834,1),"")</f>
        <v/>
      </c>
    </row>
    <row r="835" customFormat="false" ht="15" hidden="false" customHeight="false" outlineLevel="0" collapsed="false">
      <c r="A835" s="65" t="s">
        <v>2628</v>
      </c>
      <c r="B835" s="65" t="s">
        <v>2629</v>
      </c>
      <c r="C835" s="65" t="s">
        <v>2629</v>
      </c>
      <c r="D835" s="65" t="s">
        <v>295</v>
      </c>
      <c r="E835" s="112" t="n">
        <v>46142</v>
      </c>
      <c r="F835" s="112" t="n">
        <v>46253</v>
      </c>
      <c r="G835" s="65" t="n">
        <v>3</v>
      </c>
      <c r="H835" s="65" t="s">
        <v>479</v>
      </c>
      <c r="I835" s="65" t="s">
        <v>356</v>
      </c>
      <c r="J835" s="65" t="s">
        <v>373</v>
      </c>
      <c r="K835" s="65" t="s">
        <v>55</v>
      </c>
      <c r="L835" s="65" t="s">
        <v>64</v>
      </c>
      <c r="M835" s="113" t="n">
        <v>1.49</v>
      </c>
      <c r="N835" s="114" t="n">
        <v>5000</v>
      </c>
      <c r="O835" s="114" t="n">
        <v>700</v>
      </c>
      <c r="P835" s="114" t="n">
        <v>7450</v>
      </c>
      <c r="Q835" s="114" t="n">
        <v>6395.53</v>
      </c>
      <c r="R835" s="114" t="n">
        <v>1054.47</v>
      </c>
      <c r="S835" s="115" t="n">
        <v>0.858460402684564</v>
      </c>
      <c r="T835" s="65" t="n">
        <v>2.787</v>
      </c>
      <c r="U835" s="65" t="n">
        <v>5</v>
      </c>
      <c r="V835" s="65" t="n">
        <v>17340.83</v>
      </c>
      <c r="W835" s="115" t="n">
        <v>0.1061</v>
      </c>
      <c r="X835" s="112" t="n">
        <v>43832</v>
      </c>
      <c r="Y835" s="65" t="str">
        <f aca="false">IF(I835="","No SIC",IFERROR(VLOOKUP(I835,Ref!$A$2:$B$65,2,FALSE()),"Unclassified"))</f>
        <v>Trucking &amp; Warehousing</v>
      </c>
      <c r="Z835" s="65" t="str">
        <f aca="false">IF(T835="","",IF(T835&lt;12,"Daily","Weekly"))</f>
        <v>Daily</v>
      </c>
      <c r="AA835" s="65" t="n">
        <f aca="false">IF(T835="",0,IF(T835&lt;12,T835*Controls!$B$29,T835*5))</f>
        <v>60.352485</v>
      </c>
      <c r="AB835" s="65" t="n">
        <f aca="false">IF(E835="",0,NETWORKDAYS(E835,Controls!$B$36,Ref!$K$2:$K$42))</f>
        <v>82</v>
      </c>
      <c r="AC835" s="65" t="n">
        <f aca="false">IF(AND(AA835&gt;0,AB835&gt;=Controls!$B$39*AA835),1,0)</f>
        <v>1</v>
      </c>
      <c r="AD835" s="65" t="n">
        <f aca="false">IF(AND(E835&lt;&gt;"",E835&gt;=Controls!$B$37,E835&lt;=Controls!$B$38),1,0)</f>
        <v>1</v>
      </c>
      <c r="AE835" s="65" t="n">
        <f aca="false">IF(IFERROR(VLOOKUP(D835,Controls!$A$64:$E$74,2,FALSE()),"No")="Yes",1,0)</f>
        <v>0</v>
      </c>
      <c r="AF835" s="65" t="n">
        <f aca="false">IF(IFERROR(VLOOKUP(D835,Controls!$A$64:$E$74,3,FALSE()),"No")="Yes",1,0)</f>
        <v>0</v>
      </c>
      <c r="AG835" s="65" t="n">
        <f aca="false">IF(IFERROR(VLOOKUP(D835,Controls!$A$64:$E$74,4,FALSE()),"No")="Yes",1,0)</f>
        <v>0</v>
      </c>
      <c r="AH835" s="65" t="n">
        <f aca="false">IF(IFERROR(VLOOKUP(D835,Controls!$A$64:$E$74,5,FALSE()),"No")="Yes",1,0)</f>
        <v>1</v>
      </c>
      <c r="AI835" s="65" t="n">
        <f aca="false">IF(ISNUMBER(MATCH(D835,Controls!$A$64:$A$74,0)),1,0)</f>
        <v>1</v>
      </c>
      <c r="AJ835" s="65" t="n">
        <f aca="false">Q835-N835</f>
        <v>1395.53</v>
      </c>
      <c r="AK835" s="65" t="n">
        <f aca="false">IF(AE835=1,MAX(0,N835-Q835),0)</f>
        <v>0</v>
      </c>
      <c r="AL835" s="65" t="n">
        <f aca="false">IF(OR(V835="",V835=0),0,N835/V835)</f>
        <v>0.288336832781361</v>
      </c>
      <c r="AM835" s="65" t="n">
        <f aca="false">IF(OR(V835="",V835=0),0,1)</f>
        <v>1</v>
      </c>
      <c r="AN835" s="65" t="n">
        <f aca="false">IF(OR(E835="",F835=""),0,NETWORKDAYS(E835,F835,Ref!$K$2:$K$42))</f>
        <v>78</v>
      </c>
      <c r="AO835" s="65" t="n">
        <f aca="false">IF(L835="Renewal",1,0)</f>
        <v>0</v>
      </c>
      <c r="AP835" s="65" t="n">
        <f aca="false">AC835*AD835</f>
        <v>1</v>
      </c>
      <c r="AQ835" s="65" t="n">
        <f aca="false">IF(AND(G835&lt;&gt;"",'Historical Score'!$C$6&lt;&gt;""),IF(G835='Historical Score'!$C$6,1,0),0)</f>
        <v>0</v>
      </c>
      <c r="AR835" s="65" t="n">
        <f aca="false">IF(AND(L835&lt;&gt;"",'Historical Score'!$C$5&lt;&gt;""),IF(L835='Historical Score'!$C$5,1,0),0)</f>
        <v>1</v>
      </c>
      <c r="AS835" s="65" t="n">
        <f aca="false">IF(AND(Y835&lt;&gt;"",'Historical Score'!$C$7&lt;&gt;""),IF(Y835='Historical Score'!$C$7,1,0),0)</f>
        <v>0</v>
      </c>
      <c r="AT835" s="65" t="n">
        <f aca="false">IF(AND(K835&lt;&gt;"",'Historical Score'!$C$8&lt;&gt;""),IF(K835='Historical Score'!$C$8,1,0),0)</f>
        <v>1</v>
      </c>
      <c r="AU835" s="65" t="n">
        <f aca="false">IF(AND(J835&lt;&gt;"",'Historical Score'!$C$9&lt;&gt;""),IF(J835='Historical Score'!$C$9,1,0),0)</f>
        <v>0</v>
      </c>
      <c r="AV835" s="65" t="n">
        <f aca="false">AR835*AS835*AQ835</f>
        <v>0</v>
      </c>
      <c r="AW835" s="65" t="n">
        <f aca="false">AR835*AT835*AQ835</f>
        <v>0</v>
      </c>
      <c r="AX835" s="65" t="n">
        <f aca="false">AR835*AS835</f>
        <v>0</v>
      </c>
      <c r="AY835" s="65" t="n">
        <f aca="false">AR835*AT835</f>
        <v>1</v>
      </c>
      <c r="AZ835" s="65" t="n">
        <f aca="false">AR835*AQ835</f>
        <v>0</v>
      </c>
      <c r="BA835" s="65" t="n">
        <f aca="false">AR835</f>
        <v>1</v>
      </c>
      <c r="BB835" s="65" t="n">
        <f aca="false">1</f>
        <v>1</v>
      </c>
      <c r="BC835" s="65" t="n">
        <f aca="false">IF(AV835=1,1,IF(AW835=1,2,IF(AX835=1,3,IF(AY835=1,4,IF(AZ835=1,5,IF(BA835=1,6,7))))))</f>
        <v>4</v>
      </c>
      <c r="BD835" s="65" t="n">
        <f aca="false">IF(AD835=1,CHOOSE('Historical Score'!$C$29,AV835,AW835,AX835,AY835,AZ835,BA835,BB835),0)</f>
        <v>0</v>
      </c>
      <c r="BE835" s="65" t="str">
        <f aca="false">IF(BD835=1,COUNTIF($BD$2:BD835,1),"")</f>
        <v/>
      </c>
    </row>
    <row r="836" customFormat="false" ht="15" hidden="false" customHeight="false" outlineLevel="0" collapsed="false">
      <c r="A836" s="65" t="s">
        <v>2630</v>
      </c>
      <c r="B836" s="65" t="s">
        <v>2230</v>
      </c>
      <c r="C836" s="65" t="s">
        <v>2231</v>
      </c>
      <c r="D836" s="65" t="s">
        <v>295</v>
      </c>
      <c r="E836" s="112" t="n">
        <v>46142</v>
      </c>
      <c r="F836" s="112" t="n">
        <v>46248</v>
      </c>
      <c r="G836" s="65" t="n">
        <v>3</v>
      </c>
      <c r="H836" s="65" t="s">
        <v>500</v>
      </c>
      <c r="I836" s="65" t="s">
        <v>475</v>
      </c>
      <c r="J836" s="65" t="s">
        <v>510</v>
      </c>
      <c r="K836" s="65" t="s">
        <v>55</v>
      </c>
      <c r="L836" s="65" t="s">
        <v>320</v>
      </c>
      <c r="M836" s="113" t="n">
        <v>1.49</v>
      </c>
      <c r="N836" s="114" t="n">
        <v>20000</v>
      </c>
      <c r="O836" s="114" t="n">
        <v>2800</v>
      </c>
      <c r="P836" s="114" t="n">
        <v>29800</v>
      </c>
      <c r="Q836" s="114" t="n">
        <v>13414.32</v>
      </c>
      <c r="R836" s="114" t="n">
        <v>16385.68</v>
      </c>
      <c r="S836" s="115" t="n">
        <v>0.450144966442953</v>
      </c>
      <c r="T836" s="65" t="n">
        <v>20</v>
      </c>
      <c r="U836" s="65" t="n">
        <v>4</v>
      </c>
      <c r="V836" s="65" t="n">
        <v>67518.91</v>
      </c>
      <c r="W836" s="115" t="n">
        <v>0.0883</v>
      </c>
      <c r="X836" s="112" t="n">
        <v>45247</v>
      </c>
      <c r="Y836" s="65" t="str">
        <f aca="false">IF(I836="","No SIC",IFERROR(VLOOKUP(I836,Ref!$A$2:$B$65,2,FALSE()),"Unclassified"))</f>
        <v>Auto Repair &amp; Services</v>
      </c>
      <c r="Z836" s="65" t="str">
        <f aca="false">IF(T836="","",IF(T836&lt;12,"Daily","Weekly"))</f>
        <v>Weekly</v>
      </c>
      <c r="AA836" s="65" t="n">
        <f aca="false">IF(T836="",0,IF(T836&lt;12,T836*Controls!$B$29,T836*5))</f>
        <v>100</v>
      </c>
      <c r="AB836" s="65" t="n">
        <f aca="false">IF(E836="",0,NETWORKDAYS(E836,Controls!$B$36,Ref!$K$2:$K$42))</f>
        <v>82</v>
      </c>
      <c r="AC836" s="65" t="n">
        <f aca="false">IF(AND(AA836&gt;0,AB836&gt;=Controls!$B$39*AA836),1,0)</f>
        <v>0</v>
      </c>
      <c r="AD836" s="65" t="n">
        <f aca="false">IF(AND(E836&lt;&gt;"",E836&gt;=Controls!$B$37,E836&lt;=Controls!$B$38),1,0)</f>
        <v>1</v>
      </c>
      <c r="AE836" s="65" t="n">
        <f aca="false">IF(IFERROR(VLOOKUP(D836,Controls!$A$64:$E$74,2,FALSE()),"No")="Yes",1,0)</f>
        <v>0</v>
      </c>
      <c r="AF836" s="65" t="n">
        <f aca="false">IF(IFERROR(VLOOKUP(D836,Controls!$A$64:$E$74,3,FALSE()),"No")="Yes",1,0)</f>
        <v>0</v>
      </c>
      <c r="AG836" s="65" t="n">
        <f aca="false">IF(IFERROR(VLOOKUP(D836,Controls!$A$64:$E$74,4,FALSE()),"No")="Yes",1,0)</f>
        <v>0</v>
      </c>
      <c r="AH836" s="65" t="n">
        <f aca="false">IF(IFERROR(VLOOKUP(D836,Controls!$A$64:$E$74,5,FALSE()),"No")="Yes",1,0)</f>
        <v>1</v>
      </c>
      <c r="AI836" s="65" t="n">
        <f aca="false">IF(ISNUMBER(MATCH(D836,Controls!$A$64:$A$74,0)),1,0)</f>
        <v>1</v>
      </c>
      <c r="AJ836" s="65" t="n">
        <f aca="false">Q836-N836</f>
        <v>-6585.68</v>
      </c>
      <c r="AK836" s="65" t="n">
        <f aca="false">IF(AE836=1,MAX(0,N836-Q836),0)</f>
        <v>0</v>
      </c>
      <c r="AL836" s="65" t="n">
        <f aca="false">IF(OR(V836="",V836=0),0,N836/V836)</f>
        <v>0.296213312685291</v>
      </c>
      <c r="AM836" s="65" t="n">
        <f aca="false">IF(OR(V836="",V836=0),0,1)</f>
        <v>1</v>
      </c>
      <c r="AN836" s="65" t="n">
        <f aca="false">IF(OR(E836="",F836=""),0,NETWORKDAYS(E836,F836,Ref!$K$2:$K$42))</f>
        <v>75</v>
      </c>
      <c r="AO836" s="65" t="n">
        <f aca="false">IF(L836="Renewal",1,0)</f>
        <v>1</v>
      </c>
      <c r="AP836" s="65" t="n">
        <f aca="false">AC836*AD836</f>
        <v>0</v>
      </c>
      <c r="AQ836" s="65" t="n">
        <f aca="false">IF(AND(G836&lt;&gt;"",'Historical Score'!$C$6&lt;&gt;""),IF(G836='Historical Score'!$C$6,1,0),0)</f>
        <v>0</v>
      </c>
      <c r="AR836" s="65" t="n">
        <f aca="false">IF(AND(L836&lt;&gt;"",'Historical Score'!$C$5&lt;&gt;""),IF(L836='Historical Score'!$C$5,1,0),0)</f>
        <v>0</v>
      </c>
      <c r="AS836" s="65" t="n">
        <f aca="false">IF(AND(Y836&lt;&gt;"",'Historical Score'!$C$7&lt;&gt;""),IF(Y836='Historical Score'!$C$7,1,0),0)</f>
        <v>0</v>
      </c>
      <c r="AT836" s="65" t="n">
        <f aca="false">IF(AND(K836&lt;&gt;"",'Historical Score'!$C$8&lt;&gt;""),IF(K836='Historical Score'!$C$8,1,0),0)</f>
        <v>1</v>
      </c>
      <c r="AU836" s="65" t="n">
        <f aca="false">IF(AND(J836&lt;&gt;"",'Historical Score'!$C$9&lt;&gt;""),IF(J836='Historical Score'!$C$9,1,0),0)</f>
        <v>0</v>
      </c>
      <c r="AV836" s="65" t="n">
        <f aca="false">AR836*AS836*AQ836</f>
        <v>0</v>
      </c>
      <c r="AW836" s="65" t="n">
        <f aca="false">AR836*AT836*AQ836</f>
        <v>0</v>
      </c>
      <c r="AX836" s="65" t="n">
        <f aca="false">AR836*AS836</f>
        <v>0</v>
      </c>
      <c r="AY836" s="65" t="n">
        <f aca="false">AR836*AT836</f>
        <v>0</v>
      </c>
      <c r="AZ836" s="65" t="n">
        <f aca="false">AR836*AQ836</f>
        <v>0</v>
      </c>
      <c r="BA836" s="65" t="n">
        <f aca="false">AR836</f>
        <v>0</v>
      </c>
      <c r="BB836" s="65" t="n">
        <f aca="false">1</f>
        <v>1</v>
      </c>
      <c r="BC836" s="65" t="n">
        <f aca="false">IF(AV836=1,1,IF(AW836=1,2,IF(AX836=1,3,IF(AY836=1,4,IF(AZ836=1,5,IF(BA836=1,6,7))))))</f>
        <v>7</v>
      </c>
      <c r="BD836" s="65" t="n">
        <f aca="false">IF(AD836=1,CHOOSE('Historical Score'!$C$29,AV836,AW836,AX836,AY836,AZ836,BA836,BB836),0)</f>
        <v>0</v>
      </c>
      <c r="BE836" s="65" t="str">
        <f aca="false">IF(BD836=1,COUNTIF($BD$2:BD836,1),"")</f>
        <v/>
      </c>
    </row>
    <row r="837" customFormat="false" ht="15" hidden="false" customHeight="false" outlineLevel="0" collapsed="false">
      <c r="A837" s="65" t="s">
        <v>2631</v>
      </c>
      <c r="B837" s="65" t="s">
        <v>1796</v>
      </c>
      <c r="C837" s="65" t="s">
        <v>1797</v>
      </c>
      <c r="D837" s="65" t="s">
        <v>295</v>
      </c>
      <c r="E837" s="112" t="n">
        <v>46143</v>
      </c>
      <c r="F837" s="112" t="n">
        <v>46248</v>
      </c>
      <c r="G837" s="65" t="n">
        <v>3</v>
      </c>
      <c r="H837" s="65" t="s">
        <v>1055</v>
      </c>
      <c r="I837" s="65" t="s">
        <v>643</v>
      </c>
      <c r="J837" s="65" t="s">
        <v>373</v>
      </c>
      <c r="K837" s="65" t="s">
        <v>1085</v>
      </c>
      <c r="L837" s="65" t="s">
        <v>320</v>
      </c>
      <c r="M837" s="113" t="n">
        <v>1.49</v>
      </c>
      <c r="N837" s="114" t="n">
        <v>30000</v>
      </c>
      <c r="O837" s="114" t="n">
        <v>4200</v>
      </c>
      <c r="P837" s="114" t="n">
        <v>44700</v>
      </c>
      <c r="Q837" s="114" t="n">
        <v>27916.65</v>
      </c>
      <c r="R837" s="114" t="n">
        <v>16783.35</v>
      </c>
      <c r="S837" s="115" t="n">
        <v>0.62453355704698</v>
      </c>
      <c r="T837" s="65" t="n">
        <v>24</v>
      </c>
      <c r="U837" s="65" t="n">
        <v>0</v>
      </c>
      <c r="V837" s="65" t="n">
        <v>159454.73</v>
      </c>
      <c r="W837" s="115" t="n">
        <v>0.0403</v>
      </c>
      <c r="X837" s="112" t="n">
        <v>36526</v>
      </c>
      <c r="Y837" s="65" t="str">
        <f aca="false">IF(I837="","No SIC",IFERROR(VLOOKUP(I837,Ref!$A$2:$B$65,2,FALSE()),"Unclassified"))</f>
        <v>Agricultural Services</v>
      </c>
      <c r="Z837" s="65" t="str">
        <f aca="false">IF(T837="","",IF(T837&lt;12,"Daily","Weekly"))</f>
        <v>Weekly</v>
      </c>
      <c r="AA837" s="65" t="n">
        <f aca="false">IF(T837="",0,IF(T837&lt;12,T837*Controls!$B$29,T837*5))</f>
        <v>120</v>
      </c>
      <c r="AB837" s="65" t="n">
        <f aca="false">IF(E837="",0,NETWORKDAYS(E837,Controls!$B$36,Ref!$K$2:$K$42))</f>
        <v>81</v>
      </c>
      <c r="AC837" s="65" t="n">
        <f aca="false">IF(AND(AA837&gt;0,AB837&gt;=Controls!$B$39*AA837),1,0)</f>
        <v>0</v>
      </c>
      <c r="AD837" s="65" t="n">
        <f aca="false">IF(AND(E837&lt;&gt;"",E837&gt;=Controls!$B$37,E837&lt;=Controls!$B$38),1,0)</f>
        <v>1</v>
      </c>
      <c r="AE837" s="65" t="n">
        <f aca="false">IF(IFERROR(VLOOKUP(D837,Controls!$A$64:$E$74,2,FALSE()),"No")="Yes",1,0)</f>
        <v>0</v>
      </c>
      <c r="AF837" s="65" t="n">
        <f aca="false">IF(IFERROR(VLOOKUP(D837,Controls!$A$64:$E$74,3,FALSE()),"No")="Yes",1,0)</f>
        <v>0</v>
      </c>
      <c r="AG837" s="65" t="n">
        <f aca="false">IF(IFERROR(VLOOKUP(D837,Controls!$A$64:$E$74,4,FALSE()),"No")="Yes",1,0)</f>
        <v>0</v>
      </c>
      <c r="AH837" s="65" t="n">
        <f aca="false">IF(IFERROR(VLOOKUP(D837,Controls!$A$64:$E$74,5,FALSE()),"No")="Yes",1,0)</f>
        <v>1</v>
      </c>
      <c r="AI837" s="65" t="n">
        <f aca="false">IF(ISNUMBER(MATCH(D837,Controls!$A$64:$A$74,0)),1,0)</f>
        <v>1</v>
      </c>
      <c r="AJ837" s="65" t="n">
        <f aca="false">Q837-N837</f>
        <v>-2083.35</v>
      </c>
      <c r="AK837" s="65" t="n">
        <f aca="false">IF(AE837=1,MAX(0,N837-Q837),0)</f>
        <v>0</v>
      </c>
      <c r="AL837" s="65" t="n">
        <f aca="false">IF(OR(V837="",V837=0),0,N837/V837)</f>
        <v>0.188141173359987</v>
      </c>
      <c r="AM837" s="65" t="n">
        <f aca="false">IF(OR(V837="",V837=0),0,1)</f>
        <v>1</v>
      </c>
      <c r="AN837" s="65" t="n">
        <f aca="false">IF(OR(E837="",F837=""),0,NETWORKDAYS(E837,F837,Ref!$K$2:$K$42))</f>
        <v>74</v>
      </c>
      <c r="AO837" s="65" t="n">
        <f aca="false">IF(L837="Renewal",1,0)</f>
        <v>1</v>
      </c>
      <c r="AP837" s="65" t="n">
        <f aca="false">AC837*AD837</f>
        <v>0</v>
      </c>
      <c r="AQ837" s="65" t="n">
        <f aca="false">IF(AND(G837&lt;&gt;"",'Historical Score'!$C$6&lt;&gt;""),IF(G837='Historical Score'!$C$6,1,0),0)</f>
        <v>0</v>
      </c>
      <c r="AR837" s="65" t="n">
        <f aca="false">IF(AND(L837&lt;&gt;"",'Historical Score'!$C$5&lt;&gt;""),IF(L837='Historical Score'!$C$5,1,0),0)</f>
        <v>0</v>
      </c>
      <c r="AS837" s="65" t="n">
        <f aca="false">IF(AND(Y837&lt;&gt;"",'Historical Score'!$C$7&lt;&gt;""),IF(Y837='Historical Score'!$C$7,1,0),0)</f>
        <v>0</v>
      </c>
      <c r="AT837" s="65" t="n">
        <f aca="false">IF(AND(K837&lt;&gt;"",'Historical Score'!$C$8&lt;&gt;""),IF(K837='Historical Score'!$C$8,1,0),0)</f>
        <v>0</v>
      </c>
      <c r="AU837" s="65" t="n">
        <f aca="false">IF(AND(J837&lt;&gt;"",'Historical Score'!$C$9&lt;&gt;""),IF(J837='Historical Score'!$C$9,1,0),0)</f>
        <v>0</v>
      </c>
      <c r="AV837" s="65" t="n">
        <f aca="false">AR837*AS837*AQ837</f>
        <v>0</v>
      </c>
      <c r="AW837" s="65" t="n">
        <f aca="false">AR837*AT837*AQ837</f>
        <v>0</v>
      </c>
      <c r="AX837" s="65" t="n">
        <f aca="false">AR837*AS837</f>
        <v>0</v>
      </c>
      <c r="AY837" s="65" t="n">
        <f aca="false">AR837*AT837</f>
        <v>0</v>
      </c>
      <c r="AZ837" s="65" t="n">
        <f aca="false">AR837*AQ837</f>
        <v>0</v>
      </c>
      <c r="BA837" s="65" t="n">
        <f aca="false">AR837</f>
        <v>0</v>
      </c>
      <c r="BB837" s="65" t="n">
        <f aca="false">1</f>
        <v>1</v>
      </c>
      <c r="BC837" s="65" t="n">
        <f aca="false">IF(AV837=1,1,IF(AW837=1,2,IF(AX837=1,3,IF(AY837=1,4,IF(AZ837=1,5,IF(BA837=1,6,7))))))</f>
        <v>7</v>
      </c>
      <c r="BD837" s="65" t="n">
        <f aca="false">IF(AD837=1,CHOOSE('Historical Score'!$C$29,AV837,AW837,AX837,AY837,AZ837,BA837,BB837),0)</f>
        <v>0</v>
      </c>
      <c r="BE837" s="65" t="str">
        <f aca="false">IF(BD837=1,COUNTIF($BD$2:BD837,1),"")</f>
        <v/>
      </c>
    </row>
    <row r="838" customFormat="false" ht="15" hidden="false" customHeight="false" outlineLevel="0" collapsed="false">
      <c r="A838" s="65" t="s">
        <v>2632</v>
      </c>
      <c r="B838" s="65" t="s">
        <v>2633</v>
      </c>
      <c r="C838" s="65" t="s">
        <v>2634</v>
      </c>
      <c r="D838" s="65" t="s">
        <v>295</v>
      </c>
      <c r="E838" s="112" t="n">
        <v>46143</v>
      </c>
      <c r="F838" s="112" t="n">
        <v>46219</v>
      </c>
      <c r="G838" s="65" t="n">
        <v>2</v>
      </c>
      <c r="H838" s="65" t="s">
        <v>748</v>
      </c>
      <c r="I838" s="65" t="s">
        <v>619</v>
      </c>
      <c r="J838" s="65" t="s">
        <v>555</v>
      </c>
      <c r="K838" s="65" t="s">
        <v>2635</v>
      </c>
      <c r="L838" s="65" t="s">
        <v>64</v>
      </c>
      <c r="M838" s="113" t="n">
        <v>1.49</v>
      </c>
      <c r="N838" s="114" t="n">
        <v>18000</v>
      </c>
      <c r="O838" s="114" t="n">
        <v>2520</v>
      </c>
      <c r="P838" s="114" t="n">
        <v>26820</v>
      </c>
      <c r="Q838" s="114" t="n">
        <v>8045.85</v>
      </c>
      <c r="R838" s="114" t="n">
        <v>18774.15</v>
      </c>
      <c r="S838" s="115" t="n">
        <v>0.299994407158837</v>
      </c>
      <c r="T838" s="65" t="n">
        <v>24</v>
      </c>
      <c r="U838" s="65" t="n">
        <v>6</v>
      </c>
      <c r="V838" s="65" t="n">
        <v>30850.27</v>
      </c>
      <c r="W838" s="115" t="n">
        <v>0.1449</v>
      </c>
      <c r="X838" s="112" t="n">
        <v>45610</v>
      </c>
      <c r="Y838" s="65" t="str">
        <f aca="false">IF(I838="","No SIC",IFERROR(VLOOKUP(I838,Ref!$A$2:$B$65,2,FALSE()),"Unclassified"))</f>
        <v>Miscellaneous Retail</v>
      </c>
      <c r="Z838" s="65" t="str">
        <f aca="false">IF(T838="","",IF(T838&lt;12,"Daily","Weekly"))</f>
        <v>Weekly</v>
      </c>
      <c r="AA838" s="65" t="n">
        <f aca="false">IF(T838="",0,IF(T838&lt;12,T838*Controls!$B$29,T838*5))</f>
        <v>120</v>
      </c>
      <c r="AB838" s="65" t="n">
        <f aca="false">IF(E838="",0,NETWORKDAYS(E838,Controls!$B$36,Ref!$K$2:$K$42))</f>
        <v>81</v>
      </c>
      <c r="AC838" s="65" t="n">
        <f aca="false">IF(AND(AA838&gt;0,AB838&gt;=Controls!$B$39*AA838),1,0)</f>
        <v>0</v>
      </c>
      <c r="AD838" s="65" t="n">
        <f aca="false">IF(AND(E838&lt;&gt;"",E838&gt;=Controls!$B$37,E838&lt;=Controls!$B$38),1,0)</f>
        <v>1</v>
      </c>
      <c r="AE838" s="65" t="n">
        <f aca="false">IF(IFERROR(VLOOKUP(D838,Controls!$A$64:$E$74,2,FALSE()),"No")="Yes",1,0)</f>
        <v>0</v>
      </c>
      <c r="AF838" s="65" t="n">
        <f aca="false">IF(IFERROR(VLOOKUP(D838,Controls!$A$64:$E$74,3,FALSE()),"No")="Yes",1,0)</f>
        <v>0</v>
      </c>
      <c r="AG838" s="65" t="n">
        <f aca="false">IF(IFERROR(VLOOKUP(D838,Controls!$A$64:$E$74,4,FALSE()),"No")="Yes",1,0)</f>
        <v>0</v>
      </c>
      <c r="AH838" s="65" t="n">
        <f aca="false">IF(IFERROR(VLOOKUP(D838,Controls!$A$64:$E$74,5,FALSE()),"No")="Yes",1,0)</f>
        <v>1</v>
      </c>
      <c r="AI838" s="65" t="n">
        <f aca="false">IF(ISNUMBER(MATCH(D838,Controls!$A$64:$A$74,0)),1,0)</f>
        <v>1</v>
      </c>
      <c r="AJ838" s="65" t="n">
        <f aca="false">Q838-N838</f>
        <v>-9954.15</v>
      </c>
      <c r="AK838" s="65" t="n">
        <f aca="false">IF(AE838=1,MAX(0,N838-Q838),0)</f>
        <v>0</v>
      </c>
      <c r="AL838" s="65" t="n">
        <f aca="false">IF(OR(V838="",V838=0),0,N838/V838)</f>
        <v>0.583463288976077</v>
      </c>
      <c r="AM838" s="65" t="n">
        <f aca="false">IF(OR(V838="",V838=0),0,1)</f>
        <v>1</v>
      </c>
      <c r="AN838" s="65" t="n">
        <f aca="false">IF(OR(E838="",F838=""),0,NETWORKDAYS(E838,F838,Ref!$K$2:$K$42))</f>
        <v>53</v>
      </c>
      <c r="AO838" s="65" t="n">
        <f aca="false">IF(L838="Renewal",1,0)</f>
        <v>0</v>
      </c>
      <c r="AP838" s="65" t="n">
        <f aca="false">AC838*AD838</f>
        <v>0</v>
      </c>
      <c r="AQ838" s="65" t="n">
        <f aca="false">IF(AND(G838&lt;&gt;"",'Historical Score'!$C$6&lt;&gt;""),IF(G838='Historical Score'!$C$6,1,0),0)</f>
        <v>1</v>
      </c>
      <c r="AR838" s="65" t="n">
        <f aca="false">IF(AND(L838&lt;&gt;"",'Historical Score'!$C$5&lt;&gt;""),IF(L838='Historical Score'!$C$5,1,0),0)</f>
        <v>1</v>
      </c>
      <c r="AS838" s="65" t="n">
        <f aca="false">IF(AND(Y838&lt;&gt;"",'Historical Score'!$C$7&lt;&gt;""),IF(Y838='Historical Score'!$C$7,1,0),0)</f>
        <v>0</v>
      </c>
      <c r="AT838" s="65" t="n">
        <f aca="false">IF(AND(K838&lt;&gt;"",'Historical Score'!$C$8&lt;&gt;""),IF(K838='Historical Score'!$C$8,1,0),0)</f>
        <v>0</v>
      </c>
      <c r="AU838" s="65" t="n">
        <f aca="false">IF(AND(J838&lt;&gt;"",'Historical Score'!$C$9&lt;&gt;""),IF(J838='Historical Score'!$C$9,1,0),0)</f>
        <v>0</v>
      </c>
      <c r="AV838" s="65" t="n">
        <f aca="false">AR838*AS838*AQ838</f>
        <v>0</v>
      </c>
      <c r="AW838" s="65" t="n">
        <f aca="false">AR838*AT838*AQ838</f>
        <v>0</v>
      </c>
      <c r="AX838" s="65" t="n">
        <f aca="false">AR838*AS838</f>
        <v>0</v>
      </c>
      <c r="AY838" s="65" t="n">
        <f aca="false">AR838*AT838</f>
        <v>0</v>
      </c>
      <c r="AZ838" s="65" t="n">
        <f aca="false">AR838*AQ838</f>
        <v>1</v>
      </c>
      <c r="BA838" s="65" t="n">
        <f aca="false">AR838</f>
        <v>1</v>
      </c>
      <c r="BB838" s="65" t="n">
        <f aca="false">1</f>
        <v>1</v>
      </c>
      <c r="BC838" s="65" t="n">
        <f aca="false">IF(AV838=1,1,IF(AW838=1,2,IF(AX838=1,3,IF(AY838=1,4,IF(AZ838=1,5,IF(BA838=1,6,7))))))</f>
        <v>5</v>
      </c>
      <c r="BD838" s="65" t="n">
        <f aca="false">IF(AD838=1,CHOOSE('Historical Score'!$C$29,AV838,AW838,AX838,AY838,AZ838,BA838,BB838),0)</f>
        <v>0</v>
      </c>
      <c r="BE838" s="65" t="str">
        <f aca="false">IF(BD838=1,COUNTIF($BD$2:BD838,1),"")</f>
        <v/>
      </c>
    </row>
    <row r="839" customFormat="false" ht="15" hidden="false" customHeight="false" outlineLevel="0" collapsed="false">
      <c r="A839" s="65" t="s">
        <v>2636</v>
      </c>
      <c r="B839" s="65" t="s">
        <v>2182</v>
      </c>
      <c r="C839" s="65" t="s">
        <v>2182</v>
      </c>
      <c r="D839" s="65" t="s">
        <v>295</v>
      </c>
      <c r="E839" s="112" t="n">
        <v>46146</v>
      </c>
      <c r="F839" s="112" t="n">
        <v>46253</v>
      </c>
      <c r="G839" s="65" t="n">
        <v>3</v>
      </c>
      <c r="H839" s="65" t="s">
        <v>748</v>
      </c>
      <c r="I839" s="65" t="s">
        <v>619</v>
      </c>
      <c r="J839" s="65" t="s">
        <v>732</v>
      </c>
      <c r="K839" s="65" t="s">
        <v>1963</v>
      </c>
      <c r="L839" s="65" t="s">
        <v>320</v>
      </c>
      <c r="M839" s="113" t="n">
        <v>1.49</v>
      </c>
      <c r="N839" s="114" t="n">
        <v>15000</v>
      </c>
      <c r="O839" s="114" t="n">
        <v>2100</v>
      </c>
      <c r="P839" s="114" t="n">
        <v>22350</v>
      </c>
      <c r="Q839" s="114" t="n">
        <v>11577.84</v>
      </c>
      <c r="R839" s="114" t="n">
        <v>10772.16</v>
      </c>
      <c r="S839" s="115" t="n">
        <v>0.518024161073826</v>
      </c>
      <c r="T839" s="65" t="n">
        <v>3.607</v>
      </c>
      <c r="U839" s="65" t="n">
        <v>12</v>
      </c>
      <c r="V839" s="65" t="n">
        <v>31719.45</v>
      </c>
      <c r="W839" s="115" t="n">
        <v>0.1333</v>
      </c>
      <c r="X839" s="112" t="n">
        <v>28525</v>
      </c>
      <c r="Y839" s="65" t="str">
        <f aca="false">IF(I839="","No SIC",IFERROR(VLOOKUP(I839,Ref!$A$2:$B$65,2,FALSE()),"Unclassified"))</f>
        <v>Miscellaneous Retail</v>
      </c>
      <c r="Z839" s="65" t="str">
        <f aca="false">IF(T839="","",IF(T839&lt;12,"Daily","Weekly"))</f>
        <v>Daily</v>
      </c>
      <c r="AA839" s="65" t="n">
        <f aca="false">IF(T839="",0,IF(T839&lt;12,T839*Controls!$B$29,T839*5))</f>
        <v>78.109585</v>
      </c>
      <c r="AB839" s="65" t="n">
        <f aca="false">IF(E839="",0,NETWORKDAYS(E839,Controls!$B$36,Ref!$K$2:$K$42))</f>
        <v>80</v>
      </c>
      <c r="AC839" s="65" t="n">
        <f aca="false">IF(AND(AA839&gt;0,AB839&gt;=Controls!$B$39*AA839),1,0)</f>
        <v>0</v>
      </c>
      <c r="AD839" s="65" t="n">
        <f aca="false">IF(AND(E839&lt;&gt;"",E839&gt;=Controls!$B$37,E839&lt;=Controls!$B$38),1,0)</f>
        <v>1</v>
      </c>
      <c r="AE839" s="65" t="n">
        <f aca="false">IF(IFERROR(VLOOKUP(D839,Controls!$A$64:$E$74,2,FALSE()),"No")="Yes",1,0)</f>
        <v>0</v>
      </c>
      <c r="AF839" s="65" t="n">
        <f aca="false">IF(IFERROR(VLOOKUP(D839,Controls!$A$64:$E$74,3,FALSE()),"No")="Yes",1,0)</f>
        <v>0</v>
      </c>
      <c r="AG839" s="65" t="n">
        <f aca="false">IF(IFERROR(VLOOKUP(D839,Controls!$A$64:$E$74,4,FALSE()),"No")="Yes",1,0)</f>
        <v>0</v>
      </c>
      <c r="AH839" s="65" t="n">
        <f aca="false">IF(IFERROR(VLOOKUP(D839,Controls!$A$64:$E$74,5,FALSE()),"No")="Yes",1,0)</f>
        <v>1</v>
      </c>
      <c r="AI839" s="65" t="n">
        <f aca="false">IF(ISNUMBER(MATCH(D839,Controls!$A$64:$A$74,0)),1,0)</f>
        <v>1</v>
      </c>
      <c r="AJ839" s="65" t="n">
        <f aca="false">Q839-N839</f>
        <v>-3422.16</v>
      </c>
      <c r="AK839" s="65" t="n">
        <f aca="false">IF(AE839=1,MAX(0,N839-Q839),0)</f>
        <v>0</v>
      </c>
      <c r="AL839" s="65" t="n">
        <f aca="false">IF(OR(V839="",V839=0),0,N839/V839)</f>
        <v>0.472895967616084</v>
      </c>
      <c r="AM839" s="65" t="n">
        <f aca="false">IF(OR(V839="",V839=0),0,1)</f>
        <v>1</v>
      </c>
      <c r="AN839" s="65" t="n">
        <f aca="false">IF(OR(E839="",F839=""),0,NETWORKDAYS(E839,F839,Ref!$K$2:$K$42))</f>
        <v>76</v>
      </c>
      <c r="AO839" s="65" t="n">
        <f aca="false">IF(L839="Renewal",1,0)</f>
        <v>1</v>
      </c>
      <c r="AP839" s="65" t="n">
        <f aca="false">AC839*AD839</f>
        <v>0</v>
      </c>
      <c r="AQ839" s="65" t="n">
        <f aca="false">IF(AND(G839&lt;&gt;"",'Historical Score'!$C$6&lt;&gt;""),IF(G839='Historical Score'!$C$6,1,0),0)</f>
        <v>0</v>
      </c>
      <c r="AR839" s="65" t="n">
        <f aca="false">IF(AND(L839&lt;&gt;"",'Historical Score'!$C$5&lt;&gt;""),IF(L839='Historical Score'!$C$5,1,0),0)</f>
        <v>0</v>
      </c>
      <c r="AS839" s="65" t="n">
        <f aca="false">IF(AND(Y839&lt;&gt;"",'Historical Score'!$C$7&lt;&gt;""),IF(Y839='Historical Score'!$C$7,1,0),0)</f>
        <v>0</v>
      </c>
      <c r="AT839" s="65" t="n">
        <f aca="false">IF(AND(K839&lt;&gt;"",'Historical Score'!$C$8&lt;&gt;""),IF(K839='Historical Score'!$C$8,1,0),0)</f>
        <v>0</v>
      </c>
      <c r="AU839" s="65" t="n">
        <f aca="false">IF(AND(J839&lt;&gt;"",'Historical Score'!$C$9&lt;&gt;""),IF(J839='Historical Score'!$C$9,1,0),0)</f>
        <v>0</v>
      </c>
      <c r="AV839" s="65" t="n">
        <f aca="false">AR839*AS839*AQ839</f>
        <v>0</v>
      </c>
      <c r="AW839" s="65" t="n">
        <f aca="false">AR839*AT839*AQ839</f>
        <v>0</v>
      </c>
      <c r="AX839" s="65" t="n">
        <f aca="false">AR839*AS839</f>
        <v>0</v>
      </c>
      <c r="AY839" s="65" t="n">
        <f aca="false">AR839*AT839</f>
        <v>0</v>
      </c>
      <c r="AZ839" s="65" t="n">
        <f aca="false">AR839*AQ839</f>
        <v>0</v>
      </c>
      <c r="BA839" s="65" t="n">
        <f aca="false">AR839</f>
        <v>0</v>
      </c>
      <c r="BB839" s="65" t="n">
        <f aca="false">1</f>
        <v>1</v>
      </c>
      <c r="BC839" s="65" t="n">
        <f aca="false">IF(AV839=1,1,IF(AW839=1,2,IF(AX839=1,3,IF(AY839=1,4,IF(AZ839=1,5,IF(BA839=1,6,7))))))</f>
        <v>7</v>
      </c>
      <c r="BD839" s="65" t="n">
        <f aca="false">IF(AD839=1,CHOOSE('Historical Score'!$C$29,AV839,AW839,AX839,AY839,AZ839,BA839,BB839),0)</f>
        <v>0</v>
      </c>
      <c r="BE839" s="65" t="str">
        <f aca="false">IF(BD839=1,COUNTIF($BD$2:BD839,1),"")</f>
        <v/>
      </c>
    </row>
    <row r="840" customFormat="false" ht="15" hidden="false" customHeight="false" outlineLevel="0" collapsed="false">
      <c r="A840" s="65" t="s">
        <v>2637</v>
      </c>
      <c r="B840" s="65" t="s">
        <v>2638</v>
      </c>
      <c r="C840" s="65" t="s">
        <v>2638</v>
      </c>
      <c r="D840" s="65" t="s">
        <v>295</v>
      </c>
      <c r="E840" s="112" t="n">
        <v>46147</v>
      </c>
      <c r="F840" s="112" t="n">
        <v>46248</v>
      </c>
      <c r="G840" s="65" t="n">
        <v>3</v>
      </c>
      <c r="H840" s="65" t="s">
        <v>479</v>
      </c>
      <c r="I840" s="65" t="s">
        <v>356</v>
      </c>
      <c r="J840" s="65" t="s">
        <v>373</v>
      </c>
      <c r="K840" s="65" t="s">
        <v>55</v>
      </c>
      <c r="L840" s="65" t="s">
        <v>64</v>
      </c>
      <c r="M840" s="113" t="n">
        <v>1.49</v>
      </c>
      <c r="N840" s="114" t="n">
        <v>20000</v>
      </c>
      <c r="O840" s="114" t="n">
        <v>2800</v>
      </c>
      <c r="P840" s="114" t="n">
        <v>29800</v>
      </c>
      <c r="Q840" s="114" t="n">
        <v>5725</v>
      </c>
      <c r="R840" s="114" t="n">
        <v>24075</v>
      </c>
      <c r="S840" s="115" t="n">
        <v>0.192114093959732</v>
      </c>
      <c r="T840" s="65" t="n">
        <v>26</v>
      </c>
      <c r="U840" s="65" t="n">
        <v>8</v>
      </c>
      <c r="W840" s="115" t="n">
        <v>0.0458</v>
      </c>
      <c r="X840" s="112" t="n">
        <v>43101</v>
      </c>
      <c r="Y840" s="65" t="str">
        <f aca="false">IF(I840="","No SIC",IFERROR(VLOOKUP(I840,Ref!$A$2:$B$65,2,FALSE()),"Unclassified"))</f>
        <v>Trucking &amp; Warehousing</v>
      </c>
      <c r="Z840" s="65" t="str">
        <f aca="false">IF(T840="","",IF(T840&lt;12,"Daily","Weekly"))</f>
        <v>Weekly</v>
      </c>
      <c r="AA840" s="65" t="n">
        <f aca="false">IF(T840="",0,IF(T840&lt;12,T840*Controls!$B$29,T840*5))</f>
        <v>130</v>
      </c>
      <c r="AB840" s="65" t="n">
        <f aca="false">IF(E840="",0,NETWORKDAYS(E840,Controls!$B$36,Ref!$K$2:$K$42))</f>
        <v>79</v>
      </c>
      <c r="AC840" s="65" t="n">
        <f aca="false">IF(AND(AA840&gt;0,AB840&gt;=Controls!$B$39*AA840),1,0)</f>
        <v>0</v>
      </c>
      <c r="AD840" s="65" t="n">
        <f aca="false">IF(AND(E840&lt;&gt;"",E840&gt;=Controls!$B$37,E840&lt;=Controls!$B$38),1,0)</f>
        <v>1</v>
      </c>
      <c r="AE840" s="65" t="n">
        <f aca="false">IF(IFERROR(VLOOKUP(D840,Controls!$A$64:$E$74,2,FALSE()),"No")="Yes",1,0)</f>
        <v>0</v>
      </c>
      <c r="AF840" s="65" t="n">
        <f aca="false">IF(IFERROR(VLOOKUP(D840,Controls!$A$64:$E$74,3,FALSE()),"No")="Yes",1,0)</f>
        <v>0</v>
      </c>
      <c r="AG840" s="65" t="n">
        <f aca="false">IF(IFERROR(VLOOKUP(D840,Controls!$A$64:$E$74,4,FALSE()),"No")="Yes",1,0)</f>
        <v>0</v>
      </c>
      <c r="AH840" s="65" t="n">
        <f aca="false">IF(IFERROR(VLOOKUP(D840,Controls!$A$64:$E$74,5,FALSE()),"No")="Yes",1,0)</f>
        <v>1</v>
      </c>
      <c r="AI840" s="65" t="n">
        <f aca="false">IF(ISNUMBER(MATCH(D840,Controls!$A$64:$A$74,0)),1,0)</f>
        <v>1</v>
      </c>
      <c r="AJ840" s="65" t="n">
        <f aca="false">Q840-N840</f>
        <v>-14275</v>
      </c>
      <c r="AK840" s="65" t="n">
        <f aca="false">IF(AE840=1,MAX(0,N840-Q840),0)</f>
        <v>0</v>
      </c>
      <c r="AL840" s="65" t="n">
        <f aca="false">IF(OR(V840="",V840=0),0,N840/V840)</f>
        <v>0</v>
      </c>
      <c r="AM840" s="65" t="n">
        <f aca="false">IF(OR(V840="",V840=0),0,1)</f>
        <v>0</v>
      </c>
      <c r="AN840" s="65" t="n">
        <f aca="false">IF(OR(E840="",F840=""),0,NETWORKDAYS(E840,F840,Ref!$K$2:$K$42))</f>
        <v>72</v>
      </c>
      <c r="AO840" s="65" t="n">
        <f aca="false">IF(L840="Renewal",1,0)</f>
        <v>0</v>
      </c>
      <c r="AP840" s="65" t="n">
        <f aca="false">AC840*AD840</f>
        <v>0</v>
      </c>
      <c r="AQ840" s="65" t="n">
        <f aca="false">IF(AND(G840&lt;&gt;"",'Historical Score'!$C$6&lt;&gt;""),IF(G840='Historical Score'!$C$6,1,0),0)</f>
        <v>0</v>
      </c>
      <c r="AR840" s="65" t="n">
        <f aca="false">IF(AND(L840&lt;&gt;"",'Historical Score'!$C$5&lt;&gt;""),IF(L840='Historical Score'!$C$5,1,0),0)</f>
        <v>1</v>
      </c>
      <c r="AS840" s="65" t="n">
        <f aca="false">IF(AND(Y840&lt;&gt;"",'Historical Score'!$C$7&lt;&gt;""),IF(Y840='Historical Score'!$C$7,1,0),0)</f>
        <v>0</v>
      </c>
      <c r="AT840" s="65" t="n">
        <f aca="false">IF(AND(K840&lt;&gt;"",'Historical Score'!$C$8&lt;&gt;""),IF(K840='Historical Score'!$C$8,1,0),0)</f>
        <v>1</v>
      </c>
      <c r="AU840" s="65" t="n">
        <f aca="false">IF(AND(J840&lt;&gt;"",'Historical Score'!$C$9&lt;&gt;""),IF(J840='Historical Score'!$C$9,1,0),0)</f>
        <v>0</v>
      </c>
      <c r="AV840" s="65" t="n">
        <f aca="false">AR840*AS840*AQ840</f>
        <v>0</v>
      </c>
      <c r="AW840" s="65" t="n">
        <f aca="false">AR840*AT840*AQ840</f>
        <v>0</v>
      </c>
      <c r="AX840" s="65" t="n">
        <f aca="false">AR840*AS840</f>
        <v>0</v>
      </c>
      <c r="AY840" s="65" t="n">
        <f aca="false">AR840*AT840</f>
        <v>1</v>
      </c>
      <c r="AZ840" s="65" t="n">
        <f aca="false">AR840*AQ840</f>
        <v>0</v>
      </c>
      <c r="BA840" s="65" t="n">
        <f aca="false">AR840</f>
        <v>1</v>
      </c>
      <c r="BB840" s="65" t="n">
        <f aca="false">1</f>
        <v>1</v>
      </c>
      <c r="BC840" s="65" t="n">
        <f aca="false">IF(AV840=1,1,IF(AW840=1,2,IF(AX840=1,3,IF(AY840=1,4,IF(AZ840=1,5,IF(BA840=1,6,7))))))</f>
        <v>4</v>
      </c>
      <c r="BD840" s="65" t="n">
        <f aca="false">IF(AD840=1,CHOOSE('Historical Score'!$C$29,AV840,AW840,AX840,AY840,AZ840,BA840,BB840),0)</f>
        <v>0</v>
      </c>
      <c r="BE840" s="65" t="str">
        <f aca="false">IF(BD840=1,COUNTIF($BD$2:BD840,1),"")</f>
        <v/>
      </c>
    </row>
    <row r="841" customFormat="false" ht="15" hidden="false" customHeight="false" outlineLevel="0" collapsed="false">
      <c r="A841" s="65" t="s">
        <v>2639</v>
      </c>
      <c r="B841" s="65" t="s">
        <v>879</v>
      </c>
      <c r="C841" s="65" t="s">
        <v>880</v>
      </c>
      <c r="D841" s="65" t="s">
        <v>295</v>
      </c>
      <c r="E841" s="112" t="n">
        <v>46147</v>
      </c>
      <c r="F841" s="112" t="n">
        <v>46253</v>
      </c>
      <c r="G841" s="65" t="n">
        <v>3</v>
      </c>
      <c r="H841" s="65" t="s">
        <v>748</v>
      </c>
      <c r="I841" s="65" t="s">
        <v>619</v>
      </c>
      <c r="J841" s="65" t="s">
        <v>432</v>
      </c>
      <c r="K841" s="65" t="s">
        <v>55</v>
      </c>
      <c r="L841" s="65" t="s">
        <v>320</v>
      </c>
      <c r="M841" s="113" t="n">
        <v>1.49</v>
      </c>
      <c r="N841" s="114" t="n">
        <v>55000</v>
      </c>
      <c r="O841" s="114" t="n">
        <v>7700</v>
      </c>
      <c r="P841" s="114" t="n">
        <v>81950</v>
      </c>
      <c r="Q841" s="114" t="n">
        <v>43323.3</v>
      </c>
      <c r="R841" s="114" t="n">
        <v>38626.7</v>
      </c>
      <c r="S841" s="115" t="n">
        <v>0.528655277608298</v>
      </c>
      <c r="T841" s="65" t="n">
        <v>4.59</v>
      </c>
      <c r="U841" s="65" t="n">
        <v>0</v>
      </c>
      <c r="V841" s="65" t="n">
        <v>104379.99</v>
      </c>
      <c r="W841" s="115" t="n">
        <v>0.174</v>
      </c>
      <c r="X841" s="112" t="n">
        <v>43221</v>
      </c>
      <c r="Y841" s="65" t="str">
        <f aca="false">IF(I841="","No SIC",IFERROR(VLOOKUP(I841,Ref!$A$2:$B$65,2,FALSE()),"Unclassified"))</f>
        <v>Miscellaneous Retail</v>
      </c>
      <c r="Z841" s="65" t="str">
        <f aca="false">IF(T841="","",IF(T841&lt;12,"Daily","Weekly"))</f>
        <v>Daily</v>
      </c>
      <c r="AA841" s="65" t="n">
        <f aca="false">IF(T841="",0,IF(T841&lt;12,T841*Controls!$B$29,T841*5))</f>
        <v>99.39645</v>
      </c>
      <c r="AB841" s="65" t="n">
        <f aca="false">IF(E841="",0,NETWORKDAYS(E841,Controls!$B$36,Ref!$K$2:$K$42))</f>
        <v>79</v>
      </c>
      <c r="AC841" s="65" t="n">
        <f aca="false">IF(AND(AA841&gt;0,AB841&gt;=Controls!$B$39*AA841),1,0)</f>
        <v>0</v>
      </c>
      <c r="AD841" s="65" t="n">
        <f aca="false">IF(AND(E841&lt;&gt;"",E841&gt;=Controls!$B$37,E841&lt;=Controls!$B$38),1,0)</f>
        <v>1</v>
      </c>
      <c r="AE841" s="65" t="n">
        <f aca="false">IF(IFERROR(VLOOKUP(D841,Controls!$A$64:$E$74,2,FALSE()),"No")="Yes",1,0)</f>
        <v>0</v>
      </c>
      <c r="AF841" s="65" t="n">
        <f aca="false">IF(IFERROR(VLOOKUP(D841,Controls!$A$64:$E$74,3,FALSE()),"No")="Yes",1,0)</f>
        <v>0</v>
      </c>
      <c r="AG841" s="65" t="n">
        <f aca="false">IF(IFERROR(VLOOKUP(D841,Controls!$A$64:$E$74,4,FALSE()),"No")="Yes",1,0)</f>
        <v>0</v>
      </c>
      <c r="AH841" s="65" t="n">
        <f aca="false">IF(IFERROR(VLOOKUP(D841,Controls!$A$64:$E$74,5,FALSE()),"No")="Yes",1,0)</f>
        <v>1</v>
      </c>
      <c r="AI841" s="65" t="n">
        <f aca="false">IF(ISNUMBER(MATCH(D841,Controls!$A$64:$A$74,0)),1,0)</f>
        <v>1</v>
      </c>
      <c r="AJ841" s="65" t="n">
        <f aca="false">Q841-N841</f>
        <v>-11676.7</v>
      </c>
      <c r="AK841" s="65" t="n">
        <f aca="false">IF(AE841=1,MAX(0,N841-Q841),0)</f>
        <v>0</v>
      </c>
      <c r="AL841" s="65" t="n">
        <f aca="false">IF(OR(V841="",V841=0),0,N841/V841)</f>
        <v>0.526920916547319</v>
      </c>
      <c r="AM841" s="65" t="n">
        <f aca="false">IF(OR(V841="",V841=0),0,1)</f>
        <v>1</v>
      </c>
      <c r="AN841" s="65" t="n">
        <f aca="false">IF(OR(E841="",F841=""),0,NETWORKDAYS(E841,F841,Ref!$K$2:$K$42))</f>
        <v>75</v>
      </c>
      <c r="AO841" s="65" t="n">
        <f aca="false">IF(L841="Renewal",1,0)</f>
        <v>1</v>
      </c>
      <c r="AP841" s="65" t="n">
        <f aca="false">AC841*AD841</f>
        <v>0</v>
      </c>
      <c r="AQ841" s="65" t="n">
        <f aca="false">IF(AND(G841&lt;&gt;"",'Historical Score'!$C$6&lt;&gt;""),IF(G841='Historical Score'!$C$6,1,0),0)</f>
        <v>0</v>
      </c>
      <c r="AR841" s="65" t="n">
        <f aca="false">IF(AND(L841&lt;&gt;"",'Historical Score'!$C$5&lt;&gt;""),IF(L841='Historical Score'!$C$5,1,0),0)</f>
        <v>0</v>
      </c>
      <c r="AS841" s="65" t="n">
        <f aca="false">IF(AND(Y841&lt;&gt;"",'Historical Score'!$C$7&lt;&gt;""),IF(Y841='Historical Score'!$C$7,1,0),0)</f>
        <v>0</v>
      </c>
      <c r="AT841" s="65" t="n">
        <f aca="false">IF(AND(K841&lt;&gt;"",'Historical Score'!$C$8&lt;&gt;""),IF(K841='Historical Score'!$C$8,1,0),0)</f>
        <v>1</v>
      </c>
      <c r="AU841" s="65" t="n">
        <f aca="false">IF(AND(J841&lt;&gt;"",'Historical Score'!$C$9&lt;&gt;""),IF(J841='Historical Score'!$C$9,1,0),0)</f>
        <v>0</v>
      </c>
      <c r="AV841" s="65" t="n">
        <f aca="false">AR841*AS841*AQ841</f>
        <v>0</v>
      </c>
      <c r="AW841" s="65" t="n">
        <f aca="false">AR841*AT841*AQ841</f>
        <v>0</v>
      </c>
      <c r="AX841" s="65" t="n">
        <f aca="false">AR841*AS841</f>
        <v>0</v>
      </c>
      <c r="AY841" s="65" t="n">
        <f aca="false">AR841*AT841</f>
        <v>0</v>
      </c>
      <c r="AZ841" s="65" t="n">
        <f aca="false">AR841*AQ841</f>
        <v>0</v>
      </c>
      <c r="BA841" s="65" t="n">
        <f aca="false">AR841</f>
        <v>0</v>
      </c>
      <c r="BB841" s="65" t="n">
        <f aca="false">1</f>
        <v>1</v>
      </c>
      <c r="BC841" s="65" t="n">
        <f aca="false">IF(AV841=1,1,IF(AW841=1,2,IF(AX841=1,3,IF(AY841=1,4,IF(AZ841=1,5,IF(BA841=1,6,7))))))</f>
        <v>7</v>
      </c>
      <c r="BD841" s="65" t="n">
        <f aca="false">IF(AD841=1,CHOOSE('Historical Score'!$C$29,AV841,AW841,AX841,AY841,AZ841,BA841,BB841),0)</f>
        <v>0</v>
      </c>
      <c r="BE841" s="65" t="str">
        <f aca="false">IF(BD841=1,COUNTIF($BD$2:BD841,1),"")</f>
        <v/>
      </c>
    </row>
    <row r="842" customFormat="false" ht="15" hidden="false" customHeight="false" outlineLevel="0" collapsed="false">
      <c r="A842" s="65" t="s">
        <v>2640</v>
      </c>
      <c r="B842" s="65" t="s">
        <v>2641</v>
      </c>
      <c r="C842" s="65" t="s">
        <v>2641</v>
      </c>
      <c r="D842" s="65" t="s">
        <v>295</v>
      </c>
      <c r="E842" s="112" t="n">
        <v>46147</v>
      </c>
      <c r="F842" s="112" t="n">
        <v>46253</v>
      </c>
      <c r="G842" s="65" t="n">
        <v>3</v>
      </c>
      <c r="H842" s="65" t="s">
        <v>1146</v>
      </c>
      <c r="I842" s="65" t="s">
        <v>419</v>
      </c>
      <c r="J842" s="65" t="s">
        <v>452</v>
      </c>
      <c r="K842" s="65" t="s">
        <v>1047</v>
      </c>
      <c r="L842" s="65" t="s">
        <v>64</v>
      </c>
      <c r="M842" s="113" t="n">
        <v>1.49</v>
      </c>
      <c r="N842" s="114" t="n">
        <v>5000</v>
      </c>
      <c r="O842" s="114" t="n">
        <v>700</v>
      </c>
      <c r="P842" s="114" t="n">
        <v>7450</v>
      </c>
      <c r="Q842" s="114" t="n">
        <v>5213.04</v>
      </c>
      <c r="R842" s="114" t="n">
        <v>2236.96</v>
      </c>
      <c r="S842" s="115" t="n">
        <v>0.699736912751678</v>
      </c>
      <c r="T842" s="65" t="n">
        <v>1.967</v>
      </c>
      <c r="U842" s="65" t="n">
        <v>31</v>
      </c>
      <c r="V842" s="65" t="n">
        <v>20818.97</v>
      </c>
      <c r="W842" s="115" t="n">
        <v>0.1252</v>
      </c>
      <c r="X842" s="112" t="n">
        <v>44962</v>
      </c>
      <c r="Y842" s="65" t="str">
        <f aca="false">IF(I842="","No SIC",IFERROR(VLOOKUP(I842,Ref!$A$2:$B$65,2,FALSE()),"Unclassified"))</f>
        <v>Business Services</v>
      </c>
      <c r="Z842" s="65" t="str">
        <f aca="false">IF(T842="","",IF(T842&lt;12,"Daily","Weekly"))</f>
        <v>Daily</v>
      </c>
      <c r="AA842" s="65" t="n">
        <f aca="false">IF(T842="",0,IF(T842&lt;12,T842*Controls!$B$29,T842*5))</f>
        <v>42.595385</v>
      </c>
      <c r="AB842" s="65" t="n">
        <f aca="false">IF(E842="",0,NETWORKDAYS(E842,Controls!$B$36,Ref!$K$2:$K$42))</f>
        <v>79</v>
      </c>
      <c r="AC842" s="65" t="n">
        <f aca="false">IF(AND(AA842&gt;0,AB842&gt;=Controls!$B$39*AA842),1,0)</f>
        <v>1</v>
      </c>
      <c r="AD842" s="65" t="n">
        <f aca="false">IF(AND(E842&lt;&gt;"",E842&gt;=Controls!$B$37,E842&lt;=Controls!$B$38),1,0)</f>
        <v>1</v>
      </c>
      <c r="AE842" s="65" t="n">
        <f aca="false">IF(IFERROR(VLOOKUP(D842,Controls!$A$64:$E$74,2,FALSE()),"No")="Yes",1,0)</f>
        <v>0</v>
      </c>
      <c r="AF842" s="65" t="n">
        <f aca="false">IF(IFERROR(VLOOKUP(D842,Controls!$A$64:$E$74,3,FALSE()),"No")="Yes",1,0)</f>
        <v>0</v>
      </c>
      <c r="AG842" s="65" t="n">
        <f aca="false">IF(IFERROR(VLOOKUP(D842,Controls!$A$64:$E$74,4,FALSE()),"No")="Yes",1,0)</f>
        <v>0</v>
      </c>
      <c r="AH842" s="65" t="n">
        <f aca="false">IF(IFERROR(VLOOKUP(D842,Controls!$A$64:$E$74,5,FALSE()),"No")="Yes",1,0)</f>
        <v>1</v>
      </c>
      <c r="AI842" s="65" t="n">
        <f aca="false">IF(ISNUMBER(MATCH(D842,Controls!$A$64:$A$74,0)),1,0)</f>
        <v>1</v>
      </c>
      <c r="AJ842" s="65" t="n">
        <f aca="false">Q842-N842</f>
        <v>213.04</v>
      </c>
      <c r="AK842" s="65" t="n">
        <f aca="false">IF(AE842=1,MAX(0,N842-Q842),0)</f>
        <v>0</v>
      </c>
      <c r="AL842" s="65" t="n">
        <f aca="false">IF(OR(V842="",V842=0),0,N842/V842)</f>
        <v>0.240165579757308</v>
      </c>
      <c r="AM842" s="65" t="n">
        <f aca="false">IF(OR(V842="",V842=0),0,1)</f>
        <v>1</v>
      </c>
      <c r="AN842" s="65" t="n">
        <f aca="false">IF(OR(E842="",F842=""),0,NETWORKDAYS(E842,F842,Ref!$K$2:$K$42))</f>
        <v>75</v>
      </c>
      <c r="AO842" s="65" t="n">
        <f aca="false">IF(L842="Renewal",1,0)</f>
        <v>0</v>
      </c>
      <c r="AP842" s="65" t="n">
        <f aca="false">AC842*AD842</f>
        <v>1</v>
      </c>
      <c r="AQ842" s="65" t="n">
        <f aca="false">IF(AND(G842&lt;&gt;"",'Historical Score'!$C$6&lt;&gt;""),IF(G842='Historical Score'!$C$6,1,0),0)</f>
        <v>0</v>
      </c>
      <c r="AR842" s="65" t="n">
        <f aca="false">IF(AND(L842&lt;&gt;"",'Historical Score'!$C$5&lt;&gt;""),IF(L842='Historical Score'!$C$5,1,0),0)</f>
        <v>1</v>
      </c>
      <c r="AS842" s="65" t="n">
        <f aca="false">IF(AND(Y842&lt;&gt;"",'Historical Score'!$C$7&lt;&gt;""),IF(Y842='Historical Score'!$C$7,1,0),0)</f>
        <v>0</v>
      </c>
      <c r="AT842" s="65" t="n">
        <f aca="false">IF(AND(K842&lt;&gt;"",'Historical Score'!$C$8&lt;&gt;""),IF(K842='Historical Score'!$C$8,1,0),0)</f>
        <v>0</v>
      </c>
      <c r="AU842" s="65" t="n">
        <f aca="false">IF(AND(J842&lt;&gt;"",'Historical Score'!$C$9&lt;&gt;""),IF(J842='Historical Score'!$C$9,1,0),0)</f>
        <v>0</v>
      </c>
      <c r="AV842" s="65" t="n">
        <f aca="false">AR842*AS842*AQ842</f>
        <v>0</v>
      </c>
      <c r="AW842" s="65" t="n">
        <f aca="false">AR842*AT842*AQ842</f>
        <v>0</v>
      </c>
      <c r="AX842" s="65" t="n">
        <f aca="false">AR842*AS842</f>
        <v>0</v>
      </c>
      <c r="AY842" s="65" t="n">
        <f aca="false">AR842*AT842</f>
        <v>0</v>
      </c>
      <c r="AZ842" s="65" t="n">
        <f aca="false">AR842*AQ842</f>
        <v>0</v>
      </c>
      <c r="BA842" s="65" t="n">
        <f aca="false">AR842</f>
        <v>1</v>
      </c>
      <c r="BB842" s="65" t="n">
        <f aca="false">1</f>
        <v>1</v>
      </c>
      <c r="BC842" s="65" t="n">
        <f aca="false">IF(AV842=1,1,IF(AW842=1,2,IF(AX842=1,3,IF(AY842=1,4,IF(AZ842=1,5,IF(BA842=1,6,7))))))</f>
        <v>6</v>
      </c>
      <c r="BD842" s="65" t="n">
        <f aca="false">IF(AD842=1,CHOOSE('Historical Score'!$C$29,AV842,AW842,AX842,AY842,AZ842,BA842,BB842),0)</f>
        <v>0</v>
      </c>
      <c r="BE842" s="65" t="str">
        <f aca="false">IF(BD842=1,COUNTIF($BD$2:BD842,1),"")</f>
        <v/>
      </c>
    </row>
    <row r="843" customFormat="false" ht="15" hidden="false" customHeight="false" outlineLevel="0" collapsed="false">
      <c r="A843" s="65" t="s">
        <v>2642</v>
      </c>
      <c r="B843" s="65" t="s">
        <v>2643</v>
      </c>
      <c r="C843" s="65" t="s">
        <v>2643</v>
      </c>
      <c r="D843" s="65" t="s">
        <v>340</v>
      </c>
      <c r="E843" s="112" t="n">
        <v>46148</v>
      </c>
      <c r="F843" s="112" t="n">
        <v>46175</v>
      </c>
      <c r="G843" s="65" t="n">
        <v>3</v>
      </c>
      <c r="H843" s="65" t="s">
        <v>559</v>
      </c>
      <c r="I843" s="65" t="s">
        <v>475</v>
      </c>
      <c r="J843" s="65" t="s">
        <v>61</v>
      </c>
      <c r="K843" s="65" t="s">
        <v>1047</v>
      </c>
      <c r="L843" s="65" t="s">
        <v>64</v>
      </c>
      <c r="M843" s="113" t="n">
        <v>1.49</v>
      </c>
      <c r="N843" s="114" t="n">
        <v>5000</v>
      </c>
      <c r="O843" s="114" t="n">
        <v>0</v>
      </c>
      <c r="P843" s="114" t="n">
        <v>7450</v>
      </c>
      <c r="Q843" s="114" t="n">
        <v>198.58</v>
      </c>
      <c r="R843" s="114" t="n">
        <v>7251.42</v>
      </c>
      <c r="S843" s="115" t="n">
        <v>0.026655033557047</v>
      </c>
      <c r="T843" s="65" t="n">
        <v>2.459</v>
      </c>
      <c r="U843" s="65" t="n">
        <v>16</v>
      </c>
      <c r="V843" s="65" t="n">
        <v>15000</v>
      </c>
      <c r="W843" s="115" t="n">
        <v>0.0695</v>
      </c>
      <c r="X843" s="112" t="n">
        <v>44996</v>
      </c>
      <c r="Y843" s="65" t="str">
        <f aca="false">IF(I843="","No SIC",IFERROR(VLOOKUP(I843,Ref!$A$2:$B$65,2,FALSE()),"Unclassified"))</f>
        <v>Auto Repair &amp; Services</v>
      </c>
      <c r="Z843" s="65" t="str">
        <f aca="false">IF(T843="","",IF(T843&lt;12,"Daily","Weekly"))</f>
        <v>Daily</v>
      </c>
      <c r="AA843" s="65" t="n">
        <f aca="false">IF(T843="",0,IF(T843&lt;12,T843*Controls!$B$29,T843*5))</f>
        <v>53.249645</v>
      </c>
      <c r="AB843" s="65" t="n">
        <f aca="false">IF(E843="",0,NETWORKDAYS(E843,Controls!$B$36,Ref!$K$2:$K$42))</f>
        <v>78</v>
      </c>
      <c r="AC843" s="65" t="n">
        <f aca="false">IF(AND(AA843&gt;0,AB843&gt;=Controls!$B$39*AA843),1,0)</f>
        <v>1</v>
      </c>
      <c r="AD843" s="65" t="n">
        <f aca="false">IF(AND(E843&lt;&gt;"",E843&gt;=Controls!$B$37,E843&lt;=Controls!$B$38),1,0)</f>
        <v>1</v>
      </c>
      <c r="AE843" s="65" t="n">
        <f aca="false">IF(IFERROR(VLOOKUP(D843,Controls!$A$64:$E$74,2,FALSE()),"No")="Yes",1,0)</f>
        <v>1</v>
      </c>
      <c r="AF843" s="65" t="n">
        <f aca="false">IF(IFERROR(VLOOKUP(D843,Controls!$A$64:$E$74,3,FALSE()),"No")="Yes",1,0)</f>
        <v>0</v>
      </c>
      <c r="AG843" s="65" t="n">
        <f aca="false">IF(IFERROR(VLOOKUP(D843,Controls!$A$64:$E$74,4,FALSE()),"No")="Yes",1,0)</f>
        <v>0</v>
      </c>
      <c r="AH843" s="65" t="n">
        <f aca="false">IF(IFERROR(VLOOKUP(D843,Controls!$A$64:$E$74,5,FALSE()),"No")="Yes",1,0)</f>
        <v>0</v>
      </c>
      <c r="AI843" s="65" t="n">
        <f aca="false">IF(ISNUMBER(MATCH(D843,Controls!$A$64:$A$74,0)),1,0)</f>
        <v>1</v>
      </c>
      <c r="AJ843" s="65" t="n">
        <f aca="false">Q843-N843</f>
        <v>-4801.42</v>
      </c>
      <c r="AK843" s="65" t="n">
        <f aca="false">IF(AE843=1,MAX(0,N843-Q843),0)</f>
        <v>4801.42</v>
      </c>
      <c r="AL843" s="65" t="n">
        <f aca="false">IF(OR(V843="",V843=0),0,N843/V843)</f>
        <v>0.333333333333333</v>
      </c>
      <c r="AM843" s="65" t="n">
        <f aca="false">IF(OR(V843="",V843=0),0,1)</f>
        <v>1</v>
      </c>
      <c r="AN843" s="65" t="n">
        <f aca="false">IF(OR(E843="",F843=""),0,NETWORKDAYS(E843,F843,Ref!$K$2:$K$42))</f>
        <v>19</v>
      </c>
      <c r="AO843" s="65" t="n">
        <f aca="false">IF(L843="Renewal",1,0)</f>
        <v>0</v>
      </c>
      <c r="AP843" s="65" t="n">
        <f aca="false">AC843*AD843</f>
        <v>1</v>
      </c>
      <c r="AQ843" s="65" t="n">
        <f aca="false">IF(AND(G843&lt;&gt;"",'Historical Score'!$C$6&lt;&gt;""),IF(G843='Historical Score'!$C$6,1,0),0)</f>
        <v>0</v>
      </c>
      <c r="AR843" s="65" t="n">
        <f aca="false">IF(AND(L843&lt;&gt;"",'Historical Score'!$C$5&lt;&gt;""),IF(L843='Historical Score'!$C$5,1,0),0)</f>
        <v>1</v>
      </c>
      <c r="AS843" s="65" t="n">
        <f aca="false">IF(AND(Y843&lt;&gt;"",'Historical Score'!$C$7&lt;&gt;""),IF(Y843='Historical Score'!$C$7,1,0),0)</f>
        <v>0</v>
      </c>
      <c r="AT843" s="65" t="n">
        <f aca="false">IF(AND(K843&lt;&gt;"",'Historical Score'!$C$8&lt;&gt;""),IF(K843='Historical Score'!$C$8,1,0),0)</f>
        <v>0</v>
      </c>
      <c r="AU843" s="65" t="n">
        <f aca="false">IF(AND(J843&lt;&gt;"",'Historical Score'!$C$9&lt;&gt;""),IF(J843='Historical Score'!$C$9,1,0),0)</f>
        <v>1</v>
      </c>
      <c r="AV843" s="65" t="n">
        <f aca="false">AR843*AS843*AQ843</f>
        <v>0</v>
      </c>
      <c r="AW843" s="65" t="n">
        <f aca="false">AR843*AT843*AQ843</f>
        <v>0</v>
      </c>
      <c r="AX843" s="65" t="n">
        <f aca="false">AR843*AS843</f>
        <v>0</v>
      </c>
      <c r="AY843" s="65" t="n">
        <f aca="false">AR843*AT843</f>
        <v>0</v>
      </c>
      <c r="AZ843" s="65" t="n">
        <f aca="false">AR843*AQ843</f>
        <v>0</v>
      </c>
      <c r="BA843" s="65" t="n">
        <f aca="false">AR843</f>
        <v>1</v>
      </c>
      <c r="BB843" s="65" t="n">
        <f aca="false">1</f>
        <v>1</v>
      </c>
      <c r="BC843" s="65" t="n">
        <f aca="false">IF(AV843=1,1,IF(AW843=1,2,IF(AX843=1,3,IF(AY843=1,4,IF(AZ843=1,5,IF(BA843=1,6,7))))))</f>
        <v>6</v>
      </c>
      <c r="BD843" s="65" t="n">
        <f aca="false">IF(AD843=1,CHOOSE('Historical Score'!$C$29,AV843,AW843,AX843,AY843,AZ843,BA843,BB843),0)</f>
        <v>0</v>
      </c>
      <c r="BE843" s="65" t="str">
        <f aca="false">IF(BD843=1,COUNTIF($BD$2:BD843,1),"")</f>
        <v/>
      </c>
    </row>
    <row r="844" customFormat="false" ht="15" hidden="false" customHeight="false" outlineLevel="0" collapsed="false">
      <c r="A844" s="65" t="s">
        <v>2644</v>
      </c>
      <c r="B844" s="65" t="s">
        <v>2645</v>
      </c>
      <c r="C844" s="65" t="s">
        <v>2646</v>
      </c>
      <c r="D844" s="65" t="s">
        <v>295</v>
      </c>
      <c r="E844" s="112" t="n">
        <v>46148</v>
      </c>
      <c r="F844" s="112" t="n">
        <v>46251</v>
      </c>
      <c r="G844" s="65" t="n">
        <v>1</v>
      </c>
      <c r="H844" s="65" t="s">
        <v>1589</v>
      </c>
      <c r="I844" s="65" t="s">
        <v>1590</v>
      </c>
      <c r="J844" s="65" t="s">
        <v>61</v>
      </c>
      <c r="K844" s="65" t="s">
        <v>538</v>
      </c>
      <c r="L844" s="65" t="s">
        <v>64</v>
      </c>
      <c r="M844" s="113" t="n">
        <v>1.49</v>
      </c>
      <c r="N844" s="114" t="n">
        <v>75000</v>
      </c>
      <c r="O844" s="114" t="n">
        <v>10500</v>
      </c>
      <c r="P844" s="114" t="n">
        <v>111750</v>
      </c>
      <c r="Q844" s="114" t="n">
        <v>46575</v>
      </c>
      <c r="R844" s="114" t="n">
        <v>65175</v>
      </c>
      <c r="S844" s="115" t="n">
        <v>0.416778523489933</v>
      </c>
      <c r="T844" s="65" t="n">
        <v>36</v>
      </c>
      <c r="U844" s="65" t="n">
        <v>0</v>
      </c>
      <c r="V844" s="65" t="n">
        <v>150000</v>
      </c>
      <c r="W844" s="115" t="n">
        <v>0.0828</v>
      </c>
      <c r="X844" s="112" t="n">
        <v>42186</v>
      </c>
      <c r="Y844" s="65" t="str">
        <f aca="false">IF(I844="","No SIC",IFERROR(VLOOKUP(I844,Ref!$A$2:$B$65,2,FALSE()),"Unclassified"))</f>
        <v>Legal Services</v>
      </c>
      <c r="Z844" s="65" t="str">
        <f aca="false">IF(T844="","",IF(T844&lt;12,"Daily","Weekly"))</f>
        <v>Weekly</v>
      </c>
      <c r="AA844" s="65" t="n">
        <f aca="false">IF(T844="",0,IF(T844&lt;12,T844*Controls!$B$29,T844*5))</f>
        <v>180</v>
      </c>
      <c r="AB844" s="65" t="n">
        <f aca="false">IF(E844="",0,NETWORKDAYS(E844,Controls!$B$36,Ref!$K$2:$K$42))</f>
        <v>78</v>
      </c>
      <c r="AC844" s="65" t="n">
        <f aca="false">IF(AND(AA844&gt;0,AB844&gt;=Controls!$B$39*AA844),1,0)</f>
        <v>0</v>
      </c>
      <c r="AD844" s="65" t="n">
        <f aca="false">IF(AND(E844&lt;&gt;"",E844&gt;=Controls!$B$37,E844&lt;=Controls!$B$38),1,0)</f>
        <v>1</v>
      </c>
      <c r="AE844" s="65" t="n">
        <f aca="false">IF(IFERROR(VLOOKUP(D844,Controls!$A$64:$E$74,2,FALSE()),"No")="Yes",1,0)</f>
        <v>0</v>
      </c>
      <c r="AF844" s="65" t="n">
        <f aca="false">IF(IFERROR(VLOOKUP(D844,Controls!$A$64:$E$74,3,FALSE()),"No")="Yes",1,0)</f>
        <v>0</v>
      </c>
      <c r="AG844" s="65" t="n">
        <f aca="false">IF(IFERROR(VLOOKUP(D844,Controls!$A$64:$E$74,4,FALSE()),"No")="Yes",1,0)</f>
        <v>0</v>
      </c>
      <c r="AH844" s="65" t="n">
        <f aca="false">IF(IFERROR(VLOOKUP(D844,Controls!$A$64:$E$74,5,FALSE()),"No")="Yes",1,0)</f>
        <v>1</v>
      </c>
      <c r="AI844" s="65" t="n">
        <f aca="false">IF(ISNUMBER(MATCH(D844,Controls!$A$64:$A$74,0)),1,0)</f>
        <v>1</v>
      </c>
      <c r="AJ844" s="65" t="n">
        <f aca="false">Q844-N844</f>
        <v>-28425</v>
      </c>
      <c r="AK844" s="65" t="n">
        <f aca="false">IF(AE844=1,MAX(0,N844-Q844),0)</f>
        <v>0</v>
      </c>
      <c r="AL844" s="65" t="n">
        <f aca="false">IF(OR(V844="",V844=0),0,N844/V844)</f>
        <v>0.5</v>
      </c>
      <c r="AM844" s="65" t="n">
        <f aca="false">IF(OR(V844="",V844=0),0,1)</f>
        <v>1</v>
      </c>
      <c r="AN844" s="65" t="n">
        <f aca="false">IF(OR(E844="",F844=""),0,NETWORKDAYS(E844,F844,Ref!$K$2:$K$42))</f>
        <v>72</v>
      </c>
      <c r="AO844" s="65" t="n">
        <f aca="false">IF(L844="Renewal",1,0)</f>
        <v>0</v>
      </c>
      <c r="AP844" s="65" t="n">
        <f aca="false">AC844*AD844</f>
        <v>0</v>
      </c>
      <c r="AQ844" s="65" t="n">
        <f aca="false">IF(AND(G844&lt;&gt;"",'Historical Score'!$C$6&lt;&gt;""),IF(G844='Historical Score'!$C$6,1,0),0)</f>
        <v>0</v>
      </c>
      <c r="AR844" s="65" t="n">
        <f aca="false">IF(AND(L844&lt;&gt;"",'Historical Score'!$C$5&lt;&gt;""),IF(L844='Historical Score'!$C$5,1,0),0)</f>
        <v>1</v>
      </c>
      <c r="AS844" s="65" t="n">
        <f aca="false">IF(AND(Y844&lt;&gt;"",'Historical Score'!$C$7&lt;&gt;""),IF(Y844='Historical Score'!$C$7,1,0),0)</f>
        <v>0</v>
      </c>
      <c r="AT844" s="65" t="n">
        <f aca="false">IF(AND(K844&lt;&gt;"",'Historical Score'!$C$8&lt;&gt;""),IF(K844='Historical Score'!$C$8,1,0),0)</f>
        <v>0</v>
      </c>
      <c r="AU844" s="65" t="n">
        <f aca="false">IF(AND(J844&lt;&gt;"",'Historical Score'!$C$9&lt;&gt;""),IF(J844='Historical Score'!$C$9,1,0),0)</f>
        <v>1</v>
      </c>
      <c r="AV844" s="65" t="n">
        <f aca="false">AR844*AS844*AQ844</f>
        <v>0</v>
      </c>
      <c r="AW844" s="65" t="n">
        <f aca="false">AR844*AT844*AQ844</f>
        <v>0</v>
      </c>
      <c r="AX844" s="65" t="n">
        <f aca="false">AR844*AS844</f>
        <v>0</v>
      </c>
      <c r="AY844" s="65" t="n">
        <f aca="false">AR844*AT844</f>
        <v>0</v>
      </c>
      <c r="AZ844" s="65" t="n">
        <f aca="false">AR844*AQ844</f>
        <v>0</v>
      </c>
      <c r="BA844" s="65" t="n">
        <f aca="false">AR844</f>
        <v>1</v>
      </c>
      <c r="BB844" s="65" t="n">
        <f aca="false">1</f>
        <v>1</v>
      </c>
      <c r="BC844" s="65" t="n">
        <f aca="false">IF(AV844=1,1,IF(AW844=1,2,IF(AX844=1,3,IF(AY844=1,4,IF(AZ844=1,5,IF(BA844=1,6,7))))))</f>
        <v>6</v>
      </c>
      <c r="BD844" s="65" t="n">
        <f aca="false">IF(AD844=1,CHOOSE('Historical Score'!$C$29,AV844,AW844,AX844,AY844,AZ844,BA844,BB844),0)</f>
        <v>0</v>
      </c>
      <c r="BE844" s="65" t="str">
        <f aca="false">IF(BD844=1,COUNTIF($BD$2:BD844,1),"")</f>
        <v/>
      </c>
    </row>
    <row r="845" customFormat="false" ht="15" hidden="false" customHeight="false" outlineLevel="0" collapsed="false">
      <c r="A845" s="65" t="s">
        <v>2647</v>
      </c>
      <c r="B845" s="65" t="s">
        <v>2648</v>
      </c>
      <c r="C845" s="65" t="s">
        <v>2649</v>
      </c>
      <c r="D845" s="65" t="s">
        <v>295</v>
      </c>
      <c r="E845" s="112" t="n">
        <v>46148</v>
      </c>
      <c r="F845" s="112" t="n">
        <v>46247</v>
      </c>
      <c r="G845" s="65" t="n">
        <v>2</v>
      </c>
      <c r="H845" s="65" t="s">
        <v>752</v>
      </c>
      <c r="I845" s="65" t="s">
        <v>405</v>
      </c>
      <c r="J845" s="65" t="s">
        <v>799</v>
      </c>
      <c r="K845" s="65" t="s">
        <v>1204</v>
      </c>
      <c r="L845" s="65" t="s">
        <v>64</v>
      </c>
      <c r="M845" s="113" t="n">
        <v>1.45</v>
      </c>
      <c r="N845" s="114" t="n">
        <v>200000</v>
      </c>
      <c r="O845" s="114" t="n">
        <v>24000</v>
      </c>
      <c r="P845" s="114" t="n">
        <v>290000</v>
      </c>
      <c r="Q845" s="114" t="n">
        <v>135357.6</v>
      </c>
      <c r="R845" s="114" t="n">
        <v>154642.4</v>
      </c>
      <c r="S845" s="115" t="n">
        <v>0.466750344827586</v>
      </c>
      <c r="T845" s="65" t="n">
        <v>30</v>
      </c>
      <c r="U845" s="65" t="n">
        <v>0</v>
      </c>
      <c r="V845" s="65" t="n">
        <v>233960.04</v>
      </c>
      <c r="W845" s="115" t="n">
        <v>0.1653</v>
      </c>
      <c r="X845" s="112" t="n">
        <v>44625</v>
      </c>
      <c r="Y845" s="65" t="str">
        <f aca="false">IF(I845="","No SIC",IFERROR(VLOOKUP(I845,Ref!$A$2:$B$65,2,FALSE()),"Unclassified"))</f>
        <v>Health Services</v>
      </c>
      <c r="Z845" s="65" t="str">
        <f aca="false">IF(T845="","",IF(T845&lt;12,"Daily","Weekly"))</f>
        <v>Weekly</v>
      </c>
      <c r="AA845" s="65" t="n">
        <f aca="false">IF(T845="",0,IF(T845&lt;12,T845*Controls!$B$29,T845*5))</f>
        <v>150</v>
      </c>
      <c r="AB845" s="65" t="n">
        <f aca="false">IF(E845="",0,NETWORKDAYS(E845,Controls!$B$36,Ref!$K$2:$K$42))</f>
        <v>78</v>
      </c>
      <c r="AC845" s="65" t="n">
        <f aca="false">IF(AND(AA845&gt;0,AB845&gt;=Controls!$B$39*AA845),1,0)</f>
        <v>0</v>
      </c>
      <c r="AD845" s="65" t="n">
        <f aca="false">IF(AND(E845&lt;&gt;"",E845&gt;=Controls!$B$37,E845&lt;=Controls!$B$38),1,0)</f>
        <v>1</v>
      </c>
      <c r="AE845" s="65" t="n">
        <f aca="false">IF(IFERROR(VLOOKUP(D845,Controls!$A$64:$E$74,2,FALSE()),"No")="Yes",1,0)</f>
        <v>0</v>
      </c>
      <c r="AF845" s="65" t="n">
        <f aca="false">IF(IFERROR(VLOOKUP(D845,Controls!$A$64:$E$74,3,FALSE()),"No")="Yes",1,0)</f>
        <v>0</v>
      </c>
      <c r="AG845" s="65" t="n">
        <f aca="false">IF(IFERROR(VLOOKUP(D845,Controls!$A$64:$E$74,4,FALSE()),"No")="Yes",1,0)</f>
        <v>0</v>
      </c>
      <c r="AH845" s="65" t="n">
        <f aca="false">IF(IFERROR(VLOOKUP(D845,Controls!$A$64:$E$74,5,FALSE()),"No")="Yes",1,0)</f>
        <v>1</v>
      </c>
      <c r="AI845" s="65" t="n">
        <f aca="false">IF(ISNUMBER(MATCH(D845,Controls!$A$64:$A$74,0)),1,0)</f>
        <v>1</v>
      </c>
      <c r="AJ845" s="65" t="n">
        <f aca="false">Q845-N845</f>
        <v>-64642.4</v>
      </c>
      <c r="AK845" s="65" t="n">
        <f aca="false">IF(AE845=1,MAX(0,N845-Q845),0)</f>
        <v>0</v>
      </c>
      <c r="AL845" s="65" t="n">
        <f aca="false">IF(OR(V845="",V845=0),0,N845/V845)</f>
        <v>0.854846836237505</v>
      </c>
      <c r="AM845" s="65" t="n">
        <f aca="false">IF(OR(V845="",V845=0),0,1)</f>
        <v>1</v>
      </c>
      <c r="AN845" s="65" t="n">
        <f aca="false">IF(OR(E845="",F845=""),0,NETWORKDAYS(E845,F845,Ref!$K$2:$K$42))</f>
        <v>70</v>
      </c>
      <c r="AO845" s="65" t="n">
        <f aca="false">IF(L845="Renewal",1,0)</f>
        <v>0</v>
      </c>
      <c r="AP845" s="65" t="n">
        <f aca="false">AC845*AD845</f>
        <v>0</v>
      </c>
      <c r="AQ845" s="65" t="n">
        <f aca="false">IF(AND(G845&lt;&gt;"",'Historical Score'!$C$6&lt;&gt;""),IF(G845='Historical Score'!$C$6,1,0),0)</f>
        <v>1</v>
      </c>
      <c r="AR845" s="65" t="n">
        <f aca="false">IF(AND(L845&lt;&gt;"",'Historical Score'!$C$5&lt;&gt;""),IF(L845='Historical Score'!$C$5,1,0),0)</f>
        <v>1</v>
      </c>
      <c r="AS845" s="65" t="n">
        <f aca="false">IF(AND(Y845&lt;&gt;"",'Historical Score'!$C$7&lt;&gt;""),IF(Y845='Historical Score'!$C$7,1,0),0)</f>
        <v>0</v>
      </c>
      <c r="AT845" s="65" t="n">
        <f aca="false">IF(AND(K845&lt;&gt;"",'Historical Score'!$C$8&lt;&gt;""),IF(K845='Historical Score'!$C$8,1,0),0)</f>
        <v>0</v>
      </c>
      <c r="AU845" s="65" t="n">
        <f aca="false">IF(AND(J845&lt;&gt;"",'Historical Score'!$C$9&lt;&gt;""),IF(J845='Historical Score'!$C$9,1,0),0)</f>
        <v>0</v>
      </c>
      <c r="AV845" s="65" t="n">
        <f aca="false">AR845*AS845*AQ845</f>
        <v>0</v>
      </c>
      <c r="AW845" s="65" t="n">
        <f aca="false">AR845*AT845*AQ845</f>
        <v>0</v>
      </c>
      <c r="AX845" s="65" t="n">
        <f aca="false">AR845*AS845</f>
        <v>0</v>
      </c>
      <c r="AY845" s="65" t="n">
        <f aca="false">AR845*AT845</f>
        <v>0</v>
      </c>
      <c r="AZ845" s="65" t="n">
        <f aca="false">AR845*AQ845</f>
        <v>1</v>
      </c>
      <c r="BA845" s="65" t="n">
        <f aca="false">AR845</f>
        <v>1</v>
      </c>
      <c r="BB845" s="65" t="n">
        <f aca="false">1</f>
        <v>1</v>
      </c>
      <c r="BC845" s="65" t="n">
        <f aca="false">IF(AV845=1,1,IF(AW845=1,2,IF(AX845=1,3,IF(AY845=1,4,IF(AZ845=1,5,IF(BA845=1,6,7))))))</f>
        <v>5</v>
      </c>
      <c r="BD845" s="65" t="n">
        <f aca="false">IF(AD845=1,CHOOSE('Historical Score'!$C$29,AV845,AW845,AX845,AY845,AZ845,BA845,BB845),0)</f>
        <v>0</v>
      </c>
      <c r="BE845" s="65" t="str">
        <f aca="false">IF(BD845=1,COUNTIF($BD$2:BD845,1),"")</f>
        <v/>
      </c>
    </row>
    <row r="846" customFormat="false" ht="15" hidden="false" customHeight="false" outlineLevel="0" collapsed="false">
      <c r="A846" s="65" t="s">
        <v>2650</v>
      </c>
      <c r="B846" s="65" t="s">
        <v>2651</v>
      </c>
      <c r="C846" s="65" t="s">
        <v>2651</v>
      </c>
      <c r="D846" s="65" t="s">
        <v>371</v>
      </c>
      <c r="E846" s="112" t="n">
        <v>46148</v>
      </c>
      <c r="F846" s="112" t="n">
        <v>46241</v>
      </c>
      <c r="G846" s="65" t="n">
        <v>3</v>
      </c>
      <c r="H846" s="65" t="s">
        <v>2652</v>
      </c>
      <c r="I846" s="65" t="s">
        <v>1907</v>
      </c>
      <c r="J846" s="65" t="s">
        <v>1426</v>
      </c>
      <c r="K846" s="65" t="s">
        <v>2594</v>
      </c>
      <c r="L846" s="65" t="s">
        <v>64</v>
      </c>
      <c r="M846" s="113" t="n">
        <v>1.39</v>
      </c>
      <c r="N846" s="114" t="n">
        <v>15000</v>
      </c>
      <c r="O846" s="114" t="n">
        <v>1350</v>
      </c>
      <c r="P846" s="114" t="n">
        <v>20850</v>
      </c>
      <c r="Q846" s="114" t="n">
        <v>20850</v>
      </c>
      <c r="R846" s="114" t="n">
        <v>0</v>
      </c>
      <c r="S846" s="115" t="n">
        <v>1</v>
      </c>
      <c r="T846" s="65" t="n">
        <v>20</v>
      </c>
      <c r="U846" s="65" t="n">
        <v>0</v>
      </c>
      <c r="V846" s="65" t="n">
        <v>46967.68</v>
      </c>
      <c r="W846" s="115" t="n">
        <v>0.0888</v>
      </c>
      <c r="X846" s="112" t="n">
        <v>33970</v>
      </c>
      <c r="Y846" s="65" t="str">
        <f aca="false">IF(I846="","No SIC",IFERROR(VLOOKUP(I846,Ref!$A$2:$B$65,2,FALSE()),"Unclassified"))</f>
        <v>Printing &amp; Publishing</v>
      </c>
      <c r="Z846" s="65" t="str">
        <f aca="false">IF(T846="","",IF(T846&lt;12,"Daily","Weekly"))</f>
        <v>Weekly</v>
      </c>
      <c r="AA846" s="65" t="n">
        <f aca="false">IF(T846="",0,IF(T846&lt;12,T846*Controls!$B$29,T846*5))</f>
        <v>100</v>
      </c>
      <c r="AB846" s="65" t="n">
        <f aca="false">IF(E846="",0,NETWORKDAYS(E846,Controls!$B$36,Ref!$K$2:$K$42))</f>
        <v>78</v>
      </c>
      <c r="AC846" s="65" t="n">
        <f aca="false">IF(AND(AA846&gt;0,AB846&gt;=Controls!$B$39*AA846),1,0)</f>
        <v>0</v>
      </c>
      <c r="AD846" s="65" t="n">
        <f aca="false">IF(AND(E846&lt;&gt;"",E846&gt;=Controls!$B$37,E846&lt;=Controls!$B$38),1,0)</f>
        <v>1</v>
      </c>
      <c r="AE846" s="65" t="n">
        <f aca="false">IF(IFERROR(VLOOKUP(D846,Controls!$A$64:$E$74,2,FALSE()),"No")="Yes",1,0)</f>
        <v>0</v>
      </c>
      <c r="AF846" s="65" t="n">
        <f aca="false">IF(IFERROR(VLOOKUP(D846,Controls!$A$64:$E$74,3,FALSE()),"No")="Yes",1,0)</f>
        <v>1</v>
      </c>
      <c r="AG846" s="65" t="n">
        <f aca="false">IF(IFERROR(VLOOKUP(D846,Controls!$A$64:$E$74,4,FALSE()),"No")="Yes",1,0)</f>
        <v>1</v>
      </c>
      <c r="AH846" s="65" t="n">
        <f aca="false">IF(IFERROR(VLOOKUP(D846,Controls!$A$64:$E$74,5,FALSE()),"No")="Yes",1,0)</f>
        <v>0</v>
      </c>
      <c r="AI846" s="65" t="n">
        <f aca="false">IF(ISNUMBER(MATCH(D846,Controls!$A$64:$A$74,0)),1,0)</f>
        <v>1</v>
      </c>
      <c r="AJ846" s="65" t="n">
        <f aca="false">Q846-N846</f>
        <v>5850</v>
      </c>
      <c r="AK846" s="65" t="n">
        <f aca="false">IF(AE846=1,MAX(0,N846-Q846),0)</f>
        <v>0</v>
      </c>
      <c r="AL846" s="65" t="n">
        <f aca="false">IF(OR(V846="",V846=0),0,N846/V846)</f>
        <v>0.319368553013477</v>
      </c>
      <c r="AM846" s="65" t="n">
        <f aca="false">IF(OR(V846="",V846=0),0,1)</f>
        <v>1</v>
      </c>
      <c r="AN846" s="65" t="n">
        <f aca="false">IF(OR(E846="",F846=""),0,NETWORKDAYS(E846,F846,Ref!$K$2:$K$42))</f>
        <v>66</v>
      </c>
      <c r="AO846" s="65" t="n">
        <f aca="false">IF(L846="Renewal",1,0)</f>
        <v>0</v>
      </c>
      <c r="AP846" s="65" t="n">
        <f aca="false">AC846*AD846</f>
        <v>0</v>
      </c>
      <c r="AQ846" s="65" t="n">
        <f aca="false">IF(AND(G846&lt;&gt;"",'Historical Score'!$C$6&lt;&gt;""),IF(G846='Historical Score'!$C$6,1,0),0)</f>
        <v>0</v>
      </c>
      <c r="AR846" s="65" t="n">
        <f aca="false">IF(AND(L846&lt;&gt;"",'Historical Score'!$C$5&lt;&gt;""),IF(L846='Historical Score'!$C$5,1,0),0)</f>
        <v>1</v>
      </c>
      <c r="AS846" s="65" t="n">
        <f aca="false">IF(AND(Y846&lt;&gt;"",'Historical Score'!$C$7&lt;&gt;""),IF(Y846='Historical Score'!$C$7,1,0),0)</f>
        <v>0</v>
      </c>
      <c r="AT846" s="65" t="n">
        <f aca="false">IF(AND(K846&lt;&gt;"",'Historical Score'!$C$8&lt;&gt;""),IF(K846='Historical Score'!$C$8,1,0),0)</f>
        <v>0</v>
      </c>
      <c r="AU846" s="65" t="n">
        <f aca="false">IF(AND(J846&lt;&gt;"",'Historical Score'!$C$9&lt;&gt;""),IF(J846='Historical Score'!$C$9,1,0),0)</f>
        <v>0</v>
      </c>
      <c r="AV846" s="65" t="n">
        <f aca="false">AR846*AS846*AQ846</f>
        <v>0</v>
      </c>
      <c r="AW846" s="65" t="n">
        <f aca="false">AR846*AT846*AQ846</f>
        <v>0</v>
      </c>
      <c r="AX846" s="65" t="n">
        <f aca="false">AR846*AS846</f>
        <v>0</v>
      </c>
      <c r="AY846" s="65" t="n">
        <f aca="false">AR846*AT846</f>
        <v>0</v>
      </c>
      <c r="AZ846" s="65" t="n">
        <f aca="false">AR846*AQ846</f>
        <v>0</v>
      </c>
      <c r="BA846" s="65" t="n">
        <f aca="false">AR846</f>
        <v>1</v>
      </c>
      <c r="BB846" s="65" t="n">
        <f aca="false">1</f>
        <v>1</v>
      </c>
      <c r="BC846" s="65" t="n">
        <f aca="false">IF(AV846=1,1,IF(AW846=1,2,IF(AX846=1,3,IF(AY846=1,4,IF(AZ846=1,5,IF(BA846=1,6,7))))))</f>
        <v>6</v>
      </c>
      <c r="BD846" s="65" t="n">
        <f aca="false">IF(AD846=1,CHOOSE('Historical Score'!$C$29,AV846,AW846,AX846,AY846,AZ846,BA846,BB846),0)</f>
        <v>0</v>
      </c>
      <c r="BE846" s="65" t="str">
        <f aca="false">IF(BD846=1,COUNTIF($BD$2:BD846,1),"")</f>
        <v/>
      </c>
    </row>
    <row r="847" customFormat="false" ht="15" hidden="false" customHeight="false" outlineLevel="0" collapsed="false">
      <c r="A847" s="65" t="s">
        <v>2653</v>
      </c>
      <c r="B847" s="65" t="s">
        <v>2654</v>
      </c>
      <c r="C847" s="65" t="s">
        <v>2654</v>
      </c>
      <c r="D847" s="65" t="s">
        <v>295</v>
      </c>
      <c r="E847" s="112" t="n">
        <v>46149</v>
      </c>
      <c r="F847" s="112" t="n">
        <v>46248</v>
      </c>
      <c r="G847" s="65" t="n">
        <v>3</v>
      </c>
      <c r="H847" s="65" t="s">
        <v>500</v>
      </c>
      <c r="I847" s="65" t="s">
        <v>475</v>
      </c>
      <c r="J847" s="65" t="s">
        <v>649</v>
      </c>
      <c r="K847" s="65" t="s">
        <v>1788</v>
      </c>
      <c r="L847" s="65" t="s">
        <v>64</v>
      </c>
      <c r="M847" s="113" t="n">
        <v>1.45</v>
      </c>
      <c r="N847" s="114" t="n">
        <v>35000</v>
      </c>
      <c r="O847" s="114" t="n">
        <v>4200</v>
      </c>
      <c r="P847" s="114" t="n">
        <v>50750</v>
      </c>
      <c r="Q847" s="114" t="n">
        <v>22196.16</v>
      </c>
      <c r="R847" s="114" t="n">
        <v>28553.84</v>
      </c>
      <c r="S847" s="115" t="n">
        <v>0.43736275862069</v>
      </c>
      <c r="T847" s="65" t="n">
        <v>32</v>
      </c>
      <c r="U847" s="65" t="n">
        <v>0</v>
      </c>
      <c r="V847" s="65" t="n">
        <v>66135.6</v>
      </c>
      <c r="W847" s="115" t="n">
        <v>0.0853</v>
      </c>
      <c r="X847" s="112" t="n">
        <v>40057</v>
      </c>
      <c r="Y847" s="65" t="str">
        <f aca="false">IF(I847="","No SIC",IFERROR(VLOOKUP(I847,Ref!$A$2:$B$65,2,FALSE()),"Unclassified"))</f>
        <v>Auto Repair &amp; Services</v>
      </c>
      <c r="Z847" s="65" t="str">
        <f aca="false">IF(T847="","",IF(T847&lt;12,"Daily","Weekly"))</f>
        <v>Weekly</v>
      </c>
      <c r="AA847" s="65" t="n">
        <f aca="false">IF(T847="",0,IF(T847&lt;12,T847*Controls!$B$29,T847*5))</f>
        <v>160</v>
      </c>
      <c r="AB847" s="65" t="n">
        <f aca="false">IF(E847="",0,NETWORKDAYS(E847,Controls!$B$36,Ref!$K$2:$K$42))</f>
        <v>77</v>
      </c>
      <c r="AC847" s="65" t="n">
        <f aca="false">IF(AND(AA847&gt;0,AB847&gt;=Controls!$B$39*AA847),1,0)</f>
        <v>0</v>
      </c>
      <c r="AD847" s="65" t="n">
        <f aca="false">IF(AND(E847&lt;&gt;"",E847&gt;=Controls!$B$37,E847&lt;=Controls!$B$38),1,0)</f>
        <v>1</v>
      </c>
      <c r="AE847" s="65" t="n">
        <f aca="false">IF(IFERROR(VLOOKUP(D847,Controls!$A$64:$E$74,2,FALSE()),"No")="Yes",1,0)</f>
        <v>0</v>
      </c>
      <c r="AF847" s="65" t="n">
        <f aca="false">IF(IFERROR(VLOOKUP(D847,Controls!$A$64:$E$74,3,FALSE()),"No")="Yes",1,0)</f>
        <v>0</v>
      </c>
      <c r="AG847" s="65" t="n">
        <f aca="false">IF(IFERROR(VLOOKUP(D847,Controls!$A$64:$E$74,4,FALSE()),"No")="Yes",1,0)</f>
        <v>0</v>
      </c>
      <c r="AH847" s="65" t="n">
        <f aca="false">IF(IFERROR(VLOOKUP(D847,Controls!$A$64:$E$74,5,FALSE()),"No")="Yes",1,0)</f>
        <v>1</v>
      </c>
      <c r="AI847" s="65" t="n">
        <f aca="false">IF(ISNUMBER(MATCH(D847,Controls!$A$64:$A$74,0)),1,0)</f>
        <v>1</v>
      </c>
      <c r="AJ847" s="65" t="n">
        <f aca="false">Q847-N847</f>
        <v>-12803.84</v>
      </c>
      <c r="AK847" s="65" t="n">
        <f aca="false">IF(AE847=1,MAX(0,N847-Q847),0)</f>
        <v>0</v>
      </c>
      <c r="AL847" s="65" t="n">
        <f aca="false">IF(OR(V847="",V847=0),0,N847/V847)</f>
        <v>0.529215732525296</v>
      </c>
      <c r="AM847" s="65" t="n">
        <f aca="false">IF(OR(V847="",V847=0),0,1)</f>
        <v>1</v>
      </c>
      <c r="AN847" s="65" t="n">
        <f aca="false">IF(OR(E847="",F847=""),0,NETWORKDAYS(E847,F847,Ref!$K$2:$K$42))</f>
        <v>70</v>
      </c>
      <c r="AO847" s="65" t="n">
        <f aca="false">IF(L847="Renewal",1,0)</f>
        <v>0</v>
      </c>
      <c r="AP847" s="65" t="n">
        <f aca="false">AC847*AD847</f>
        <v>0</v>
      </c>
      <c r="AQ847" s="65" t="n">
        <f aca="false">IF(AND(G847&lt;&gt;"",'Historical Score'!$C$6&lt;&gt;""),IF(G847='Historical Score'!$C$6,1,0),0)</f>
        <v>0</v>
      </c>
      <c r="AR847" s="65" t="n">
        <f aca="false">IF(AND(L847&lt;&gt;"",'Historical Score'!$C$5&lt;&gt;""),IF(L847='Historical Score'!$C$5,1,0),0)</f>
        <v>1</v>
      </c>
      <c r="AS847" s="65" t="n">
        <f aca="false">IF(AND(Y847&lt;&gt;"",'Historical Score'!$C$7&lt;&gt;""),IF(Y847='Historical Score'!$C$7,1,0),0)</f>
        <v>0</v>
      </c>
      <c r="AT847" s="65" t="n">
        <f aca="false">IF(AND(K847&lt;&gt;"",'Historical Score'!$C$8&lt;&gt;""),IF(K847='Historical Score'!$C$8,1,0),0)</f>
        <v>0</v>
      </c>
      <c r="AU847" s="65" t="n">
        <f aca="false">IF(AND(J847&lt;&gt;"",'Historical Score'!$C$9&lt;&gt;""),IF(J847='Historical Score'!$C$9,1,0),0)</f>
        <v>0</v>
      </c>
      <c r="AV847" s="65" t="n">
        <f aca="false">AR847*AS847*AQ847</f>
        <v>0</v>
      </c>
      <c r="AW847" s="65" t="n">
        <f aca="false">AR847*AT847*AQ847</f>
        <v>0</v>
      </c>
      <c r="AX847" s="65" t="n">
        <f aca="false">AR847*AS847</f>
        <v>0</v>
      </c>
      <c r="AY847" s="65" t="n">
        <f aca="false">AR847*AT847</f>
        <v>0</v>
      </c>
      <c r="AZ847" s="65" t="n">
        <f aca="false">AR847*AQ847</f>
        <v>0</v>
      </c>
      <c r="BA847" s="65" t="n">
        <f aca="false">AR847</f>
        <v>1</v>
      </c>
      <c r="BB847" s="65" t="n">
        <f aca="false">1</f>
        <v>1</v>
      </c>
      <c r="BC847" s="65" t="n">
        <f aca="false">IF(AV847=1,1,IF(AW847=1,2,IF(AX847=1,3,IF(AY847=1,4,IF(AZ847=1,5,IF(BA847=1,6,7))))))</f>
        <v>6</v>
      </c>
      <c r="BD847" s="65" t="n">
        <f aca="false">IF(AD847=1,CHOOSE('Historical Score'!$C$29,AV847,AW847,AX847,AY847,AZ847,BA847,BB847),0)</f>
        <v>0</v>
      </c>
      <c r="BE847" s="65" t="str">
        <f aca="false">IF(BD847=1,COUNTIF($BD$2:BD847,1),"")</f>
        <v/>
      </c>
    </row>
    <row r="848" customFormat="false" ht="15" hidden="false" customHeight="false" outlineLevel="0" collapsed="false">
      <c r="A848" s="65" t="s">
        <v>2655</v>
      </c>
      <c r="B848" s="65" t="s">
        <v>2656</v>
      </c>
      <c r="C848" s="65" t="s">
        <v>2657</v>
      </c>
      <c r="D848" s="65" t="s">
        <v>340</v>
      </c>
      <c r="E848" s="112" t="n">
        <v>46149</v>
      </c>
      <c r="F848" s="112" t="n">
        <v>46171</v>
      </c>
      <c r="G848" s="65" t="n">
        <v>3</v>
      </c>
      <c r="H848" s="65" t="s">
        <v>1146</v>
      </c>
      <c r="I848" s="65" t="s">
        <v>419</v>
      </c>
      <c r="J848" s="65" t="s">
        <v>452</v>
      </c>
      <c r="K848" s="65" t="s">
        <v>55</v>
      </c>
      <c r="L848" s="65" t="s">
        <v>64</v>
      </c>
      <c r="M848" s="113" t="n">
        <v>1.49</v>
      </c>
      <c r="N848" s="114" t="n">
        <v>20000</v>
      </c>
      <c r="O848" s="114" t="n">
        <v>0</v>
      </c>
      <c r="P848" s="114" t="n">
        <v>29800</v>
      </c>
      <c r="Q848" s="114" t="n">
        <v>0</v>
      </c>
      <c r="R848" s="114" t="n">
        <v>29800</v>
      </c>
      <c r="S848" s="115" t="n">
        <v>0</v>
      </c>
      <c r="T848" s="65" t="n">
        <v>24</v>
      </c>
      <c r="U848" s="65" t="n">
        <v>3</v>
      </c>
      <c r="V848" s="65" t="n">
        <v>155870.24</v>
      </c>
      <c r="W848" s="115" t="n">
        <v>0.0452</v>
      </c>
      <c r="X848" s="112" t="n">
        <v>45828</v>
      </c>
      <c r="Y848" s="65" t="str">
        <f aca="false">IF(I848="","No SIC",IFERROR(VLOOKUP(I848,Ref!$A$2:$B$65,2,FALSE()),"Unclassified"))</f>
        <v>Business Services</v>
      </c>
      <c r="Z848" s="65" t="str">
        <f aca="false">IF(T848="","",IF(T848&lt;12,"Daily","Weekly"))</f>
        <v>Weekly</v>
      </c>
      <c r="AA848" s="65" t="n">
        <f aca="false">IF(T848="",0,IF(T848&lt;12,T848*Controls!$B$29,T848*5))</f>
        <v>120</v>
      </c>
      <c r="AB848" s="65" t="n">
        <f aca="false">IF(E848="",0,NETWORKDAYS(E848,Controls!$B$36,Ref!$K$2:$K$42))</f>
        <v>77</v>
      </c>
      <c r="AC848" s="65" t="n">
        <f aca="false">IF(AND(AA848&gt;0,AB848&gt;=Controls!$B$39*AA848),1,0)</f>
        <v>0</v>
      </c>
      <c r="AD848" s="65" t="n">
        <f aca="false">IF(AND(E848&lt;&gt;"",E848&gt;=Controls!$B$37,E848&lt;=Controls!$B$38),1,0)</f>
        <v>1</v>
      </c>
      <c r="AE848" s="65" t="n">
        <f aca="false">IF(IFERROR(VLOOKUP(D848,Controls!$A$64:$E$74,2,FALSE()),"No")="Yes",1,0)</f>
        <v>1</v>
      </c>
      <c r="AF848" s="65" t="n">
        <f aca="false">IF(IFERROR(VLOOKUP(D848,Controls!$A$64:$E$74,3,FALSE()),"No")="Yes",1,0)</f>
        <v>0</v>
      </c>
      <c r="AG848" s="65" t="n">
        <f aca="false">IF(IFERROR(VLOOKUP(D848,Controls!$A$64:$E$74,4,FALSE()),"No")="Yes",1,0)</f>
        <v>0</v>
      </c>
      <c r="AH848" s="65" t="n">
        <f aca="false">IF(IFERROR(VLOOKUP(D848,Controls!$A$64:$E$74,5,FALSE()),"No")="Yes",1,0)</f>
        <v>0</v>
      </c>
      <c r="AI848" s="65" t="n">
        <f aca="false">IF(ISNUMBER(MATCH(D848,Controls!$A$64:$A$74,0)),1,0)</f>
        <v>1</v>
      </c>
      <c r="AJ848" s="65" t="n">
        <f aca="false">Q848-N848</f>
        <v>-20000</v>
      </c>
      <c r="AK848" s="65" t="n">
        <f aca="false">IF(AE848=1,MAX(0,N848-Q848),0)</f>
        <v>20000</v>
      </c>
      <c r="AL848" s="65" t="n">
        <f aca="false">IF(OR(V848="",V848=0),0,N848/V848)</f>
        <v>0.128311857350062</v>
      </c>
      <c r="AM848" s="65" t="n">
        <f aca="false">IF(OR(V848="",V848=0),0,1)</f>
        <v>1</v>
      </c>
      <c r="AN848" s="65" t="n">
        <f aca="false">IF(OR(E848="",F848=""),0,NETWORKDAYS(E848,F848,Ref!$K$2:$K$42))</f>
        <v>16</v>
      </c>
      <c r="AO848" s="65" t="n">
        <f aca="false">IF(L848="Renewal",1,0)</f>
        <v>0</v>
      </c>
      <c r="AP848" s="65" t="n">
        <f aca="false">AC848*AD848</f>
        <v>0</v>
      </c>
      <c r="AQ848" s="65" t="n">
        <f aca="false">IF(AND(G848&lt;&gt;"",'Historical Score'!$C$6&lt;&gt;""),IF(G848='Historical Score'!$C$6,1,0),0)</f>
        <v>0</v>
      </c>
      <c r="AR848" s="65" t="n">
        <f aca="false">IF(AND(L848&lt;&gt;"",'Historical Score'!$C$5&lt;&gt;""),IF(L848='Historical Score'!$C$5,1,0),0)</f>
        <v>1</v>
      </c>
      <c r="AS848" s="65" t="n">
        <f aca="false">IF(AND(Y848&lt;&gt;"",'Historical Score'!$C$7&lt;&gt;""),IF(Y848='Historical Score'!$C$7,1,0),0)</f>
        <v>0</v>
      </c>
      <c r="AT848" s="65" t="n">
        <f aca="false">IF(AND(K848&lt;&gt;"",'Historical Score'!$C$8&lt;&gt;""),IF(K848='Historical Score'!$C$8,1,0),0)</f>
        <v>1</v>
      </c>
      <c r="AU848" s="65" t="n">
        <f aca="false">IF(AND(J848&lt;&gt;"",'Historical Score'!$C$9&lt;&gt;""),IF(J848='Historical Score'!$C$9,1,0),0)</f>
        <v>0</v>
      </c>
      <c r="AV848" s="65" t="n">
        <f aca="false">AR848*AS848*AQ848</f>
        <v>0</v>
      </c>
      <c r="AW848" s="65" t="n">
        <f aca="false">AR848*AT848*AQ848</f>
        <v>0</v>
      </c>
      <c r="AX848" s="65" t="n">
        <f aca="false">AR848*AS848</f>
        <v>0</v>
      </c>
      <c r="AY848" s="65" t="n">
        <f aca="false">AR848*AT848</f>
        <v>1</v>
      </c>
      <c r="AZ848" s="65" t="n">
        <f aca="false">AR848*AQ848</f>
        <v>0</v>
      </c>
      <c r="BA848" s="65" t="n">
        <f aca="false">AR848</f>
        <v>1</v>
      </c>
      <c r="BB848" s="65" t="n">
        <f aca="false">1</f>
        <v>1</v>
      </c>
      <c r="BC848" s="65" t="n">
        <f aca="false">IF(AV848=1,1,IF(AW848=1,2,IF(AX848=1,3,IF(AY848=1,4,IF(AZ848=1,5,IF(BA848=1,6,7))))))</f>
        <v>4</v>
      </c>
      <c r="BD848" s="65" t="n">
        <f aca="false">IF(AD848=1,CHOOSE('Historical Score'!$C$29,AV848,AW848,AX848,AY848,AZ848,BA848,BB848),0)</f>
        <v>0</v>
      </c>
      <c r="BE848" s="65" t="str">
        <f aca="false">IF(BD848=1,COUNTIF($BD$2:BD848,1),"")</f>
        <v/>
      </c>
    </row>
    <row r="849" customFormat="false" ht="15" hidden="false" customHeight="false" outlineLevel="0" collapsed="false">
      <c r="A849" s="65" t="s">
        <v>2658</v>
      </c>
      <c r="B849" s="65" t="s">
        <v>2659</v>
      </c>
      <c r="C849" s="65" t="s">
        <v>2660</v>
      </c>
      <c r="D849" s="65" t="s">
        <v>371</v>
      </c>
      <c r="E849" s="112" t="n">
        <v>46149</v>
      </c>
      <c r="F849" s="112" t="n">
        <v>46245</v>
      </c>
      <c r="G849" s="65" t="n">
        <v>3</v>
      </c>
      <c r="H849" s="65" t="s">
        <v>1336</v>
      </c>
      <c r="I849" s="65" t="s">
        <v>379</v>
      </c>
      <c r="J849" s="65" t="s">
        <v>555</v>
      </c>
      <c r="K849" s="65" t="s">
        <v>2661</v>
      </c>
      <c r="L849" s="65" t="s">
        <v>64</v>
      </c>
      <c r="M849" s="113" t="n">
        <v>1.45</v>
      </c>
      <c r="N849" s="114" t="n">
        <v>45000</v>
      </c>
      <c r="O849" s="114" t="n">
        <v>5400</v>
      </c>
      <c r="P849" s="114" t="n">
        <v>65250</v>
      </c>
      <c r="Q849" s="114" t="n">
        <v>65250</v>
      </c>
      <c r="R849" s="114" t="n">
        <v>0</v>
      </c>
      <c r="S849" s="115" t="n">
        <v>1</v>
      </c>
      <c r="T849" s="65" t="n">
        <v>4.59</v>
      </c>
      <c r="U849" s="65" t="n">
        <v>0</v>
      </c>
      <c r="V849" s="65" t="n">
        <v>154391.41</v>
      </c>
      <c r="W849" s="115" t="n">
        <v>0.0733</v>
      </c>
      <c r="X849" s="112" t="n">
        <v>44912</v>
      </c>
      <c r="Y849" s="65" t="str">
        <f aca="false">IF(I849="","No SIC",IFERROR(VLOOKUP(I849,Ref!$A$2:$B$65,2,FALSE()),"Unclassified"))</f>
        <v>Food Stores</v>
      </c>
      <c r="Z849" s="65" t="str">
        <f aca="false">IF(T849="","",IF(T849&lt;12,"Daily","Weekly"))</f>
        <v>Daily</v>
      </c>
      <c r="AA849" s="65" t="n">
        <f aca="false">IF(T849="",0,IF(T849&lt;12,T849*Controls!$B$29,T849*5))</f>
        <v>99.39645</v>
      </c>
      <c r="AB849" s="65" t="n">
        <f aca="false">IF(E849="",0,NETWORKDAYS(E849,Controls!$B$36,Ref!$K$2:$K$42))</f>
        <v>77</v>
      </c>
      <c r="AC849" s="65" t="n">
        <f aca="false">IF(AND(AA849&gt;0,AB849&gt;=Controls!$B$39*AA849),1,0)</f>
        <v>0</v>
      </c>
      <c r="AD849" s="65" t="n">
        <f aca="false">IF(AND(E849&lt;&gt;"",E849&gt;=Controls!$B$37,E849&lt;=Controls!$B$38),1,0)</f>
        <v>1</v>
      </c>
      <c r="AE849" s="65" t="n">
        <f aca="false">IF(IFERROR(VLOOKUP(D849,Controls!$A$64:$E$74,2,FALSE()),"No")="Yes",1,0)</f>
        <v>0</v>
      </c>
      <c r="AF849" s="65" t="n">
        <f aca="false">IF(IFERROR(VLOOKUP(D849,Controls!$A$64:$E$74,3,FALSE()),"No")="Yes",1,0)</f>
        <v>1</v>
      </c>
      <c r="AG849" s="65" t="n">
        <f aca="false">IF(IFERROR(VLOOKUP(D849,Controls!$A$64:$E$74,4,FALSE()),"No")="Yes",1,0)</f>
        <v>1</v>
      </c>
      <c r="AH849" s="65" t="n">
        <f aca="false">IF(IFERROR(VLOOKUP(D849,Controls!$A$64:$E$74,5,FALSE()),"No")="Yes",1,0)</f>
        <v>0</v>
      </c>
      <c r="AI849" s="65" t="n">
        <f aca="false">IF(ISNUMBER(MATCH(D849,Controls!$A$64:$A$74,0)),1,0)</f>
        <v>1</v>
      </c>
      <c r="AJ849" s="65" t="n">
        <f aca="false">Q849-N849</f>
        <v>20250</v>
      </c>
      <c r="AK849" s="65" t="n">
        <f aca="false">IF(AE849=1,MAX(0,N849-Q849),0)</f>
        <v>0</v>
      </c>
      <c r="AL849" s="65" t="n">
        <f aca="false">IF(OR(V849="",V849=0),0,N849/V849)</f>
        <v>0.291466992885161</v>
      </c>
      <c r="AM849" s="65" t="n">
        <f aca="false">IF(OR(V849="",V849=0),0,1)</f>
        <v>1</v>
      </c>
      <c r="AN849" s="65" t="n">
        <f aca="false">IF(OR(E849="",F849=""),0,NETWORKDAYS(E849,F849,Ref!$K$2:$K$42))</f>
        <v>67</v>
      </c>
      <c r="AO849" s="65" t="n">
        <f aca="false">IF(L849="Renewal",1,0)</f>
        <v>0</v>
      </c>
      <c r="AP849" s="65" t="n">
        <f aca="false">AC849*AD849</f>
        <v>0</v>
      </c>
      <c r="AQ849" s="65" t="n">
        <f aca="false">IF(AND(G849&lt;&gt;"",'Historical Score'!$C$6&lt;&gt;""),IF(G849='Historical Score'!$C$6,1,0),0)</f>
        <v>0</v>
      </c>
      <c r="AR849" s="65" t="n">
        <f aca="false">IF(AND(L849&lt;&gt;"",'Historical Score'!$C$5&lt;&gt;""),IF(L849='Historical Score'!$C$5,1,0),0)</f>
        <v>1</v>
      </c>
      <c r="AS849" s="65" t="n">
        <f aca="false">IF(AND(Y849&lt;&gt;"",'Historical Score'!$C$7&lt;&gt;""),IF(Y849='Historical Score'!$C$7,1,0),0)</f>
        <v>0</v>
      </c>
      <c r="AT849" s="65" t="n">
        <f aca="false">IF(AND(K849&lt;&gt;"",'Historical Score'!$C$8&lt;&gt;""),IF(K849='Historical Score'!$C$8,1,0),0)</f>
        <v>0</v>
      </c>
      <c r="AU849" s="65" t="n">
        <f aca="false">IF(AND(J849&lt;&gt;"",'Historical Score'!$C$9&lt;&gt;""),IF(J849='Historical Score'!$C$9,1,0),0)</f>
        <v>0</v>
      </c>
      <c r="AV849" s="65" t="n">
        <f aca="false">AR849*AS849*AQ849</f>
        <v>0</v>
      </c>
      <c r="AW849" s="65" t="n">
        <f aca="false">AR849*AT849*AQ849</f>
        <v>0</v>
      </c>
      <c r="AX849" s="65" t="n">
        <f aca="false">AR849*AS849</f>
        <v>0</v>
      </c>
      <c r="AY849" s="65" t="n">
        <f aca="false">AR849*AT849</f>
        <v>0</v>
      </c>
      <c r="AZ849" s="65" t="n">
        <f aca="false">AR849*AQ849</f>
        <v>0</v>
      </c>
      <c r="BA849" s="65" t="n">
        <f aca="false">AR849</f>
        <v>1</v>
      </c>
      <c r="BB849" s="65" t="n">
        <f aca="false">1</f>
        <v>1</v>
      </c>
      <c r="BC849" s="65" t="n">
        <f aca="false">IF(AV849=1,1,IF(AW849=1,2,IF(AX849=1,3,IF(AY849=1,4,IF(AZ849=1,5,IF(BA849=1,6,7))))))</f>
        <v>6</v>
      </c>
      <c r="BD849" s="65" t="n">
        <f aca="false">IF(AD849=1,CHOOSE('Historical Score'!$C$29,AV849,AW849,AX849,AY849,AZ849,BA849,BB849),0)</f>
        <v>0</v>
      </c>
      <c r="BE849" s="65" t="str">
        <f aca="false">IF(BD849=1,COUNTIF($BD$2:BD849,1),"")</f>
        <v/>
      </c>
    </row>
    <row r="850" customFormat="false" ht="15" hidden="false" customHeight="false" outlineLevel="0" collapsed="false">
      <c r="A850" s="65" t="s">
        <v>2662</v>
      </c>
      <c r="B850" s="65" t="s">
        <v>2663</v>
      </c>
      <c r="C850" s="65" t="s">
        <v>2664</v>
      </c>
      <c r="D850" s="65" t="s">
        <v>295</v>
      </c>
      <c r="E850" s="112" t="n">
        <v>46150</v>
      </c>
      <c r="F850" s="112" t="n">
        <v>46248</v>
      </c>
      <c r="G850" s="65" t="n">
        <v>3</v>
      </c>
      <c r="H850" s="65" t="s">
        <v>702</v>
      </c>
      <c r="I850" s="65" t="s">
        <v>703</v>
      </c>
      <c r="J850" s="65" t="s">
        <v>61</v>
      </c>
      <c r="K850" s="65" t="s">
        <v>394</v>
      </c>
      <c r="L850" s="65" t="s">
        <v>64</v>
      </c>
      <c r="M850" s="113" t="n">
        <v>1.32</v>
      </c>
      <c r="N850" s="114" t="n">
        <v>20000</v>
      </c>
      <c r="O850" s="114" t="n">
        <v>800</v>
      </c>
      <c r="P850" s="114" t="n">
        <v>26400</v>
      </c>
      <c r="Q850" s="114" t="n">
        <v>15402.1</v>
      </c>
      <c r="R850" s="114" t="n">
        <v>10997.9</v>
      </c>
      <c r="S850" s="115" t="n">
        <v>0.583412878787879</v>
      </c>
      <c r="T850" s="65" t="n">
        <v>24</v>
      </c>
      <c r="U850" s="65" t="n">
        <v>0</v>
      </c>
      <c r="V850" s="65" t="n">
        <v>45890</v>
      </c>
      <c r="W850" s="115" t="n">
        <v>0.141</v>
      </c>
      <c r="X850" s="112" t="n">
        <v>44565</v>
      </c>
      <c r="Y850" s="65" t="str">
        <f aca="false">IF(I850="","No SIC",IFERROR(VLOOKUP(I850,Ref!$A$2:$B$65,2,FALSE()),"Unclassified"))</f>
        <v>Wholesale Trade - Nondurable Goods</v>
      </c>
      <c r="Z850" s="65" t="str">
        <f aca="false">IF(T850="","",IF(T850&lt;12,"Daily","Weekly"))</f>
        <v>Weekly</v>
      </c>
      <c r="AA850" s="65" t="n">
        <f aca="false">IF(T850="",0,IF(T850&lt;12,T850*Controls!$B$29,T850*5))</f>
        <v>120</v>
      </c>
      <c r="AB850" s="65" t="n">
        <f aca="false">IF(E850="",0,NETWORKDAYS(E850,Controls!$B$36,Ref!$K$2:$K$42))</f>
        <v>76</v>
      </c>
      <c r="AC850" s="65" t="n">
        <f aca="false">IF(AND(AA850&gt;0,AB850&gt;=Controls!$B$39*AA850),1,0)</f>
        <v>0</v>
      </c>
      <c r="AD850" s="65" t="n">
        <f aca="false">IF(AND(E850&lt;&gt;"",E850&gt;=Controls!$B$37,E850&lt;=Controls!$B$38),1,0)</f>
        <v>1</v>
      </c>
      <c r="AE850" s="65" t="n">
        <f aca="false">IF(IFERROR(VLOOKUP(D850,Controls!$A$64:$E$74,2,FALSE()),"No")="Yes",1,0)</f>
        <v>0</v>
      </c>
      <c r="AF850" s="65" t="n">
        <f aca="false">IF(IFERROR(VLOOKUP(D850,Controls!$A$64:$E$74,3,FALSE()),"No")="Yes",1,0)</f>
        <v>0</v>
      </c>
      <c r="AG850" s="65" t="n">
        <f aca="false">IF(IFERROR(VLOOKUP(D850,Controls!$A$64:$E$74,4,FALSE()),"No")="Yes",1,0)</f>
        <v>0</v>
      </c>
      <c r="AH850" s="65" t="n">
        <f aca="false">IF(IFERROR(VLOOKUP(D850,Controls!$A$64:$E$74,5,FALSE()),"No")="Yes",1,0)</f>
        <v>1</v>
      </c>
      <c r="AI850" s="65" t="n">
        <f aca="false">IF(ISNUMBER(MATCH(D850,Controls!$A$64:$A$74,0)),1,0)</f>
        <v>1</v>
      </c>
      <c r="AJ850" s="65" t="n">
        <f aca="false">Q850-N850</f>
        <v>-4597.9</v>
      </c>
      <c r="AK850" s="65" t="n">
        <f aca="false">IF(AE850=1,MAX(0,N850-Q850),0)</f>
        <v>0</v>
      </c>
      <c r="AL850" s="65" t="n">
        <f aca="false">IF(OR(V850="",V850=0),0,N850/V850)</f>
        <v>0.435824798431031</v>
      </c>
      <c r="AM850" s="65" t="n">
        <f aca="false">IF(OR(V850="",V850=0),0,1)</f>
        <v>1</v>
      </c>
      <c r="AN850" s="65" t="n">
        <f aca="false">IF(OR(E850="",F850=""),0,NETWORKDAYS(E850,F850,Ref!$K$2:$K$42))</f>
        <v>69</v>
      </c>
      <c r="AO850" s="65" t="n">
        <f aca="false">IF(L850="Renewal",1,0)</f>
        <v>0</v>
      </c>
      <c r="AP850" s="65" t="n">
        <f aca="false">AC850*AD850</f>
        <v>0</v>
      </c>
      <c r="AQ850" s="65" t="n">
        <f aca="false">IF(AND(G850&lt;&gt;"",'Historical Score'!$C$6&lt;&gt;""),IF(G850='Historical Score'!$C$6,1,0),0)</f>
        <v>0</v>
      </c>
      <c r="AR850" s="65" t="n">
        <f aca="false">IF(AND(L850&lt;&gt;"",'Historical Score'!$C$5&lt;&gt;""),IF(L850='Historical Score'!$C$5,1,0),0)</f>
        <v>1</v>
      </c>
      <c r="AS850" s="65" t="n">
        <f aca="false">IF(AND(Y850&lt;&gt;"",'Historical Score'!$C$7&lt;&gt;""),IF(Y850='Historical Score'!$C$7,1,0),0)</f>
        <v>0</v>
      </c>
      <c r="AT850" s="65" t="n">
        <f aca="false">IF(AND(K850&lt;&gt;"",'Historical Score'!$C$8&lt;&gt;""),IF(K850='Historical Score'!$C$8,1,0),0)</f>
        <v>0</v>
      </c>
      <c r="AU850" s="65" t="n">
        <f aca="false">IF(AND(J850&lt;&gt;"",'Historical Score'!$C$9&lt;&gt;""),IF(J850='Historical Score'!$C$9,1,0),0)</f>
        <v>1</v>
      </c>
      <c r="AV850" s="65" t="n">
        <f aca="false">AR850*AS850*AQ850</f>
        <v>0</v>
      </c>
      <c r="AW850" s="65" t="n">
        <f aca="false">AR850*AT850*AQ850</f>
        <v>0</v>
      </c>
      <c r="AX850" s="65" t="n">
        <f aca="false">AR850*AS850</f>
        <v>0</v>
      </c>
      <c r="AY850" s="65" t="n">
        <f aca="false">AR850*AT850</f>
        <v>0</v>
      </c>
      <c r="AZ850" s="65" t="n">
        <f aca="false">AR850*AQ850</f>
        <v>0</v>
      </c>
      <c r="BA850" s="65" t="n">
        <f aca="false">AR850</f>
        <v>1</v>
      </c>
      <c r="BB850" s="65" t="n">
        <f aca="false">1</f>
        <v>1</v>
      </c>
      <c r="BC850" s="65" t="n">
        <f aca="false">IF(AV850=1,1,IF(AW850=1,2,IF(AX850=1,3,IF(AY850=1,4,IF(AZ850=1,5,IF(BA850=1,6,7))))))</f>
        <v>6</v>
      </c>
      <c r="BD850" s="65" t="n">
        <f aca="false">IF(AD850=1,CHOOSE('Historical Score'!$C$29,AV850,AW850,AX850,AY850,AZ850,BA850,BB850),0)</f>
        <v>0</v>
      </c>
      <c r="BE850" s="65" t="str">
        <f aca="false">IF(BD850=1,COUNTIF($BD$2:BD850,1),"")</f>
        <v/>
      </c>
    </row>
    <row r="851" customFormat="false" ht="15" hidden="false" customHeight="false" outlineLevel="0" collapsed="false">
      <c r="A851" s="65" t="s">
        <v>2665</v>
      </c>
      <c r="B851" s="65" t="s">
        <v>2666</v>
      </c>
      <c r="C851" s="65" t="s">
        <v>2667</v>
      </c>
      <c r="D851" s="65" t="s">
        <v>295</v>
      </c>
      <c r="E851" s="112" t="n">
        <v>46150</v>
      </c>
      <c r="F851" s="112" t="n">
        <v>46248</v>
      </c>
      <c r="G851" s="65" t="n">
        <v>3</v>
      </c>
      <c r="H851" s="65" t="s">
        <v>430</v>
      </c>
      <c r="I851" s="65" t="s">
        <v>431</v>
      </c>
      <c r="J851" s="65" t="s">
        <v>555</v>
      </c>
      <c r="K851" s="65" t="s">
        <v>581</v>
      </c>
      <c r="L851" s="65" t="s">
        <v>64</v>
      </c>
      <c r="M851" s="113" t="n">
        <v>1.49</v>
      </c>
      <c r="N851" s="114" t="n">
        <v>12000</v>
      </c>
      <c r="O851" s="114" t="n">
        <v>1680</v>
      </c>
      <c r="P851" s="114" t="n">
        <v>17880</v>
      </c>
      <c r="Q851" s="114" t="n">
        <v>10428.6</v>
      </c>
      <c r="R851" s="114" t="n">
        <v>7451.4</v>
      </c>
      <c r="S851" s="115" t="n">
        <v>0.583255033557047</v>
      </c>
      <c r="T851" s="65" t="n">
        <v>24</v>
      </c>
      <c r="U851" s="65" t="n">
        <v>0</v>
      </c>
      <c r="V851" s="65" t="n">
        <v>16416.58</v>
      </c>
      <c r="W851" s="115" t="n">
        <v>0.1815</v>
      </c>
      <c r="X851" s="112" t="n">
        <v>43101</v>
      </c>
      <c r="Y851" s="65" t="str">
        <f aca="false">IF(I851="","No SIC",IFERROR(VLOOKUP(I851,Ref!$A$2:$B$65,2,FALSE()),"Unclassified"))</f>
        <v>Apparel &amp; Accessory Stores</v>
      </c>
      <c r="Z851" s="65" t="str">
        <f aca="false">IF(T851="","",IF(T851&lt;12,"Daily","Weekly"))</f>
        <v>Weekly</v>
      </c>
      <c r="AA851" s="65" t="n">
        <f aca="false">IF(T851="",0,IF(T851&lt;12,T851*Controls!$B$29,T851*5))</f>
        <v>120</v>
      </c>
      <c r="AB851" s="65" t="n">
        <f aca="false">IF(E851="",0,NETWORKDAYS(E851,Controls!$B$36,Ref!$K$2:$K$42))</f>
        <v>76</v>
      </c>
      <c r="AC851" s="65" t="n">
        <f aca="false">IF(AND(AA851&gt;0,AB851&gt;=Controls!$B$39*AA851),1,0)</f>
        <v>0</v>
      </c>
      <c r="AD851" s="65" t="n">
        <f aca="false">IF(AND(E851&lt;&gt;"",E851&gt;=Controls!$B$37,E851&lt;=Controls!$B$38),1,0)</f>
        <v>1</v>
      </c>
      <c r="AE851" s="65" t="n">
        <f aca="false">IF(IFERROR(VLOOKUP(D851,Controls!$A$64:$E$74,2,FALSE()),"No")="Yes",1,0)</f>
        <v>0</v>
      </c>
      <c r="AF851" s="65" t="n">
        <f aca="false">IF(IFERROR(VLOOKUP(D851,Controls!$A$64:$E$74,3,FALSE()),"No")="Yes",1,0)</f>
        <v>0</v>
      </c>
      <c r="AG851" s="65" t="n">
        <f aca="false">IF(IFERROR(VLOOKUP(D851,Controls!$A$64:$E$74,4,FALSE()),"No")="Yes",1,0)</f>
        <v>0</v>
      </c>
      <c r="AH851" s="65" t="n">
        <f aca="false">IF(IFERROR(VLOOKUP(D851,Controls!$A$64:$E$74,5,FALSE()),"No")="Yes",1,0)</f>
        <v>1</v>
      </c>
      <c r="AI851" s="65" t="n">
        <f aca="false">IF(ISNUMBER(MATCH(D851,Controls!$A$64:$A$74,0)),1,0)</f>
        <v>1</v>
      </c>
      <c r="AJ851" s="65" t="n">
        <f aca="false">Q851-N851</f>
        <v>-1571.4</v>
      </c>
      <c r="AK851" s="65" t="n">
        <f aca="false">IF(AE851=1,MAX(0,N851-Q851),0)</f>
        <v>0</v>
      </c>
      <c r="AL851" s="65" t="n">
        <f aca="false">IF(OR(V851="",V851=0),0,N851/V851)</f>
        <v>0.730968325924157</v>
      </c>
      <c r="AM851" s="65" t="n">
        <f aca="false">IF(OR(V851="",V851=0),0,1)</f>
        <v>1</v>
      </c>
      <c r="AN851" s="65" t="n">
        <f aca="false">IF(OR(E851="",F851=""),0,NETWORKDAYS(E851,F851,Ref!$K$2:$K$42))</f>
        <v>69</v>
      </c>
      <c r="AO851" s="65" t="n">
        <f aca="false">IF(L851="Renewal",1,0)</f>
        <v>0</v>
      </c>
      <c r="AP851" s="65" t="n">
        <f aca="false">AC851*AD851</f>
        <v>0</v>
      </c>
      <c r="AQ851" s="65" t="n">
        <f aca="false">IF(AND(G851&lt;&gt;"",'Historical Score'!$C$6&lt;&gt;""),IF(G851='Historical Score'!$C$6,1,0),0)</f>
        <v>0</v>
      </c>
      <c r="AR851" s="65" t="n">
        <f aca="false">IF(AND(L851&lt;&gt;"",'Historical Score'!$C$5&lt;&gt;""),IF(L851='Historical Score'!$C$5,1,0),0)</f>
        <v>1</v>
      </c>
      <c r="AS851" s="65" t="n">
        <f aca="false">IF(AND(Y851&lt;&gt;"",'Historical Score'!$C$7&lt;&gt;""),IF(Y851='Historical Score'!$C$7,1,0),0)</f>
        <v>0</v>
      </c>
      <c r="AT851" s="65" t="n">
        <f aca="false">IF(AND(K851&lt;&gt;"",'Historical Score'!$C$8&lt;&gt;""),IF(K851='Historical Score'!$C$8,1,0),0)</f>
        <v>0</v>
      </c>
      <c r="AU851" s="65" t="n">
        <f aca="false">IF(AND(J851&lt;&gt;"",'Historical Score'!$C$9&lt;&gt;""),IF(J851='Historical Score'!$C$9,1,0),0)</f>
        <v>0</v>
      </c>
      <c r="AV851" s="65" t="n">
        <f aca="false">AR851*AS851*AQ851</f>
        <v>0</v>
      </c>
      <c r="AW851" s="65" t="n">
        <f aca="false">AR851*AT851*AQ851</f>
        <v>0</v>
      </c>
      <c r="AX851" s="65" t="n">
        <f aca="false">AR851*AS851</f>
        <v>0</v>
      </c>
      <c r="AY851" s="65" t="n">
        <f aca="false">AR851*AT851</f>
        <v>0</v>
      </c>
      <c r="AZ851" s="65" t="n">
        <f aca="false">AR851*AQ851</f>
        <v>0</v>
      </c>
      <c r="BA851" s="65" t="n">
        <f aca="false">AR851</f>
        <v>1</v>
      </c>
      <c r="BB851" s="65" t="n">
        <f aca="false">1</f>
        <v>1</v>
      </c>
      <c r="BC851" s="65" t="n">
        <f aca="false">IF(AV851=1,1,IF(AW851=1,2,IF(AX851=1,3,IF(AY851=1,4,IF(AZ851=1,5,IF(BA851=1,6,7))))))</f>
        <v>6</v>
      </c>
      <c r="BD851" s="65" t="n">
        <f aca="false">IF(AD851=1,CHOOSE('Historical Score'!$C$29,AV851,AW851,AX851,AY851,AZ851,BA851,BB851),0)</f>
        <v>0</v>
      </c>
      <c r="BE851" s="65" t="str">
        <f aca="false">IF(BD851=1,COUNTIF($BD$2:BD851,1),"")</f>
        <v/>
      </c>
    </row>
    <row r="852" customFormat="false" ht="15" hidden="false" customHeight="false" outlineLevel="0" collapsed="false">
      <c r="A852" s="65" t="s">
        <v>2668</v>
      </c>
      <c r="B852" s="65" t="s">
        <v>2669</v>
      </c>
      <c r="C852" s="65" t="s">
        <v>2669</v>
      </c>
      <c r="D852" s="65" t="s">
        <v>533</v>
      </c>
      <c r="E852" s="112" t="n">
        <v>46150</v>
      </c>
      <c r="F852" s="112" t="n">
        <v>46253</v>
      </c>
      <c r="G852" s="65" t="n">
        <v>3</v>
      </c>
      <c r="H852" s="65" t="s">
        <v>2670</v>
      </c>
      <c r="I852" s="65" t="s">
        <v>778</v>
      </c>
      <c r="J852" s="65" t="s">
        <v>350</v>
      </c>
      <c r="K852" s="65" t="s">
        <v>55</v>
      </c>
      <c r="L852" s="65" t="s">
        <v>64</v>
      </c>
      <c r="M852" s="113" t="n">
        <v>1.39</v>
      </c>
      <c r="N852" s="114" t="n">
        <v>25000</v>
      </c>
      <c r="O852" s="114" t="n">
        <v>2250</v>
      </c>
      <c r="P852" s="114" t="n">
        <v>34750</v>
      </c>
      <c r="Q852" s="114" t="n">
        <v>7465.99</v>
      </c>
      <c r="R852" s="114" t="n">
        <v>27284.01</v>
      </c>
      <c r="S852" s="115" t="n">
        <v>0.214848633093525</v>
      </c>
      <c r="T852" s="65" t="n">
        <v>18</v>
      </c>
      <c r="U852" s="65" t="n">
        <v>9</v>
      </c>
      <c r="V852" s="65" t="n">
        <v>150576.12</v>
      </c>
      <c r="W852" s="115" t="n">
        <v>0.0513</v>
      </c>
      <c r="X852" s="112" t="n">
        <v>44484</v>
      </c>
      <c r="Y852" s="65" t="str">
        <f aca="false">IF(I852="","No SIC",IFERROR(VLOOKUP(I852,Ref!$A$2:$B$65,2,FALSE()),"Unclassified"))</f>
        <v>Electronic &amp; Electrical Equipment</v>
      </c>
      <c r="Z852" s="65" t="str">
        <f aca="false">IF(T852="","",IF(T852&lt;12,"Daily","Weekly"))</f>
        <v>Weekly</v>
      </c>
      <c r="AA852" s="65" t="n">
        <f aca="false">IF(T852="",0,IF(T852&lt;12,T852*Controls!$B$29,T852*5))</f>
        <v>90</v>
      </c>
      <c r="AB852" s="65" t="n">
        <f aca="false">IF(E852="",0,NETWORKDAYS(E852,Controls!$B$36,Ref!$K$2:$K$42))</f>
        <v>76</v>
      </c>
      <c r="AC852" s="65" t="n">
        <f aca="false">IF(AND(AA852&gt;0,AB852&gt;=Controls!$B$39*AA852),1,0)</f>
        <v>0</v>
      </c>
      <c r="AD852" s="65" t="n">
        <f aca="false">IF(AND(E852&lt;&gt;"",E852&gt;=Controls!$B$37,E852&lt;=Controls!$B$38),1,0)</f>
        <v>1</v>
      </c>
      <c r="AE852" s="65" t="n">
        <f aca="false">IF(IFERROR(VLOOKUP(D852,Controls!$A$64:$E$74,2,FALSE()),"No")="Yes",1,0)</f>
        <v>1</v>
      </c>
      <c r="AF852" s="65" t="n">
        <f aca="false">IF(IFERROR(VLOOKUP(D852,Controls!$A$64:$E$74,3,FALSE()),"No")="Yes",1,0)</f>
        <v>0</v>
      </c>
      <c r="AG852" s="65" t="n">
        <f aca="false">IF(IFERROR(VLOOKUP(D852,Controls!$A$64:$E$74,4,FALSE()),"No")="Yes",1,0)</f>
        <v>0</v>
      </c>
      <c r="AH852" s="65" t="n">
        <f aca="false">IF(IFERROR(VLOOKUP(D852,Controls!$A$64:$E$74,5,FALSE()),"No")="Yes",1,0)</f>
        <v>0</v>
      </c>
      <c r="AI852" s="65" t="n">
        <f aca="false">IF(ISNUMBER(MATCH(D852,Controls!$A$64:$A$74,0)),1,0)</f>
        <v>1</v>
      </c>
      <c r="AJ852" s="65" t="n">
        <f aca="false">Q852-N852</f>
        <v>-17534.01</v>
      </c>
      <c r="AK852" s="65" t="n">
        <f aca="false">IF(AE852=1,MAX(0,N852-Q852),0)</f>
        <v>17534.01</v>
      </c>
      <c r="AL852" s="65" t="n">
        <f aca="false">IF(OR(V852="",V852=0),0,N852/V852)</f>
        <v>0.166028982550487</v>
      </c>
      <c r="AM852" s="65" t="n">
        <f aca="false">IF(OR(V852="",V852=0),0,1)</f>
        <v>1</v>
      </c>
      <c r="AN852" s="65" t="n">
        <f aca="false">IF(OR(E852="",F852=""),0,NETWORKDAYS(E852,F852,Ref!$K$2:$K$42))</f>
        <v>72</v>
      </c>
      <c r="AO852" s="65" t="n">
        <f aca="false">IF(L852="Renewal",1,0)</f>
        <v>0</v>
      </c>
      <c r="AP852" s="65" t="n">
        <f aca="false">AC852*AD852</f>
        <v>0</v>
      </c>
      <c r="AQ852" s="65" t="n">
        <f aca="false">IF(AND(G852&lt;&gt;"",'Historical Score'!$C$6&lt;&gt;""),IF(G852='Historical Score'!$C$6,1,0),0)</f>
        <v>0</v>
      </c>
      <c r="AR852" s="65" t="n">
        <f aca="false">IF(AND(L852&lt;&gt;"",'Historical Score'!$C$5&lt;&gt;""),IF(L852='Historical Score'!$C$5,1,0),0)</f>
        <v>1</v>
      </c>
      <c r="AS852" s="65" t="n">
        <f aca="false">IF(AND(Y852&lt;&gt;"",'Historical Score'!$C$7&lt;&gt;""),IF(Y852='Historical Score'!$C$7,1,0),0)</f>
        <v>0</v>
      </c>
      <c r="AT852" s="65" t="n">
        <f aca="false">IF(AND(K852&lt;&gt;"",'Historical Score'!$C$8&lt;&gt;""),IF(K852='Historical Score'!$C$8,1,0),0)</f>
        <v>1</v>
      </c>
      <c r="AU852" s="65" t="n">
        <f aca="false">IF(AND(J852&lt;&gt;"",'Historical Score'!$C$9&lt;&gt;""),IF(J852='Historical Score'!$C$9,1,0),0)</f>
        <v>0</v>
      </c>
      <c r="AV852" s="65" t="n">
        <f aca="false">AR852*AS852*AQ852</f>
        <v>0</v>
      </c>
      <c r="AW852" s="65" t="n">
        <f aca="false">AR852*AT852*AQ852</f>
        <v>0</v>
      </c>
      <c r="AX852" s="65" t="n">
        <f aca="false">AR852*AS852</f>
        <v>0</v>
      </c>
      <c r="AY852" s="65" t="n">
        <f aca="false">AR852*AT852</f>
        <v>1</v>
      </c>
      <c r="AZ852" s="65" t="n">
        <f aca="false">AR852*AQ852</f>
        <v>0</v>
      </c>
      <c r="BA852" s="65" t="n">
        <f aca="false">AR852</f>
        <v>1</v>
      </c>
      <c r="BB852" s="65" t="n">
        <f aca="false">1</f>
        <v>1</v>
      </c>
      <c r="BC852" s="65" t="n">
        <f aca="false">IF(AV852=1,1,IF(AW852=1,2,IF(AX852=1,3,IF(AY852=1,4,IF(AZ852=1,5,IF(BA852=1,6,7))))))</f>
        <v>4</v>
      </c>
      <c r="BD852" s="65" t="n">
        <f aca="false">IF(AD852=1,CHOOSE('Historical Score'!$C$29,AV852,AW852,AX852,AY852,AZ852,BA852,BB852),0)</f>
        <v>0</v>
      </c>
      <c r="BE852" s="65" t="str">
        <f aca="false">IF(BD852=1,COUNTIF($BD$2:BD852,1),"")</f>
        <v/>
      </c>
    </row>
    <row r="853" customFormat="false" ht="15" hidden="false" customHeight="false" outlineLevel="0" collapsed="false">
      <c r="A853" s="65" t="s">
        <v>2671</v>
      </c>
      <c r="B853" s="65" t="s">
        <v>1508</v>
      </c>
      <c r="C853" s="65" t="s">
        <v>1509</v>
      </c>
      <c r="D853" s="65" t="s">
        <v>295</v>
      </c>
      <c r="E853" s="112" t="n">
        <v>46150</v>
      </c>
      <c r="F853" s="112" t="n">
        <v>46253</v>
      </c>
      <c r="G853" s="65" t="n">
        <v>3</v>
      </c>
      <c r="H853" s="65" t="s">
        <v>409</v>
      </c>
      <c r="I853" s="65" t="s">
        <v>342</v>
      </c>
      <c r="J853" s="65" t="s">
        <v>350</v>
      </c>
      <c r="K853" s="65" t="s">
        <v>1204</v>
      </c>
      <c r="L853" s="65" t="s">
        <v>64</v>
      </c>
      <c r="M853" s="113" t="n">
        <v>1.39</v>
      </c>
      <c r="N853" s="114" t="n">
        <v>25000</v>
      </c>
      <c r="O853" s="114" t="n">
        <v>2250</v>
      </c>
      <c r="P853" s="114" t="n">
        <v>34750</v>
      </c>
      <c r="Q853" s="114" t="n">
        <v>20560.18</v>
      </c>
      <c r="R853" s="114" t="n">
        <v>14189.82</v>
      </c>
      <c r="S853" s="115" t="n">
        <v>0.591659856115108</v>
      </c>
      <c r="T853" s="65" t="n">
        <v>3.934</v>
      </c>
      <c r="U853" s="65" t="n">
        <v>0</v>
      </c>
      <c r="V853" s="65" t="n">
        <v>164443.24</v>
      </c>
      <c r="W853" s="115" t="n">
        <v>0.0461</v>
      </c>
      <c r="X853" s="112" t="n">
        <v>43210</v>
      </c>
      <c r="Y853" s="65" t="str">
        <f aca="false">IF(I853="","No SIC",IFERROR(VLOOKUP(I853,Ref!$A$2:$B$65,2,FALSE()),"Unclassified"))</f>
        <v>Eating &amp; Drinking Places</v>
      </c>
      <c r="Z853" s="65" t="str">
        <f aca="false">IF(T853="","",IF(T853&lt;12,"Daily","Weekly"))</f>
        <v>Daily</v>
      </c>
      <c r="AA853" s="65" t="n">
        <f aca="false">IF(T853="",0,IF(T853&lt;12,T853*Controls!$B$29,T853*5))</f>
        <v>85.19077</v>
      </c>
      <c r="AB853" s="65" t="n">
        <f aca="false">IF(E853="",0,NETWORKDAYS(E853,Controls!$B$36,Ref!$K$2:$K$42))</f>
        <v>76</v>
      </c>
      <c r="AC853" s="65" t="n">
        <f aca="false">IF(AND(AA853&gt;0,AB853&gt;=Controls!$B$39*AA853),1,0)</f>
        <v>0</v>
      </c>
      <c r="AD853" s="65" t="n">
        <f aca="false">IF(AND(E853&lt;&gt;"",E853&gt;=Controls!$B$37,E853&lt;=Controls!$B$38),1,0)</f>
        <v>1</v>
      </c>
      <c r="AE853" s="65" t="n">
        <f aca="false">IF(IFERROR(VLOOKUP(D853,Controls!$A$64:$E$74,2,FALSE()),"No")="Yes",1,0)</f>
        <v>0</v>
      </c>
      <c r="AF853" s="65" t="n">
        <f aca="false">IF(IFERROR(VLOOKUP(D853,Controls!$A$64:$E$74,3,FALSE()),"No")="Yes",1,0)</f>
        <v>0</v>
      </c>
      <c r="AG853" s="65" t="n">
        <f aca="false">IF(IFERROR(VLOOKUP(D853,Controls!$A$64:$E$74,4,FALSE()),"No")="Yes",1,0)</f>
        <v>0</v>
      </c>
      <c r="AH853" s="65" t="n">
        <f aca="false">IF(IFERROR(VLOOKUP(D853,Controls!$A$64:$E$74,5,FALSE()),"No")="Yes",1,0)</f>
        <v>1</v>
      </c>
      <c r="AI853" s="65" t="n">
        <f aca="false">IF(ISNUMBER(MATCH(D853,Controls!$A$64:$A$74,0)),1,0)</f>
        <v>1</v>
      </c>
      <c r="AJ853" s="65" t="n">
        <f aca="false">Q853-N853</f>
        <v>-4439.82</v>
      </c>
      <c r="AK853" s="65" t="n">
        <f aca="false">IF(AE853=1,MAX(0,N853-Q853),0)</f>
        <v>0</v>
      </c>
      <c r="AL853" s="65" t="n">
        <f aca="false">IF(OR(V853="",V853=0),0,N853/V853)</f>
        <v>0.152028140530435</v>
      </c>
      <c r="AM853" s="65" t="n">
        <f aca="false">IF(OR(V853="",V853=0),0,1)</f>
        <v>1</v>
      </c>
      <c r="AN853" s="65" t="n">
        <f aca="false">IF(OR(E853="",F853=""),0,NETWORKDAYS(E853,F853,Ref!$K$2:$K$42))</f>
        <v>72</v>
      </c>
      <c r="AO853" s="65" t="n">
        <f aca="false">IF(L853="Renewal",1,0)</f>
        <v>0</v>
      </c>
      <c r="AP853" s="65" t="n">
        <f aca="false">AC853*AD853</f>
        <v>0</v>
      </c>
      <c r="AQ853" s="65" t="n">
        <f aca="false">IF(AND(G853&lt;&gt;"",'Historical Score'!$C$6&lt;&gt;""),IF(G853='Historical Score'!$C$6,1,0),0)</f>
        <v>0</v>
      </c>
      <c r="AR853" s="65" t="n">
        <f aca="false">IF(AND(L853&lt;&gt;"",'Historical Score'!$C$5&lt;&gt;""),IF(L853='Historical Score'!$C$5,1,0),0)</f>
        <v>1</v>
      </c>
      <c r="AS853" s="65" t="n">
        <f aca="false">IF(AND(Y853&lt;&gt;"",'Historical Score'!$C$7&lt;&gt;""),IF(Y853='Historical Score'!$C$7,1,0),0)</f>
        <v>0</v>
      </c>
      <c r="AT853" s="65" t="n">
        <f aca="false">IF(AND(K853&lt;&gt;"",'Historical Score'!$C$8&lt;&gt;""),IF(K853='Historical Score'!$C$8,1,0),0)</f>
        <v>0</v>
      </c>
      <c r="AU853" s="65" t="n">
        <f aca="false">IF(AND(J853&lt;&gt;"",'Historical Score'!$C$9&lt;&gt;""),IF(J853='Historical Score'!$C$9,1,0),0)</f>
        <v>0</v>
      </c>
      <c r="AV853" s="65" t="n">
        <f aca="false">AR853*AS853*AQ853</f>
        <v>0</v>
      </c>
      <c r="AW853" s="65" t="n">
        <f aca="false">AR853*AT853*AQ853</f>
        <v>0</v>
      </c>
      <c r="AX853" s="65" t="n">
        <f aca="false">AR853*AS853</f>
        <v>0</v>
      </c>
      <c r="AY853" s="65" t="n">
        <f aca="false">AR853*AT853</f>
        <v>0</v>
      </c>
      <c r="AZ853" s="65" t="n">
        <f aca="false">AR853*AQ853</f>
        <v>0</v>
      </c>
      <c r="BA853" s="65" t="n">
        <f aca="false">AR853</f>
        <v>1</v>
      </c>
      <c r="BB853" s="65" t="n">
        <f aca="false">1</f>
        <v>1</v>
      </c>
      <c r="BC853" s="65" t="n">
        <f aca="false">IF(AV853=1,1,IF(AW853=1,2,IF(AX853=1,3,IF(AY853=1,4,IF(AZ853=1,5,IF(BA853=1,6,7))))))</f>
        <v>6</v>
      </c>
      <c r="BD853" s="65" t="n">
        <f aca="false">IF(AD853=1,CHOOSE('Historical Score'!$C$29,AV853,AW853,AX853,AY853,AZ853,BA853,BB853),0)</f>
        <v>0</v>
      </c>
      <c r="BE853" s="65" t="str">
        <f aca="false">IF(BD853=1,COUNTIF($BD$2:BD853,1),"")</f>
        <v/>
      </c>
    </row>
    <row r="854" customFormat="false" ht="15" hidden="false" customHeight="false" outlineLevel="0" collapsed="false">
      <c r="A854" s="65" t="s">
        <v>2672</v>
      </c>
      <c r="B854" s="65" t="s">
        <v>2673</v>
      </c>
      <c r="C854" s="65" t="s">
        <v>2673</v>
      </c>
      <c r="D854" s="65" t="s">
        <v>295</v>
      </c>
      <c r="E854" s="112" t="n">
        <v>46150</v>
      </c>
      <c r="F854" s="112" t="n">
        <v>46248</v>
      </c>
      <c r="G854" s="65" t="n">
        <v>3</v>
      </c>
      <c r="H854" s="65" t="s">
        <v>451</v>
      </c>
      <c r="I854" s="65" t="s">
        <v>425</v>
      </c>
      <c r="J854" s="65" t="s">
        <v>470</v>
      </c>
      <c r="K854" s="65" t="s">
        <v>2594</v>
      </c>
      <c r="L854" s="65" t="s">
        <v>64</v>
      </c>
      <c r="M854" s="113" t="n">
        <v>1.47</v>
      </c>
      <c r="N854" s="114" t="n">
        <v>45000</v>
      </c>
      <c r="O854" s="114" t="n">
        <v>5850</v>
      </c>
      <c r="P854" s="114" t="n">
        <v>66150</v>
      </c>
      <c r="Q854" s="114" t="n">
        <v>28940.8</v>
      </c>
      <c r="R854" s="114" t="n">
        <v>37209.2</v>
      </c>
      <c r="S854" s="115" t="n">
        <v>0.437502645502646</v>
      </c>
      <c r="T854" s="65" t="n">
        <v>32</v>
      </c>
      <c r="U854" s="65" t="n">
        <v>0</v>
      </c>
      <c r="V854" s="65" t="n">
        <v>102590.51</v>
      </c>
      <c r="W854" s="115" t="n">
        <v>0.0806</v>
      </c>
      <c r="X854" s="112" t="n">
        <v>36130</v>
      </c>
      <c r="Y854" s="65" t="str">
        <f aca="false">IF(I854="","No SIC",IFERROR(VLOOKUP(I854,Ref!$A$2:$B$65,2,FALSE()),"Unclassified"))</f>
        <v>Personal Services</v>
      </c>
      <c r="Z854" s="65" t="str">
        <f aca="false">IF(T854="","",IF(T854&lt;12,"Daily","Weekly"))</f>
        <v>Weekly</v>
      </c>
      <c r="AA854" s="65" t="n">
        <f aca="false">IF(T854="",0,IF(T854&lt;12,T854*Controls!$B$29,T854*5))</f>
        <v>160</v>
      </c>
      <c r="AB854" s="65" t="n">
        <f aca="false">IF(E854="",0,NETWORKDAYS(E854,Controls!$B$36,Ref!$K$2:$K$42))</f>
        <v>76</v>
      </c>
      <c r="AC854" s="65" t="n">
        <f aca="false">IF(AND(AA854&gt;0,AB854&gt;=Controls!$B$39*AA854),1,0)</f>
        <v>0</v>
      </c>
      <c r="AD854" s="65" t="n">
        <f aca="false">IF(AND(E854&lt;&gt;"",E854&gt;=Controls!$B$37,E854&lt;=Controls!$B$38),1,0)</f>
        <v>1</v>
      </c>
      <c r="AE854" s="65" t="n">
        <f aca="false">IF(IFERROR(VLOOKUP(D854,Controls!$A$64:$E$74,2,FALSE()),"No")="Yes",1,0)</f>
        <v>0</v>
      </c>
      <c r="AF854" s="65" t="n">
        <f aca="false">IF(IFERROR(VLOOKUP(D854,Controls!$A$64:$E$74,3,FALSE()),"No")="Yes",1,0)</f>
        <v>0</v>
      </c>
      <c r="AG854" s="65" t="n">
        <f aca="false">IF(IFERROR(VLOOKUP(D854,Controls!$A$64:$E$74,4,FALSE()),"No")="Yes",1,0)</f>
        <v>0</v>
      </c>
      <c r="AH854" s="65" t="n">
        <f aca="false">IF(IFERROR(VLOOKUP(D854,Controls!$A$64:$E$74,5,FALSE()),"No")="Yes",1,0)</f>
        <v>1</v>
      </c>
      <c r="AI854" s="65" t="n">
        <f aca="false">IF(ISNUMBER(MATCH(D854,Controls!$A$64:$A$74,0)),1,0)</f>
        <v>1</v>
      </c>
      <c r="AJ854" s="65" t="n">
        <f aca="false">Q854-N854</f>
        <v>-16059.2</v>
      </c>
      <c r="AK854" s="65" t="n">
        <f aca="false">IF(AE854=1,MAX(0,N854-Q854),0)</f>
        <v>0</v>
      </c>
      <c r="AL854" s="65" t="n">
        <f aca="false">IF(OR(V854="",V854=0),0,N854/V854)</f>
        <v>0.438637063018792</v>
      </c>
      <c r="AM854" s="65" t="n">
        <f aca="false">IF(OR(V854="",V854=0),0,1)</f>
        <v>1</v>
      </c>
      <c r="AN854" s="65" t="n">
        <f aca="false">IF(OR(E854="",F854=""),0,NETWORKDAYS(E854,F854,Ref!$K$2:$K$42))</f>
        <v>69</v>
      </c>
      <c r="AO854" s="65" t="n">
        <f aca="false">IF(L854="Renewal",1,0)</f>
        <v>0</v>
      </c>
      <c r="AP854" s="65" t="n">
        <f aca="false">AC854*AD854</f>
        <v>0</v>
      </c>
      <c r="AQ854" s="65" t="n">
        <f aca="false">IF(AND(G854&lt;&gt;"",'Historical Score'!$C$6&lt;&gt;""),IF(G854='Historical Score'!$C$6,1,0),0)</f>
        <v>0</v>
      </c>
      <c r="AR854" s="65" t="n">
        <f aca="false">IF(AND(L854&lt;&gt;"",'Historical Score'!$C$5&lt;&gt;""),IF(L854='Historical Score'!$C$5,1,0),0)</f>
        <v>1</v>
      </c>
      <c r="AS854" s="65" t="n">
        <f aca="false">IF(AND(Y854&lt;&gt;"",'Historical Score'!$C$7&lt;&gt;""),IF(Y854='Historical Score'!$C$7,1,0),0)</f>
        <v>0</v>
      </c>
      <c r="AT854" s="65" t="n">
        <f aca="false">IF(AND(K854&lt;&gt;"",'Historical Score'!$C$8&lt;&gt;""),IF(K854='Historical Score'!$C$8,1,0),0)</f>
        <v>0</v>
      </c>
      <c r="AU854" s="65" t="n">
        <f aca="false">IF(AND(J854&lt;&gt;"",'Historical Score'!$C$9&lt;&gt;""),IF(J854='Historical Score'!$C$9,1,0),0)</f>
        <v>0</v>
      </c>
      <c r="AV854" s="65" t="n">
        <f aca="false">AR854*AS854*AQ854</f>
        <v>0</v>
      </c>
      <c r="AW854" s="65" t="n">
        <f aca="false">AR854*AT854*AQ854</f>
        <v>0</v>
      </c>
      <c r="AX854" s="65" t="n">
        <f aca="false">AR854*AS854</f>
        <v>0</v>
      </c>
      <c r="AY854" s="65" t="n">
        <f aca="false">AR854*AT854</f>
        <v>0</v>
      </c>
      <c r="AZ854" s="65" t="n">
        <f aca="false">AR854*AQ854</f>
        <v>0</v>
      </c>
      <c r="BA854" s="65" t="n">
        <f aca="false">AR854</f>
        <v>1</v>
      </c>
      <c r="BB854" s="65" t="n">
        <f aca="false">1</f>
        <v>1</v>
      </c>
      <c r="BC854" s="65" t="n">
        <f aca="false">IF(AV854=1,1,IF(AW854=1,2,IF(AX854=1,3,IF(AY854=1,4,IF(AZ854=1,5,IF(BA854=1,6,7))))))</f>
        <v>6</v>
      </c>
      <c r="BD854" s="65" t="n">
        <f aca="false">IF(AD854=1,CHOOSE('Historical Score'!$C$29,AV854,AW854,AX854,AY854,AZ854,BA854,BB854),0)</f>
        <v>0</v>
      </c>
      <c r="BE854" s="65" t="str">
        <f aca="false">IF(BD854=1,COUNTIF($BD$2:BD854,1),"")</f>
        <v/>
      </c>
    </row>
    <row r="855" customFormat="false" ht="15" hidden="false" customHeight="false" outlineLevel="0" collapsed="false">
      <c r="A855" s="65" t="s">
        <v>2674</v>
      </c>
      <c r="B855" s="65" t="s">
        <v>2675</v>
      </c>
      <c r="C855" s="65" t="s">
        <v>2675</v>
      </c>
      <c r="D855" s="65" t="s">
        <v>340</v>
      </c>
      <c r="E855" s="112" t="n">
        <v>46150</v>
      </c>
      <c r="F855" s="112" t="n">
        <v>46171</v>
      </c>
      <c r="G855" s="65" t="n">
        <v>3</v>
      </c>
      <c r="H855" s="65" t="s">
        <v>748</v>
      </c>
      <c r="I855" s="65" t="s">
        <v>619</v>
      </c>
      <c r="J855" s="65" t="s">
        <v>510</v>
      </c>
      <c r="K855" s="65" t="s">
        <v>55</v>
      </c>
      <c r="L855" s="65" t="s">
        <v>64</v>
      </c>
      <c r="M855" s="113" t="n">
        <v>1.49</v>
      </c>
      <c r="N855" s="114" t="n">
        <v>20000</v>
      </c>
      <c r="O855" s="114" t="n">
        <v>2800</v>
      </c>
      <c r="P855" s="114" t="n">
        <v>29800</v>
      </c>
      <c r="Q855" s="114" t="n">
        <v>2481.88</v>
      </c>
      <c r="R855" s="114" t="n">
        <v>27318.12</v>
      </c>
      <c r="S855" s="115" t="n">
        <v>0.0832845637583893</v>
      </c>
      <c r="T855" s="65" t="n">
        <v>24</v>
      </c>
      <c r="U855" s="65" t="n">
        <v>1</v>
      </c>
      <c r="V855" s="65" t="n">
        <v>100684.96</v>
      </c>
      <c r="W855" s="115" t="n">
        <v>0.0493</v>
      </c>
      <c r="X855" s="112" t="n">
        <v>44094</v>
      </c>
      <c r="Y855" s="65" t="str">
        <f aca="false">IF(I855="","No SIC",IFERROR(VLOOKUP(I855,Ref!$A$2:$B$65,2,FALSE()),"Unclassified"))</f>
        <v>Miscellaneous Retail</v>
      </c>
      <c r="Z855" s="65" t="str">
        <f aca="false">IF(T855="","",IF(T855&lt;12,"Daily","Weekly"))</f>
        <v>Weekly</v>
      </c>
      <c r="AA855" s="65" t="n">
        <f aca="false">IF(T855="",0,IF(T855&lt;12,T855*Controls!$B$29,T855*5))</f>
        <v>120</v>
      </c>
      <c r="AB855" s="65" t="n">
        <f aca="false">IF(E855="",0,NETWORKDAYS(E855,Controls!$B$36,Ref!$K$2:$K$42))</f>
        <v>76</v>
      </c>
      <c r="AC855" s="65" t="n">
        <f aca="false">IF(AND(AA855&gt;0,AB855&gt;=Controls!$B$39*AA855),1,0)</f>
        <v>0</v>
      </c>
      <c r="AD855" s="65" t="n">
        <f aca="false">IF(AND(E855&lt;&gt;"",E855&gt;=Controls!$B$37,E855&lt;=Controls!$B$38),1,0)</f>
        <v>1</v>
      </c>
      <c r="AE855" s="65" t="n">
        <f aca="false">IF(IFERROR(VLOOKUP(D855,Controls!$A$64:$E$74,2,FALSE()),"No")="Yes",1,0)</f>
        <v>1</v>
      </c>
      <c r="AF855" s="65" t="n">
        <f aca="false">IF(IFERROR(VLOOKUP(D855,Controls!$A$64:$E$74,3,FALSE()),"No")="Yes",1,0)</f>
        <v>0</v>
      </c>
      <c r="AG855" s="65" t="n">
        <f aca="false">IF(IFERROR(VLOOKUP(D855,Controls!$A$64:$E$74,4,FALSE()),"No")="Yes",1,0)</f>
        <v>0</v>
      </c>
      <c r="AH855" s="65" t="n">
        <f aca="false">IF(IFERROR(VLOOKUP(D855,Controls!$A$64:$E$74,5,FALSE()),"No")="Yes",1,0)</f>
        <v>0</v>
      </c>
      <c r="AI855" s="65" t="n">
        <f aca="false">IF(ISNUMBER(MATCH(D855,Controls!$A$64:$A$74,0)),1,0)</f>
        <v>1</v>
      </c>
      <c r="AJ855" s="65" t="n">
        <f aca="false">Q855-N855</f>
        <v>-17518.12</v>
      </c>
      <c r="AK855" s="65" t="n">
        <f aca="false">IF(AE855=1,MAX(0,N855-Q855),0)</f>
        <v>17518.12</v>
      </c>
      <c r="AL855" s="65" t="n">
        <f aca="false">IF(OR(V855="",V855=0),0,N855/V855)</f>
        <v>0.198639399568714</v>
      </c>
      <c r="AM855" s="65" t="n">
        <f aca="false">IF(OR(V855="",V855=0),0,1)</f>
        <v>1</v>
      </c>
      <c r="AN855" s="65" t="n">
        <f aca="false">IF(OR(E855="",F855=""),0,NETWORKDAYS(E855,F855,Ref!$K$2:$K$42))</f>
        <v>15</v>
      </c>
      <c r="AO855" s="65" t="n">
        <f aca="false">IF(L855="Renewal",1,0)</f>
        <v>0</v>
      </c>
      <c r="AP855" s="65" t="n">
        <f aca="false">AC855*AD855</f>
        <v>0</v>
      </c>
      <c r="AQ855" s="65" t="n">
        <f aca="false">IF(AND(G855&lt;&gt;"",'Historical Score'!$C$6&lt;&gt;""),IF(G855='Historical Score'!$C$6,1,0),0)</f>
        <v>0</v>
      </c>
      <c r="AR855" s="65" t="n">
        <f aca="false">IF(AND(L855&lt;&gt;"",'Historical Score'!$C$5&lt;&gt;""),IF(L855='Historical Score'!$C$5,1,0),0)</f>
        <v>1</v>
      </c>
      <c r="AS855" s="65" t="n">
        <f aca="false">IF(AND(Y855&lt;&gt;"",'Historical Score'!$C$7&lt;&gt;""),IF(Y855='Historical Score'!$C$7,1,0),0)</f>
        <v>0</v>
      </c>
      <c r="AT855" s="65" t="n">
        <f aca="false">IF(AND(K855&lt;&gt;"",'Historical Score'!$C$8&lt;&gt;""),IF(K855='Historical Score'!$C$8,1,0),0)</f>
        <v>1</v>
      </c>
      <c r="AU855" s="65" t="n">
        <f aca="false">IF(AND(J855&lt;&gt;"",'Historical Score'!$C$9&lt;&gt;""),IF(J855='Historical Score'!$C$9,1,0),0)</f>
        <v>0</v>
      </c>
      <c r="AV855" s="65" t="n">
        <f aca="false">AR855*AS855*AQ855</f>
        <v>0</v>
      </c>
      <c r="AW855" s="65" t="n">
        <f aca="false">AR855*AT855*AQ855</f>
        <v>0</v>
      </c>
      <c r="AX855" s="65" t="n">
        <f aca="false">AR855*AS855</f>
        <v>0</v>
      </c>
      <c r="AY855" s="65" t="n">
        <f aca="false">AR855*AT855</f>
        <v>1</v>
      </c>
      <c r="AZ855" s="65" t="n">
        <f aca="false">AR855*AQ855</f>
        <v>0</v>
      </c>
      <c r="BA855" s="65" t="n">
        <f aca="false">AR855</f>
        <v>1</v>
      </c>
      <c r="BB855" s="65" t="n">
        <f aca="false">1</f>
        <v>1</v>
      </c>
      <c r="BC855" s="65" t="n">
        <f aca="false">IF(AV855=1,1,IF(AW855=1,2,IF(AX855=1,3,IF(AY855=1,4,IF(AZ855=1,5,IF(BA855=1,6,7))))))</f>
        <v>4</v>
      </c>
      <c r="BD855" s="65" t="n">
        <f aca="false">IF(AD855=1,CHOOSE('Historical Score'!$C$29,AV855,AW855,AX855,AY855,AZ855,BA855,BB855),0)</f>
        <v>0</v>
      </c>
      <c r="BE855" s="65" t="str">
        <f aca="false">IF(BD855=1,COUNTIF($BD$2:BD855,1),"")</f>
        <v/>
      </c>
    </row>
    <row r="856" customFormat="false" ht="15" hidden="false" customHeight="false" outlineLevel="0" collapsed="false">
      <c r="A856" s="65" t="s">
        <v>2676</v>
      </c>
      <c r="B856" s="65" t="s">
        <v>2677</v>
      </c>
      <c r="C856" s="65" t="s">
        <v>2677</v>
      </c>
      <c r="D856" s="65" t="s">
        <v>371</v>
      </c>
      <c r="E856" s="112" t="n">
        <v>46153</v>
      </c>
      <c r="F856" s="112" t="n">
        <v>46223</v>
      </c>
      <c r="G856" s="65" t="n">
        <v>3</v>
      </c>
      <c r="H856" s="65" t="s">
        <v>752</v>
      </c>
      <c r="I856" s="65" t="s">
        <v>405</v>
      </c>
      <c r="J856" s="65" t="s">
        <v>470</v>
      </c>
      <c r="K856" s="65" t="s">
        <v>55</v>
      </c>
      <c r="L856" s="65" t="s">
        <v>64</v>
      </c>
      <c r="M856" s="113" t="n">
        <v>1.49</v>
      </c>
      <c r="N856" s="114" t="n">
        <v>15000</v>
      </c>
      <c r="O856" s="114" t="n">
        <v>2100</v>
      </c>
      <c r="P856" s="114" t="n">
        <v>22350</v>
      </c>
      <c r="Q856" s="114" t="n">
        <v>22350</v>
      </c>
      <c r="R856" s="114" t="n">
        <v>0</v>
      </c>
      <c r="S856" s="115" t="n">
        <v>1</v>
      </c>
      <c r="T856" s="65" t="n">
        <v>3.279</v>
      </c>
      <c r="U856" s="65" t="n">
        <v>0</v>
      </c>
      <c r="V856" s="65" t="n">
        <v>28362.13</v>
      </c>
      <c r="W856" s="115" t="n">
        <v>0.1655</v>
      </c>
      <c r="X856" s="112"/>
      <c r="Y856" s="65" t="str">
        <f aca="false">IF(I856="","No SIC",IFERROR(VLOOKUP(I856,Ref!$A$2:$B$65,2,FALSE()),"Unclassified"))</f>
        <v>Health Services</v>
      </c>
      <c r="Z856" s="65" t="str">
        <f aca="false">IF(T856="","",IF(T856&lt;12,"Daily","Weekly"))</f>
        <v>Daily</v>
      </c>
      <c r="AA856" s="65" t="n">
        <f aca="false">IF(T856="",0,IF(T856&lt;12,T856*Controls!$B$29,T856*5))</f>
        <v>71.006745</v>
      </c>
      <c r="AB856" s="65" t="n">
        <f aca="false">IF(E856="",0,NETWORKDAYS(E856,Controls!$B$36,Ref!$K$2:$K$42))</f>
        <v>75</v>
      </c>
      <c r="AC856" s="65" t="n">
        <f aca="false">IF(AND(AA856&gt;0,AB856&gt;=Controls!$B$39*AA856),1,0)</f>
        <v>0</v>
      </c>
      <c r="AD856" s="65" t="n">
        <f aca="false">IF(AND(E856&lt;&gt;"",E856&gt;=Controls!$B$37,E856&lt;=Controls!$B$38),1,0)</f>
        <v>1</v>
      </c>
      <c r="AE856" s="65" t="n">
        <f aca="false">IF(IFERROR(VLOOKUP(D856,Controls!$A$64:$E$74,2,FALSE()),"No")="Yes",1,0)</f>
        <v>0</v>
      </c>
      <c r="AF856" s="65" t="n">
        <f aca="false">IF(IFERROR(VLOOKUP(D856,Controls!$A$64:$E$74,3,FALSE()),"No")="Yes",1,0)</f>
        <v>1</v>
      </c>
      <c r="AG856" s="65" t="n">
        <f aca="false">IF(IFERROR(VLOOKUP(D856,Controls!$A$64:$E$74,4,FALSE()),"No")="Yes",1,0)</f>
        <v>1</v>
      </c>
      <c r="AH856" s="65" t="n">
        <f aca="false">IF(IFERROR(VLOOKUP(D856,Controls!$A$64:$E$74,5,FALSE()),"No")="Yes",1,0)</f>
        <v>0</v>
      </c>
      <c r="AI856" s="65" t="n">
        <f aca="false">IF(ISNUMBER(MATCH(D856,Controls!$A$64:$A$74,0)),1,0)</f>
        <v>1</v>
      </c>
      <c r="AJ856" s="65" t="n">
        <f aca="false">Q856-N856</f>
        <v>7350</v>
      </c>
      <c r="AK856" s="65" t="n">
        <f aca="false">IF(AE856=1,MAX(0,N856-Q856),0)</f>
        <v>0</v>
      </c>
      <c r="AL856" s="65" t="n">
        <f aca="false">IF(OR(V856="",V856=0),0,N856/V856)</f>
        <v>0.528874241814701</v>
      </c>
      <c r="AM856" s="65" t="n">
        <f aca="false">IF(OR(V856="",V856=0),0,1)</f>
        <v>1</v>
      </c>
      <c r="AN856" s="65" t="n">
        <f aca="false">IF(OR(E856="",F856=""),0,NETWORKDAYS(E856,F856,Ref!$K$2:$K$42))</f>
        <v>49</v>
      </c>
      <c r="AO856" s="65" t="n">
        <f aca="false">IF(L856="Renewal",1,0)</f>
        <v>0</v>
      </c>
      <c r="AP856" s="65" t="n">
        <f aca="false">AC856*AD856</f>
        <v>0</v>
      </c>
      <c r="AQ856" s="65" t="n">
        <f aca="false">IF(AND(G856&lt;&gt;"",'Historical Score'!$C$6&lt;&gt;""),IF(G856='Historical Score'!$C$6,1,0),0)</f>
        <v>0</v>
      </c>
      <c r="AR856" s="65" t="n">
        <f aca="false">IF(AND(L856&lt;&gt;"",'Historical Score'!$C$5&lt;&gt;""),IF(L856='Historical Score'!$C$5,1,0),0)</f>
        <v>1</v>
      </c>
      <c r="AS856" s="65" t="n">
        <f aca="false">IF(AND(Y856&lt;&gt;"",'Historical Score'!$C$7&lt;&gt;""),IF(Y856='Historical Score'!$C$7,1,0),0)</f>
        <v>0</v>
      </c>
      <c r="AT856" s="65" t="n">
        <f aca="false">IF(AND(K856&lt;&gt;"",'Historical Score'!$C$8&lt;&gt;""),IF(K856='Historical Score'!$C$8,1,0),0)</f>
        <v>1</v>
      </c>
      <c r="AU856" s="65" t="n">
        <f aca="false">IF(AND(J856&lt;&gt;"",'Historical Score'!$C$9&lt;&gt;""),IF(J856='Historical Score'!$C$9,1,0),0)</f>
        <v>0</v>
      </c>
      <c r="AV856" s="65" t="n">
        <f aca="false">AR856*AS856*AQ856</f>
        <v>0</v>
      </c>
      <c r="AW856" s="65" t="n">
        <f aca="false">AR856*AT856*AQ856</f>
        <v>0</v>
      </c>
      <c r="AX856" s="65" t="n">
        <f aca="false">AR856*AS856</f>
        <v>0</v>
      </c>
      <c r="AY856" s="65" t="n">
        <f aca="false">AR856*AT856</f>
        <v>1</v>
      </c>
      <c r="AZ856" s="65" t="n">
        <f aca="false">AR856*AQ856</f>
        <v>0</v>
      </c>
      <c r="BA856" s="65" t="n">
        <f aca="false">AR856</f>
        <v>1</v>
      </c>
      <c r="BB856" s="65" t="n">
        <f aca="false">1</f>
        <v>1</v>
      </c>
      <c r="BC856" s="65" t="n">
        <f aca="false">IF(AV856=1,1,IF(AW856=1,2,IF(AX856=1,3,IF(AY856=1,4,IF(AZ856=1,5,IF(BA856=1,6,7))))))</f>
        <v>4</v>
      </c>
      <c r="BD856" s="65" t="n">
        <f aca="false">IF(AD856=1,CHOOSE('Historical Score'!$C$29,AV856,AW856,AX856,AY856,AZ856,BA856,BB856),0)</f>
        <v>0</v>
      </c>
      <c r="BE856" s="65" t="str">
        <f aca="false">IF(BD856=1,COUNTIF($BD$2:BD856,1),"")</f>
        <v/>
      </c>
    </row>
    <row r="857" customFormat="false" ht="15" hidden="false" customHeight="false" outlineLevel="0" collapsed="false">
      <c r="A857" s="65" t="s">
        <v>2678</v>
      </c>
      <c r="B857" s="65" t="s">
        <v>2679</v>
      </c>
      <c r="C857" s="65" t="s">
        <v>2680</v>
      </c>
      <c r="D857" s="65" t="s">
        <v>295</v>
      </c>
      <c r="E857" s="112" t="n">
        <v>46153</v>
      </c>
      <c r="F857" s="112" t="n">
        <v>46252</v>
      </c>
      <c r="G857" s="65" t="n">
        <v>3</v>
      </c>
      <c r="H857" s="65" t="s">
        <v>1041</v>
      </c>
      <c r="I857" s="65" t="s">
        <v>367</v>
      </c>
      <c r="J857" s="65" t="s">
        <v>350</v>
      </c>
      <c r="K857" s="65" t="s">
        <v>672</v>
      </c>
      <c r="L857" s="65" t="s">
        <v>64</v>
      </c>
      <c r="M857" s="113" t="n">
        <v>1.49</v>
      </c>
      <c r="N857" s="114" t="n">
        <v>250000</v>
      </c>
      <c r="O857" s="114" t="n">
        <v>35000</v>
      </c>
      <c r="P857" s="114" t="n">
        <v>372500</v>
      </c>
      <c r="Q857" s="114" t="n">
        <v>174078.66</v>
      </c>
      <c r="R857" s="114" t="n">
        <v>198421.34</v>
      </c>
      <c r="S857" s="115" t="n">
        <v>0.467325261744967</v>
      </c>
      <c r="T857" s="65" t="n">
        <v>30</v>
      </c>
      <c r="U857" s="65" t="n">
        <v>0</v>
      </c>
      <c r="V857" s="65" t="n">
        <v>1697500.34</v>
      </c>
      <c r="W857" s="115" t="n">
        <v>0.0293</v>
      </c>
      <c r="X857" s="112" t="n">
        <v>39179</v>
      </c>
      <c r="Y857" s="65" t="str">
        <f aca="false">IF(I857="","No SIC",IFERROR(VLOOKUP(I857,Ref!$A$2:$B$65,2,FALSE()),"Unclassified"))</f>
        <v>Engineering, Accounting &amp; Management</v>
      </c>
      <c r="Z857" s="65" t="str">
        <f aca="false">IF(T857="","",IF(T857&lt;12,"Daily","Weekly"))</f>
        <v>Weekly</v>
      </c>
      <c r="AA857" s="65" t="n">
        <f aca="false">IF(T857="",0,IF(T857&lt;12,T857*Controls!$B$29,T857*5))</f>
        <v>150</v>
      </c>
      <c r="AB857" s="65" t="n">
        <f aca="false">IF(E857="",0,NETWORKDAYS(E857,Controls!$B$36,Ref!$K$2:$K$42))</f>
        <v>75</v>
      </c>
      <c r="AC857" s="65" t="n">
        <f aca="false">IF(AND(AA857&gt;0,AB857&gt;=Controls!$B$39*AA857),1,0)</f>
        <v>0</v>
      </c>
      <c r="AD857" s="65" t="n">
        <f aca="false">IF(AND(E857&lt;&gt;"",E857&gt;=Controls!$B$37,E857&lt;=Controls!$B$38),1,0)</f>
        <v>1</v>
      </c>
      <c r="AE857" s="65" t="n">
        <f aca="false">IF(IFERROR(VLOOKUP(D857,Controls!$A$64:$E$74,2,FALSE()),"No")="Yes",1,0)</f>
        <v>0</v>
      </c>
      <c r="AF857" s="65" t="n">
        <f aca="false">IF(IFERROR(VLOOKUP(D857,Controls!$A$64:$E$74,3,FALSE()),"No")="Yes",1,0)</f>
        <v>0</v>
      </c>
      <c r="AG857" s="65" t="n">
        <f aca="false">IF(IFERROR(VLOOKUP(D857,Controls!$A$64:$E$74,4,FALSE()),"No")="Yes",1,0)</f>
        <v>0</v>
      </c>
      <c r="AH857" s="65" t="n">
        <f aca="false">IF(IFERROR(VLOOKUP(D857,Controls!$A$64:$E$74,5,FALSE()),"No")="Yes",1,0)</f>
        <v>1</v>
      </c>
      <c r="AI857" s="65" t="n">
        <f aca="false">IF(ISNUMBER(MATCH(D857,Controls!$A$64:$A$74,0)),1,0)</f>
        <v>1</v>
      </c>
      <c r="AJ857" s="65" t="n">
        <f aca="false">Q857-N857</f>
        <v>-75921.34</v>
      </c>
      <c r="AK857" s="65" t="n">
        <f aca="false">IF(AE857=1,MAX(0,N857-Q857),0)</f>
        <v>0</v>
      </c>
      <c r="AL857" s="65" t="n">
        <f aca="false">IF(OR(V857="",V857=0),0,N857/V857)</f>
        <v>0.147275375508909</v>
      </c>
      <c r="AM857" s="65" t="n">
        <f aca="false">IF(OR(V857="",V857=0),0,1)</f>
        <v>1</v>
      </c>
      <c r="AN857" s="65" t="n">
        <f aca="false">IF(OR(E857="",F857=""),0,NETWORKDAYS(E857,F857,Ref!$K$2:$K$42))</f>
        <v>70</v>
      </c>
      <c r="AO857" s="65" t="n">
        <f aca="false">IF(L857="Renewal",1,0)</f>
        <v>0</v>
      </c>
      <c r="AP857" s="65" t="n">
        <f aca="false">AC857*AD857</f>
        <v>0</v>
      </c>
      <c r="AQ857" s="65" t="n">
        <f aca="false">IF(AND(G857&lt;&gt;"",'Historical Score'!$C$6&lt;&gt;""),IF(G857='Historical Score'!$C$6,1,0),0)</f>
        <v>0</v>
      </c>
      <c r="AR857" s="65" t="n">
        <f aca="false">IF(AND(L857&lt;&gt;"",'Historical Score'!$C$5&lt;&gt;""),IF(L857='Historical Score'!$C$5,1,0),0)</f>
        <v>1</v>
      </c>
      <c r="AS857" s="65" t="n">
        <f aca="false">IF(AND(Y857&lt;&gt;"",'Historical Score'!$C$7&lt;&gt;""),IF(Y857='Historical Score'!$C$7,1,0),0)</f>
        <v>0</v>
      </c>
      <c r="AT857" s="65" t="n">
        <f aca="false">IF(AND(K857&lt;&gt;"",'Historical Score'!$C$8&lt;&gt;""),IF(K857='Historical Score'!$C$8,1,0),0)</f>
        <v>0</v>
      </c>
      <c r="AU857" s="65" t="n">
        <f aca="false">IF(AND(J857&lt;&gt;"",'Historical Score'!$C$9&lt;&gt;""),IF(J857='Historical Score'!$C$9,1,0),0)</f>
        <v>0</v>
      </c>
      <c r="AV857" s="65" t="n">
        <f aca="false">AR857*AS857*AQ857</f>
        <v>0</v>
      </c>
      <c r="AW857" s="65" t="n">
        <f aca="false">AR857*AT857*AQ857</f>
        <v>0</v>
      </c>
      <c r="AX857" s="65" t="n">
        <f aca="false">AR857*AS857</f>
        <v>0</v>
      </c>
      <c r="AY857" s="65" t="n">
        <f aca="false">AR857*AT857</f>
        <v>0</v>
      </c>
      <c r="AZ857" s="65" t="n">
        <f aca="false">AR857*AQ857</f>
        <v>0</v>
      </c>
      <c r="BA857" s="65" t="n">
        <f aca="false">AR857</f>
        <v>1</v>
      </c>
      <c r="BB857" s="65" t="n">
        <f aca="false">1</f>
        <v>1</v>
      </c>
      <c r="BC857" s="65" t="n">
        <f aca="false">IF(AV857=1,1,IF(AW857=1,2,IF(AX857=1,3,IF(AY857=1,4,IF(AZ857=1,5,IF(BA857=1,6,7))))))</f>
        <v>6</v>
      </c>
      <c r="BD857" s="65" t="n">
        <f aca="false">IF(AD857=1,CHOOSE('Historical Score'!$C$29,AV857,AW857,AX857,AY857,AZ857,BA857,BB857),0)</f>
        <v>0</v>
      </c>
      <c r="BE857" s="65" t="str">
        <f aca="false">IF(BD857=1,COUNTIF($BD$2:BD857,1),"")</f>
        <v/>
      </c>
    </row>
    <row r="858" customFormat="false" ht="15" hidden="false" customHeight="false" outlineLevel="0" collapsed="false">
      <c r="A858" s="65" t="s">
        <v>2681</v>
      </c>
      <c r="B858" s="65" t="s">
        <v>2102</v>
      </c>
      <c r="C858" s="65" t="s">
        <v>2102</v>
      </c>
      <c r="D858" s="65" t="s">
        <v>295</v>
      </c>
      <c r="E858" s="112" t="n">
        <v>46153</v>
      </c>
      <c r="F858" s="112" t="n">
        <v>46253</v>
      </c>
      <c r="G858" s="65" t="n">
        <v>3</v>
      </c>
      <c r="H858" s="65" t="s">
        <v>479</v>
      </c>
      <c r="I858" s="65" t="s">
        <v>356</v>
      </c>
      <c r="J858" s="65" t="s">
        <v>452</v>
      </c>
      <c r="K858" s="65" t="s">
        <v>2088</v>
      </c>
      <c r="L858" s="65" t="s">
        <v>320</v>
      </c>
      <c r="M858" s="113" t="n">
        <v>1.49</v>
      </c>
      <c r="N858" s="114" t="n">
        <v>35000</v>
      </c>
      <c r="O858" s="114" t="n">
        <v>4900</v>
      </c>
      <c r="P858" s="114" t="n">
        <v>52150</v>
      </c>
      <c r="Q858" s="114" t="n">
        <v>29130.26</v>
      </c>
      <c r="R858" s="114" t="n">
        <v>23019.74</v>
      </c>
      <c r="S858" s="115" t="n">
        <v>0.558586001917546</v>
      </c>
      <c r="T858" s="65" t="n">
        <v>3.934</v>
      </c>
      <c r="U858" s="65" t="n">
        <v>3</v>
      </c>
      <c r="V858" s="65" t="n">
        <v>100887.92</v>
      </c>
      <c r="W858" s="115" t="n">
        <v>0.0905</v>
      </c>
      <c r="X858" s="112" t="n">
        <v>44019</v>
      </c>
      <c r="Y858" s="65" t="str">
        <f aca="false">IF(I858="","No SIC",IFERROR(VLOOKUP(I858,Ref!$A$2:$B$65,2,FALSE()),"Unclassified"))</f>
        <v>Trucking &amp; Warehousing</v>
      </c>
      <c r="Z858" s="65" t="str">
        <f aca="false">IF(T858="","",IF(T858&lt;12,"Daily","Weekly"))</f>
        <v>Daily</v>
      </c>
      <c r="AA858" s="65" t="n">
        <f aca="false">IF(T858="",0,IF(T858&lt;12,T858*Controls!$B$29,T858*5))</f>
        <v>85.19077</v>
      </c>
      <c r="AB858" s="65" t="n">
        <f aca="false">IF(E858="",0,NETWORKDAYS(E858,Controls!$B$36,Ref!$K$2:$K$42))</f>
        <v>75</v>
      </c>
      <c r="AC858" s="65" t="n">
        <f aca="false">IF(AND(AA858&gt;0,AB858&gt;=Controls!$B$39*AA858),1,0)</f>
        <v>0</v>
      </c>
      <c r="AD858" s="65" t="n">
        <f aca="false">IF(AND(E858&lt;&gt;"",E858&gt;=Controls!$B$37,E858&lt;=Controls!$B$38),1,0)</f>
        <v>1</v>
      </c>
      <c r="AE858" s="65" t="n">
        <f aca="false">IF(IFERROR(VLOOKUP(D858,Controls!$A$64:$E$74,2,FALSE()),"No")="Yes",1,0)</f>
        <v>0</v>
      </c>
      <c r="AF858" s="65" t="n">
        <f aca="false">IF(IFERROR(VLOOKUP(D858,Controls!$A$64:$E$74,3,FALSE()),"No")="Yes",1,0)</f>
        <v>0</v>
      </c>
      <c r="AG858" s="65" t="n">
        <f aca="false">IF(IFERROR(VLOOKUP(D858,Controls!$A$64:$E$74,4,FALSE()),"No")="Yes",1,0)</f>
        <v>0</v>
      </c>
      <c r="AH858" s="65" t="n">
        <f aca="false">IF(IFERROR(VLOOKUP(D858,Controls!$A$64:$E$74,5,FALSE()),"No")="Yes",1,0)</f>
        <v>1</v>
      </c>
      <c r="AI858" s="65" t="n">
        <f aca="false">IF(ISNUMBER(MATCH(D858,Controls!$A$64:$A$74,0)),1,0)</f>
        <v>1</v>
      </c>
      <c r="AJ858" s="65" t="n">
        <f aca="false">Q858-N858</f>
        <v>-5869.74</v>
      </c>
      <c r="AK858" s="65" t="n">
        <f aca="false">IF(AE858=1,MAX(0,N858-Q858),0)</f>
        <v>0</v>
      </c>
      <c r="AL858" s="65" t="n">
        <f aca="false">IF(OR(V858="",V858=0),0,N858/V858)</f>
        <v>0.346919631210555</v>
      </c>
      <c r="AM858" s="65" t="n">
        <f aca="false">IF(OR(V858="",V858=0),0,1)</f>
        <v>1</v>
      </c>
      <c r="AN858" s="65" t="n">
        <f aca="false">IF(OR(E858="",F858=""),0,NETWORKDAYS(E858,F858,Ref!$K$2:$K$42))</f>
        <v>71</v>
      </c>
      <c r="AO858" s="65" t="n">
        <f aca="false">IF(L858="Renewal",1,0)</f>
        <v>1</v>
      </c>
      <c r="AP858" s="65" t="n">
        <f aca="false">AC858*AD858</f>
        <v>0</v>
      </c>
      <c r="AQ858" s="65" t="n">
        <f aca="false">IF(AND(G858&lt;&gt;"",'Historical Score'!$C$6&lt;&gt;""),IF(G858='Historical Score'!$C$6,1,0),0)</f>
        <v>0</v>
      </c>
      <c r="AR858" s="65" t="n">
        <f aca="false">IF(AND(L858&lt;&gt;"",'Historical Score'!$C$5&lt;&gt;""),IF(L858='Historical Score'!$C$5,1,0),0)</f>
        <v>0</v>
      </c>
      <c r="AS858" s="65" t="n">
        <f aca="false">IF(AND(Y858&lt;&gt;"",'Historical Score'!$C$7&lt;&gt;""),IF(Y858='Historical Score'!$C$7,1,0),0)</f>
        <v>0</v>
      </c>
      <c r="AT858" s="65" t="n">
        <f aca="false">IF(AND(K858&lt;&gt;"",'Historical Score'!$C$8&lt;&gt;""),IF(K858='Historical Score'!$C$8,1,0),0)</f>
        <v>0</v>
      </c>
      <c r="AU858" s="65" t="n">
        <f aca="false">IF(AND(J858&lt;&gt;"",'Historical Score'!$C$9&lt;&gt;""),IF(J858='Historical Score'!$C$9,1,0),0)</f>
        <v>0</v>
      </c>
      <c r="AV858" s="65" t="n">
        <f aca="false">AR858*AS858*AQ858</f>
        <v>0</v>
      </c>
      <c r="AW858" s="65" t="n">
        <f aca="false">AR858*AT858*AQ858</f>
        <v>0</v>
      </c>
      <c r="AX858" s="65" t="n">
        <f aca="false">AR858*AS858</f>
        <v>0</v>
      </c>
      <c r="AY858" s="65" t="n">
        <f aca="false">AR858*AT858</f>
        <v>0</v>
      </c>
      <c r="AZ858" s="65" t="n">
        <f aca="false">AR858*AQ858</f>
        <v>0</v>
      </c>
      <c r="BA858" s="65" t="n">
        <f aca="false">AR858</f>
        <v>0</v>
      </c>
      <c r="BB858" s="65" t="n">
        <f aca="false">1</f>
        <v>1</v>
      </c>
      <c r="BC858" s="65" t="n">
        <f aca="false">IF(AV858=1,1,IF(AW858=1,2,IF(AX858=1,3,IF(AY858=1,4,IF(AZ858=1,5,IF(BA858=1,6,7))))))</f>
        <v>7</v>
      </c>
      <c r="BD858" s="65" t="n">
        <f aca="false">IF(AD858=1,CHOOSE('Historical Score'!$C$29,AV858,AW858,AX858,AY858,AZ858,BA858,BB858),0)</f>
        <v>0</v>
      </c>
      <c r="BE858" s="65" t="str">
        <f aca="false">IF(BD858=1,COUNTIF($BD$2:BD858,1),"")</f>
        <v/>
      </c>
    </row>
    <row r="859" customFormat="false" ht="15" hidden="false" customHeight="false" outlineLevel="0" collapsed="false">
      <c r="A859" s="65" t="s">
        <v>2682</v>
      </c>
      <c r="B859" s="65" t="s">
        <v>2683</v>
      </c>
      <c r="C859" s="65" t="s">
        <v>2684</v>
      </c>
      <c r="D859" s="65" t="s">
        <v>295</v>
      </c>
      <c r="E859" s="112" t="n">
        <v>46153</v>
      </c>
      <c r="F859" s="112" t="n">
        <v>46231</v>
      </c>
      <c r="G859" s="65" t="n">
        <v>3</v>
      </c>
      <c r="H859" s="65" t="s">
        <v>409</v>
      </c>
      <c r="I859" s="65" t="s">
        <v>342</v>
      </c>
      <c r="J859" s="65" t="s">
        <v>704</v>
      </c>
      <c r="K859" s="65" t="s">
        <v>2685</v>
      </c>
      <c r="L859" s="65" t="s">
        <v>64</v>
      </c>
      <c r="M859" s="113" t="n">
        <v>1.49</v>
      </c>
      <c r="N859" s="114" t="n">
        <v>10000</v>
      </c>
      <c r="O859" s="114" t="n">
        <v>1400</v>
      </c>
      <c r="P859" s="114" t="n">
        <v>14900</v>
      </c>
      <c r="Q859" s="114" t="n">
        <v>7151.04</v>
      </c>
      <c r="R859" s="114" t="n">
        <v>7748.96</v>
      </c>
      <c r="S859" s="115" t="n">
        <v>0.479935570469799</v>
      </c>
      <c r="T859" s="65" t="n">
        <v>3.279</v>
      </c>
      <c r="U859" s="65" t="n">
        <v>5</v>
      </c>
      <c r="V859" s="65" t="n">
        <v>29824.44</v>
      </c>
      <c r="W859" s="115" t="n">
        <v>0.1049</v>
      </c>
      <c r="X859" s="112" t="n">
        <v>41255</v>
      </c>
      <c r="Y859" s="65" t="str">
        <f aca="false">IF(I859="","No SIC",IFERROR(VLOOKUP(I859,Ref!$A$2:$B$65,2,FALSE()),"Unclassified"))</f>
        <v>Eating &amp; Drinking Places</v>
      </c>
      <c r="Z859" s="65" t="str">
        <f aca="false">IF(T859="","",IF(T859&lt;12,"Daily","Weekly"))</f>
        <v>Daily</v>
      </c>
      <c r="AA859" s="65" t="n">
        <f aca="false">IF(T859="",0,IF(T859&lt;12,T859*Controls!$B$29,T859*5))</f>
        <v>71.006745</v>
      </c>
      <c r="AB859" s="65" t="n">
        <f aca="false">IF(E859="",0,NETWORKDAYS(E859,Controls!$B$36,Ref!$K$2:$K$42))</f>
        <v>75</v>
      </c>
      <c r="AC859" s="65" t="n">
        <f aca="false">IF(AND(AA859&gt;0,AB859&gt;=Controls!$B$39*AA859),1,0)</f>
        <v>0</v>
      </c>
      <c r="AD859" s="65" t="n">
        <f aca="false">IF(AND(E859&lt;&gt;"",E859&gt;=Controls!$B$37,E859&lt;=Controls!$B$38),1,0)</f>
        <v>1</v>
      </c>
      <c r="AE859" s="65" t="n">
        <f aca="false">IF(IFERROR(VLOOKUP(D859,Controls!$A$64:$E$74,2,FALSE()),"No")="Yes",1,0)</f>
        <v>0</v>
      </c>
      <c r="AF859" s="65" t="n">
        <f aca="false">IF(IFERROR(VLOOKUP(D859,Controls!$A$64:$E$74,3,FALSE()),"No")="Yes",1,0)</f>
        <v>0</v>
      </c>
      <c r="AG859" s="65" t="n">
        <f aca="false">IF(IFERROR(VLOOKUP(D859,Controls!$A$64:$E$74,4,FALSE()),"No")="Yes",1,0)</f>
        <v>0</v>
      </c>
      <c r="AH859" s="65" t="n">
        <f aca="false">IF(IFERROR(VLOOKUP(D859,Controls!$A$64:$E$74,5,FALSE()),"No")="Yes",1,0)</f>
        <v>1</v>
      </c>
      <c r="AI859" s="65" t="n">
        <f aca="false">IF(ISNUMBER(MATCH(D859,Controls!$A$64:$A$74,0)),1,0)</f>
        <v>1</v>
      </c>
      <c r="AJ859" s="65" t="n">
        <f aca="false">Q859-N859</f>
        <v>-2848.96</v>
      </c>
      <c r="AK859" s="65" t="n">
        <f aca="false">IF(AE859=1,MAX(0,N859-Q859),0)</f>
        <v>0</v>
      </c>
      <c r="AL859" s="65" t="n">
        <f aca="false">IF(OR(V859="",V859=0),0,N859/V859)</f>
        <v>0.335295482496905</v>
      </c>
      <c r="AM859" s="65" t="n">
        <f aca="false">IF(OR(V859="",V859=0),0,1)</f>
        <v>1</v>
      </c>
      <c r="AN859" s="65" t="n">
        <f aca="false">IF(OR(E859="",F859=""),0,NETWORKDAYS(E859,F859,Ref!$K$2:$K$42))</f>
        <v>55</v>
      </c>
      <c r="AO859" s="65" t="n">
        <f aca="false">IF(L859="Renewal",1,0)</f>
        <v>0</v>
      </c>
      <c r="AP859" s="65" t="n">
        <f aca="false">AC859*AD859</f>
        <v>0</v>
      </c>
      <c r="AQ859" s="65" t="n">
        <f aca="false">IF(AND(G859&lt;&gt;"",'Historical Score'!$C$6&lt;&gt;""),IF(G859='Historical Score'!$C$6,1,0),0)</f>
        <v>0</v>
      </c>
      <c r="AR859" s="65" t="n">
        <f aca="false">IF(AND(L859&lt;&gt;"",'Historical Score'!$C$5&lt;&gt;""),IF(L859='Historical Score'!$C$5,1,0),0)</f>
        <v>1</v>
      </c>
      <c r="AS859" s="65" t="n">
        <f aca="false">IF(AND(Y859&lt;&gt;"",'Historical Score'!$C$7&lt;&gt;""),IF(Y859='Historical Score'!$C$7,1,0),0)</f>
        <v>0</v>
      </c>
      <c r="AT859" s="65" t="n">
        <f aca="false">IF(AND(K859&lt;&gt;"",'Historical Score'!$C$8&lt;&gt;""),IF(K859='Historical Score'!$C$8,1,0),0)</f>
        <v>0</v>
      </c>
      <c r="AU859" s="65" t="n">
        <f aca="false">IF(AND(J859&lt;&gt;"",'Historical Score'!$C$9&lt;&gt;""),IF(J859='Historical Score'!$C$9,1,0),0)</f>
        <v>0</v>
      </c>
      <c r="AV859" s="65" t="n">
        <f aca="false">AR859*AS859*AQ859</f>
        <v>0</v>
      </c>
      <c r="AW859" s="65" t="n">
        <f aca="false">AR859*AT859*AQ859</f>
        <v>0</v>
      </c>
      <c r="AX859" s="65" t="n">
        <f aca="false">AR859*AS859</f>
        <v>0</v>
      </c>
      <c r="AY859" s="65" t="n">
        <f aca="false">AR859*AT859</f>
        <v>0</v>
      </c>
      <c r="AZ859" s="65" t="n">
        <f aca="false">AR859*AQ859</f>
        <v>0</v>
      </c>
      <c r="BA859" s="65" t="n">
        <f aca="false">AR859</f>
        <v>1</v>
      </c>
      <c r="BB859" s="65" t="n">
        <f aca="false">1</f>
        <v>1</v>
      </c>
      <c r="BC859" s="65" t="n">
        <f aca="false">IF(AV859=1,1,IF(AW859=1,2,IF(AX859=1,3,IF(AY859=1,4,IF(AZ859=1,5,IF(BA859=1,6,7))))))</f>
        <v>6</v>
      </c>
      <c r="BD859" s="65" t="n">
        <f aca="false">IF(AD859=1,CHOOSE('Historical Score'!$C$29,AV859,AW859,AX859,AY859,AZ859,BA859,BB859),0)</f>
        <v>0</v>
      </c>
      <c r="BE859" s="65" t="str">
        <f aca="false">IF(BD859=1,COUNTIF($BD$2:BD859,1),"")</f>
        <v/>
      </c>
    </row>
    <row r="860" customFormat="false" ht="15" hidden="false" customHeight="false" outlineLevel="0" collapsed="false">
      <c r="A860" s="65" t="s">
        <v>2686</v>
      </c>
      <c r="B860" s="65" t="s">
        <v>2687</v>
      </c>
      <c r="C860" s="65" t="s">
        <v>2688</v>
      </c>
      <c r="D860" s="65" t="s">
        <v>295</v>
      </c>
      <c r="E860" s="112" t="n">
        <v>46154</v>
      </c>
      <c r="F860" s="112" t="n">
        <v>46247</v>
      </c>
      <c r="G860" s="65" t="n">
        <v>2</v>
      </c>
      <c r="H860" s="65" t="s">
        <v>409</v>
      </c>
      <c r="I860" s="65" t="s">
        <v>342</v>
      </c>
      <c r="J860" s="65" t="s">
        <v>386</v>
      </c>
      <c r="K860" s="65" t="s">
        <v>538</v>
      </c>
      <c r="L860" s="65" t="s">
        <v>64</v>
      </c>
      <c r="M860" s="113" t="n">
        <v>1.38</v>
      </c>
      <c r="N860" s="114" t="n">
        <v>200000</v>
      </c>
      <c r="O860" s="114" t="n">
        <v>14000</v>
      </c>
      <c r="P860" s="114" t="n">
        <v>276000</v>
      </c>
      <c r="Q860" s="114" t="n">
        <v>63721.8</v>
      </c>
      <c r="R860" s="114" t="n">
        <v>212278.2</v>
      </c>
      <c r="S860" s="115" t="n">
        <v>0.230876086956522</v>
      </c>
      <c r="T860" s="65" t="n">
        <v>52</v>
      </c>
      <c r="U860" s="65" t="n">
        <v>1</v>
      </c>
      <c r="V860" s="65" t="n">
        <v>202291.45</v>
      </c>
      <c r="W860" s="115" t="n">
        <v>0.105</v>
      </c>
      <c r="X860" s="112" t="n">
        <v>45292</v>
      </c>
      <c r="Y860" s="65" t="str">
        <f aca="false">IF(I860="","No SIC",IFERROR(VLOOKUP(I860,Ref!$A$2:$B$65,2,FALSE()),"Unclassified"))</f>
        <v>Eating &amp; Drinking Places</v>
      </c>
      <c r="Z860" s="65" t="str">
        <f aca="false">IF(T860="","",IF(T860&lt;12,"Daily","Weekly"))</f>
        <v>Weekly</v>
      </c>
      <c r="AA860" s="65" t="n">
        <f aca="false">IF(T860="",0,IF(T860&lt;12,T860*Controls!$B$29,T860*5))</f>
        <v>260</v>
      </c>
      <c r="AB860" s="65" t="n">
        <f aca="false">IF(E860="",0,NETWORKDAYS(E860,Controls!$B$36,Ref!$K$2:$K$42))</f>
        <v>74</v>
      </c>
      <c r="AC860" s="65" t="n">
        <f aca="false">IF(AND(AA860&gt;0,AB860&gt;=Controls!$B$39*AA860),1,0)</f>
        <v>0</v>
      </c>
      <c r="AD860" s="65" t="n">
        <f aca="false">IF(AND(E860&lt;&gt;"",E860&gt;=Controls!$B$37,E860&lt;=Controls!$B$38),1,0)</f>
        <v>1</v>
      </c>
      <c r="AE860" s="65" t="n">
        <f aca="false">IF(IFERROR(VLOOKUP(D860,Controls!$A$64:$E$74,2,FALSE()),"No")="Yes",1,0)</f>
        <v>0</v>
      </c>
      <c r="AF860" s="65" t="n">
        <f aca="false">IF(IFERROR(VLOOKUP(D860,Controls!$A$64:$E$74,3,FALSE()),"No")="Yes",1,0)</f>
        <v>0</v>
      </c>
      <c r="AG860" s="65" t="n">
        <f aca="false">IF(IFERROR(VLOOKUP(D860,Controls!$A$64:$E$74,4,FALSE()),"No")="Yes",1,0)</f>
        <v>0</v>
      </c>
      <c r="AH860" s="65" t="n">
        <f aca="false">IF(IFERROR(VLOOKUP(D860,Controls!$A$64:$E$74,5,FALSE()),"No")="Yes",1,0)</f>
        <v>1</v>
      </c>
      <c r="AI860" s="65" t="n">
        <f aca="false">IF(ISNUMBER(MATCH(D860,Controls!$A$64:$A$74,0)),1,0)</f>
        <v>1</v>
      </c>
      <c r="AJ860" s="65" t="n">
        <f aca="false">Q860-N860</f>
        <v>-136278.2</v>
      </c>
      <c r="AK860" s="65" t="n">
        <f aca="false">IF(AE860=1,MAX(0,N860-Q860),0)</f>
        <v>0</v>
      </c>
      <c r="AL860" s="65" t="n">
        <f aca="false">IF(OR(V860="",V860=0),0,N860/V860)</f>
        <v>0.988672531636903</v>
      </c>
      <c r="AM860" s="65" t="n">
        <f aca="false">IF(OR(V860="",V860=0),0,1)</f>
        <v>1</v>
      </c>
      <c r="AN860" s="65" t="n">
        <f aca="false">IF(OR(E860="",F860=""),0,NETWORKDAYS(E860,F860,Ref!$K$2:$K$42))</f>
        <v>66</v>
      </c>
      <c r="AO860" s="65" t="n">
        <f aca="false">IF(L860="Renewal",1,0)</f>
        <v>0</v>
      </c>
      <c r="AP860" s="65" t="n">
        <f aca="false">AC860*AD860</f>
        <v>0</v>
      </c>
      <c r="AQ860" s="65" t="n">
        <f aca="false">IF(AND(G860&lt;&gt;"",'Historical Score'!$C$6&lt;&gt;""),IF(G860='Historical Score'!$C$6,1,0),0)</f>
        <v>1</v>
      </c>
      <c r="AR860" s="65" t="n">
        <f aca="false">IF(AND(L860&lt;&gt;"",'Historical Score'!$C$5&lt;&gt;""),IF(L860='Historical Score'!$C$5,1,0),0)</f>
        <v>1</v>
      </c>
      <c r="AS860" s="65" t="n">
        <f aca="false">IF(AND(Y860&lt;&gt;"",'Historical Score'!$C$7&lt;&gt;""),IF(Y860='Historical Score'!$C$7,1,0),0)</f>
        <v>0</v>
      </c>
      <c r="AT860" s="65" t="n">
        <f aca="false">IF(AND(K860&lt;&gt;"",'Historical Score'!$C$8&lt;&gt;""),IF(K860='Historical Score'!$C$8,1,0),0)</f>
        <v>0</v>
      </c>
      <c r="AU860" s="65" t="n">
        <f aca="false">IF(AND(J860&lt;&gt;"",'Historical Score'!$C$9&lt;&gt;""),IF(J860='Historical Score'!$C$9,1,0),0)</f>
        <v>0</v>
      </c>
      <c r="AV860" s="65" t="n">
        <f aca="false">AR860*AS860*AQ860</f>
        <v>0</v>
      </c>
      <c r="AW860" s="65" t="n">
        <f aca="false">AR860*AT860*AQ860</f>
        <v>0</v>
      </c>
      <c r="AX860" s="65" t="n">
        <f aca="false">AR860*AS860</f>
        <v>0</v>
      </c>
      <c r="AY860" s="65" t="n">
        <f aca="false">AR860*AT860</f>
        <v>0</v>
      </c>
      <c r="AZ860" s="65" t="n">
        <f aca="false">AR860*AQ860</f>
        <v>1</v>
      </c>
      <c r="BA860" s="65" t="n">
        <f aca="false">AR860</f>
        <v>1</v>
      </c>
      <c r="BB860" s="65" t="n">
        <f aca="false">1</f>
        <v>1</v>
      </c>
      <c r="BC860" s="65" t="n">
        <f aca="false">IF(AV860=1,1,IF(AW860=1,2,IF(AX860=1,3,IF(AY860=1,4,IF(AZ860=1,5,IF(BA860=1,6,7))))))</f>
        <v>5</v>
      </c>
      <c r="BD860" s="65" t="n">
        <f aca="false">IF(AD860=1,CHOOSE('Historical Score'!$C$29,AV860,AW860,AX860,AY860,AZ860,BA860,BB860),0)</f>
        <v>0</v>
      </c>
      <c r="BE860" s="65" t="str">
        <f aca="false">IF(BD860=1,COUNTIF($BD$2:BD860,1),"")</f>
        <v/>
      </c>
    </row>
    <row r="861" customFormat="false" ht="15" hidden="false" customHeight="false" outlineLevel="0" collapsed="false">
      <c r="A861" s="65" t="s">
        <v>2689</v>
      </c>
      <c r="B861" s="65" t="s">
        <v>1766</v>
      </c>
      <c r="C861" s="65" t="s">
        <v>1766</v>
      </c>
      <c r="D861" s="65" t="s">
        <v>295</v>
      </c>
      <c r="E861" s="112" t="n">
        <v>46155</v>
      </c>
      <c r="F861" s="112" t="n">
        <v>46248</v>
      </c>
      <c r="G861" s="65" t="n">
        <v>3</v>
      </c>
      <c r="H861" s="65" t="s">
        <v>409</v>
      </c>
      <c r="I861" s="65" t="s">
        <v>342</v>
      </c>
      <c r="J861" s="65" t="s">
        <v>61</v>
      </c>
      <c r="K861" s="65" t="s">
        <v>581</v>
      </c>
      <c r="L861" s="65" t="s">
        <v>320</v>
      </c>
      <c r="M861" s="113" t="n">
        <v>1.49</v>
      </c>
      <c r="N861" s="114" t="n">
        <v>35000</v>
      </c>
      <c r="O861" s="114" t="n">
        <v>4900</v>
      </c>
      <c r="P861" s="114" t="n">
        <v>52150</v>
      </c>
      <c r="Q861" s="114" t="n">
        <v>22602.19</v>
      </c>
      <c r="R861" s="114" t="n">
        <v>29547.81</v>
      </c>
      <c r="S861" s="115" t="n">
        <v>0.433407286673058</v>
      </c>
      <c r="T861" s="65" t="n">
        <v>30</v>
      </c>
      <c r="U861" s="65" t="n">
        <v>0</v>
      </c>
      <c r="V861" s="65" t="n">
        <v>48000</v>
      </c>
      <c r="W861" s="115" t="n">
        <v>0.1987</v>
      </c>
      <c r="X861" s="112" t="n">
        <v>44854</v>
      </c>
      <c r="Y861" s="65" t="str">
        <f aca="false">IF(I861="","No SIC",IFERROR(VLOOKUP(I861,Ref!$A$2:$B$65,2,FALSE()),"Unclassified"))</f>
        <v>Eating &amp; Drinking Places</v>
      </c>
      <c r="Z861" s="65" t="str">
        <f aca="false">IF(T861="","",IF(T861&lt;12,"Daily","Weekly"))</f>
        <v>Weekly</v>
      </c>
      <c r="AA861" s="65" t="n">
        <f aca="false">IF(T861="",0,IF(T861&lt;12,T861*Controls!$B$29,T861*5))</f>
        <v>150</v>
      </c>
      <c r="AB861" s="65" t="n">
        <f aca="false">IF(E861="",0,NETWORKDAYS(E861,Controls!$B$36,Ref!$K$2:$K$42))</f>
        <v>73</v>
      </c>
      <c r="AC861" s="65" t="n">
        <f aca="false">IF(AND(AA861&gt;0,AB861&gt;=Controls!$B$39*AA861),1,0)</f>
        <v>0</v>
      </c>
      <c r="AD861" s="65" t="n">
        <f aca="false">IF(AND(E861&lt;&gt;"",E861&gt;=Controls!$B$37,E861&lt;=Controls!$B$38),1,0)</f>
        <v>1</v>
      </c>
      <c r="AE861" s="65" t="n">
        <f aca="false">IF(IFERROR(VLOOKUP(D861,Controls!$A$64:$E$74,2,FALSE()),"No")="Yes",1,0)</f>
        <v>0</v>
      </c>
      <c r="AF861" s="65" t="n">
        <f aca="false">IF(IFERROR(VLOOKUP(D861,Controls!$A$64:$E$74,3,FALSE()),"No")="Yes",1,0)</f>
        <v>0</v>
      </c>
      <c r="AG861" s="65" t="n">
        <f aca="false">IF(IFERROR(VLOOKUP(D861,Controls!$A$64:$E$74,4,FALSE()),"No")="Yes",1,0)</f>
        <v>0</v>
      </c>
      <c r="AH861" s="65" t="n">
        <f aca="false">IF(IFERROR(VLOOKUP(D861,Controls!$A$64:$E$74,5,FALSE()),"No")="Yes",1,0)</f>
        <v>1</v>
      </c>
      <c r="AI861" s="65" t="n">
        <f aca="false">IF(ISNUMBER(MATCH(D861,Controls!$A$64:$A$74,0)),1,0)</f>
        <v>1</v>
      </c>
      <c r="AJ861" s="65" t="n">
        <f aca="false">Q861-N861</f>
        <v>-12397.81</v>
      </c>
      <c r="AK861" s="65" t="n">
        <f aca="false">IF(AE861=1,MAX(0,N861-Q861),0)</f>
        <v>0</v>
      </c>
      <c r="AL861" s="65" t="n">
        <f aca="false">IF(OR(V861="",V861=0),0,N861/V861)</f>
        <v>0.729166666666667</v>
      </c>
      <c r="AM861" s="65" t="n">
        <f aca="false">IF(OR(V861="",V861=0),0,1)</f>
        <v>1</v>
      </c>
      <c r="AN861" s="65" t="n">
        <f aca="false">IF(OR(E861="",F861=""),0,NETWORKDAYS(E861,F861,Ref!$K$2:$K$42))</f>
        <v>66</v>
      </c>
      <c r="AO861" s="65" t="n">
        <f aca="false">IF(L861="Renewal",1,0)</f>
        <v>1</v>
      </c>
      <c r="AP861" s="65" t="n">
        <f aca="false">AC861*AD861</f>
        <v>0</v>
      </c>
      <c r="AQ861" s="65" t="n">
        <f aca="false">IF(AND(G861&lt;&gt;"",'Historical Score'!$C$6&lt;&gt;""),IF(G861='Historical Score'!$C$6,1,0),0)</f>
        <v>0</v>
      </c>
      <c r="AR861" s="65" t="n">
        <f aca="false">IF(AND(L861&lt;&gt;"",'Historical Score'!$C$5&lt;&gt;""),IF(L861='Historical Score'!$C$5,1,0),0)</f>
        <v>0</v>
      </c>
      <c r="AS861" s="65" t="n">
        <f aca="false">IF(AND(Y861&lt;&gt;"",'Historical Score'!$C$7&lt;&gt;""),IF(Y861='Historical Score'!$C$7,1,0),0)</f>
        <v>0</v>
      </c>
      <c r="AT861" s="65" t="n">
        <f aca="false">IF(AND(K861&lt;&gt;"",'Historical Score'!$C$8&lt;&gt;""),IF(K861='Historical Score'!$C$8,1,0),0)</f>
        <v>0</v>
      </c>
      <c r="AU861" s="65" t="n">
        <f aca="false">IF(AND(J861&lt;&gt;"",'Historical Score'!$C$9&lt;&gt;""),IF(J861='Historical Score'!$C$9,1,0),0)</f>
        <v>1</v>
      </c>
      <c r="AV861" s="65" t="n">
        <f aca="false">AR861*AS861*AQ861</f>
        <v>0</v>
      </c>
      <c r="AW861" s="65" t="n">
        <f aca="false">AR861*AT861*AQ861</f>
        <v>0</v>
      </c>
      <c r="AX861" s="65" t="n">
        <f aca="false">AR861*AS861</f>
        <v>0</v>
      </c>
      <c r="AY861" s="65" t="n">
        <f aca="false">AR861*AT861</f>
        <v>0</v>
      </c>
      <c r="AZ861" s="65" t="n">
        <f aca="false">AR861*AQ861</f>
        <v>0</v>
      </c>
      <c r="BA861" s="65" t="n">
        <f aca="false">AR861</f>
        <v>0</v>
      </c>
      <c r="BB861" s="65" t="n">
        <f aca="false">1</f>
        <v>1</v>
      </c>
      <c r="BC861" s="65" t="n">
        <f aca="false">IF(AV861=1,1,IF(AW861=1,2,IF(AX861=1,3,IF(AY861=1,4,IF(AZ861=1,5,IF(BA861=1,6,7))))))</f>
        <v>7</v>
      </c>
      <c r="BD861" s="65" t="n">
        <f aca="false">IF(AD861=1,CHOOSE('Historical Score'!$C$29,AV861,AW861,AX861,AY861,AZ861,BA861,BB861),0)</f>
        <v>0</v>
      </c>
      <c r="BE861" s="65" t="str">
        <f aca="false">IF(BD861=1,COUNTIF($BD$2:BD861,1),"")</f>
        <v/>
      </c>
    </row>
    <row r="862" customFormat="false" ht="15" hidden="false" customHeight="false" outlineLevel="0" collapsed="false">
      <c r="A862" s="65" t="s">
        <v>2690</v>
      </c>
      <c r="B862" s="65" t="s">
        <v>2691</v>
      </c>
      <c r="C862" s="65" t="s">
        <v>2692</v>
      </c>
      <c r="D862" s="65" t="s">
        <v>689</v>
      </c>
      <c r="E862" s="112" t="n">
        <v>46155</v>
      </c>
      <c r="F862" s="112" t="n">
        <v>46244</v>
      </c>
      <c r="G862" s="65" t="n">
        <v>4</v>
      </c>
      <c r="H862" s="65" t="s">
        <v>1589</v>
      </c>
      <c r="I862" s="65" t="s">
        <v>1590</v>
      </c>
      <c r="J862" s="65" t="s">
        <v>772</v>
      </c>
      <c r="K862" s="65" t="s">
        <v>584</v>
      </c>
      <c r="L862" s="65" t="s">
        <v>64</v>
      </c>
      <c r="M862" s="113" t="n">
        <v>1.37</v>
      </c>
      <c r="N862" s="114" t="n">
        <v>25000</v>
      </c>
      <c r="O862" s="114" t="n">
        <v>2000</v>
      </c>
      <c r="P862" s="114" t="n">
        <v>34250</v>
      </c>
      <c r="Q862" s="114" t="n">
        <v>12844.26</v>
      </c>
      <c r="R862" s="114" t="n">
        <v>21405.74</v>
      </c>
      <c r="S862" s="115" t="n">
        <v>0.375014890510949</v>
      </c>
      <c r="T862" s="65" t="n">
        <v>24</v>
      </c>
      <c r="U862" s="65" t="n">
        <v>9</v>
      </c>
      <c r="V862" s="65" t="n">
        <v>91000</v>
      </c>
      <c r="W862" s="115" t="n">
        <v>0.333</v>
      </c>
      <c r="X862" s="112" t="n">
        <v>43586</v>
      </c>
      <c r="Y862" s="65" t="str">
        <f aca="false">IF(I862="","No SIC",IFERROR(VLOOKUP(I862,Ref!$A$2:$B$65,2,FALSE()),"Unclassified"))</f>
        <v>Legal Services</v>
      </c>
      <c r="Z862" s="65" t="str">
        <f aca="false">IF(T862="","",IF(T862&lt;12,"Daily","Weekly"))</f>
        <v>Weekly</v>
      </c>
      <c r="AA862" s="65" t="n">
        <f aca="false">IF(T862="",0,IF(T862&lt;12,T862*Controls!$B$29,T862*5))</f>
        <v>120</v>
      </c>
      <c r="AB862" s="65" t="n">
        <f aca="false">IF(E862="",0,NETWORKDAYS(E862,Controls!$B$36,Ref!$K$2:$K$42))</f>
        <v>73</v>
      </c>
      <c r="AC862" s="65" t="n">
        <f aca="false">IF(AND(AA862&gt;0,AB862&gt;=Controls!$B$39*AA862),1,0)</f>
        <v>0</v>
      </c>
      <c r="AD862" s="65" t="n">
        <f aca="false">IF(AND(E862&lt;&gt;"",E862&gt;=Controls!$B$37,E862&lt;=Controls!$B$38),1,0)</f>
        <v>1</v>
      </c>
      <c r="AE862" s="65" t="n">
        <f aca="false">IF(IFERROR(VLOOKUP(D862,Controls!$A$64:$E$74,2,FALSE()),"No")="Yes",1,0)</f>
        <v>1</v>
      </c>
      <c r="AF862" s="65" t="n">
        <f aca="false">IF(IFERROR(VLOOKUP(D862,Controls!$A$64:$E$74,3,FALSE()),"No")="Yes",1,0)</f>
        <v>1</v>
      </c>
      <c r="AG862" s="65" t="n">
        <f aca="false">IF(IFERROR(VLOOKUP(D862,Controls!$A$64:$E$74,4,FALSE()),"No")="Yes",1,0)</f>
        <v>0</v>
      </c>
      <c r="AH862" s="65" t="n">
        <f aca="false">IF(IFERROR(VLOOKUP(D862,Controls!$A$64:$E$74,5,FALSE()),"No")="Yes",1,0)</f>
        <v>0</v>
      </c>
      <c r="AI862" s="65" t="n">
        <f aca="false">IF(ISNUMBER(MATCH(D862,Controls!$A$64:$A$74,0)),1,0)</f>
        <v>1</v>
      </c>
      <c r="AJ862" s="65" t="n">
        <f aca="false">Q862-N862</f>
        <v>-12155.74</v>
      </c>
      <c r="AK862" s="65" t="n">
        <f aca="false">IF(AE862=1,MAX(0,N862-Q862),0)</f>
        <v>12155.74</v>
      </c>
      <c r="AL862" s="65" t="n">
        <f aca="false">IF(OR(V862="",V862=0),0,N862/V862)</f>
        <v>0.274725274725275</v>
      </c>
      <c r="AM862" s="65" t="n">
        <f aca="false">IF(OR(V862="",V862=0),0,1)</f>
        <v>1</v>
      </c>
      <c r="AN862" s="65" t="n">
        <f aca="false">IF(OR(E862="",F862=""),0,NETWORKDAYS(E862,F862,Ref!$K$2:$K$42))</f>
        <v>62</v>
      </c>
      <c r="AO862" s="65" t="n">
        <f aca="false">IF(L862="Renewal",1,0)</f>
        <v>0</v>
      </c>
      <c r="AP862" s="65" t="n">
        <f aca="false">AC862*AD862</f>
        <v>0</v>
      </c>
      <c r="AQ862" s="65" t="n">
        <f aca="false">IF(AND(G862&lt;&gt;"",'Historical Score'!$C$6&lt;&gt;""),IF(G862='Historical Score'!$C$6,1,0),0)</f>
        <v>0</v>
      </c>
      <c r="AR862" s="65" t="n">
        <f aca="false">IF(AND(L862&lt;&gt;"",'Historical Score'!$C$5&lt;&gt;""),IF(L862='Historical Score'!$C$5,1,0),0)</f>
        <v>1</v>
      </c>
      <c r="AS862" s="65" t="n">
        <f aca="false">IF(AND(Y862&lt;&gt;"",'Historical Score'!$C$7&lt;&gt;""),IF(Y862='Historical Score'!$C$7,1,0),0)</f>
        <v>0</v>
      </c>
      <c r="AT862" s="65" t="n">
        <f aca="false">IF(AND(K862&lt;&gt;"",'Historical Score'!$C$8&lt;&gt;""),IF(K862='Historical Score'!$C$8,1,0),0)</f>
        <v>0</v>
      </c>
      <c r="AU862" s="65" t="n">
        <f aca="false">IF(AND(J862&lt;&gt;"",'Historical Score'!$C$9&lt;&gt;""),IF(J862='Historical Score'!$C$9,1,0),0)</f>
        <v>0</v>
      </c>
      <c r="AV862" s="65" t="n">
        <f aca="false">AR862*AS862*AQ862</f>
        <v>0</v>
      </c>
      <c r="AW862" s="65" t="n">
        <f aca="false">AR862*AT862*AQ862</f>
        <v>0</v>
      </c>
      <c r="AX862" s="65" t="n">
        <f aca="false">AR862*AS862</f>
        <v>0</v>
      </c>
      <c r="AY862" s="65" t="n">
        <f aca="false">AR862*AT862</f>
        <v>0</v>
      </c>
      <c r="AZ862" s="65" t="n">
        <f aca="false">AR862*AQ862</f>
        <v>0</v>
      </c>
      <c r="BA862" s="65" t="n">
        <f aca="false">AR862</f>
        <v>1</v>
      </c>
      <c r="BB862" s="65" t="n">
        <f aca="false">1</f>
        <v>1</v>
      </c>
      <c r="BC862" s="65" t="n">
        <f aca="false">IF(AV862=1,1,IF(AW862=1,2,IF(AX862=1,3,IF(AY862=1,4,IF(AZ862=1,5,IF(BA862=1,6,7))))))</f>
        <v>6</v>
      </c>
      <c r="BD862" s="65" t="n">
        <f aca="false">IF(AD862=1,CHOOSE('Historical Score'!$C$29,AV862,AW862,AX862,AY862,AZ862,BA862,BB862),0)</f>
        <v>0</v>
      </c>
      <c r="BE862" s="65" t="str">
        <f aca="false">IF(BD862=1,COUNTIF($BD$2:BD862,1),"")</f>
        <v/>
      </c>
    </row>
    <row r="863" customFormat="false" ht="15" hidden="false" customHeight="false" outlineLevel="0" collapsed="false">
      <c r="A863" s="65" t="s">
        <v>2693</v>
      </c>
      <c r="B863" s="65" t="s">
        <v>2694</v>
      </c>
      <c r="C863" s="65" t="s">
        <v>2694</v>
      </c>
      <c r="D863" s="65" t="s">
        <v>340</v>
      </c>
      <c r="E863" s="112" t="n">
        <v>46155</v>
      </c>
      <c r="F863" s="112" t="n">
        <v>46199</v>
      </c>
      <c r="G863" s="65" t="n">
        <v>3</v>
      </c>
      <c r="H863" s="65" t="s">
        <v>391</v>
      </c>
      <c r="I863" s="65" t="s">
        <v>392</v>
      </c>
      <c r="J863" s="65" t="s">
        <v>854</v>
      </c>
      <c r="K863" s="65" t="s">
        <v>2695</v>
      </c>
      <c r="L863" s="65" t="s">
        <v>64</v>
      </c>
      <c r="M863" s="113" t="n">
        <v>1.49</v>
      </c>
      <c r="N863" s="114" t="n">
        <v>17000</v>
      </c>
      <c r="O863" s="114" t="n">
        <v>0</v>
      </c>
      <c r="P863" s="114" t="n">
        <v>25330</v>
      </c>
      <c r="Q863" s="114" t="n">
        <v>2533.95</v>
      </c>
      <c r="R863" s="114" t="n">
        <v>22796.05</v>
      </c>
      <c r="S863" s="115" t="n">
        <v>0.10003750493486</v>
      </c>
      <c r="T863" s="65" t="n">
        <v>1.639</v>
      </c>
      <c r="U863" s="65" t="n">
        <v>23</v>
      </c>
      <c r="V863" s="65" t="n">
        <v>84734.25</v>
      </c>
      <c r="W863" s="115" t="n">
        <v>0.1256</v>
      </c>
      <c r="X863" s="112" t="n">
        <v>43910</v>
      </c>
      <c r="Y863" s="65" t="str">
        <f aca="false">IF(I863="","No SIC",IFERROR(VLOOKUP(I863,Ref!$A$2:$B$65,2,FALSE()),"Unclassified"))</f>
        <v>Real Estate</v>
      </c>
      <c r="Z863" s="65" t="str">
        <f aca="false">IF(T863="","",IF(T863&lt;12,"Daily","Weekly"))</f>
        <v>Daily</v>
      </c>
      <c r="AA863" s="65" t="n">
        <f aca="false">IF(T863="",0,IF(T863&lt;12,T863*Controls!$B$29,T863*5))</f>
        <v>35.492545</v>
      </c>
      <c r="AB863" s="65" t="n">
        <f aca="false">IF(E863="",0,NETWORKDAYS(E863,Controls!$B$36,Ref!$K$2:$K$42))</f>
        <v>73</v>
      </c>
      <c r="AC863" s="65" t="n">
        <f aca="false">IF(AND(AA863&gt;0,AB863&gt;=Controls!$B$39*AA863),1,0)</f>
        <v>1</v>
      </c>
      <c r="AD863" s="65" t="n">
        <f aca="false">IF(AND(E863&lt;&gt;"",E863&gt;=Controls!$B$37,E863&lt;=Controls!$B$38),1,0)</f>
        <v>1</v>
      </c>
      <c r="AE863" s="65" t="n">
        <f aca="false">IF(IFERROR(VLOOKUP(D863,Controls!$A$64:$E$74,2,FALSE()),"No")="Yes",1,0)</f>
        <v>1</v>
      </c>
      <c r="AF863" s="65" t="n">
        <f aca="false">IF(IFERROR(VLOOKUP(D863,Controls!$A$64:$E$74,3,FALSE()),"No")="Yes",1,0)</f>
        <v>0</v>
      </c>
      <c r="AG863" s="65" t="n">
        <f aca="false">IF(IFERROR(VLOOKUP(D863,Controls!$A$64:$E$74,4,FALSE()),"No")="Yes",1,0)</f>
        <v>0</v>
      </c>
      <c r="AH863" s="65" t="n">
        <f aca="false">IF(IFERROR(VLOOKUP(D863,Controls!$A$64:$E$74,5,FALSE()),"No")="Yes",1,0)</f>
        <v>0</v>
      </c>
      <c r="AI863" s="65" t="n">
        <f aca="false">IF(ISNUMBER(MATCH(D863,Controls!$A$64:$A$74,0)),1,0)</f>
        <v>1</v>
      </c>
      <c r="AJ863" s="65" t="n">
        <f aca="false">Q863-N863</f>
        <v>-14466.05</v>
      </c>
      <c r="AK863" s="65" t="n">
        <f aca="false">IF(AE863=1,MAX(0,N863-Q863),0)</f>
        <v>14466.05</v>
      </c>
      <c r="AL863" s="65" t="n">
        <f aca="false">IF(OR(V863="",V863=0),0,N863/V863)</f>
        <v>0.200627255212621</v>
      </c>
      <c r="AM863" s="65" t="n">
        <f aca="false">IF(OR(V863="",V863=0),0,1)</f>
        <v>1</v>
      </c>
      <c r="AN863" s="65" t="n">
        <f aca="false">IF(OR(E863="",F863=""),0,NETWORKDAYS(E863,F863,Ref!$K$2:$K$42))</f>
        <v>31</v>
      </c>
      <c r="AO863" s="65" t="n">
        <f aca="false">IF(L863="Renewal",1,0)</f>
        <v>0</v>
      </c>
      <c r="AP863" s="65" t="n">
        <f aca="false">AC863*AD863</f>
        <v>1</v>
      </c>
      <c r="AQ863" s="65" t="n">
        <f aca="false">IF(AND(G863&lt;&gt;"",'Historical Score'!$C$6&lt;&gt;""),IF(G863='Historical Score'!$C$6,1,0),0)</f>
        <v>0</v>
      </c>
      <c r="AR863" s="65" t="n">
        <f aca="false">IF(AND(L863&lt;&gt;"",'Historical Score'!$C$5&lt;&gt;""),IF(L863='Historical Score'!$C$5,1,0),0)</f>
        <v>1</v>
      </c>
      <c r="AS863" s="65" t="n">
        <f aca="false">IF(AND(Y863&lt;&gt;"",'Historical Score'!$C$7&lt;&gt;""),IF(Y863='Historical Score'!$C$7,1,0),0)</f>
        <v>0</v>
      </c>
      <c r="AT863" s="65" t="n">
        <f aca="false">IF(AND(K863&lt;&gt;"",'Historical Score'!$C$8&lt;&gt;""),IF(K863='Historical Score'!$C$8,1,0),0)</f>
        <v>0</v>
      </c>
      <c r="AU863" s="65" t="n">
        <f aca="false">IF(AND(J863&lt;&gt;"",'Historical Score'!$C$9&lt;&gt;""),IF(J863='Historical Score'!$C$9,1,0),0)</f>
        <v>0</v>
      </c>
      <c r="AV863" s="65" t="n">
        <f aca="false">AR863*AS863*AQ863</f>
        <v>0</v>
      </c>
      <c r="AW863" s="65" t="n">
        <f aca="false">AR863*AT863*AQ863</f>
        <v>0</v>
      </c>
      <c r="AX863" s="65" t="n">
        <f aca="false">AR863*AS863</f>
        <v>0</v>
      </c>
      <c r="AY863" s="65" t="n">
        <f aca="false">AR863*AT863</f>
        <v>0</v>
      </c>
      <c r="AZ863" s="65" t="n">
        <f aca="false">AR863*AQ863</f>
        <v>0</v>
      </c>
      <c r="BA863" s="65" t="n">
        <f aca="false">AR863</f>
        <v>1</v>
      </c>
      <c r="BB863" s="65" t="n">
        <f aca="false">1</f>
        <v>1</v>
      </c>
      <c r="BC863" s="65" t="n">
        <f aca="false">IF(AV863=1,1,IF(AW863=1,2,IF(AX863=1,3,IF(AY863=1,4,IF(AZ863=1,5,IF(BA863=1,6,7))))))</f>
        <v>6</v>
      </c>
      <c r="BD863" s="65" t="n">
        <f aca="false">IF(AD863=1,CHOOSE('Historical Score'!$C$29,AV863,AW863,AX863,AY863,AZ863,BA863,BB863),0)</f>
        <v>0</v>
      </c>
      <c r="BE863" s="65" t="str">
        <f aca="false">IF(BD863=1,COUNTIF($BD$2:BD863,1),"")</f>
        <v/>
      </c>
    </row>
    <row r="864" customFormat="false" ht="15" hidden="false" customHeight="false" outlineLevel="0" collapsed="false">
      <c r="A864" s="65" t="s">
        <v>2696</v>
      </c>
      <c r="B864" s="65" t="s">
        <v>1935</v>
      </c>
      <c r="C864" s="65" t="s">
        <v>1935</v>
      </c>
      <c r="D864" s="65" t="s">
        <v>295</v>
      </c>
      <c r="E864" s="112" t="n">
        <v>46155</v>
      </c>
      <c r="F864" s="112" t="n">
        <v>46251</v>
      </c>
      <c r="G864" s="65" t="n">
        <v>3</v>
      </c>
      <c r="H864" s="65" t="s">
        <v>500</v>
      </c>
      <c r="I864" s="65" t="s">
        <v>475</v>
      </c>
      <c r="J864" s="65" t="s">
        <v>61</v>
      </c>
      <c r="K864" s="65" t="s">
        <v>55</v>
      </c>
      <c r="L864" s="65" t="s">
        <v>320</v>
      </c>
      <c r="M864" s="113" t="n">
        <v>1.44</v>
      </c>
      <c r="N864" s="114" t="n">
        <v>58000</v>
      </c>
      <c r="O864" s="114" t="n">
        <v>6670</v>
      </c>
      <c r="P864" s="114" t="n">
        <v>83520</v>
      </c>
      <c r="Q864" s="114" t="n">
        <v>36525.02</v>
      </c>
      <c r="R864" s="114" t="n">
        <v>46994.98</v>
      </c>
      <c r="S864" s="115" t="n">
        <v>0.437320641762452</v>
      </c>
      <c r="T864" s="65" t="n">
        <v>32</v>
      </c>
      <c r="U864" s="65" t="n">
        <v>0</v>
      </c>
      <c r="V864" s="65" t="n">
        <v>135177.51</v>
      </c>
      <c r="W864" s="115" t="n">
        <v>0.0772</v>
      </c>
      <c r="X864" s="112"/>
      <c r="Y864" s="65" t="str">
        <f aca="false">IF(I864="","No SIC",IFERROR(VLOOKUP(I864,Ref!$A$2:$B$65,2,FALSE()),"Unclassified"))</f>
        <v>Auto Repair &amp; Services</v>
      </c>
      <c r="Z864" s="65" t="str">
        <f aca="false">IF(T864="","",IF(T864&lt;12,"Daily","Weekly"))</f>
        <v>Weekly</v>
      </c>
      <c r="AA864" s="65" t="n">
        <f aca="false">IF(T864="",0,IF(T864&lt;12,T864*Controls!$B$29,T864*5))</f>
        <v>160</v>
      </c>
      <c r="AB864" s="65" t="n">
        <f aca="false">IF(E864="",0,NETWORKDAYS(E864,Controls!$B$36,Ref!$K$2:$K$42))</f>
        <v>73</v>
      </c>
      <c r="AC864" s="65" t="n">
        <f aca="false">IF(AND(AA864&gt;0,AB864&gt;=Controls!$B$39*AA864),1,0)</f>
        <v>0</v>
      </c>
      <c r="AD864" s="65" t="n">
        <f aca="false">IF(AND(E864&lt;&gt;"",E864&gt;=Controls!$B$37,E864&lt;=Controls!$B$38),1,0)</f>
        <v>1</v>
      </c>
      <c r="AE864" s="65" t="n">
        <f aca="false">IF(IFERROR(VLOOKUP(D864,Controls!$A$64:$E$74,2,FALSE()),"No")="Yes",1,0)</f>
        <v>0</v>
      </c>
      <c r="AF864" s="65" t="n">
        <f aca="false">IF(IFERROR(VLOOKUP(D864,Controls!$A$64:$E$74,3,FALSE()),"No")="Yes",1,0)</f>
        <v>0</v>
      </c>
      <c r="AG864" s="65" t="n">
        <f aca="false">IF(IFERROR(VLOOKUP(D864,Controls!$A$64:$E$74,4,FALSE()),"No")="Yes",1,0)</f>
        <v>0</v>
      </c>
      <c r="AH864" s="65" t="n">
        <f aca="false">IF(IFERROR(VLOOKUP(D864,Controls!$A$64:$E$74,5,FALSE()),"No")="Yes",1,0)</f>
        <v>1</v>
      </c>
      <c r="AI864" s="65" t="n">
        <f aca="false">IF(ISNUMBER(MATCH(D864,Controls!$A$64:$A$74,0)),1,0)</f>
        <v>1</v>
      </c>
      <c r="AJ864" s="65" t="n">
        <f aca="false">Q864-N864</f>
        <v>-21474.98</v>
      </c>
      <c r="AK864" s="65" t="n">
        <f aca="false">IF(AE864=1,MAX(0,N864-Q864),0)</f>
        <v>0</v>
      </c>
      <c r="AL864" s="65" t="n">
        <f aca="false">IF(OR(V864="",V864=0),0,N864/V864)</f>
        <v>0.429065456228629</v>
      </c>
      <c r="AM864" s="65" t="n">
        <f aca="false">IF(OR(V864="",V864=0),0,1)</f>
        <v>1</v>
      </c>
      <c r="AN864" s="65" t="n">
        <f aca="false">IF(OR(E864="",F864=""),0,NETWORKDAYS(E864,F864,Ref!$K$2:$K$42))</f>
        <v>67</v>
      </c>
      <c r="AO864" s="65" t="n">
        <f aca="false">IF(L864="Renewal",1,0)</f>
        <v>1</v>
      </c>
      <c r="AP864" s="65" t="n">
        <f aca="false">AC864*AD864</f>
        <v>0</v>
      </c>
      <c r="AQ864" s="65" t="n">
        <f aca="false">IF(AND(G864&lt;&gt;"",'Historical Score'!$C$6&lt;&gt;""),IF(G864='Historical Score'!$C$6,1,0),0)</f>
        <v>0</v>
      </c>
      <c r="AR864" s="65" t="n">
        <f aca="false">IF(AND(L864&lt;&gt;"",'Historical Score'!$C$5&lt;&gt;""),IF(L864='Historical Score'!$C$5,1,0),0)</f>
        <v>0</v>
      </c>
      <c r="AS864" s="65" t="n">
        <f aca="false">IF(AND(Y864&lt;&gt;"",'Historical Score'!$C$7&lt;&gt;""),IF(Y864='Historical Score'!$C$7,1,0),0)</f>
        <v>0</v>
      </c>
      <c r="AT864" s="65" t="n">
        <f aca="false">IF(AND(K864&lt;&gt;"",'Historical Score'!$C$8&lt;&gt;""),IF(K864='Historical Score'!$C$8,1,0),0)</f>
        <v>1</v>
      </c>
      <c r="AU864" s="65" t="n">
        <f aca="false">IF(AND(J864&lt;&gt;"",'Historical Score'!$C$9&lt;&gt;""),IF(J864='Historical Score'!$C$9,1,0),0)</f>
        <v>1</v>
      </c>
      <c r="AV864" s="65" t="n">
        <f aca="false">AR864*AS864*AQ864</f>
        <v>0</v>
      </c>
      <c r="AW864" s="65" t="n">
        <f aca="false">AR864*AT864*AQ864</f>
        <v>0</v>
      </c>
      <c r="AX864" s="65" t="n">
        <f aca="false">AR864*AS864</f>
        <v>0</v>
      </c>
      <c r="AY864" s="65" t="n">
        <f aca="false">AR864*AT864</f>
        <v>0</v>
      </c>
      <c r="AZ864" s="65" t="n">
        <f aca="false">AR864*AQ864</f>
        <v>0</v>
      </c>
      <c r="BA864" s="65" t="n">
        <f aca="false">AR864</f>
        <v>0</v>
      </c>
      <c r="BB864" s="65" t="n">
        <f aca="false">1</f>
        <v>1</v>
      </c>
      <c r="BC864" s="65" t="n">
        <f aca="false">IF(AV864=1,1,IF(AW864=1,2,IF(AX864=1,3,IF(AY864=1,4,IF(AZ864=1,5,IF(BA864=1,6,7))))))</f>
        <v>7</v>
      </c>
      <c r="BD864" s="65" t="n">
        <f aca="false">IF(AD864=1,CHOOSE('Historical Score'!$C$29,AV864,AW864,AX864,AY864,AZ864,BA864,BB864),0)</f>
        <v>0</v>
      </c>
      <c r="BE864" s="65" t="str">
        <f aca="false">IF(BD864=1,COUNTIF($BD$2:BD864,1),"")</f>
        <v/>
      </c>
    </row>
    <row r="865" customFormat="false" ht="15" hidden="false" customHeight="false" outlineLevel="0" collapsed="false">
      <c r="A865" s="65" t="s">
        <v>2697</v>
      </c>
      <c r="B865" s="65" t="s">
        <v>2698</v>
      </c>
      <c r="C865" s="65" t="s">
        <v>2699</v>
      </c>
      <c r="D865" s="65" t="s">
        <v>295</v>
      </c>
      <c r="E865" s="112" t="n">
        <v>46155</v>
      </c>
      <c r="F865" s="112" t="n">
        <v>46248</v>
      </c>
      <c r="G865" s="65" t="n">
        <v>3</v>
      </c>
      <c r="H865" s="65" t="s">
        <v>451</v>
      </c>
      <c r="I865" s="65" t="s">
        <v>425</v>
      </c>
      <c r="J865" s="65" t="s">
        <v>61</v>
      </c>
      <c r="K865" s="65" t="s">
        <v>983</v>
      </c>
      <c r="L865" s="65" t="s">
        <v>64</v>
      </c>
      <c r="M865" s="113" t="n">
        <v>1.49</v>
      </c>
      <c r="N865" s="114" t="n">
        <v>15000</v>
      </c>
      <c r="O865" s="114" t="n">
        <v>2100</v>
      </c>
      <c r="P865" s="114" t="n">
        <v>22350</v>
      </c>
      <c r="Q865" s="114" t="n">
        <v>13035.54</v>
      </c>
      <c r="R865" s="114" t="n">
        <v>9314.46</v>
      </c>
      <c r="S865" s="115" t="n">
        <v>0.583245637583893</v>
      </c>
      <c r="T865" s="65" t="n">
        <v>24</v>
      </c>
      <c r="U865" s="65" t="n">
        <v>0</v>
      </c>
      <c r="V865" s="65" t="n">
        <v>26698.44</v>
      </c>
      <c r="W865" s="115" t="n">
        <v>0.1395</v>
      </c>
      <c r="X865" s="112" t="n">
        <v>37622</v>
      </c>
      <c r="Y865" s="65" t="str">
        <f aca="false">IF(I865="","No SIC",IFERROR(VLOOKUP(I865,Ref!$A$2:$B$65,2,FALSE()),"Unclassified"))</f>
        <v>Personal Services</v>
      </c>
      <c r="Z865" s="65" t="str">
        <f aca="false">IF(T865="","",IF(T865&lt;12,"Daily","Weekly"))</f>
        <v>Weekly</v>
      </c>
      <c r="AA865" s="65" t="n">
        <f aca="false">IF(T865="",0,IF(T865&lt;12,T865*Controls!$B$29,T865*5))</f>
        <v>120</v>
      </c>
      <c r="AB865" s="65" t="n">
        <f aca="false">IF(E865="",0,NETWORKDAYS(E865,Controls!$B$36,Ref!$K$2:$K$42))</f>
        <v>73</v>
      </c>
      <c r="AC865" s="65" t="n">
        <f aca="false">IF(AND(AA865&gt;0,AB865&gt;=Controls!$B$39*AA865),1,0)</f>
        <v>0</v>
      </c>
      <c r="AD865" s="65" t="n">
        <f aca="false">IF(AND(E865&lt;&gt;"",E865&gt;=Controls!$B$37,E865&lt;=Controls!$B$38),1,0)</f>
        <v>1</v>
      </c>
      <c r="AE865" s="65" t="n">
        <f aca="false">IF(IFERROR(VLOOKUP(D865,Controls!$A$64:$E$74,2,FALSE()),"No")="Yes",1,0)</f>
        <v>0</v>
      </c>
      <c r="AF865" s="65" t="n">
        <f aca="false">IF(IFERROR(VLOOKUP(D865,Controls!$A$64:$E$74,3,FALSE()),"No")="Yes",1,0)</f>
        <v>0</v>
      </c>
      <c r="AG865" s="65" t="n">
        <f aca="false">IF(IFERROR(VLOOKUP(D865,Controls!$A$64:$E$74,4,FALSE()),"No")="Yes",1,0)</f>
        <v>0</v>
      </c>
      <c r="AH865" s="65" t="n">
        <f aca="false">IF(IFERROR(VLOOKUP(D865,Controls!$A$64:$E$74,5,FALSE()),"No")="Yes",1,0)</f>
        <v>1</v>
      </c>
      <c r="AI865" s="65" t="n">
        <f aca="false">IF(ISNUMBER(MATCH(D865,Controls!$A$64:$A$74,0)),1,0)</f>
        <v>1</v>
      </c>
      <c r="AJ865" s="65" t="n">
        <f aca="false">Q865-N865</f>
        <v>-1964.46</v>
      </c>
      <c r="AK865" s="65" t="n">
        <f aca="false">IF(AE865=1,MAX(0,N865-Q865),0)</f>
        <v>0</v>
      </c>
      <c r="AL865" s="65" t="n">
        <f aca="false">IF(OR(V865="",V865=0),0,N865/V865)</f>
        <v>0.561830578865282</v>
      </c>
      <c r="AM865" s="65" t="n">
        <f aca="false">IF(OR(V865="",V865=0),0,1)</f>
        <v>1</v>
      </c>
      <c r="AN865" s="65" t="n">
        <f aca="false">IF(OR(E865="",F865=""),0,NETWORKDAYS(E865,F865,Ref!$K$2:$K$42))</f>
        <v>66</v>
      </c>
      <c r="AO865" s="65" t="n">
        <f aca="false">IF(L865="Renewal",1,0)</f>
        <v>0</v>
      </c>
      <c r="AP865" s="65" t="n">
        <f aca="false">AC865*AD865</f>
        <v>0</v>
      </c>
      <c r="AQ865" s="65" t="n">
        <f aca="false">IF(AND(G865&lt;&gt;"",'Historical Score'!$C$6&lt;&gt;""),IF(G865='Historical Score'!$C$6,1,0),0)</f>
        <v>0</v>
      </c>
      <c r="AR865" s="65" t="n">
        <f aca="false">IF(AND(L865&lt;&gt;"",'Historical Score'!$C$5&lt;&gt;""),IF(L865='Historical Score'!$C$5,1,0),0)</f>
        <v>1</v>
      </c>
      <c r="AS865" s="65" t="n">
        <f aca="false">IF(AND(Y865&lt;&gt;"",'Historical Score'!$C$7&lt;&gt;""),IF(Y865='Historical Score'!$C$7,1,0),0)</f>
        <v>0</v>
      </c>
      <c r="AT865" s="65" t="n">
        <f aca="false">IF(AND(K865&lt;&gt;"",'Historical Score'!$C$8&lt;&gt;""),IF(K865='Historical Score'!$C$8,1,0),0)</f>
        <v>0</v>
      </c>
      <c r="AU865" s="65" t="n">
        <f aca="false">IF(AND(J865&lt;&gt;"",'Historical Score'!$C$9&lt;&gt;""),IF(J865='Historical Score'!$C$9,1,0),0)</f>
        <v>1</v>
      </c>
      <c r="AV865" s="65" t="n">
        <f aca="false">AR865*AS865*AQ865</f>
        <v>0</v>
      </c>
      <c r="AW865" s="65" t="n">
        <f aca="false">AR865*AT865*AQ865</f>
        <v>0</v>
      </c>
      <c r="AX865" s="65" t="n">
        <f aca="false">AR865*AS865</f>
        <v>0</v>
      </c>
      <c r="AY865" s="65" t="n">
        <f aca="false">AR865*AT865</f>
        <v>0</v>
      </c>
      <c r="AZ865" s="65" t="n">
        <f aca="false">AR865*AQ865</f>
        <v>0</v>
      </c>
      <c r="BA865" s="65" t="n">
        <f aca="false">AR865</f>
        <v>1</v>
      </c>
      <c r="BB865" s="65" t="n">
        <f aca="false">1</f>
        <v>1</v>
      </c>
      <c r="BC865" s="65" t="n">
        <f aca="false">IF(AV865=1,1,IF(AW865=1,2,IF(AX865=1,3,IF(AY865=1,4,IF(AZ865=1,5,IF(BA865=1,6,7))))))</f>
        <v>6</v>
      </c>
      <c r="BD865" s="65" t="n">
        <f aca="false">IF(AD865=1,CHOOSE('Historical Score'!$C$29,AV865,AW865,AX865,AY865,AZ865,BA865,BB865),0)</f>
        <v>0</v>
      </c>
      <c r="BE865" s="65" t="str">
        <f aca="false">IF(BD865=1,COUNTIF($BD$2:BD865,1),"")</f>
        <v/>
      </c>
    </row>
    <row r="866" customFormat="false" ht="15" hidden="false" customHeight="false" outlineLevel="0" collapsed="false">
      <c r="A866" s="65" t="s">
        <v>2700</v>
      </c>
      <c r="B866" s="65" t="s">
        <v>903</v>
      </c>
      <c r="C866" s="65" t="s">
        <v>903</v>
      </c>
      <c r="D866" s="65" t="s">
        <v>371</v>
      </c>
      <c r="E866" s="112" t="n">
        <v>46155</v>
      </c>
      <c r="F866" s="112" t="n">
        <v>46244</v>
      </c>
      <c r="G866" s="65" t="n">
        <v>3</v>
      </c>
      <c r="H866" s="65" t="s">
        <v>904</v>
      </c>
      <c r="I866" s="65" t="s">
        <v>425</v>
      </c>
      <c r="J866" s="65" t="s">
        <v>905</v>
      </c>
      <c r="K866" s="65" t="s">
        <v>906</v>
      </c>
      <c r="L866" s="65" t="s">
        <v>320</v>
      </c>
      <c r="M866" s="113" t="n">
        <v>1.49</v>
      </c>
      <c r="N866" s="114" t="n">
        <v>10000</v>
      </c>
      <c r="O866" s="114" t="n">
        <v>1400</v>
      </c>
      <c r="P866" s="114" t="n">
        <v>14900</v>
      </c>
      <c r="Q866" s="114" t="n">
        <v>14900</v>
      </c>
      <c r="R866" s="114" t="n">
        <v>0</v>
      </c>
      <c r="S866" s="115" t="n">
        <v>1</v>
      </c>
      <c r="T866" s="65" t="n">
        <v>2.951</v>
      </c>
      <c r="U866" s="65" t="n">
        <v>0</v>
      </c>
      <c r="V866" s="65" t="n">
        <v>24522.78</v>
      </c>
      <c r="W866" s="115" t="n">
        <v>0.1418</v>
      </c>
      <c r="X866" s="112" t="n">
        <v>42309</v>
      </c>
      <c r="Y866" s="65" t="str">
        <f aca="false">IF(I866="","No SIC",IFERROR(VLOOKUP(I866,Ref!$A$2:$B$65,2,FALSE()),"Unclassified"))</f>
        <v>Personal Services</v>
      </c>
      <c r="Z866" s="65" t="str">
        <f aca="false">IF(T866="","",IF(T866&lt;12,"Daily","Weekly"))</f>
        <v>Daily</v>
      </c>
      <c r="AA866" s="65" t="n">
        <f aca="false">IF(T866="",0,IF(T866&lt;12,T866*Controls!$B$29,T866*5))</f>
        <v>63.903905</v>
      </c>
      <c r="AB866" s="65" t="n">
        <f aca="false">IF(E866="",0,NETWORKDAYS(E866,Controls!$B$36,Ref!$K$2:$K$42))</f>
        <v>73</v>
      </c>
      <c r="AC866" s="65" t="n">
        <f aca="false">IF(AND(AA866&gt;0,AB866&gt;=Controls!$B$39*AA866),1,0)</f>
        <v>0</v>
      </c>
      <c r="AD866" s="65" t="n">
        <f aca="false">IF(AND(E866&lt;&gt;"",E866&gt;=Controls!$B$37,E866&lt;=Controls!$B$38),1,0)</f>
        <v>1</v>
      </c>
      <c r="AE866" s="65" t="n">
        <f aca="false">IF(IFERROR(VLOOKUP(D866,Controls!$A$64:$E$74,2,FALSE()),"No")="Yes",1,0)</f>
        <v>0</v>
      </c>
      <c r="AF866" s="65" t="n">
        <f aca="false">IF(IFERROR(VLOOKUP(D866,Controls!$A$64:$E$74,3,FALSE()),"No")="Yes",1,0)</f>
        <v>1</v>
      </c>
      <c r="AG866" s="65" t="n">
        <f aca="false">IF(IFERROR(VLOOKUP(D866,Controls!$A$64:$E$74,4,FALSE()),"No")="Yes",1,0)</f>
        <v>1</v>
      </c>
      <c r="AH866" s="65" t="n">
        <f aca="false">IF(IFERROR(VLOOKUP(D866,Controls!$A$64:$E$74,5,FALSE()),"No")="Yes",1,0)</f>
        <v>0</v>
      </c>
      <c r="AI866" s="65" t="n">
        <f aca="false">IF(ISNUMBER(MATCH(D866,Controls!$A$64:$A$74,0)),1,0)</f>
        <v>1</v>
      </c>
      <c r="AJ866" s="65" t="n">
        <f aca="false">Q866-N866</f>
        <v>4900</v>
      </c>
      <c r="AK866" s="65" t="n">
        <f aca="false">IF(AE866=1,MAX(0,N866-Q866),0)</f>
        <v>0</v>
      </c>
      <c r="AL866" s="65" t="n">
        <f aca="false">IF(OR(V866="",V866=0),0,N866/V866)</f>
        <v>0.407784109305715</v>
      </c>
      <c r="AM866" s="65" t="n">
        <f aca="false">IF(OR(V866="",V866=0),0,1)</f>
        <v>1</v>
      </c>
      <c r="AN866" s="65" t="n">
        <f aca="false">IF(OR(E866="",F866=""),0,NETWORKDAYS(E866,F866,Ref!$K$2:$K$42))</f>
        <v>62</v>
      </c>
      <c r="AO866" s="65" t="n">
        <f aca="false">IF(L866="Renewal",1,0)</f>
        <v>1</v>
      </c>
      <c r="AP866" s="65" t="n">
        <f aca="false">AC866*AD866</f>
        <v>0</v>
      </c>
      <c r="AQ866" s="65" t="n">
        <f aca="false">IF(AND(G866&lt;&gt;"",'Historical Score'!$C$6&lt;&gt;""),IF(G866='Historical Score'!$C$6,1,0),0)</f>
        <v>0</v>
      </c>
      <c r="AR866" s="65" t="n">
        <f aca="false">IF(AND(L866&lt;&gt;"",'Historical Score'!$C$5&lt;&gt;""),IF(L866='Historical Score'!$C$5,1,0),0)</f>
        <v>0</v>
      </c>
      <c r="AS866" s="65" t="n">
        <f aca="false">IF(AND(Y866&lt;&gt;"",'Historical Score'!$C$7&lt;&gt;""),IF(Y866='Historical Score'!$C$7,1,0),0)</f>
        <v>0</v>
      </c>
      <c r="AT866" s="65" t="n">
        <f aca="false">IF(AND(K866&lt;&gt;"",'Historical Score'!$C$8&lt;&gt;""),IF(K866='Historical Score'!$C$8,1,0),0)</f>
        <v>0</v>
      </c>
      <c r="AU866" s="65" t="n">
        <f aca="false">IF(AND(J866&lt;&gt;"",'Historical Score'!$C$9&lt;&gt;""),IF(J866='Historical Score'!$C$9,1,0),0)</f>
        <v>0</v>
      </c>
      <c r="AV866" s="65" t="n">
        <f aca="false">AR866*AS866*AQ866</f>
        <v>0</v>
      </c>
      <c r="AW866" s="65" t="n">
        <f aca="false">AR866*AT866*AQ866</f>
        <v>0</v>
      </c>
      <c r="AX866" s="65" t="n">
        <f aca="false">AR866*AS866</f>
        <v>0</v>
      </c>
      <c r="AY866" s="65" t="n">
        <f aca="false">AR866*AT866</f>
        <v>0</v>
      </c>
      <c r="AZ866" s="65" t="n">
        <f aca="false">AR866*AQ866</f>
        <v>0</v>
      </c>
      <c r="BA866" s="65" t="n">
        <f aca="false">AR866</f>
        <v>0</v>
      </c>
      <c r="BB866" s="65" t="n">
        <f aca="false">1</f>
        <v>1</v>
      </c>
      <c r="BC866" s="65" t="n">
        <f aca="false">IF(AV866=1,1,IF(AW866=1,2,IF(AX866=1,3,IF(AY866=1,4,IF(AZ866=1,5,IF(BA866=1,6,7))))))</f>
        <v>7</v>
      </c>
      <c r="BD866" s="65" t="n">
        <f aca="false">IF(AD866=1,CHOOSE('Historical Score'!$C$29,AV866,AW866,AX866,AY866,AZ866,BA866,BB866),0)</f>
        <v>0</v>
      </c>
      <c r="BE866" s="65" t="str">
        <f aca="false">IF(BD866=1,COUNTIF($BD$2:BD866,1),"")</f>
        <v/>
      </c>
    </row>
    <row r="867" customFormat="false" ht="15" hidden="false" customHeight="false" outlineLevel="0" collapsed="false">
      <c r="A867" s="65" t="s">
        <v>2701</v>
      </c>
      <c r="B867" s="65" t="s">
        <v>2702</v>
      </c>
      <c r="C867" s="65" t="s">
        <v>2702</v>
      </c>
      <c r="D867" s="65" t="s">
        <v>295</v>
      </c>
      <c r="E867" s="112" t="n">
        <v>46155</v>
      </c>
      <c r="F867" s="112" t="n">
        <v>46253</v>
      </c>
      <c r="G867" s="65" t="n">
        <v>3</v>
      </c>
      <c r="H867" s="65" t="s">
        <v>748</v>
      </c>
      <c r="I867" s="65" t="s">
        <v>619</v>
      </c>
      <c r="J867" s="65" t="s">
        <v>772</v>
      </c>
      <c r="K867" s="65" t="s">
        <v>426</v>
      </c>
      <c r="L867" s="65" t="s">
        <v>64</v>
      </c>
      <c r="M867" s="113" t="n">
        <v>1.49</v>
      </c>
      <c r="N867" s="114" t="n">
        <v>10000</v>
      </c>
      <c r="O867" s="114" t="n">
        <v>1400</v>
      </c>
      <c r="P867" s="114" t="n">
        <v>14900</v>
      </c>
      <c r="Q867" s="114" t="n">
        <v>10126.56</v>
      </c>
      <c r="R867" s="114" t="n">
        <v>4773.44</v>
      </c>
      <c r="S867" s="115" t="n">
        <v>0.679634899328859</v>
      </c>
      <c r="T867" s="65" t="n">
        <v>3.279</v>
      </c>
      <c r="U867" s="65" t="n">
        <v>0</v>
      </c>
      <c r="V867" s="65" t="n">
        <v>40562.51</v>
      </c>
      <c r="W867" s="115" t="n">
        <v>0.0771</v>
      </c>
      <c r="X867" s="112" t="n">
        <v>42675</v>
      </c>
      <c r="Y867" s="65" t="str">
        <f aca="false">IF(I867="","No SIC",IFERROR(VLOOKUP(I867,Ref!$A$2:$B$65,2,FALSE()),"Unclassified"))</f>
        <v>Miscellaneous Retail</v>
      </c>
      <c r="Z867" s="65" t="str">
        <f aca="false">IF(T867="","",IF(T867&lt;12,"Daily","Weekly"))</f>
        <v>Daily</v>
      </c>
      <c r="AA867" s="65" t="n">
        <f aca="false">IF(T867="",0,IF(T867&lt;12,T867*Controls!$B$29,T867*5))</f>
        <v>71.006745</v>
      </c>
      <c r="AB867" s="65" t="n">
        <f aca="false">IF(E867="",0,NETWORKDAYS(E867,Controls!$B$36,Ref!$K$2:$K$42))</f>
        <v>73</v>
      </c>
      <c r="AC867" s="65" t="n">
        <f aca="false">IF(AND(AA867&gt;0,AB867&gt;=Controls!$B$39*AA867),1,0)</f>
        <v>0</v>
      </c>
      <c r="AD867" s="65" t="n">
        <f aca="false">IF(AND(E867&lt;&gt;"",E867&gt;=Controls!$B$37,E867&lt;=Controls!$B$38),1,0)</f>
        <v>1</v>
      </c>
      <c r="AE867" s="65" t="n">
        <f aca="false">IF(IFERROR(VLOOKUP(D867,Controls!$A$64:$E$74,2,FALSE()),"No")="Yes",1,0)</f>
        <v>0</v>
      </c>
      <c r="AF867" s="65" t="n">
        <f aca="false">IF(IFERROR(VLOOKUP(D867,Controls!$A$64:$E$74,3,FALSE()),"No")="Yes",1,0)</f>
        <v>0</v>
      </c>
      <c r="AG867" s="65" t="n">
        <f aca="false">IF(IFERROR(VLOOKUP(D867,Controls!$A$64:$E$74,4,FALSE()),"No")="Yes",1,0)</f>
        <v>0</v>
      </c>
      <c r="AH867" s="65" t="n">
        <f aca="false">IF(IFERROR(VLOOKUP(D867,Controls!$A$64:$E$74,5,FALSE()),"No")="Yes",1,0)</f>
        <v>1</v>
      </c>
      <c r="AI867" s="65" t="n">
        <f aca="false">IF(ISNUMBER(MATCH(D867,Controls!$A$64:$A$74,0)),1,0)</f>
        <v>1</v>
      </c>
      <c r="AJ867" s="65" t="n">
        <f aca="false">Q867-N867</f>
        <v>126.559999999999</v>
      </c>
      <c r="AK867" s="65" t="n">
        <f aca="false">IF(AE867=1,MAX(0,N867-Q867),0)</f>
        <v>0</v>
      </c>
      <c r="AL867" s="65" t="n">
        <f aca="false">IF(OR(V867="",V867=0),0,N867/V867)</f>
        <v>0.246533067110492</v>
      </c>
      <c r="AM867" s="65" t="n">
        <f aca="false">IF(OR(V867="",V867=0),0,1)</f>
        <v>1</v>
      </c>
      <c r="AN867" s="65" t="n">
        <f aca="false">IF(OR(E867="",F867=""),0,NETWORKDAYS(E867,F867,Ref!$K$2:$K$42))</f>
        <v>69</v>
      </c>
      <c r="AO867" s="65" t="n">
        <f aca="false">IF(L867="Renewal",1,0)</f>
        <v>0</v>
      </c>
      <c r="AP867" s="65" t="n">
        <f aca="false">AC867*AD867</f>
        <v>0</v>
      </c>
      <c r="AQ867" s="65" t="n">
        <f aca="false">IF(AND(G867&lt;&gt;"",'Historical Score'!$C$6&lt;&gt;""),IF(G867='Historical Score'!$C$6,1,0),0)</f>
        <v>0</v>
      </c>
      <c r="AR867" s="65" t="n">
        <f aca="false">IF(AND(L867&lt;&gt;"",'Historical Score'!$C$5&lt;&gt;""),IF(L867='Historical Score'!$C$5,1,0),0)</f>
        <v>1</v>
      </c>
      <c r="AS867" s="65" t="n">
        <f aca="false">IF(AND(Y867&lt;&gt;"",'Historical Score'!$C$7&lt;&gt;""),IF(Y867='Historical Score'!$C$7,1,0),0)</f>
        <v>0</v>
      </c>
      <c r="AT867" s="65" t="n">
        <f aca="false">IF(AND(K867&lt;&gt;"",'Historical Score'!$C$8&lt;&gt;""),IF(K867='Historical Score'!$C$8,1,0),0)</f>
        <v>0</v>
      </c>
      <c r="AU867" s="65" t="n">
        <f aca="false">IF(AND(J867&lt;&gt;"",'Historical Score'!$C$9&lt;&gt;""),IF(J867='Historical Score'!$C$9,1,0),0)</f>
        <v>0</v>
      </c>
      <c r="AV867" s="65" t="n">
        <f aca="false">AR867*AS867*AQ867</f>
        <v>0</v>
      </c>
      <c r="AW867" s="65" t="n">
        <f aca="false">AR867*AT867*AQ867</f>
        <v>0</v>
      </c>
      <c r="AX867" s="65" t="n">
        <f aca="false">AR867*AS867</f>
        <v>0</v>
      </c>
      <c r="AY867" s="65" t="n">
        <f aca="false">AR867*AT867</f>
        <v>0</v>
      </c>
      <c r="AZ867" s="65" t="n">
        <f aca="false">AR867*AQ867</f>
        <v>0</v>
      </c>
      <c r="BA867" s="65" t="n">
        <f aca="false">AR867</f>
        <v>1</v>
      </c>
      <c r="BB867" s="65" t="n">
        <f aca="false">1</f>
        <v>1</v>
      </c>
      <c r="BC867" s="65" t="n">
        <f aca="false">IF(AV867=1,1,IF(AW867=1,2,IF(AX867=1,3,IF(AY867=1,4,IF(AZ867=1,5,IF(BA867=1,6,7))))))</f>
        <v>6</v>
      </c>
      <c r="BD867" s="65" t="n">
        <f aca="false">IF(AD867=1,CHOOSE('Historical Score'!$C$29,AV867,AW867,AX867,AY867,AZ867,BA867,BB867),0)</f>
        <v>0</v>
      </c>
      <c r="BE867" s="65" t="str">
        <f aca="false">IF(BD867=1,COUNTIF($BD$2:BD867,1),"")</f>
        <v/>
      </c>
    </row>
    <row r="868" customFormat="false" ht="15" hidden="false" customHeight="false" outlineLevel="0" collapsed="false">
      <c r="A868" s="65" t="s">
        <v>2703</v>
      </c>
      <c r="B868" s="65" t="s">
        <v>2704</v>
      </c>
      <c r="C868" s="65" t="s">
        <v>2704</v>
      </c>
      <c r="D868" s="65" t="s">
        <v>295</v>
      </c>
      <c r="E868" s="112" t="n">
        <v>46156</v>
      </c>
      <c r="F868" s="112" t="n">
        <v>46252</v>
      </c>
      <c r="G868" s="65" t="n">
        <v>1</v>
      </c>
      <c r="H868" s="65" t="s">
        <v>409</v>
      </c>
      <c r="I868" s="65" t="s">
        <v>342</v>
      </c>
      <c r="J868" s="65" t="s">
        <v>452</v>
      </c>
      <c r="K868" s="65" t="s">
        <v>2594</v>
      </c>
      <c r="L868" s="65" t="s">
        <v>64</v>
      </c>
      <c r="M868" s="113" t="n">
        <v>1.35</v>
      </c>
      <c r="N868" s="114" t="n">
        <v>70000</v>
      </c>
      <c r="O868" s="114" t="n">
        <v>4900</v>
      </c>
      <c r="P868" s="114" t="n">
        <v>94500</v>
      </c>
      <c r="Q868" s="114" t="n">
        <v>55085.1</v>
      </c>
      <c r="R868" s="114" t="n">
        <v>39414.9</v>
      </c>
      <c r="S868" s="115" t="n">
        <v>0.582911111111111</v>
      </c>
      <c r="T868" s="65" t="n">
        <v>24</v>
      </c>
      <c r="U868" s="65" t="n">
        <v>0</v>
      </c>
      <c r="V868" s="65" t="n">
        <v>382005.05</v>
      </c>
      <c r="W868" s="115" t="n">
        <v>0.0412</v>
      </c>
      <c r="X868" s="112" t="n">
        <v>45398</v>
      </c>
      <c r="Y868" s="65" t="str">
        <f aca="false">IF(I868="","No SIC",IFERROR(VLOOKUP(I868,Ref!$A$2:$B$65,2,FALSE()),"Unclassified"))</f>
        <v>Eating &amp; Drinking Places</v>
      </c>
      <c r="Z868" s="65" t="str">
        <f aca="false">IF(T868="","",IF(T868&lt;12,"Daily","Weekly"))</f>
        <v>Weekly</v>
      </c>
      <c r="AA868" s="65" t="n">
        <f aca="false">IF(T868="",0,IF(T868&lt;12,T868*Controls!$B$29,T868*5))</f>
        <v>120</v>
      </c>
      <c r="AB868" s="65" t="n">
        <f aca="false">IF(E868="",0,NETWORKDAYS(E868,Controls!$B$36,Ref!$K$2:$K$42))</f>
        <v>72</v>
      </c>
      <c r="AC868" s="65" t="n">
        <f aca="false">IF(AND(AA868&gt;0,AB868&gt;=Controls!$B$39*AA868),1,0)</f>
        <v>0</v>
      </c>
      <c r="AD868" s="65" t="n">
        <f aca="false">IF(AND(E868&lt;&gt;"",E868&gt;=Controls!$B$37,E868&lt;=Controls!$B$38),1,0)</f>
        <v>1</v>
      </c>
      <c r="AE868" s="65" t="n">
        <f aca="false">IF(IFERROR(VLOOKUP(D868,Controls!$A$64:$E$74,2,FALSE()),"No")="Yes",1,0)</f>
        <v>0</v>
      </c>
      <c r="AF868" s="65" t="n">
        <f aca="false">IF(IFERROR(VLOOKUP(D868,Controls!$A$64:$E$74,3,FALSE()),"No")="Yes",1,0)</f>
        <v>0</v>
      </c>
      <c r="AG868" s="65" t="n">
        <f aca="false">IF(IFERROR(VLOOKUP(D868,Controls!$A$64:$E$74,4,FALSE()),"No")="Yes",1,0)</f>
        <v>0</v>
      </c>
      <c r="AH868" s="65" t="n">
        <f aca="false">IF(IFERROR(VLOOKUP(D868,Controls!$A$64:$E$74,5,FALSE()),"No")="Yes",1,0)</f>
        <v>1</v>
      </c>
      <c r="AI868" s="65" t="n">
        <f aca="false">IF(ISNUMBER(MATCH(D868,Controls!$A$64:$A$74,0)),1,0)</f>
        <v>1</v>
      </c>
      <c r="AJ868" s="65" t="n">
        <f aca="false">Q868-N868</f>
        <v>-14914.9</v>
      </c>
      <c r="AK868" s="65" t="n">
        <f aca="false">IF(AE868=1,MAX(0,N868-Q868),0)</f>
        <v>0</v>
      </c>
      <c r="AL868" s="65" t="n">
        <f aca="false">IF(OR(V868="",V868=0),0,N868/V868)</f>
        <v>0.183243650836553</v>
      </c>
      <c r="AM868" s="65" t="n">
        <f aca="false">IF(OR(V868="",V868=0),0,1)</f>
        <v>1</v>
      </c>
      <c r="AN868" s="65" t="n">
        <f aca="false">IF(OR(E868="",F868=""),0,NETWORKDAYS(E868,F868,Ref!$K$2:$K$42))</f>
        <v>67</v>
      </c>
      <c r="AO868" s="65" t="n">
        <f aca="false">IF(L868="Renewal",1,0)</f>
        <v>0</v>
      </c>
      <c r="AP868" s="65" t="n">
        <f aca="false">AC868*AD868</f>
        <v>0</v>
      </c>
      <c r="AQ868" s="65" t="n">
        <f aca="false">IF(AND(G868&lt;&gt;"",'Historical Score'!$C$6&lt;&gt;""),IF(G868='Historical Score'!$C$6,1,0),0)</f>
        <v>0</v>
      </c>
      <c r="AR868" s="65" t="n">
        <f aca="false">IF(AND(L868&lt;&gt;"",'Historical Score'!$C$5&lt;&gt;""),IF(L868='Historical Score'!$C$5,1,0),0)</f>
        <v>1</v>
      </c>
      <c r="AS868" s="65" t="n">
        <f aca="false">IF(AND(Y868&lt;&gt;"",'Historical Score'!$C$7&lt;&gt;""),IF(Y868='Historical Score'!$C$7,1,0),0)</f>
        <v>0</v>
      </c>
      <c r="AT868" s="65" t="n">
        <f aca="false">IF(AND(K868&lt;&gt;"",'Historical Score'!$C$8&lt;&gt;""),IF(K868='Historical Score'!$C$8,1,0),0)</f>
        <v>0</v>
      </c>
      <c r="AU868" s="65" t="n">
        <f aca="false">IF(AND(J868&lt;&gt;"",'Historical Score'!$C$9&lt;&gt;""),IF(J868='Historical Score'!$C$9,1,0),0)</f>
        <v>0</v>
      </c>
      <c r="AV868" s="65" t="n">
        <f aca="false">AR868*AS868*AQ868</f>
        <v>0</v>
      </c>
      <c r="AW868" s="65" t="n">
        <f aca="false">AR868*AT868*AQ868</f>
        <v>0</v>
      </c>
      <c r="AX868" s="65" t="n">
        <f aca="false">AR868*AS868</f>
        <v>0</v>
      </c>
      <c r="AY868" s="65" t="n">
        <f aca="false">AR868*AT868</f>
        <v>0</v>
      </c>
      <c r="AZ868" s="65" t="n">
        <f aca="false">AR868*AQ868</f>
        <v>0</v>
      </c>
      <c r="BA868" s="65" t="n">
        <f aca="false">AR868</f>
        <v>1</v>
      </c>
      <c r="BB868" s="65" t="n">
        <f aca="false">1</f>
        <v>1</v>
      </c>
      <c r="BC868" s="65" t="n">
        <f aca="false">IF(AV868=1,1,IF(AW868=1,2,IF(AX868=1,3,IF(AY868=1,4,IF(AZ868=1,5,IF(BA868=1,6,7))))))</f>
        <v>6</v>
      </c>
      <c r="BD868" s="65" t="n">
        <f aca="false">IF(AD868=1,CHOOSE('Historical Score'!$C$29,AV868,AW868,AX868,AY868,AZ868,BA868,BB868),0)</f>
        <v>0</v>
      </c>
      <c r="BE868" s="65" t="str">
        <f aca="false">IF(BD868=1,COUNTIF($BD$2:BD868,1),"")</f>
        <v/>
      </c>
    </row>
    <row r="869" customFormat="false" ht="15" hidden="false" customHeight="false" outlineLevel="0" collapsed="false">
      <c r="A869" s="65" t="s">
        <v>2705</v>
      </c>
      <c r="B869" s="65" t="s">
        <v>1593</v>
      </c>
      <c r="C869" s="65" t="s">
        <v>1593</v>
      </c>
      <c r="D869" s="65" t="s">
        <v>295</v>
      </c>
      <c r="E869" s="112" t="n">
        <v>46156</v>
      </c>
      <c r="F869" s="112" t="n">
        <v>46244</v>
      </c>
      <c r="G869" s="65" t="n">
        <v>3</v>
      </c>
      <c r="H869" s="65" t="s">
        <v>442</v>
      </c>
      <c r="I869" s="65" t="s">
        <v>443</v>
      </c>
      <c r="J869" s="65" t="s">
        <v>772</v>
      </c>
      <c r="K869" s="65" t="s">
        <v>1461</v>
      </c>
      <c r="L869" s="65" t="s">
        <v>320</v>
      </c>
      <c r="M869" s="113" t="n">
        <v>1.49</v>
      </c>
      <c r="N869" s="114" t="n">
        <v>15000</v>
      </c>
      <c r="O869" s="114" t="n">
        <v>2100</v>
      </c>
      <c r="P869" s="114" t="n">
        <v>22350</v>
      </c>
      <c r="Q869" s="114" t="n">
        <v>21961.46</v>
      </c>
      <c r="R869" s="114" t="n">
        <v>388.540000000001</v>
      </c>
      <c r="S869" s="115" t="n">
        <v>0.982615659955257</v>
      </c>
      <c r="T869" s="65" t="n">
        <v>3.77</v>
      </c>
      <c r="U869" s="65" t="n">
        <v>2</v>
      </c>
      <c r="V869" s="65" t="n">
        <v>38306.63</v>
      </c>
      <c r="W869" s="115" t="n">
        <v>0.1065</v>
      </c>
      <c r="X869" s="112" t="n">
        <v>43374</v>
      </c>
      <c r="Y869" s="65" t="str">
        <f aca="false">IF(I869="","No SIC",IFERROR(VLOOKUP(I869,Ref!$A$2:$B$65,2,FALSE()),"Unclassified"))</f>
        <v>General Building Contractors</v>
      </c>
      <c r="Z869" s="65" t="str">
        <f aca="false">IF(T869="","",IF(T869&lt;12,"Daily","Weekly"))</f>
        <v>Daily</v>
      </c>
      <c r="AA869" s="65" t="n">
        <f aca="false">IF(T869="",0,IF(T869&lt;12,T869*Controls!$B$29,T869*5))</f>
        <v>81.63935</v>
      </c>
      <c r="AB869" s="65" t="n">
        <f aca="false">IF(E869="",0,NETWORKDAYS(E869,Controls!$B$36,Ref!$K$2:$K$42))</f>
        <v>72</v>
      </c>
      <c r="AC869" s="65" t="n">
        <f aca="false">IF(AND(AA869&gt;0,AB869&gt;=Controls!$B$39*AA869),1,0)</f>
        <v>0</v>
      </c>
      <c r="AD869" s="65" t="n">
        <f aca="false">IF(AND(E869&lt;&gt;"",E869&gt;=Controls!$B$37,E869&lt;=Controls!$B$38),1,0)</f>
        <v>1</v>
      </c>
      <c r="AE869" s="65" t="n">
        <f aca="false">IF(IFERROR(VLOOKUP(D869,Controls!$A$64:$E$74,2,FALSE()),"No")="Yes",1,0)</f>
        <v>0</v>
      </c>
      <c r="AF869" s="65" t="n">
        <f aca="false">IF(IFERROR(VLOOKUP(D869,Controls!$A$64:$E$74,3,FALSE()),"No")="Yes",1,0)</f>
        <v>0</v>
      </c>
      <c r="AG869" s="65" t="n">
        <f aca="false">IF(IFERROR(VLOOKUP(D869,Controls!$A$64:$E$74,4,FALSE()),"No")="Yes",1,0)</f>
        <v>0</v>
      </c>
      <c r="AH869" s="65" t="n">
        <f aca="false">IF(IFERROR(VLOOKUP(D869,Controls!$A$64:$E$74,5,FALSE()),"No")="Yes",1,0)</f>
        <v>1</v>
      </c>
      <c r="AI869" s="65" t="n">
        <f aca="false">IF(ISNUMBER(MATCH(D869,Controls!$A$64:$A$74,0)),1,0)</f>
        <v>1</v>
      </c>
      <c r="AJ869" s="65" t="n">
        <f aca="false">Q869-N869</f>
        <v>6961.46</v>
      </c>
      <c r="AK869" s="65" t="n">
        <f aca="false">IF(AE869=1,MAX(0,N869-Q869),0)</f>
        <v>0</v>
      </c>
      <c r="AL869" s="65" t="n">
        <f aca="false">IF(OR(V869="",V869=0),0,N869/V869)</f>
        <v>0.391577123855583</v>
      </c>
      <c r="AM869" s="65" t="n">
        <f aca="false">IF(OR(V869="",V869=0),0,1)</f>
        <v>1</v>
      </c>
      <c r="AN869" s="65" t="n">
        <f aca="false">IF(OR(E869="",F869=""),0,NETWORKDAYS(E869,F869,Ref!$K$2:$K$42))</f>
        <v>61</v>
      </c>
      <c r="AO869" s="65" t="n">
        <f aca="false">IF(L869="Renewal",1,0)</f>
        <v>1</v>
      </c>
      <c r="AP869" s="65" t="n">
        <f aca="false">AC869*AD869</f>
        <v>0</v>
      </c>
      <c r="AQ869" s="65" t="n">
        <f aca="false">IF(AND(G869&lt;&gt;"",'Historical Score'!$C$6&lt;&gt;""),IF(G869='Historical Score'!$C$6,1,0),0)</f>
        <v>0</v>
      </c>
      <c r="AR869" s="65" t="n">
        <f aca="false">IF(AND(L869&lt;&gt;"",'Historical Score'!$C$5&lt;&gt;""),IF(L869='Historical Score'!$C$5,1,0),0)</f>
        <v>0</v>
      </c>
      <c r="AS869" s="65" t="n">
        <f aca="false">IF(AND(Y869&lt;&gt;"",'Historical Score'!$C$7&lt;&gt;""),IF(Y869='Historical Score'!$C$7,1,0),0)</f>
        <v>1</v>
      </c>
      <c r="AT869" s="65" t="n">
        <f aca="false">IF(AND(K869&lt;&gt;"",'Historical Score'!$C$8&lt;&gt;""),IF(K869='Historical Score'!$C$8,1,0),0)</f>
        <v>0</v>
      </c>
      <c r="AU869" s="65" t="n">
        <f aca="false">IF(AND(J869&lt;&gt;"",'Historical Score'!$C$9&lt;&gt;""),IF(J869='Historical Score'!$C$9,1,0),0)</f>
        <v>0</v>
      </c>
      <c r="AV869" s="65" t="n">
        <f aca="false">AR869*AS869*AQ869</f>
        <v>0</v>
      </c>
      <c r="AW869" s="65" t="n">
        <f aca="false">AR869*AT869*AQ869</f>
        <v>0</v>
      </c>
      <c r="AX869" s="65" t="n">
        <f aca="false">AR869*AS869</f>
        <v>0</v>
      </c>
      <c r="AY869" s="65" t="n">
        <f aca="false">AR869*AT869</f>
        <v>0</v>
      </c>
      <c r="AZ869" s="65" t="n">
        <f aca="false">AR869*AQ869</f>
        <v>0</v>
      </c>
      <c r="BA869" s="65" t="n">
        <f aca="false">AR869</f>
        <v>0</v>
      </c>
      <c r="BB869" s="65" t="n">
        <f aca="false">1</f>
        <v>1</v>
      </c>
      <c r="BC869" s="65" t="n">
        <f aca="false">IF(AV869=1,1,IF(AW869=1,2,IF(AX869=1,3,IF(AY869=1,4,IF(AZ869=1,5,IF(BA869=1,6,7))))))</f>
        <v>7</v>
      </c>
      <c r="BD869" s="65" t="n">
        <f aca="false">IF(AD869=1,CHOOSE('Historical Score'!$C$29,AV869,AW869,AX869,AY869,AZ869,BA869,BB869),0)</f>
        <v>0</v>
      </c>
      <c r="BE869" s="65" t="str">
        <f aca="false">IF(BD869=1,COUNTIF($BD$2:BD869,1),"")</f>
        <v/>
      </c>
    </row>
    <row r="870" customFormat="false" ht="15" hidden="false" customHeight="false" outlineLevel="0" collapsed="false">
      <c r="A870" s="65" t="s">
        <v>2706</v>
      </c>
      <c r="B870" s="65" t="s">
        <v>2024</v>
      </c>
      <c r="C870" s="65" t="s">
        <v>2024</v>
      </c>
      <c r="D870" s="65" t="s">
        <v>295</v>
      </c>
      <c r="E870" s="112" t="n">
        <v>46156</v>
      </c>
      <c r="F870" s="112" t="n">
        <v>46248</v>
      </c>
      <c r="G870" s="65" t="n">
        <v>3</v>
      </c>
      <c r="H870" s="65" t="s">
        <v>442</v>
      </c>
      <c r="I870" s="65" t="s">
        <v>443</v>
      </c>
      <c r="J870" s="65" t="s">
        <v>510</v>
      </c>
      <c r="K870" s="65" t="s">
        <v>55</v>
      </c>
      <c r="L870" s="65" t="s">
        <v>320</v>
      </c>
      <c r="M870" s="113" t="n">
        <v>1.45</v>
      </c>
      <c r="N870" s="114" t="n">
        <v>15000</v>
      </c>
      <c r="O870" s="114" t="n">
        <v>1800</v>
      </c>
      <c r="P870" s="114" t="n">
        <v>21750</v>
      </c>
      <c r="Q870" s="114" t="n">
        <v>6223.04</v>
      </c>
      <c r="R870" s="114" t="n">
        <v>15526.96</v>
      </c>
      <c r="S870" s="115" t="n">
        <v>0.286116781609195</v>
      </c>
      <c r="T870" s="65" t="n">
        <v>28</v>
      </c>
      <c r="U870" s="65" t="n">
        <v>5</v>
      </c>
      <c r="V870" s="65" t="n">
        <v>117415.63</v>
      </c>
      <c r="W870" s="115" t="n">
        <v>0.0265</v>
      </c>
      <c r="X870" s="112" t="n">
        <v>36020</v>
      </c>
      <c r="Y870" s="65" t="str">
        <f aca="false">IF(I870="","No SIC",IFERROR(VLOOKUP(I870,Ref!$A$2:$B$65,2,FALSE()),"Unclassified"))</f>
        <v>General Building Contractors</v>
      </c>
      <c r="Z870" s="65" t="str">
        <f aca="false">IF(T870="","",IF(T870&lt;12,"Daily","Weekly"))</f>
        <v>Weekly</v>
      </c>
      <c r="AA870" s="65" t="n">
        <f aca="false">IF(T870="",0,IF(T870&lt;12,T870*Controls!$B$29,T870*5))</f>
        <v>140</v>
      </c>
      <c r="AB870" s="65" t="n">
        <f aca="false">IF(E870="",0,NETWORKDAYS(E870,Controls!$B$36,Ref!$K$2:$K$42))</f>
        <v>72</v>
      </c>
      <c r="AC870" s="65" t="n">
        <f aca="false">IF(AND(AA870&gt;0,AB870&gt;=Controls!$B$39*AA870),1,0)</f>
        <v>0</v>
      </c>
      <c r="AD870" s="65" t="n">
        <f aca="false">IF(AND(E870&lt;&gt;"",E870&gt;=Controls!$B$37,E870&lt;=Controls!$B$38),1,0)</f>
        <v>1</v>
      </c>
      <c r="AE870" s="65" t="n">
        <f aca="false">IF(IFERROR(VLOOKUP(D870,Controls!$A$64:$E$74,2,FALSE()),"No")="Yes",1,0)</f>
        <v>0</v>
      </c>
      <c r="AF870" s="65" t="n">
        <f aca="false">IF(IFERROR(VLOOKUP(D870,Controls!$A$64:$E$74,3,FALSE()),"No")="Yes",1,0)</f>
        <v>0</v>
      </c>
      <c r="AG870" s="65" t="n">
        <f aca="false">IF(IFERROR(VLOOKUP(D870,Controls!$A$64:$E$74,4,FALSE()),"No")="Yes",1,0)</f>
        <v>0</v>
      </c>
      <c r="AH870" s="65" t="n">
        <f aca="false">IF(IFERROR(VLOOKUP(D870,Controls!$A$64:$E$74,5,FALSE()),"No")="Yes",1,0)</f>
        <v>1</v>
      </c>
      <c r="AI870" s="65" t="n">
        <f aca="false">IF(ISNUMBER(MATCH(D870,Controls!$A$64:$A$74,0)),1,0)</f>
        <v>1</v>
      </c>
      <c r="AJ870" s="65" t="n">
        <f aca="false">Q870-N870</f>
        <v>-8776.96</v>
      </c>
      <c r="AK870" s="65" t="n">
        <f aca="false">IF(AE870=1,MAX(0,N870-Q870),0)</f>
        <v>0</v>
      </c>
      <c r="AL870" s="65" t="n">
        <f aca="false">IF(OR(V870="",V870=0),0,N870/V870)</f>
        <v>0.127751305341546</v>
      </c>
      <c r="AM870" s="65" t="n">
        <f aca="false">IF(OR(V870="",V870=0),0,1)</f>
        <v>1</v>
      </c>
      <c r="AN870" s="65" t="n">
        <f aca="false">IF(OR(E870="",F870=""),0,NETWORKDAYS(E870,F870,Ref!$K$2:$K$42))</f>
        <v>65</v>
      </c>
      <c r="AO870" s="65" t="n">
        <f aca="false">IF(L870="Renewal",1,0)</f>
        <v>1</v>
      </c>
      <c r="AP870" s="65" t="n">
        <f aca="false">AC870*AD870</f>
        <v>0</v>
      </c>
      <c r="AQ870" s="65" t="n">
        <f aca="false">IF(AND(G870&lt;&gt;"",'Historical Score'!$C$6&lt;&gt;""),IF(G870='Historical Score'!$C$6,1,0),0)</f>
        <v>0</v>
      </c>
      <c r="AR870" s="65" t="n">
        <f aca="false">IF(AND(L870&lt;&gt;"",'Historical Score'!$C$5&lt;&gt;""),IF(L870='Historical Score'!$C$5,1,0),0)</f>
        <v>0</v>
      </c>
      <c r="AS870" s="65" t="n">
        <f aca="false">IF(AND(Y870&lt;&gt;"",'Historical Score'!$C$7&lt;&gt;""),IF(Y870='Historical Score'!$C$7,1,0),0)</f>
        <v>1</v>
      </c>
      <c r="AT870" s="65" t="n">
        <f aca="false">IF(AND(K870&lt;&gt;"",'Historical Score'!$C$8&lt;&gt;""),IF(K870='Historical Score'!$C$8,1,0),0)</f>
        <v>1</v>
      </c>
      <c r="AU870" s="65" t="n">
        <f aca="false">IF(AND(J870&lt;&gt;"",'Historical Score'!$C$9&lt;&gt;""),IF(J870='Historical Score'!$C$9,1,0),0)</f>
        <v>0</v>
      </c>
      <c r="AV870" s="65" t="n">
        <f aca="false">AR870*AS870*AQ870</f>
        <v>0</v>
      </c>
      <c r="AW870" s="65" t="n">
        <f aca="false">AR870*AT870*AQ870</f>
        <v>0</v>
      </c>
      <c r="AX870" s="65" t="n">
        <f aca="false">AR870*AS870</f>
        <v>0</v>
      </c>
      <c r="AY870" s="65" t="n">
        <f aca="false">AR870*AT870</f>
        <v>0</v>
      </c>
      <c r="AZ870" s="65" t="n">
        <f aca="false">AR870*AQ870</f>
        <v>0</v>
      </c>
      <c r="BA870" s="65" t="n">
        <f aca="false">AR870</f>
        <v>0</v>
      </c>
      <c r="BB870" s="65" t="n">
        <f aca="false">1</f>
        <v>1</v>
      </c>
      <c r="BC870" s="65" t="n">
        <f aca="false">IF(AV870=1,1,IF(AW870=1,2,IF(AX870=1,3,IF(AY870=1,4,IF(AZ870=1,5,IF(BA870=1,6,7))))))</f>
        <v>7</v>
      </c>
      <c r="BD870" s="65" t="n">
        <f aca="false">IF(AD870=1,CHOOSE('Historical Score'!$C$29,AV870,AW870,AX870,AY870,AZ870,BA870,BB870),0)</f>
        <v>0</v>
      </c>
      <c r="BE870" s="65" t="str">
        <f aca="false">IF(BD870=1,COUNTIF($BD$2:BD870,1),"")</f>
        <v/>
      </c>
    </row>
    <row r="871" customFormat="false" ht="15" hidden="false" customHeight="false" outlineLevel="0" collapsed="false">
      <c r="A871" s="65" t="s">
        <v>2707</v>
      </c>
      <c r="B871" s="65" t="s">
        <v>2708</v>
      </c>
      <c r="C871" s="65" t="s">
        <v>2708</v>
      </c>
      <c r="D871" s="65" t="s">
        <v>533</v>
      </c>
      <c r="E871" s="112" t="n">
        <v>46156</v>
      </c>
      <c r="F871" s="112" t="n">
        <v>46244</v>
      </c>
      <c r="G871" s="65" t="n">
        <v>3</v>
      </c>
      <c r="H871" s="65" t="s">
        <v>1407</v>
      </c>
      <c r="I871" s="65" t="s">
        <v>679</v>
      </c>
      <c r="J871" s="65" t="s">
        <v>452</v>
      </c>
      <c r="K871" s="65" t="s">
        <v>983</v>
      </c>
      <c r="L871" s="65" t="s">
        <v>64</v>
      </c>
      <c r="M871" s="113" t="n">
        <v>1.49</v>
      </c>
      <c r="N871" s="114" t="n">
        <v>25000</v>
      </c>
      <c r="O871" s="114" t="n">
        <v>3500</v>
      </c>
      <c r="P871" s="114" t="n">
        <v>37250</v>
      </c>
      <c r="Q871" s="114" t="n">
        <v>3362.86</v>
      </c>
      <c r="R871" s="114" t="n">
        <v>33887.14</v>
      </c>
      <c r="S871" s="115" t="n">
        <v>0.0902781208053691</v>
      </c>
      <c r="T871" s="65" t="n">
        <v>24</v>
      </c>
      <c r="U871" s="65" t="n">
        <v>9</v>
      </c>
      <c r="V871" s="65" t="n">
        <v>187788.78</v>
      </c>
      <c r="W871" s="115" t="n">
        <v>0.0331</v>
      </c>
      <c r="X871" s="112" t="n">
        <v>45378</v>
      </c>
      <c r="Y871" s="65" t="str">
        <f aca="false">IF(I871="","No SIC",IFERROR(VLOOKUP(I871,Ref!$A$2:$B$65,2,FALSE()),"Unclassified"))</f>
        <v>Amusement &amp; Recreation Services</v>
      </c>
      <c r="Z871" s="65" t="str">
        <f aca="false">IF(T871="","",IF(T871&lt;12,"Daily","Weekly"))</f>
        <v>Weekly</v>
      </c>
      <c r="AA871" s="65" t="n">
        <f aca="false">IF(T871="",0,IF(T871&lt;12,T871*Controls!$B$29,T871*5))</f>
        <v>120</v>
      </c>
      <c r="AB871" s="65" t="n">
        <f aca="false">IF(E871="",0,NETWORKDAYS(E871,Controls!$B$36,Ref!$K$2:$K$42))</f>
        <v>72</v>
      </c>
      <c r="AC871" s="65" t="n">
        <f aca="false">IF(AND(AA871&gt;0,AB871&gt;=Controls!$B$39*AA871),1,0)</f>
        <v>0</v>
      </c>
      <c r="AD871" s="65" t="n">
        <f aca="false">IF(AND(E871&lt;&gt;"",E871&gt;=Controls!$B$37,E871&lt;=Controls!$B$38),1,0)</f>
        <v>1</v>
      </c>
      <c r="AE871" s="65" t="n">
        <f aca="false">IF(IFERROR(VLOOKUP(D871,Controls!$A$64:$E$74,2,FALSE()),"No")="Yes",1,0)</f>
        <v>1</v>
      </c>
      <c r="AF871" s="65" t="n">
        <f aca="false">IF(IFERROR(VLOOKUP(D871,Controls!$A$64:$E$74,3,FALSE()),"No")="Yes",1,0)</f>
        <v>0</v>
      </c>
      <c r="AG871" s="65" t="n">
        <f aca="false">IF(IFERROR(VLOOKUP(D871,Controls!$A$64:$E$74,4,FALSE()),"No")="Yes",1,0)</f>
        <v>0</v>
      </c>
      <c r="AH871" s="65" t="n">
        <f aca="false">IF(IFERROR(VLOOKUP(D871,Controls!$A$64:$E$74,5,FALSE()),"No")="Yes",1,0)</f>
        <v>0</v>
      </c>
      <c r="AI871" s="65" t="n">
        <f aca="false">IF(ISNUMBER(MATCH(D871,Controls!$A$64:$A$74,0)),1,0)</f>
        <v>1</v>
      </c>
      <c r="AJ871" s="65" t="n">
        <f aca="false">Q871-N871</f>
        <v>-21637.14</v>
      </c>
      <c r="AK871" s="65" t="n">
        <f aca="false">IF(AE871=1,MAX(0,N871-Q871),0)</f>
        <v>21637.14</v>
      </c>
      <c r="AL871" s="65" t="n">
        <f aca="false">IF(OR(V871="",V871=0),0,N871/V871)</f>
        <v>0.133128294459339</v>
      </c>
      <c r="AM871" s="65" t="n">
        <f aca="false">IF(OR(V871="",V871=0),0,1)</f>
        <v>1</v>
      </c>
      <c r="AN871" s="65" t="n">
        <f aca="false">IF(OR(E871="",F871=""),0,NETWORKDAYS(E871,F871,Ref!$K$2:$K$42))</f>
        <v>61</v>
      </c>
      <c r="AO871" s="65" t="n">
        <f aca="false">IF(L871="Renewal",1,0)</f>
        <v>0</v>
      </c>
      <c r="AP871" s="65" t="n">
        <f aca="false">AC871*AD871</f>
        <v>0</v>
      </c>
      <c r="AQ871" s="65" t="n">
        <f aca="false">IF(AND(G871&lt;&gt;"",'Historical Score'!$C$6&lt;&gt;""),IF(G871='Historical Score'!$C$6,1,0),0)</f>
        <v>0</v>
      </c>
      <c r="AR871" s="65" t="n">
        <f aca="false">IF(AND(L871&lt;&gt;"",'Historical Score'!$C$5&lt;&gt;""),IF(L871='Historical Score'!$C$5,1,0),0)</f>
        <v>1</v>
      </c>
      <c r="AS871" s="65" t="n">
        <f aca="false">IF(AND(Y871&lt;&gt;"",'Historical Score'!$C$7&lt;&gt;""),IF(Y871='Historical Score'!$C$7,1,0),0)</f>
        <v>0</v>
      </c>
      <c r="AT871" s="65" t="n">
        <f aca="false">IF(AND(K871&lt;&gt;"",'Historical Score'!$C$8&lt;&gt;""),IF(K871='Historical Score'!$C$8,1,0),0)</f>
        <v>0</v>
      </c>
      <c r="AU871" s="65" t="n">
        <f aca="false">IF(AND(J871&lt;&gt;"",'Historical Score'!$C$9&lt;&gt;""),IF(J871='Historical Score'!$C$9,1,0),0)</f>
        <v>0</v>
      </c>
      <c r="AV871" s="65" t="n">
        <f aca="false">AR871*AS871*AQ871</f>
        <v>0</v>
      </c>
      <c r="AW871" s="65" t="n">
        <f aca="false">AR871*AT871*AQ871</f>
        <v>0</v>
      </c>
      <c r="AX871" s="65" t="n">
        <f aca="false">AR871*AS871</f>
        <v>0</v>
      </c>
      <c r="AY871" s="65" t="n">
        <f aca="false">AR871*AT871</f>
        <v>0</v>
      </c>
      <c r="AZ871" s="65" t="n">
        <f aca="false">AR871*AQ871</f>
        <v>0</v>
      </c>
      <c r="BA871" s="65" t="n">
        <f aca="false">AR871</f>
        <v>1</v>
      </c>
      <c r="BB871" s="65" t="n">
        <f aca="false">1</f>
        <v>1</v>
      </c>
      <c r="BC871" s="65" t="n">
        <f aca="false">IF(AV871=1,1,IF(AW871=1,2,IF(AX871=1,3,IF(AY871=1,4,IF(AZ871=1,5,IF(BA871=1,6,7))))))</f>
        <v>6</v>
      </c>
      <c r="BD871" s="65" t="n">
        <f aca="false">IF(AD871=1,CHOOSE('Historical Score'!$C$29,AV871,AW871,AX871,AY871,AZ871,BA871,BB871),0)</f>
        <v>0</v>
      </c>
      <c r="BE871" s="65" t="str">
        <f aca="false">IF(BD871=1,COUNTIF($BD$2:BD871,1),"")</f>
        <v/>
      </c>
    </row>
    <row r="872" customFormat="false" ht="15" hidden="false" customHeight="false" outlineLevel="0" collapsed="false">
      <c r="A872" s="65" t="s">
        <v>2709</v>
      </c>
      <c r="B872" s="65" t="s">
        <v>2710</v>
      </c>
      <c r="C872" s="65" t="s">
        <v>2711</v>
      </c>
      <c r="D872" s="65" t="s">
        <v>295</v>
      </c>
      <c r="E872" s="112" t="n">
        <v>46156</v>
      </c>
      <c r="F872" s="112" t="n">
        <v>46251</v>
      </c>
      <c r="G872" s="65" t="n">
        <v>3</v>
      </c>
      <c r="H872" s="65" t="s">
        <v>409</v>
      </c>
      <c r="I872" s="65" t="s">
        <v>342</v>
      </c>
      <c r="J872" s="65" t="s">
        <v>772</v>
      </c>
      <c r="K872" s="65" t="s">
        <v>476</v>
      </c>
      <c r="L872" s="65" t="s">
        <v>64</v>
      </c>
      <c r="M872" s="113" t="n">
        <v>1.49</v>
      </c>
      <c r="N872" s="114" t="n">
        <v>12000</v>
      </c>
      <c r="O872" s="114" t="n">
        <v>1680</v>
      </c>
      <c r="P872" s="114" t="n">
        <v>17880</v>
      </c>
      <c r="Q872" s="114" t="n">
        <v>11621.61</v>
      </c>
      <c r="R872" s="114" t="n">
        <v>6258.39</v>
      </c>
      <c r="S872" s="115" t="n">
        <v>0.649978187919463</v>
      </c>
      <c r="T872" s="65" t="n">
        <v>20</v>
      </c>
      <c r="U872" s="65" t="n">
        <v>0</v>
      </c>
      <c r="V872" s="65" t="n">
        <v>24953.93</v>
      </c>
      <c r="W872" s="115" t="n">
        <v>0.1433</v>
      </c>
      <c r="X872" s="112" t="n">
        <v>45641</v>
      </c>
      <c r="Y872" s="65" t="str">
        <f aca="false">IF(I872="","No SIC",IFERROR(VLOOKUP(I872,Ref!$A$2:$B$65,2,FALSE()),"Unclassified"))</f>
        <v>Eating &amp; Drinking Places</v>
      </c>
      <c r="Z872" s="65" t="str">
        <f aca="false">IF(T872="","",IF(T872&lt;12,"Daily","Weekly"))</f>
        <v>Weekly</v>
      </c>
      <c r="AA872" s="65" t="n">
        <f aca="false">IF(T872="",0,IF(T872&lt;12,T872*Controls!$B$29,T872*5))</f>
        <v>100</v>
      </c>
      <c r="AB872" s="65" t="n">
        <f aca="false">IF(E872="",0,NETWORKDAYS(E872,Controls!$B$36,Ref!$K$2:$K$42))</f>
        <v>72</v>
      </c>
      <c r="AC872" s="65" t="n">
        <f aca="false">IF(AND(AA872&gt;0,AB872&gt;=Controls!$B$39*AA872),1,0)</f>
        <v>0</v>
      </c>
      <c r="AD872" s="65" t="n">
        <f aca="false">IF(AND(E872&lt;&gt;"",E872&gt;=Controls!$B$37,E872&lt;=Controls!$B$38),1,0)</f>
        <v>1</v>
      </c>
      <c r="AE872" s="65" t="n">
        <f aca="false">IF(IFERROR(VLOOKUP(D872,Controls!$A$64:$E$74,2,FALSE()),"No")="Yes",1,0)</f>
        <v>0</v>
      </c>
      <c r="AF872" s="65" t="n">
        <f aca="false">IF(IFERROR(VLOOKUP(D872,Controls!$A$64:$E$74,3,FALSE()),"No")="Yes",1,0)</f>
        <v>0</v>
      </c>
      <c r="AG872" s="65" t="n">
        <f aca="false">IF(IFERROR(VLOOKUP(D872,Controls!$A$64:$E$74,4,FALSE()),"No")="Yes",1,0)</f>
        <v>0</v>
      </c>
      <c r="AH872" s="65" t="n">
        <f aca="false">IF(IFERROR(VLOOKUP(D872,Controls!$A$64:$E$74,5,FALSE()),"No")="Yes",1,0)</f>
        <v>1</v>
      </c>
      <c r="AI872" s="65" t="n">
        <f aca="false">IF(ISNUMBER(MATCH(D872,Controls!$A$64:$A$74,0)),1,0)</f>
        <v>1</v>
      </c>
      <c r="AJ872" s="65" t="n">
        <f aca="false">Q872-N872</f>
        <v>-378.389999999999</v>
      </c>
      <c r="AK872" s="65" t="n">
        <f aca="false">IF(AE872=1,MAX(0,N872-Q872),0)</f>
        <v>0</v>
      </c>
      <c r="AL872" s="65" t="n">
        <f aca="false">IF(OR(V872="",V872=0),0,N872/V872)</f>
        <v>0.480886177047062</v>
      </c>
      <c r="AM872" s="65" t="n">
        <f aca="false">IF(OR(V872="",V872=0),0,1)</f>
        <v>1</v>
      </c>
      <c r="AN872" s="65" t="n">
        <f aca="false">IF(OR(E872="",F872=""),0,NETWORKDAYS(E872,F872,Ref!$K$2:$K$42))</f>
        <v>66</v>
      </c>
      <c r="AO872" s="65" t="n">
        <f aca="false">IF(L872="Renewal",1,0)</f>
        <v>0</v>
      </c>
      <c r="AP872" s="65" t="n">
        <f aca="false">AC872*AD872</f>
        <v>0</v>
      </c>
      <c r="AQ872" s="65" t="n">
        <f aca="false">IF(AND(G872&lt;&gt;"",'Historical Score'!$C$6&lt;&gt;""),IF(G872='Historical Score'!$C$6,1,0),0)</f>
        <v>0</v>
      </c>
      <c r="AR872" s="65" t="n">
        <f aca="false">IF(AND(L872&lt;&gt;"",'Historical Score'!$C$5&lt;&gt;""),IF(L872='Historical Score'!$C$5,1,0),0)</f>
        <v>1</v>
      </c>
      <c r="AS872" s="65" t="n">
        <f aca="false">IF(AND(Y872&lt;&gt;"",'Historical Score'!$C$7&lt;&gt;""),IF(Y872='Historical Score'!$C$7,1,0),0)</f>
        <v>0</v>
      </c>
      <c r="AT872" s="65" t="n">
        <f aca="false">IF(AND(K872&lt;&gt;"",'Historical Score'!$C$8&lt;&gt;""),IF(K872='Historical Score'!$C$8,1,0),0)</f>
        <v>0</v>
      </c>
      <c r="AU872" s="65" t="n">
        <f aca="false">IF(AND(J872&lt;&gt;"",'Historical Score'!$C$9&lt;&gt;""),IF(J872='Historical Score'!$C$9,1,0),0)</f>
        <v>0</v>
      </c>
      <c r="AV872" s="65" t="n">
        <f aca="false">AR872*AS872*AQ872</f>
        <v>0</v>
      </c>
      <c r="AW872" s="65" t="n">
        <f aca="false">AR872*AT872*AQ872</f>
        <v>0</v>
      </c>
      <c r="AX872" s="65" t="n">
        <f aca="false">AR872*AS872</f>
        <v>0</v>
      </c>
      <c r="AY872" s="65" t="n">
        <f aca="false">AR872*AT872</f>
        <v>0</v>
      </c>
      <c r="AZ872" s="65" t="n">
        <f aca="false">AR872*AQ872</f>
        <v>0</v>
      </c>
      <c r="BA872" s="65" t="n">
        <f aca="false">AR872</f>
        <v>1</v>
      </c>
      <c r="BB872" s="65" t="n">
        <f aca="false">1</f>
        <v>1</v>
      </c>
      <c r="BC872" s="65" t="n">
        <f aca="false">IF(AV872=1,1,IF(AW872=1,2,IF(AX872=1,3,IF(AY872=1,4,IF(AZ872=1,5,IF(BA872=1,6,7))))))</f>
        <v>6</v>
      </c>
      <c r="BD872" s="65" t="n">
        <f aca="false">IF(AD872=1,CHOOSE('Historical Score'!$C$29,AV872,AW872,AX872,AY872,AZ872,BA872,BB872),0)</f>
        <v>0</v>
      </c>
      <c r="BE872" s="65" t="str">
        <f aca="false">IF(BD872=1,COUNTIF($BD$2:BD872,1),"")</f>
        <v/>
      </c>
    </row>
    <row r="873" customFormat="false" ht="15" hidden="false" customHeight="false" outlineLevel="0" collapsed="false">
      <c r="A873" s="65" t="s">
        <v>2712</v>
      </c>
      <c r="B873" s="65" t="s">
        <v>2713</v>
      </c>
      <c r="C873" s="65" t="s">
        <v>2713</v>
      </c>
      <c r="D873" s="65" t="s">
        <v>295</v>
      </c>
      <c r="E873" s="112" t="n">
        <v>46156</v>
      </c>
      <c r="F873" s="112" t="n">
        <v>46251</v>
      </c>
      <c r="G873" s="65" t="n">
        <v>2</v>
      </c>
      <c r="H873" s="65" t="s">
        <v>1852</v>
      </c>
      <c r="I873" s="65" t="s">
        <v>915</v>
      </c>
      <c r="J873" s="65" t="s">
        <v>350</v>
      </c>
      <c r="K873" s="65" t="s">
        <v>538</v>
      </c>
      <c r="L873" s="65" t="s">
        <v>64</v>
      </c>
      <c r="M873" s="113" t="n">
        <v>1.36</v>
      </c>
      <c r="N873" s="114" t="n">
        <v>400000</v>
      </c>
      <c r="O873" s="114" t="n">
        <v>38000</v>
      </c>
      <c r="P873" s="114" t="n">
        <v>544000</v>
      </c>
      <c r="Q873" s="114" t="n">
        <v>160675.71</v>
      </c>
      <c r="R873" s="114" t="n">
        <v>383324.29</v>
      </c>
      <c r="S873" s="115" t="n">
        <v>0.295359761029412</v>
      </c>
      <c r="T873" s="65" t="n">
        <v>44</v>
      </c>
      <c r="U873" s="65" t="n">
        <v>0</v>
      </c>
      <c r="V873" s="65" t="n">
        <v>973202.2</v>
      </c>
      <c r="W873" s="115" t="n">
        <v>0.0508</v>
      </c>
      <c r="X873" s="112" t="n">
        <v>42917</v>
      </c>
      <c r="Y873" s="65" t="str">
        <f aca="false">IF(I873="","No SIC",IFERROR(VLOOKUP(I873,Ref!$A$2:$B$65,2,FALSE()),"Unclassified"))</f>
        <v>Transportation Services</v>
      </c>
      <c r="Z873" s="65" t="str">
        <f aca="false">IF(T873="","",IF(T873&lt;12,"Daily","Weekly"))</f>
        <v>Weekly</v>
      </c>
      <c r="AA873" s="65" t="n">
        <f aca="false">IF(T873="",0,IF(T873&lt;12,T873*Controls!$B$29,T873*5))</f>
        <v>220</v>
      </c>
      <c r="AB873" s="65" t="n">
        <f aca="false">IF(E873="",0,NETWORKDAYS(E873,Controls!$B$36,Ref!$K$2:$K$42))</f>
        <v>72</v>
      </c>
      <c r="AC873" s="65" t="n">
        <f aca="false">IF(AND(AA873&gt;0,AB873&gt;=Controls!$B$39*AA873),1,0)</f>
        <v>0</v>
      </c>
      <c r="AD873" s="65" t="n">
        <f aca="false">IF(AND(E873&lt;&gt;"",E873&gt;=Controls!$B$37,E873&lt;=Controls!$B$38),1,0)</f>
        <v>1</v>
      </c>
      <c r="AE873" s="65" t="n">
        <f aca="false">IF(IFERROR(VLOOKUP(D873,Controls!$A$64:$E$74,2,FALSE()),"No")="Yes",1,0)</f>
        <v>0</v>
      </c>
      <c r="AF873" s="65" t="n">
        <f aca="false">IF(IFERROR(VLOOKUP(D873,Controls!$A$64:$E$74,3,FALSE()),"No")="Yes",1,0)</f>
        <v>0</v>
      </c>
      <c r="AG873" s="65" t="n">
        <f aca="false">IF(IFERROR(VLOOKUP(D873,Controls!$A$64:$E$74,4,FALSE()),"No")="Yes",1,0)</f>
        <v>0</v>
      </c>
      <c r="AH873" s="65" t="n">
        <f aca="false">IF(IFERROR(VLOOKUP(D873,Controls!$A$64:$E$74,5,FALSE()),"No")="Yes",1,0)</f>
        <v>1</v>
      </c>
      <c r="AI873" s="65" t="n">
        <f aca="false">IF(ISNUMBER(MATCH(D873,Controls!$A$64:$A$74,0)),1,0)</f>
        <v>1</v>
      </c>
      <c r="AJ873" s="65" t="n">
        <f aca="false">Q873-N873</f>
        <v>-239324.29</v>
      </c>
      <c r="AK873" s="65" t="n">
        <f aca="false">IF(AE873=1,MAX(0,N873-Q873),0)</f>
        <v>0</v>
      </c>
      <c r="AL873" s="65" t="n">
        <f aca="false">IF(OR(V873="",V873=0),0,N873/V873)</f>
        <v>0.411014278430526</v>
      </c>
      <c r="AM873" s="65" t="n">
        <f aca="false">IF(OR(V873="",V873=0),0,1)</f>
        <v>1</v>
      </c>
      <c r="AN873" s="65" t="n">
        <f aca="false">IF(OR(E873="",F873=""),0,NETWORKDAYS(E873,F873,Ref!$K$2:$K$42))</f>
        <v>66</v>
      </c>
      <c r="AO873" s="65" t="n">
        <f aca="false">IF(L873="Renewal",1,0)</f>
        <v>0</v>
      </c>
      <c r="AP873" s="65" t="n">
        <f aca="false">AC873*AD873</f>
        <v>0</v>
      </c>
      <c r="AQ873" s="65" t="n">
        <f aca="false">IF(AND(G873&lt;&gt;"",'Historical Score'!$C$6&lt;&gt;""),IF(G873='Historical Score'!$C$6,1,0),0)</f>
        <v>1</v>
      </c>
      <c r="AR873" s="65" t="n">
        <f aca="false">IF(AND(L873&lt;&gt;"",'Historical Score'!$C$5&lt;&gt;""),IF(L873='Historical Score'!$C$5,1,0),0)</f>
        <v>1</v>
      </c>
      <c r="AS873" s="65" t="n">
        <f aca="false">IF(AND(Y873&lt;&gt;"",'Historical Score'!$C$7&lt;&gt;""),IF(Y873='Historical Score'!$C$7,1,0),0)</f>
        <v>0</v>
      </c>
      <c r="AT873" s="65" t="n">
        <f aca="false">IF(AND(K873&lt;&gt;"",'Historical Score'!$C$8&lt;&gt;""),IF(K873='Historical Score'!$C$8,1,0),0)</f>
        <v>0</v>
      </c>
      <c r="AU873" s="65" t="n">
        <f aca="false">IF(AND(J873&lt;&gt;"",'Historical Score'!$C$9&lt;&gt;""),IF(J873='Historical Score'!$C$9,1,0),0)</f>
        <v>0</v>
      </c>
      <c r="AV873" s="65" t="n">
        <f aca="false">AR873*AS873*AQ873</f>
        <v>0</v>
      </c>
      <c r="AW873" s="65" t="n">
        <f aca="false">AR873*AT873*AQ873</f>
        <v>0</v>
      </c>
      <c r="AX873" s="65" t="n">
        <f aca="false">AR873*AS873</f>
        <v>0</v>
      </c>
      <c r="AY873" s="65" t="n">
        <f aca="false">AR873*AT873</f>
        <v>0</v>
      </c>
      <c r="AZ873" s="65" t="n">
        <f aca="false">AR873*AQ873</f>
        <v>1</v>
      </c>
      <c r="BA873" s="65" t="n">
        <f aca="false">AR873</f>
        <v>1</v>
      </c>
      <c r="BB873" s="65" t="n">
        <f aca="false">1</f>
        <v>1</v>
      </c>
      <c r="BC873" s="65" t="n">
        <f aca="false">IF(AV873=1,1,IF(AW873=1,2,IF(AX873=1,3,IF(AY873=1,4,IF(AZ873=1,5,IF(BA873=1,6,7))))))</f>
        <v>5</v>
      </c>
      <c r="BD873" s="65" t="n">
        <f aca="false">IF(AD873=1,CHOOSE('Historical Score'!$C$29,AV873,AW873,AX873,AY873,AZ873,BA873,BB873),0)</f>
        <v>0</v>
      </c>
      <c r="BE873" s="65" t="str">
        <f aca="false">IF(BD873=1,COUNTIF($BD$2:BD873,1),"")</f>
        <v/>
      </c>
    </row>
    <row r="874" customFormat="false" ht="15" hidden="false" customHeight="false" outlineLevel="0" collapsed="false">
      <c r="A874" s="65" t="s">
        <v>2714</v>
      </c>
      <c r="B874" s="65" t="s">
        <v>1266</v>
      </c>
      <c r="C874" s="65" t="s">
        <v>1267</v>
      </c>
      <c r="D874" s="65" t="s">
        <v>295</v>
      </c>
      <c r="E874" s="112" t="n">
        <v>46157</v>
      </c>
      <c r="F874" s="112" t="n">
        <v>46247</v>
      </c>
      <c r="G874" s="65" t="n">
        <v>2</v>
      </c>
      <c r="H874" s="65" t="s">
        <v>1010</v>
      </c>
      <c r="I874" s="65" t="s">
        <v>405</v>
      </c>
      <c r="J874" s="65" t="s">
        <v>61</v>
      </c>
      <c r="K874" s="65" t="s">
        <v>961</v>
      </c>
      <c r="L874" s="65" t="s">
        <v>320</v>
      </c>
      <c r="M874" s="113" t="n">
        <v>1.38</v>
      </c>
      <c r="N874" s="114" t="n">
        <v>15000</v>
      </c>
      <c r="O874" s="114" t="n">
        <v>1650</v>
      </c>
      <c r="P874" s="114" t="n">
        <v>20700</v>
      </c>
      <c r="Q874" s="114" t="n">
        <v>8122</v>
      </c>
      <c r="R874" s="114" t="n">
        <v>12578</v>
      </c>
      <c r="S874" s="115" t="n">
        <v>0.392367149758454</v>
      </c>
      <c r="T874" s="65" t="n">
        <v>36</v>
      </c>
      <c r="U874" s="65" t="n">
        <v>0</v>
      </c>
      <c r="V874" s="65" t="n">
        <v>46940.92</v>
      </c>
      <c r="W874" s="115" t="n">
        <v>0.049</v>
      </c>
      <c r="X874" s="112" t="n">
        <v>42227</v>
      </c>
      <c r="Y874" s="65" t="str">
        <f aca="false">IF(I874="","No SIC",IFERROR(VLOOKUP(I874,Ref!$A$2:$B$65,2,FALSE()),"Unclassified"))</f>
        <v>Health Services</v>
      </c>
      <c r="Z874" s="65" t="str">
        <f aca="false">IF(T874="","",IF(T874&lt;12,"Daily","Weekly"))</f>
        <v>Weekly</v>
      </c>
      <c r="AA874" s="65" t="n">
        <f aca="false">IF(T874="",0,IF(T874&lt;12,T874*Controls!$B$29,T874*5))</f>
        <v>180</v>
      </c>
      <c r="AB874" s="65" t="n">
        <f aca="false">IF(E874="",0,NETWORKDAYS(E874,Controls!$B$36,Ref!$K$2:$K$42))</f>
        <v>71</v>
      </c>
      <c r="AC874" s="65" t="n">
        <f aca="false">IF(AND(AA874&gt;0,AB874&gt;=Controls!$B$39*AA874),1,0)</f>
        <v>0</v>
      </c>
      <c r="AD874" s="65" t="n">
        <f aca="false">IF(AND(E874&lt;&gt;"",E874&gt;=Controls!$B$37,E874&lt;=Controls!$B$38),1,0)</f>
        <v>1</v>
      </c>
      <c r="AE874" s="65" t="n">
        <f aca="false">IF(IFERROR(VLOOKUP(D874,Controls!$A$64:$E$74,2,FALSE()),"No")="Yes",1,0)</f>
        <v>0</v>
      </c>
      <c r="AF874" s="65" t="n">
        <f aca="false">IF(IFERROR(VLOOKUP(D874,Controls!$A$64:$E$74,3,FALSE()),"No")="Yes",1,0)</f>
        <v>0</v>
      </c>
      <c r="AG874" s="65" t="n">
        <f aca="false">IF(IFERROR(VLOOKUP(D874,Controls!$A$64:$E$74,4,FALSE()),"No")="Yes",1,0)</f>
        <v>0</v>
      </c>
      <c r="AH874" s="65" t="n">
        <f aca="false">IF(IFERROR(VLOOKUP(D874,Controls!$A$64:$E$74,5,FALSE()),"No")="Yes",1,0)</f>
        <v>1</v>
      </c>
      <c r="AI874" s="65" t="n">
        <f aca="false">IF(ISNUMBER(MATCH(D874,Controls!$A$64:$A$74,0)),1,0)</f>
        <v>1</v>
      </c>
      <c r="AJ874" s="65" t="n">
        <f aca="false">Q874-N874</f>
        <v>-6878</v>
      </c>
      <c r="AK874" s="65" t="n">
        <f aca="false">IF(AE874=1,MAX(0,N874-Q874),0)</f>
        <v>0</v>
      </c>
      <c r="AL874" s="65" t="n">
        <f aca="false">IF(OR(V874="",V874=0),0,N874/V874)</f>
        <v>0.319550618096109</v>
      </c>
      <c r="AM874" s="65" t="n">
        <f aca="false">IF(OR(V874="",V874=0),0,1)</f>
        <v>1</v>
      </c>
      <c r="AN874" s="65" t="n">
        <f aca="false">IF(OR(E874="",F874=""),0,NETWORKDAYS(E874,F874,Ref!$K$2:$K$42))</f>
        <v>63</v>
      </c>
      <c r="AO874" s="65" t="n">
        <f aca="false">IF(L874="Renewal",1,0)</f>
        <v>1</v>
      </c>
      <c r="AP874" s="65" t="n">
        <f aca="false">AC874*AD874</f>
        <v>0</v>
      </c>
      <c r="AQ874" s="65" t="n">
        <f aca="false">IF(AND(G874&lt;&gt;"",'Historical Score'!$C$6&lt;&gt;""),IF(G874='Historical Score'!$C$6,1,0),0)</f>
        <v>1</v>
      </c>
      <c r="AR874" s="65" t="n">
        <f aca="false">IF(AND(L874&lt;&gt;"",'Historical Score'!$C$5&lt;&gt;""),IF(L874='Historical Score'!$C$5,1,0),0)</f>
        <v>0</v>
      </c>
      <c r="AS874" s="65" t="n">
        <f aca="false">IF(AND(Y874&lt;&gt;"",'Historical Score'!$C$7&lt;&gt;""),IF(Y874='Historical Score'!$C$7,1,0),0)</f>
        <v>0</v>
      </c>
      <c r="AT874" s="65" t="n">
        <f aca="false">IF(AND(K874&lt;&gt;"",'Historical Score'!$C$8&lt;&gt;""),IF(K874='Historical Score'!$C$8,1,0),0)</f>
        <v>0</v>
      </c>
      <c r="AU874" s="65" t="n">
        <f aca="false">IF(AND(J874&lt;&gt;"",'Historical Score'!$C$9&lt;&gt;""),IF(J874='Historical Score'!$C$9,1,0),0)</f>
        <v>1</v>
      </c>
      <c r="AV874" s="65" t="n">
        <f aca="false">AR874*AS874*AQ874</f>
        <v>0</v>
      </c>
      <c r="AW874" s="65" t="n">
        <f aca="false">AR874*AT874*AQ874</f>
        <v>0</v>
      </c>
      <c r="AX874" s="65" t="n">
        <f aca="false">AR874*AS874</f>
        <v>0</v>
      </c>
      <c r="AY874" s="65" t="n">
        <f aca="false">AR874*AT874</f>
        <v>0</v>
      </c>
      <c r="AZ874" s="65" t="n">
        <f aca="false">AR874*AQ874</f>
        <v>0</v>
      </c>
      <c r="BA874" s="65" t="n">
        <f aca="false">AR874</f>
        <v>0</v>
      </c>
      <c r="BB874" s="65" t="n">
        <f aca="false">1</f>
        <v>1</v>
      </c>
      <c r="BC874" s="65" t="n">
        <f aca="false">IF(AV874=1,1,IF(AW874=1,2,IF(AX874=1,3,IF(AY874=1,4,IF(AZ874=1,5,IF(BA874=1,6,7))))))</f>
        <v>7</v>
      </c>
      <c r="BD874" s="65" t="n">
        <f aca="false">IF(AD874=1,CHOOSE('Historical Score'!$C$29,AV874,AW874,AX874,AY874,AZ874,BA874,BB874),0)</f>
        <v>0</v>
      </c>
      <c r="BE874" s="65" t="str">
        <f aca="false">IF(BD874=1,COUNTIF($BD$2:BD874,1),"")</f>
        <v/>
      </c>
    </row>
    <row r="875" customFormat="false" ht="15" hidden="false" customHeight="false" outlineLevel="0" collapsed="false">
      <c r="A875" s="65" t="s">
        <v>2715</v>
      </c>
      <c r="B875" s="65" t="s">
        <v>2716</v>
      </c>
      <c r="C875" s="65" t="s">
        <v>2717</v>
      </c>
      <c r="D875" s="65" t="s">
        <v>295</v>
      </c>
      <c r="E875" s="112" t="n">
        <v>46157</v>
      </c>
      <c r="F875" s="112" t="n">
        <v>46239</v>
      </c>
      <c r="G875" s="65" t="n">
        <v>3</v>
      </c>
      <c r="H875" s="65" t="s">
        <v>442</v>
      </c>
      <c r="I875" s="65" t="s">
        <v>443</v>
      </c>
      <c r="J875" s="65" t="s">
        <v>61</v>
      </c>
      <c r="K875" s="65" t="s">
        <v>55</v>
      </c>
      <c r="L875" s="65" t="s">
        <v>64</v>
      </c>
      <c r="M875" s="113" t="n">
        <v>1.49</v>
      </c>
      <c r="N875" s="114" t="n">
        <v>17000</v>
      </c>
      <c r="O875" s="114" t="n">
        <v>2380</v>
      </c>
      <c r="P875" s="114" t="n">
        <v>25330</v>
      </c>
      <c r="Q875" s="114" t="n">
        <v>23604</v>
      </c>
      <c r="R875" s="114" t="n">
        <v>1726</v>
      </c>
      <c r="S875" s="115" t="n">
        <v>0.931859455191473</v>
      </c>
      <c r="T875" s="65" t="n">
        <v>1.475</v>
      </c>
      <c r="U875" s="65" t="n">
        <v>10</v>
      </c>
      <c r="V875" s="65" t="n">
        <v>135688.85</v>
      </c>
      <c r="W875" s="115" t="n">
        <v>0.0871</v>
      </c>
      <c r="X875" s="112" t="n">
        <v>44560</v>
      </c>
      <c r="Y875" s="65" t="str">
        <f aca="false">IF(I875="","No SIC",IFERROR(VLOOKUP(I875,Ref!$A$2:$B$65,2,FALSE()),"Unclassified"))</f>
        <v>General Building Contractors</v>
      </c>
      <c r="Z875" s="65" t="str">
        <f aca="false">IF(T875="","",IF(T875&lt;12,"Daily","Weekly"))</f>
        <v>Daily</v>
      </c>
      <c r="AA875" s="65" t="n">
        <f aca="false">IF(T875="",0,IF(T875&lt;12,T875*Controls!$B$29,T875*5))</f>
        <v>31.941125</v>
      </c>
      <c r="AB875" s="65" t="n">
        <f aca="false">IF(E875="",0,NETWORKDAYS(E875,Controls!$B$36,Ref!$K$2:$K$42))</f>
        <v>71</v>
      </c>
      <c r="AC875" s="65" t="n">
        <f aca="false">IF(AND(AA875&gt;0,AB875&gt;=Controls!$B$39*AA875),1,0)</f>
        <v>1</v>
      </c>
      <c r="AD875" s="65" t="n">
        <f aca="false">IF(AND(E875&lt;&gt;"",E875&gt;=Controls!$B$37,E875&lt;=Controls!$B$38),1,0)</f>
        <v>1</v>
      </c>
      <c r="AE875" s="65" t="n">
        <f aca="false">IF(IFERROR(VLOOKUP(D875,Controls!$A$64:$E$74,2,FALSE()),"No")="Yes",1,0)</f>
        <v>0</v>
      </c>
      <c r="AF875" s="65" t="n">
        <f aca="false">IF(IFERROR(VLOOKUP(D875,Controls!$A$64:$E$74,3,FALSE()),"No")="Yes",1,0)</f>
        <v>0</v>
      </c>
      <c r="AG875" s="65" t="n">
        <f aca="false">IF(IFERROR(VLOOKUP(D875,Controls!$A$64:$E$74,4,FALSE()),"No")="Yes",1,0)</f>
        <v>0</v>
      </c>
      <c r="AH875" s="65" t="n">
        <f aca="false">IF(IFERROR(VLOOKUP(D875,Controls!$A$64:$E$74,5,FALSE()),"No")="Yes",1,0)</f>
        <v>1</v>
      </c>
      <c r="AI875" s="65" t="n">
        <f aca="false">IF(ISNUMBER(MATCH(D875,Controls!$A$64:$A$74,0)),1,0)</f>
        <v>1</v>
      </c>
      <c r="AJ875" s="65" t="n">
        <f aca="false">Q875-N875</f>
        <v>6604</v>
      </c>
      <c r="AK875" s="65" t="n">
        <f aca="false">IF(AE875=1,MAX(0,N875-Q875),0)</f>
        <v>0</v>
      </c>
      <c r="AL875" s="65" t="n">
        <f aca="false">IF(OR(V875="",V875=0),0,N875/V875)</f>
        <v>0.125286639248545</v>
      </c>
      <c r="AM875" s="65" t="n">
        <f aca="false">IF(OR(V875="",V875=0),0,1)</f>
        <v>1</v>
      </c>
      <c r="AN875" s="65" t="n">
        <f aca="false">IF(OR(E875="",F875=""),0,NETWORKDAYS(E875,F875,Ref!$K$2:$K$42))</f>
        <v>57</v>
      </c>
      <c r="AO875" s="65" t="n">
        <f aca="false">IF(L875="Renewal",1,0)</f>
        <v>0</v>
      </c>
      <c r="AP875" s="65" t="n">
        <f aca="false">AC875*AD875</f>
        <v>1</v>
      </c>
      <c r="AQ875" s="65" t="n">
        <f aca="false">IF(AND(G875&lt;&gt;"",'Historical Score'!$C$6&lt;&gt;""),IF(G875='Historical Score'!$C$6,1,0),0)</f>
        <v>0</v>
      </c>
      <c r="AR875" s="65" t="n">
        <f aca="false">IF(AND(L875&lt;&gt;"",'Historical Score'!$C$5&lt;&gt;""),IF(L875='Historical Score'!$C$5,1,0),0)</f>
        <v>1</v>
      </c>
      <c r="AS875" s="65" t="n">
        <f aca="false">IF(AND(Y875&lt;&gt;"",'Historical Score'!$C$7&lt;&gt;""),IF(Y875='Historical Score'!$C$7,1,0),0)</f>
        <v>1</v>
      </c>
      <c r="AT875" s="65" t="n">
        <f aca="false">IF(AND(K875&lt;&gt;"",'Historical Score'!$C$8&lt;&gt;""),IF(K875='Historical Score'!$C$8,1,0),0)</f>
        <v>1</v>
      </c>
      <c r="AU875" s="65" t="n">
        <f aca="false">IF(AND(J875&lt;&gt;"",'Historical Score'!$C$9&lt;&gt;""),IF(J875='Historical Score'!$C$9,1,0),0)</f>
        <v>1</v>
      </c>
      <c r="AV875" s="65" t="n">
        <f aca="false">AR875*AS875*AQ875</f>
        <v>0</v>
      </c>
      <c r="AW875" s="65" t="n">
        <f aca="false">AR875*AT875*AQ875</f>
        <v>0</v>
      </c>
      <c r="AX875" s="65" t="n">
        <f aca="false">AR875*AS875</f>
        <v>1</v>
      </c>
      <c r="AY875" s="65" t="n">
        <f aca="false">AR875*AT875</f>
        <v>1</v>
      </c>
      <c r="AZ875" s="65" t="n">
        <f aca="false">AR875*AQ875</f>
        <v>0</v>
      </c>
      <c r="BA875" s="65" t="n">
        <f aca="false">AR875</f>
        <v>1</v>
      </c>
      <c r="BB875" s="65" t="n">
        <f aca="false">1</f>
        <v>1</v>
      </c>
      <c r="BC875" s="65" t="n">
        <f aca="false">IF(AV875=1,1,IF(AW875=1,2,IF(AX875=1,3,IF(AY875=1,4,IF(AZ875=1,5,IF(BA875=1,6,7))))))</f>
        <v>3</v>
      </c>
      <c r="BD875" s="65" t="n">
        <f aca="false">IF(AD875=1,CHOOSE('Historical Score'!$C$29,AV875,AW875,AX875,AY875,AZ875,BA875,BB875),0)</f>
        <v>0</v>
      </c>
      <c r="BE875" s="65" t="str">
        <f aca="false">IF(BD875=1,COUNTIF($BD$2:BD875,1),"")</f>
        <v/>
      </c>
    </row>
    <row r="876" customFormat="false" ht="15" hidden="false" customHeight="false" outlineLevel="0" collapsed="false">
      <c r="A876" s="65" t="s">
        <v>2718</v>
      </c>
      <c r="B876" s="65" t="s">
        <v>2719</v>
      </c>
      <c r="C876" s="65" t="s">
        <v>2719</v>
      </c>
      <c r="D876" s="65" t="s">
        <v>295</v>
      </c>
      <c r="E876" s="112" t="n">
        <v>46157</v>
      </c>
      <c r="F876" s="112" t="n">
        <v>46253</v>
      </c>
      <c r="G876" s="65" t="n">
        <v>3</v>
      </c>
      <c r="H876" s="65" t="s">
        <v>442</v>
      </c>
      <c r="I876" s="65" t="s">
        <v>443</v>
      </c>
      <c r="J876" s="65" t="s">
        <v>495</v>
      </c>
      <c r="K876" s="65" t="s">
        <v>538</v>
      </c>
      <c r="L876" s="65" t="s">
        <v>64</v>
      </c>
      <c r="M876" s="113" t="n">
        <v>1.45</v>
      </c>
      <c r="N876" s="114" t="n">
        <v>35000</v>
      </c>
      <c r="O876" s="114" t="n">
        <v>4200</v>
      </c>
      <c r="P876" s="114" t="n">
        <v>50750</v>
      </c>
      <c r="Q876" s="114" t="n">
        <v>16415.3</v>
      </c>
      <c r="R876" s="114" t="n">
        <v>34334.7</v>
      </c>
      <c r="S876" s="115" t="n">
        <v>0.323454187192118</v>
      </c>
      <c r="T876" s="65" t="n">
        <v>34</v>
      </c>
      <c r="U876" s="65" t="n">
        <v>2</v>
      </c>
      <c r="V876" s="65" t="n">
        <v>496528.38</v>
      </c>
      <c r="W876" s="115" t="n">
        <v>0.0934</v>
      </c>
      <c r="X876" s="112" t="n">
        <v>43417</v>
      </c>
      <c r="Y876" s="65" t="str">
        <f aca="false">IF(I876="","No SIC",IFERROR(VLOOKUP(I876,Ref!$A$2:$B$65,2,FALSE()),"Unclassified"))</f>
        <v>General Building Contractors</v>
      </c>
      <c r="Z876" s="65" t="str">
        <f aca="false">IF(T876="","",IF(T876&lt;12,"Daily","Weekly"))</f>
        <v>Weekly</v>
      </c>
      <c r="AA876" s="65" t="n">
        <f aca="false">IF(T876="",0,IF(T876&lt;12,T876*Controls!$B$29,T876*5))</f>
        <v>170</v>
      </c>
      <c r="AB876" s="65" t="n">
        <f aca="false">IF(E876="",0,NETWORKDAYS(E876,Controls!$B$36,Ref!$K$2:$K$42))</f>
        <v>71</v>
      </c>
      <c r="AC876" s="65" t="n">
        <f aca="false">IF(AND(AA876&gt;0,AB876&gt;=Controls!$B$39*AA876),1,0)</f>
        <v>0</v>
      </c>
      <c r="AD876" s="65" t="n">
        <f aca="false">IF(AND(E876&lt;&gt;"",E876&gt;=Controls!$B$37,E876&lt;=Controls!$B$38),1,0)</f>
        <v>1</v>
      </c>
      <c r="AE876" s="65" t="n">
        <f aca="false">IF(IFERROR(VLOOKUP(D876,Controls!$A$64:$E$74,2,FALSE()),"No")="Yes",1,0)</f>
        <v>0</v>
      </c>
      <c r="AF876" s="65" t="n">
        <f aca="false">IF(IFERROR(VLOOKUP(D876,Controls!$A$64:$E$74,3,FALSE()),"No")="Yes",1,0)</f>
        <v>0</v>
      </c>
      <c r="AG876" s="65" t="n">
        <f aca="false">IF(IFERROR(VLOOKUP(D876,Controls!$A$64:$E$74,4,FALSE()),"No")="Yes",1,0)</f>
        <v>0</v>
      </c>
      <c r="AH876" s="65" t="n">
        <f aca="false">IF(IFERROR(VLOOKUP(D876,Controls!$A$64:$E$74,5,FALSE()),"No")="Yes",1,0)</f>
        <v>1</v>
      </c>
      <c r="AI876" s="65" t="n">
        <f aca="false">IF(ISNUMBER(MATCH(D876,Controls!$A$64:$A$74,0)),1,0)</f>
        <v>1</v>
      </c>
      <c r="AJ876" s="65" t="n">
        <f aca="false">Q876-N876</f>
        <v>-18584.7</v>
      </c>
      <c r="AK876" s="65" t="n">
        <f aca="false">IF(AE876=1,MAX(0,N876-Q876),0)</f>
        <v>0</v>
      </c>
      <c r="AL876" s="65" t="n">
        <f aca="false">IF(OR(V876="",V876=0),0,N876/V876)</f>
        <v>0.0704894249952037</v>
      </c>
      <c r="AM876" s="65" t="n">
        <f aca="false">IF(OR(V876="",V876=0),0,1)</f>
        <v>1</v>
      </c>
      <c r="AN876" s="65" t="n">
        <f aca="false">IF(OR(E876="",F876=""),0,NETWORKDAYS(E876,F876,Ref!$K$2:$K$42))</f>
        <v>67</v>
      </c>
      <c r="AO876" s="65" t="n">
        <f aca="false">IF(L876="Renewal",1,0)</f>
        <v>0</v>
      </c>
      <c r="AP876" s="65" t="n">
        <f aca="false">AC876*AD876</f>
        <v>0</v>
      </c>
      <c r="AQ876" s="65" t="n">
        <f aca="false">IF(AND(G876&lt;&gt;"",'Historical Score'!$C$6&lt;&gt;""),IF(G876='Historical Score'!$C$6,1,0),0)</f>
        <v>0</v>
      </c>
      <c r="AR876" s="65" t="n">
        <f aca="false">IF(AND(L876&lt;&gt;"",'Historical Score'!$C$5&lt;&gt;""),IF(L876='Historical Score'!$C$5,1,0),0)</f>
        <v>1</v>
      </c>
      <c r="AS876" s="65" t="n">
        <f aca="false">IF(AND(Y876&lt;&gt;"",'Historical Score'!$C$7&lt;&gt;""),IF(Y876='Historical Score'!$C$7,1,0),0)</f>
        <v>1</v>
      </c>
      <c r="AT876" s="65" t="n">
        <f aca="false">IF(AND(K876&lt;&gt;"",'Historical Score'!$C$8&lt;&gt;""),IF(K876='Historical Score'!$C$8,1,0),0)</f>
        <v>0</v>
      </c>
      <c r="AU876" s="65" t="n">
        <f aca="false">IF(AND(J876&lt;&gt;"",'Historical Score'!$C$9&lt;&gt;""),IF(J876='Historical Score'!$C$9,1,0),0)</f>
        <v>0</v>
      </c>
      <c r="AV876" s="65" t="n">
        <f aca="false">AR876*AS876*AQ876</f>
        <v>0</v>
      </c>
      <c r="AW876" s="65" t="n">
        <f aca="false">AR876*AT876*AQ876</f>
        <v>0</v>
      </c>
      <c r="AX876" s="65" t="n">
        <f aca="false">AR876*AS876</f>
        <v>1</v>
      </c>
      <c r="AY876" s="65" t="n">
        <f aca="false">AR876*AT876</f>
        <v>0</v>
      </c>
      <c r="AZ876" s="65" t="n">
        <f aca="false">AR876*AQ876</f>
        <v>0</v>
      </c>
      <c r="BA876" s="65" t="n">
        <f aca="false">AR876</f>
        <v>1</v>
      </c>
      <c r="BB876" s="65" t="n">
        <f aca="false">1</f>
        <v>1</v>
      </c>
      <c r="BC876" s="65" t="n">
        <f aca="false">IF(AV876=1,1,IF(AW876=1,2,IF(AX876=1,3,IF(AY876=1,4,IF(AZ876=1,5,IF(BA876=1,6,7))))))</f>
        <v>3</v>
      </c>
      <c r="BD876" s="65" t="n">
        <f aca="false">IF(AD876=1,CHOOSE('Historical Score'!$C$29,AV876,AW876,AX876,AY876,AZ876,BA876,BB876),0)</f>
        <v>0</v>
      </c>
      <c r="BE876" s="65" t="str">
        <f aca="false">IF(BD876=1,COUNTIF($BD$2:BD876,1),"")</f>
        <v/>
      </c>
    </row>
    <row r="877" customFormat="false" ht="15" hidden="false" customHeight="false" outlineLevel="0" collapsed="false">
      <c r="A877" s="65" t="s">
        <v>2720</v>
      </c>
      <c r="B877" s="65" t="s">
        <v>1671</v>
      </c>
      <c r="C877" s="65" t="s">
        <v>1671</v>
      </c>
      <c r="D877" s="65" t="s">
        <v>340</v>
      </c>
      <c r="E877" s="112" t="n">
        <v>46157</v>
      </c>
      <c r="F877" s="112" t="n">
        <v>46178</v>
      </c>
      <c r="G877" s="65" t="n">
        <v>3</v>
      </c>
      <c r="H877" s="65" t="s">
        <v>442</v>
      </c>
      <c r="I877" s="65" t="s">
        <v>443</v>
      </c>
      <c r="J877" s="65" t="s">
        <v>452</v>
      </c>
      <c r="K877" s="65" t="s">
        <v>55</v>
      </c>
      <c r="L877" s="65" t="s">
        <v>320</v>
      </c>
      <c r="M877" s="113" t="n">
        <v>1.44</v>
      </c>
      <c r="N877" s="114" t="n">
        <v>40000</v>
      </c>
      <c r="O877" s="114" t="n">
        <v>4600</v>
      </c>
      <c r="P877" s="114" t="n">
        <v>57600</v>
      </c>
      <c r="Q877" s="114" t="n">
        <v>4115</v>
      </c>
      <c r="R877" s="114" t="n">
        <v>53485</v>
      </c>
      <c r="S877" s="115" t="n">
        <v>0.0714409722222222</v>
      </c>
      <c r="T877" s="65" t="n">
        <v>28</v>
      </c>
      <c r="U877" s="65" t="n">
        <v>1</v>
      </c>
      <c r="V877" s="65" t="n">
        <v>40722.38</v>
      </c>
      <c r="W877" s="115" t="n">
        <v>0.2021</v>
      </c>
      <c r="X877" s="112" t="n">
        <v>44835</v>
      </c>
      <c r="Y877" s="65" t="str">
        <f aca="false">IF(I877="","No SIC",IFERROR(VLOOKUP(I877,Ref!$A$2:$B$65,2,FALSE()),"Unclassified"))</f>
        <v>General Building Contractors</v>
      </c>
      <c r="Z877" s="65" t="str">
        <f aca="false">IF(T877="","",IF(T877&lt;12,"Daily","Weekly"))</f>
        <v>Weekly</v>
      </c>
      <c r="AA877" s="65" t="n">
        <f aca="false">IF(T877="",0,IF(T877&lt;12,T877*Controls!$B$29,T877*5))</f>
        <v>140</v>
      </c>
      <c r="AB877" s="65" t="n">
        <f aca="false">IF(E877="",0,NETWORKDAYS(E877,Controls!$B$36,Ref!$K$2:$K$42))</f>
        <v>71</v>
      </c>
      <c r="AC877" s="65" t="n">
        <f aca="false">IF(AND(AA877&gt;0,AB877&gt;=Controls!$B$39*AA877),1,0)</f>
        <v>0</v>
      </c>
      <c r="AD877" s="65" t="n">
        <f aca="false">IF(AND(E877&lt;&gt;"",E877&gt;=Controls!$B$37,E877&lt;=Controls!$B$38),1,0)</f>
        <v>1</v>
      </c>
      <c r="AE877" s="65" t="n">
        <f aca="false">IF(IFERROR(VLOOKUP(D877,Controls!$A$64:$E$74,2,FALSE()),"No")="Yes",1,0)</f>
        <v>1</v>
      </c>
      <c r="AF877" s="65" t="n">
        <f aca="false">IF(IFERROR(VLOOKUP(D877,Controls!$A$64:$E$74,3,FALSE()),"No")="Yes",1,0)</f>
        <v>0</v>
      </c>
      <c r="AG877" s="65" t="n">
        <f aca="false">IF(IFERROR(VLOOKUP(D877,Controls!$A$64:$E$74,4,FALSE()),"No")="Yes",1,0)</f>
        <v>0</v>
      </c>
      <c r="AH877" s="65" t="n">
        <f aca="false">IF(IFERROR(VLOOKUP(D877,Controls!$A$64:$E$74,5,FALSE()),"No")="Yes",1,0)</f>
        <v>0</v>
      </c>
      <c r="AI877" s="65" t="n">
        <f aca="false">IF(ISNUMBER(MATCH(D877,Controls!$A$64:$A$74,0)),1,0)</f>
        <v>1</v>
      </c>
      <c r="AJ877" s="65" t="n">
        <f aca="false">Q877-N877</f>
        <v>-35885</v>
      </c>
      <c r="AK877" s="65" t="n">
        <f aca="false">IF(AE877=1,MAX(0,N877-Q877),0)</f>
        <v>35885</v>
      </c>
      <c r="AL877" s="65" t="n">
        <f aca="false">IF(OR(V877="",V877=0),0,N877/V877)</f>
        <v>0.982260859998851</v>
      </c>
      <c r="AM877" s="65" t="n">
        <f aca="false">IF(OR(V877="",V877=0),0,1)</f>
        <v>1</v>
      </c>
      <c r="AN877" s="65" t="n">
        <f aca="false">IF(OR(E877="",F877=""),0,NETWORKDAYS(E877,F877,Ref!$K$2:$K$42))</f>
        <v>15</v>
      </c>
      <c r="AO877" s="65" t="n">
        <f aca="false">IF(L877="Renewal",1,0)</f>
        <v>1</v>
      </c>
      <c r="AP877" s="65" t="n">
        <f aca="false">AC877*AD877</f>
        <v>0</v>
      </c>
      <c r="AQ877" s="65" t="n">
        <f aca="false">IF(AND(G877&lt;&gt;"",'Historical Score'!$C$6&lt;&gt;""),IF(G877='Historical Score'!$C$6,1,0),0)</f>
        <v>0</v>
      </c>
      <c r="AR877" s="65" t="n">
        <f aca="false">IF(AND(L877&lt;&gt;"",'Historical Score'!$C$5&lt;&gt;""),IF(L877='Historical Score'!$C$5,1,0),0)</f>
        <v>0</v>
      </c>
      <c r="AS877" s="65" t="n">
        <f aca="false">IF(AND(Y877&lt;&gt;"",'Historical Score'!$C$7&lt;&gt;""),IF(Y877='Historical Score'!$C$7,1,0),0)</f>
        <v>1</v>
      </c>
      <c r="AT877" s="65" t="n">
        <f aca="false">IF(AND(K877&lt;&gt;"",'Historical Score'!$C$8&lt;&gt;""),IF(K877='Historical Score'!$C$8,1,0),0)</f>
        <v>1</v>
      </c>
      <c r="AU877" s="65" t="n">
        <f aca="false">IF(AND(J877&lt;&gt;"",'Historical Score'!$C$9&lt;&gt;""),IF(J877='Historical Score'!$C$9,1,0),0)</f>
        <v>0</v>
      </c>
      <c r="AV877" s="65" t="n">
        <f aca="false">AR877*AS877*AQ877</f>
        <v>0</v>
      </c>
      <c r="AW877" s="65" t="n">
        <f aca="false">AR877*AT877*AQ877</f>
        <v>0</v>
      </c>
      <c r="AX877" s="65" t="n">
        <f aca="false">AR877*AS877</f>
        <v>0</v>
      </c>
      <c r="AY877" s="65" t="n">
        <f aca="false">AR877*AT877</f>
        <v>0</v>
      </c>
      <c r="AZ877" s="65" t="n">
        <f aca="false">AR877*AQ877</f>
        <v>0</v>
      </c>
      <c r="BA877" s="65" t="n">
        <f aca="false">AR877</f>
        <v>0</v>
      </c>
      <c r="BB877" s="65" t="n">
        <f aca="false">1</f>
        <v>1</v>
      </c>
      <c r="BC877" s="65" t="n">
        <f aca="false">IF(AV877=1,1,IF(AW877=1,2,IF(AX877=1,3,IF(AY877=1,4,IF(AZ877=1,5,IF(BA877=1,6,7))))))</f>
        <v>7</v>
      </c>
      <c r="BD877" s="65" t="n">
        <f aca="false">IF(AD877=1,CHOOSE('Historical Score'!$C$29,AV877,AW877,AX877,AY877,AZ877,BA877,BB877),0)</f>
        <v>0</v>
      </c>
      <c r="BE877" s="65" t="str">
        <f aca="false">IF(BD877=1,COUNTIF($BD$2:BD877,1),"")</f>
        <v/>
      </c>
    </row>
    <row r="878" customFormat="false" ht="15" hidden="false" customHeight="false" outlineLevel="0" collapsed="false">
      <c r="A878" s="65" t="s">
        <v>2721</v>
      </c>
      <c r="B878" s="65" t="s">
        <v>2722</v>
      </c>
      <c r="C878" s="65" t="s">
        <v>2723</v>
      </c>
      <c r="D878" s="65" t="s">
        <v>295</v>
      </c>
      <c r="E878" s="112" t="n">
        <v>46160</v>
      </c>
      <c r="F878" s="112" t="n">
        <v>46253</v>
      </c>
      <c r="G878" s="65" t="n">
        <v>2</v>
      </c>
      <c r="H878" s="65" t="s">
        <v>409</v>
      </c>
      <c r="I878" s="65" t="s">
        <v>342</v>
      </c>
      <c r="J878" s="65" t="s">
        <v>638</v>
      </c>
      <c r="K878" s="65" t="s">
        <v>2432</v>
      </c>
      <c r="L878" s="65" t="s">
        <v>64</v>
      </c>
      <c r="M878" s="113" t="n">
        <v>1.49</v>
      </c>
      <c r="N878" s="114" t="n">
        <v>5000</v>
      </c>
      <c r="O878" s="114" t="n">
        <v>700</v>
      </c>
      <c r="P878" s="114" t="n">
        <v>7450</v>
      </c>
      <c r="Q878" s="114" t="n">
        <v>3723</v>
      </c>
      <c r="R878" s="114" t="n">
        <v>3727</v>
      </c>
      <c r="S878" s="115" t="n">
        <v>0.499731543624161</v>
      </c>
      <c r="T878" s="65" t="n">
        <v>3.279</v>
      </c>
      <c r="U878" s="65" t="n">
        <v>15</v>
      </c>
      <c r="V878" s="65" t="n">
        <v>22371.11</v>
      </c>
      <c r="W878" s="115" t="n">
        <v>0.0699</v>
      </c>
      <c r="X878" s="112" t="n">
        <v>44634</v>
      </c>
      <c r="Y878" s="65" t="str">
        <f aca="false">IF(I878="","No SIC",IFERROR(VLOOKUP(I878,Ref!$A$2:$B$65,2,FALSE()),"Unclassified"))</f>
        <v>Eating &amp; Drinking Places</v>
      </c>
      <c r="Z878" s="65" t="str">
        <f aca="false">IF(T878="","",IF(T878&lt;12,"Daily","Weekly"))</f>
        <v>Daily</v>
      </c>
      <c r="AA878" s="65" t="n">
        <f aca="false">IF(T878="",0,IF(T878&lt;12,T878*Controls!$B$29,T878*5))</f>
        <v>71.006745</v>
      </c>
      <c r="AB878" s="65" t="n">
        <f aca="false">IF(E878="",0,NETWORKDAYS(E878,Controls!$B$36,Ref!$K$2:$K$42))</f>
        <v>70</v>
      </c>
      <c r="AC878" s="65" t="n">
        <f aca="false">IF(AND(AA878&gt;0,AB878&gt;=Controls!$B$39*AA878),1,0)</f>
        <v>0</v>
      </c>
      <c r="AD878" s="65" t="n">
        <f aca="false">IF(AND(E878&lt;&gt;"",E878&gt;=Controls!$B$37,E878&lt;=Controls!$B$38),1,0)</f>
        <v>1</v>
      </c>
      <c r="AE878" s="65" t="n">
        <f aca="false">IF(IFERROR(VLOOKUP(D878,Controls!$A$64:$E$74,2,FALSE()),"No")="Yes",1,0)</f>
        <v>0</v>
      </c>
      <c r="AF878" s="65" t="n">
        <f aca="false">IF(IFERROR(VLOOKUP(D878,Controls!$A$64:$E$74,3,FALSE()),"No")="Yes",1,0)</f>
        <v>0</v>
      </c>
      <c r="AG878" s="65" t="n">
        <f aca="false">IF(IFERROR(VLOOKUP(D878,Controls!$A$64:$E$74,4,FALSE()),"No")="Yes",1,0)</f>
        <v>0</v>
      </c>
      <c r="AH878" s="65" t="n">
        <f aca="false">IF(IFERROR(VLOOKUP(D878,Controls!$A$64:$E$74,5,FALSE()),"No")="Yes",1,0)</f>
        <v>1</v>
      </c>
      <c r="AI878" s="65" t="n">
        <f aca="false">IF(ISNUMBER(MATCH(D878,Controls!$A$64:$A$74,0)),1,0)</f>
        <v>1</v>
      </c>
      <c r="AJ878" s="65" t="n">
        <f aca="false">Q878-N878</f>
        <v>-1277</v>
      </c>
      <c r="AK878" s="65" t="n">
        <f aca="false">IF(AE878=1,MAX(0,N878-Q878),0)</f>
        <v>0</v>
      </c>
      <c r="AL878" s="65" t="n">
        <f aca="false">IF(OR(V878="",V878=0),0,N878/V878)</f>
        <v>0.22350254412946</v>
      </c>
      <c r="AM878" s="65" t="n">
        <f aca="false">IF(OR(V878="",V878=0),0,1)</f>
        <v>1</v>
      </c>
      <c r="AN878" s="65" t="n">
        <f aca="false">IF(OR(E878="",F878=""),0,NETWORKDAYS(E878,F878,Ref!$K$2:$K$42))</f>
        <v>66</v>
      </c>
      <c r="AO878" s="65" t="n">
        <f aca="false">IF(L878="Renewal",1,0)</f>
        <v>0</v>
      </c>
      <c r="AP878" s="65" t="n">
        <f aca="false">AC878*AD878</f>
        <v>0</v>
      </c>
      <c r="AQ878" s="65" t="n">
        <f aca="false">IF(AND(G878&lt;&gt;"",'Historical Score'!$C$6&lt;&gt;""),IF(G878='Historical Score'!$C$6,1,0),0)</f>
        <v>1</v>
      </c>
      <c r="AR878" s="65" t="n">
        <f aca="false">IF(AND(L878&lt;&gt;"",'Historical Score'!$C$5&lt;&gt;""),IF(L878='Historical Score'!$C$5,1,0),0)</f>
        <v>1</v>
      </c>
      <c r="AS878" s="65" t="n">
        <f aca="false">IF(AND(Y878&lt;&gt;"",'Historical Score'!$C$7&lt;&gt;""),IF(Y878='Historical Score'!$C$7,1,0),0)</f>
        <v>0</v>
      </c>
      <c r="AT878" s="65" t="n">
        <f aca="false">IF(AND(K878&lt;&gt;"",'Historical Score'!$C$8&lt;&gt;""),IF(K878='Historical Score'!$C$8,1,0),0)</f>
        <v>0</v>
      </c>
      <c r="AU878" s="65" t="n">
        <f aca="false">IF(AND(J878&lt;&gt;"",'Historical Score'!$C$9&lt;&gt;""),IF(J878='Historical Score'!$C$9,1,0),0)</f>
        <v>0</v>
      </c>
      <c r="AV878" s="65" t="n">
        <f aca="false">AR878*AS878*AQ878</f>
        <v>0</v>
      </c>
      <c r="AW878" s="65" t="n">
        <f aca="false">AR878*AT878*AQ878</f>
        <v>0</v>
      </c>
      <c r="AX878" s="65" t="n">
        <f aca="false">AR878*AS878</f>
        <v>0</v>
      </c>
      <c r="AY878" s="65" t="n">
        <f aca="false">AR878*AT878</f>
        <v>0</v>
      </c>
      <c r="AZ878" s="65" t="n">
        <f aca="false">AR878*AQ878</f>
        <v>1</v>
      </c>
      <c r="BA878" s="65" t="n">
        <f aca="false">AR878</f>
        <v>1</v>
      </c>
      <c r="BB878" s="65" t="n">
        <f aca="false">1</f>
        <v>1</v>
      </c>
      <c r="BC878" s="65" t="n">
        <f aca="false">IF(AV878=1,1,IF(AW878=1,2,IF(AX878=1,3,IF(AY878=1,4,IF(AZ878=1,5,IF(BA878=1,6,7))))))</f>
        <v>5</v>
      </c>
      <c r="BD878" s="65" t="n">
        <f aca="false">IF(AD878=1,CHOOSE('Historical Score'!$C$29,AV878,AW878,AX878,AY878,AZ878,BA878,BB878),0)</f>
        <v>0</v>
      </c>
      <c r="BE878" s="65" t="str">
        <f aca="false">IF(BD878=1,COUNTIF($BD$2:BD878,1),"")</f>
        <v/>
      </c>
    </row>
    <row r="879" customFormat="false" ht="15" hidden="false" customHeight="false" outlineLevel="0" collapsed="false">
      <c r="A879" s="65" t="s">
        <v>2724</v>
      </c>
      <c r="B879" s="65" t="s">
        <v>2725</v>
      </c>
      <c r="C879" s="65" t="s">
        <v>2725</v>
      </c>
      <c r="D879" s="65" t="s">
        <v>533</v>
      </c>
      <c r="E879" s="112" t="n">
        <v>46160</v>
      </c>
      <c r="F879" s="112" t="n">
        <v>46195</v>
      </c>
      <c r="G879" s="65" t="n">
        <v>3</v>
      </c>
      <c r="H879" s="65" t="s">
        <v>436</v>
      </c>
      <c r="I879" s="65" t="s">
        <v>437</v>
      </c>
      <c r="J879" s="65" t="s">
        <v>386</v>
      </c>
      <c r="K879" s="65" t="s">
        <v>983</v>
      </c>
      <c r="L879" s="65" t="s">
        <v>64</v>
      </c>
      <c r="M879" s="113" t="n">
        <v>1.49</v>
      </c>
      <c r="N879" s="114" t="n">
        <v>15000</v>
      </c>
      <c r="O879" s="114" t="n">
        <v>0</v>
      </c>
      <c r="P879" s="114" t="n">
        <v>22350</v>
      </c>
      <c r="Q879" s="114" t="n">
        <v>2904.72</v>
      </c>
      <c r="R879" s="114" t="n">
        <v>19445.28</v>
      </c>
      <c r="S879" s="115" t="n">
        <v>0.129965100671141</v>
      </c>
      <c r="T879" s="65" t="n">
        <v>3.279</v>
      </c>
      <c r="U879" s="65" t="n">
        <v>10</v>
      </c>
      <c r="V879" s="65" t="n">
        <v>38148.46</v>
      </c>
      <c r="W879" s="115" t="n">
        <v>0.123</v>
      </c>
      <c r="X879" s="112" t="n">
        <v>45261</v>
      </c>
      <c r="Y879" s="65" t="str">
        <f aca="false">IF(I879="","No SIC",IFERROR(VLOOKUP(I879,Ref!$A$2:$B$65,2,FALSE()),"Unclassified"))</f>
        <v>Social Services</v>
      </c>
      <c r="Z879" s="65" t="str">
        <f aca="false">IF(T879="","",IF(T879&lt;12,"Daily","Weekly"))</f>
        <v>Daily</v>
      </c>
      <c r="AA879" s="65" t="n">
        <f aca="false">IF(T879="",0,IF(T879&lt;12,T879*Controls!$B$29,T879*5))</f>
        <v>71.006745</v>
      </c>
      <c r="AB879" s="65" t="n">
        <f aca="false">IF(E879="",0,NETWORKDAYS(E879,Controls!$B$36,Ref!$K$2:$K$42))</f>
        <v>70</v>
      </c>
      <c r="AC879" s="65" t="n">
        <f aca="false">IF(AND(AA879&gt;0,AB879&gt;=Controls!$B$39*AA879),1,0)</f>
        <v>0</v>
      </c>
      <c r="AD879" s="65" t="n">
        <f aca="false">IF(AND(E879&lt;&gt;"",E879&gt;=Controls!$B$37,E879&lt;=Controls!$B$38),1,0)</f>
        <v>1</v>
      </c>
      <c r="AE879" s="65" t="n">
        <f aca="false">IF(IFERROR(VLOOKUP(D879,Controls!$A$64:$E$74,2,FALSE()),"No")="Yes",1,0)</f>
        <v>1</v>
      </c>
      <c r="AF879" s="65" t="n">
        <f aca="false">IF(IFERROR(VLOOKUP(D879,Controls!$A$64:$E$74,3,FALSE()),"No")="Yes",1,0)</f>
        <v>0</v>
      </c>
      <c r="AG879" s="65" t="n">
        <f aca="false">IF(IFERROR(VLOOKUP(D879,Controls!$A$64:$E$74,4,FALSE()),"No")="Yes",1,0)</f>
        <v>0</v>
      </c>
      <c r="AH879" s="65" t="n">
        <f aca="false">IF(IFERROR(VLOOKUP(D879,Controls!$A$64:$E$74,5,FALSE()),"No")="Yes",1,0)</f>
        <v>0</v>
      </c>
      <c r="AI879" s="65" t="n">
        <f aca="false">IF(ISNUMBER(MATCH(D879,Controls!$A$64:$A$74,0)),1,0)</f>
        <v>1</v>
      </c>
      <c r="AJ879" s="65" t="n">
        <f aca="false">Q879-N879</f>
        <v>-12095.28</v>
      </c>
      <c r="AK879" s="65" t="n">
        <f aca="false">IF(AE879=1,MAX(0,N879-Q879),0)</f>
        <v>12095.28</v>
      </c>
      <c r="AL879" s="65" t="n">
        <f aca="false">IF(OR(V879="",V879=0),0,N879/V879)</f>
        <v>0.393200669175112</v>
      </c>
      <c r="AM879" s="65" t="n">
        <f aca="false">IF(OR(V879="",V879=0),0,1)</f>
        <v>1</v>
      </c>
      <c r="AN879" s="65" t="n">
        <f aca="false">IF(OR(E879="",F879=""),0,NETWORKDAYS(E879,F879,Ref!$K$2:$K$42))</f>
        <v>24</v>
      </c>
      <c r="AO879" s="65" t="n">
        <f aca="false">IF(L879="Renewal",1,0)</f>
        <v>0</v>
      </c>
      <c r="AP879" s="65" t="n">
        <f aca="false">AC879*AD879</f>
        <v>0</v>
      </c>
      <c r="AQ879" s="65" t="n">
        <f aca="false">IF(AND(G879&lt;&gt;"",'Historical Score'!$C$6&lt;&gt;""),IF(G879='Historical Score'!$C$6,1,0),0)</f>
        <v>0</v>
      </c>
      <c r="AR879" s="65" t="n">
        <f aca="false">IF(AND(L879&lt;&gt;"",'Historical Score'!$C$5&lt;&gt;""),IF(L879='Historical Score'!$C$5,1,0),0)</f>
        <v>1</v>
      </c>
      <c r="AS879" s="65" t="n">
        <f aca="false">IF(AND(Y879&lt;&gt;"",'Historical Score'!$C$7&lt;&gt;""),IF(Y879='Historical Score'!$C$7,1,0),0)</f>
        <v>0</v>
      </c>
      <c r="AT879" s="65" t="n">
        <f aca="false">IF(AND(K879&lt;&gt;"",'Historical Score'!$C$8&lt;&gt;""),IF(K879='Historical Score'!$C$8,1,0),0)</f>
        <v>0</v>
      </c>
      <c r="AU879" s="65" t="n">
        <f aca="false">IF(AND(J879&lt;&gt;"",'Historical Score'!$C$9&lt;&gt;""),IF(J879='Historical Score'!$C$9,1,0),0)</f>
        <v>0</v>
      </c>
      <c r="AV879" s="65" t="n">
        <f aca="false">AR879*AS879*AQ879</f>
        <v>0</v>
      </c>
      <c r="AW879" s="65" t="n">
        <f aca="false">AR879*AT879*AQ879</f>
        <v>0</v>
      </c>
      <c r="AX879" s="65" t="n">
        <f aca="false">AR879*AS879</f>
        <v>0</v>
      </c>
      <c r="AY879" s="65" t="n">
        <f aca="false">AR879*AT879</f>
        <v>0</v>
      </c>
      <c r="AZ879" s="65" t="n">
        <f aca="false">AR879*AQ879</f>
        <v>0</v>
      </c>
      <c r="BA879" s="65" t="n">
        <f aca="false">AR879</f>
        <v>1</v>
      </c>
      <c r="BB879" s="65" t="n">
        <f aca="false">1</f>
        <v>1</v>
      </c>
      <c r="BC879" s="65" t="n">
        <f aca="false">IF(AV879=1,1,IF(AW879=1,2,IF(AX879=1,3,IF(AY879=1,4,IF(AZ879=1,5,IF(BA879=1,6,7))))))</f>
        <v>6</v>
      </c>
      <c r="BD879" s="65" t="n">
        <f aca="false">IF(AD879=1,CHOOSE('Historical Score'!$C$29,AV879,AW879,AX879,AY879,AZ879,BA879,BB879),0)</f>
        <v>0</v>
      </c>
      <c r="BE879" s="65" t="str">
        <f aca="false">IF(BD879=1,COUNTIF($BD$2:BD879,1),"")</f>
        <v/>
      </c>
    </row>
    <row r="880" customFormat="false" ht="15" hidden="false" customHeight="false" outlineLevel="0" collapsed="false">
      <c r="A880" s="65" t="s">
        <v>2726</v>
      </c>
      <c r="B880" s="65" t="s">
        <v>1226</v>
      </c>
      <c r="C880" s="65" t="s">
        <v>1227</v>
      </c>
      <c r="D880" s="65" t="s">
        <v>295</v>
      </c>
      <c r="E880" s="112" t="n">
        <v>46160</v>
      </c>
      <c r="F880" s="112" t="n">
        <v>46253</v>
      </c>
      <c r="G880" s="65" t="n">
        <v>2</v>
      </c>
      <c r="H880" s="65" t="s">
        <v>1228</v>
      </c>
      <c r="I880" s="65" t="s">
        <v>915</v>
      </c>
      <c r="J880" s="65" t="s">
        <v>61</v>
      </c>
      <c r="K880" s="65" t="s">
        <v>961</v>
      </c>
      <c r="L880" s="65" t="s">
        <v>320</v>
      </c>
      <c r="M880" s="113" t="n">
        <v>1.42</v>
      </c>
      <c r="N880" s="114" t="n">
        <v>11000</v>
      </c>
      <c r="O880" s="114" t="n">
        <v>1540</v>
      </c>
      <c r="P880" s="114" t="n">
        <v>15620</v>
      </c>
      <c r="Q880" s="114" t="n">
        <v>7252.7</v>
      </c>
      <c r="R880" s="114" t="n">
        <v>8367.3</v>
      </c>
      <c r="S880" s="115" t="n">
        <v>0.46432138284251</v>
      </c>
      <c r="T880" s="65" t="n">
        <v>4.59</v>
      </c>
      <c r="U880" s="65" t="n">
        <v>0</v>
      </c>
      <c r="V880" s="65" t="n">
        <v>14115.65</v>
      </c>
      <c r="W880" s="115" t="n">
        <v>0.2311</v>
      </c>
      <c r="X880" s="112" t="n">
        <v>43299</v>
      </c>
      <c r="Y880" s="65" t="str">
        <f aca="false">IF(I880="","No SIC",IFERROR(VLOOKUP(I880,Ref!$A$2:$B$65,2,FALSE()),"Unclassified"))</f>
        <v>Transportation Services</v>
      </c>
      <c r="Z880" s="65" t="str">
        <f aca="false">IF(T880="","",IF(T880&lt;12,"Daily","Weekly"))</f>
        <v>Daily</v>
      </c>
      <c r="AA880" s="65" t="n">
        <f aca="false">IF(T880="",0,IF(T880&lt;12,T880*Controls!$B$29,T880*5))</f>
        <v>99.39645</v>
      </c>
      <c r="AB880" s="65" t="n">
        <f aca="false">IF(E880="",0,NETWORKDAYS(E880,Controls!$B$36,Ref!$K$2:$K$42))</f>
        <v>70</v>
      </c>
      <c r="AC880" s="65" t="n">
        <f aca="false">IF(AND(AA880&gt;0,AB880&gt;=Controls!$B$39*AA880),1,0)</f>
        <v>0</v>
      </c>
      <c r="AD880" s="65" t="n">
        <f aca="false">IF(AND(E880&lt;&gt;"",E880&gt;=Controls!$B$37,E880&lt;=Controls!$B$38),1,0)</f>
        <v>1</v>
      </c>
      <c r="AE880" s="65" t="n">
        <f aca="false">IF(IFERROR(VLOOKUP(D880,Controls!$A$64:$E$74,2,FALSE()),"No")="Yes",1,0)</f>
        <v>0</v>
      </c>
      <c r="AF880" s="65" t="n">
        <f aca="false">IF(IFERROR(VLOOKUP(D880,Controls!$A$64:$E$74,3,FALSE()),"No")="Yes",1,0)</f>
        <v>0</v>
      </c>
      <c r="AG880" s="65" t="n">
        <f aca="false">IF(IFERROR(VLOOKUP(D880,Controls!$A$64:$E$74,4,FALSE()),"No")="Yes",1,0)</f>
        <v>0</v>
      </c>
      <c r="AH880" s="65" t="n">
        <f aca="false">IF(IFERROR(VLOOKUP(D880,Controls!$A$64:$E$74,5,FALSE()),"No")="Yes",1,0)</f>
        <v>1</v>
      </c>
      <c r="AI880" s="65" t="n">
        <f aca="false">IF(ISNUMBER(MATCH(D880,Controls!$A$64:$A$74,0)),1,0)</f>
        <v>1</v>
      </c>
      <c r="AJ880" s="65" t="n">
        <f aca="false">Q880-N880</f>
        <v>-3747.3</v>
      </c>
      <c r="AK880" s="65" t="n">
        <f aca="false">IF(AE880=1,MAX(0,N880-Q880),0)</f>
        <v>0</v>
      </c>
      <c r="AL880" s="65" t="n">
        <f aca="false">IF(OR(V880="",V880=0),0,N880/V880)</f>
        <v>0.779276901878412</v>
      </c>
      <c r="AM880" s="65" t="n">
        <f aca="false">IF(OR(V880="",V880=0),0,1)</f>
        <v>1</v>
      </c>
      <c r="AN880" s="65" t="n">
        <f aca="false">IF(OR(E880="",F880=""),0,NETWORKDAYS(E880,F880,Ref!$K$2:$K$42))</f>
        <v>66</v>
      </c>
      <c r="AO880" s="65" t="n">
        <f aca="false">IF(L880="Renewal",1,0)</f>
        <v>1</v>
      </c>
      <c r="AP880" s="65" t="n">
        <f aca="false">AC880*AD880</f>
        <v>0</v>
      </c>
      <c r="AQ880" s="65" t="n">
        <f aca="false">IF(AND(G880&lt;&gt;"",'Historical Score'!$C$6&lt;&gt;""),IF(G880='Historical Score'!$C$6,1,0),0)</f>
        <v>1</v>
      </c>
      <c r="AR880" s="65" t="n">
        <f aca="false">IF(AND(L880&lt;&gt;"",'Historical Score'!$C$5&lt;&gt;""),IF(L880='Historical Score'!$C$5,1,0),0)</f>
        <v>0</v>
      </c>
      <c r="AS880" s="65" t="n">
        <f aca="false">IF(AND(Y880&lt;&gt;"",'Historical Score'!$C$7&lt;&gt;""),IF(Y880='Historical Score'!$C$7,1,0),0)</f>
        <v>0</v>
      </c>
      <c r="AT880" s="65" t="n">
        <f aca="false">IF(AND(K880&lt;&gt;"",'Historical Score'!$C$8&lt;&gt;""),IF(K880='Historical Score'!$C$8,1,0),0)</f>
        <v>0</v>
      </c>
      <c r="AU880" s="65" t="n">
        <f aca="false">IF(AND(J880&lt;&gt;"",'Historical Score'!$C$9&lt;&gt;""),IF(J880='Historical Score'!$C$9,1,0),0)</f>
        <v>1</v>
      </c>
      <c r="AV880" s="65" t="n">
        <f aca="false">AR880*AS880*AQ880</f>
        <v>0</v>
      </c>
      <c r="AW880" s="65" t="n">
        <f aca="false">AR880*AT880*AQ880</f>
        <v>0</v>
      </c>
      <c r="AX880" s="65" t="n">
        <f aca="false">AR880*AS880</f>
        <v>0</v>
      </c>
      <c r="AY880" s="65" t="n">
        <f aca="false">AR880*AT880</f>
        <v>0</v>
      </c>
      <c r="AZ880" s="65" t="n">
        <f aca="false">AR880*AQ880</f>
        <v>0</v>
      </c>
      <c r="BA880" s="65" t="n">
        <f aca="false">AR880</f>
        <v>0</v>
      </c>
      <c r="BB880" s="65" t="n">
        <f aca="false">1</f>
        <v>1</v>
      </c>
      <c r="BC880" s="65" t="n">
        <f aca="false">IF(AV880=1,1,IF(AW880=1,2,IF(AX880=1,3,IF(AY880=1,4,IF(AZ880=1,5,IF(BA880=1,6,7))))))</f>
        <v>7</v>
      </c>
      <c r="BD880" s="65" t="n">
        <f aca="false">IF(AD880=1,CHOOSE('Historical Score'!$C$29,AV880,AW880,AX880,AY880,AZ880,BA880,BB880),0)</f>
        <v>0</v>
      </c>
      <c r="BE880" s="65" t="str">
        <f aca="false">IF(BD880=1,COUNTIF($BD$2:BD880,1),"")</f>
        <v/>
      </c>
    </row>
    <row r="881" customFormat="false" ht="15" hidden="false" customHeight="false" outlineLevel="0" collapsed="false">
      <c r="A881" s="65" t="s">
        <v>2727</v>
      </c>
      <c r="B881" s="65" t="s">
        <v>1484</v>
      </c>
      <c r="C881" s="65" t="s">
        <v>1484</v>
      </c>
      <c r="D881" s="65" t="s">
        <v>533</v>
      </c>
      <c r="E881" s="112" t="n">
        <v>46161</v>
      </c>
      <c r="F881" s="112" t="n">
        <v>46251</v>
      </c>
      <c r="G881" s="65" t="n">
        <v>2</v>
      </c>
      <c r="H881" s="65" t="s">
        <v>2728</v>
      </c>
      <c r="I881" s="65" t="s">
        <v>1317</v>
      </c>
      <c r="J881" s="65" t="s">
        <v>61</v>
      </c>
      <c r="K881" s="65" t="s">
        <v>765</v>
      </c>
      <c r="L881" s="65" t="s">
        <v>320</v>
      </c>
      <c r="M881" s="113" t="n">
        <v>1.49</v>
      </c>
      <c r="N881" s="114" t="n">
        <v>15000</v>
      </c>
      <c r="O881" s="114" t="n">
        <v>2100</v>
      </c>
      <c r="P881" s="114" t="n">
        <v>22350</v>
      </c>
      <c r="Q881" s="114" t="n">
        <v>1989.88</v>
      </c>
      <c r="R881" s="114" t="n">
        <v>20360.12</v>
      </c>
      <c r="S881" s="115" t="n">
        <v>0.0890326621923937</v>
      </c>
      <c r="T881" s="65" t="n">
        <v>4.918</v>
      </c>
      <c r="U881" s="65" t="n">
        <v>20</v>
      </c>
      <c r="V881" s="65" t="n">
        <v>38438.18</v>
      </c>
      <c r="W881" s="115" t="n">
        <v>0.0814</v>
      </c>
      <c r="X881" s="112" t="n">
        <v>44562</v>
      </c>
      <c r="Y881" s="65" t="str">
        <f aca="false">IF(I881="","No SIC",IFERROR(VLOOKUP(I881,Ref!$A$2:$B$65,2,FALSE()),"Unclassified"))</f>
        <v>Apparel &amp; Textile Products</v>
      </c>
      <c r="Z881" s="65" t="str">
        <f aca="false">IF(T881="","",IF(T881&lt;12,"Daily","Weekly"))</f>
        <v>Daily</v>
      </c>
      <c r="AA881" s="65" t="n">
        <f aca="false">IF(T881="",0,IF(T881&lt;12,T881*Controls!$B$29,T881*5))</f>
        <v>106.49929</v>
      </c>
      <c r="AB881" s="65" t="n">
        <f aca="false">IF(E881="",0,NETWORKDAYS(E881,Controls!$B$36,Ref!$K$2:$K$42))</f>
        <v>69</v>
      </c>
      <c r="AC881" s="65" t="n">
        <f aca="false">IF(AND(AA881&gt;0,AB881&gt;=Controls!$B$39*AA881),1,0)</f>
        <v>0</v>
      </c>
      <c r="AD881" s="65" t="n">
        <f aca="false">IF(AND(E881&lt;&gt;"",E881&gt;=Controls!$B$37,E881&lt;=Controls!$B$38),1,0)</f>
        <v>1</v>
      </c>
      <c r="AE881" s="65" t="n">
        <f aca="false">IF(IFERROR(VLOOKUP(D881,Controls!$A$64:$E$74,2,FALSE()),"No")="Yes",1,0)</f>
        <v>1</v>
      </c>
      <c r="AF881" s="65" t="n">
        <f aca="false">IF(IFERROR(VLOOKUP(D881,Controls!$A$64:$E$74,3,FALSE()),"No")="Yes",1,0)</f>
        <v>0</v>
      </c>
      <c r="AG881" s="65" t="n">
        <f aca="false">IF(IFERROR(VLOOKUP(D881,Controls!$A$64:$E$74,4,FALSE()),"No")="Yes",1,0)</f>
        <v>0</v>
      </c>
      <c r="AH881" s="65" t="n">
        <f aca="false">IF(IFERROR(VLOOKUP(D881,Controls!$A$64:$E$74,5,FALSE()),"No")="Yes",1,0)</f>
        <v>0</v>
      </c>
      <c r="AI881" s="65" t="n">
        <f aca="false">IF(ISNUMBER(MATCH(D881,Controls!$A$64:$A$74,0)),1,0)</f>
        <v>1</v>
      </c>
      <c r="AJ881" s="65" t="n">
        <f aca="false">Q881-N881</f>
        <v>-13010.12</v>
      </c>
      <c r="AK881" s="65" t="n">
        <f aca="false">IF(AE881=1,MAX(0,N881-Q881),0)</f>
        <v>13010.12</v>
      </c>
      <c r="AL881" s="65" t="n">
        <f aca="false">IF(OR(V881="",V881=0),0,N881/V881)</f>
        <v>0.390236998734071</v>
      </c>
      <c r="AM881" s="65" t="n">
        <f aca="false">IF(OR(V881="",V881=0),0,1)</f>
        <v>1</v>
      </c>
      <c r="AN881" s="65" t="n">
        <f aca="false">IF(OR(E881="",F881=""),0,NETWORKDAYS(E881,F881,Ref!$K$2:$K$42))</f>
        <v>63</v>
      </c>
      <c r="AO881" s="65" t="n">
        <f aca="false">IF(L881="Renewal",1,0)</f>
        <v>1</v>
      </c>
      <c r="AP881" s="65" t="n">
        <f aca="false">AC881*AD881</f>
        <v>0</v>
      </c>
      <c r="AQ881" s="65" t="n">
        <f aca="false">IF(AND(G881&lt;&gt;"",'Historical Score'!$C$6&lt;&gt;""),IF(G881='Historical Score'!$C$6,1,0),0)</f>
        <v>1</v>
      </c>
      <c r="AR881" s="65" t="n">
        <f aca="false">IF(AND(L881&lt;&gt;"",'Historical Score'!$C$5&lt;&gt;""),IF(L881='Historical Score'!$C$5,1,0),0)</f>
        <v>0</v>
      </c>
      <c r="AS881" s="65" t="n">
        <f aca="false">IF(AND(Y881&lt;&gt;"",'Historical Score'!$C$7&lt;&gt;""),IF(Y881='Historical Score'!$C$7,1,0),0)</f>
        <v>0</v>
      </c>
      <c r="AT881" s="65" t="n">
        <f aca="false">IF(AND(K881&lt;&gt;"",'Historical Score'!$C$8&lt;&gt;""),IF(K881='Historical Score'!$C$8,1,0),0)</f>
        <v>0</v>
      </c>
      <c r="AU881" s="65" t="n">
        <f aca="false">IF(AND(J881&lt;&gt;"",'Historical Score'!$C$9&lt;&gt;""),IF(J881='Historical Score'!$C$9,1,0),0)</f>
        <v>1</v>
      </c>
      <c r="AV881" s="65" t="n">
        <f aca="false">AR881*AS881*AQ881</f>
        <v>0</v>
      </c>
      <c r="AW881" s="65" t="n">
        <f aca="false">AR881*AT881*AQ881</f>
        <v>0</v>
      </c>
      <c r="AX881" s="65" t="n">
        <f aca="false">AR881*AS881</f>
        <v>0</v>
      </c>
      <c r="AY881" s="65" t="n">
        <f aca="false">AR881*AT881</f>
        <v>0</v>
      </c>
      <c r="AZ881" s="65" t="n">
        <f aca="false">AR881*AQ881</f>
        <v>0</v>
      </c>
      <c r="BA881" s="65" t="n">
        <f aca="false">AR881</f>
        <v>0</v>
      </c>
      <c r="BB881" s="65" t="n">
        <f aca="false">1</f>
        <v>1</v>
      </c>
      <c r="BC881" s="65" t="n">
        <f aca="false">IF(AV881=1,1,IF(AW881=1,2,IF(AX881=1,3,IF(AY881=1,4,IF(AZ881=1,5,IF(BA881=1,6,7))))))</f>
        <v>7</v>
      </c>
      <c r="BD881" s="65" t="n">
        <f aca="false">IF(AD881=1,CHOOSE('Historical Score'!$C$29,AV881,AW881,AX881,AY881,AZ881,BA881,BB881),0)</f>
        <v>0</v>
      </c>
      <c r="BE881" s="65" t="str">
        <f aca="false">IF(BD881=1,COUNTIF($BD$2:BD881,1),"")</f>
        <v/>
      </c>
    </row>
    <row r="882" customFormat="false" ht="15" hidden="false" customHeight="false" outlineLevel="0" collapsed="false">
      <c r="A882" s="65" t="s">
        <v>2729</v>
      </c>
      <c r="B882" s="65" t="s">
        <v>2409</v>
      </c>
      <c r="C882" s="65" t="s">
        <v>2409</v>
      </c>
      <c r="D882" s="65" t="s">
        <v>295</v>
      </c>
      <c r="E882" s="112" t="n">
        <v>46161</v>
      </c>
      <c r="F882" s="112" t="n">
        <v>46227</v>
      </c>
      <c r="G882" s="65" t="n">
        <v>3</v>
      </c>
      <c r="H882" s="65" t="s">
        <v>442</v>
      </c>
      <c r="I882" s="65" t="s">
        <v>443</v>
      </c>
      <c r="J882" s="65" t="s">
        <v>772</v>
      </c>
      <c r="K882" s="65" t="s">
        <v>496</v>
      </c>
      <c r="L882" s="65" t="s">
        <v>320</v>
      </c>
      <c r="M882" s="113" t="n">
        <v>1.49</v>
      </c>
      <c r="N882" s="114" t="n">
        <v>35000</v>
      </c>
      <c r="O882" s="114" t="n">
        <v>4900</v>
      </c>
      <c r="P882" s="114" t="n">
        <v>52150</v>
      </c>
      <c r="Q882" s="114" t="n">
        <v>15639.57</v>
      </c>
      <c r="R882" s="114" t="n">
        <v>36510.43</v>
      </c>
      <c r="S882" s="115" t="n">
        <v>0.299895877277085</v>
      </c>
      <c r="T882" s="65" t="n">
        <v>30</v>
      </c>
      <c r="U882" s="65" t="n">
        <v>1</v>
      </c>
      <c r="W882" s="115"/>
      <c r="X882" s="112" t="n">
        <v>41591</v>
      </c>
      <c r="Y882" s="65" t="str">
        <f aca="false">IF(I882="","No SIC",IFERROR(VLOOKUP(I882,Ref!$A$2:$B$65,2,FALSE()),"Unclassified"))</f>
        <v>General Building Contractors</v>
      </c>
      <c r="Z882" s="65" t="str">
        <f aca="false">IF(T882="","",IF(T882&lt;12,"Daily","Weekly"))</f>
        <v>Weekly</v>
      </c>
      <c r="AA882" s="65" t="n">
        <f aca="false">IF(T882="",0,IF(T882&lt;12,T882*Controls!$B$29,T882*5))</f>
        <v>150</v>
      </c>
      <c r="AB882" s="65" t="n">
        <f aca="false">IF(E882="",0,NETWORKDAYS(E882,Controls!$B$36,Ref!$K$2:$K$42))</f>
        <v>69</v>
      </c>
      <c r="AC882" s="65" t="n">
        <f aca="false">IF(AND(AA882&gt;0,AB882&gt;=Controls!$B$39*AA882),1,0)</f>
        <v>0</v>
      </c>
      <c r="AD882" s="65" t="n">
        <f aca="false">IF(AND(E882&lt;&gt;"",E882&gt;=Controls!$B$37,E882&lt;=Controls!$B$38),1,0)</f>
        <v>1</v>
      </c>
      <c r="AE882" s="65" t="n">
        <f aca="false">IF(IFERROR(VLOOKUP(D882,Controls!$A$64:$E$74,2,FALSE()),"No")="Yes",1,0)</f>
        <v>0</v>
      </c>
      <c r="AF882" s="65" t="n">
        <f aca="false">IF(IFERROR(VLOOKUP(D882,Controls!$A$64:$E$74,3,FALSE()),"No")="Yes",1,0)</f>
        <v>0</v>
      </c>
      <c r="AG882" s="65" t="n">
        <f aca="false">IF(IFERROR(VLOOKUP(D882,Controls!$A$64:$E$74,4,FALSE()),"No")="Yes",1,0)</f>
        <v>0</v>
      </c>
      <c r="AH882" s="65" t="n">
        <f aca="false">IF(IFERROR(VLOOKUP(D882,Controls!$A$64:$E$74,5,FALSE()),"No")="Yes",1,0)</f>
        <v>1</v>
      </c>
      <c r="AI882" s="65" t="n">
        <f aca="false">IF(ISNUMBER(MATCH(D882,Controls!$A$64:$A$74,0)),1,0)</f>
        <v>1</v>
      </c>
      <c r="AJ882" s="65" t="n">
        <f aca="false">Q882-N882</f>
        <v>-19360.43</v>
      </c>
      <c r="AK882" s="65" t="n">
        <f aca="false">IF(AE882=1,MAX(0,N882-Q882),0)</f>
        <v>0</v>
      </c>
      <c r="AL882" s="65" t="n">
        <f aca="false">IF(OR(V882="",V882=0),0,N882/V882)</f>
        <v>0</v>
      </c>
      <c r="AM882" s="65" t="n">
        <f aca="false">IF(OR(V882="",V882=0),0,1)</f>
        <v>0</v>
      </c>
      <c r="AN882" s="65" t="n">
        <f aca="false">IF(OR(E882="",F882=""),0,NETWORKDAYS(E882,F882,Ref!$K$2:$K$42))</f>
        <v>47</v>
      </c>
      <c r="AO882" s="65" t="n">
        <f aca="false">IF(L882="Renewal",1,0)</f>
        <v>1</v>
      </c>
      <c r="AP882" s="65" t="n">
        <f aca="false">AC882*AD882</f>
        <v>0</v>
      </c>
      <c r="AQ882" s="65" t="n">
        <f aca="false">IF(AND(G882&lt;&gt;"",'Historical Score'!$C$6&lt;&gt;""),IF(G882='Historical Score'!$C$6,1,0),0)</f>
        <v>0</v>
      </c>
      <c r="AR882" s="65" t="n">
        <f aca="false">IF(AND(L882&lt;&gt;"",'Historical Score'!$C$5&lt;&gt;""),IF(L882='Historical Score'!$C$5,1,0),0)</f>
        <v>0</v>
      </c>
      <c r="AS882" s="65" t="n">
        <f aca="false">IF(AND(Y882&lt;&gt;"",'Historical Score'!$C$7&lt;&gt;""),IF(Y882='Historical Score'!$C$7,1,0),0)</f>
        <v>1</v>
      </c>
      <c r="AT882" s="65" t="n">
        <f aca="false">IF(AND(K882&lt;&gt;"",'Historical Score'!$C$8&lt;&gt;""),IF(K882='Historical Score'!$C$8,1,0),0)</f>
        <v>0</v>
      </c>
      <c r="AU882" s="65" t="n">
        <f aca="false">IF(AND(J882&lt;&gt;"",'Historical Score'!$C$9&lt;&gt;""),IF(J882='Historical Score'!$C$9,1,0),0)</f>
        <v>0</v>
      </c>
      <c r="AV882" s="65" t="n">
        <f aca="false">AR882*AS882*AQ882</f>
        <v>0</v>
      </c>
      <c r="AW882" s="65" t="n">
        <f aca="false">AR882*AT882*AQ882</f>
        <v>0</v>
      </c>
      <c r="AX882" s="65" t="n">
        <f aca="false">AR882*AS882</f>
        <v>0</v>
      </c>
      <c r="AY882" s="65" t="n">
        <f aca="false">AR882*AT882</f>
        <v>0</v>
      </c>
      <c r="AZ882" s="65" t="n">
        <f aca="false">AR882*AQ882</f>
        <v>0</v>
      </c>
      <c r="BA882" s="65" t="n">
        <f aca="false">AR882</f>
        <v>0</v>
      </c>
      <c r="BB882" s="65" t="n">
        <f aca="false">1</f>
        <v>1</v>
      </c>
      <c r="BC882" s="65" t="n">
        <f aca="false">IF(AV882=1,1,IF(AW882=1,2,IF(AX882=1,3,IF(AY882=1,4,IF(AZ882=1,5,IF(BA882=1,6,7))))))</f>
        <v>7</v>
      </c>
      <c r="BD882" s="65" t="n">
        <f aca="false">IF(AD882=1,CHOOSE('Historical Score'!$C$29,AV882,AW882,AX882,AY882,AZ882,BA882,BB882),0)</f>
        <v>0</v>
      </c>
      <c r="BE882" s="65" t="str">
        <f aca="false">IF(BD882=1,COUNTIF($BD$2:BD882,1),"")</f>
        <v/>
      </c>
    </row>
    <row r="883" customFormat="false" ht="15" hidden="false" customHeight="false" outlineLevel="0" collapsed="false">
      <c r="A883" s="65" t="s">
        <v>2730</v>
      </c>
      <c r="B883" s="65" t="s">
        <v>1171</v>
      </c>
      <c r="C883" s="65" t="s">
        <v>1172</v>
      </c>
      <c r="D883" s="65" t="s">
        <v>295</v>
      </c>
      <c r="E883" s="112" t="n">
        <v>46161</v>
      </c>
      <c r="F883" s="112" t="n">
        <v>46253</v>
      </c>
      <c r="G883" s="65" t="n">
        <v>3</v>
      </c>
      <c r="H883" s="65" t="s">
        <v>442</v>
      </c>
      <c r="I883" s="65" t="s">
        <v>443</v>
      </c>
      <c r="J883" s="65" t="s">
        <v>380</v>
      </c>
      <c r="K883" s="65" t="s">
        <v>1173</v>
      </c>
      <c r="L883" s="65" t="s">
        <v>64</v>
      </c>
      <c r="M883" s="113" t="n">
        <v>1.49</v>
      </c>
      <c r="N883" s="114" t="n">
        <v>27000</v>
      </c>
      <c r="O883" s="114" t="n">
        <v>3780</v>
      </c>
      <c r="P883" s="114" t="n">
        <v>40230</v>
      </c>
      <c r="Q883" s="114" t="n">
        <v>12418.04</v>
      </c>
      <c r="R883" s="114" t="n">
        <v>27811.96</v>
      </c>
      <c r="S883" s="115" t="n">
        <v>0.308676112353965</v>
      </c>
      <c r="T883" s="65" t="n">
        <v>28</v>
      </c>
      <c r="U883" s="65" t="n">
        <v>0</v>
      </c>
      <c r="V883" s="65" t="n">
        <v>123628.7</v>
      </c>
      <c r="W883" s="115" t="n">
        <v>0.0465</v>
      </c>
      <c r="X883" s="112" t="n">
        <v>44562</v>
      </c>
      <c r="Y883" s="65" t="str">
        <f aca="false">IF(I883="","No SIC",IFERROR(VLOOKUP(I883,Ref!$A$2:$B$65,2,FALSE()),"Unclassified"))</f>
        <v>General Building Contractors</v>
      </c>
      <c r="Z883" s="65" t="str">
        <f aca="false">IF(T883="","",IF(T883&lt;12,"Daily","Weekly"))</f>
        <v>Weekly</v>
      </c>
      <c r="AA883" s="65" t="n">
        <f aca="false">IF(T883="",0,IF(T883&lt;12,T883*Controls!$B$29,T883*5))</f>
        <v>140</v>
      </c>
      <c r="AB883" s="65" t="n">
        <f aca="false">IF(E883="",0,NETWORKDAYS(E883,Controls!$B$36,Ref!$K$2:$K$42))</f>
        <v>69</v>
      </c>
      <c r="AC883" s="65" t="n">
        <f aca="false">IF(AND(AA883&gt;0,AB883&gt;=Controls!$B$39*AA883),1,0)</f>
        <v>0</v>
      </c>
      <c r="AD883" s="65" t="n">
        <f aca="false">IF(AND(E883&lt;&gt;"",E883&gt;=Controls!$B$37,E883&lt;=Controls!$B$38),1,0)</f>
        <v>1</v>
      </c>
      <c r="AE883" s="65" t="n">
        <f aca="false">IF(IFERROR(VLOOKUP(D883,Controls!$A$64:$E$74,2,FALSE()),"No")="Yes",1,0)</f>
        <v>0</v>
      </c>
      <c r="AF883" s="65" t="n">
        <f aca="false">IF(IFERROR(VLOOKUP(D883,Controls!$A$64:$E$74,3,FALSE()),"No")="Yes",1,0)</f>
        <v>0</v>
      </c>
      <c r="AG883" s="65" t="n">
        <f aca="false">IF(IFERROR(VLOOKUP(D883,Controls!$A$64:$E$74,4,FALSE()),"No")="Yes",1,0)</f>
        <v>0</v>
      </c>
      <c r="AH883" s="65" t="n">
        <f aca="false">IF(IFERROR(VLOOKUP(D883,Controls!$A$64:$E$74,5,FALSE()),"No")="Yes",1,0)</f>
        <v>1</v>
      </c>
      <c r="AI883" s="65" t="n">
        <f aca="false">IF(ISNUMBER(MATCH(D883,Controls!$A$64:$A$74,0)),1,0)</f>
        <v>1</v>
      </c>
      <c r="AJ883" s="65" t="n">
        <f aca="false">Q883-N883</f>
        <v>-14581.96</v>
      </c>
      <c r="AK883" s="65" t="n">
        <f aca="false">IF(AE883=1,MAX(0,N883-Q883),0)</f>
        <v>0</v>
      </c>
      <c r="AL883" s="65" t="n">
        <f aca="false">IF(OR(V883="",V883=0),0,N883/V883)</f>
        <v>0.218395890274669</v>
      </c>
      <c r="AM883" s="65" t="n">
        <f aca="false">IF(OR(V883="",V883=0),0,1)</f>
        <v>1</v>
      </c>
      <c r="AN883" s="65" t="n">
        <f aca="false">IF(OR(E883="",F883=""),0,NETWORKDAYS(E883,F883,Ref!$K$2:$K$42))</f>
        <v>65</v>
      </c>
      <c r="AO883" s="65" t="n">
        <f aca="false">IF(L883="Renewal",1,0)</f>
        <v>0</v>
      </c>
      <c r="AP883" s="65" t="n">
        <f aca="false">AC883*AD883</f>
        <v>0</v>
      </c>
      <c r="AQ883" s="65" t="n">
        <f aca="false">IF(AND(G883&lt;&gt;"",'Historical Score'!$C$6&lt;&gt;""),IF(G883='Historical Score'!$C$6,1,0),0)</f>
        <v>0</v>
      </c>
      <c r="AR883" s="65" t="n">
        <f aca="false">IF(AND(L883&lt;&gt;"",'Historical Score'!$C$5&lt;&gt;""),IF(L883='Historical Score'!$C$5,1,0),0)</f>
        <v>1</v>
      </c>
      <c r="AS883" s="65" t="n">
        <f aca="false">IF(AND(Y883&lt;&gt;"",'Historical Score'!$C$7&lt;&gt;""),IF(Y883='Historical Score'!$C$7,1,0),0)</f>
        <v>1</v>
      </c>
      <c r="AT883" s="65" t="n">
        <f aca="false">IF(AND(K883&lt;&gt;"",'Historical Score'!$C$8&lt;&gt;""),IF(K883='Historical Score'!$C$8,1,0),0)</f>
        <v>0</v>
      </c>
      <c r="AU883" s="65" t="n">
        <f aca="false">IF(AND(J883&lt;&gt;"",'Historical Score'!$C$9&lt;&gt;""),IF(J883='Historical Score'!$C$9,1,0),0)</f>
        <v>0</v>
      </c>
      <c r="AV883" s="65" t="n">
        <f aca="false">AR883*AS883*AQ883</f>
        <v>0</v>
      </c>
      <c r="AW883" s="65" t="n">
        <f aca="false">AR883*AT883*AQ883</f>
        <v>0</v>
      </c>
      <c r="AX883" s="65" t="n">
        <f aca="false">AR883*AS883</f>
        <v>1</v>
      </c>
      <c r="AY883" s="65" t="n">
        <f aca="false">AR883*AT883</f>
        <v>0</v>
      </c>
      <c r="AZ883" s="65" t="n">
        <f aca="false">AR883*AQ883</f>
        <v>0</v>
      </c>
      <c r="BA883" s="65" t="n">
        <f aca="false">AR883</f>
        <v>1</v>
      </c>
      <c r="BB883" s="65" t="n">
        <f aca="false">1</f>
        <v>1</v>
      </c>
      <c r="BC883" s="65" t="n">
        <f aca="false">IF(AV883=1,1,IF(AW883=1,2,IF(AX883=1,3,IF(AY883=1,4,IF(AZ883=1,5,IF(BA883=1,6,7))))))</f>
        <v>3</v>
      </c>
      <c r="BD883" s="65" t="n">
        <f aca="false">IF(AD883=1,CHOOSE('Historical Score'!$C$29,AV883,AW883,AX883,AY883,AZ883,BA883,BB883),0)</f>
        <v>0</v>
      </c>
      <c r="BE883" s="65" t="str">
        <f aca="false">IF(BD883=1,COUNTIF($BD$2:BD883,1),"")</f>
        <v/>
      </c>
    </row>
    <row r="884" customFormat="false" ht="15" hidden="false" customHeight="false" outlineLevel="0" collapsed="false">
      <c r="A884" s="65" t="s">
        <v>2731</v>
      </c>
      <c r="B884" s="65" t="s">
        <v>2732</v>
      </c>
      <c r="C884" s="65" t="s">
        <v>2732</v>
      </c>
      <c r="D884" s="65" t="s">
        <v>371</v>
      </c>
      <c r="E884" s="112" t="n">
        <v>46161</v>
      </c>
      <c r="F884" s="112" t="n">
        <v>46238</v>
      </c>
      <c r="G884" s="65" t="n">
        <v>3</v>
      </c>
      <c r="H884" s="65" t="s">
        <v>748</v>
      </c>
      <c r="I884" s="65" t="s">
        <v>619</v>
      </c>
      <c r="J884" s="65" t="s">
        <v>772</v>
      </c>
      <c r="K884" s="65" t="s">
        <v>55</v>
      </c>
      <c r="L884" s="65" t="s">
        <v>64</v>
      </c>
      <c r="M884" s="113" t="n">
        <v>1.44</v>
      </c>
      <c r="N884" s="114" t="n">
        <v>15000</v>
      </c>
      <c r="O884" s="114" t="n">
        <v>1725</v>
      </c>
      <c r="P884" s="114" t="n">
        <v>21600</v>
      </c>
      <c r="Q884" s="114" t="n">
        <v>21600</v>
      </c>
      <c r="R884" s="114" t="n">
        <v>0</v>
      </c>
      <c r="S884" s="115" t="n">
        <v>1</v>
      </c>
      <c r="T884" s="65" t="n">
        <v>2.951</v>
      </c>
      <c r="U884" s="65" t="n">
        <v>3</v>
      </c>
      <c r="W884" s="115"/>
      <c r="X884" s="112" t="n">
        <v>29695</v>
      </c>
      <c r="Y884" s="65" t="str">
        <f aca="false">IF(I884="","No SIC",IFERROR(VLOOKUP(I884,Ref!$A$2:$B$65,2,FALSE()),"Unclassified"))</f>
        <v>Miscellaneous Retail</v>
      </c>
      <c r="Z884" s="65" t="str">
        <f aca="false">IF(T884="","",IF(T884&lt;12,"Daily","Weekly"))</f>
        <v>Daily</v>
      </c>
      <c r="AA884" s="65" t="n">
        <f aca="false">IF(T884="",0,IF(T884&lt;12,T884*Controls!$B$29,T884*5))</f>
        <v>63.903905</v>
      </c>
      <c r="AB884" s="65" t="n">
        <f aca="false">IF(E884="",0,NETWORKDAYS(E884,Controls!$B$36,Ref!$K$2:$K$42))</f>
        <v>69</v>
      </c>
      <c r="AC884" s="65" t="n">
        <f aca="false">IF(AND(AA884&gt;0,AB884&gt;=Controls!$B$39*AA884),1,0)</f>
        <v>0</v>
      </c>
      <c r="AD884" s="65" t="n">
        <f aca="false">IF(AND(E884&lt;&gt;"",E884&gt;=Controls!$B$37,E884&lt;=Controls!$B$38),1,0)</f>
        <v>1</v>
      </c>
      <c r="AE884" s="65" t="n">
        <f aca="false">IF(IFERROR(VLOOKUP(D884,Controls!$A$64:$E$74,2,FALSE()),"No")="Yes",1,0)</f>
        <v>0</v>
      </c>
      <c r="AF884" s="65" t="n">
        <f aca="false">IF(IFERROR(VLOOKUP(D884,Controls!$A$64:$E$74,3,FALSE()),"No")="Yes",1,0)</f>
        <v>1</v>
      </c>
      <c r="AG884" s="65" t="n">
        <f aca="false">IF(IFERROR(VLOOKUP(D884,Controls!$A$64:$E$74,4,FALSE()),"No")="Yes",1,0)</f>
        <v>1</v>
      </c>
      <c r="AH884" s="65" t="n">
        <f aca="false">IF(IFERROR(VLOOKUP(D884,Controls!$A$64:$E$74,5,FALSE()),"No")="Yes",1,0)</f>
        <v>0</v>
      </c>
      <c r="AI884" s="65" t="n">
        <f aca="false">IF(ISNUMBER(MATCH(D884,Controls!$A$64:$A$74,0)),1,0)</f>
        <v>1</v>
      </c>
      <c r="AJ884" s="65" t="n">
        <f aca="false">Q884-N884</f>
        <v>6600</v>
      </c>
      <c r="AK884" s="65" t="n">
        <f aca="false">IF(AE884=1,MAX(0,N884-Q884),0)</f>
        <v>0</v>
      </c>
      <c r="AL884" s="65" t="n">
        <f aca="false">IF(OR(V884="",V884=0),0,N884/V884)</f>
        <v>0</v>
      </c>
      <c r="AM884" s="65" t="n">
        <f aca="false">IF(OR(V884="",V884=0),0,1)</f>
        <v>0</v>
      </c>
      <c r="AN884" s="65" t="n">
        <f aca="false">IF(OR(E884="",F884=""),0,NETWORKDAYS(E884,F884,Ref!$K$2:$K$42))</f>
        <v>54</v>
      </c>
      <c r="AO884" s="65" t="n">
        <f aca="false">IF(L884="Renewal",1,0)</f>
        <v>0</v>
      </c>
      <c r="AP884" s="65" t="n">
        <f aca="false">AC884*AD884</f>
        <v>0</v>
      </c>
      <c r="AQ884" s="65" t="n">
        <f aca="false">IF(AND(G884&lt;&gt;"",'Historical Score'!$C$6&lt;&gt;""),IF(G884='Historical Score'!$C$6,1,0),0)</f>
        <v>0</v>
      </c>
      <c r="AR884" s="65" t="n">
        <f aca="false">IF(AND(L884&lt;&gt;"",'Historical Score'!$C$5&lt;&gt;""),IF(L884='Historical Score'!$C$5,1,0),0)</f>
        <v>1</v>
      </c>
      <c r="AS884" s="65" t="n">
        <f aca="false">IF(AND(Y884&lt;&gt;"",'Historical Score'!$C$7&lt;&gt;""),IF(Y884='Historical Score'!$C$7,1,0),0)</f>
        <v>0</v>
      </c>
      <c r="AT884" s="65" t="n">
        <f aca="false">IF(AND(K884&lt;&gt;"",'Historical Score'!$C$8&lt;&gt;""),IF(K884='Historical Score'!$C$8,1,0),0)</f>
        <v>1</v>
      </c>
      <c r="AU884" s="65" t="n">
        <f aca="false">IF(AND(J884&lt;&gt;"",'Historical Score'!$C$9&lt;&gt;""),IF(J884='Historical Score'!$C$9,1,0),0)</f>
        <v>0</v>
      </c>
      <c r="AV884" s="65" t="n">
        <f aca="false">AR884*AS884*AQ884</f>
        <v>0</v>
      </c>
      <c r="AW884" s="65" t="n">
        <f aca="false">AR884*AT884*AQ884</f>
        <v>0</v>
      </c>
      <c r="AX884" s="65" t="n">
        <f aca="false">AR884*AS884</f>
        <v>0</v>
      </c>
      <c r="AY884" s="65" t="n">
        <f aca="false">AR884*AT884</f>
        <v>1</v>
      </c>
      <c r="AZ884" s="65" t="n">
        <f aca="false">AR884*AQ884</f>
        <v>0</v>
      </c>
      <c r="BA884" s="65" t="n">
        <f aca="false">AR884</f>
        <v>1</v>
      </c>
      <c r="BB884" s="65" t="n">
        <f aca="false">1</f>
        <v>1</v>
      </c>
      <c r="BC884" s="65" t="n">
        <f aca="false">IF(AV884=1,1,IF(AW884=1,2,IF(AX884=1,3,IF(AY884=1,4,IF(AZ884=1,5,IF(BA884=1,6,7))))))</f>
        <v>4</v>
      </c>
      <c r="BD884" s="65" t="n">
        <f aca="false">IF(AD884=1,CHOOSE('Historical Score'!$C$29,AV884,AW884,AX884,AY884,AZ884,BA884,BB884),0)</f>
        <v>0</v>
      </c>
      <c r="BE884" s="65" t="str">
        <f aca="false">IF(BD884=1,COUNTIF($BD$2:BD884,1),"")</f>
        <v/>
      </c>
    </row>
    <row r="885" customFormat="false" ht="15" hidden="false" customHeight="false" outlineLevel="0" collapsed="false">
      <c r="A885" s="65" t="s">
        <v>2733</v>
      </c>
      <c r="B885" s="65" t="s">
        <v>2347</v>
      </c>
      <c r="C885" s="65" t="s">
        <v>2734</v>
      </c>
      <c r="D885" s="65" t="s">
        <v>295</v>
      </c>
      <c r="E885" s="112" t="n">
        <v>46161</v>
      </c>
      <c r="F885" s="112" t="n">
        <v>46253</v>
      </c>
      <c r="G885" s="65" t="n">
        <v>3</v>
      </c>
      <c r="H885" s="65" t="s">
        <v>2735</v>
      </c>
      <c r="I885" s="65" t="s">
        <v>419</v>
      </c>
      <c r="J885" s="65" t="s">
        <v>772</v>
      </c>
      <c r="K885" s="65" t="s">
        <v>581</v>
      </c>
      <c r="L885" s="65" t="s">
        <v>320</v>
      </c>
      <c r="M885" s="113" t="n">
        <v>1.49</v>
      </c>
      <c r="N885" s="114" t="n">
        <v>16000</v>
      </c>
      <c r="O885" s="114" t="n">
        <v>2240</v>
      </c>
      <c r="P885" s="114" t="n">
        <v>23840</v>
      </c>
      <c r="Q885" s="114" t="n">
        <v>9236.25</v>
      </c>
      <c r="R885" s="114" t="n">
        <v>14603.75</v>
      </c>
      <c r="S885" s="115" t="n">
        <v>0.387426593959732</v>
      </c>
      <c r="T885" s="65" t="n">
        <v>3.934</v>
      </c>
      <c r="U885" s="65" t="n">
        <v>17</v>
      </c>
      <c r="W885" s="115"/>
      <c r="X885" s="112" t="n">
        <v>40850</v>
      </c>
      <c r="Y885" s="65" t="str">
        <f aca="false">IF(I885="","No SIC",IFERROR(VLOOKUP(I885,Ref!$A$2:$B$65,2,FALSE()),"Unclassified"))</f>
        <v>Business Services</v>
      </c>
      <c r="Z885" s="65" t="str">
        <f aca="false">IF(T885="","",IF(T885&lt;12,"Daily","Weekly"))</f>
        <v>Daily</v>
      </c>
      <c r="AA885" s="65" t="n">
        <f aca="false">IF(T885="",0,IF(T885&lt;12,T885*Controls!$B$29,T885*5))</f>
        <v>85.19077</v>
      </c>
      <c r="AB885" s="65" t="n">
        <f aca="false">IF(E885="",0,NETWORKDAYS(E885,Controls!$B$36,Ref!$K$2:$K$42))</f>
        <v>69</v>
      </c>
      <c r="AC885" s="65" t="n">
        <f aca="false">IF(AND(AA885&gt;0,AB885&gt;=Controls!$B$39*AA885),1,0)</f>
        <v>0</v>
      </c>
      <c r="AD885" s="65" t="n">
        <f aca="false">IF(AND(E885&lt;&gt;"",E885&gt;=Controls!$B$37,E885&lt;=Controls!$B$38),1,0)</f>
        <v>1</v>
      </c>
      <c r="AE885" s="65" t="n">
        <f aca="false">IF(IFERROR(VLOOKUP(D885,Controls!$A$64:$E$74,2,FALSE()),"No")="Yes",1,0)</f>
        <v>0</v>
      </c>
      <c r="AF885" s="65" t="n">
        <f aca="false">IF(IFERROR(VLOOKUP(D885,Controls!$A$64:$E$74,3,FALSE()),"No")="Yes",1,0)</f>
        <v>0</v>
      </c>
      <c r="AG885" s="65" t="n">
        <f aca="false">IF(IFERROR(VLOOKUP(D885,Controls!$A$64:$E$74,4,FALSE()),"No")="Yes",1,0)</f>
        <v>0</v>
      </c>
      <c r="AH885" s="65" t="n">
        <f aca="false">IF(IFERROR(VLOOKUP(D885,Controls!$A$64:$E$74,5,FALSE()),"No")="Yes",1,0)</f>
        <v>1</v>
      </c>
      <c r="AI885" s="65" t="n">
        <f aca="false">IF(ISNUMBER(MATCH(D885,Controls!$A$64:$A$74,0)),1,0)</f>
        <v>1</v>
      </c>
      <c r="AJ885" s="65" t="n">
        <f aca="false">Q885-N885</f>
        <v>-6763.75</v>
      </c>
      <c r="AK885" s="65" t="n">
        <f aca="false">IF(AE885=1,MAX(0,N885-Q885),0)</f>
        <v>0</v>
      </c>
      <c r="AL885" s="65" t="n">
        <f aca="false">IF(OR(V885="",V885=0),0,N885/V885)</f>
        <v>0</v>
      </c>
      <c r="AM885" s="65" t="n">
        <f aca="false">IF(OR(V885="",V885=0),0,1)</f>
        <v>0</v>
      </c>
      <c r="AN885" s="65" t="n">
        <f aca="false">IF(OR(E885="",F885=""),0,NETWORKDAYS(E885,F885,Ref!$K$2:$K$42))</f>
        <v>65</v>
      </c>
      <c r="AO885" s="65" t="n">
        <f aca="false">IF(L885="Renewal",1,0)</f>
        <v>1</v>
      </c>
      <c r="AP885" s="65" t="n">
        <f aca="false">AC885*AD885</f>
        <v>0</v>
      </c>
      <c r="AQ885" s="65" t="n">
        <f aca="false">IF(AND(G885&lt;&gt;"",'Historical Score'!$C$6&lt;&gt;""),IF(G885='Historical Score'!$C$6,1,0),0)</f>
        <v>0</v>
      </c>
      <c r="AR885" s="65" t="n">
        <f aca="false">IF(AND(L885&lt;&gt;"",'Historical Score'!$C$5&lt;&gt;""),IF(L885='Historical Score'!$C$5,1,0),0)</f>
        <v>0</v>
      </c>
      <c r="AS885" s="65" t="n">
        <f aca="false">IF(AND(Y885&lt;&gt;"",'Historical Score'!$C$7&lt;&gt;""),IF(Y885='Historical Score'!$C$7,1,0),0)</f>
        <v>0</v>
      </c>
      <c r="AT885" s="65" t="n">
        <f aca="false">IF(AND(K885&lt;&gt;"",'Historical Score'!$C$8&lt;&gt;""),IF(K885='Historical Score'!$C$8,1,0),0)</f>
        <v>0</v>
      </c>
      <c r="AU885" s="65" t="n">
        <f aca="false">IF(AND(J885&lt;&gt;"",'Historical Score'!$C$9&lt;&gt;""),IF(J885='Historical Score'!$C$9,1,0),0)</f>
        <v>0</v>
      </c>
      <c r="AV885" s="65" t="n">
        <f aca="false">AR885*AS885*AQ885</f>
        <v>0</v>
      </c>
      <c r="AW885" s="65" t="n">
        <f aca="false">AR885*AT885*AQ885</f>
        <v>0</v>
      </c>
      <c r="AX885" s="65" t="n">
        <f aca="false">AR885*AS885</f>
        <v>0</v>
      </c>
      <c r="AY885" s="65" t="n">
        <f aca="false">AR885*AT885</f>
        <v>0</v>
      </c>
      <c r="AZ885" s="65" t="n">
        <f aca="false">AR885*AQ885</f>
        <v>0</v>
      </c>
      <c r="BA885" s="65" t="n">
        <f aca="false">AR885</f>
        <v>0</v>
      </c>
      <c r="BB885" s="65" t="n">
        <f aca="false">1</f>
        <v>1</v>
      </c>
      <c r="BC885" s="65" t="n">
        <f aca="false">IF(AV885=1,1,IF(AW885=1,2,IF(AX885=1,3,IF(AY885=1,4,IF(AZ885=1,5,IF(BA885=1,6,7))))))</f>
        <v>7</v>
      </c>
      <c r="BD885" s="65" t="n">
        <f aca="false">IF(AD885=1,CHOOSE('Historical Score'!$C$29,AV885,AW885,AX885,AY885,AZ885,BA885,BB885),0)</f>
        <v>0</v>
      </c>
      <c r="BE885" s="65" t="str">
        <f aca="false">IF(BD885=1,COUNTIF($BD$2:BD885,1),"")</f>
        <v/>
      </c>
    </row>
    <row r="886" customFormat="false" ht="15" hidden="false" customHeight="false" outlineLevel="0" collapsed="false">
      <c r="A886" s="65" t="s">
        <v>2736</v>
      </c>
      <c r="B886" s="65" t="s">
        <v>2737</v>
      </c>
      <c r="C886" s="65" t="s">
        <v>2738</v>
      </c>
      <c r="D886" s="65" t="s">
        <v>295</v>
      </c>
      <c r="E886" s="112" t="n">
        <v>46162</v>
      </c>
      <c r="F886" s="112" t="n">
        <v>46251</v>
      </c>
      <c r="G886" s="65" t="n">
        <v>1</v>
      </c>
      <c r="H886" s="65" t="s">
        <v>1477</v>
      </c>
      <c r="I886" s="65" t="s">
        <v>1478</v>
      </c>
      <c r="J886" s="65" t="s">
        <v>61</v>
      </c>
      <c r="K886" s="65" t="s">
        <v>1591</v>
      </c>
      <c r="L886" s="65" t="s">
        <v>64</v>
      </c>
      <c r="M886" s="113" t="n">
        <v>1.49</v>
      </c>
      <c r="N886" s="114" t="n">
        <v>25000</v>
      </c>
      <c r="O886" s="114" t="n">
        <v>3500</v>
      </c>
      <c r="P886" s="114" t="n">
        <v>37250</v>
      </c>
      <c r="Q886" s="114" t="n">
        <v>17879.52</v>
      </c>
      <c r="R886" s="114" t="n">
        <v>19370.48</v>
      </c>
      <c r="S886" s="115" t="n">
        <v>0.47998711409396</v>
      </c>
      <c r="T886" s="65" t="n">
        <v>25</v>
      </c>
      <c r="U886" s="65" t="n">
        <v>0</v>
      </c>
      <c r="V886" s="65" t="n">
        <v>38550.16</v>
      </c>
      <c r="W886" s="115" t="n">
        <v>0.1546</v>
      </c>
      <c r="X886" s="112" t="n">
        <v>45066</v>
      </c>
      <c r="Y886" s="65" t="str">
        <f aca="false">IF(I886="","No SIC",IFERROR(VLOOKUP(I886,Ref!$A$2:$B$65,2,FALSE()),"Unclassified"))</f>
        <v>Educational Services</v>
      </c>
      <c r="Z886" s="65" t="str">
        <f aca="false">IF(T886="","",IF(T886&lt;12,"Daily","Weekly"))</f>
        <v>Weekly</v>
      </c>
      <c r="AA886" s="65" t="n">
        <f aca="false">IF(T886="",0,IF(T886&lt;12,T886*Controls!$B$29,T886*5))</f>
        <v>125</v>
      </c>
      <c r="AB886" s="65" t="n">
        <f aca="false">IF(E886="",0,NETWORKDAYS(E886,Controls!$B$36,Ref!$K$2:$K$42))</f>
        <v>68</v>
      </c>
      <c r="AC886" s="65" t="n">
        <f aca="false">IF(AND(AA886&gt;0,AB886&gt;=Controls!$B$39*AA886),1,0)</f>
        <v>0</v>
      </c>
      <c r="AD886" s="65" t="n">
        <f aca="false">IF(AND(E886&lt;&gt;"",E886&gt;=Controls!$B$37,E886&lt;=Controls!$B$38),1,0)</f>
        <v>1</v>
      </c>
      <c r="AE886" s="65" t="n">
        <f aca="false">IF(IFERROR(VLOOKUP(D886,Controls!$A$64:$E$74,2,FALSE()),"No")="Yes",1,0)</f>
        <v>0</v>
      </c>
      <c r="AF886" s="65" t="n">
        <f aca="false">IF(IFERROR(VLOOKUP(D886,Controls!$A$64:$E$74,3,FALSE()),"No")="Yes",1,0)</f>
        <v>0</v>
      </c>
      <c r="AG886" s="65" t="n">
        <f aca="false">IF(IFERROR(VLOOKUP(D886,Controls!$A$64:$E$74,4,FALSE()),"No")="Yes",1,0)</f>
        <v>0</v>
      </c>
      <c r="AH886" s="65" t="n">
        <f aca="false">IF(IFERROR(VLOOKUP(D886,Controls!$A$64:$E$74,5,FALSE()),"No")="Yes",1,0)</f>
        <v>1</v>
      </c>
      <c r="AI886" s="65" t="n">
        <f aca="false">IF(ISNUMBER(MATCH(D886,Controls!$A$64:$A$74,0)),1,0)</f>
        <v>1</v>
      </c>
      <c r="AJ886" s="65" t="n">
        <f aca="false">Q886-N886</f>
        <v>-7120.48</v>
      </c>
      <c r="AK886" s="65" t="n">
        <f aca="false">IF(AE886=1,MAX(0,N886-Q886),0)</f>
        <v>0</v>
      </c>
      <c r="AL886" s="65" t="n">
        <f aca="false">IF(OR(V886="",V886=0),0,N886/V886)</f>
        <v>0.648505739016388</v>
      </c>
      <c r="AM886" s="65" t="n">
        <f aca="false">IF(OR(V886="",V886=0),0,1)</f>
        <v>1</v>
      </c>
      <c r="AN886" s="65" t="n">
        <f aca="false">IF(OR(E886="",F886=""),0,NETWORKDAYS(E886,F886,Ref!$K$2:$K$42))</f>
        <v>62</v>
      </c>
      <c r="AO886" s="65" t="n">
        <f aca="false">IF(L886="Renewal",1,0)</f>
        <v>0</v>
      </c>
      <c r="AP886" s="65" t="n">
        <f aca="false">AC886*AD886</f>
        <v>0</v>
      </c>
      <c r="AQ886" s="65" t="n">
        <f aca="false">IF(AND(G886&lt;&gt;"",'Historical Score'!$C$6&lt;&gt;""),IF(G886='Historical Score'!$C$6,1,0),0)</f>
        <v>0</v>
      </c>
      <c r="AR886" s="65" t="n">
        <f aca="false">IF(AND(L886&lt;&gt;"",'Historical Score'!$C$5&lt;&gt;""),IF(L886='Historical Score'!$C$5,1,0),0)</f>
        <v>1</v>
      </c>
      <c r="AS886" s="65" t="n">
        <f aca="false">IF(AND(Y886&lt;&gt;"",'Historical Score'!$C$7&lt;&gt;""),IF(Y886='Historical Score'!$C$7,1,0),0)</f>
        <v>0</v>
      </c>
      <c r="AT886" s="65" t="n">
        <f aca="false">IF(AND(K886&lt;&gt;"",'Historical Score'!$C$8&lt;&gt;""),IF(K886='Historical Score'!$C$8,1,0),0)</f>
        <v>0</v>
      </c>
      <c r="AU886" s="65" t="n">
        <f aca="false">IF(AND(J886&lt;&gt;"",'Historical Score'!$C$9&lt;&gt;""),IF(J886='Historical Score'!$C$9,1,0),0)</f>
        <v>1</v>
      </c>
      <c r="AV886" s="65" t="n">
        <f aca="false">AR886*AS886*AQ886</f>
        <v>0</v>
      </c>
      <c r="AW886" s="65" t="n">
        <f aca="false">AR886*AT886*AQ886</f>
        <v>0</v>
      </c>
      <c r="AX886" s="65" t="n">
        <f aca="false">AR886*AS886</f>
        <v>0</v>
      </c>
      <c r="AY886" s="65" t="n">
        <f aca="false">AR886*AT886</f>
        <v>0</v>
      </c>
      <c r="AZ886" s="65" t="n">
        <f aca="false">AR886*AQ886</f>
        <v>0</v>
      </c>
      <c r="BA886" s="65" t="n">
        <f aca="false">AR886</f>
        <v>1</v>
      </c>
      <c r="BB886" s="65" t="n">
        <f aca="false">1</f>
        <v>1</v>
      </c>
      <c r="BC886" s="65" t="n">
        <f aca="false">IF(AV886=1,1,IF(AW886=1,2,IF(AX886=1,3,IF(AY886=1,4,IF(AZ886=1,5,IF(BA886=1,6,7))))))</f>
        <v>6</v>
      </c>
      <c r="BD886" s="65" t="n">
        <f aca="false">IF(AD886=1,CHOOSE('Historical Score'!$C$29,AV886,AW886,AX886,AY886,AZ886,BA886,BB886),0)</f>
        <v>0</v>
      </c>
      <c r="BE886" s="65" t="str">
        <f aca="false">IF(BD886=1,COUNTIF($BD$2:BD886,1),"")</f>
        <v/>
      </c>
    </row>
    <row r="887" customFormat="false" ht="15" hidden="false" customHeight="false" outlineLevel="0" collapsed="false">
      <c r="A887" s="65" t="s">
        <v>2739</v>
      </c>
      <c r="B887" s="65" t="s">
        <v>2740</v>
      </c>
      <c r="C887" s="65" t="s">
        <v>2740</v>
      </c>
      <c r="D887" s="65" t="s">
        <v>295</v>
      </c>
      <c r="E887" s="112" t="n">
        <v>46162</v>
      </c>
      <c r="F887" s="112" t="n">
        <v>46253</v>
      </c>
      <c r="G887" s="65" t="n">
        <v>3</v>
      </c>
      <c r="H887" s="65" t="s">
        <v>479</v>
      </c>
      <c r="I887" s="65" t="s">
        <v>356</v>
      </c>
      <c r="J887" s="65" t="s">
        <v>905</v>
      </c>
      <c r="K887" s="65" t="s">
        <v>2741</v>
      </c>
      <c r="L887" s="65" t="s">
        <v>64</v>
      </c>
      <c r="M887" s="113" t="n">
        <v>1.49</v>
      </c>
      <c r="N887" s="114" t="n">
        <v>5000</v>
      </c>
      <c r="O887" s="114" t="n">
        <v>700</v>
      </c>
      <c r="P887" s="114" t="n">
        <v>7450</v>
      </c>
      <c r="Q887" s="114" t="n">
        <v>4376.64</v>
      </c>
      <c r="R887" s="114" t="n">
        <v>3073.36</v>
      </c>
      <c r="S887" s="115" t="n">
        <v>0.587468456375839</v>
      </c>
      <c r="T887" s="65" t="n">
        <v>2.623</v>
      </c>
      <c r="U887" s="65" t="n">
        <v>12</v>
      </c>
      <c r="V887" s="65" t="n">
        <v>26677.17</v>
      </c>
      <c r="W887" s="115" t="n">
        <v>0.0733</v>
      </c>
      <c r="X887" s="112" t="n">
        <v>42692</v>
      </c>
      <c r="Y887" s="65" t="str">
        <f aca="false">IF(I887="","No SIC",IFERROR(VLOOKUP(I887,Ref!$A$2:$B$65,2,FALSE()),"Unclassified"))</f>
        <v>Trucking &amp; Warehousing</v>
      </c>
      <c r="Z887" s="65" t="str">
        <f aca="false">IF(T887="","",IF(T887&lt;12,"Daily","Weekly"))</f>
        <v>Daily</v>
      </c>
      <c r="AA887" s="65" t="n">
        <f aca="false">IF(T887="",0,IF(T887&lt;12,T887*Controls!$B$29,T887*5))</f>
        <v>56.801065</v>
      </c>
      <c r="AB887" s="65" t="n">
        <f aca="false">IF(E887="",0,NETWORKDAYS(E887,Controls!$B$36,Ref!$K$2:$K$42))</f>
        <v>68</v>
      </c>
      <c r="AC887" s="65" t="n">
        <f aca="false">IF(AND(AA887&gt;0,AB887&gt;=Controls!$B$39*AA887),1,0)</f>
        <v>0</v>
      </c>
      <c r="AD887" s="65" t="n">
        <f aca="false">IF(AND(E887&lt;&gt;"",E887&gt;=Controls!$B$37,E887&lt;=Controls!$B$38),1,0)</f>
        <v>1</v>
      </c>
      <c r="AE887" s="65" t="n">
        <f aca="false">IF(IFERROR(VLOOKUP(D887,Controls!$A$64:$E$74,2,FALSE()),"No")="Yes",1,0)</f>
        <v>0</v>
      </c>
      <c r="AF887" s="65" t="n">
        <f aca="false">IF(IFERROR(VLOOKUP(D887,Controls!$A$64:$E$74,3,FALSE()),"No")="Yes",1,0)</f>
        <v>0</v>
      </c>
      <c r="AG887" s="65" t="n">
        <f aca="false">IF(IFERROR(VLOOKUP(D887,Controls!$A$64:$E$74,4,FALSE()),"No")="Yes",1,0)</f>
        <v>0</v>
      </c>
      <c r="AH887" s="65" t="n">
        <f aca="false">IF(IFERROR(VLOOKUP(D887,Controls!$A$64:$E$74,5,FALSE()),"No")="Yes",1,0)</f>
        <v>1</v>
      </c>
      <c r="AI887" s="65" t="n">
        <f aca="false">IF(ISNUMBER(MATCH(D887,Controls!$A$64:$A$74,0)),1,0)</f>
        <v>1</v>
      </c>
      <c r="AJ887" s="65" t="n">
        <f aca="false">Q887-N887</f>
        <v>-623.36</v>
      </c>
      <c r="AK887" s="65" t="n">
        <f aca="false">IF(AE887=1,MAX(0,N887-Q887),0)</f>
        <v>0</v>
      </c>
      <c r="AL887" s="65" t="n">
        <f aca="false">IF(OR(V887="",V887=0),0,N887/V887)</f>
        <v>0.187426177514332</v>
      </c>
      <c r="AM887" s="65" t="n">
        <f aca="false">IF(OR(V887="",V887=0),0,1)</f>
        <v>1</v>
      </c>
      <c r="AN887" s="65" t="n">
        <f aca="false">IF(OR(E887="",F887=""),0,NETWORKDAYS(E887,F887,Ref!$K$2:$K$42))</f>
        <v>64</v>
      </c>
      <c r="AO887" s="65" t="n">
        <f aca="false">IF(L887="Renewal",1,0)</f>
        <v>0</v>
      </c>
      <c r="AP887" s="65" t="n">
        <f aca="false">AC887*AD887</f>
        <v>0</v>
      </c>
      <c r="AQ887" s="65" t="n">
        <f aca="false">IF(AND(G887&lt;&gt;"",'Historical Score'!$C$6&lt;&gt;""),IF(G887='Historical Score'!$C$6,1,0),0)</f>
        <v>0</v>
      </c>
      <c r="AR887" s="65" t="n">
        <f aca="false">IF(AND(L887&lt;&gt;"",'Historical Score'!$C$5&lt;&gt;""),IF(L887='Historical Score'!$C$5,1,0),0)</f>
        <v>1</v>
      </c>
      <c r="AS887" s="65" t="n">
        <f aca="false">IF(AND(Y887&lt;&gt;"",'Historical Score'!$C$7&lt;&gt;""),IF(Y887='Historical Score'!$C$7,1,0),0)</f>
        <v>0</v>
      </c>
      <c r="AT887" s="65" t="n">
        <f aca="false">IF(AND(K887&lt;&gt;"",'Historical Score'!$C$8&lt;&gt;""),IF(K887='Historical Score'!$C$8,1,0),0)</f>
        <v>0</v>
      </c>
      <c r="AU887" s="65" t="n">
        <f aca="false">IF(AND(J887&lt;&gt;"",'Historical Score'!$C$9&lt;&gt;""),IF(J887='Historical Score'!$C$9,1,0),0)</f>
        <v>0</v>
      </c>
      <c r="AV887" s="65" t="n">
        <f aca="false">AR887*AS887*AQ887</f>
        <v>0</v>
      </c>
      <c r="AW887" s="65" t="n">
        <f aca="false">AR887*AT887*AQ887</f>
        <v>0</v>
      </c>
      <c r="AX887" s="65" t="n">
        <f aca="false">AR887*AS887</f>
        <v>0</v>
      </c>
      <c r="AY887" s="65" t="n">
        <f aca="false">AR887*AT887</f>
        <v>0</v>
      </c>
      <c r="AZ887" s="65" t="n">
        <f aca="false">AR887*AQ887</f>
        <v>0</v>
      </c>
      <c r="BA887" s="65" t="n">
        <f aca="false">AR887</f>
        <v>1</v>
      </c>
      <c r="BB887" s="65" t="n">
        <f aca="false">1</f>
        <v>1</v>
      </c>
      <c r="BC887" s="65" t="n">
        <f aca="false">IF(AV887=1,1,IF(AW887=1,2,IF(AX887=1,3,IF(AY887=1,4,IF(AZ887=1,5,IF(BA887=1,6,7))))))</f>
        <v>6</v>
      </c>
      <c r="BD887" s="65" t="n">
        <f aca="false">IF(AD887=1,CHOOSE('Historical Score'!$C$29,AV887,AW887,AX887,AY887,AZ887,BA887,BB887),0)</f>
        <v>0</v>
      </c>
      <c r="BE887" s="65" t="str">
        <f aca="false">IF(BD887=1,COUNTIF($BD$2:BD887,1),"")</f>
        <v/>
      </c>
    </row>
    <row r="888" customFormat="false" ht="15" hidden="false" customHeight="false" outlineLevel="0" collapsed="false">
      <c r="A888" s="65" t="s">
        <v>2742</v>
      </c>
      <c r="B888" s="65" t="s">
        <v>2743</v>
      </c>
      <c r="C888" s="65" t="s">
        <v>2744</v>
      </c>
      <c r="D888" s="65" t="s">
        <v>295</v>
      </c>
      <c r="E888" s="112" t="n">
        <v>46162</v>
      </c>
      <c r="F888" s="112" t="n">
        <v>46252</v>
      </c>
      <c r="G888" s="65" t="n">
        <v>3</v>
      </c>
      <c r="H888" s="65" t="s">
        <v>1130</v>
      </c>
      <c r="I888" s="65" t="s">
        <v>668</v>
      </c>
      <c r="J888" s="65" t="s">
        <v>350</v>
      </c>
      <c r="K888" s="65" t="s">
        <v>538</v>
      </c>
      <c r="L888" s="65" t="s">
        <v>64</v>
      </c>
      <c r="M888" s="113" t="n">
        <v>1.35</v>
      </c>
      <c r="N888" s="114" t="n">
        <v>155000</v>
      </c>
      <c r="O888" s="114" t="n">
        <v>10850</v>
      </c>
      <c r="P888" s="114" t="n">
        <v>209250</v>
      </c>
      <c r="Q888" s="114" t="n">
        <v>71566.43</v>
      </c>
      <c r="R888" s="114" t="n">
        <v>137683.57</v>
      </c>
      <c r="S888" s="115" t="n">
        <v>0.342014002389486</v>
      </c>
      <c r="T888" s="65" t="n">
        <v>38</v>
      </c>
      <c r="U888" s="65" t="n">
        <v>0</v>
      </c>
      <c r="V888" s="65" t="n">
        <v>387002.54</v>
      </c>
      <c r="W888" s="115" t="n">
        <v>0.0569</v>
      </c>
      <c r="X888" s="112" t="n">
        <v>41575</v>
      </c>
      <c r="Y888" s="65" t="str">
        <f aca="false">IF(I888="","No SIC",IFERROR(VLOOKUP(I888,Ref!$A$2:$B$65,2,FALSE()),"Unclassified"))</f>
        <v>Auto Dealers &amp; Gas Stations</v>
      </c>
      <c r="Z888" s="65" t="str">
        <f aca="false">IF(T888="","",IF(T888&lt;12,"Daily","Weekly"))</f>
        <v>Weekly</v>
      </c>
      <c r="AA888" s="65" t="n">
        <f aca="false">IF(T888="",0,IF(T888&lt;12,T888*Controls!$B$29,T888*5))</f>
        <v>190</v>
      </c>
      <c r="AB888" s="65" t="n">
        <f aca="false">IF(E888="",0,NETWORKDAYS(E888,Controls!$B$36,Ref!$K$2:$K$42))</f>
        <v>68</v>
      </c>
      <c r="AC888" s="65" t="n">
        <f aca="false">IF(AND(AA888&gt;0,AB888&gt;=Controls!$B$39*AA888),1,0)</f>
        <v>0</v>
      </c>
      <c r="AD888" s="65" t="n">
        <f aca="false">IF(AND(E888&lt;&gt;"",E888&gt;=Controls!$B$37,E888&lt;=Controls!$B$38),1,0)</f>
        <v>1</v>
      </c>
      <c r="AE888" s="65" t="n">
        <f aca="false">IF(IFERROR(VLOOKUP(D888,Controls!$A$64:$E$74,2,FALSE()),"No")="Yes",1,0)</f>
        <v>0</v>
      </c>
      <c r="AF888" s="65" t="n">
        <f aca="false">IF(IFERROR(VLOOKUP(D888,Controls!$A$64:$E$74,3,FALSE()),"No")="Yes",1,0)</f>
        <v>0</v>
      </c>
      <c r="AG888" s="65" t="n">
        <f aca="false">IF(IFERROR(VLOOKUP(D888,Controls!$A$64:$E$74,4,FALSE()),"No")="Yes",1,0)</f>
        <v>0</v>
      </c>
      <c r="AH888" s="65" t="n">
        <f aca="false">IF(IFERROR(VLOOKUP(D888,Controls!$A$64:$E$74,5,FALSE()),"No")="Yes",1,0)</f>
        <v>1</v>
      </c>
      <c r="AI888" s="65" t="n">
        <f aca="false">IF(ISNUMBER(MATCH(D888,Controls!$A$64:$A$74,0)),1,0)</f>
        <v>1</v>
      </c>
      <c r="AJ888" s="65" t="n">
        <f aca="false">Q888-N888</f>
        <v>-83433.57</v>
      </c>
      <c r="AK888" s="65" t="n">
        <f aca="false">IF(AE888=1,MAX(0,N888-Q888),0)</f>
        <v>0</v>
      </c>
      <c r="AL888" s="65" t="n">
        <f aca="false">IF(OR(V888="",V888=0),0,N888/V888)</f>
        <v>0.400514167167999</v>
      </c>
      <c r="AM888" s="65" t="n">
        <f aca="false">IF(OR(V888="",V888=0),0,1)</f>
        <v>1</v>
      </c>
      <c r="AN888" s="65" t="n">
        <f aca="false">IF(OR(E888="",F888=""),0,NETWORKDAYS(E888,F888,Ref!$K$2:$K$42))</f>
        <v>63</v>
      </c>
      <c r="AO888" s="65" t="n">
        <f aca="false">IF(L888="Renewal",1,0)</f>
        <v>0</v>
      </c>
      <c r="AP888" s="65" t="n">
        <f aca="false">AC888*AD888</f>
        <v>0</v>
      </c>
      <c r="AQ888" s="65" t="n">
        <f aca="false">IF(AND(G888&lt;&gt;"",'Historical Score'!$C$6&lt;&gt;""),IF(G888='Historical Score'!$C$6,1,0),0)</f>
        <v>0</v>
      </c>
      <c r="AR888" s="65" t="n">
        <f aca="false">IF(AND(L888&lt;&gt;"",'Historical Score'!$C$5&lt;&gt;""),IF(L888='Historical Score'!$C$5,1,0),0)</f>
        <v>1</v>
      </c>
      <c r="AS888" s="65" t="n">
        <f aca="false">IF(AND(Y888&lt;&gt;"",'Historical Score'!$C$7&lt;&gt;""),IF(Y888='Historical Score'!$C$7,1,0),0)</f>
        <v>0</v>
      </c>
      <c r="AT888" s="65" t="n">
        <f aca="false">IF(AND(K888&lt;&gt;"",'Historical Score'!$C$8&lt;&gt;""),IF(K888='Historical Score'!$C$8,1,0),0)</f>
        <v>0</v>
      </c>
      <c r="AU888" s="65" t="n">
        <f aca="false">IF(AND(J888&lt;&gt;"",'Historical Score'!$C$9&lt;&gt;""),IF(J888='Historical Score'!$C$9,1,0),0)</f>
        <v>0</v>
      </c>
      <c r="AV888" s="65" t="n">
        <f aca="false">AR888*AS888*AQ888</f>
        <v>0</v>
      </c>
      <c r="AW888" s="65" t="n">
        <f aca="false">AR888*AT888*AQ888</f>
        <v>0</v>
      </c>
      <c r="AX888" s="65" t="n">
        <f aca="false">AR888*AS888</f>
        <v>0</v>
      </c>
      <c r="AY888" s="65" t="n">
        <f aca="false">AR888*AT888</f>
        <v>0</v>
      </c>
      <c r="AZ888" s="65" t="n">
        <f aca="false">AR888*AQ888</f>
        <v>0</v>
      </c>
      <c r="BA888" s="65" t="n">
        <f aca="false">AR888</f>
        <v>1</v>
      </c>
      <c r="BB888" s="65" t="n">
        <f aca="false">1</f>
        <v>1</v>
      </c>
      <c r="BC888" s="65" t="n">
        <f aca="false">IF(AV888=1,1,IF(AW888=1,2,IF(AX888=1,3,IF(AY888=1,4,IF(AZ888=1,5,IF(BA888=1,6,7))))))</f>
        <v>6</v>
      </c>
      <c r="BD888" s="65" t="n">
        <f aca="false">IF(AD888=1,CHOOSE('Historical Score'!$C$29,AV888,AW888,AX888,AY888,AZ888,BA888,BB888),0)</f>
        <v>0</v>
      </c>
      <c r="BE888" s="65" t="str">
        <f aca="false">IF(BD888=1,COUNTIF($BD$2:BD888,1),"")</f>
        <v/>
      </c>
    </row>
    <row r="889" customFormat="false" ht="15" hidden="false" customHeight="false" outlineLevel="0" collapsed="false">
      <c r="A889" s="65" t="s">
        <v>2745</v>
      </c>
      <c r="B889" s="65" t="s">
        <v>1718</v>
      </c>
      <c r="C889" s="65" t="s">
        <v>1719</v>
      </c>
      <c r="D889" s="65" t="s">
        <v>295</v>
      </c>
      <c r="E889" s="112" t="n">
        <v>46162</v>
      </c>
      <c r="F889" s="112" t="n">
        <v>46253</v>
      </c>
      <c r="G889" s="65" t="n">
        <v>3</v>
      </c>
      <c r="H889" s="65" t="s">
        <v>1589</v>
      </c>
      <c r="I889" s="65" t="s">
        <v>1590</v>
      </c>
      <c r="J889" s="65" t="s">
        <v>452</v>
      </c>
      <c r="K889" s="65" t="s">
        <v>1720</v>
      </c>
      <c r="L889" s="65" t="s">
        <v>64</v>
      </c>
      <c r="M889" s="113" t="n">
        <v>1.49</v>
      </c>
      <c r="N889" s="114" t="n">
        <v>25000</v>
      </c>
      <c r="O889" s="114" t="n">
        <v>3500</v>
      </c>
      <c r="P889" s="114" t="n">
        <v>37250</v>
      </c>
      <c r="Q889" s="114" t="n">
        <v>18617.88</v>
      </c>
      <c r="R889" s="114" t="n">
        <v>18632.12</v>
      </c>
      <c r="S889" s="115" t="n">
        <v>0.499808859060403</v>
      </c>
      <c r="T889" s="65" t="n">
        <v>20</v>
      </c>
      <c r="U889" s="65" t="n">
        <v>9</v>
      </c>
      <c r="V889" s="65" t="n">
        <v>120314.31</v>
      </c>
      <c r="W889" s="115" t="n">
        <v>0.0619</v>
      </c>
      <c r="X889" s="112" t="n">
        <v>42566</v>
      </c>
      <c r="Y889" s="65" t="str">
        <f aca="false">IF(I889="","No SIC",IFERROR(VLOOKUP(I889,Ref!$A$2:$B$65,2,FALSE()),"Unclassified"))</f>
        <v>Legal Services</v>
      </c>
      <c r="Z889" s="65" t="str">
        <f aca="false">IF(T889="","",IF(T889&lt;12,"Daily","Weekly"))</f>
        <v>Weekly</v>
      </c>
      <c r="AA889" s="65" t="n">
        <f aca="false">IF(T889="",0,IF(T889&lt;12,T889*Controls!$B$29,T889*5))</f>
        <v>100</v>
      </c>
      <c r="AB889" s="65" t="n">
        <f aca="false">IF(E889="",0,NETWORKDAYS(E889,Controls!$B$36,Ref!$K$2:$K$42))</f>
        <v>68</v>
      </c>
      <c r="AC889" s="65" t="n">
        <f aca="false">IF(AND(AA889&gt;0,AB889&gt;=Controls!$B$39*AA889),1,0)</f>
        <v>0</v>
      </c>
      <c r="AD889" s="65" t="n">
        <f aca="false">IF(AND(E889&lt;&gt;"",E889&gt;=Controls!$B$37,E889&lt;=Controls!$B$38),1,0)</f>
        <v>1</v>
      </c>
      <c r="AE889" s="65" t="n">
        <f aca="false">IF(IFERROR(VLOOKUP(D889,Controls!$A$64:$E$74,2,FALSE()),"No")="Yes",1,0)</f>
        <v>0</v>
      </c>
      <c r="AF889" s="65" t="n">
        <f aca="false">IF(IFERROR(VLOOKUP(D889,Controls!$A$64:$E$74,3,FALSE()),"No")="Yes",1,0)</f>
        <v>0</v>
      </c>
      <c r="AG889" s="65" t="n">
        <f aca="false">IF(IFERROR(VLOOKUP(D889,Controls!$A$64:$E$74,4,FALSE()),"No")="Yes",1,0)</f>
        <v>0</v>
      </c>
      <c r="AH889" s="65" t="n">
        <f aca="false">IF(IFERROR(VLOOKUP(D889,Controls!$A$64:$E$74,5,FALSE()),"No")="Yes",1,0)</f>
        <v>1</v>
      </c>
      <c r="AI889" s="65" t="n">
        <f aca="false">IF(ISNUMBER(MATCH(D889,Controls!$A$64:$A$74,0)),1,0)</f>
        <v>1</v>
      </c>
      <c r="AJ889" s="65" t="n">
        <f aca="false">Q889-N889</f>
        <v>-6382.12</v>
      </c>
      <c r="AK889" s="65" t="n">
        <f aca="false">IF(AE889=1,MAX(0,N889-Q889),0)</f>
        <v>0</v>
      </c>
      <c r="AL889" s="65" t="n">
        <f aca="false">IF(OR(V889="",V889=0),0,N889/V889)</f>
        <v>0.207789081780879</v>
      </c>
      <c r="AM889" s="65" t="n">
        <f aca="false">IF(OR(V889="",V889=0),0,1)</f>
        <v>1</v>
      </c>
      <c r="AN889" s="65" t="n">
        <f aca="false">IF(OR(E889="",F889=""),0,NETWORKDAYS(E889,F889,Ref!$K$2:$K$42))</f>
        <v>64</v>
      </c>
      <c r="AO889" s="65" t="n">
        <f aca="false">IF(L889="Renewal",1,0)</f>
        <v>0</v>
      </c>
      <c r="AP889" s="65" t="n">
        <f aca="false">AC889*AD889</f>
        <v>0</v>
      </c>
      <c r="AQ889" s="65" t="n">
        <f aca="false">IF(AND(G889&lt;&gt;"",'Historical Score'!$C$6&lt;&gt;""),IF(G889='Historical Score'!$C$6,1,0),0)</f>
        <v>0</v>
      </c>
      <c r="AR889" s="65" t="n">
        <f aca="false">IF(AND(L889&lt;&gt;"",'Historical Score'!$C$5&lt;&gt;""),IF(L889='Historical Score'!$C$5,1,0),0)</f>
        <v>1</v>
      </c>
      <c r="AS889" s="65" t="n">
        <f aca="false">IF(AND(Y889&lt;&gt;"",'Historical Score'!$C$7&lt;&gt;""),IF(Y889='Historical Score'!$C$7,1,0),0)</f>
        <v>0</v>
      </c>
      <c r="AT889" s="65" t="n">
        <f aca="false">IF(AND(K889&lt;&gt;"",'Historical Score'!$C$8&lt;&gt;""),IF(K889='Historical Score'!$C$8,1,0),0)</f>
        <v>0</v>
      </c>
      <c r="AU889" s="65" t="n">
        <f aca="false">IF(AND(J889&lt;&gt;"",'Historical Score'!$C$9&lt;&gt;""),IF(J889='Historical Score'!$C$9,1,0),0)</f>
        <v>0</v>
      </c>
      <c r="AV889" s="65" t="n">
        <f aca="false">AR889*AS889*AQ889</f>
        <v>0</v>
      </c>
      <c r="AW889" s="65" t="n">
        <f aca="false">AR889*AT889*AQ889</f>
        <v>0</v>
      </c>
      <c r="AX889" s="65" t="n">
        <f aca="false">AR889*AS889</f>
        <v>0</v>
      </c>
      <c r="AY889" s="65" t="n">
        <f aca="false">AR889*AT889</f>
        <v>0</v>
      </c>
      <c r="AZ889" s="65" t="n">
        <f aca="false">AR889*AQ889</f>
        <v>0</v>
      </c>
      <c r="BA889" s="65" t="n">
        <f aca="false">AR889</f>
        <v>1</v>
      </c>
      <c r="BB889" s="65" t="n">
        <f aca="false">1</f>
        <v>1</v>
      </c>
      <c r="BC889" s="65" t="n">
        <f aca="false">IF(AV889=1,1,IF(AW889=1,2,IF(AX889=1,3,IF(AY889=1,4,IF(AZ889=1,5,IF(BA889=1,6,7))))))</f>
        <v>6</v>
      </c>
      <c r="BD889" s="65" t="n">
        <f aca="false">IF(AD889=1,CHOOSE('Historical Score'!$C$29,AV889,AW889,AX889,AY889,AZ889,BA889,BB889),0)</f>
        <v>0</v>
      </c>
      <c r="BE889" s="65" t="str">
        <f aca="false">IF(BD889=1,COUNTIF($BD$2:BD889,1),"")</f>
        <v/>
      </c>
    </row>
    <row r="890" customFormat="false" ht="15" hidden="false" customHeight="false" outlineLevel="0" collapsed="false">
      <c r="A890" s="65" t="s">
        <v>2746</v>
      </c>
      <c r="B890" s="65" t="s">
        <v>571</v>
      </c>
      <c r="C890" s="65" t="s">
        <v>571</v>
      </c>
      <c r="D890" s="65" t="s">
        <v>295</v>
      </c>
      <c r="E890" s="112" t="n">
        <v>46162</v>
      </c>
      <c r="F890" s="112" t="n">
        <v>46248</v>
      </c>
      <c r="G890" s="65" t="n">
        <v>3</v>
      </c>
      <c r="H890" s="65" t="s">
        <v>572</v>
      </c>
      <c r="I890" s="65" t="s">
        <v>419</v>
      </c>
      <c r="J890" s="65" t="s">
        <v>732</v>
      </c>
      <c r="K890" s="65" t="s">
        <v>543</v>
      </c>
      <c r="L890" s="65" t="s">
        <v>320</v>
      </c>
      <c r="M890" s="113" t="n">
        <v>1.35</v>
      </c>
      <c r="N890" s="114" t="n">
        <v>15000</v>
      </c>
      <c r="O890" s="114" t="n">
        <v>1050</v>
      </c>
      <c r="P890" s="114" t="n">
        <v>20250</v>
      </c>
      <c r="Q890" s="114" t="n">
        <v>7593.12</v>
      </c>
      <c r="R890" s="114" t="n">
        <v>12656.88</v>
      </c>
      <c r="S890" s="115" t="n">
        <v>0.374968888888889</v>
      </c>
      <c r="T890" s="65" t="n">
        <v>32</v>
      </c>
      <c r="U890" s="65" t="n">
        <v>0</v>
      </c>
      <c r="V890" s="65" t="n">
        <v>12993</v>
      </c>
      <c r="W890" s="115" t="n">
        <v>0.1948</v>
      </c>
      <c r="X890" s="112" t="n">
        <v>45280</v>
      </c>
      <c r="Y890" s="65" t="str">
        <f aca="false">IF(I890="","No SIC",IFERROR(VLOOKUP(I890,Ref!$A$2:$B$65,2,FALSE()),"Unclassified"))</f>
        <v>Business Services</v>
      </c>
      <c r="Z890" s="65" t="str">
        <f aca="false">IF(T890="","",IF(T890&lt;12,"Daily","Weekly"))</f>
        <v>Weekly</v>
      </c>
      <c r="AA890" s="65" t="n">
        <f aca="false">IF(T890="",0,IF(T890&lt;12,T890*Controls!$B$29,T890*5))</f>
        <v>160</v>
      </c>
      <c r="AB890" s="65" t="n">
        <f aca="false">IF(E890="",0,NETWORKDAYS(E890,Controls!$B$36,Ref!$K$2:$K$42))</f>
        <v>68</v>
      </c>
      <c r="AC890" s="65" t="n">
        <f aca="false">IF(AND(AA890&gt;0,AB890&gt;=Controls!$B$39*AA890),1,0)</f>
        <v>0</v>
      </c>
      <c r="AD890" s="65" t="n">
        <f aca="false">IF(AND(E890&lt;&gt;"",E890&gt;=Controls!$B$37,E890&lt;=Controls!$B$38),1,0)</f>
        <v>1</v>
      </c>
      <c r="AE890" s="65" t="n">
        <f aca="false">IF(IFERROR(VLOOKUP(D890,Controls!$A$64:$E$74,2,FALSE()),"No")="Yes",1,0)</f>
        <v>0</v>
      </c>
      <c r="AF890" s="65" t="n">
        <f aca="false">IF(IFERROR(VLOOKUP(D890,Controls!$A$64:$E$74,3,FALSE()),"No")="Yes",1,0)</f>
        <v>0</v>
      </c>
      <c r="AG890" s="65" t="n">
        <f aca="false">IF(IFERROR(VLOOKUP(D890,Controls!$A$64:$E$74,4,FALSE()),"No")="Yes",1,0)</f>
        <v>0</v>
      </c>
      <c r="AH890" s="65" t="n">
        <f aca="false">IF(IFERROR(VLOOKUP(D890,Controls!$A$64:$E$74,5,FALSE()),"No")="Yes",1,0)</f>
        <v>1</v>
      </c>
      <c r="AI890" s="65" t="n">
        <f aca="false">IF(ISNUMBER(MATCH(D890,Controls!$A$64:$A$74,0)),1,0)</f>
        <v>1</v>
      </c>
      <c r="AJ890" s="65" t="n">
        <f aca="false">Q890-N890</f>
        <v>-7406.88</v>
      </c>
      <c r="AK890" s="65" t="n">
        <f aca="false">IF(AE890=1,MAX(0,N890-Q890),0)</f>
        <v>0</v>
      </c>
      <c r="AL890" s="65" t="n">
        <f aca="false">IF(OR(V890="",V890=0),0,N890/V890)</f>
        <v>1.15446779034865</v>
      </c>
      <c r="AM890" s="65" t="n">
        <f aca="false">IF(OR(V890="",V890=0),0,1)</f>
        <v>1</v>
      </c>
      <c r="AN890" s="65" t="n">
        <f aca="false">IF(OR(E890="",F890=""),0,NETWORKDAYS(E890,F890,Ref!$K$2:$K$42))</f>
        <v>61</v>
      </c>
      <c r="AO890" s="65" t="n">
        <f aca="false">IF(L890="Renewal",1,0)</f>
        <v>1</v>
      </c>
      <c r="AP890" s="65" t="n">
        <f aca="false">AC890*AD890</f>
        <v>0</v>
      </c>
      <c r="AQ890" s="65" t="n">
        <f aca="false">IF(AND(G890&lt;&gt;"",'Historical Score'!$C$6&lt;&gt;""),IF(G890='Historical Score'!$C$6,1,0),0)</f>
        <v>0</v>
      </c>
      <c r="AR890" s="65" t="n">
        <f aca="false">IF(AND(L890&lt;&gt;"",'Historical Score'!$C$5&lt;&gt;""),IF(L890='Historical Score'!$C$5,1,0),0)</f>
        <v>0</v>
      </c>
      <c r="AS890" s="65" t="n">
        <f aca="false">IF(AND(Y890&lt;&gt;"",'Historical Score'!$C$7&lt;&gt;""),IF(Y890='Historical Score'!$C$7,1,0),0)</f>
        <v>0</v>
      </c>
      <c r="AT890" s="65" t="n">
        <f aca="false">IF(AND(K890&lt;&gt;"",'Historical Score'!$C$8&lt;&gt;""),IF(K890='Historical Score'!$C$8,1,0),0)</f>
        <v>0</v>
      </c>
      <c r="AU890" s="65" t="n">
        <f aca="false">IF(AND(J890&lt;&gt;"",'Historical Score'!$C$9&lt;&gt;""),IF(J890='Historical Score'!$C$9,1,0),0)</f>
        <v>0</v>
      </c>
      <c r="AV890" s="65" t="n">
        <f aca="false">AR890*AS890*AQ890</f>
        <v>0</v>
      </c>
      <c r="AW890" s="65" t="n">
        <f aca="false">AR890*AT890*AQ890</f>
        <v>0</v>
      </c>
      <c r="AX890" s="65" t="n">
        <f aca="false">AR890*AS890</f>
        <v>0</v>
      </c>
      <c r="AY890" s="65" t="n">
        <f aca="false">AR890*AT890</f>
        <v>0</v>
      </c>
      <c r="AZ890" s="65" t="n">
        <f aca="false">AR890*AQ890</f>
        <v>0</v>
      </c>
      <c r="BA890" s="65" t="n">
        <f aca="false">AR890</f>
        <v>0</v>
      </c>
      <c r="BB890" s="65" t="n">
        <f aca="false">1</f>
        <v>1</v>
      </c>
      <c r="BC890" s="65" t="n">
        <f aca="false">IF(AV890=1,1,IF(AW890=1,2,IF(AX890=1,3,IF(AY890=1,4,IF(AZ890=1,5,IF(BA890=1,6,7))))))</f>
        <v>7</v>
      </c>
      <c r="BD890" s="65" t="n">
        <f aca="false">IF(AD890=1,CHOOSE('Historical Score'!$C$29,AV890,AW890,AX890,AY890,AZ890,BA890,BB890),0)</f>
        <v>0</v>
      </c>
      <c r="BE890" s="65" t="str">
        <f aca="false">IF(BD890=1,COUNTIF($BD$2:BD890,1),"")</f>
        <v/>
      </c>
    </row>
    <row r="891" customFormat="false" ht="15" hidden="false" customHeight="false" outlineLevel="0" collapsed="false">
      <c r="A891" s="65" t="s">
        <v>2747</v>
      </c>
      <c r="B891" s="65" t="s">
        <v>2027</v>
      </c>
      <c r="C891" s="65" t="s">
        <v>2028</v>
      </c>
      <c r="D891" s="65" t="s">
        <v>295</v>
      </c>
      <c r="E891" s="112" t="n">
        <v>46162</v>
      </c>
      <c r="F891" s="112" t="n">
        <v>46241</v>
      </c>
      <c r="G891" s="65" t="n">
        <v>3</v>
      </c>
      <c r="H891" s="65" t="s">
        <v>409</v>
      </c>
      <c r="I891" s="65" t="s">
        <v>342</v>
      </c>
      <c r="J891" s="65" t="s">
        <v>682</v>
      </c>
      <c r="K891" s="65" t="s">
        <v>983</v>
      </c>
      <c r="L891" s="65" t="s">
        <v>320</v>
      </c>
      <c r="M891" s="113" t="n">
        <v>1.42</v>
      </c>
      <c r="N891" s="114" t="n">
        <v>19000</v>
      </c>
      <c r="O891" s="114" t="n">
        <v>1995</v>
      </c>
      <c r="P891" s="114" t="n">
        <v>26980</v>
      </c>
      <c r="Q891" s="114" t="n">
        <v>8996.16</v>
      </c>
      <c r="R891" s="114" t="n">
        <v>17983.84</v>
      </c>
      <c r="S891" s="115" t="n">
        <v>0.333438102297999</v>
      </c>
      <c r="T891" s="65" t="n">
        <v>24</v>
      </c>
      <c r="U891" s="65" t="n">
        <v>1</v>
      </c>
      <c r="V891" s="65" t="n">
        <v>39147.9</v>
      </c>
      <c r="W891" s="115" t="n">
        <v>0.1149</v>
      </c>
      <c r="X891" s="112" t="n">
        <v>43466</v>
      </c>
      <c r="Y891" s="65" t="str">
        <f aca="false">IF(I891="","No SIC",IFERROR(VLOOKUP(I891,Ref!$A$2:$B$65,2,FALSE()),"Unclassified"))</f>
        <v>Eating &amp; Drinking Places</v>
      </c>
      <c r="Z891" s="65" t="str">
        <f aca="false">IF(T891="","",IF(T891&lt;12,"Daily","Weekly"))</f>
        <v>Weekly</v>
      </c>
      <c r="AA891" s="65" t="n">
        <f aca="false">IF(T891="",0,IF(T891&lt;12,T891*Controls!$B$29,T891*5))</f>
        <v>120</v>
      </c>
      <c r="AB891" s="65" t="n">
        <f aca="false">IF(E891="",0,NETWORKDAYS(E891,Controls!$B$36,Ref!$K$2:$K$42))</f>
        <v>68</v>
      </c>
      <c r="AC891" s="65" t="n">
        <f aca="false">IF(AND(AA891&gt;0,AB891&gt;=Controls!$B$39*AA891),1,0)</f>
        <v>0</v>
      </c>
      <c r="AD891" s="65" t="n">
        <f aca="false">IF(AND(E891&lt;&gt;"",E891&gt;=Controls!$B$37,E891&lt;=Controls!$B$38),1,0)</f>
        <v>1</v>
      </c>
      <c r="AE891" s="65" t="n">
        <f aca="false">IF(IFERROR(VLOOKUP(D891,Controls!$A$64:$E$74,2,FALSE()),"No")="Yes",1,0)</f>
        <v>0</v>
      </c>
      <c r="AF891" s="65" t="n">
        <f aca="false">IF(IFERROR(VLOOKUP(D891,Controls!$A$64:$E$74,3,FALSE()),"No")="Yes",1,0)</f>
        <v>0</v>
      </c>
      <c r="AG891" s="65" t="n">
        <f aca="false">IF(IFERROR(VLOOKUP(D891,Controls!$A$64:$E$74,4,FALSE()),"No")="Yes",1,0)</f>
        <v>0</v>
      </c>
      <c r="AH891" s="65" t="n">
        <f aca="false">IF(IFERROR(VLOOKUP(D891,Controls!$A$64:$E$74,5,FALSE()),"No")="Yes",1,0)</f>
        <v>1</v>
      </c>
      <c r="AI891" s="65" t="n">
        <f aca="false">IF(ISNUMBER(MATCH(D891,Controls!$A$64:$A$74,0)),1,0)</f>
        <v>1</v>
      </c>
      <c r="AJ891" s="65" t="n">
        <f aca="false">Q891-N891</f>
        <v>-10003.84</v>
      </c>
      <c r="AK891" s="65" t="n">
        <f aca="false">IF(AE891=1,MAX(0,N891-Q891),0)</f>
        <v>0</v>
      </c>
      <c r="AL891" s="65" t="n">
        <f aca="false">IF(OR(V891="",V891=0),0,N891/V891)</f>
        <v>0.485338932611966</v>
      </c>
      <c r="AM891" s="65" t="n">
        <f aca="false">IF(OR(V891="",V891=0),0,1)</f>
        <v>1</v>
      </c>
      <c r="AN891" s="65" t="n">
        <f aca="false">IF(OR(E891="",F891=""),0,NETWORKDAYS(E891,F891,Ref!$K$2:$K$42))</f>
        <v>56</v>
      </c>
      <c r="AO891" s="65" t="n">
        <f aca="false">IF(L891="Renewal",1,0)</f>
        <v>1</v>
      </c>
      <c r="AP891" s="65" t="n">
        <f aca="false">AC891*AD891</f>
        <v>0</v>
      </c>
      <c r="AQ891" s="65" t="n">
        <f aca="false">IF(AND(G891&lt;&gt;"",'Historical Score'!$C$6&lt;&gt;""),IF(G891='Historical Score'!$C$6,1,0),0)</f>
        <v>0</v>
      </c>
      <c r="AR891" s="65" t="n">
        <f aca="false">IF(AND(L891&lt;&gt;"",'Historical Score'!$C$5&lt;&gt;""),IF(L891='Historical Score'!$C$5,1,0),0)</f>
        <v>0</v>
      </c>
      <c r="AS891" s="65" t="n">
        <f aca="false">IF(AND(Y891&lt;&gt;"",'Historical Score'!$C$7&lt;&gt;""),IF(Y891='Historical Score'!$C$7,1,0),0)</f>
        <v>0</v>
      </c>
      <c r="AT891" s="65" t="n">
        <f aca="false">IF(AND(K891&lt;&gt;"",'Historical Score'!$C$8&lt;&gt;""),IF(K891='Historical Score'!$C$8,1,0),0)</f>
        <v>0</v>
      </c>
      <c r="AU891" s="65" t="n">
        <f aca="false">IF(AND(J891&lt;&gt;"",'Historical Score'!$C$9&lt;&gt;""),IF(J891='Historical Score'!$C$9,1,0),0)</f>
        <v>0</v>
      </c>
      <c r="AV891" s="65" t="n">
        <f aca="false">AR891*AS891*AQ891</f>
        <v>0</v>
      </c>
      <c r="AW891" s="65" t="n">
        <f aca="false">AR891*AT891*AQ891</f>
        <v>0</v>
      </c>
      <c r="AX891" s="65" t="n">
        <f aca="false">AR891*AS891</f>
        <v>0</v>
      </c>
      <c r="AY891" s="65" t="n">
        <f aca="false">AR891*AT891</f>
        <v>0</v>
      </c>
      <c r="AZ891" s="65" t="n">
        <f aca="false">AR891*AQ891</f>
        <v>0</v>
      </c>
      <c r="BA891" s="65" t="n">
        <f aca="false">AR891</f>
        <v>0</v>
      </c>
      <c r="BB891" s="65" t="n">
        <f aca="false">1</f>
        <v>1</v>
      </c>
      <c r="BC891" s="65" t="n">
        <f aca="false">IF(AV891=1,1,IF(AW891=1,2,IF(AX891=1,3,IF(AY891=1,4,IF(AZ891=1,5,IF(BA891=1,6,7))))))</f>
        <v>7</v>
      </c>
      <c r="BD891" s="65" t="n">
        <f aca="false">IF(AD891=1,CHOOSE('Historical Score'!$C$29,AV891,AW891,AX891,AY891,AZ891,BA891,BB891),0)</f>
        <v>0</v>
      </c>
      <c r="BE891" s="65" t="str">
        <f aca="false">IF(BD891=1,COUNTIF($BD$2:BD891,1),"")</f>
        <v/>
      </c>
    </row>
    <row r="892" customFormat="false" ht="15" hidden="false" customHeight="false" outlineLevel="0" collapsed="false">
      <c r="A892" s="65" t="s">
        <v>2748</v>
      </c>
      <c r="B892" s="65" t="s">
        <v>2749</v>
      </c>
      <c r="C892" s="65" t="s">
        <v>2750</v>
      </c>
      <c r="D892" s="65" t="s">
        <v>295</v>
      </c>
      <c r="E892" s="112" t="n">
        <v>46163</v>
      </c>
      <c r="F892" s="112" t="n">
        <v>46247</v>
      </c>
      <c r="G892" s="65" t="n">
        <v>3</v>
      </c>
      <c r="H892" s="65" t="s">
        <v>752</v>
      </c>
      <c r="I892" s="65" t="s">
        <v>405</v>
      </c>
      <c r="J892" s="65" t="s">
        <v>61</v>
      </c>
      <c r="K892" s="65" t="s">
        <v>2612</v>
      </c>
      <c r="L892" s="65" t="s">
        <v>64</v>
      </c>
      <c r="M892" s="113" t="n">
        <v>1.45</v>
      </c>
      <c r="N892" s="114" t="n">
        <v>200000</v>
      </c>
      <c r="O892" s="114" t="n">
        <v>24000</v>
      </c>
      <c r="P892" s="114" t="n">
        <v>290000</v>
      </c>
      <c r="Q892" s="114" t="n">
        <v>90479.18</v>
      </c>
      <c r="R892" s="114" t="n">
        <v>199520.82</v>
      </c>
      <c r="S892" s="115" t="n">
        <v>0.311997172413793</v>
      </c>
      <c r="T892" s="65" t="n">
        <v>36</v>
      </c>
      <c r="U892" s="65" t="n">
        <v>1</v>
      </c>
      <c r="V892" s="65" t="n">
        <v>465351.99</v>
      </c>
      <c r="W892" s="115" t="n">
        <v>0.0692</v>
      </c>
      <c r="X892" s="112" t="n">
        <v>42826</v>
      </c>
      <c r="Y892" s="65" t="str">
        <f aca="false">IF(I892="","No SIC",IFERROR(VLOOKUP(I892,Ref!$A$2:$B$65,2,FALSE()),"Unclassified"))</f>
        <v>Health Services</v>
      </c>
      <c r="Z892" s="65" t="str">
        <f aca="false">IF(T892="","",IF(T892&lt;12,"Daily","Weekly"))</f>
        <v>Weekly</v>
      </c>
      <c r="AA892" s="65" t="n">
        <f aca="false">IF(T892="",0,IF(T892&lt;12,T892*Controls!$B$29,T892*5))</f>
        <v>180</v>
      </c>
      <c r="AB892" s="65" t="n">
        <f aca="false">IF(E892="",0,NETWORKDAYS(E892,Controls!$B$36,Ref!$K$2:$K$42))</f>
        <v>67</v>
      </c>
      <c r="AC892" s="65" t="n">
        <f aca="false">IF(AND(AA892&gt;0,AB892&gt;=Controls!$B$39*AA892),1,0)</f>
        <v>0</v>
      </c>
      <c r="AD892" s="65" t="n">
        <f aca="false">IF(AND(E892&lt;&gt;"",E892&gt;=Controls!$B$37,E892&lt;=Controls!$B$38),1,0)</f>
        <v>1</v>
      </c>
      <c r="AE892" s="65" t="n">
        <f aca="false">IF(IFERROR(VLOOKUP(D892,Controls!$A$64:$E$74,2,FALSE()),"No")="Yes",1,0)</f>
        <v>0</v>
      </c>
      <c r="AF892" s="65" t="n">
        <f aca="false">IF(IFERROR(VLOOKUP(D892,Controls!$A$64:$E$74,3,FALSE()),"No")="Yes",1,0)</f>
        <v>0</v>
      </c>
      <c r="AG892" s="65" t="n">
        <f aca="false">IF(IFERROR(VLOOKUP(D892,Controls!$A$64:$E$74,4,FALSE()),"No")="Yes",1,0)</f>
        <v>0</v>
      </c>
      <c r="AH892" s="65" t="n">
        <f aca="false">IF(IFERROR(VLOOKUP(D892,Controls!$A$64:$E$74,5,FALSE()),"No")="Yes",1,0)</f>
        <v>1</v>
      </c>
      <c r="AI892" s="65" t="n">
        <f aca="false">IF(ISNUMBER(MATCH(D892,Controls!$A$64:$A$74,0)),1,0)</f>
        <v>1</v>
      </c>
      <c r="AJ892" s="65" t="n">
        <f aca="false">Q892-N892</f>
        <v>-109520.82</v>
      </c>
      <c r="AK892" s="65" t="n">
        <f aca="false">IF(AE892=1,MAX(0,N892-Q892),0)</f>
        <v>0</v>
      </c>
      <c r="AL892" s="65" t="n">
        <f aca="false">IF(OR(V892="",V892=0),0,N892/V892)</f>
        <v>0.429782195623575</v>
      </c>
      <c r="AM892" s="65" t="n">
        <f aca="false">IF(OR(V892="",V892=0),0,1)</f>
        <v>1</v>
      </c>
      <c r="AN892" s="65" t="n">
        <f aca="false">IF(OR(E892="",F892=""),0,NETWORKDAYS(E892,F892,Ref!$K$2:$K$42))</f>
        <v>59</v>
      </c>
      <c r="AO892" s="65" t="n">
        <f aca="false">IF(L892="Renewal",1,0)</f>
        <v>0</v>
      </c>
      <c r="AP892" s="65" t="n">
        <f aca="false">AC892*AD892</f>
        <v>0</v>
      </c>
      <c r="AQ892" s="65" t="n">
        <f aca="false">IF(AND(G892&lt;&gt;"",'Historical Score'!$C$6&lt;&gt;""),IF(G892='Historical Score'!$C$6,1,0),0)</f>
        <v>0</v>
      </c>
      <c r="AR892" s="65" t="n">
        <f aca="false">IF(AND(L892&lt;&gt;"",'Historical Score'!$C$5&lt;&gt;""),IF(L892='Historical Score'!$C$5,1,0),0)</f>
        <v>1</v>
      </c>
      <c r="AS892" s="65" t="n">
        <f aca="false">IF(AND(Y892&lt;&gt;"",'Historical Score'!$C$7&lt;&gt;""),IF(Y892='Historical Score'!$C$7,1,0),0)</f>
        <v>0</v>
      </c>
      <c r="AT892" s="65" t="n">
        <f aca="false">IF(AND(K892&lt;&gt;"",'Historical Score'!$C$8&lt;&gt;""),IF(K892='Historical Score'!$C$8,1,0),0)</f>
        <v>0</v>
      </c>
      <c r="AU892" s="65" t="n">
        <f aca="false">IF(AND(J892&lt;&gt;"",'Historical Score'!$C$9&lt;&gt;""),IF(J892='Historical Score'!$C$9,1,0),0)</f>
        <v>1</v>
      </c>
      <c r="AV892" s="65" t="n">
        <f aca="false">AR892*AS892*AQ892</f>
        <v>0</v>
      </c>
      <c r="AW892" s="65" t="n">
        <f aca="false">AR892*AT892*AQ892</f>
        <v>0</v>
      </c>
      <c r="AX892" s="65" t="n">
        <f aca="false">AR892*AS892</f>
        <v>0</v>
      </c>
      <c r="AY892" s="65" t="n">
        <f aca="false">AR892*AT892</f>
        <v>0</v>
      </c>
      <c r="AZ892" s="65" t="n">
        <f aca="false">AR892*AQ892</f>
        <v>0</v>
      </c>
      <c r="BA892" s="65" t="n">
        <f aca="false">AR892</f>
        <v>1</v>
      </c>
      <c r="BB892" s="65" t="n">
        <f aca="false">1</f>
        <v>1</v>
      </c>
      <c r="BC892" s="65" t="n">
        <f aca="false">IF(AV892=1,1,IF(AW892=1,2,IF(AX892=1,3,IF(AY892=1,4,IF(AZ892=1,5,IF(BA892=1,6,7))))))</f>
        <v>6</v>
      </c>
      <c r="BD892" s="65" t="n">
        <f aca="false">IF(AD892=1,CHOOSE('Historical Score'!$C$29,AV892,AW892,AX892,AY892,AZ892,BA892,BB892),0)</f>
        <v>0</v>
      </c>
      <c r="BE892" s="65" t="str">
        <f aca="false">IF(BD892=1,COUNTIF($BD$2:BD892,1),"")</f>
        <v/>
      </c>
    </row>
    <row r="893" customFormat="false" ht="15" hidden="false" customHeight="false" outlineLevel="0" collapsed="false">
      <c r="A893" s="65" t="s">
        <v>2751</v>
      </c>
      <c r="B893" s="65" t="s">
        <v>2752</v>
      </c>
      <c r="C893" s="65" t="s">
        <v>2753</v>
      </c>
      <c r="D893" s="65" t="s">
        <v>295</v>
      </c>
      <c r="E893" s="112" t="n">
        <v>46163</v>
      </c>
      <c r="F893" s="112" t="n">
        <v>46253</v>
      </c>
      <c r="G893" s="65" t="n">
        <v>1</v>
      </c>
      <c r="H893" s="65" t="s">
        <v>2754</v>
      </c>
      <c r="I893" s="65" t="s">
        <v>431</v>
      </c>
      <c r="J893" s="65" t="s">
        <v>350</v>
      </c>
      <c r="K893" s="65" t="s">
        <v>55</v>
      </c>
      <c r="L893" s="65" t="s">
        <v>64</v>
      </c>
      <c r="M893" s="113" t="n">
        <v>1.45</v>
      </c>
      <c r="N893" s="114" t="n">
        <v>13000</v>
      </c>
      <c r="O893" s="114" t="n">
        <v>1560</v>
      </c>
      <c r="P893" s="114" t="n">
        <v>18850</v>
      </c>
      <c r="Q893" s="114" t="n">
        <v>7534.32</v>
      </c>
      <c r="R893" s="114" t="n">
        <v>11315.68</v>
      </c>
      <c r="S893" s="115" t="n">
        <v>0.399698673740053</v>
      </c>
      <c r="T893" s="65" t="n">
        <v>18</v>
      </c>
      <c r="U893" s="65" t="n">
        <v>5</v>
      </c>
      <c r="V893" s="65" t="n">
        <v>66458.27</v>
      </c>
      <c r="W893" s="115" t="n">
        <v>0.063</v>
      </c>
      <c r="X893" s="112" t="n">
        <v>42740</v>
      </c>
      <c r="Y893" s="65" t="str">
        <f aca="false">IF(I893="","No SIC",IFERROR(VLOOKUP(I893,Ref!$A$2:$B$65,2,FALSE()),"Unclassified"))</f>
        <v>Apparel &amp; Accessory Stores</v>
      </c>
      <c r="Z893" s="65" t="str">
        <f aca="false">IF(T893="","",IF(T893&lt;12,"Daily","Weekly"))</f>
        <v>Weekly</v>
      </c>
      <c r="AA893" s="65" t="n">
        <f aca="false">IF(T893="",0,IF(T893&lt;12,T893*Controls!$B$29,T893*5))</f>
        <v>90</v>
      </c>
      <c r="AB893" s="65" t="n">
        <f aca="false">IF(E893="",0,NETWORKDAYS(E893,Controls!$B$36,Ref!$K$2:$K$42))</f>
        <v>67</v>
      </c>
      <c r="AC893" s="65" t="n">
        <f aca="false">IF(AND(AA893&gt;0,AB893&gt;=Controls!$B$39*AA893),1,0)</f>
        <v>0</v>
      </c>
      <c r="AD893" s="65" t="n">
        <f aca="false">IF(AND(E893&lt;&gt;"",E893&gt;=Controls!$B$37,E893&lt;=Controls!$B$38),1,0)</f>
        <v>1</v>
      </c>
      <c r="AE893" s="65" t="n">
        <f aca="false">IF(IFERROR(VLOOKUP(D893,Controls!$A$64:$E$74,2,FALSE()),"No")="Yes",1,0)</f>
        <v>0</v>
      </c>
      <c r="AF893" s="65" t="n">
        <f aca="false">IF(IFERROR(VLOOKUP(D893,Controls!$A$64:$E$74,3,FALSE()),"No")="Yes",1,0)</f>
        <v>0</v>
      </c>
      <c r="AG893" s="65" t="n">
        <f aca="false">IF(IFERROR(VLOOKUP(D893,Controls!$A$64:$E$74,4,FALSE()),"No")="Yes",1,0)</f>
        <v>0</v>
      </c>
      <c r="AH893" s="65" t="n">
        <f aca="false">IF(IFERROR(VLOOKUP(D893,Controls!$A$64:$E$74,5,FALSE()),"No")="Yes",1,0)</f>
        <v>1</v>
      </c>
      <c r="AI893" s="65" t="n">
        <f aca="false">IF(ISNUMBER(MATCH(D893,Controls!$A$64:$A$74,0)),1,0)</f>
        <v>1</v>
      </c>
      <c r="AJ893" s="65" t="n">
        <f aca="false">Q893-N893</f>
        <v>-5465.68</v>
      </c>
      <c r="AK893" s="65" t="n">
        <f aca="false">IF(AE893=1,MAX(0,N893-Q893),0)</f>
        <v>0</v>
      </c>
      <c r="AL893" s="65" t="n">
        <f aca="false">IF(OR(V893="",V893=0),0,N893/V893)</f>
        <v>0.195611471679898</v>
      </c>
      <c r="AM893" s="65" t="n">
        <f aca="false">IF(OR(V893="",V893=0),0,1)</f>
        <v>1</v>
      </c>
      <c r="AN893" s="65" t="n">
        <f aca="false">IF(OR(E893="",F893=""),0,NETWORKDAYS(E893,F893,Ref!$K$2:$K$42))</f>
        <v>63</v>
      </c>
      <c r="AO893" s="65" t="n">
        <f aca="false">IF(L893="Renewal",1,0)</f>
        <v>0</v>
      </c>
      <c r="AP893" s="65" t="n">
        <f aca="false">AC893*AD893</f>
        <v>0</v>
      </c>
      <c r="AQ893" s="65" t="n">
        <f aca="false">IF(AND(G893&lt;&gt;"",'Historical Score'!$C$6&lt;&gt;""),IF(G893='Historical Score'!$C$6,1,0),0)</f>
        <v>0</v>
      </c>
      <c r="AR893" s="65" t="n">
        <f aca="false">IF(AND(L893&lt;&gt;"",'Historical Score'!$C$5&lt;&gt;""),IF(L893='Historical Score'!$C$5,1,0),0)</f>
        <v>1</v>
      </c>
      <c r="AS893" s="65" t="n">
        <f aca="false">IF(AND(Y893&lt;&gt;"",'Historical Score'!$C$7&lt;&gt;""),IF(Y893='Historical Score'!$C$7,1,0),0)</f>
        <v>0</v>
      </c>
      <c r="AT893" s="65" t="n">
        <f aca="false">IF(AND(K893&lt;&gt;"",'Historical Score'!$C$8&lt;&gt;""),IF(K893='Historical Score'!$C$8,1,0),0)</f>
        <v>1</v>
      </c>
      <c r="AU893" s="65" t="n">
        <f aca="false">IF(AND(J893&lt;&gt;"",'Historical Score'!$C$9&lt;&gt;""),IF(J893='Historical Score'!$C$9,1,0),0)</f>
        <v>0</v>
      </c>
      <c r="AV893" s="65" t="n">
        <f aca="false">AR893*AS893*AQ893</f>
        <v>0</v>
      </c>
      <c r="AW893" s="65" t="n">
        <f aca="false">AR893*AT893*AQ893</f>
        <v>0</v>
      </c>
      <c r="AX893" s="65" t="n">
        <f aca="false">AR893*AS893</f>
        <v>0</v>
      </c>
      <c r="AY893" s="65" t="n">
        <f aca="false">AR893*AT893</f>
        <v>1</v>
      </c>
      <c r="AZ893" s="65" t="n">
        <f aca="false">AR893*AQ893</f>
        <v>0</v>
      </c>
      <c r="BA893" s="65" t="n">
        <f aca="false">AR893</f>
        <v>1</v>
      </c>
      <c r="BB893" s="65" t="n">
        <f aca="false">1</f>
        <v>1</v>
      </c>
      <c r="BC893" s="65" t="n">
        <f aca="false">IF(AV893=1,1,IF(AW893=1,2,IF(AX893=1,3,IF(AY893=1,4,IF(AZ893=1,5,IF(BA893=1,6,7))))))</f>
        <v>4</v>
      </c>
      <c r="BD893" s="65" t="n">
        <f aca="false">IF(AD893=1,CHOOSE('Historical Score'!$C$29,AV893,AW893,AX893,AY893,AZ893,BA893,BB893),0)</f>
        <v>0</v>
      </c>
      <c r="BE893" s="65" t="str">
        <f aca="false">IF(BD893=1,COUNTIF($BD$2:BD893,1),"")</f>
        <v/>
      </c>
    </row>
    <row r="894" customFormat="false" ht="15" hidden="false" customHeight="false" outlineLevel="0" collapsed="false">
      <c r="A894" s="65" t="s">
        <v>2755</v>
      </c>
      <c r="B894" s="65" t="s">
        <v>1770</v>
      </c>
      <c r="C894" s="65" t="s">
        <v>1770</v>
      </c>
      <c r="D894" s="65" t="s">
        <v>371</v>
      </c>
      <c r="E894" s="112" t="n">
        <v>46163</v>
      </c>
      <c r="F894" s="112" t="n">
        <v>46244</v>
      </c>
      <c r="G894" s="65" t="n">
        <v>3</v>
      </c>
      <c r="H894" s="65" t="s">
        <v>463</v>
      </c>
      <c r="I894" s="65" t="s">
        <v>419</v>
      </c>
      <c r="J894" s="65" t="s">
        <v>350</v>
      </c>
      <c r="K894" s="65" t="s">
        <v>1591</v>
      </c>
      <c r="L894" s="65" t="s">
        <v>320</v>
      </c>
      <c r="M894" s="113" t="n">
        <v>1.49</v>
      </c>
      <c r="N894" s="114" t="n">
        <v>15000</v>
      </c>
      <c r="O894" s="114" t="n">
        <v>2100</v>
      </c>
      <c r="P894" s="114" t="n">
        <v>22350</v>
      </c>
      <c r="Q894" s="114" t="n">
        <v>22350</v>
      </c>
      <c r="R894" s="114" t="n">
        <v>0</v>
      </c>
      <c r="S894" s="115" t="n">
        <v>1</v>
      </c>
      <c r="T894" s="65" t="n">
        <v>3.279</v>
      </c>
      <c r="U894" s="65" t="n">
        <v>2</v>
      </c>
      <c r="V894" s="65" t="n">
        <v>94527.26</v>
      </c>
      <c r="W894" s="115" t="n">
        <v>0.0497</v>
      </c>
      <c r="X894" s="112" t="n">
        <v>42906</v>
      </c>
      <c r="Y894" s="65" t="str">
        <f aca="false">IF(I894="","No SIC",IFERROR(VLOOKUP(I894,Ref!$A$2:$B$65,2,FALSE()),"Unclassified"))</f>
        <v>Business Services</v>
      </c>
      <c r="Z894" s="65" t="str">
        <f aca="false">IF(T894="","",IF(T894&lt;12,"Daily","Weekly"))</f>
        <v>Daily</v>
      </c>
      <c r="AA894" s="65" t="n">
        <f aca="false">IF(T894="",0,IF(T894&lt;12,T894*Controls!$B$29,T894*5))</f>
        <v>71.006745</v>
      </c>
      <c r="AB894" s="65" t="n">
        <f aca="false">IF(E894="",0,NETWORKDAYS(E894,Controls!$B$36,Ref!$K$2:$K$42))</f>
        <v>67</v>
      </c>
      <c r="AC894" s="65" t="n">
        <f aca="false">IF(AND(AA894&gt;0,AB894&gt;=Controls!$B$39*AA894),1,0)</f>
        <v>0</v>
      </c>
      <c r="AD894" s="65" t="n">
        <f aca="false">IF(AND(E894&lt;&gt;"",E894&gt;=Controls!$B$37,E894&lt;=Controls!$B$38),1,0)</f>
        <v>1</v>
      </c>
      <c r="AE894" s="65" t="n">
        <f aca="false">IF(IFERROR(VLOOKUP(D894,Controls!$A$64:$E$74,2,FALSE()),"No")="Yes",1,0)</f>
        <v>0</v>
      </c>
      <c r="AF894" s="65" t="n">
        <f aca="false">IF(IFERROR(VLOOKUP(D894,Controls!$A$64:$E$74,3,FALSE()),"No")="Yes",1,0)</f>
        <v>1</v>
      </c>
      <c r="AG894" s="65" t="n">
        <f aca="false">IF(IFERROR(VLOOKUP(D894,Controls!$A$64:$E$74,4,FALSE()),"No")="Yes",1,0)</f>
        <v>1</v>
      </c>
      <c r="AH894" s="65" t="n">
        <f aca="false">IF(IFERROR(VLOOKUP(D894,Controls!$A$64:$E$74,5,FALSE()),"No")="Yes",1,0)</f>
        <v>0</v>
      </c>
      <c r="AI894" s="65" t="n">
        <f aca="false">IF(ISNUMBER(MATCH(D894,Controls!$A$64:$A$74,0)),1,0)</f>
        <v>1</v>
      </c>
      <c r="AJ894" s="65" t="n">
        <f aca="false">Q894-N894</f>
        <v>7350</v>
      </c>
      <c r="AK894" s="65" t="n">
        <f aca="false">IF(AE894=1,MAX(0,N894-Q894),0)</f>
        <v>0</v>
      </c>
      <c r="AL894" s="65" t="n">
        <f aca="false">IF(OR(V894="",V894=0),0,N894/V894)</f>
        <v>0.158684383742848</v>
      </c>
      <c r="AM894" s="65" t="n">
        <f aca="false">IF(OR(V894="",V894=0),0,1)</f>
        <v>1</v>
      </c>
      <c r="AN894" s="65" t="n">
        <f aca="false">IF(OR(E894="",F894=""),0,NETWORKDAYS(E894,F894,Ref!$K$2:$K$42))</f>
        <v>56</v>
      </c>
      <c r="AO894" s="65" t="n">
        <f aca="false">IF(L894="Renewal",1,0)</f>
        <v>1</v>
      </c>
      <c r="AP894" s="65" t="n">
        <f aca="false">AC894*AD894</f>
        <v>0</v>
      </c>
      <c r="AQ894" s="65" t="n">
        <f aca="false">IF(AND(G894&lt;&gt;"",'Historical Score'!$C$6&lt;&gt;""),IF(G894='Historical Score'!$C$6,1,0),0)</f>
        <v>0</v>
      </c>
      <c r="AR894" s="65" t="n">
        <f aca="false">IF(AND(L894&lt;&gt;"",'Historical Score'!$C$5&lt;&gt;""),IF(L894='Historical Score'!$C$5,1,0),0)</f>
        <v>0</v>
      </c>
      <c r="AS894" s="65" t="n">
        <f aca="false">IF(AND(Y894&lt;&gt;"",'Historical Score'!$C$7&lt;&gt;""),IF(Y894='Historical Score'!$C$7,1,0),0)</f>
        <v>0</v>
      </c>
      <c r="AT894" s="65" t="n">
        <f aca="false">IF(AND(K894&lt;&gt;"",'Historical Score'!$C$8&lt;&gt;""),IF(K894='Historical Score'!$C$8,1,0),0)</f>
        <v>0</v>
      </c>
      <c r="AU894" s="65" t="n">
        <f aca="false">IF(AND(J894&lt;&gt;"",'Historical Score'!$C$9&lt;&gt;""),IF(J894='Historical Score'!$C$9,1,0),0)</f>
        <v>0</v>
      </c>
      <c r="AV894" s="65" t="n">
        <f aca="false">AR894*AS894*AQ894</f>
        <v>0</v>
      </c>
      <c r="AW894" s="65" t="n">
        <f aca="false">AR894*AT894*AQ894</f>
        <v>0</v>
      </c>
      <c r="AX894" s="65" t="n">
        <f aca="false">AR894*AS894</f>
        <v>0</v>
      </c>
      <c r="AY894" s="65" t="n">
        <f aca="false">AR894*AT894</f>
        <v>0</v>
      </c>
      <c r="AZ894" s="65" t="n">
        <f aca="false">AR894*AQ894</f>
        <v>0</v>
      </c>
      <c r="BA894" s="65" t="n">
        <f aca="false">AR894</f>
        <v>0</v>
      </c>
      <c r="BB894" s="65" t="n">
        <f aca="false">1</f>
        <v>1</v>
      </c>
      <c r="BC894" s="65" t="n">
        <f aca="false">IF(AV894=1,1,IF(AW894=1,2,IF(AX894=1,3,IF(AY894=1,4,IF(AZ894=1,5,IF(BA894=1,6,7))))))</f>
        <v>7</v>
      </c>
      <c r="BD894" s="65" t="n">
        <f aca="false">IF(AD894=1,CHOOSE('Historical Score'!$C$29,AV894,AW894,AX894,AY894,AZ894,BA894,BB894),0)</f>
        <v>0</v>
      </c>
      <c r="BE894" s="65" t="str">
        <f aca="false">IF(BD894=1,COUNTIF($BD$2:BD894,1),"")</f>
        <v/>
      </c>
    </row>
    <row r="895" customFormat="false" ht="15" hidden="false" customHeight="false" outlineLevel="0" collapsed="false">
      <c r="A895" s="65" t="s">
        <v>2756</v>
      </c>
      <c r="B895" s="65" t="s">
        <v>2757</v>
      </c>
      <c r="C895" s="65" t="s">
        <v>2758</v>
      </c>
      <c r="D895" s="65" t="s">
        <v>295</v>
      </c>
      <c r="E895" s="112" t="n">
        <v>46163</v>
      </c>
      <c r="F895" s="112" t="n">
        <v>46253</v>
      </c>
      <c r="G895" s="65" t="n">
        <v>2</v>
      </c>
      <c r="H895" s="65" t="s">
        <v>494</v>
      </c>
      <c r="I895" s="65" t="s">
        <v>484</v>
      </c>
      <c r="J895" s="65" t="s">
        <v>732</v>
      </c>
      <c r="K895" s="65" t="s">
        <v>538</v>
      </c>
      <c r="L895" s="65" t="s">
        <v>64</v>
      </c>
      <c r="M895" s="113" t="n">
        <v>1.45</v>
      </c>
      <c r="N895" s="114" t="n">
        <v>75000</v>
      </c>
      <c r="O895" s="114" t="n">
        <v>9000</v>
      </c>
      <c r="P895" s="114" t="n">
        <v>108750</v>
      </c>
      <c r="Q895" s="114" t="n">
        <v>38518.74</v>
      </c>
      <c r="R895" s="114" t="n">
        <v>70231.26</v>
      </c>
      <c r="S895" s="115" t="n">
        <v>0.354195310344828</v>
      </c>
      <c r="T895" s="65" t="n">
        <v>5.738</v>
      </c>
      <c r="U895" s="65" t="n">
        <v>0</v>
      </c>
      <c r="V895" s="65" t="n">
        <v>217444.77</v>
      </c>
      <c r="W895" s="115" t="n">
        <v>0.06</v>
      </c>
      <c r="X895" s="112" t="n">
        <v>42856</v>
      </c>
      <c r="Y895" s="65" t="str">
        <f aca="false">IF(I895="","No SIC",IFERROR(VLOOKUP(I895,Ref!$A$2:$B$65,2,FALSE()),"Unclassified"))</f>
        <v>Special Trade Contractors</v>
      </c>
      <c r="Z895" s="65" t="str">
        <f aca="false">IF(T895="","",IF(T895&lt;12,"Daily","Weekly"))</f>
        <v>Daily</v>
      </c>
      <c r="AA895" s="65" t="n">
        <f aca="false">IF(T895="",0,IF(T895&lt;12,T895*Controls!$B$29,T895*5))</f>
        <v>124.25639</v>
      </c>
      <c r="AB895" s="65" t="n">
        <f aca="false">IF(E895="",0,NETWORKDAYS(E895,Controls!$B$36,Ref!$K$2:$K$42))</f>
        <v>67</v>
      </c>
      <c r="AC895" s="65" t="n">
        <f aca="false">IF(AND(AA895&gt;0,AB895&gt;=Controls!$B$39*AA895),1,0)</f>
        <v>0</v>
      </c>
      <c r="AD895" s="65" t="n">
        <f aca="false">IF(AND(E895&lt;&gt;"",E895&gt;=Controls!$B$37,E895&lt;=Controls!$B$38),1,0)</f>
        <v>1</v>
      </c>
      <c r="AE895" s="65" t="n">
        <f aca="false">IF(IFERROR(VLOOKUP(D895,Controls!$A$64:$E$74,2,FALSE()),"No")="Yes",1,0)</f>
        <v>0</v>
      </c>
      <c r="AF895" s="65" t="n">
        <f aca="false">IF(IFERROR(VLOOKUP(D895,Controls!$A$64:$E$74,3,FALSE()),"No")="Yes",1,0)</f>
        <v>0</v>
      </c>
      <c r="AG895" s="65" t="n">
        <f aca="false">IF(IFERROR(VLOOKUP(D895,Controls!$A$64:$E$74,4,FALSE()),"No")="Yes",1,0)</f>
        <v>0</v>
      </c>
      <c r="AH895" s="65" t="n">
        <f aca="false">IF(IFERROR(VLOOKUP(D895,Controls!$A$64:$E$74,5,FALSE()),"No")="Yes",1,0)</f>
        <v>1</v>
      </c>
      <c r="AI895" s="65" t="n">
        <f aca="false">IF(ISNUMBER(MATCH(D895,Controls!$A$64:$A$74,0)),1,0)</f>
        <v>1</v>
      </c>
      <c r="AJ895" s="65" t="n">
        <f aca="false">Q895-N895</f>
        <v>-36481.26</v>
      </c>
      <c r="AK895" s="65" t="n">
        <f aca="false">IF(AE895=1,MAX(0,N895-Q895),0)</f>
        <v>0</v>
      </c>
      <c r="AL895" s="65" t="n">
        <f aca="false">IF(OR(V895="",V895=0),0,N895/V895)</f>
        <v>0.344915170873045</v>
      </c>
      <c r="AM895" s="65" t="n">
        <f aca="false">IF(OR(V895="",V895=0),0,1)</f>
        <v>1</v>
      </c>
      <c r="AN895" s="65" t="n">
        <f aca="false">IF(OR(E895="",F895=""),0,NETWORKDAYS(E895,F895,Ref!$K$2:$K$42))</f>
        <v>63</v>
      </c>
      <c r="AO895" s="65" t="n">
        <f aca="false">IF(L895="Renewal",1,0)</f>
        <v>0</v>
      </c>
      <c r="AP895" s="65" t="n">
        <f aca="false">AC895*AD895</f>
        <v>0</v>
      </c>
      <c r="AQ895" s="65" t="n">
        <f aca="false">IF(AND(G895&lt;&gt;"",'Historical Score'!$C$6&lt;&gt;""),IF(G895='Historical Score'!$C$6,1,0),0)</f>
        <v>1</v>
      </c>
      <c r="AR895" s="65" t="n">
        <f aca="false">IF(AND(L895&lt;&gt;"",'Historical Score'!$C$5&lt;&gt;""),IF(L895='Historical Score'!$C$5,1,0),0)</f>
        <v>1</v>
      </c>
      <c r="AS895" s="65" t="n">
        <f aca="false">IF(AND(Y895&lt;&gt;"",'Historical Score'!$C$7&lt;&gt;""),IF(Y895='Historical Score'!$C$7,1,0),0)</f>
        <v>0</v>
      </c>
      <c r="AT895" s="65" t="n">
        <f aca="false">IF(AND(K895&lt;&gt;"",'Historical Score'!$C$8&lt;&gt;""),IF(K895='Historical Score'!$C$8,1,0),0)</f>
        <v>0</v>
      </c>
      <c r="AU895" s="65" t="n">
        <f aca="false">IF(AND(J895&lt;&gt;"",'Historical Score'!$C$9&lt;&gt;""),IF(J895='Historical Score'!$C$9,1,0),0)</f>
        <v>0</v>
      </c>
      <c r="AV895" s="65" t="n">
        <f aca="false">AR895*AS895*AQ895</f>
        <v>0</v>
      </c>
      <c r="AW895" s="65" t="n">
        <f aca="false">AR895*AT895*AQ895</f>
        <v>0</v>
      </c>
      <c r="AX895" s="65" t="n">
        <f aca="false">AR895*AS895</f>
        <v>0</v>
      </c>
      <c r="AY895" s="65" t="n">
        <f aca="false">AR895*AT895</f>
        <v>0</v>
      </c>
      <c r="AZ895" s="65" t="n">
        <f aca="false">AR895*AQ895</f>
        <v>1</v>
      </c>
      <c r="BA895" s="65" t="n">
        <f aca="false">AR895</f>
        <v>1</v>
      </c>
      <c r="BB895" s="65" t="n">
        <f aca="false">1</f>
        <v>1</v>
      </c>
      <c r="BC895" s="65" t="n">
        <f aca="false">IF(AV895=1,1,IF(AW895=1,2,IF(AX895=1,3,IF(AY895=1,4,IF(AZ895=1,5,IF(BA895=1,6,7))))))</f>
        <v>5</v>
      </c>
      <c r="BD895" s="65" t="n">
        <f aca="false">IF(AD895=1,CHOOSE('Historical Score'!$C$29,AV895,AW895,AX895,AY895,AZ895,BA895,BB895),0)</f>
        <v>0</v>
      </c>
      <c r="BE895" s="65" t="str">
        <f aca="false">IF(BD895=1,COUNTIF($BD$2:BD895,1),"")</f>
        <v/>
      </c>
    </row>
    <row r="896" customFormat="false" ht="15" hidden="false" customHeight="false" outlineLevel="0" collapsed="false">
      <c r="A896" s="65" t="s">
        <v>2759</v>
      </c>
      <c r="B896" s="65" t="s">
        <v>2455</v>
      </c>
      <c r="C896" s="65" t="s">
        <v>2455</v>
      </c>
      <c r="D896" s="65" t="s">
        <v>295</v>
      </c>
      <c r="E896" s="112" t="n">
        <v>46164</v>
      </c>
      <c r="F896" s="112" t="n">
        <v>46247</v>
      </c>
      <c r="G896" s="65" t="n">
        <v>3</v>
      </c>
      <c r="H896" s="65" t="s">
        <v>637</v>
      </c>
      <c r="I896" s="65" t="s">
        <v>484</v>
      </c>
      <c r="J896" s="65" t="s">
        <v>506</v>
      </c>
      <c r="K896" s="65" t="s">
        <v>55</v>
      </c>
      <c r="L896" s="65" t="s">
        <v>320</v>
      </c>
      <c r="M896" s="113" t="n">
        <v>1.49</v>
      </c>
      <c r="N896" s="114" t="n">
        <v>42500</v>
      </c>
      <c r="O896" s="114" t="n">
        <v>5950</v>
      </c>
      <c r="P896" s="114" t="n">
        <v>63325</v>
      </c>
      <c r="Q896" s="114" t="n">
        <v>21762.85</v>
      </c>
      <c r="R896" s="114" t="n">
        <v>41562.15</v>
      </c>
      <c r="S896" s="115" t="n">
        <v>0.343669166995657</v>
      </c>
      <c r="T896" s="65" t="n">
        <v>32</v>
      </c>
      <c r="U896" s="65" t="n">
        <v>4</v>
      </c>
      <c r="V896" s="65" t="n">
        <v>57015.76</v>
      </c>
      <c r="W896" s="115" t="n">
        <v>0.1388</v>
      </c>
      <c r="X896" s="112" t="n">
        <v>44034</v>
      </c>
      <c r="Y896" s="65" t="str">
        <f aca="false">IF(I896="","No SIC",IFERROR(VLOOKUP(I896,Ref!$A$2:$B$65,2,FALSE()),"Unclassified"))</f>
        <v>Special Trade Contractors</v>
      </c>
      <c r="Z896" s="65" t="str">
        <f aca="false">IF(T896="","",IF(T896&lt;12,"Daily","Weekly"))</f>
        <v>Weekly</v>
      </c>
      <c r="AA896" s="65" t="n">
        <f aca="false">IF(T896="",0,IF(T896&lt;12,T896*Controls!$B$29,T896*5))</f>
        <v>160</v>
      </c>
      <c r="AB896" s="65" t="n">
        <f aca="false">IF(E896="",0,NETWORKDAYS(E896,Controls!$B$36,Ref!$K$2:$K$42))</f>
        <v>66</v>
      </c>
      <c r="AC896" s="65" t="n">
        <f aca="false">IF(AND(AA896&gt;0,AB896&gt;=Controls!$B$39*AA896),1,0)</f>
        <v>0</v>
      </c>
      <c r="AD896" s="65" t="n">
        <f aca="false">IF(AND(E896&lt;&gt;"",E896&gt;=Controls!$B$37,E896&lt;=Controls!$B$38),1,0)</f>
        <v>1</v>
      </c>
      <c r="AE896" s="65" t="n">
        <f aca="false">IF(IFERROR(VLOOKUP(D896,Controls!$A$64:$E$74,2,FALSE()),"No")="Yes",1,0)</f>
        <v>0</v>
      </c>
      <c r="AF896" s="65" t="n">
        <f aca="false">IF(IFERROR(VLOOKUP(D896,Controls!$A$64:$E$74,3,FALSE()),"No")="Yes",1,0)</f>
        <v>0</v>
      </c>
      <c r="AG896" s="65" t="n">
        <f aca="false">IF(IFERROR(VLOOKUP(D896,Controls!$A$64:$E$74,4,FALSE()),"No")="Yes",1,0)</f>
        <v>0</v>
      </c>
      <c r="AH896" s="65" t="n">
        <f aca="false">IF(IFERROR(VLOOKUP(D896,Controls!$A$64:$E$74,5,FALSE()),"No")="Yes",1,0)</f>
        <v>1</v>
      </c>
      <c r="AI896" s="65" t="n">
        <f aca="false">IF(ISNUMBER(MATCH(D896,Controls!$A$64:$A$74,0)),1,0)</f>
        <v>1</v>
      </c>
      <c r="AJ896" s="65" t="n">
        <f aca="false">Q896-N896</f>
        <v>-20737.15</v>
      </c>
      <c r="AK896" s="65" t="n">
        <f aca="false">IF(AE896=1,MAX(0,N896-Q896),0)</f>
        <v>0</v>
      </c>
      <c r="AL896" s="65" t="n">
        <f aca="false">IF(OR(V896="",V896=0),0,N896/V896)</f>
        <v>0.74540793633199</v>
      </c>
      <c r="AM896" s="65" t="n">
        <f aca="false">IF(OR(V896="",V896=0),0,1)</f>
        <v>1</v>
      </c>
      <c r="AN896" s="65" t="n">
        <f aca="false">IF(OR(E896="",F896=""),0,NETWORKDAYS(E896,F896,Ref!$K$2:$K$42))</f>
        <v>58</v>
      </c>
      <c r="AO896" s="65" t="n">
        <f aca="false">IF(L896="Renewal",1,0)</f>
        <v>1</v>
      </c>
      <c r="AP896" s="65" t="n">
        <f aca="false">AC896*AD896</f>
        <v>0</v>
      </c>
      <c r="AQ896" s="65" t="n">
        <f aca="false">IF(AND(G896&lt;&gt;"",'Historical Score'!$C$6&lt;&gt;""),IF(G896='Historical Score'!$C$6,1,0),0)</f>
        <v>0</v>
      </c>
      <c r="AR896" s="65" t="n">
        <f aca="false">IF(AND(L896&lt;&gt;"",'Historical Score'!$C$5&lt;&gt;""),IF(L896='Historical Score'!$C$5,1,0),0)</f>
        <v>0</v>
      </c>
      <c r="AS896" s="65" t="n">
        <f aca="false">IF(AND(Y896&lt;&gt;"",'Historical Score'!$C$7&lt;&gt;""),IF(Y896='Historical Score'!$C$7,1,0),0)</f>
        <v>0</v>
      </c>
      <c r="AT896" s="65" t="n">
        <f aca="false">IF(AND(K896&lt;&gt;"",'Historical Score'!$C$8&lt;&gt;""),IF(K896='Historical Score'!$C$8,1,0),0)</f>
        <v>1</v>
      </c>
      <c r="AU896" s="65" t="n">
        <f aca="false">IF(AND(J896&lt;&gt;"",'Historical Score'!$C$9&lt;&gt;""),IF(J896='Historical Score'!$C$9,1,0),0)</f>
        <v>0</v>
      </c>
      <c r="AV896" s="65" t="n">
        <f aca="false">AR896*AS896*AQ896</f>
        <v>0</v>
      </c>
      <c r="AW896" s="65" t="n">
        <f aca="false">AR896*AT896*AQ896</f>
        <v>0</v>
      </c>
      <c r="AX896" s="65" t="n">
        <f aca="false">AR896*AS896</f>
        <v>0</v>
      </c>
      <c r="AY896" s="65" t="n">
        <f aca="false">AR896*AT896</f>
        <v>0</v>
      </c>
      <c r="AZ896" s="65" t="n">
        <f aca="false">AR896*AQ896</f>
        <v>0</v>
      </c>
      <c r="BA896" s="65" t="n">
        <f aca="false">AR896</f>
        <v>0</v>
      </c>
      <c r="BB896" s="65" t="n">
        <f aca="false">1</f>
        <v>1</v>
      </c>
      <c r="BC896" s="65" t="n">
        <f aca="false">IF(AV896=1,1,IF(AW896=1,2,IF(AX896=1,3,IF(AY896=1,4,IF(AZ896=1,5,IF(BA896=1,6,7))))))</f>
        <v>7</v>
      </c>
      <c r="BD896" s="65" t="n">
        <f aca="false">IF(AD896=1,CHOOSE('Historical Score'!$C$29,AV896,AW896,AX896,AY896,AZ896,BA896,BB896),0)</f>
        <v>0</v>
      </c>
      <c r="BE896" s="65" t="str">
        <f aca="false">IF(BD896=1,COUNTIF($BD$2:BD896,1),"")</f>
        <v/>
      </c>
    </row>
    <row r="897" customFormat="false" ht="15" hidden="false" customHeight="false" outlineLevel="0" collapsed="false">
      <c r="A897" s="65" t="s">
        <v>2760</v>
      </c>
      <c r="B897" s="65" t="s">
        <v>2761</v>
      </c>
      <c r="C897" s="65" t="s">
        <v>2761</v>
      </c>
      <c r="D897" s="65" t="s">
        <v>295</v>
      </c>
      <c r="E897" s="112" t="n">
        <v>46164</v>
      </c>
      <c r="F897" s="112" t="n">
        <v>46248</v>
      </c>
      <c r="G897" s="65" t="n">
        <v>3</v>
      </c>
      <c r="H897" s="65" t="s">
        <v>409</v>
      </c>
      <c r="I897" s="65" t="s">
        <v>342</v>
      </c>
      <c r="J897" s="65" t="s">
        <v>380</v>
      </c>
      <c r="K897" s="65" t="s">
        <v>2319</v>
      </c>
      <c r="L897" s="65" t="s">
        <v>64</v>
      </c>
      <c r="M897" s="113" t="n">
        <v>1.47</v>
      </c>
      <c r="N897" s="114" t="n">
        <v>30000</v>
      </c>
      <c r="O897" s="114" t="n">
        <v>3900</v>
      </c>
      <c r="P897" s="114" t="n">
        <v>44100</v>
      </c>
      <c r="Q897" s="114" t="n">
        <v>16400.58</v>
      </c>
      <c r="R897" s="114" t="n">
        <v>27699.42</v>
      </c>
      <c r="S897" s="115" t="n">
        <v>0.371895238095238</v>
      </c>
      <c r="T897" s="65" t="n">
        <v>20</v>
      </c>
      <c r="U897" s="65" t="n">
        <v>2</v>
      </c>
      <c r="V897" s="65" t="n">
        <v>85000</v>
      </c>
      <c r="W897" s="115" t="n">
        <v>0.0818</v>
      </c>
      <c r="X897" s="112" t="n">
        <v>35753</v>
      </c>
      <c r="Y897" s="65" t="str">
        <f aca="false">IF(I897="","No SIC",IFERROR(VLOOKUP(I897,Ref!$A$2:$B$65,2,FALSE()),"Unclassified"))</f>
        <v>Eating &amp; Drinking Places</v>
      </c>
      <c r="Z897" s="65" t="str">
        <f aca="false">IF(T897="","",IF(T897&lt;12,"Daily","Weekly"))</f>
        <v>Weekly</v>
      </c>
      <c r="AA897" s="65" t="n">
        <f aca="false">IF(T897="",0,IF(T897&lt;12,T897*Controls!$B$29,T897*5))</f>
        <v>100</v>
      </c>
      <c r="AB897" s="65" t="n">
        <f aca="false">IF(E897="",0,NETWORKDAYS(E897,Controls!$B$36,Ref!$K$2:$K$42))</f>
        <v>66</v>
      </c>
      <c r="AC897" s="65" t="n">
        <f aca="false">IF(AND(AA897&gt;0,AB897&gt;=Controls!$B$39*AA897),1,0)</f>
        <v>0</v>
      </c>
      <c r="AD897" s="65" t="n">
        <f aca="false">IF(AND(E897&lt;&gt;"",E897&gt;=Controls!$B$37,E897&lt;=Controls!$B$38),1,0)</f>
        <v>1</v>
      </c>
      <c r="AE897" s="65" t="n">
        <f aca="false">IF(IFERROR(VLOOKUP(D897,Controls!$A$64:$E$74,2,FALSE()),"No")="Yes",1,0)</f>
        <v>0</v>
      </c>
      <c r="AF897" s="65" t="n">
        <f aca="false">IF(IFERROR(VLOOKUP(D897,Controls!$A$64:$E$74,3,FALSE()),"No")="Yes",1,0)</f>
        <v>0</v>
      </c>
      <c r="AG897" s="65" t="n">
        <f aca="false">IF(IFERROR(VLOOKUP(D897,Controls!$A$64:$E$74,4,FALSE()),"No")="Yes",1,0)</f>
        <v>0</v>
      </c>
      <c r="AH897" s="65" t="n">
        <f aca="false">IF(IFERROR(VLOOKUP(D897,Controls!$A$64:$E$74,5,FALSE()),"No")="Yes",1,0)</f>
        <v>1</v>
      </c>
      <c r="AI897" s="65" t="n">
        <f aca="false">IF(ISNUMBER(MATCH(D897,Controls!$A$64:$A$74,0)),1,0)</f>
        <v>1</v>
      </c>
      <c r="AJ897" s="65" t="n">
        <f aca="false">Q897-N897</f>
        <v>-13599.42</v>
      </c>
      <c r="AK897" s="65" t="n">
        <f aca="false">IF(AE897=1,MAX(0,N897-Q897),0)</f>
        <v>0</v>
      </c>
      <c r="AL897" s="65" t="n">
        <f aca="false">IF(OR(V897="",V897=0),0,N897/V897)</f>
        <v>0.352941176470588</v>
      </c>
      <c r="AM897" s="65" t="n">
        <f aca="false">IF(OR(V897="",V897=0),0,1)</f>
        <v>1</v>
      </c>
      <c r="AN897" s="65" t="n">
        <f aca="false">IF(OR(E897="",F897=""),0,NETWORKDAYS(E897,F897,Ref!$K$2:$K$42))</f>
        <v>59</v>
      </c>
      <c r="AO897" s="65" t="n">
        <f aca="false">IF(L897="Renewal",1,0)</f>
        <v>0</v>
      </c>
      <c r="AP897" s="65" t="n">
        <f aca="false">AC897*AD897</f>
        <v>0</v>
      </c>
      <c r="AQ897" s="65" t="n">
        <f aca="false">IF(AND(G897&lt;&gt;"",'Historical Score'!$C$6&lt;&gt;""),IF(G897='Historical Score'!$C$6,1,0),0)</f>
        <v>0</v>
      </c>
      <c r="AR897" s="65" t="n">
        <f aca="false">IF(AND(L897&lt;&gt;"",'Historical Score'!$C$5&lt;&gt;""),IF(L897='Historical Score'!$C$5,1,0),0)</f>
        <v>1</v>
      </c>
      <c r="AS897" s="65" t="n">
        <f aca="false">IF(AND(Y897&lt;&gt;"",'Historical Score'!$C$7&lt;&gt;""),IF(Y897='Historical Score'!$C$7,1,0),0)</f>
        <v>0</v>
      </c>
      <c r="AT897" s="65" t="n">
        <f aca="false">IF(AND(K897&lt;&gt;"",'Historical Score'!$C$8&lt;&gt;""),IF(K897='Historical Score'!$C$8,1,0),0)</f>
        <v>0</v>
      </c>
      <c r="AU897" s="65" t="n">
        <f aca="false">IF(AND(J897&lt;&gt;"",'Historical Score'!$C$9&lt;&gt;""),IF(J897='Historical Score'!$C$9,1,0),0)</f>
        <v>0</v>
      </c>
      <c r="AV897" s="65" t="n">
        <f aca="false">AR897*AS897*AQ897</f>
        <v>0</v>
      </c>
      <c r="AW897" s="65" t="n">
        <f aca="false">AR897*AT897*AQ897</f>
        <v>0</v>
      </c>
      <c r="AX897" s="65" t="n">
        <f aca="false">AR897*AS897</f>
        <v>0</v>
      </c>
      <c r="AY897" s="65" t="n">
        <f aca="false">AR897*AT897</f>
        <v>0</v>
      </c>
      <c r="AZ897" s="65" t="n">
        <f aca="false">AR897*AQ897</f>
        <v>0</v>
      </c>
      <c r="BA897" s="65" t="n">
        <f aca="false">AR897</f>
        <v>1</v>
      </c>
      <c r="BB897" s="65" t="n">
        <f aca="false">1</f>
        <v>1</v>
      </c>
      <c r="BC897" s="65" t="n">
        <f aca="false">IF(AV897=1,1,IF(AW897=1,2,IF(AX897=1,3,IF(AY897=1,4,IF(AZ897=1,5,IF(BA897=1,6,7))))))</f>
        <v>6</v>
      </c>
      <c r="BD897" s="65" t="n">
        <f aca="false">IF(AD897=1,CHOOSE('Historical Score'!$C$29,AV897,AW897,AX897,AY897,AZ897,BA897,BB897),0)</f>
        <v>0</v>
      </c>
      <c r="BE897" s="65" t="str">
        <f aca="false">IF(BD897=1,COUNTIF($BD$2:BD897,1),"")</f>
        <v/>
      </c>
    </row>
    <row r="898" customFormat="false" ht="15" hidden="false" customHeight="false" outlineLevel="0" collapsed="false">
      <c r="A898" s="65" t="s">
        <v>2762</v>
      </c>
      <c r="B898" s="65" t="s">
        <v>2500</v>
      </c>
      <c r="C898" s="65" t="s">
        <v>2501</v>
      </c>
      <c r="D898" s="65" t="s">
        <v>371</v>
      </c>
      <c r="E898" s="112" t="n">
        <v>46168</v>
      </c>
      <c r="F898" s="112" t="n">
        <v>46246</v>
      </c>
      <c r="G898" s="65" t="n">
        <v>3</v>
      </c>
      <c r="H898" s="65" t="s">
        <v>479</v>
      </c>
      <c r="I898" s="65" t="s">
        <v>356</v>
      </c>
      <c r="J898" s="65" t="s">
        <v>380</v>
      </c>
      <c r="K898" s="65" t="s">
        <v>581</v>
      </c>
      <c r="L898" s="65" t="s">
        <v>320</v>
      </c>
      <c r="M898" s="113" t="n">
        <v>1.49</v>
      </c>
      <c r="N898" s="114" t="n">
        <v>35000</v>
      </c>
      <c r="O898" s="114" t="n">
        <v>4900</v>
      </c>
      <c r="P898" s="114" t="n">
        <v>52150</v>
      </c>
      <c r="Q898" s="114" t="n">
        <v>52150</v>
      </c>
      <c r="R898" s="114" t="n">
        <v>0</v>
      </c>
      <c r="S898" s="115" t="n">
        <v>1</v>
      </c>
      <c r="T898" s="65" t="n">
        <v>2.459</v>
      </c>
      <c r="U898" s="65" t="n">
        <v>0</v>
      </c>
      <c r="V898" s="65" t="n">
        <v>205385.89</v>
      </c>
      <c r="W898" s="115" t="n">
        <v>0.1659</v>
      </c>
      <c r="X898" s="112" t="n">
        <v>44621</v>
      </c>
      <c r="Y898" s="65" t="str">
        <f aca="false">IF(I898="","No SIC",IFERROR(VLOOKUP(I898,Ref!$A$2:$B$65,2,FALSE()),"Unclassified"))</f>
        <v>Trucking &amp; Warehousing</v>
      </c>
      <c r="Z898" s="65" t="str">
        <f aca="false">IF(T898="","",IF(T898&lt;12,"Daily","Weekly"))</f>
        <v>Daily</v>
      </c>
      <c r="AA898" s="65" t="n">
        <f aca="false">IF(T898="",0,IF(T898&lt;12,T898*Controls!$B$29,T898*5))</f>
        <v>53.249645</v>
      </c>
      <c r="AB898" s="65" t="n">
        <f aca="false">IF(E898="",0,NETWORKDAYS(E898,Controls!$B$36,Ref!$K$2:$K$42))</f>
        <v>65</v>
      </c>
      <c r="AC898" s="65" t="n">
        <f aca="false">IF(AND(AA898&gt;0,AB898&gt;=Controls!$B$39*AA898),1,0)</f>
        <v>0</v>
      </c>
      <c r="AD898" s="65" t="n">
        <f aca="false">IF(AND(E898&lt;&gt;"",E898&gt;=Controls!$B$37,E898&lt;=Controls!$B$38),1,0)</f>
        <v>1</v>
      </c>
      <c r="AE898" s="65" t="n">
        <f aca="false">IF(IFERROR(VLOOKUP(D898,Controls!$A$64:$E$74,2,FALSE()),"No")="Yes",1,0)</f>
        <v>0</v>
      </c>
      <c r="AF898" s="65" t="n">
        <f aca="false">IF(IFERROR(VLOOKUP(D898,Controls!$A$64:$E$74,3,FALSE()),"No")="Yes",1,0)</f>
        <v>1</v>
      </c>
      <c r="AG898" s="65" t="n">
        <f aca="false">IF(IFERROR(VLOOKUP(D898,Controls!$A$64:$E$74,4,FALSE()),"No")="Yes",1,0)</f>
        <v>1</v>
      </c>
      <c r="AH898" s="65" t="n">
        <f aca="false">IF(IFERROR(VLOOKUP(D898,Controls!$A$64:$E$74,5,FALSE()),"No")="Yes",1,0)</f>
        <v>0</v>
      </c>
      <c r="AI898" s="65" t="n">
        <f aca="false">IF(ISNUMBER(MATCH(D898,Controls!$A$64:$A$74,0)),1,0)</f>
        <v>1</v>
      </c>
      <c r="AJ898" s="65" t="n">
        <f aca="false">Q898-N898</f>
        <v>17150</v>
      </c>
      <c r="AK898" s="65" t="n">
        <f aca="false">IF(AE898=1,MAX(0,N898-Q898),0)</f>
        <v>0</v>
      </c>
      <c r="AL898" s="65" t="n">
        <f aca="false">IF(OR(V898="",V898=0),0,N898/V898)</f>
        <v>0.170410927449787</v>
      </c>
      <c r="AM898" s="65" t="n">
        <f aca="false">IF(OR(V898="",V898=0),0,1)</f>
        <v>1</v>
      </c>
      <c r="AN898" s="65" t="n">
        <f aca="false">IF(OR(E898="",F898=""),0,NETWORKDAYS(E898,F898,Ref!$K$2:$K$42))</f>
        <v>56</v>
      </c>
      <c r="AO898" s="65" t="n">
        <f aca="false">IF(L898="Renewal",1,0)</f>
        <v>1</v>
      </c>
      <c r="AP898" s="65" t="n">
        <f aca="false">AC898*AD898</f>
        <v>0</v>
      </c>
      <c r="AQ898" s="65" t="n">
        <f aca="false">IF(AND(G898&lt;&gt;"",'Historical Score'!$C$6&lt;&gt;""),IF(G898='Historical Score'!$C$6,1,0),0)</f>
        <v>0</v>
      </c>
      <c r="AR898" s="65" t="n">
        <f aca="false">IF(AND(L898&lt;&gt;"",'Historical Score'!$C$5&lt;&gt;""),IF(L898='Historical Score'!$C$5,1,0),0)</f>
        <v>0</v>
      </c>
      <c r="AS898" s="65" t="n">
        <f aca="false">IF(AND(Y898&lt;&gt;"",'Historical Score'!$C$7&lt;&gt;""),IF(Y898='Historical Score'!$C$7,1,0),0)</f>
        <v>0</v>
      </c>
      <c r="AT898" s="65" t="n">
        <f aca="false">IF(AND(K898&lt;&gt;"",'Historical Score'!$C$8&lt;&gt;""),IF(K898='Historical Score'!$C$8,1,0),0)</f>
        <v>0</v>
      </c>
      <c r="AU898" s="65" t="n">
        <f aca="false">IF(AND(J898&lt;&gt;"",'Historical Score'!$C$9&lt;&gt;""),IF(J898='Historical Score'!$C$9,1,0),0)</f>
        <v>0</v>
      </c>
      <c r="AV898" s="65" t="n">
        <f aca="false">AR898*AS898*AQ898</f>
        <v>0</v>
      </c>
      <c r="AW898" s="65" t="n">
        <f aca="false">AR898*AT898*AQ898</f>
        <v>0</v>
      </c>
      <c r="AX898" s="65" t="n">
        <f aca="false">AR898*AS898</f>
        <v>0</v>
      </c>
      <c r="AY898" s="65" t="n">
        <f aca="false">AR898*AT898</f>
        <v>0</v>
      </c>
      <c r="AZ898" s="65" t="n">
        <f aca="false">AR898*AQ898</f>
        <v>0</v>
      </c>
      <c r="BA898" s="65" t="n">
        <f aca="false">AR898</f>
        <v>0</v>
      </c>
      <c r="BB898" s="65" t="n">
        <f aca="false">1</f>
        <v>1</v>
      </c>
      <c r="BC898" s="65" t="n">
        <f aca="false">IF(AV898=1,1,IF(AW898=1,2,IF(AX898=1,3,IF(AY898=1,4,IF(AZ898=1,5,IF(BA898=1,6,7))))))</f>
        <v>7</v>
      </c>
      <c r="BD898" s="65" t="n">
        <f aca="false">IF(AD898=1,CHOOSE('Historical Score'!$C$29,AV898,AW898,AX898,AY898,AZ898,BA898,BB898),0)</f>
        <v>0</v>
      </c>
      <c r="BE898" s="65" t="str">
        <f aca="false">IF(BD898=1,COUNTIF($BD$2:BD898,1),"")</f>
        <v/>
      </c>
    </row>
    <row r="899" customFormat="false" ht="15" hidden="false" customHeight="false" outlineLevel="0" collapsed="false">
      <c r="A899" s="65" t="s">
        <v>2763</v>
      </c>
      <c r="B899" s="65" t="s">
        <v>2272</v>
      </c>
      <c r="C899" s="65" t="s">
        <v>2272</v>
      </c>
      <c r="D899" s="65" t="s">
        <v>340</v>
      </c>
      <c r="E899" s="112" t="n">
        <v>46168</v>
      </c>
      <c r="F899" s="112" t="n">
        <v>46220</v>
      </c>
      <c r="G899" s="65" t="n">
        <v>5</v>
      </c>
      <c r="H899" s="65" t="s">
        <v>1730</v>
      </c>
      <c r="I899" s="65" t="s">
        <v>484</v>
      </c>
      <c r="J899" s="65" t="s">
        <v>1254</v>
      </c>
      <c r="K899" s="65" t="s">
        <v>55</v>
      </c>
      <c r="L899" s="65" t="s">
        <v>320</v>
      </c>
      <c r="M899" s="113" t="n">
        <v>1.49</v>
      </c>
      <c r="N899" s="114" t="n">
        <v>25000</v>
      </c>
      <c r="O899" s="114" t="n">
        <v>3500</v>
      </c>
      <c r="P899" s="114" t="n">
        <v>37250</v>
      </c>
      <c r="Q899" s="114" t="n">
        <v>1330.88</v>
      </c>
      <c r="R899" s="114" t="n">
        <v>35919.12</v>
      </c>
      <c r="S899" s="115" t="n">
        <v>0.035728322147651</v>
      </c>
      <c r="T899" s="65" t="n">
        <v>28</v>
      </c>
      <c r="U899" s="65" t="n">
        <v>7</v>
      </c>
      <c r="V899" s="65" t="n">
        <v>65000</v>
      </c>
      <c r="W899" s="115" t="n">
        <v>0.1183</v>
      </c>
      <c r="X899" s="112"/>
      <c r="Y899" s="65" t="str">
        <f aca="false">IF(I899="","No SIC",IFERROR(VLOOKUP(I899,Ref!$A$2:$B$65,2,FALSE()),"Unclassified"))</f>
        <v>Special Trade Contractors</v>
      </c>
      <c r="Z899" s="65" t="str">
        <f aca="false">IF(T899="","",IF(T899&lt;12,"Daily","Weekly"))</f>
        <v>Weekly</v>
      </c>
      <c r="AA899" s="65" t="n">
        <f aca="false">IF(T899="",0,IF(T899&lt;12,T899*Controls!$B$29,T899*5))</f>
        <v>140</v>
      </c>
      <c r="AB899" s="65" t="n">
        <f aca="false">IF(E899="",0,NETWORKDAYS(E899,Controls!$B$36,Ref!$K$2:$K$42))</f>
        <v>65</v>
      </c>
      <c r="AC899" s="65" t="n">
        <f aca="false">IF(AND(AA899&gt;0,AB899&gt;=Controls!$B$39*AA899),1,0)</f>
        <v>0</v>
      </c>
      <c r="AD899" s="65" t="n">
        <f aca="false">IF(AND(E899&lt;&gt;"",E899&gt;=Controls!$B$37,E899&lt;=Controls!$B$38),1,0)</f>
        <v>1</v>
      </c>
      <c r="AE899" s="65" t="n">
        <f aca="false">IF(IFERROR(VLOOKUP(D899,Controls!$A$64:$E$74,2,FALSE()),"No")="Yes",1,0)</f>
        <v>1</v>
      </c>
      <c r="AF899" s="65" t="n">
        <f aca="false">IF(IFERROR(VLOOKUP(D899,Controls!$A$64:$E$74,3,FALSE()),"No")="Yes",1,0)</f>
        <v>0</v>
      </c>
      <c r="AG899" s="65" t="n">
        <f aca="false">IF(IFERROR(VLOOKUP(D899,Controls!$A$64:$E$74,4,FALSE()),"No")="Yes",1,0)</f>
        <v>0</v>
      </c>
      <c r="AH899" s="65" t="n">
        <f aca="false">IF(IFERROR(VLOOKUP(D899,Controls!$A$64:$E$74,5,FALSE()),"No")="Yes",1,0)</f>
        <v>0</v>
      </c>
      <c r="AI899" s="65" t="n">
        <f aca="false">IF(ISNUMBER(MATCH(D899,Controls!$A$64:$A$74,0)),1,0)</f>
        <v>1</v>
      </c>
      <c r="AJ899" s="65" t="n">
        <f aca="false">Q899-N899</f>
        <v>-23669.12</v>
      </c>
      <c r="AK899" s="65" t="n">
        <f aca="false">IF(AE899=1,MAX(0,N899-Q899),0)</f>
        <v>23669.12</v>
      </c>
      <c r="AL899" s="65" t="n">
        <f aca="false">IF(OR(V899="",V899=0),0,N899/V899)</f>
        <v>0.384615384615385</v>
      </c>
      <c r="AM899" s="65" t="n">
        <f aca="false">IF(OR(V899="",V899=0),0,1)</f>
        <v>1</v>
      </c>
      <c r="AN899" s="65" t="n">
        <f aca="false">IF(OR(E899="",F899=""),0,NETWORKDAYS(E899,F899,Ref!$K$2:$K$42))</f>
        <v>38</v>
      </c>
      <c r="AO899" s="65" t="n">
        <f aca="false">IF(L899="Renewal",1,0)</f>
        <v>1</v>
      </c>
      <c r="AP899" s="65" t="n">
        <f aca="false">AC899*AD899</f>
        <v>0</v>
      </c>
      <c r="AQ899" s="65" t="n">
        <f aca="false">IF(AND(G899&lt;&gt;"",'Historical Score'!$C$6&lt;&gt;""),IF(G899='Historical Score'!$C$6,1,0),0)</f>
        <v>0</v>
      </c>
      <c r="AR899" s="65" t="n">
        <f aca="false">IF(AND(L899&lt;&gt;"",'Historical Score'!$C$5&lt;&gt;""),IF(L899='Historical Score'!$C$5,1,0),0)</f>
        <v>0</v>
      </c>
      <c r="AS899" s="65" t="n">
        <f aca="false">IF(AND(Y899&lt;&gt;"",'Historical Score'!$C$7&lt;&gt;""),IF(Y899='Historical Score'!$C$7,1,0),0)</f>
        <v>0</v>
      </c>
      <c r="AT899" s="65" t="n">
        <f aca="false">IF(AND(K899&lt;&gt;"",'Historical Score'!$C$8&lt;&gt;""),IF(K899='Historical Score'!$C$8,1,0),0)</f>
        <v>1</v>
      </c>
      <c r="AU899" s="65" t="n">
        <f aca="false">IF(AND(J899&lt;&gt;"",'Historical Score'!$C$9&lt;&gt;""),IF(J899='Historical Score'!$C$9,1,0),0)</f>
        <v>0</v>
      </c>
      <c r="AV899" s="65" t="n">
        <f aca="false">AR899*AS899*AQ899</f>
        <v>0</v>
      </c>
      <c r="AW899" s="65" t="n">
        <f aca="false">AR899*AT899*AQ899</f>
        <v>0</v>
      </c>
      <c r="AX899" s="65" t="n">
        <f aca="false">AR899*AS899</f>
        <v>0</v>
      </c>
      <c r="AY899" s="65" t="n">
        <f aca="false">AR899*AT899</f>
        <v>0</v>
      </c>
      <c r="AZ899" s="65" t="n">
        <f aca="false">AR899*AQ899</f>
        <v>0</v>
      </c>
      <c r="BA899" s="65" t="n">
        <f aca="false">AR899</f>
        <v>0</v>
      </c>
      <c r="BB899" s="65" t="n">
        <f aca="false">1</f>
        <v>1</v>
      </c>
      <c r="BC899" s="65" t="n">
        <f aca="false">IF(AV899=1,1,IF(AW899=1,2,IF(AX899=1,3,IF(AY899=1,4,IF(AZ899=1,5,IF(BA899=1,6,7))))))</f>
        <v>7</v>
      </c>
      <c r="BD899" s="65" t="n">
        <f aca="false">IF(AD899=1,CHOOSE('Historical Score'!$C$29,AV899,AW899,AX899,AY899,AZ899,BA899,BB899),0)</f>
        <v>0</v>
      </c>
      <c r="BE899" s="65" t="str">
        <f aca="false">IF(BD899=1,COUNTIF($BD$2:BD899,1),"")</f>
        <v/>
      </c>
    </row>
    <row r="900" customFormat="false" ht="15" hidden="false" customHeight="false" outlineLevel="0" collapsed="false">
      <c r="A900" s="65" t="s">
        <v>2764</v>
      </c>
      <c r="B900" s="65" t="s">
        <v>2328</v>
      </c>
      <c r="C900" s="65" t="s">
        <v>2328</v>
      </c>
      <c r="D900" s="65" t="s">
        <v>295</v>
      </c>
      <c r="E900" s="112" t="n">
        <v>46168</v>
      </c>
      <c r="F900" s="112" t="n">
        <v>46253</v>
      </c>
      <c r="G900" s="65" t="n">
        <v>3</v>
      </c>
      <c r="H900" s="65" t="s">
        <v>748</v>
      </c>
      <c r="I900" s="65" t="s">
        <v>619</v>
      </c>
      <c r="J900" s="65" t="s">
        <v>1306</v>
      </c>
      <c r="K900" s="65" t="s">
        <v>2330</v>
      </c>
      <c r="L900" s="65" t="s">
        <v>320</v>
      </c>
      <c r="M900" s="113" t="n">
        <v>1.37</v>
      </c>
      <c r="N900" s="114" t="n">
        <v>25500</v>
      </c>
      <c r="O900" s="114" t="n">
        <v>2040</v>
      </c>
      <c r="P900" s="114" t="n">
        <v>34935</v>
      </c>
      <c r="Q900" s="114" t="n">
        <v>16605.81</v>
      </c>
      <c r="R900" s="114" t="n">
        <v>18329.19</v>
      </c>
      <c r="S900" s="115" t="n">
        <v>0.475334478316874</v>
      </c>
      <c r="T900" s="65" t="n">
        <v>3.934</v>
      </c>
      <c r="U900" s="65" t="n">
        <v>1</v>
      </c>
      <c r="V900" s="65" t="n">
        <v>152565.23</v>
      </c>
      <c r="W900" s="115" t="n">
        <v>0.0401</v>
      </c>
      <c r="X900" s="112" t="n">
        <v>45108</v>
      </c>
      <c r="Y900" s="65" t="str">
        <f aca="false">IF(I900="","No SIC",IFERROR(VLOOKUP(I900,Ref!$A$2:$B$65,2,FALSE()),"Unclassified"))</f>
        <v>Miscellaneous Retail</v>
      </c>
      <c r="Z900" s="65" t="str">
        <f aca="false">IF(T900="","",IF(T900&lt;12,"Daily","Weekly"))</f>
        <v>Daily</v>
      </c>
      <c r="AA900" s="65" t="n">
        <f aca="false">IF(T900="",0,IF(T900&lt;12,T900*Controls!$B$29,T900*5))</f>
        <v>85.19077</v>
      </c>
      <c r="AB900" s="65" t="n">
        <f aca="false">IF(E900="",0,NETWORKDAYS(E900,Controls!$B$36,Ref!$K$2:$K$42))</f>
        <v>65</v>
      </c>
      <c r="AC900" s="65" t="n">
        <f aca="false">IF(AND(AA900&gt;0,AB900&gt;=Controls!$B$39*AA900),1,0)</f>
        <v>0</v>
      </c>
      <c r="AD900" s="65" t="n">
        <f aca="false">IF(AND(E900&lt;&gt;"",E900&gt;=Controls!$B$37,E900&lt;=Controls!$B$38),1,0)</f>
        <v>1</v>
      </c>
      <c r="AE900" s="65" t="n">
        <f aca="false">IF(IFERROR(VLOOKUP(D900,Controls!$A$64:$E$74,2,FALSE()),"No")="Yes",1,0)</f>
        <v>0</v>
      </c>
      <c r="AF900" s="65" t="n">
        <f aca="false">IF(IFERROR(VLOOKUP(D900,Controls!$A$64:$E$74,3,FALSE()),"No")="Yes",1,0)</f>
        <v>0</v>
      </c>
      <c r="AG900" s="65" t="n">
        <f aca="false">IF(IFERROR(VLOOKUP(D900,Controls!$A$64:$E$74,4,FALSE()),"No")="Yes",1,0)</f>
        <v>0</v>
      </c>
      <c r="AH900" s="65" t="n">
        <f aca="false">IF(IFERROR(VLOOKUP(D900,Controls!$A$64:$E$74,5,FALSE()),"No")="Yes",1,0)</f>
        <v>1</v>
      </c>
      <c r="AI900" s="65" t="n">
        <f aca="false">IF(ISNUMBER(MATCH(D900,Controls!$A$64:$A$74,0)),1,0)</f>
        <v>1</v>
      </c>
      <c r="AJ900" s="65" t="n">
        <f aca="false">Q900-N900</f>
        <v>-8894.19</v>
      </c>
      <c r="AK900" s="65" t="n">
        <f aca="false">IF(AE900=1,MAX(0,N900-Q900),0)</f>
        <v>0</v>
      </c>
      <c r="AL900" s="65" t="n">
        <f aca="false">IF(OR(V900="",V900=0),0,N900/V900)</f>
        <v>0.167141621980316</v>
      </c>
      <c r="AM900" s="65" t="n">
        <f aca="false">IF(OR(V900="",V900=0),0,1)</f>
        <v>1</v>
      </c>
      <c r="AN900" s="65" t="n">
        <f aca="false">IF(OR(E900="",F900=""),0,NETWORKDAYS(E900,F900,Ref!$K$2:$K$42))</f>
        <v>61</v>
      </c>
      <c r="AO900" s="65" t="n">
        <f aca="false">IF(L900="Renewal",1,0)</f>
        <v>1</v>
      </c>
      <c r="AP900" s="65" t="n">
        <f aca="false">AC900*AD900</f>
        <v>0</v>
      </c>
      <c r="AQ900" s="65" t="n">
        <f aca="false">IF(AND(G900&lt;&gt;"",'Historical Score'!$C$6&lt;&gt;""),IF(G900='Historical Score'!$C$6,1,0),0)</f>
        <v>0</v>
      </c>
      <c r="AR900" s="65" t="n">
        <f aca="false">IF(AND(L900&lt;&gt;"",'Historical Score'!$C$5&lt;&gt;""),IF(L900='Historical Score'!$C$5,1,0),0)</f>
        <v>0</v>
      </c>
      <c r="AS900" s="65" t="n">
        <f aca="false">IF(AND(Y900&lt;&gt;"",'Historical Score'!$C$7&lt;&gt;""),IF(Y900='Historical Score'!$C$7,1,0),0)</f>
        <v>0</v>
      </c>
      <c r="AT900" s="65" t="n">
        <f aca="false">IF(AND(K900&lt;&gt;"",'Historical Score'!$C$8&lt;&gt;""),IF(K900='Historical Score'!$C$8,1,0),0)</f>
        <v>0</v>
      </c>
      <c r="AU900" s="65" t="n">
        <f aca="false">IF(AND(J900&lt;&gt;"",'Historical Score'!$C$9&lt;&gt;""),IF(J900='Historical Score'!$C$9,1,0),0)</f>
        <v>0</v>
      </c>
      <c r="AV900" s="65" t="n">
        <f aca="false">AR900*AS900*AQ900</f>
        <v>0</v>
      </c>
      <c r="AW900" s="65" t="n">
        <f aca="false">AR900*AT900*AQ900</f>
        <v>0</v>
      </c>
      <c r="AX900" s="65" t="n">
        <f aca="false">AR900*AS900</f>
        <v>0</v>
      </c>
      <c r="AY900" s="65" t="n">
        <f aca="false">AR900*AT900</f>
        <v>0</v>
      </c>
      <c r="AZ900" s="65" t="n">
        <f aca="false">AR900*AQ900</f>
        <v>0</v>
      </c>
      <c r="BA900" s="65" t="n">
        <f aca="false">AR900</f>
        <v>0</v>
      </c>
      <c r="BB900" s="65" t="n">
        <f aca="false">1</f>
        <v>1</v>
      </c>
      <c r="BC900" s="65" t="n">
        <f aca="false">IF(AV900=1,1,IF(AW900=1,2,IF(AX900=1,3,IF(AY900=1,4,IF(AZ900=1,5,IF(BA900=1,6,7))))))</f>
        <v>7</v>
      </c>
      <c r="BD900" s="65" t="n">
        <f aca="false">IF(AD900=1,CHOOSE('Historical Score'!$C$29,AV900,AW900,AX900,AY900,AZ900,BA900,BB900),0)</f>
        <v>0</v>
      </c>
      <c r="BE900" s="65" t="str">
        <f aca="false">IF(BD900=1,COUNTIF($BD$2:BD900,1),"")</f>
        <v/>
      </c>
    </row>
    <row r="901" customFormat="false" ht="15" hidden="false" customHeight="false" outlineLevel="0" collapsed="false">
      <c r="A901" s="65" t="s">
        <v>2765</v>
      </c>
      <c r="B901" s="65" t="s">
        <v>1009</v>
      </c>
      <c r="C901" s="65" t="s">
        <v>1009</v>
      </c>
      <c r="D901" s="65" t="s">
        <v>295</v>
      </c>
      <c r="E901" s="112" t="n">
        <v>46168</v>
      </c>
      <c r="F901" s="112" t="n">
        <v>46252</v>
      </c>
      <c r="G901" s="65" t="n">
        <v>3</v>
      </c>
      <c r="H901" s="65" t="s">
        <v>1589</v>
      </c>
      <c r="I901" s="65" t="s">
        <v>1590</v>
      </c>
      <c r="J901" s="65" t="s">
        <v>671</v>
      </c>
      <c r="K901" s="65" t="s">
        <v>578</v>
      </c>
      <c r="L901" s="65" t="s">
        <v>320</v>
      </c>
      <c r="M901" s="113" t="n">
        <v>1.49</v>
      </c>
      <c r="N901" s="114" t="n">
        <v>65000</v>
      </c>
      <c r="O901" s="114" t="n">
        <v>9100</v>
      </c>
      <c r="P901" s="114" t="n">
        <v>96850</v>
      </c>
      <c r="Q901" s="114" t="n">
        <v>30258</v>
      </c>
      <c r="R901" s="114" t="n">
        <v>66592</v>
      </c>
      <c r="S901" s="115" t="n">
        <v>0.312421270005163</v>
      </c>
      <c r="T901" s="65" t="n">
        <v>32</v>
      </c>
      <c r="U901" s="65" t="n">
        <v>2</v>
      </c>
      <c r="V901" s="65" t="n">
        <v>122458.04</v>
      </c>
      <c r="W901" s="115" t="n">
        <v>0.1041</v>
      </c>
      <c r="X901" s="112" t="n">
        <v>43144</v>
      </c>
      <c r="Y901" s="65" t="str">
        <f aca="false">IF(I901="","No SIC",IFERROR(VLOOKUP(I901,Ref!$A$2:$B$65,2,FALSE()),"Unclassified"))</f>
        <v>Legal Services</v>
      </c>
      <c r="Z901" s="65" t="str">
        <f aca="false">IF(T901="","",IF(T901&lt;12,"Daily","Weekly"))</f>
        <v>Weekly</v>
      </c>
      <c r="AA901" s="65" t="n">
        <f aca="false">IF(T901="",0,IF(T901&lt;12,T901*Controls!$B$29,T901*5))</f>
        <v>160</v>
      </c>
      <c r="AB901" s="65" t="n">
        <f aca="false">IF(E901="",0,NETWORKDAYS(E901,Controls!$B$36,Ref!$K$2:$K$42))</f>
        <v>65</v>
      </c>
      <c r="AC901" s="65" t="n">
        <f aca="false">IF(AND(AA901&gt;0,AB901&gt;=Controls!$B$39*AA901),1,0)</f>
        <v>0</v>
      </c>
      <c r="AD901" s="65" t="n">
        <f aca="false">IF(AND(E901&lt;&gt;"",E901&gt;=Controls!$B$37,E901&lt;=Controls!$B$38),1,0)</f>
        <v>1</v>
      </c>
      <c r="AE901" s="65" t="n">
        <f aca="false">IF(IFERROR(VLOOKUP(D901,Controls!$A$64:$E$74,2,FALSE()),"No")="Yes",1,0)</f>
        <v>0</v>
      </c>
      <c r="AF901" s="65" t="n">
        <f aca="false">IF(IFERROR(VLOOKUP(D901,Controls!$A$64:$E$74,3,FALSE()),"No")="Yes",1,0)</f>
        <v>0</v>
      </c>
      <c r="AG901" s="65" t="n">
        <f aca="false">IF(IFERROR(VLOOKUP(D901,Controls!$A$64:$E$74,4,FALSE()),"No")="Yes",1,0)</f>
        <v>0</v>
      </c>
      <c r="AH901" s="65" t="n">
        <f aca="false">IF(IFERROR(VLOOKUP(D901,Controls!$A$64:$E$74,5,FALSE()),"No")="Yes",1,0)</f>
        <v>1</v>
      </c>
      <c r="AI901" s="65" t="n">
        <f aca="false">IF(ISNUMBER(MATCH(D901,Controls!$A$64:$A$74,0)),1,0)</f>
        <v>1</v>
      </c>
      <c r="AJ901" s="65" t="n">
        <f aca="false">Q901-N901</f>
        <v>-34742</v>
      </c>
      <c r="AK901" s="65" t="n">
        <f aca="false">IF(AE901=1,MAX(0,N901-Q901),0)</f>
        <v>0</v>
      </c>
      <c r="AL901" s="65" t="n">
        <f aca="false">IF(OR(V901="",V901=0),0,N901/V901)</f>
        <v>0.53079405811166</v>
      </c>
      <c r="AM901" s="65" t="n">
        <f aca="false">IF(OR(V901="",V901=0),0,1)</f>
        <v>1</v>
      </c>
      <c r="AN901" s="65" t="n">
        <f aca="false">IF(OR(E901="",F901=""),0,NETWORKDAYS(E901,F901,Ref!$K$2:$K$42))</f>
        <v>60</v>
      </c>
      <c r="AO901" s="65" t="n">
        <f aca="false">IF(L901="Renewal",1,0)</f>
        <v>1</v>
      </c>
      <c r="AP901" s="65" t="n">
        <f aca="false">AC901*AD901</f>
        <v>0</v>
      </c>
      <c r="AQ901" s="65" t="n">
        <f aca="false">IF(AND(G901&lt;&gt;"",'Historical Score'!$C$6&lt;&gt;""),IF(G901='Historical Score'!$C$6,1,0),0)</f>
        <v>0</v>
      </c>
      <c r="AR901" s="65" t="n">
        <f aca="false">IF(AND(L901&lt;&gt;"",'Historical Score'!$C$5&lt;&gt;""),IF(L901='Historical Score'!$C$5,1,0),0)</f>
        <v>0</v>
      </c>
      <c r="AS901" s="65" t="n">
        <f aca="false">IF(AND(Y901&lt;&gt;"",'Historical Score'!$C$7&lt;&gt;""),IF(Y901='Historical Score'!$C$7,1,0),0)</f>
        <v>0</v>
      </c>
      <c r="AT901" s="65" t="n">
        <f aca="false">IF(AND(K901&lt;&gt;"",'Historical Score'!$C$8&lt;&gt;""),IF(K901='Historical Score'!$C$8,1,0),0)</f>
        <v>0</v>
      </c>
      <c r="AU901" s="65" t="n">
        <f aca="false">IF(AND(J901&lt;&gt;"",'Historical Score'!$C$9&lt;&gt;""),IF(J901='Historical Score'!$C$9,1,0),0)</f>
        <v>0</v>
      </c>
      <c r="AV901" s="65" t="n">
        <f aca="false">AR901*AS901*AQ901</f>
        <v>0</v>
      </c>
      <c r="AW901" s="65" t="n">
        <f aca="false">AR901*AT901*AQ901</f>
        <v>0</v>
      </c>
      <c r="AX901" s="65" t="n">
        <f aca="false">AR901*AS901</f>
        <v>0</v>
      </c>
      <c r="AY901" s="65" t="n">
        <f aca="false">AR901*AT901</f>
        <v>0</v>
      </c>
      <c r="AZ901" s="65" t="n">
        <f aca="false">AR901*AQ901</f>
        <v>0</v>
      </c>
      <c r="BA901" s="65" t="n">
        <f aca="false">AR901</f>
        <v>0</v>
      </c>
      <c r="BB901" s="65" t="n">
        <f aca="false">1</f>
        <v>1</v>
      </c>
      <c r="BC901" s="65" t="n">
        <f aca="false">IF(AV901=1,1,IF(AW901=1,2,IF(AX901=1,3,IF(AY901=1,4,IF(AZ901=1,5,IF(BA901=1,6,7))))))</f>
        <v>7</v>
      </c>
      <c r="BD901" s="65" t="n">
        <f aca="false">IF(AD901=1,CHOOSE('Historical Score'!$C$29,AV901,AW901,AX901,AY901,AZ901,BA901,BB901),0)</f>
        <v>0</v>
      </c>
      <c r="BE901" s="65" t="str">
        <f aca="false">IF(BD901=1,COUNTIF($BD$2:BD901,1),"")</f>
        <v/>
      </c>
    </row>
    <row r="902" customFormat="false" ht="15" hidden="false" customHeight="false" outlineLevel="0" collapsed="false">
      <c r="A902" s="65" t="s">
        <v>2766</v>
      </c>
      <c r="B902" s="65" t="s">
        <v>2254</v>
      </c>
      <c r="C902" s="65" t="s">
        <v>2255</v>
      </c>
      <c r="D902" s="65" t="s">
        <v>295</v>
      </c>
      <c r="E902" s="112" t="n">
        <v>46168</v>
      </c>
      <c r="F902" s="112" t="n">
        <v>46253</v>
      </c>
      <c r="G902" s="65" t="n">
        <v>4</v>
      </c>
      <c r="H902" s="65" t="s">
        <v>409</v>
      </c>
      <c r="I902" s="65" t="s">
        <v>342</v>
      </c>
      <c r="J902" s="65" t="s">
        <v>732</v>
      </c>
      <c r="K902" s="65" t="s">
        <v>55</v>
      </c>
      <c r="L902" s="65" t="s">
        <v>320</v>
      </c>
      <c r="M902" s="113" t="n">
        <v>1.49</v>
      </c>
      <c r="N902" s="114" t="n">
        <v>25000</v>
      </c>
      <c r="O902" s="114" t="n">
        <v>3500</v>
      </c>
      <c r="P902" s="114" t="n">
        <v>37250</v>
      </c>
      <c r="Q902" s="114" t="n">
        <v>9466.56</v>
      </c>
      <c r="R902" s="114" t="n">
        <v>27783.44</v>
      </c>
      <c r="S902" s="115" t="n">
        <v>0.254135838926175</v>
      </c>
      <c r="T902" s="65" t="n">
        <v>3.934</v>
      </c>
      <c r="U902" s="65" t="n">
        <v>19</v>
      </c>
      <c r="V902" s="65" t="n">
        <v>51525</v>
      </c>
      <c r="W902" s="115" t="n">
        <v>0.1265</v>
      </c>
      <c r="X902" s="112" t="n">
        <v>45597</v>
      </c>
      <c r="Y902" s="65" t="str">
        <f aca="false">IF(I902="","No SIC",IFERROR(VLOOKUP(I902,Ref!$A$2:$B$65,2,FALSE()),"Unclassified"))</f>
        <v>Eating &amp; Drinking Places</v>
      </c>
      <c r="Z902" s="65" t="str">
        <f aca="false">IF(T902="","",IF(T902&lt;12,"Daily","Weekly"))</f>
        <v>Daily</v>
      </c>
      <c r="AA902" s="65" t="n">
        <f aca="false">IF(T902="",0,IF(T902&lt;12,T902*Controls!$B$29,T902*5))</f>
        <v>85.19077</v>
      </c>
      <c r="AB902" s="65" t="n">
        <f aca="false">IF(E902="",0,NETWORKDAYS(E902,Controls!$B$36,Ref!$K$2:$K$42))</f>
        <v>65</v>
      </c>
      <c r="AC902" s="65" t="n">
        <f aca="false">IF(AND(AA902&gt;0,AB902&gt;=Controls!$B$39*AA902),1,0)</f>
        <v>0</v>
      </c>
      <c r="AD902" s="65" t="n">
        <f aca="false">IF(AND(E902&lt;&gt;"",E902&gt;=Controls!$B$37,E902&lt;=Controls!$B$38),1,0)</f>
        <v>1</v>
      </c>
      <c r="AE902" s="65" t="n">
        <f aca="false">IF(IFERROR(VLOOKUP(D902,Controls!$A$64:$E$74,2,FALSE()),"No")="Yes",1,0)</f>
        <v>0</v>
      </c>
      <c r="AF902" s="65" t="n">
        <f aca="false">IF(IFERROR(VLOOKUP(D902,Controls!$A$64:$E$74,3,FALSE()),"No")="Yes",1,0)</f>
        <v>0</v>
      </c>
      <c r="AG902" s="65" t="n">
        <f aca="false">IF(IFERROR(VLOOKUP(D902,Controls!$A$64:$E$74,4,FALSE()),"No")="Yes",1,0)</f>
        <v>0</v>
      </c>
      <c r="AH902" s="65" t="n">
        <f aca="false">IF(IFERROR(VLOOKUP(D902,Controls!$A$64:$E$74,5,FALSE()),"No")="Yes",1,0)</f>
        <v>1</v>
      </c>
      <c r="AI902" s="65" t="n">
        <f aca="false">IF(ISNUMBER(MATCH(D902,Controls!$A$64:$A$74,0)),1,0)</f>
        <v>1</v>
      </c>
      <c r="AJ902" s="65" t="n">
        <f aca="false">Q902-N902</f>
        <v>-15533.44</v>
      </c>
      <c r="AK902" s="65" t="n">
        <f aca="false">IF(AE902=1,MAX(0,N902-Q902),0)</f>
        <v>0</v>
      </c>
      <c r="AL902" s="65" t="n">
        <f aca="false">IF(OR(V902="",V902=0),0,N902/V902)</f>
        <v>0.485201358563804</v>
      </c>
      <c r="AM902" s="65" t="n">
        <f aca="false">IF(OR(V902="",V902=0),0,1)</f>
        <v>1</v>
      </c>
      <c r="AN902" s="65" t="n">
        <f aca="false">IF(OR(E902="",F902=""),0,NETWORKDAYS(E902,F902,Ref!$K$2:$K$42))</f>
        <v>61</v>
      </c>
      <c r="AO902" s="65" t="n">
        <f aca="false">IF(L902="Renewal",1,0)</f>
        <v>1</v>
      </c>
      <c r="AP902" s="65" t="n">
        <f aca="false">AC902*AD902</f>
        <v>0</v>
      </c>
      <c r="AQ902" s="65" t="n">
        <f aca="false">IF(AND(G902&lt;&gt;"",'Historical Score'!$C$6&lt;&gt;""),IF(G902='Historical Score'!$C$6,1,0),0)</f>
        <v>0</v>
      </c>
      <c r="AR902" s="65" t="n">
        <f aca="false">IF(AND(L902&lt;&gt;"",'Historical Score'!$C$5&lt;&gt;""),IF(L902='Historical Score'!$C$5,1,0),0)</f>
        <v>0</v>
      </c>
      <c r="AS902" s="65" t="n">
        <f aca="false">IF(AND(Y902&lt;&gt;"",'Historical Score'!$C$7&lt;&gt;""),IF(Y902='Historical Score'!$C$7,1,0),0)</f>
        <v>0</v>
      </c>
      <c r="AT902" s="65" t="n">
        <f aca="false">IF(AND(K902&lt;&gt;"",'Historical Score'!$C$8&lt;&gt;""),IF(K902='Historical Score'!$C$8,1,0),0)</f>
        <v>1</v>
      </c>
      <c r="AU902" s="65" t="n">
        <f aca="false">IF(AND(J902&lt;&gt;"",'Historical Score'!$C$9&lt;&gt;""),IF(J902='Historical Score'!$C$9,1,0),0)</f>
        <v>0</v>
      </c>
      <c r="AV902" s="65" t="n">
        <f aca="false">AR902*AS902*AQ902</f>
        <v>0</v>
      </c>
      <c r="AW902" s="65" t="n">
        <f aca="false">AR902*AT902*AQ902</f>
        <v>0</v>
      </c>
      <c r="AX902" s="65" t="n">
        <f aca="false">AR902*AS902</f>
        <v>0</v>
      </c>
      <c r="AY902" s="65" t="n">
        <f aca="false">AR902*AT902</f>
        <v>0</v>
      </c>
      <c r="AZ902" s="65" t="n">
        <f aca="false">AR902*AQ902</f>
        <v>0</v>
      </c>
      <c r="BA902" s="65" t="n">
        <f aca="false">AR902</f>
        <v>0</v>
      </c>
      <c r="BB902" s="65" t="n">
        <f aca="false">1</f>
        <v>1</v>
      </c>
      <c r="BC902" s="65" t="n">
        <f aca="false">IF(AV902=1,1,IF(AW902=1,2,IF(AX902=1,3,IF(AY902=1,4,IF(AZ902=1,5,IF(BA902=1,6,7))))))</f>
        <v>7</v>
      </c>
      <c r="BD902" s="65" t="n">
        <f aca="false">IF(AD902=1,CHOOSE('Historical Score'!$C$29,AV902,AW902,AX902,AY902,AZ902,BA902,BB902),0)</f>
        <v>0</v>
      </c>
      <c r="BE902" s="65" t="str">
        <f aca="false">IF(BD902=1,COUNTIF($BD$2:BD902,1),"")</f>
        <v/>
      </c>
    </row>
    <row r="903" customFormat="false" ht="15" hidden="false" customHeight="false" outlineLevel="0" collapsed="false">
      <c r="A903" s="65" t="s">
        <v>2767</v>
      </c>
      <c r="B903" s="65" t="s">
        <v>2216</v>
      </c>
      <c r="C903" s="65" t="s">
        <v>2216</v>
      </c>
      <c r="D903" s="65" t="s">
        <v>295</v>
      </c>
      <c r="E903" s="112" t="n">
        <v>46168</v>
      </c>
      <c r="F903" s="112" t="n">
        <v>46253</v>
      </c>
      <c r="G903" s="65" t="n">
        <v>3</v>
      </c>
      <c r="H903" s="65" t="s">
        <v>2072</v>
      </c>
      <c r="I903" s="65" t="s">
        <v>425</v>
      </c>
      <c r="J903" s="65" t="s">
        <v>510</v>
      </c>
      <c r="K903" s="65" t="s">
        <v>983</v>
      </c>
      <c r="L903" s="65" t="s">
        <v>320</v>
      </c>
      <c r="M903" s="113" t="n">
        <v>1.49</v>
      </c>
      <c r="N903" s="114" t="n">
        <v>45000</v>
      </c>
      <c r="O903" s="114" t="n">
        <v>6300</v>
      </c>
      <c r="P903" s="114" t="n">
        <v>67050</v>
      </c>
      <c r="Q903" s="114" t="n">
        <v>19641.44</v>
      </c>
      <c r="R903" s="114" t="n">
        <v>47408.56</v>
      </c>
      <c r="S903" s="115" t="n">
        <v>0.29293721103654</v>
      </c>
      <c r="T903" s="65" t="n">
        <v>3.967</v>
      </c>
      <c r="U903" s="65" t="n">
        <v>21</v>
      </c>
      <c r="V903" s="65" t="n">
        <v>68415.85</v>
      </c>
      <c r="W903" s="115" t="n">
        <v>0.1455</v>
      </c>
      <c r="X903" s="112" t="n">
        <v>37215</v>
      </c>
      <c r="Y903" s="65" t="str">
        <f aca="false">IF(I903="","No SIC",IFERROR(VLOOKUP(I903,Ref!$A$2:$B$65,2,FALSE()),"Unclassified"))</f>
        <v>Personal Services</v>
      </c>
      <c r="Z903" s="65" t="str">
        <f aca="false">IF(T903="","",IF(T903&lt;12,"Daily","Weekly"))</f>
        <v>Daily</v>
      </c>
      <c r="AA903" s="65" t="n">
        <f aca="false">IF(T903="",0,IF(T903&lt;12,T903*Controls!$B$29,T903*5))</f>
        <v>85.905385</v>
      </c>
      <c r="AB903" s="65" t="n">
        <f aca="false">IF(E903="",0,NETWORKDAYS(E903,Controls!$B$36,Ref!$K$2:$K$42))</f>
        <v>65</v>
      </c>
      <c r="AC903" s="65" t="n">
        <f aca="false">IF(AND(AA903&gt;0,AB903&gt;=Controls!$B$39*AA903),1,0)</f>
        <v>0</v>
      </c>
      <c r="AD903" s="65" t="n">
        <f aca="false">IF(AND(E903&lt;&gt;"",E903&gt;=Controls!$B$37,E903&lt;=Controls!$B$38),1,0)</f>
        <v>1</v>
      </c>
      <c r="AE903" s="65" t="n">
        <f aca="false">IF(IFERROR(VLOOKUP(D903,Controls!$A$64:$E$74,2,FALSE()),"No")="Yes",1,0)</f>
        <v>0</v>
      </c>
      <c r="AF903" s="65" t="n">
        <f aca="false">IF(IFERROR(VLOOKUP(D903,Controls!$A$64:$E$74,3,FALSE()),"No")="Yes",1,0)</f>
        <v>0</v>
      </c>
      <c r="AG903" s="65" t="n">
        <f aca="false">IF(IFERROR(VLOOKUP(D903,Controls!$A$64:$E$74,4,FALSE()),"No")="Yes",1,0)</f>
        <v>0</v>
      </c>
      <c r="AH903" s="65" t="n">
        <f aca="false">IF(IFERROR(VLOOKUP(D903,Controls!$A$64:$E$74,5,FALSE()),"No")="Yes",1,0)</f>
        <v>1</v>
      </c>
      <c r="AI903" s="65" t="n">
        <f aca="false">IF(ISNUMBER(MATCH(D903,Controls!$A$64:$A$74,0)),1,0)</f>
        <v>1</v>
      </c>
      <c r="AJ903" s="65" t="n">
        <f aca="false">Q903-N903</f>
        <v>-25358.56</v>
      </c>
      <c r="AK903" s="65" t="n">
        <f aca="false">IF(AE903=1,MAX(0,N903-Q903),0)</f>
        <v>0</v>
      </c>
      <c r="AL903" s="65" t="n">
        <f aca="false">IF(OR(V903="",V903=0),0,N903/V903)</f>
        <v>0.657742321406516</v>
      </c>
      <c r="AM903" s="65" t="n">
        <f aca="false">IF(OR(V903="",V903=0),0,1)</f>
        <v>1</v>
      </c>
      <c r="AN903" s="65" t="n">
        <f aca="false">IF(OR(E903="",F903=""),0,NETWORKDAYS(E903,F903,Ref!$K$2:$K$42))</f>
        <v>61</v>
      </c>
      <c r="AO903" s="65" t="n">
        <f aca="false">IF(L903="Renewal",1,0)</f>
        <v>1</v>
      </c>
      <c r="AP903" s="65" t="n">
        <f aca="false">AC903*AD903</f>
        <v>0</v>
      </c>
      <c r="AQ903" s="65" t="n">
        <f aca="false">IF(AND(G903&lt;&gt;"",'Historical Score'!$C$6&lt;&gt;""),IF(G903='Historical Score'!$C$6,1,0),0)</f>
        <v>0</v>
      </c>
      <c r="AR903" s="65" t="n">
        <f aca="false">IF(AND(L903&lt;&gt;"",'Historical Score'!$C$5&lt;&gt;""),IF(L903='Historical Score'!$C$5,1,0),0)</f>
        <v>0</v>
      </c>
      <c r="AS903" s="65" t="n">
        <f aca="false">IF(AND(Y903&lt;&gt;"",'Historical Score'!$C$7&lt;&gt;""),IF(Y903='Historical Score'!$C$7,1,0),0)</f>
        <v>0</v>
      </c>
      <c r="AT903" s="65" t="n">
        <f aca="false">IF(AND(K903&lt;&gt;"",'Historical Score'!$C$8&lt;&gt;""),IF(K903='Historical Score'!$C$8,1,0),0)</f>
        <v>0</v>
      </c>
      <c r="AU903" s="65" t="n">
        <f aca="false">IF(AND(J903&lt;&gt;"",'Historical Score'!$C$9&lt;&gt;""),IF(J903='Historical Score'!$C$9,1,0),0)</f>
        <v>0</v>
      </c>
      <c r="AV903" s="65" t="n">
        <f aca="false">AR903*AS903*AQ903</f>
        <v>0</v>
      </c>
      <c r="AW903" s="65" t="n">
        <f aca="false">AR903*AT903*AQ903</f>
        <v>0</v>
      </c>
      <c r="AX903" s="65" t="n">
        <f aca="false">AR903*AS903</f>
        <v>0</v>
      </c>
      <c r="AY903" s="65" t="n">
        <f aca="false">AR903*AT903</f>
        <v>0</v>
      </c>
      <c r="AZ903" s="65" t="n">
        <f aca="false">AR903*AQ903</f>
        <v>0</v>
      </c>
      <c r="BA903" s="65" t="n">
        <f aca="false">AR903</f>
        <v>0</v>
      </c>
      <c r="BB903" s="65" t="n">
        <f aca="false">1</f>
        <v>1</v>
      </c>
      <c r="BC903" s="65" t="n">
        <f aca="false">IF(AV903=1,1,IF(AW903=1,2,IF(AX903=1,3,IF(AY903=1,4,IF(AZ903=1,5,IF(BA903=1,6,7))))))</f>
        <v>7</v>
      </c>
      <c r="BD903" s="65" t="n">
        <f aca="false">IF(AD903=1,CHOOSE('Historical Score'!$C$29,AV903,AW903,AX903,AY903,AZ903,BA903,BB903),0)</f>
        <v>0</v>
      </c>
      <c r="BE903" s="65" t="str">
        <f aca="false">IF(BD903=1,COUNTIF($BD$2:BD903,1),"")</f>
        <v/>
      </c>
    </row>
    <row r="904" customFormat="false" ht="15" hidden="false" customHeight="false" outlineLevel="0" collapsed="false">
      <c r="A904" s="65" t="s">
        <v>2768</v>
      </c>
      <c r="B904" s="65" t="s">
        <v>2769</v>
      </c>
      <c r="C904" s="65" t="s">
        <v>2769</v>
      </c>
      <c r="D904" s="65" t="s">
        <v>340</v>
      </c>
      <c r="E904" s="112" t="n">
        <v>46169</v>
      </c>
      <c r="F904" s="112" t="n">
        <v>46192</v>
      </c>
      <c r="G904" s="65" t="n">
        <v>3</v>
      </c>
      <c r="H904" s="65" t="s">
        <v>2770</v>
      </c>
      <c r="I904" s="65" t="s">
        <v>1595</v>
      </c>
      <c r="J904" s="65" t="s">
        <v>452</v>
      </c>
      <c r="K904" s="65" t="s">
        <v>501</v>
      </c>
      <c r="L904" s="65" t="s">
        <v>64</v>
      </c>
      <c r="M904" s="113" t="n">
        <v>1.49</v>
      </c>
      <c r="N904" s="114" t="n">
        <v>7000</v>
      </c>
      <c r="O904" s="114" t="n">
        <v>0</v>
      </c>
      <c r="P904" s="114" t="n">
        <v>10430</v>
      </c>
      <c r="Q904" s="114" t="n">
        <v>1158.94</v>
      </c>
      <c r="R904" s="114" t="n">
        <v>9271.06</v>
      </c>
      <c r="S904" s="115" t="n">
        <v>0.111116011505273</v>
      </c>
      <c r="T904" s="65" t="n">
        <v>18</v>
      </c>
      <c r="U904" s="65" t="n">
        <v>1</v>
      </c>
      <c r="V904" s="65" t="n">
        <v>56671.85</v>
      </c>
      <c r="W904" s="115" t="n">
        <v>0.0409</v>
      </c>
      <c r="X904" s="112" t="n">
        <v>45734</v>
      </c>
      <c r="Y904" s="65" t="str">
        <f aca="false">IF(I904="","No SIC",IFERROR(VLOOKUP(I904,Ref!$A$2:$B$65,2,FALSE()),"Unclassified"))</f>
        <v>Miscellaneous Repair Services</v>
      </c>
      <c r="Z904" s="65" t="str">
        <f aca="false">IF(T904="","",IF(T904&lt;12,"Daily","Weekly"))</f>
        <v>Weekly</v>
      </c>
      <c r="AA904" s="65" t="n">
        <f aca="false">IF(T904="",0,IF(T904&lt;12,T904*Controls!$B$29,T904*5))</f>
        <v>90</v>
      </c>
      <c r="AB904" s="65" t="n">
        <f aca="false">IF(E904="",0,NETWORKDAYS(E904,Controls!$B$36,Ref!$K$2:$K$42))</f>
        <v>64</v>
      </c>
      <c r="AC904" s="65" t="n">
        <f aca="false">IF(AND(AA904&gt;0,AB904&gt;=Controls!$B$39*AA904),1,0)</f>
        <v>0</v>
      </c>
      <c r="AD904" s="65" t="n">
        <f aca="false">IF(AND(E904&lt;&gt;"",E904&gt;=Controls!$B$37,E904&lt;=Controls!$B$38),1,0)</f>
        <v>1</v>
      </c>
      <c r="AE904" s="65" t="n">
        <f aca="false">IF(IFERROR(VLOOKUP(D904,Controls!$A$64:$E$74,2,FALSE()),"No")="Yes",1,0)</f>
        <v>1</v>
      </c>
      <c r="AF904" s="65" t="n">
        <f aca="false">IF(IFERROR(VLOOKUP(D904,Controls!$A$64:$E$74,3,FALSE()),"No")="Yes",1,0)</f>
        <v>0</v>
      </c>
      <c r="AG904" s="65" t="n">
        <f aca="false">IF(IFERROR(VLOOKUP(D904,Controls!$A$64:$E$74,4,FALSE()),"No")="Yes",1,0)</f>
        <v>0</v>
      </c>
      <c r="AH904" s="65" t="n">
        <f aca="false">IF(IFERROR(VLOOKUP(D904,Controls!$A$64:$E$74,5,FALSE()),"No")="Yes",1,0)</f>
        <v>0</v>
      </c>
      <c r="AI904" s="65" t="n">
        <f aca="false">IF(ISNUMBER(MATCH(D904,Controls!$A$64:$A$74,0)),1,0)</f>
        <v>1</v>
      </c>
      <c r="AJ904" s="65" t="n">
        <f aca="false">Q904-N904</f>
        <v>-5841.06</v>
      </c>
      <c r="AK904" s="65" t="n">
        <f aca="false">IF(AE904=1,MAX(0,N904-Q904),0)</f>
        <v>5841.06</v>
      </c>
      <c r="AL904" s="65" t="n">
        <f aca="false">IF(OR(V904="",V904=0),0,N904/V904)</f>
        <v>0.123518113490207</v>
      </c>
      <c r="AM904" s="65" t="n">
        <f aca="false">IF(OR(V904="",V904=0),0,1)</f>
        <v>1</v>
      </c>
      <c r="AN904" s="65" t="n">
        <f aca="false">IF(OR(E904="",F904=""),0,NETWORKDAYS(E904,F904,Ref!$K$2:$K$42))</f>
        <v>17</v>
      </c>
      <c r="AO904" s="65" t="n">
        <f aca="false">IF(L904="Renewal",1,0)</f>
        <v>0</v>
      </c>
      <c r="AP904" s="65" t="n">
        <f aca="false">AC904*AD904</f>
        <v>0</v>
      </c>
      <c r="AQ904" s="65" t="n">
        <f aca="false">IF(AND(G904&lt;&gt;"",'Historical Score'!$C$6&lt;&gt;""),IF(G904='Historical Score'!$C$6,1,0),0)</f>
        <v>0</v>
      </c>
      <c r="AR904" s="65" t="n">
        <f aca="false">IF(AND(L904&lt;&gt;"",'Historical Score'!$C$5&lt;&gt;""),IF(L904='Historical Score'!$C$5,1,0),0)</f>
        <v>1</v>
      </c>
      <c r="AS904" s="65" t="n">
        <f aca="false">IF(AND(Y904&lt;&gt;"",'Historical Score'!$C$7&lt;&gt;""),IF(Y904='Historical Score'!$C$7,1,0),0)</f>
        <v>0</v>
      </c>
      <c r="AT904" s="65" t="n">
        <f aca="false">IF(AND(K904&lt;&gt;"",'Historical Score'!$C$8&lt;&gt;""),IF(K904='Historical Score'!$C$8,1,0),0)</f>
        <v>0</v>
      </c>
      <c r="AU904" s="65" t="n">
        <f aca="false">IF(AND(J904&lt;&gt;"",'Historical Score'!$C$9&lt;&gt;""),IF(J904='Historical Score'!$C$9,1,0),0)</f>
        <v>0</v>
      </c>
      <c r="AV904" s="65" t="n">
        <f aca="false">AR904*AS904*AQ904</f>
        <v>0</v>
      </c>
      <c r="AW904" s="65" t="n">
        <f aca="false">AR904*AT904*AQ904</f>
        <v>0</v>
      </c>
      <c r="AX904" s="65" t="n">
        <f aca="false">AR904*AS904</f>
        <v>0</v>
      </c>
      <c r="AY904" s="65" t="n">
        <f aca="false">AR904*AT904</f>
        <v>0</v>
      </c>
      <c r="AZ904" s="65" t="n">
        <f aca="false">AR904*AQ904</f>
        <v>0</v>
      </c>
      <c r="BA904" s="65" t="n">
        <f aca="false">AR904</f>
        <v>1</v>
      </c>
      <c r="BB904" s="65" t="n">
        <f aca="false">1</f>
        <v>1</v>
      </c>
      <c r="BC904" s="65" t="n">
        <f aca="false">IF(AV904=1,1,IF(AW904=1,2,IF(AX904=1,3,IF(AY904=1,4,IF(AZ904=1,5,IF(BA904=1,6,7))))))</f>
        <v>6</v>
      </c>
      <c r="BD904" s="65" t="n">
        <f aca="false">IF(AD904=1,CHOOSE('Historical Score'!$C$29,AV904,AW904,AX904,AY904,AZ904,BA904,BB904),0)</f>
        <v>0</v>
      </c>
      <c r="BE904" s="65" t="str">
        <f aca="false">IF(BD904=1,COUNTIF($BD$2:BD904,1),"")</f>
        <v/>
      </c>
    </row>
    <row r="905" customFormat="false" ht="15" hidden="false" customHeight="false" outlineLevel="0" collapsed="false">
      <c r="A905" s="65" t="s">
        <v>2771</v>
      </c>
      <c r="B905" s="65" t="s">
        <v>2334</v>
      </c>
      <c r="C905" s="65" t="s">
        <v>2334</v>
      </c>
      <c r="D905" s="65" t="s">
        <v>295</v>
      </c>
      <c r="E905" s="112" t="n">
        <v>46169</v>
      </c>
      <c r="F905" s="112" t="n">
        <v>46253</v>
      </c>
      <c r="G905" s="65" t="n">
        <v>3</v>
      </c>
      <c r="H905" s="65" t="s">
        <v>479</v>
      </c>
      <c r="I905" s="65" t="s">
        <v>356</v>
      </c>
      <c r="J905" s="65" t="s">
        <v>555</v>
      </c>
      <c r="K905" s="65" t="s">
        <v>983</v>
      </c>
      <c r="L905" s="65" t="s">
        <v>320</v>
      </c>
      <c r="M905" s="113" t="n">
        <v>1.49</v>
      </c>
      <c r="N905" s="114" t="n">
        <v>45000</v>
      </c>
      <c r="O905" s="114" t="n">
        <v>6300</v>
      </c>
      <c r="P905" s="114" t="n">
        <v>67050</v>
      </c>
      <c r="Q905" s="114" t="n">
        <v>18866.34</v>
      </c>
      <c r="R905" s="114" t="n">
        <v>48183.66</v>
      </c>
      <c r="S905" s="115" t="n">
        <v>0.281377181208054</v>
      </c>
      <c r="T905" s="65" t="n">
        <v>32</v>
      </c>
      <c r="U905" s="65" t="n">
        <v>3</v>
      </c>
      <c r="V905" s="65" t="n">
        <v>114549.95</v>
      </c>
      <c r="W905" s="115" t="n">
        <v>0.0732</v>
      </c>
      <c r="X905" s="112" t="n">
        <v>43837</v>
      </c>
      <c r="Y905" s="65" t="str">
        <f aca="false">IF(I905="","No SIC",IFERROR(VLOOKUP(I905,Ref!$A$2:$B$65,2,FALSE()),"Unclassified"))</f>
        <v>Trucking &amp; Warehousing</v>
      </c>
      <c r="Z905" s="65" t="str">
        <f aca="false">IF(T905="","",IF(T905&lt;12,"Daily","Weekly"))</f>
        <v>Weekly</v>
      </c>
      <c r="AA905" s="65" t="n">
        <f aca="false">IF(T905="",0,IF(T905&lt;12,T905*Controls!$B$29,T905*5))</f>
        <v>160</v>
      </c>
      <c r="AB905" s="65" t="n">
        <f aca="false">IF(E905="",0,NETWORKDAYS(E905,Controls!$B$36,Ref!$K$2:$K$42))</f>
        <v>64</v>
      </c>
      <c r="AC905" s="65" t="n">
        <f aca="false">IF(AND(AA905&gt;0,AB905&gt;=Controls!$B$39*AA905),1,0)</f>
        <v>0</v>
      </c>
      <c r="AD905" s="65" t="n">
        <f aca="false">IF(AND(E905&lt;&gt;"",E905&gt;=Controls!$B$37,E905&lt;=Controls!$B$38),1,0)</f>
        <v>1</v>
      </c>
      <c r="AE905" s="65" t="n">
        <f aca="false">IF(IFERROR(VLOOKUP(D905,Controls!$A$64:$E$74,2,FALSE()),"No")="Yes",1,0)</f>
        <v>0</v>
      </c>
      <c r="AF905" s="65" t="n">
        <f aca="false">IF(IFERROR(VLOOKUP(D905,Controls!$A$64:$E$74,3,FALSE()),"No")="Yes",1,0)</f>
        <v>0</v>
      </c>
      <c r="AG905" s="65" t="n">
        <f aca="false">IF(IFERROR(VLOOKUP(D905,Controls!$A$64:$E$74,4,FALSE()),"No")="Yes",1,0)</f>
        <v>0</v>
      </c>
      <c r="AH905" s="65" t="n">
        <f aca="false">IF(IFERROR(VLOOKUP(D905,Controls!$A$64:$E$74,5,FALSE()),"No")="Yes",1,0)</f>
        <v>1</v>
      </c>
      <c r="AI905" s="65" t="n">
        <f aca="false">IF(ISNUMBER(MATCH(D905,Controls!$A$64:$A$74,0)),1,0)</f>
        <v>1</v>
      </c>
      <c r="AJ905" s="65" t="n">
        <f aca="false">Q905-N905</f>
        <v>-26133.66</v>
      </c>
      <c r="AK905" s="65" t="n">
        <f aca="false">IF(AE905=1,MAX(0,N905-Q905),0)</f>
        <v>0</v>
      </c>
      <c r="AL905" s="65" t="n">
        <f aca="false">IF(OR(V905="",V905=0),0,N905/V905)</f>
        <v>0.392841725378318</v>
      </c>
      <c r="AM905" s="65" t="n">
        <f aca="false">IF(OR(V905="",V905=0),0,1)</f>
        <v>1</v>
      </c>
      <c r="AN905" s="65" t="n">
        <f aca="false">IF(OR(E905="",F905=""),0,NETWORKDAYS(E905,F905,Ref!$K$2:$K$42))</f>
        <v>60</v>
      </c>
      <c r="AO905" s="65" t="n">
        <f aca="false">IF(L905="Renewal",1,0)</f>
        <v>1</v>
      </c>
      <c r="AP905" s="65" t="n">
        <f aca="false">AC905*AD905</f>
        <v>0</v>
      </c>
      <c r="AQ905" s="65" t="n">
        <f aca="false">IF(AND(G905&lt;&gt;"",'Historical Score'!$C$6&lt;&gt;""),IF(G905='Historical Score'!$C$6,1,0),0)</f>
        <v>0</v>
      </c>
      <c r="AR905" s="65" t="n">
        <f aca="false">IF(AND(L905&lt;&gt;"",'Historical Score'!$C$5&lt;&gt;""),IF(L905='Historical Score'!$C$5,1,0),0)</f>
        <v>0</v>
      </c>
      <c r="AS905" s="65" t="n">
        <f aca="false">IF(AND(Y905&lt;&gt;"",'Historical Score'!$C$7&lt;&gt;""),IF(Y905='Historical Score'!$C$7,1,0),0)</f>
        <v>0</v>
      </c>
      <c r="AT905" s="65" t="n">
        <f aca="false">IF(AND(K905&lt;&gt;"",'Historical Score'!$C$8&lt;&gt;""),IF(K905='Historical Score'!$C$8,1,0),0)</f>
        <v>0</v>
      </c>
      <c r="AU905" s="65" t="n">
        <f aca="false">IF(AND(J905&lt;&gt;"",'Historical Score'!$C$9&lt;&gt;""),IF(J905='Historical Score'!$C$9,1,0),0)</f>
        <v>0</v>
      </c>
      <c r="AV905" s="65" t="n">
        <f aca="false">AR905*AS905*AQ905</f>
        <v>0</v>
      </c>
      <c r="AW905" s="65" t="n">
        <f aca="false">AR905*AT905*AQ905</f>
        <v>0</v>
      </c>
      <c r="AX905" s="65" t="n">
        <f aca="false">AR905*AS905</f>
        <v>0</v>
      </c>
      <c r="AY905" s="65" t="n">
        <f aca="false">AR905*AT905</f>
        <v>0</v>
      </c>
      <c r="AZ905" s="65" t="n">
        <f aca="false">AR905*AQ905</f>
        <v>0</v>
      </c>
      <c r="BA905" s="65" t="n">
        <f aca="false">AR905</f>
        <v>0</v>
      </c>
      <c r="BB905" s="65" t="n">
        <f aca="false">1</f>
        <v>1</v>
      </c>
      <c r="BC905" s="65" t="n">
        <f aca="false">IF(AV905=1,1,IF(AW905=1,2,IF(AX905=1,3,IF(AY905=1,4,IF(AZ905=1,5,IF(BA905=1,6,7))))))</f>
        <v>7</v>
      </c>
      <c r="BD905" s="65" t="n">
        <f aca="false">IF(AD905=1,CHOOSE('Historical Score'!$C$29,AV905,AW905,AX905,AY905,AZ905,BA905,BB905),0)</f>
        <v>0</v>
      </c>
      <c r="BE905" s="65" t="str">
        <f aca="false">IF(BD905=1,COUNTIF($BD$2:BD905,1),"")</f>
        <v/>
      </c>
    </row>
    <row r="906" customFormat="false" ht="15" hidden="false" customHeight="false" outlineLevel="0" collapsed="false">
      <c r="A906" s="65" t="s">
        <v>2772</v>
      </c>
      <c r="B906" s="65" t="s">
        <v>2773</v>
      </c>
      <c r="C906" s="65" t="s">
        <v>2773</v>
      </c>
      <c r="D906" s="65" t="s">
        <v>1467</v>
      </c>
      <c r="E906" s="112" t="n">
        <v>46169</v>
      </c>
      <c r="F906" s="112" t="n">
        <v>46252</v>
      </c>
      <c r="G906" s="65" t="n">
        <v>2</v>
      </c>
      <c r="H906" s="65" t="s">
        <v>2774</v>
      </c>
      <c r="I906" s="65" t="s">
        <v>405</v>
      </c>
      <c r="J906" s="65" t="s">
        <v>506</v>
      </c>
      <c r="K906" s="65" t="s">
        <v>456</v>
      </c>
      <c r="L906" s="65" t="s">
        <v>64</v>
      </c>
      <c r="M906" s="113" t="n">
        <v>1.49</v>
      </c>
      <c r="N906" s="114" t="n">
        <v>60000</v>
      </c>
      <c r="O906" s="114" t="n">
        <v>0</v>
      </c>
      <c r="P906" s="114" t="n">
        <v>89400</v>
      </c>
      <c r="Q906" s="114" t="n">
        <v>11980.1</v>
      </c>
      <c r="R906" s="114" t="n">
        <v>77419.9</v>
      </c>
      <c r="S906" s="115" t="n">
        <v>0.134005592841163</v>
      </c>
      <c r="T906" s="65" t="n">
        <v>30</v>
      </c>
      <c r="U906" s="65" t="n">
        <v>1</v>
      </c>
      <c r="V906" s="65" t="n">
        <v>75112.78</v>
      </c>
      <c r="W906" s="115" t="n">
        <v>0.1587</v>
      </c>
      <c r="X906" s="112" t="n">
        <v>42437</v>
      </c>
      <c r="Y906" s="65" t="str">
        <f aca="false">IF(I906="","No SIC",IFERROR(VLOOKUP(I906,Ref!$A$2:$B$65,2,FALSE()),"Unclassified"))</f>
        <v>Health Services</v>
      </c>
      <c r="Z906" s="65" t="str">
        <f aca="false">IF(T906="","",IF(T906&lt;12,"Daily","Weekly"))</f>
        <v>Weekly</v>
      </c>
      <c r="AA906" s="65" t="n">
        <f aca="false">IF(T906="",0,IF(T906&lt;12,T906*Controls!$B$29,T906*5))</f>
        <v>150</v>
      </c>
      <c r="AB906" s="65" t="n">
        <f aca="false">IF(E906="",0,NETWORKDAYS(E906,Controls!$B$36,Ref!$K$2:$K$42))</f>
        <v>64</v>
      </c>
      <c r="AC906" s="65" t="n">
        <f aca="false">IF(AND(AA906&gt;0,AB906&gt;=Controls!$B$39*AA906),1,0)</f>
        <v>0</v>
      </c>
      <c r="AD906" s="65" t="n">
        <f aca="false">IF(AND(E906&lt;&gt;"",E906&gt;=Controls!$B$37,E906&lt;=Controls!$B$38),1,0)</f>
        <v>1</v>
      </c>
      <c r="AE906" s="65" t="n">
        <f aca="false">IF(IFERROR(VLOOKUP(D906,Controls!$A$64:$E$74,2,FALSE()),"No")="Yes",1,0)</f>
        <v>1</v>
      </c>
      <c r="AF906" s="65" t="n">
        <f aca="false">IF(IFERROR(VLOOKUP(D906,Controls!$A$64:$E$74,3,FALSE()),"No")="Yes",1,0)</f>
        <v>1</v>
      </c>
      <c r="AG906" s="65" t="n">
        <f aca="false">IF(IFERROR(VLOOKUP(D906,Controls!$A$64:$E$74,4,FALSE()),"No")="Yes",1,0)</f>
        <v>0</v>
      </c>
      <c r="AH906" s="65" t="n">
        <f aca="false">IF(IFERROR(VLOOKUP(D906,Controls!$A$64:$E$74,5,FALSE()),"No")="Yes",1,0)</f>
        <v>0</v>
      </c>
      <c r="AI906" s="65" t="n">
        <f aca="false">IF(ISNUMBER(MATCH(D906,Controls!$A$64:$A$74,0)),1,0)</f>
        <v>1</v>
      </c>
      <c r="AJ906" s="65" t="n">
        <f aca="false">Q906-N906</f>
        <v>-48019.9</v>
      </c>
      <c r="AK906" s="65" t="n">
        <f aca="false">IF(AE906=1,MAX(0,N906-Q906),0)</f>
        <v>48019.9</v>
      </c>
      <c r="AL906" s="65" t="n">
        <f aca="false">IF(OR(V906="",V906=0),0,N906/V906)</f>
        <v>0.798798819588358</v>
      </c>
      <c r="AM906" s="65" t="n">
        <f aca="false">IF(OR(V906="",V906=0),0,1)</f>
        <v>1</v>
      </c>
      <c r="AN906" s="65" t="n">
        <f aca="false">IF(OR(E906="",F906=""),0,NETWORKDAYS(E906,F906,Ref!$K$2:$K$42))</f>
        <v>59</v>
      </c>
      <c r="AO906" s="65" t="n">
        <f aca="false">IF(L906="Renewal",1,0)</f>
        <v>0</v>
      </c>
      <c r="AP906" s="65" t="n">
        <f aca="false">AC906*AD906</f>
        <v>0</v>
      </c>
      <c r="AQ906" s="65" t="n">
        <f aca="false">IF(AND(G906&lt;&gt;"",'Historical Score'!$C$6&lt;&gt;""),IF(G906='Historical Score'!$C$6,1,0),0)</f>
        <v>1</v>
      </c>
      <c r="AR906" s="65" t="n">
        <f aca="false">IF(AND(L906&lt;&gt;"",'Historical Score'!$C$5&lt;&gt;""),IF(L906='Historical Score'!$C$5,1,0),0)</f>
        <v>1</v>
      </c>
      <c r="AS906" s="65" t="n">
        <f aca="false">IF(AND(Y906&lt;&gt;"",'Historical Score'!$C$7&lt;&gt;""),IF(Y906='Historical Score'!$C$7,1,0),0)</f>
        <v>0</v>
      </c>
      <c r="AT906" s="65" t="n">
        <f aca="false">IF(AND(K906&lt;&gt;"",'Historical Score'!$C$8&lt;&gt;""),IF(K906='Historical Score'!$C$8,1,0),0)</f>
        <v>0</v>
      </c>
      <c r="AU906" s="65" t="n">
        <f aca="false">IF(AND(J906&lt;&gt;"",'Historical Score'!$C$9&lt;&gt;""),IF(J906='Historical Score'!$C$9,1,0),0)</f>
        <v>0</v>
      </c>
      <c r="AV906" s="65" t="n">
        <f aca="false">AR906*AS906*AQ906</f>
        <v>0</v>
      </c>
      <c r="AW906" s="65" t="n">
        <f aca="false">AR906*AT906*AQ906</f>
        <v>0</v>
      </c>
      <c r="AX906" s="65" t="n">
        <f aca="false">AR906*AS906</f>
        <v>0</v>
      </c>
      <c r="AY906" s="65" t="n">
        <f aca="false">AR906*AT906</f>
        <v>0</v>
      </c>
      <c r="AZ906" s="65" t="n">
        <f aca="false">AR906*AQ906</f>
        <v>1</v>
      </c>
      <c r="BA906" s="65" t="n">
        <f aca="false">AR906</f>
        <v>1</v>
      </c>
      <c r="BB906" s="65" t="n">
        <f aca="false">1</f>
        <v>1</v>
      </c>
      <c r="BC906" s="65" t="n">
        <f aca="false">IF(AV906=1,1,IF(AW906=1,2,IF(AX906=1,3,IF(AY906=1,4,IF(AZ906=1,5,IF(BA906=1,6,7))))))</f>
        <v>5</v>
      </c>
      <c r="BD906" s="65" t="n">
        <f aca="false">IF(AD906=1,CHOOSE('Historical Score'!$C$29,AV906,AW906,AX906,AY906,AZ906,BA906,BB906),0)</f>
        <v>0</v>
      </c>
      <c r="BE906" s="65" t="str">
        <f aca="false">IF(BD906=1,COUNTIF($BD$2:BD906,1),"")</f>
        <v/>
      </c>
    </row>
    <row r="907" customFormat="false" ht="15" hidden="false" customHeight="false" outlineLevel="0" collapsed="false">
      <c r="A907" s="65" t="s">
        <v>2775</v>
      </c>
      <c r="B907" s="65" t="s">
        <v>2776</v>
      </c>
      <c r="C907" s="65" t="s">
        <v>2777</v>
      </c>
      <c r="D907" s="65" t="s">
        <v>295</v>
      </c>
      <c r="E907" s="112" t="n">
        <v>46170</v>
      </c>
      <c r="F907" s="112" t="n">
        <v>46253</v>
      </c>
      <c r="G907" s="65" t="n">
        <v>4</v>
      </c>
      <c r="H907" s="65" t="s">
        <v>409</v>
      </c>
      <c r="I907" s="65" t="s">
        <v>342</v>
      </c>
      <c r="J907" s="65" t="s">
        <v>658</v>
      </c>
      <c r="K907" s="65" t="s">
        <v>538</v>
      </c>
      <c r="L907" s="65" t="s">
        <v>64</v>
      </c>
      <c r="M907" s="113" t="n">
        <v>1.45</v>
      </c>
      <c r="N907" s="114" t="n">
        <v>75000</v>
      </c>
      <c r="O907" s="114" t="n">
        <v>9000</v>
      </c>
      <c r="P907" s="114" t="n">
        <v>108750</v>
      </c>
      <c r="Q907" s="114" t="n">
        <v>59307.12</v>
      </c>
      <c r="R907" s="114" t="n">
        <v>49442.88</v>
      </c>
      <c r="S907" s="115" t="n">
        <v>0.545352827586207</v>
      </c>
      <c r="T907" s="65" t="n">
        <v>22</v>
      </c>
      <c r="U907" s="65" t="n">
        <v>2</v>
      </c>
      <c r="V907" s="65" t="n">
        <v>387628.11</v>
      </c>
      <c r="W907" s="115" t="n">
        <v>0.051</v>
      </c>
      <c r="X907" s="112" t="n">
        <v>44460</v>
      </c>
      <c r="Y907" s="65" t="str">
        <f aca="false">IF(I907="","No SIC",IFERROR(VLOOKUP(I907,Ref!$A$2:$B$65,2,FALSE()),"Unclassified"))</f>
        <v>Eating &amp; Drinking Places</v>
      </c>
      <c r="Z907" s="65" t="str">
        <f aca="false">IF(T907="","",IF(T907&lt;12,"Daily","Weekly"))</f>
        <v>Weekly</v>
      </c>
      <c r="AA907" s="65" t="n">
        <f aca="false">IF(T907="",0,IF(T907&lt;12,T907*Controls!$B$29,T907*5))</f>
        <v>110</v>
      </c>
      <c r="AB907" s="65" t="n">
        <f aca="false">IF(E907="",0,NETWORKDAYS(E907,Controls!$B$36,Ref!$K$2:$K$42))</f>
        <v>63</v>
      </c>
      <c r="AC907" s="65" t="n">
        <f aca="false">IF(AND(AA907&gt;0,AB907&gt;=Controls!$B$39*AA907),1,0)</f>
        <v>0</v>
      </c>
      <c r="AD907" s="65" t="n">
        <f aca="false">IF(AND(E907&lt;&gt;"",E907&gt;=Controls!$B$37,E907&lt;=Controls!$B$38),1,0)</f>
        <v>1</v>
      </c>
      <c r="AE907" s="65" t="n">
        <f aca="false">IF(IFERROR(VLOOKUP(D907,Controls!$A$64:$E$74,2,FALSE()),"No")="Yes",1,0)</f>
        <v>0</v>
      </c>
      <c r="AF907" s="65" t="n">
        <f aca="false">IF(IFERROR(VLOOKUP(D907,Controls!$A$64:$E$74,3,FALSE()),"No")="Yes",1,0)</f>
        <v>0</v>
      </c>
      <c r="AG907" s="65" t="n">
        <f aca="false">IF(IFERROR(VLOOKUP(D907,Controls!$A$64:$E$74,4,FALSE()),"No")="Yes",1,0)</f>
        <v>0</v>
      </c>
      <c r="AH907" s="65" t="n">
        <f aca="false">IF(IFERROR(VLOOKUP(D907,Controls!$A$64:$E$74,5,FALSE()),"No")="Yes",1,0)</f>
        <v>1</v>
      </c>
      <c r="AI907" s="65" t="n">
        <f aca="false">IF(ISNUMBER(MATCH(D907,Controls!$A$64:$A$74,0)),1,0)</f>
        <v>1</v>
      </c>
      <c r="AJ907" s="65" t="n">
        <f aca="false">Q907-N907</f>
        <v>-15692.88</v>
      </c>
      <c r="AK907" s="65" t="n">
        <f aca="false">IF(AE907=1,MAX(0,N907-Q907),0)</f>
        <v>0</v>
      </c>
      <c r="AL907" s="65" t="n">
        <f aca="false">IF(OR(V907="",V907=0),0,N907/V907)</f>
        <v>0.193484419899269</v>
      </c>
      <c r="AM907" s="65" t="n">
        <f aca="false">IF(OR(V907="",V907=0),0,1)</f>
        <v>1</v>
      </c>
      <c r="AN907" s="65" t="n">
        <f aca="false">IF(OR(E907="",F907=""),0,NETWORKDAYS(E907,F907,Ref!$K$2:$K$42))</f>
        <v>59</v>
      </c>
      <c r="AO907" s="65" t="n">
        <f aca="false">IF(L907="Renewal",1,0)</f>
        <v>0</v>
      </c>
      <c r="AP907" s="65" t="n">
        <f aca="false">AC907*AD907</f>
        <v>0</v>
      </c>
      <c r="AQ907" s="65" t="n">
        <f aca="false">IF(AND(G907&lt;&gt;"",'Historical Score'!$C$6&lt;&gt;""),IF(G907='Historical Score'!$C$6,1,0),0)</f>
        <v>0</v>
      </c>
      <c r="AR907" s="65" t="n">
        <f aca="false">IF(AND(L907&lt;&gt;"",'Historical Score'!$C$5&lt;&gt;""),IF(L907='Historical Score'!$C$5,1,0),0)</f>
        <v>1</v>
      </c>
      <c r="AS907" s="65" t="n">
        <f aca="false">IF(AND(Y907&lt;&gt;"",'Historical Score'!$C$7&lt;&gt;""),IF(Y907='Historical Score'!$C$7,1,0),0)</f>
        <v>0</v>
      </c>
      <c r="AT907" s="65" t="n">
        <f aca="false">IF(AND(K907&lt;&gt;"",'Historical Score'!$C$8&lt;&gt;""),IF(K907='Historical Score'!$C$8,1,0),0)</f>
        <v>0</v>
      </c>
      <c r="AU907" s="65" t="n">
        <f aca="false">IF(AND(J907&lt;&gt;"",'Historical Score'!$C$9&lt;&gt;""),IF(J907='Historical Score'!$C$9,1,0),0)</f>
        <v>0</v>
      </c>
      <c r="AV907" s="65" t="n">
        <f aca="false">AR907*AS907*AQ907</f>
        <v>0</v>
      </c>
      <c r="AW907" s="65" t="n">
        <f aca="false">AR907*AT907*AQ907</f>
        <v>0</v>
      </c>
      <c r="AX907" s="65" t="n">
        <f aca="false">AR907*AS907</f>
        <v>0</v>
      </c>
      <c r="AY907" s="65" t="n">
        <f aca="false">AR907*AT907</f>
        <v>0</v>
      </c>
      <c r="AZ907" s="65" t="n">
        <f aca="false">AR907*AQ907</f>
        <v>0</v>
      </c>
      <c r="BA907" s="65" t="n">
        <f aca="false">AR907</f>
        <v>1</v>
      </c>
      <c r="BB907" s="65" t="n">
        <f aca="false">1</f>
        <v>1</v>
      </c>
      <c r="BC907" s="65" t="n">
        <f aca="false">IF(AV907=1,1,IF(AW907=1,2,IF(AX907=1,3,IF(AY907=1,4,IF(AZ907=1,5,IF(BA907=1,6,7))))))</f>
        <v>6</v>
      </c>
      <c r="BD907" s="65" t="n">
        <f aca="false">IF(AD907=1,CHOOSE('Historical Score'!$C$29,AV907,AW907,AX907,AY907,AZ907,BA907,BB907),0)</f>
        <v>0</v>
      </c>
      <c r="BE907" s="65" t="str">
        <f aca="false">IF(BD907=1,COUNTIF($BD$2:BD907,1),"")</f>
        <v/>
      </c>
    </row>
    <row r="908" customFormat="false" ht="15" hidden="false" customHeight="false" outlineLevel="0" collapsed="false">
      <c r="A908" s="65" t="s">
        <v>2778</v>
      </c>
      <c r="B908" s="65" t="s">
        <v>2779</v>
      </c>
      <c r="C908" s="65" t="s">
        <v>2780</v>
      </c>
      <c r="D908" s="65" t="s">
        <v>371</v>
      </c>
      <c r="E908" s="112" t="n">
        <v>46170</v>
      </c>
      <c r="F908" s="112" t="n">
        <v>46240</v>
      </c>
      <c r="G908" s="65" t="n">
        <v>3</v>
      </c>
      <c r="H908" s="65" t="s">
        <v>442</v>
      </c>
      <c r="I908" s="65" t="s">
        <v>443</v>
      </c>
      <c r="J908" s="65" t="s">
        <v>649</v>
      </c>
      <c r="K908" s="65" t="s">
        <v>538</v>
      </c>
      <c r="L908" s="65" t="s">
        <v>64</v>
      </c>
      <c r="M908" s="113" t="n">
        <v>1.45</v>
      </c>
      <c r="N908" s="114" t="n">
        <v>25000</v>
      </c>
      <c r="O908" s="114" t="n">
        <v>3000</v>
      </c>
      <c r="P908" s="114" t="n">
        <v>36250</v>
      </c>
      <c r="Q908" s="114" t="n">
        <v>36250</v>
      </c>
      <c r="R908" s="114" t="n">
        <v>0</v>
      </c>
      <c r="S908" s="115" t="n">
        <v>1</v>
      </c>
      <c r="T908" s="65" t="n">
        <v>19</v>
      </c>
      <c r="U908" s="65" t="n">
        <v>0</v>
      </c>
      <c r="V908" s="65" t="n">
        <v>92853.05</v>
      </c>
      <c r="W908" s="115" t="n">
        <v>0.0822</v>
      </c>
      <c r="X908" s="112" t="n">
        <v>34335</v>
      </c>
      <c r="Y908" s="65" t="str">
        <f aca="false">IF(I908="","No SIC",IFERROR(VLOOKUP(I908,Ref!$A$2:$B$65,2,FALSE()),"Unclassified"))</f>
        <v>General Building Contractors</v>
      </c>
      <c r="Z908" s="65" t="str">
        <f aca="false">IF(T908="","",IF(T908&lt;12,"Daily","Weekly"))</f>
        <v>Weekly</v>
      </c>
      <c r="AA908" s="65" t="n">
        <f aca="false">IF(T908="",0,IF(T908&lt;12,T908*Controls!$B$29,T908*5))</f>
        <v>95</v>
      </c>
      <c r="AB908" s="65" t="n">
        <f aca="false">IF(E908="",0,NETWORKDAYS(E908,Controls!$B$36,Ref!$K$2:$K$42))</f>
        <v>63</v>
      </c>
      <c r="AC908" s="65" t="n">
        <f aca="false">IF(AND(AA908&gt;0,AB908&gt;=Controls!$B$39*AA908),1,0)</f>
        <v>0</v>
      </c>
      <c r="AD908" s="65" t="n">
        <f aca="false">IF(AND(E908&lt;&gt;"",E908&gt;=Controls!$B$37,E908&lt;=Controls!$B$38),1,0)</f>
        <v>1</v>
      </c>
      <c r="AE908" s="65" t="n">
        <f aca="false">IF(IFERROR(VLOOKUP(D908,Controls!$A$64:$E$74,2,FALSE()),"No")="Yes",1,0)</f>
        <v>0</v>
      </c>
      <c r="AF908" s="65" t="n">
        <f aca="false">IF(IFERROR(VLOOKUP(D908,Controls!$A$64:$E$74,3,FALSE()),"No")="Yes",1,0)</f>
        <v>1</v>
      </c>
      <c r="AG908" s="65" t="n">
        <f aca="false">IF(IFERROR(VLOOKUP(D908,Controls!$A$64:$E$74,4,FALSE()),"No")="Yes",1,0)</f>
        <v>1</v>
      </c>
      <c r="AH908" s="65" t="n">
        <f aca="false">IF(IFERROR(VLOOKUP(D908,Controls!$A$64:$E$74,5,FALSE()),"No")="Yes",1,0)</f>
        <v>0</v>
      </c>
      <c r="AI908" s="65" t="n">
        <f aca="false">IF(ISNUMBER(MATCH(D908,Controls!$A$64:$A$74,0)),1,0)</f>
        <v>1</v>
      </c>
      <c r="AJ908" s="65" t="n">
        <f aca="false">Q908-N908</f>
        <v>11250</v>
      </c>
      <c r="AK908" s="65" t="n">
        <f aca="false">IF(AE908=1,MAX(0,N908-Q908),0)</f>
        <v>0</v>
      </c>
      <c r="AL908" s="65" t="n">
        <f aca="false">IF(OR(V908="",V908=0),0,N908/V908)</f>
        <v>0.269242636617752</v>
      </c>
      <c r="AM908" s="65" t="n">
        <f aca="false">IF(OR(V908="",V908=0),0,1)</f>
        <v>1</v>
      </c>
      <c r="AN908" s="65" t="n">
        <f aca="false">IF(OR(E908="",F908=""),0,NETWORKDAYS(E908,F908,Ref!$K$2:$K$42))</f>
        <v>50</v>
      </c>
      <c r="AO908" s="65" t="n">
        <f aca="false">IF(L908="Renewal",1,0)</f>
        <v>0</v>
      </c>
      <c r="AP908" s="65" t="n">
        <f aca="false">AC908*AD908</f>
        <v>0</v>
      </c>
      <c r="AQ908" s="65" t="n">
        <f aca="false">IF(AND(G908&lt;&gt;"",'Historical Score'!$C$6&lt;&gt;""),IF(G908='Historical Score'!$C$6,1,0),0)</f>
        <v>0</v>
      </c>
      <c r="AR908" s="65" t="n">
        <f aca="false">IF(AND(L908&lt;&gt;"",'Historical Score'!$C$5&lt;&gt;""),IF(L908='Historical Score'!$C$5,1,0),0)</f>
        <v>1</v>
      </c>
      <c r="AS908" s="65" t="n">
        <f aca="false">IF(AND(Y908&lt;&gt;"",'Historical Score'!$C$7&lt;&gt;""),IF(Y908='Historical Score'!$C$7,1,0),0)</f>
        <v>1</v>
      </c>
      <c r="AT908" s="65" t="n">
        <f aca="false">IF(AND(K908&lt;&gt;"",'Historical Score'!$C$8&lt;&gt;""),IF(K908='Historical Score'!$C$8,1,0),0)</f>
        <v>0</v>
      </c>
      <c r="AU908" s="65" t="n">
        <f aca="false">IF(AND(J908&lt;&gt;"",'Historical Score'!$C$9&lt;&gt;""),IF(J908='Historical Score'!$C$9,1,0),0)</f>
        <v>0</v>
      </c>
      <c r="AV908" s="65" t="n">
        <f aca="false">AR908*AS908*AQ908</f>
        <v>0</v>
      </c>
      <c r="AW908" s="65" t="n">
        <f aca="false">AR908*AT908*AQ908</f>
        <v>0</v>
      </c>
      <c r="AX908" s="65" t="n">
        <f aca="false">AR908*AS908</f>
        <v>1</v>
      </c>
      <c r="AY908" s="65" t="n">
        <f aca="false">AR908*AT908</f>
        <v>0</v>
      </c>
      <c r="AZ908" s="65" t="n">
        <f aca="false">AR908*AQ908</f>
        <v>0</v>
      </c>
      <c r="BA908" s="65" t="n">
        <f aca="false">AR908</f>
        <v>1</v>
      </c>
      <c r="BB908" s="65" t="n">
        <f aca="false">1</f>
        <v>1</v>
      </c>
      <c r="BC908" s="65" t="n">
        <f aca="false">IF(AV908=1,1,IF(AW908=1,2,IF(AX908=1,3,IF(AY908=1,4,IF(AZ908=1,5,IF(BA908=1,6,7))))))</f>
        <v>3</v>
      </c>
      <c r="BD908" s="65" t="n">
        <f aca="false">IF(AD908=1,CHOOSE('Historical Score'!$C$29,AV908,AW908,AX908,AY908,AZ908,BA908,BB908),0)</f>
        <v>0</v>
      </c>
      <c r="BE908" s="65" t="str">
        <f aca="false">IF(BD908=1,COUNTIF($BD$2:BD908,1),"")</f>
        <v/>
      </c>
    </row>
    <row r="909" customFormat="false" ht="15" hidden="false" customHeight="false" outlineLevel="0" collapsed="false">
      <c r="A909" s="65" t="s">
        <v>2781</v>
      </c>
      <c r="B909" s="65" t="s">
        <v>2782</v>
      </c>
      <c r="C909" s="65" t="s">
        <v>2783</v>
      </c>
      <c r="D909" s="65" t="s">
        <v>295</v>
      </c>
      <c r="E909" s="112" t="n">
        <v>46170</v>
      </c>
      <c r="F909" s="112" t="n">
        <v>46248</v>
      </c>
      <c r="G909" s="65" t="n">
        <v>3</v>
      </c>
      <c r="H909" s="65" t="s">
        <v>409</v>
      </c>
      <c r="I909" s="65" t="s">
        <v>342</v>
      </c>
      <c r="J909" s="65" t="s">
        <v>61</v>
      </c>
      <c r="K909" s="65" t="s">
        <v>2784</v>
      </c>
      <c r="L909" s="65" t="s">
        <v>64</v>
      </c>
      <c r="M909" s="113" t="n">
        <v>1.49</v>
      </c>
      <c r="N909" s="114" t="n">
        <v>40000</v>
      </c>
      <c r="O909" s="114" t="n">
        <v>5600</v>
      </c>
      <c r="P909" s="114" t="n">
        <v>59600</v>
      </c>
      <c r="Q909" s="114" t="n">
        <v>22927.3</v>
      </c>
      <c r="R909" s="114" t="n">
        <v>36672.7</v>
      </c>
      <c r="S909" s="115" t="n">
        <v>0.384686241610738</v>
      </c>
      <c r="T909" s="65" t="n">
        <v>26</v>
      </c>
      <c r="U909" s="65" t="n">
        <v>1</v>
      </c>
      <c r="V909" s="65" t="n">
        <v>142405.52</v>
      </c>
      <c r="W909" s="115" t="n">
        <v>0.0644</v>
      </c>
      <c r="X909" s="112" t="n">
        <v>44378</v>
      </c>
      <c r="Y909" s="65" t="str">
        <f aca="false">IF(I909="","No SIC",IFERROR(VLOOKUP(I909,Ref!$A$2:$B$65,2,FALSE()),"Unclassified"))</f>
        <v>Eating &amp; Drinking Places</v>
      </c>
      <c r="Z909" s="65" t="str">
        <f aca="false">IF(T909="","",IF(T909&lt;12,"Daily","Weekly"))</f>
        <v>Weekly</v>
      </c>
      <c r="AA909" s="65" t="n">
        <f aca="false">IF(T909="",0,IF(T909&lt;12,T909*Controls!$B$29,T909*5))</f>
        <v>130</v>
      </c>
      <c r="AB909" s="65" t="n">
        <f aca="false">IF(E909="",0,NETWORKDAYS(E909,Controls!$B$36,Ref!$K$2:$K$42))</f>
        <v>63</v>
      </c>
      <c r="AC909" s="65" t="n">
        <f aca="false">IF(AND(AA909&gt;0,AB909&gt;=Controls!$B$39*AA909),1,0)</f>
        <v>0</v>
      </c>
      <c r="AD909" s="65" t="n">
        <f aca="false">IF(AND(E909&lt;&gt;"",E909&gt;=Controls!$B$37,E909&lt;=Controls!$B$38),1,0)</f>
        <v>1</v>
      </c>
      <c r="AE909" s="65" t="n">
        <f aca="false">IF(IFERROR(VLOOKUP(D909,Controls!$A$64:$E$74,2,FALSE()),"No")="Yes",1,0)</f>
        <v>0</v>
      </c>
      <c r="AF909" s="65" t="n">
        <f aca="false">IF(IFERROR(VLOOKUP(D909,Controls!$A$64:$E$74,3,FALSE()),"No")="Yes",1,0)</f>
        <v>0</v>
      </c>
      <c r="AG909" s="65" t="n">
        <f aca="false">IF(IFERROR(VLOOKUP(D909,Controls!$A$64:$E$74,4,FALSE()),"No")="Yes",1,0)</f>
        <v>0</v>
      </c>
      <c r="AH909" s="65" t="n">
        <f aca="false">IF(IFERROR(VLOOKUP(D909,Controls!$A$64:$E$74,5,FALSE()),"No")="Yes",1,0)</f>
        <v>1</v>
      </c>
      <c r="AI909" s="65" t="n">
        <f aca="false">IF(ISNUMBER(MATCH(D909,Controls!$A$64:$A$74,0)),1,0)</f>
        <v>1</v>
      </c>
      <c r="AJ909" s="65" t="n">
        <f aca="false">Q909-N909</f>
        <v>-17072.7</v>
      </c>
      <c r="AK909" s="65" t="n">
        <f aca="false">IF(AE909=1,MAX(0,N909-Q909),0)</f>
        <v>0</v>
      </c>
      <c r="AL909" s="65" t="n">
        <f aca="false">IF(OR(V909="",V909=0),0,N909/V909)</f>
        <v>0.280887988049901</v>
      </c>
      <c r="AM909" s="65" t="n">
        <f aca="false">IF(OR(V909="",V909=0),0,1)</f>
        <v>1</v>
      </c>
      <c r="AN909" s="65" t="n">
        <f aca="false">IF(OR(E909="",F909=""),0,NETWORKDAYS(E909,F909,Ref!$K$2:$K$42))</f>
        <v>56</v>
      </c>
      <c r="AO909" s="65" t="n">
        <f aca="false">IF(L909="Renewal",1,0)</f>
        <v>0</v>
      </c>
      <c r="AP909" s="65" t="n">
        <f aca="false">AC909*AD909</f>
        <v>0</v>
      </c>
      <c r="AQ909" s="65" t="n">
        <f aca="false">IF(AND(G909&lt;&gt;"",'Historical Score'!$C$6&lt;&gt;""),IF(G909='Historical Score'!$C$6,1,0),0)</f>
        <v>0</v>
      </c>
      <c r="AR909" s="65" t="n">
        <f aca="false">IF(AND(L909&lt;&gt;"",'Historical Score'!$C$5&lt;&gt;""),IF(L909='Historical Score'!$C$5,1,0),0)</f>
        <v>1</v>
      </c>
      <c r="AS909" s="65" t="n">
        <f aca="false">IF(AND(Y909&lt;&gt;"",'Historical Score'!$C$7&lt;&gt;""),IF(Y909='Historical Score'!$C$7,1,0),0)</f>
        <v>0</v>
      </c>
      <c r="AT909" s="65" t="n">
        <f aca="false">IF(AND(K909&lt;&gt;"",'Historical Score'!$C$8&lt;&gt;""),IF(K909='Historical Score'!$C$8,1,0),0)</f>
        <v>0</v>
      </c>
      <c r="AU909" s="65" t="n">
        <f aca="false">IF(AND(J909&lt;&gt;"",'Historical Score'!$C$9&lt;&gt;""),IF(J909='Historical Score'!$C$9,1,0),0)</f>
        <v>1</v>
      </c>
      <c r="AV909" s="65" t="n">
        <f aca="false">AR909*AS909*AQ909</f>
        <v>0</v>
      </c>
      <c r="AW909" s="65" t="n">
        <f aca="false">AR909*AT909*AQ909</f>
        <v>0</v>
      </c>
      <c r="AX909" s="65" t="n">
        <f aca="false">AR909*AS909</f>
        <v>0</v>
      </c>
      <c r="AY909" s="65" t="n">
        <f aca="false">AR909*AT909</f>
        <v>0</v>
      </c>
      <c r="AZ909" s="65" t="n">
        <f aca="false">AR909*AQ909</f>
        <v>0</v>
      </c>
      <c r="BA909" s="65" t="n">
        <f aca="false">AR909</f>
        <v>1</v>
      </c>
      <c r="BB909" s="65" t="n">
        <f aca="false">1</f>
        <v>1</v>
      </c>
      <c r="BC909" s="65" t="n">
        <f aca="false">IF(AV909=1,1,IF(AW909=1,2,IF(AX909=1,3,IF(AY909=1,4,IF(AZ909=1,5,IF(BA909=1,6,7))))))</f>
        <v>6</v>
      </c>
      <c r="BD909" s="65" t="n">
        <f aca="false">IF(AD909=1,CHOOSE('Historical Score'!$C$29,AV909,AW909,AX909,AY909,AZ909,BA909,BB909),0)</f>
        <v>0</v>
      </c>
      <c r="BE909" s="65" t="str">
        <f aca="false">IF(BD909=1,COUNTIF($BD$2:BD909,1),"")</f>
        <v/>
      </c>
    </row>
    <row r="910" customFormat="false" ht="15" hidden="false" customHeight="false" outlineLevel="0" collapsed="false">
      <c r="A910" s="65" t="s">
        <v>2785</v>
      </c>
      <c r="B910" s="65" t="s">
        <v>2187</v>
      </c>
      <c r="C910" s="65" t="s">
        <v>2188</v>
      </c>
      <c r="D910" s="65" t="s">
        <v>340</v>
      </c>
      <c r="E910" s="112" t="n">
        <v>46171</v>
      </c>
      <c r="F910" s="112" t="n">
        <v>46245</v>
      </c>
      <c r="G910" s="65" t="n">
        <v>3</v>
      </c>
      <c r="H910" s="65" t="s">
        <v>391</v>
      </c>
      <c r="I910" s="65" t="s">
        <v>392</v>
      </c>
      <c r="J910" s="65" t="s">
        <v>854</v>
      </c>
      <c r="K910" s="65" t="s">
        <v>2189</v>
      </c>
      <c r="L910" s="65" t="s">
        <v>320</v>
      </c>
      <c r="M910" s="113" t="n">
        <v>1.50612903</v>
      </c>
      <c r="N910" s="114" t="n">
        <v>155000</v>
      </c>
      <c r="O910" s="114" t="n">
        <v>0</v>
      </c>
      <c r="P910" s="114" t="n">
        <v>233449.99965</v>
      </c>
      <c r="Q910" s="114" t="n">
        <v>35051.8</v>
      </c>
      <c r="R910" s="114" t="n">
        <v>198398.19965</v>
      </c>
      <c r="S910" s="115" t="n">
        <v>0.15014692676184</v>
      </c>
      <c r="T910" s="65" t="n">
        <v>29</v>
      </c>
      <c r="U910" s="65" t="n">
        <v>9</v>
      </c>
      <c r="V910" s="65" t="n">
        <v>1026941.41</v>
      </c>
      <c r="W910" s="115" t="n">
        <v>0.0844</v>
      </c>
      <c r="X910" s="112" t="n">
        <v>43520</v>
      </c>
      <c r="Y910" s="65" t="str">
        <f aca="false">IF(I910="","No SIC",IFERROR(VLOOKUP(I910,Ref!$A$2:$B$65,2,FALSE()),"Unclassified"))</f>
        <v>Real Estate</v>
      </c>
      <c r="Z910" s="65" t="str">
        <f aca="false">IF(T910="","",IF(T910&lt;12,"Daily","Weekly"))</f>
        <v>Weekly</v>
      </c>
      <c r="AA910" s="65" t="n">
        <f aca="false">IF(T910="",0,IF(T910&lt;12,T910*Controls!$B$29,T910*5))</f>
        <v>145</v>
      </c>
      <c r="AB910" s="65" t="n">
        <f aca="false">IF(E910="",0,NETWORKDAYS(E910,Controls!$B$36,Ref!$K$2:$K$42))</f>
        <v>62</v>
      </c>
      <c r="AC910" s="65" t="n">
        <f aca="false">IF(AND(AA910&gt;0,AB910&gt;=Controls!$B$39*AA910),1,0)</f>
        <v>0</v>
      </c>
      <c r="AD910" s="65" t="n">
        <f aca="false">IF(AND(E910&lt;&gt;"",E910&gt;=Controls!$B$37,E910&lt;=Controls!$B$38),1,0)</f>
        <v>1</v>
      </c>
      <c r="AE910" s="65" t="n">
        <f aca="false">IF(IFERROR(VLOOKUP(D910,Controls!$A$64:$E$74,2,FALSE()),"No")="Yes",1,0)</f>
        <v>1</v>
      </c>
      <c r="AF910" s="65" t="n">
        <f aca="false">IF(IFERROR(VLOOKUP(D910,Controls!$A$64:$E$74,3,FALSE()),"No")="Yes",1,0)</f>
        <v>0</v>
      </c>
      <c r="AG910" s="65" t="n">
        <f aca="false">IF(IFERROR(VLOOKUP(D910,Controls!$A$64:$E$74,4,FALSE()),"No")="Yes",1,0)</f>
        <v>0</v>
      </c>
      <c r="AH910" s="65" t="n">
        <f aca="false">IF(IFERROR(VLOOKUP(D910,Controls!$A$64:$E$74,5,FALSE()),"No")="Yes",1,0)</f>
        <v>0</v>
      </c>
      <c r="AI910" s="65" t="n">
        <f aca="false">IF(ISNUMBER(MATCH(D910,Controls!$A$64:$A$74,0)),1,0)</f>
        <v>1</v>
      </c>
      <c r="AJ910" s="65" t="n">
        <f aca="false">Q910-N910</f>
        <v>-119948.2</v>
      </c>
      <c r="AK910" s="65" t="n">
        <f aca="false">IF(AE910=1,MAX(0,N910-Q910),0)</f>
        <v>119948.2</v>
      </c>
      <c r="AL910" s="65" t="n">
        <f aca="false">IF(OR(V910="",V910=0),0,N910/V910)</f>
        <v>0.150933635055188</v>
      </c>
      <c r="AM910" s="65" t="n">
        <f aca="false">IF(OR(V910="",V910=0),0,1)</f>
        <v>1</v>
      </c>
      <c r="AN910" s="65" t="n">
        <f aca="false">IF(OR(E910="",F910=""),0,NETWORKDAYS(E910,F910,Ref!$K$2:$K$42))</f>
        <v>52</v>
      </c>
      <c r="AO910" s="65" t="n">
        <f aca="false">IF(L910="Renewal",1,0)</f>
        <v>1</v>
      </c>
      <c r="AP910" s="65" t="n">
        <f aca="false">AC910*AD910</f>
        <v>0</v>
      </c>
      <c r="AQ910" s="65" t="n">
        <f aca="false">IF(AND(G910&lt;&gt;"",'Historical Score'!$C$6&lt;&gt;""),IF(G910='Historical Score'!$C$6,1,0),0)</f>
        <v>0</v>
      </c>
      <c r="AR910" s="65" t="n">
        <f aca="false">IF(AND(L910&lt;&gt;"",'Historical Score'!$C$5&lt;&gt;""),IF(L910='Historical Score'!$C$5,1,0),0)</f>
        <v>0</v>
      </c>
      <c r="AS910" s="65" t="n">
        <f aca="false">IF(AND(Y910&lt;&gt;"",'Historical Score'!$C$7&lt;&gt;""),IF(Y910='Historical Score'!$C$7,1,0),0)</f>
        <v>0</v>
      </c>
      <c r="AT910" s="65" t="n">
        <f aca="false">IF(AND(K910&lt;&gt;"",'Historical Score'!$C$8&lt;&gt;""),IF(K910='Historical Score'!$C$8,1,0),0)</f>
        <v>0</v>
      </c>
      <c r="AU910" s="65" t="n">
        <f aca="false">IF(AND(J910&lt;&gt;"",'Historical Score'!$C$9&lt;&gt;""),IF(J910='Historical Score'!$C$9,1,0),0)</f>
        <v>0</v>
      </c>
      <c r="AV910" s="65" t="n">
        <f aca="false">AR910*AS910*AQ910</f>
        <v>0</v>
      </c>
      <c r="AW910" s="65" t="n">
        <f aca="false">AR910*AT910*AQ910</f>
        <v>0</v>
      </c>
      <c r="AX910" s="65" t="n">
        <f aca="false">AR910*AS910</f>
        <v>0</v>
      </c>
      <c r="AY910" s="65" t="n">
        <f aca="false">AR910*AT910</f>
        <v>0</v>
      </c>
      <c r="AZ910" s="65" t="n">
        <f aca="false">AR910*AQ910</f>
        <v>0</v>
      </c>
      <c r="BA910" s="65" t="n">
        <f aca="false">AR910</f>
        <v>0</v>
      </c>
      <c r="BB910" s="65" t="n">
        <f aca="false">1</f>
        <v>1</v>
      </c>
      <c r="BC910" s="65" t="n">
        <f aca="false">IF(AV910=1,1,IF(AW910=1,2,IF(AX910=1,3,IF(AY910=1,4,IF(AZ910=1,5,IF(BA910=1,6,7))))))</f>
        <v>7</v>
      </c>
      <c r="BD910" s="65" t="n">
        <f aca="false">IF(AD910=1,CHOOSE('Historical Score'!$C$29,AV910,AW910,AX910,AY910,AZ910,BA910,BB910),0)</f>
        <v>0</v>
      </c>
      <c r="BE910" s="65" t="str">
        <f aca="false">IF(BD910=1,COUNTIF($BD$2:BD910,1),"")</f>
        <v/>
      </c>
    </row>
    <row r="911" customFormat="false" ht="15" hidden="false" customHeight="false" outlineLevel="0" collapsed="false">
      <c r="A911" s="65" t="s">
        <v>2786</v>
      </c>
      <c r="B911" s="65" t="s">
        <v>2787</v>
      </c>
      <c r="C911" s="65" t="s">
        <v>2788</v>
      </c>
      <c r="D911" s="65" t="s">
        <v>295</v>
      </c>
      <c r="E911" s="112" t="n">
        <v>46171</v>
      </c>
      <c r="F911" s="112" t="n">
        <v>46247</v>
      </c>
      <c r="G911" s="65" t="n">
        <v>3</v>
      </c>
      <c r="H911" s="65" t="s">
        <v>2789</v>
      </c>
      <c r="I911" s="65" t="s">
        <v>703</v>
      </c>
      <c r="J911" s="65" t="s">
        <v>638</v>
      </c>
      <c r="K911" s="65" t="s">
        <v>538</v>
      </c>
      <c r="L911" s="65" t="s">
        <v>64</v>
      </c>
      <c r="M911" s="113" t="n">
        <v>1.35</v>
      </c>
      <c r="N911" s="114" t="n">
        <v>110000</v>
      </c>
      <c r="O911" s="114" t="n">
        <v>7700</v>
      </c>
      <c r="P911" s="114" t="n">
        <v>148500</v>
      </c>
      <c r="Q911" s="114" t="n">
        <v>49531.46</v>
      </c>
      <c r="R911" s="114" t="n">
        <v>98968.54</v>
      </c>
      <c r="S911" s="115" t="n">
        <v>0.333545185185185</v>
      </c>
      <c r="T911" s="65" t="n">
        <v>33</v>
      </c>
      <c r="U911" s="65" t="n">
        <v>0</v>
      </c>
      <c r="V911" s="65" t="n">
        <v>182609.78</v>
      </c>
      <c r="W911" s="115" t="n">
        <v>0.0633</v>
      </c>
      <c r="X911" s="112" t="n">
        <v>43831</v>
      </c>
      <c r="Y911" s="65" t="str">
        <f aca="false">IF(I911="","No SIC",IFERROR(VLOOKUP(I911,Ref!$A$2:$B$65,2,FALSE()),"Unclassified"))</f>
        <v>Wholesale Trade - Nondurable Goods</v>
      </c>
      <c r="Z911" s="65" t="str">
        <f aca="false">IF(T911="","",IF(T911&lt;12,"Daily","Weekly"))</f>
        <v>Weekly</v>
      </c>
      <c r="AA911" s="65" t="n">
        <f aca="false">IF(T911="",0,IF(T911&lt;12,T911*Controls!$B$29,T911*5))</f>
        <v>165</v>
      </c>
      <c r="AB911" s="65" t="n">
        <f aca="false">IF(E911="",0,NETWORKDAYS(E911,Controls!$B$36,Ref!$K$2:$K$42))</f>
        <v>62</v>
      </c>
      <c r="AC911" s="65" t="n">
        <f aca="false">IF(AND(AA911&gt;0,AB911&gt;=Controls!$B$39*AA911),1,0)</f>
        <v>0</v>
      </c>
      <c r="AD911" s="65" t="n">
        <f aca="false">IF(AND(E911&lt;&gt;"",E911&gt;=Controls!$B$37,E911&lt;=Controls!$B$38),1,0)</f>
        <v>1</v>
      </c>
      <c r="AE911" s="65" t="n">
        <f aca="false">IF(IFERROR(VLOOKUP(D911,Controls!$A$64:$E$74,2,FALSE()),"No")="Yes",1,0)</f>
        <v>0</v>
      </c>
      <c r="AF911" s="65" t="n">
        <f aca="false">IF(IFERROR(VLOOKUP(D911,Controls!$A$64:$E$74,3,FALSE()),"No")="Yes",1,0)</f>
        <v>0</v>
      </c>
      <c r="AG911" s="65" t="n">
        <f aca="false">IF(IFERROR(VLOOKUP(D911,Controls!$A$64:$E$74,4,FALSE()),"No")="Yes",1,0)</f>
        <v>0</v>
      </c>
      <c r="AH911" s="65" t="n">
        <f aca="false">IF(IFERROR(VLOOKUP(D911,Controls!$A$64:$E$74,5,FALSE()),"No")="Yes",1,0)</f>
        <v>1</v>
      </c>
      <c r="AI911" s="65" t="n">
        <f aca="false">IF(ISNUMBER(MATCH(D911,Controls!$A$64:$A$74,0)),1,0)</f>
        <v>1</v>
      </c>
      <c r="AJ911" s="65" t="n">
        <f aca="false">Q911-N911</f>
        <v>-60468.54</v>
      </c>
      <c r="AK911" s="65" t="n">
        <f aca="false">IF(AE911=1,MAX(0,N911-Q911),0)</f>
        <v>0</v>
      </c>
      <c r="AL911" s="65" t="n">
        <f aca="false">IF(OR(V911="",V911=0),0,N911/V911)</f>
        <v>0.602377375406728</v>
      </c>
      <c r="AM911" s="65" t="n">
        <f aca="false">IF(OR(V911="",V911=0),0,1)</f>
        <v>1</v>
      </c>
      <c r="AN911" s="65" t="n">
        <f aca="false">IF(OR(E911="",F911=""),0,NETWORKDAYS(E911,F911,Ref!$K$2:$K$42))</f>
        <v>54</v>
      </c>
      <c r="AO911" s="65" t="n">
        <f aca="false">IF(L911="Renewal",1,0)</f>
        <v>0</v>
      </c>
      <c r="AP911" s="65" t="n">
        <f aca="false">AC911*AD911</f>
        <v>0</v>
      </c>
      <c r="AQ911" s="65" t="n">
        <f aca="false">IF(AND(G911&lt;&gt;"",'Historical Score'!$C$6&lt;&gt;""),IF(G911='Historical Score'!$C$6,1,0),0)</f>
        <v>0</v>
      </c>
      <c r="AR911" s="65" t="n">
        <f aca="false">IF(AND(L911&lt;&gt;"",'Historical Score'!$C$5&lt;&gt;""),IF(L911='Historical Score'!$C$5,1,0),0)</f>
        <v>1</v>
      </c>
      <c r="AS911" s="65" t="n">
        <f aca="false">IF(AND(Y911&lt;&gt;"",'Historical Score'!$C$7&lt;&gt;""),IF(Y911='Historical Score'!$C$7,1,0),0)</f>
        <v>0</v>
      </c>
      <c r="AT911" s="65" t="n">
        <f aca="false">IF(AND(K911&lt;&gt;"",'Historical Score'!$C$8&lt;&gt;""),IF(K911='Historical Score'!$C$8,1,0),0)</f>
        <v>0</v>
      </c>
      <c r="AU911" s="65" t="n">
        <f aca="false">IF(AND(J911&lt;&gt;"",'Historical Score'!$C$9&lt;&gt;""),IF(J911='Historical Score'!$C$9,1,0),0)</f>
        <v>0</v>
      </c>
      <c r="AV911" s="65" t="n">
        <f aca="false">AR911*AS911*AQ911</f>
        <v>0</v>
      </c>
      <c r="AW911" s="65" t="n">
        <f aca="false">AR911*AT911*AQ911</f>
        <v>0</v>
      </c>
      <c r="AX911" s="65" t="n">
        <f aca="false">AR911*AS911</f>
        <v>0</v>
      </c>
      <c r="AY911" s="65" t="n">
        <f aca="false">AR911*AT911</f>
        <v>0</v>
      </c>
      <c r="AZ911" s="65" t="n">
        <f aca="false">AR911*AQ911</f>
        <v>0</v>
      </c>
      <c r="BA911" s="65" t="n">
        <f aca="false">AR911</f>
        <v>1</v>
      </c>
      <c r="BB911" s="65" t="n">
        <f aca="false">1</f>
        <v>1</v>
      </c>
      <c r="BC911" s="65" t="n">
        <f aca="false">IF(AV911=1,1,IF(AW911=1,2,IF(AX911=1,3,IF(AY911=1,4,IF(AZ911=1,5,IF(BA911=1,6,7))))))</f>
        <v>6</v>
      </c>
      <c r="BD911" s="65" t="n">
        <f aca="false">IF(AD911=1,CHOOSE('Historical Score'!$C$29,AV911,AW911,AX911,AY911,AZ911,BA911,BB911),0)</f>
        <v>0</v>
      </c>
      <c r="BE911" s="65" t="str">
        <f aca="false">IF(BD911=1,COUNTIF($BD$2:BD911,1),"")</f>
        <v/>
      </c>
    </row>
    <row r="912" customFormat="false" ht="15" hidden="false" customHeight="false" outlineLevel="0" collapsed="false">
      <c r="A912" s="65" t="s">
        <v>2790</v>
      </c>
      <c r="B912" s="65" t="s">
        <v>2791</v>
      </c>
      <c r="C912" s="65" t="s">
        <v>2791</v>
      </c>
      <c r="D912" s="65" t="s">
        <v>295</v>
      </c>
      <c r="E912" s="112" t="n">
        <v>46171</v>
      </c>
      <c r="F912" s="112" t="n">
        <v>46248</v>
      </c>
      <c r="G912" s="65" t="n">
        <v>3</v>
      </c>
      <c r="H912" s="65" t="s">
        <v>685</v>
      </c>
      <c r="I912" s="65" t="s">
        <v>484</v>
      </c>
      <c r="J912" s="65" t="s">
        <v>61</v>
      </c>
      <c r="K912" s="65" t="s">
        <v>538</v>
      </c>
      <c r="L912" s="65" t="s">
        <v>64</v>
      </c>
      <c r="M912" s="113" t="n">
        <v>1.41</v>
      </c>
      <c r="N912" s="114" t="n">
        <v>60000</v>
      </c>
      <c r="O912" s="114" t="n">
        <v>6000</v>
      </c>
      <c r="P912" s="114" t="n">
        <v>84600</v>
      </c>
      <c r="Q912" s="114" t="n">
        <v>25832.62</v>
      </c>
      <c r="R912" s="114" t="n">
        <v>58767.38</v>
      </c>
      <c r="S912" s="115" t="n">
        <v>0.30535011820331</v>
      </c>
      <c r="T912" s="65" t="n">
        <v>36</v>
      </c>
      <c r="U912" s="65" t="n">
        <v>0</v>
      </c>
      <c r="V912" s="65" t="n">
        <v>138345.67</v>
      </c>
      <c r="W912" s="115" t="n">
        <v>0.0679</v>
      </c>
      <c r="X912" s="112" t="n">
        <v>39083</v>
      </c>
      <c r="Y912" s="65" t="str">
        <f aca="false">IF(I912="","No SIC",IFERROR(VLOOKUP(I912,Ref!$A$2:$B$65,2,FALSE()),"Unclassified"))</f>
        <v>Special Trade Contractors</v>
      </c>
      <c r="Z912" s="65" t="str">
        <f aca="false">IF(T912="","",IF(T912&lt;12,"Daily","Weekly"))</f>
        <v>Weekly</v>
      </c>
      <c r="AA912" s="65" t="n">
        <f aca="false">IF(T912="",0,IF(T912&lt;12,T912*Controls!$B$29,T912*5))</f>
        <v>180</v>
      </c>
      <c r="AB912" s="65" t="n">
        <f aca="false">IF(E912="",0,NETWORKDAYS(E912,Controls!$B$36,Ref!$K$2:$K$42))</f>
        <v>62</v>
      </c>
      <c r="AC912" s="65" t="n">
        <f aca="false">IF(AND(AA912&gt;0,AB912&gt;=Controls!$B$39*AA912),1,0)</f>
        <v>0</v>
      </c>
      <c r="AD912" s="65" t="n">
        <f aca="false">IF(AND(E912&lt;&gt;"",E912&gt;=Controls!$B$37,E912&lt;=Controls!$B$38),1,0)</f>
        <v>1</v>
      </c>
      <c r="AE912" s="65" t="n">
        <f aca="false">IF(IFERROR(VLOOKUP(D912,Controls!$A$64:$E$74,2,FALSE()),"No")="Yes",1,0)</f>
        <v>0</v>
      </c>
      <c r="AF912" s="65" t="n">
        <f aca="false">IF(IFERROR(VLOOKUP(D912,Controls!$A$64:$E$74,3,FALSE()),"No")="Yes",1,0)</f>
        <v>0</v>
      </c>
      <c r="AG912" s="65" t="n">
        <f aca="false">IF(IFERROR(VLOOKUP(D912,Controls!$A$64:$E$74,4,FALSE()),"No")="Yes",1,0)</f>
        <v>0</v>
      </c>
      <c r="AH912" s="65" t="n">
        <f aca="false">IF(IFERROR(VLOOKUP(D912,Controls!$A$64:$E$74,5,FALSE()),"No")="Yes",1,0)</f>
        <v>1</v>
      </c>
      <c r="AI912" s="65" t="n">
        <f aca="false">IF(ISNUMBER(MATCH(D912,Controls!$A$64:$A$74,0)),1,0)</f>
        <v>1</v>
      </c>
      <c r="AJ912" s="65" t="n">
        <f aca="false">Q912-N912</f>
        <v>-34167.38</v>
      </c>
      <c r="AK912" s="65" t="n">
        <f aca="false">IF(AE912=1,MAX(0,N912-Q912),0)</f>
        <v>0</v>
      </c>
      <c r="AL912" s="65" t="n">
        <f aca="false">IF(OR(V912="",V912=0),0,N912/V912)</f>
        <v>0.433696262412839</v>
      </c>
      <c r="AM912" s="65" t="n">
        <f aca="false">IF(OR(V912="",V912=0),0,1)</f>
        <v>1</v>
      </c>
      <c r="AN912" s="65" t="n">
        <f aca="false">IF(OR(E912="",F912=""),0,NETWORKDAYS(E912,F912,Ref!$K$2:$K$42))</f>
        <v>55</v>
      </c>
      <c r="AO912" s="65" t="n">
        <f aca="false">IF(L912="Renewal",1,0)</f>
        <v>0</v>
      </c>
      <c r="AP912" s="65" t="n">
        <f aca="false">AC912*AD912</f>
        <v>0</v>
      </c>
      <c r="AQ912" s="65" t="n">
        <f aca="false">IF(AND(G912&lt;&gt;"",'Historical Score'!$C$6&lt;&gt;""),IF(G912='Historical Score'!$C$6,1,0),0)</f>
        <v>0</v>
      </c>
      <c r="AR912" s="65" t="n">
        <f aca="false">IF(AND(L912&lt;&gt;"",'Historical Score'!$C$5&lt;&gt;""),IF(L912='Historical Score'!$C$5,1,0),0)</f>
        <v>1</v>
      </c>
      <c r="AS912" s="65" t="n">
        <f aca="false">IF(AND(Y912&lt;&gt;"",'Historical Score'!$C$7&lt;&gt;""),IF(Y912='Historical Score'!$C$7,1,0),0)</f>
        <v>0</v>
      </c>
      <c r="AT912" s="65" t="n">
        <f aca="false">IF(AND(K912&lt;&gt;"",'Historical Score'!$C$8&lt;&gt;""),IF(K912='Historical Score'!$C$8,1,0),0)</f>
        <v>0</v>
      </c>
      <c r="AU912" s="65" t="n">
        <f aca="false">IF(AND(J912&lt;&gt;"",'Historical Score'!$C$9&lt;&gt;""),IF(J912='Historical Score'!$C$9,1,0),0)</f>
        <v>1</v>
      </c>
      <c r="AV912" s="65" t="n">
        <f aca="false">AR912*AS912*AQ912</f>
        <v>0</v>
      </c>
      <c r="AW912" s="65" t="n">
        <f aca="false">AR912*AT912*AQ912</f>
        <v>0</v>
      </c>
      <c r="AX912" s="65" t="n">
        <f aca="false">AR912*AS912</f>
        <v>0</v>
      </c>
      <c r="AY912" s="65" t="n">
        <f aca="false">AR912*AT912</f>
        <v>0</v>
      </c>
      <c r="AZ912" s="65" t="n">
        <f aca="false">AR912*AQ912</f>
        <v>0</v>
      </c>
      <c r="BA912" s="65" t="n">
        <f aca="false">AR912</f>
        <v>1</v>
      </c>
      <c r="BB912" s="65" t="n">
        <f aca="false">1</f>
        <v>1</v>
      </c>
      <c r="BC912" s="65" t="n">
        <f aca="false">IF(AV912=1,1,IF(AW912=1,2,IF(AX912=1,3,IF(AY912=1,4,IF(AZ912=1,5,IF(BA912=1,6,7))))))</f>
        <v>6</v>
      </c>
      <c r="BD912" s="65" t="n">
        <f aca="false">IF(AD912=1,CHOOSE('Historical Score'!$C$29,AV912,AW912,AX912,AY912,AZ912,BA912,BB912),0)</f>
        <v>0</v>
      </c>
      <c r="BE912" s="65" t="str">
        <f aca="false">IF(BD912=1,COUNTIF($BD$2:BD912,1),"")</f>
        <v/>
      </c>
    </row>
    <row r="913" customFormat="false" ht="15" hidden="false" customHeight="false" outlineLevel="0" collapsed="false">
      <c r="A913" s="65" t="s">
        <v>2792</v>
      </c>
      <c r="B913" s="65" t="s">
        <v>2793</v>
      </c>
      <c r="C913" s="65" t="s">
        <v>2793</v>
      </c>
      <c r="D913" s="65" t="s">
        <v>295</v>
      </c>
      <c r="E913" s="112" t="n">
        <v>46171</v>
      </c>
      <c r="F913" s="112" t="n">
        <v>46253</v>
      </c>
      <c r="G913" s="65" t="n">
        <v>2</v>
      </c>
      <c r="H913" s="65" t="s">
        <v>748</v>
      </c>
      <c r="I913" s="65" t="s">
        <v>619</v>
      </c>
      <c r="J913" s="65" t="s">
        <v>732</v>
      </c>
      <c r="K913" s="65" t="s">
        <v>1204</v>
      </c>
      <c r="L913" s="65" t="s">
        <v>64</v>
      </c>
      <c r="M913" s="113" t="n">
        <v>1.49</v>
      </c>
      <c r="N913" s="114" t="n">
        <v>20000</v>
      </c>
      <c r="O913" s="114" t="n">
        <v>2800</v>
      </c>
      <c r="P913" s="114" t="n">
        <v>29800</v>
      </c>
      <c r="Q913" s="114" t="n">
        <v>9622.88</v>
      </c>
      <c r="R913" s="114" t="n">
        <v>20177.12</v>
      </c>
      <c r="S913" s="115" t="n">
        <v>0.322915436241611</v>
      </c>
      <c r="T913" s="65" t="n">
        <v>26</v>
      </c>
      <c r="U913" s="65" t="n">
        <v>8</v>
      </c>
      <c r="V913" s="65" t="n">
        <v>26094.92</v>
      </c>
      <c r="W913" s="115" t="n">
        <v>0.1757</v>
      </c>
      <c r="X913" s="112" t="n">
        <v>41430</v>
      </c>
      <c r="Y913" s="65" t="str">
        <f aca="false">IF(I913="","No SIC",IFERROR(VLOOKUP(I913,Ref!$A$2:$B$65,2,FALSE()),"Unclassified"))</f>
        <v>Miscellaneous Retail</v>
      </c>
      <c r="Z913" s="65" t="str">
        <f aca="false">IF(T913="","",IF(T913&lt;12,"Daily","Weekly"))</f>
        <v>Weekly</v>
      </c>
      <c r="AA913" s="65" t="n">
        <f aca="false">IF(T913="",0,IF(T913&lt;12,T913*Controls!$B$29,T913*5))</f>
        <v>130</v>
      </c>
      <c r="AB913" s="65" t="n">
        <f aca="false">IF(E913="",0,NETWORKDAYS(E913,Controls!$B$36,Ref!$K$2:$K$42))</f>
        <v>62</v>
      </c>
      <c r="AC913" s="65" t="n">
        <f aca="false">IF(AND(AA913&gt;0,AB913&gt;=Controls!$B$39*AA913),1,0)</f>
        <v>0</v>
      </c>
      <c r="AD913" s="65" t="n">
        <f aca="false">IF(AND(E913&lt;&gt;"",E913&gt;=Controls!$B$37,E913&lt;=Controls!$B$38),1,0)</f>
        <v>1</v>
      </c>
      <c r="AE913" s="65" t="n">
        <f aca="false">IF(IFERROR(VLOOKUP(D913,Controls!$A$64:$E$74,2,FALSE()),"No")="Yes",1,0)</f>
        <v>0</v>
      </c>
      <c r="AF913" s="65" t="n">
        <f aca="false">IF(IFERROR(VLOOKUP(D913,Controls!$A$64:$E$74,3,FALSE()),"No")="Yes",1,0)</f>
        <v>0</v>
      </c>
      <c r="AG913" s="65" t="n">
        <f aca="false">IF(IFERROR(VLOOKUP(D913,Controls!$A$64:$E$74,4,FALSE()),"No")="Yes",1,0)</f>
        <v>0</v>
      </c>
      <c r="AH913" s="65" t="n">
        <f aca="false">IF(IFERROR(VLOOKUP(D913,Controls!$A$64:$E$74,5,FALSE()),"No")="Yes",1,0)</f>
        <v>1</v>
      </c>
      <c r="AI913" s="65" t="n">
        <f aca="false">IF(ISNUMBER(MATCH(D913,Controls!$A$64:$A$74,0)),1,0)</f>
        <v>1</v>
      </c>
      <c r="AJ913" s="65" t="n">
        <f aca="false">Q913-N913</f>
        <v>-10377.12</v>
      </c>
      <c r="AK913" s="65" t="n">
        <f aca="false">IF(AE913=1,MAX(0,N913-Q913),0)</f>
        <v>0</v>
      </c>
      <c r="AL913" s="65" t="n">
        <f aca="false">IF(OR(V913="",V913=0),0,N913/V913)</f>
        <v>0.766432700311018</v>
      </c>
      <c r="AM913" s="65" t="n">
        <f aca="false">IF(OR(V913="",V913=0),0,1)</f>
        <v>1</v>
      </c>
      <c r="AN913" s="65" t="n">
        <f aca="false">IF(OR(E913="",F913=""),0,NETWORKDAYS(E913,F913,Ref!$K$2:$K$42))</f>
        <v>58</v>
      </c>
      <c r="AO913" s="65" t="n">
        <f aca="false">IF(L913="Renewal",1,0)</f>
        <v>0</v>
      </c>
      <c r="AP913" s="65" t="n">
        <f aca="false">AC913*AD913</f>
        <v>0</v>
      </c>
      <c r="AQ913" s="65" t="n">
        <f aca="false">IF(AND(G913&lt;&gt;"",'Historical Score'!$C$6&lt;&gt;""),IF(G913='Historical Score'!$C$6,1,0),0)</f>
        <v>1</v>
      </c>
      <c r="AR913" s="65" t="n">
        <f aca="false">IF(AND(L913&lt;&gt;"",'Historical Score'!$C$5&lt;&gt;""),IF(L913='Historical Score'!$C$5,1,0),0)</f>
        <v>1</v>
      </c>
      <c r="AS913" s="65" t="n">
        <f aca="false">IF(AND(Y913&lt;&gt;"",'Historical Score'!$C$7&lt;&gt;""),IF(Y913='Historical Score'!$C$7,1,0),0)</f>
        <v>0</v>
      </c>
      <c r="AT913" s="65" t="n">
        <f aca="false">IF(AND(K913&lt;&gt;"",'Historical Score'!$C$8&lt;&gt;""),IF(K913='Historical Score'!$C$8,1,0),0)</f>
        <v>0</v>
      </c>
      <c r="AU913" s="65" t="n">
        <f aca="false">IF(AND(J913&lt;&gt;"",'Historical Score'!$C$9&lt;&gt;""),IF(J913='Historical Score'!$C$9,1,0),0)</f>
        <v>0</v>
      </c>
      <c r="AV913" s="65" t="n">
        <f aca="false">AR913*AS913*AQ913</f>
        <v>0</v>
      </c>
      <c r="AW913" s="65" t="n">
        <f aca="false">AR913*AT913*AQ913</f>
        <v>0</v>
      </c>
      <c r="AX913" s="65" t="n">
        <f aca="false">AR913*AS913</f>
        <v>0</v>
      </c>
      <c r="AY913" s="65" t="n">
        <f aca="false">AR913*AT913</f>
        <v>0</v>
      </c>
      <c r="AZ913" s="65" t="n">
        <f aca="false">AR913*AQ913</f>
        <v>1</v>
      </c>
      <c r="BA913" s="65" t="n">
        <f aca="false">AR913</f>
        <v>1</v>
      </c>
      <c r="BB913" s="65" t="n">
        <f aca="false">1</f>
        <v>1</v>
      </c>
      <c r="BC913" s="65" t="n">
        <f aca="false">IF(AV913=1,1,IF(AW913=1,2,IF(AX913=1,3,IF(AY913=1,4,IF(AZ913=1,5,IF(BA913=1,6,7))))))</f>
        <v>5</v>
      </c>
      <c r="BD913" s="65" t="n">
        <f aca="false">IF(AD913=1,CHOOSE('Historical Score'!$C$29,AV913,AW913,AX913,AY913,AZ913,BA913,BB913),0)</f>
        <v>0</v>
      </c>
      <c r="BE913" s="65" t="str">
        <f aca="false">IF(BD913=1,COUNTIF($BD$2:BD913,1),"")</f>
        <v/>
      </c>
    </row>
    <row r="914" customFormat="false" ht="15" hidden="false" customHeight="false" outlineLevel="0" collapsed="false">
      <c r="A914" s="65" t="s">
        <v>2794</v>
      </c>
      <c r="B914" s="65" t="s">
        <v>2795</v>
      </c>
      <c r="C914" s="65" t="s">
        <v>2796</v>
      </c>
      <c r="D914" s="65" t="s">
        <v>533</v>
      </c>
      <c r="E914" s="112" t="n">
        <v>46171</v>
      </c>
      <c r="F914" s="112" t="n">
        <v>46227</v>
      </c>
      <c r="G914" s="65" t="n">
        <v>3</v>
      </c>
      <c r="H914" s="65" t="s">
        <v>409</v>
      </c>
      <c r="I914" s="65" t="s">
        <v>342</v>
      </c>
      <c r="J914" s="65" t="s">
        <v>432</v>
      </c>
      <c r="K914" s="65" t="s">
        <v>363</v>
      </c>
      <c r="L914" s="65" t="s">
        <v>64</v>
      </c>
      <c r="M914" s="113" t="n">
        <v>1.49</v>
      </c>
      <c r="N914" s="114" t="n">
        <v>20000</v>
      </c>
      <c r="O914" s="114" t="n">
        <v>2800</v>
      </c>
      <c r="P914" s="114" t="n">
        <v>29800</v>
      </c>
      <c r="Q914" s="114" t="n">
        <v>4770</v>
      </c>
      <c r="R914" s="114" t="n">
        <v>25030</v>
      </c>
      <c r="S914" s="115" t="n">
        <v>0.16006711409396</v>
      </c>
      <c r="T914" s="65" t="n">
        <v>25</v>
      </c>
      <c r="U914" s="65" t="n">
        <v>4</v>
      </c>
      <c r="V914" s="65" t="n">
        <v>68000</v>
      </c>
      <c r="W914" s="115" t="n">
        <v>0.053</v>
      </c>
      <c r="X914" s="112" t="n">
        <v>44275</v>
      </c>
      <c r="Y914" s="65" t="str">
        <f aca="false">IF(I914="","No SIC",IFERROR(VLOOKUP(I914,Ref!$A$2:$B$65,2,FALSE()),"Unclassified"))</f>
        <v>Eating &amp; Drinking Places</v>
      </c>
      <c r="Z914" s="65" t="str">
        <f aca="false">IF(T914="","",IF(T914&lt;12,"Daily","Weekly"))</f>
        <v>Weekly</v>
      </c>
      <c r="AA914" s="65" t="n">
        <f aca="false">IF(T914="",0,IF(T914&lt;12,T914*Controls!$B$29,T914*5))</f>
        <v>125</v>
      </c>
      <c r="AB914" s="65" t="n">
        <f aca="false">IF(E914="",0,NETWORKDAYS(E914,Controls!$B$36,Ref!$K$2:$K$42))</f>
        <v>62</v>
      </c>
      <c r="AC914" s="65" t="n">
        <f aca="false">IF(AND(AA914&gt;0,AB914&gt;=Controls!$B$39*AA914),1,0)</f>
        <v>0</v>
      </c>
      <c r="AD914" s="65" t="n">
        <f aca="false">IF(AND(E914&lt;&gt;"",E914&gt;=Controls!$B$37,E914&lt;=Controls!$B$38),1,0)</f>
        <v>1</v>
      </c>
      <c r="AE914" s="65" t="n">
        <f aca="false">IF(IFERROR(VLOOKUP(D914,Controls!$A$64:$E$74,2,FALSE()),"No")="Yes",1,0)</f>
        <v>1</v>
      </c>
      <c r="AF914" s="65" t="n">
        <f aca="false">IF(IFERROR(VLOOKUP(D914,Controls!$A$64:$E$74,3,FALSE()),"No")="Yes",1,0)</f>
        <v>0</v>
      </c>
      <c r="AG914" s="65" t="n">
        <f aca="false">IF(IFERROR(VLOOKUP(D914,Controls!$A$64:$E$74,4,FALSE()),"No")="Yes",1,0)</f>
        <v>0</v>
      </c>
      <c r="AH914" s="65" t="n">
        <f aca="false">IF(IFERROR(VLOOKUP(D914,Controls!$A$64:$E$74,5,FALSE()),"No")="Yes",1,0)</f>
        <v>0</v>
      </c>
      <c r="AI914" s="65" t="n">
        <f aca="false">IF(ISNUMBER(MATCH(D914,Controls!$A$64:$A$74,0)),1,0)</f>
        <v>1</v>
      </c>
      <c r="AJ914" s="65" t="n">
        <f aca="false">Q914-N914</f>
        <v>-15230</v>
      </c>
      <c r="AK914" s="65" t="n">
        <f aca="false">IF(AE914=1,MAX(0,N914-Q914),0)</f>
        <v>15230</v>
      </c>
      <c r="AL914" s="65" t="n">
        <f aca="false">IF(OR(V914="",V914=0),0,N914/V914)</f>
        <v>0.294117647058824</v>
      </c>
      <c r="AM914" s="65" t="n">
        <f aca="false">IF(OR(V914="",V914=0),0,1)</f>
        <v>1</v>
      </c>
      <c r="AN914" s="65" t="n">
        <f aca="false">IF(OR(E914="",F914=""),0,NETWORKDAYS(E914,F914,Ref!$K$2:$K$42))</f>
        <v>40</v>
      </c>
      <c r="AO914" s="65" t="n">
        <f aca="false">IF(L914="Renewal",1,0)</f>
        <v>0</v>
      </c>
      <c r="AP914" s="65" t="n">
        <f aca="false">AC914*AD914</f>
        <v>0</v>
      </c>
      <c r="AQ914" s="65" t="n">
        <f aca="false">IF(AND(G914&lt;&gt;"",'Historical Score'!$C$6&lt;&gt;""),IF(G914='Historical Score'!$C$6,1,0),0)</f>
        <v>0</v>
      </c>
      <c r="AR914" s="65" t="n">
        <f aca="false">IF(AND(L914&lt;&gt;"",'Historical Score'!$C$5&lt;&gt;""),IF(L914='Historical Score'!$C$5,1,0),0)</f>
        <v>1</v>
      </c>
      <c r="AS914" s="65" t="n">
        <f aca="false">IF(AND(Y914&lt;&gt;"",'Historical Score'!$C$7&lt;&gt;""),IF(Y914='Historical Score'!$C$7,1,0),0)</f>
        <v>0</v>
      </c>
      <c r="AT914" s="65" t="n">
        <f aca="false">IF(AND(K914&lt;&gt;"",'Historical Score'!$C$8&lt;&gt;""),IF(K914='Historical Score'!$C$8,1,0),0)</f>
        <v>0</v>
      </c>
      <c r="AU914" s="65" t="n">
        <f aca="false">IF(AND(J914&lt;&gt;"",'Historical Score'!$C$9&lt;&gt;""),IF(J914='Historical Score'!$C$9,1,0),0)</f>
        <v>0</v>
      </c>
      <c r="AV914" s="65" t="n">
        <f aca="false">AR914*AS914*AQ914</f>
        <v>0</v>
      </c>
      <c r="AW914" s="65" t="n">
        <f aca="false">AR914*AT914*AQ914</f>
        <v>0</v>
      </c>
      <c r="AX914" s="65" t="n">
        <f aca="false">AR914*AS914</f>
        <v>0</v>
      </c>
      <c r="AY914" s="65" t="n">
        <f aca="false">AR914*AT914</f>
        <v>0</v>
      </c>
      <c r="AZ914" s="65" t="n">
        <f aca="false">AR914*AQ914</f>
        <v>0</v>
      </c>
      <c r="BA914" s="65" t="n">
        <f aca="false">AR914</f>
        <v>1</v>
      </c>
      <c r="BB914" s="65" t="n">
        <f aca="false">1</f>
        <v>1</v>
      </c>
      <c r="BC914" s="65" t="n">
        <f aca="false">IF(AV914=1,1,IF(AW914=1,2,IF(AX914=1,3,IF(AY914=1,4,IF(AZ914=1,5,IF(BA914=1,6,7))))))</f>
        <v>6</v>
      </c>
      <c r="BD914" s="65" t="n">
        <f aca="false">IF(AD914=1,CHOOSE('Historical Score'!$C$29,AV914,AW914,AX914,AY914,AZ914,BA914,BB914),0)</f>
        <v>0</v>
      </c>
      <c r="BE914" s="65" t="str">
        <f aca="false">IF(BD914=1,COUNTIF($BD$2:BD914,1),"")</f>
        <v/>
      </c>
    </row>
    <row r="915" customFormat="false" ht="15" hidden="false" customHeight="false" outlineLevel="0" collapsed="false">
      <c r="A915" s="65" t="s">
        <v>2797</v>
      </c>
      <c r="B915" s="65" t="s">
        <v>2798</v>
      </c>
      <c r="C915" s="65" t="s">
        <v>2798</v>
      </c>
      <c r="D915" s="65" t="s">
        <v>295</v>
      </c>
      <c r="E915" s="112" t="n">
        <v>46171</v>
      </c>
      <c r="F915" s="112" t="n">
        <v>46251</v>
      </c>
      <c r="G915" s="65" t="n">
        <v>2</v>
      </c>
      <c r="H915" s="65" t="s">
        <v>748</v>
      </c>
      <c r="I915" s="65" t="s">
        <v>619</v>
      </c>
      <c r="J915" s="65" t="s">
        <v>1586</v>
      </c>
      <c r="K915" s="65" t="s">
        <v>538</v>
      </c>
      <c r="L915" s="65" t="s">
        <v>64</v>
      </c>
      <c r="M915" s="113" t="n">
        <v>1.49</v>
      </c>
      <c r="N915" s="114" t="n">
        <v>20000</v>
      </c>
      <c r="O915" s="114" t="n">
        <v>2800</v>
      </c>
      <c r="P915" s="114" t="n">
        <v>29800</v>
      </c>
      <c r="Q915" s="114" t="n">
        <v>14891.28</v>
      </c>
      <c r="R915" s="114" t="n">
        <v>14908.72</v>
      </c>
      <c r="S915" s="115" t="n">
        <v>0.499707382550336</v>
      </c>
      <c r="T915" s="65" t="n">
        <v>24</v>
      </c>
      <c r="U915" s="65" t="n">
        <v>0</v>
      </c>
      <c r="V915" s="65" t="n">
        <v>72042.77</v>
      </c>
      <c r="W915" s="115" t="n">
        <v>0.0689</v>
      </c>
      <c r="X915" s="112" t="n">
        <v>45320</v>
      </c>
      <c r="Y915" s="65" t="str">
        <f aca="false">IF(I915="","No SIC",IFERROR(VLOOKUP(I915,Ref!$A$2:$B$65,2,FALSE()),"Unclassified"))</f>
        <v>Miscellaneous Retail</v>
      </c>
      <c r="Z915" s="65" t="str">
        <f aca="false">IF(T915="","",IF(T915&lt;12,"Daily","Weekly"))</f>
        <v>Weekly</v>
      </c>
      <c r="AA915" s="65" t="n">
        <f aca="false">IF(T915="",0,IF(T915&lt;12,T915*Controls!$B$29,T915*5))</f>
        <v>120</v>
      </c>
      <c r="AB915" s="65" t="n">
        <f aca="false">IF(E915="",0,NETWORKDAYS(E915,Controls!$B$36,Ref!$K$2:$K$42))</f>
        <v>62</v>
      </c>
      <c r="AC915" s="65" t="n">
        <f aca="false">IF(AND(AA915&gt;0,AB915&gt;=Controls!$B$39*AA915),1,0)</f>
        <v>0</v>
      </c>
      <c r="AD915" s="65" t="n">
        <f aca="false">IF(AND(E915&lt;&gt;"",E915&gt;=Controls!$B$37,E915&lt;=Controls!$B$38),1,0)</f>
        <v>1</v>
      </c>
      <c r="AE915" s="65" t="n">
        <f aca="false">IF(IFERROR(VLOOKUP(D915,Controls!$A$64:$E$74,2,FALSE()),"No")="Yes",1,0)</f>
        <v>0</v>
      </c>
      <c r="AF915" s="65" t="n">
        <f aca="false">IF(IFERROR(VLOOKUP(D915,Controls!$A$64:$E$74,3,FALSE()),"No")="Yes",1,0)</f>
        <v>0</v>
      </c>
      <c r="AG915" s="65" t="n">
        <f aca="false">IF(IFERROR(VLOOKUP(D915,Controls!$A$64:$E$74,4,FALSE()),"No")="Yes",1,0)</f>
        <v>0</v>
      </c>
      <c r="AH915" s="65" t="n">
        <f aca="false">IF(IFERROR(VLOOKUP(D915,Controls!$A$64:$E$74,5,FALSE()),"No")="Yes",1,0)</f>
        <v>1</v>
      </c>
      <c r="AI915" s="65" t="n">
        <f aca="false">IF(ISNUMBER(MATCH(D915,Controls!$A$64:$A$74,0)),1,0)</f>
        <v>1</v>
      </c>
      <c r="AJ915" s="65" t="n">
        <f aca="false">Q915-N915</f>
        <v>-5108.72</v>
      </c>
      <c r="AK915" s="65" t="n">
        <f aca="false">IF(AE915=1,MAX(0,N915-Q915),0)</f>
        <v>0</v>
      </c>
      <c r="AL915" s="65" t="n">
        <f aca="false">IF(OR(V915="",V915=0),0,N915/V915)</f>
        <v>0.277612868022704</v>
      </c>
      <c r="AM915" s="65" t="n">
        <f aca="false">IF(OR(V915="",V915=0),0,1)</f>
        <v>1</v>
      </c>
      <c r="AN915" s="65" t="n">
        <f aca="false">IF(OR(E915="",F915=""),0,NETWORKDAYS(E915,F915,Ref!$K$2:$K$42))</f>
        <v>56</v>
      </c>
      <c r="AO915" s="65" t="n">
        <f aca="false">IF(L915="Renewal",1,0)</f>
        <v>0</v>
      </c>
      <c r="AP915" s="65" t="n">
        <f aca="false">AC915*AD915</f>
        <v>0</v>
      </c>
      <c r="AQ915" s="65" t="n">
        <f aca="false">IF(AND(G915&lt;&gt;"",'Historical Score'!$C$6&lt;&gt;""),IF(G915='Historical Score'!$C$6,1,0),0)</f>
        <v>1</v>
      </c>
      <c r="AR915" s="65" t="n">
        <f aca="false">IF(AND(L915&lt;&gt;"",'Historical Score'!$C$5&lt;&gt;""),IF(L915='Historical Score'!$C$5,1,0),0)</f>
        <v>1</v>
      </c>
      <c r="AS915" s="65" t="n">
        <f aca="false">IF(AND(Y915&lt;&gt;"",'Historical Score'!$C$7&lt;&gt;""),IF(Y915='Historical Score'!$C$7,1,0),0)</f>
        <v>0</v>
      </c>
      <c r="AT915" s="65" t="n">
        <f aca="false">IF(AND(K915&lt;&gt;"",'Historical Score'!$C$8&lt;&gt;""),IF(K915='Historical Score'!$C$8,1,0),0)</f>
        <v>0</v>
      </c>
      <c r="AU915" s="65" t="n">
        <f aca="false">IF(AND(J915&lt;&gt;"",'Historical Score'!$C$9&lt;&gt;""),IF(J915='Historical Score'!$C$9,1,0),0)</f>
        <v>0</v>
      </c>
      <c r="AV915" s="65" t="n">
        <f aca="false">AR915*AS915*AQ915</f>
        <v>0</v>
      </c>
      <c r="AW915" s="65" t="n">
        <f aca="false">AR915*AT915*AQ915</f>
        <v>0</v>
      </c>
      <c r="AX915" s="65" t="n">
        <f aca="false">AR915*AS915</f>
        <v>0</v>
      </c>
      <c r="AY915" s="65" t="n">
        <f aca="false">AR915*AT915</f>
        <v>0</v>
      </c>
      <c r="AZ915" s="65" t="n">
        <f aca="false">AR915*AQ915</f>
        <v>1</v>
      </c>
      <c r="BA915" s="65" t="n">
        <f aca="false">AR915</f>
        <v>1</v>
      </c>
      <c r="BB915" s="65" t="n">
        <f aca="false">1</f>
        <v>1</v>
      </c>
      <c r="BC915" s="65" t="n">
        <f aca="false">IF(AV915=1,1,IF(AW915=1,2,IF(AX915=1,3,IF(AY915=1,4,IF(AZ915=1,5,IF(BA915=1,6,7))))))</f>
        <v>5</v>
      </c>
      <c r="BD915" s="65" t="n">
        <f aca="false">IF(AD915=1,CHOOSE('Historical Score'!$C$29,AV915,AW915,AX915,AY915,AZ915,BA915,BB915),0)</f>
        <v>0</v>
      </c>
      <c r="BE915" s="65" t="str">
        <f aca="false">IF(BD915=1,COUNTIF($BD$2:BD915,1),"")</f>
        <v/>
      </c>
    </row>
    <row r="916" customFormat="false" ht="15" hidden="false" customHeight="false" outlineLevel="0" collapsed="false">
      <c r="A916" s="65" t="s">
        <v>2799</v>
      </c>
      <c r="B916" s="65" t="s">
        <v>2800</v>
      </c>
      <c r="C916" s="65" t="s">
        <v>2801</v>
      </c>
      <c r="D916" s="65" t="s">
        <v>340</v>
      </c>
      <c r="E916" s="112" t="n">
        <v>46174</v>
      </c>
      <c r="F916" s="112" t="n">
        <v>46205</v>
      </c>
      <c r="G916" s="65" t="n">
        <v>3</v>
      </c>
      <c r="H916" s="65" t="s">
        <v>2802</v>
      </c>
      <c r="I916" s="65" t="s">
        <v>405</v>
      </c>
      <c r="J916" s="65" t="s">
        <v>854</v>
      </c>
      <c r="K916" s="65" t="s">
        <v>2594</v>
      </c>
      <c r="L916" s="65" t="s">
        <v>64</v>
      </c>
      <c r="M916" s="113" t="n">
        <v>1.45</v>
      </c>
      <c r="N916" s="114" t="n">
        <v>35000</v>
      </c>
      <c r="O916" s="114" t="n">
        <v>0</v>
      </c>
      <c r="P916" s="114" t="n">
        <v>50750</v>
      </c>
      <c r="Q916" s="114" t="n">
        <v>6344.13</v>
      </c>
      <c r="R916" s="114" t="n">
        <v>44405.87</v>
      </c>
      <c r="S916" s="115" t="n">
        <v>0.125007487684729</v>
      </c>
      <c r="T916" s="65" t="n">
        <v>24</v>
      </c>
      <c r="U916" s="65" t="n">
        <v>1</v>
      </c>
      <c r="V916" s="65" t="n">
        <v>64033.54</v>
      </c>
      <c r="W916" s="115" t="n">
        <v>0.1321</v>
      </c>
      <c r="X916" s="112" t="n">
        <v>43023</v>
      </c>
      <c r="Y916" s="65" t="str">
        <f aca="false">IF(I916="","No SIC",IFERROR(VLOOKUP(I916,Ref!$A$2:$B$65,2,FALSE()),"Unclassified"))</f>
        <v>Health Services</v>
      </c>
      <c r="Z916" s="65" t="str">
        <f aca="false">IF(T916="","",IF(T916&lt;12,"Daily","Weekly"))</f>
        <v>Weekly</v>
      </c>
      <c r="AA916" s="65" t="n">
        <f aca="false">IF(T916="",0,IF(T916&lt;12,T916*Controls!$B$29,T916*5))</f>
        <v>120</v>
      </c>
      <c r="AB916" s="65" t="n">
        <f aca="false">IF(E916="",0,NETWORKDAYS(E916,Controls!$B$36,Ref!$K$2:$K$42))</f>
        <v>61</v>
      </c>
      <c r="AC916" s="65" t="n">
        <f aca="false">IF(AND(AA916&gt;0,AB916&gt;=Controls!$B$39*AA916),1,0)</f>
        <v>0</v>
      </c>
      <c r="AD916" s="65" t="n">
        <f aca="false">IF(AND(E916&lt;&gt;"",E916&gt;=Controls!$B$37,E916&lt;=Controls!$B$38),1,0)</f>
        <v>1</v>
      </c>
      <c r="AE916" s="65" t="n">
        <f aca="false">IF(IFERROR(VLOOKUP(D916,Controls!$A$64:$E$74,2,FALSE()),"No")="Yes",1,0)</f>
        <v>1</v>
      </c>
      <c r="AF916" s="65" t="n">
        <f aca="false">IF(IFERROR(VLOOKUP(D916,Controls!$A$64:$E$74,3,FALSE()),"No")="Yes",1,0)</f>
        <v>0</v>
      </c>
      <c r="AG916" s="65" t="n">
        <f aca="false">IF(IFERROR(VLOOKUP(D916,Controls!$A$64:$E$74,4,FALSE()),"No")="Yes",1,0)</f>
        <v>0</v>
      </c>
      <c r="AH916" s="65" t="n">
        <f aca="false">IF(IFERROR(VLOOKUP(D916,Controls!$A$64:$E$74,5,FALSE()),"No")="Yes",1,0)</f>
        <v>0</v>
      </c>
      <c r="AI916" s="65" t="n">
        <f aca="false">IF(ISNUMBER(MATCH(D916,Controls!$A$64:$A$74,0)),1,0)</f>
        <v>1</v>
      </c>
      <c r="AJ916" s="65" t="n">
        <f aca="false">Q916-N916</f>
        <v>-28655.87</v>
      </c>
      <c r="AK916" s="65" t="n">
        <f aca="false">IF(AE916=1,MAX(0,N916-Q916),0)</f>
        <v>28655.87</v>
      </c>
      <c r="AL916" s="65" t="n">
        <f aca="false">IF(OR(V916="",V916=0),0,N916/V916)</f>
        <v>0.546588553436215</v>
      </c>
      <c r="AM916" s="65" t="n">
        <f aca="false">IF(OR(V916="",V916=0),0,1)</f>
        <v>1</v>
      </c>
      <c r="AN916" s="65" t="n">
        <f aca="false">IF(OR(E916="",F916=""),0,NETWORKDAYS(E916,F916,Ref!$K$2:$K$42))</f>
        <v>23</v>
      </c>
      <c r="AO916" s="65" t="n">
        <f aca="false">IF(L916="Renewal",1,0)</f>
        <v>0</v>
      </c>
      <c r="AP916" s="65" t="n">
        <f aca="false">AC916*AD916</f>
        <v>0</v>
      </c>
      <c r="AQ916" s="65" t="n">
        <f aca="false">IF(AND(G916&lt;&gt;"",'Historical Score'!$C$6&lt;&gt;""),IF(G916='Historical Score'!$C$6,1,0),0)</f>
        <v>0</v>
      </c>
      <c r="AR916" s="65" t="n">
        <f aca="false">IF(AND(L916&lt;&gt;"",'Historical Score'!$C$5&lt;&gt;""),IF(L916='Historical Score'!$C$5,1,0),0)</f>
        <v>1</v>
      </c>
      <c r="AS916" s="65" t="n">
        <f aca="false">IF(AND(Y916&lt;&gt;"",'Historical Score'!$C$7&lt;&gt;""),IF(Y916='Historical Score'!$C$7,1,0),0)</f>
        <v>0</v>
      </c>
      <c r="AT916" s="65" t="n">
        <f aca="false">IF(AND(K916&lt;&gt;"",'Historical Score'!$C$8&lt;&gt;""),IF(K916='Historical Score'!$C$8,1,0),0)</f>
        <v>0</v>
      </c>
      <c r="AU916" s="65" t="n">
        <f aca="false">IF(AND(J916&lt;&gt;"",'Historical Score'!$C$9&lt;&gt;""),IF(J916='Historical Score'!$C$9,1,0),0)</f>
        <v>0</v>
      </c>
      <c r="AV916" s="65" t="n">
        <f aca="false">AR916*AS916*AQ916</f>
        <v>0</v>
      </c>
      <c r="AW916" s="65" t="n">
        <f aca="false">AR916*AT916*AQ916</f>
        <v>0</v>
      </c>
      <c r="AX916" s="65" t="n">
        <f aca="false">AR916*AS916</f>
        <v>0</v>
      </c>
      <c r="AY916" s="65" t="n">
        <f aca="false">AR916*AT916</f>
        <v>0</v>
      </c>
      <c r="AZ916" s="65" t="n">
        <f aca="false">AR916*AQ916</f>
        <v>0</v>
      </c>
      <c r="BA916" s="65" t="n">
        <f aca="false">AR916</f>
        <v>1</v>
      </c>
      <c r="BB916" s="65" t="n">
        <f aca="false">1</f>
        <v>1</v>
      </c>
      <c r="BC916" s="65" t="n">
        <f aca="false">IF(AV916=1,1,IF(AW916=1,2,IF(AX916=1,3,IF(AY916=1,4,IF(AZ916=1,5,IF(BA916=1,6,7))))))</f>
        <v>6</v>
      </c>
      <c r="BD916" s="65" t="n">
        <f aca="false">IF(AD916=1,CHOOSE('Historical Score'!$C$29,AV916,AW916,AX916,AY916,AZ916,BA916,BB916),0)</f>
        <v>0</v>
      </c>
      <c r="BE916" s="65" t="str">
        <f aca="false">IF(BD916=1,COUNTIF($BD$2:BD916,1),"")</f>
        <v/>
      </c>
    </row>
    <row r="917" customFormat="false" ht="15" hidden="false" customHeight="false" outlineLevel="0" collapsed="false">
      <c r="A917" s="65" t="s">
        <v>2803</v>
      </c>
      <c r="B917" s="65" t="s">
        <v>2804</v>
      </c>
      <c r="C917" s="65" t="s">
        <v>2804</v>
      </c>
      <c r="D917" s="65" t="s">
        <v>295</v>
      </c>
      <c r="E917" s="112" t="n">
        <v>46174</v>
      </c>
      <c r="F917" s="112" t="n">
        <v>46248</v>
      </c>
      <c r="G917" s="65" t="n">
        <v>3</v>
      </c>
      <c r="H917" s="65" t="s">
        <v>748</v>
      </c>
      <c r="I917" s="65" t="s">
        <v>619</v>
      </c>
      <c r="J917" s="65" t="s">
        <v>61</v>
      </c>
      <c r="K917" s="65" t="s">
        <v>394</v>
      </c>
      <c r="L917" s="65" t="s">
        <v>64</v>
      </c>
      <c r="M917" s="113" t="n">
        <v>1.49</v>
      </c>
      <c r="N917" s="114" t="n">
        <v>15000</v>
      </c>
      <c r="O917" s="114" t="n">
        <v>2100</v>
      </c>
      <c r="P917" s="114" t="n">
        <v>22350</v>
      </c>
      <c r="Q917" s="114" t="n">
        <v>8606.5</v>
      </c>
      <c r="R917" s="114" t="n">
        <v>13743.5</v>
      </c>
      <c r="S917" s="115" t="n">
        <v>0.385078299776286</v>
      </c>
      <c r="T917" s="65" t="n">
        <v>26</v>
      </c>
      <c r="U917" s="65" t="n">
        <v>0</v>
      </c>
      <c r="V917" s="65" t="n">
        <v>231047.83</v>
      </c>
      <c r="W917" s="115" t="n">
        <v>0.0149</v>
      </c>
      <c r="X917" s="112" t="n">
        <v>43758</v>
      </c>
      <c r="Y917" s="65" t="str">
        <f aca="false">IF(I917="","No SIC",IFERROR(VLOOKUP(I917,Ref!$A$2:$B$65,2,FALSE()),"Unclassified"))</f>
        <v>Miscellaneous Retail</v>
      </c>
      <c r="Z917" s="65" t="str">
        <f aca="false">IF(T917="","",IF(T917&lt;12,"Daily","Weekly"))</f>
        <v>Weekly</v>
      </c>
      <c r="AA917" s="65" t="n">
        <f aca="false">IF(T917="",0,IF(T917&lt;12,T917*Controls!$B$29,T917*5))</f>
        <v>130</v>
      </c>
      <c r="AB917" s="65" t="n">
        <f aca="false">IF(E917="",0,NETWORKDAYS(E917,Controls!$B$36,Ref!$K$2:$K$42))</f>
        <v>61</v>
      </c>
      <c r="AC917" s="65" t="n">
        <f aca="false">IF(AND(AA917&gt;0,AB917&gt;=Controls!$B$39*AA917),1,0)</f>
        <v>0</v>
      </c>
      <c r="AD917" s="65" t="n">
        <f aca="false">IF(AND(E917&lt;&gt;"",E917&gt;=Controls!$B$37,E917&lt;=Controls!$B$38),1,0)</f>
        <v>1</v>
      </c>
      <c r="AE917" s="65" t="n">
        <f aca="false">IF(IFERROR(VLOOKUP(D917,Controls!$A$64:$E$74,2,FALSE()),"No")="Yes",1,0)</f>
        <v>0</v>
      </c>
      <c r="AF917" s="65" t="n">
        <f aca="false">IF(IFERROR(VLOOKUP(D917,Controls!$A$64:$E$74,3,FALSE()),"No")="Yes",1,0)</f>
        <v>0</v>
      </c>
      <c r="AG917" s="65" t="n">
        <f aca="false">IF(IFERROR(VLOOKUP(D917,Controls!$A$64:$E$74,4,FALSE()),"No")="Yes",1,0)</f>
        <v>0</v>
      </c>
      <c r="AH917" s="65" t="n">
        <f aca="false">IF(IFERROR(VLOOKUP(D917,Controls!$A$64:$E$74,5,FALSE()),"No")="Yes",1,0)</f>
        <v>1</v>
      </c>
      <c r="AI917" s="65" t="n">
        <f aca="false">IF(ISNUMBER(MATCH(D917,Controls!$A$64:$A$74,0)),1,0)</f>
        <v>1</v>
      </c>
      <c r="AJ917" s="65" t="n">
        <f aca="false">Q917-N917</f>
        <v>-6393.5</v>
      </c>
      <c r="AK917" s="65" t="n">
        <f aca="false">IF(AE917=1,MAX(0,N917-Q917),0)</f>
        <v>0</v>
      </c>
      <c r="AL917" s="65" t="n">
        <f aca="false">IF(OR(V917="",V917=0),0,N917/V917)</f>
        <v>0.0649216225056085</v>
      </c>
      <c r="AM917" s="65" t="n">
        <f aca="false">IF(OR(V917="",V917=0),0,1)</f>
        <v>1</v>
      </c>
      <c r="AN917" s="65" t="n">
        <f aca="false">IF(OR(E917="",F917=""),0,NETWORKDAYS(E917,F917,Ref!$K$2:$K$42))</f>
        <v>54</v>
      </c>
      <c r="AO917" s="65" t="n">
        <f aca="false">IF(L917="Renewal",1,0)</f>
        <v>0</v>
      </c>
      <c r="AP917" s="65" t="n">
        <f aca="false">AC917*AD917</f>
        <v>0</v>
      </c>
      <c r="AQ917" s="65" t="n">
        <f aca="false">IF(AND(G917&lt;&gt;"",'Historical Score'!$C$6&lt;&gt;""),IF(G917='Historical Score'!$C$6,1,0),0)</f>
        <v>0</v>
      </c>
      <c r="AR917" s="65" t="n">
        <f aca="false">IF(AND(L917&lt;&gt;"",'Historical Score'!$C$5&lt;&gt;""),IF(L917='Historical Score'!$C$5,1,0),0)</f>
        <v>1</v>
      </c>
      <c r="AS917" s="65" t="n">
        <f aca="false">IF(AND(Y917&lt;&gt;"",'Historical Score'!$C$7&lt;&gt;""),IF(Y917='Historical Score'!$C$7,1,0),0)</f>
        <v>0</v>
      </c>
      <c r="AT917" s="65" t="n">
        <f aca="false">IF(AND(K917&lt;&gt;"",'Historical Score'!$C$8&lt;&gt;""),IF(K917='Historical Score'!$C$8,1,0),0)</f>
        <v>0</v>
      </c>
      <c r="AU917" s="65" t="n">
        <f aca="false">IF(AND(J917&lt;&gt;"",'Historical Score'!$C$9&lt;&gt;""),IF(J917='Historical Score'!$C$9,1,0),0)</f>
        <v>1</v>
      </c>
      <c r="AV917" s="65" t="n">
        <f aca="false">AR917*AS917*AQ917</f>
        <v>0</v>
      </c>
      <c r="AW917" s="65" t="n">
        <f aca="false">AR917*AT917*AQ917</f>
        <v>0</v>
      </c>
      <c r="AX917" s="65" t="n">
        <f aca="false">AR917*AS917</f>
        <v>0</v>
      </c>
      <c r="AY917" s="65" t="n">
        <f aca="false">AR917*AT917</f>
        <v>0</v>
      </c>
      <c r="AZ917" s="65" t="n">
        <f aca="false">AR917*AQ917</f>
        <v>0</v>
      </c>
      <c r="BA917" s="65" t="n">
        <f aca="false">AR917</f>
        <v>1</v>
      </c>
      <c r="BB917" s="65" t="n">
        <f aca="false">1</f>
        <v>1</v>
      </c>
      <c r="BC917" s="65" t="n">
        <f aca="false">IF(AV917=1,1,IF(AW917=1,2,IF(AX917=1,3,IF(AY917=1,4,IF(AZ917=1,5,IF(BA917=1,6,7))))))</f>
        <v>6</v>
      </c>
      <c r="BD917" s="65" t="n">
        <f aca="false">IF(AD917=1,CHOOSE('Historical Score'!$C$29,AV917,AW917,AX917,AY917,AZ917,BA917,BB917),0)</f>
        <v>0</v>
      </c>
      <c r="BE917" s="65" t="str">
        <f aca="false">IF(BD917=1,COUNTIF($BD$2:BD917,1),"")</f>
        <v/>
      </c>
    </row>
    <row r="918" customFormat="false" ht="15" hidden="false" customHeight="false" outlineLevel="0" collapsed="false">
      <c r="A918" s="65" t="s">
        <v>2805</v>
      </c>
      <c r="B918" s="65" t="s">
        <v>2806</v>
      </c>
      <c r="C918" s="65" t="s">
        <v>2806</v>
      </c>
      <c r="D918" s="65" t="s">
        <v>295</v>
      </c>
      <c r="E918" s="112" t="n">
        <v>46174</v>
      </c>
      <c r="F918" s="112" t="n">
        <v>46253</v>
      </c>
      <c r="G918" s="65" t="n">
        <v>3</v>
      </c>
      <c r="H918" s="65" t="s">
        <v>442</v>
      </c>
      <c r="I918" s="65" t="s">
        <v>443</v>
      </c>
      <c r="J918" s="65" t="s">
        <v>343</v>
      </c>
      <c r="K918" s="65" t="s">
        <v>906</v>
      </c>
      <c r="L918" s="65" t="s">
        <v>64</v>
      </c>
      <c r="M918" s="113" t="n">
        <v>1.49</v>
      </c>
      <c r="N918" s="114" t="n">
        <v>25000</v>
      </c>
      <c r="O918" s="114" t="n">
        <v>3500</v>
      </c>
      <c r="P918" s="114" t="n">
        <v>37250</v>
      </c>
      <c r="Q918" s="114" t="n">
        <v>12893.17</v>
      </c>
      <c r="R918" s="114" t="n">
        <v>24356.83</v>
      </c>
      <c r="S918" s="115" t="n">
        <v>0.346125369127517</v>
      </c>
      <c r="T918" s="65" t="n">
        <v>26</v>
      </c>
      <c r="U918" s="65" t="n">
        <v>3</v>
      </c>
      <c r="V918" s="65" t="n">
        <v>140784.34</v>
      </c>
      <c r="W918" s="115" t="n">
        <v>0.0407</v>
      </c>
      <c r="X918" s="112" t="n">
        <v>45342</v>
      </c>
      <c r="Y918" s="65" t="str">
        <f aca="false">IF(I918="","No SIC",IFERROR(VLOOKUP(I918,Ref!$A$2:$B$65,2,FALSE()),"Unclassified"))</f>
        <v>General Building Contractors</v>
      </c>
      <c r="Z918" s="65" t="str">
        <f aca="false">IF(T918="","",IF(T918&lt;12,"Daily","Weekly"))</f>
        <v>Weekly</v>
      </c>
      <c r="AA918" s="65" t="n">
        <f aca="false">IF(T918="",0,IF(T918&lt;12,T918*Controls!$B$29,T918*5))</f>
        <v>130</v>
      </c>
      <c r="AB918" s="65" t="n">
        <f aca="false">IF(E918="",0,NETWORKDAYS(E918,Controls!$B$36,Ref!$K$2:$K$42))</f>
        <v>61</v>
      </c>
      <c r="AC918" s="65" t="n">
        <f aca="false">IF(AND(AA918&gt;0,AB918&gt;=Controls!$B$39*AA918),1,0)</f>
        <v>0</v>
      </c>
      <c r="AD918" s="65" t="n">
        <f aca="false">IF(AND(E918&lt;&gt;"",E918&gt;=Controls!$B$37,E918&lt;=Controls!$B$38),1,0)</f>
        <v>1</v>
      </c>
      <c r="AE918" s="65" t="n">
        <f aca="false">IF(IFERROR(VLOOKUP(D918,Controls!$A$64:$E$74,2,FALSE()),"No")="Yes",1,0)</f>
        <v>0</v>
      </c>
      <c r="AF918" s="65" t="n">
        <f aca="false">IF(IFERROR(VLOOKUP(D918,Controls!$A$64:$E$74,3,FALSE()),"No")="Yes",1,0)</f>
        <v>0</v>
      </c>
      <c r="AG918" s="65" t="n">
        <f aca="false">IF(IFERROR(VLOOKUP(D918,Controls!$A$64:$E$74,4,FALSE()),"No")="Yes",1,0)</f>
        <v>0</v>
      </c>
      <c r="AH918" s="65" t="n">
        <f aca="false">IF(IFERROR(VLOOKUP(D918,Controls!$A$64:$E$74,5,FALSE()),"No")="Yes",1,0)</f>
        <v>1</v>
      </c>
      <c r="AI918" s="65" t="n">
        <f aca="false">IF(ISNUMBER(MATCH(D918,Controls!$A$64:$A$74,0)),1,0)</f>
        <v>1</v>
      </c>
      <c r="AJ918" s="65" t="n">
        <f aca="false">Q918-N918</f>
        <v>-12106.83</v>
      </c>
      <c r="AK918" s="65" t="n">
        <f aca="false">IF(AE918=1,MAX(0,N918-Q918),0)</f>
        <v>0</v>
      </c>
      <c r="AL918" s="65" t="n">
        <f aca="false">IF(OR(V918="",V918=0),0,N918/V918)</f>
        <v>0.177576568530278</v>
      </c>
      <c r="AM918" s="65" t="n">
        <f aca="false">IF(OR(V918="",V918=0),0,1)</f>
        <v>1</v>
      </c>
      <c r="AN918" s="65" t="n">
        <f aca="false">IF(OR(E918="",F918=""),0,NETWORKDAYS(E918,F918,Ref!$K$2:$K$42))</f>
        <v>57</v>
      </c>
      <c r="AO918" s="65" t="n">
        <f aca="false">IF(L918="Renewal",1,0)</f>
        <v>0</v>
      </c>
      <c r="AP918" s="65" t="n">
        <f aca="false">AC918*AD918</f>
        <v>0</v>
      </c>
      <c r="AQ918" s="65" t="n">
        <f aca="false">IF(AND(G918&lt;&gt;"",'Historical Score'!$C$6&lt;&gt;""),IF(G918='Historical Score'!$C$6,1,0),0)</f>
        <v>0</v>
      </c>
      <c r="AR918" s="65" t="n">
        <f aca="false">IF(AND(L918&lt;&gt;"",'Historical Score'!$C$5&lt;&gt;""),IF(L918='Historical Score'!$C$5,1,0),0)</f>
        <v>1</v>
      </c>
      <c r="AS918" s="65" t="n">
        <f aca="false">IF(AND(Y918&lt;&gt;"",'Historical Score'!$C$7&lt;&gt;""),IF(Y918='Historical Score'!$C$7,1,0),0)</f>
        <v>1</v>
      </c>
      <c r="AT918" s="65" t="n">
        <f aca="false">IF(AND(K918&lt;&gt;"",'Historical Score'!$C$8&lt;&gt;""),IF(K918='Historical Score'!$C$8,1,0),0)</f>
        <v>0</v>
      </c>
      <c r="AU918" s="65" t="n">
        <f aca="false">IF(AND(J918&lt;&gt;"",'Historical Score'!$C$9&lt;&gt;""),IF(J918='Historical Score'!$C$9,1,0),0)</f>
        <v>0</v>
      </c>
      <c r="AV918" s="65" t="n">
        <f aca="false">AR918*AS918*AQ918</f>
        <v>0</v>
      </c>
      <c r="AW918" s="65" t="n">
        <f aca="false">AR918*AT918*AQ918</f>
        <v>0</v>
      </c>
      <c r="AX918" s="65" t="n">
        <f aca="false">AR918*AS918</f>
        <v>1</v>
      </c>
      <c r="AY918" s="65" t="n">
        <f aca="false">AR918*AT918</f>
        <v>0</v>
      </c>
      <c r="AZ918" s="65" t="n">
        <f aca="false">AR918*AQ918</f>
        <v>0</v>
      </c>
      <c r="BA918" s="65" t="n">
        <f aca="false">AR918</f>
        <v>1</v>
      </c>
      <c r="BB918" s="65" t="n">
        <f aca="false">1</f>
        <v>1</v>
      </c>
      <c r="BC918" s="65" t="n">
        <f aca="false">IF(AV918=1,1,IF(AW918=1,2,IF(AX918=1,3,IF(AY918=1,4,IF(AZ918=1,5,IF(BA918=1,6,7))))))</f>
        <v>3</v>
      </c>
      <c r="BD918" s="65" t="n">
        <f aca="false">IF(AD918=1,CHOOSE('Historical Score'!$C$29,AV918,AW918,AX918,AY918,AZ918,BA918,BB918),0)</f>
        <v>0</v>
      </c>
      <c r="BE918" s="65" t="str">
        <f aca="false">IF(BD918=1,COUNTIF($BD$2:BD918,1),"")</f>
        <v/>
      </c>
    </row>
    <row r="919" customFormat="false" ht="15" hidden="false" customHeight="false" outlineLevel="0" collapsed="false">
      <c r="A919" s="65" t="s">
        <v>2807</v>
      </c>
      <c r="B919" s="65" t="s">
        <v>2808</v>
      </c>
      <c r="C919" s="65" t="s">
        <v>2808</v>
      </c>
      <c r="D919" s="65" t="s">
        <v>295</v>
      </c>
      <c r="E919" s="112" t="n">
        <v>46174</v>
      </c>
      <c r="F919" s="112" t="n">
        <v>46248</v>
      </c>
      <c r="G919" s="65" t="n">
        <v>3</v>
      </c>
      <c r="H919" s="65" t="s">
        <v>525</v>
      </c>
      <c r="I919" s="65" t="s">
        <v>367</v>
      </c>
      <c r="J919" s="65" t="s">
        <v>452</v>
      </c>
      <c r="K919" s="65" t="s">
        <v>2809</v>
      </c>
      <c r="L919" s="65" t="s">
        <v>64</v>
      </c>
      <c r="M919" s="113" t="n">
        <v>1.45</v>
      </c>
      <c r="N919" s="114" t="n">
        <v>10000</v>
      </c>
      <c r="O919" s="114" t="n">
        <v>1200</v>
      </c>
      <c r="P919" s="114" t="n">
        <v>14500</v>
      </c>
      <c r="Q919" s="114" t="n">
        <v>3021.45</v>
      </c>
      <c r="R919" s="114" t="n">
        <v>11478.55</v>
      </c>
      <c r="S919" s="115" t="n">
        <v>0.208375862068966</v>
      </c>
      <c r="T919" s="65" t="n">
        <v>24</v>
      </c>
      <c r="U919" s="65" t="n">
        <v>5</v>
      </c>
      <c r="V919" s="65" t="n">
        <v>15705.95</v>
      </c>
      <c r="W919" s="115" t="n">
        <v>0.1539</v>
      </c>
      <c r="X919" s="112" t="n">
        <v>44470</v>
      </c>
      <c r="Y919" s="65" t="str">
        <f aca="false">IF(I919="","No SIC",IFERROR(VLOOKUP(I919,Ref!$A$2:$B$65,2,FALSE()),"Unclassified"))</f>
        <v>Engineering, Accounting &amp; Management</v>
      </c>
      <c r="Z919" s="65" t="str">
        <f aca="false">IF(T919="","",IF(T919&lt;12,"Daily","Weekly"))</f>
        <v>Weekly</v>
      </c>
      <c r="AA919" s="65" t="n">
        <f aca="false">IF(T919="",0,IF(T919&lt;12,T919*Controls!$B$29,T919*5))</f>
        <v>120</v>
      </c>
      <c r="AB919" s="65" t="n">
        <f aca="false">IF(E919="",0,NETWORKDAYS(E919,Controls!$B$36,Ref!$K$2:$K$42))</f>
        <v>61</v>
      </c>
      <c r="AC919" s="65" t="n">
        <f aca="false">IF(AND(AA919&gt;0,AB919&gt;=Controls!$B$39*AA919),1,0)</f>
        <v>0</v>
      </c>
      <c r="AD919" s="65" t="n">
        <f aca="false">IF(AND(E919&lt;&gt;"",E919&gt;=Controls!$B$37,E919&lt;=Controls!$B$38),1,0)</f>
        <v>1</v>
      </c>
      <c r="AE919" s="65" t="n">
        <f aca="false">IF(IFERROR(VLOOKUP(D919,Controls!$A$64:$E$74,2,FALSE()),"No")="Yes",1,0)</f>
        <v>0</v>
      </c>
      <c r="AF919" s="65" t="n">
        <f aca="false">IF(IFERROR(VLOOKUP(D919,Controls!$A$64:$E$74,3,FALSE()),"No")="Yes",1,0)</f>
        <v>0</v>
      </c>
      <c r="AG919" s="65" t="n">
        <f aca="false">IF(IFERROR(VLOOKUP(D919,Controls!$A$64:$E$74,4,FALSE()),"No")="Yes",1,0)</f>
        <v>0</v>
      </c>
      <c r="AH919" s="65" t="n">
        <f aca="false">IF(IFERROR(VLOOKUP(D919,Controls!$A$64:$E$74,5,FALSE()),"No")="Yes",1,0)</f>
        <v>1</v>
      </c>
      <c r="AI919" s="65" t="n">
        <f aca="false">IF(ISNUMBER(MATCH(D919,Controls!$A$64:$A$74,0)),1,0)</f>
        <v>1</v>
      </c>
      <c r="AJ919" s="65" t="n">
        <f aca="false">Q919-N919</f>
        <v>-6978.55</v>
      </c>
      <c r="AK919" s="65" t="n">
        <f aca="false">IF(AE919=1,MAX(0,N919-Q919),0)</f>
        <v>0</v>
      </c>
      <c r="AL919" s="65" t="n">
        <f aca="false">IF(OR(V919="",V919=0),0,N919/V919)</f>
        <v>0.63670137750343</v>
      </c>
      <c r="AM919" s="65" t="n">
        <f aca="false">IF(OR(V919="",V919=0),0,1)</f>
        <v>1</v>
      </c>
      <c r="AN919" s="65" t="n">
        <f aca="false">IF(OR(E919="",F919=""),0,NETWORKDAYS(E919,F919,Ref!$K$2:$K$42))</f>
        <v>54</v>
      </c>
      <c r="AO919" s="65" t="n">
        <f aca="false">IF(L919="Renewal",1,0)</f>
        <v>0</v>
      </c>
      <c r="AP919" s="65" t="n">
        <f aca="false">AC919*AD919</f>
        <v>0</v>
      </c>
      <c r="AQ919" s="65" t="n">
        <f aca="false">IF(AND(G919&lt;&gt;"",'Historical Score'!$C$6&lt;&gt;""),IF(G919='Historical Score'!$C$6,1,0),0)</f>
        <v>0</v>
      </c>
      <c r="AR919" s="65" t="n">
        <f aca="false">IF(AND(L919&lt;&gt;"",'Historical Score'!$C$5&lt;&gt;""),IF(L919='Historical Score'!$C$5,1,0),0)</f>
        <v>1</v>
      </c>
      <c r="AS919" s="65" t="n">
        <f aca="false">IF(AND(Y919&lt;&gt;"",'Historical Score'!$C$7&lt;&gt;""),IF(Y919='Historical Score'!$C$7,1,0),0)</f>
        <v>0</v>
      </c>
      <c r="AT919" s="65" t="n">
        <f aca="false">IF(AND(K919&lt;&gt;"",'Historical Score'!$C$8&lt;&gt;""),IF(K919='Historical Score'!$C$8,1,0),0)</f>
        <v>0</v>
      </c>
      <c r="AU919" s="65" t="n">
        <f aca="false">IF(AND(J919&lt;&gt;"",'Historical Score'!$C$9&lt;&gt;""),IF(J919='Historical Score'!$C$9,1,0),0)</f>
        <v>0</v>
      </c>
      <c r="AV919" s="65" t="n">
        <f aca="false">AR919*AS919*AQ919</f>
        <v>0</v>
      </c>
      <c r="AW919" s="65" t="n">
        <f aca="false">AR919*AT919*AQ919</f>
        <v>0</v>
      </c>
      <c r="AX919" s="65" t="n">
        <f aca="false">AR919*AS919</f>
        <v>0</v>
      </c>
      <c r="AY919" s="65" t="n">
        <f aca="false">AR919*AT919</f>
        <v>0</v>
      </c>
      <c r="AZ919" s="65" t="n">
        <f aca="false">AR919*AQ919</f>
        <v>0</v>
      </c>
      <c r="BA919" s="65" t="n">
        <f aca="false">AR919</f>
        <v>1</v>
      </c>
      <c r="BB919" s="65" t="n">
        <f aca="false">1</f>
        <v>1</v>
      </c>
      <c r="BC919" s="65" t="n">
        <f aca="false">IF(AV919=1,1,IF(AW919=1,2,IF(AX919=1,3,IF(AY919=1,4,IF(AZ919=1,5,IF(BA919=1,6,7))))))</f>
        <v>6</v>
      </c>
      <c r="BD919" s="65" t="n">
        <f aca="false">IF(AD919=1,CHOOSE('Historical Score'!$C$29,AV919,AW919,AX919,AY919,AZ919,BA919,BB919),0)</f>
        <v>0</v>
      </c>
      <c r="BE919" s="65" t="str">
        <f aca="false">IF(BD919=1,COUNTIF($BD$2:BD919,1),"")</f>
        <v/>
      </c>
    </row>
    <row r="920" customFormat="false" ht="15" hidden="false" customHeight="false" outlineLevel="0" collapsed="false">
      <c r="A920" s="65" t="s">
        <v>2810</v>
      </c>
      <c r="B920" s="65" t="s">
        <v>2811</v>
      </c>
      <c r="C920" s="65" t="s">
        <v>2811</v>
      </c>
      <c r="D920" s="65" t="s">
        <v>533</v>
      </c>
      <c r="E920" s="112" t="n">
        <v>46175</v>
      </c>
      <c r="F920" s="112" t="n">
        <v>46192</v>
      </c>
      <c r="G920" s="65" t="n">
        <v>3</v>
      </c>
      <c r="H920" s="65" t="s">
        <v>479</v>
      </c>
      <c r="I920" s="65" t="s">
        <v>356</v>
      </c>
      <c r="J920" s="65" t="s">
        <v>555</v>
      </c>
      <c r="K920" s="65" t="s">
        <v>2812</v>
      </c>
      <c r="L920" s="65" t="s">
        <v>64</v>
      </c>
      <c r="M920" s="113" t="n">
        <v>1.49</v>
      </c>
      <c r="N920" s="114" t="n">
        <v>30000</v>
      </c>
      <c r="O920" s="114" t="n">
        <v>4200</v>
      </c>
      <c r="P920" s="114" t="n">
        <v>44700</v>
      </c>
      <c r="Q920" s="114" t="n">
        <v>2793.78</v>
      </c>
      <c r="R920" s="114" t="n">
        <v>41906.22</v>
      </c>
      <c r="S920" s="115" t="n">
        <v>0.0625006711409396</v>
      </c>
      <c r="T920" s="65" t="n">
        <v>32</v>
      </c>
      <c r="U920" s="65" t="n">
        <v>1</v>
      </c>
      <c r="V920" s="65" t="n">
        <v>53726.42</v>
      </c>
      <c r="W920" s="115" t="n">
        <v>0.104</v>
      </c>
      <c r="X920" s="112" t="n">
        <v>45717</v>
      </c>
      <c r="Y920" s="65" t="str">
        <f aca="false">IF(I920="","No SIC",IFERROR(VLOOKUP(I920,Ref!$A$2:$B$65,2,FALSE()),"Unclassified"))</f>
        <v>Trucking &amp; Warehousing</v>
      </c>
      <c r="Z920" s="65" t="str">
        <f aca="false">IF(T920="","",IF(T920&lt;12,"Daily","Weekly"))</f>
        <v>Weekly</v>
      </c>
      <c r="AA920" s="65" t="n">
        <f aca="false">IF(T920="",0,IF(T920&lt;12,T920*Controls!$B$29,T920*5))</f>
        <v>160</v>
      </c>
      <c r="AB920" s="65" t="n">
        <f aca="false">IF(E920="",0,NETWORKDAYS(E920,Controls!$B$36,Ref!$K$2:$K$42))</f>
        <v>60</v>
      </c>
      <c r="AC920" s="65" t="n">
        <f aca="false">IF(AND(AA920&gt;0,AB920&gt;=Controls!$B$39*AA920),1,0)</f>
        <v>0</v>
      </c>
      <c r="AD920" s="65" t="n">
        <f aca="false">IF(AND(E920&lt;&gt;"",E920&gt;=Controls!$B$37,E920&lt;=Controls!$B$38),1,0)</f>
        <v>1</v>
      </c>
      <c r="AE920" s="65" t="n">
        <f aca="false">IF(IFERROR(VLOOKUP(D920,Controls!$A$64:$E$74,2,FALSE()),"No")="Yes",1,0)</f>
        <v>1</v>
      </c>
      <c r="AF920" s="65" t="n">
        <f aca="false">IF(IFERROR(VLOOKUP(D920,Controls!$A$64:$E$74,3,FALSE()),"No")="Yes",1,0)</f>
        <v>0</v>
      </c>
      <c r="AG920" s="65" t="n">
        <f aca="false">IF(IFERROR(VLOOKUP(D920,Controls!$A$64:$E$74,4,FALSE()),"No")="Yes",1,0)</f>
        <v>0</v>
      </c>
      <c r="AH920" s="65" t="n">
        <f aca="false">IF(IFERROR(VLOOKUP(D920,Controls!$A$64:$E$74,5,FALSE()),"No")="Yes",1,0)</f>
        <v>0</v>
      </c>
      <c r="AI920" s="65" t="n">
        <f aca="false">IF(ISNUMBER(MATCH(D920,Controls!$A$64:$A$74,0)),1,0)</f>
        <v>1</v>
      </c>
      <c r="AJ920" s="65" t="n">
        <f aca="false">Q920-N920</f>
        <v>-27206.22</v>
      </c>
      <c r="AK920" s="65" t="n">
        <f aca="false">IF(AE920=1,MAX(0,N920-Q920),0)</f>
        <v>27206.22</v>
      </c>
      <c r="AL920" s="65" t="n">
        <f aca="false">IF(OR(V920="",V920=0),0,N920/V920)</f>
        <v>0.558384496863927</v>
      </c>
      <c r="AM920" s="65" t="n">
        <f aca="false">IF(OR(V920="",V920=0),0,1)</f>
        <v>1</v>
      </c>
      <c r="AN920" s="65" t="n">
        <f aca="false">IF(OR(E920="",F920=""),0,NETWORKDAYS(E920,F920,Ref!$K$2:$K$42))</f>
        <v>13</v>
      </c>
      <c r="AO920" s="65" t="n">
        <f aca="false">IF(L920="Renewal",1,0)</f>
        <v>0</v>
      </c>
      <c r="AP920" s="65" t="n">
        <f aca="false">AC920*AD920</f>
        <v>0</v>
      </c>
      <c r="AQ920" s="65" t="n">
        <f aca="false">IF(AND(G920&lt;&gt;"",'Historical Score'!$C$6&lt;&gt;""),IF(G920='Historical Score'!$C$6,1,0),0)</f>
        <v>0</v>
      </c>
      <c r="AR920" s="65" t="n">
        <f aca="false">IF(AND(L920&lt;&gt;"",'Historical Score'!$C$5&lt;&gt;""),IF(L920='Historical Score'!$C$5,1,0),0)</f>
        <v>1</v>
      </c>
      <c r="AS920" s="65" t="n">
        <f aca="false">IF(AND(Y920&lt;&gt;"",'Historical Score'!$C$7&lt;&gt;""),IF(Y920='Historical Score'!$C$7,1,0),0)</f>
        <v>0</v>
      </c>
      <c r="AT920" s="65" t="n">
        <f aca="false">IF(AND(K920&lt;&gt;"",'Historical Score'!$C$8&lt;&gt;""),IF(K920='Historical Score'!$C$8,1,0),0)</f>
        <v>0</v>
      </c>
      <c r="AU920" s="65" t="n">
        <f aca="false">IF(AND(J920&lt;&gt;"",'Historical Score'!$C$9&lt;&gt;""),IF(J920='Historical Score'!$C$9,1,0),0)</f>
        <v>0</v>
      </c>
      <c r="AV920" s="65" t="n">
        <f aca="false">AR920*AS920*AQ920</f>
        <v>0</v>
      </c>
      <c r="AW920" s="65" t="n">
        <f aca="false">AR920*AT920*AQ920</f>
        <v>0</v>
      </c>
      <c r="AX920" s="65" t="n">
        <f aca="false">AR920*AS920</f>
        <v>0</v>
      </c>
      <c r="AY920" s="65" t="n">
        <f aca="false">AR920*AT920</f>
        <v>0</v>
      </c>
      <c r="AZ920" s="65" t="n">
        <f aca="false">AR920*AQ920</f>
        <v>0</v>
      </c>
      <c r="BA920" s="65" t="n">
        <f aca="false">AR920</f>
        <v>1</v>
      </c>
      <c r="BB920" s="65" t="n">
        <f aca="false">1</f>
        <v>1</v>
      </c>
      <c r="BC920" s="65" t="n">
        <f aca="false">IF(AV920=1,1,IF(AW920=1,2,IF(AX920=1,3,IF(AY920=1,4,IF(AZ920=1,5,IF(BA920=1,6,7))))))</f>
        <v>6</v>
      </c>
      <c r="BD920" s="65" t="n">
        <f aca="false">IF(AD920=1,CHOOSE('Historical Score'!$C$29,AV920,AW920,AX920,AY920,AZ920,BA920,BB920),0)</f>
        <v>0</v>
      </c>
      <c r="BE920" s="65" t="str">
        <f aca="false">IF(BD920=1,COUNTIF($BD$2:BD920,1),"")</f>
        <v/>
      </c>
    </row>
    <row r="921" customFormat="false" ht="15" hidden="false" customHeight="false" outlineLevel="0" collapsed="false">
      <c r="A921" s="65" t="s">
        <v>2813</v>
      </c>
      <c r="B921" s="65" t="s">
        <v>2814</v>
      </c>
      <c r="C921" s="65" t="s">
        <v>2814</v>
      </c>
      <c r="D921" s="65" t="s">
        <v>295</v>
      </c>
      <c r="E921" s="112" t="n">
        <v>46175</v>
      </c>
      <c r="F921" s="112" t="n">
        <v>46248</v>
      </c>
      <c r="G921" s="65" t="n">
        <v>3</v>
      </c>
      <c r="H921" s="65" t="s">
        <v>479</v>
      </c>
      <c r="I921" s="65" t="s">
        <v>356</v>
      </c>
      <c r="J921" s="65" t="s">
        <v>1254</v>
      </c>
      <c r="K921" s="65" t="s">
        <v>538</v>
      </c>
      <c r="L921" s="65" t="s">
        <v>64</v>
      </c>
      <c r="M921" s="113" t="n">
        <v>1.49</v>
      </c>
      <c r="N921" s="114" t="n">
        <v>30000</v>
      </c>
      <c r="O921" s="114" t="n">
        <v>4200</v>
      </c>
      <c r="P921" s="114" t="n">
        <v>44700</v>
      </c>
      <c r="Q921" s="114" t="n">
        <v>13967.9</v>
      </c>
      <c r="R921" s="114" t="n">
        <v>30732.1</v>
      </c>
      <c r="S921" s="115" t="n">
        <v>0.312480984340045</v>
      </c>
      <c r="T921" s="65" t="n">
        <v>32</v>
      </c>
      <c r="U921" s="65" t="n">
        <v>0</v>
      </c>
      <c r="V921" s="65" t="n">
        <v>302710.88</v>
      </c>
      <c r="W921" s="115" t="n">
        <v>0.0969</v>
      </c>
      <c r="X921" s="112" t="n">
        <v>44320</v>
      </c>
      <c r="Y921" s="65" t="str">
        <f aca="false">IF(I921="","No SIC",IFERROR(VLOOKUP(I921,Ref!$A$2:$B$65,2,FALSE()),"Unclassified"))</f>
        <v>Trucking &amp; Warehousing</v>
      </c>
      <c r="Z921" s="65" t="str">
        <f aca="false">IF(T921="","",IF(T921&lt;12,"Daily","Weekly"))</f>
        <v>Weekly</v>
      </c>
      <c r="AA921" s="65" t="n">
        <f aca="false">IF(T921="",0,IF(T921&lt;12,T921*Controls!$B$29,T921*5))</f>
        <v>160</v>
      </c>
      <c r="AB921" s="65" t="n">
        <f aca="false">IF(E921="",0,NETWORKDAYS(E921,Controls!$B$36,Ref!$K$2:$K$42))</f>
        <v>60</v>
      </c>
      <c r="AC921" s="65" t="n">
        <f aca="false">IF(AND(AA921&gt;0,AB921&gt;=Controls!$B$39*AA921),1,0)</f>
        <v>0</v>
      </c>
      <c r="AD921" s="65" t="n">
        <f aca="false">IF(AND(E921&lt;&gt;"",E921&gt;=Controls!$B$37,E921&lt;=Controls!$B$38),1,0)</f>
        <v>1</v>
      </c>
      <c r="AE921" s="65" t="n">
        <f aca="false">IF(IFERROR(VLOOKUP(D921,Controls!$A$64:$E$74,2,FALSE()),"No")="Yes",1,0)</f>
        <v>0</v>
      </c>
      <c r="AF921" s="65" t="n">
        <f aca="false">IF(IFERROR(VLOOKUP(D921,Controls!$A$64:$E$74,3,FALSE()),"No")="Yes",1,0)</f>
        <v>0</v>
      </c>
      <c r="AG921" s="65" t="n">
        <f aca="false">IF(IFERROR(VLOOKUP(D921,Controls!$A$64:$E$74,4,FALSE()),"No")="Yes",1,0)</f>
        <v>0</v>
      </c>
      <c r="AH921" s="65" t="n">
        <f aca="false">IF(IFERROR(VLOOKUP(D921,Controls!$A$64:$E$74,5,FALSE()),"No")="Yes",1,0)</f>
        <v>1</v>
      </c>
      <c r="AI921" s="65" t="n">
        <f aca="false">IF(ISNUMBER(MATCH(D921,Controls!$A$64:$A$74,0)),1,0)</f>
        <v>1</v>
      </c>
      <c r="AJ921" s="65" t="n">
        <f aca="false">Q921-N921</f>
        <v>-16032.1</v>
      </c>
      <c r="AK921" s="65" t="n">
        <f aca="false">IF(AE921=1,MAX(0,N921-Q921),0)</f>
        <v>0</v>
      </c>
      <c r="AL921" s="65" t="n">
        <f aca="false">IF(OR(V921="",V921=0),0,N921/V921)</f>
        <v>0.099104465620793</v>
      </c>
      <c r="AM921" s="65" t="n">
        <f aca="false">IF(OR(V921="",V921=0),0,1)</f>
        <v>1</v>
      </c>
      <c r="AN921" s="65" t="n">
        <f aca="false">IF(OR(E921="",F921=""),0,NETWORKDAYS(E921,F921,Ref!$K$2:$K$42))</f>
        <v>53</v>
      </c>
      <c r="AO921" s="65" t="n">
        <f aca="false">IF(L921="Renewal",1,0)</f>
        <v>0</v>
      </c>
      <c r="AP921" s="65" t="n">
        <f aca="false">AC921*AD921</f>
        <v>0</v>
      </c>
      <c r="AQ921" s="65" t="n">
        <f aca="false">IF(AND(G921&lt;&gt;"",'Historical Score'!$C$6&lt;&gt;""),IF(G921='Historical Score'!$C$6,1,0),0)</f>
        <v>0</v>
      </c>
      <c r="AR921" s="65" t="n">
        <f aca="false">IF(AND(L921&lt;&gt;"",'Historical Score'!$C$5&lt;&gt;""),IF(L921='Historical Score'!$C$5,1,0),0)</f>
        <v>1</v>
      </c>
      <c r="AS921" s="65" t="n">
        <f aca="false">IF(AND(Y921&lt;&gt;"",'Historical Score'!$C$7&lt;&gt;""),IF(Y921='Historical Score'!$C$7,1,0),0)</f>
        <v>0</v>
      </c>
      <c r="AT921" s="65" t="n">
        <f aca="false">IF(AND(K921&lt;&gt;"",'Historical Score'!$C$8&lt;&gt;""),IF(K921='Historical Score'!$C$8,1,0),0)</f>
        <v>0</v>
      </c>
      <c r="AU921" s="65" t="n">
        <f aca="false">IF(AND(J921&lt;&gt;"",'Historical Score'!$C$9&lt;&gt;""),IF(J921='Historical Score'!$C$9,1,0),0)</f>
        <v>0</v>
      </c>
      <c r="AV921" s="65" t="n">
        <f aca="false">AR921*AS921*AQ921</f>
        <v>0</v>
      </c>
      <c r="AW921" s="65" t="n">
        <f aca="false">AR921*AT921*AQ921</f>
        <v>0</v>
      </c>
      <c r="AX921" s="65" t="n">
        <f aca="false">AR921*AS921</f>
        <v>0</v>
      </c>
      <c r="AY921" s="65" t="n">
        <f aca="false">AR921*AT921</f>
        <v>0</v>
      </c>
      <c r="AZ921" s="65" t="n">
        <f aca="false">AR921*AQ921</f>
        <v>0</v>
      </c>
      <c r="BA921" s="65" t="n">
        <f aca="false">AR921</f>
        <v>1</v>
      </c>
      <c r="BB921" s="65" t="n">
        <f aca="false">1</f>
        <v>1</v>
      </c>
      <c r="BC921" s="65" t="n">
        <f aca="false">IF(AV921=1,1,IF(AW921=1,2,IF(AX921=1,3,IF(AY921=1,4,IF(AZ921=1,5,IF(BA921=1,6,7))))))</f>
        <v>6</v>
      </c>
      <c r="BD921" s="65" t="n">
        <f aca="false">IF(AD921=1,CHOOSE('Historical Score'!$C$29,AV921,AW921,AX921,AY921,AZ921,BA921,BB921),0)</f>
        <v>0</v>
      </c>
      <c r="BE921" s="65" t="str">
        <f aca="false">IF(BD921=1,COUNTIF($BD$2:BD921,1),"")</f>
        <v/>
      </c>
    </row>
    <row r="922" customFormat="false" ht="15" hidden="false" customHeight="false" outlineLevel="0" collapsed="false">
      <c r="A922" s="65" t="s">
        <v>2815</v>
      </c>
      <c r="B922" s="65" t="s">
        <v>2324</v>
      </c>
      <c r="C922" s="65" t="s">
        <v>2325</v>
      </c>
      <c r="D922" s="65" t="s">
        <v>533</v>
      </c>
      <c r="E922" s="112" t="n">
        <v>46175</v>
      </c>
      <c r="F922" s="112" t="n">
        <v>46253</v>
      </c>
      <c r="G922" s="65" t="n">
        <v>3</v>
      </c>
      <c r="H922" s="65" t="s">
        <v>1055</v>
      </c>
      <c r="I922" s="65" t="s">
        <v>643</v>
      </c>
      <c r="J922" s="65" t="s">
        <v>61</v>
      </c>
      <c r="K922" s="65" t="s">
        <v>2326</v>
      </c>
      <c r="L922" s="65" t="s">
        <v>320</v>
      </c>
      <c r="M922" s="113" t="n">
        <v>1.49</v>
      </c>
      <c r="N922" s="114" t="n">
        <v>40000</v>
      </c>
      <c r="O922" s="114" t="n">
        <v>5600</v>
      </c>
      <c r="P922" s="114" t="n">
        <v>59600</v>
      </c>
      <c r="Q922" s="114" t="n">
        <v>13099.02</v>
      </c>
      <c r="R922" s="114" t="n">
        <v>46500.98</v>
      </c>
      <c r="S922" s="115" t="n">
        <v>0.219782214765101</v>
      </c>
      <c r="T922" s="65" t="n">
        <v>3.934</v>
      </c>
      <c r="U922" s="65" t="n">
        <v>15</v>
      </c>
      <c r="V922" s="65" t="n">
        <v>57633.25</v>
      </c>
      <c r="W922" s="115" t="n">
        <v>0.181</v>
      </c>
      <c r="X922" s="112" t="n">
        <v>30376</v>
      </c>
      <c r="Y922" s="65" t="str">
        <f aca="false">IF(I922="","No SIC",IFERROR(VLOOKUP(I922,Ref!$A$2:$B$65,2,FALSE()),"Unclassified"))</f>
        <v>Agricultural Services</v>
      </c>
      <c r="Z922" s="65" t="str">
        <f aca="false">IF(T922="","",IF(T922&lt;12,"Daily","Weekly"))</f>
        <v>Daily</v>
      </c>
      <c r="AA922" s="65" t="n">
        <f aca="false">IF(T922="",0,IF(T922&lt;12,T922*Controls!$B$29,T922*5))</f>
        <v>85.19077</v>
      </c>
      <c r="AB922" s="65" t="n">
        <f aca="false">IF(E922="",0,NETWORKDAYS(E922,Controls!$B$36,Ref!$K$2:$K$42))</f>
        <v>60</v>
      </c>
      <c r="AC922" s="65" t="n">
        <f aca="false">IF(AND(AA922&gt;0,AB922&gt;=Controls!$B$39*AA922),1,0)</f>
        <v>0</v>
      </c>
      <c r="AD922" s="65" t="n">
        <f aca="false">IF(AND(E922&lt;&gt;"",E922&gt;=Controls!$B$37,E922&lt;=Controls!$B$38),1,0)</f>
        <v>1</v>
      </c>
      <c r="AE922" s="65" t="n">
        <f aca="false">IF(IFERROR(VLOOKUP(D922,Controls!$A$64:$E$74,2,FALSE()),"No")="Yes",1,0)</f>
        <v>1</v>
      </c>
      <c r="AF922" s="65" t="n">
        <f aca="false">IF(IFERROR(VLOOKUP(D922,Controls!$A$64:$E$74,3,FALSE()),"No")="Yes",1,0)</f>
        <v>0</v>
      </c>
      <c r="AG922" s="65" t="n">
        <f aca="false">IF(IFERROR(VLOOKUP(D922,Controls!$A$64:$E$74,4,FALSE()),"No")="Yes",1,0)</f>
        <v>0</v>
      </c>
      <c r="AH922" s="65" t="n">
        <f aca="false">IF(IFERROR(VLOOKUP(D922,Controls!$A$64:$E$74,5,FALSE()),"No")="Yes",1,0)</f>
        <v>0</v>
      </c>
      <c r="AI922" s="65" t="n">
        <f aca="false">IF(ISNUMBER(MATCH(D922,Controls!$A$64:$A$74,0)),1,0)</f>
        <v>1</v>
      </c>
      <c r="AJ922" s="65" t="n">
        <f aca="false">Q922-N922</f>
        <v>-26900.98</v>
      </c>
      <c r="AK922" s="65" t="n">
        <f aca="false">IF(AE922=1,MAX(0,N922-Q922),0)</f>
        <v>26900.98</v>
      </c>
      <c r="AL922" s="65" t="n">
        <f aca="false">IF(OR(V922="",V922=0),0,N922/V922)</f>
        <v>0.694043802839507</v>
      </c>
      <c r="AM922" s="65" t="n">
        <f aca="false">IF(OR(V922="",V922=0),0,1)</f>
        <v>1</v>
      </c>
      <c r="AN922" s="65" t="n">
        <f aca="false">IF(OR(E922="",F922=""),0,NETWORKDAYS(E922,F922,Ref!$K$2:$K$42))</f>
        <v>56</v>
      </c>
      <c r="AO922" s="65" t="n">
        <f aca="false">IF(L922="Renewal",1,0)</f>
        <v>1</v>
      </c>
      <c r="AP922" s="65" t="n">
        <f aca="false">AC922*AD922</f>
        <v>0</v>
      </c>
      <c r="AQ922" s="65" t="n">
        <f aca="false">IF(AND(G922&lt;&gt;"",'Historical Score'!$C$6&lt;&gt;""),IF(G922='Historical Score'!$C$6,1,0),0)</f>
        <v>0</v>
      </c>
      <c r="AR922" s="65" t="n">
        <f aca="false">IF(AND(L922&lt;&gt;"",'Historical Score'!$C$5&lt;&gt;""),IF(L922='Historical Score'!$C$5,1,0),0)</f>
        <v>0</v>
      </c>
      <c r="AS922" s="65" t="n">
        <f aca="false">IF(AND(Y922&lt;&gt;"",'Historical Score'!$C$7&lt;&gt;""),IF(Y922='Historical Score'!$C$7,1,0),0)</f>
        <v>0</v>
      </c>
      <c r="AT922" s="65" t="n">
        <f aca="false">IF(AND(K922&lt;&gt;"",'Historical Score'!$C$8&lt;&gt;""),IF(K922='Historical Score'!$C$8,1,0),0)</f>
        <v>0</v>
      </c>
      <c r="AU922" s="65" t="n">
        <f aca="false">IF(AND(J922&lt;&gt;"",'Historical Score'!$C$9&lt;&gt;""),IF(J922='Historical Score'!$C$9,1,0),0)</f>
        <v>1</v>
      </c>
      <c r="AV922" s="65" t="n">
        <f aca="false">AR922*AS922*AQ922</f>
        <v>0</v>
      </c>
      <c r="AW922" s="65" t="n">
        <f aca="false">AR922*AT922*AQ922</f>
        <v>0</v>
      </c>
      <c r="AX922" s="65" t="n">
        <f aca="false">AR922*AS922</f>
        <v>0</v>
      </c>
      <c r="AY922" s="65" t="n">
        <f aca="false">AR922*AT922</f>
        <v>0</v>
      </c>
      <c r="AZ922" s="65" t="n">
        <f aca="false">AR922*AQ922</f>
        <v>0</v>
      </c>
      <c r="BA922" s="65" t="n">
        <f aca="false">AR922</f>
        <v>0</v>
      </c>
      <c r="BB922" s="65" t="n">
        <f aca="false">1</f>
        <v>1</v>
      </c>
      <c r="BC922" s="65" t="n">
        <f aca="false">IF(AV922=1,1,IF(AW922=1,2,IF(AX922=1,3,IF(AY922=1,4,IF(AZ922=1,5,IF(BA922=1,6,7))))))</f>
        <v>7</v>
      </c>
      <c r="BD922" s="65" t="n">
        <f aca="false">IF(AD922=1,CHOOSE('Historical Score'!$C$29,AV922,AW922,AX922,AY922,AZ922,BA922,BB922),0)</f>
        <v>0</v>
      </c>
      <c r="BE922" s="65" t="str">
        <f aca="false">IF(BD922=1,COUNTIF($BD$2:BD922,1),"")</f>
        <v/>
      </c>
    </row>
    <row r="923" customFormat="false" ht="15" hidden="false" customHeight="false" outlineLevel="0" collapsed="false">
      <c r="A923" s="65" t="s">
        <v>2816</v>
      </c>
      <c r="B923" s="65" t="s">
        <v>2817</v>
      </c>
      <c r="C923" s="65" t="s">
        <v>2817</v>
      </c>
      <c r="D923" s="65" t="s">
        <v>295</v>
      </c>
      <c r="E923" s="112" t="n">
        <v>46176</v>
      </c>
      <c r="F923" s="112" t="n">
        <v>46253</v>
      </c>
      <c r="G923" s="65" t="n">
        <v>3</v>
      </c>
      <c r="H923" s="65" t="s">
        <v>572</v>
      </c>
      <c r="I923" s="65" t="s">
        <v>419</v>
      </c>
      <c r="J923" s="65" t="s">
        <v>452</v>
      </c>
      <c r="K923" s="65" t="s">
        <v>961</v>
      </c>
      <c r="L923" s="65" t="s">
        <v>64</v>
      </c>
      <c r="M923" s="113" t="n">
        <v>1.37</v>
      </c>
      <c r="N923" s="114" t="n">
        <v>5000</v>
      </c>
      <c r="O923" s="114" t="n">
        <v>400</v>
      </c>
      <c r="P923" s="114" t="n">
        <v>6850</v>
      </c>
      <c r="Q923" s="114" t="n">
        <v>2464.2</v>
      </c>
      <c r="R923" s="114" t="n">
        <v>4385.8</v>
      </c>
      <c r="S923" s="115" t="n">
        <v>0.359737226277372</v>
      </c>
      <c r="T923" s="65" t="n">
        <v>3.279</v>
      </c>
      <c r="U923" s="65" t="n">
        <v>18</v>
      </c>
      <c r="V923" s="65" t="n">
        <v>25854.77</v>
      </c>
      <c r="W923" s="115"/>
      <c r="X923" s="112" t="n">
        <v>42979</v>
      </c>
      <c r="Y923" s="65" t="str">
        <f aca="false">IF(I923="","No SIC",IFERROR(VLOOKUP(I923,Ref!$A$2:$B$65,2,FALSE()),"Unclassified"))</f>
        <v>Business Services</v>
      </c>
      <c r="Z923" s="65" t="str">
        <f aca="false">IF(T923="","",IF(T923&lt;12,"Daily","Weekly"))</f>
        <v>Daily</v>
      </c>
      <c r="AA923" s="65" t="n">
        <f aca="false">IF(T923="",0,IF(T923&lt;12,T923*Controls!$B$29,T923*5))</f>
        <v>71.006745</v>
      </c>
      <c r="AB923" s="65" t="n">
        <f aca="false">IF(E923="",0,NETWORKDAYS(E923,Controls!$B$36,Ref!$K$2:$K$42))</f>
        <v>59</v>
      </c>
      <c r="AC923" s="65" t="n">
        <f aca="false">IF(AND(AA923&gt;0,AB923&gt;=Controls!$B$39*AA923),1,0)</f>
        <v>0</v>
      </c>
      <c r="AD923" s="65" t="n">
        <f aca="false">IF(AND(E923&lt;&gt;"",E923&gt;=Controls!$B$37,E923&lt;=Controls!$B$38),1,0)</f>
        <v>1</v>
      </c>
      <c r="AE923" s="65" t="n">
        <f aca="false">IF(IFERROR(VLOOKUP(D923,Controls!$A$64:$E$74,2,FALSE()),"No")="Yes",1,0)</f>
        <v>0</v>
      </c>
      <c r="AF923" s="65" t="n">
        <f aca="false">IF(IFERROR(VLOOKUP(D923,Controls!$A$64:$E$74,3,FALSE()),"No")="Yes",1,0)</f>
        <v>0</v>
      </c>
      <c r="AG923" s="65" t="n">
        <f aca="false">IF(IFERROR(VLOOKUP(D923,Controls!$A$64:$E$74,4,FALSE()),"No")="Yes",1,0)</f>
        <v>0</v>
      </c>
      <c r="AH923" s="65" t="n">
        <f aca="false">IF(IFERROR(VLOOKUP(D923,Controls!$A$64:$E$74,5,FALSE()),"No")="Yes",1,0)</f>
        <v>1</v>
      </c>
      <c r="AI923" s="65" t="n">
        <f aca="false">IF(ISNUMBER(MATCH(D923,Controls!$A$64:$A$74,0)),1,0)</f>
        <v>1</v>
      </c>
      <c r="AJ923" s="65" t="n">
        <f aca="false">Q923-N923</f>
        <v>-2535.8</v>
      </c>
      <c r="AK923" s="65" t="n">
        <f aca="false">IF(AE923=1,MAX(0,N923-Q923),0)</f>
        <v>0</v>
      </c>
      <c r="AL923" s="65" t="n">
        <f aca="false">IF(OR(V923="",V923=0),0,N923/V923)</f>
        <v>0.193387912559269</v>
      </c>
      <c r="AM923" s="65" t="n">
        <f aca="false">IF(OR(V923="",V923=0),0,1)</f>
        <v>1</v>
      </c>
      <c r="AN923" s="65" t="n">
        <f aca="false">IF(OR(E923="",F923=""),0,NETWORKDAYS(E923,F923,Ref!$K$2:$K$42))</f>
        <v>55</v>
      </c>
      <c r="AO923" s="65" t="n">
        <f aca="false">IF(L923="Renewal",1,0)</f>
        <v>0</v>
      </c>
      <c r="AP923" s="65" t="n">
        <f aca="false">AC923*AD923</f>
        <v>0</v>
      </c>
      <c r="AQ923" s="65" t="n">
        <f aca="false">IF(AND(G923&lt;&gt;"",'Historical Score'!$C$6&lt;&gt;""),IF(G923='Historical Score'!$C$6,1,0),0)</f>
        <v>0</v>
      </c>
      <c r="AR923" s="65" t="n">
        <f aca="false">IF(AND(L923&lt;&gt;"",'Historical Score'!$C$5&lt;&gt;""),IF(L923='Historical Score'!$C$5,1,0),0)</f>
        <v>1</v>
      </c>
      <c r="AS923" s="65" t="n">
        <f aca="false">IF(AND(Y923&lt;&gt;"",'Historical Score'!$C$7&lt;&gt;""),IF(Y923='Historical Score'!$C$7,1,0),0)</f>
        <v>0</v>
      </c>
      <c r="AT923" s="65" t="n">
        <f aca="false">IF(AND(K923&lt;&gt;"",'Historical Score'!$C$8&lt;&gt;""),IF(K923='Historical Score'!$C$8,1,0),0)</f>
        <v>0</v>
      </c>
      <c r="AU923" s="65" t="n">
        <f aca="false">IF(AND(J923&lt;&gt;"",'Historical Score'!$C$9&lt;&gt;""),IF(J923='Historical Score'!$C$9,1,0),0)</f>
        <v>0</v>
      </c>
      <c r="AV923" s="65" t="n">
        <f aca="false">AR923*AS923*AQ923</f>
        <v>0</v>
      </c>
      <c r="AW923" s="65" t="n">
        <f aca="false">AR923*AT923*AQ923</f>
        <v>0</v>
      </c>
      <c r="AX923" s="65" t="n">
        <f aca="false">AR923*AS923</f>
        <v>0</v>
      </c>
      <c r="AY923" s="65" t="n">
        <f aca="false">AR923*AT923</f>
        <v>0</v>
      </c>
      <c r="AZ923" s="65" t="n">
        <f aca="false">AR923*AQ923</f>
        <v>0</v>
      </c>
      <c r="BA923" s="65" t="n">
        <f aca="false">AR923</f>
        <v>1</v>
      </c>
      <c r="BB923" s="65" t="n">
        <f aca="false">1</f>
        <v>1</v>
      </c>
      <c r="BC923" s="65" t="n">
        <f aca="false">IF(AV923=1,1,IF(AW923=1,2,IF(AX923=1,3,IF(AY923=1,4,IF(AZ923=1,5,IF(BA923=1,6,7))))))</f>
        <v>6</v>
      </c>
      <c r="BD923" s="65" t="n">
        <f aca="false">IF(AD923=1,CHOOSE('Historical Score'!$C$29,AV923,AW923,AX923,AY923,AZ923,BA923,BB923),0)</f>
        <v>0</v>
      </c>
      <c r="BE923" s="65" t="str">
        <f aca="false">IF(BD923=1,COUNTIF($BD$2:BD923,1),"")</f>
        <v/>
      </c>
    </row>
    <row r="924" customFormat="false" ht="15" hidden="false" customHeight="false" outlineLevel="0" collapsed="false">
      <c r="A924" s="65" t="s">
        <v>2818</v>
      </c>
      <c r="B924" s="65" t="s">
        <v>2819</v>
      </c>
      <c r="C924" s="65" t="s">
        <v>2820</v>
      </c>
      <c r="D924" s="65" t="s">
        <v>295</v>
      </c>
      <c r="E924" s="112" t="n">
        <v>46176</v>
      </c>
      <c r="F924" s="112" t="n">
        <v>46248</v>
      </c>
      <c r="G924" s="65" t="n">
        <v>3</v>
      </c>
      <c r="H924" s="65" t="s">
        <v>500</v>
      </c>
      <c r="I924" s="65" t="s">
        <v>475</v>
      </c>
      <c r="J924" s="65" t="s">
        <v>61</v>
      </c>
      <c r="K924" s="65" t="s">
        <v>961</v>
      </c>
      <c r="L924" s="65" t="s">
        <v>320</v>
      </c>
      <c r="M924" s="113" t="n">
        <v>1.35</v>
      </c>
      <c r="N924" s="114" t="n">
        <v>10000</v>
      </c>
      <c r="O924" s="114" t="n">
        <v>700</v>
      </c>
      <c r="P924" s="114" t="n">
        <v>13500</v>
      </c>
      <c r="Q924" s="114" t="n">
        <v>4094.8</v>
      </c>
      <c r="R924" s="114" t="n">
        <v>9405.2</v>
      </c>
      <c r="S924" s="115" t="n">
        <v>0.303318518518519</v>
      </c>
      <c r="T924" s="65" t="n">
        <v>33</v>
      </c>
      <c r="U924" s="65" t="n">
        <v>0</v>
      </c>
      <c r="V924" s="65" t="n">
        <v>47981.44</v>
      </c>
      <c r="W924" s="115" t="n">
        <v>0.037</v>
      </c>
      <c r="X924" s="112" t="n">
        <v>43245</v>
      </c>
      <c r="Y924" s="65" t="str">
        <f aca="false">IF(I924="","No SIC",IFERROR(VLOOKUP(I924,Ref!$A$2:$B$65,2,FALSE()),"Unclassified"))</f>
        <v>Auto Repair &amp; Services</v>
      </c>
      <c r="Z924" s="65" t="str">
        <f aca="false">IF(T924="","",IF(T924&lt;12,"Daily","Weekly"))</f>
        <v>Weekly</v>
      </c>
      <c r="AA924" s="65" t="n">
        <f aca="false">IF(T924="",0,IF(T924&lt;12,T924*Controls!$B$29,T924*5))</f>
        <v>165</v>
      </c>
      <c r="AB924" s="65" t="n">
        <f aca="false">IF(E924="",0,NETWORKDAYS(E924,Controls!$B$36,Ref!$K$2:$K$42))</f>
        <v>59</v>
      </c>
      <c r="AC924" s="65" t="n">
        <f aca="false">IF(AND(AA924&gt;0,AB924&gt;=Controls!$B$39*AA924),1,0)</f>
        <v>0</v>
      </c>
      <c r="AD924" s="65" t="n">
        <f aca="false">IF(AND(E924&lt;&gt;"",E924&gt;=Controls!$B$37,E924&lt;=Controls!$B$38),1,0)</f>
        <v>1</v>
      </c>
      <c r="AE924" s="65" t="n">
        <f aca="false">IF(IFERROR(VLOOKUP(D924,Controls!$A$64:$E$74,2,FALSE()),"No")="Yes",1,0)</f>
        <v>0</v>
      </c>
      <c r="AF924" s="65" t="n">
        <f aca="false">IF(IFERROR(VLOOKUP(D924,Controls!$A$64:$E$74,3,FALSE()),"No")="Yes",1,0)</f>
        <v>0</v>
      </c>
      <c r="AG924" s="65" t="n">
        <f aca="false">IF(IFERROR(VLOOKUP(D924,Controls!$A$64:$E$74,4,FALSE()),"No")="Yes",1,0)</f>
        <v>0</v>
      </c>
      <c r="AH924" s="65" t="n">
        <f aca="false">IF(IFERROR(VLOOKUP(D924,Controls!$A$64:$E$74,5,FALSE()),"No")="Yes",1,0)</f>
        <v>1</v>
      </c>
      <c r="AI924" s="65" t="n">
        <f aca="false">IF(ISNUMBER(MATCH(D924,Controls!$A$64:$A$74,0)),1,0)</f>
        <v>1</v>
      </c>
      <c r="AJ924" s="65" t="n">
        <f aca="false">Q924-N924</f>
        <v>-5905.2</v>
      </c>
      <c r="AK924" s="65" t="n">
        <f aca="false">IF(AE924=1,MAX(0,N924-Q924),0)</f>
        <v>0</v>
      </c>
      <c r="AL924" s="65" t="n">
        <f aca="false">IF(OR(V924="",V924=0),0,N924/V924)</f>
        <v>0.208413920049086</v>
      </c>
      <c r="AM924" s="65" t="n">
        <f aca="false">IF(OR(V924="",V924=0),0,1)</f>
        <v>1</v>
      </c>
      <c r="AN924" s="65" t="n">
        <f aca="false">IF(OR(E924="",F924=""),0,NETWORKDAYS(E924,F924,Ref!$K$2:$K$42))</f>
        <v>52</v>
      </c>
      <c r="AO924" s="65" t="n">
        <f aca="false">IF(L924="Renewal",1,0)</f>
        <v>1</v>
      </c>
      <c r="AP924" s="65" t="n">
        <f aca="false">AC924*AD924</f>
        <v>0</v>
      </c>
      <c r="AQ924" s="65" t="n">
        <f aca="false">IF(AND(G924&lt;&gt;"",'Historical Score'!$C$6&lt;&gt;""),IF(G924='Historical Score'!$C$6,1,0),0)</f>
        <v>0</v>
      </c>
      <c r="AR924" s="65" t="n">
        <f aca="false">IF(AND(L924&lt;&gt;"",'Historical Score'!$C$5&lt;&gt;""),IF(L924='Historical Score'!$C$5,1,0),0)</f>
        <v>0</v>
      </c>
      <c r="AS924" s="65" t="n">
        <f aca="false">IF(AND(Y924&lt;&gt;"",'Historical Score'!$C$7&lt;&gt;""),IF(Y924='Historical Score'!$C$7,1,0),0)</f>
        <v>0</v>
      </c>
      <c r="AT924" s="65" t="n">
        <f aca="false">IF(AND(K924&lt;&gt;"",'Historical Score'!$C$8&lt;&gt;""),IF(K924='Historical Score'!$C$8,1,0),0)</f>
        <v>0</v>
      </c>
      <c r="AU924" s="65" t="n">
        <f aca="false">IF(AND(J924&lt;&gt;"",'Historical Score'!$C$9&lt;&gt;""),IF(J924='Historical Score'!$C$9,1,0),0)</f>
        <v>1</v>
      </c>
      <c r="AV924" s="65" t="n">
        <f aca="false">AR924*AS924*AQ924</f>
        <v>0</v>
      </c>
      <c r="AW924" s="65" t="n">
        <f aca="false">AR924*AT924*AQ924</f>
        <v>0</v>
      </c>
      <c r="AX924" s="65" t="n">
        <f aca="false">AR924*AS924</f>
        <v>0</v>
      </c>
      <c r="AY924" s="65" t="n">
        <f aca="false">AR924*AT924</f>
        <v>0</v>
      </c>
      <c r="AZ924" s="65" t="n">
        <f aca="false">AR924*AQ924</f>
        <v>0</v>
      </c>
      <c r="BA924" s="65" t="n">
        <f aca="false">AR924</f>
        <v>0</v>
      </c>
      <c r="BB924" s="65" t="n">
        <f aca="false">1</f>
        <v>1</v>
      </c>
      <c r="BC924" s="65" t="n">
        <f aca="false">IF(AV924=1,1,IF(AW924=1,2,IF(AX924=1,3,IF(AY924=1,4,IF(AZ924=1,5,IF(BA924=1,6,7))))))</f>
        <v>7</v>
      </c>
      <c r="BD924" s="65" t="n">
        <f aca="false">IF(AD924=1,CHOOSE('Historical Score'!$C$29,AV924,AW924,AX924,AY924,AZ924,BA924,BB924),0)</f>
        <v>0</v>
      </c>
      <c r="BE924" s="65" t="str">
        <f aca="false">IF(BD924=1,COUNTIF($BD$2:BD924,1),"")</f>
        <v/>
      </c>
    </row>
    <row r="925" customFormat="false" ht="15" hidden="false" customHeight="false" outlineLevel="0" collapsed="false">
      <c r="A925" s="65" t="s">
        <v>2821</v>
      </c>
      <c r="B925" s="65" t="s">
        <v>864</v>
      </c>
      <c r="C925" s="65" t="s">
        <v>865</v>
      </c>
      <c r="D925" s="65" t="s">
        <v>533</v>
      </c>
      <c r="E925" s="112" t="n">
        <v>46176</v>
      </c>
      <c r="F925" s="112" t="n">
        <v>46185</v>
      </c>
      <c r="G925" s="65" t="n">
        <v>3</v>
      </c>
      <c r="H925" s="65" t="s">
        <v>500</v>
      </c>
      <c r="I925" s="65" t="s">
        <v>475</v>
      </c>
      <c r="J925" s="65" t="s">
        <v>555</v>
      </c>
      <c r="K925" s="65" t="s">
        <v>411</v>
      </c>
      <c r="L925" s="65" t="s">
        <v>320</v>
      </c>
      <c r="M925" s="113" t="n">
        <v>1.49</v>
      </c>
      <c r="N925" s="114" t="n">
        <v>25000</v>
      </c>
      <c r="O925" s="114" t="n">
        <v>3500</v>
      </c>
      <c r="P925" s="114" t="n">
        <v>37250</v>
      </c>
      <c r="Q925" s="114" t="n">
        <v>931.23</v>
      </c>
      <c r="R925" s="114" t="n">
        <v>36318.77</v>
      </c>
      <c r="S925" s="115" t="n">
        <v>0.0249994630872483</v>
      </c>
      <c r="T925" s="65" t="n">
        <v>3.934</v>
      </c>
      <c r="U925" s="65" t="n">
        <v>3</v>
      </c>
      <c r="V925" s="65" t="n">
        <v>47264.79</v>
      </c>
      <c r="W925" s="115" t="n">
        <v>0.1784</v>
      </c>
      <c r="X925" s="112" t="n">
        <v>30767</v>
      </c>
      <c r="Y925" s="65" t="str">
        <f aca="false">IF(I925="","No SIC",IFERROR(VLOOKUP(I925,Ref!$A$2:$B$65,2,FALSE()),"Unclassified"))</f>
        <v>Auto Repair &amp; Services</v>
      </c>
      <c r="Z925" s="65" t="str">
        <f aca="false">IF(T925="","",IF(T925&lt;12,"Daily","Weekly"))</f>
        <v>Daily</v>
      </c>
      <c r="AA925" s="65" t="n">
        <f aca="false">IF(T925="",0,IF(T925&lt;12,T925*Controls!$B$29,T925*5))</f>
        <v>85.19077</v>
      </c>
      <c r="AB925" s="65" t="n">
        <f aca="false">IF(E925="",0,NETWORKDAYS(E925,Controls!$B$36,Ref!$K$2:$K$42))</f>
        <v>59</v>
      </c>
      <c r="AC925" s="65" t="n">
        <f aca="false">IF(AND(AA925&gt;0,AB925&gt;=Controls!$B$39*AA925),1,0)</f>
        <v>0</v>
      </c>
      <c r="AD925" s="65" t="n">
        <f aca="false">IF(AND(E925&lt;&gt;"",E925&gt;=Controls!$B$37,E925&lt;=Controls!$B$38),1,0)</f>
        <v>1</v>
      </c>
      <c r="AE925" s="65" t="n">
        <f aca="false">IF(IFERROR(VLOOKUP(D925,Controls!$A$64:$E$74,2,FALSE()),"No")="Yes",1,0)</f>
        <v>1</v>
      </c>
      <c r="AF925" s="65" t="n">
        <f aca="false">IF(IFERROR(VLOOKUP(D925,Controls!$A$64:$E$74,3,FALSE()),"No")="Yes",1,0)</f>
        <v>0</v>
      </c>
      <c r="AG925" s="65" t="n">
        <f aca="false">IF(IFERROR(VLOOKUP(D925,Controls!$A$64:$E$74,4,FALSE()),"No")="Yes",1,0)</f>
        <v>0</v>
      </c>
      <c r="AH925" s="65" t="n">
        <f aca="false">IF(IFERROR(VLOOKUP(D925,Controls!$A$64:$E$74,5,FALSE()),"No")="Yes",1,0)</f>
        <v>0</v>
      </c>
      <c r="AI925" s="65" t="n">
        <f aca="false">IF(ISNUMBER(MATCH(D925,Controls!$A$64:$A$74,0)),1,0)</f>
        <v>1</v>
      </c>
      <c r="AJ925" s="65" t="n">
        <f aca="false">Q925-N925</f>
        <v>-24068.77</v>
      </c>
      <c r="AK925" s="65" t="n">
        <f aca="false">IF(AE925=1,MAX(0,N925-Q925),0)</f>
        <v>24068.77</v>
      </c>
      <c r="AL925" s="65" t="n">
        <f aca="false">IF(OR(V925="",V925=0),0,N925/V925)</f>
        <v>0.528934964060985</v>
      </c>
      <c r="AM925" s="65" t="n">
        <f aca="false">IF(OR(V925="",V925=0),0,1)</f>
        <v>1</v>
      </c>
      <c r="AN925" s="65" t="n">
        <f aca="false">IF(OR(E925="",F925=""),0,NETWORKDAYS(E925,F925,Ref!$K$2:$K$42))</f>
        <v>8</v>
      </c>
      <c r="AO925" s="65" t="n">
        <f aca="false">IF(L925="Renewal",1,0)</f>
        <v>1</v>
      </c>
      <c r="AP925" s="65" t="n">
        <f aca="false">AC925*AD925</f>
        <v>0</v>
      </c>
      <c r="AQ925" s="65" t="n">
        <f aca="false">IF(AND(G925&lt;&gt;"",'Historical Score'!$C$6&lt;&gt;""),IF(G925='Historical Score'!$C$6,1,0),0)</f>
        <v>0</v>
      </c>
      <c r="AR925" s="65" t="n">
        <f aca="false">IF(AND(L925&lt;&gt;"",'Historical Score'!$C$5&lt;&gt;""),IF(L925='Historical Score'!$C$5,1,0),0)</f>
        <v>0</v>
      </c>
      <c r="AS925" s="65" t="n">
        <f aca="false">IF(AND(Y925&lt;&gt;"",'Historical Score'!$C$7&lt;&gt;""),IF(Y925='Historical Score'!$C$7,1,0),0)</f>
        <v>0</v>
      </c>
      <c r="AT925" s="65" t="n">
        <f aca="false">IF(AND(K925&lt;&gt;"",'Historical Score'!$C$8&lt;&gt;""),IF(K925='Historical Score'!$C$8,1,0),0)</f>
        <v>0</v>
      </c>
      <c r="AU925" s="65" t="n">
        <f aca="false">IF(AND(J925&lt;&gt;"",'Historical Score'!$C$9&lt;&gt;""),IF(J925='Historical Score'!$C$9,1,0),0)</f>
        <v>0</v>
      </c>
      <c r="AV925" s="65" t="n">
        <f aca="false">AR925*AS925*AQ925</f>
        <v>0</v>
      </c>
      <c r="AW925" s="65" t="n">
        <f aca="false">AR925*AT925*AQ925</f>
        <v>0</v>
      </c>
      <c r="AX925" s="65" t="n">
        <f aca="false">AR925*AS925</f>
        <v>0</v>
      </c>
      <c r="AY925" s="65" t="n">
        <f aca="false">AR925*AT925</f>
        <v>0</v>
      </c>
      <c r="AZ925" s="65" t="n">
        <f aca="false">AR925*AQ925</f>
        <v>0</v>
      </c>
      <c r="BA925" s="65" t="n">
        <f aca="false">AR925</f>
        <v>0</v>
      </c>
      <c r="BB925" s="65" t="n">
        <f aca="false">1</f>
        <v>1</v>
      </c>
      <c r="BC925" s="65" t="n">
        <f aca="false">IF(AV925=1,1,IF(AW925=1,2,IF(AX925=1,3,IF(AY925=1,4,IF(AZ925=1,5,IF(BA925=1,6,7))))))</f>
        <v>7</v>
      </c>
      <c r="BD925" s="65" t="n">
        <f aca="false">IF(AD925=1,CHOOSE('Historical Score'!$C$29,AV925,AW925,AX925,AY925,AZ925,BA925,BB925),0)</f>
        <v>0</v>
      </c>
      <c r="BE925" s="65" t="str">
        <f aca="false">IF(BD925=1,COUNTIF($BD$2:BD925,1),"")</f>
        <v/>
      </c>
    </row>
    <row r="926" customFormat="false" ht="15" hidden="false" customHeight="false" outlineLevel="0" collapsed="false">
      <c r="A926" s="65" t="s">
        <v>2822</v>
      </c>
      <c r="B926" s="65" t="s">
        <v>2823</v>
      </c>
      <c r="C926" s="65" t="s">
        <v>2824</v>
      </c>
      <c r="D926" s="65" t="s">
        <v>295</v>
      </c>
      <c r="E926" s="112" t="n">
        <v>46176</v>
      </c>
      <c r="F926" s="112" t="n">
        <v>46253</v>
      </c>
      <c r="G926" s="65" t="n">
        <v>3</v>
      </c>
      <c r="H926" s="65" t="s">
        <v>409</v>
      </c>
      <c r="I926" s="65" t="s">
        <v>342</v>
      </c>
      <c r="J926" s="65" t="s">
        <v>373</v>
      </c>
      <c r="K926" s="65" t="s">
        <v>983</v>
      </c>
      <c r="L926" s="65" t="s">
        <v>64</v>
      </c>
      <c r="M926" s="113" t="n">
        <v>1.49</v>
      </c>
      <c r="N926" s="114" t="n">
        <v>15000</v>
      </c>
      <c r="O926" s="114" t="n">
        <v>2100</v>
      </c>
      <c r="P926" s="114" t="n">
        <v>22350</v>
      </c>
      <c r="Q926" s="114" t="n">
        <v>9869.13</v>
      </c>
      <c r="R926" s="114" t="n">
        <v>12480.87</v>
      </c>
      <c r="S926" s="115" t="n">
        <v>0.441571812080537</v>
      </c>
      <c r="T926" s="65" t="n">
        <v>3.934</v>
      </c>
      <c r="U926" s="65" t="n">
        <v>1</v>
      </c>
      <c r="V926" s="65" t="n">
        <v>9327.22</v>
      </c>
      <c r="W926" s="115" t="n">
        <v>0.0711</v>
      </c>
      <c r="X926" s="112" t="n">
        <v>43727</v>
      </c>
      <c r="Y926" s="65" t="str">
        <f aca="false">IF(I926="","No SIC",IFERROR(VLOOKUP(I926,Ref!$A$2:$B$65,2,FALSE()),"Unclassified"))</f>
        <v>Eating &amp; Drinking Places</v>
      </c>
      <c r="Z926" s="65" t="str">
        <f aca="false">IF(T926="","",IF(T926&lt;12,"Daily","Weekly"))</f>
        <v>Daily</v>
      </c>
      <c r="AA926" s="65" t="n">
        <f aca="false">IF(T926="",0,IF(T926&lt;12,T926*Controls!$B$29,T926*5))</f>
        <v>85.19077</v>
      </c>
      <c r="AB926" s="65" t="n">
        <f aca="false">IF(E926="",0,NETWORKDAYS(E926,Controls!$B$36,Ref!$K$2:$K$42))</f>
        <v>59</v>
      </c>
      <c r="AC926" s="65" t="n">
        <f aca="false">IF(AND(AA926&gt;0,AB926&gt;=Controls!$B$39*AA926),1,0)</f>
        <v>0</v>
      </c>
      <c r="AD926" s="65" t="n">
        <f aca="false">IF(AND(E926&lt;&gt;"",E926&gt;=Controls!$B$37,E926&lt;=Controls!$B$38),1,0)</f>
        <v>1</v>
      </c>
      <c r="AE926" s="65" t="n">
        <f aca="false">IF(IFERROR(VLOOKUP(D926,Controls!$A$64:$E$74,2,FALSE()),"No")="Yes",1,0)</f>
        <v>0</v>
      </c>
      <c r="AF926" s="65" t="n">
        <f aca="false">IF(IFERROR(VLOOKUP(D926,Controls!$A$64:$E$74,3,FALSE()),"No")="Yes",1,0)</f>
        <v>0</v>
      </c>
      <c r="AG926" s="65" t="n">
        <f aca="false">IF(IFERROR(VLOOKUP(D926,Controls!$A$64:$E$74,4,FALSE()),"No")="Yes",1,0)</f>
        <v>0</v>
      </c>
      <c r="AH926" s="65" t="n">
        <f aca="false">IF(IFERROR(VLOOKUP(D926,Controls!$A$64:$E$74,5,FALSE()),"No")="Yes",1,0)</f>
        <v>1</v>
      </c>
      <c r="AI926" s="65" t="n">
        <f aca="false">IF(ISNUMBER(MATCH(D926,Controls!$A$64:$A$74,0)),1,0)</f>
        <v>1</v>
      </c>
      <c r="AJ926" s="65" t="n">
        <f aca="false">Q926-N926</f>
        <v>-5130.87</v>
      </c>
      <c r="AK926" s="65" t="n">
        <f aca="false">IF(AE926=1,MAX(0,N926-Q926),0)</f>
        <v>0</v>
      </c>
      <c r="AL926" s="65" t="n">
        <f aca="false">IF(OR(V926="",V926=0),0,N926/V926)</f>
        <v>1.60819622567067</v>
      </c>
      <c r="AM926" s="65" t="n">
        <f aca="false">IF(OR(V926="",V926=0),0,1)</f>
        <v>1</v>
      </c>
      <c r="AN926" s="65" t="n">
        <f aca="false">IF(OR(E926="",F926=""),0,NETWORKDAYS(E926,F926,Ref!$K$2:$K$42))</f>
        <v>55</v>
      </c>
      <c r="AO926" s="65" t="n">
        <f aca="false">IF(L926="Renewal",1,0)</f>
        <v>0</v>
      </c>
      <c r="AP926" s="65" t="n">
        <f aca="false">AC926*AD926</f>
        <v>0</v>
      </c>
      <c r="AQ926" s="65" t="n">
        <f aca="false">IF(AND(G926&lt;&gt;"",'Historical Score'!$C$6&lt;&gt;""),IF(G926='Historical Score'!$C$6,1,0),0)</f>
        <v>0</v>
      </c>
      <c r="AR926" s="65" t="n">
        <f aca="false">IF(AND(L926&lt;&gt;"",'Historical Score'!$C$5&lt;&gt;""),IF(L926='Historical Score'!$C$5,1,0),0)</f>
        <v>1</v>
      </c>
      <c r="AS926" s="65" t="n">
        <f aca="false">IF(AND(Y926&lt;&gt;"",'Historical Score'!$C$7&lt;&gt;""),IF(Y926='Historical Score'!$C$7,1,0),0)</f>
        <v>0</v>
      </c>
      <c r="AT926" s="65" t="n">
        <f aca="false">IF(AND(K926&lt;&gt;"",'Historical Score'!$C$8&lt;&gt;""),IF(K926='Historical Score'!$C$8,1,0),0)</f>
        <v>0</v>
      </c>
      <c r="AU926" s="65" t="n">
        <f aca="false">IF(AND(J926&lt;&gt;"",'Historical Score'!$C$9&lt;&gt;""),IF(J926='Historical Score'!$C$9,1,0),0)</f>
        <v>0</v>
      </c>
      <c r="AV926" s="65" t="n">
        <f aca="false">AR926*AS926*AQ926</f>
        <v>0</v>
      </c>
      <c r="AW926" s="65" t="n">
        <f aca="false">AR926*AT926*AQ926</f>
        <v>0</v>
      </c>
      <c r="AX926" s="65" t="n">
        <f aca="false">AR926*AS926</f>
        <v>0</v>
      </c>
      <c r="AY926" s="65" t="n">
        <f aca="false">AR926*AT926</f>
        <v>0</v>
      </c>
      <c r="AZ926" s="65" t="n">
        <f aca="false">AR926*AQ926</f>
        <v>0</v>
      </c>
      <c r="BA926" s="65" t="n">
        <f aca="false">AR926</f>
        <v>1</v>
      </c>
      <c r="BB926" s="65" t="n">
        <f aca="false">1</f>
        <v>1</v>
      </c>
      <c r="BC926" s="65" t="n">
        <f aca="false">IF(AV926=1,1,IF(AW926=1,2,IF(AX926=1,3,IF(AY926=1,4,IF(AZ926=1,5,IF(BA926=1,6,7))))))</f>
        <v>6</v>
      </c>
      <c r="BD926" s="65" t="n">
        <f aca="false">IF(AD926=1,CHOOSE('Historical Score'!$C$29,AV926,AW926,AX926,AY926,AZ926,BA926,BB926),0)</f>
        <v>0</v>
      </c>
      <c r="BE926" s="65" t="str">
        <f aca="false">IF(BD926=1,COUNTIF($BD$2:BD926,1),"")</f>
        <v/>
      </c>
    </row>
    <row r="927" customFormat="false" ht="15" hidden="false" customHeight="false" outlineLevel="0" collapsed="false">
      <c r="A927" s="65" t="s">
        <v>2825</v>
      </c>
      <c r="B927" s="65" t="s">
        <v>2826</v>
      </c>
      <c r="C927" s="65" t="s">
        <v>2827</v>
      </c>
      <c r="D927" s="65" t="s">
        <v>295</v>
      </c>
      <c r="E927" s="112" t="n">
        <v>46176</v>
      </c>
      <c r="F927" s="112" t="n">
        <v>46253</v>
      </c>
      <c r="G927" s="65" t="n">
        <v>3</v>
      </c>
      <c r="H927" s="65" t="s">
        <v>494</v>
      </c>
      <c r="I927" s="65" t="s">
        <v>484</v>
      </c>
      <c r="J927" s="65" t="s">
        <v>717</v>
      </c>
      <c r="K927" s="65" t="s">
        <v>581</v>
      </c>
      <c r="L927" s="65" t="s">
        <v>64</v>
      </c>
      <c r="M927" s="113" t="n">
        <v>1.43</v>
      </c>
      <c r="N927" s="114" t="n">
        <v>22000</v>
      </c>
      <c r="O927" s="114" t="n">
        <v>2420</v>
      </c>
      <c r="P927" s="114" t="n">
        <v>31460</v>
      </c>
      <c r="Q927" s="114" t="n">
        <v>18874.08</v>
      </c>
      <c r="R927" s="114" t="n">
        <v>12585.92</v>
      </c>
      <c r="S927" s="115" t="n">
        <v>0.599938970120788</v>
      </c>
      <c r="T927" s="65" t="n">
        <v>2.951</v>
      </c>
      <c r="U927" s="65" t="n">
        <v>0</v>
      </c>
      <c r="V927" s="65" t="n">
        <v>48000</v>
      </c>
      <c r="W927" s="115" t="n">
        <v>0.0367</v>
      </c>
      <c r="X927" s="112" t="n">
        <v>42352</v>
      </c>
      <c r="Y927" s="65" t="str">
        <f aca="false">IF(I927="","No SIC",IFERROR(VLOOKUP(I927,Ref!$A$2:$B$65,2,FALSE()),"Unclassified"))</f>
        <v>Special Trade Contractors</v>
      </c>
      <c r="Z927" s="65" t="str">
        <f aca="false">IF(T927="","",IF(T927&lt;12,"Daily","Weekly"))</f>
        <v>Daily</v>
      </c>
      <c r="AA927" s="65" t="n">
        <f aca="false">IF(T927="",0,IF(T927&lt;12,T927*Controls!$B$29,T927*5))</f>
        <v>63.903905</v>
      </c>
      <c r="AB927" s="65" t="n">
        <f aca="false">IF(E927="",0,NETWORKDAYS(E927,Controls!$B$36,Ref!$K$2:$K$42))</f>
        <v>59</v>
      </c>
      <c r="AC927" s="65" t="n">
        <f aca="false">IF(AND(AA927&gt;0,AB927&gt;=Controls!$B$39*AA927),1,0)</f>
        <v>0</v>
      </c>
      <c r="AD927" s="65" t="n">
        <f aca="false">IF(AND(E927&lt;&gt;"",E927&gt;=Controls!$B$37,E927&lt;=Controls!$B$38),1,0)</f>
        <v>1</v>
      </c>
      <c r="AE927" s="65" t="n">
        <f aca="false">IF(IFERROR(VLOOKUP(D927,Controls!$A$64:$E$74,2,FALSE()),"No")="Yes",1,0)</f>
        <v>0</v>
      </c>
      <c r="AF927" s="65" t="n">
        <f aca="false">IF(IFERROR(VLOOKUP(D927,Controls!$A$64:$E$74,3,FALSE()),"No")="Yes",1,0)</f>
        <v>0</v>
      </c>
      <c r="AG927" s="65" t="n">
        <f aca="false">IF(IFERROR(VLOOKUP(D927,Controls!$A$64:$E$74,4,FALSE()),"No")="Yes",1,0)</f>
        <v>0</v>
      </c>
      <c r="AH927" s="65" t="n">
        <f aca="false">IF(IFERROR(VLOOKUP(D927,Controls!$A$64:$E$74,5,FALSE()),"No")="Yes",1,0)</f>
        <v>1</v>
      </c>
      <c r="AI927" s="65" t="n">
        <f aca="false">IF(ISNUMBER(MATCH(D927,Controls!$A$64:$A$74,0)),1,0)</f>
        <v>1</v>
      </c>
      <c r="AJ927" s="65" t="n">
        <f aca="false">Q927-N927</f>
        <v>-3125.92</v>
      </c>
      <c r="AK927" s="65" t="n">
        <f aca="false">IF(AE927=1,MAX(0,N927-Q927),0)</f>
        <v>0</v>
      </c>
      <c r="AL927" s="65" t="n">
        <f aca="false">IF(OR(V927="",V927=0),0,N927/V927)</f>
        <v>0.458333333333333</v>
      </c>
      <c r="AM927" s="65" t="n">
        <f aca="false">IF(OR(V927="",V927=0),0,1)</f>
        <v>1</v>
      </c>
      <c r="AN927" s="65" t="n">
        <f aca="false">IF(OR(E927="",F927=""),0,NETWORKDAYS(E927,F927,Ref!$K$2:$K$42))</f>
        <v>55</v>
      </c>
      <c r="AO927" s="65" t="n">
        <f aca="false">IF(L927="Renewal",1,0)</f>
        <v>0</v>
      </c>
      <c r="AP927" s="65" t="n">
        <f aca="false">AC927*AD927</f>
        <v>0</v>
      </c>
      <c r="AQ927" s="65" t="n">
        <f aca="false">IF(AND(G927&lt;&gt;"",'Historical Score'!$C$6&lt;&gt;""),IF(G927='Historical Score'!$C$6,1,0),0)</f>
        <v>0</v>
      </c>
      <c r="AR927" s="65" t="n">
        <f aca="false">IF(AND(L927&lt;&gt;"",'Historical Score'!$C$5&lt;&gt;""),IF(L927='Historical Score'!$C$5,1,0),0)</f>
        <v>1</v>
      </c>
      <c r="AS927" s="65" t="n">
        <f aca="false">IF(AND(Y927&lt;&gt;"",'Historical Score'!$C$7&lt;&gt;""),IF(Y927='Historical Score'!$C$7,1,0),0)</f>
        <v>0</v>
      </c>
      <c r="AT927" s="65" t="n">
        <f aca="false">IF(AND(K927&lt;&gt;"",'Historical Score'!$C$8&lt;&gt;""),IF(K927='Historical Score'!$C$8,1,0),0)</f>
        <v>0</v>
      </c>
      <c r="AU927" s="65" t="n">
        <f aca="false">IF(AND(J927&lt;&gt;"",'Historical Score'!$C$9&lt;&gt;""),IF(J927='Historical Score'!$C$9,1,0),0)</f>
        <v>0</v>
      </c>
      <c r="AV927" s="65" t="n">
        <f aca="false">AR927*AS927*AQ927</f>
        <v>0</v>
      </c>
      <c r="AW927" s="65" t="n">
        <f aca="false">AR927*AT927*AQ927</f>
        <v>0</v>
      </c>
      <c r="AX927" s="65" t="n">
        <f aca="false">AR927*AS927</f>
        <v>0</v>
      </c>
      <c r="AY927" s="65" t="n">
        <f aca="false">AR927*AT927</f>
        <v>0</v>
      </c>
      <c r="AZ927" s="65" t="n">
        <f aca="false">AR927*AQ927</f>
        <v>0</v>
      </c>
      <c r="BA927" s="65" t="n">
        <f aca="false">AR927</f>
        <v>1</v>
      </c>
      <c r="BB927" s="65" t="n">
        <f aca="false">1</f>
        <v>1</v>
      </c>
      <c r="BC927" s="65" t="n">
        <f aca="false">IF(AV927=1,1,IF(AW927=1,2,IF(AX927=1,3,IF(AY927=1,4,IF(AZ927=1,5,IF(BA927=1,6,7))))))</f>
        <v>6</v>
      </c>
      <c r="BD927" s="65" t="n">
        <f aca="false">IF(AD927=1,CHOOSE('Historical Score'!$C$29,AV927,AW927,AX927,AY927,AZ927,BA927,BB927),0)</f>
        <v>0</v>
      </c>
      <c r="BE927" s="65" t="str">
        <f aca="false">IF(BD927=1,COUNTIF($BD$2:BD927,1),"")</f>
        <v/>
      </c>
    </row>
    <row r="928" customFormat="false" ht="15" hidden="false" customHeight="false" outlineLevel="0" collapsed="false">
      <c r="A928" s="65" t="s">
        <v>2828</v>
      </c>
      <c r="B928" s="65" t="s">
        <v>2829</v>
      </c>
      <c r="C928" s="65" t="s">
        <v>2830</v>
      </c>
      <c r="D928" s="65" t="s">
        <v>295</v>
      </c>
      <c r="E928" s="112" t="n">
        <v>46177</v>
      </c>
      <c r="F928" s="112" t="n">
        <v>46248</v>
      </c>
      <c r="G928" s="65" t="n">
        <v>3</v>
      </c>
      <c r="H928" s="65" t="s">
        <v>409</v>
      </c>
      <c r="I928" s="65" t="s">
        <v>342</v>
      </c>
      <c r="J928" s="65" t="s">
        <v>438</v>
      </c>
      <c r="K928" s="65" t="s">
        <v>538</v>
      </c>
      <c r="L928" s="65" t="s">
        <v>64</v>
      </c>
      <c r="M928" s="113" t="n">
        <v>1.45</v>
      </c>
      <c r="N928" s="114" t="n">
        <v>60000</v>
      </c>
      <c r="O928" s="114" t="n">
        <v>7200</v>
      </c>
      <c r="P928" s="114" t="n">
        <v>87000</v>
      </c>
      <c r="Q928" s="114" t="n">
        <v>28965</v>
      </c>
      <c r="R928" s="114" t="n">
        <v>58035</v>
      </c>
      <c r="S928" s="115" t="n">
        <v>0.332931034482759</v>
      </c>
      <c r="T928" s="65" t="n">
        <v>30</v>
      </c>
      <c r="U928" s="65" t="n">
        <v>0</v>
      </c>
      <c r="V928" s="65" t="n">
        <v>297076.82</v>
      </c>
      <c r="W928" s="115" t="n">
        <v>0.039</v>
      </c>
      <c r="X928" s="112"/>
      <c r="Y928" s="65" t="str">
        <f aca="false">IF(I928="","No SIC",IFERROR(VLOOKUP(I928,Ref!$A$2:$B$65,2,FALSE()),"Unclassified"))</f>
        <v>Eating &amp; Drinking Places</v>
      </c>
      <c r="Z928" s="65" t="str">
        <f aca="false">IF(T928="","",IF(T928&lt;12,"Daily","Weekly"))</f>
        <v>Weekly</v>
      </c>
      <c r="AA928" s="65" t="n">
        <f aca="false">IF(T928="",0,IF(T928&lt;12,T928*Controls!$B$29,T928*5))</f>
        <v>150</v>
      </c>
      <c r="AB928" s="65" t="n">
        <f aca="false">IF(E928="",0,NETWORKDAYS(E928,Controls!$B$36,Ref!$K$2:$K$42))</f>
        <v>58</v>
      </c>
      <c r="AC928" s="65" t="n">
        <f aca="false">IF(AND(AA928&gt;0,AB928&gt;=Controls!$B$39*AA928),1,0)</f>
        <v>0</v>
      </c>
      <c r="AD928" s="65" t="n">
        <f aca="false">IF(AND(E928&lt;&gt;"",E928&gt;=Controls!$B$37,E928&lt;=Controls!$B$38),1,0)</f>
        <v>1</v>
      </c>
      <c r="AE928" s="65" t="n">
        <f aca="false">IF(IFERROR(VLOOKUP(D928,Controls!$A$64:$E$74,2,FALSE()),"No")="Yes",1,0)</f>
        <v>0</v>
      </c>
      <c r="AF928" s="65" t="n">
        <f aca="false">IF(IFERROR(VLOOKUP(D928,Controls!$A$64:$E$74,3,FALSE()),"No")="Yes",1,0)</f>
        <v>0</v>
      </c>
      <c r="AG928" s="65" t="n">
        <f aca="false">IF(IFERROR(VLOOKUP(D928,Controls!$A$64:$E$74,4,FALSE()),"No")="Yes",1,0)</f>
        <v>0</v>
      </c>
      <c r="AH928" s="65" t="n">
        <f aca="false">IF(IFERROR(VLOOKUP(D928,Controls!$A$64:$E$74,5,FALSE()),"No")="Yes",1,0)</f>
        <v>1</v>
      </c>
      <c r="AI928" s="65" t="n">
        <f aca="false">IF(ISNUMBER(MATCH(D928,Controls!$A$64:$A$74,0)),1,0)</f>
        <v>1</v>
      </c>
      <c r="AJ928" s="65" t="n">
        <f aca="false">Q928-N928</f>
        <v>-31035</v>
      </c>
      <c r="AK928" s="65" t="n">
        <f aca="false">IF(AE928=1,MAX(0,N928-Q928),0)</f>
        <v>0</v>
      </c>
      <c r="AL928" s="65" t="n">
        <f aca="false">IF(OR(V928="",V928=0),0,N928/V928)</f>
        <v>0.201967962360712</v>
      </c>
      <c r="AM928" s="65" t="n">
        <f aca="false">IF(OR(V928="",V928=0),0,1)</f>
        <v>1</v>
      </c>
      <c r="AN928" s="65" t="n">
        <f aca="false">IF(OR(E928="",F928=""),0,NETWORKDAYS(E928,F928,Ref!$K$2:$K$42))</f>
        <v>51</v>
      </c>
      <c r="AO928" s="65" t="n">
        <f aca="false">IF(L928="Renewal",1,0)</f>
        <v>0</v>
      </c>
      <c r="AP928" s="65" t="n">
        <f aca="false">AC928*AD928</f>
        <v>0</v>
      </c>
      <c r="AQ928" s="65" t="n">
        <f aca="false">IF(AND(G928&lt;&gt;"",'Historical Score'!$C$6&lt;&gt;""),IF(G928='Historical Score'!$C$6,1,0),0)</f>
        <v>0</v>
      </c>
      <c r="AR928" s="65" t="n">
        <f aca="false">IF(AND(L928&lt;&gt;"",'Historical Score'!$C$5&lt;&gt;""),IF(L928='Historical Score'!$C$5,1,0),0)</f>
        <v>1</v>
      </c>
      <c r="AS928" s="65" t="n">
        <f aca="false">IF(AND(Y928&lt;&gt;"",'Historical Score'!$C$7&lt;&gt;""),IF(Y928='Historical Score'!$C$7,1,0),0)</f>
        <v>0</v>
      </c>
      <c r="AT928" s="65" t="n">
        <f aca="false">IF(AND(K928&lt;&gt;"",'Historical Score'!$C$8&lt;&gt;""),IF(K928='Historical Score'!$C$8,1,0),0)</f>
        <v>0</v>
      </c>
      <c r="AU928" s="65" t="n">
        <f aca="false">IF(AND(J928&lt;&gt;"",'Historical Score'!$C$9&lt;&gt;""),IF(J928='Historical Score'!$C$9,1,0),0)</f>
        <v>0</v>
      </c>
      <c r="AV928" s="65" t="n">
        <f aca="false">AR928*AS928*AQ928</f>
        <v>0</v>
      </c>
      <c r="AW928" s="65" t="n">
        <f aca="false">AR928*AT928*AQ928</f>
        <v>0</v>
      </c>
      <c r="AX928" s="65" t="n">
        <f aca="false">AR928*AS928</f>
        <v>0</v>
      </c>
      <c r="AY928" s="65" t="n">
        <f aca="false">AR928*AT928</f>
        <v>0</v>
      </c>
      <c r="AZ928" s="65" t="n">
        <f aca="false">AR928*AQ928</f>
        <v>0</v>
      </c>
      <c r="BA928" s="65" t="n">
        <f aca="false">AR928</f>
        <v>1</v>
      </c>
      <c r="BB928" s="65" t="n">
        <f aca="false">1</f>
        <v>1</v>
      </c>
      <c r="BC928" s="65" t="n">
        <f aca="false">IF(AV928=1,1,IF(AW928=1,2,IF(AX928=1,3,IF(AY928=1,4,IF(AZ928=1,5,IF(BA928=1,6,7))))))</f>
        <v>6</v>
      </c>
      <c r="BD928" s="65" t="n">
        <f aca="false">IF(AD928=1,CHOOSE('Historical Score'!$C$29,AV928,AW928,AX928,AY928,AZ928,BA928,BB928),0)</f>
        <v>0</v>
      </c>
      <c r="BE928" s="65" t="str">
        <f aca="false">IF(BD928=1,COUNTIF($BD$2:BD928,1),"")</f>
        <v/>
      </c>
    </row>
    <row r="929" customFormat="false" ht="15" hidden="false" customHeight="false" outlineLevel="0" collapsed="false">
      <c r="A929" s="65" t="s">
        <v>2831</v>
      </c>
      <c r="B929" s="65" t="s">
        <v>2832</v>
      </c>
      <c r="C929" s="65" t="s">
        <v>2832</v>
      </c>
      <c r="D929" s="65" t="s">
        <v>371</v>
      </c>
      <c r="E929" s="112" t="n">
        <v>46177</v>
      </c>
      <c r="F929" s="112" t="n">
        <v>46251</v>
      </c>
      <c r="G929" s="65" t="n">
        <v>3</v>
      </c>
      <c r="H929" s="65" t="s">
        <v>2833</v>
      </c>
      <c r="I929" s="65" t="s">
        <v>1415</v>
      </c>
      <c r="J929" s="65" t="s">
        <v>61</v>
      </c>
      <c r="K929" s="65" t="s">
        <v>538</v>
      </c>
      <c r="L929" s="65" t="s">
        <v>64</v>
      </c>
      <c r="M929" s="113" t="n">
        <v>1.49</v>
      </c>
      <c r="N929" s="114" t="n">
        <v>45000</v>
      </c>
      <c r="O929" s="114" t="n">
        <v>6300</v>
      </c>
      <c r="P929" s="114" t="n">
        <v>67050</v>
      </c>
      <c r="Q929" s="114" t="n">
        <v>67050</v>
      </c>
      <c r="R929" s="114" t="n">
        <v>0</v>
      </c>
      <c r="S929" s="115" t="n">
        <v>1</v>
      </c>
      <c r="T929" s="65" t="n">
        <v>22</v>
      </c>
      <c r="U929" s="65" t="n">
        <v>0</v>
      </c>
      <c r="V929" s="65" t="n">
        <v>335897.48</v>
      </c>
      <c r="W929" s="115" t="n">
        <v>0.0363</v>
      </c>
      <c r="X929" s="112" t="n">
        <v>42736</v>
      </c>
      <c r="Y929" s="65" t="str">
        <f aca="false">IF(I929="","No SIC",IFERROR(VLOOKUP(I929,Ref!$A$2:$B$65,2,FALSE()),"Unclassified"))</f>
        <v>Miscellaneous Manufacturing</v>
      </c>
      <c r="Z929" s="65" t="str">
        <f aca="false">IF(T929="","",IF(T929&lt;12,"Daily","Weekly"))</f>
        <v>Weekly</v>
      </c>
      <c r="AA929" s="65" t="n">
        <f aca="false">IF(T929="",0,IF(T929&lt;12,T929*Controls!$B$29,T929*5))</f>
        <v>110</v>
      </c>
      <c r="AB929" s="65" t="n">
        <f aca="false">IF(E929="",0,NETWORKDAYS(E929,Controls!$B$36,Ref!$K$2:$K$42))</f>
        <v>58</v>
      </c>
      <c r="AC929" s="65" t="n">
        <f aca="false">IF(AND(AA929&gt;0,AB929&gt;=Controls!$B$39*AA929),1,0)</f>
        <v>0</v>
      </c>
      <c r="AD929" s="65" t="n">
        <f aca="false">IF(AND(E929&lt;&gt;"",E929&gt;=Controls!$B$37,E929&lt;=Controls!$B$38),1,0)</f>
        <v>1</v>
      </c>
      <c r="AE929" s="65" t="n">
        <f aca="false">IF(IFERROR(VLOOKUP(D929,Controls!$A$64:$E$74,2,FALSE()),"No")="Yes",1,0)</f>
        <v>0</v>
      </c>
      <c r="AF929" s="65" t="n">
        <f aca="false">IF(IFERROR(VLOOKUP(D929,Controls!$A$64:$E$74,3,FALSE()),"No")="Yes",1,0)</f>
        <v>1</v>
      </c>
      <c r="AG929" s="65" t="n">
        <f aca="false">IF(IFERROR(VLOOKUP(D929,Controls!$A$64:$E$74,4,FALSE()),"No")="Yes",1,0)</f>
        <v>1</v>
      </c>
      <c r="AH929" s="65" t="n">
        <f aca="false">IF(IFERROR(VLOOKUP(D929,Controls!$A$64:$E$74,5,FALSE()),"No")="Yes",1,0)</f>
        <v>0</v>
      </c>
      <c r="AI929" s="65" t="n">
        <f aca="false">IF(ISNUMBER(MATCH(D929,Controls!$A$64:$A$74,0)),1,0)</f>
        <v>1</v>
      </c>
      <c r="AJ929" s="65" t="n">
        <f aca="false">Q929-N929</f>
        <v>22050</v>
      </c>
      <c r="AK929" s="65" t="n">
        <f aca="false">IF(AE929=1,MAX(0,N929-Q929),0)</f>
        <v>0</v>
      </c>
      <c r="AL929" s="65" t="n">
        <f aca="false">IF(OR(V929="",V929=0),0,N929/V929)</f>
        <v>0.133969448058973</v>
      </c>
      <c r="AM929" s="65" t="n">
        <f aca="false">IF(OR(V929="",V929=0),0,1)</f>
        <v>1</v>
      </c>
      <c r="AN929" s="65" t="n">
        <f aca="false">IF(OR(E929="",F929=""),0,NETWORKDAYS(E929,F929,Ref!$K$2:$K$42))</f>
        <v>52</v>
      </c>
      <c r="AO929" s="65" t="n">
        <f aca="false">IF(L929="Renewal",1,0)</f>
        <v>0</v>
      </c>
      <c r="AP929" s="65" t="n">
        <f aca="false">AC929*AD929</f>
        <v>0</v>
      </c>
      <c r="AQ929" s="65" t="n">
        <f aca="false">IF(AND(G929&lt;&gt;"",'Historical Score'!$C$6&lt;&gt;""),IF(G929='Historical Score'!$C$6,1,0),0)</f>
        <v>0</v>
      </c>
      <c r="AR929" s="65" t="n">
        <f aca="false">IF(AND(L929&lt;&gt;"",'Historical Score'!$C$5&lt;&gt;""),IF(L929='Historical Score'!$C$5,1,0),0)</f>
        <v>1</v>
      </c>
      <c r="AS929" s="65" t="n">
        <f aca="false">IF(AND(Y929&lt;&gt;"",'Historical Score'!$C$7&lt;&gt;""),IF(Y929='Historical Score'!$C$7,1,0),0)</f>
        <v>0</v>
      </c>
      <c r="AT929" s="65" t="n">
        <f aca="false">IF(AND(K929&lt;&gt;"",'Historical Score'!$C$8&lt;&gt;""),IF(K929='Historical Score'!$C$8,1,0),0)</f>
        <v>0</v>
      </c>
      <c r="AU929" s="65" t="n">
        <f aca="false">IF(AND(J929&lt;&gt;"",'Historical Score'!$C$9&lt;&gt;""),IF(J929='Historical Score'!$C$9,1,0),0)</f>
        <v>1</v>
      </c>
      <c r="AV929" s="65" t="n">
        <f aca="false">AR929*AS929*AQ929</f>
        <v>0</v>
      </c>
      <c r="AW929" s="65" t="n">
        <f aca="false">AR929*AT929*AQ929</f>
        <v>0</v>
      </c>
      <c r="AX929" s="65" t="n">
        <f aca="false">AR929*AS929</f>
        <v>0</v>
      </c>
      <c r="AY929" s="65" t="n">
        <f aca="false">AR929*AT929</f>
        <v>0</v>
      </c>
      <c r="AZ929" s="65" t="n">
        <f aca="false">AR929*AQ929</f>
        <v>0</v>
      </c>
      <c r="BA929" s="65" t="n">
        <f aca="false">AR929</f>
        <v>1</v>
      </c>
      <c r="BB929" s="65" t="n">
        <f aca="false">1</f>
        <v>1</v>
      </c>
      <c r="BC929" s="65" t="n">
        <f aca="false">IF(AV929=1,1,IF(AW929=1,2,IF(AX929=1,3,IF(AY929=1,4,IF(AZ929=1,5,IF(BA929=1,6,7))))))</f>
        <v>6</v>
      </c>
      <c r="BD929" s="65" t="n">
        <f aca="false">IF(AD929=1,CHOOSE('Historical Score'!$C$29,AV929,AW929,AX929,AY929,AZ929,BA929,BB929),0)</f>
        <v>0</v>
      </c>
      <c r="BE929" s="65" t="str">
        <f aca="false">IF(BD929=1,COUNTIF($BD$2:BD929,1),"")</f>
        <v/>
      </c>
    </row>
    <row r="930" customFormat="false" ht="15" hidden="false" customHeight="false" outlineLevel="0" collapsed="false">
      <c r="A930" s="65" t="s">
        <v>2834</v>
      </c>
      <c r="B930" s="65" t="s">
        <v>2835</v>
      </c>
      <c r="C930" s="65" t="s">
        <v>2835</v>
      </c>
      <c r="D930" s="65" t="s">
        <v>295</v>
      </c>
      <c r="E930" s="112" t="n">
        <v>46177</v>
      </c>
      <c r="F930" s="112" t="n">
        <v>46227</v>
      </c>
      <c r="G930" s="65" t="n">
        <v>3</v>
      </c>
      <c r="H930" s="65" t="s">
        <v>442</v>
      </c>
      <c r="I930" s="65" t="s">
        <v>443</v>
      </c>
      <c r="J930" s="65" t="s">
        <v>350</v>
      </c>
      <c r="K930" s="65" t="s">
        <v>426</v>
      </c>
      <c r="L930" s="65" t="s">
        <v>64</v>
      </c>
      <c r="M930" s="113" t="n">
        <v>1.49</v>
      </c>
      <c r="N930" s="114" t="n">
        <v>9000</v>
      </c>
      <c r="O930" s="114" t="n">
        <v>1260</v>
      </c>
      <c r="P930" s="114" t="n">
        <v>13410</v>
      </c>
      <c r="Q930" s="114" t="n">
        <v>4467.9</v>
      </c>
      <c r="R930" s="114" t="n">
        <v>8942.1</v>
      </c>
      <c r="S930" s="115" t="n">
        <v>0.333176733780761</v>
      </c>
      <c r="T930" s="65" t="n">
        <v>2.951</v>
      </c>
      <c r="U930" s="65" t="n">
        <v>3</v>
      </c>
      <c r="V930" s="65" t="n">
        <v>50039.4</v>
      </c>
      <c r="W930" s="115" t="n">
        <v>0.0625</v>
      </c>
      <c r="X930" s="112" t="n">
        <v>42370</v>
      </c>
      <c r="Y930" s="65" t="str">
        <f aca="false">IF(I930="","No SIC",IFERROR(VLOOKUP(I930,Ref!$A$2:$B$65,2,FALSE()),"Unclassified"))</f>
        <v>General Building Contractors</v>
      </c>
      <c r="Z930" s="65" t="str">
        <f aca="false">IF(T930="","",IF(T930&lt;12,"Daily","Weekly"))</f>
        <v>Daily</v>
      </c>
      <c r="AA930" s="65" t="n">
        <f aca="false">IF(T930="",0,IF(T930&lt;12,T930*Controls!$B$29,T930*5))</f>
        <v>63.903905</v>
      </c>
      <c r="AB930" s="65" t="n">
        <f aca="false">IF(E930="",0,NETWORKDAYS(E930,Controls!$B$36,Ref!$K$2:$K$42))</f>
        <v>58</v>
      </c>
      <c r="AC930" s="65" t="n">
        <f aca="false">IF(AND(AA930&gt;0,AB930&gt;=Controls!$B$39*AA930),1,0)</f>
        <v>0</v>
      </c>
      <c r="AD930" s="65" t="n">
        <f aca="false">IF(AND(E930&lt;&gt;"",E930&gt;=Controls!$B$37,E930&lt;=Controls!$B$38),1,0)</f>
        <v>1</v>
      </c>
      <c r="AE930" s="65" t="n">
        <f aca="false">IF(IFERROR(VLOOKUP(D930,Controls!$A$64:$E$74,2,FALSE()),"No")="Yes",1,0)</f>
        <v>0</v>
      </c>
      <c r="AF930" s="65" t="n">
        <f aca="false">IF(IFERROR(VLOOKUP(D930,Controls!$A$64:$E$74,3,FALSE()),"No")="Yes",1,0)</f>
        <v>0</v>
      </c>
      <c r="AG930" s="65" t="n">
        <f aca="false">IF(IFERROR(VLOOKUP(D930,Controls!$A$64:$E$74,4,FALSE()),"No")="Yes",1,0)</f>
        <v>0</v>
      </c>
      <c r="AH930" s="65" t="n">
        <f aca="false">IF(IFERROR(VLOOKUP(D930,Controls!$A$64:$E$74,5,FALSE()),"No")="Yes",1,0)</f>
        <v>1</v>
      </c>
      <c r="AI930" s="65" t="n">
        <f aca="false">IF(ISNUMBER(MATCH(D930,Controls!$A$64:$A$74,0)),1,0)</f>
        <v>1</v>
      </c>
      <c r="AJ930" s="65" t="n">
        <f aca="false">Q930-N930</f>
        <v>-4532.1</v>
      </c>
      <c r="AK930" s="65" t="n">
        <f aca="false">IF(AE930=1,MAX(0,N930-Q930),0)</f>
        <v>0</v>
      </c>
      <c r="AL930" s="65" t="n">
        <f aca="false">IF(OR(V930="",V930=0),0,N930/V930)</f>
        <v>0.179858271681915</v>
      </c>
      <c r="AM930" s="65" t="n">
        <f aca="false">IF(OR(V930="",V930=0),0,1)</f>
        <v>1</v>
      </c>
      <c r="AN930" s="65" t="n">
        <f aca="false">IF(OR(E930="",F930=""),0,NETWORKDAYS(E930,F930,Ref!$K$2:$K$42))</f>
        <v>36</v>
      </c>
      <c r="AO930" s="65" t="n">
        <f aca="false">IF(L930="Renewal",1,0)</f>
        <v>0</v>
      </c>
      <c r="AP930" s="65" t="n">
        <f aca="false">AC930*AD930</f>
        <v>0</v>
      </c>
      <c r="AQ930" s="65" t="n">
        <f aca="false">IF(AND(G930&lt;&gt;"",'Historical Score'!$C$6&lt;&gt;""),IF(G930='Historical Score'!$C$6,1,0),0)</f>
        <v>0</v>
      </c>
      <c r="AR930" s="65" t="n">
        <f aca="false">IF(AND(L930&lt;&gt;"",'Historical Score'!$C$5&lt;&gt;""),IF(L930='Historical Score'!$C$5,1,0),0)</f>
        <v>1</v>
      </c>
      <c r="AS930" s="65" t="n">
        <f aca="false">IF(AND(Y930&lt;&gt;"",'Historical Score'!$C$7&lt;&gt;""),IF(Y930='Historical Score'!$C$7,1,0),0)</f>
        <v>1</v>
      </c>
      <c r="AT930" s="65" t="n">
        <f aca="false">IF(AND(K930&lt;&gt;"",'Historical Score'!$C$8&lt;&gt;""),IF(K930='Historical Score'!$C$8,1,0),0)</f>
        <v>0</v>
      </c>
      <c r="AU930" s="65" t="n">
        <f aca="false">IF(AND(J930&lt;&gt;"",'Historical Score'!$C$9&lt;&gt;""),IF(J930='Historical Score'!$C$9,1,0),0)</f>
        <v>0</v>
      </c>
      <c r="AV930" s="65" t="n">
        <f aca="false">AR930*AS930*AQ930</f>
        <v>0</v>
      </c>
      <c r="AW930" s="65" t="n">
        <f aca="false">AR930*AT930*AQ930</f>
        <v>0</v>
      </c>
      <c r="AX930" s="65" t="n">
        <f aca="false">AR930*AS930</f>
        <v>1</v>
      </c>
      <c r="AY930" s="65" t="n">
        <f aca="false">AR930*AT930</f>
        <v>0</v>
      </c>
      <c r="AZ930" s="65" t="n">
        <f aca="false">AR930*AQ930</f>
        <v>0</v>
      </c>
      <c r="BA930" s="65" t="n">
        <f aca="false">AR930</f>
        <v>1</v>
      </c>
      <c r="BB930" s="65" t="n">
        <f aca="false">1</f>
        <v>1</v>
      </c>
      <c r="BC930" s="65" t="n">
        <f aca="false">IF(AV930=1,1,IF(AW930=1,2,IF(AX930=1,3,IF(AY930=1,4,IF(AZ930=1,5,IF(BA930=1,6,7))))))</f>
        <v>3</v>
      </c>
      <c r="BD930" s="65" t="n">
        <f aca="false">IF(AD930=1,CHOOSE('Historical Score'!$C$29,AV930,AW930,AX930,AY930,AZ930,BA930,BB930),0)</f>
        <v>0</v>
      </c>
      <c r="BE930" s="65" t="str">
        <f aca="false">IF(BD930=1,COUNTIF($BD$2:BD930,1),"")</f>
        <v/>
      </c>
    </row>
    <row r="931" customFormat="false" ht="15" hidden="false" customHeight="false" outlineLevel="0" collapsed="false">
      <c r="A931" s="65" t="s">
        <v>2836</v>
      </c>
      <c r="B931" s="65" t="s">
        <v>2572</v>
      </c>
      <c r="C931" s="65" t="s">
        <v>2572</v>
      </c>
      <c r="D931" s="65" t="s">
        <v>371</v>
      </c>
      <c r="E931" s="112" t="n">
        <v>46177</v>
      </c>
      <c r="F931" s="112" t="n">
        <v>46225</v>
      </c>
      <c r="G931" s="65" t="n">
        <v>3</v>
      </c>
      <c r="H931" s="65" t="s">
        <v>500</v>
      </c>
      <c r="I931" s="65" t="s">
        <v>475</v>
      </c>
      <c r="J931" s="65" t="s">
        <v>61</v>
      </c>
      <c r="K931" s="65" t="s">
        <v>538</v>
      </c>
      <c r="L931" s="65" t="s">
        <v>320</v>
      </c>
      <c r="M931" s="113" t="n">
        <v>1.49</v>
      </c>
      <c r="N931" s="114" t="n">
        <v>15000</v>
      </c>
      <c r="O931" s="114" t="n">
        <v>2100</v>
      </c>
      <c r="P931" s="114" t="n">
        <v>22350</v>
      </c>
      <c r="Q931" s="114" t="n">
        <v>22350</v>
      </c>
      <c r="R931" s="114" t="n">
        <v>0</v>
      </c>
      <c r="S931" s="115" t="n">
        <v>1</v>
      </c>
      <c r="T931" s="65" t="n">
        <v>2.131</v>
      </c>
      <c r="U931" s="65" t="n">
        <v>0</v>
      </c>
      <c r="V931" s="65" t="n">
        <v>94553.25</v>
      </c>
      <c r="W931" s="115" t="n">
        <v>0.0764</v>
      </c>
      <c r="X931" s="112" t="n">
        <v>45465</v>
      </c>
      <c r="Y931" s="65" t="str">
        <f aca="false">IF(I931="","No SIC",IFERROR(VLOOKUP(I931,Ref!$A$2:$B$65,2,FALSE()),"Unclassified"))</f>
        <v>Auto Repair &amp; Services</v>
      </c>
      <c r="Z931" s="65" t="str">
        <f aca="false">IF(T931="","",IF(T931&lt;12,"Daily","Weekly"))</f>
        <v>Daily</v>
      </c>
      <c r="AA931" s="65" t="n">
        <f aca="false">IF(T931="",0,IF(T931&lt;12,T931*Controls!$B$29,T931*5))</f>
        <v>46.146805</v>
      </c>
      <c r="AB931" s="65" t="n">
        <f aca="false">IF(E931="",0,NETWORKDAYS(E931,Controls!$B$36,Ref!$K$2:$K$42))</f>
        <v>58</v>
      </c>
      <c r="AC931" s="65" t="n">
        <f aca="false">IF(AND(AA931&gt;0,AB931&gt;=Controls!$B$39*AA931),1,0)</f>
        <v>1</v>
      </c>
      <c r="AD931" s="65" t="n">
        <f aca="false">IF(AND(E931&lt;&gt;"",E931&gt;=Controls!$B$37,E931&lt;=Controls!$B$38),1,0)</f>
        <v>1</v>
      </c>
      <c r="AE931" s="65" t="n">
        <f aca="false">IF(IFERROR(VLOOKUP(D931,Controls!$A$64:$E$74,2,FALSE()),"No")="Yes",1,0)</f>
        <v>0</v>
      </c>
      <c r="AF931" s="65" t="n">
        <f aca="false">IF(IFERROR(VLOOKUP(D931,Controls!$A$64:$E$74,3,FALSE()),"No")="Yes",1,0)</f>
        <v>1</v>
      </c>
      <c r="AG931" s="65" t="n">
        <f aca="false">IF(IFERROR(VLOOKUP(D931,Controls!$A$64:$E$74,4,FALSE()),"No")="Yes",1,0)</f>
        <v>1</v>
      </c>
      <c r="AH931" s="65" t="n">
        <f aca="false">IF(IFERROR(VLOOKUP(D931,Controls!$A$64:$E$74,5,FALSE()),"No")="Yes",1,0)</f>
        <v>0</v>
      </c>
      <c r="AI931" s="65" t="n">
        <f aca="false">IF(ISNUMBER(MATCH(D931,Controls!$A$64:$A$74,0)),1,0)</f>
        <v>1</v>
      </c>
      <c r="AJ931" s="65" t="n">
        <f aca="false">Q931-N931</f>
        <v>7350</v>
      </c>
      <c r="AK931" s="65" t="n">
        <f aca="false">IF(AE931=1,MAX(0,N931-Q931),0)</f>
        <v>0</v>
      </c>
      <c r="AL931" s="65" t="n">
        <f aca="false">IF(OR(V931="",V931=0),0,N931/V931)</f>
        <v>0.158640765917618</v>
      </c>
      <c r="AM931" s="65" t="n">
        <f aca="false">IF(OR(V931="",V931=0),0,1)</f>
        <v>1</v>
      </c>
      <c r="AN931" s="65" t="n">
        <f aca="false">IF(OR(E931="",F931=""),0,NETWORKDAYS(E931,F931,Ref!$K$2:$K$42))</f>
        <v>34</v>
      </c>
      <c r="AO931" s="65" t="n">
        <f aca="false">IF(L931="Renewal",1,0)</f>
        <v>1</v>
      </c>
      <c r="AP931" s="65" t="n">
        <f aca="false">AC931*AD931</f>
        <v>1</v>
      </c>
      <c r="AQ931" s="65" t="n">
        <f aca="false">IF(AND(G931&lt;&gt;"",'Historical Score'!$C$6&lt;&gt;""),IF(G931='Historical Score'!$C$6,1,0),0)</f>
        <v>0</v>
      </c>
      <c r="AR931" s="65" t="n">
        <f aca="false">IF(AND(L931&lt;&gt;"",'Historical Score'!$C$5&lt;&gt;""),IF(L931='Historical Score'!$C$5,1,0),0)</f>
        <v>0</v>
      </c>
      <c r="AS931" s="65" t="n">
        <f aca="false">IF(AND(Y931&lt;&gt;"",'Historical Score'!$C$7&lt;&gt;""),IF(Y931='Historical Score'!$C$7,1,0),0)</f>
        <v>0</v>
      </c>
      <c r="AT931" s="65" t="n">
        <f aca="false">IF(AND(K931&lt;&gt;"",'Historical Score'!$C$8&lt;&gt;""),IF(K931='Historical Score'!$C$8,1,0),0)</f>
        <v>0</v>
      </c>
      <c r="AU931" s="65" t="n">
        <f aca="false">IF(AND(J931&lt;&gt;"",'Historical Score'!$C$9&lt;&gt;""),IF(J931='Historical Score'!$C$9,1,0),0)</f>
        <v>1</v>
      </c>
      <c r="AV931" s="65" t="n">
        <f aca="false">AR931*AS931*AQ931</f>
        <v>0</v>
      </c>
      <c r="AW931" s="65" t="n">
        <f aca="false">AR931*AT931*AQ931</f>
        <v>0</v>
      </c>
      <c r="AX931" s="65" t="n">
        <f aca="false">AR931*AS931</f>
        <v>0</v>
      </c>
      <c r="AY931" s="65" t="n">
        <f aca="false">AR931*AT931</f>
        <v>0</v>
      </c>
      <c r="AZ931" s="65" t="n">
        <f aca="false">AR931*AQ931</f>
        <v>0</v>
      </c>
      <c r="BA931" s="65" t="n">
        <f aca="false">AR931</f>
        <v>0</v>
      </c>
      <c r="BB931" s="65" t="n">
        <f aca="false">1</f>
        <v>1</v>
      </c>
      <c r="BC931" s="65" t="n">
        <f aca="false">IF(AV931=1,1,IF(AW931=1,2,IF(AX931=1,3,IF(AY931=1,4,IF(AZ931=1,5,IF(BA931=1,6,7))))))</f>
        <v>7</v>
      </c>
      <c r="BD931" s="65" t="n">
        <f aca="false">IF(AD931=1,CHOOSE('Historical Score'!$C$29,AV931,AW931,AX931,AY931,AZ931,BA931,BB931),0)</f>
        <v>0</v>
      </c>
      <c r="BE931" s="65" t="str">
        <f aca="false">IF(BD931=1,COUNTIF($BD$2:BD931,1),"")</f>
        <v/>
      </c>
    </row>
    <row r="932" customFormat="false" ht="15" hidden="false" customHeight="false" outlineLevel="0" collapsed="false">
      <c r="A932" s="65" t="s">
        <v>2837</v>
      </c>
      <c r="B932" s="65" t="s">
        <v>2382</v>
      </c>
      <c r="C932" s="65" t="s">
        <v>2382</v>
      </c>
      <c r="D932" s="65" t="s">
        <v>295</v>
      </c>
      <c r="E932" s="112" t="n">
        <v>46177</v>
      </c>
      <c r="F932" s="112" t="n">
        <v>46248</v>
      </c>
      <c r="G932" s="65" t="n">
        <v>3</v>
      </c>
      <c r="H932" s="65" t="s">
        <v>1841</v>
      </c>
      <c r="I932" s="65" t="s">
        <v>419</v>
      </c>
      <c r="J932" s="65" t="s">
        <v>1203</v>
      </c>
      <c r="K932" s="65" t="s">
        <v>584</v>
      </c>
      <c r="L932" s="65" t="s">
        <v>320</v>
      </c>
      <c r="M932" s="113" t="n">
        <v>1.42</v>
      </c>
      <c r="N932" s="114" t="n">
        <v>50000</v>
      </c>
      <c r="O932" s="114" t="n">
        <v>5250</v>
      </c>
      <c r="P932" s="114" t="n">
        <v>71000</v>
      </c>
      <c r="Q932" s="114" t="n">
        <v>17751.84</v>
      </c>
      <c r="R932" s="114" t="n">
        <v>53248.16</v>
      </c>
      <c r="S932" s="115" t="n">
        <v>0.250025915492958</v>
      </c>
      <c r="T932" s="65" t="n">
        <v>32</v>
      </c>
      <c r="U932" s="65" t="n">
        <v>2</v>
      </c>
      <c r="V932" s="65" t="n">
        <v>48422.85</v>
      </c>
      <c r="W932" s="115" t="n">
        <v>0.1833</v>
      </c>
      <c r="X932" s="112" t="n">
        <v>45405</v>
      </c>
      <c r="Y932" s="65" t="str">
        <f aca="false">IF(I932="","No SIC",IFERROR(VLOOKUP(I932,Ref!$A$2:$B$65,2,FALSE()),"Unclassified"))</f>
        <v>Business Services</v>
      </c>
      <c r="Z932" s="65" t="str">
        <f aca="false">IF(T932="","",IF(T932&lt;12,"Daily","Weekly"))</f>
        <v>Weekly</v>
      </c>
      <c r="AA932" s="65" t="n">
        <f aca="false">IF(T932="",0,IF(T932&lt;12,T932*Controls!$B$29,T932*5))</f>
        <v>160</v>
      </c>
      <c r="AB932" s="65" t="n">
        <f aca="false">IF(E932="",0,NETWORKDAYS(E932,Controls!$B$36,Ref!$K$2:$K$42))</f>
        <v>58</v>
      </c>
      <c r="AC932" s="65" t="n">
        <f aca="false">IF(AND(AA932&gt;0,AB932&gt;=Controls!$B$39*AA932),1,0)</f>
        <v>0</v>
      </c>
      <c r="AD932" s="65" t="n">
        <f aca="false">IF(AND(E932&lt;&gt;"",E932&gt;=Controls!$B$37,E932&lt;=Controls!$B$38),1,0)</f>
        <v>1</v>
      </c>
      <c r="AE932" s="65" t="n">
        <f aca="false">IF(IFERROR(VLOOKUP(D932,Controls!$A$64:$E$74,2,FALSE()),"No")="Yes",1,0)</f>
        <v>0</v>
      </c>
      <c r="AF932" s="65" t="n">
        <f aca="false">IF(IFERROR(VLOOKUP(D932,Controls!$A$64:$E$74,3,FALSE()),"No")="Yes",1,0)</f>
        <v>0</v>
      </c>
      <c r="AG932" s="65" t="n">
        <f aca="false">IF(IFERROR(VLOOKUP(D932,Controls!$A$64:$E$74,4,FALSE()),"No")="Yes",1,0)</f>
        <v>0</v>
      </c>
      <c r="AH932" s="65" t="n">
        <f aca="false">IF(IFERROR(VLOOKUP(D932,Controls!$A$64:$E$74,5,FALSE()),"No")="Yes",1,0)</f>
        <v>1</v>
      </c>
      <c r="AI932" s="65" t="n">
        <f aca="false">IF(ISNUMBER(MATCH(D932,Controls!$A$64:$A$74,0)),1,0)</f>
        <v>1</v>
      </c>
      <c r="AJ932" s="65" t="n">
        <f aca="false">Q932-N932</f>
        <v>-32248.16</v>
      </c>
      <c r="AK932" s="65" t="n">
        <f aca="false">IF(AE932=1,MAX(0,N932-Q932),0)</f>
        <v>0</v>
      </c>
      <c r="AL932" s="65" t="n">
        <f aca="false">IF(OR(V932="",V932=0),0,N932/V932)</f>
        <v>1.03257036708909</v>
      </c>
      <c r="AM932" s="65" t="n">
        <f aca="false">IF(OR(V932="",V932=0),0,1)</f>
        <v>1</v>
      </c>
      <c r="AN932" s="65" t="n">
        <f aca="false">IF(OR(E932="",F932=""),0,NETWORKDAYS(E932,F932,Ref!$K$2:$K$42))</f>
        <v>51</v>
      </c>
      <c r="AO932" s="65" t="n">
        <f aca="false">IF(L932="Renewal",1,0)</f>
        <v>1</v>
      </c>
      <c r="AP932" s="65" t="n">
        <f aca="false">AC932*AD932</f>
        <v>0</v>
      </c>
      <c r="AQ932" s="65" t="n">
        <f aca="false">IF(AND(G932&lt;&gt;"",'Historical Score'!$C$6&lt;&gt;""),IF(G932='Historical Score'!$C$6,1,0),0)</f>
        <v>0</v>
      </c>
      <c r="AR932" s="65" t="n">
        <f aca="false">IF(AND(L932&lt;&gt;"",'Historical Score'!$C$5&lt;&gt;""),IF(L932='Historical Score'!$C$5,1,0),0)</f>
        <v>0</v>
      </c>
      <c r="AS932" s="65" t="n">
        <f aca="false">IF(AND(Y932&lt;&gt;"",'Historical Score'!$C$7&lt;&gt;""),IF(Y932='Historical Score'!$C$7,1,0),0)</f>
        <v>0</v>
      </c>
      <c r="AT932" s="65" t="n">
        <f aca="false">IF(AND(K932&lt;&gt;"",'Historical Score'!$C$8&lt;&gt;""),IF(K932='Historical Score'!$C$8,1,0),0)</f>
        <v>0</v>
      </c>
      <c r="AU932" s="65" t="n">
        <f aca="false">IF(AND(J932&lt;&gt;"",'Historical Score'!$C$9&lt;&gt;""),IF(J932='Historical Score'!$C$9,1,0),0)</f>
        <v>0</v>
      </c>
      <c r="AV932" s="65" t="n">
        <f aca="false">AR932*AS932*AQ932</f>
        <v>0</v>
      </c>
      <c r="AW932" s="65" t="n">
        <f aca="false">AR932*AT932*AQ932</f>
        <v>0</v>
      </c>
      <c r="AX932" s="65" t="n">
        <f aca="false">AR932*AS932</f>
        <v>0</v>
      </c>
      <c r="AY932" s="65" t="n">
        <f aca="false">AR932*AT932</f>
        <v>0</v>
      </c>
      <c r="AZ932" s="65" t="n">
        <f aca="false">AR932*AQ932</f>
        <v>0</v>
      </c>
      <c r="BA932" s="65" t="n">
        <f aca="false">AR932</f>
        <v>0</v>
      </c>
      <c r="BB932" s="65" t="n">
        <f aca="false">1</f>
        <v>1</v>
      </c>
      <c r="BC932" s="65" t="n">
        <f aca="false">IF(AV932=1,1,IF(AW932=1,2,IF(AX932=1,3,IF(AY932=1,4,IF(AZ932=1,5,IF(BA932=1,6,7))))))</f>
        <v>7</v>
      </c>
      <c r="BD932" s="65" t="n">
        <f aca="false">IF(AD932=1,CHOOSE('Historical Score'!$C$29,AV932,AW932,AX932,AY932,AZ932,BA932,BB932),0)</f>
        <v>0</v>
      </c>
      <c r="BE932" s="65" t="str">
        <f aca="false">IF(BD932=1,COUNTIF($BD$2:BD932,1),"")</f>
        <v/>
      </c>
    </row>
    <row r="933" customFormat="false" ht="15" hidden="false" customHeight="false" outlineLevel="0" collapsed="false">
      <c r="A933" s="65" t="s">
        <v>2838</v>
      </c>
      <c r="B933" s="65" t="s">
        <v>2280</v>
      </c>
      <c r="C933" s="65" t="s">
        <v>2281</v>
      </c>
      <c r="D933" s="65" t="s">
        <v>295</v>
      </c>
      <c r="E933" s="112" t="n">
        <v>46177</v>
      </c>
      <c r="F933" s="112" t="n">
        <v>46253</v>
      </c>
      <c r="G933" s="65" t="n">
        <v>3</v>
      </c>
      <c r="H933" s="65" t="s">
        <v>568</v>
      </c>
      <c r="I933" s="65" t="s">
        <v>569</v>
      </c>
      <c r="J933" s="65" t="s">
        <v>350</v>
      </c>
      <c r="K933" s="65" t="s">
        <v>983</v>
      </c>
      <c r="L933" s="65" t="s">
        <v>320</v>
      </c>
      <c r="M933" s="113" t="n">
        <v>1.49</v>
      </c>
      <c r="N933" s="114" t="n">
        <v>18000</v>
      </c>
      <c r="O933" s="114" t="n">
        <v>2520</v>
      </c>
      <c r="P933" s="114" t="n">
        <v>26820</v>
      </c>
      <c r="Q933" s="114" t="n">
        <v>10447.45</v>
      </c>
      <c r="R933" s="114" t="n">
        <v>16372.55</v>
      </c>
      <c r="S933" s="115" t="n">
        <v>0.389539522744221</v>
      </c>
      <c r="T933" s="65" t="n">
        <v>3.279</v>
      </c>
      <c r="U933" s="65" t="n">
        <v>13</v>
      </c>
      <c r="V933" s="65" t="n">
        <v>33197.73</v>
      </c>
      <c r="W933" s="115" t="n">
        <v>0.1697</v>
      </c>
      <c r="X933" s="112" t="n">
        <v>36911</v>
      </c>
      <c r="Y933" s="65" t="str">
        <f aca="false">IF(I933="","No SIC",IFERROR(VLOOKUP(I933,Ref!$A$2:$B$65,2,FALSE()),"Unclassified"))</f>
        <v>General Merchandise Stores</v>
      </c>
      <c r="Z933" s="65" t="str">
        <f aca="false">IF(T933="","",IF(T933&lt;12,"Daily","Weekly"))</f>
        <v>Daily</v>
      </c>
      <c r="AA933" s="65" t="n">
        <f aca="false">IF(T933="",0,IF(T933&lt;12,T933*Controls!$B$29,T933*5))</f>
        <v>71.006745</v>
      </c>
      <c r="AB933" s="65" t="n">
        <f aca="false">IF(E933="",0,NETWORKDAYS(E933,Controls!$B$36,Ref!$K$2:$K$42))</f>
        <v>58</v>
      </c>
      <c r="AC933" s="65" t="n">
        <f aca="false">IF(AND(AA933&gt;0,AB933&gt;=Controls!$B$39*AA933),1,0)</f>
        <v>0</v>
      </c>
      <c r="AD933" s="65" t="n">
        <f aca="false">IF(AND(E933&lt;&gt;"",E933&gt;=Controls!$B$37,E933&lt;=Controls!$B$38),1,0)</f>
        <v>1</v>
      </c>
      <c r="AE933" s="65" t="n">
        <f aca="false">IF(IFERROR(VLOOKUP(D933,Controls!$A$64:$E$74,2,FALSE()),"No")="Yes",1,0)</f>
        <v>0</v>
      </c>
      <c r="AF933" s="65" t="n">
        <f aca="false">IF(IFERROR(VLOOKUP(D933,Controls!$A$64:$E$74,3,FALSE()),"No")="Yes",1,0)</f>
        <v>0</v>
      </c>
      <c r="AG933" s="65" t="n">
        <f aca="false">IF(IFERROR(VLOOKUP(D933,Controls!$A$64:$E$74,4,FALSE()),"No")="Yes",1,0)</f>
        <v>0</v>
      </c>
      <c r="AH933" s="65" t="n">
        <f aca="false">IF(IFERROR(VLOOKUP(D933,Controls!$A$64:$E$74,5,FALSE()),"No")="Yes",1,0)</f>
        <v>1</v>
      </c>
      <c r="AI933" s="65" t="n">
        <f aca="false">IF(ISNUMBER(MATCH(D933,Controls!$A$64:$A$74,0)),1,0)</f>
        <v>1</v>
      </c>
      <c r="AJ933" s="65" t="n">
        <f aca="false">Q933-N933</f>
        <v>-7552.55</v>
      </c>
      <c r="AK933" s="65" t="n">
        <f aca="false">IF(AE933=1,MAX(0,N933-Q933),0)</f>
        <v>0</v>
      </c>
      <c r="AL933" s="65" t="n">
        <f aca="false">IF(OR(V933="",V933=0),0,N933/V933)</f>
        <v>0.542205747200185</v>
      </c>
      <c r="AM933" s="65" t="n">
        <f aca="false">IF(OR(V933="",V933=0),0,1)</f>
        <v>1</v>
      </c>
      <c r="AN933" s="65" t="n">
        <f aca="false">IF(OR(E933="",F933=""),0,NETWORKDAYS(E933,F933,Ref!$K$2:$K$42))</f>
        <v>54</v>
      </c>
      <c r="AO933" s="65" t="n">
        <f aca="false">IF(L933="Renewal",1,0)</f>
        <v>1</v>
      </c>
      <c r="AP933" s="65" t="n">
        <f aca="false">AC933*AD933</f>
        <v>0</v>
      </c>
      <c r="AQ933" s="65" t="n">
        <f aca="false">IF(AND(G933&lt;&gt;"",'Historical Score'!$C$6&lt;&gt;""),IF(G933='Historical Score'!$C$6,1,0),0)</f>
        <v>0</v>
      </c>
      <c r="AR933" s="65" t="n">
        <f aca="false">IF(AND(L933&lt;&gt;"",'Historical Score'!$C$5&lt;&gt;""),IF(L933='Historical Score'!$C$5,1,0),0)</f>
        <v>0</v>
      </c>
      <c r="AS933" s="65" t="n">
        <f aca="false">IF(AND(Y933&lt;&gt;"",'Historical Score'!$C$7&lt;&gt;""),IF(Y933='Historical Score'!$C$7,1,0),0)</f>
        <v>0</v>
      </c>
      <c r="AT933" s="65" t="n">
        <f aca="false">IF(AND(K933&lt;&gt;"",'Historical Score'!$C$8&lt;&gt;""),IF(K933='Historical Score'!$C$8,1,0),0)</f>
        <v>0</v>
      </c>
      <c r="AU933" s="65" t="n">
        <f aca="false">IF(AND(J933&lt;&gt;"",'Historical Score'!$C$9&lt;&gt;""),IF(J933='Historical Score'!$C$9,1,0),0)</f>
        <v>0</v>
      </c>
      <c r="AV933" s="65" t="n">
        <f aca="false">AR933*AS933*AQ933</f>
        <v>0</v>
      </c>
      <c r="AW933" s="65" t="n">
        <f aca="false">AR933*AT933*AQ933</f>
        <v>0</v>
      </c>
      <c r="AX933" s="65" t="n">
        <f aca="false">AR933*AS933</f>
        <v>0</v>
      </c>
      <c r="AY933" s="65" t="n">
        <f aca="false">AR933*AT933</f>
        <v>0</v>
      </c>
      <c r="AZ933" s="65" t="n">
        <f aca="false">AR933*AQ933</f>
        <v>0</v>
      </c>
      <c r="BA933" s="65" t="n">
        <f aca="false">AR933</f>
        <v>0</v>
      </c>
      <c r="BB933" s="65" t="n">
        <f aca="false">1</f>
        <v>1</v>
      </c>
      <c r="BC933" s="65" t="n">
        <f aca="false">IF(AV933=1,1,IF(AW933=1,2,IF(AX933=1,3,IF(AY933=1,4,IF(AZ933=1,5,IF(BA933=1,6,7))))))</f>
        <v>7</v>
      </c>
      <c r="BD933" s="65" t="n">
        <f aca="false">IF(AD933=1,CHOOSE('Historical Score'!$C$29,AV933,AW933,AX933,AY933,AZ933,BA933,BB933),0)</f>
        <v>0</v>
      </c>
      <c r="BE933" s="65" t="str">
        <f aca="false">IF(BD933=1,COUNTIF($BD$2:BD933,1),"")</f>
        <v/>
      </c>
    </row>
    <row r="934" customFormat="false" ht="15" hidden="false" customHeight="false" outlineLevel="0" collapsed="false">
      <c r="A934" s="65" t="s">
        <v>2839</v>
      </c>
      <c r="B934" s="65" t="s">
        <v>2840</v>
      </c>
      <c r="C934" s="65" t="s">
        <v>2840</v>
      </c>
      <c r="D934" s="65" t="s">
        <v>295</v>
      </c>
      <c r="E934" s="112" t="n">
        <v>46177</v>
      </c>
      <c r="F934" s="112" t="n">
        <v>46251</v>
      </c>
      <c r="G934" s="65" t="n">
        <v>3</v>
      </c>
      <c r="H934" s="65" t="s">
        <v>409</v>
      </c>
      <c r="I934" s="65" t="s">
        <v>342</v>
      </c>
      <c r="J934" s="65" t="s">
        <v>61</v>
      </c>
      <c r="K934" s="65" t="s">
        <v>1591</v>
      </c>
      <c r="L934" s="65" t="s">
        <v>64</v>
      </c>
      <c r="M934" s="113" t="n">
        <v>1.45</v>
      </c>
      <c r="N934" s="114" t="n">
        <v>20000</v>
      </c>
      <c r="O934" s="114" t="n">
        <v>2400</v>
      </c>
      <c r="P934" s="114" t="n">
        <v>29000</v>
      </c>
      <c r="Q934" s="114" t="n">
        <v>7278.9</v>
      </c>
      <c r="R934" s="114" t="n">
        <v>21721.1</v>
      </c>
      <c r="S934" s="115" t="n">
        <v>0.250996551724138</v>
      </c>
      <c r="T934" s="65" t="n">
        <v>28</v>
      </c>
      <c r="U934" s="65" t="n">
        <v>0</v>
      </c>
      <c r="V934" s="65" t="n">
        <v>41594.35</v>
      </c>
      <c r="W934" s="115" t="n">
        <v>0.0996</v>
      </c>
      <c r="X934" s="112" t="n">
        <v>44447</v>
      </c>
      <c r="Y934" s="65" t="str">
        <f aca="false">IF(I934="","No SIC",IFERROR(VLOOKUP(I934,Ref!$A$2:$B$65,2,FALSE()),"Unclassified"))</f>
        <v>Eating &amp; Drinking Places</v>
      </c>
      <c r="Z934" s="65" t="str">
        <f aca="false">IF(T934="","",IF(T934&lt;12,"Daily","Weekly"))</f>
        <v>Weekly</v>
      </c>
      <c r="AA934" s="65" t="n">
        <f aca="false">IF(T934="",0,IF(T934&lt;12,T934*Controls!$B$29,T934*5))</f>
        <v>140</v>
      </c>
      <c r="AB934" s="65" t="n">
        <f aca="false">IF(E934="",0,NETWORKDAYS(E934,Controls!$B$36,Ref!$K$2:$K$42))</f>
        <v>58</v>
      </c>
      <c r="AC934" s="65" t="n">
        <f aca="false">IF(AND(AA934&gt;0,AB934&gt;=Controls!$B$39*AA934),1,0)</f>
        <v>0</v>
      </c>
      <c r="AD934" s="65" t="n">
        <f aca="false">IF(AND(E934&lt;&gt;"",E934&gt;=Controls!$B$37,E934&lt;=Controls!$B$38),1,0)</f>
        <v>1</v>
      </c>
      <c r="AE934" s="65" t="n">
        <f aca="false">IF(IFERROR(VLOOKUP(D934,Controls!$A$64:$E$74,2,FALSE()),"No")="Yes",1,0)</f>
        <v>0</v>
      </c>
      <c r="AF934" s="65" t="n">
        <f aca="false">IF(IFERROR(VLOOKUP(D934,Controls!$A$64:$E$74,3,FALSE()),"No")="Yes",1,0)</f>
        <v>0</v>
      </c>
      <c r="AG934" s="65" t="n">
        <f aca="false">IF(IFERROR(VLOOKUP(D934,Controls!$A$64:$E$74,4,FALSE()),"No")="Yes",1,0)</f>
        <v>0</v>
      </c>
      <c r="AH934" s="65" t="n">
        <f aca="false">IF(IFERROR(VLOOKUP(D934,Controls!$A$64:$E$74,5,FALSE()),"No")="Yes",1,0)</f>
        <v>1</v>
      </c>
      <c r="AI934" s="65" t="n">
        <f aca="false">IF(ISNUMBER(MATCH(D934,Controls!$A$64:$A$74,0)),1,0)</f>
        <v>1</v>
      </c>
      <c r="AJ934" s="65" t="n">
        <f aca="false">Q934-N934</f>
        <v>-12721.1</v>
      </c>
      <c r="AK934" s="65" t="n">
        <f aca="false">IF(AE934=1,MAX(0,N934-Q934),0)</f>
        <v>0</v>
      </c>
      <c r="AL934" s="65" t="n">
        <f aca="false">IF(OR(V934="",V934=0),0,N934/V934)</f>
        <v>0.480834536421413</v>
      </c>
      <c r="AM934" s="65" t="n">
        <f aca="false">IF(OR(V934="",V934=0),0,1)</f>
        <v>1</v>
      </c>
      <c r="AN934" s="65" t="n">
        <f aca="false">IF(OR(E934="",F934=""),0,NETWORKDAYS(E934,F934,Ref!$K$2:$K$42))</f>
        <v>52</v>
      </c>
      <c r="AO934" s="65" t="n">
        <f aca="false">IF(L934="Renewal",1,0)</f>
        <v>0</v>
      </c>
      <c r="AP934" s="65" t="n">
        <f aca="false">AC934*AD934</f>
        <v>0</v>
      </c>
      <c r="AQ934" s="65" t="n">
        <f aca="false">IF(AND(G934&lt;&gt;"",'Historical Score'!$C$6&lt;&gt;""),IF(G934='Historical Score'!$C$6,1,0),0)</f>
        <v>0</v>
      </c>
      <c r="AR934" s="65" t="n">
        <f aca="false">IF(AND(L934&lt;&gt;"",'Historical Score'!$C$5&lt;&gt;""),IF(L934='Historical Score'!$C$5,1,0),0)</f>
        <v>1</v>
      </c>
      <c r="AS934" s="65" t="n">
        <f aca="false">IF(AND(Y934&lt;&gt;"",'Historical Score'!$C$7&lt;&gt;""),IF(Y934='Historical Score'!$C$7,1,0),0)</f>
        <v>0</v>
      </c>
      <c r="AT934" s="65" t="n">
        <f aca="false">IF(AND(K934&lt;&gt;"",'Historical Score'!$C$8&lt;&gt;""),IF(K934='Historical Score'!$C$8,1,0),0)</f>
        <v>0</v>
      </c>
      <c r="AU934" s="65" t="n">
        <f aca="false">IF(AND(J934&lt;&gt;"",'Historical Score'!$C$9&lt;&gt;""),IF(J934='Historical Score'!$C$9,1,0),0)</f>
        <v>1</v>
      </c>
      <c r="AV934" s="65" t="n">
        <f aca="false">AR934*AS934*AQ934</f>
        <v>0</v>
      </c>
      <c r="AW934" s="65" t="n">
        <f aca="false">AR934*AT934*AQ934</f>
        <v>0</v>
      </c>
      <c r="AX934" s="65" t="n">
        <f aca="false">AR934*AS934</f>
        <v>0</v>
      </c>
      <c r="AY934" s="65" t="n">
        <f aca="false">AR934*AT934</f>
        <v>0</v>
      </c>
      <c r="AZ934" s="65" t="n">
        <f aca="false">AR934*AQ934</f>
        <v>0</v>
      </c>
      <c r="BA934" s="65" t="n">
        <f aca="false">AR934</f>
        <v>1</v>
      </c>
      <c r="BB934" s="65" t="n">
        <f aca="false">1</f>
        <v>1</v>
      </c>
      <c r="BC934" s="65" t="n">
        <f aca="false">IF(AV934=1,1,IF(AW934=1,2,IF(AX934=1,3,IF(AY934=1,4,IF(AZ934=1,5,IF(BA934=1,6,7))))))</f>
        <v>6</v>
      </c>
      <c r="BD934" s="65" t="n">
        <f aca="false">IF(AD934=1,CHOOSE('Historical Score'!$C$29,AV934,AW934,AX934,AY934,AZ934,BA934,BB934),0)</f>
        <v>0</v>
      </c>
      <c r="BE934" s="65" t="str">
        <f aca="false">IF(BD934=1,COUNTIF($BD$2:BD934,1),"")</f>
        <v/>
      </c>
    </row>
    <row r="935" customFormat="false" ht="15" hidden="false" customHeight="false" outlineLevel="0" collapsed="false">
      <c r="A935" s="65" t="s">
        <v>2841</v>
      </c>
      <c r="B935" s="65" t="s">
        <v>1704</v>
      </c>
      <c r="C935" s="65" t="s">
        <v>1704</v>
      </c>
      <c r="D935" s="65" t="s">
        <v>295</v>
      </c>
      <c r="E935" s="112" t="n">
        <v>46177</v>
      </c>
      <c r="F935" s="112" t="n">
        <v>46253</v>
      </c>
      <c r="G935" s="65" t="n">
        <v>3</v>
      </c>
      <c r="H935" s="65" t="s">
        <v>748</v>
      </c>
      <c r="I935" s="65" t="s">
        <v>619</v>
      </c>
      <c r="J935" s="65" t="s">
        <v>373</v>
      </c>
      <c r="K935" s="65" t="s">
        <v>672</v>
      </c>
      <c r="L935" s="65" t="s">
        <v>64</v>
      </c>
      <c r="M935" s="113" t="n">
        <v>1.35</v>
      </c>
      <c r="N935" s="114" t="n">
        <v>12000</v>
      </c>
      <c r="O935" s="114" t="n">
        <v>840</v>
      </c>
      <c r="P935" s="114" t="n">
        <v>16200</v>
      </c>
      <c r="Q935" s="114" t="n">
        <v>7157.65</v>
      </c>
      <c r="R935" s="114" t="n">
        <v>9042.35</v>
      </c>
      <c r="S935" s="115" t="n">
        <v>0.44183024691358</v>
      </c>
      <c r="T935" s="65" t="n">
        <v>3.934</v>
      </c>
      <c r="U935" s="65" t="n">
        <v>0</v>
      </c>
      <c r="V935" s="65" t="n">
        <v>23892.05</v>
      </c>
      <c r="W935" s="115" t="n">
        <v>0.1187</v>
      </c>
      <c r="X935" s="112" t="n">
        <v>44520</v>
      </c>
      <c r="Y935" s="65" t="str">
        <f aca="false">IF(I935="","No SIC",IFERROR(VLOOKUP(I935,Ref!$A$2:$B$65,2,FALSE()),"Unclassified"))</f>
        <v>Miscellaneous Retail</v>
      </c>
      <c r="Z935" s="65" t="str">
        <f aca="false">IF(T935="","",IF(T935&lt;12,"Daily","Weekly"))</f>
        <v>Daily</v>
      </c>
      <c r="AA935" s="65" t="n">
        <f aca="false">IF(T935="",0,IF(T935&lt;12,T935*Controls!$B$29,T935*5))</f>
        <v>85.19077</v>
      </c>
      <c r="AB935" s="65" t="n">
        <f aca="false">IF(E935="",0,NETWORKDAYS(E935,Controls!$B$36,Ref!$K$2:$K$42))</f>
        <v>58</v>
      </c>
      <c r="AC935" s="65" t="n">
        <f aca="false">IF(AND(AA935&gt;0,AB935&gt;=Controls!$B$39*AA935),1,0)</f>
        <v>0</v>
      </c>
      <c r="AD935" s="65" t="n">
        <f aca="false">IF(AND(E935&lt;&gt;"",E935&gt;=Controls!$B$37,E935&lt;=Controls!$B$38),1,0)</f>
        <v>1</v>
      </c>
      <c r="AE935" s="65" t="n">
        <f aca="false">IF(IFERROR(VLOOKUP(D935,Controls!$A$64:$E$74,2,FALSE()),"No")="Yes",1,0)</f>
        <v>0</v>
      </c>
      <c r="AF935" s="65" t="n">
        <f aca="false">IF(IFERROR(VLOOKUP(D935,Controls!$A$64:$E$74,3,FALSE()),"No")="Yes",1,0)</f>
        <v>0</v>
      </c>
      <c r="AG935" s="65" t="n">
        <f aca="false">IF(IFERROR(VLOOKUP(D935,Controls!$A$64:$E$74,4,FALSE()),"No")="Yes",1,0)</f>
        <v>0</v>
      </c>
      <c r="AH935" s="65" t="n">
        <f aca="false">IF(IFERROR(VLOOKUP(D935,Controls!$A$64:$E$74,5,FALSE()),"No")="Yes",1,0)</f>
        <v>1</v>
      </c>
      <c r="AI935" s="65" t="n">
        <f aca="false">IF(ISNUMBER(MATCH(D935,Controls!$A$64:$A$74,0)),1,0)</f>
        <v>1</v>
      </c>
      <c r="AJ935" s="65" t="n">
        <f aca="false">Q935-N935</f>
        <v>-4842.35</v>
      </c>
      <c r="AK935" s="65" t="n">
        <f aca="false">IF(AE935=1,MAX(0,N935-Q935),0)</f>
        <v>0</v>
      </c>
      <c r="AL935" s="65" t="n">
        <f aca="false">IF(OR(V935="",V935=0),0,N935/V935)</f>
        <v>0.502259119665328</v>
      </c>
      <c r="AM935" s="65" t="n">
        <f aca="false">IF(OR(V935="",V935=0),0,1)</f>
        <v>1</v>
      </c>
      <c r="AN935" s="65" t="n">
        <f aca="false">IF(OR(E935="",F935=""),0,NETWORKDAYS(E935,F935,Ref!$K$2:$K$42))</f>
        <v>54</v>
      </c>
      <c r="AO935" s="65" t="n">
        <f aca="false">IF(L935="Renewal",1,0)</f>
        <v>0</v>
      </c>
      <c r="AP935" s="65" t="n">
        <f aca="false">AC935*AD935</f>
        <v>0</v>
      </c>
      <c r="AQ935" s="65" t="n">
        <f aca="false">IF(AND(G935&lt;&gt;"",'Historical Score'!$C$6&lt;&gt;""),IF(G935='Historical Score'!$C$6,1,0),0)</f>
        <v>0</v>
      </c>
      <c r="AR935" s="65" t="n">
        <f aca="false">IF(AND(L935&lt;&gt;"",'Historical Score'!$C$5&lt;&gt;""),IF(L935='Historical Score'!$C$5,1,0),0)</f>
        <v>1</v>
      </c>
      <c r="AS935" s="65" t="n">
        <f aca="false">IF(AND(Y935&lt;&gt;"",'Historical Score'!$C$7&lt;&gt;""),IF(Y935='Historical Score'!$C$7,1,0),0)</f>
        <v>0</v>
      </c>
      <c r="AT935" s="65" t="n">
        <f aca="false">IF(AND(K935&lt;&gt;"",'Historical Score'!$C$8&lt;&gt;""),IF(K935='Historical Score'!$C$8,1,0),0)</f>
        <v>0</v>
      </c>
      <c r="AU935" s="65" t="n">
        <f aca="false">IF(AND(J935&lt;&gt;"",'Historical Score'!$C$9&lt;&gt;""),IF(J935='Historical Score'!$C$9,1,0),0)</f>
        <v>0</v>
      </c>
      <c r="AV935" s="65" t="n">
        <f aca="false">AR935*AS935*AQ935</f>
        <v>0</v>
      </c>
      <c r="AW935" s="65" t="n">
        <f aca="false">AR935*AT935*AQ935</f>
        <v>0</v>
      </c>
      <c r="AX935" s="65" t="n">
        <f aca="false">AR935*AS935</f>
        <v>0</v>
      </c>
      <c r="AY935" s="65" t="n">
        <f aca="false">AR935*AT935</f>
        <v>0</v>
      </c>
      <c r="AZ935" s="65" t="n">
        <f aca="false">AR935*AQ935</f>
        <v>0</v>
      </c>
      <c r="BA935" s="65" t="n">
        <f aca="false">AR935</f>
        <v>1</v>
      </c>
      <c r="BB935" s="65" t="n">
        <f aca="false">1</f>
        <v>1</v>
      </c>
      <c r="BC935" s="65" t="n">
        <f aca="false">IF(AV935=1,1,IF(AW935=1,2,IF(AX935=1,3,IF(AY935=1,4,IF(AZ935=1,5,IF(BA935=1,6,7))))))</f>
        <v>6</v>
      </c>
      <c r="BD935" s="65" t="n">
        <f aca="false">IF(AD935=1,CHOOSE('Historical Score'!$C$29,AV935,AW935,AX935,AY935,AZ935,BA935,BB935),0)</f>
        <v>0</v>
      </c>
      <c r="BE935" s="65" t="str">
        <f aca="false">IF(BD935=1,COUNTIF($BD$2:BD935,1),"")</f>
        <v/>
      </c>
    </row>
    <row r="936" customFormat="false" ht="15" hidden="false" customHeight="false" outlineLevel="0" collapsed="false">
      <c r="A936" s="65" t="s">
        <v>2842</v>
      </c>
      <c r="B936" s="65" t="s">
        <v>2843</v>
      </c>
      <c r="C936" s="65" t="s">
        <v>2843</v>
      </c>
      <c r="D936" s="65" t="s">
        <v>295</v>
      </c>
      <c r="E936" s="112" t="n">
        <v>46177</v>
      </c>
      <c r="F936" s="112" t="n">
        <v>46248</v>
      </c>
      <c r="G936" s="65" t="n">
        <v>3</v>
      </c>
      <c r="H936" s="65" t="s">
        <v>409</v>
      </c>
      <c r="I936" s="65" t="s">
        <v>342</v>
      </c>
      <c r="J936" s="65" t="s">
        <v>61</v>
      </c>
      <c r="K936" s="65" t="s">
        <v>2594</v>
      </c>
      <c r="L936" s="65" t="s">
        <v>64</v>
      </c>
      <c r="M936" s="113" t="n">
        <v>1.35</v>
      </c>
      <c r="N936" s="114" t="n">
        <v>25000</v>
      </c>
      <c r="O936" s="114" t="n">
        <v>1750</v>
      </c>
      <c r="P936" s="114" t="n">
        <v>33750</v>
      </c>
      <c r="Q936" s="114" t="n">
        <v>12982.9</v>
      </c>
      <c r="R936" s="114" t="n">
        <v>20767.1</v>
      </c>
      <c r="S936" s="115" t="n">
        <v>0.384678518518519</v>
      </c>
      <c r="T936" s="65" t="n">
        <v>26</v>
      </c>
      <c r="U936" s="65" t="n">
        <v>0</v>
      </c>
      <c r="V936" s="65" t="n">
        <v>124536.26</v>
      </c>
      <c r="W936" s="115" t="n">
        <v>0.0417</v>
      </c>
      <c r="X936" s="112" t="n">
        <v>45643</v>
      </c>
      <c r="Y936" s="65" t="str">
        <f aca="false">IF(I936="","No SIC",IFERROR(VLOOKUP(I936,Ref!$A$2:$B$65,2,FALSE()),"Unclassified"))</f>
        <v>Eating &amp; Drinking Places</v>
      </c>
      <c r="Z936" s="65" t="str">
        <f aca="false">IF(T936="","",IF(T936&lt;12,"Daily","Weekly"))</f>
        <v>Weekly</v>
      </c>
      <c r="AA936" s="65" t="n">
        <f aca="false">IF(T936="",0,IF(T936&lt;12,T936*Controls!$B$29,T936*5))</f>
        <v>130</v>
      </c>
      <c r="AB936" s="65" t="n">
        <f aca="false">IF(E936="",0,NETWORKDAYS(E936,Controls!$B$36,Ref!$K$2:$K$42))</f>
        <v>58</v>
      </c>
      <c r="AC936" s="65" t="n">
        <f aca="false">IF(AND(AA936&gt;0,AB936&gt;=Controls!$B$39*AA936),1,0)</f>
        <v>0</v>
      </c>
      <c r="AD936" s="65" t="n">
        <f aca="false">IF(AND(E936&lt;&gt;"",E936&gt;=Controls!$B$37,E936&lt;=Controls!$B$38),1,0)</f>
        <v>1</v>
      </c>
      <c r="AE936" s="65" t="n">
        <f aca="false">IF(IFERROR(VLOOKUP(D936,Controls!$A$64:$E$74,2,FALSE()),"No")="Yes",1,0)</f>
        <v>0</v>
      </c>
      <c r="AF936" s="65" t="n">
        <f aca="false">IF(IFERROR(VLOOKUP(D936,Controls!$A$64:$E$74,3,FALSE()),"No")="Yes",1,0)</f>
        <v>0</v>
      </c>
      <c r="AG936" s="65" t="n">
        <f aca="false">IF(IFERROR(VLOOKUP(D936,Controls!$A$64:$E$74,4,FALSE()),"No")="Yes",1,0)</f>
        <v>0</v>
      </c>
      <c r="AH936" s="65" t="n">
        <f aca="false">IF(IFERROR(VLOOKUP(D936,Controls!$A$64:$E$74,5,FALSE()),"No")="Yes",1,0)</f>
        <v>1</v>
      </c>
      <c r="AI936" s="65" t="n">
        <f aca="false">IF(ISNUMBER(MATCH(D936,Controls!$A$64:$A$74,0)),1,0)</f>
        <v>1</v>
      </c>
      <c r="AJ936" s="65" t="n">
        <f aca="false">Q936-N936</f>
        <v>-12017.1</v>
      </c>
      <c r="AK936" s="65" t="n">
        <f aca="false">IF(AE936=1,MAX(0,N936-Q936),0)</f>
        <v>0</v>
      </c>
      <c r="AL936" s="65" t="n">
        <f aca="false">IF(OR(V936="",V936=0),0,N936/V936)</f>
        <v>0.200744746951611</v>
      </c>
      <c r="AM936" s="65" t="n">
        <f aca="false">IF(OR(V936="",V936=0),0,1)</f>
        <v>1</v>
      </c>
      <c r="AN936" s="65" t="n">
        <f aca="false">IF(OR(E936="",F936=""),0,NETWORKDAYS(E936,F936,Ref!$K$2:$K$42))</f>
        <v>51</v>
      </c>
      <c r="AO936" s="65" t="n">
        <f aca="false">IF(L936="Renewal",1,0)</f>
        <v>0</v>
      </c>
      <c r="AP936" s="65" t="n">
        <f aca="false">AC936*AD936</f>
        <v>0</v>
      </c>
      <c r="AQ936" s="65" t="n">
        <f aca="false">IF(AND(G936&lt;&gt;"",'Historical Score'!$C$6&lt;&gt;""),IF(G936='Historical Score'!$C$6,1,0),0)</f>
        <v>0</v>
      </c>
      <c r="AR936" s="65" t="n">
        <f aca="false">IF(AND(L936&lt;&gt;"",'Historical Score'!$C$5&lt;&gt;""),IF(L936='Historical Score'!$C$5,1,0),0)</f>
        <v>1</v>
      </c>
      <c r="AS936" s="65" t="n">
        <f aca="false">IF(AND(Y936&lt;&gt;"",'Historical Score'!$C$7&lt;&gt;""),IF(Y936='Historical Score'!$C$7,1,0),0)</f>
        <v>0</v>
      </c>
      <c r="AT936" s="65" t="n">
        <f aca="false">IF(AND(K936&lt;&gt;"",'Historical Score'!$C$8&lt;&gt;""),IF(K936='Historical Score'!$C$8,1,0),0)</f>
        <v>0</v>
      </c>
      <c r="AU936" s="65" t="n">
        <f aca="false">IF(AND(J936&lt;&gt;"",'Historical Score'!$C$9&lt;&gt;""),IF(J936='Historical Score'!$C$9,1,0),0)</f>
        <v>1</v>
      </c>
      <c r="AV936" s="65" t="n">
        <f aca="false">AR936*AS936*AQ936</f>
        <v>0</v>
      </c>
      <c r="AW936" s="65" t="n">
        <f aca="false">AR936*AT936*AQ936</f>
        <v>0</v>
      </c>
      <c r="AX936" s="65" t="n">
        <f aca="false">AR936*AS936</f>
        <v>0</v>
      </c>
      <c r="AY936" s="65" t="n">
        <f aca="false">AR936*AT936</f>
        <v>0</v>
      </c>
      <c r="AZ936" s="65" t="n">
        <f aca="false">AR936*AQ936</f>
        <v>0</v>
      </c>
      <c r="BA936" s="65" t="n">
        <f aca="false">AR936</f>
        <v>1</v>
      </c>
      <c r="BB936" s="65" t="n">
        <f aca="false">1</f>
        <v>1</v>
      </c>
      <c r="BC936" s="65" t="n">
        <f aca="false">IF(AV936=1,1,IF(AW936=1,2,IF(AX936=1,3,IF(AY936=1,4,IF(AZ936=1,5,IF(BA936=1,6,7))))))</f>
        <v>6</v>
      </c>
      <c r="BD936" s="65" t="n">
        <f aca="false">IF(AD936=1,CHOOSE('Historical Score'!$C$29,AV936,AW936,AX936,AY936,AZ936,BA936,BB936),0)</f>
        <v>0</v>
      </c>
      <c r="BE936" s="65" t="str">
        <f aca="false">IF(BD936=1,COUNTIF($BD$2:BD936,1),"")</f>
        <v/>
      </c>
    </row>
    <row r="937" customFormat="false" ht="15" hidden="false" customHeight="false" outlineLevel="0" collapsed="false">
      <c r="A937" s="65" t="s">
        <v>2844</v>
      </c>
      <c r="B937" s="65" t="s">
        <v>2845</v>
      </c>
      <c r="C937" s="65" t="s">
        <v>2845</v>
      </c>
      <c r="D937" s="65" t="s">
        <v>295</v>
      </c>
      <c r="E937" s="112" t="n">
        <v>46177</v>
      </c>
      <c r="F937" s="112" t="n">
        <v>46241</v>
      </c>
      <c r="G937" s="65" t="n">
        <v>3</v>
      </c>
      <c r="H937" s="65" t="s">
        <v>748</v>
      </c>
      <c r="I937" s="65" t="s">
        <v>619</v>
      </c>
      <c r="J937" s="65" t="s">
        <v>410</v>
      </c>
      <c r="K937" s="65" t="s">
        <v>961</v>
      </c>
      <c r="L937" s="65" t="s">
        <v>64</v>
      </c>
      <c r="M937" s="113" t="n">
        <v>1.35</v>
      </c>
      <c r="N937" s="114" t="n">
        <v>3000</v>
      </c>
      <c r="O937" s="114" t="n">
        <v>210</v>
      </c>
      <c r="P937" s="114" t="n">
        <v>4050</v>
      </c>
      <c r="Q937" s="114" t="n">
        <v>1999.62</v>
      </c>
      <c r="R937" s="114" t="n">
        <v>2050.38</v>
      </c>
      <c r="S937" s="115" t="n">
        <v>0.493733333333333</v>
      </c>
      <c r="T937" s="65" t="n">
        <v>2.787</v>
      </c>
      <c r="U937" s="65" t="n">
        <v>2</v>
      </c>
      <c r="V937" s="65" t="n">
        <v>26520.15</v>
      </c>
      <c r="W937" s="115" t="n">
        <v>0.0377</v>
      </c>
      <c r="X937" s="112" t="n">
        <v>42917</v>
      </c>
      <c r="Y937" s="65" t="str">
        <f aca="false">IF(I937="","No SIC",IFERROR(VLOOKUP(I937,Ref!$A$2:$B$65,2,FALSE()),"Unclassified"))</f>
        <v>Miscellaneous Retail</v>
      </c>
      <c r="Z937" s="65" t="str">
        <f aca="false">IF(T937="","",IF(T937&lt;12,"Daily","Weekly"))</f>
        <v>Daily</v>
      </c>
      <c r="AA937" s="65" t="n">
        <f aca="false">IF(T937="",0,IF(T937&lt;12,T937*Controls!$B$29,T937*5))</f>
        <v>60.352485</v>
      </c>
      <c r="AB937" s="65" t="n">
        <f aca="false">IF(E937="",0,NETWORKDAYS(E937,Controls!$B$36,Ref!$K$2:$K$42))</f>
        <v>58</v>
      </c>
      <c r="AC937" s="65" t="n">
        <f aca="false">IF(AND(AA937&gt;0,AB937&gt;=Controls!$B$39*AA937),1,0)</f>
        <v>0</v>
      </c>
      <c r="AD937" s="65" t="n">
        <f aca="false">IF(AND(E937&lt;&gt;"",E937&gt;=Controls!$B$37,E937&lt;=Controls!$B$38),1,0)</f>
        <v>1</v>
      </c>
      <c r="AE937" s="65" t="n">
        <f aca="false">IF(IFERROR(VLOOKUP(D937,Controls!$A$64:$E$74,2,FALSE()),"No")="Yes",1,0)</f>
        <v>0</v>
      </c>
      <c r="AF937" s="65" t="n">
        <f aca="false">IF(IFERROR(VLOOKUP(D937,Controls!$A$64:$E$74,3,FALSE()),"No")="Yes",1,0)</f>
        <v>0</v>
      </c>
      <c r="AG937" s="65" t="n">
        <f aca="false">IF(IFERROR(VLOOKUP(D937,Controls!$A$64:$E$74,4,FALSE()),"No")="Yes",1,0)</f>
        <v>0</v>
      </c>
      <c r="AH937" s="65" t="n">
        <f aca="false">IF(IFERROR(VLOOKUP(D937,Controls!$A$64:$E$74,5,FALSE()),"No")="Yes",1,0)</f>
        <v>1</v>
      </c>
      <c r="AI937" s="65" t="n">
        <f aca="false">IF(ISNUMBER(MATCH(D937,Controls!$A$64:$A$74,0)),1,0)</f>
        <v>1</v>
      </c>
      <c r="AJ937" s="65" t="n">
        <f aca="false">Q937-N937</f>
        <v>-1000.38</v>
      </c>
      <c r="AK937" s="65" t="n">
        <f aca="false">IF(AE937=1,MAX(0,N937-Q937),0)</f>
        <v>0</v>
      </c>
      <c r="AL937" s="65" t="n">
        <f aca="false">IF(OR(V937="",V937=0),0,N937/V937)</f>
        <v>0.113121532118031</v>
      </c>
      <c r="AM937" s="65" t="n">
        <f aca="false">IF(OR(V937="",V937=0),0,1)</f>
        <v>1</v>
      </c>
      <c r="AN937" s="65" t="n">
        <f aca="false">IF(OR(E937="",F937=""),0,NETWORKDAYS(E937,F937,Ref!$K$2:$K$42))</f>
        <v>46</v>
      </c>
      <c r="AO937" s="65" t="n">
        <f aca="false">IF(L937="Renewal",1,0)</f>
        <v>0</v>
      </c>
      <c r="AP937" s="65" t="n">
        <f aca="false">AC937*AD937</f>
        <v>0</v>
      </c>
      <c r="AQ937" s="65" t="n">
        <f aca="false">IF(AND(G937&lt;&gt;"",'Historical Score'!$C$6&lt;&gt;""),IF(G937='Historical Score'!$C$6,1,0),0)</f>
        <v>0</v>
      </c>
      <c r="AR937" s="65" t="n">
        <f aca="false">IF(AND(L937&lt;&gt;"",'Historical Score'!$C$5&lt;&gt;""),IF(L937='Historical Score'!$C$5,1,0),0)</f>
        <v>1</v>
      </c>
      <c r="AS937" s="65" t="n">
        <f aca="false">IF(AND(Y937&lt;&gt;"",'Historical Score'!$C$7&lt;&gt;""),IF(Y937='Historical Score'!$C$7,1,0),0)</f>
        <v>0</v>
      </c>
      <c r="AT937" s="65" t="n">
        <f aca="false">IF(AND(K937&lt;&gt;"",'Historical Score'!$C$8&lt;&gt;""),IF(K937='Historical Score'!$C$8,1,0),0)</f>
        <v>0</v>
      </c>
      <c r="AU937" s="65" t="n">
        <f aca="false">IF(AND(J937&lt;&gt;"",'Historical Score'!$C$9&lt;&gt;""),IF(J937='Historical Score'!$C$9,1,0),0)</f>
        <v>0</v>
      </c>
      <c r="AV937" s="65" t="n">
        <f aca="false">AR937*AS937*AQ937</f>
        <v>0</v>
      </c>
      <c r="AW937" s="65" t="n">
        <f aca="false">AR937*AT937*AQ937</f>
        <v>0</v>
      </c>
      <c r="AX937" s="65" t="n">
        <f aca="false">AR937*AS937</f>
        <v>0</v>
      </c>
      <c r="AY937" s="65" t="n">
        <f aca="false">AR937*AT937</f>
        <v>0</v>
      </c>
      <c r="AZ937" s="65" t="n">
        <f aca="false">AR937*AQ937</f>
        <v>0</v>
      </c>
      <c r="BA937" s="65" t="n">
        <f aca="false">AR937</f>
        <v>1</v>
      </c>
      <c r="BB937" s="65" t="n">
        <f aca="false">1</f>
        <v>1</v>
      </c>
      <c r="BC937" s="65" t="n">
        <f aca="false">IF(AV937=1,1,IF(AW937=1,2,IF(AX937=1,3,IF(AY937=1,4,IF(AZ937=1,5,IF(BA937=1,6,7))))))</f>
        <v>6</v>
      </c>
      <c r="BD937" s="65" t="n">
        <f aca="false">IF(AD937=1,CHOOSE('Historical Score'!$C$29,AV937,AW937,AX937,AY937,AZ937,BA937,BB937),0)</f>
        <v>0</v>
      </c>
      <c r="BE937" s="65" t="str">
        <f aca="false">IF(BD937=1,COUNTIF($BD$2:BD937,1),"")</f>
        <v/>
      </c>
    </row>
    <row r="938" customFormat="false" ht="15" hidden="false" customHeight="false" outlineLevel="0" collapsed="false">
      <c r="A938" s="65" t="s">
        <v>2846</v>
      </c>
      <c r="B938" s="65" t="s">
        <v>2847</v>
      </c>
      <c r="C938" s="65" t="s">
        <v>2847</v>
      </c>
      <c r="D938" s="65" t="s">
        <v>533</v>
      </c>
      <c r="E938" s="112" t="n">
        <v>46178</v>
      </c>
      <c r="F938" s="112" t="n">
        <v>46232</v>
      </c>
      <c r="G938" s="65" t="n">
        <v>3</v>
      </c>
      <c r="H938" s="65" t="s">
        <v>748</v>
      </c>
      <c r="I938" s="65" t="s">
        <v>619</v>
      </c>
      <c r="J938" s="65" t="s">
        <v>452</v>
      </c>
      <c r="K938" s="65" t="s">
        <v>538</v>
      </c>
      <c r="L938" s="65" t="s">
        <v>64</v>
      </c>
      <c r="M938" s="113" t="n">
        <v>1.49</v>
      </c>
      <c r="N938" s="114" t="n">
        <v>12000</v>
      </c>
      <c r="O938" s="114" t="n">
        <v>0</v>
      </c>
      <c r="P938" s="114" t="n">
        <v>17880</v>
      </c>
      <c r="Q938" s="114" t="n">
        <v>1563.52</v>
      </c>
      <c r="R938" s="114" t="n">
        <v>16316.48</v>
      </c>
      <c r="S938" s="115" t="n">
        <v>0.0874451901565995</v>
      </c>
      <c r="T938" s="65" t="n">
        <v>2.623</v>
      </c>
      <c r="U938" s="65" t="n">
        <v>29</v>
      </c>
      <c r="V938" s="65" t="n">
        <v>137960.35</v>
      </c>
      <c r="W938" s="115" t="n">
        <v>0.034</v>
      </c>
      <c r="X938" s="112" t="n">
        <v>45778</v>
      </c>
      <c r="Y938" s="65" t="str">
        <f aca="false">IF(I938="","No SIC",IFERROR(VLOOKUP(I938,Ref!$A$2:$B$65,2,FALSE()),"Unclassified"))</f>
        <v>Miscellaneous Retail</v>
      </c>
      <c r="Z938" s="65" t="str">
        <f aca="false">IF(T938="","",IF(T938&lt;12,"Daily","Weekly"))</f>
        <v>Daily</v>
      </c>
      <c r="AA938" s="65" t="n">
        <f aca="false">IF(T938="",0,IF(T938&lt;12,T938*Controls!$B$29,T938*5))</f>
        <v>56.801065</v>
      </c>
      <c r="AB938" s="65" t="n">
        <f aca="false">IF(E938="",0,NETWORKDAYS(E938,Controls!$B$36,Ref!$K$2:$K$42))</f>
        <v>57</v>
      </c>
      <c r="AC938" s="65" t="n">
        <f aca="false">IF(AND(AA938&gt;0,AB938&gt;=Controls!$B$39*AA938),1,0)</f>
        <v>0</v>
      </c>
      <c r="AD938" s="65" t="n">
        <f aca="false">IF(AND(E938&lt;&gt;"",E938&gt;=Controls!$B$37,E938&lt;=Controls!$B$38),1,0)</f>
        <v>1</v>
      </c>
      <c r="AE938" s="65" t="n">
        <f aca="false">IF(IFERROR(VLOOKUP(D938,Controls!$A$64:$E$74,2,FALSE()),"No")="Yes",1,0)</f>
        <v>1</v>
      </c>
      <c r="AF938" s="65" t="n">
        <f aca="false">IF(IFERROR(VLOOKUP(D938,Controls!$A$64:$E$74,3,FALSE()),"No")="Yes",1,0)</f>
        <v>0</v>
      </c>
      <c r="AG938" s="65" t="n">
        <f aca="false">IF(IFERROR(VLOOKUP(D938,Controls!$A$64:$E$74,4,FALSE()),"No")="Yes",1,0)</f>
        <v>0</v>
      </c>
      <c r="AH938" s="65" t="n">
        <f aca="false">IF(IFERROR(VLOOKUP(D938,Controls!$A$64:$E$74,5,FALSE()),"No")="Yes",1,0)</f>
        <v>0</v>
      </c>
      <c r="AI938" s="65" t="n">
        <f aca="false">IF(ISNUMBER(MATCH(D938,Controls!$A$64:$A$74,0)),1,0)</f>
        <v>1</v>
      </c>
      <c r="AJ938" s="65" t="n">
        <f aca="false">Q938-N938</f>
        <v>-10436.48</v>
      </c>
      <c r="AK938" s="65" t="n">
        <f aca="false">IF(AE938=1,MAX(0,N938-Q938),0)</f>
        <v>10436.48</v>
      </c>
      <c r="AL938" s="65" t="n">
        <f aca="false">IF(OR(V938="",V938=0),0,N938/V938)</f>
        <v>0.0869815131666454</v>
      </c>
      <c r="AM938" s="65" t="n">
        <f aca="false">IF(OR(V938="",V938=0),0,1)</f>
        <v>1</v>
      </c>
      <c r="AN938" s="65" t="n">
        <f aca="false">IF(OR(E938="",F938=""),0,NETWORKDAYS(E938,F938,Ref!$K$2:$K$42))</f>
        <v>38</v>
      </c>
      <c r="AO938" s="65" t="n">
        <f aca="false">IF(L938="Renewal",1,0)</f>
        <v>0</v>
      </c>
      <c r="AP938" s="65" t="n">
        <f aca="false">AC938*AD938</f>
        <v>0</v>
      </c>
      <c r="AQ938" s="65" t="n">
        <f aca="false">IF(AND(G938&lt;&gt;"",'Historical Score'!$C$6&lt;&gt;""),IF(G938='Historical Score'!$C$6,1,0),0)</f>
        <v>0</v>
      </c>
      <c r="AR938" s="65" t="n">
        <f aca="false">IF(AND(L938&lt;&gt;"",'Historical Score'!$C$5&lt;&gt;""),IF(L938='Historical Score'!$C$5,1,0),0)</f>
        <v>1</v>
      </c>
      <c r="AS938" s="65" t="n">
        <f aca="false">IF(AND(Y938&lt;&gt;"",'Historical Score'!$C$7&lt;&gt;""),IF(Y938='Historical Score'!$C$7,1,0),0)</f>
        <v>0</v>
      </c>
      <c r="AT938" s="65" t="n">
        <f aca="false">IF(AND(K938&lt;&gt;"",'Historical Score'!$C$8&lt;&gt;""),IF(K938='Historical Score'!$C$8,1,0),0)</f>
        <v>0</v>
      </c>
      <c r="AU938" s="65" t="n">
        <f aca="false">IF(AND(J938&lt;&gt;"",'Historical Score'!$C$9&lt;&gt;""),IF(J938='Historical Score'!$C$9,1,0),0)</f>
        <v>0</v>
      </c>
      <c r="AV938" s="65" t="n">
        <f aca="false">AR938*AS938*AQ938</f>
        <v>0</v>
      </c>
      <c r="AW938" s="65" t="n">
        <f aca="false">AR938*AT938*AQ938</f>
        <v>0</v>
      </c>
      <c r="AX938" s="65" t="n">
        <f aca="false">AR938*AS938</f>
        <v>0</v>
      </c>
      <c r="AY938" s="65" t="n">
        <f aca="false">AR938*AT938</f>
        <v>0</v>
      </c>
      <c r="AZ938" s="65" t="n">
        <f aca="false">AR938*AQ938</f>
        <v>0</v>
      </c>
      <c r="BA938" s="65" t="n">
        <f aca="false">AR938</f>
        <v>1</v>
      </c>
      <c r="BB938" s="65" t="n">
        <f aca="false">1</f>
        <v>1</v>
      </c>
      <c r="BC938" s="65" t="n">
        <f aca="false">IF(AV938=1,1,IF(AW938=1,2,IF(AX938=1,3,IF(AY938=1,4,IF(AZ938=1,5,IF(BA938=1,6,7))))))</f>
        <v>6</v>
      </c>
      <c r="BD938" s="65" t="n">
        <f aca="false">IF(AD938=1,CHOOSE('Historical Score'!$C$29,AV938,AW938,AX938,AY938,AZ938,BA938,BB938),0)</f>
        <v>0</v>
      </c>
      <c r="BE938" s="65" t="str">
        <f aca="false">IF(BD938=1,COUNTIF($BD$2:BD938,1),"")</f>
        <v/>
      </c>
    </row>
    <row r="939" customFormat="false" ht="15" hidden="false" customHeight="false" outlineLevel="0" collapsed="false">
      <c r="A939" s="65" t="s">
        <v>2848</v>
      </c>
      <c r="B939" s="65" t="s">
        <v>2849</v>
      </c>
      <c r="C939" s="65" t="s">
        <v>2850</v>
      </c>
      <c r="D939" s="65" t="s">
        <v>295</v>
      </c>
      <c r="E939" s="112" t="n">
        <v>46178</v>
      </c>
      <c r="F939" s="112" t="n">
        <v>46253</v>
      </c>
      <c r="G939" s="65" t="n">
        <v>3</v>
      </c>
      <c r="H939" s="65" t="s">
        <v>685</v>
      </c>
      <c r="I939" s="65" t="s">
        <v>484</v>
      </c>
      <c r="J939" s="65" t="s">
        <v>61</v>
      </c>
      <c r="K939" s="65" t="s">
        <v>2812</v>
      </c>
      <c r="L939" s="65" t="s">
        <v>64</v>
      </c>
      <c r="M939" s="113" t="n">
        <v>1.45</v>
      </c>
      <c r="N939" s="114" t="n">
        <v>35000</v>
      </c>
      <c r="O939" s="114" t="n">
        <v>4200</v>
      </c>
      <c r="P939" s="114" t="n">
        <v>50750</v>
      </c>
      <c r="Q939" s="114" t="n">
        <v>25362</v>
      </c>
      <c r="R939" s="114" t="n">
        <v>25388</v>
      </c>
      <c r="S939" s="115" t="n">
        <v>0.499743842364532</v>
      </c>
      <c r="T939" s="65" t="n">
        <v>3.279</v>
      </c>
      <c r="U939" s="65" t="n">
        <v>2</v>
      </c>
      <c r="V939" s="65" t="n">
        <v>332213.84</v>
      </c>
      <c r="W939" s="115" t="n">
        <v>0.0588</v>
      </c>
      <c r="X939" s="112" t="n">
        <v>42901</v>
      </c>
      <c r="Y939" s="65" t="str">
        <f aca="false">IF(I939="","No SIC",IFERROR(VLOOKUP(I939,Ref!$A$2:$B$65,2,FALSE()),"Unclassified"))</f>
        <v>Special Trade Contractors</v>
      </c>
      <c r="Z939" s="65" t="str">
        <f aca="false">IF(T939="","",IF(T939&lt;12,"Daily","Weekly"))</f>
        <v>Daily</v>
      </c>
      <c r="AA939" s="65" t="n">
        <f aca="false">IF(T939="",0,IF(T939&lt;12,T939*Controls!$B$29,T939*5))</f>
        <v>71.006745</v>
      </c>
      <c r="AB939" s="65" t="n">
        <f aca="false">IF(E939="",0,NETWORKDAYS(E939,Controls!$B$36,Ref!$K$2:$K$42))</f>
        <v>57</v>
      </c>
      <c r="AC939" s="65" t="n">
        <f aca="false">IF(AND(AA939&gt;0,AB939&gt;=Controls!$B$39*AA939),1,0)</f>
        <v>0</v>
      </c>
      <c r="AD939" s="65" t="n">
        <f aca="false">IF(AND(E939&lt;&gt;"",E939&gt;=Controls!$B$37,E939&lt;=Controls!$B$38),1,0)</f>
        <v>1</v>
      </c>
      <c r="AE939" s="65" t="n">
        <f aca="false">IF(IFERROR(VLOOKUP(D939,Controls!$A$64:$E$74,2,FALSE()),"No")="Yes",1,0)</f>
        <v>0</v>
      </c>
      <c r="AF939" s="65" t="n">
        <f aca="false">IF(IFERROR(VLOOKUP(D939,Controls!$A$64:$E$74,3,FALSE()),"No")="Yes",1,0)</f>
        <v>0</v>
      </c>
      <c r="AG939" s="65" t="n">
        <f aca="false">IF(IFERROR(VLOOKUP(D939,Controls!$A$64:$E$74,4,FALSE()),"No")="Yes",1,0)</f>
        <v>0</v>
      </c>
      <c r="AH939" s="65" t="n">
        <f aca="false">IF(IFERROR(VLOOKUP(D939,Controls!$A$64:$E$74,5,FALSE()),"No")="Yes",1,0)</f>
        <v>1</v>
      </c>
      <c r="AI939" s="65" t="n">
        <f aca="false">IF(ISNUMBER(MATCH(D939,Controls!$A$64:$A$74,0)),1,0)</f>
        <v>1</v>
      </c>
      <c r="AJ939" s="65" t="n">
        <f aca="false">Q939-N939</f>
        <v>-9638</v>
      </c>
      <c r="AK939" s="65" t="n">
        <f aca="false">IF(AE939=1,MAX(0,N939-Q939),0)</f>
        <v>0</v>
      </c>
      <c r="AL939" s="65" t="n">
        <f aca="false">IF(OR(V939="",V939=0),0,N939/V939)</f>
        <v>0.105353828726702</v>
      </c>
      <c r="AM939" s="65" t="n">
        <f aca="false">IF(OR(V939="",V939=0),0,1)</f>
        <v>1</v>
      </c>
      <c r="AN939" s="65" t="n">
        <f aca="false">IF(OR(E939="",F939=""),0,NETWORKDAYS(E939,F939,Ref!$K$2:$K$42))</f>
        <v>53</v>
      </c>
      <c r="AO939" s="65" t="n">
        <f aca="false">IF(L939="Renewal",1,0)</f>
        <v>0</v>
      </c>
      <c r="AP939" s="65" t="n">
        <f aca="false">AC939*AD939</f>
        <v>0</v>
      </c>
      <c r="AQ939" s="65" t="n">
        <f aca="false">IF(AND(G939&lt;&gt;"",'Historical Score'!$C$6&lt;&gt;""),IF(G939='Historical Score'!$C$6,1,0),0)</f>
        <v>0</v>
      </c>
      <c r="AR939" s="65" t="n">
        <f aca="false">IF(AND(L939&lt;&gt;"",'Historical Score'!$C$5&lt;&gt;""),IF(L939='Historical Score'!$C$5,1,0),0)</f>
        <v>1</v>
      </c>
      <c r="AS939" s="65" t="n">
        <f aca="false">IF(AND(Y939&lt;&gt;"",'Historical Score'!$C$7&lt;&gt;""),IF(Y939='Historical Score'!$C$7,1,0),0)</f>
        <v>0</v>
      </c>
      <c r="AT939" s="65" t="n">
        <f aca="false">IF(AND(K939&lt;&gt;"",'Historical Score'!$C$8&lt;&gt;""),IF(K939='Historical Score'!$C$8,1,0),0)</f>
        <v>0</v>
      </c>
      <c r="AU939" s="65" t="n">
        <f aca="false">IF(AND(J939&lt;&gt;"",'Historical Score'!$C$9&lt;&gt;""),IF(J939='Historical Score'!$C$9,1,0),0)</f>
        <v>1</v>
      </c>
      <c r="AV939" s="65" t="n">
        <f aca="false">AR939*AS939*AQ939</f>
        <v>0</v>
      </c>
      <c r="AW939" s="65" t="n">
        <f aca="false">AR939*AT939*AQ939</f>
        <v>0</v>
      </c>
      <c r="AX939" s="65" t="n">
        <f aca="false">AR939*AS939</f>
        <v>0</v>
      </c>
      <c r="AY939" s="65" t="n">
        <f aca="false">AR939*AT939</f>
        <v>0</v>
      </c>
      <c r="AZ939" s="65" t="n">
        <f aca="false">AR939*AQ939</f>
        <v>0</v>
      </c>
      <c r="BA939" s="65" t="n">
        <f aca="false">AR939</f>
        <v>1</v>
      </c>
      <c r="BB939" s="65" t="n">
        <f aca="false">1</f>
        <v>1</v>
      </c>
      <c r="BC939" s="65" t="n">
        <f aca="false">IF(AV939=1,1,IF(AW939=1,2,IF(AX939=1,3,IF(AY939=1,4,IF(AZ939=1,5,IF(BA939=1,6,7))))))</f>
        <v>6</v>
      </c>
      <c r="BD939" s="65" t="n">
        <f aca="false">IF(AD939=1,CHOOSE('Historical Score'!$C$29,AV939,AW939,AX939,AY939,AZ939,BA939,BB939),0)</f>
        <v>0</v>
      </c>
      <c r="BE939" s="65" t="str">
        <f aca="false">IF(BD939=1,COUNTIF($BD$2:BD939,1),"")</f>
        <v/>
      </c>
    </row>
    <row r="940" customFormat="false" ht="15" hidden="false" customHeight="false" outlineLevel="0" collapsed="false">
      <c r="A940" s="65" t="s">
        <v>2851</v>
      </c>
      <c r="B940" s="65" t="s">
        <v>2176</v>
      </c>
      <c r="C940" s="65" t="s">
        <v>2176</v>
      </c>
      <c r="D940" s="65" t="s">
        <v>295</v>
      </c>
      <c r="E940" s="112" t="n">
        <v>46181</v>
      </c>
      <c r="F940" s="112" t="n">
        <v>46247</v>
      </c>
      <c r="G940" s="65" t="n">
        <v>6</v>
      </c>
      <c r="H940" s="65" t="s">
        <v>667</v>
      </c>
      <c r="I940" s="65" t="s">
        <v>668</v>
      </c>
      <c r="J940" s="65" t="s">
        <v>905</v>
      </c>
      <c r="K940" s="65" t="s">
        <v>1379</v>
      </c>
      <c r="L940" s="65" t="s">
        <v>320</v>
      </c>
      <c r="M940" s="113" t="n">
        <v>1.49</v>
      </c>
      <c r="N940" s="114" t="n">
        <v>50000</v>
      </c>
      <c r="O940" s="114" t="n">
        <v>7000</v>
      </c>
      <c r="P940" s="114" t="n">
        <v>74500</v>
      </c>
      <c r="Q940" s="114" t="n">
        <v>74500</v>
      </c>
      <c r="R940" s="114" t="n">
        <v>0</v>
      </c>
      <c r="S940" s="115" t="n">
        <v>1</v>
      </c>
      <c r="T940" s="65" t="n">
        <v>2.459</v>
      </c>
      <c r="U940" s="65" t="n">
        <v>0</v>
      </c>
      <c r="V940" s="65" t="n">
        <v>541580.4</v>
      </c>
      <c r="W940" s="115" t="n">
        <v>0.0553</v>
      </c>
      <c r="X940" s="112" t="n">
        <v>42535</v>
      </c>
      <c r="Y940" s="65" t="str">
        <f aca="false">IF(I940="","No SIC",IFERROR(VLOOKUP(I940,Ref!$A$2:$B$65,2,FALSE()),"Unclassified"))</f>
        <v>Auto Dealers &amp; Gas Stations</v>
      </c>
      <c r="Z940" s="65" t="str">
        <f aca="false">IF(T940="","",IF(T940&lt;12,"Daily","Weekly"))</f>
        <v>Daily</v>
      </c>
      <c r="AA940" s="65" t="n">
        <f aca="false">IF(T940="",0,IF(T940&lt;12,T940*Controls!$B$29,T940*5))</f>
        <v>53.249645</v>
      </c>
      <c r="AB940" s="65" t="n">
        <f aca="false">IF(E940="",0,NETWORKDAYS(E940,Controls!$B$36,Ref!$K$2:$K$42))</f>
        <v>56</v>
      </c>
      <c r="AC940" s="65" t="n">
        <f aca="false">IF(AND(AA940&gt;0,AB940&gt;=Controls!$B$39*AA940),1,0)</f>
        <v>0</v>
      </c>
      <c r="AD940" s="65" t="n">
        <f aca="false">IF(AND(E940&lt;&gt;"",E940&gt;=Controls!$B$37,E940&lt;=Controls!$B$38),1,0)</f>
        <v>1</v>
      </c>
      <c r="AE940" s="65" t="n">
        <f aca="false">IF(IFERROR(VLOOKUP(D940,Controls!$A$64:$E$74,2,FALSE()),"No")="Yes",1,0)</f>
        <v>0</v>
      </c>
      <c r="AF940" s="65" t="n">
        <f aca="false">IF(IFERROR(VLOOKUP(D940,Controls!$A$64:$E$74,3,FALSE()),"No")="Yes",1,0)</f>
        <v>0</v>
      </c>
      <c r="AG940" s="65" t="n">
        <f aca="false">IF(IFERROR(VLOOKUP(D940,Controls!$A$64:$E$74,4,FALSE()),"No")="Yes",1,0)</f>
        <v>0</v>
      </c>
      <c r="AH940" s="65" t="n">
        <f aca="false">IF(IFERROR(VLOOKUP(D940,Controls!$A$64:$E$74,5,FALSE()),"No")="Yes",1,0)</f>
        <v>1</v>
      </c>
      <c r="AI940" s="65" t="n">
        <f aca="false">IF(ISNUMBER(MATCH(D940,Controls!$A$64:$A$74,0)),1,0)</f>
        <v>1</v>
      </c>
      <c r="AJ940" s="65" t="n">
        <f aca="false">Q940-N940</f>
        <v>24500</v>
      </c>
      <c r="AK940" s="65" t="n">
        <f aca="false">IF(AE940=1,MAX(0,N940-Q940),0)</f>
        <v>0</v>
      </c>
      <c r="AL940" s="65" t="n">
        <f aca="false">IF(OR(V940="",V940=0),0,N940/V940)</f>
        <v>0.0923223957144683</v>
      </c>
      <c r="AM940" s="65" t="n">
        <f aca="false">IF(OR(V940="",V940=0),0,1)</f>
        <v>1</v>
      </c>
      <c r="AN940" s="65" t="n">
        <f aca="false">IF(OR(E940="",F940=""),0,NETWORKDAYS(E940,F940,Ref!$K$2:$K$42))</f>
        <v>48</v>
      </c>
      <c r="AO940" s="65" t="n">
        <f aca="false">IF(L940="Renewal",1,0)</f>
        <v>1</v>
      </c>
      <c r="AP940" s="65" t="n">
        <f aca="false">AC940*AD940</f>
        <v>0</v>
      </c>
      <c r="AQ940" s="65" t="n">
        <f aca="false">IF(AND(G940&lt;&gt;"",'Historical Score'!$C$6&lt;&gt;""),IF(G940='Historical Score'!$C$6,1,0),0)</f>
        <v>0</v>
      </c>
      <c r="AR940" s="65" t="n">
        <f aca="false">IF(AND(L940&lt;&gt;"",'Historical Score'!$C$5&lt;&gt;""),IF(L940='Historical Score'!$C$5,1,0),0)</f>
        <v>0</v>
      </c>
      <c r="AS940" s="65" t="n">
        <f aca="false">IF(AND(Y940&lt;&gt;"",'Historical Score'!$C$7&lt;&gt;""),IF(Y940='Historical Score'!$C$7,1,0),0)</f>
        <v>0</v>
      </c>
      <c r="AT940" s="65" t="n">
        <f aca="false">IF(AND(K940&lt;&gt;"",'Historical Score'!$C$8&lt;&gt;""),IF(K940='Historical Score'!$C$8,1,0),0)</f>
        <v>0</v>
      </c>
      <c r="AU940" s="65" t="n">
        <f aca="false">IF(AND(J940&lt;&gt;"",'Historical Score'!$C$9&lt;&gt;""),IF(J940='Historical Score'!$C$9,1,0),0)</f>
        <v>0</v>
      </c>
      <c r="AV940" s="65" t="n">
        <f aca="false">AR940*AS940*AQ940</f>
        <v>0</v>
      </c>
      <c r="AW940" s="65" t="n">
        <f aca="false">AR940*AT940*AQ940</f>
        <v>0</v>
      </c>
      <c r="AX940" s="65" t="n">
        <f aca="false">AR940*AS940</f>
        <v>0</v>
      </c>
      <c r="AY940" s="65" t="n">
        <f aca="false">AR940*AT940</f>
        <v>0</v>
      </c>
      <c r="AZ940" s="65" t="n">
        <f aca="false">AR940*AQ940</f>
        <v>0</v>
      </c>
      <c r="BA940" s="65" t="n">
        <f aca="false">AR940</f>
        <v>0</v>
      </c>
      <c r="BB940" s="65" t="n">
        <f aca="false">1</f>
        <v>1</v>
      </c>
      <c r="BC940" s="65" t="n">
        <f aca="false">IF(AV940=1,1,IF(AW940=1,2,IF(AX940=1,3,IF(AY940=1,4,IF(AZ940=1,5,IF(BA940=1,6,7))))))</f>
        <v>7</v>
      </c>
      <c r="BD940" s="65" t="n">
        <f aca="false">IF(AD940=1,CHOOSE('Historical Score'!$C$29,AV940,AW940,AX940,AY940,AZ940,BA940,BB940),0)</f>
        <v>0</v>
      </c>
      <c r="BE940" s="65" t="str">
        <f aca="false">IF(BD940=1,COUNTIF($BD$2:BD940,1),"")</f>
        <v/>
      </c>
    </row>
    <row r="941" customFormat="false" ht="15" hidden="false" customHeight="false" outlineLevel="0" collapsed="false">
      <c r="A941" s="65" t="s">
        <v>2852</v>
      </c>
      <c r="B941" s="65" t="s">
        <v>2457</v>
      </c>
      <c r="C941" s="65" t="s">
        <v>2457</v>
      </c>
      <c r="D941" s="65" t="s">
        <v>295</v>
      </c>
      <c r="E941" s="112" t="n">
        <v>46182</v>
      </c>
      <c r="F941" s="112" t="n">
        <v>46248</v>
      </c>
      <c r="G941" s="65" t="n">
        <v>3</v>
      </c>
      <c r="H941" s="65" t="s">
        <v>436</v>
      </c>
      <c r="I941" s="65" t="s">
        <v>437</v>
      </c>
      <c r="J941" s="65" t="s">
        <v>420</v>
      </c>
      <c r="K941" s="65" t="s">
        <v>55</v>
      </c>
      <c r="L941" s="65" t="s">
        <v>320</v>
      </c>
      <c r="M941" s="113" t="n">
        <v>1.49</v>
      </c>
      <c r="N941" s="114" t="n">
        <v>35000</v>
      </c>
      <c r="O941" s="114" t="n">
        <v>4900</v>
      </c>
      <c r="P941" s="114" t="n">
        <v>52150</v>
      </c>
      <c r="Q941" s="114" t="n">
        <v>14665.86</v>
      </c>
      <c r="R941" s="114" t="n">
        <v>37484.14</v>
      </c>
      <c r="S941" s="115" t="n">
        <v>0.281224544582934</v>
      </c>
      <c r="T941" s="65" t="n">
        <v>32</v>
      </c>
      <c r="U941" s="65" t="n">
        <v>1</v>
      </c>
      <c r="V941" s="65" t="n">
        <v>24532.07</v>
      </c>
      <c r="W941" s="115" t="n">
        <v>0.2657</v>
      </c>
      <c r="X941" s="112" t="n">
        <v>43186</v>
      </c>
      <c r="Y941" s="65" t="str">
        <f aca="false">IF(I941="","No SIC",IFERROR(VLOOKUP(I941,Ref!$A$2:$B$65,2,FALSE()),"Unclassified"))</f>
        <v>Social Services</v>
      </c>
      <c r="Z941" s="65" t="str">
        <f aca="false">IF(T941="","",IF(T941&lt;12,"Daily","Weekly"))</f>
        <v>Weekly</v>
      </c>
      <c r="AA941" s="65" t="n">
        <f aca="false">IF(T941="",0,IF(T941&lt;12,T941*Controls!$B$29,T941*5))</f>
        <v>160</v>
      </c>
      <c r="AB941" s="65" t="n">
        <f aca="false">IF(E941="",0,NETWORKDAYS(E941,Controls!$B$36,Ref!$K$2:$K$42))</f>
        <v>55</v>
      </c>
      <c r="AC941" s="65" t="n">
        <f aca="false">IF(AND(AA941&gt;0,AB941&gt;=Controls!$B$39*AA941),1,0)</f>
        <v>0</v>
      </c>
      <c r="AD941" s="65" t="n">
        <f aca="false">IF(AND(E941&lt;&gt;"",E941&gt;=Controls!$B$37,E941&lt;=Controls!$B$38),1,0)</f>
        <v>1</v>
      </c>
      <c r="AE941" s="65" t="n">
        <f aca="false">IF(IFERROR(VLOOKUP(D941,Controls!$A$64:$E$74,2,FALSE()),"No")="Yes",1,0)</f>
        <v>0</v>
      </c>
      <c r="AF941" s="65" t="n">
        <f aca="false">IF(IFERROR(VLOOKUP(D941,Controls!$A$64:$E$74,3,FALSE()),"No")="Yes",1,0)</f>
        <v>0</v>
      </c>
      <c r="AG941" s="65" t="n">
        <f aca="false">IF(IFERROR(VLOOKUP(D941,Controls!$A$64:$E$74,4,FALSE()),"No")="Yes",1,0)</f>
        <v>0</v>
      </c>
      <c r="AH941" s="65" t="n">
        <f aca="false">IF(IFERROR(VLOOKUP(D941,Controls!$A$64:$E$74,5,FALSE()),"No")="Yes",1,0)</f>
        <v>1</v>
      </c>
      <c r="AI941" s="65" t="n">
        <f aca="false">IF(ISNUMBER(MATCH(D941,Controls!$A$64:$A$74,0)),1,0)</f>
        <v>1</v>
      </c>
      <c r="AJ941" s="65" t="n">
        <f aca="false">Q941-N941</f>
        <v>-20334.14</v>
      </c>
      <c r="AK941" s="65" t="n">
        <f aca="false">IF(AE941=1,MAX(0,N941-Q941),0)</f>
        <v>0</v>
      </c>
      <c r="AL941" s="65" t="n">
        <f aca="false">IF(OR(V941="",V941=0),0,N941/V941)</f>
        <v>1.42670390227975</v>
      </c>
      <c r="AM941" s="65" t="n">
        <f aca="false">IF(OR(V941="",V941=0),0,1)</f>
        <v>1</v>
      </c>
      <c r="AN941" s="65" t="n">
        <f aca="false">IF(OR(E941="",F941=""),0,NETWORKDAYS(E941,F941,Ref!$K$2:$K$42))</f>
        <v>48</v>
      </c>
      <c r="AO941" s="65" t="n">
        <f aca="false">IF(L941="Renewal",1,0)</f>
        <v>1</v>
      </c>
      <c r="AP941" s="65" t="n">
        <f aca="false">AC941*AD941</f>
        <v>0</v>
      </c>
      <c r="AQ941" s="65" t="n">
        <f aca="false">IF(AND(G941&lt;&gt;"",'Historical Score'!$C$6&lt;&gt;""),IF(G941='Historical Score'!$C$6,1,0),0)</f>
        <v>0</v>
      </c>
      <c r="AR941" s="65" t="n">
        <f aca="false">IF(AND(L941&lt;&gt;"",'Historical Score'!$C$5&lt;&gt;""),IF(L941='Historical Score'!$C$5,1,0),0)</f>
        <v>0</v>
      </c>
      <c r="AS941" s="65" t="n">
        <f aca="false">IF(AND(Y941&lt;&gt;"",'Historical Score'!$C$7&lt;&gt;""),IF(Y941='Historical Score'!$C$7,1,0),0)</f>
        <v>0</v>
      </c>
      <c r="AT941" s="65" t="n">
        <f aca="false">IF(AND(K941&lt;&gt;"",'Historical Score'!$C$8&lt;&gt;""),IF(K941='Historical Score'!$C$8,1,0),0)</f>
        <v>1</v>
      </c>
      <c r="AU941" s="65" t="n">
        <f aca="false">IF(AND(J941&lt;&gt;"",'Historical Score'!$C$9&lt;&gt;""),IF(J941='Historical Score'!$C$9,1,0),0)</f>
        <v>0</v>
      </c>
      <c r="AV941" s="65" t="n">
        <f aca="false">AR941*AS941*AQ941</f>
        <v>0</v>
      </c>
      <c r="AW941" s="65" t="n">
        <f aca="false">AR941*AT941*AQ941</f>
        <v>0</v>
      </c>
      <c r="AX941" s="65" t="n">
        <f aca="false">AR941*AS941</f>
        <v>0</v>
      </c>
      <c r="AY941" s="65" t="n">
        <f aca="false">AR941*AT941</f>
        <v>0</v>
      </c>
      <c r="AZ941" s="65" t="n">
        <f aca="false">AR941*AQ941</f>
        <v>0</v>
      </c>
      <c r="BA941" s="65" t="n">
        <f aca="false">AR941</f>
        <v>0</v>
      </c>
      <c r="BB941" s="65" t="n">
        <f aca="false">1</f>
        <v>1</v>
      </c>
      <c r="BC941" s="65" t="n">
        <f aca="false">IF(AV941=1,1,IF(AW941=1,2,IF(AX941=1,3,IF(AY941=1,4,IF(AZ941=1,5,IF(BA941=1,6,7))))))</f>
        <v>7</v>
      </c>
      <c r="BD941" s="65" t="n">
        <f aca="false">IF(AD941=1,CHOOSE('Historical Score'!$C$29,AV941,AW941,AX941,AY941,AZ941,BA941,BB941),0)</f>
        <v>0</v>
      </c>
      <c r="BE941" s="65" t="str">
        <f aca="false">IF(BD941=1,COUNTIF($BD$2:BD941,1),"")</f>
        <v/>
      </c>
    </row>
    <row r="942" customFormat="false" ht="15" hidden="false" customHeight="false" outlineLevel="0" collapsed="false">
      <c r="A942" s="65" t="s">
        <v>2853</v>
      </c>
      <c r="B942" s="65" t="s">
        <v>2854</v>
      </c>
      <c r="C942" s="65" t="s">
        <v>2854</v>
      </c>
      <c r="D942" s="65" t="s">
        <v>533</v>
      </c>
      <c r="E942" s="112" t="n">
        <v>46182</v>
      </c>
      <c r="F942" s="112" t="n">
        <v>46205</v>
      </c>
      <c r="G942" s="65" t="n">
        <v>3</v>
      </c>
      <c r="H942" s="65" t="s">
        <v>1130</v>
      </c>
      <c r="I942" s="65" t="s">
        <v>668</v>
      </c>
      <c r="J942" s="65" t="s">
        <v>452</v>
      </c>
      <c r="K942" s="65" t="s">
        <v>55</v>
      </c>
      <c r="L942" s="65" t="s">
        <v>64</v>
      </c>
      <c r="M942" s="113" t="n">
        <v>1.49</v>
      </c>
      <c r="N942" s="114" t="n">
        <v>10000</v>
      </c>
      <c r="O942" s="114" t="n">
        <v>1400</v>
      </c>
      <c r="P942" s="114" t="n">
        <v>14900</v>
      </c>
      <c r="Q942" s="114" t="n">
        <v>0</v>
      </c>
      <c r="R942" s="114" t="n">
        <v>14900</v>
      </c>
      <c r="S942" s="115" t="n">
        <v>0</v>
      </c>
      <c r="T942" s="65" t="n">
        <v>2.623</v>
      </c>
      <c r="U942" s="65" t="n">
        <v>11</v>
      </c>
      <c r="V942" s="65" t="n">
        <v>74131.67</v>
      </c>
      <c r="W942" s="115" t="n">
        <v>0.0528</v>
      </c>
      <c r="X942" s="112" t="n">
        <v>45033</v>
      </c>
      <c r="Y942" s="65" t="str">
        <f aca="false">IF(I942="","No SIC",IFERROR(VLOOKUP(I942,Ref!$A$2:$B$65,2,FALSE()),"Unclassified"))</f>
        <v>Auto Dealers &amp; Gas Stations</v>
      </c>
      <c r="Z942" s="65" t="str">
        <f aca="false">IF(T942="","",IF(T942&lt;12,"Daily","Weekly"))</f>
        <v>Daily</v>
      </c>
      <c r="AA942" s="65" t="n">
        <f aca="false">IF(T942="",0,IF(T942&lt;12,T942*Controls!$B$29,T942*5))</f>
        <v>56.801065</v>
      </c>
      <c r="AB942" s="65" t="n">
        <f aca="false">IF(E942="",0,NETWORKDAYS(E942,Controls!$B$36,Ref!$K$2:$K$42))</f>
        <v>55</v>
      </c>
      <c r="AC942" s="65" t="n">
        <f aca="false">IF(AND(AA942&gt;0,AB942&gt;=Controls!$B$39*AA942),1,0)</f>
        <v>0</v>
      </c>
      <c r="AD942" s="65" t="n">
        <f aca="false">IF(AND(E942&lt;&gt;"",E942&gt;=Controls!$B$37,E942&lt;=Controls!$B$38),1,0)</f>
        <v>1</v>
      </c>
      <c r="AE942" s="65" t="n">
        <f aca="false">IF(IFERROR(VLOOKUP(D942,Controls!$A$64:$E$74,2,FALSE()),"No")="Yes",1,0)</f>
        <v>1</v>
      </c>
      <c r="AF942" s="65" t="n">
        <f aca="false">IF(IFERROR(VLOOKUP(D942,Controls!$A$64:$E$74,3,FALSE()),"No")="Yes",1,0)</f>
        <v>0</v>
      </c>
      <c r="AG942" s="65" t="n">
        <f aca="false">IF(IFERROR(VLOOKUP(D942,Controls!$A$64:$E$74,4,FALSE()),"No")="Yes",1,0)</f>
        <v>0</v>
      </c>
      <c r="AH942" s="65" t="n">
        <f aca="false">IF(IFERROR(VLOOKUP(D942,Controls!$A$64:$E$74,5,FALSE()),"No")="Yes",1,0)</f>
        <v>0</v>
      </c>
      <c r="AI942" s="65" t="n">
        <f aca="false">IF(ISNUMBER(MATCH(D942,Controls!$A$64:$A$74,0)),1,0)</f>
        <v>1</v>
      </c>
      <c r="AJ942" s="65" t="n">
        <f aca="false">Q942-N942</f>
        <v>-10000</v>
      </c>
      <c r="AK942" s="65" t="n">
        <f aca="false">IF(AE942=1,MAX(0,N942-Q942),0)</f>
        <v>10000</v>
      </c>
      <c r="AL942" s="65" t="n">
        <f aca="false">IF(OR(V942="",V942=0),0,N942/V942)</f>
        <v>0.134895112979378</v>
      </c>
      <c r="AM942" s="65" t="n">
        <f aca="false">IF(OR(V942="",V942=0),0,1)</f>
        <v>1</v>
      </c>
      <c r="AN942" s="65" t="n">
        <f aca="false">IF(OR(E942="",F942=""),0,NETWORKDAYS(E942,F942,Ref!$K$2:$K$42))</f>
        <v>17</v>
      </c>
      <c r="AO942" s="65" t="n">
        <f aca="false">IF(L942="Renewal",1,0)</f>
        <v>0</v>
      </c>
      <c r="AP942" s="65" t="n">
        <f aca="false">AC942*AD942</f>
        <v>0</v>
      </c>
      <c r="AQ942" s="65" t="n">
        <f aca="false">IF(AND(G942&lt;&gt;"",'Historical Score'!$C$6&lt;&gt;""),IF(G942='Historical Score'!$C$6,1,0),0)</f>
        <v>0</v>
      </c>
      <c r="AR942" s="65" t="n">
        <f aca="false">IF(AND(L942&lt;&gt;"",'Historical Score'!$C$5&lt;&gt;""),IF(L942='Historical Score'!$C$5,1,0),0)</f>
        <v>1</v>
      </c>
      <c r="AS942" s="65" t="n">
        <f aca="false">IF(AND(Y942&lt;&gt;"",'Historical Score'!$C$7&lt;&gt;""),IF(Y942='Historical Score'!$C$7,1,0),0)</f>
        <v>0</v>
      </c>
      <c r="AT942" s="65" t="n">
        <f aca="false">IF(AND(K942&lt;&gt;"",'Historical Score'!$C$8&lt;&gt;""),IF(K942='Historical Score'!$C$8,1,0),0)</f>
        <v>1</v>
      </c>
      <c r="AU942" s="65" t="n">
        <f aca="false">IF(AND(J942&lt;&gt;"",'Historical Score'!$C$9&lt;&gt;""),IF(J942='Historical Score'!$C$9,1,0),0)</f>
        <v>0</v>
      </c>
      <c r="AV942" s="65" t="n">
        <f aca="false">AR942*AS942*AQ942</f>
        <v>0</v>
      </c>
      <c r="AW942" s="65" t="n">
        <f aca="false">AR942*AT942*AQ942</f>
        <v>0</v>
      </c>
      <c r="AX942" s="65" t="n">
        <f aca="false">AR942*AS942</f>
        <v>0</v>
      </c>
      <c r="AY942" s="65" t="n">
        <f aca="false">AR942*AT942</f>
        <v>1</v>
      </c>
      <c r="AZ942" s="65" t="n">
        <f aca="false">AR942*AQ942</f>
        <v>0</v>
      </c>
      <c r="BA942" s="65" t="n">
        <f aca="false">AR942</f>
        <v>1</v>
      </c>
      <c r="BB942" s="65" t="n">
        <f aca="false">1</f>
        <v>1</v>
      </c>
      <c r="BC942" s="65" t="n">
        <f aca="false">IF(AV942=1,1,IF(AW942=1,2,IF(AX942=1,3,IF(AY942=1,4,IF(AZ942=1,5,IF(BA942=1,6,7))))))</f>
        <v>4</v>
      </c>
      <c r="BD942" s="65" t="n">
        <f aca="false">IF(AD942=1,CHOOSE('Historical Score'!$C$29,AV942,AW942,AX942,AY942,AZ942,BA942,BB942),0)</f>
        <v>0</v>
      </c>
      <c r="BE942" s="65" t="str">
        <f aca="false">IF(BD942=1,COUNTIF($BD$2:BD942,1),"")</f>
        <v/>
      </c>
    </row>
    <row r="943" customFormat="false" ht="15" hidden="false" customHeight="false" outlineLevel="0" collapsed="false">
      <c r="A943" s="65" t="s">
        <v>2855</v>
      </c>
      <c r="B943" s="65" t="s">
        <v>2856</v>
      </c>
      <c r="C943" s="65" t="s">
        <v>2856</v>
      </c>
      <c r="D943" s="65" t="s">
        <v>533</v>
      </c>
      <c r="E943" s="112" t="n">
        <v>46183</v>
      </c>
      <c r="F943" s="112" t="n">
        <v>46223</v>
      </c>
      <c r="G943" s="65" t="n">
        <v>3</v>
      </c>
      <c r="H943" s="65" t="s">
        <v>748</v>
      </c>
      <c r="I943" s="65" t="s">
        <v>619</v>
      </c>
      <c r="J943" s="65" t="s">
        <v>410</v>
      </c>
      <c r="K943" s="65" t="s">
        <v>55</v>
      </c>
      <c r="L943" s="65" t="s">
        <v>64</v>
      </c>
      <c r="M943" s="113" t="n">
        <v>1.49</v>
      </c>
      <c r="N943" s="114" t="n">
        <v>10000</v>
      </c>
      <c r="O943" s="114" t="n">
        <v>0</v>
      </c>
      <c r="P943" s="114" t="n">
        <v>14900</v>
      </c>
      <c r="Q943" s="114" t="n">
        <v>372.42</v>
      </c>
      <c r="R943" s="114" t="n">
        <v>14527.58</v>
      </c>
      <c r="S943" s="115" t="n">
        <v>0.0249946308724832</v>
      </c>
      <c r="T943" s="65" t="n">
        <v>2.623</v>
      </c>
      <c r="U943" s="65" t="n">
        <v>23</v>
      </c>
      <c r="V943" s="65" t="n">
        <v>69830.47</v>
      </c>
      <c r="W943" s="115" t="n">
        <v>0.056</v>
      </c>
      <c r="X943" s="112"/>
      <c r="Y943" s="65" t="str">
        <f aca="false">IF(I943="","No SIC",IFERROR(VLOOKUP(I943,Ref!$A$2:$B$65,2,FALSE()),"Unclassified"))</f>
        <v>Miscellaneous Retail</v>
      </c>
      <c r="Z943" s="65" t="str">
        <f aca="false">IF(T943="","",IF(T943&lt;12,"Daily","Weekly"))</f>
        <v>Daily</v>
      </c>
      <c r="AA943" s="65" t="n">
        <f aca="false">IF(T943="",0,IF(T943&lt;12,T943*Controls!$B$29,T943*5))</f>
        <v>56.801065</v>
      </c>
      <c r="AB943" s="65" t="n">
        <f aca="false">IF(E943="",0,NETWORKDAYS(E943,Controls!$B$36,Ref!$K$2:$K$42))</f>
        <v>54</v>
      </c>
      <c r="AC943" s="65" t="n">
        <f aca="false">IF(AND(AA943&gt;0,AB943&gt;=Controls!$B$39*AA943),1,0)</f>
        <v>0</v>
      </c>
      <c r="AD943" s="65" t="n">
        <f aca="false">IF(AND(E943&lt;&gt;"",E943&gt;=Controls!$B$37,E943&lt;=Controls!$B$38),1,0)</f>
        <v>1</v>
      </c>
      <c r="AE943" s="65" t="n">
        <f aca="false">IF(IFERROR(VLOOKUP(D943,Controls!$A$64:$E$74,2,FALSE()),"No")="Yes",1,0)</f>
        <v>1</v>
      </c>
      <c r="AF943" s="65" t="n">
        <f aca="false">IF(IFERROR(VLOOKUP(D943,Controls!$A$64:$E$74,3,FALSE()),"No")="Yes",1,0)</f>
        <v>0</v>
      </c>
      <c r="AG943" s="65" t="n">
        <f aca="false">IF(IFERROR(VLOOKUP(D943,Controls!$A$64:$E$74,4,FALSE()),"No")="Yes",1,0)</f>
        <v>0</v>
      </c>
      <c r="AH943" s="65" t="n">
        <f aca="false">IF(IFERROR(VLOOKUP(D943,Controls!$A$64:$E$74,5,FALSE()),"No")="Yes",1,0)</f>
        <v>0</v>
      </c>
      <c r="AI943" s="65" t="n">
        <f aca="false">IF(ISNUMBER(MATCH(D943,Controls!$A$64:$A$74,0)),1,0)</f>
        <v>1</v>
      </c>
      <c r="AJ943" s="65" t="n">
        <f aca="false">Q943-N943</f>
        <v>-9627.58</v>
      </c>
      <c r="AK943" s="65" t="n">
        <f aca="false">IF(AE943=1,MAX(0,N943-Q943),0)</f>
        <v>9627.58</v>
      </c>
      <c r="AL943" s="65" t="n">
        <f aca="false">IF(OR(V943="",V943=0),0,N943/V943)</f>
        <v>0.143203962396358</v>
      </c>
      <c r="AM943" s="65" t="n">
        <f aca="false">IF(OR(V943="",V943=0),0,1)</f>
        <v>1</v>
      </c>
      <c r="AN943" s="65" t="n">
        <f aca="false">IF(OR(E943="",F943=""),0,NETWORKDAYS(E943,F943,Ref!$K$2:$K$42))</f>
        <v>28</v>
      </c>
      <c r="AO943" s="65" t="n">
        <f aca="false">IF(L943="Renewal",1,0)</f>
        <v>0</v>
      </c>
      <c r="AP943" s="65" t="n">
        <f aca="false">AC943*AD943</f>
        <v>0</v>
      </c>
      <c r="AQ943" s="65" t="n">
        <f aca="false">IF(AND(G943&lt;&gt;"",'Historical Score'!$C$6&lt;&gt;""),IF(G943='Historical Score'!$C$6,1,0),0)</f>
        <v>0</v>
      </c>
      <c r="AR943" s="65" t="n">
        <f aca="false">IF(AND(L943&lt;&gt;"",'Historical Score'!$C$5&lt;&gt;""),IF(L943='Historical Score'!$C$5,1,0),0)</f>
        <v>1</v>
      </c>
      <c r="AS943" s="65" t="n">
        <f aca="false">IF(AND(Y943&lt;&gt;"",'Historical Score'!$C$7&lt;&gt;""),IF(Y943='Historical Score'!$C$7,1,0),0)</f>
        <v>0</v>
      </c>
      <c r="AT943" s="65" t="n">
        <f aca="false">IF(AND(K943&lt;&gt;"",'Historical Score'!$C$8&lt;&gt;""),IF(K943='Historical Score'!$C$8,1,0),0)</f>
        <v>1</v>
      </c>
      <c r="AU943" s="65" t="n">
        <f aca="false">IF(AND(J943&lt;&gt;"",'Historical Score'!$C$9&lt;&gt;""),IF(J943='Historical Score'!$C$9,1,0),0)</f>
        <v>0</v>
      </c>
      <c r="AV943" s="65" t="n">
        <f aca="false">AR943*AS943*AQ943</f>
        <v>0</v>
      </c>
      <c r="AW943" s="65" t="n">
        <f aca="false">AR943*AT943*AQ943</f>
        <v>0</v>
      </c>
      <c r="AX943" s="65" t="n">
        <f aca="false">AR943*AS943</f>
        <v>0</v>
      </c>
      <c r="AY943" s="65" t="n">
        <f aca="false">AR943*AT943</f>
        <v>1</v>
      </c>
      <c r="AZ943" s="65" t="n">
        <f aca="false">AR943*AQ943</f>
        <v>0</v>
      </c>
      <c r="BA943" s="65" t="n">
        <f aca="false">AR943</f>
        <v>1</v>
      </c>
      <c r="BB943" s="65" t="n">
        <f aca="false">1</f>
        <v>1</v>
      </c>
      <c r="BC943" s="65" t="n">
        <f aca="false">IF(AV943=1,1,IF(AW943=1,2,IF(AX943=1,3,IF(AY943=1,4,IF(AZ943=1,5,IF(BA943=1,6,7))))))</f>
        <v>4</v>
      </c>
      <c r="BD943" s="65" t="n">
        <f aca="false">IF(AD943=1,CHOOSE('Historical Score'!$C$29,AV943,AW943,AX943,AY943,AZ943,BA943,BB943),0)</f>
        <v>0</v>
      </c>
      <c r="BE943" s="65" t="str">
        <f aca="false">IF(BD943=1,COUNTIF($BD$2:BD943,1),"")</f>
        <v/>
      </c>
    </row>
    <row r="944" customFormat="false" ht="15" hidden="false" customHeight="false" outlineLevel="0" collapsed="false">
      <c r="A944" s="65" t="s">
        <v>2857</v>
      </c>
      <c r="B944" s="65" t="s">
        <v>2858</v>
      </c>
      <c r="C944" s="65" t="s">
        <v>2859</v>
      </c>
      <c r="D944" s="65" t="s">
        <v>371</v>
      </c>
      <c r="E944" s="112" t="n">
        <v>46183</v>
      </c>
      <c r="F944" s="112" t="n">
        <v>46212</v>
      </c>
      <c r="G944" s="65" t="n">
        <v>3</v>
      </c>
      <c r="H944" s="65" t="s">
        <v>1055</v>
      </c>
      <c r="I944" s="65" t="s">
        <v>643</v>
      </c>
      <c r="J944" s="65" t="s">
        <v>61</v>
      </c>
      <c r="K944" s="65" t="s">
        <v>672</v>
      </c>
      <c r="L944" s="65" t="s">
        <v>64</v>
      </c>
      <c r="M944" s="113" t="n">
        <v>1.384135</v>
      </c>
      <c r="N944" s="114" t="n">
        <v>12000</v>
      </c>
      <c r="O944" s="114" t="n">
        <v>1440</v>
      </c>
      <c r="P944" s="114" t="n">
        <v>16609.62</v>
      </c>
      <c r="Q944" s="114" t="n">
        <v>16609.62</v>
      </c>
      <c r="R944" s="114" t="n">
        <v>0</v>
      </c>
      <c r="S944" s="115" t="n">
        <v>1</v>
      </c>
      <c r="T944" s="65" t="n">
        <v>22</v>
      </c>
      <c r="U944" s="65" t="n">
        <v>0</v>
      </c>
      <c r="V944" s="65" t="n">
        <v>42149.02</v>
      </c>
      <c r="W944" s="115" t="n">
        <v>0.0751</v>
      </c>
      <c r="X944" s="112" t="n">
        <v>44265</v>
      </c>
      <c r="Y944" s="65" t="str">
        <f aca="false">IF(I944="","No SIC",IFERROR(VLOOKUP(I944,Ref!$A$2:$B$65,2,FALSE()),"Unclassified"))</f>
        <v>Agricultural Services</v>
      </c>
      <c r="Z944" s="65" t="str">
        <f aca="false">IF(T944="","",IF(T944&lt;12,"Daily","Weekly"))</f>
        <v>Weekly</v>
      </c>
      <c r="AA944" s="65" t="n">
        <f aca="false">IF(T944="",0,IF(T944&lt;12,T944*Controls!$B$29,T944*5))</f>
        <v>110</v>
      </c>
      <c r="AB944" s="65" t="n">
        <f aca="false">IF(E944="",0,NETWORKDAYS(E944,Controls!$B$36,Ref!$K$2:$K$42))</f>
        <v>54</v>
      </c>
      <c r="AC944" s="65" t="n">
        <f aca="false">IF(AND(AA944&gt;0,AB944&gt;=Controls!$B$39*AA944),1,0)</f>
        <v>0</v>
      </c>
      <c r="AD944" s="65" t="n">
        <f aca="false">IF(AND(E944&lt;&gt;"",E944&gt;=Controls!$B$37,E944&lt;=Controls!$B$38),1,0)</f>
        <v>1</v>
      </c>
      <c r="AE944" s="65" t="n">
        <f aca="false">IF(IFERROR(VLOOKUP(D944,Controls!$A$64:$E$74,2,FALSE()),"No")="Yes",1,0)</f>
        <v>0</v>
      </c>
      <c r="AF944" s="65" t="n">
        <f aca="false">IF(IFERROR(VLOOKUP(D944,Controls!$A$64:$E$74,3,FALSE()),"No")="Yes",1,0)</f>
        <v>1</v>
      </c>
      <c r="AG944" s="65" t="n">
        <f aca="false">IF(IFERROR(VLOOKUP(D944,Controls!$A$64:$E$74,4,FALSE()),"No")="Yes",1,0)</f>
        <v>1</v>
      </c>
      <c r="AH944" s="65" t="n">
        <f aca="false">IF(IFERROR(VLOOKUP(D944,Controls!$A$64:$E$74,5,FALSE()),"No")="Yes",1,0)</f>
        <v>0</v>
      </c>
      <c r="AI944" s="65" t="n">
        <f aca="false">IF(ISNUMBER(MATCH(D944,Controls!$A$64:$A$74,0)),1,0)</f>
        <v>1</v>
      </c>
      <c r="AJ944" s="65" t="n">
        <f aca="false">Q944-N944</f>
        <v>4609.62</v>
      </c>
      <c r="AK944" s="65" t="n">
        <f aca="false">IF(AE944=1,MAX(0,N944-Q944),0)</f>
        <v>0</v>
      </c>
      <c r="AL944" s="65" t="n">
        <f aca="false">IF(OR(V944="",V944=0),0,N944/V944)</f>
        <v>0.284704128352213</v>
      </c>
      <c r="AM944" s="65" t="n">
        <f aca="false">IF(OR(V944="",V944=0),0,1)</f>
        <v>1</v>
      </c>
      <c r="AN944" s="65" t="n">
        <f aca="false">IF(OR(E944="",F944=""),0,NETWORKDAYS(E944,F944,Ref!$K$2:$K$42))</f>
        <v>21</v>
      </c>
      <c r="AO944" s="65" t="n">
        <f aca="false">IF(L944="Renewal",1,0)</f>
        <v>0</v>
      </c>
      <c r="AP944" s="65" t="n">
        <f aca="false">AC944*AD944</f>
        <v>0</v>
      </c>
      <c r="AQ944" s="65" t="n">
        <f aca="false">IF(AND(G944&lt;&gt;"",'Historical Score'!$C$6&lt;&gt;""),IF(G944='Historical Score'!$C$6,1,0),0)</f>
        <v>0</v>
      </c>
      <c r="AR944" s="65" t="n">
        <f aca="false">IF(AND(L944&lt;&gt;"",'Historical Score'!$C$5&lt;&gt;""),IF(L944='Historical Score'!$C$5,1,0),0)</f>
        <v>1</v>
      </c>
      <c r="AS944" s="65" t="n">
        <f aca="false">IF(AND(Y944&lt;&gt;"",'Historical Score'!$C$7&lt;&gt;""),IF(Y944='Historical Score'!$C$7,1,0),0)</f>
        <v>0</v>
      </c>
      <c r="AT944" s="65" t="n">
        <f aca="false">IF(AND(K944&lt;&gt;"",'Historical Score'!$C$8&lt;&gt;""),IF(K944='Historical Score'!$C$8,1,0),0)</f>
        <v>0</v>
      </c>
      <c r="AU944" s="65" t="n">
        <f aca="false">IF(AND(J944&lt;&gt;"",'Historical Score'!$C$9&lt;&gt;""),IF(J944='Historical Score'!$C$9,1,0),0)</f>
        <v>1</v>
      </c>
      <c r="AV944" s="65" t="n">
        <f aca="false">AR944*AS944*AQ944</f>
        <v>0</v>
      </c>
      <c r="AW944" s="65" t="n">
        <f aca="false">AR944*AT944*AQ944</f>
        <v>0</v>
      </c>
      <c r="AX944" s="65" t="n">
        <f aca="false">AR944*AS944</f>
        <v>0</v>
      </c>
      <c r="AY944" s="65" t="n">
        <f aca="false">AR944*AT944</f>
        <v>0</v>
      </c>
      <c r="AZ944" s="65" t="n">
        <f aca="false">AR944*AQ944</f>
        <v>0</v>
      </c>
      <c r="BA944" s="65" t="n">
        <f aca="false">AR944</f>
        <v>1</v>
      </c>
      <c r="BB944" s="65" t="n">
        <f aca="false">1</f>
        <v>1</v>
      </c>
      <c r="BC944" s="65" t="n">
        <f aca="false">IF(AV944=1,1,IF(AW944=1,2,IF(AX944=1,3,IF(AY944=1,4,IF(AZ944=1,5,IF(BA944=1,6,7))))))</f>
        <v>6</v>
      </c>
      <c r="BD944" s="65" t="n">
        <f aca="false">IF(AD944=1,CHOOSE('Historical Score'!$C$29,AV944,AW944,AX944,AY944,AZ944,BA944,BB944),0)</f>
        <v>0</v>
      </c>
      <c r="BE944" s="65" t="str">
        <f aca="false">IF(BD944=1,COUNTIF($BD$2:BD944,1),"")</f>
        <v/>
      </c>
    </row>
    <row r="945" customFormat="false" ht="15" hidden="false" customHeight="false" outlineLevel="0" collapsed="false">
      <c r="A945" s="65" t="s">
        <v>2860</v>
      </c>
      <c r="B945" s="65" t="s">
        <v>1527</v>
      </c>
      <c r="C945" s="65" t="s">
        <v>1528</v>
      </c>
      <c r="D945" s="65" t="s">
        <v>295</v>
      </c>
      <c r="E945" s="112" t="n">
        <v>46183</v>
      </c>
      <c r="F945" s="112" t="n">
        <v>46248</v>
      </c>
      <c r="G945" s="65" t="n">
        <v>2</v>
      </c>
      <c r="H945" s="65" t="s">
        <v>596</v>
      </c>
      <c r="I945" s="65" t="s">
        <v>597</v>
      </c>
      <c r="J945" s="65" t="s">
        <v>452</v>
      </c>
      <c r="K945" s="65" t="s">
        <v>1529</v>
      </c>
      <c r="L945" s="65" t="s">
        <v>64</v>
      </c>
      <c r="M945" s="113" t="n">
        <v>1.49</v>
      </c>
      <c r="N945" s="114" t="n">
        <v>12000</v>
      </c>
      <c r="O945" s="114" t="n">
        <v>1680</v>
      </c>
      <c r="P945" s="114" t="n">
        <v>17880</v>
      </c>
      <c r="Q945" s="114" t="n">
        <v>6703.38</v>
      </c>
      <c r="R945" s="114" t="n">
        <v>11176.62</v>
      </c>
      <c r="S945" s="115" t="n">
        <v>0.374909395973154</v>
      </c>
      <c r="T945" s="65" t="n">
        <v>24</v>
      </c>
      <c r="U945" s="65" t="n">
        <v>0</v>
      </c>
      <c r="V945" s="65" t="n">
        <v>17599.95</v>
      </c>
      <c r="W945" s="115" t="n">
        <v>0.2014</v>
      </c>
      <c r="X945" s="112" t="n">
        <v>42217</v>
      </c>
      <c r="Y945" s="65" t="str">
        <f aca="false">IF(I945="","No SIC",IFERROR(VLOOKUP(I945,Ref!$A$2:$B$65,2,FALSE()),"Unclassified"))</f>
        <v>Insurance Agents &amp; Brokers</v>
      </c>
      <c r="Z945" s="65" t="str">
        <f aca="false">IF(T945="","",IF(T945&lt;12,"Daily","Weekly"))</f>
        <v>Weekly</v>
      </c>
      <c r="AA945" s="65" t="n">
        <f aca="false">IF(T945="",0,IF(T945&lt;12,T945*Controls!$B$29,T945*5))</f>
        <v>120</v>
      </c>
      <c r="AB945" s="65" t="n">
        <f aca="false">IF(E945="",0,NETWORKDAYS(E945,Controls!$B$36,Ref!$K$2:$K$42))</f>
        <v>54</v>
      </c>
      <c r="AC945" s="65" t="n">
        <f aca="false">IF(AND(AA945&gt;0,AB945&gt;=Controls!$B$39*AA945),1,0)</f>
        <v>0</v>
      </c>
      <c r="AD945" s="65" t="n">
        <f aca="false">IF(AND(E945&lt;&gt;"",E945&gt;=Controls!$B$37,E945&lt;=Controls!$B$38),1,0)</f>
        <v>1</v>
      </c>
      <c r="AE945" s="65" t="n">
        <f aca="false">IF(IFERROR(VLOOKUP(D945,Controls!$A$64:$E$74,2,FALSE()),"No")="Yes",1,0)</f>
        <v>0</v>
      </c>
      <c r="AF945" s="65" t="n">
        <f aca="false">IF(IFERROR(VLOOKUP(D945,Controls!$A$64:$E$74,3,FALSE()),"No")="Yes",1,0)</f>
        <v>0</v>
      </c>
      <c r="AG945" s="65" t="n">
        <f aca="false">IF(IFERROR(VLOOKUP(D945,Controls!$A$64:$E$74,4,FALSE()),"No")="Yes",1,0)</f>
        <v>0</v>
      </c>
      <c r="AH945" s="65" t="n">
        <f aca="false">IF(IFERROR(VLOOKUP(D945,Controls!$A$64:$E$74,5,FALSE()),"No")="Yes",1,0)</f>
        <v>1</v>
      </c>
      <c r="AI945" s="65" t="n">
        <f aca="false">IF(ISNUMBER(MATCH(D945,Controls!$A$64:$A$74,0)),1,0)</f>
        <v>1</v>
      </c>
      <c r="AJ945" s="65" t="n">
        <f aca="false">Q945-N945</f>
        <v>-5296.62</v>
      </c>
      <c r="AK945" s="65" t="n">
        <f aca="false">IF(AE945=1,MAX(0,N945-Q945),0)</f>
        <v>0</v>
      </c>
      <c r="AL945" s="65" t="n">
        <f aca="false">IF(OR(V945="",V945=0),0,N945/V945)</f>
        <v>0.681820118807156</v>
      </c>
      <c r="AM945" s="65" t="n">
        <f aca="false">IF(OR(V945="",V945=0),0,1)</f>
        <v>1</v>
      </c>
      <c r="AN945" s="65" t="n">
        <f aca="false">IF(OR(E945="",F945=""),0,NETWORKDAYS(E945,F945,Ref!$K$2:$K$42))</f>
        <v>47</v>
      </c>
      <c r="AO945" s="65" t="n">
        <f aca="false">IF(L945="Renewal",1,0)</f>
        <v>0</v>
      </c>
      <c r="AP945" s="65" t="n">
        <f aca="false">AC945*AD945</f>
        <v>0</v>
      </c>
      <c r="AQ945" s="65" t="n">
        <f aca="false">IF(AND(G945&lt;&gt;"",'Historical Score'!$C$6&lt;&gt;""),IF(G945='Historical Score'!$C$6,1,0),0)</f>
        <v>1</v>
      </c>
      <c r="AR945" s="65" t="n">
        <f aca="false">IF(AND(L945&lt;&gt;"",'Historical Score'!$C$5&lt;&gt;""),IF(L945='Historical Score'!$C$5,1,0),0)</f>
        <v>1</v>
      </c>
      <c r="AS945" s="65" t="n">
        <f aca="false">IF(AND(Y945&lt;&gt;"",'Historical Score'!$C$7&lt;&gt;""),IF(Y945='Historical Score'!$C$7,1,0),0)</f>
        <v>0</v>
      </c>
      <c r="AT945" s="65" t="n">
        <f aca="false">IF(AND(K945&lt;&gt;"",'Historical Score'!$C$8&lt;&gt;""),IF(K945='Historical Score'!$C$8,1,0),0)</f>
        <v>0</v>
      </c>
      <c r="AU945" s="65" t="n">
        <f aca="false">IF(AND(J945&lt;&gt;"",'Historical Score'!$C$9&lt;&gt;""),IF(J945='Historical Score'!$C$9,1,0),0)</f>
        <v>0</v>
      </c>
      <c r="AV945" s="65" t="n">
        <f aca="false">AR945*AS945*AQ945</f>
        <v>0</v>
      </c>
      <c r="AW945" s="65" t="n">
        <f aca="false">AR945*AT945*AQ945</f>
        <v>0</v>
      </c>
      <c r="AX945" s="65" t="n">
        <f aca="false">AR945*AS945</f>
        <v>0</v>
      </c>
      <c r="AY945" s="65" t="n">
        <f aca="false">AR945*AT945</f>
        <v>0</v>
      </c>
      <c r="AZ945" s="65" t="n">
        <f aca="false">AR945*AQ945</f>
        <v>1</v>
      </c>
      <c r="BA945" s="65" t="n">
        <f aca="false">AR945</f>
        <v>1</v>
      </c>
      <c r="BB945" s="65" t="n">
        <f aca="false">1</f>
        <v>1</v>
      </c>
      <c r="BC945" s="65" t="n">
        <f aca="false">IF(AV945=1,1,IF(AW945=1,2,IF(AX945=1,3,IF(AY945=1,4,IF(AZ945=1,5,IF(BA945=1,6,7))))))</f>
        <v>5</v>
      </c>
      <c r="BD945" s="65" t="n">
        <f aca="false">IF(AD945=1,CHOOSE('Historical Score'!$C$29,AV945,AW945,AX945,AY945,AZ945,BA945,BB945),0)</f>
        <v>0</v>
      </c>
      <c r="BE945" s="65" t="str">
        <f aca="false">IF(BD945=1,COUNTIF($BD$2:BD945,1),"")</f>
        <v/>
      </c>
    </row>
    <row r="946" customFormat="false" ht="15" hidden="false" customHeight="false" outlineLevel="0" collapsed="false">
      <c r="A946" s="65" t="s">
        <v>2861</v>
      </c>
      <c r="B946" s="65" t="s">
        <v>2862</v>
      </c>
      <c r="C946" s="65" t="s">
        <v>2862</v>
      </c>
      <c r="D946" s="65" t="s">
        <v>533</v>
      </c>
      <c r="E946" s="112" t="n">
        <v>46183</v>
      </c>
      <c r="F946" s="112" t="n">
        <v>46251</v>
      </c>
      <c r="G946" s="65" t="n">
        <v>3</v>
      </c>
      <c r="H946" s="65" t="s">
        <v>748</v>
      </c>
      <c r="I946" s="65" t="s">
        <v>619</v>
      </c>
      <c r="J946" s="65" t="s">
        <v>61</v>
      </c>
      <c r="K946" s="65" t="s">
        <v>538</v>
      </c>
      <c r="L946" s="65" t="s">
        <v>64</v>
      </c>
      <c r="M946" s="113" t="n">
        <v>1.49</v>
      </c>
      <c r="N946" s="114" t="n">
        <v>11000</v>
      </c>
      <c r="O946" s="114" t="n">
        <v>0</v>
      </c>
      <c r="P946" s="114" t="n">
        <v>16390</v>
      </c>
      <c r="Q946" s="114" t="n">
        <v>2106.48</v>
      </c>
      <c r="R946" s="114" t="n">
        <v>14283.52</v>
      </c>
      <c r="S946" s="115" t="n">
        <v>0.128522269676632</v>
      </c>
      <c r="T946" s="65" t="n">
        <v>2.951</v>
      </c>
      <c r="U946" s="65" t="n">
        <v>19</v>
      </c>
      <c r="V946" s="65" t="n">
        <v>28065.56</v>
      </c>
      <c r="W946" s="115" t="n">
        <v>0.1363</v>
      </c>
      <c r="X946" s="112" t="n">
        <v>45158</v>
      </c>
      <c r="Y946" s="65" t="str">
        <f aca="false">IF(I946="","No SIC",IFERROR(VLOOKUP(I946,Ref!$A$2:$B$65,2,FALSE()),"Unclassified"))</f>
        <v>Miscellaneous Retail</v>
      </c>
      <c r="Z946" s="65" t="str">
        <f aca="false">IF(T946="","",IF(T946&lt;12,"Daily","Weekly"))</f>
        <v>Daily</v>
      </c>
      <c r="AA946" s="65" t="n">
        <f aca="false">IF(T946="",0,IF(T946&lt;12,T946*Controls!$B$29,T946*5))</f>
        <v>63.903905</v>
      </c>
      <c r="AB946" s="65" t="n">
        <f aca="false">IF(E946="",0,NETWORKDAYS(E946,Controls!$B$36,Ref!$K$2:$K$42))</f>
        <v>54</v>
      </c>
      <c r="AC946" s="65" t="n">
        <f aca="false">IF(AND(AA946&gt;0,AB946&gt;=Controls!$B$39*AA946),1,0)</f>
        <v>0</v>
      </c>
      <c r="AD946" s="65" t="n">
        <f aca="false">IF(AND(E946&lt;&gt;"",E946&gt;=Controls!$B$37,E946&lt;=Controls!$B$38),1,0)</f>
        <v>1</v>
      </c>
      <c r="AE946" s="65" t="n">
        <f aca="false">IF(IFERROR(VLOOKUP(D946,Controls!$A$64:$E$74,2,FALSE()),"No")="Yes",1,0)</f>
        <v>1</v>
      </c>
      <c r="AF946" s="65" t="n">
        <f aca="false">IF(IFERROR(VLOOKUP(D946,Controls!$A$64:$E$74,3,FALSE()),"No")="Yes",1,0)</f>
        <v>0</v>
      </c>
      <c r="AG946" s="65" t="n">
        <f aca="false">IF(IFERROR(VLOOKUP(D946,Controls!$A$64:$E$74,4,FALSE()),"No")="Yes",1,0)</f>
        <v>0</v>
      </c>
      <c r="AH946" s="65" t="n">
        <f aca="false">IF(IFERROR(VLOOKUP(D946,Controls!$A$64:$E$74,5,FALSE()),"No")="Yes",1,0)</f>
        <v>0</v>
      </c>
      <c r="AI946" s="65" t="n">
        <f aca="false">IF(ISNUMBER(MATCH(D946,Controls!$A$64:$A$74,0)),1,0)</f>
        <v>1</v>
      </c>
      <c r="AJ946" s="65" t="n">
        <f aca="false">Q946-N946</f>
        <v>-8893.52</v>
      </c>
      <c r="AK946" s="65" t="n">
        <f aca="false">IF(AE946=1,MAX(0,N946-Q946),0)</f>
        <v>8893.52</v>
      </c>
      <c r="AL946" s="65" t="n">
        <f aca="false">IF(OR(V946="",V946=0),0,N946/V946)</f>
        <v>0.391939444643185</v>
      </c>
      <c r="AM946" s="65" t="n">
        <f aca="false">IF(OR(V946="",V946=0),0,1)</f>
        <v>1</v>
      </c>
      <c r="AN946" s="65" t="n">
        <f aca="false">IF(OR(E946="",F946=""),0,NETWORKDAYS(E946,F946,Ref!$K$2:$K$42))</f>
        <v>48</v>
      </c>
      <c r="AO946" s="65" t="n">
        <f aca="false">IF(L946="Renewal",1,0)</f>
        <v>0</v>
      </c>
      <c r="AP946" s="65" t="n">
        <f aca="false">AC946*AD946</f>
        <v>0</v>
      </c>
      <c r="AQ946" s="65" t="n">
        <f aca="false">IF(AND(G946&lt;&gt;"",'Historical Score'!$C$6&lt;&gt;""),IF(G946='Historical Score'!$C$6,1,0),0)</f>
        <v>0</v>
      </c>
      <c r="AR946" s="65" t="n">
        <f aca="false">IF(AND(L946&lt;&gt;"",'Historical Score'!$C$5&lt;&gt;""),IF(L946='Historical Score'!$C$5,1,0),0)</f>
        <v>1</v>
      </c>
      <c r="AS946" s="65" t="n">
        <f aca="false">IF(AND(Y946&lt;&gt;"",'Historical Score'!$C$7&lt;&gt;""),IF(Y946='Historical Score'!$C$7,1,0),0)</f>
        <v>0</v>
      </c>
      <c r="AT946" s="65" t="n">
        <f aca="false">IF(AND(K946&lt;&gt;"",'Historical Score'!$C$8&lt;&gt;""),IF(K946='Historical Score'!$C$8,1,0),0)</f>
        <v>0</v>
      </c>
      <c r="AU946" s="65" t="n">
        <f aca="false">IF(AND(J946&lt;&gt;"",'Historical Score'!$C$9&lt;&gt;""),IF(J946='Historical Score'!$C$9,1,0),0)</f>
        <v>1</v>
      </c>
      <c r="AV946" s="65" t="n">
        <f aca="false">AR946*AS946*AQ946</f>
        <v>0</v>
      </c>
      <c r="AW946" s="65" t="n">
        <f aca="false">AR946*AT946*AQ946</f>
        <v>0</v>
      </c>
      <c r="AX946" s="65" t="n">
        <f aca="false">AR946*AS946</f>
        <v>0</v>
      </c>
      <c r="AY946" s="65" t="n">
        <f aca="false">AR946*AT946</f>
        <v>0</v>
      </c>
      <c r="AZ946" s="65" t="n">
        <f aca="false">AR946*AQ946</f>
        <v>0</v>
      </c>
      <c r="BA946" s="65" t="n">
        <f aca="false">AR946</f>
        <v>1</v>
      </c>
      <c r="BB946" s="65" t="n">
        <f aca="false">1</f>
        <v>1</v>
      </c>
      <c r="BC946" s="65" t="n">
        <f aca="false">IF(AV946=1,1,IF(AW946=1,2,IF(AX946=1,3,IF(AY946=1,4,IF(AZ946=1,5,IF(BA946=1,6,7))))))</f>
        <v>6</v>
      </c>
      <c r="BD946" s="65" t="n">
        <f aca="false">IF(AD946=1,CHOOSE('Historical Score'!$C$29,AV946,AW946,AX946,AY946,AZ946,BA946,BB946),0)</f>
        <v>0</v>
      </c>
      <c r="BE946" s="65" t="str">
        <f aca="false">IF(BD946=1,COUNTIF($BD$2:BD946,1),"")</f>
        <v/>
      </c>
    </row>
    <row r="947" customFormat="false" ht="15" hidden="false" customHeight="false" outlineLevel="0" collapsed="false">
      <c r="A947" s="65" t="s">
        <v>2863</v>
      </c>
      <c r="B947" s="65" t="s">
        <v>2864</v>
      </c>
      <c r="C947" s="65" t="s">
        <v>2864</v>
      </c>
      <c r="D947" s="65" t="s">
        <v>371</v>
      </c>
      <c r="E947" s="112" t="n">
        <v>46183</v>
      </c>
      <c r="F947" s="112" t="n">
        <v>46216</v>
      </c>
      <c r="G947" s="65" t="n">
        <v>3</v>
      </c>
      <c r="H947" s="65" t="s">
        <v>442</v>
      </c>
      <c r="I947" s="65" t="s">
        <v>443</v>
      </c>
      <c r="J947" s="65" t="s">
        <v>432</v>
      </c>
      <c r="K947" s="65" t="s">
        <v>961</v>
      </c>
      <c r="L947" s="65" t="s">
        <v>64</v>
      </c>
      <c r="M947" s="113" t="n">
        <v>1.17008</v>
      </c>
      <c r="N947" s="114" t="n">
        <v>10000</v>
      </c>
      <c r="O947" s="114" t="n">
        <v>1250</v>
      </c>
      <c r="P947" s="114" t="n">
        <v>11700.8</v>
      </c>
      <c r="Q947" s="114" t="n">
        <v>11700.8</v>
      </c>
      <c r="R947" s="114" t="n">
        <v>0</v>
      </c>
      <c r="S947" s="115" t="n">
        <v>1</v>
      </c>
      <c r="T947" s="65" t="n">
        <v>20</v>
      </c>
      <c r="U947" s="65" t="n">
        <v>0</v>
      </c>
      <c r="V947" s="65" t="n">
        <v>78063.8</v>
      </c>
      <c r="W947" s="115" t="n">
        <v>0.0374</v>
      </c>
      <c r="X947" s="112" t="n">
        <v>42842</v>
      </c>
      <c r="Y947" s="65" t="str">
        <f aca="false">IF(I947="","No SIC",IFERROR(VLOOKUP(I947,Ref!$A$2:$B$65,2,FALSE()),"Unclassified"))</f>
        <v>General Building Contractors</v>
      </c>
      <c r="Z947" s="65" t="str">
        <f aca="false">IF(T947="","",IF(T947&lt;12,"Daily","Weekly"))</f>
        <v>Weekly</v>
      </c>
      <c r="AA947" s="65" t="n">
        <f aca="false">IF(T947="",0,IF(T947&lt;12,T947*Controls!$B$29,T947*5))</f>
        <v>100</v>
      </c>
      <c r="AB947" s="65" t="n">
        <f aca="false">IF(E947="",0,NETWORKDAYS(E947,Controls!$B$36,Ref!$K$2:$K$42))</f>
        <v>54</v>
      </c>
      <c r="AC947" s="65" t="n">
        <f aca="false">IF(AND(AA947&gt;0,AB947&gt;=Controls!$B$39*AA947),1,0)</f>
        <v>0</v>
      </c>
      <c r="AD947" s="65" t="n">
        <f aca="false">IF(AND(E947&lt;&gt;"",E947&gt;=Controls!$B$37,E947&lt;=Controls!$B$38),1,0)</f>
        <v>1</v>
      </c>
      <c r="AE947" s="65" t="n">
        <f aca="false">IF(IFERROR(VLOOKUP(D947,Controls!$A$64:$E$74,2,FALSE()),"No")="Yes",1,0)</f>
        <v>0</v>
      </c>
      <c r="AF947" s="65" t="n">
        <f aca="false">IF(IFERROR(VLOOKUP(D947,Controls!$A$64:$E$74,3,FALSE()),"No")="Yes",1,0)</f>
        <v>1</v>
      </c>
      <c r="AG947" s="65" t="n">
        <f aca="false">IF(IFERROR(VLOOKUP(D947,Controls!$A$64:$E$74,4,FALSE()),"No")="Yes",1,0)</f>
        <v>1</v>
      </c>
      <c r="AH947" s="65" t="n">
        <f aca="false">IF(IFERROR(VLOOKUP(D947,Controls!$A$64:$E$74,5,FALSE()),"No")="Yes",1,0)</f>
        <v>0</v>
      </c>
      <c r="AI947" s="65" t="n">
        <f aca="false">IF(ISNUMBER(MATCH(D947,Controls!$A$64:$A$74,0)),1,0)</f>
        <v>1</v>
      </c>
      <c r="AJ947" s="65" t="n">
        <f aca="false">Q947-N947</f>
        <v>1700.8</v>
      </c>
      <c r="AK947" s="65" t="n">
        <f aca="false">IF(AE947=1,MAX(0,N947-Q947),0)</f>
        <v>0</v>
      </c>
      <c r="AL947" s="65" t="n">
        <f aca="false">IF(OR(V947="",V947=0),0,N947/V947)</f>
        <v>0.128100348689149</v>
      </c>
      <c r="AM947" s="65" t="n">
        <f aca="false">IF(OR(V947="",V947=0),0,1)</f>
        <v>1</v>
      </c>
      <c r="AN947" s="65" t="n">
        <f aca="false">IF(OR(E947="",F947=""),0,NETWORKDAYS(E947,F947,Ref!$K$2:$K$42))</f>
        <v>23</v>
      </c>
      <c r="AO947" s="65" t="n">
        <f aca="false">IF(L947="Renewal",1,0)</f>
        <v>0</v>
      </c>
      <c r="AP947" s="65" t="n">
        <f aca="false">AC947*AD947</f>
        <v>0</v>
      </c>
      <c r="AQ947" s="65" t="n">
        <f aca="false">IF(AND(G947&lt;&gt;"",'Historical Score'!$C$6&lt;&gt;""),IF(G947='Historical Score'!$C$6,1,0),0)</f>
        <v>0</v>
      </c>
      <c r="AR947" s="65" t="n">
        <f aca="false">IF(AND(L947&lt;&gt;"",'Historical Score'!$C$5&lt;&gt;""),IF(L947='Historical Score'!$C$5,1,0),0)</f>
        <v>1</v>
      </c>
      <c r="AS947" s="65" t="n">
        <f aca="false">IF(AND(Y947&lt;&gt;"",'Historical Score'!$C$7&lt;&gt;""),IF(Y947='Historical Score'!$C$7,1,0),0)</f>
        <v>1</v>
      </c>
      <c r="AT947" s="65" t="n">
        <f aca="false">IF(AND(K947&lt;&gt;"",'Historical Score'!$C$8&lt;&gt;""),IF(K947='Historical Score'!$C$8,1,0),0)</f>
        <v>0</v>
      </c>
      <c r="AU947" s="65" t="n">
        <f aca="false">IF(AND(J947&lt;&gt;"",'Historical Score'!$C$9&lt;&gt;""),IF(J947='Historical Score'!$C$9,1,0),0)</f>
        <v>0</v>
      </c>
      <c r="AV947" s="65" t="n">
        <f aca="false">AR947*AS947*AQ947</f>
        <v>0</v>
      </c>
      <c r="AW947" s="65" t="n">
        <f aca="false">AR947*AT947*AQ947</f>
        <v>0</v>
      </c>
      <c r="AX947" s="65" t="n">
        <f aca="false">AR947*AS947</f>
        <v>1</v>
      </c>
      <c r="AY947" s="65" t="n">
        <f aca="false">AR947*AT947</f>
        <v>0</v>
      </c>
      <c r="AZ947" s="65" t="n">
        <f aca="false">AR947*AQ947</f>
        <v>0</v>
      </c>
      <c r="BA947" s="65" t="n">
        <f aca="false">AR947</f>
        <v>1</v>
      </c>
      <c r="BB947" s="65" t="n">
        <f aca="false">1</f>
        <v>1</v>
      </c>
      <c r="BC947" s="65" t="n">
        <f aca="false">IF(AV947=1,1,IF(AW947=1,2,IF(AX947=1,3,IF(AY947=1,4,IF(AZ947=1,5,IF(BA947=1,6,7))))))</f>
        <v>3</v>
      </c>
      <c r="BD947" s="65" t="n">
        <f aca="false">IF(AD947=1,CHOOSE('Historical Score'!$C$29,AV947,AW947,AX947,AY947,AZ947,BA947,BB947),0)</f>
        <v>0</v>
      </c>
      <c r="BE947" s="65" t="str">
        <f aca="false">IF(BD947=1,COUNTIF($BD$2:BD947,1),"")</f>
        <v/>
      </c>
    </row>
    <row r="948" customFormat="false" ht="15" hidden="false" customHeight="false" outlineLevel="0" collapsed="false">
      <c r="A948" s="65" t="s">
        <v>2865</v>
      </c>
      <c r="B948" s="65" t="s">
        <v>2020</v>
      </c>
      <c r="C948" s="65" t="s">
        <v>2020</v>
      </c>
      <c r="D948" s="65" t="s">
        <v>295</v>
      </c>
      <c r="E948" s="112" t="n">
        <v>46184</v>
      </c>
      <c r="F948" s="112" t="n">
        <v>46248</v>
      </c>
      <c r="G948" s="65" t="n">
        <v>3</v>
      </c>
      <c r="H948" s="65" t="s">
        <v>1161</v>
      </c>
      <c r="I948" s="65" t="s">
        <v>679</v>
      </c>
      <c r="J948" s="65" t="s">
        <v>452</v>
      </c>
      <c r="K948" s="65" t="s">
        <v>55</v>
      </c>
      <c r="L948" s="65" t="s">
        <v>320</v>
      </c>
      <c r="M948" s="113" t="n">
        <v>1.47</v>
      </c>
      <c r="N948" s="114" t="n">
        <v>35000</v>
      </c>
      <c r="O948" s="114" t="n">
        <v>4550</v>
      </c>
      <c r="P948" s="114" t="n">
        <v>51450</v>
      </c>
      <c r="Q948" s="114" t="n">
        <v>15896.6</v>
      </c>
      <c r="R948" s="114" t="n">
        <v>35553.4</v>
      </c>
      <c r="S948" s="115" t="n">
        <v>0.308971817298348</v>
      </c>
      <c r="T948" s="65" t="n">
        <v>28</v>
      </c>
      <c r="U948" s="65" t="n">
        <v>1</v>
      </c>
      <c r="V948" s="65" t="n">
        <v>76345.67</v>
      </c>
      <c r="W948" s="115" t="n">
        <v>0.0963</v>
      </c>
      <c r="X948" s="112" t="n">
        <v>40880</v>
      </c>
      <c r="Y948" s="65" t="str">
        <f aca="false">IF(I948="","No SIC",IFERROR(VLOOKUP(I948,Ref!$A$2:$B$65,2,FALSE()),"Unclassified"))</f>
        <v>Amusement &amp; Recreation Services</v>
      </c>
      <c r="Z948" s="65" t="str">
        <f aca="false">IF(T948="","",IF(T948&lt;12,"Daily","Weekly"))</f>
        <v>Weekly</v>
      </c>
      <c r="AA948" s="65" t="n">
        <f aca="false">IF(T948="",0,IF(T948&lt;12,T948*Controls!$B$29,T948*5))</f>
        <v>140</v>
      </c>
      <c r="AB948" s="65" t="n">
        <f aca="false">IF(E948="",0,NETWORKDAYS(E948,Controls!$B$36,Ref!$K$2:$K$42))</f>
        <v>53</v>
      </c>
      <c r="AC948" s="65" t="n">
        <f aca="false">IF(AND(AA948&gt;0,AB948&gt;=Controls!$B$39*AA948),1,0)</f>
        <v>0</v>
      </c>
      <c r="AD948" s="65" t="n">
        <f aca="false">IF(AND(E948&lt;&gt;"",E948&gt;=Controls!$B$37,E948&lt;=Controls!$B$38),1,0)</f>
        <v>1</v>
      </c>
      <c r="AE948" s="65" t="n">
        <f aca="false">IF(IFERROR(VLOOKUP(D948,Controls!$A$64:$E$74,2,FALSE()),"No")="Yes",1,0)</f>
        <v>0</v>
      </c>
      <c r="AF948" s="65" t="n">
        <f aca="false">IF(IFERROR(VLOOKUP(D948,Controls!$A$64:$E$74,3,FALSE()),"No")="Yes",1,0)</f>
        <v>0</v>
      </c>
      <c r="AG948" s="65" t="n">
        <f aca="false">IF(IFERROR(VLOOKUP(D948,Controls!$A$64:$E$74,4,FALSE()),"No")="Yes",1,0)</f>
        <v>0</v>
      </c>
      <c r="AH948" s="65" t="n">
        <f aca="false">IF(IFERROR(VLOOKUP(D948,Controls!$A$64:$E$74,5,FALSE()),"No")="Yes",1,0)</f>
        <v>1</v>
      </c>
      <c r="AI948" s="65" t="n">
        <f aca="false">IF(ISNUMBER(MATCH(D948,Controls!$A$64:$A$74,0)),1,0)</f>
        <v>1</v>
      </c>
      <c r="AJ948" s="65" t="n">
        <f aca="false">Q948-N948</f>
        <v>-19103.4</v>
      </c>
      <c r="AK948" s="65" t="n">
        <f aca="false">IF(AE948=1,MAX(0,N948-Q948),0)</f>
        <v>0</v>
      </c>
      <c r="AL948" s="65" t="n">
        <f aca="false">IF(OR(V948="",V948=0),0,N948/V948)</f>
        <v>0.458441192539145</v>
      </c>
      <c r="AM948" s="65" t="n">
        <f aca="false">IF(OR(V948="",V948=0),0,1)</f>
        <v>1</v>
      </c>
      <c r="AN948" s="65" t="n">
        <f aca="false">IF(OR(E948="",F948=""),0,NETWORKDAYS(E948,F948,Ref!$K$2:$K$42))</f>
        <v>46</v>
      </c>
      <c r="AO948" s="65" t="n">
        <f aca="false">IF(L948="Renewal",1,0)</f>
        <v>1</v>
      </c>
      <c r="AP948" s="65" t="n">
        <f aca="false">AC948*AD948</f>
        <v>0</v>
      </c>
      <c r="AQ948" s="65" t="n">
        <f aca="false">IF(AND(G948&lt;&gt;"",'Historical Score'!$C$6&lt;&gt;""),IF(G948='Historical Score'!$C$6,1,0),0)</f>
        <v>0</v>
      </c>
      <c r="AR948" s="65" t="n">
        <f aca="false">IF(AND(L948&lt;&gt;"",'Historical Score'!$C$5&lt;&gt;""),IF(L948='Historical Score'!$C$5,1,0),0)</f>
        <v>0</v>
      </c>
      <c r="AS948" s="65" t="n">
        <f aca="false">IF(AND(Y948&lt;&gt;"",'Historical Score'!$C$7&lt;&gt;""),IF(Y948='Historical Score'!$C$7,1,0),0)</f>
        <v>0</v>
      </c>
      <c r="AT948" s="65" t="n">
        <f aca="false">IF(AND(K948&lt;&gt;"",'Historical Score'!$C$8&lt;&gt;""),IF(K948='Historical Score'!$C$8,1,0),0)</f>
        <v>1</v>
      </c>
      <c r="AU948" s="65" t="n">
        <f aca="false">IF(AND(J948&lt;&gt;"",'Historical Score'!$C$9&lt;&gt;""),IF(J948='Historical Score'!$C$9,1,0),0)</f>
        <v>0</v>
      </c>
      <c r="AV948" s="65" t="n">
        <f aca="false">AR948*AS948*AQ948</f>
        <v>0</v>
      </c>
      <c r="AW948" s="65" t="n">
        <f aca="false">AR948*AT948*AQ948</f>
        <v>0</v>
      </c>
      <c r="AX948" s="65" t="n">
        <f aca="false">AR948*AS948</f>
        <v>0</v>
      </c>
      <c r="AY948" s="65" t="n">
        <f aca="false">AR948*AT948</f>
        <v>0</v>
      </c>
      <c r="AZ948" s="65" t="n">
        <f aca="false">AR948*AQ948</f>
        <v>0</v>
      </c>
      <c r="BA948" s="65" t="n">
        <f aca="false">AR948</f>
        <v>0</v>
      </c>
      <c r="BB948" s="65" t="n">
        <f aca="false">1</f>
        <v>1</v>
      </c>
      <c r="BC948" s="65" t="n">
        <f aca="false">IF(AV948=1,1,IF(AW948=1,2,IF(AX948=1,3,IF(AY948=1,4,IF(AZ948=1,5,IF(BA948=1,6,7))))))</f>
        <v>7</v>
      </c>
      <c r="BD948" s="65" t="n">
        <f aca="false">IF(AD948=1,CHOOSE('Historical Score'!$C$29,AV948,AW948,AX948,AY948,AZ948,BA948,BB948),0)</f>
        <v>0</v>
      </c>
      <c r="BE948" s="65" t="str">
        <f aca="false">IF(BD948=1,COUNTIF($BD$2:BD948,1),"")</f>
        <v/>
      </c>
    </row>
    <row r="949" customFormat="false" ht="15" hidden="false" customHeight="false" outlineLevel="0" collapsed="false">
      <c r="A949" s="65" t="s">
        <v>2866</v>
      </c>
      <c r="B949" s="65" t="s">
        <v>1213</v>
      </c>
      <c r="C949" s="65" t="s">
        <v>1214</v>
      </c>
      <c r="D949" s="65" t="s">
        <v>295</v>
      </c>
      <c r="E949" s="112" t="n">
        <v>46184</v>
      </c>
      <c r="F949" s="112" t="n">
        <v>46253</v>
      </c>
      <c r="G949" s="65" t="n">
        <v>3</v>
      </c>
      <c r="H949" s="65" t="s">
        <v>409</v>
      </c>
      <c r="I949" s="65" t="s">
        <v>342</v>
      </c>
      <c r="J949" s="65" t="s">
        <v>555</v>
      </c>
      <c r="K949" s="65" t="s">
        <v>578</v>
      </c>
      <c r="L949" s="65" t="s">
        <v>320</v>
      </c>
      <c r="M949" s="113" t="n">
        <v>1.45</v>
      </c>
      <c r="N949" s="114" t="n">
        <v>65000</v>
      </c>
      <c r="O949" s="114" t="n">
        <v>7800</v>
      </c>
      <c r="P949" s="114" t="n">
        <v>94250</v>
      </c>
      <c r="Q949" s="114" t="n">
        <v>26055.39</v>
      </c>
      <c r="R949" s="114" t="n">
        <v>68194.61</v>
      </c>
      <c r="S949" s="115" t="n">
        <v>0.27644976127321</v>
      </c>
      <c r="T949" s="65" t="n">
        <v>5.574</v>
      </c>
      <c r="U949" s="65" t="n">
        <v>0</v>
      </c>
      <c r="V949" s="65" t="n">
        <v>73218.44</v>
      </c>
      <c r="W949" s="115" t="n">
        <v>0.159</v>
      </c>
      <c r="X949" s="112"/>
      <c r="Y949" s="65" t="str">
        <f aca="false">IF(I949="","No SIC",IFERROR(VLOOKUP(I949,Ref!$A$2:$B$65,2,FALSE()),"Unclassified"))</f>
        <v>Eating &amp; Drinking Places</v>
      </c>
      <c r="Z949" s="65" t="str">
        <f aca="false">IF(T949="","",IF(T949&lt;12,"Daily","Weekly"))</f>
        <v>Daily</v>
      </c>
      <c r="AA949" s="65" t="n">
        <f aca="false">IF(T949="",0,IF(T949&lt;12,T949*Controls!$B$29,T949*5))</f>
        <v>120.70497</v>
      </c>
      <c r="AB949" s="65" t="n">
        <f aca="false">IF(E949="",0,NETWORKDAYS(E949,Controls!$B$36,Ref!$K$2:$K$42))</f>
        <v>53</v>
      </c>
      <c r="AC949" s="65" t="n">
        <f aca="false">IF(AND(AA949&gt;0,AB949&gt;=Controls!$B$39*AA949),1,0)</f>
        <v>0</v>
      </c>
      <c r="AD949" s="65" t="n">
        <f aca="false">IF(AND(E949&lt;&gt;"",E949&gt;=Controls!$B$37,E949&lt;=Controls!$B$38),1,0)</f>
        <v>1</v>
      </c>
      <c r="AE949" s="65" t="n">
        <f aca="false">IF(IFERROR(VLOOKUP(D949,Controls!$A$64:$E$74,2,FALSE()),"No")="Yes",1,0)</f>
        <v>0</v>
      </c>
      <c r="AF949" s="65" t="n">
        <f aca="false">IF(IFERROR(VLOOKUP(D949,Controls!$A$64:$E$74,3,FALSE()),"No")="Yes",1,0)</f>
        <v>0</v>
      </c>
      <c r="AG949" s="65" t="n">
        <f aca="false">IF(IFERROR(VLOOKUP(D949,Controls!$A$64:$E$74,4,FALSE()),"No")="Yes",1,0)</f>
        <v>0</v>
      </c>
      <c r="AH949" s="65" t="n">
        <f aca="false">IF(IFERROR(VLOOKUP(D949,Controls!$A$64:$E$74,5,FALSE()),"No")="Yes",1,0)</f>
        <v>1</v>
      </c>
      <c r="AI949" s="65" t="n">
        <f aca="false">IF(ISNUMBER(MATCH(D949,Controls!$A$64:$A$74,0)),1,0)</f>
        <v>1</v>
      </c>
      <c r="AJ949" s="65" t="n">
        <f aca="false">Q949-N949</f>
        <v>-38944.61</v>
      </c>
      <c r="AK949" s="65" t="n">
        <f aca="false">IF(AE949=1,MAX(0,N949-Q949),0)</f>
        <v>0</v>
      </c>
      <c r="AL949" s="65" t="n">
        <f aca="false">IF(OR(V949="",V949=0),0,N949/V949)</f>
        <v>0.887754505558982</v>
      </c>
      <c r="AM949" s="65" t="n">
        <f aca="false">IF(OR(V949="",V949=0),0,1)</f>
        <v>1</v>
      </c>
      <c r="AN949" s="65" t="n">
        <f aca="false">IF(OR(E949="",F949=""),0,NETWORKDAYS(E949,F949,Ref!$K$2:$K$42))</f>
        <v>49</v>
      </c>
      <c r="AO949" s="65" t="n">
        <f aca="false">IF(L949="Renewal",1,0)</f>
        <v>1</v>
      </c>
      <c r="AP949" s="65" t="n">
        <f aca="false">AC949*AD949</f>
        <v>0</v>
      </c>
      <c r="AQ949" s="65" t="n">
        <f aca="false">IF(AND(G949&lt;&gt;"",'Historical Score'!$C$6&lt;&gt;""),IF(G949='Historical Score'!$C$6,1,0),0)</f>
        <v>0</v>
      </c>
      <c r="AR949" s="65" t="n">
        <f aca="false">IF(AND(L949&lt;&gt;"",'Historical Score'!$C$5&lt;&gt;""),IF(L949='Historical Score'!$C$5,1,0),0)</f>
        <v>0</v>
      </c>
      <c r="AS949" s="65" t="n">
        <f aca="false">IF(AND(Y949&lt;&gt;"",'Historical Score'!$C$7&lt;&gt;""),IF(Y949='Historical Score'!$C$7,1,0),0)</f>
        <v>0</v>
      </c>
      <c r="AT949" s="65" t="n">
        <f aca="false">IF(AND(K949&lt;&gt;"",'Historical Score'!$C$8&lt;&gt;""),IF(K949='Historical Score'!$C$8,1,0),0)</f>
        <v>0</v>
      </c>
      <c r="AU949" s="65" t="n">
        <f aca="false">IF(AND(J949&lt;&gt;"",'Historical Score'!$C$9&lt;&gt;""),IF(J949='Historical Score'!$C$9,1,0),0)</f>
        <v>0</v>
      </c>
      <c r="AV949" s="65" t="n">
        <f aca="false">AR949*AS949*AQ949</f>
        <v>0</v>
      </c>
      <c r="AW949" s="65" t="n">
        <f aca="false">AR949*AT949*AQ949</f>
        <v>0</v>
      </c>
      <c r="AX949" s="65" t="n">
        <f aca="false">AR949*AS949</f>
        <v>0</v>
      </c>
      <c r="AY949" s="65" t="n">
        <f aca="false">AR949*AT949</f>
        <v>0</v>
      </c>
      <c r="AZ949" s="65" t="n">
        <f aca="false">AR949*AQ949</f>
        <v>0</v>
      </c>
      <c r="BA949" s="65" t="n">
        <f aca="false">AR949</f>
        <v>0</v>
      </c>
      <c r="BB949" s="65" t="n">
        <f aca="false">1</f>
        <v>1</v>
      </c>
      <c r="BC949" s="65" t="n">
        <f aca="false">IF(AV949=1,1,IF(AW949=1,2,IF(AX949=1,3,IF(AY949=1,4,IF(AZ949=1,5,IF(BA949=1,6,7))))))</f>
        <v>7</v>
      </c>
      <c r="BD949" s="65" t="n">
        <f aca="false">IF(AD949=1,CHOOSE('Historical Score'!$C$29,AV949,AW949,AX949,AY949,AZ949,BA949,BB949),0)</f>
        <v>0</v>
      </c>
      <c r="BE949" s="65" t="str">
        <f aca="false">IF(BD949=1,COUNTIF($BD$2:BD949,1),"")</f>
        <v/>
      </c>
    </row>
    <row r="950" customFormat="false" ht="15" hidden="false" customHeight="false" outlineLevel="0" collapsed="false">
      <c r="A950" s="65" t="s">
        <v>2867</v>
      </c>
      <c r="B950" s="65" t="s">
        <v>2868</v>
      </c>
      <c r="C950" s="65" t="s">
        <v>2868</v>
      </c>
      <c r="D950" s="65" t="s">
        <v>295</v>
      </c>
      <c r="E950" s="112" t="n">
        <v>46184</v>
      </c>
      <c r="F950" s="112" t="n">
        <v>46248</v>
      </c>
      <c r="G950" s="65" t="n">
        <v>3</v>
      </c>
      <c r="H950" s="65" t="s">
        <v>409</v>
      </c>
      <c r="I950" s="65" t="s">
        <v>342</v>
      </c>
      <c r="J950" s="65" t="s">
        <v>452</v>
      </c>
      <c r="K950" s="65" t="s">
        <v>55</v>
      </c>
      <c r="L950" s="65" t="s">
        <v>64</v>
      </c>
      <c r="M950" s="113" t="n">
        <v>1.49</v>
      </c>
      <c r="N950" s="114" t="n">
        <v>15000</v>
      </c>
      <c r="O950" s="114" t="n">
        <v>2100</v>
      </c>
      <c r="P950" s="114" t="n">
        <v>22350</v>
      </c>
      <c r="Q950" s="114" t="n">
        <v>5587.45</v>
      </c>
      <c r="R950" s="114" t="n">
        <v>16762.55</v>
      </c>
      <c r="S950" s="115" t="n">
        <v>0.249997762863535</v>
      </c>
      <c r="T950" s="65" t="n">
        <v>20</v>
      </c>
      <c r="U950" s="65" t="n">
        <v>4</v>
      </c>
      <c r="V950" s="65" t="n">
        <v>33992.18</v>
      </c>
      <c r="W950" s="115" t="n">
        <v>0.1315</v>
      </c>
      <c r="X950" s="112" t="n">
        <v>37841</v>
      </c>
      <c r="Y950" s="65" t="str">
        <f aca="false">IF(I950="","No SIC",IFERROR(VLOOKUP(I950,Ref!$A$2:$B$65,2,FALSE()),"Unclassified"))</f>
        <v>Eating &amp; Drinking Places</v>
      </c>
      <c r="Z950" s="65" t="str">
        <f aca="false">IF(T950="","",IF(T950&lt;12,"Daily","Weekly"))</f>
        <v>Weekly</v>
      </c>
      <c r="AA950" s="65" t="n">
        <f aca="false">IF(T950="",0,IF(T950&lt;12,T950*Controls!$B$29,T950*5))</f>
        <v>100</v>
      </c>
      <c r="AB950" s="65" t="n">
        <f aca="false">IF(E950="",0,NETWORKDAYS(E950,Controls!$B$36,Ref!$K$2:$K$42))</f>
        <v>53</v>
      </c>
      <c r="AC950" s="65" t="n">
        <f aca="false">IF(AND(AA950&gt;0,AB950&gt;=Controls!$B$39*AA950),1,0)</f>
        <v>0</v>
      </c>
      <c r="AD950" s="65" t="n">
        <f aca="false">IF(AND(E950&lt;&gt;"",E950&gt;=Controls!$B$37,E950&lt;=Controls!$B$38),1,0)</f>
        <v>1</v>
      </c>
      <c r="AE950" s="65" t="n">
        <f aca="false">IF(IFERROR(VLOOKUP(D950,Controls!$A$64:$E$74,2,FALSE()),"No")="Yes",1,0)</f>
        <v>0</v>
      </c>
      <c r="AF950" s="65" t="n">
        <f aca="false">IF(IFERROR(VLOOKUP(D950,Controls!$A$64:$E$74,3,FALSE()),"No")="Yes",1,0)</f>
        <v>0</v>
      </c>
      <c r="AG950" s="65" t="n">
        <f aca="false">IF(IFERROR(VLOOKUP(D950,Controls!$A$64:$E$74,4,FALSE()),"No")="Yes",1,0)</f>
        <v>0</v>
      </c>
      <c r="AH950" s="65" t="n">
        <f aca="false">IF(IFERROR(VLOOKUP(D950,Controls!$A$64:$E$74,5,FALSE()),"No")="Yes",1,0)</f>
        <v>1</v>
      </c>
      <c r="AI950" s="65" t="n">
        <f aca="false">IF(ISNUMBER(MATCH(D950,Controls!$A$64:$A$74,0)),1,0)</f>
        <v>1</v>
      </c>
      <c r="AJ950" s="65" t="n">
        <f aca="false">Q950-N950</f>
        <v>-9412.55</v>
      </c>
      <c r="AK950" s="65" t="n">
        <f aca="false">IF(AE950=1,MAX(0,N950-Q950),0)</f>
        <v>0</v>
      </c>
      <c r="AL950" s="65" t="n">
        <f aca="false">IF(OR(V950="",V950=0),0,N950/V950)</f>
        <v>0.441277964520075</v>
      </c>
      <c r="AM950" s="65" t="n">
        <f aca="false">IF(OR(V950="",V950=0),0,1)</f>
        <v>1</v>
      </c>
      <c r="AN950" s="65" t="n">
        <f aca="false">IF(OR(E950="",F950=""),0,NETWORKDAYS(E950,F950,Ref!$K$2:$K$42))</f>
        <v>46</v>
      </c>
      <c r="AO950" s="65" t="n">
        <f aca="false">IF(L950="Renewal",1,0)</f>
        <v>0</v>
      </c>
      <c r="AP950" s="65" t="n">
        <f aca="false">AC950*AD950</f>
        <v>0</v>
      </c>
      <c r="AQ950" s="65" t="n">
        <f aca="false">IF(AND(G950&lt;&gt;"",'Historical Score'!$C$6&lt;&gt;""),IF(G950='Historical Score'!$C$6,1,0),0)</f>
        <v>0</v>
      </c>
      <c r="AR950" s="65" t="n">
        <f aca="false">IF(AND(L950&lt;&gt;"",'Historical Score'!$C$5&lt;&gt;""),IF(L950='Historical Score'!$C$5,1,0),0)</f>
        <v>1</v>
      </c>
      <c r="AS950" s="65" t="n">
        <f aca="false">IF(AND(Y950&lt;&gt;"",'Historical Score'!$C$7&lt;&gt;""),IF(Y950='Historical Score'!$C$7,1,0),0)</f>
        <v>0</v>
      </c>
      <c r="AT950" s="65" t="n">
        <f aca="false">IF(AND(K950&lt;&gt;"",'Historical Score'!$C$8&lt;&gt;""),IF(K950='Historical Score'!$C$8,1,0),0)</f>
        <v>1</v>
      </c>
      <c r="AU950" s="65" t="n">
        <f aca="false">IF(AND(J950&lt;&gt;"",'Historical Score'!$C$9&lt;&gt;""),IF(J950='Historical Score'!$C$9,1,0),0)</f>
        <v>0</v>
      </c>
      <c r="AV950" s="65" t="n">
        <f aca="false">AR950*AS950*AQ950</f>
        <v>0</v>
      </c>
      <c r="AW950" s="65" t="n">
        <f aca="false">AR950*AT950*AQ950</f>
        <v>0</v>
      </c>
      <c r="AX950" s="65" t="n">
        <f aca="false">AR950*AS950</f>
        <v>0</v>
      </c>
      <c r="AY950" s="65" t="n">
        <f aca="false">AR950*AT950</f>
        <v>1</v>
      </c>
      <c r="AZ950" s="65" t="n">
        <f aca="false">AR950*AQ950</f>
        <v>0</v>
      </c>
      <c r="BA950" s="65" t="n">
        <f aca="false">AR950</f>
        <v>1</v>
      </c>
      <c r="BB950" s="65" t="n">
        <f aca="false">1</f>
        <v>1</v>
      </c>
      <c r="BC950" s="65" t="n">
        <f aca="false">IF(AV950=1,1,IF(AW950=1,2,IF(AX950=1,3,IF(AY950=1,4,IF(AZ950=1,5,IF(BA950=1,6,7))))))</f>
        <v>4</v>
      </c>
      <c r="BD950" s="65" t="n">
        <f aca="false">IF(AD950=1,CHOOSE('Historical Score'!$C$29,AV950,AW950,AX950,AY950,AZ950,BA950,BB950),0)</f>
        <v>0</v>
      </c>
      <c r="BE950" s="65" t="str">
        <f aca="false">IF(BD950=1,COUNTIF($BD$2:BD950,1),"")</f>
        <v/>
      </c>
    </row>
    <row r="951" customFormat="false" ht="15" hidden="false" customHeight="false" outlineLevel="0" collapsed="false">
      <c r="A951" s="65" t="s">
        <v>2869</v>
      </c>
      <c r="B951" s="65" t="s">
        <v>2870</v>
      </c>
      <c r="C951" s="65" t="s">
        <v>2870</v>
      </c>
      <c r="D951" s="65" t="s">
        <v>295</v>
      </c>
      <c r="E951" s="112" t="n">
        <v>46184</v>
      </c>
      <c r="F951" s="112" t="n">
        <v>46251</v>
      </c>
      <c r="G951" s="65" t="n">
        <v>3</v>
      </c>
      <c r="H951" s="65" t="s">
        <v>748</v>
      </c>
      <c r="I951" s="65" t="s">
        <v>619</v>
      </c>
      <c r="J951" s="65" t="s">
        <v>649</v>
      </c>
      <c r="K951" s="65" t="s">
        <v>2871</v>
      </c>
      <c r="L951" s="65" t="s">
        <v>64</v>
      </c>
      <c r="M951" s="113" t="n">
        <v>1.49</v>
      </c>
      <c r="N951" s="114" t="n">
        <v>25000</v>
      </c>
      <c r="O951" s="114" t="n">
        <v>3500</v>
      </c>
      <c r="P951" s="114" t="n">
        <v>37250</v>
      </c>
      <c r="Q951" s="114" t="n">
        <v>10864.91</v>
      </c>
      <c r="R951" s="114" t="n">
        <v>26385.09</v>
      </c>
      <c r="S951" s="115" t="n">
        <v>0.291675436241611</v>
      </c>
      <c r="T951" s="65" t="n">
        <v>24</v>
      </c>
      <c r="U951" s="65" t="n">
        <v>4</v>
      </c>
      <c r="V951" s="65" t="n">
        <v>53246.41</v>
      </c>
      <c r="W951" s="115" t="n">
        <v>0.1166</v>
      </c>
      <c r="X951" s="112" t="n">
        <v>41134</v>
      </c>
      <c r="Y951" s="65" t="str">
        <f aca="false">IF(I951="","No SIC",IFERROR(VLOOKUP(I951,Ref!$A$2:$B$65,2,FALSE()),"Unclassified"))</f>
        <v>Miscellaneous Retail</v>
      </c>
      <c r="Z951" s="65" t="str">
        <f aca="false">IF(T951="","",IF(T951&lt;12,"Daily","Weekly"))</f>
        <v>Weekly</v>
      </c>
      <c r="AA951" s="65" t="n">
        <f aca="false">IF(T951="",0,IF(T951&lt;12,T951*Controls!$B$29,T951*5))</f>
        <v>120</v>
      </c>
      <c r="AB951" s="65" t="n">
        <f aca="false">IF(E951="",0,NETWORKDAYS(E951,Controls!$B$36,Ref!$K$2:$K$42))</f>
        <v>53</v>
      </c>
      <c r="AC951" s="65" t="n">
        <f aca="false">IF(AND(AA951&gt;0,AB951&gt;=Controls!$B$39*AA951),1,0)</f>
        <v>0</v>
      </c>
      <c r="AD951" s="65" t="n">
        <f aca="false">IF(AND(E951&lt;&gt;"",E951&gt;=Controls!$B$37,E951&lt;=Controls!$B$38),1,0)</f>
        <v>1</v>
      </c>
      <c r="AE951" s="65" t="n">
        <f aca="false">IF(IFERROR(VLOOKUP(D951,Controls!$A$64:$E$74,2,FALSE()),"No")="Yes",1,0)</f>
        <v>0</v>
      </c>
      <c r="AF951" s="65" t="n">
        <f aca="false">IF(IFERROR(VLOOKUP(D951,Controls!$A$64:$E$74,3,FALSE()),"No")="Yes",1,0)</f>
        <v>0</v>
      </c>
      <c r="AG951" s="65" t="n">
        <f aca="false">IF(IFERROR(VLOOKUP(D951,Controls!$A$64:$E$74,4,FALSE()),"No")="Yes",1,0)</f>
        <v>0</v>
      </c>
      <c r="AH951" s="65" t="n">
        <f aca="false">IF(IFERROR(VLOOKUP(D951,Controls!$A$64:$E$74,5,FALSE()),"No")="Yes",1,0)</f>
        <v>1</v>
      </c>
      <c r="AI951" s="65" t="n">
        <f aca="false">IF(ISNUMBER(MATCH(D951,Controls!$A$64:$A$74,0)),1,0)</f>
        <v>1</v>
      </c>
      <c r="AJ951" s="65" t="n">
        <f aca="false">Q951-N951</f>
        <v>-14135.09</v>
      </c>
      <c r="AK951" s="65" t="n">
        <f aca="false">IF(AE951=1,MAX(0,N951-Q951),0)</f>
        <v>0</v>
      </c>
      <c r="AL951" s="65" t="n">
        <f aca="false">IF(OR(V951="",V951=0),0,N951/V951)</f>
        <v>0.469515221777393</v>
      </c>
      <c r="AM951" s="65" t="n">
        <f aca="false">IF(OR(V951="",V951=0),0,1)</f>
        <v>1</v>
      </c>
      <c r="AN951" s="65" t="n">
        <f aca="false">IF(OR(E951="",F951=""),0,NETWORKDAYS(E951,F951,Ref!$K$2:$K$42))</f>
        <v>47</v>
      </c>
      <c r="AO951" s="65" t="n">
        <f aca="false">IF(L951="Renewal",1,0)</f>
        <v>0</v>
      </c>
      <c r="AP951" s="65" t="n">
        <f aca="false">AC951*AD951</f>
        <v>0</v>
      </c>
      <c r="AQ951" s="65" t="n">
        <f aca="false">IF(AND(G951&lt;&gt;"",'Historical Score'!$C$6&lt;&gt;""),IF(G951='Historical Score'!$C$6,1,0),0)</f>
        <v>0</v>
      </c>
      <c r="AR951" s="65" t="n">
        <f aca="false">IF(AND(L951&lt;&gt;"",'Historical Score'!$C$5&lt;&gt;""),IF(L951='Historical Score'!$C$5,1,0),0)</f>
        <v>1</v>
      </c>
      <c r="AS951" s="65" t="n">
        <f aca="false">IF(AND(Y951&lt;&gt;"",'Historical Score'!$C$7&lt;&gt;""),IF(Y951='Historical Score'!$C$7,1,0),0)</f>
        <v>0</v>
      </c>
      <c r="AT951" s="65" t="n">
        <f aca="false">IF(AND(K951&lt;&gt;"",'Historical Score'!$C$8&lt;&gt;""),IF(K951='Historical Score'!$C$8,1,0),0)</f>
        <v>0</v>
      </c>
      <c r="AU951" s="65" t="n">
        <f aca="false">IF(AND(J951&lt;&gt;"",'Historical Score'!$C$9&lt;&gt;""),IF(J951='Historical Score'!$C$9,1,0),0)</f>
        <v>0</v>
      </c>
      <c r="AV951" s="65" t="n">
        <f aca="false">AR951*AS951*AQ951</f>
        <v>0</v>
      </c>
      <c r="AW951" s="65" t="n">
        <f aca="false">AR951*AT951*AQ951</f>
        <v>0</v>
      </c>
      <c r="AX951" s="65" t="n">
        <f aca="false">AR951*AS951</f>
        <v>0</v>
      </c>
      <c r="AY951" s="65" t="n">
        <f aca="false">AR951*AT951</f>
        <v>0</v>
      </c>
      <c r="AZ951" s="65" t="n">
        <f aca="false">AR951*AQ951</f>
        <v>0</v>
      </c>
      <c r="BA951" s="65" t="n">
        <f aca="false">AR951</f>
        <v>1</v>
      </c>
      <c r="BB951" s="65" t="n">
        <f aca="false">1</f>
        <v>1</v>
      </c>
      <c r="BC951" s="65" t="n">
        <f aca="false">IF(AV951=1,1,IF(AW951=1,2,IF(AX951=1,3,IF(AY951=1,4,IF(AZ951=1,5,IF(BA951=1,6,7))))))</f>
        <v>6</v>
      </c>
      <c r="BD951" s="65" t="n">
        <f aca="false">IF(AD951=1,CHOOSE('Historical Score'!$C$29,AV951,AW951,AX951,AY951,AZ951,BA951,BB951),0)</f>
        <v>0</v>
      </c>
      <c r="BE951" s="65" t="str">
        <f aca="false">IF(BD951=1,COUNTIF($BD$2:BD951,1),"")</f>
        <v/>
      </c>
    </row>
    <row r="952" customFormat="false" ht="15" hidden="false" customHeight="false" outlineLevel="0" collapsed="false">
      <c r="A952" s="65" t="s">
        <v>2872</v>
      </c>
      <c r="B952" s="65" t="s">
        <v>2873</v>
      </c>
      <c r="C952" s="65" t="s">
        <v>2874</v>
      </c>
      <c r="D952" s="65" t="s">
        <v>295</v>
      </c>
      <c r="E952" s="112" t="n">
        <v>46185</v>
      </c>
      <c r="F952" s="112" t="n">
        <v>46248</v>
      </c>
      <c r="G952" s="65" t="n">
        <v>1</v>
      </c>
      <c r="H952" s="65" t="s">
        <v>2875</v>
      </c>
      <c r="I952" s="65" t="s">
        <v>619</v>
      </c>
      <c r="J952" s="65" t="s">
        <v>555</v>
      </c>
      <c r="K952" s="65" t="s">
        <v>2876</v>
      </c>
      <c r="L952" s="65" t="s">
        <v>64</v>
      </c>
      <c r="M952" s="113" t="n">
        <v>1.49</v>
      </c>
      <c r="N952" s="114" t="n">
        <v>75000</v>
      </c>
      <c r="O952" s="114" t="n">
        <v>10500</v>
      </c>
      <c r="P952" s="114" t="n">
        <v>111750</v>
      </c>
      <c r="Q952" s="114" t="n">
        <v>35910</v>
      </c>
      <c r="R952" s="114" t="n">
        <v>75840</v>
      </c>
      <c r="S952" s="115" t="n">
        <v>0.321342281879195</v>
      </c>
      <c r="T952" s="65" t="n">
        <v>28</v>
      </c>
      <c r="U952" s="65" t="n">
        <v>0</v>
      </c>
      <c r="V952" s="65" t="n">
        <v>91829.59</v>
      </c>
      <c r="W952" s="115" t="n">
        <v>0.1738</v>
      </c>
      <c r="X952" s="112" t="n">
        <v>35496</v>
      </c>
      <c r="Y952" s="65" t="str">
        <f aca="false">IF(I952="","No SIC",IFERROR(VLOOKUP(I952,Ref!$A$2:$B$65,2,FALSE()),"Unclassified"))</f>
        <v>Miscellaneous Retail</v>
      </c>
      <c r="Z952" s="65" t="str">
        <f aca="false">IF(T952="","",IF(T952&lt;12,"Daily","Weekly"))</f>
        <v>Weekly</v>
      </c>
      <c r="AA952" s="65" t="n">
        <f aca="false">IF(T952="",0,IF(T952&lt;12,T952*Controls!$B$29,T952*5))</f>
        <v>140</v>
      </c>
      <c r="AB952" s="65" t="n">
        <f aca="false">IF(E952="",0,NETWORKDAYS(E952,Controls!$B$36,Ref!$K$2:$K$42))</f>
        <v>52</v>
      </c>
      <c r="AC952" s="65" t="n">
        <f aca="false">IF(AND(AA952&gt;0,AB952&gt;=Controls!$B$39*AA952),1,0)</f>
        <v>0</v>
      </c>
      <c r="AD952" s="65" t="n">
        <f aca="false">IF(AND(E952&lt;&gt;"",E952&gt;=Controls!$B$37,E952&lt;=Controls!$B$38),1,0)</f>
        <v>1</v>
      </c>
      <c r="AE952" s="65" t="n">
        <f aca="false">IF(IFERROR(VLOOKUP(D952,Controls!$A$64:$E$74,2,FALSE()),"No")="Yes",1,0)</f>
        <v>0</v>
      </c>
      <c r="AF952" s="65" t="n">
        <f aca="false">IF(IFERROR(VLOOKUP(D952,Controls!$A$64:$E$74,3,FALSE()),"No")="Yes",1,0)</f>
        <v>0</v>
      </c>
      <c r="AG952" s="65" t="n">
        <f aca="false">IF(IFERROR(VLOOKUP(D952,Controls!$A$64:$E$74,4,FALSE()),"No")="Yes",1,0)</f>
        <v>0</v>
      </c>
      <c r="AH952" s="65" t="n">
        <f aca="false">IF(IFERROR(VLOOKUP(D952,Controls!$A$64:$E$74,5,FALSE()),"No")="Yes",1,0)</f>
        <v>1</v>
      </c>
      <c r="AI952" s="65" t="n">
        <f aca="false">IF(ISNUMBER(MATCH(D952,Controls!$A$64:$A$74,0)),1,0)</f>
        <v>1</v>
      </c>
      <c r="AJ952" s="65" t="n">
        <f aca="false">Q952-N952</f>
        <v>-39090</v>
      </c>
      <c r="AK952" s="65" t="n">
        <f aca="false">IF(AE952=1,MAX(0,N952-Q952),0)</f>
        <v>0</v>
      </c>
      <c r="AL952" s="65" t="n">
        <f aca="false">IF(OR(V952="",V952=0),0,N952/V952)</f>
        <v>0.816730206461773</v>
      </c>
      <c r="AM952" s="65" t="n">
        <f aca="false">IF(OR(V952="",V952=0),0,1)</f>
        <v>1</v>
      </c>
      <c r="AN952" s="65" t="n">
        <f aca="false">IF(OR(E952="",F952=""),0,NETWORKDAYS(E952,F952,Ref!$K$2:$K$42))</f>
        <v>45</v>
      </c>
      <c r="AO952" s="65" t="n">
        <f aca="false">IF(L952="Renewal",1,0)</f>
        <v>0</v>
      </c>
      <c r="AP952" s="65" t="n">
        <f aca="false">AC952*AD952</f>
        <v>0</v>
      </c>
      <c r="AQ952" s="65" t="n">
        <f aca="false">IF(AND(G952&lt;&gt;"",'Historical Score'!$C$6&lt;&gt;""),IF(G952='Historical Score'!$C$6,1,0),0)</f>
        <v>0</v>
      </c>
      <c r="AR952" s="65" t="n">
        <f aca="false">IF(AND(L952&lt;&gt;"",'Historical Score'!$C$5&lt;&gt;""),IF(L952='Historical Score'!$C$5,1,0),0)</f>
        <v>1</v>
      </c>
      <c r="AS952" s="65" t="n">
        <f aca="false">IF(AND(Y952&lt;&gt;"",'Historical Score'!$C$7&lt;&gt;""),IF(Y952='Historical Score'!$C$7,1,0),0)</f>
        <v>0</v>
      </c>
      <c r="AT952" s="65" t="n">
        <f aca="false">IF(AND(K952&lt;&gt;"",'Historical Score'!$C$8&lt;&gt;""),IF(K952='Historical Score'!$C$8,1,0),0)</f>
        <v>0</v>
      </c>
      <c r="AU952" s="65" t="n">
        <f aca="false">IF(AND(J952&lt;&gt;"",'Historical Score'!$C$9&lt;&gt;""),IF(J952='Historical Score'!$C$9,1,0),0)</f>
        <v>0</v>
      </c>
      <c r="AV952" s="65" t="n">
        <f aca="false">AR952*AS952*AQ952</f>
        <v>0</v>
      </c>
      <c r="AW952" s="65" t="n">
        <f aca="false">AR952*AT952*AQ952</f>
        <v>0</v>
      </c>
      <c r="AX952" s="65" t="n">
        <f aca="false">AR952*AS952</f>
        <v>0</v>
      </c>
      <c r="AY952" s="65" t="n">
        <f aca="false">AR952*AT952</f>
        <v>0</v>
      </c>
      <c r="AZ952" s="65" t="n">
        <f aca="false">AR952*AQ952</f>
        <v>0</v>
      </c>
      <c r="BA952" s="65" t="n">
        <f aca="false">AR952</f>
        <v>1</v>
      </c>
      <c r="BB952" s="65" t="n">
        <f aca="false">1</f>
        <v>1</v>
      </c>
      <c r="BC952" s="65" t="n">
        <f aca="false">IF(AV952=1,1,IF(AW952=1,2,IF(AX952=1,3,IF(AY952=1,4,IF(AZ952=1,5,IF(BA952=1,6,7))))))</f>
        <v>6</v>
      </c>
      <c r="BD952" s="65" t="n">
        <f aca="false">IF(AD952=1,CHOOSE('Historical Score'!$C$29,AV952,AW952,AX952,AY952,AZ952,BA952,BB952),0)</f>
        <v>0</v>
      </c>
      <c r="BE952" s="65" t="str">
        <f aca="false">IF(BD952=1,COUNTIF($BD$2:BD952,1),"")</f>
        <v/>
      </c>
    </row>
    <row r="953" customFormat="false" ht="15" hidden="false" customHeight="false" outlineLevel="0" collapsed="false">
      <c r="A953" s="65" t="s">
        <v>2877</v>
      </c>
      <c r="B953" s="65" t="s">
        <v>2878</v>
      </c>
      <c r="C953" s="65" t="s">
        <v>2878</v>
      </c>
      <c r="D953" s="65" t="s">
        <v>295</v>
      </c>
      <c r="E953" s="112" t="n">
        <v>46185</v>
      </c>
      <c r="F953" s="112" t="n">
        <v>46248</v>
      </c>
      <c r="G953" s="65" t="n">
        <v>3</v>
      </c>
      <c r="H953" s="65" t="s">
        <v>409</v>
      </c>
      <c r="I953" s="65" t="s">
        <v>342</v>
      </c>
      <c r="J953" s="65" t="s">
        <v>464</v>
      </c>
      <c r="K953" s="65" t="s">
        <v>2879</v>
      </c>
      <c r="L953" s="65" t="s">
        <v>64</v>
      </c>
      <c r="M953" s="113" t="n">
        <v>1.49</v>
      </c>
      <c r="N953" s="114" t="n">
        <v>40000</v>
      </c>
      <c r="O953" s="114" t="n">
        <v>5600</v>
      </c>
      <c r="P953" s="114" t="n">
        <v>59600</v>
      </c>
      <c r="Q953" s="114" t="n">
        <v>22342.5</v>
      </c>
      <c r="R953" s="114" t="n">
        <v>37257.5</v>
      </c>
      <c r="S953" s="115" t="n">
        <v>0.374874161073826</v>
      </c>
      <c r="T953" s="65" t="n">
        <v>24</v>
      </c>
      <c r="U953" s="65" t="n">
        <v>0</v>
      </c>
      <c r="V953" s="65" t="n">
        <v>89138.08</v>
      </c>
      <c r="W953" s="115" t="n">
        <v>0.1114</v>
      </c>
      <c r="X953" s="112" t="n">
        <v>45292</v>
      </c>
      <c r="Y953" s="65" t="str">
        <f aca="false">IF(I953="","No SIC",IFERROR(VLOOKUP(I953,Ref!$A$2:$B$65,2,FALSE()),"Unclassified"))</f>
        <v>Eating &amp; Drinking Places</v>
      </c>
      <c r="Z953" s="65" t="str">
        <f aca="false">IF(T953="","",IF(T953&lt;12,"Daily","Weekly"))</f>
        <v>Weekly</v>
      </c>
      <c r="AA953" s="65" t="n">
        <f aca="false">IF(T953="",0,IF(T953&lt;12,T953*Controls!$B$29,T953*5))</f>
        <v>120</v>
      </c>
      <c r="AB953" s="65" t="n">
        <f aca="false">IF(E953="",0,NETWORKDAYS(E953,Controls!$B$36,Ref!$K$2:$K$42))</f>
        <v>52</v>
      </c>
      <c r="AC953" s="65" t="n">
        <f aca="false">IF(AND(AA953&gt;0,AB953&gt;=Controls!$B$39*AA953),1,0)</f>
        <v>0</v>
      </c>
      <c r="AD953" s="65" t="n">
        <f aca="false">IF(AND(E953&lt;&gt;"",E953&gt;=Controls!$B$37,E953&lt;=Controls!$B$38),1,0)</f>
        <v>1</v>
      </c>
      <c r="AE953" s="65" t="n">
        <f aca="false">IF(IFERROR(VLOOKUP(D953,Controls!$A$64:$E$74,2,FALSE()),"No")="Yes",1,0)</f>
        <v>0</v>
      </c>
      <c r="AF953" s="65" t="n">
        <f aca="false">IF(IFERROR(VLOOKUP(D953,Controls!$A$64:$E$74,3,FALSE()),"No")="Yes",1,0)</f>
        <v>0</v>
      </c>
      <c r="AG953" s="65" t="n">
        <f aca="false">IF(IFERROR(VLOOKUP(D953,Controls!$A$64:$E$74,4,FALSE()),"No")="Yes",1,0)</f>
        <v>0</v>
      </c>
      <c r="AH953" s="65" t="n">
        <f aca="false">IF(IFERROR(VLOOKUP(D953,Controls!$A$64:$E$74,5,FALSE()),"No")="Yes",1,0)</f>
        <v>1</v>
      </c>
      <c r="AI953" s="65" t="n">
        <f aca="false">IF(ISNUMBER(MATCH(D953,Controls!$A$64:$A$74,0)),1,0)</f>
        <v>1</v>
      </c>
      <c r="AJ953" s="65" t="n">
        <f aca="false">Q953-N953</f>
        <v>-17657.5</v>
      </c>
      <c r="AK953" s="65" t="n">
        <f aca="false">IF(AE953=1,MAX(0,N953-Q953),0)</f>
        <v>0</v>
      </c>
      <c r="AL953" s="65" t="n">
        <f aca="false">IF(OR(V953="",V953=0),0,N953/V953)</f>
        <v>0.448741996686489</v>
      </c>
      <c r="AM953" s="65" t="n">
        <f aca="false">IF(OR(V953="",V953=0),0,1)</f>
        <v>1</v>
      </c>
      <c r="AN953" s="65" t="n">
        <f aca="false">IF(OR(E953="",F953=""),0,NETWORKDAYS(E953,F953,Ref!$K$2:$K$42))</f>
        <v>45</v>
      </c>
      <c r="AO953" s="65" t="n">
        <f aca="false">IF(L953="Renewal",1,0)</f>
        <v>0</v>
      </c>
      <c r="AP953" s="65" t="n">
        <f aca="false">AC953*AD953</f>
        <v>0</v>
      </c>
      <c r="AQ953" s="65" t="n">
        <f aca="false">IF(AND(G953&lt;&gt;"",'Historical Score'!$C$6&lt;&gt;""),IF(G953='Historical Score'!$C$6,1,0),0)</f>
        <v>0</v>
      </c>
      <c r="AR953" s="65" t="n">
        <f aca="false">IF(AND(L953&lt;&gt;"",'Historical Score'!$C$5&lt;&gt;""),IF(L953='Historical Score'!$C$5,1,0),0)</f>
        <v>1</v>
      </c>
      <c r="AS953" s="65" t="n">
        <f aca="false">IF(AND(Y953&lt;&gt;"",'Historical Score'!$C$7&lt;&gt;""),IF(Y953='Historical Score'!$C$7,1,0),0)</f>
        <v>0</v>
      </c>
      <c r="AT953" s="65" t="n">
        <f aca="false">IF(AND(K953&lt;&gt;"",'Historical Score'!$C$8&lt;&gt;""),IF(K953='Historical Score'!$C$8,1,0),0)</f>
        <v>0</v>
      </c>
      <c r="AU953" s="65" t="n">
        <f aca="false">IF(AND(J953&lt;&gt;"",'Historical Score'!$C$9&lt;&gt;""),IF(J953='Historical Score'!$C$9,1,0),0)</f>
        <v>0</v>
      </c>
      <c r="AV953" s="65" t="n">
        <f aca="false">AR953*AS953*AQ953</f>
        <v>0</v>
      </c>
      <c r="AW953" s="65" t="n">
        <f aca="false">AR953*AT953*AQ953</f>
        <v>0</v>
      </c>
      <c r="AX953" s="65" t="n">
        <f aca="false">AR953*AS953</f>
        <v>0</v>
      </c>
      <c r="AY953" s="65" t="n">
        <f aca="false">AR953*AT953</f>
        <v>0</v>
      </c>
      <c r="AZ953" s="65" t="n">
        <f aca="false">AR953*AQ953</f>
        <v>0</v>
      </c>
      <c r="BA953" s="65" t="n">
        <f aca="false">AR953</f>
        <v>1</v>
      </c>
      <c r="BB953" s="65" t="n">
        <f aca="false">1</f>
        <v>1</v>
      </c>
      <c r="BC953" s="65" t="n">
        <f aca="false">IF(AV953=1,1,IF(AW953=1,2,IF(AX953=1,3,IF(AY953=1,4,IF(AZ953=1,5,IF(BA953=1,6,7))))))</f>
        <v>6</v>
      </c>
      <c r="BD953" s="65" t="n">
        <f aca="false">IF(AD953=1,CHOOSE('Historical Score'!$C$29,AV953,AW953,AX953,AY953,AZ953,BA953,BB953),0)</f>
        <v>0</v>
      </c>
      <c r="BE953" s="65" t="str">
        <f aca="false">IF(BD953=1,COUNTIF($BD$2:BD953,1),"")</f>
        <v/>
      </c>
    </row>
    <row r="954" customFormat="false" ht="15" hidden="false" customHeight="false" outlineLevel="0" collapsed="false">
      <c r="A954" s="65" t="s">
        <v>2880</v>
      </c>
      <c r="B954" s="65" t="s">
        <v>2881</v>
      </c>
      <c r="C954" s="65" t="s">
        <v>2881</v>
      </c>
      <c r="D954" s="65" t="s">
        <v>295</v>
      </c>
      <c r="E954" s="112" t="n">
        <v>46185</v>
      </c>
      <c r="F954" s="112" t="n">
        <v>46241</v>
      </c>
      <c r="G954" s="65" t="n">
        <v>3</v>
      </c>
      <c r="H954" s="65" t="s">
        <v>748</v>
      </c>
      <c r="I954" s="65" t="s">
        <v>619</v>
      </c>
      <c r="J954" s="65" t="s">
        <v>61</v>
      </c>
      <c r="K954" s="65" t="s">
        <v>961</v>
      </c>
      <c r="L954" s="65" t="s">
        <v>64</v>
      </c>
      <c r="M954" s="113" t="n">
        <v>1.35</v>
      </c>
      <c r="N954" s="114" t="n">
        <v>7000</v>
      </c>
      <c r="O954" s="114" t="n">
        <v>490</v>
      </c>
      <c r="P954" s="114" t="n">
        <v>9450</v>
      </c>
      <c r="Q954" s="114" t="n">
        <v>2756.25</v>
      </c>
      <c r="R954" s="114" t="n">
        <v>6693.75</v>
      </c>
      <c r="S954" s="115" t="n">
        <v>0.291666666666667</v>
      </c>
      <c r="T954" s="65" t="n">
        <v>24</v>
      </c>
      <c r="U954" s="65" t="n">
        <v>1</v>
      </c>
      <c r="V954" s="65" t="n">
        <v>420000</v>
      </c>
      <c r="W954" s="115" t="n">
        <v>0.1125</v>
      </c>
      <c r="X954" s="112" t="n">
        <v>44287</v>
      </c>
      <c r="Y954" s="65" t="str">
        <f aca="false">IF(I954="","No SIC",IFERROR(VLOOKUP(I954,Ref!$A$2:$B$65,2,FALSE()),"Unclassified"))</f>
        <v>Miscellaneous Retail</v>
      </c>
      <c r="Z954" s="65" t="str">
        <f aca="false">IF(T954="","",IF(T954&lt;12,"Daily","Weekly"))</f>
        <v>Weekly</v>
      </c>
      <c r="AA954" s="65" t="n">
        <f aca="false">IF(T954="",0,IF(T954&lt;12,T954*Controls!$B$29,T954*5))</f>
        <v>120</v>
      </c>
      <c r="AB954" s="65" t="n">
        <f aca="false">IF(E954="",0,NETWORKDAYS(E954,Controls!$B$36,Ref!$K$2:$K$42))</f>
        <v>52</v>
      </c>
      <c r="AC954" s="65" t="n">
        <f aca="false">IF(AND(AA954&gt;0,AB954&gt;=Controls!$B$39*AA954),1,0)</f>
        <v>0</v>
      </c>
      <c r="AD954" s="65" t="n">
        <f aca="false">IF(AND(E954&lt;&gt;"",E954&gt;=Controls!$B$37,E954&lt;=Controls!$B$38),1,0)</f>
        <v>1</v>
      </c>
      <c r="AE954" s="65" t="n">
        <f aca="false">IF(IFERROR(VLOOKUP(D954,Controls!$A$64:$E$74,2,FALSE()),"No")="Yes",1,0)</f>
        <v>0</v>
      </c>
      <c r="AF954" s="65" t="n">
        <f aca="false">IF(IFERROR(VLOOKUP(D954,Controls!$A$64:$E$74,3,FALSE()),"No")="Yes",1,0)</f>
        <v>0</v>
      </c>
      <c r="AG954" s="65" t="n">
        <f aca="false">IF(IFERROR(VLOOKUP(D954,Controls!$A$64:$E$74,4,FALSE()),"No")="Yes",1,0)</f>
        <v>0</v>
      </c>
      <c r="AH954" s="65" t="n">
        <f aca="false">IF(IFERROR(VLOOKUP(D954,Controls!$A$64:$E$74,5,FALSE()),"No")="Yes",1,0)</f>
        <v>1</v>
      </c>
      <c r="AI954" s="65" t="n">
        <f aca="false">IF(ISNUMBER(MATCH(D954,Controls!$A$64:$A$74,0)),1,0)</f>
        <v>1</v>
      </c>
      <c r="AJ954" s="65" t="n">
        <f aca="false">Q954-N954</f>
        <v>-4243.75</v>
      </c>
      <c r="AK954" s="65" t="n">
        <f aca="false">IF(AE954=1,MAX(0,N954-Q954),0)</f>
        <v>0</v>
      </c>
      <c r="AL954" s="65" t="n">
        <f aca="false">IF(OR(V954="",V954=0),0,N954/V954)</f>
        <v>0.0166666666666667</v>
      </c>
      <c r="AM954" s="65" t="n">
        <f aca="false">IF(OR(V954="",V954=0),0,1)</f>
        <v>1</v>
      </c>
      <c r="AN954" s="65" t="n">
        <f aca="false">IF(OR(E954="",F954=""),0,NETWORKDAYS(E954,F954,Ref!$K$2:$K$42))</f>
        <v>40</v>
      </c>
      <c r="AO954" s="65" t="n">
        <f aca="false">IF(L954="Renewal",1,0)</f>
        <v>0</v>
      </c>
      <c r="AP954" s="65" t="n">
        <f aca="false">AC954*AD954</f>
        <v>0</v>
      </c>
      <c r="AQ954" s="65" t="n">
        <f aca="false">IF(AND(G954&lt;&gt;"",'Historical Score'!$C$6&lt;&gt;""),IF(G954='Historical Score'!$C$6,1,0),0)</f>
        <v>0</v>
      </c>
      <c r="AR954" s="65" t="n">
        <f aca="false">IF(AND(L954&lt;&gt;"",'Historical Score'!$C$5&lt;&gt;""),IF(L954='Historical Score'!$C$5,1,0),0)</f>
        <v>1</v>
      </c>
      <c r="AS954" s="65" t="n">
        <f aca="false">IF(AND(Y954&lt;&gt;"",'Historical Score'!$C$7&lt;&gt;""),IF(Y954='Historical Score'!$C$7,1,0),0)</f>
        <v>0</v>
      </c>
      <c r="AT954" s="65" t="n">
        <f aca="false">IF(AND(K954&lt;&gt;"",'Historical Score'!$C$8&lt;&gt;""),IF(K954='Historical Score'!$C$8,1,0),0)</f>
        <v>0</v>
      </c>
      <c r="AU954" s="65" t="n">
        <f aca="false">IF(AND(J954&lt;&gt;"",'Historical Score'!$C$9&lt;&gt;""),IF(J954='Historical Score'!$C$9,1,0),0)</f>
        <v>1</v>
      </c>
      <c r="AV954" s="65" t="n">
        <f aca="false">AR954*AS954*AQ954</f>
        <v>0</v>
      </c>
      <c r="AW954" s="65" t="n">
        <f aca="false">AR954*AT954*AQ954</f>
        <v>0</v>
      </c>
      <c r="AX954" s="65" t="n">
        <f aca="false">AR954*AS954</f>
        <v>0</v>
      </c>
      <c r="AY954" s="65" t="n">
        <f aca="false">AR954*AT954</f>
        <v>0</v>
      </c>
      <c r="AZ954" s="65" t="n">
        <f aca="false">AR954*AQ954</f>
        <v>0</v>
      </c>
      <c r="BA954" s="65" t="n">
        <f aca="false">AR954</f>
        <v>1</v>
      </c>
      <c r="BB954" s="65" t="n">
        <f aca="false">1</f>
        <v>1</v>
      </c>
      <c r="BC954" s="65" t="n">
        <f aca="false">IF(AV954=1,1,IF(AW954=1,2,IF(AX954=1,3,IF(AY954=1,4,IF(AZ954=1,5,IF(BA954=1,6,7))))))</f>
        <v>6</v>
      </c>
      <c r="BD954" s="65" t="n">
        <f aca="false">IF(AD954=1,CHOOSE('Historical Score'!$C$29,AV954,AW954,AX954,AY954,AZ954,BA954,BB954),0)</f>
        <v>0</v>
      </c>
      <c r="BE954" s="65" t="str">
        <f aca="false">IF(BD954=1,COUNTIF($BD$2:BD954,1),"")</f>
        <v/>
      </c>
    </row>
    <row r="955" customFormat="false" ht="15" hidden="false" customHeight="false" outlineLevel="0" collapsed="false">
      <c r="A955" s="65" t="s">
        <v>2882</v>
      </c>
      <c r="B955" s="65" t="s">
        <v>2883</v>
      </c>
      <c r="C955" s="65" t="s">
        <v>2884</v>
      </c>
      <c r="D955" s="65" t="s">
        <v>340</v>
      </c>
      <c r="E955" s="112" t="n">
        <v>46185</v>
      </c>
      <c r="F955" s="112" t="n">
        <v>46198</v>
      </c>
      <c r="G955" s="65" t="n">
        <v>4</v>
      </c>
      <c r="H955" s="65" t="s">
        <v>1268</v>
      </c>
      <c r="I955" s="65" t="s">
        <v>405</v>
      </c>
      <c r="J955" s="65" t="s">
        <v>386</v>
      </c>
      <c r="K955" s="65" t="s">
        <v>538</v>
      </c>
      <c r="L955" s="65" t="s">
        <v>64</v>
      </c>
      <c r="M955" s="113" t="n">
        <v>1.49</v>
      </c>
      <c r="N955" s="114" t="n">
        <v>50000</v>
      </c>
      <c r="O955" s="114" t="n">
        <v>0</v>
      </c>
      <c r="P955" s="114" t="n">
        <v>74500</v>
      </c>
      <c r="Q955" s="114" t="n">
        <v>0</v>
      </c>
      <c r="R955" s="114" t="n">
        <v>74500</v>
      </c>
      <c r="S955" s="115" t="n">
        <v>0</v>
      </c>
      <c r="T955" s="65" t="n">
        <v>24</v>
      </c>
      <c r="U955" s="65" t="n">
        <v>2</v>
      </c>
      <c r="V955" s="65" t="n">
        <v>455270.02</v>
      </c>
      <c r="W955" s="115" t="n">
        <v>0.0276</v>
      </c>
      <c r="X955" s="112" t="n">
        <v>38513</v>
      </c>
      <c r="Y955" s="65" t="str">
        <f aca="false">IF(I955="","No SIC",IFERROR(VLOOKUP(I955,Ref!$A$2:$B$65,2,FALSE()),"Unclassified"))</f>
        <v>Health Services</v>
      </c>
      <c r="Z955" s="65" t="str">
        <f aca="false">IF(T955="","",IF(T955&lt;12,"Daily","Weekly"))</f>
        <v>Weekly</v>
      </c>
      <c r="AA955" s="65" t="n">
        <f aca="false">IF(T955="",0,IF(T955&lt;12,T955*Controls!$B$29,T955*5))</f>
        <v>120</v>
      </c>
      <c r="AB955" s="65" t="n">
        <f aca="false">IF(E955="",0,NETWORKDAYS(E955,Controls!$B$36,Ref!$K$2:$K$42))</f>
        <v>52</v>
      </c>
      <c r="AC955" s="65" t="n">
        <f aca="false">IF(AND(AA955&gt;0,AB955&gt;=Controls!$B$39*AA955),1,0)</f>
        <v>0</v>
      </c>
      <c r="AD955" s="65" t="n">
        <f aca="false">IF(AND(E955&lt;&gt;"",E955&gt;=Controls!$B$37,E955&lt;=Controls!$B$38),1,0)</f>
        <v>1</v>
      </c>
      <c r="AE955" s="65" t="n">
        <f aca="false">IF(IFERROR(VLOOKUP(D955,Controls!$A$64:$E$74,2,FALSE()),"No")="Yes",1,0)</f>
        <v>1</v>
      </c>
      <c r="AF955" s="65" t="n">
        <f aca="false">IF(IFERROR(VLOOKUP(D955,Controls!$A$64:$E$74,3,FALSE()),"No")="Yes",1,0)</f>
        <v>0</v>
      </c>
      <c r="AG955" s="65" t="n">
        <f aca="false">IF(IFERROR(VLOOKUP(D955,Controls!$A$64:$E$74,4,FALSE()),"No")="Yes",1,0)</f>
        <v>0</v>
      </c>
      <c r="AH955" s="65" t="n">
        <f aca="false">IF(IFERROR(VLOOKUP(D955,Controls!$A$64:$E$74,5,FALSE()),"No")="Yes",1,0)</f>
        <v>0</v>
      </c>
      <c r="AI955" s="65" t="n">
        <f aca="false">IF(ISNUMBER(MATCH(D955,Controls!$A$64:$A$74,0)),1,0)</f>
        <v>1</v>
      </c>
      <c r="AJ955" s="65" t="n">
        <f aca="false">Q955-N955</f>
        <v>-50000</v>
      </c>
      <c r="AK955" s="65" t="n">
        <f aca="false">IF(AE955=1,MAX(0,N955-Q955),0)</f>
        <v>50000</v>
      </c>
      <c r="AL955" s="65" t="n">
        <f aca="false">IF(OR(V955="",V955=0),0,N955/V955)</f>
        <v>0.109824934222552</v>
      </c>
      <c r="AM955" s="65" t="n">
        <f aca="false">IF(OR(V955="",V955=0),0,1)</f>
        <v>1</v>
      </c>
      <c r="AN955" s="65" t="n">
        <f aca="false">IF(OR(E955="",F955=""),0,NETWORKDAYS(E955,F955,Ref!$K$2:$K$42))</f>
        <v>9</v>
      </c>
      <c r="AO955" s="65" t="n">
        <f aca="false">IF(L955="Renewal",1,0)</f>
        <v>0</v>
      </c>
      <c r="AP955" s="65" t="n">
        <f aca="false">AC955*AD955</f>
        <v>0</v>
      </c>
      <c r="AQ955" s="65" t="n">
        <f aca="false">IF(AND(G955&lt;&gt;"",'Historical Score'!$C$6&lt;&gt;""),IF(G955='Historical Score'!$C$6,1,0),0)</f>
        <v>0</v>
      </c>
      <c r="AR955" s="65" t="n">
        <f aca="false">IF(AND(L955&lt;&gt;"",'Historical Score'!$C$5&lt;&gt;""),IF(L955='Historical Score'!$C$5,1,0),0)</f>
        <v>1</v>
      </c>
      <c r="AS955" s="65" t="n">
        <f aca="false">IF(AND(Y955&lt;&gt;"",'Historical Score'!$C$7&lt;&gt;""),IF(Y955='Historical Score'!$C$7,1,0),0)</f>
        <v>0</v>
      </c>
      <c r="AT955" s="65" t="n">
        <f aca="false">IF(AND(K955&lt;&gt;"",'Historical Score'!$C$8&lt;&gt;""),IF(K955='Historical Score'!$C$8,1,0),0)</f>
        <v>0</v>
      </c>
      <c r="AU955" s="65" t="n">
        <f aca="false">IF(AND(J955&lt;&gt;"",'Historical Score'!$C$9&lt;&gt;""),IF(J955='Historical Score'!$C$9,1,0),0)</f>
        <v>0</v>
      </c>
      <c r="AV955" s="65" t="n">
        <f aca="false">AR955*AS955*AQ955</f>
        <v>0</v>
      </c>
      <c r="AW955" s="65" t="n">
        <f aca="false">AR955*AT955*AQ955</f>
        <v>0</v>
      </c>
      <c r="AX955" s="65" t="n">
        <f aca="false">AR955*AS955</f>
        <v>0</v>
      </c>
      <c r="AY955" s="65" t="n">
        <f aca="false">AR955*AT955</f>
        <v>0</v>
      </c>
      <c r="AZ955" s="65" t="n">
        <f aca="false">AR955*AQ955</f>
        <v>0</v>
      </c>
      <c r="BA955" s="65" t="n">
        <f aca="false">AR955</f>
        <v>1</v>
      </c>
      <c r="BB955" s="65" t="n">
        <f aca="false">1</f>
        <v>1</v>
      </c>
      <c r="BC955" s="65" t="n">
        <f aca="false">IF(AV955=1,1,IF(AW955=1,2,IF(AX955=1,3,IF(AY955=1,4,IF(AZ955=1,5,IF(BA955=1,6,7))))))</f>
        <v>6</v>
      </c>
      <c r="BD955" s="65" t="n">
        <f aca="false">IF(AD955=1,CHOOSE('Historical Score'!$C$29,AV955,AW955,AX955,AY955,AZ955,BA955,BB955),0)</f>
        <v>0</v>
      </c>
      <c r="BE955" s="65" t="str">
        <f aca="false">IF(BD955=1,COUNTIF($BD$2:BD955,1),"")</f>
        <v/>
      </c>
    </row>
    <row r="956" customFormat="false" ht="15" hidden="false" customHeight="false" outlineLevel="0" collapsed="false">
      <c r="A956" s="65" t="s">
        <v>2885</v>
      </c>
      <c r="B956" s="65" t="s">
        <v>2886</v>
      </c>
      <c r="C956" s="65" t="s">
        <v>2887</v>
      </c>
      <c r="D956" s="65" t="s">
        <v>340</v>
      </c>
      <c r="E956" s="112" t="n">
        <v>46185</v>
      </c>
      <c r="F956" s="112" t="n">
        <v>46205</v>
      </c>
      <c r="G956" s="65" t="n">
        <v>3</v>
      </c>
      <c r="H956" s="65" t="s">
        <v>685</v>
      </c>
      <c r="I956" s="65" t="s">
        <v>484</v>
      </c>
      <c r="J956" s="65" t="s">
        <v>464</v>
      </c>
      <c r="K956" s="65" t="s">
        <v>538</v>
      </c>
      <c r="L956" s="65" t="s">
        <v>320</v>
      </c>
      <c r="M956" s="113" t="n">
        <v>1.39</v>
      </c>
      <c r="N956" s="114" t="n">
        <v>120000</v>
      </c>
      <c r="O956" s="114" t="n">
        <v>0</v>
      </c>
      <c r="P956" s="114" t="n">
        <v>166800</v>
      </c>
      <c r="Q956" s="114" t="n">
        <v>11916.66</v>
      </c>
      <c r="R956" s="114" t="n">
        <v>154883.34</v>
      </c>
      <c r="S956" s="115" t="n">
        <v>0.0714428057553957</v>
      </c>
      <c r="T956" s="65" t="n">
        <v>28</v>
      </c>
      <c r="U956" s="65" t="n">
        <v>1</v>
      </c>
      <c r="V956" s="65" t="n">
        <v>600490.81</v>
      </c>
      <c r="W956" s="115" t="n">
        <v>0.0511</v>
      </c>
      <c r="X956" s="112" t="n">
        <v>39722</v>
      </c>
      <c r="Y956" s="65" t="str">
        <f aca="false">IF(I956="","No SIC",IFERROR(VLOOKUP(I956,Ref!$A$2:$B$65,2,FALSE()),"Unclassified"))</f>
        <v>Special Trade Contractors</v>
      </c>
      <c r="Z956" s="65" t="str">
        <f aca="false">IF(T956="","",IF(T956&lt;12,"Daily","Weekly"))</f>
        <v>Weekly</v>
      </c>
      <c r="AA956" s="65" t="n">
        <f aca="false">IF(T956="",0,IF(T956&lt;12,T956*Controls!$B$29,T956*5))</f>
        <v>140</v>
      </c>
      <c r="AB956" s="65" t="n">
        <f aca="false">IF(E956="",0,NETWORKDAYS(E956,Controls!$B$36,Ref!$K$2:$K$42))</f>
        <v>52</v>
      </c>
      <c r="AC956" s="65" t="n">
        <f aca="false">IF(AND(AA956&gt;0,AB956&gt;=Controls!$B$39*AA956),1,0)</f>
        <v>0</v>
      </c>
      <c r="AD956" s="65" t="n">
        <f aca="false">IF(AND(E956&lt;&gt;"",E956&gt;=Controls!$B$37,E956&lt;=Controls!$B$38),1,0)</f>
        <v>1</v>
      </c>
      <c r="AE956" s="65" t="n">
        <f aca="false">IF(IFERROR(VLOOKUP(D956,Controls!$A$64:$E$74,2,FALSE()),"No")="Yes",1,0)</f>
        <v>1</v>
      </c>
      <c r="AF956" s="65" t="n">
        <f aca="false">IF(IFERROR(VLOOKUP(D956,Controls!$A$64:$E$74,3,FALSE()),"No")="Yes",1,0)</f>
        <v>0</v>
      </c>
      <c r="AG956" s="65" t="n">
        <f aca="false">IF(IFERROR(VLOOKUP(D956,Controls!$A$64:$E$74,4,FALSE()),"No")="Yes",1,0)</f>
        <v>0</v>
      </c>
      <c r="AH956" s="65" t="n">
        <f aca="false">IF(IFERROR(VLOOKUP(D956,Controls!$A$64:$E$74,5,FALSE()),"No")="Yes",1,0)</f>
        <v>0</v>
      </c>
      <c r="AI956" s="65" t="n">
        <f aca="false">IF(ISNUMBER(MATCH(D956,Controls!$A$64:$A$74,0)),1,0)</f>
        <v>1</v>
      </c>
      <c r="AJ956" s="65" t="n">
        <f aca="false">Q956-N956</f>
        <v>-108083.34</v>
      </c>
      <c r="AK956" s="65" t="n">
        <f aca="false">IF(AE956=1,MAX(0,N956-Q956),0)</f>
        <v>108083.34</v>
      </c>
      <c r="AL956" s="65" t="n">
        <f aca="false">IF(OR(V956="",V956=0),0,N956/V956)</f>
        <v>0.199836530387534</v>
      </c>
      <c r="AM956" s="65" t="n">
        <f aca="false">IF(OR(V956="",V956=0),0,1)</f>
        <v>1</v>
      </c>
      <c r="AN956" s="65" t="n">
        <f aca="false">IF(OR(E956="",F956=""),0,NETWORKDAYS(E956,F956,Ref!$K$2:$K$42))</f>
        <v>14</v>
      </c>
      <c r="AO956" s="65" t="n">
        <f aca="false">IF(L956="Renewal",1,0)</f>
        <v>1</v>
      </c>
      <c r="AP956" s="65" t="n">
        <f aca="false">AC956*AD956</f>
        <v>0</v>
      </c>
      <c r="AQ956" s="65" t="n">
        <f aca="false">IF(AND(G956&lt;&gt;"",'Historical Score'!$C$6&lt;&gt;""),IF(G956='Historical Score'!$C$6,1,0),0)</f>
        <v>0</v>
      </c>
      <c r="AR956" s="65" t="n">
        <f aca="false">IF(AND(L956&lt;&gt;"",'Historical Score'!$C$5&lt;&gt;""),IF(L956='Historical Score'!$C$5,1,0),0)</f>
        <v>0</v>
      </c>
      <c r="AS956" s="65" t="n">
        <f aca="false">IF(AND(Y956&lt;&gt;"",'Historical Score'!$C$7&lt;&gt;""),IF(Y956='Historical Score'!$C$7,1,0),0)</f>
        <v>0</v>
      </c>
      <c r="AT956" s="65" t="n">
        <f aca="false">IF(AND(K956&lt;&gt;"",'Historical Score'!$C$8&lt;&gt;""),IF(K956='Historical Score'!$C$8,1,0),0)</f>
        <v>0</v>
      </c>
      <c r="AU956" s="65" t="n">
        <f aca="false">IF(AND(J956&lt;&gt;"",'Historical Score'!$C$9&lt;&gt;""),IF(J956='Historical Score'!$C$9,1,0),0)</f>
        <v>0</v>
      </c>
      <c r="AV956" s="65" t="n">
        <f aca="false">AR956*AS956*AQ956</f>
        <v>0</v>
      </c>
      <c r="AW956" s="65" t="n">
        <f aca="false">AR956*AT956*AQ956</f>
        <v>0</v>
      </c>
      <c r="AX956" s="65" t="n">
        <f aca="false">AR956*AS956</f>
        <v>0</v>
      </c>
      <c r="AY956" s="65" t="n">
        <f aca="false">AR956*AT956</f>
        <v>0</v>
      </c>
      <c r="AZ956" s="65" t="n">
        <f aca="false">AR956*AQ956</f>
        <v>0</v>
      </c>
      <c r="BA956" s="65" t="n">
        <f aca="false">AR956</f>
        <v>0</v>
      </c>
      <c r="BB956" s="65" t="n">
        <f aca="false">1</f>
        <v>1</v>
      </c>
      <c r="BC956" s="65" t="n">
        <f aca="false">IF(AV956=1,1,IF(AW956=1,2,IF(AX956=1,3,IF(AY956=1,4,IF(AZ956=1,5,IF(BA956=1,6,7))))))</f>
        <v>7</v>
      </c>
      <c r="BD956" s="65" t="n">
        <f aca="false">IF(AD956=1,CHOOSE('Historical Score'!$C$29,AV956,AW956,AX956,AY956,AZ956,BA956,BB956),0)</f>
        <v>0</v>
      </c>
      <c r="BE956" s="65" t="str">
        <f aca="false">IF(BD956=1,COUNTIF($BD$2:BD956,1),"")</f>
        <v/>
      </c>
    </row>
    <row r="957" customFormat="false" ht="15" hidden="false" customHeight="false" outlineLevel="0" collapsed="false">
      <c r="A957" s="65" t="s">
        <v>2888</v>
      </c>
      <c r="B957" s="65" t="s">
        <v>2889</v>
      </c>
      <c r="C957" s="65" t="s">
        <v>2890</v>
      </c>
      <c r="D957" s="65" t="s">
        <v>295</v>
      </c>
      <c r="E957" s="112" t="n">
        <v>46185</v>
      </c>
      <c r="F957" s="112" t="n">
        <v>46253</v>
      </c>
      <c r="G957" s="65" t="n">
        <v>3</v>
      </c>
      <c r="H957" s="65" t="s">
        <v>805</v>
      </c>
      <c r="I957" s="65" t="s">
        <v>643</v>
      </c>
      <c r="J957" s="65" t="s">
        <v>452</v>
      </c>
      <c r="K957" s="65" t="s">
        <v>1120</v>
      </c>
      <c r="L957" s="65" t="s">
        <v>64</v>
      </c>
      <c r="M957" s="113" t="n">
        <v>1.49</v>
      </c>
      <c r="N957" s="114" t="n">
        <v>12500</v>
      </c>
      <c r="O957" s="114" t="n">
        <v>1750</v>
      </c>
      <c r="P957" s="114" t="n">
        <v>18625</v>
      </c>
      <c r="Q957" s="114" t="n">
        <v>7448.32</v>
      </c>
      <c r="R957" s="114" t="n">
        <v>11176.68</v>
      </c>
      <c r="S957" s="115" t="n">
        <v>0.399909798657718</v>
      </c>
      <c r="T957" s="65" t="n">
        <v>2.623</v>
      </c>
      <c r="U957" s="65" t="n">
        <v>15</v>
      </c>
      <c r="V957" s="65" t="n">
        <v>32761.34</v>
      </c>
      <c r="W957" s="115" t="n">
        <v>0.1492</v>
      </c>
      <c r="X957" s="112" t="n">
        <v>34700</v>
      </c>
      <c r="Y957" s="65" t="str">
        <f aca="false">IF(I957="","No SIC",IFERROR(VLOOKUP(I957,Ref!$A$2:$B$65,2,FALSE()),"Unclassified"))</f>
        <v>Agricultural Services</v>
      </c>
      <c r="Z957" s="65" t="str">
        <f aca="false">IF(T957="","",IF(T957&lt;12,"Daily","Weekly"))</f>
        <v>Daily</v>
      </c>
      <c r="AA957" s="65" t="n">
        <f aca="false">IF(T957="",0,IF(T957&lt;12,T957*Controls!$B$29,T957*5))</f>
        <v>56.801065</v>
      </c>
      <c r="AB957" s="65" t="n">
        <f aca="false">IF(E957="",0,NETWORKDAYS(E957,Controls!$B$36,Ref!$K$2:$K$42))</f>
        <v>52</v>
      </c>
      <c r="AC957" s="65" t="n">
        <f aca="false">IF(AND(AA957&gt;0,AB957&gt;=Controls!$B$39*AA957),1,0)</f>
        <v>0</v>
      </c>
      <c r="AD957" s="65" t="n">
        <f aca="false">IF(AND(E957&lt;&gt;"",E957&gt;=Controls!$B$37,E957&lt;=Controls!$B$38),1,0)</f>
        <v>1</v>
      </c>
      <c r="AE957" s="65" t="n">
        <f aca="false">IF(IFERROR(VLOOKUP(D957,Controls!$A$64:$E$74,2,FALSE()),"No")="Yes",1,0)</f>
        <v>0</v>
      </c>
      <c r="AF957" s="65" t="n">
        <f aca="false">IF(IFERROR(VLOOKUP(D957,Controls!$A$64:$E$74,3,FALSE()),"No")="Yes",1,0)</f>
        <v>0</v>
      </c>
      <c r="AG957" s="65" t="n">
        <f aca="false">IF(IFERROR(VLOOKUP(D957,Controls!$A$64:$E$74,4,FALSE()),"No")="Yes",1,0)</f>
        <v>0</v>
      </c>
      <c r="AH957" s="65" t="n">
        <f aca="false">IF(IFERROR(VLOOKUP(D957,Controls!$A$64:$E$74,5,FALSE()),"No")="Yes",1,0)</f>
        <v>1</v>
      </c>
      <c r="AI957" s="65" t="n">
        <f aca="false">IF(ISNUMBER(MATCH(D957,Controls!$A$64:$A$74,0)),1,0)</f>
        <v>1</v>
      </c>
      <c r="AJ957" s="65" t="n">
        <f aca="false">Q957-N957</f>
        <v>-5051.68</v>
      </c>
      <c r="AK957" s="65" t="n">
        <f aca="false">IF(AE957=1,MAX(0,N957-Q957),0)</f>
        <v>0</v>
      </c>
      <c r="AL957" s="65" t="n">
        <f aca="false">IF(OR(V957="",V957=0),0,N957/V957)</f>
        <v>0.381547274928315</v>
      </c>
      <c r="AM957" s="65" t="n">
        <f aca="false">IF(OR(V957="",V957=0),0,1)</f>
        <v>1</v>
      </c>
      <c r="AN957" s="65" t="n">
        <f aca="false">IF(OR(E957="",F957=""),0,NETWORKDAYS(E957,F957,Ref!$K$2:$K$42))</f>
        <v>48</v>
      </c>
      <c r="AO957" s="65" t="n">
        <f aca="false">IF(L957="Renewal",1,0)</f>
        <v>0</v>
      </c>
      <c r="AP957" s="65" t="n">
        <f aca="false">AC957*AD957</f>
        <v>0</v>
      </c>
      <c r="AQ957" s="65" t="n">
        <f aca="false">IF(AND(G957&lt;&gt;"",'Historical Score'!$C$6&lt;&gt;""),IF(G957='Historical Score'!$C$6,1,0),0)</f>
        <v>0</v>
      </c>
      <c r="AR957" s="65" t="n">
        <f aca="false">IF(AND(L957&lt;&gt;"",'Historical Score'!$C$5&lt;&gt;""),IF(L957='Historical Score'!$C$5,1,0),0)</f>
        <v>1</v>
      </c>
      <c r="AS957" s="65" t="n">
        <f aca="false">IF(AND(Y957&lt;&gt;"",'Historical Score'!$C$7&lt;&gt;""),IF(Y957='Historical Score'!$C$7,1,0),0)</f>
        <v>0</v>
      </c>
      <c r="AT957" s="65" t="n">
        <f aca="false">IF(AND(K957&lt;&gt;"",'Historical Score'!$C$8&lt;&gt;""),IF(K957='Historical Score'!$C$8,1,0),0)</f>
        <v>0</v>
      </c>
      <c r="AU957" s="65" t="n">
        <f aca="false">IF(AND(J957&lt;&gt;"",'Historical Score'!$C$9&lt;&gt;""),IF(J957='Historical Score'!$C$9,1,0),0)</f>
        <v>0</v>
      </c>
      <c r="AV957" s="65" t="n">
        <f aca="false">AR957*AS957*AQ957</f>
        <v>0</v>
      </c>
      <c r="AW957" s="65" t="n">
        <f aca="false">AR957*AT957*AQ957</f>
        <v>0</v>
      </c>
      <c r="AX957" s="65" t="n">
        <f aca="false">AR957*AS957</f>
        <v>0</v>
      </c>
      <c r="AY957" s="65" t="n">
        <f aca="false">AR957*AT957</f>
        <v>0</v>
      </c>
      <c r="AZ957" s="65" t="n">
        <f aca="false">AR957*AQ957</f>
        <v>0</v>
      </c>
      <c r="BA957" s="65" t="n">
        <f aca="false">AR957</f>
        <v>1</v>
      </c>
      <c r="BB957" s="65" t="n">
        <f aca="false">1</f>
        <v>1</v>
      </c>
      <c r="BC957" s="65" t="n">
        <f aca="false">IF(AV957=1,1,IF(AW957=1,2,IF(AX957=1,3,IF(AY957=1,4,IF(AZ957=1,5,IF(BA957=1,6,7))))))</f>
        <v>6</v>
      </c>
      <c r="BD957" s="65" t="n">
        <f aca="false">IF(AD957=1,CHOOSE('Historical Score'!$C$29,AV957,AW957,AX957,AY957,AZ957,BA957,BB957),0)</f>
        <v>0</v>
      </c>
      <c r="BE957" s="65" t="str">
        <f aca="false">IF(BD957=1,COUNTIF($BD$2:BD957,1),"")</f>
        <v/>
      </c>
    </row>
    <row r="958" customFormat="false" ht="15" hidden="false" customHeight="false" outlineLevel="0" collapsed="false">
      <c r="A958" s="65" t="s">
        <v>2891</v>
      </c>
      <c r="B958" s="65" t="s">
        <v>2892</v>
      </c>
      <c r="C958" s="65" t="s">
        <v>2893</v>
      </c>
      <c r="D958" s="65" t="s">
        <v>340</v>
      </c>
      <c r="E958" s="112" t="n">
        <v>46188</v>
      </c>
      <c r="F958" s="112" t="n">
        <v>46238</v>
      </c>
      <c r="G958" s="65" t="n">
        <v>2</v>
      </c>
      <c r="H958" s="65" t="s">
        <v>409</v>
      </c>
      <c r="I958" s="65" t="s">
        <v>342</v>
      </c>
      <c r="J958" s="65" t="s">
        <v>343</v>
      </c>
      <c r="K958" s="65" t="s">
        <v>2784</v>
      </c>
      <c r="L958" s="65" t="s">
        <v>64</v>
      </c>
      <c r="M958" s="113" t="n">
        <v>1.49</v>
      </c>
      <c r="N958" s="114" t="n">
        <v>90000</v>
      </c>
      <c r="O958" s="114" t="n">
        <v>0</v>
      </c>
      <c r="P958" s="114" t="n">
        <v>134100</v>
      </c>
      <c r="Q958" s="114" t="n">
        <v>7886.1</v>
      </c>
      <c r="R958" s="114" t="n">
        <v>126213.9</v>
      </c>
      <c r="S958" s="115" t="n">
        <v>0.0588076062639821</v>
      </c>
      <c r="T958" s="65" t="n">
        <v>34</v>
      </c>
      <c r="U958" s="65" t="n">
        <v>5</v>
      </c>
      <c r="V958" s="65" t="n">
        <v>159799.24</v>
      </c>
      <c r="W958" s="115" t="n">
        <v>0.0987</v>
      </c>
      <c r="X958" s="112" t="n">
        <v>45166</v>
      </c>
      <c r="Y958" s="65" t="str">
        <f aca="false">IF(I958="","No SIC",IFERROR(VLOOKUP(I958,Ref!$A$2:$B$65,2,FALSE()),"Unclassified"))</f>
        <v>Eating &amp; Drinking Places</v>
      </c>
      <c r="Z958" s="65" t="str">
        <f aca="false">IF(T958="","",IF(T958&lt;12,"Daily","Weekly"))</f>
        <v>Weekly</v>
      </c>
      <c r="AA958" s="65" t="n">
        <f aca="false">IF(T958="",0,IF(T958&lt;12,T958*Controls!$B$29,T958*5))</f>
        <v>170</v>
      </c>
      <c r="AB958" s="65" t="n">
        <f aca="false">IF(E958="",0,NETWORKDAYS(E958,Controls!$B$36,Ref!$K$2:$K$42))</f>
        <v>51</v>
      </c>
      <c r="AC958" s="65" t="n">
        <f aca="false">IF(AND(AA958&gt;0,AB958&gt;=Controls!$B$39*AA958),1,0)</f>
        <v>0</v>
      </c>
      <c r="AD958" s="65" t="n">
        <f aca="false">IF(AND(E958&lt;&gt;"",E958&gt;=Controls!$B$37,E958&lt;=Controls!$B$38),1,0)</f>
        <v>1</v>
      </c>
      <c r="AE958" s="65" t="n">
        <f aca="false">IF(IFERROR(VLOOKUP(D958,Controls!$A$64:$E$74,2,FALSE()),"No")="Yes",1,0)</f>
        <v>1</v>
      </c>
      <c r="AF958" s="65" t="n">
        <f aca="false">IF(IFERROR(VLOOKUP(D958,Controls!$A$64:$E$74,3,FALSE()),"No")="Yes",1,0)</f>
        <v>0</v>
      </c>
      <c r="AG958" s="65" t="n">
        <f aca="false">IF(IFERROR(VLOOKUP(D958,Controls!$A$64:$E$74,4,FALSE()),"No")="Yes",1,0)</f>
        <v>0</v>
      </c>
      <c r="AH958" s="65" t="n">
        <f aca="false">IF(IFERROR(VLOOKUP(D958,Controls!$A$64:$E$74,5,FALSE()),"No")="Yes",1,0)</f>
        <v>0</v>
      </c>
      <c r="AI958" s="65" t="n">
        <f aca="false">IF(ISNUMBER(MATCH(D958,Controls!$A$64:$A$74,0)),1,0)</f>
        <v>1</v>
      </c>
      <c r="AJ958" s="65" t="n">
        <f aca="false">Q958-N958</f>
        <v>-82113.9</v>
      </c>
      <c r="AK958" s="65" t="n">
        <f aca="false">IF(AE958=1,MAX(0,N958-Q958),0)</f>
        <v>82113.9</v>
      </c>
      <c r="AL958" s="65" t="n">
        <f aca="false">IF(OR(V958="",V958=0),0,N958/V958)</f>
        <v>0.56320668358623</v>
      </c>
      <c r="AM958" s="65" t="n">
        <f aca="false">IF(OR(V958="",V958=0),0,1)</f>
        <v>1</v>
      </c>
      <c r="AN958" s="65" t="n">
        <f aca="false">IF(OR(E958="",F958=""),0,NETWORKDAYS(E958,F958,Ref!$K$2:$K$42))</f>
        <v>36</v>
      </c>
      <c r="AO958" s="65" t="n">
        <f aca="false">IF(L958="Renewal",1,0)</f>
        <v>0</v>
      </c>
      <c r="AP958" s="65" t="n">
        <f aca="false">AC958*AD958</f>
        <v>0</v>
      </c>
      <c r="AQ958" s="65" t="n">
        <f aca="false">IF(AND(G958&lt;&gt;"",'Historical Score'!$C$6&lt;&gt;""),IF(G958='Historical Score'!$C$6,1,0),0)</f>
        <v>1</v>
      </c>
      <c r="AR958" s="65" t="n">
        <f aca="false">IF(AND(L958&lt;&gt;"",'Historical Score'!$C$5&lt;&gt;""),IF(L958='Historical Score'!$C$5,1,0),0)</f>
        <v>1</v>
      </c>
      <c r="AS958" s="65" t="n">
        <f aca="false">IF(AND(Y958&lt;&gt;"",'Historical Score'!$C$7&lt;&gt;""),IF(Y958='Historical Score'!$C$7,1,0),0)</f>
        <v>0</v>
      </c>
      <c r="AT958" s="65" t="n">
        <f aca="false">IF(AND(K958&lt;&gt;"",'Historical Score'!$C$8&lt;&gt;""),IF(K958='Historical Score'!$C$8,1,0),0)</f>
        <v>0</v>
      </c>
      <c r="AU958" s="65" t="n">
        <f aca="false">IF(AND(J958&lt;&gt;"",'Historical Score'!$C$9&lt;&gt;""),IF(J958='Historical Score'!$C$9,1,0),0)</f>
        <v>0</v>
      </c>
      <c r="AV958" s="65" t="n">
        <f aca="false">AR958*AS958*AQ958</f>
        <v>0</v>
      </c>
      <c r="AW958" s="65" t="n">
        <f aca="false">AR958*AT958*AQ958</f>
        <v>0</v>
      </c>
      <c r="AX958" s="65" t="n">
        <f aca="false">AR958*AS958</f>
        <v>0</v>
      </c>
      <c r="AY958" s="65" t="n">
        <f aca="false">AR958*AT958</f>
        <v>0</v>
      </c>
      <c r="AZ958" s="65" t="n">
        <f aca="false">AR958*AQ958</f>
        <v>1</v>
      </c>
      <c r="BA958" s="65" t="n">
        <f aca="false">AR958</f>
        <v>1</v>
      </c>
      <c r="BB958" s="65" t="n">
        <f aca="false">1</f>
        <v>1</v>
      </c>
      <c r="BC958" s="65" t="n">
        <f aca="false">IF(AV958=1,1,IF(AW958=1,2,IF(AX958=1,3,IF(AY958=1,4,IF(AZ958=1,5,IF(BA958=1,6,7))))))</f>
        <v>5</v>
      </c>
      <c r="BD958" s="65" t="n">
        <f aca="false">IF(AD958=1,CHOOSE('Historical Score'!$C$29,AV958,AW958,AX958,AY958,AZ958,BA958,BB958),0)</f>
        <v>0</v>
      </c>
      <c r="BE958" s="65" t="str">
        <f aca="false">IF(BD958=1,COUNTIF($BD$2:BD958,1),"")</f>
        <v/>
      </c>
    </row>
    <row r="959" customFormat="false" ht="15" hidden="false" customHeight="false" outlineLevel="0" collapsed="false">
      <c r="A959" s="65" t="s">
        <v>2894</v>
      </c>
      <c r="B959" s="65" t="s">
        <v>2895</v>
      </c>
      <c r="C959" s="65" t="s">
        <v>2896</v>
      </c>
      <c r="D959" s="65" t="s">
        <v>295</v>
      </c>
      <c r="E959" s="112" t="n">
        <v>46188</v>
      </c>
      <c r="F959" s="112" t="n">
        <v>46253</v>
      </c>
      <c r="G959" s="65" t="n">
        <v>3</v>
      </c>
      <c r="H959" s="65" t="s">
        <v>2897</v>
      </c>
      <c r="I959" s="65" t="s">
        <v>679</v>
      </c>
      <c r="J959" s="65" t="s">
        <v>61</v>
      </c>
      <c r="K959" s="65" t="s">
        <v>581</v>
      </c>
      <c r="L959" s="65" t="s">
        <v>64</v>
      </c>
      <c r="M959" s="113" t="n">
        <v>1.49</v>
      </c>
      <c r="N959" s="114" t="n">
        <v>25000</v>
      </c>
      <c r="O959" s="114" t="n">
        <v>3500</v>
      </c>
      <c r="P959" s="114" t="n">
        <v>37250</v>
      </c>
      <c r="Q959" s="114" t="n">
        <v>20030.26</v>
      </c>
      <c r="R959" s="114" t="n">
        <v>17219.74</v>
      </c>
      <c r="S959" s="115" t="n">
        <v>0.537725100671141</v>
      </c>
      <c r="T959" s="65" t="n">
        <v>2.623</v>
      </c>
      <c r="U959" s="65" t="n">
        <v>1</v>
      </c>
      <c r="V959" s="65" t="n">
        <v>85137.68</v>
      </c>
      <c r="W959" s="115" t="n">
        <v>0.1149</v>
      </c>
      <c r="X959" s="112" t="n">
        <v>45805</v>
      </c>
      <c r="Y959" s="65" t="str">
        <f aca="false">IF(I959="","No SIC",IFERROR(VLOOKUP(I959,Ref!$A$2:$B$65,2,FALSE()),"Unclassified"))</f>
        <v>Amusement &amp; Recreation Services</v>
      </c>
      <c r="Z959" s="65" t="str">
        <f aca="false">IF(T959="","",IF(T959&lt;12,"Daily","Weekly"))</f>
        <v>Daily</v>
      </c>
      <c r="AA959" s="65" t="n">
        <f aca="false">IF(T959="",0,IF(T959&lt;12,T959*Controls!$B$29,T959*5))</f>
        <v>56.801065</v>
      </c>
      <c r="AB959" s="65" t="n">
        <f aca="false">IF(E959="",0,NETWORKDAYS(E959,Controls!$B$36,Ref!$K$2:$K$42))</f>
        <v>51</v>
      </c>
      <c r="AC959" s="65" t="n">
        <f aca="false">IF(AND(AA959&gt;0,AB959&gt;=Controls!$B$39*AA959),1,0)</f>
        <v>0</v>
      </c>
      <c r="AD959" s="65" t="n">
        <f aca="false">IF(AND(E959&lt;&gt;"",E959&gt;=Controls!$B$37,E959&lt;=Controls!$B$38),1,0)</f>
        <v>1</v>
      </c>
      <c r="AE959" s="65" t="n">
        <f aca="false">IF(IFERROR(VLOOKUP(D959,Controls!$A$64:$E$74,2,FALSE()),"No")="Yes",1,0)</f>
        <v>0</v>
      </c>
      <c r="AF959" s="65" t="n">
        <f aca="false">IF(IFERROR(VLOOKUP(D959,Controls!$A$64:$E$74,3,FALSE()),"No")="Yes",1,0)</f>
        <v>0</v>
      </c>
      <c r="AG959" s="65" t="n">
        <f aca="false">IF(IFERROR(VLOOKUP(D959,Controls!$A$64:$E$74,4,FALSE()),"No")="Yes",1,0)</f>
        <v>0</v>
      </c>
      <c r="AH959" s="65" t="n">
        <f aca="false">IF(IFERROR(VLOOKUP(D959,Controls!$A$64:$E$74,5,FALSE()),"No")="Yes",1,0)</f>
        <v>1</v>
      </c>
      <c r="AI959" s="65" t="n">
        <f aca="false">IF(ISNUMBER(MATCH(D959,Controls!$A$64:$A$74,0)),1,0)</f>
        <v>1</v>
      </c>
      <c r="AJ959" s="65" t="n">
        <f aca="false">Q959-N959</f>
        <v>-4969.74</v>
      </c>
      <c r="AK959" s="65" t="n">
        <f aca="false">IF(AE959=1,MAX(0,N959-Q959),0)</f>
        <v>0</v>
      </c>
      <c r="AL959" s="65" t="n">
        <f aca="false">IF(OR(V959="",V959=0),0,N959/V959)</f>
        <v>0.293642016085005</v>
      </c>
      <c r="AM959" s="65" t="n">
        <f aca="false">IF(OR(V959="",V959=0),0,1)</f>
        <v>1</v>
      </c>
      <c r="AN959" s="65" t="n">
        <f aca="false">IF(OR(E959="",F959=""),0,NETWORKDAYS(E959,F959,Ref!$K$2:$K$42))</f>
        <v>47</v>
      </c>
      <c r="AO959" s="65" t="n">
        <f aca="false">IF(L959="Renewal",1,0)</f>
        <v>0</v>
      </c>
      <c r="AP959" s="65" t="n">
        <f aca="false">AC959*AD959</f>
        <v>0</v>
      </c>
      <c r="AQ959" s="65" t="n">
        <f aca="false">IF(AND(G959&lt;&gt;"",'Historical Score'!$C$6&lt;&gt;""),IF(G959='Historical Score'!$C$6,1,0),0)</f>
        <v>0</v>
      </c>
      <c r="AR959" s="65" t="n">
        <f aca="false">IF(AND(L959&lt;&gt;"",'Historical Score'!$C$5&lt;&gt;""),IF(L959='Historical Score'!$C$5,1,0),0)</f>
        <v>1</v>
      </c>
      <c r="AS959" s="65" t="n">
        <f aca="false">IF(AND(Y959&lt;&gt;"",'Historical Score'!$C$7&lt;&gt;""),IF(Y959='Historical Score'!$C$7,1,0),0)</f>
        <v>0</v>
      </c>
      <c r="AT959" s="65" t="n">
        <f aca="false">IF(AND(K959&lt;&gt;"",'Historical Score'!$C$8&lt;&gt;""),IF(K959='Historical Score'!$C$8,1,0),0)</f>
        <v>0</v>
      </c>
      <c r="AU959" s="65" t="n">
        <f aca="false">IF(AND(J959&lt;&gt;"",'Historical Score'!$C$9&lt;&gt;""),IF(J959='Historical Score'!$C$9,1,0),0)</f>
        <v>1</v>
      </c>
      <c r="AV959" s="65" t="n">
        <f aca="false">AR959*AS959*AQ959</f>
        <v>0</v>
      </c>
      <c r="AW959" s="65" t="n">
        <f aca="false">AR959*AT959*AQ959</f>
        <v>0</v>
      </c>
      <c r="AX959" s="65" t="n">
        <f aca="false">AR959*AS959</f>
        <v>0</v>
      </c>
      <c r="AY959" s="65" t="n">
        <f aca="false">AR959*AT959</f>
        <v>0</v>
      </c>
      <c r="AZ959" s="65" t="n">
        <f aca="false">AR959*AQ959</f>
        <v>0</v>
      </c>
      <c r="BA959" s="65" t="n">
        <f aca="false">AR959</f>
        <v>1</v>
      </c>
      <c r="BB959" s="65" t="n">
        <f aca="false">1</f>
        <v>1</v>
      </c>
      <c r="BC959" s="65" t="n">
        <f aca="false">IF(AV959=1,1,IF(AW959=1,2,IF(AX959=1,3,IF(AY959=1,4,IF(AZ959=1,5,IF(BA959=1,6,7))))))</f>
        <v>6</v>
      </c>
      <c r="BD959" s="65" t="n">
        <f aca="false">IF(AD959=1,CHOOSE('Historical Score'!$C$29,AV959,AW959,AX959,AY959,AZ959,BA959,BB959),0)</f>
        <v>0</v>
      </c>
      <c r="BE959" s="65" t="str">
        <f aca="false">IF(BD959=1,COUNTIF($BD$2:BD959,1),"")</f>
        <v/>
      </c>
    </row>
    <row r="960" customFormat="false" ht="15" hidden="false" customHeight="false" outlineLevel="0" collapsed="false">
      <c r="A960" s="65" t="s">
        <v>2898</v>
      </c>
      <c r="B960" s="65" t="s">
        <v>2899</v>
      </c>
      <c r="C960" s="65" t="s">
        <v>2900</v>
      </c>
      <c r="D960" s="65" t="s">
        <v>295</v>
      </c>
      <c r="E960" s="112" t="n">
        <v>46188</v>
      </c>
      <c r="F960" s="112" t="n">
        <v>46253</v>
      </c>
      <c r="G960" s="65" t="n">
        <v>3</v>
      </c>
      <c r="H960" s="65" t="s">
        <v>2301</v>
      </c>
      <c r="I960" s="65" t="s">
        <v>2302</v>
      </c>
      <c r="J960" s="65" t="s">
        <v>555</v>
      </c>
      <c r="K960" s="65" t="s">
        <v>543</v>
      </c>
      <c r="L960" s="65" t="s">
        <v>320</v>
      </c>
      <c r="M960" s="113" t="n">
        <v>1.49</v>
      </c>
      <c r="N960" s="114" t="n">
        <v>80000</v>
      </c>
      <c r="O960" s="114" t="n">
        <v>11200</v>
      </c>
      <c r="P960" s="114" t="n">
        <v>119200</v>
      </c>
      <c r="Q960" s="114" t="n">
        <v>41847.75</v>
      </c>
      <c r="R960" s="114" t="n">
        <v>77352.25</v>
      </c>
      <c r="S960" s="115" t="n">
        <v>0.35107172818792</v>
      </c>
      <c r="T960" s="65" t="n">
        <v>2.787</v>
      </c>
      <c r="U960" s="65" t="n">
        <v>21</v>
      </c>
      <c r="V960" s="65" t="n">
        <v>390784.09</v>
      </c>
      <c r="W960" s="115" t="n">
        <v>0.0511</v>
      </c>
      <c r="X960" s="112" t="n">
        <v>44762</v>
      </c>
      <c r="Y960" s="65" t="str">
        <f aca="false">IF(I960="","No SIC",IFERROR(VLOOKUP(I960,Ref!$A$2:$B$65,2,FALSE()),"Unclassified"))</f>
        <v>Security &amp; Commodity Brokers</v>
      </c>
      <c r="Z960" s="65" t="str">
        <f aca="false">IF(T960="","",IF(T960&lt;12,"Daily","Weekly"))</f>
        <v>Daily</v>
      </c>
      <c r="AA960" s="65" t="n">
        <f aca="false">IF(T960="",0,IF(T960&lt;12,T960*Controls!$B$29,T960*5))</f>
        <v>60.352485</v>
      </c>
      <c r="AB960" s="65" t="n">
        <f aca="false">IF(E960="",0,NETWORKDAYS(E960,Controls!$B$36,Ref!$K$2:$K$42))</f>
        <v>51</v>
      </c>
      <c r="AC960" s="65" t="n">
        <f aca="false">IF(AND(AA960&gt;0,AB960&gt;=Controls!$B$39*AA960),1,0)</f>
        <v>0</v>
      </c>
      <c r="AD960" s="65" t="n">
        <f aca="false">IF(AND(E960&lt;&gt;"",E960&gt;=Controls!$B$37,E960&lt;=Controls!$B$38),1,0)</f>
        <v>1</v>
      </c>
      <c r="AE960" s="65" t="n">
        <f aca="false">IF(IFERROR(VLOOKUP(D960,Controls!$A$64:$E$74,2,FALSE()),"No")="Yes",1,0)</f>
        <v>0</v>
      </c>
      <c r="AF960" s="65" t="n">
        <f aca="false">IF(IFERROR(VLOOKUP(D960,Controls!$A$64:$E$74,3,FALSE()),"No")="Yes",1,0)</f>
        <v>0</v>
      </c>
      <c r="AG960" s="65" t="n">
        <f aca="false">IF(IFERROR(VLOOKUP(D960,Controls!$A$64:$E$74,4,FALSE()),"No")="Yes",1,0)</f>
        <v>0</v>
      </c>
      <c r="AH960" s="65" t="n">
        <f aca="false">IF(IFERROR(VLOOKUP(D960,Controls!$A$64:$E$74,5,FALSE()),"No")="Yes",1,0)</f>
        <v>1</v>
      </c>
      <c r="AI960" s="65" t="n">
        <f aca="false">IF(ISNUMBER(MATCH(D960,Controls!$A$64:$A$74,0)),1,0)</f>
        <v>1</v>
      </c>
      <c r="AJ960" s="65" t="n">
        <f aca="false">Q960-N960</f>
        <v>-38152.25</v>
      </c>
      <c r="AK960" s="65" t="n">
        <f aca="false">IF(AE960=1,MAX(0,N960-Q960),0)</f>
        <v>0</v>
      </c>
      <c r="AL960" s="65" t="n">
        <f aca="false">IF(OR(V960="",V960=0),0,N960/V960)</f>
        <v>0.204716624978258</v>
      </c>
      <c r="AM960" s="65" t="n">
        <f aca="false">IF(OR(V960="",V960=0),0,1)</f>
        <v>1</v>
      </c>
      <c r="AN960" s="65" t="n">
        <f aca="false">IF(OR(E960="",F960=""),0,NETWORKDAYS(E960,F960,Ref!$K$2:$K$42))</f>
        <v>47</v>
      </c>
      <c r="AO960" s="65" t="n">
        <f aca="false">IF(L960="Renewal",1,0)</f>
        <v>1</v>
      </c>
      <c r="AP960" s="65" t="n">
        <f aca="false">AC960*AD960</f>
        <v>0</v>
      </c>
      <c r="AQ960" s="65" t="n">
        <f aca="false">IF(AND(G960&lt;&gt;"",'Historical Score'!$C$6&lt;&gt;""),IF(G960='Historical Score'!$C$6,1,0),0)</f>
        <v>0</v>
      </c>
      <c r="AR960" s="65" t="n">
        <f aca="false">IF(AND(L960&lt;&gt;"",'Historical Score'!$C$5&lt;&gt;""),IF(L960='Historical Score'!$C$5,1,0),0)</f>
        <v>0</v>
      </c>
      <c r="AS960" s="65" t="n">
        <f aca="false">IF(AND(Y960&lt;&gt;"",'Historical Score'!$C$7&lt;&gt;""),IF(Y960='Historical Score'!$C$7,1,0),0)</f>
        <v>0</v>
      </c>
      <c r="AT960" s="65" t="n">
        <f aca="false">IF(AND(K960&lt;&gt;"",'Historical Score'!$C$8&lt;&gt;""),IF(K960='Historical Score'!$C$8,1,0),0)</f>
        <v>0</v>
      </c>
      <c r="AU960" s="65" t="n">
        <f aca="false">IF(AND(J960&lt;&gt;"",'Historical Score'!$C$9&lt;&gt;""),IF(J960='Historical Score'!$C$9,1,0),0)</f>
        <v>0</v>
      </c>
      <c r="AV960" s="65" t="n">
        <f aca="false">AR960*AS960*AQ960</f>
        <v>0</v>
      </c>
      <c r="AW960" s="65" t="n">
        <f aca="false">AR960*AT960*AQ960</f>
        <v>0</v>
      </c>
      <c r="AX960" s="65" t="n">
        <f aca="false">AR960*AS960</f>
        <v>0</v>
      </c>
      <c r="AY960" s="65" t="n">
        <f aca="false">AR960*AT960</f>
        <v>0</v>
      </c>
      <c r="AZ960" s="65" t="n">
        <f aca="false">AR960*AQ960</f>
        <v>0</v>
      </c>
      <c r="BA960" s="65" t="n">
        <f aca="false">AR960</f>
        <v>0</v>
      </c>
      <c r="BB960" s="65" t="n">
        <f aca="false">1</f>
        <v>1</v>
      </c>
      <c r="BC960" s="65" t="n">
        <f aca="false">IF(AV960=1,1,IF(AW960=1,2,IF(AX960=1,3,IF(AY960=1,4,IF(AZ960=1,5,IF(BA960=1,6,7))))))</f>
        <v>7</v>
      </c>
      <c r="BD960" s="65" t="n">
        <f aca="false">IF(AD960=1,CHOOSE('Historical Score'!$C$29,AV960,AW960,AX960,AY960,AZ960,BA960,BB960),0)</f>
        <v>0</v>
      </c>
      <c r="BE960" s="65" t="str">
        <f aca="false">IF(BD960=1,COUNTIF($BD$2:BD960,1),"")</f>
        <v/>
      </c>
    </row>
    <row r="961" customFormat="false" ht="15" hidden="false" customHeight="false" outlineLevel="0" collapsed="false">
      <c r="A961" s="65" t="s">
        <v>2901</v>
      </c>
      <c r="B961" s="65" t="s">
        <v>2902</v>
      </c>
      <c r="C961" s="65" t="s">
        <v>2902</v>
      </c>
      <c r="D961" s="65" t="s">
        <v>295</v>
      </c>
      <c r="E961" s="112" t="n">
        <v>46189</v>
      </c>
      <c r="F961" s="112" t="n">
        <v>46253</v>
      </c>
      <c r="G961" s="65" t="n">
        <v>3</v>
      </c>
      <c r="H961" s="65" t="s">
        <v>752</v>
      </c>
      <c r="I961" s="65" t="s">
        <v>405</v>
      </c>
      <c r="J961" s="65" t="s">
        <v>646</v>
      </c>
      <c r="K961" s="65" t="s">
        <v>538</v>
      </c>
      <c r="L961" s="65" t="s">
        <v>64</v>
      </c>
      <c r="M961" s="113" t="n">
        <v>1.49</v>
      </c>
      <c r="N961" s="114" t="n">
        <v>20000</v>
      </c>
      <c r="O961" s="114" t="n">
        <v>2800</v>
      </c>
      <c r="P961" s="114" t="n">
        <v>29800</v>
      </c>
      <c r="Q961" s="114" t="n">
        <v>13513.68</v>
      </c>
      <c r="R961" s="114" t="n">
        <v>16286.32</v>
      </c>
      <c r="S961" s="115" t="n">
        <v>0.453479194630873</v>
      </c>
      <c r="T961" s="65" t="n">
        <v>2.951</v>
      </c>
      <c r="U961" s="65" t="n">
        <v>1</v>
      </c>
      <c r="V961" s="65" t="n">
        <v>37546.4</v>
      </c>
      <c r="W961" s="115" t="n">
        <v>0.1852</v>
      </c>
      <c r="X961" s="112" t="n">
        <v>45762</v>
      </c>
      <c r="Y961" s="65" t="str">
        <f aca="false">IF(I961="","No SIC",IFERROR(VLOOKUP(I961,Ref!$A$2:$B$65,2,FALSE()),"Unclassified"))</f>
        <v>Health Services</v>
      </c>
      <c r="Z961" s="65" t="str">
        <f aca="false">IF(T961="","",IF(T961&lt;12,"Daily","Weekly"))</f>
        <v>Daily</v>
      </c>
      <c r="AA961" s="65" t="n">
        <f aca="false">IF(T961="",0,IF(T961&lt;12,T961*Controls!$B$29,T961*5))</f>
        <v>63.903905</v>
      </c>
      <c r="AB961" s="65" t="n">
        <f aca="false">IF(E961="",0,NETWORKDAYS(E961,Controls!$B$36,Ref!$K$2:$K$42))</f>
        <v>50</v>
      </c>
      <c r="AC961" s="65" t="n">
        <f aca="false">IF(AND(AA961&gt;0,AB961&gt;=Controls!$B$39*AA961),1,0)</f>
        <v>0</v>
      </c>
      <c r="AD961" s="65" t="n">
        <f aca="false">IF(AND(E961&lt;&gt;"",E961&gt;=Controls!$B$37,E961&lt;=Controls!$B$38),1,0)</f>
        <v>1</v>
      </c>
      <c r="AE961" s="65" t="n">
        <f aca="false">IF(IFERROR(VLOOKUP(D961,Controls!$A$64:$E$74,2,FALSE()),"No")="Yes",1,0)</f>
        <v>0</v>
      </c>
      <c r="AF961" s="65" t="n">
        <f aca="false">IF(IFERROR(VLOOKUP(D961,Controls!$A$64:$E$74,3,FALSE()),"No")="Yes",1,0)</f>
        <v>0</v>
      </c>
      <c r="AG961" s="65" t="n">
        <f aca="false">IF(IFERROR(VLOOKUP(D961,Controls!$A$64:$E$74,4,FALSE()),"No")="Yes",1,0)</f>
        <v>0</v>
      </c>
      <c r="AH961" s="65" t="n">
        <f aca="false">IF(IFERROR(VLOOKUP(D961,Controls!$A$64:$E$74,5,FALSE()),"No")="Yes",1,0)</f>
        <v>1</v>
      </c>
      <c r="AI961" s="65" t="n">
        <f aca="false">IF(ISNUMBER(MATCH(D961,Controls!$A$64:$A$74,0)),1,0)</f>
        <v>1</v>
      </c>
      <c r="AJ961" s="65" t="n">
        <f aca="false">Q961-N961</f>
        <v>-6486.32</v>
      </c>
      <c r="AK961" s="65" t="n">
        <f aca="false">IF(AE961=1,MAX(0,N961-Q961),0)</f>
        <v>0</v>
      </c>
      <c r="AL961" s="65" t="n">
        <f aca="false">IF(OR(V961="",V961=0),0,N961/V961)</f>
        <v>0.532674237743166</v>
      </c>
      <c r="AM961" s="65" t="n">
        <f aca="false">IF(OR(V961="",V961=0),0,1)</f>
        <v>1</v>
      </c>
      <c r="AN961" s="65" t="n">
        <f aca="false">IF(OR(E961="",F961=""),0,NETWORKDAYS(E961,F961,Ref!$K$2:$K$42))</f>
        <v>46</v>
      </c>
      <c r="AO961" s="65" t="n">
        <f aca="false">IF(L961="Renewal",1,0)</f>
        <v>0</v>
      </c>
      <c r="AP961" s="65" t="n">
        <f aca="false">AC961*AD961</f>
        <v>0</v>
      </c>
      <c r="AQ961" s="65" t="n">
        <f aca="false">IF(AND(G961&lt;&gt;"",'Historical Score'!$C$6&lt;&gt;""),IF(G961='Historical Score'!$C$6,1,0),0)</f>
        <v>0</v>
      </c>
      <c r="AR961" s="65" t="n">
        <f aca="false">IF(AND(L961&lt;&gt;"",'Historical Score'!$C$5&lt;&gt;""),IF(L961='Historical Score'!$C$5,1,0),0)</f>
        <v>1</v>
      </c>
      <c r="AS961" s="65" t="n">
        <f aca="false">IF(AND(Y961&lt;&gt;"",'Historical Score'!$C$7&lt;&gt;""),IF(Y961='Historical Score'!$C$7,1,0),0)</f>
        <v>0</v>
      </c>
      <c r="AT961" s="65" t="n">
        <f aca="false">IF(AND(K961&lt;&gt;"",'Historical Score'!$C$8&lt;&gt;""),IF(K961='Historical Score'!$C$8,1,0),0)</f>
        <v>0</v>
      </c>
      <c r="AU961" s="65" t="n">
        <f aca="false">IF(AND(J961&lt;&gt;"",'Historical Score'!$C$9&lt;&gt;""),IF(J961='Historical Score'!$C$9,1,0),0)</f>
        <v>0</v>
      </c>
      <c r="AV961" s="65" t="n">
        <f aca="false">AR961*AS961*AQ961</f>
        <v>0</v>
      </c>
      <c r="AW961" s="65" t="n">
        <f aca="false">AR961*AT961*AQ961</f>
        <v>0</v>
      </c>
      <c r="AX961" s="65" t="n">
        <f aca="false">AR961*AS961</f>
        <v>0</v>
      </c>
      <c r="AY961" s="65" t="n">
        <f aca="false">AR961*AT961</f>
        <v>0</v>
      </c>
      <c r="AZ961" s="65" t="n">
        <f aca="false">AR961*AQ961</f>
        <v>0</v>
      </c>
      <c r="BA961" s="65" t="n">
        <f aca="false">AR961</f>
        <v>1</v>
      </c>
      <c r="BB961" s="65" t="n">
        <f aca="false">1</f>
        <v>1</v>
      </c>
      <c r="BC961" s="65" t="n">
        <f aca="false">IF(AV961=1,1,IF(AW961=1,2,IF(AX961=1,3,IF(AY961=1,4,IF(AZ961=1,5,IF(BA961=1,6,7))))))</f>
        <v>6</v>
      </c>
      <c r="BD961" s="65" t="n">
        <f aca="false">IF(AD961=1,CHOOSE('Historical Score'!$C$29,AV961,AW961,AX961,AY961,AZ961,BA961,BB961),0)</f>
        <v>0</v>
      </c>
      <c r="BE961" s="65" t="str">
        <f aca="false">IF(BD961=1,COUNTIF($BD$2:BD961,1),"")</f>
        <v/>
      </c>
    </row>
    <row r="962" customFormat="false" ht="15" hidden="false" customHeight="false" outlineLevel="0" collapsed="false">
      <c r="A962" s="65" t="s">
        <v>2903</v>
      </c>
      <c r="B962" s="65" t="s">
        <v>2904</v>
      </c>
      <c r="C962" s="65" t="s">
        <v>2905</v>
      </c>
      <c r="D962" s="65" t="s">
        <v>295</v>
      </c>
      <c r="E962" s="112" t="n">
        <v>46189</v>
      </c>
      <c r="F962" s="112" t="n">
        <v>46248</v>
      </c>
      <c r="G962" s="65" t="n">
        <v>4</v>
      </c>
      <c r="H962" s="65" t="s">
        <v>748</v>
      </c>
      <c r="I962" s="65" t="s">
        <v>619</v>
      </c>
      <c r="J962" s="65" t="s">
        <v>432</v>
      </c>
      <c r="K962" s="65" t="s">
        <v>538</v>
      </c>
      <c r="L962" s="65" t="s">
        <v>64</v>
      </c>
      <c r="M962" s="113" t="n">
        <v>1.49</v>
      </c>
      <c r="N962" s="114" t="n">
        <v>10000</v>
      </c>
      <c r="O962" s="114" t="n">
        <v>1400</v>
      </c>
      <c r="P962" s="114" t="n">
        <v>14900</v>
      </c>
      <c r="Q962" s="114" t="n">
        <v>7945.36</v>
      </c>
      <c r="R962" s="114" t="n">
        <v>6954.64</v>
      </c>
      <c r="S962" s="115" t="n">
        <v>0.533245637583893</v>
      </c>
      <c r="T962" s="65" t="n">
        <v>15</v>
      </c>
      <c r="U962" s="65" t="n">
        <v>0</v>
      </c>
      <c r="V962" s="65" t="n">
        <v>25796.55</v>
      </c>
      <c r="W962" s="115" t="n">
        <v>0.154</v>
      </c>
      <c r="X962" s="112" t="n">
        <v>37401</v>
      </c>
      <c r="Y962" s="65" t="str">
        <f aca="false">IF(I962="","No SIC",IFERROR(VLOOKUP(I962,Ref!$A$2:$B$65,2,FALSE()),"Unclassified"))</f>
        <v>Miscellaneous Retail</v>
      </c>
      <c r="Z962" s="65" t="str">
        <f aca="false">IF(T962="","",IF(T962&lt;12,"Daily","Weekly"))</f>
        <v>Weekly</v>
      </c>
      <c r="AA962" s="65" t="n">
        <f aca="false">IF(T962="",0,IF(T962&lt;12,T962*Controls!$B$29,T962*5))</f>
        <v>75</v>
      </c>
      <c r="AB962" s="65" t="n">
        <f aca="false">IF(E962="",0,NETWORKDAYS(E962,Controls!$B$36,Ref!$K$2:$K$42))</f>
        <v>50</v>
      </c>
      <c r="AC962" s="65" t="n">
        <f aca="false">IF(AND(AA962&gt;0,AB962&gt;=Controls!$B$39*AA962),1,0)</f>
        <v>0</v>
      </c>
      <c r="AD962" s="65" t="n">
        <f aca="false">IF(AND(E962&lt;&gt;"",E962&gt;=Controls!$B$37,E962&lt;=Controls!$B$38),1,0)</f>
        <v>1</v>
      </c>
      <c r="AE962" s="65" t="n">
        <f aca="false">IF(IFERROR(VLOOKUP(D962,Controls!$A$64:$E$74,2,FALSE()),"No")="Yes",1,0)</f>
        <v>0</v>
      </c>
      <c r="AF962" s="65" t="n">
        <f aca="false">IF(IFERROR(VLOOKUP(D962,Controls!$A$64:$E$74,3,FALSE()),"No")="Yes",1,0)</f>
        <v>0</v>
      </c>
      <c r="AG962" s="65" t="n">
        <f aca="false">IF(IFERROR(VLOOKUP(D962,Controls!$A$64:$E$74,4,FALSE()),"No")="Yes",1,0)</f>
        <v>0</v>
      </c>
      <c r="AH962" s="65" t="n">
        <f aca="false">IF(IFERROR(VLOOKUP(D962,Controls!$A$64:$E$74,5,FALSE()),"No")="Yes",1,0)</f>
        <v>1</v>
      </c>
      <c r="AI962" s="65" t="n">
        <f aca="false">IF(ISNUMBER(MATCH(D962,Controls!$A$64:$A$74,0)),1,0)</f>
        <v>1</v>
      </c>
      <c r="AJ962" s="65" t="n">
        <f aca="false">Q962-N962</f>
        <v>-2054.64</v>
      </c>
      <c r="AK962" s="65" t="n">
        <f aca="false">IF(AE962=1,MAX(0,N962-Q962),0)</f>
        <v>0</v>
      </c>
      <c r="AL962" s="65" t="n">
        <f aca="false">IF(OR(V962="",V962=0),0,N962/V962)</f>
        <v>0.387648735974384</v>
      </c>
      <c r="AM962" s="65" t="n">
        <f aca="false">IF(OR(V962="",V962=0),0,1)</f>
        <v>1</v>
      </c>
      <c r="AN962" s="65" t="n">
        <f aca="false">IF(OR(E962="",F962=""),0,NETWORKDAYS(E962,F962,Ref!$K$2:$K$42))</f>
        <v>43</v>
      </c>
      <c r="AO962" s="65" t="n">
        <f aca="false">IF(L962="Renewal",1,0)</f>
        <v>0</v>
      </c>
      <c r="AP962" s="65" t="n">
        <f aca="false">AC962*AD962</f>
        <v>0</v>
      </c>
      <c r="AQ962" s="65" t="n">
        <f aca="false">IF(AND(G962&lt;&gt;"",'Historical Score'!$C$6&lt;&gt;""),IF(G962='Historical Score'!$C$6,1,0),0)</f>
        <v>0</v>
      </c>
      <c r="AR962" s="65" t="n">
        <f aca="false">IF(AND(L962&lt;&gt;"",'Historical Score'!$C$5&lt;&gt;""),IF(L962='Historical Score'!$C$5,1,0),0)</f>
        <v>1</v>
      </c>
      <c r="AS962" s="65" t="n">
        <f aca="false">IF(AND(Y962&lt;&gt;"",'Historical Score'!$C$7&lt;&gt;""),IF(Y962='Historical Score'!$C$7,1,0),0)</f>
        <v>0</v>
      </c>
      <c r="AT962" s="65" t="n">
        <f aca="false">IF(AND(K962&lt;&gt;"",'Historical Score'!$C$8&lt;&gt;""),IF(K962='Historical Score'!$C$8,1,0),0)</f>
        <v>0</v>
      </c>
      <c r="AU962" s="65" t="n">
        <f aca="false">IF(AND(J962&lt;&gt;"",'Historical Score'!$C$9&lt;&gt;""),IF(J962='Historical Score'!$C$9,1,0),0)</f>
        <v>0</v>
      </c>
      <c r="AV962" s="65" t="n">
        <f aca="false">AR962*AS962*AQ962</f>
        <v>0</v>
      </c>
      <c r="AW962" s="65" t="n">
        <f aca="false">AR962*AT962*AQ962</f>
        <v>0</v>
      </c>
      <c r="AX962" s="65" t="n">
        <f aca="false">AR962*AS962</f>
        <v>0</v>
      </c>
      <c r="AY962" s="65" t="n">
        <f aca="false">AR962*AT962</f>
        <v>0</v>
      </c>
      <c r="AZ962" s="65" t="n">
        <f aca="false">AR962*AQ962</f>
        <v>0</v>
      </c>
      <c r="BA962" s="65" t="n">
        <f aca="false">AR962</f>
        <v>1</v>
      </c>
      <c r="BB962" s="65" t="n">
        <f aca="false">1</f>
        <v>1</v>
      </c>
      <c r="BC962" s="65" t="n">
        <f aca="false">IF(AV962=1,1,IF(AW962=1,2,IF(AX962=1,3,IF(AY962=1,4,IF(AZ962=1,5,IF(BA962=1,6,7))))))</f>
        <v>6</v>
      </c>
      <c r="BD962" s="65" t="n">
        <f aca="false">IF(AD962=1,CHOOSE('Historical Score'!$C$29,AV962,AW962,AX962,AY962,AZ962,BA962,BB962),0)</f>
        <v>0</v>
      </c>
      <c r="BE962" s="65" t="str">
        <f aca="false">IF(BD962=1,COUNTIF($BD$2:BD962,1),"")</f>
        <v/>
      </c>
    </row>
    <row r="963" customFormat="false" ht="15" hidden="false" customHeight="false" outlineLevel="0" collapsed="false">
      <c r="A963" s="65" t="s">
        <v>2906</v>
      </c>
      <c r="B963" s="65" t="s">
        <v>2907</v>
      </c>
      <c r="C963" s="65" t="s">
        <v>2908</v>
      </c>
      <c r="D963" s="65" t="s">
        <v>533</v>
      </c>
      <c r="E963" s="112" t="n">
        <v>46189</v>
      </c>
      <c r="F963" s="112" t="n">
        <v>46253</v>
      </c>
      <c r="G963" s="65" t="n">
        <v>3</v>
      </c>
      <c r="H963" s="65" t="s">
        <v>752</v>
      </c>
      <c r="I963" s="65" t="s">
        <v>405</v>
      </c>
      <c r="J963" s="65" t="s">
        <v>452</v>
      </c>
      <c r="K963" s="65" t="s">
        <v>55</v>
      </c>
      <c r="L963" s="65" t="s">
        <v>64</v>
      </c>
      <c r="M963" s="113" t="n">
        <v>1.49</v>
      </c>
      <c r="N963" s="114" t="n">
        <v>30000</v>
      </c>
      <c r="O963" s="114" t="n">
        <v>4200</v>
      </c>
      <c r="P963" s="114" t="n">
        <v>44700</v>
      </c>
      <c r="Q963" s="114" t="n">
        <v>3576.68</v>
      </c>
      <c r="R963" s="114" t="n">
        <v>41123.32</v>
      </c>
      <c r="S963" s="115" t="n">
        <v>0.0800152125279642</v>
      </c>
      <c r="T963" s="65" t="n">
        <v>30</v>
      </c>
      <c r="U963" s="65" t="n">
        <v>9</v>
      </c>
      <c r="V963" s="65" t="n">
        <v>72081.56</v>
      </c>
      <c r="W963" s="115" t="n">
        <v>0.0827</v>
      </c>
      <c r="X963" s="112" t="n">
        <v>43780</v>
      </c>
      <c r="Y963" s="65" t="str">
        <f aca="false">IF(I963="","No SIC",IFERROR(VLOOKUP(I963,Ref!$A$2:$B$65,2,FALSE()),"Unclassified"))</f>
        <v>Health Services</v>
      </c>
      <c r="Z963" s="65" t="str">
        <f aca="false">IF(T963="","",IF(T963&lt;12,"Daily","Weekly"))</f>
        <v>Weekly</v>
      </c>
      <c r="AA963" s="65" t="n">
        <f aca="false">IF(T963="",0,IF(T963&lt;12,T963*Controls!$B$29,T963*5))</f>
        <v>150</v>
      </c>
      <c r="AB963" s="65" t="n">
        <f aca="false">IF(E963="",0,NETWORKDAYS(E963,Controls!$B$36,Ref!$K$2:$K$42))</f>
        <v>50</v>
      </c>
      <c r="AC963" s="65" t="n">
        <f aca="false">IF(AND(AA963&gt;0,AB963&gt;=Controls!$B$39*AA963),1,0)</f>
        <v>0</v>
      </c>
      <c r="AD963" s="65" t="n">
        <f aca="false">IF(AND(E963&lt;&gt;"",E963&gt;=Controls!$B$37,E963&lt;=Controls!$B$38),1,0)</f>
        <v>1</v>
      </c>
      <c r="AE963" s="65" t="n">
        <f aca="false">IF(IFERROR(VLOOKUP(D963,Controls!$A$64:$E$74,2,FALSE()),"No")="Yes",1,0)</f>
        <v>1</v>
      </c>
      <c r="AF963" s="65" t="n">
        <f aca="false">IF(IFERROR(VLOOKUP(D963,Controls!$A$64:$E$74,3,FALSE()),"No")="Yes",1,0)</f>
        <v>0</v>
      </c>
      <c r="AG963" s="65" t="n">
        <f aca="false">IF(IFERROR(VLOOKUP(D963,Controls!$A$64:$E$74,4,FALSE()),"No")="Yes",1,0)</f>
        <v>0</v>
      </c>
      <c r="AH963" s="65" t="n">
        <f aca="false">IF(IFERROR(VLOOKUP(D963,Controls!$A$64:$E$74,5,FALSE()),"No")="Yes",1,0)</f>
        <v>0</v>
      </c>
      <c r="AI963" s="65" t="n">
        <f aca="false">IF(ISNUMBER(MATCH(D963,Controls!$A$64:$A$74,0)),1,0)</f>
        <v>1</v>
      </c>
      <c r="AJ963" s="65" t="n">
        <f aca="false">Q963-N963</f>
        <v>-26423.32</v>
      </c>
      <c r="AK963" s="65" t="n">
        <f aca="false">IF(AE963=1,MAX(0,N963-Q963),0)</f>
        <v>26423.32</v>
      </c>
      <c r="AL963" s="65" t="n">
        <f aca="false">IF(OR(V963="",V963=0),0,N963/V963)</f>
        <v>0.416195209981582</v>
      </c>
      <c r="AM963" s="65" t="n">
        <f aca="false">IF(OR(V963="",V963=0),0,1)</f>
        <v>1</v>
      </c>
      <c r="AN963" s="65" t="n">
        <f aca="false">IF(OR(E963="",F963=""),0,NETWORKDAYS(E963,F963,Ref!$K$2:$K$42))</f>
        <v>46</v>
      </c>
      <c r="AO963" s="65" t="n">
        <f aca="false">IF(L963="Renewal",1,0)</f>
        <v>0</v>
      </c>
      <c r="AP963" s="65" t="n">
        <f aca="false">AC963*AD963</f>
        <v>0</v>
      </c>
      <c r="AQ963" s="65" t="n">
        <f aca="false">IF(AND(G963&lt;&gt;"",'Historical Score'!$C$6&lt;&gt;""),IF(G963='Historical Score'!$C$6,1,0),0)</f>
        <v>0</v>
      </c>
      <c r="AR963" s="65" t="n">
        <f aca="false">IF(AND(L963&lt;&gt;"",'Historical Score'!$C$5&lt;&gt;""),IF(L963='Historical Score'!$C$5,1,0),0)</f>
        <v>1</v>
      </c>
      <c r="AS963" s="65" t="n">
        <f aca="false">IF(AND(Y963&lt;&gt;"",'Historical Score'!$C$7&lt;&gt;""),IF(Y963='Historical Score'!$C$7,1,0),0)</f>
        <v>0</v>
      </c>
      <c r="AT963" s="65" t="n">
        <f aca="false">IF(AND(K963&lt;&gt;"",'Historical Score'!$C$8&lt;&gt;""),IF(K963='Historical Score'!$C$8,1,0),0)</f>
        <v>1</v>
      </c>
      <c r="AU963" s="65" t="n">
        <f aca="false">IF(AND(J963&lt;&gt;"",'Historical Score'!$C$9&lt;&gt;""),IF(J963='Historical Score'!$C$9,1,0),0)</f>
        <v>0</v>
      </c>
      <c r="AV963" s="65" t="n">
        <f aca="false">AR963*AS963*AQ963</f>
        <v>0</v>
      </c>
      <c r="AW963" s="65" t="n">
        <f aca="false">AR963*AT963*AQ963</f>
        <v>0</v>
      </c>
      <c r="AX963" s="65" t="n">
        <f aca="false">AR963*AS963</f>
        <v>0</v>
      </c>
      <c r="AY963" s="65" t="n">
        <f aca="false">AR963*AT963</f>
        <v>1</v>
      </c>
      <c r="AZ963" s="65" t="n">
        <f aca="false">AR963*AQ963</f>
        <v>0</v>
      </c>
      <c r="BA963" s="65" t="n">
        <f aca="false">AR963</f>
        <v>1</v>
      </c>
      <c r="BB963" s="65" t="n">
        <f aca="false">1</f>
        <v>1</v>
      </c>
      <c r="BC963" s="65" t="n">
        <f aca="false">IF(AV963=1,1,IF(AW963=1,2,IF(AX963=1,3,IF(AY963=1,4,IF(AZ963=1,5,IF(BA963=1,6,7))))))</f>
        <v>4</v>
      </c>
      <c r="BD963" s="65" t="n">
        <f aca="false">IF(AD963=1,CHOOSE('Historical Score'!$C$29,AV963,AW963,AX963,AY963,AZ963,BA963,BB963),0)</f>
        <v>0</v>
      </c>
      <c r="BE963" s="65" t="str">
        <f aca="false">IF(BD963=1,COUNTIF($BD$2:BD963,1),"")</f>
        <v/>
      </c>
    </row>
    <row r="964" customFormat="false" ht="15" hidden="false" customHeight="false" outlineLevel="0" collapsed="false">
      <c r="A964" s="65" t="s">
        <v>2909</v>
      </c>
      <c r="B964" s="65" t="s">
        <v>2910</v>
      </c>
      <c r="C964" s="65" t="s">
        <v>2911</v>
      </c>
      <c r="D964" s="65" t="s">
        <v>533</v>
      </c>
      <c r="E964" s="112" t="n">
        <v>46189</v>
      </c>
      <c r="F964" s="112" t="n">
        <v>46209</v>
      </c>
      <c r="G964" s="65" t="n">
        <v>3</v>
      </c>
      <c r="H964" s="65" t="s">
        <v>748</v>
      </c>
      <c r="I964" s="65" t="s">
        <v>619</v>
      </c>
      <c r="J964" s="65" t="s">
        <v>854</v>
      </c>
      <c r="K964" s="65" t="s">
        <v>1047</v>
      </c>
      <c r="L964" s="65" t="s">
        <v>64</v>
      </c>
      <c r="M964" s="113" t="n">
        <v>1.49</v>
      </c>
      <c r="N964" s="114" t="n">
        <v>12000</v>
      </c>
      <c r="O964" s="114" t="n">
        <v>1680</v>
      </c>
      <c r="P964" s="114" t="n">
        <v>17880</v>
      </c>
      <c r="Q964" s="114" t="n">
        <v>1564.62</v>
      </c>
      <c r="R964" s="114" t="n">
        <v>16315.38</v>
      </c>
      <c r="S964" s="115" t="n">
        <v>0.087506711409396</v>
      </c>
      <c r="T964" s="65" t="n">
        <v>2.951</v>
      </c>
      <c r="U964" s="65" t="n">
        <v>3</v>
      </c>
      <c r="V964" s="65" t="n">
        <v>101914.65</v>
      </c>
      <c r="W964" s="115" t="n">
        <v>0.0409</v>
      </c>
      <c r="X964" s="112" t="n">
        <v>45324</v>
      </c>
      <c r="Y964" s="65" t="str">
        <f aca="false">IF(I964="","No SIC",IFERROR(VLOOKUP(I964,Ref!$A$2:$B$65,2,FALSE()),"Unclassified"))</f>
        <v>Miscellaneous Retail</v>
      </c>
      <c r="Z964" s="65" t="str">
        <f aca="false">IF(T964="","",IF(T964&lt;12,"Daily","Weekly"))</f>
        <v>Daily</v>
      </c>
      <c r="AA964" s="65" t="n">
        <f aca="false">IF(T964="",0,IF(T964&lt;12,T964*Controls!$B$29,T964*5))</f>
        <v>63.903905</v>
      </c>
      <c r="AB964" s="65" t="n">
        <f aca="false">IF(E964="",0,NETWORKDAYS(E964,Controls!$B$36,Ref!$K$2:$K$42))</f>
        <v>50</v>
      </c>
      <c r="AC964" s="65" t="n">
        <f aca="false">IF(AND(AA964&gt;0,AB964&gt;=Controls!$B$39*AA964),1,0)</f>
        <v>0</v>
      </c>
      <c r="AD964" s="65" t="n">
        <f aca="false">IF(AND(E964&lt;&gt;"",E964&gt;=Controls!$B$37,E964&lt;=Controls!$B$38),1,0)</f>
        <v>1</v>
      </c>
      <c r="AE964" s="65" t="n">
        <f aca="false">IF(IFERROR(VLOOKUP(D964,Controls!$A$64:$E$74,2,FALSE()),"No")="Yes",1,0)</f>
        <v>1</v>
      </c>
      <c r="AF964" s="65" t="n">
        <f aca="false">IF(IFERROR(VLOOKUP(D964,Controls!$A$64:$E$74,3,FALSE()),"No")="Yes",1,0)</f>
        <v>0</v>
      </c>
      <c r="AG964" s="65" t="n">
        <f aca="false">IF(IFERROR(VLOOKUP(D964,Controls!$A$64:$E$74,4,FALSE()),"No")="Yes",1,0)</f>
        <v>0</v>
      </c>
      <c r="AH964" s="65" t="n">
        <f aca="false">IF(IFERROR(VLOOKUP(D964,Controls!$A$64:$E$74,5,FALSE()),"No")="Yes",1,0)</f>
        <v>0</v>
      </c>
      <c r="AI964" s="65" t="n">
        <f aca="false">IF(ISNUMBER(MATCH(D964,Controls!$A$64:$A$74,0)),1,0)</f>
        <v>1</v>
      </c>
      <c r="AJ964" s="65" t="n">
        <f aca="false">Q964-N964</f>
        <v>-10435.38</v>
      </c>
      <c r="AK964" s="65" t="n">
        <f aca="false">IF(AE964=1,MAX(0,N964-Q964),0)</f>
        <v>10435.38</v>
      </c>
      <c r="AL964" s="65" t="n">
        <f aca="false">IF(OR(V964="",V964=0),0,N964/V964)</f>
        <v>0.117745584172639</v>
      </c>
      <c r="AM964" s="65" t="n">
        <f aca="false">IF(OR(V964="",V964=0),0,1)</f>
        <v>1</v>
      </c>
      <c r="AN964" s="65" t="n">
        <f aca="false">IF(OR(E964="",F964=""),0,NETWORKDAYS(E964,F964,Ref!$K$2:$K$42))</f>
        <v>14</v>
      </c>
      <c r="AO964" s="65" t="n">
        <f aca="false">IF(L964="Renewal",1,0)</f>
        <v>0</v>
      </c>
      <c r="AP964" s="65" t="n">
        <f aca="false">AC964*AD964</f>
        <v>0</v>
      </c>
      <c r="AQ964" s="65" t="n">
        <f aca="false">IF(AND(G964&lt;&gt;"",'Historical Score'!$C$6&lt;&gt;""),IF(G964='Historical Score'!$C$6,1,0),0)</f>
        <v>0</v>
      </c>
      <c r="AR964" s="65" t="n">
        <f aca="false">IF(AND(L964&lt;&gt;"",'Historical Score'!$C$5&lt;&gt;""),IF(L964='Historical Score'!$C$5,1,0),0)</f>
        <v>1</v>
      </c>
      <c r="AS964" s="65" t="n">
        <f aca="false">IF(AND(Y964&lt;&gt;"",'Historical Score'!$C$7&lt;&gt;""),IF(Y964='Historical Score'!$C$7,1,0),0)</f>
        <v>0</v>
      </c>
      <c r="AT964" s="65" t="n">
        <f aca="false">IF(AND(K964&lt;&gt;"",'Historical Score'!$C$8&lt;&gt;""),IF(K964='Historical Score'!$C$8,1,0),0)</f>
        <v>0</v>
      </c>
      <c r="AU964" s="65" t="n">
        <f aca="false">IF(AND(J964&lt;&gt;"",'Historical Score'!$C$9&lt;&gt;""),IF(J964='Historical Score'!$C$9,1,0),0)</f>
        <v>0</v>
      </c>
      <c r="AV964" s="65" t="n">
        <f aca="false">AR964*AS964*AQ964</f>
        <v>0</v>
      </c>
      <c r="AW964" s="65" t="n">
        <f aca="false">AR964*AT964*AQ964</f>
        <v>0</v>
      </c>
      <c r="AX964" s="65" t="n">
        <f aca="false">AR964*AS964</f>
        <v>0</v>
      </c>
      <c r="AY964" s="65" t="n">
        <f aca="false">AR964*AT964</f>
        <v>0</v>
      </c>
      <c r="AZ964" s="65" t="n">
        <f aca="false">AR964*AQ964</f>
        <v>0</v>
      </c>
      <c r="BA964" s="65" t="n">
        <f aca="false">AR964</f>
        <v>1</v>
      </c>
      <c r="BB964" s="65" t="n">
        <f aca="false">1</f>
        <v>1</v>
      </c>
      <c r="BC964" s="65" t="n">
        <f aca="false">IF(AV964=1,1,IF(AW964=1,2,IF(AX964=1,3,IF(AY964=1,4,IF(AZ964=1,5,IF(BA964=1,6,7))))))</f>
        <v>6</v>
      </c>
      <c r="BD964" s="65" t="n">
        <f aca="false">IF(AD964=1,CHOOSE('Historical Score'!$C$29,AV964,AW964,AX964,AY964,AZ964,BA964,BB964),0)</f>
        <v>0</v>
      </c>
      <c r="BE964" s="65" t="str">
        <f aca="false">IF(BD964=1,COUNTIF($BD$2:BD964,1),"")</f>
        <v/>
      </c>
    </row>
    <row r="965" customFormat="false" ht="15" hidden="false" customHeight="false" outlineLevel="0" collapsed="false">
      <c r="A965" s="65" t="s">
        <v>2912</v>
      </c>
      <c r="B965" s="65" t="s">
        <v>2913</v>
      </c>
      <c r="C965" s="65" t="s">
        <v>2914</v>
      </c>
      <c r="D965" s="65" t="s">
        <v>295</v>
      </c>
      <c r="E965" s="112" t="n">
        <v>46190</v>
      </c>
      <c r="F965" s="112" t="n">
        <v>46253</v>
      </c>
      <c r="G965" s="65" t="n">
        <v>1</v>
      </c>
      <c r="H965" s="65" t="s">
        <v>2915</v>
      </c>
      <c r="I965" s="65" t="s">
        <v>1317</v>
      </c>
      <c r="J965" s="65" t="s">
        <v>772</v>
      </c>
      <c r="K965" s="65" t="s">
        <v>2876</v>
      </c>
      <c r="L965" s="65" t="s">
        <v>64</v>
      </c>
      <c r="M965" s="113" t="n">
        <v>1.35</v>
      </c>
      <c r="N965" s="114" t="n">
        <v>175000</v>
      </c>
      <c r="O965" s="114" t="n">
        <v>12250</v>
      </c>
      <c r="P965" s="114" t="n">
        <v>236250</v>
      </c>
      <c r="Q965" s="114" t="n">
        <v>48933.54</v>
      </c>
      <c r="R965" s="114" t="n">
        <v>187316.46</v>
      </c>
      <c r="S965" s="115" t="n">
        <v>0.207126095238095</v>
      </c>
      <c r="T965" s="65" t="n">
        <v>40</v>
      </c>
      <c r="U965" s="65" t="n">
        <v>0</v>
      </c>
      <c r="V965" s="65" t="n">
        <v>267221.26</v>
      </c>
      <c r="W965" s="115" t="n">
        <v>0.0884</v>
      </c>
      <c r="X965" s="112" t="n">
        <v>43466</v>
      </c>
      <c r="Y965" s="65" t="str">
        <f aca="false">IF(I965="","No SIC",IFERROR(VLOOKUP(I965,Ref!$A$2:$B$65,2,FALSE()),"Unclassified"))</f>
        <v>Apparel &amp; Textile Products</v>
      </c>
      <c r="Z965" s="65" t="str">
        <f aca="false">IF(T965="","",IF(T965&lt;12,"Daily","Weekly"))</f>
        <v>Weekly</v>
      </c>
      <c r="AA965" s="65" t="n">
        <f aca="false">IF(T965="",0,IF(T965&lt;12,T965*Controls!$B$29,T965*5))</f>
        <v>200</v>
      </c>
      <c r="AB965" s="65" t="n">
        <f aca="false">IF(E965="",0,NETWORKDAYS(E965,Controls!$B$36,Ref!$K$2:$K$42))</f>
        <v>49</v>
      </c>
      <c r="AC965" s="65" t="n">
        <f aca="false">IF(AND(AA965&gt;0,AB965&gt;=Controls!$B$39*AA965),1,0)</f>
        <v>0</v>
      </c>
      <c r="AD965" s="65" t="n">
        <f aca="false">IF(AND(E965&lt;&gt;"",E965&gt;=Controls!$B$37,E965&lt;=Controls!$B$38),1,0)</f>
        <v>1</v>
      </c>
      <c r="AE965" s="65" t="n">
        <f aca="false">IF(IFERROR(VLOOKUP(D965,Controls!$A$64:$E$74,2,FALSE()),"No")="Yes",1,0)</f>
        <v>0</v>
      </c>
      <c r="AF965" s="65" t="n">
        <f aca="false">IF(IFERROR(VLOOKUP(D965,Controls!$A$64:$E$74,3,FALSE()),"No")="Yes",1,0)</f>
        <v>0</v>
      </c>
      <c r="AG965" s="65" t="n">
        <f aca="false">IF(IFERROR(VLOOKUP(D965,Controls!$A$64:$E$74,4,FALSE()),"No")="Yes",1,0)</f>
        <v>0</v>
      </c>
      <c r="AH965" s="65" t="n">
        <f aca="false">IF(IFERROR(VLOOKUP(D965,Controls!$A$64:$E$74,5,FALSE()),"No")="Yes",1,0)</f>
        <v>1</v>
      </c>
      <c r="AI965" s="65" t="n">
        <f aca="false">IF(ISNUMBER(MATCH(D965,Controls!$A$64:$A$74,0)),1,0)</f>
        <v>1</v>
      </c>
      <c r="AJ965" s="65" t="n">
        <f aca="false">Q965-N965</f>
        <v>-126066.46</v>
      </c>
      <c r="AK965" s="65" t="n">
        <f aca="false">IF(AE965=1,MAX(0,N965-Q965),0)</f>
        <v>0</v>
      </c>
      <c r="AL965" s="65" t="n">
        <f aca="false">IF(OR(V965="",V965=0),0,N965/V965)</f>
        <v>0.654888013027107</v>
      </c>
      <c r="AM965" s="65" t="n">
        <f aca="false">IF(OR(V965="",V965=0),0,1)</f>
        <v>1</v>
      </c>
      <c r="AN965" s="65" t="n">
        <f aca="false">IF(OR(E965="",F965=""),0,NETWORKDAYS(E965,F965,Ref!$K$2:$K$42))</f>
        <v>45</v>
      </c>
      <c r="AO965" s="65" t="n">
        <f aca="false">IF(L965="Renewal",1,0)</f>
        <v>0</v>
      </c>
      <c r="AP965" s="65" t="n">
        <f aca="false">AC965*AD965</f>
        <v>0</v>
      </c>
      <c r="AQ965" s="65" t="n">
        <f aca="false">IF(AND(G965&lt;&gt;"",'Historical Score'!$C$6&lt;&gt;""),IF(G965='Historical Score'!$C$6,1,0),0)</f>
        <v>0</v>
      </c>
      <c r="AR965" s="65" t="n">
        <f aca="false">IF(AND(L965&lt;&gt;"",'Historical Score'!$C$5&lt;&gt;""),IF(L965='Historical Score'!$C$5,1,0),0)</f>
        <v>1</v>
      </c>
      <c r="AS965" s="65" t="n">
        <f aca="false">IF(AND(Y965&lt;&gt;"",'Historical Score'!$C$7&lt;&gt;""),IF(Y965='Historical Score'!$C$7,1,0),0)</f>
        <v>0</v>
      </c>
      <c r="AT965" s="65" t="n">
        <f aca="false">IF(AND(K965&lt;&gt;"",'Historical Score'!$C$8&lt;&gt;""),IF(K965='Historical Score'!$C$8,1,0),0)</f>
        <v>0</v>
      </c>
      <c r="AU965" s="65" t="n">
        <f aca="false">IF(AND(J965&lt;&gt;"",'Historical Score'!$C$9&lt;&gt;""),IF(J965='Historical Score'!$C$9,1,0),0)</f>
        <v>0</v>
      </c>
      <c r="AV965" s="65" t="n">
        <f aca="false">AR965*AS965*AQ965</f>
        <v>0</v>
      </c>
      <c r="AW965" s="65" t="n">
        <f aca="false">AR965*AT965*AQ965</f>
        <v>0</v>
      </c>
      <c r="AX965" s="65" t="n">
        <f aca="false">AR965*AS965</f>
        <v>0</v>
      </c>
      <c r="AY965" s="65" t="n">
        <f aca="false">AR965*AT965</f>
        <v>0</v>
      </c>
      <c r="AZ965" s="65" t="n">
        <f aca="false">AR965*AQ965</f>
        <v>0</v>
      </c>
      <c r="BA965" s="65" t="n">
        <f aca="false">AR965</f>
        <v>1</v>
      </c>
      <c r="BB965" s="65" t="n">
        <f aca="false">1</f>
        <v>1</v>
      </c>
      <c r="BC965" s="65" t="n">
        <f aca="false">IF(AV965=1,1,IF(AW965=1,2,IF(AX965=1,3,IF(AY965=1,4,IF(AZ965=1,5,IF(BA965=1,6,7))))))</f>
        <v>6</v>
      </c>
      <c r="BD965" s="65" t="n">
        <f aca="false">IF(AD965=1,CHOOSE('Historical Score'!$C$29,AV965,AW965,AX965,AY965,AZ965,BA965,BB965),0)</f>
        <v>0</v>
      </c>
      <c r="BE965" s="65" t="str">
        <f aca="false">IF(BD965=1,COUNTIF($BD$2:BD965,1),"")</f>
        <v/>
      </c>
    </row>
    <row r="966" customFormat="false" ht="15" hidden="false" customHeight="false" outlineLevel="0" collapsed="false">
      <c r="A966" s="65" t="s">
        <v>2916</v>
      </c>
      <c r="B966" s="65" t="s">
        <v>1588</v>
      </c>
      <c r="C966" s="65" t="s">
        <v>1588</v>
      </c>
      <c r="D966" s="65" t="s">
        <v>295</v>
      </c>
      <c r="E966" s="112" t="n">
        <v>46190</v>
      </c>
      <c r="F966" s="112" t="n">
        <v>46253</v>
      </c>
      <c r="G966" s="65" t="n">
        <v>4</v>
      </c>
      <c r="H966" s="65" t="s">
        <v>1589</v>
      </c>
      <c r="I966" s="65" t="s">
        <v>1590</v>
      </c>
      <c r="J966" s="65" t="s">
        <v>1254</v>
      </c>
      <c r="K966" s="65" t="s">
        <v>1591</v>
      </c>
      <c r="L966" s="65" t="s">
        <v>64</v>
      </c>
      <c r="M966" s="113" t="n">
        <v>1.49</v>
      </c>
      <c r="N966" s="114" t="n">
        <v>5000</v>
      </c>
      <c r="O966" s="114" t="n">
        <v>700</v>
      </c>
      <c r="P966" s="114" t="n">
        <v>7450</v>
      </c>
      <c r="Q966" s="114" t="n">
        <v>2683.08</v>
      </c>
      <c r="R966" s="114" t="n">
        <v>4766.92</v>
      </c>
      <c r="S966" s="115" t="n">
        <v>0.360144966442953</v>
      </c>
      <c r="T966" s="65" t="n">
        <v>3.279</v>
      </c>
      <c r="U966" s="65" t="n">
        <v>3</v>
      </c>
      <c r="V966" s="65" t="n">
        <v>14600.1</v>
      </c>
      <c r="W966" s="115" t="n">
        <v>0.1072</v>
      </c>
      <c r="X966" s="112" t="n">
        <v>40349</v>
      </c>
      <c r="Y966" s="65" t="str">
        <f aca="false">IF(I966="","No SIC",IFERROR(VLOOKUP(I966,Ref!$A$2:$B$65,2,FALSE()),"Unclassified"))</f>
        <v>Legal Services</v>
      </c>
      <c r="Z966" s="65" t="str">
        <f aca="false">IF(T966="","",IF(T966&lt;12,"Daily","Weekly"))</f>
        <v>Daily</v>
      </c>
      <c r="AA966" s="65" t="n">
        <f aca="false">IF(T966="",0,IF(T966&lt;12,T966*Controls!$B$29,T966*5))</f>
        <v>71.006745</v>
      </c>
      <c r="AB966" s="65" t="n">
        <f aca="false">IF(E966="",0,NETWORKDAYS(E966,Controls!$B$36,Ref!$K$2:$K$42))</f>
        <v>49</v>
      </c>
      <c r="AC966" s="65" t="n">
        <f aca="false">IF(AND(AA966&gt;0,AB966&gt;=Controls!$B$39*AA966),1,0)</f>
        <v>0</v>
      </c>
      <c r="AD966" s="65" t="n">
        <f aca="false">IF(AND(E966&lt;&gt;"",E966&gt;=Controls!$B$37,E966&lt;=Controls!$B$38),1,0)</f>
        <v>1</v>
      </c>
      <c r="AE966" s="65" t="n">
        <f aca="false">IF(IFERROR(VLOOKUP(D966,Controls!$A$64:$E$74,2,FALSE()),"No")="Yes",1,0)</f>
        <v>0</v>
      </c>
      <c r="AF966" s="65" t="n">
        <f aca="false">IF(IFERROR(VLOOKUP(D966,Controls!$A$64:$E$74,3,FALSE()),"No")="Yes",1,0)</f>
        <v>0</v>
      </c>
      <c r="AG966" s="65" t="n">
        <f aca="false">IF(IFERROR(VLOOKUP(D966,Controls!$A$64:$E$74,4,FALSE()),"No")="Yes",1,0)</f>
        <v>0</v>
      </c>
      <c r="AH966" s="65" t="n">
        <f aca="false">IF(IFERROR(VLOOKUP(D966,Controls!$A$64:$E$74,5,FALSE()),"No")="Yes",1,0)</f>
        <v>1</v>
      </c>
      <c r="AI966" s="65" t="n">
        <f aca="false">IF(ISNUMBER(MATCH(D966,Controls!$A$64:$A$74,0)),1,0)</f>
        <v>1</v>
      </c>
      <c r="AJ966" s="65" t="n">
        <f aca="false">Q966-N966</f>
        <v>-2316.92</v>
      </c>
      <c r="AK966" s="65" t="n">
        <f aca="false">IF(AE966=1,MAX(0,N966-Q966),0)</f>
        <v>0</v>
      </c>
      <c r="AL966" s="65" t="n">
        <f aca="false">IF(OR(V966="",V966=0),0,N966/V966)</f>
        <v>0.342463407784878</v>
      </c>
      <c r="AM966" s="65" t="n">
        <f aca="false">IF(OR(V966="",V966=0),0,1)</f>
        <v>1</v>
      </c>
      <c r="AN966" s="65" t="n">
        <f aca="false">IF(OR(E966="",F966=""),0,NETWORKDAYS(E966,F966,Ref!$K$2:$K$42))</f>
        <v>45</v>
      </c>
      <c r="AO966" s="65" t="n">
        <f aca="false">IF(L966="Renewal",1,0)</f>
        <v>0</v>
      </c>
      <c r="AP966" s="65" t="n">
        <f aca="false">AC966*AD966</f>
        <v>0</v>
      </c>
      <c r="AQ966" s="65" t="n">
        <f aca="false">IF(AND(G966&lt;&gt;"",'Historical Score'!$C$6&lt;&gt;""),IF(G966='Historical Score'!$C$6,1,0),0)</f>
        <v>0</v>
      </c>
      <c r="AR966" s="65" t="n">
        <f aca="false">IF(AND(L966&lt;&gt;"",'Historical Score'!$C$5&lt;&gt;""),IF(L966='Historical Score'!$C$5,1,0),0)</f>
        <v>1</v>
      </c>
      <c r="AS966" s="65" t="n">
        <f aca="false">IF(AND(Y966&lt;&gt;"",'Historical Score'!$C$7&lt;&gt;""),IF(Y966='Historical Score'!$C$7,1,0),0)</f>
        <v>0</v>
      </c>
      <c r="AT966" s="65" t="n">
        <f aca="false">IF(AND(K966&lt;&gt;"",'Historical Score'!$C$8&lt;&gt;""),IF(K966='Historical Score'!$C$8,1,0),0)</f>
        <v>0</v>
      </c>
      <c r="AU966" s="65" t="n">
        <f aca="false">IF(AND(J966&lt;&gt;"",'Historical Score'!$C$9&lt;&gt;""),IF(J966='Historical Score'!$C$9,1,0),0)</f>
        <v>0</v>
      </c>
      <c r="AV966" s="65" t="n">
        <f aca="false">AR966*AS966*AQ966</f>
        <v>0</v>
      </c>
      <c r="AW966" s="65" t="n">
        <f aca="false">AR966*AT966*AQ966</f>
        <v>0</v>
      </c>
      <c r="AX966" s="65" t="n">
        <f aca="false">AR966*AS966</f>
        <v>0</v>
      </c>
      <c r="AY966" s="65" t="n">
        <f aca="false">AR966*AT966</f>
        <v>0</v>
      </c>
      <c r="AZ966" s="65" t="n">
        <f aca="false">AR966*AQ966</f>
        <v>0</v>
      </c>
      <c r="BA966" s="65" t="n">
        <f aca="false">AR966</f>
        <v>1</v>
      </c>
      <c r="BB966" s="65" t="n">
        <f aca="false">1</f>
        <v>1</v>
      </c>
      <c r="BC966" s="65" t="n">
        <f aca="false">IF(AV966=1,1,IF(AW966=1,2,IF(AX966=1,3,IF(AY966=1,4,IF(AZ966=1,5,IF(BA966=1,6,7))))))</f>
        <v>6</v>
      </c>
      <c r="BD966" s="65" t="n">
        <f aca="false">IF(AD966=1,CHOOSE('Historical Score'!$C$29,AV966,AW966,AX966,AY966,AZ966,BA966,BB966),0)</f>
        <v>0</v>
      </c>
      <c r="BE966" s="65" t="str">
        <f aca="false">IF(BD966=1,COUNTIF($BD$2:BD966,1),"")</f>
        <v/>
      </c>
    </row>
    <row r="967" customFormat="false" ht="15" hidden="false" customHeight="false" outlineLevel="0" collapsed="false">
      <c r="A967" s="65" t="s">
        <v>2917</v>
      </c>
      <c r="B967" s="65" t="s">
        <v>2918</v>
      </c>
      <c r="C967" s="65" t="s">
        <v>2919</v>
      </c>
      <c r="D967" s="65" t="s">
        <v>371</v>
      </c>
      <c r="E967" s="112" t="n">
        <v>46190</v>
      </c>
      <c r="F967" s="112" t="n">
        <v>46253</v>
      </c>
      <c r="G967" s="65" t="n">
        <v>4</v>
      </c>
      <c r="H967" s="65" t="s">
        <v>409</v>
      </c>
      <c r="I967" s="65" t="s">
        <v>342</v>
      </c>
      <c r="J967" s="65" t="s">
        <v>452</v>
      </c>
      <c r="K967" s="65" t="s">
        <v>538</v>
      </c>
      <c r="L967" s="65" t="s">
        <v>64</v>
      </c>
      <c r="M967" s="113" t="n">
        <v>1.15000254</v>
      </c>
      <c r="N967" s="114" t="n">
        <v>315000</v>
      </c>
      <c r="O967" s="114" t="n">
        <v>35437.5</v>
      </c>
      <c r="P967" s="114" t="n">
        <v>362250.8001</v>
      </c>
      <c r="Q967" s="114" t="n">
        <v>362250.8</v>
      </c>
      <c r="R967" s="114" t="n">
        <v>0.000100000004749745</v>
      </c>
      <c r="S967" s="115" t="n">
        <v>0.999999999723948</v>
      </c>
      <c r="T967" s="65" t="n">
        <v>40</v>
      </c>
      <c r="U967" s="65" t="n">
        <v>0</v>
      </c>
      <c r="V967" s="65" t="n">
        <v>949336.14</v>
      </c>
      <c r="W967" s="115" t="n">
        <v>0.0461</v>
      </c>
      <c r="X967" s="112" t="n">
        <v>38959</v>
      </c>
      <c r="Y967" s="65" t="str">
        <f aca="false">IF(I967="","No SIC",IFERROR(VLOOKUP(I967,Ref!$A$2:$B$65,2,FALSE()),"Unclassified"))</f>
        <v>Eating &amp; Drinking Places</v>
      </c>
      <c r="Z967" s="65" t="str">
        <f aca="false">IF(T967="","",IF(T967&lt;12,"Daily","Weekly"))</f>
        <v>Weekly</v>
      </c>
      <c r="AA967" s="65" t="n">
        <f aca="false">IF(T967="",0,IF(T967&lt;12,T967*Controls!$B$29,T967*5))</f>
        <v>200</v>
      </c>
      <c r="AB967" s="65" t="n">
        <f aca="false">IF(E967="",0,NETWORKDAYS(E967,Controls!$B$36,Ref!$K$2:$K$42))</f>
        <v>49</v>
      </c>
      <c r="AC967" s="65" t="n">
        <f aca="false">IF(AND(AA967&gt;0,AB967&gt;=Controls!$B$39*AA967),1,0)</f>
        <v>0</v>
      </c>
      <c r="AD967" s="65" t="n">
        <f aca="false">IF(AND(E967&lt;&gt;"",E967&gt;=Controls!$B$37,E967&lt;=Controls!$B$38),1,0)</f>
        <v>1</v>
      </c>
      <c r="AE967" s="65" t="n">
        <f aca="false">IF(IFERROR(VLOOKUP(D967,Controls!$A$64:$E$74,2,FALSE()),"No")="Yes",1,0)</f>
        <v>0</v>
      </c>
      <c r="AF967" s="65" t="n">
        <f aca="false">IF(IFERROR(VLOOKUP(D967,Controls!$A$64:$E$74,3,FALSE()),"No")="Yes",1,0)</f>
        <v>1</v>
      </c>
      <c r="AG967" s="65" t="n">
        <f aca="false">IF(IFERROR(VLOOKUP(D967,Controls!$A$64:$E$74,4,FALSE()),"No")="Yes",1,0)</f>
        <v>1</v>
      </c>
      <c r="AH967" s="65" t="n">
        <f aca="false">IF(IFERROR(VLOOKUP(D967,Controls!$A$64:$E$74,5,FALSE()),"No")="Yes",1,0)</f>
        <v>0</v>
      </c>
      <c r="AI967" s="65" t="n">
        <f aca="false">IF(ISNUMBER(MATCH(D967,Controls!$A$64:$A$74,0)),1,0)</f>
        <v>1</v>
      </c>
      <c r="AJ967" s="65" t="n">
        <f aca="false">Q967-N967</f>
        <v>47250.8</v>
      </c>
      <c r="AK967" s="65" t="n">
        <f aca="false">IF(AE967=1,MAX(0,N967-Q967),0)</f>
        <v>0</v>
      </c>
      <c r="AL967" s="65" t="n">
        <f aca="false">IF(OR(V967="",V967=0),0,N967/V967)</f>
        <v>0.331810816767178</v>
      </c>
      <c r="AM967" s="65" t="n">
        <f aca="false">IF(OR(V967="",V967=0),0,1)</f>
        <v>1</v>
      </c>
      <c r="AN967" s="65" t="n">
        <f aca="false">IF(OR(E967="",F967=""),0,NETWORKDAYS(E967,F967,Ref!$K$2:$K$42))</f>
        <v>45</v>
      </c>
      <c r="AO967" s="65" t="n">
        <f aca="false">IF(L967="Renewal",1,0)</f>
        <v>0</v>
      </c>
      <c r="AP967" s="65" t="n">
        <f aca="false">AC967*AD967</f>
        <v>0</v>
      </c>
      <c r="AQ967" s="65" t="n">
        <f aca="false">IF(AND(G967&lt;&gt;"",'Historical Score'!$C$6&lt;&gt;""),IF(G967='Historical Score'!$C$6,1,0),0)</f>
        <v>0</v>
      </c>
      <c r="AR967" s="65" t="n">
        <f aca="false">IF(AND(L967&lt;&gt;"",'Historical Score'!$C$5&lt;&gt;""),IF(L967='Historical Score'!$C$5,1,0),0)</f>
        <v>1</v>
      </c>
      <c r="AS967" s="65" t="n">
        <f aca="false">IF(AND(Y967&lt;&gt;"",'Historical Score'!$C$7&lt;&gt;""),IF(Y967='Historical Score'!$C$7,1,0),0)</f>
        <v>0</v>
      </c>
      <c r="AT967" s="65" t="n">
        <f aca="false">IF(AND(K967&lt;&gt;"",'Historical Score'!$C$8&lt;&gt;""),IF(K967='Historical Score'!$C$8,1,0),0)</f>
        <v>0</v>
      </c>
      <c r="AU967" s="65" t="n">
        <f aca="false">IF(AND(J967&lt;&gt;"",'Historical Score'!$C$9&lt;&gt;""),IF(J967='Historical Score'!$C$9,1,0),0)</f>
        <v>0</v>
      </c>
      <c r="AV967" s="65" t="n">
        <f aca="false">AR967*AS967*AQ967</f>
        <v>0</v>
      </c>
      <c r="AW967" s="65" t="n">
        <f aca="false">AR967*AT967*AQ967</f>
        <v>0</v>
      </c>
      <c r="AX967" s="65" t="n">
        <f aca="false">AR967*AS967</f>
        <v>0</v>
      </c>
      <c r="AY967" s="65" t="n">
        <f aca="false">AR967*AT967</f>
        <v>0</v>
      </c>
      <c r="AZ967" s="65" t="n">
        <f aca="false">AR967*AQ967</f>
        <v>0</v>
      </c>
      <c r="BA967" s="65" t="n">
        <f aca="false">AR967</f>
        <v>1</v>
      </c>
      <c r="BB967" s="65" t="n">
        <f aca="false">1</f>
        <v>1</v>
      </c>
      <c r="BC967" s="65" t="n">
        <f aca="false">IF(AV967=1,1,IF(AW967=1,2,IF(AX967=1,3,IF(AY967=1,4,IF(AZ967=1,5,IF(BA967=1,6,7))))))</f>
        <v>6</v>
      </c>
      <c r="BD967" s="65" t="n">
        <f aca="false">IF(AD967=1,CHOOSE('Historical Score'!$C$29,AV967,AW967,AX967,AY967,AZ967,BA967,BB967),0)</f>
        <v>0</v>
      </c>
      <c r="BE967" s="65" t="str">
        <f aca="false">IF(BD967=1,COUNTIF($BD$2:BD967,1),"")</f>
        <v/>
      </c>
    </row>
    <row r="968" customFormat="false" ht="15" hidden="false" customHeight="false" outlineLevel="0" collapsed="false">
      <c r="A968" s="65" t="s">
        <v>2920</v>
      </c>
      <c r="B968" s="65" t="s">
        <v>2921</v>
      </c>
      <c r="C968" s="65" t="s">
        <v>2921</v>
      </c>
      <c r="D968" s="65" t="s">
        <v>371</v>
      </c>
      <c r="E968" s="112" t="n">
        <v>46191</v>
      </c>
      <c r="F968" s="112" t="n">
        <v>46238</v>
      </c>
      <c r="G968" s="65" t="n">
        <v>3</v>
      </c>
      <c r="H968" s="65" t="s">
        <v>391</v>
      </c>
      <c r="I968" s="65" t="s">
        <v>392</v>
      </c>
      <c r="J968" s="65" t="s">
        <v>452</v>
      </c>
      <c r="K968" s="65" t="s">
        <v>55</v>
      </c>
      <c r="L968" s="65" t="s">
        <v>64</v>
      </c>
      <c r="M968" s="113" t="n">
        <v>1.49</v>
      </c>
      <c r="N968" s="114" t="n">
        <v>10000</v>
      </c>
      <c r="O968" s="114" t="n">
        <v>1400</v>
      </c>
      <c r="P968" s="114" t="n">
        <v>14900</v>
      </c>
      <c r="Q968" s="114" t="n">
        <v>14900</v>
      </c>
      <c r="R968" s="114" t="n">
        <v>0</v>
      </c>
      <c r="S968" s="115" t="n">
        <v>1</v>
      </c>
      <c r="T968" s="65" t="n">
        <v>2.623</v>
      </c>
      <c r="U968" s="65" t="n">
        <v>0</v>
      </c>
      <c r="V968" s="65" t="n">
        <v>31031.13</v>
      </c>
      <c r="W968" s="115" t="n">
        <v>0.126</v>
      </c>
      <c r="X968" s="112" t="n">
        <v>45620</v>
      </c>
      <c r="Y968" s="65" t="str">
        <f aca="false">IF(I968="","No SIC",IFERROR(VLOOKUP(I968,Ref!$A$2:$B$65,2,FALSE()),"Unclassified"))</f>
        <v>Real Estate</v>
      </c>
      <c r="Z968" s="65" t="str">
        <f aca="false">IF(T968="","",IF(T968&lt;12,"Daily","Weekly"))</f>
        <v>Daily</v>
      </c>
      <c r="AA968" s="65" t="n">
        <f aca="false">IF(T968="",0,IF(T968&lt;12,T968*Controls!$B$29,T968*5))</f>
        <v>56.801065</v>
      </c>
      <c r="AB968" s="65" t="n">
        <f aca="false">IF(E968="",0,NETWORKDAYS(E968,Controls!$B$36,Ref!$K$2:$K$42))</f>
        <v>48</v>
      </c>
      <c r="AC968" s="65" t="n">
        <f aca="false">IF(AND(AA968&gt;0,AB968&gt;=Controls!$B$39*AA968),1,0)</f>
        <v>0</v>
      </c>
      <c r="AD968" s="65" t="n">
        <f aca="false">IF(AND(E968&lt;&gt;"",E968&gt;=Controls!$B$37,E968&lt;=Controls!$B$38),1,0)</f>
        <v>1</v>
      </c>
      <c r="AE968" s="65" t="n">
        <f aca="false">IF(IFERROR(VLOOKUP(D968,Controls!$A$64:$E$74,2,FALSE()),"No")="Yes",1,0)</f>
        <v>0</v>
      </c>
      <c r="AF968" s="65" t="n">
        <f aca="false">IF(IFERROR(VLOOKUP(D968,Controls!$A$64:$E$74,3,FALSE()),"No")="Yes",1,0)</f>
        <v>1</v>
      </c>
      <c r="AG968" s="65" t="n">
        <f aca="false">IF(IFERROR(VLOOKUP(D968,Controls!$A$64:$E$74,4,FALSE()),"No")="Yes",1,0)</f>
        <v>1</v>
      </c>
      <c r="AH968" s="65" t="n">
        <f aca="false">IF(IFERROR(VLOOKUP(D968,Controls!$A$64:$E$74,5,FALSE()),"No")="Yes",1,0)</f>
        <v>0</v>
      </c>
      <c r="AI968" s="65" t="n">
        <f aca="false">IF(ISNUMBER(MATCH(D968,Controls!$A$64:$A$74,0)),1,0)</f>
        <v>1</v>
      </c>
      <c r="AJ968" s="65" t="n">
        <f aca="false">Q968-N968</f>
        <v>4900</v>
      </c>
      <c r="AK968" s="65" t="n">
        <f aca="false">IF(AE968=1,MAX(0,N968-Q968),0)</f>
        <v>0</v>
      </c>
      <c r="AL968" s="65" t="n">
        <f aca="false">IF(OR(V968="",V968=0),0,N968/V968)</f>
        <v>0.32225703672409</v>
      </c>
      <c r="AM968" s="65" t="n">
        <f aca="false">IF(OR(V968="",V968=0),0,1)</f>
        <v>1</v>
      </c>
      <c r="AN968" s="65" t="n">
        <f aca="false">IF(OR(E968="",F968=""),0,NETWORKDAYS(E968,F968,Ref!$K$2:$K$42))</f>
        <v>33</v>
      </c>
      <c r="AO968" s="65" t="n">
        <f aca="false">IF(L968="Renewal",1,0)</f>
        <v>0</v>
      </c>
      <c r="AP968" s="65" t="n">
        <f aca="false">AC968*AD968</f>
        <v>0</v>
      </c>
      <c r="AQ968" s="65" t="n">
        <f aca="false">IF(AND(G968&lt;&gt;"",'Historical Score'!$C$6&lt;&gt;""),IF(G968='Historical Score'!$C$6,1,0),0)</f>
        <v>0</v>
      </c>
      <c r="AR968" s="65" t="n">
        <f aca="false">IF(AND(L968&lt;&gt;"",'Historical Score'!$C$5&lt;&gt;""),IF(L968='Historical Score'!$C$5,1,0),0)</f>
        <v>1</v>
      </c>
      <c r="AS968" s="65" t="n">
        <f aca="false">IF(AND(Y968&lt;&gt;"",'Historical Score'!$C$7&lt;&gt;""),IF(Y968='Historical Score'!$C$7,1,0),0)</f>
        <v>0</v>
      </c>
      <c r="AT968" s="65" t="n">
        <f aca="false">IF(AND(K968&lt;&gt;"",'Historical Score'!$C$8&lt;&gt;""),IF(K968='Historical Score'!$C$8,1,0),0)</f>
        <v>1</v>
      </c>
      <c r="AU968" s="65" t="n">
        <f aca="false">IF(AND(J968&lt;&gt;"",'Historical Score'!$C$9&lt;&gt;""),IF(J968='Historical Score'!$C$9,1,0),0)</f>
        <v>0</v>
      </c>
      <c r="AV968" s="65" t="n">
        <f aca="false">AR968*AS968*AQ968</f>
        <v>0</v>
      </c>
      <c r="AW968" s="65" t="n">
        <f aca="false">AR968*AT968*AQ968</f>
        <v>0</v>
      </c>
      <c r="AX968" s="65" t="n">
        <f aca="false">AR968*AS968</f>
        <v>0</v>
      </c>
      <c r="AY968" s="65" t="n">
        <f aca="false">AR968*AT968</f>
        <v>1</v>
      </c>
      <c r="AZ968" s="65" t="n">
        <f aca="false">AR968*AQ968</f>
        <v>0</v>
      </c>
      <c r="BA968" s="65" t="n">
        <f aca="false">AR968</f>
        <v>1</v>
      </c>
      <c r="BB968" s="65" t="n">
        <f aca="false">1</f>
        <v>1</v>
      </c>
      <c r="BC968" s="65" t="n">
        <f aca="false">IF(AV968=1,1,IF(AW968=1,2,IF(AX968=1,3,IF(AY968=1,4,IF(AZ968=1,5,IF(BA968=1,6,7))))))</f>
        <v>4</v>
      </c>
      <c r="BD968" s="65" t="n">
        <f aca="false">IF(AD968=1,CHOOSE('Historical Score'!$C$29,AV968,AW968,AX968,AY968,AZ968,BA968,BB968),0)</f>
        <v>0</v>
      </c>
      <c r="BE968" s="65" t="str">
        <f aca="false">IF(BD968=1,COUNTIF($BD$2:BD968,1),"")</f>
        <v/>
      </c>
    </row>
    <row r="969" customFormat="false" ht="15" hidden="false" customHeight="false" outlineLevel="0" collapsed="false">
      <c r="A969" s="65" t="s">
        <v>2922</v>
      </c>
      <c r="B969" s="65" t="s">
        <v>2923</v>
      </c>
      <c r="C969" s="65" t="s">
        <v>2924</v>
      </c>
      <c r="D969" s="65" t="s">
        <v>295</v>
      </c>
      <c r="E969" s="112" t="n">
        <v>46191</v>
      </c>
      <c r="F969" s="112" t="n">
        <v>46248</v>
      </c>
      <c r="G969" s="65" t="n">
        <v>4</v>
      </c>
      <c r="H969" s="65" t="s">
        <v>1329</v>
      </c>
      <c r="I969" s="65" t="s">
        <v>1330</v>
      </c>
      <c r="J969" s="65" t="s">
        <v>1203</v>
      </c>
      <c r="K969" s="65" t="s">
        <v>55</v>
      </c>
      <c r="L969" s="65" t="s">
        <v>64</v>
      </c>
      <c r="M969" s="113" t="n">
        <v>1.49</v>
      </c>
      <c r="N969" s="114" t="n">
        <v>15000</v>
      </c>
      <c r="O969" s="114" t="n">
        <v>2100</v>
      </c>
      <c r="P969" s="114" t="n">
        <v>22350</v>
      </c>
      <c r="Q969" s="114" t="n">
        <v>7817.46</v>
      </c>
      <c r="R969" s="114" t="n">
        <v>14532.54</v>
      </c>
      <c r="S969" s="115" t="n">
        <v>0.349774496644295</v>
      </c>
      <c r="T969" s="65" t="n">
        <v>20</v>
      </c>
      <c r="U969" s="65" t="n">
        <v>0</v>
      </c>
      <c r="V969" s="65" t="n">
        <v>123742.46</v>
      </c>
      <c r="W969" s="115" t="n">
        <v>0.0361</v>
      </c>
      <c r="X969" s="112" t="n">
        <v>45919</v>
      </c>
      <c r="Y969" s="65" t="str">
        <f aca="false">IF(I969="","No SIC",IFERROR(VLOOKUP(I969,Ref!$A$2:$B$65,2,FALSE()),"Unclassified"))</f>
        <v>Building Materials &amp; Garden Supply</v>
      </c>
      <c r="Z969" s="65" t="str">
        <f aca="false">IF(T969="","",IF(T969&lt;12,"Daily","Weekly"))</f>
        <v>Weekly</v>
      </c>
      <c r="AA969" s="65" t="n">
        <f aca="false">IF(T969="",0,IF(T969&lt;12,T969*Controls!$B$29,T969*5))</f>
        <v>100</v>
      </c>
      <c r="AB969" s="65" t="n">
        <f aca="false">IF(E969="",0,NETWORKDAYS(E969,Controls!$B$36,Ref!$K$2:$K$42))</f>
        <v>48</v>
      </c>
      <c r="AC969" s="65" t="n">
        <f aca="false">IF(AND(AA969&gt;0,AB969&gt;=Controls!$B$39*AA969),1,0)</f>
        <v>0</v>
      </c>
      <c r="AD969" s="65" t="n">
        <f aca="false">IF(AND(E969&lt;&gt;"",E969&gt;=Controls!$B$37,E969&lt;=Controls!$B$38),1,0)</f>
        <v>1</v>
      </c>
      <c r="AE969" s="65" t="n">
        <f aca="false">IF(IFERROR(VLOOKUP(D969,Controls!$A$64:$E$74,2,FALSE()),"No")="Yes",1,0)</f>
        <v>0</v>
      </c>
      <c r="AF969" s="65" t="n">
        <f aca="false">IF(IFERROR(VLOOKUP(D969,Controls!$A$64:$E$74,3,FALSE()),"No")="Yes",1,0)</f>
        <v>0</v>
      </c>
      <c r="AG969" s="65" t="n">
        <f aca="false">IF(IFERROR(VLOOKUP(D969,Controls!$A$64:$E$74,4,FALSE()),"No")="Yes",1,0)</f>
        <v>0</v>
      </c>
      <c r="AH969" s="65" t="n">
        <f aca="false">IF(IFERROR(VLOOKUP(D969,Controls!$A$64:$E$74,5,FALSE()),"No")="Yes",1,0)</f>
        <v>1</v>
      </c>
      <c r="AI969" s="65" t="n">
        <f aca="false">IF(ISNUMBER(MATCH(D969,Controls!$A$64:$A$74,0)),1,0)</f>
        <v>1</v>
      </c>
      <c r="AJ969" s="65" t="n">
        <f aca="false">Q969-N969</f>
        <v>-7182.54</v>
      </c>
      <c r="AK969" s="65" t="n">
        <f aca="false">IF(AE969=1,MAX(0,N969-Q969),0)</f>
        <v>0</v>
      </c>
      <c r="AL969" s="65" t="n">
        <f aca="false">IF(OR(V969="",V969=0),0,N969/V969)</f>
        <v>0.121219507030974</v>
      </c>
      <c r="AM969" s="65" t="n">
        <f aca="false">IF(OR(V969="",V969=0),0,1)</f>
        <v>1</v>
      </c>
      <c r="AN969" s="65" t="n">
        <f aca="false">IF(OR(E969="",F969=""),0,NETWORKDAYS(E969,F969,Ref!$K$2:$K$42))</f>
        <v>41</v>
      </c>
      <c r="AO969" s="65" t="n">
        <f aca="false">IF(L969="Renewal",1,0)</f>
        <v>0</v>
      </c>
      <c r="AP969" s="65" t="n">
        <f aca="false">AC969*AD969</f>
        <v>0</v>
      </c>
      <c r="AQ969" s="65" t="n">
        <f aca="false">IF(AND(G969&lt;&gt;"",'Historical Score'!$C$6&lt;&gt;""),IF(G969='Historical Score'!$C$6,1,0),0)</f>
        <v>0</v>
      </c>
      <c r="AR969" s="65" t="n">
        <f aca="false">IF(AND(L969&lt;&gt;"",'Historical Score'!$C$5&lt;&gt;""),IF(L969='Historical Score'!$C$5,1,0),0)</f>
        <v>1</v>
      </c>
      <c r="AS969" s="65" t="n">
        <f aca="false">IF(AND(Y969&lt;&gt;"",'Historical Score'!$C$7&lt;&gt;""),IF(Y969='Historical Score'!$C$7,1,0),0)</f>
        <v>0</v>
      </c>
      <c r="AT969" s="65" t="n">
        <f aca="false">IF(AND(K969&lt;&gt;"",'Historical Score'!$C$8&lt;&gt;""),IF(K969='Historical Score'!$C$8,1,0),0)</f>
        <v>1</v>
      </c>
      <c r="AU969" s="65" t="n">
        <f aca="false">IF(AND(J969&lt;&gt;"",'Historical Score'!$C$9&lt;&gt;""),IF(J969='Historical Score'!$C$9,1,0),0)</f>
        <v>0</v>
      </c>
      <c r="AV969" s="65" t="n">
        <f aca="false">AR969*AS969*AQ969</f>
        <v>0</v>
      </c>
      <c r="AW969" s="65" t="n">
        <f aca="false">AR969*AT969*AQ969</f>
        <v>0</v>
      </c>
      <c r="AX969" s="65" t="n">
        <f aca="false">AR969*AS969</f>
        <v>0</v>
      </c>
      <c r="AY969" s="65" t="n">
        <f aca="false">AR969*AT969</f>
        <v>1</v>
      </c>
      <c r="AZ969" s="65" t="n">
        <f aca="false">AR969*AQ969</f>
        <v>0</v>
      </c>
      <c r="BA969" s="65" t="n">
        <f aca="false">AR969</f>
        <v>1</v>
      </c>
      <c r="BB969" s="65" t="n">
        <f aca="false">1</f>
        <v>1</v>
      </c>
      <c r="BC969" s="65" t="n">
        <f aca="false">IF(AV969=1,1,IF(AW969=1,2,IF(AX969=1,3,IF(AY969=1,4,IF(AZ969=1,5,IF(BA969=1,6,7))))))</f>
        <v>4</v>
      </c>
      <c r="BD969" s="65" t="n">
        <f aca="false">IF(AD969=1,CHOOSE('Historical Score'!$C$29,AV969,AW969,AX969,AY969,AZ969,BA969,BB969),0)</f>
        <v>0</v>
      </c>
      <c r="BE969" s="65" t="str">
        <f aca="false">IF(BD969=1,COUNTIF($BD$2:BD969,1),"")</f>
        <v/>
      </c>
    </row>
    <row r="970" customFormat="false" ht="15" hidden="false" customHeight="false" outlineLevel="0" collapsed="false">
      <c r="A970" s="65" t="s">
        <v>2925</v>
      </c>
      <c r="B970" s="65" t="s">
        <v>2926</v>
      </c>
      <c r="C970" s="65" t="s">
        <v>2927</v>
      </c>
      <c r="D970" s="65" t="s">
        <v>340</v>
      </c>
      <c r="E970" s="112" t="n">
        <v>46191</v>
      </c>
      <c r="F970" s="112" t="n">
        <v>46238</v>
      </c>
      <c r="G970" s="65" t="n">
        <v>2</v>
      </c>
      <c r="H970" s="65" t="s">
        <v>768</v>
      </c>
      <c r="I970" s="65" t="s">
        <v>443</v>
      </c>
      <c r="J970" s="65" t="s">
        <v>380</v>
      </c>
      <c r="K970" s="65" t="s">
        <v>368</v>
      </c>
      <c r="L970" s="65" t="s">
        <v>64</v>
      </c>
      <c r="M970" s="113" t="n">
        <v>1.49</v>
      </c>
      <c r="N970" s="114" t="n">
        <v>70000</v>
      </c>
      <c r="O970" s="114" t="n">
        <v>0</v>
      </c>
      <c r="P970" s="114" t="n">
        <v>104300</v>
      </c>
      <c r="Q970" s="114" t="n">
        <v>3069.58</v>
      </c>
      <c r="R970" s="114" t="n">
        <v>101230.42</v>
      </c>
      <c r="S970" s="115" t="n">
        <v>0.029430297219559</v>
      </c>
      <c r="T970" s="65" t="n">
        <v>34</v>
      </c>
      <c r="U970" s="65" t="n">
        <v>17</v>
      </c>
      <c r="V970" s="65" t="n">
        <v>210967.52</v>
      </c>
      <c r="W970" s="115" t="n">
        <v>0.0582</v>
      </c>
      <c r="X970" s="112" t="n">
        <v>36526</v>
      </c>
      <c r="Y970" s="65" t="str">
        <f aca="false">IF(I970="","No SIC",IFERROR(VLOOKUP(I970,Ref!$A$2:$B$65,2,FALSE()),"Unclassified"))</f>
        <v>General Building Contractors</v>
      </c>
      <c r="Z970" s="65" t="str">
        <f aca="false">IF(T970="","",IF(T970&lt;12,"Daily","Weekly"))</f>
        <v>Weekly</v>
      </c>
      <c r="AA970" s="65" t="n">
        <f aca="false">IF(T970="",0,IF(T970&lt;12,T970*Controls!$B$29,T970*5))</f>
        <v>170</v>
      </c>
      <c r="AB970" s="65" t="n">
        <f aca="false">IF(E970="",0,NETWORKDAYS(E970,Controls!$B$36,Ref!$K$2:$K$42))</f>
        <v>48</v>
      </c>
      <c r="AC970" s="65" t="n">
        <f aca="false">IF(AND(AA970&gt;0,AB970&gt;=Controls!$B$39*AA970),1,0)</f>
        <v>0</v>
      </c>
      <c r="AD970" s="65" t="n">
        <f aca="false">IF(AND(E970&lt;&gt;"",E970&gt;=Controls!$B$37,E970&lt;=Controls!$B$38),1,0)</f>
        <v>1</v>
      </c>
      <c r="AE970" s="65" t="n">
        <f aca="false">IF(IFERROR(VLOOKUP(D970,Controls!$A$64:$E$74,2,FALSE()),"No")="Yes",1,0)</f>
        <v>1</v>
      </c>
      <c r="AF970" s="65" t="n">
        <f aca="false">IF(IFERROR(VLOOKUP(D970,Controls!$A$64:$E$74,3,FALSE()),"No")="Yes",1,0)</f>
        <v>0</v>
      </c>
      <c r="AG970" s="65" t="n">
        <f aca="false">IF(IFERROR(VLOOKUP(D970,Controls!$A$64:$E$74,4,FALSE()),"No")="Yes",1,0)</f>
        <v>0</v>
      </c>
      <c r="AH970" s="65" t="n">
        <f aca="false">IF(IFERROR(VLOOKUP(D970,Controls!$A$64:$E$74,5,FALSE()),"No")="Yes",1,0)</f>
        <v>0</v>
      </c>
      <c r="AI970" s="65" t="n">
        <f aca="false">IF(ISNUMBER(MATCH(D970,Controls!$A$64:$A$74,0)),1,0)</f>
        <v>1</v>
      </c>
      <c r="AJ970" s="65" t="n">
        <f aca="false">Q970-N970</f>
        <v>-66930.42</v>
      </c>
      <c r="AK970" s="65" t="n">
        <f aca="false">IF(AE970=1,MAX(0,N970-Q970),0)</f>
        <v>66930.42</v>
      </c>
      <c r="AL970" s="65" t="n">
        <f aca="false">IF(OR(V970="",V970=0),0,N970/V970)</f>
        <v>0.331804630399978</v>
      </c>
      <c r="AM970" s="65" t="n">
        <f aca="false">IF(OR(V970="",V970=0),0,1)</f>
        <v>1</v>
      </c>
      <c r="AN970" s="65" t="n">
        <f aca="false">IF(OR(E970="",F970=""),0,NETWORKDAYS(E970,F970,Ref!$K$2:$K$42))</f>
        <v>33</v>
      </c>
      <c r="AO970" s="65" t="n">
        <f aca="false">IF(L970="Renewal",1,0)</f>
        <v>0</v>
      </c>
      <c r="AP970" s="65" t="n">
        <f aca="false">AC970*AD970</f>
        <v>0</v>
      </c>
      <c r="AQ970" s="65" t="n">
        <f aca="false">IF(AND(G970&lt;&gt;"",'Historical Score'!$C$6&lt;&gt;""),IF(G970='Historical Score'!$C$6,1,0),0)</f>
        <v>1</v>
      </c>
      <c r="AR970" s="65" t="n">
        <f aca="false">IF(AND(L970&lt;&gt;"",'Historical Score'!$C$5&lt;&gt;""),IF(L970='Historical Score'!$C$5,1,0),0)</f>
        <v>1</v>
      </c>
      <c r="AS970" s="65" t="n">
        <f aca="false">IF(AND(Y970&lt;&gt;"",'Historical Score'!$C$7&lt;&gt;""),IF(Y970='Historical Score'!$C$7,1,0),0)</f>
        <v>1</v>
      </c>
      <c r="AT970" s="65" t="n">
        <f aca="false">IF(AND(K970&lt;&gt;"",'Historical Score'!$C$8&lt;&gt;""),IF(K970='Historical Score'!$C$8,1,0),0)</f>
        <v>0</v>
      </c>
      <c r="AU970" s="65" t="n">
        <f aca="false">IF(AND(J970&lt;&gt;"",'Historical Score'!$C$9&lt;&gt;""),IF(J970='Historical Score'!$C$9,1,0),0)</f>
        <v>0</v>
      </c>
      <c r="AV970" s="65" t="n">
        <f aca="false">AR970*AS970*AQ970</f>
        <v>1</v>
      </c>
      <c r="AW970" s="65" t="n">
        <f aca="false">AR970*AT970*AQ970</f>
        <v>0</v>
      </c>
      <c r="AX970" s="65" t="n">
        <f aca="false">AR970*AS970</f>
        <v>1</v>
      </c>
      <c r="AY970" s="65" t="n">
        <f aca="false">AR970*AT970</f>
        <v>0</v>
      </c>
      <c r="AZ970" s="65" t="n">
        <f aca="false">AR970*AQ970</f>
        <v>1</v>
      </c>
      <c r="BA970" s="65" t="n">
        <f aca="false">AR970</f>
        <v>1</v>
      </c>
      <c r="BB970" s="65" t="n">
        <f aca="false">1</f>
        <v>1</v>
      </c>
      <c r="BC970" s="65" t="n">
        <f aca="false">IF(AV970=1,1,IF(AW970=1,2,IF(AX970=1,3,IF(AY970=1,4,IF(AZ970=1,5,IF(BA970=1,6,7))))))</f>
        <v>1</v>
      </c>
      <c r="BD970" s="65" t="n">
        <f aca="false">IF(AD970=1,CHOOSE('Historical Score'!$C$29,AV970,AW970,AX970,AY970,AZ970,BA970,BB970),0)</f>
        <v>1</v>
      </c>
      <c r="BE970" s="65" t="n">
        <f aca="false">IF(BD970=1,COUNTIF($BD$2:BD970,1),"")</f>
        <v>26</v>
      </c>
    </row>
    <row r="971" customFormat="false" ht="15" hidden="false" customHeight="false" outlineLevel="0" collapsed="false">
      <c r="A971" s="65" t="s">
        <v>2928</v>
      </c>
      <c r="B971" s="65" t="s">
        <v>2929</v>
      </c>
      <c r="C971" s="65" t="s">
        <v>2929</v>
      </c>
      <c r="D971" s="65" t="s">
        <v>295</v>
      </c>
      <c r="E971" s="112" t="n">
        <v>46191</v>
      </c>
      <c r="F971" s="112" t="n">
        <v>46233</v>
      </c>
      <c r="G971" s="65" t="n">
        <v>3</v>
      </c>
      <c r="H971" s="65" t="s">
        <v>391</v>
      </c>
      <c r="I971" s="65" t="s">
        <v>392</v>
      </c>
      <c r="J971" s="65" t="s">
        <v>380</v>
      </c>
      <c r="K971" s="65" t="s">
        <v>538</v>
      </c>
      <c r="L971" s="65" t="s">
        <v>64</v>
      </c>
      <c r="M971" s="113" t="n">
        <v>1.49</v>
      </c>
      <c r="N971" s="114" t="n">
        <v>20000</v>
      </c>
      <c r="O971" s="114" t="n">
        <v>2800</v>
      </c>
      <c r="P971" s="114" t="n">
        <v>29800</v>
      </c>
      <c r="Q971" s="114" t="n">
        <v>7835.25</v>
      </c>
      <c r="R971" s="114" t="n">
        <v>21964.75</v>
      </c>
      <c r="S971" s="115" t="n">
        <v>0.262927852348993</v>
      </c>
      <c r="T971" s="65" t="n">
        <v>3.115</v>
      </c>
      <c r="U971" s="65" t="n">
        <v>4</v>
      </c>
      <c r="V971" s="65" t="n">
        <v>135144.45</v>
      </c>
      <c r="W971" s="115" t="n">
        <v>0.0487</v>
      </c>
      <c r="X971" s="112" t="n">
        <v>33522</v>
      </c>
      <c r="Y971" s="65" t="str">
        <f aca="false">IF(I971="","No SIC",IFERROR(VLOOKUP(I971,Ref!$A$2:$B$65,2,FALSE()),"Unclassified"))</f>
        <v>Real Estate</v>
      </c>
      <c r="Z971" s="65" t="str">
        <f aca="false">IF(T971="","",IF(T971&lt;12,"Daily","Weekly"))</f>
        <v>Daily</v>
      </c>
      <c r="AA971" s="65" t="n">
        <f aca="false">IF(T971="",0,IF(T971&lt;12,T971*Controls!$B$29,T971*5))</f>
        <v>67.455325</v>
      </c>
      <c r="AB971" s="65" t="n">
        <f aca="false">IF(E971="",0,NETWORKDAYS(E971,Controls!$B$36,Ref!$K$2:$K$42))</f>
        <v>48</v>
      </c>
      <c r="AC971" s="65" t="n">
        <f aca="false">IF(AND(AA971&gt;0,AB971&gt;=Controls!$B$39*AA971),1,0)</f>
        <v>0</v>
      </c>
      <c r="AD971" s="65" t="n">
        <f aca="false">IF(AND(E971&lt;&gt;"",E971&gt;=Controls!$B$37,E971&lt;=Controls!$B$38),1,0)</f>
        <v>1</v>
      </c>
      <c r="AE971" s="65" t="n">
        <f aca="false">IF(IFERROR(VLOOKUP(D971,Controls!$A$64:$E$74,2,FALSE()),"No")="Yes",1,0)</f>
        <v>0</v>
      </c>
      <c r="AF971" s="65" t="n">
        <f aca="false">IF(IFERROR(VLOOKUP(D971,Controls!$A$64:$E$74,3,FALSE()),"No")="Yes",1,0)</f>
        <v>0</v>
      </c>
      <c r="AG971" s="65" t="n">
        <f aca="false">IF(IFERROR(VLOOKUP(D971,Controls!$A$64:$E$74,4,FALSE()),"No")="Yes",1,0)</f>
        <v>0</v>
      </c>
      <c r="AH971" s="65" t="n">
        <f aca="false">IF(IFERROR(VLOOKUP(D971,Controls!$A$64:$E$74,5,FALSE()),"No")="Yes",1,0)</f>
        <v>1</v>
      </c>
      <c r="AI971" s="65" t="n">
        <f aca="false">IF(ISNUMBER(MATCH(D971,Controls!$A$64:$A$74,0)),1,0)</f>
        <v>1</v>
      </c>
      <c r="AJ971" s="65" t="n">
        <f aca="false">Q971-N971</f>
        <v>-12164.75</v>
      </c>
      <c r="AK971" s="65" t="n">
        <f aca="false">IF(AE971=1,MAX(0,N971-Q971),0)</f>
        <v>0</v>
      </c>
      <c r="AL971" s="65" t="n">
        <f aca="false">IF(OR(V971="",V971=0),0,N971/V971)</f>
        <v>0.147989799063151</v>
      </c>
      <c r="AM971" s="65" t="n">
        <f aca="false">IF(OR(V971="",V971=0),0,1)</f>
        <v>1</v>
      </c>
      <c r="AN971" s="65" t="n">
        <f aca="false">IF(OR(E971="",F971=""),0,NETWORKDAYS(E971,F971,Ref!$K$2:$K$42))</f>
        <v>30</v>
      </c>
      <c r="AO971" s="65" t="n">
        <f aca="false">IF(L971="Renewal",1,0)</f>
        <v>0</v>
      </c>
      <c r="AP971" s="65" t="n">
        <f aca="false">AC971*AD971</f>
        <v>0</v>
      </c>
      <c r="AQ971" s="65" t="n">
        <f aca="false">IF(AND(G971&lt;&gt;"",'Historical Score'!$C$6&lt;&gt;""),IF(G971='Historical Score'!$C$6,1,0),0)</f>
        <v>0</v>
      </c>
      <c r="AR971" s="65" t="n">
        <f aca="false">IF(AND(L971&lt;&gt;"",'Historical Score'!$C$5&lt;&gt;""),IF(L971='Historical Score'!$C$5,1,0),0)</f>
        <v>1</v>
      </c>
      <c r="AS971" s="65" t="n">
        <f aca="false">IF(AND(Y971&lt;&gt;"",'Historical Score'!$C$7&lt;&gt;""),IF(Y971='Historical Score'!$C$7,1,0),0)</f>
        <v>0</v>
      </c>
      <c r="AT971" s="65" t="n">
        <f aca="false">IF(AND(K971&lt;&gt;"",'Historical Score'!$C$8&lt;&gt;""),IF(K971='Historical Score'!$C$8,1,0),0)</f>
        <v>0</v>
      </c>
      <c r="AU971" s="65" t="n">
        <f aca="false">IF(AND(J971&lt;&gt;"",'Historical Score'!$C$9&lt;&gt;""),IF(J971='Historical Score'!$C$9,1,0),0)</f>
        <v>0</v>
      </c>
      <c r="AV971" s="65" t="n">
        <f aca="false">AR971*AS971*AQ971</f>
        <v>0</v>
      </c>
      <c r="AW971" s="65" t="n">
        <f aca="false">AR971*AT971*AQ971</f>
        <v>0</v>
      </c>
      <c r="AX971" s="65" t="n">
        <f aca="false">AR971*AS971</f>
        <v>0</v>
      </c>
      <c r="AY971" s="65" t="n">
        <f aca="false">AR971*AT971</f>
        <v>0</v>
      </c>
      <c r="AZ971" s="65" t="n">
        <f aca="false">AR971*AQ971</f>
        <v>0</v>
      </c>
      <c r="BA971" s="65" t="n">
        <f aca="false">AR971</f>
        <v>1</v>
      </c>
      <c r="BB971" s="65" t="n">
        <f aca="false">1</f>
        <v>1</v>
      </c>
      <c r="BC971" s="65" t="n">
        <f aca="false">IF(AV971=1,1,IF(AW971=1,2,IF(AX971=1,3,IF(AY971=1,4,IF(AZ971=1,5,IF(BA971=1,6,7))))))</f>
        <v>6</v>
      </c>
      <c r="BD971" s="65" t="n">
        <f aca="false">IF(AD971=1,CHOOSE('Historical Score'!$C$29,AV971,AW971,AX971,AY971,AZ971,BA971,BB971),0)</f>
        <v>0</v>
      </c>
      <c r="BE971" s="65" t="str">
        <f aca="false">IF(BD971=1,COUNTIF($BD$2:BD971,1),"")</f>
        <v/>
      </c>
    </row>
    <row r="972" customFormat="false" ht="15" hidden="false" customHeight="false" outlineLevel="0" collapsed="false">
      <c r="A972" s="65" t="s">
        <v>2930</v>
      </c>
      <c r="B972" s="65" t="s">
        <v>2931</v>
      </c>
      <c r="C972" s="65" t="s">
        <v>2932</v>
      </c>
      <c r="D972" s="65" t="s">
        <v>295</v>
      </c>
      <c r="E972" s="112" t="n">
        <v>46191</v>
      </c>
      <c r="F972" s="112" t="n">
        <v>46253</v>
      </c>
      <c r="G972" s="65" t="n">
        <v>2</v>
      </c>
      <c r="H972" s="65" t="s">
        <v>2933</v>
      </c>
      <c r="I972" s="65" t="s">
        <v>703</v>
      </c>
      <c r="J972" s="65" t="s">
        <v>350</v>
      </c>
      <c r="K972" s="65" t="s">
        <v>1047</v>
      </c>
      <c r="L972" s="65" t="s">
        <v>64</v>
      </c>
      <c r="M972" s="113" t="n">
        <v>1.49</v>
      </c>
      <c r="N972" s="114" t="n">
        <v>30000</v>
      </c>
      <c r="O972" s="114" t="n">
        <v>4200</v>
      </c>
      <c r="P972" s="114" t="n">
        <v>44700</v>
      </c>
      <c r="Q972" s="114" t="n">
        <v>12820.02</v>
      </c>
      <c r="R972" s="114" t="n">
        <v>31879.98</v>
      </c>
      <c r="S972" s="115" t="n">
        <v>0.286801342281879</v>
      </c>
      <c r="T972" s="65" t="n">
        <v>4.918</v>
      </c>
      <c r="U972" s="65" t="n">
        <v>0</v>
      </c>
      <c r="V972" s="65" t="n">
        <v>135520.03</v>
      </c>
      <c r="W972" s="115" t="n">
        <v>0.0462</v>
      </c>
      <c r="X972" s="112" t="n">
        <v>40888</v>
      </c>
      <c r="Y972" s="65" t="str">
        <f aca="false">IF(I972="","No SIC",IFERROR(VLOOKUP(I972,Ref!$A$2:$B$65,2,FALSE()),"Unclassified"))</f>
        <v>Wholesale Trade - Nondurable Goods</v>
      </c>
      <c r="Z972" s="65" t="str">
        <f aca="false">IF(T972="","",IF(T972&lt;12,"Daily","Weekly"))</f>
        <v>Daily</v>
      </c>
      <c r="AA972" s="65" t="n">
        <f aca="false">IF(T972="",0,IF(T972&lt;12,T972*Controls!$B$29,T972*5))</f>
        <v>106.49929</v>
      </c>
      <c r="AB972" s="65" t="n">
        <f aca="false">IF(E972="",0,NETWORKDAYS(E972,Controls!$B$36,Ref!$K$2:$K$42))</f>
        <v>48</v>
      </c>
      <c r="AC972" s="65" t="n">
        <f aca="false">IF(AND(AA972&gt;0,AB972&gt;=Controls!$B$39*AA972),1,0)</f>
        <v>0</v>
      </c>
      <c r="AD972" s="65" t="n">
        <f aca="false">IF(AND(E972&lt;&gt;"",E972&gt;=Controls!$B$37,E972&lt;=Controls!$B$38),1,0)</f>
        <v>1</v>
      </c>
      <c r="AE972" s="65" t="n">
        <f aca="false">IF(IFERROR(VLOOKUP(D972,Controls!$A$64:$E$74,2,FALSE()),"No")="Yes",1,0)</f>
        <v>0</v>
      </c>
      <c r="AF972" s="65" t="n">
        <f aca="false">IF(IFERROR(VLOOKUP(D972,Controls!$A$64:$E$74,3,FALSE()),"No")="Yes",1,0)</f>
        <v>0</v>
      </c>
      <c r="AG972" s="65" t="n">
        <f aca="false">IF(IFERROR(VLOOKUP(D972,Controls!$A$64:$E$74,4,FALSE()),"No")="Yes",1,0)</f>
        <v>0</v>
      </c>
      <c r="AH972" s="65" t="n">
        <f aca="false">IF(IFERROR(VLOOKUP(D972,Controls!$A$64:$E$74,5,FALSE()),"No")="Yes",1,0)</f>
        <v>1</v>
      </c>
      <c r="AI972" s="65" t="n">
        <f aca="false">IF(ISNUMBER(MATCH(D972,Controls!$A$64:$A$74,0)),1,0)</f>
        <v>1</v>
      </c>
      <c r="AJ972" s="65" t="n">
        <f aca="false">Q972-N972</f>
        <v>-17179.98</v>
      </c>
      <c r="AK972" s="65" t="n">
        <f aca="false">IF(AE972=1,MAX(0,N972-Q972),0)</f>
        <v>0</v>
      </c>
      <c r="AL972" s="65" t="n">
        <f aca="false">IF(OR(V972="",V972=0),0,N972/V972)</f>
        <v>0.221369490546896</v>
      </c>
      <c r="AM972" s="65" t="n">
        <f aca="false">IF(OR(V972="",V972=0),0,1)</f>
        <v>1</v>
      </c>
      <c r="AN972" s="65" t="n">
        <f aca="false">IF(OR(E972="",F972=""),0,NETWORKDAYS(E972,F972,Ref!$K$2:$K$42))</f>
        <v>44</v>
      </c>
      <c r="AO972" s="65" t="n">
        <f aca="false">IF(L972="Renewal",1,0)</f>
        <v>0</v>
      </c>
      <c r="AP972" s="65" t="n">
        <f aca="false">AC972*AD972</f>
        <v>0</v>
      </c>
      <c r="AQ972" s="65" t="n">
        <f aca="false">IF(AND(G972&lt;&gt;"",'Historical Score'!$C$6&lt;&gt;""),IF(G972='Historical Score'!$C$6,1,0),0)</f>
        <v>1</v>
      </c>
      <c r="AR972" s="65" t="n">
        <f aca="false">IF(AND(L972&lt;&gt;"",'Historical Score'!$C$5&lt;&gt;""),IF(L972='Historical Score'!$C$5,1,0),0)</f>
        <v>1</v>
      </c>
      <c r="AS972" s="65" t="n">
        <f aca="false">IF(AND(Y972&lt;&gt;"",'Historical Score'!$C$7&lt;&gt;""),IF(Y972='Historical Score'!$C$7,1,0),0)</f>
        <v>0</v>
      </c>
      <c r="AT972" s="65" t="n">
        <f aca="false">IF(AND(K972&lt;&gt;"",'Historical Score'!$C$8&lt;&gt;""),IF(K972='Historical Score'!$C$8,1,0),0)</f>
        <v>0</v>
      </c>
      <c r="AU972" s="65" t="n">
        <f aca="false">IF(AND(J972&lt;&gt;"",'Historical Score'!$C$9&lt;&gt;""),IF(J972='Historical Score'!$C$9,1,0),0)</f>
        <v>0</v>
      </c>
      <c r="AV972" s="65" t="n">
        <f aca="false">AR972*AS972*AQ972</f>
        <v>0</v>
      </c>
      <c r="AW972" s="65" t="n">
        <f aca="false">AR972*AT972*AQ972</f>
        <v>0</v>
      </c>
      <c r="AX972" s="65" t="n">
        <f aca="false">AR972*AS972</f>
        <v>0</v>
      </c>
      <c r="AY972" s="65" t="n">
        <f aca="false">AR972*AT972</f>
        <v>0</v>
      </c>
      <c r="AZ972" s="65" t="n">
        <f aca="false">AR972*AQ972</f>
        <v>1</v>
      </c>
      <c r="BA972" s="65" t="n">
        <f aca="false">AR972</f>
        <v>1</v>
      </c>
      <c r="BB972" s="65" t="n">
        <f aca="false">1</f>
        <v>1</v>
      </c>
      <c r="BC972" s="65" t="n">
        <f aca="false">IF(AV972=1,1,IF(AW972=1,2,IF(AX972=1,3,IF(AY972=1,4,IF(AZ972=1,5,IF(BA972=1,6,7))))))</f>
        <v>5</v>
      </c>
      <c r="BD972" s="65" t="n">
        <f aca="false">IF(AD972=1,CHOOSE('Historical Score'!$C$29,AV972,AW972,AX972,AY972,AZ972,BA972,BB972),0)</f>
        <v>0</v>
      </c>
      <c r="BE972" s="65" t="str">
        <f aca="false">IF(BD972=1,COUNTIF($BD$2:BD972,1),"")</f>
        <v/>
      </c>
    </row>
    <row r="973" customFormat="false" ht="15" hidden="false" customHeight="false" outlineLevel="0" collapsed="false">
      <c r="A973" s="65" t="s">
        <v>2934</v>
      </c>
      <c r="B973" s="65" t="s">
        <v>2935</v>
      </c>
      <c r="C973" s="65" t="s">
        <v>2935</v>
      </c>
      <c r="D973" s="65" t="s">
        <v>295</v>
      </c>
      <c r="E973" s="112" t="n">
        <v>46191</v>
      </c>
      <c r="F973" s="112" t="n">
        <v>46253</v>
      </c>
      <c r="G973" s="65" t="n">
        <v>2</v>
      </c>
      <c r="H973" s="65" t="s">
        <v>500</v>
      </c>
      <c r="I973" s="65" t="s">
        <v>475</v>
      </c>
      <c r="J973" s="65" t="s">
        <v>510</v>
      </c>
      <c r="K973" s="65" t="s">
        <v>893</v>
      </c>
      <c r="L973" s="65" t="s">
        <v>64</v>
      </c>
      <c r="M973" s="113" t="n">
        <v>1.49</v>
      </c>
      <c r="N973" s="114" t="n">
        <v>25000</v>
      </c>
      <c r="O973" s="114" t="n">
        <v>3500</v>
      </c>
      <c r="P973" s="114" t="n">
        <v>37250</v>
      </c>
      <c r="Q973" s="114" t="n">
        <v>6826.6</v>
      </c>
      <c r="R973" s="114" t="n">
        <v>30423.4</v>
      </c>
      <c r="S973" s="115" t="n">
        <v>0.183264429530201</v>
      </c>
      <c r="T973" s="65" t="n">
        <v>3.934</v>
      </c>
      <c r="U973" s="65" t="n">
        <v>21</v>
      </c>
      <c r="V973" s="65" t="n">
        <v>104932.85</v>
      </c>
      <c r="W973" s="115" t="n">
        <v>0.0621</v>
      </c>
      <c r="X973" s="112" t="n">
        <v>42777</v>
      </c>
      <c r="Y973" s="65" t="str">
        <f aca="false">IF(I973="","No SIC",IFERROR(VLOOKUP(I973,Ref!$A$2:$B$65,2,FALSE()),"Unclassified"))</f>
        <v>Auto Repair &amp; Services</v>
      </c>
      <c r="Z973" s="65" t="str">
        <f aca="false">IF(T973="","",IF(T973&lt;12,"Daily","Weekly"))</f>
        <v>Daily</v>
      </c>
      <c r="AA973" s="65" t="n">
        <f aca="false">IF(T973="",0,IF(T973&lt;12,T973*Controls!$B$29,T973*5))</f>
        <v>85.19077</v>
      </c>
      <c r="AB973" s="65" t="n">
        <f aca="false">IF(E973="",0,NETWORKDAYS(E973,Controls!$B$36,Ref!$K$2:$K$42))</f>
        <v>48</v>
      </c>
      <c r="AC973" s="65" t="n">
        <f aca="false">IF(AND(AA973&gt;0,AB973&gt;=Controls!$B$39*AA973),1,0)</f>
        <v>0</v>
      </c>
      <c r="AD973" s="65" t="n">
        <f aca="false">IF(AND(E973&lt;&gt;"",E973&gt;=Controls!$B$37,E973&lt;=Controls!$B$38),1,0)</f>
        <v>1</v>
      </c>
      <c r="AE973" s="65" t="n">
        <f aca="false">IF(IFERROR(VLOOKUP(D973,Controls!$A$64:$E$74,2,FALSE()),"No")="Yes",1,0)</f>
        <v>0</v>
      </c>
      <c r="AF973" s="65" t="n">
        <f aca="false">IF(IFERROR(VLOOKUP(D973,Controls!$A$64:$E$74,3,FALSE()),"No")="Yes",1,0)</f>
        <v>0</v>
      </c>
      <c r="AG973" s="65" t="n">
        <f aca="false">IF(IFERROR(VLOOKUP(D973,Controls!$A$64:$E$74,4,FALSE()),"No")="Yes",1,0)</f>
        <v>0</v>
      </c>
      <c r="AH973" s="65" t="n">
        <f aca="false">IF(IFERROR(VLOOKUP(D973,Controls!$A$64:$E$74,5,FALSE()),"No")="Yes",1,0)</f>
        <v>1</v>
      </c>
      <c r="AI973" s="65" t="n">
        <f aca="false">IF(ISNUMBER(MATCH(D973,Controls!$A$64:$A$74,0)),1,0)</f>
        <v>1</v>
      </c>
      <c r="AJ973" s="65" t="n">
        <f aca="false">Q973-N973</f>
        <v>-18173.4</v>
      </c>
      <c r="AK973" s="65" t="n">
        <f aca="false">IF(AE973=1,MAX(0,N973-Q973),0)</f>
        <v>0</v>
      </c>
      <c r="AL973" s="65" t="n">
        <f aca="false">IF(OR(V973="",V973=0),0,N973/V973)</f>
        <v>0.238247603109989</v>
      </c>
      <c r="AM973" s="65" t="n">
        <f aca="false">IF(OR(V973="",V973=0),0,1)</f>
        <v>1</v>
      </c>
      <c r="AN973" s="65" t="n">
        <f aca="false">IF(OR(E973="",F973=""),0,NETWORKDAYS(E973,F973,Ref!$K$2:$K$42))</f>
        <v>44</v>
      </c>
      <c r="AO973" s="65" t="n">
        <f aca="false">IF(L973="Renewal",1,0)</f>
        <v>0</v>
      </c>
      <c r="AP973" s="65" t="n">
        <f aca="false">AC973*AD973</f>
        <v>0</v>
      </c>
      <c r="AQ973" s="65" t="n">
        <f aca="false">IF(AND(G973&lt;&gt;"",'Historical Score'!$C$6&lt;&gt;""),IF(G973='Historical Score'!$C$6,1,0),0)</f>
        <v>1</v>
      </c>
      <c r="AR973" s="65" t="n">
        <f aca="false">IF(AND(L973&lt;&gt;"",'Historical Score'!$C$5&lt;&gt;""),IF(L973='Historical Score'!$C$5,1,0),0)</f>
        <v>1</v>
      </c>
      <c r="AS973" s="65" t="n">
        <f aca="false">IF(AND(Y973&lt;&gt;"",'Historical Score'!$C$7&lt;&gt;""),IF(Y973='Historical Score'!$C$7,1,0),0)</f>
        <v>0</v>
      </c>
      <c r="AT973" s="65" t="n">
        <f aca="false">IF(AND(K973&lt;&gt;"",'Historical Score'!$C$8&lt;&gt;""),IF(K973='Historical Score'!$C$8,1,0),0)</f>
        <v>0</v>
      </c>
      <c r="AU973" s="65" t="n">
        <f aca="false">IF(AND(J973&lt;&gt;"",'Historical Score'!$C$9&lt;&gt;""),IF(J973='Historical Score'!$C$9,1,0),0)</f>
        <v>0</v>
      </c>
      <c r="AV973" s="65" t="n">
        <f aca="false">AR973*AS973*AQ973</f>
        <v>0</v>
      </c>
      <c r="AW973" s="65" t="n">
        <f aca="false">AR973*AT973*AQ973</f>
        <v>0</v>
      </c>
      <c r="AX973" s="65" t="n">
        <f aca="false">AR973*AS973</f>
        <v>0</v>
      </c>
      <c r="AY973" s="65" t="n">
        <f aca="false">AR973*AT973</f>
        <v>0</v>
      </c>
      <c r="AZ973" s="65" t="n">
        <f aca="false">AR973*AQ973</f>
        <v>1</v>
      </c>
      <c r="BA973" s="65" t="n">
        <f aca="false">AR973</f>
        <v>1</v>
      </c>
      <c r="BB973" s="65" t="n">
        <f aca="false">1</f>
        <v>1</v>
      </c>
      <c r="BC973" s="65" t="n">
        <f aca="false">IF(AV973=1,1,IF(AW973=1,2,IF(AX973=1,3,IF(AY973=1,4,IF(AZ973=1,5,IF(BA973=1,6,7))))))</f>
        <v>5</v>
      </c>
      <c r="BD973" s="65" t="n">
        <f aca="false">IF(AD973=1,CHOOSE('Historical Score'!$C$29,AV973,AW973,AX973,AY973,AZ973,BA973,BB973),0)</f>
        <v>0</v>
      </c>
      <c r="BE973" s="65" t="str">
        <f aca="false">IF(BD973=1,COUNTIF($BD$2:BD973,1),"")</f>
        <v/>
      </c>
    </row>
    <row r="974" customFormat="false" ht="15" hidden="false" customHeight="false" outlineLevel="0" collapsed="false">
      <c r="A974" s="65" t="s">
        <v>2936</v>
      </c>
      <c r="B974" s="65" t="s">
        <v>2937</v>
      </c>
      <c r="C974" s="65" t="s">
        <v>2937</v>
      </c>
      <c r="D974" s="65" t="s">
        <v>295</v>
      </c>
      <c r="E974" s="112" t="n">
        <v>46191</v>
      </c>
      <c r="F974" s="112" t="n">
        <v>46253</v>
      </c>
      <c r="G974" s="65" t="n">
        <v>3</v>
      </c>
      <c r="H974" s="65" t="s">
        <v>409</v>
      </c>
      <c r="I974" s="65" t="s">
        <v>342</v>
      </c>
      <c r="J974" s="65" t="s">
        <v>555</v>
      </c>
      <c r="K974" s="65" t="s">
        <v>581</v>
      </c>
      <c r="L974" s="65" t="s">
        <v>64</v>
      </c>
      <c r="M974" s="113" t="n">
        <v>1.46</v>
      </c>
      <c r="N974" s="114" t="n">
        <v>5000</v>
      </c>
      <c r="O974" s="114" t="n">
        <v>625</v>
      </c>
      <c r="P974" s="114" t="n">
        <v>7300</v>
      </c>
      <c r="Q974" s="114" t="n">
        <v>3924.61</v>
      </c>
      <c r="R974" s="114" t="n">
        <v>3375.39</v>
      </c>
      <c r="S974" s="115" t="n">
        <v>0.537617808219178</v>
      </c>
      <c r="T974" s="65" t="n">
        <v>2.623</v>
      </c>
      <c r="U974" s="65" t="n">
        <v>0</v>
      </c>
      <c r="V974" s="65" t="n">
        <v>14962.29</v>
      </c>
      <c r="W974" s="115" t="n">
        <v>0.1281</v>
      </c>
      <c r="X974" s="112" t="n">
        <v>43212</v>
      </c>
      <c r="Y974" s="65" t="str">
        <f aca="false">IF(I974="","No SIC",IFERROR(VLOOKUP(I974,Ref!$A$2:$B$65,2,FALSE()),"Unclassified"))</f>
        <v>Eating &amp; Drinking Places</v>
      </c>
      <c r="Z974" s="65" t="str">
        <f aca="false">IF(T974="","",IF(T974&lt;12,"Daily","Weekly"))</f>
        <v>Daily</v>
      </c>
      <c r="AA974" s="65" t="n">
        <f aca="false">IF(T974="",0,IF(T974&lt;12,T974*Controls!$B$29,T974*5))</f>
        <v>56.801065</v>
      </c>
      <c r="AB974" s="65" t="n">
        <f aca="false">IF(E974="",0,NETWORKDAYS(E974,Controls!$B$36,Ref!$K$2:$K$42))</f>
        <v>48</v>
      </c>
      <c r="AC974" s="65" t="n">
        <f aca="false">IF(AND(AA974&gt;0,AB974&gt;=Controls!$B$39*AA974),1,0)</f>
        <v>0</v>
      </c>
      <c r="AD974" s="65" t="n">
        <f aca="false">IF(AND(E974&lt;&gt;"",E974&gt;=Controls!$B$37,E974&lt;=Controls!$B$38),1,0)</f>
        <v>1</v>
      </c>
      <c r="AE974" s="65" t="n">
        <f aca="false">IF(IFERROR(VLOOKUP(D974,Controls!$A$64:$E$74,2,FALSE()),"No")="Yes",1,0)</f>
        <v>0</v>
      </c>
      <c r="AF974" s="65" t="n">
        <f aca="false">IF(IFERROR(VLOOKUP(D974,Controls!$A$64:$E$74,3,FALSE()),"No")="Yes",1,0)</f>
        <v>0</v>
      </c>
      <c r="AG974" s="65" t="n">
        <f aca="false">IF(IFERROR(VLOOKUP(D974,Controls!$A$64:$E$74,4,FALSE()),"No")="Yes",1,0)</f>
        <v>0</v>
      </c>
      <c r="AH974" s="65" t="n">
        <f aca="false">IF(IFERROR(VLOOKUP(D974,Controls!$A$64:$E$74,5,FALSE()),"No")="Yes",1,0)</f>
        <v>1</v>
      </c>
      <c r="AI974" s="65" t="n">
        <f aca="false">IF(ISNUMBER(MATCH(D974,Controls!$A$64:$A$74,0)),1,0)</f>
        <v>1</v>
      </c>
      <c r="AJ974" s="65" t="n">
        <f aca="false">Q974-N974</f>
        <v>-1075.39</v>
      </c>
      <c r="AK974" s="65" t="n">
        <f aca="false">IF(AE974=1,MAX(0,N974-Q974),0)</f>
        <v>0</v>
      </c>
      <c r="AL974" s="65" t="n">
        <f aca="false">IF(OR(V974="",V974=0),0,N974/V974)</f>
        <v>0.334173445375006</v>
      </c>
      <c r="AM974" s="65" t="n">
        <f aca="false">IF(OR(V974="",V974=0),0,1)</f>
        <v>1</v>
      </c>
      <c r="AN974" s="65" t="n">
        <f aca="false">IF(OR(E974="",F974=""),0,NETWORKDAYS(E974,F974,Ref!$K$2:$K$42))</f>
        <v>44</v>
      </c>
      <c r="AO974" s="65" t="n">
        <f aca="false">IF(L974="Renewal",1,0)</f>
        <v>0</v>
      </c>
      <c r="AP974" s="65" t="n">
        <f aca="false">AC974*AD974</f>
        <v>0</v>
      </c>
      <c r="AQ974" s="65" t="n">
        <f aca="false">IF(AND(G974&lt;&gt;"",'Historical Score'!$C$6&lt;&gt;""),IF(G974='Historical Score'!$C$6,1,0),0)</f>
        <v>0</v>
      </c>
      <c r="AR974" s="65" t="n">
        <f aca="false">IF(AND(L974&lt;&gt;"",'Historical Score'!$C$5&lt;&gt;""),IF(L974='Historical Score'!$C$5,1,0),0)</f>
        <v>1</v>
      </c>
      <c r="AS974" s="65" t="n">
        <f aca="false">IF(AND(Y974&lt;&gt;"",'Historical Score'!$C$7&lt;&gt;""),IF(Y974='Historical Score'!$C$7,1,0),0)</f>
        <v>0</v>
      </c>
      <c r="AT974" s="65" t="n">
        <f aca="false">IF(AND(K974&lt;&gt;"",'Historical Score'!$C$8&lt;&gt;""),IF(K974='Historical Score'!$C$8,1,0),0)</f>
        <v>0</v>
      </c>
      <c r="AU974" s="65" t="n">
        <f aca="false">IF(AND(J974&lt;&gt;"",'Historical Score'!$C$9&lt;&gt;""),IF(J974='Historical Score'!$C$9,1,0),0)</f>
        <v>0</v>
      </c>
      <c r="AV974" s="65" t="n">
        <f aca="false">AR974*AS974*AQ974</f>
        <v>0</v>
      </c>
      <c r="AW974" s="65" t="n">
        <f aca="false">AR974*AT974*AQ974</f>
        <v>0</v>
      </c>
      <c r="AX974" s="65" t="n">
        <f aca="false">AR974*AS974</f>
        <v>0</v>
      </c>
      <c r="AY974" s="65" t="n">
        <f aca="false">AR974*AT974</f>
        <v>0</v>
      </c>
      <c r="AZ974" s="65" t="n">
        <f aca="false">AR974*AQ974</f>
        <v>0</v>
      </c>
      <c r="BA974" s="65" t="n">
        <f aca="false">AR974</f>
        <v>1</v>
      </c>
      <c r="BB974" s="65" t="n">
        <f aca="false">1</f>
        <v>1</v>
      </c>
      <c r="BC974" s="65" t="n">
        <f aca="false">IF(AV974=1,1,IF(AW974=1,2,IF(AX974=1,3,IF(AY974=1,4,IF(AZ974=1,5,IF(BA974=1,6,7))))))</f>
        <v>6</v>
      </c>
      <c r="BD974" s="65" t="n">
        <f aca="false">IF(AD974=1,CHOOSE('Historical Score'!$C$29,AV974,AW974,AX974,AY974,AZ974,BA974,BB974),0)</f>
        <v>0</v>
      </c>
      <c r="BE974" s="65" t="str">
        <f aca="false">IF(BD974=1,COUNTIF($BD$2:BD974,1),"")</f>
        <v/>
      </c>
    </row>
    <row r="975" customFormat="false" ht="15" hidden="false" customHeight="false" outlineLevel="0" collapsed="false">
      <c r="A975" s="65" t="s">
        <v>2938</v>
      </c>
      <c r="B975" s="65" t="s">
        <v>2939</v>
      </c>
      <c r="C975" s="65" t="s">
        <v>2940</v>
      </c>
      <c r="D975" s="65" t="s">
        <v>295</v>
      </c>
      <c r="E975" s="112" t="n">
        <v>46191</v>
      </c>
      <c r="F975" s="112" t="n">
        <v>46253</v>
      </c>
      <c r="G975" s="65" t="n">
        <v>3</v>
      </c>
      <c r="H975" s="65" t="s">
        <v>752</v>
      </c>
      <c r="I975" s="65" t="s">
        <v>405</v>
      </c>
      <c r="J975" s="65" t="s">
        <v>638</v>
      </c>
      <c r="K975" s="65" t="s">
        <v>433</v>
      </c>
      <c r="L975" s="65" t="s">
        <v>64</v>
      </c>
      <c r="M975" s="113" t="n">
        <v>1.49</v>
      </c>
      <c r="N975" s="114" t="n">
        <v>5000</v>
      </c>
      <c r="O975" s="114" t="n">
        <v>700</v>
      </c>
      <c r="P975" s="114" t="n">
        <v>7450</v>
      </c>
      <c r="Q975" s="114" t="n">
        <v>4005.45</v>
      </c>
      <c r="R975" s="114" t="n">
        <v>3444.55</v>
      </c>
      <c r="S975" s="115" t="n">
        <v>0.537644295302013</v>
      </c>
      <c r="T975" s="65" t="n">
        <v>2.623</v>
      </c>
      <c r="U975" s="65" t="n">
        <v>0</v>
      </c>
      <c r="V975" s="65" t="n">
        <v>18436.73</v>
      </c>
      <c r="W975" s="115" t="n">
        <v>0.1061</v>
      </c>
      <c r="X975" s="112" t="n">
        <v>38718</v>
      </c>
      <c r="Y975" s="65" t="str">
        <f aca="false">IF(I975="","No SIC",IFERROR(VLOOKUP(I975,Ref!$A$2:$B$65,2,FALSE()),"Unclassified"))</f>
        <v>Health Services</v>
      </c>
      <c r="Z975" s="65" t="str">
        <f aca="false">IF(T975="","",IF(T975&lt;12,"Daily","Weekly"))</f>
        <v>Daily</v>
      </c>
      <c r="AA975" s="65" t="n">
        <f aca="false">IF(T975="",0,IF(T975&lt;12,T975*Controls!$B$29,T975*5))</f>
        <v>56.801065</v>
      </c>
      <c r="AB975" s="65" t="n">
        <f aca="false">IF(E975="",0,NETWORKDAYS(E975,Controls!$B$36,Ref!$K$2:$K$42))</f>
        <v>48</v>
      </c>
      <c r="AC975" s="65" t="n">
        <f aca="false">IF(AND(AA975&gt;0,AB975&gt;=Controls!$B$39*AA975),1,0)</f>
        <v>0</v>
      </c>
      <c r="AD975" s="65" t="n">
        <f aca="false">IF(AND(E975&lt;&gt;"",E975&gt;=Controls!$B$37,E975&lt;=Controls!$B$38),1,0)</f>
        <v>1</v>
      </c>
      <c r="AE975" s="65" t="n">
        <f aca="false">IF(IFERROR(VLOOKUP(D975,Controls!$A$64:$E$74,2,FALSE()),"No")="Yes",1,0)</f>
        <v>0</v>
      </c>
      <c r="AF975" s="65" t="n">
        <f aca="false">IF(IFERROR(VLOOKUP(D975,Controls!$A$64:$E$74,3,FALSE()),"No")="Yes",1,0)</f>
        <v>0</v>
      </c>
      <c r="AG975" s="65" t="n">
        <f aca="false">IF(IFERROR(VLOOKUP(D975,Controls!$A$64:$E$74,4,FALSE()),"No")="Yes",1,0)</f>
        <v>0</v>
      </c>
      <c r="AH975" s="65" t="n">
        <f aca="false">IF(IFERROR(VLOOKUP(D975,Controls!$A$64:$E$74,5,FALSE()),"No")="Yes",1,0)</f>
        <v>1</v>
      </c>
      <c r="AI975" s="65" t="n">
        <f aca="false">IF(ISNUMBER(MATCH(D975,Controls!$A$64:$A$74,0)),1,0)</f>
        <v>1</v>
      </c>
      <c r="AJ975" s="65" t="n">
        <f aca="false">Q975-N975</f>
        <v>-994.55</v>
      </c>
      <c r="AK975" s="65" t="n">
        <f aca="false">IF(AE975=1,MAX(0,N975-Q975),0)</f>
        <v>0</v>
      </c>
      <c r="AL975" s="65" t="n">
        <f aca="false">IF(OR(V975="",V975=0),0,N975/V975)</f>
        <v>0.271197766632152</v>
      </c>
      <c r="AM975" s="65" t="n">
        <f aca="false">IF(OR(V975="",V975=0),0,1)</f>
        <v>1</v>
      </c>
      <c r="AN975" s="65" t="n">
        <f aca="false">IF(OR(E975="",F975=""),0,NETWORKDAYS(E975,F975,Ref!$K$2:$K$42))</f>
        <v>44</v>
      </c>
      <c r="AO975" s="65" t="n">
        <f aca="false">IF(L975="Renewal",1,0)</f>
        <v>0</v>
      </c>
      <c r="AP975" s="65" t="n">
        <f aca="false">AC975*AD975</f>
        <v>0</v>
      </c>
      <c r="AQ975" s="65" t="n">
        <f aca="false">IF(AND(G975&lt;&gt;"",'Historical Score'!$C$6&lt;&gt;""),IF(G975='Historical Score'!$C$6,1,0),0)</f>
        <v>0</v>
      </c>
      <c r="AR975" s="65" t="n">
        <f aca="false">IF(AND(L975&lt;&gt;"",'Historical Score'!$C$5&lt;&gt;""),IF(L975='Historical Score'!$C$5,1,0),0)</f>
        <v>1</v>
      </c>
      <c r="AS975" s="65" t="n">
        <f aca="false">IF(AND(Y975&lt;&gt;"",'Historical Score'!$C$7&lt;&gt;""),IF(Y975='Historical Score'!$C$7,1,0),0)</f>
        <v>0</v>
      </c>
      <c r="AT975" s="65" t="n">
        <f aca="false">IF(AND(K975&lt;&gt;"",'Historical Score'!$C$8&lt;&gt;""),IF(K975='Historical Score'!$C$8,1,0),0)</f>
        <v>0</v>
      </c>
      <c r="AU975" s="65" t="n">
        <f aca="false">IF(AND(J975&lt;&gt;"",'Historical Score'!$C$9&lt;&gt;""),IF(J975='Historical Score'!$C$9,1,0),0)</f>
        <v>0</v>
      </c>
      <c r="AV975" s="65" t="n">
        <f aca="false">AR975*AS975*AQ975</f>
        <v>0</v>
      </c>
      <c r="AW975" s="65" t="n">
        <f aca="false">AR975*AT975*AQ975</f>
        <v>0</v>
      </c>
      <c r="AX975" s="65" t="n">
        <f aca="false">AR975*AS975</f>
        <v>0</v>
      </c>
      <c r="AY975" s="65" t="n">
        <f aca="false">AR975*AT975</f>
        <v>0</v>
      </c>
      <c r="AZ975" s="65" t="n">
        <f aca="false">AR975*AQ975</f>
        <v>0</v>
      </c>
      <c r="BA975" s="65" t="n">
        <f aca="false">AR975</f>
        <v>1</v>
      </c>
      <c r="BB975" s="65" t="n">
        <f aca="false">1</f>
        <v>1</v>
      </c>
      <c r="BC975" s="65" t="n">
        <f aca="false">IF(AV975=1,1,IF(AW975=1,2,IF(AX975=1,3,IF(AY975=1,4,IF(AZ975=1,5,IF(BA975=1,6,7))))))</f>
        <v>6</v>
      </c>
      <c r="BD975" s="65" t="n">
        <f aca="false">IF(AD975=1,CHOOSE('Historical Score'!$C$29,AV975,AW975,AX975,AY975,AZ975,BA975,BB975),0)</f>
        <v>0</v>
      </c>
      <c r="BE975" s="65" t="str">
        <f aca="false">IF(BD975=1,COUNTIF($BD$2:BD975,1),"")</f>
        <v/>
      </c>
    </row>
    <row r="976" customFormat="false" ht="15" hidden="false" customHeight="false" outlineLevel="0" collapsed="false">
      <c r="A976" s="65" t="s">
        <v>2941</v>
      </c>
      <c r="B976" s="65" t="s">
        <v>2138</v>
      </c>
      <c r="C976" s="65" t="s">
        <v>2138</v>
      </c>
      <c r="D976" s="65" t="s">
        <v>295</v>
      </c>
      <c r="E976" s="112" t="n">
        <v>46195</v>
      </c>
      <c r="F976" s="112" t="n">
        <v>46248</v>
      </c>
      <c r="G976" s="65" t="n">
        <v>2</v>
      </c>
      <c r="H976" s="65" t="s">
        <v>568</v>
      </c>
      <c r="I976" s="65" t="s">
        <v>569</v>
      </c>
      <c r="J976" s="65" t="s">
        <v>682</v>
      </c>
      <c r="K976" s="65" t="s">
        <v>584</v>
      </c>
      <c r="L976" s="65" t="s">
        <v>320</v>
      </c>
      <c r="M976" s="113" t="n">
        <v>1.4</v>
      </c>
      <c r="N976" s="114" t="n">
        <v>40000</v>
      </c>
      <c r="O976" s="114" t="n">
        <v>3800</v>
      </c>
      <c r="P976" s="114" t="n">
        <v>56000</v>
      </c>
      <c r="Q976" s="114" t="n">
        <v>14317.08</v>
      </c>
      <c r="R976" s="114" t="n">
        <v>41682.92</v>
      </c>
      <c r="S976" s="115" t="n">
        <v>0.255662142857143</v>
      </c>
      <c r="T976" s="65" t="n">
        <v>32</v>
      </c>
      <c r="U976" s="65" t="n">
        <v>0</v>
      </c>
      <c r="V976" s="65" t="n">
        <v>37557.06</v>
      </c>
      <c r="W976" s="115" t="n">
        <v>0.1864</v>
      </c>
      <c r="X976" s="112" t="n">
        <v>43617</v>
      </c>
      <c r="Y976" s="65" t="str">
        <f aca="false">IF(I976="","No SIC",IFERROR(VLOOKUP(I976,Ref!$A$2:$B$65,2,FALSE()),"Unclassified"))</f>
        <v>General Merchandise Stores</v>
      </c>
      <c r="Z976" s="65" t="str">
        <f aca="false">IF(T976="","",IF(T976&lt;12,"Daily","Weekly"))</f>
        <v>Weekly</v>
      </c>
      <c r="AA976" s="65" t="n">
        <f aca="false">IF(T976="",0,IF(T976&lt;12,T976*Controls!$B$29,T976*5))</f>
        <v>160</v>
      </c>
      <c r="AB976" s="65" t="n">
        <f aca="false">IF(E976="",0,NETWORKDAYS(E976,Controls!$B$36,Ref!$K$2:$K$42))</f>
        <v>47</v>
      </c>
      <c r="AC976" s="65" t="n">
        <f aca="false">IF(AND(AA976&gt;0,AB976&gt;=Controls!$B$39*AA976),1,0)</f>
        <v>0</v>
      </c>
      <c r="AD976" s="65" t="n">
        <f aca="false">IF(AND(E976&lt;&gt;"",E976&gt;=Controls!$B$37,E976&lt;=Controls!$B$38),1,0)</f>
        <v>1</v>
      </c>
      <c r="AE976" s="65" t="n">
        <f aca="false">IF(IFERROR(VLOOKUP(D976,Controls!$A$64:$E$74,2,FALSE()),"No")="Yes",1,0)</f>
        <v>0</v>
      </c>
      <c r="AF976" s="65" t="n">
        <f aca="false">IF(IFERROR(VLOOKUP(D976,Controls!$A$64:$E$74,3,FALSE()),"No")="Yes",1,0)</f>
        <v>0</v>
      </c>
      <c r="AG976" s="65" t="n">
        <f aca="false">IF(IFERROR(VLOOKUP(D976,Controls!$A$64:$E$74,4,FALSE()),"No")="Yes",1,0)</f>
        <v>0</v>
      </c>
      <c r="AH976" s="65" t="n">
        <f aca="false">IF(IFERROR(VLOOKUP(D976,Controls!$A$64:$E$74,5,FALSE()),"No")="Yes",1,0)</f>
        <v>1</v>
      </c>
      <c r="AI976" s="65" t="n">
        <f aca="false">IF(ISNUMBER(MATCH(D976,Controls!$A$64:$A$74,0)),1,0)</f>
        <v>1</v>
      </c>
      <c r="AJ976" s="65" t="n">
        <f aca="false">Q976-N976</f>
        <v>-25682.92</v>
      </c>
      <c r="AK976" s="65" t="n">
        <f aca="false">IF(AE976=1,MAX(0,N976-Q976),0)</f>
        <v>0</v>
      </c>
      <c r="AL976" s="65" t="n">
        <f aca="false">IF(OR(V976="",V976=0),0,N976/V976)</f>
        <v>1.06504609253227</v>
      </c>
      <c r="AM976" s="65" t="n">
        <f aca="false">IF(OR(V976="",V976=0),0,1)</f>
        <v>1</v>
      </c>
      <c r="AN976" s="65" t="n">
        <f aca="false">IF(OR(E976="",F976=""),0,NETWORKDAYS(E976,F976,Ref!$K$2:$K$42))</f>
        <v>40</v>
      </c>
      <c r="AO976" s="65" t="n">
        <f aca="false">IF(L976="Renewal",1,0)</f>
        <v>1</v>
      </c>
      <c r="AP976" s="65" t="n">
        <f aca="false">AC976*AD976</f>
        <v>0</v>
      </c>
      <c r="AQ976" s="65" t="n">
        <f aca="false">IF(AND(G976&lt;&gt;"",'Historical Score'!$C$6&lt;&gt;""),IF(G976='Historical Score'!$C$6,1,0),0)</f>
        <v>1</v>
      </c>
      <c r="AR976" s="65" t="n">
        <f aca="false">IF(AND(L976&lt;&gt;"",'Historical Score'!$C$5&lt;&gt;""),IF(L976='Historical Score'!$C$5,1,0),0)</f>
        <v>0</v>
      </c>
      <c r="AS976" s="65" t="n">
        <f aca="false">IF(AND(Y976&lt;&gt;"",'Historical Score'!$C$7&lt;&gt;""),IF(Y976='Historical Score'!$C$7,1,0),0)</f>
        <v>0</v>
      </c>
      <c r="AT976" s="65" t="n">
        <f aca="false">IF(AND(K976&lt;&gt;"",'Historical Score'!$C$8&lt;&gt;""),IF(K976='Historical Score'!$C$8,1,0),0)</f>
        <v>0</v>
      </c>
      <c r="AU976" s="65" t="n">
        <f aca="false">IF(AND(J976&lt;&gt;"",'Historical Score'!$C$9&lt;&gt;""),IF(J976='Historical Score'!$C$9,1,0),0)</f>
        <v>0</v>
      </c>
      <c r="AV976" s="65" t="n">
        <f aca="false">AR976*AS976*AQ976</f>
        <v>0</v>
      </c>
      <c r="AW976" s="65" t="n">
        <f aca="false">AR976*AT976*AQ976</f>
        <v>0</v>
      </c>
      <c r="AX976" s="65" t="n">
        <f aca="false">AR976*AS976</f>
        <v>0</v>
      </c>
      <c r="AY976" s="65" t="n">
        <f aca="false">AR976*AT976</f>
        <v>0</v>
      </c>
      <c r="AZ976" s="65" t="n">
        <f aca="false">AR976*AQ976</f>
        <v>0</v>
      </c>
      <c r="BA976" s="65" t="n">
        <f aca="false">AR976</f>
        <v>0</v>
      </c>
      <c r="BB976" s="65" t="n">
        <f aca="false">1</f>
        <v>1</v>
      </c>
      <c r="BC976" s="65" t="n">
        <f aca="false">IF(AV976=1,1,IF(AW976=1,2,IF(AX976=1,3,IF(AY976=1,4,IF(AZ976=1,5,IF(BA976=1,6,7))))))</f>
        <v>7</v>
      </c>
      <c r="BD976" s="65" t="n">
        <f aca="false">IF(AD976=1,CHOOSE('Historical Score'!$C$29,AV976,AW976,AX976,AY976,AZ976,BA976,BB976),0)</f>
        <v>0</v>
      </c>
      <c r="BE976" s="65" t="str">
        <f aca="false">IF(BD976=1,COUNTIF($BD$2:BD976,1),"")</f>
        <v/>
      </c>
    </row>
    <row r="977" customFormat="false" ht="15" hidden="false" customHeight="false" outlineLevel="0" collapsed="false">
      <c r="A977" s="65" t="s">
        <v>2942</v>
      </c>
      <c r="B977" s="65" t="s">
        <v>2943</v>
      </c>
      <c r="C977" s="65" t="s">
        <v>2944</v>
      </c>
      <c r="D977" s="65" t="s">
        <v>533</v>
      </c>
      <c r="E977" s="112" t="n">
        <v>46195</v>
      </c>
      <c r="F977" s="112" t="n">
        <v>46237</v>
      </c>
      <c r="G977" s="65" t="n">
        <v>3</v>
      </c>
      <c r="H977" s="65" t="s">
        <v>748</v>
      </c>
      <c r="I977" s="65" t="s">
        <v>619</v>
      </c>
      <c r="J977" s="65" t="s">
        <v>452</v>
      </c>
      <c r="K977" s="65" t="s">
        <v>538</v>
      </c>
      <c r="L977" s="65" t="s">
        <v>64</v>
      </c>
      <c r="M977" s="113" t="n">
        <v>1.49</v>
      </c>
      <c r="N977" s="114" t="n">
        <v>15000</v>
      </c>
      <c r="O977" s="114" t="n">
        <v>0</v>
      </c>
      <c r="P977" s="114" t="n">
        <v>22350</v>
      </c>
      <c r="Q977" s="114" t="n">
        <v>2873.16</v>
      </c>
      <c r="R977" s="114" t="n">
        <v>19476.84</v>
      </c>
      <c r="S977" s="115" t="n">
        <v>0.128553020134228</v>
      </c>
      <c r="T977" s="65" t="n">
        <v>2.295</v>
      </c>
      <c r="U977" s="65" t="n">
        <v>21</v>
      </c>
      <c r="V977" s="65" t="n">
        <v>48000</v>
      </c>
      <c r="W977" s="115" t="n">
        <v>0.1922</v>
      </c>
      <c r="X977" s="112" t="n">
        <v>44124</v>
      </c>
      <c r="Y977" s="65" t="str">
        <f aca="false">IF(I977="","No SIC",IFERROR(VLOOKUP(I977,Ref!$A$2:$B$65,2,FALSE()),"Unclassified"))</f>
        <v>Miscellaneous Retail</v>
      </c>
      <c r="Z977" s="65" t="str">
        <f aca="false">IF(T977="","",IF(T977&lt;12,"Daily","Weekly"))</f>
        <v>Daily</v>
      </c>
      <c r="AA977" s="65" t="n">
        <f aca="false">IF(T977="",0,IF(T977&lt;12,T977*Controls!$B$29,T977*5))</f>
        <v>49.698225</v>
      </c>
      <c r="AB977" s="65" t="n">
        <f aca="false">IF(E977="",0,NETWORKDAYS(E977,Controls!$B$36,Ref!$K$2:$K$42))</f>
        <v>47</v>
      </c>
      <c r="AC977" s="65" t="n">
        <f aca="false">IF(AND(AA977&gt;0,AB977&gt;=Controls!$B$39*AA977),1,0)</f>
        <v>0</v>
      </c>
      <c r="AD977" s="65" t="n">
        <f aca="false">IF(AND(E977&lt;&gt;"",E977&gt;=Controls!$B$37,E977&lt;=Controls!$B$38),1,0)</f>
        <v>1</v>
      </c>
      <c r="AE977" s="65" t="n">
        <f aca="false">IF(IFERROR(VLOOKUP(D977,Controls!$A$64:$E$74,2,FALSE()),"No")="Yes",1,0)</f>
        <v>1</v>
      </c>
      <c r="AF977" s="65" t="n">
        <f aca="false">IF(IFERROR(VLOOKUP(D977,Controls!$A$64:$E$74,3,FALSE()),"No")="Yes",1,0)</f>
        <v>0</v>
      </c>
      <c r="AG977" s="65" t="n">
        <f aca="false">IF(IFERROR(VLOOKUP(D977,Controls!$A$64:$E$74,4,FALSE()),"No")="Yes",1,0)</f>
        <v>0</v>
      </c>
      <c r="AH977" s="65" t="n">
        <f aca="false">IF(IFERROR(VLOOKUP(D977,Controls!$A$64:$E$74,5,FALSE()),"No")="Yes",1,0)</f>
        <v>0</v>
      </c>
      <c r="AI977" s="65" t="n">
        <f aca="false">IF(ISNUMBER(MATCH(D977,Controls!$A$64:$A$74,0)),1,0)</f>
        <v>1</v>
      </c>
      <c r="AJ977" s="65" t="n">
        <f aca="false">Q977-N977</f>
        <v>-12126.84</v>
      </c>
      <c r="AK977" s="65" t="n">
        <f aca="false">IF(AE977=1,MAX(0,N977-Q977),0)</f>
        <v>12126.84</v>
      </c>
      <c r="AL977" s="65" t="n">
        <f aca="false">IF(OR(V977="",V977=0),0,N977/V977)</f>
        <v>0.3125</v>
      </c>
      <c r="AM977" s="65" t="n">
        <f aca="false">IF(OR(V977="",V977=0),0,1)</f>
        <v>1</v>
      </c>
      <c r="AN977" s="65" t="n">
        <f aca="false">IF(OR(E977="",F977=""),0,NETWORKDAYS(E977,F977,Ref!$K$2:$K$42))</f>
        <v>31</v>
      </c>
      <c r="AO977" s="65" t="n">
        <f aca="false">IF(L977="Renewal",1,0)</f>
        <v>0</v>
      </c>
      <c r="AP977" s="65" t="n">
        <f aca="false">AC977*AD977</f>
        <v>0</v>
      </c>
      <c r="AQ977" s="65" t="n">
        <f aca="false">IF(AND(G977&lt;&gt;"",'Historical Score'!$C$6&lt;&gt;""),IF(G977='Historical Score'!$C$6,1,0),0)</f>
        <v>0</v>
      </c>
      <c r="AR977" s="65" t="n">
        <f aca="false">IF(AND(L977&lt;&gt;"",'Historical Score'!$C$5&lt;&gt;""),IF(L977='Historical Score'!$C$5,1,0),0)</f>
        <v>1</v>
      </c>
      <c r="AS977" s="65" t="n">
        <f aca="false">IF(AND(Y977&lt;&gt;"",'Historical Score'!$C$7&lt;&gt;""),IF(Y977='Historical Score'!$C$7,1,0),0)</f>
        <v>0</v>
      </c>
      <c r="AT977" s="65" t="n">
        <f aca="false">IF(AND(K977&lt;&gt;"",'Historical Score'!$C$8&lt;&gt;""),IF(K977='Historical Score'!$C$8,1,0),0)</f>
        <v>0</v>
      </c>
      <c r="AU977" s="65" t="n">
        <f aca="false">IF(AND(J977&lt;&gt;"",'Historical Score'!$C$9&lt;&gt;""),IF(J977='Historical Score'!$C$9,1,0),0)</f>
        <v>0</v>
      </c>
      <c r="AV977" s="65" t="n">
        <f aca="false">AR977*AS977*AQ977</f>
        <v>0</v>
      </c>
      <c r="AW977" s="65" t="n">
        <f aca="false">AR977*AT977*AQ977</f>
        <v>0</v>
      </c>
      <c r="AX977" s="65" t="n">
        <f aca="false">AR977*AS977</f>
        <v>0</v>
      </c>
      <c r="AY977" s="65" t="n">
        <f aca="false">AR977*AT977</f>
        <v>0</v>
      </c>
      <c r="AZ977" s="65" t="n">
        <f aca="false">AR977*AQ977</f>
        <v>0</v>
      </c>
      <c r="BA977" s="65" t="n">
        <f aca="false">AR977</f>
        <v>1</v>
      </c>
      <c r="BB977" s="65" t="n">
        <f aca="false">1</f>
        <v>1</v>
      </c>
      <c r="BC977" s="65" t="n">
        <f aca="false">IF(AV977=1,1,IF(AW977=1,2,IF(AX977=1,3,IF(AY977=1,4,IF(AZ977=1,5,IF(BA977=1,6,7))))))</f>
        <v>6</v>
      </c>
      <c r="BD977" s="65" t="n">
        <f aca="false">IF(AD977=1,CHOOSE('Historical Score'!$C$29,AV977,AW977,AX977,AY977,AZ977,BA977,BB977),0)</f>
        <v>0</v>
      </c>
      <c r="BE977" s="65" t="str">
        <f aca="false">IF(BD977=1,COUNTIF($BD$2:BD977,1),"")</f>
        <v/>
      </c>
    </row>
    <row r="978" customFormat="false" ht="15" hidden="false" customHeight="false" outlineLevel="0" collapsed="false">
      <c r="A978" s="65" t="s">
        <v>2945</v>
      </c>
      <c r="B978" s="65" t="s">
        <v>2946</v>
      </c>
      <c r="C978" s="65" t="s">
        <v>2947</v>
      </c>
      <c r="D978" s="65" t="s">
        <v>533</v>
      </c>
      <c r="E978" s="112" t="n">
        <v>46195</v>
      </c>
      <c r="F978" s="112" t="n">
        <v>46220</v>
      </c>
      <c r="G978" s="65" t="n">
        <v>3</v>
      </c>
      <c r="H978" s="65" t="s">
        <v>748</v>
      </c>
      <c r="I978" s="65" t="s">
        <v>619</v>
      </c>
      <c r="J978" s="65" t="s">
        <v>452</v>
      </c>
      <c r="K978" s="65" t="s">
        <v>374</v>
      </c>
      <c r="L978" s="65" t="s">
        <v>64</v>
      </c>
      <c r="M978" s="113" t="n">
        <v>1.49</v>
      </c>
      <c r="N978" s="114" t="n">
        <v>4000</v>
      </c>
      <c r="O978" s="114" t="n">
        <v>0</v>
      </c>
      <c r="P978" s="114" t="n">
        <v>5960</v>
      </c>
      <c r="Q978" s="114" t="n">
        <v>813.21</v>
      </c>
      <c r="R978" s="114" t="n">
        <v>5146.79</v>
      </c>
      <c r="S978" s="115" t="n">
        <v>0.136444630872483</v>
      </c>
      <c r="T978" s="65" t="n">
        <v>22</v>
      </c>
      <c r="U978" s="65" t="n">
        <v>1</v>
      </c>
      <c r="V978" s="65" t="n">
        <v>13954.68</v>
      </c>
      <c r="W978" s="115" t="n">
        <v>0.0777</v>
      </c>
      <c r="X978" s="112" t="n">
        <v>41446</v>
      </c>
      <c r="Y978" s="65" t="str">
        <f aca="false">IF(I978="","No SIC",IFERROR(VLOOKUP(I978,Ref!$A$2:$B$65,2,FALSE()),"Unclassified"))</f>
        <v>Miscellaneous Retail</v>
      </c>
      <c r="Z978" s="65" t="str">
        <f aca="false">IF(T978="","",IF(T978&lt;12,"Daily","Weekly"))</f>
        <v>Weekly</v>
      </c>
      <c r="AA978" s="65" t="n">
        <f aca="false">IF(T978="",0,IF(T978&lt;12,T978*Controls!$B$29,T978*5))</f>
        <v>110</v>
      </c>
      <c r="AB978" s="65" t="n">
        <f aca="false">IF(E978="",0,NETWORKDAYS(E978,Controls!$B$36,Ref!$K$2:$K$42))</f>
        <v>47</v>
      </c>
      <c r="AC978" s="65" t="n">
        <f aca="false">IF(AND(AA978&gt;0,AB978&gt;=Controls!$B$39*AA978),1,0)</f>
        <v>0</v>
      </c>
      <c r="AD978" s="65" t="n">
        <f aca="false">IF(AND(E978&lt;&gt;"",E978&gt;=Controls!$B$37,E978&lt;=Controls!$B$38),1,0)</f>
        <v>1</v>
      </c>
      <c r="AE978" s="65" t="n">
        <f aca="false">IF(IFERROR(VLOOKUP(D978,Controls!$A$64:$E$74,2,FALSE()),"No")="Yes",1,0)</f>
        <v>1</v>
      </c>
      <c r="AF978" s="65" t="n">
        <f aca="false">IF(IFERROR(VLOOKUP(D978,Controls!$A$64:$E$74,3,FALSE()),"No")="Yes",1,0)</f>
        <v>0</v>
      </c>
      <c r="AG978" s="65" t="n">
        <f aca="false">IF(IFERROR(VLOOKUP(D978,Controls!$A$64:$E$74,4,FALSE()),"No")="Yes",1,0)</f>
        <v>0</v>
      </c>
      <c r="AH978" s="65" t="n">
        <f aca="false">IF(IFERROR(VLOOKUP(D978,Controls!$A$64:$E$74,5,FALSE()),"No")="Yes",1,0)</f>
        <v>0</v>
      </c>
      <c r="AI978" s="65" t="n">
        <f aca="false">IF(ISNUMBER(MATCH(D978,Controls!$A$64:$A$74,0)),1,0)</f>
        <v>1</v>
      </c>
      <c r="AJ978" s="65" t="n">
        <f aca="false">Q978-N978</f>
        <v>-3186.79</v>
      </c>
      <c r="AK978" s="65" t="n">
        <f aca="false">IF(AE978=1,MAX(0,N978-Q978),0)</f>
        <v>3186.79</v>
      </c>
      <c r="AL978" s="65" t="n">
        <f aca="false">IF(OR(V978="",V978=0),0,N978/V978)</f>
        <v>0.286642187423861</v>
      </c>
      <c r="AM978" s="65" t="n">
        <f aca="false">IF(OR(V978="",V978=0),0,1)</f>
        <v>1</v>
      </c>
      <c r="AN978" s="65" t="n">
        <f aca="false">IF(OR(E978="",F978=""),0,NETWORKDAYS(E978,F978,Ref!$K$2:$K$42))</f>
        <v>20</v>
      </c>
      <c r="AO978" s="65" t="n">
        <f aca="false">IF(L978="Renewal",1,0)</f>
        <v>0</v>
      </c>
      <c r="AP978" s="65" t="n">
        <f aca="false">AC978*AD978</f>
        <v>0</v>
      </c>
      <c r="AQ978" s="65" t="n">
        <f aca="false">IF(AND(G978&lt;&gt;"",'Historical Score'!$C$6&lt;&gt;""),IF(G978='Historical Score'!$C$6,1,0),0)</f>
        <v>0</v>
      </c>
      <c r="AR978" s="65" t="n">
        <f aca="false">IF(AND(L978&lt;&gt;"",'Historical Score'!$C$5&lt;&gt;""),IF(L978='Historical Score'!$C$5,1,0),0)</f>
        <v>1</v>
      </c>
      <c r="AS978" s="65" t="n">
        <f aca="false">IF(AND(Y978&lt;&gt;"",'Historical Score'!$C$7&lt;&gt;""),IF(Y978='Historical Score'!$C$7,1,0),0)</f>
        <v>0</v>
      </c>
      <c r="AT978" s="65" t="n">
        <f aca="false">IF(AND(K978&lt;&gt;"",'Historical Score'!$C$8&lt;&gt;""),IF(K978='Historical Score'!$C$8,1,0),0)</f>
        <v>0</v>
      </c>
      <c r="AU978" s="65" t="n">
        <f aca="false">IF(AND(J978&lt;&gt;"",'Historical Score'!$C$9&lt;&gt;""),IF(J978='Historical Score'!$C$9,1,0),0)</f>
        <v>0</v>
      </c>
      <c r="AV978" s="65" t="n">
        <f aca="false">AR978*AS978*AQ978</f>
        <v>0</v>
      </c>
      <c r="AW978" s="65" t="n">
        <f aca="false">AR978*AT978*AQ978</f>
        <v>0</v>
      </c>
      <c r="AX978" s="65" t="n">
        <f aca="false">AR978*AS978</f>
        <v>0</v>
      </c>
      <c r="AY978" s="65" t="n">
        <f aca="false">AR978*AT978</f>
        <v>0</v>
      </c>
      <c r="AZ978" s="65" t="n">
        <f aca="false">AR978*AQ978</f>
        <v>0</v>
      </c>
      <c r="BA978" s="65" t="n">
        <f aca="false">AR978</f>
        <v>1</v>
      </c>
      <c r="BB978" s="65" t="n">
        <f aca="false">1</f>
        <v>1</v>
      </c>
      <c r="BC978" s="65" t="n">
        <f aca="false">IF(AV978=1,1,IF(AW978=1,2,IF(AX978=1,3,IF(AY978=1,4,IF(AZ978=1,5,IF(BA978=1,6,7))))))</f>
        <v>6</v>
      </c>
      <c r="BD978" s="65" t="n">
        <f aca="false">IF(AD978=1,CHOOSE('Historical Score'!$C$29,AV978,AW978,AX978,AY978,AZ978,BA978,BB978),0)</f>
        <v>0</v>
      </c>
      <c r="BE978" s="65" t="str">
        <f aca="false">IF(BD978=1,COUNTIF($BD$2:BD978,1),"")</f>
        <v/>
      </c>
    </row>
    <row r="979" customFormat="false" ht="15" hidden="false" customHeight="false" outlineLevel="0" collapsed="false">
      <c r="A979" s="65" t="s">
        <v>2948</v>
      </c>
      <c r="B979" s="65" t="s">
        <v>2949</v>
      </c>
      <c r="C979" s="65" t="s">
        <v>2950</v>
      </c>
      <c r="D979" s="65" t="s">
        <v>295</v>
      </c>
      <c r="E979" s="112" t="n">
        <v>46195</v>
      </c>
      <c r="F979" s="112" t="n">
        <v>46247</v>
      </c>
      <c r="G979" s="65" t="n">
        <v>3</v>
      </c>
      <c r="H979" s="65" t="s">
        <v>2951</v>
      </c>
      <c r="I979" s="65" t="s">
        <v>356</v>
      </c>
      <c r="J979" s="65" t="s">
        <v>399</v>
      </c>
      <c r="K979" s="65" t="s">
        <v>2812</v>
      </c>
      <c r="L979" s="65" t="s">
        <v>64</v>
      </c>
      <c r="M979" s="113" t="n">
        <v>1.49</v>
      </c>
      <c r="N979" s="114" t="n">
        <v>60000</v>
      </c>
      <c r="O979" s="114" t="n">
        <v>8400</v>
      </c>
      <c r="P979" s="114" t="n">
        <v>89400</v>
      </c>
      <c r="Q979" s="114" t="n">
        <v>26064.57</v>
      </c>
      <c r="R979" s="114" t="n">
        <v>63335.43</v>
      </c>
      <c r="S979" s="115" t="n">
        <v>0.29155</v>
      </c>
      <c r="T979" s="65" t="n">
        <v>24</v>
      </c>
      <c r="U979" s="65" t="n">
        <v>0</v>
      </c>
      <c r="V979" s="65" t="n">
        <v>898992.04</v>
      </c>
      <c r="W979" s="115" t="n">
        <v>0.0573</v>
      </c>
      <c r="X979" s="112" t="n">
        <v>42050</v>
      </c>
      <c r="Y979" s="65" t="str">
        <f aca="false">IF(I979="","No SIC",IFERROR(VLOOKUP(I979,Ref!$A$2:$B$65,2,FALSE()),"Unclassified"))</f>
        <v>Trucking &amp; Warehousing</v>
      </c>
      <c r="Z979" s="65" t="str">
        <f aca="false">IF(T979="","",IF(T979&lt;12,"Daily","Weekly"))</f>
        <v>Weekly</v>
      </c>
      <c r="AA979" s="65" t="n">
        <f aca="false">IF(T979="",0,IF(T979&lt;12,T979*Controls!$B$29,T979*5))</f>
        <v>120</v>
      </c>
      <c r="AB979" s="65" t="n">
        <f aca="false">IF(E979="",0,NETWORKDAYS(E979,Controls!$B$36,Ref!$K$2:$K$42))</f>
        <v>47</v>
      </c>
      <c r="AC979" s="65" t="n">
        <f aca="false">IF(AND(AA979&gt;0,AB979&gt;=Controls!$B$39*AA979),1,0)</f>
        <v>0</v>
      </c>
      <c r="AD979" s="65" t="n">
        <f aca="false">IF(AND(E979&lt;&gt;"",E979&gt;=Controls!$B$37,E979&lt;=Controls!$B$38),1,0)</f>
        <v>1</v>
      </c>
      <c r="AE979" s="65" t="n">
        <f aca="false">IF(IFERROR(VLOOKUP(D979,Controls!$A$64:$E$74,2,FALSE()),"No")="Yes",1,0)</f>
        <v>0</v>
      </c>
      <c r="AF979" s="65" t="n">
        <f aca="false">IF(IFERROR(VLOOKUP(D979,Controls!$A$64:$E$74,3,FALSE()),"No")="Yes",1,0)</f>
        <v>0</v>
      </c>
      <c r="AG979" s="65" t="n">
        <f aca="false">IF(IFERROR(VLOOKUP(D979,Controls!$A$64:$E$74,4,FALSE()),"No")="Yes",1,0)</f>
        <v>0</v>
      </c>
      <c r="AH979" s="65" t="n">
        <f aca="false">IF(IFERROR(VLOOKUP(D979,Controls!$A$64:$E$74,5,FALSE()),"No")="Yes",1,0)</f>
        <v>1</v>
      </c>
      <c r="AI979" s="65" t="n">
        <f aca="false">IF(ISNUMBER(MATCH(D979,Controls!$A$64:$A$74,0)),1,0)</f>
        <v>1</v>
      </c>
      <c r="AJ979" s="65" t="n">
        <f aca="false">Q979-N979</f>
        <v>-33935.43</v>
      </c>
      <c r="AK979" s="65" t="n">
        <f aca="false">IF(AE979=1,MAX(0,N979-Q979),0)</f>
        <v>0</v>
      </c>
      <c r="AL979" s="65" t="n">
        <f aca="false">IF(OR(V979="",V979=0),0,N979/V979)</f>
        <v>0.0667414140841559</v>
      </c>
      <c r="AM979" s="65" t="n">
        <f aca="false">IF(OR(V979="",V979=0),0,1)</f>
        <v>1</v>
      </c>
      <c r="AN979" s="65" t="n">
        <f aca="false">IF(OR(E979="",F979=""),0,NETWORKDAYS(E979,F979,Ref!$K$2:$K$42))</f>
        <v>39</v>
      </c>
      <c r="AO979" s="65" t="n">
        <f aca="false">IF(L979="Renewal",1,0)</f>
        <v>0</v>
      </c>
      <c r="AP979" s="65" t="n">
        <f aca="false">AC979*AD979</f>
        <v>0</v>
      </c>
      <c r="AQ979" s="65" t="n">
        <f aca="false">IF(AND(G979&lt;&gt;"",'Historical Score'!$C$6&lt;&gt;""),IF(G979='Historical Score'!$C$6,1,0),0)</f>
        <v>0</v>
      </c>
      <c r="AR979" s="65" t="n">
        <f aca="false">IF(AND(L979&lt;&gt;"",'Historical Score'!$C$5&lt;&gt;""),IF(L979='Historical Score'!$C$5,1,0),0)</f>
        <v>1</v>
      </c>
      <c r="AS979" s="65" t="n">
        <f aca="false">IF(AND(Y979&lt;&gt;"",'Historical Score'!$C$7&lt;&gt;""),IF(Y979='Historical Score'!$C$7,1,0),0)</f>
        <v>0</v>
      </c>
      <c r="AT979" s="65" t="n">
        <f aca="false">IF(AND(K979&lt;&gt;"",'Historical Score'!$C$8&lt;&gt;""),IF(K979='Historical Score'!$C$8,1,0),0)</f>
        <v>0</v>
      </c>
      <c r="AU979" s="65" t="n">
        <f aca="false">IF(AND(J979&lt;&gt;"",'Historical Score'!$C$9&lt;&gt;""),IF(J979='Historical Score'!$C$9,1,0),0)</f>
        <v>0</v>
      </c>
      <c r="AV979" s="65" t="n">
        <f aca="false">AR979*AS979*AQ979</f>
        <v>0</v>
      </c>
      <c r="AW979" s="65" t="n">
        <f aca="false">AR979*AT979*AQ979</f>
        <v>0</v>
      </c>
      <c r="AX979" s="65" t="n">
        <f aca="false">AR979*AS979</f>
        <v>0</v>
      </c>
      <c r="AY979" s="65" t="n">
        <f aca="false">AR979*AT979</f>
        <v>0</v>
      </c>
      <c r="AZ979" s="65" t="n">
        <f aca="false">AR979*AQ979</f>
        <v>0</v>
      </c>
      <c r="BA979" s="65" t="n">
        <f aca="false">AR979</f>
        <v>1</v>
      </c>
      <c r="BB979" s="65" t="n">
        <f aca="false">1</f>
        <v>1</v>
      </c>
      <c r="BC979" s="65" t="n">
        <f aca="false">IF(AV979=1,1,IF(AW979=1,2,IF(AX979=1,3,IF(AY979=1,4,IF(AZ979=1,5,IF(BA979=1,6,7))))))</f>
        <v>6</v>
      </c>
      <c r="BD979" s="65" t="n">
        <f aca="false">IF(AD979=1,CHOOSE('Historical Score'!$C$29,AV979,AW979,AX979,AY979,AZ979,BA979,BB979),0)</f>
        <v>0</v>
      </c>
      <c r="BE979" s="65" t="str">
        <f aca="false">IF(BD979=1,COUNTIF($BD$2:BD979,1),"")</f>
        <v/>
      </c>
    </row>
    <row r="980" customFormat="false" ht="15" hidden="false" customHeight="false" outlineLevel="0" collapsed="false">
      <c r="A980" s="65" t="s">
        <v>2952</v>
      </c>
      <c r="B980" s="65" t="s">
        <v>2953</v>
      </c>
      <c r="C980" s="65" t="s">
        <v>2953</v>
      </c>
      <c r="D980" s="65" t="s">
        <v>295</v>
      </c>
      <c r="E980" s="112" t="n">
        <v>46195</v>
      </c>
      <c r="F980" s="112" t="n">
        <v>46241</v>
      </c>
      <c r="G980" s="65" t="n">
        <v>3</v>
      </c>
      <c r="H980" s="65" t="s">
        <v>637</v>
      </c>
      <c r="I980" s="65" t="s">
        <v>484</v>
      </c>
      <c r="J980" s="65" t="s">
        <v>373</v>
      </c>
      <c r="K980" s="65" t="s">
        <v>496</v>
      </c>
      <c r="L980" s="65" t="s">
        <v>64</v>
      </c>
      <c r="M980" s="113" t="n">
        <v>1.4</v>
      </c>
      <c r="N980" s="114" t="n">
        <v>7500</v>
      </c>
      <c r="O980" s="114" t="n">
        <v>712.5</v>
      </c>
      <c r="P980" s="114" t="n">
        <v>10500</v>
      </c>
      <c r="Q980" s="114" t="n">
        <v>2862.9</v>
      </c>
      <c r="R980" s="114" t="n">
        <v>7637.1</v>
      </c>
      <c r="S980" s="115" t="n">
        <v>0.272657142857143</v>
      </c>
      <c r="T980" s="65" t="n">
        <v>22</v>
      </c>
      <c r="U980" s="65" t="n">
        <v>1</v>
      </c>
      <c r="V980" s="65" t="n">
        <v>27781.44</v>
      </c>
      <c r="W980" s="115" t="n">
        <v>0.0687</v>
      </c>
      <c r="X980" s="112" t="n">
        <v>45961</v>
      </c>
      <c r="Y980" s="65" t="str">
        <f aca="false">IF(I980="","No SIC",IFERROR(VLOOKUP(I980,Ref!$A$2:$B$65,2,FALSE()),"Unclassified"))</f>
        <v>Special Trade Contractors</v>
      </c>
      <c r="Z980" s="65" t="str">
        <f aca="false">IF(T980="","",IF(T980&lt;12,"Daily","Weekly"))</f>
        <v>Weekly</v>
      </c>
      <c r="AA980" s="65" t="n">
        <f aca="false">IF(T980="",0,IF(T980&lt;12,T980*Controls!$B$29,T980*5))</f>
        <v>110</v>
      </c>
      <c r="AB980" s="65" t="n">
        <f aca="false">IF(E980="",0,NETWORKDAYS(E980,Controls!$B$36,Ref!$K$2:$K$42))</f>
        <v>47</v>
      </c>
      <c r="AC980" s="65" t="n">
        <f aca="false">IF(AND(AA980&gt;0,AB980&gt;=Controls!$B$39*AA980),1,0)</f>
        <v>0</v>
      </c>
      <c r="AD980" s="65" t="n">
        <f aca="false">IF(AND(E980&lt;&gt;"",E980&gt;=Controls!$B$37,E980&lt;=Controls!$B$38),1,0)</f>
        <v>1</v>
      </c>
      <c r="AE980" s="65" t="n">
        <f aca="false">IF(IFERROR(VLOOKUP(D980,Controls!$A$64:$E$74,2,FALSE()),"No")="Yes",1,0)</f>
        <v>0</v>
      </c>
      <c r="AF980" s="65" t="n">
        <f aca="false">IF(IFERROR(VLOOKUP(D980,Controls!$A$64:$E$74,3,FALSE()),"No")="Yes",1,0)</f>
        <v>0</v>
      </c>
      <c r="AG980" s="65" t="n">
        <f aca="false">IF(IFERROR(VLOOKUP(D980,Controls!$A$64:$E$74,4,FALSE()),"No")="Yes",1,0)</f>
        <v>0</v>
      </c>
      <c r="AH980" s="65" t="n">
        <f aca="false">IF(IFERROR(VLOOKUP(D980,Controls!$A$64:$E$74,5,FALSE()),"No")="Yes",1,0)</f>
        <v>1</v>
      </c>
      <c r="AI980" s="65" t="n">
        <f aca="false">IF(ISNUMBER(MATCH(D980,Controls!$A$64:$A$74,0)),1,0)</f>
        <v>1</v>
      </c>
      <c r="AJ980" s="65" t="n">
        <f aca="false">Q980-N980</f>
        <v>-4637.1</v>
      </c>
      <c r="AK980" s="65" t="n">
        <f aca="false">IF(AE980=1,MAX(0,N980-Q980),0)</f>
        <v>0</v>
      </c>
      <c r="AL980" s="65" t="n">
        <f aca="false">IF(OR(V980="",V980=0),0,N980/V980)</f>
        <v>0.269964407892463</v>
      </c>
      <c r="AM980" s="65" t="n">
        <f aca="false">IF(OR(V980="",V980=0),0,1)</f>
        <v>1</v>
      </c>
      <c r="AN980" s="65" t="n">
        <f aca="false">IF(OR(E980="",F980=""),0,NETWORKDAYS(E980,F980,Ref!$K$2:$K$42))</f>
        <v>35</v>
      </c>
      <c r="AO980" s="65" t="n">
        <f aca="false">IF(L980="Renewal",1,0)</f>
        <v>0</v>
      </c>
      <c r="AP980" s="65" t="n">
        <f aca="false">AC980*AD980</f>
        <v>0</v>
      </c>
      <c r="AQ980" s="65" t="n">
        <f aca="false">IF(AND(G980&lt;&gt;"",'Historical Score'!$C$6&lt;&gt;""),IF(G980='Historical Score'!$C$6,1,0),0)</f>
        <v>0</v>
      </c>
      <c r="AR980" s="65" t="n">
        <f aca="false">IF(AND(L980&lt;&gt;"",'Historical Score'!$C$5&lt;&gt;""),IF(L980='Historical Score'!$C$5,1,0),0)</f>
        <v>1</v>
      </c>
      <c r="AS980" s="65" t="n">
        <f aca="false">IF(AND(Y980&lt;&gt;"",'Historical Score'!$C$7&lt;&gt;""),IF(Y980='Historical Score'!$C$7,1,0),0)</f>
        <v>0</v>
      </c>
      <c r="AT980" s="65" t="n">
        <f aca="false">IF(AND(K980&lt;&gt;"",'Historical Score'!$C$8&lt;&gt;""),IF(K980='Historical Score'!$C$8,1,0),0)</f>
        <v>0</v>
      </c>
      <c r="AU980" s="65" t="n">
        <f aca="false">IF(AND(J980&lt;&gt;"",'Historical Score'!$C$9&lt;&gt;""),IF(J980='Historical Score'!$C$9,1,0),0)</f>
        <v>0</v>
      </c>
      <c r="AV980" s="65" t="n">
        <f aca="false">AR980*AS980*AQ980</f>
        <v>0</v>
      </c>
      <c r="AW980" s="65" t="n">
        <f aca="false">AR980*AT980*AQ980</f>
        <v>0</v>
      </c>
      <c r="AX980" s="65" t="n">
        <f aca="false">AR980*AS980</f>
        <v>0</v>
      </c>
      <c r="AY980" s="65" t="n">
        <f aca="false">AR980*AT980</f>
        <v>0</v>
      </c>
      <c r="AZ980" s="65" t="n">
        <f aca="false">AR980*AQ980</f>
        <v>0</v>
      </c>
      <c r="BA980" s="65" t="n">
        <f aca="false">AR980</f>
        <v>1</v>
      </c>
      <c r="BB980" s="65" t="n">
        <f aca="false">1</f>
        <v>1</v>
      </c>
      <c r="BC980" s="65" t="n">
        <f aca="false">IF(AV980=1,1,IF(AW980=1,2,IF(AX980=1,3,IF(AY980=1,4,IF(AZ980=1,5,IF(BA980=1,6,7))))))</f>
        <v>6</v>
      </c>
      <c r="BD980" s="65" t="n">
        <f aca="false">IF(AD980=1,CHOOSE('Historical Score'!$C$29,AV980,AW980,AX980,AY980,AZ980,BA980,BB980),0)</f>
        <v>0</v>
      </c>
      <c r="BE980" s="65" t="str">
        <f aca="false">IF(BD980=1,COUNTIF($BD$2:BD980,1),"")</f>
        <v/>
      </c>
    </row>
    <row r="981" customFormat="false" ht="15" hidden="false" customHeight="false" outlineLevel="0" collapsed="false">
      <c r="A981" s="65" t="s">
        <v>2954</v>
      </c>
      <c r="B981" s="65" t="s">
        <v>2955</v>
      </c>
      <c r="C981" s="65" t="s">
        <v>2956</v>
      </c>
      <c r="D981" s="65" t="s">
        <v>295</v>
      </c>
      <c r="E981" s="112" t="n">
        <v>46196</v>
      </c>
      <c r="F981" s="112" t="n">
        <v>46253</v>
      </c>
      <c r="G981" s="65" t="n">
        <v>3</v>
      </c>
      <c r="H981" s="65" t="s">
        <v>505</v>
      </c>
      <c r="I981" s="65" t="s">
        <v>469</v>
      </c>
      <c r="J981" s="65" t="s">
        <v>464</v>
      </c>
      <c r="K981" s="65" t="s">
        <v>578</v>
      </c>
      <c r="L981" s="65" t="s">
        <v>320</v>
      </c>
      <c r="M981" s="113" t="n">
        <v>1.49</v>
      </c>
      <c r="N981" s="114" t="n">
        <v>325000</v>
      </c>
      <c r="O981" s="114" t="n">
        <v>45500</v>
      </c>
      <c r="P981" s="114" t="n">
        <v>484250</v>
      </c>
      <c r="Q981" s="114" t="n">
        <v>88809.09</v>
      </c>
      <c r="R981" s="114" t="n">
        <v>395440.91</v>
      </c>
      <c r="S981" s="115" t="n">
        <v>0.183395126484254</v>
      </c>
      <c r="T981" s="65" t="n">
        <v>36</v>
      </c>
      <c r="U981" s="65" t="n">
        <v>2</v>
      </c>
      <c r="V981" s="65" t="n">
        <v>836006.55</v>
      </c>
      <c r="W981" s="115" t="n">
        <v>0.0762</v>
      </c>
      <c r="X981" s="112" t="n">
        <v>40909</v>
      </c>
      <c r="Y981" s="65" t="str">
        <f aca="false">IF(I981="","No SIC",IFERROR(VLOOKUP(I981,Ref!$A$2:$B$65,2,FALSE()),"Unclassified"))</f>
        <v>Heavy Construction</v>
      </c>
      <c r="Z981" s="65" t="str">
        <f aca="false">IF(T981="","",IF(T981&lt;12,"Daily","Weekly"))</f>
        <v>Weekly</v>
      </c>
      <c r="AA981" s="65" t="n">
        <f aca="false">IF(T981="",0,IF(T981&lt;12,T981*Controls!$B$29,T981*5))</f>
        <v>180</v>
      </c>
      <c r="AB981" s="65" t="n">
        <f aca="false">IF(E981="",0,NETWORKDAYS(E981,Controls!$B$36,Ref!$K$2:$K$42))</f>
        <v>46</v>
      </c>
      <c r="AC981" s="65" t="n">
        <f aca="false">IF(AND(AA981&gt;0,AB981&gt;=Controls!$B$39*AA981),1,0)</f>
        <v>0</v>
      </c>
      <c r="AD981" s="65" t="n">
        <f aca="false">IF(AND(E981&lt;&gt;"",E981&gt;=Controls!$B$37,E981&lt;=Controls!$B$38),1,0)</f>
        <v>1</v>
      </c>
      <c r="AE981" s="65" t="n">
        <f aca="false">IF(IFERROR(VLOOKUP(D981,Controls!$A$64:$E$74,2,FALSE()),"No")="Yes",1,0)</f>
        <v>0</v>
      </c>
      <c r="AF981" s="65" t="n">
        <f aca="false">IF(IFERROR(VLOOKUP(D981,Controls!$A$64:$E$74,3,FALSE()),"No")="Yes",1,0)</f>
        <v>0</v>
      </c>
      <c r="AG981" s="65" t="n">
        <f aca="false">IF(IFERROR(VLOOKUP(D981,Controls!$A$64:$E$74,4,FALSE()),"No")="Yes",1,0)</f>
        <v>0</v>
      </c>
      <c r="AH981" s="65" t="n">
        <f aca="false">IF(IFERROR(VLOOKUP(D981,Controls!$A$64:$E$74,5,FALSE()),"No")="Yes",1,0)</f>
        <v>1</v>
      </c>
      <c r="AI981" s="65" t="n">
        <f aca="false">IF(ISNUMBER(MATCH(D981,Controls!$A$64:$A$74,0)),1,0)</f>
        <v>1</v>
      </c>
      <c r="AJ981" s="65" t="n">
        <f aca="false">Q981-N981</f>
        <v>-236190.91</v>
      </c>
      <c r="AK981" s="65" t="n">
        <f aca="false">IF(AE981=1,MAX(0,N981-Q981),0)</f>
        <v>0</v>
      </c>
      <c r="AL981" s="65" t="n">
        <f aca="false">IF(OR(V981="",V981=0),0,N981/V981)</f>
        <v>0.388752935009899</v>
      </c>
      <c r="AM981" s="65" t="n">
        <f aca="false">IF(OR(V981="",V981=0),0,1)</f>
        <v>1</v>
      </c>
      <c r="AN981" s="65" t="n">
        <f aca="false">IF(OR(E981="",F981=""),0,NETWORKDAYS(E981,F981,Ref!$K$2:$K$42))</f>
        <v>42</v>
      </c>
      <c r="AO981" s="65" t="n">
        <f aca="false">IF(L981="Renewal",1,0)</f>
        <v>1</v>
      </c>
      <c r="AP981" s="65" t="n">
        <f aca="false">AC981*AD981</f>
        <v>0</v>
      </c>
      <c r="AQ981" s="65" t="n">
        <f aca="false">IF(AND(G981&lt;&gt;"",'Historical Score'!$C$6&lt;&gt;""),IF(G981='Historical Score'!$C$6,1,0),0)</f>
        <v>0</v>
      </c>
      <c r="AR981" s="65" t="n">
        <f aca="false">IF(AND(L981&lt;&gt;"",'Historical Score'!$C$5&lt;&gt;""),IF(L981='Historical Score'!$C$5,1,0),0)</f>
        <v>0</v>
      </c>
      <c r="AS981" s="65" t="n">
        <f aca="false">IF(AND(Y981&lt;&gt;"",'Historical Score'!$C$7&lt;&gt;""),IF(Y981='Historical Score'!$C$7,1,0),0)</f>
        <v>0</v>
      </c>
      <c r="AT981" s="65" t="n">
        <f aca="false">IF(AND(K981&lt;&gt;"",'Historical Score'!$C$8&lt;&gt;""),IF(K981='Historical Score'!$C$8,1,0),0)</f>
        <v>0</v>
      </c>
      <c r="AU981" s="65" t="n">
        <f aca="false">IF(AND(J981&lt;&gt;"",'Historical Score'!$C$9&lt;&gt;""),IF(J981='Historical Score'!$C$9,1,0),0)</f>
        <v>0</v>
      </c>
      <c r="AV981" s="65" t="n">
        <f aca="false">AR981*AS981*AQ981</f>
        <v>0</v>
      </c>
      <c r="AW981" s="65" t="n">
        <f aca="false">AR981*AT981*AQ981</f>
        <v>0</v>
      </c>
      <c r="AX981" s="65" t="n">
        <f aca="false">AR981*AS981</f>
        <v>0</v>
      </c>
      <c r="AY981" s="65" t="n">
        <f aca="false">AR981*AT981</f>
        <v>0</v>
      </c>
      <c r="AZ981" s="65" t="n">
        <f aca="false">AR981*AQ981</f>
        <v>0</v>
      </c>
      <c r="BA981" s="65" t="n">
        <f aca="false">AR981</f>
        <v>0</v>
      </c>
      <c r="BB981" s="65" t="n">
        <f aca="false">1</f>
        <v>1</v>
      </c>
      <c r="BC981" s="65" t="n">
        <f aca="false">IF(AV981=1,1,IF(AW981=1,2,IF(AX981=1,3,IF(AY981=1,4,IF(AZ981=1,5,IF(BA981=1,6,7))))))</f>
        <v>7</v>
      </c>
      <c r="BD981" s="65" t="n">
        <f aca="false">IF(AD981=1,CHOOSE('Historical Score'!$C$29,AV981,AW981,AX981,AY981,AZ981,BA981,BB981),0)</f>
        <v>0</v>
      </c>
      <c r="BE981" s="65" t="str">
        <f aca="false">IF(BD981=1,COUNTIF($BD$2:BD981,1),"")</f>
        <v/>
      </c>
    </row>
    <row r="982" customFormat="false" ht="15" hidden="false" customHeight="false" outlineLevel="0" collapsed="false">
      <c r="A982" s="65" t="s">
        <v>2957</v>
      </c>
      <c r="B982" s="65" t="s">
        <v>2958</v>
      </c>
      <c r="C982" s="65" t="s">
        <v>2959</v>
      </c>
      <c r="D982" s="65" t="s">
        <v>295</v>
      </c>
      <c r="E982" s="112" t="n">
        <v>46196</v>
      </c>
      <c r="F982" s="112" t="n">
        <v>46248</v>
      </c>
      <c r="G982" s="65" t="n">
        <v>3</v>
      </c>
      <c r="H982" s="65" t="s">
        <v>2802</v>
      </c>
      <c r="I982" s="65" t="s">
        <v>405</v>
      </c>
      <c r="J982" s="65" t="s">
        <v>452</v>
      </c>
      <c r="K982" s="65" t="s">
        <v>2594</v>
      </c>
      <c r="L982" s="65" t="s">
        <v>64</v>
      </c>
      <c r="M982" s="113" t="n">
        <v>1.49</v>
      </c>
      <c r="N982" s="114" t="n">
        <v>30000</v>
      </c>
      <c r="O982" s="114" t="n">
        <v>4200</v>
      </c>
      <c r="P982" s="114" t="n">
        <v>44700</v>
      </c>
      <c r="Q982" s="114" t="n">
        <v>9930</v>
      </c>
      <c r="R982" s="114" t="n">
        <v>34770</v>
      </c>
      <c r="S982" s="115" t="n">
        <v>0.222147651006711</v>
      </c>
      <c r="T982" s="65" t="n">
        <v>36</v>
      </c>
      <c r="U982" s="65" t="n">
        <v>0</v>
      </c>
      <c r="V982" s="65" t="n">
        <v>42000</v>
      </c>
      <c r="W982" s="115" t="n">
        <v>0.0993</v>
      </c>
      <c r="X982" s="112" t="n">
        <v>35085</v>
      </c>
      <c r="Y982" s="65" t="str">
        <f aca="false">IF(I982="","No SIC",IFERROR(VLOOKUP(I982,Ref!$A$2:$B$65,2,FALSE()),"Unclassified"))</f>
        <v>Health Services</v>
      </c>
      <c r="Z982" s="65" t="str">
        <f aca="false">IF(T982="","",IF(T982&lt;12,"Daily","Weekly"))</f>
        <v>Weekly</v>
      </c>
      <c r="AA982" s="65" t="n">
        <f aca="false">IF(T982="",0,IF(T982&lt;12,T982*Controls!$B$29,T982*5))</f>
        <v>180</v>
      </c>
      <c r="AB982" s="65" t="n">
        <f aca="false">IF(E982="",0,NETWORKDAYS(E982,Controls!$B$36,Ref!$K$2:$K$42))</f>
        <v>46</v>
      </c>
      <c r="AC982" s="65" t="n">
        <f aca="false">IF(AND(AA982&gt;0,AB982&gt;=Controls!$B$39*AA982),1,0)</f>
        <v>0</v>
      </c>
      <c r="AD982" s="65" t="n">
        <f aca="false">IF(AND(E982&lt;&gt;"",E982&gt;=Controls!$B$37,E982&lt;=Controls!$B$38),1,0)</f>
        <v>1</v>
      </c>
      <c r="AE982" s="65" t="n">
        <f aca="false">IF(IFERROR(VLOOKUP(D982,Controls!$A$64:$E$74,2,FALSE()),"No")="Yes",1,0)</f>
        <v>0</v>
      </c>
      <c r="AF982" s="65" t="n">
        <f aca="false">IF(IFERROR(VLOOKUP(D982,Controls!$A$64:$E$74,3,FALSE()),"No")="Yes",1,0)</f>
        <v>0</v>
      </c>
      <c r="AG982" s="65" t="n">
        <f aca="false">IF(IFERROR(VLOOKUP(D982,Controls!$A$64:$E$74,4,FALSE()),"No")="Yes",1,0)</f>
        <v>0</v>
      </c>
      <c r="AH982" s="65" t="n">
        <f aca="false">IF(IFERROR(VLOOKUP(D982,Controls!$A$64:$E$74,5,FALSE()),"No")="Yes",1,0)</f>
        <v>1</v>
      </c>
      <c r="AI982" s="65" t="n">
        <f aca="false">IF(ISNUMBER(MATCH(D982,Controls!$A$64:$A$74,0)),1,0)</f>
        <v>1</v>
      </c>
      <c r="AJ982" s="65" t="n">
        <f aca="false">Q982-N982</f>
        <v>-20070</v>
      </c>
      <c r="AK982" s="65" t="n">
        <f aca="false">IF(AE982=1,MAX(0,N982-Q982),0)</f>
        <v>0</v>
      </c>
      <c r="AL982" s="65" t="n">
        <f aca="false">IF(OR(V982="",V982=0),0,N982/V982)</f>
        <v>0.714285714285714</v>
      </c>
      <c r="AM982" s="65" t="n">
        <f aca="false">IF(OR(V982="",V982=0),0,1)</f>
        <v>1</v>
      </c>
      <c r="AN982" s="65" t="n">
        <f aca="false">IF(OR(E982="",F982=""),0,NETWORKDAYS(E982,F982,Ref!$K$2:$K$42))</f>
        <v>39</v>
      </c>
      <c r="AO982" s="65" t="n">
        <f aca="false">IF(L982="Renewal",1,0)</f>
        <v>0</v>
      </c>
      <c r="AP982" s="65" t="n">
        <f aca="false">AC982*AD982</f>
        <v>0</v>
      </c>
      <c r="AQ982" s="65" t="n">
        <f aca="false">IF(AND(G982&lt;&gt;"",'Historical Score'!$C$6&lt;&gt;""),IF(G982='Historical Score'!$C$6,1,0),0)</f>
        <v>0</v>
      </c>
      <c r="AR982" s="65" t="n">
        <f aca="false">IF(AND(L982&lt;&gt;"",'Historical Score'!$C$5&lt;&gt;""),IF(L982='Historical Score'!$C$5,1,0),0)</f>
        <v>1</v>
      </c>
      <c r="AS982" s="65" t="n">
        <f aca="false">IF(AND(Y982&lt;&gt;"",'Historical Score'!$C$7&lt;&gt;""),IF(Y982='Historical Score'!$C$7,1,0),0)</f>
        <v>0</v>
      </c>
      <c r="AT982" s="65" t="n">
        <f aca="false">IF(AND(K982&lt;&gt;"",'Historical Score'!$C$8&lt;&gt;""),IF(K982='Historical Score'!$C$8,1,0),0)</f>
        <v>0</v>
      </c>
      <c r="AU982" s="65" t="n">
        <f aca="false">IF(AND(J982&lt;&gt;"",'Historical Score'!$C$9&lt;&gt;""),IF(J982='Historical Score'!$C$9,1,0),0)</f>
        <v>0</v>
      </c>
      <c r="AV982" s="65" t="n">
        <f aca="false">AR982*AS982*AQ982</f>
        <v>0</v>
      </c>
      <c r="AW982" s="65" t="n">
        <f aca="false">AR982*AT982*AQ982</f>
        <v>0</v>
      </c>
      <c r="AX982" s="65" t="n">
        <f aca="false">AR982*AS982</f>
        <v>0</v>
      </c>
      <c r="AY982" s="65" t="n">
        <f aca="false">AR982*AT982</f>
        <v>0</v>
      </c>
      <c r="AZ982" s="65" t="n">
        <f aca="false">AR982*AQ982</f>
        <v>0</v>
      </c>
      <c r="BA982" s="65" t="n">
        <f aca="false">AR982</f>
        <v>1</v>
      </c>
      <c r="BB982" s="65" t="n">
        <f aca="false">1</f>
        <v>1</v>
      </c>
      <c r="BC982" s="65" t="n">
        <f aca="false">IF(AV982=1,1,IF(AW982=1,2,IF(AX982=1,3,IF(AY982=1,4,IF(AZ982=1,5,IF(BA982=1,6,7))))))</f>
        <v>6</v>
      </c>
      <c r="BD982" s="65" t="n">
        <f aca="false">IF(AD982=1,CHOOSE('Historical Score'!$C$29,AV982,AW982,AX982,AY982,AZ982,BA982,BB982),0)</f>
        <v>0</v>
      </c>
      <c r="BE982" s="65" t="str">
        <f aca="false">IF(BD982=1,COUNTIF($BD$2:BD982,1),"")</f>
        <v/>
      </c>
    </row>
    <row r="983" customFormat="false" ht="15" hidden="false" customHeight="false" outlineLevel="0" collapsed="false">
      <c r="A983" s="65" t="s">
        <v>2960</v>
      </c>
      <c r="B983" s="65" t="s">
        <v>2961</v>
      </c>
      <c r="C983" s="65" t="s">
        <v>2962</v>
      </c>
      <c r="D983" s="65" t="s">
        <v>295</v>
      </c>
      <c r="E983" s="112" t="n">
        <v>46196</v>
      </c>
      <c r="F983" s="112" t="n">
        <v>46251</v>
      </c>
      <c r="G983" s="65" t="n">
        <v>1</v>
      </c>
      <c r="H983" s="65" t="s">
        <v>1146</v>
      </c>
      <c r="I983" s="65" t="s">
        <v>419</v>
      </c>
      <c r="J983" s="65" t="s">
        <v>717</v>
      </c>
      <c r="K983" s="65" t="s">
        <v>55</v>
      </c>
      <c r="L983" s="65" t="s">
        <v>64</v>
      </c>
      <c r="M983" s="113" t="n">
        <v>1.32</v>
      </c>
      <c r="N983" s="114" t="n">
        <v>100000</v>
      </c>
      <c r="O983" s="114" t="n">
        <v>4000</v>
      </c>
      <c r="P983" s="114" t="n">
        <v>132000</v>
      </c>
      <c r="Q983" s="114" t="n">
        <v>33003.12</v>
      </c>
      <c r="R983" s="114" t="n">
        <v>98996.88</v>
      </c>
      <c r="S983" s="115" t="n">
        <v>0.250023636363636</v>
      </c>
      <c r="T983" s="65" t="n">
        <v>32</v>
      </c>
      <c r="U983" s="65" t="n">
        <v>0</v>
      </c>
      <c r="V983" s="65" t="n">
        <v>164142.69</v>
      </c>
      <c r="W983" s="115" t="n">
        <v>0.1114</v>
      </c>
      <c r="X983" s="112" t="n">
        <v>44419</v>
      </c>
      <c r="Y983" s="65" t="str">
        <f aca="false">IF(I983="","No SIC",IFERROR(VLOOKUP(I983,Ref!$A$2:$B$65,2,FALSE()),"Unclassified"))</f>
        <v>Business Services</v>
      </c>
      <c r="Z983" s="65" t="str">
        <f aca="false">IF(T983="","",IF(T983&lt;12,"Daily","Weekly"))</f>
        <v>Weekly</v>
      </c>
      <c r="AA983" s="65" t="n">
        <f aca="false">IF(T983="",0,IF(T983&lt;12,T983*Controls!$B$29,T983*5))</f>
        <v>160</v>
      </c>
      <c r="AB983" s="65" t="n">
        <f aca="false">IF(E983="",0,NETWORKDAYS(E983,Controls!$B$36,Ref!$K$2:$K$42))</f>
        <v>46</v>
      </c>
      <c r="AC983" s="65" t="n">
        <f aca="false">IF(AND(AA983&gt;0,AB983&gt;=Controls!$B$39*AA983),1,0)</f>
        <v>0</v>
      </c>
      <c r="AD983" s="65" t="n">
        <f aca="false">IF(AND(E983&lt;&gt;"",E983&gt;=Controls!$B$37,E983&lt;=Controls!$B$38),1,0)</f>
        <v>1</v>
      </c>
      <c r="AE983" s="65" t="n">
        <f aca="false">IF(IFERROR(VLOOKUP(D983,Controls!$A$64:$E$74,2,FALSE()),"No")="Yes",1,0)</f>
        <v>0</v>
      </c>
      <c r="AF983" s="65" t="n">
        <f aca="false">IF(IFERROR(VLOOKUP(D983,Controls!$A$64:$E$74,3,FALSE()),"No")="Yes",1,0)</f>
        <v>0</v>
      </c>
      <c r="AG983" s="65" t="n">
        <f aca="false">IF(IFERROR(VLOOKUP(D983,Controls!$A$64:$E$74,4,FALSE()),"No")="Yes",1,0)</f>
        <v>0</v>
      </c>
      <c r="AH983" s="65" t="n">
        <f aca="false">IF(IFERROR(VLOOKUP(D983,Controls!$A$64:$E$74,5,FALSE()),"No")="Yes",1,0)</f>
        <v>1</v>
      </c>
      <c r="AI983" s="65" t="n">
        <f aca="false">IF(ISNUMBER(MATCH(D983,Controls!$A$64:$A$74,0)),1,0)</f>
        <v>1</v>
      </c>
      <c r="AJ983" s="65" t="n">
        <f aca="false">Q983-N983</f>
        <v>-66996.88</v>
      </c>
      <c r="AK983" s="65" t="n">
        <f aca="false">IF(AE983=1,MAX(0,N983-Q983),0)</f>
        <v>0</v>
      </c>
      <c r="AL983" s="65" t="n">
        <f aca="false">IF(OR(V983="",V983=0),0,N983/V983)</f>
        <v>0.609226033763672</v>
      </c>
      <c r="AM983" s="65" t="n">
        <f aca="false">IF(OR(V983="",V983=0),0,1)</f>
        <v>1</v>
      </c>
      <c r="AN983" s="65" t="n">
        <f aca="false">IF(OR(E983="",F983=""),0,NETWORKDAYS(E983,F983,Ref!$K$2:$K$42))</f>
        <v>40</v>
      </c>
      <c r="AO983" s="65" t="n">
        <f aca="false">IF(L983="Renewal",1,0)</f>
        <v>0</v>
      </c>
      <c r="AP983" s="65" t="n">
        <f aca="false">AC983*AD983</f>
        <v>0</v>
      </c>
      <c r="AQ983" s="65" t="n">
        <f aca="false">IF(AND(G983&lt;&gt;"",'Historical Score'!$C$6&lt;&gt;""),IF(G983='Historical Score'!$C$6,1,0),0)</f>
        <v>0</v>
      </c>
      <c r="AR983" s="65" t="n">
        <f aca="false">IF(AND(L983&lt;&gt;"",'Historical Score'!$C$5&lt;&gt;""),IF(L983='Historical Score'!$C$5,1,0),0)</f>
        <v>1</v>
      </c>
      <c r="AS983" s="65" t="n">
        <f aca="false">IF(AND(Y983&lt;&gt;"",'Historical Score'!$C$7&lt;&gt;""),IF(Y983='Historical Score'!$C$7,1,0),0)</f>
        <v>0</v>
      </c>
      <c r="AT983" s="65" t="n">
        <f aca="false">IF(AND(K983&lt;&gt;"",'Historical Score'!$C$8&lt;&gt;""),IF(K983='Historical Score'!$C$8,1,0),0)</f>
        <v>1</v>
      </c>
      <c r="AU983" s="65" t="n">
        <f aca="false">IF(AND(J983&lt;&gt;"",'Historical Score'!$C$9&lt;&gt;""),IF(J983='Historical Score'!$C$9,1,0),0)</f>
        <v>0</v>
      </c>
      <c r="AV983" s="65" t="n">
        <f aca="false">AR983*AS983*AQ983</f>
        <v>0</v>
      </c>
      <c r="AW983" s="65" t="n">
        <f aca="false">AR983*AT983*AQ983</f>
        <v>0</v>
      </c>
      <c r="AX983" s="65" t="n">
        <f aca="false">AR983*AS983</f>
        <v>0</v>
      </c>
      <c r="AY983" s="65" t="n">
        <f aca="false">AR983*AT983</f>
        <v>1</v>
      </c>
      <c r="AZ983" s="65" t="n">
        <f aca="false">AR983*AQ983</f>
        <v>0</v>
      </c>
      <c r="BA983" s="65" t="n">
        <f aca="false">AR983</f>
        <v>1</v>
      </c>
      <c r="BB983" s="65" t="n">
        <f aca="false">1</f>
        <v>1</v>
      </c>
      <c r="BC983" s="65" t="n">
        <f aca="false">IF(AV983=1,1,IF(AW983=1,2,IF(AX983=1,3,IF(AY983=1,4,IF(AZ983=1,5,IF(BA983=1,6,7))))))</f>
        <v>4</v>
      </c>
      <c r="BD983" s="65" t="n">
        <f aca="false">IF(AD983=1,CHOOSE('Historical Score'!$C$29,AV983,AW983,AX983,AY983,AZ983,BA983,BB983),0)</f>
        <v>0</v>
      </c>
      <c r="BE983" s="65" t="str">
        <f aca="false">IF(BD983=1,COUNTIF($BD$2:BD983,1),"")</f>
        <v/>
      </c>
    </row>
    <row r="984" customFormat="false" ht="15" hidden="false" customHeight="false" outlineLevel="0" collapsed="false">
      <c r="A984" s="65" t="s">
        <v>2963</v>
      </c>
      <c r="B984" s="65" t="s">
        <v>2964</v>
      </c>
      <c r="C984" s="65" t="s">
        <v>2965</v>
      </c>
      <c r="D984" s="65" t="s">
        <v>295</v>
      </c>
      <c r="E984" s="112" t="n">
        <v>46197</v>
      </c>
      <c r="F984" s="112" t="n">
        <v>46253</v>
      </c>
      <c r="G984" s="65" t="n">
        <v>1</v>
      </c>
      <c r="H984" s="65" t="s">
        <v>409</v>
      </c>
      <c r="I984" s="65" t="s">
        <v>342</v>
      </c>
      <c r="J984" s="65" t="s">
        <v>61</v>
      </c>
      <c r="K984" s="65" t="s">
        <v>2594</v>
      </c>
      <c r="L984" s="65" t="s">
        <v>64</v>
      </c>
      <c r="M984" s="113" t="n">
        <v>1.39</v>
      </c>
      <c r="N984" s="114" t="n">
        <v>75000</v>
      </c>
      <c r="O984" s="114" t="n">
        <v>6750</v>
      </c>
      <c r="P984" s="114" t="n">
        <v>104250</v>
      </c>
      <c r="Q984" s="114" t="n">
        <v>29817.6</v>
      </c>
      <c r="R984" s="114" t="n">
        <v>74432.4</v>
      </c>
      <c r="S984" s="115" t="n">
        <v>0.286020143884892</v>
      </c>
      <c r="T984" s="65" t="n">
        <v>4.59</v>
      </c>
      <c r="U984" s="65" t="n">
        <v>1</v>
      </c>
      <c r="V984" s="65" t="n">
        <v>343296.1</v>
      </c>
      <c r="W984" s="115" t="n">
        <v>0.0456</v>
      </c>
      <c r="X984" s="112" t="n">
        <v>45870</v>
      </c>
      <c r="Y984" s="65" t="str">
        <f aca="false">IF(I984="","No SIC",IFERROR(VLOOKUP(I984,Ref!$A$2:$B$65,2,FALSE()),"Unclassified"))</f>
        <v>Eating &amp; Drinking Places</v>
      </c>
      <c r="Z984" s="65" t="str">
        <f aca="false">IF(T984="","",IF(T984&lt;12,"Daily","Weekly"))</f>
        <v>Daily</v>
      </c>
      <c r="AA984" s="65" t="n">
        <f aca="false">IF(T984="",0,IF(T984&lt;12,T984*Controls!$B$29,T984*5))</f>
        <v>99.39645</v>
      </c>
      <c r="AB984" s="65" t="n">
        <f aca="false">IF(E984="",0,NETWORKDAYS(E984,Controls!$B$36,Ref!$K$2:$K$42))</f>
        <v>45</v>
      </c>
      <c r="AC984" s="65" t="n">
        <f aca="false">IF(AND(AA984&gt;0,AB984&gt;=Controls!$B$39*AA984),1,0)</f>
        <v>0</v>
      </c>
      <c r="AD984" s="65" t="n">
        <f aca="false">IF(AND(E984&lt;&gt;"",E984&gt;=Controls!$B$37,E984&lt;=Controls!$B$38),1,0)</f>
        <v>1</v>
      </c>
      <c r="AE984" s="65" t="n">
        <f aca="false">IF(IFERROR(VLOOKUP(D984,Controls!$A$64:$E$74,2,FALSE()),"No")="Yes",1,0)</f>
        <v>0</v>
      </c>
      <c r="AF984" s="65" t="n">
        <f aca="false">IF(IFERROR(VLOOKUP(D984,Controls!$A$64:$E$74,3,FALSE()),"No")="Yes",1,0)</f>
        <v>0</v>
      </c>
      <c r="AG984" s="65" t="n">
        <f aca="false">IF(IFERROR(VLOOKUP(D984,Controls!$A$64:$E$74,4,FALSE()),"No")="Yes",1,0)</f>
        <v>0</v>
      </c>
      <c r="AH984" s="65" t="n">
        <f aca="false">IF(IFERROR(VLOOKUP(D984,Controls!$A$64:$E$74,5,FALSE()),"No")="Yes",1,0)</f>
        <v>1</v>
      </c>
      <c r="AI984" s="65" t="n">
        <f aca="false">IF(ISNUMBER(MATCH(D984,Controls!$A$64:$A$74,0)),1,0)</f>
        <v>1</v>
      </c>
      <c r="AJ984" s="65" t="n">
        <f aca="false">Q984-N984</f>
        <v>-45182.4</v>
      </c>
      <c r="AK984" s="65" t="n">
        <f aca="false">IF(AE984=1,MAX(0,N984-Q984),0)</f>
        <v>0</v>
      </c>
      <c r="AL984" s="65" t="n">
        <f aca="false">IF(OR(V984="",V984=0),0,N984/V984)</f>
        <v>0.21847029430279</v>
      </c>
      <c r="AM984" s="65" t="n">
        <f aca="false">IF(OR(V984="",V984=0),0,1)</f>
        <v>1</v>
      </c>
      <c r="AN984" s="65" t="n">
        <f aca="false">IF(OR(E984="",F984=""),0,NETWORKDAYS(E984,F984,Ref!$K$2:$K$42))</f>
        <v>41</v>
      </c>
      <c r="AO984" s="65" t="n">
        <f aca="false">IF(L984="Renewal",1,0)</f>
        <v>0</v>
      </c>
      <c r="AP984" s="65" t="n">
        <f aca="false">AC984*AD984</f>
        <v>0</v>
      </c>
      <c r="AQ984" s="65" t="n">
        <f aca="false">IF(AND(G984&lt;&gt;"",'Historical Score'!$C$6&lt;&gt;""),IF(G984='Historical Score'!$C$6,1,0),0)</f>
        <v>0</v>
      </c>
      <c r="AR984" s="65" t="n">
        <f aca="false">IF(AND(L984&lt;&gt;"",'Historical Score'!$C$5&lt;&gt;""),IF(L984='Historical Score'!$C$5,1,0),0)</f>
        <v>1</v>
      </c>
      <c r="AS984" s="65" t="n">
        <f aca="false">IF(AND(Y984&lt;&gt;"",'Historical Score'!$C$7&lt;&gt;""),IF(Y984='Historical Score'!$C$7,1,0),0)</f>
        <v>0</v>
      </c>
      <c r="AT984" s="65" t="n">
        <f aca="false">IF(AND(K984&lt;&gt;"",'Historical Score'!$C$8&lt;&gt;""),IF(K984='Historical Score'!$C$8,1,0),0)</f>
        <v>0</v>
      </c>
      <c r="AU984" s="65" t="n">
        <f aca="false">IF(AND(J984&lt;&gt;"",'Historical Score'!$C$9&lt;&gt;""),IF(J984='Historical Score'!$C$9,1,0),0)</f>
        <v>1</v>
      </c>
      <c r="AV984" s="65" t="n">
        <f aca="false">AR984*AS984*AQ984</f>
        <v>0</v>
      </c>
      <c r="AW984" s="65" t="n">
        <f aca="false">AR984*AT984*AQ984</f>
        <v>0</v>
      </c>
      <c r="AX984" s="65" t="n">
        <f aca="false">AR984*AS984</f>
        <v>0</v>
      </c>
      <c r="AY984" s="65" t="n">
        <f aca="false">AR984*AT984</f>
        <v>0</v>
      </c>
      <c r="AZ984" s="65" t="n">
        <f aca="false">AR984*AQ984</f>
        <v>0</v>
      </c>
      <c r="BA984" s="65" t="n">
        <f aca="false">AR984</f>
        <v>1</v>
      </c>
      <c r="BB984" s="65" t="n">
        <f aca="false">1</f>
        <v>1</v>
      </c>
      <c r="BC984" s="65" t="n">
        <f aca="false">IF(AV984=1,1,IF(AW984=1,2,IF(AX984=1,3,IF(AY984=1,4,IF(AZ984=1,5,IF(BA984=1,6,7))))))</f>
        <v>6</v>
      </c>
      <c r="BD984" s="65" t="n">
        <f aca="false">IF(AD984=1,CHOOSE('Historical Score'!$C$29,AV984,AW984,AX984,AY984,AZ984,BA984,BB984),0)</f>
        <v>0</v>
      </c>
      <c r="BE984" s="65" t="str">
        <f aca="false">IF(BD984=1,COUNTIF($BD$2:BD984,1),"")</f>
        <v/>
      </c>
    </row>
    <row r="985" customFormat="false" ht="15" hidden="false" customHeight="false" outlineLevel="0" collapsed="false">
      <c r="A985" s="65" t="s">
        <v>2966</v>
      </c>
      <c r="B985" s="65" t="s">
        <v>2967</v>
      </c>
      <c r="C985" s="65" t="s">
        <v>2967</v>
      </c>
      <c r="D985" s="65" t="s">
        <v>295</v>
      </c>
      <c r="E985" s="112" t="n">
        <v>46198</v>
      </c>
      <c r="F985" s="112" t="n">
        <v>46248</v>
      </c>
      <c r="G985" s="65" t="n">
        <v>3</v>
      </c>
      <c r="H985" s="65" t="s">
        <v>479</v>
      </c>
      <c r="I985" s="65" t="s">
        <v>356</v>
      </c>
      <c r="J985" s="65" t="s">
        <v>682</v>
      </c>
      <c r="K985" s="65" t="s">
        <v>581</v>
      </c>
      <c r="L985" s="65" t="s">
        <v>64</v>
      </c>
      <c r="M985" s="113" t="n">
        <v>1.39</v>
      </c>
      <c r="N985" s="114" t="n">
        <v>15000</v>
      </c>
      <c r="O985" s="114" t="n">
        <v>1350</v>
      </c>
      <c r="P985" s="114" t="n">
        <v>20850</v>
      </c>
      <c r="Q985" s="114" t="n">
        <v>4903.74</v>
      </c>
      <c r="R985" s="114" t="n">
        <v>15946.26</v>
      </c>
      <c r="S985" s="115" t="n">
        <v>0.235191366906475</v>
      </c>
      <c r="T985" s="65" t="n">
        <v>17</v>
      </c>
      <c r="U985" s="65" t="n">
        <v>7</v>
      </c>
      <c r="V985" s="65" t="n">
        <v>96896.8</v>
      </c>
      <c r="W985" s="115" t="n">
        <v>0.0506</v>
      </c>
      <c r="X985" s="112" t="n">
        <v>44958</v>
      </c>
      <c r="Y985" s="65" t="str">
        <f aca="false">IF(I985="","No SIC",IFERROR(VLOOKUP(I985,Ref!$A$2:$B$65,2,FALSE()),"Unclassified"))</f>
        <v>Trucking &amp; Warehousing</v>
      </c>
      <c r="Z985" s="65" t="str">
        <f aca="false">IF(T985="","",IF(T985&lt;12,"Daily","Weekly"))</f>
        <v>Weekly</v>
      </c>
      <c r="AA985" s="65" t="n">
        <f aca="false">IF(T985="",0,IF(T985&lt;12,T985*Controls!$B$29,T985*5))</f>
        <v>85</v>
      </c>
      <c r="AB985" s="65" t="n">
        <f aca="false">IF(E985="",0,NETWORKDAYS(E985,Controls!$B$36,Ref!$K$2:$K$42))</f>
        <v>44</v>
      </c>
      <c r="AC985" s="65" t="n">
        <f aca="false">IF(AND(AA985&gt;0,AB985&gt;=Controls!$B$39*AA985),1,0)</f>
        <v>0</v>
      </c>
      <c r="AD985" s="65" t="n">
        <f aca="false">IF(AND(E985&lt;&gt;"",E985&gt;=Controls!$B$37,E985&lt;=Controls!$B$38),1,0)</f>
        <v>1</v>
      </c>
      <c r="AE985" s="65" t="n">
        <f aca="false">IF(IFERROR(VLOOKUP(D985,Controls!$A$64:$E$74,2,FALSE()),"No")="Yes",1,0)</f>
        <v>0</v>
      </c>
      <c r="AF985" s="65" t="n">
        <f aca="false">IF(IFERROR(VLOOKUP(D985,Controls!$A$64:$E$74,3,FALSE()),"No")="Yes",1,0)</f>
        <v>0</v>
      </c>
      <c r="AG985" s="65" t="n">
        <f aca="false">IF(IFERROR(VLOOKUP(D985,Controls!$A$64:$E$74,4,FALSE()),"No")="Yes",1,0)</f>
        <v>0</v>
      </c>
      <c r="AH985" s="65" t="n">
        <f aca="false">IF(IFERROR(VLOOKUP(D985,Controls!$A$64:$E$74,5,FALSE()),"No")="Yes",1,0)</f>
        <v>1</v>
      </c>
      <c r="AI985" s="65" t="n">
        <f aca="false">IF(ISNUMBER(MATCH(D985,Controls!$A$64:$A$74,0)),1,0)</f>
        <v>1</v>
      </c>
      <c r="AJ985" s="65" t="n">
        <f aca="false">Q985-N985</f>
        <v>-10096.26</v>
      </c>
      <c r="AK985" s="65" t="n">
        <f aca="false">IF(AE985=1,MAX(0,N985-Q985),0)</f>
        <v>0</v>
      </c>
      <c r="AL985" s="65" t="n">
        <f aca="false">IF(OR(V985="",V985=0),0,N985/V985)</f>
        <v>0.154803873812138</v>
      </c>
      <c r="AM985" s="65" t="n">
        <f aca="false">IF(OR(V985="",V985=0),0,1)</f>
        <v>1</v>
      </c>
      <c r="AN985" s="65" t="n">
        <f aca="false">IF(OR(E985="",F985=""),0,NETWORKDAYS(E985,F985,Ref!$K$2:$K$42))</f>
        <v>37</v>
      </c>
      <c r="AO985" s="65" t="n">
        <f aca="false">IF(L985="Renewal",1,0)</f>
        <v>0</v>
      </c>
      <c r="AP985" s="65" t="n">
        <f aca="false">AC985*AD985</f>
        <v>0</v>
      </c>
      <c r="AQ985" s="65" t="n">
        <f aca="false">IF(AND(G985&lt;&gt;"",'Historical Score'!$C$6&lt;&gt;""),IF(G985='Historical Score'!$C$6,1,0),0)</f>
        <v>0</v>
      </c>
      <c r="AR985" s="65" t="n">
        <f aca="false">IF(AND(L985&lt;&gt;"",'Historical Score'!$C$5&lt;&gt;""),IF(L985='Historical Score'!$C$5,1,0),0)</f>
        <v>1</v>
      </c>
      <c r="AS985" s="65" t="n">
        <f aca="false">IF(AND(Y985&lt;&gt;"",'Historical Score'!$C$7&lt;&gt;""),IF(Y985='Historical Score'!$C$7,1,0),0)</f>
        <v>0</v>
      </c>
      <c r="AT985" s="65" t="n">
        <f aca="false">IF(AND(K985&lt;&gt;"",'Historical Score'!$C$8&lt;&gt;""),IF(K985='Historical Score'!$C$8,1,0),0)</f>
        <v>0</v>
      </c>
      <c r="AU985" s="65" t="n">
        <f aca="false">IF(AND(J985&lt;&gt;"",'Historical Score'!$C$9&lt;&gt;""),IF(J985='Historical Score'!$C$9,1,0),0)</f>
        <v>0</v>
      </c>
      <c r="AV985" s="65" t="n">
        <f aca="false">AR985*AS985*AQ985</f>
        <v>0</v>
      </c>
      <c r="AW985" s="65" t="n">
        <f aca="false">AR985*AT985*AQ985</f>
        <v>0</v>
      </c>
      <c r="AX985" s="65" t="n">
        <f aca="false">AR985*AS985</f>
        <v>0</v>
      </c>
      <c r="AY985" s="65" t="n">
        <f aca="false">AR985*AT985</f>
        <v>0</v>
      </c>
      <c r="AZ985" s="65" t="n">
        <f aca="false">AR985*AQ985</f>
        <v>0</v>
      </c>
      <c r="BA985" s="65" t="n">
        <f aca="false">AR985</f>
        <v>1</v>
      </c>
      <c r="BB985" s="65" t="n">
        <f aca="false">1</f>
        <v>1</v>
      </c>
      <c r="BC985" s="65" t="n">
        <f aca="false">IF(AV985=1,1,IF(AW985=1,2,IF(AX985=1,3,IF(AY985=1,4,IF(AZ985=1,5,IF(BA985=1,6,7))))))</f>
        <v>6</v>
      </c>
      <c r="BD985" s="65" t="n">
        <f aca="false">IF(AD985=1,CHOOSE('Historical Score'!$C$29,AV985,AW985,AX985,AY985,AZ985,BA985,BB985),0)</f>
        <v>0</v>
      </c>
      <c r="BE985" s="65" t="str">
        <f aca="false">IF(BD985=1,COUNTIF($BD$2:BD985,1),"")</f>
        <v/>
      </c>
    </row>
    <row r="986" customFormat="false" ht="15" hidden="false" customHeight="false" outlineLevel="0" collapsed="false">
      <c r="A986" s="65" t="s">
        <v>2968</v>
      </c>
      <c r="B986" s="65" t="s">
        <v>2969</v>
      </c>
      <c r="C986" s="65" t="s">
        <v>2970</v>
      </c>
      <c r="D986" s="65" t="s">
        <v>295</v>
      </c>
      <c r="E986" s="112" t="n">
        <v>46198</v>
      </c>
      <c r="F986" s="112" t="n">
        <v>46247</v>
      </c>
      <c r="G986" s="65" t="n">
        <v>3</v>
      </c>
      <c r="H986" s="65" t="s">
        <v>752</v>
      </c>
      <c r="I986" s="65" t="s">
        <v>405</v>
      </c>
      <c r="J986" s="65" t="s">
        <v>386</v>
      </c>
      <c r="K986" s="65" t="s">
        <v>1803</v>
      </c>
      <c r="L986" s="65" t="s">
        <v>64</v>
      </c>
      <c r="M986" s="113" t="n">
        <v>1.49</v>
      </c>
      <c r="N986" s="114" t="n">
        <v>30000</v>
      </c>
      <c r="O986" s="114" t="n">
        <v>4200</v>
      </c>
      <c r="P986" s="114" t="n">
        <v>44700</v>
      </c>
      <c r="Q986" s="114" t="n">
        <v>11180.75</v>
      </c>
      <c r="R986" s="114" t="n">
        <v>33519.25</v>
      </c>
      <c r="S986" s="115" t="n">
        <v>0.250128635346756</v>
      </c>
      <c r="T986" s="65" t="n">
        <v>28</v>
      </c>
      <c r="U986" s="65" t="n">
        <v>0</v>
      </c>
      <c r="V986" s="65" t="n">
        <v>92459.92</v>
      </c>
      <c r="W986" s="115" t="n">
        <v>0.0691</v>
      </c>
      <c r="X986" s="112" t="n">
        <v>45736</v>
      </c>
      <c r="Y986" s="65" t="str">
        <f aca="false">IF(I986="","No SIC",IFERROR(VLOOKUP(I986,Ref!$A$2:$B$65,2,FALSE()),"Unclassified"))</f>
        <v>Health Services</v>
      </c>
      <c r="Z986" s="65" t="str">
        <f aca="false">IF(T986="","",IF(T986&lt;12,"Daily","Weekly"))</f>
        <v>Weekly</v>
      </c>
      <c r="AA986" s="65" t="n">
        <f aca="false">IF(T986="",0,IF(T986&lt;12,T986*Controls!$B$29,T986*5))</f>
        <v>140</v>
      </c>
      <c r="AB986" s="65" t="n">
        <f aca="false">IF(E986="",0,NETWORKDAYS(E986,Controls!$B$36,Ref!$K$2:$K$42))</f>
        <v>44</v>
      </c>
      <c r="AC986" s="65" t="n">
        <f aca="false">IF(AND(AA986&gt;0,AB986&gt;=Controls!$B$39*AA986),1,0)</f>
        <v>0</v>
      </c>
      <c r="AD986" s="65" t="n">
        <f aca="false">IF(AND(E986&lt;&gt;"",E986&gt;=Controls!$B$37,E986&lt;=Controls!$B$38),1,0)</f>
        <v>1</v>
      </c>
      <c r="AE986" s="65" t="n">
        <f aca="false">IF(IFERROR(VLOOKUP(D986,Controls!$A$64:$E$74,2,FALSE()),"No")="Yes",1,0)</f>
        <v>0</v>
      </c>
      <c r="AF986" s="65" t="n">
        <f aca="false">IF(IFERROR(VLOOKUP(D986,Controls!$A$64:$E$74,3,FALSE()),"No")="Yes",1,0)</f>
        <v>0</v>
      </c>
      <c r="AG986" s="65" t="n">
        <f aca="false">IF(IFERROR(VLOOKUP(D986,Controls!$A$64:$E$74,4,FALSE()),"No")="Yes",1,0)</f>
        <v>0</v>
      </c>
      <c r="AH986" s="65" t="n">
        <f aca="false">IF(IFERROR(VLOOKUP(D986,Controls!$A$64:$E$74,5,FALSE()),"No")="Yes",1,0)</f>
        <v>1</v>
      </c>
      <c r="AI986" s="65" t="n">
        <f aca="false">IF(ISNUMBER(MATCH(D986,Controls!$A$64:$A$74,0)),1,0)</f>
        <v>1</v>
      </c>
      <c r="AJ986" s="65" t="n">
        <f aca="false">Q986-N986</f>
        <v>-18819.25</v>
      </c>
      <c r="AK986" s="65" t="n">
        <f aca="false">IF(AE986=1,MAX(0,N986-Q986),0)</f>
        <v>0</v>
      </c>
      <c r="AL986" s="65" t="n">
        <f aca="false">IF(OR(V986="",V986=0),0,N986/V986)</f>
        <v>0.324464914094669</v>
      </c>
      <c r="AM986" s="65" t="n">
        <f aca="false">IF(OR(V986="",V986=0),0,1)</f>
        <v>1</v>
      </c>
      <c r="AN986" s="65" t="n">
        <f aca="false">IF(OR(E986="",F986=""),0,NETWORKDAYS(E986,F986,Ref!$K$2:$K$42))</f>
        <v>36</v>
      </c>
      <c r="AO986" s="65" t="n">
        <f aca="false">IF(L986="Renewal",1,0)</f>
        <v>0</v>
      </c>
      <c r="AP986" s="65" t="n">
        <f aca="false">AC986*AD986</f>
        <v>0</v>
      </c>
      <c r="AQ986" s="65" t="n">
        <f aca="false">IF(AND(G986&lt;&gt;"",'Historical Score'!$C$6&lt;&gt;""),IF(G986='Historical Score'!$C$6,1,0),0)</f>
        <v>0</v>
      </c>
      <c r="AR986" s="65" t="n">
        <f aca="false">IF(AND(L986&lt;&gt;"",'Historical Score'!$C$5&lt;&gt;""),IF(L986='Historical Score'!$C$5,1,0),0)</f>
        <v>1</v>
      </c>
      <c r="AS986" s="65" t="n">
        <f aca="false">IF(AND(Y986&lt;&gt;"",'Historical Score'!$C$7&lt;&gt;""),IF(Y986='Historical Score'!$C$7,1,0),0)</f>
        <v>0</v>
      </c>
      <c r="AT986" s="65" t="n">
        <f aca="false">IF(AND(K986&lt;&gt;"",'Historical Score'!$C$8&lt;&gt;""),IF(K986='Historical Score'!$C$8,1,0),0)</f>
        <v>0</v>
      </c>
      <c r="AU986" s="65" t="n">
        <f aca="false">IF(AND(J986&lt;&gt;"",'Historical Score'!$C$9&lt;&gt;""),IF(J986='Historical Score'!$C$9,1,0),0)</f>
        <v>0</v>
      </c>
      <c r="AV986" s="65" t="n">
        <f aca="false">AR986*AS986*AQ986</f>
        <v>0</v>
      </c>
      <c r="AW986" s="65" t="n">
        <f aca="false">AR986*AT986*AQ986</f>
        <v>0</v>
      </c>
      <c r="AX986" s="65" t="n">
        <f aca="false">AR986*AS986</f>
        <v>0</v>
      </c>
      <c r="AY986" s="65" t="n">
        <f aca="false">AR986*AT986</f>
        <v>0</v>
      </c>
      <c r="AZ986" s="65" t="n">
        <f aca="false">AR986*AQ986</f>
        <v>0</v>
      </c>
      <c r="BA986" s="65" t="n">
        <f aca="false">AR986</f>
        <v>1</v>
      </c>
      <c r="BB986" s="65" t="n">
        <f aca="false">1</f>
        <v>1</v>
      </c>
      <c r="BC986" s="65" t="n">
        <f aca="false">IF(AV986=1,1,IF(AW986=1,2,IF(AX986=1,3,IF(AY986=1,4,IF(AZ986=1,5,IF(BA986=1,6,7))))))</f>
        <v>6</v>
      </c>
      <c r="BD986" s="65" t="n">
        <f aca="false">IF(AD986=1,CHOOSE('Historical Score'!$C$29,AV986,AW986,AX986,AY986,AZ986,BA986,BB986),0)</f>
        <v>0</v>
      </c>
      <c r="BE986" s="65" t="str">
        <f aca="false">IF(BD986=1,COUNTIF($BD$2:BD986,1),"")</f>
        <v/>
      </c>
    </row>
    <row r="987" customFormat="false" ht="15" hidden="false" customHeight="false" outlineLevel="0" collapsed="false">
      <c r="A987" s="65" t="s">
        <v>2971</v>
      </c>
      <c r="B987" s="65" t="s">
        <v>2972</v>
      </c>
      <c r="C987" s="65" t="s">
        <v>2973</v>
      </c>
      <c r="D987" s="65" t="s">
        <v>295</v>
      </c>
      <c r="E987" s="112" t="n">
        <v>46199</v>
      </c>
      <c r="F987" s="112" t="n">
        <v>46253</v>
      </c>
      <c r="G987" s="65" t="n">
        <v>5</v>
      </c>
      <c r="H987" s="65" t="s">
        <v>505</v>
      </c>
      <c r="I987" s="65" t="s">
        <v>469</v>
      </c>
      <c r="J987" s="65" t="s">
        <v>386</v>
      </c>
      <c r="K987" s="65" t="s">
        <v>538</v>
      </c>
      <c r="L987" s="65" t="s">
        <v>64</v>
      </c>
      <c r="M987" s="113" t="n">
        <v>1.49</v>
      </c>
      <c r="N987" s="114" t="n">
        <v>100000</v>
      </c>
      <c r="O987" s="114" t="n">
        <v>14000</v>
      </c>
      <c r="P987" s="114" t="n">
        <v>149000</v>
      </c>
      <c r="Q987" s="114" t="n">
        <v>30826.38</v>
      </c>
      <c r="R987" s="114" t="n">
        <v>118173.62</v>
      </c>
      <c r="S987" s="115" t="n">
        <v>0.206888456375839</v>
      </c>
      <c r="T987" s="65" t="n">
        <v>12</v>
      </c>
      <c r="U987" s="65" t="n">
        <v>2</v>
      </c>
      <c r="V987" s="65" t="n">
        <v>500000</v>
      </c>
      <c r="W987" s="115" t="n">
        <v>0.1105</v>
      </c>
      <c r="X987" s="112" t="n">
        <v>44239</v>
      </c>
      <c r="Y987" s="65" t="str">
        <f aca="false">IF(I987="","No SIC",IFERROR(VLOOKUP(I987,Ref!$A$2:$B$65,2,FALSE()),"Unclassified"))</f>
        <v>Heavy Construction</v>
      </c>
      <c r="Z987" s="65" t="str">
        <f aca="false">IF(T987="","",IF(T987&lt;12,"Daily","Weekly"))</f>
        <v>Weekly</v>
      </c>
      <c r="AA987" s="65" t="n">
        <f aca="false">IF(T987="",0,IF(T987&lt;12,T987*Controls!$B$29,T987*5))</f>
        <v>60</v>
      </c>
      <c r="AB987" s="65" t="n">
        <f aca="false">IF(E987="",0,NETWORKDAYS(E987,Controls!$B$36,Ref!$K$2:$K$42))</f>
        <v>43</v>
      </c>
      <c r="AC987" s="65" t="n">
        <f aca="false">IF(AND(AA987&gt;0,AB987&gt;=Controls!$B$39*AA987),1,0)</f>
        <v>0</v>
      </c>
      <c r="AD987" s="65" t="n">
        <f aca="false">IF(AND(E987&lt;&gt;"",E987&gt;=Controls!$B$37,E987&lt;=Controls!$B$38),1,0)</f>
        <v>1</v>
      </c>
      <c r="AE987" s="65" t="n">
        <f aca="false">IF(IFERROR(VLOOKUP(D987,Controls!$A$64:$E$74,2,FALSE()),"No")="Yes",1,0)</f>
        <v>0</v>
      </c>
      <c r="AF987" s="65" t="n">
        <f aca="false">IF(IFERROR(VLOOKUP(D987,Controls!$A$64:$E$74,3,FALSE()),"No")="Yes",1,0)</f>
        <v>0</v>
      </c>
      <c r="AG987" s="65" t="n">
        <f aca="false">IF(IFERROR(VLOOKUP(D987,Controls!$A$64:$E$74,4,FALSE()),"No")="Yes",1,0)</f>
        <v>0</v>
      </c>
      <c r="AH987" s="65" t="n">
        <f aca="false">IF(IFERROR(VLOOKUP(D987,Controls!$A$64:$E$74,5,FALSE()),"No")="Yes",1,0)</f>
        <v>1</v>
      </c>
      <c r="AI987" s="65" t="n">
        <f aca="false">IF(ISNUMBER(MATCH(D987,Controls!$A$64:$A$74,0)),1,0)</f>
        <v>1</v>
      </c>
      <c r="AJ987" s="65" t="n">
        <f aca="false">Q987-N987</f>
        <v>-69173.62</v>
      </c>
      <c r="AK987" s="65" t="n">
        <f aca="false">IF(AE987=1,MAX(0,N987-Q987),0)</f>
        <v>0</v>
      </c>
      <c r="AL987" s="65" t="n">
        <f aca="false">IF(OR(V987="",V987=0),0,N987/V987)</f>
        <v>0.2</v>
      </c>
      <c r="AM987" s="65" t="n">
        <f aca="false">IF(OR(V987="",V987=0),0,1)</f>
        <v>1</v>
      </c>
      <c r="AN987" s="65" t="n">
        <f aca="false">IF(OR(E987="",F987=""),0,NETWORKDAYS(E987,F987,Ref!$K$2:$K$42))</f>
        <v>39</v>
      </c>
      <c r="AO987" s="65" t="n">
        <f aca="false">IF(L987="Renewal",1,0)</f>
        <v>0</v>
      </c>
      <c r="AP987" s="65" t="n">
        <f aca="false">AC987*AD987</f>
        <v>0</v>
      </c>
      <c r="AQ987" s="65" t="n">
        <f aca="false">IF(AND(G987&lt;&gt;"",'Historical Score'!$C$6&lt;&gt;""),IF(G987='Historical Score'!$C$6,1,0),0)</f>
        <v>0</v>
      </c>
      <c r="AR987" s="65" t="n">
        <f aca="false">IF(AND(L987&lt;&gt;"",'Historical Score'!$C$5&lt;&gt;""),IF(L987='Historical Score'!$C$5,1,0),0)</f>
        <v>1</v>
      </c>
      <c r="AS987" s="65" t="n">
        <f aca="false">IF(AND(Y987&lt;&gt;"",'Historical Score'!$C$7&lt;&gt;""),IF(Y987='Historical Score'!$C$7,1,0),0)</f>
        <v>0</v>
      </c>
      <c r="AT987" s="65" t="n">
        <f aca="false">IF(AND(K987&lt;&gt;"",'Historical Score'!$C$8&lt;&gt;""),IF(K987='Historical Score'!$C$8,1,0),0)</f>
        <v>0</v>
      </c>
      <c r="AU987" s="65" t="n">
        <f aca="false">IF(AND(J987&lt;&gt;"",'Historical Score'!$C$9&lt;&gt;""),IF(J987='Historical Score'!$C$9,1,0),0)</f>
        <v>0</v>
      </c>
      <c r="AV987" s="65" t="n">
        <f aca="false">AR987*AS987*AQ987</f>
        <v>0</v>
      </c>
      <c r="AW987" s="65" t="n">
        <f aca="false">AR987*AT987*AQ987</f>
        <v>0</v>
      </c>
      <c r="AX987" s="65" t="n">
        <f aca="false">AR987*AS987</f>
        <v>0</v>
      </c>
      <c r="AY987" s="65" t="n">
        <f aca="false">AR987*AT987</f>
        <v>0</v>
      </c>
      <c r="AZ987" s="65" t="n">
        <f aca="false">AR987*AQ987</f>
        <v>0</v>
      </c>
      <c r="BA987" s="65" t="n">
        <f aca="false">AR987</f>
        <v>1</v>
      </c>
      <c r="BB987" s="65" t="n">
        <f aca="false">1</f>
        <v>1</v>
      </c>
      <c r="BC987" s="65" t="n">
        <f aca="false">IF(AV987=1,1,IF(AW987=1,2,IF(AX987=1,3,IF(AY987=1,4,IF(AZ987=1,5,IF(BA987=1,6,7))))))</f>
        <v>6</v>
      </c>
      <c r="BD987" s="65" t="n">
        <f aca="false">IF(AD987=1,CHOOSE('Historical Score'!$C$29,AV987,AW987,AX987,AY987,AZ987,BA987,BB987),0)</f>
        <v>0</v>
      </c>
      <c r="BE987" s="65" t="str">
        <f aca="false">IF(BD987=1,COUNTIF($BD$2:BD987,1),"")</f>
        <v/>
      </c>
    </row>
    <row r="988" customFormat="false" ht="15" hidden="false" customHeight="false" outlineLevel="0" collapsed="false">
      <c r="A988" s="65" t="s">
        <v>2974</v>
      </c>
      <c r="B988" s="65" t="s">
        <v>2022</v>
      </c>
      <c r="C988" s="65" t="s">
        <v>2022</v>
      </c>
      <c r="D988" s="65" t="s">
        <v>295</v>
      </c>
      <c r="E988" s="112" t="n">
        <v>46202</v>
      </c>
      <c r="F988" s="112" t="n">
        <v>46248</v>
      </c>
      <c r="G988" s="65" t="n">
        <v>2</v>
      </c>
      <c r="H988" s="65" t="s">
        <v>442</v>
      </c>
      <c r="I988" s="65" t="s">
        <v>443</v>
      </c>
      <c r="J988" s="65" t="s">
        <v>61</v>
      </c>
      <c r="K988" s="65" t="s">
        <v>581</v>
      </c>
      <c r="L988" s="65" t="s">
        <v>64</v>
      </c>
      <c r="M988" s="113" t="n">
        <v>1.4</v>
      </c>
      <c r="N988" s="114" t="n">
        <v>42000</v>
      </c>
      <c r="O988" s="114" t="n">
        <v>3990</v>
      </c>
      <c r="P988" s="114" t="n">
        <v>58800</v>
      </c>
      <c r="Q988" s="114" t="n">
        <v>13840.04</v>
      </c>
      <c r="R988" s="114" t="n">
        <v>44959.96</v>
      </c>
      <c r="S988" s="115" t="n">
        <v>0.235374829931973</v>
      </c>
      <c r="T988" s="65" t="n">
        <v>28</v>
      </c>
      <c r="U988" s="65" t="n">
        <v>0</v>
      </c>
      <c r="V988" s="65" t="n">
        <v>159888.75</v>
      </c>
      <c r="W988" s="115" t="n">
        <v>0.0525</v>
      </c>
      <c r="X988" s="112" t="n">
        <v>44094</v>
      </c>
      <c r="Y988" s="65" t="str">
        <f aca="false">IF(I988="","No SIC",IFERROR(VLOOKUP(I988,Ref!$A$2:$B$65,2,FALSE()),"Unclassified"))</f>
        <v>General Building Contractors</v>
      </c>
      <c r="Z988" s="65" t="str">
        <f aca="false">IF(T988="","",IF(T988&lt;12,"Daily","Weekly"))</f>
        <v>Weekly</v>
      </c>
      <c r="AA988" s="65" t="n">
        <f aca="false">IF(T988="",0,IF(T988&lt;12,T988*Controls!$B$29,T988*5))</f>
        <v>140</v>
      </c>
      <c r="AB988" s="65" t="n">
        <f aca="false">IF(E988="",0,NETWORKDAYS(E988,Controls!$B$36,Ref!$K$2:$K$42))</f>
        <v>42</v>
      </c>
      <c r="AC988" s="65" t="n">
        <f aca="false">IF(AND(AA988&gt;0,AB988&gt;=Controls!$B$39*AA988),1,0)</f>
        <v>0</v>
      </c>
      <c r="AD988" s="65" t="n">
        <f aca="false">IF(AND(E988&lt;&gt;"",E988&gt;=Controls!$B$37,E988&lt;=Controls!$B$38),1,0)</f>
        <v>1</v>
      </c>
      <c r="AE988" s="65" t="n">
        <f aca="false">IF(IFERROR(VLOOKUP(D988,Controls!$A$64:$E$74,2,FALSE()),"No")="Yes",1,0)</f>
        <v>0</v>
      </c>
      <c r="AF988" s="65" t="n">
        <f aca="false">IF(IFERROR(VLOOKUP(D988,Controls!$A$64:$E$74,3,FALSE()),"No")="Yes",1,0)</f>
        <v>0</v>
      </c>
      <c r="AG988" s="65" t="n">
        <f aca="false">IF(IFERROR(VLOOKUP(D988,Controls!$A$64:$E$74,4,FALSE()),"No")="Yes",1,0)</f>
        <v>0</v>
      </c>
      <c r="AH988" s="65" t="n">
        <f aca="false">IF(IFERROR(VLOOKUP(D988,Controls!$A$64:$E$74,5,FALSE()),"No")="Yes",1,0)</f>
        <v>1</v>
      </c>
      <c r="AI988" s="65" t="n">
        <f aca="false">IF(ISNUMBER(MATCH(D988,Controls!$A$64:$A$74,0)),1,0)</f>
        <v>1</v>
      </c>
      <c r="AJ988" s="65" t="n">
        <f aca="false">Q988-N988</f>
        <v>-28159.96</v>
      </c>
      <c r="AK988" s="65" t="n">
        <f aca="false">IF(AE988=1,MAX(0,N988-Q988),0)</f>
        <v>0</v>
      </c>
      <c r="AL988" s="65" t="n">
        <f aca="false">IF(OR(V988="",V988=0),0,N988/V988)</f>
        <v>0.262682646527664</v>
      </c>
      <c r="AM988" s="65" t="n">
        <f aca="false">IF(OR(V988="",V988=0),0,1)</f>
        <v>1</v>
      </c>
      <c r="AN988" s="65" t="n">
        <f aca="false">IF(OR(E988="",F988=""),0,NETWORKDAYS(E988,F988,Ref!$K$2:$K$42))</f>
        <v>35</v>
      </c>
      <c r="AO988" s="65" t="n">
        <f aca="false">IF(L988="Renewal",1,0)</f>
        <v>0</v>
      </c>
      <c r="AP988" s="65" t="n">
        <f aca="false">AC988*AD988</f>
        <v>0</v>
      </c>
      <c r="AQ988" s="65" t="n">
        <f aca="false">IF(AND(G988&lt;&gt;"",'Historical Score'!$C$6&lt;&gt;""),IF(G988='Historical Score'!$C$6,1,0),0)</f>
        <v>1</v>
      </c>
      <c r="AR988" s="65" t="n">
        <f aca="false">IF(AND(L988&lt;&gt;"",'Historical Score'!$C$5&lt;&gt;""),IF(L988='Historical Score'!$C$5,1,0),0)</f>
        <v>1</v>
      </c>
      <c r="AS988" s="65" t="n">
        <f aca="false">IF(AND(Y988&lt;&gt;"",'Historical Score'!$C$7&lt;&gt;""),IF(Y988='Historical Score'!$C$7,1,0),0)</f>
        <v>1</v>
      </c>
      <c r="AT988" s="65" t="n">
        <f aca="false">IF(AND(K988&lt;&gt;"",'Historical Score'!$C$8&lt;&gt;""),IF(K988='Historical Score'!$C$8,1,0),0)</f>
        <v>0</v>
      </c>
      <c r="AU988" s="65" t="n">
        <f aca="false">IF(AND(J988&lt;&gt;"",'Historical Score'!$C$9&lt;&gt;""),IF(J988='Historical Score'!$C$9,1,0),0)</f>
        <v>1</v>
      </c>
      <c r="AV988" s="65" t="n">
        <f aca="false">AR988*AS988*AQ988</f>
        <v>1</v>
      </c>
      <c r="AW988" s="65" t="n">
        <f aca="false">AR988*AT988*AQ988</f>
        <v>0</v>
      </c>
      <c r="AX988" s="65" t="n">
        <f aca="false">AR988*AS988</f>
        <v>1</v>
      </c>
      <c r="AY988" s="65" t="n">
        <f aca="false">AR988*AT988</f>
        <v>0</v>
      </c>
      <c r="AZ988" s="65" t="n">
        <f aca="false">AR988*AQ988</f>
        <v>1</v>
      </c>
      <c r="BA988" s="65" t="n">
        <f aca="false">AR988</f>
        <v>1</v>
      </c>
      <c r="BB988" s="65" t="n">
        <f aca="false">1</f>
        <v>1</v>
      </c>
      <c r="BC988" s="65" t="n">
        <f aca="false">IF(AV988=1,1,IF(AW988=1,2,IF(AX988=1,3,IF(AY988=1,4,IF(AZ988=1,5,IF(BA988=1,6,7))))))</f>
        <v>1</v>
      </c>
      <c r="BD988" s="65" t="n">
        <f aca="false">IF(AD988=1,CHOOSE('Historical Score'!$C$29,AV988,AW988,AX988,AY988,AZ988,BA988,BB988),0)</f>
        <v>1</v>
      </c>
      <c r="BE988" s="65" t="n">
        <f aca="false">IF(BD988=1,COUNTIF($BD$2:BD988,1),"")</f>
        <v>27</v>
      </c>
    </row>
    <row r="989" customFormat="false" ht="15" hidden="false" customHeight="false" outlineLevel="0" collapsed="false">
      <c r="A989" s="65" t="s">
        <v>2975</v>
      </c>
      <c r="B989" s="65" t="s">
        <v>2976</v>
      </c>
      <c r="C989" s="65" t="s">
        <v>2977</v>
      </c>
      <c r="D989" s="65" t="s">
        <v>295</v>
      </c>
      <c r="E989" s="112" t="n">
        <v>46202</v>
      </c>
      <c r="F989" s="112" t="n">
        <v>46248</v>
      </c>
      <c r="G989" s="65" t="n">
        <v>3</v>
      </c>
      <c r="H989" s="65" t="s">
        <v>2978</v>
      </c>
      <c r="I989" s="65" t="s">
        <v>1415</v>
      </c>
      <c r="J989" s="65" t="s">
        <v>732</v>
      </c>
      <c r="K989" s="65" t="s">
        <v>538</v>
      </c>
      <c r="L989" s="65" t="s">
        <v>64</v>
      </c>
      <c r="M989" s="113" t="n">
        <v>1.43</v>
      </c>
      <c r="N989" s="114" t="n">
        <v>15000</v>
      </c>
      <c r="O989" s="114" t="n">
        <v>1650</v>
      </c>
      <c r="P989" s="114" t="n">
        <v>21450</v>
      </c>
      <c r="Q989" s="114" t="n">
        <v>3300.96</v>
      </c>
      <c r="R989" s="114" t="n">
        <v>18149.04</v>
      </c>
      <c r="S989" s="115" t="n">
        <v>0.153890909090909</v>
      </c>
      <c r="T989" s="65" t="n">
        <v>26</v>
      </c>
      <c r="U989" s="65" t="n">
        <v>3</v>
      </c>
      <c r="V989" s="65" t="n">
        <v>33242.32</v>
      </c>
      <c r="W989" s="115" t="n">
        <v>0.0993</v>
      </c>
      <c r="X989" s="112" t="n">
        <v>40380</v>
      </c>
      <c r="Y989" s="65" t="str">
        <f aca="false">IF(I989="","No SIC",IFERROR(VLOOKUP(I989,Ref!$A$2:$B$65,2,FALSE()),"Unclassified"))</f>
        <v>Miscellaneous Manufacturing</v>
      </c>
      <c r="Z989" s="65" t="str">
        <f aca="false">IF(T989="","",IF(T989&lt;12,"Daily","Weekly"))</f>
        <v>Weekly</v>
      </c>
      <c r="AA989" s="65" t="n">
        <f aca="false">IF(T989="",0,IF(T989&lt;12,T989*Controls!$B$29,T989*5))</f>
        <v>130</v>
      </c>
      <c r="AB989" s="65" t="n">
        <f aca="false">IF(E989="",0,NETWORKDAYS(E989,Controls!$B$36,Ref!$K$2:$K$42))</f>
        <v>42</v>
      </c>
      <c r="AC989" s="65" t="n">
        <f aca="false">IF(AND(AA989&gt;0,AB989&gt;=Controls!$B$39*AA989),1,0)</f>
        <v>0</v>
      </c>
      <c r="AD989" s="65" t="n">
        <f aca="false">IF(AND(E989&lt;&gt;"",E989&gt;=Controls!$B$37,E989&lt;=Controls!$B$38),1,0)</f>
        <v>1</v>
      </c>
      <c r="AE989" s="65" t="n">
        <f aca="false">IF(IFERROR(VLOOKUP(D989,Controls!$A$64:$E$74,2,FALSE()),"No")="Yes",1,0)</f>
        <v>0</v>
      </c>
      <c r="AF989" s="65" t="n">
        <f aca="false">IF(IFERROR(VLOOKUP(D989,Controls!$A$64:$E$74,3,FALSE()),"No")="Yes",1,0)</f>
        <v>0</v>
      </c>
      <c r="AG989" s="65" t="n">
        <f aca="false">IF(IFERROR(VLOOKUP(D989,Controls!$A$64:$E$74,4,FALSE()),"No")="Yes",1,0)</f>
        <v>0</v>
      </c>
      <c r="AH989" s="65" t="n">
        <f aca="false">IF(IFERROR(VLOOKUP(D989,Controls!$A$64:$E$74,5,FALSE()),"No")="Yes",1,0)</f>
        <v>1</v>
      </c>
      <c r="AI989" s="65" t="n">
        <f aca="false">IF(ISNUMBER(MATCH(D989,Controls!$A$64:$A$74,0)),1,0)</f>
        <v>1</v>
      </c>
      <c r="AJ989" s="65" t="n">
        <f aca="false">Q989-N989</f>
        <v>-11699.04</v>
      </c>
      <c r="AK989" s="65" t="n">
        <f aca="false">IF(AE989=1,MAX(0,N989-Q989),0)</f>
        <v>0</v>
      </c>
      <c r="AL989" s="65" t="n">
        <f aca="false">IF(OR(V989="",V989=0),0,N989/V989)</f>
        <v>0.451232043972864</v>
      </c>
      <c r="AM989" s="65" t="n">
        <f aca="false">IF(OR(V989="",V989=0),0,1)</f>
        <v>1</v>
      </c>
      <c r="AN989" s="65" t="n">
        <f aca="false">IF(OR(E989="",F989=""),0,NETWORKDAYS(E989,F989,Ref!$K$2:$K$42))</f>
        <v>35</v>
      </c>
      <c r="AO989" s="65" t="n">
        <f aca="false">IF(L989="Renewal",1,0)</f>
        <v>0</v>
      </c>
      <c r="AP989" s="65" t="n">
        <f aca="false">AC989*AD989</f>
        <v>0</v>
      </c>
      <c r="AQ989" s="65" t="n">
        <f aca="false">IF(AND(G989&lt;&gt;"",'Historical Score'!$C$6&lt;&gt;""),IF(G989='Historical Score'!$C$6,1,0),0)</f>
        <v>0</v>
      </c>
      <c r="AR989" s="65" t="n">
        <f aca="false">IF(AND(L989&lt;&gt;"",'Historical Score'!$C$5&lt;&gt;""),IF(L989='Historical Score'!$C$5,1,0),0)</f>
        <v>1</v>
      </c>
      <c r="AS989" s="65" t="n">
        <f aca="false">IF(AND(Y989&lt;&gt;"",'Historical Score'!$C$7&lt;&gt;""),IF(Y989='Historical Score'!$C$7,1,0),0)</f>
        <v>0</v>
      </c>
      <c r="AT989" s="65" t="n">
        <f aca="false">IF(AND(K989&lt;&gt;"",'Historical Score'!$C$8&lt;&gt;""),IF(K989='Historical Score'!$C$8,1,0),0)</f>
        <v>0</v>
      </c>
      <c r="AU989" s="65" t="n">
        <f aca="false">IF(AND(J989&lt;&gt;"",'Historical Score'!$C$9&lt;&gt;""),IF(J989='Historical Score'!$C$9,1,0),0)</f>
        <v>0</v>
      </c>
      <c r="AV989" s="65" t="n">
        <f aca="false">AR989*AS989*AQ989</f>
        <v>0</v>
      </c>
      <c r="AW989" s="65" t="n">
        <f aca="false">AR989*AT989*AQ989</f>
        <v>0</v>
      </c>
      <c r="AX989" s="65" t="n">
        <f aca="false">AR989*AS989</f>
        <v>0</v>
      </c>
      <c r="AY989" s="65" t="n">
        <f aca="false">AR989*AT989</f>
        <v>0</v>
      </c>
      <c r="AZ989" s="65" t="n">
        <f aca="false">AR989*AQ989</f>
        <v>0</v>
      </c>
      <c r="BA989" s="65" t="n">
        <f aca="false">AR989</f>
        <v>1</v>
      </c>
      <c r="BB989" s="65" t="n">
        <f aca="false">1</f>
        <v>1</v>
      </c>
      <c r="BC989" s="65" t="n">
        <f aca="false">IF(AV989=1,1,IF(AW989=1,2,IF(AX989=1,3,IF(AY989=1,4,IF(AZ989=1,5,IF(BA989=1,6,7))))))</f>
        <v>6</v>
      </c>
      <c r="BD989" s="65" t="n">
        <f aca="false">IF(AD989=1,CHOOSE('Historical Score'!$C$29,AV989,AW989,AX989,AY989,AZ989,BA989,BB989),0)</f>
        <v>0</v>
      </c>
      <c r="BE989" s="65" t="str">
        <f aca="false">IF(BD989=1,COUNTIF($BD$2:BD989,1),"")</f>
        <v/>
      </c>
    </row>
    <row r="990" customFormat="false" ht="15" hidden="false" customHeight="false" outlineLevel="0" collapsed="false">
      <c r="A990" s="65" t="s">
        <v>2979</v>
      </c>
      <c r="B990" s="65" t="s">
        <v>2980</v>
      </c>
      <c r="C990" s="65" t="s">
        <v>2980</v>
      </c>
      <c r="D990" s="65" t="s">
        <v>295</v>
      </c>
      <c r="E990" s="112" t="n">
        <v>46202</v>
      </c>
      <c r="F990" s="112" t="n">
        <v>46248</v>
      </c>
      <c r="G990" s="65" t="n">
        <v>3</v>
      </c>
      <c r="H990" s="65" t="s">
        <v>2059</v>
      </c>
      <c r="I990" s="65" t="s">
        <v>2060</v>
      </c>
      <c r="J990" s="65" t="s">
        <v>438</v>
      </c>
      <c r="K990" s="65" t="s">
        <v>476</v>
      </c>
      <c r="L990" s="65" t="s">
        <v>64</v>
      </c>
      <c r="M990" s="113" t="n">
        <v>1.45</v>
      </c>
      <c r="N990" s="114" t="n">
        <v>10000</v>
      </c>
      <c r="O990" s="114" t="n">
        <v>1200</v>
      </c>
      <c r="P990" s="114" t="n">
        <v>14500</v>
      </c>
      <c r="Q990" s="114" t="n">
        <v>2174.79</v>
      </c>
      <c r="R990" s="114" t="n">
        <v>12325.21</v>
      </c>
      <c r="S990" s="115" t="n">
        <v>0.149985517241379</v>
      </c>
      <c r="T990" s="65" t="n">
        <v>20</v>
      </c>
      <c r="U990" s="65" t="n">
        <v>4</v>
      </c>
      <c r="V990" s="65" t="n">
        <v>86558.33</v>
      </c>
      <c r="W990" s="115" t="n">
        <v>0.0335</v>
      </c>
      <c r="X990" s="112" t="n">
        <v>41072</v>
      </c>
      <c r="Y990" s="65" t="str">
        <f aca="false">IF(I990="","No SIC",IFERROR(VLOOKUP(I990,Ref!$A$2:$B$65,2,FALSE()),"Unclassified"))</f>
        <v>Furniture &amp; Home Furnishings Stores</v>
      </c>
      <c r="Z990" s="65" t="str">
        <f aca="false">IF(T990="","",IF(T990&lt;12,"Daily","Weekly"))</f>
        <v>Weekly</v>
      </c>
      <c r="AA990" s="65" t="n">
        <f aca="false">IF(T990="",0,IF(T990&lt;12,T990*Controls!$B$29,T990*5))</f>
        <v>100</v>
      </c>
      <c r="AB990" s="65" t="n">
        <f aca="false">IF(E990="",0,NETWORKDAYS(E990,Controls!$B$36,Ref!$K$2:$K$42))</f>
        <v>42</v>
      </c>
      <c r="AC990" s="65" t="n">
        <f aca="false">IF(AND(AA990&gt;0,AB990&gt;=Controls!$B$39*AA990),1,0)</f>
        <v>0</v>
      </c>
      <c r="AD990" s="65" t="n">
        <f aca="false">IF(AND(E990&lt;&gt;"",E990&gt;=Controls!$B$37,E990&lt;=Controls!$B$38),1,0)</f>
        <v>1</v>
      </c>
      <c r="AE990" s="65" t="n">
        <f aca="false">IF(IFERROR(VLOOKUP(D990,Controls!$A$64:$E$74,2,FALSE()),"No")="Yes",1,0)</f>
        <v>0</v>
      </c>
      <c r="AF990" s="65" t="n">
        <f aca="false">IF(IFERROR(VLOOKUP(D990,Controls!$A$64:$E$74,3,FALSE()),"No")="Yes",1,0)</f>
        <v>0</v>
      </c>
      <c r="AG990" s="65" t="n">
        <f aca="false">IF(IFERROR(VLOOKUP(D990,Controls!$A$64:$E$74,4,FALSE()),"No")="Yes",1,0)</f>
        <v>0</v>
      </c>
      <c r="AH990" s="65" t="n">
        <f aca="false">IF(IFERROR(VLOOKUP(D990,Controls!$A$64:$E$74,5,FALSE()),"No")="Yes",1,0)</f>
        <v>1</v>
      </c>
      <c r="AI990" s="65" t="n">
        <f aca="false">IF(ISNUMBER(MATCH(D990,Controls!$A$64:$A$74,0)),1,0)</f>
        <v>1</v>
      </c>
      <c r="AJ990" s="65" t="n">
        <f aca="false">Q990-N990</f>
        <v>-7825.21</v>
      </c>
      <c r="AK990" s="65" t="n">
        <f aca="false">IF(AE990=1,MAX(0,N990-Q990),0)</f>
        <v>0</v>
      </c>
      <c r="AL990" s="65" t="n">
        <f aca="false">IF(OR(V990="",V990=0),0,N990/V990)</f>
        <v>0.115529031116936</v>
      </c>
      <c r="AM990" s="65" t="n">
        <f aca="false">IF(OR(V990="",V990=0),0,1)</f>
        <v>1</v>
      </c>
      <c r="AN990" s="65" t="n">
        <f aca="false">IF(OR(E990="",F990=""),0,NETWORKDAYS(E990,F990,Ref!$K$2:$K$42))</f>
        <v>35</v>
      </c>
      <c r="AO990" s="65" t="n">
        <f aca="false">IF(L990="Renewal",1,0)</f>
        <v>0</v>
      </c>
      <c r="AP990" s="65" t="n">
        <f aca="false">AC990*AD990</f>
        <v>0</v>
      </c>
      <c r="AQ990" s="65" t="n">
        <f aca="false">IF(AND(G990&lt;&gt;"",'Historical Score'!$C$6&lt;&gt;""),IF(G990='Historical Score'!$C$6,1,0),0)</f>
        <v>0</v>
      </c>
      <c r="AR990" s="65" t="n">
        <f aca="false">IF(AND(L990&lt;&gt;"",'Historical Score'!$C$5&lt;&gt;""),IF(L990='Historical Score'!$C$5,1,0),0)</f>
        <v>1</v>
      </c>
      <c r="AS990" s="65" t="n">
        <f aca="false">IF(AND(Y990&lt;&gt;"",'Historical Score'!$C$7&lt;&gt;""),IF(Y990='Historical Score'!$C$7,1,0),0)</f>
        <v>0</v>
      </c>
      <c r="AT990" s="65" t="n">
        <f aca="false">IF(AND(K990&lt;&gt;"",'Historical Score'!$C$8&lt;&gt;""),IF(K990='Historical Score'!$C$8,1,0),0)</f>
        <v>0</v>
      </c>
      <c r="AU990" s="65" t="n">
        <f aca="false">IF(AND(J990&lt;&gt;"",'Historical Score'!$C$9&lt;&gt;""),IF(J990='Historical Score'!$C$9,1,0),0)</f>
        <v>0</v>
      </c>
      <c r="AV990" s="65" t="n">
        <f aca="false">AR990*AS990*AQ990</f>
        <v>0</v>
      </c>
      <c r="AW990" s="65" t="n">
        <f aca="false">AR990*AT990*AQ990</f>
        <v>0</v>
      </c>
      <c r="AX990" s="65" t="n">
        <f aca="false">AR990*AS990</f>
        <v>0</v>
      </c>
      <c r="AY990" s="65" t="n">
        <f aca="false">AR990*AT990</f>
        <v>0</v>
      </c>
      <c r="AZ990" s="65" t="n">
        <f aca="false">AR990*AQ990</f>
        <v>0</v>
      </c>
      <c r="BA990" s="65" t="n">
        <f aca="false">AR990</f>
        <v>1</v>
      </c>
      <c r="BB990" s="65" t="n">
        <f aca="false">1</f>
        <v>1</v>
      </c>
      <c r="BC990" s="65" t="n">
        <f aca="false">IF(AV990=1,1,IF(AW990=1,2,IF(AX990=1,3,IF(AY990=1,4,IF(AZ990=1,5,IF(BA990=1,6,7))))))</f>
        <v>6</v>
      </c>
      <c r="BD990" s="65" t="n">
        <f aca="false">IF(AD990=1,CHOOSE('Historical Score'!$C$29,AV990,AW990,AX990,AY990,AZ990,BA990,BB990),0)</f>
        <v>0</v>
      </c>
      <c r="BE990" s="65" t="str">
        <f aca="false">IF(BD990=1,COUNTIF($BD$2:BD990,1),"")</f>
        <v/>
      </c>
    </row>
    <row r="991" customFormat="false" ht="15" hidden="false" customHeight="false" outlineLevel="0" collapsed="false">
      <c r="A991" s="65" t="s">
        <v>2981</v>
      </c>
      <c r="B991" s="65" t="s">
        <v>2211</v>
      </c>
      <c r="C991" s="65" t="s">
        <v>2212</v>
      </c>
      <c r="D991" s="65" t="s">
        <v>295</v>
      </c>
      <c r="E991" s="112" t="n">
        <v>46203</v>
      </c>
      <c r="F991" s="112" t="n">
        <v>46251</v>
      </c>
      <c r="G991" s="65" t="n">
        <v>3</v>
      </c>
      <c r="H991" s="65" t="s">
        <v>748</v>
      </c>
      <c r="I991" s="65" t="s">
        <v>619</v>
      </c>
      <c r="J991" s="65" t="s">
        <v>682</v>
      </c>
      <c r="K991" s="65" t="s">
        <v>2213</v>
      </c>
      <c r="L991" s="65" t="s">
        <v>320</v>
      </c>
      <c r="M991" s="113" t="n">
        <v>1.49</v>
      </c>
      <c r="N991" s="114" t="n">
        <v>235000</v>
      </c>
      <c r="O991" s="114" t="n">
        <v>30550</v>
      </c>
      <c r="P991" s="114" t="n">
        <v>350150</v>
      </c>
      <c r="Q991" s="114" t="n">
        <v>36168.32</v>
      </c>
      <c r="R991" s="114" t="n">
        <v>313981.68</v>
      </c>
      <c r="S991" s="115" t="n">
        <v>0.10329378837641</v>
      </c>
      <c r="T991" s="65" t="n">
        <v>46</v>
      </c>
      <c r="U991" s="65" t="n">
        <v>0</v>
      </c>
      <c r="V991" s="65" t="n">
        <v>640003.17</v>
      </c>
      <c r="W991" s="115" t="n">
        <v>0.1016</v>
      </c>
      <c r="X991" s="112" t="n">
        <v>40087</v>
      </c>
      <c r="Y991" s="65" t="str">
        <f aca="false">IF(I991="","No SIC",IFERROR(VLOOKUP(I991,Ref!$A$2:$B$65,2,FALSE()),"Unclassified"))</f>
        <v>Miscellaneous Retail</v>
      </c>
      <c r="Z991" s="65" t="str">
        <f aca="false">IF(T991="","",IF(T991&lt;12,"Daily","Weekly"))</f>
        <v>Weekly</v>
      </c>
      <c r="AA991" s="65" t="n">
        <f aca="false">IF(T991="",0,IF(T991&lt;12,T991*Controls!$B$29,T991*5))</f>
        <v>230</v>
      </c>
      <c r="AB991" s="65" t="n">
        <f aca="false">IF(E991="",0,NETWORKDAYS(E991,Controls!$B$36,Ref!$K$2:$K$42))</f>
        <v>41</v>
      </c>
      <c r="AC991" s="65" t="n">
        <f aca="false">IF(AND(AA991&gt;0,AB991&gt;=Controls!$B$39*AA991),1,0)</f>
        <v>0</v>
      </c>
      <c r="AD991" s="65" t="n">
        <f aca="false">IF(AND(E991&lt;&gt;"",E991&gt;=Controls!$B$37,E991&lt;=Controls!$B$38),1,0)</f>
        <v>1</v>
      </c>
      <c r="AE991" s="65" t="n">
        <f aca="false">IF(IFERROR(VLOOKUP(D991,Controls!$A$64:$E$74,2,FALSE()),"No")="Yes",1,0)</f>
        <v>0</v>
      </c>
      <c r="AF991" s="65" t="n">
        <f aca="false">IF(IFERROR(VLOOKUP(D991,Controls!$A$64:$E$74,3,FALSE()),"No")="Yes",1,0)</f>
        <v>0</v>
      </c>
      <c r="AG991" s="65" t="n">
        <f aca="false">IF(IFERROR(VLOOKUP(D991,Controls!$A$64:$E$74,4,FALSE()),"No")="Yes",1,0)</f>
        <v>0</v>
      </c>
      <c r="AH991" s="65" t="n">
        <f aca="false">IF(IFERROR(VLOOKUP(D991,Controls!$A$64:$E$74,5,FALSE()),"No")="Yes",1,0)</f>
        <v>1</v>
      </c>
      <c r="AI991" s="65" t="n">
        <f aca="false">IF(ISNUMBER(MATCH(D991,Controls!$A$64:$A$74,0)),1,0)</f>
        <v>1</v>
      </c>
      <c r="AJ991" s="65" t="n">
        <f aca="false">Q991-N991</f>
        <v>-198831.68</v>
      </c>
      <c r="AK991" s="65" t="n">
        <f aca="false">IF(AE991=1,MAX(0,N991-Q991),0)</f>
        <v>0</v>
      </c>
      <c r="AL991" s="65" t="n">
        <f aca="false">IF(OR(V991="",V991=0),0,N991/V991)</f>
        <v>0.367185681283422</v>
      </c>
      <c r="AM991" s="65" t="n">
        <f aca="false">IF(OR(V991="",V991=0),0,1)</f>
        <v>1</v>
      </c>
      <c r="AN991" s="65" t="n">
        <f aca="false">IF(OR(E991="",F991=""),0,NETWORKDAYS(E991,F991,Ref!$K$2:$K$42))</f>
        <v>35</v>
      </c>
      <c r="AO991" s="65" t="n">
        <f aca="false">IF(L991="Renewal",1,0)</f>
        <v>1</v>
      </c>
      <c r="AP991" s="65" t="n">
        <f aca="false">AC991*AD991</f>
        <v>0</v>
      </c>
      <c r="AQ991" s="65" t="n">
        <f aca="false">IF(AND(G991&lt;&gt;"",'Historical Score'!$C$6&lt;&gt;""),IF(G991='Historical Score'!$C$6,1,0),0)</f>
        <v>0</v>
      </c>
      <c r="AR991" s="65" t="n">
        <f aca="false">IF(AND(L991&lt;&gt;"",'Historical Score'!$C$5&lt;&gt;""),IF(L991='Historical Score'!$C$5,1,0),0)</f>
        <v>0</v>
      </c>
      <c r="AS991" s="65" t="n">
        <f aca="false">IF(AND(Y991&lt;&gt;"",'Historical Score'!$C$7&lt;&gt;""),IF(Y991='Historical Score'!$C$7,1,0),0)</f>
        <v>0</v>
      </c>
      <c r="AT991" s="65" t="n">
        <f aca="false">IF(AND(K991&lt;&gt;"",'Historical Score'!$C$8&lt;&gt;""),IF(K991='Historical Score'!$C$8,1,0),0)</f>
        <v>0</v>
      </c>
      <c r="AU991" s="65" t="n">
        <f aca="false">IF(AND(J991&lt;&gt;"",'Historical Score'!$C$9&lt;&gt;""),IF(J991='Historical Score'!$C$9,1,0),0)</f>
        <v>0</v>
      </c>
      <c r="AV991" s="65" t="n">
        <f aca="false">AR991*AS991*AQ991</f>
        <v>0</v>
      </c>
      <c r="AW991" s="65" t="n">
        <f aca="false">AR991*AT991*AQ991</f>
        <v>0</v>
      </c>
      <c r="AX991" s="65" t="n">
        <f aca="false">AR991*AS991</f>
        <v>0</v>
      </c>
      <c r="AY991" s="65" t="n">
        <f aca="false">AR991*AT991</f>
        <v>0</v>
      </c>
      <c r="AZ991" s="65" t="n">
        <f aca="false">AR991*AQ991</f>
        <v>0</v>
      </c>
      <c r="BA991" s="65" t="n">
        <f aca="false">AR991</f>
        <v>0</v>
      </c>
      <c r="BB991" s="65" t="n">
        <f aca="false">1</f>
        <v>1</v>
      </c>
      <c r="BC991" s="65" t="n">
        <f aca="false">IF(AV991=1,1,IF(AW991=1,2,IF(AX991=1,3,IF(AY991=1,4,IF(AZ991=1,5,IF(BA991=1,6,7))))))</f>
        <v>7</v>
      </c>
      <c r="BD991" s="65" t="n">
        <f aca="false">IF(AD991=1,CHOOSE('Historical Score'!$C$29,AV991,AW991,AX991,AY991,AZ991,BA991,BB991),0)</f>
        <v>0</v>
      </c>
      <c r="BE991" s="65" t="str">
        <f aca="false">IF(BD991=1,COUNTIF($BD$2:BD991,1),"")</f>
        <v/>
      </c>
    </row>
    <row r="992" customFormat="false" ht="15" hidden="false" customHeight="false" outlineLevel="0" collapsed="false">
      <c r="A992" s="65" t="s">
        <v>2982</v>
      </c>
      <c r="B992" s="65" t="s">
        <v>2983</v>
      </c>
      <c r="C992" s="65" t="s">
        <v>2983</v>
      </c>
      <c r="D992" s="65" t="s">
        <v>295</v>
      </c>
      <c r="E992" s="112" t="n">
        <v>46203</v>
      </c>
      <c r="F992" s="112" t="n">
        <v>46248</v>
      </c>
      <c r="G992" s="65" t="n">
        <v>3</v>
      </c>
      <c r="H992" s="65" t="s">
        <v>1841</v>
      </c>
      <c r="I992" s="65" t="s">
        <v>419</v>
      </c>
      <c r="J992" s="65" t="s">
        <v>452</v>
      </c>
      <c r="K992" s="65" t="s">
        <v>2812</v>
      </c>
      <c r="L992" s="65" t="s">
        <v>64</v>
      </c>
      <c r="M992" s="113" t="n">
        <v>1.39</v>
      </c>
      <c r="N992" s="114" t="n">
        <v>10000</v>
      </c>
      <c r="O992" s="114" t="n">
        <v>900</v>
      </c>
      <c r="P992" s="114" t="n">
        <v>13900</v>
      </c>
      <c r="Q992" s="114" t="n">
        <v>4863.95</v>
      </c>
      <c r="R992" s="114" t="n">
        <v>9036.05</v>
      </c>
      <c r="S992" s="115" t="n">
        <v>0.349924460431655</v>
      </c>
      <c r="T992" s="65" t="n">
        <v>20</v>
      </c>
      <c r="U992" s="65" t="n">
        <v>0</v>
      </c>
      <c r="V992" s="65" t="n">
        <v>36002.37</v>
      </c>
      <c r="W992" s="115" t="n">
        <v>0.0772</v>
      </c>
      <c r="X992" s="112" t="n">
        <v>44096</v>
      </c>
      <c r="Y992" s="65" t="str">
        <f aca="false">IF(I992="","No SIC",IFERROR(VLOOKUP(I992,Ref!$A$2:$B$65,2,FALSE()),"Unclassified"))</f>
        <v>Business Services</v>
      </c>
      <c r="Z992" s="65" t="str">
        <f aca="false">IF(T992="","",IF(T992&lt;12,"Daily","Weekly"))</f>
        <v>Weekly</v>
      </c>
      <c r="AA992" s="65" t="n">
        <f aca="false">IF(T992="",0,IF(T992&lt;12,T992*Controls!$B$29,T992*5))</f>
        <v>100</v>
      </c>
      <c r="AB992" s="65" t="n">
        <f aca="false">IF(E992="",0,NETWORKDAYS(E992,Controls!$B$36,Ref!$K$2:$K$42))</f>
        <v>41</v>
      </c>
      <c r="AC992" s="65" t="n">
        <f aca="false">IF(AND(AA992&gt;0,AB992&gt;=Controls!$B$39*AA992),1,0)</f>
        <v>0</v>
      </c>
      <c r="AD992" s="65" t="n">
        <f aca="false">IF(AND(E992&lt;&gt;"",E992&gt;=Controls!$B$37,E992&lt;=Controls!$B$38),1,0)</f>
        <v>1</v>
      </c>
      <c r="AE992" s="65" t="n">
        <f aca="false">IF(IFERROR(VLOOKUP(D992,Controls!$A$64:$E$74,2,FALSE()),"No")="Yes",1,0)</f>
        <v>0</v>
      </c>
      <c r="AF992" s="65" t="n">
        <f aca="false">IF(IFERROR(VLOOKUP(D992,Controls!$A$64:$E$74,3,FALSE()),"No")="Yes",1,0)</f>
        <v>0</v>
      </c>
      <c r="AG992" s="65" t="n">
        <f aca="false">IF(IFERROR(VLOOKUP(D992,Controls!$A$64:$E$74,4,FALSE()),"No")="Yes",1,0)</f>
        <v>0</v>
      </c>
      <c r="AH992" s="65" t="n">
        <f aca="false">IF(IFERROR(VLOOKUP(D992,Controls!$A$64:$E$74,5,FALSE()),"No")="Yes",1,0)</f>
        <v>1</v>
      </c>
      <c r="AI992" s="65" t="n">
        <f aca="false">IF(ISNUMBER(MATCH(D992,Controls!$A$64:$A$74,0)),1,0)</f>
        <v>1</v>
      </c>
      <c r="AJ992" s="65" t="n">
        <f aca="false">Q992-N992</f>
        <v>-5136.05</v>
      </c>
      <c r="AK992" s="65" t="n">
        <f aca="false">IF(AE992=1,MAX(0,N992-Q992),0)</f>
        <v>0</v>
      </c>
      <c r="AL992" s="65" t="n">
        <f aca="false">IF(OR(V992="",V992=0),0,N992/V992)</f>
        <v>0.277759491944558</v>
      </c>
      <c r="AM992" s="65" t="n">
        <f aca="false">IF(OR(V992="",V992=0),0,1)</f>
        <v>1</v>
      </c>
      <c r="AN992" s="65" t="n">
        <f aca="false">IF(OR(E992="",F992=""),0,NETWORKDAYS(E992,F992,Ref!$K$2:$K$42))</f>
        <v>34</v>
      </c>
      <c r="AO992" s="65" t="n">
        <f aca="false">IF(L992="Renewal",1,0)</f>
        <v>0</v>
      </c>
      <c r="AP992" s="65" t="n">
        <f aca="false">AC992*AD992</f>
        <v>0</v>
      </c>
      <c r="AQ992" s="65" t="n">
        <f aca="false">IF(AND(G992&lt;&gt;"",'Historical Score'!$C$6&lt;&gt;""),IF(G992='Historical Score'!$C$6,1,0),0)</f>
        <v>0</v>
      </c>
      <c r="AR992" s="65" t="n">
        <f aca="false">IF(AND(L992&lt;&gt;"",'Historical Score'!$C$5&lt;&gt;""),IF(L992='Historical Score'!$C$5,1,0),0)</f>
        <v>1</v>
      </c>
      <c r="AS992" s="65" t="n">
        <f aca="false">IF(AND(Y992&lt;&gt;"",'Historical Score'!$C$7&lt;&gt;""),IF(Y992='Historical Score'!$C$7,1,0),0)</f>
        <v>0</v>
      </c>
      <c r="AT992" s="65" t="n">
        <f aca="false">IF(AND(K992&lt;&gt;"",'Historical Score'!$C$8&lt;&gt;""),IF(K992='Historical Score'!$C$8,1,0),0)</f>
        <v>0</v>
      </c>
      <c r="AU992" s="65" t="n">
        <f aca="false">IF(AND(J992&lt;&gt;"",'Historical Score'!$C$9&lt;&gt;""),IF(J992='Historical Score'!$C$9,1,0),0)</f>
        <v>0</v>
      </c>
      <c r="AV992" s="65" t="n">
        <f aca="false">AR992*AS992*AQ992</f>
        <v>0</v>
      </c>
      <c r="AW992" s="65" t="n">
        <f aca="false">AR992*AT992*AQ992</f>
        <v>0</v>
      </c>
      <c r="AX992" s="65" t="n">
        <f aca="false">AR992*AS992</f>
        <v>0</v>
      </c>
      <c r="AY992" s="65" t="n">
        <f aca="false">AR992*AT992</f>
        <v>0</v>
      </c>
      <c r="AZ992" s="65" t="n">
        <f aca="false">AR992*AQ992</f>
        <v>0</v>
      </c>
      <c r="BA992" s="65" t="n">
        <f aca="false">AR992</f>
        <v>1</v>
      </c>
      <c r="BB992" s="65" t="n">
        <f aca="false">1</f>
        <v>1</v>
      </c>
      <c r="BC992" s="65" t="n">
        <f aca="false">IF(AV992=1,1,IF(AW992=1,2,IF(AX992=1,3,IF(AY992=1,4,IF(AZ992=1,5,IF(BA992=1,6,7))))))</f>
        <v>6</v>
      </c>
      <c r="BD992" s="65" t="n">
        <f aca="false">IF(AD992=1,CHOOSE('Historical Score'!$C$29,AV992,AW992,AX992,AY992,AZ992,BA992,BB992),0)</f>
        <v>0</v>
      </c>
      <c r="BE992" s="65" t="str">
        <f aca="false">IF(BD992=1,COUNTIF($BD$2:BD992,1),"")</f>
        <v/>
      </c>
    </row>
    <row r="993" customFormat="false" ht="15" hidden="false" customHeight="false" outlineLevel="0" collapsed="false">
      <c r="A993" s="65" t="s">
        <v>2984</v>
      </c>
      <c r="B993" s="65" t="s">
        <v>2985</v>
      </c>
      <c r="C993" s="65" t="s">
        <v>2986</v>
      </c>
      <c r="D993" s="65" t="s">
        <v>295</v>
      </c>
      <c r="E993" s="112" t="n">
        <v>46203</v>
      </c>
      <c r="F993" s="112" t="n">
        <v>46253</v>
      </c>
      <c r="G993" s="65" t="n">
        <v>3</v>
      </c>
      <c r="H993" s="65" t="s">
        <v>2196</v>
      </c>
      <c r="I993" s="65" t="s">
        <v>362</v>
      </c>
      <c r="J993" s="65" t="s">
        <v>386</v>
      </c>
      <c r="K993" s="65" t="s">
        <v>496</v>
      </c>
      <c r="L993" s="65" t="s">
        <v>64</v>
      </c>
      <c r="M993" s="113" t="n">
        <v>1.43</v>
      </c>
      <c r="N993" s="114" t="n">
        <v>110000</v>
      </c>
      <c r="O993" s="114" t="n">
        <v>12100</v>
      </c>
      <c r="P993" s="114" t="n">
        <v>157300</v>
      </c>
      <c r="Q993" s="114" t="n">
        <v>19305.89</v>
      </c>
      <c r="R993" s="114" t="n">
        <v>137994.11</v>
      </c>
      <c r="S993" s="115" t="n">
        <v>0.122732930705658</v>
      </c>
      <c r="T993" s="65" t="n">
        <v>44</v>
      </c>
      <c r="U993" s="65" t="n">
        <v>1</v>
      </c>
      <c r="V993" s="65" t="n">
        <v>276075.27</v>
      </c>
      <c r="W993" s="115" t="n">
        <v>0.0518</v>
      </c>
      <c r="X993" s="112" t="n">
        <v>39056</v>
      </c>
      <c r="Y993" s="65" t="str">
        <f aca="false">IF(I993="","No SIC",IFERROR(VLOOKUP(I993,Ref!$A$2:$B$65,2,FALSE()),"Unclassified"))</f>
        <v>Chemicals &amp; Allied Products</v>
      </c>
      <c r="Z993" s="65" t="str">
        <f aca="false">IF(T993="","",IF(T993&lt;12,"Daily","Weekly"))</f>
        <v>Weekly</v>
      </c>
      <c r="AA993" s="65" t="n">
        <f aca="false">IF(T993="",0,IF(T993&lt;12,T993*Controls!$B$29,T993*5))</f>
        <v>220</v>
      </c>
      <c r="AB993" s="65" t="n">
        <f aca="false">IF(E993="",0,NETWORKDAYS(E993,Controls!$B$36,Ref!$K$2:$K$42))</f>
        <v>41</v>
      </c>
      <c r="AC993" s="65" t="n">
        <f aca="false">IF(AND(AA993&gt;0,AB993&gt;=Controls!$B$39*AA993),1,0)</f>
        <v>0</v>
      </c>
      <c r="AD993" s="65" t="n">
        <f aca="false">IF(AND(E993&lt;&gt;"",E993&gt;=Controls!$B$37,E993&lt;=Controls!$B$38),1,0)</f>
        <v>1</v>
      </c>
      <c r="AE993" s="65" t="n">
        <f aca="false">IF(IFERROR(VLOOKUP(D993,Controls!$A$64:$E$74,2,FALSE()),"No")="Yes",1,0)</f>
        <v>0</v>
      </c>
      <c r="AF993" s="65" t="n">
        <f aca="false">IF(IFERROR(VLOOKUP(D993,Controls!$A$64:$E$74,3,FALSE()),"No")="Yes",1,0)</f>
        <v>0</v>
      </c>
      <c r="AG993" s="65" t="n">
        <f aca="false">IF(IFERROR(VLOOKUP(D993,Controls!$A$64:$E$74,4,FALSE()),"No")="Yes",1,0)</f>
        <v>0</v>
      </c>
      <c r="AH993" s="65" t="n">
        <f aca="false">IF(IFERROR(VLOOKUP(D993,Controls!$A$64:$E$74,5,FALSE()),"No")="Yes",1,0)</f>
        <v>1</v>
      </c>
      <c r="AI993" s="65" t="n">
        <f aca="false">IF(ISNUMBER(MATCH(D993,Controls!$A$64:$A$74,0)),1,0)</f>
        <v>1</v>
      </c>
      <c r="AJ993" s="65" t="n">
        <f aca="false">Q993-N993</f>
        <v>-90694.11</v>
      </c>
      <c r="AK993" s="65" t="n">
        <f aca="false">IF(AE993=1,MAX(0,N993-Q993),0)</f>
        <v>0</v>
      </c>
      <c r="AL993" s="65" t="n">
        <f aca="false">IF(OR(V993="",V993=0),0,N993/V993)</f>
        <v>0.398442062557794</v>
      </c>
      <c r="AM993" s="65" t="n">
        <f aca="false">IF(OR(V993="",V993=0),0,1)</f>
        <v>1</v>
      </c>
      <c r="AN993" s="65" t="n">
        <f aca="false">IF(OR(E993="",F993=""),0,NETWORKDAYS(E993,F993,Ref!$K$2:$K$42))</f>
        <v>37</v>
      </c>
      <c r="AO993" s="65" t="n">
        <f aca="false">IF(L993="Renewal",1,0)</f>
        <v>0</v>
      </c>
      <c r="AP993" s="65" t="n">
        <f aca="false">AC993*AD993</f>
        <v>0</v>
      </c>
      <c r="AQ993" s="65" t="n">
        <f aca="false">IF(AND(G993&lt;&gt;"",'Historical Score'!$C$6&lt;&gt;""),IF(G993='Historical Score'!$C$6,1,0),0)</f>
        <v>0</v>
      </c>
      <c r="AR993" s="65" t="n">
        <f aca="false">IF(AND(L993&lt;&gt;"",'Historical Score'!$C$5&lt;&gt;""),IF(L993='Historical Score'!$C$5,1,0),0)</f>
        <v>1</v>
      </c>
      <c r="AS993" s="65" t="n">
        <f aca="false">IF(AND(Y993&lt;&gt;"",'Historical Score'!$C$7&lt;&gt;""),IF(Y993='Historical Score'!$C$7,1,0),0)</f>
        <v>0</v>
      </c>
      <c r="AT993" s="65" t="n">
        <f aca="false">IF(AND(K993&lt;&gt;"",'Historical Score'!$C$8&lt;&gt;""),IF(K993='Historical Score'!$C$8,1,0),0)</f>
        <v>0</v>
      </c>
      <c r="AU993" s="65" t="n">
        <f aca="false">IF(AND(J993&lt;&gt;"",'Historical Score'!$C$9&lt;&gt;""),IF(J993='Historical Score'!$C$9,1,0),0)</f>
        <v>0</v>
      </c>
      <c r="AV993" s="65" t="n">
        <f aca="false">AR993*AS993*AQ993</f>
        <v>0</v>
      </c>
      <c r="AW993" s="65" t="n">
        <f aca="false">AR993*AT993*AQ993</f>
        <v>0</v>
      </c>
      <c r="AX993" s="65" t="n">
        <f aca="false">AR993*AS993</f>
        <v>0</v>
      </c>
      <c r="AY993" s="65" t="n">
        <f aca="false">AR993*AT993</f>
        <v>0</v>
      </c>
      <c r="AZ993" s="65" t="n">
        <f aca="false">AR993*AQ993</f>
        <v>0</v>
      </c>
      <c r="BA993" s="65" t="n">
        <f aca="false">AR993</f>
        <v>1</v>
      </c>
      <c r="BB993" s="65" t="n">
        <f aca="false">1</f>
        <v>1</v>
      </c>
      <c r="BC993" s="65" t="n">
        <f aca="false">IF(AV993=1,1,IF(AW993=1,2,IF(AX993=1,3,IF(AY993=1,4,IF(AZ993=1,5,IF(BA993=1,6,7))))))</f>
        <v>6</v>
      </c>
      <c r="BD993" s="65" t="n">
        <f aca="false">IF(AD993=1,CHOOSE('Historical Score'!$C$29,AV993,AW993,AX993,AY993,AZ993,BA993,BB993),0)</f>
        <v>0</v>
      </c>
      <c r="BE993" s="65" t="str">
        <f aca="false">IF(BD993=1,COUNTIF($BD$2:BD993,1),"")</f>
        <v/>
      </c>
    </row>
    <row r="994" customFormat="false" ht="15" hidden="false" customHeight="false" outlineLevel="0" collapsed="false">
      <c r="A994" s="65" t="s">
        <v>2987</v>
      </c>
      <c r="B994" s="65" t="s">
        <v>2988</v>
      </c>
      <c r="C994" s="65" t="s">
        <v>2989</v>
      </c>
      <c r="D994" s="65" t="s">
        <v>295</v>
      </c>
      <c r="E994" s="112" t="n">
        <v>46203</v>
      </c>
      <c r="F994" s="112" t="n">
        <v>46253</v>
      </c>
      <c r="G994" s="65" t="n">
        <v>3</v>
      </c>
      <c r="H994" s="65" t="s">
        <v>409</v>
      </c>
      <c r="I994" s="65" t="s">
        <v>342</v>
      </c>
      <c r="J994" s="65" t="s">
        <v>732</v>
      </c>
      <c r="K994" s="65" t="s">
        <v>581</v>
      </c>
      <c r="L994" s="65" t="s">
        <v>64</v>
      </c>
      <c r="M994" s="113" t="n">
        <v>1.49</v>
      </c>
      <c r="N994" s="114" t="n">
        <v>20000</v>
      </c>
      <c r="O994" s="114" t="n">
        <v>2800</v>
      </c>
      <c r="P994" s="114" t="n">
        <v>29800</v>
      </c>
      <c r="Q994" s="114" t="n">
        <v>3228.07</v>
      </c>
      <c r="R994" s="114" t="n">
        <v>26571.93</v>
      </c>
      <c r="S994" s="115" t="n">
        <v>0.108324496644295</v>
      </c>
      <c r="T994" s="65" t="n">
        <v>24</v>
      </c>
      <c r="U994" s="65" t="n">
        <v>5</v>
      </c>
      <c r="V994" s="65" t="n">
        <v>29008.61</v>
      </c>
      <c r="W994" s="115" t="n">
        <v>0.1712</v>
      </c>
      <c r="X994" s="112" t="n">
        <v>44187</v>
      </c>
      <c r="Y994" s="65" t="str">
        <f aca="false">IF(I994="","No SIC",IFERROR(VLOOKUP(I994,Ref!$A$2:$B$65,2,FALSE()),"Unclassified"))</f>
        <v>Eating &amp; Drinking Places</v>
      </c>
      <c r="Z994" s="65" t="str">
        <f aca="false">IF(T994="","",IF(T994&lt;12,"Daily","Weekly"))</f>
        <v>Weekly</v>
      </c>
      <c r="AA994" s="65" t="n">
        <f aca="false">IF(T994="",0,IF(T994&lt;12,T994*Controls!$B$29,T994*5))</f>
        <v>120</v>
      </c>
      <c r="AB994" s="65" t="n">
        <f aca="false">IF(E994="",0,NETWORKDAYS(E994,Controls!$B$36,Ref!$K$2:$K$42))</f>
        <v>41</v>
      </c>
      <c r="AC994" s="65" t="n">
        <f aca="false">IF(AND(AA994&gt;0,AB994&gt;=Controls!$B$39*AA994),1,0)</f>
        <v>0</v>
      </c>
      <c r="AD994" s="65" t="n">
        <f aca="false">IF(AND(E994&lt;&gt;"",E994&gt;=Controls!$B$37,E994&lt;=Controls!$B$38),1,0)</f>
        <v>1</v>
      </c>
      <c r="AE994" s="65" t="n">
        <f aca="false">IF(IFERROR(VLOOKUP(D994,Controls!$A$64:$E$74,2,FALSE()),"No")="Yes",1,0)</f>
        <v>0</v>
      </c>
      <c r="AF994" s="65" t="n">
        <f aca="false">IF(IFERROR(VLOOKUP(D994,Controls!$A$64:$E$74,3,FALSE()),"No")="Yes",1,0)</f>
        <v>0</v>
      </c>
      <c r="AG994" s="65" t="n">
        <f aca="false">IF(IFERROR(VLOOKUP(D994,Controls!$A$64:$E$74,4,FALSE()),"No")="Yes",1,0)</f>
        <v>0</v>
      </c>
      <c r="AH994" s="65" t="n">
        <f aca="false">IF(IFERROR(VLOOKUP(D994,Controls!$A$64:$E$74,5,FALSE()),"No")="Yes",1,0)</f>
        <v>1</v>
      </c>
      <c r="AI994" s="65" t="n">
        <f aca="false">IF(ISNUMBER(MATCH(D994,Controls!$A$64:$A$74,0)),1,0)</f>
        <v>1</v>
      </c>
      <c r="AJ994" s="65" t="n">
        <f aca="false">Q994-N994</f>
        <v>-16771.93</v>
      </c>
      <c r="AK994" s="65" t="n">
        <f aca="false">IF(AE994=1,MAX(0,N994-Q994),0)</f>
        <v>0</v>
      </c>
      <c r="AL994" s="65" t="n">
        <f aca="false">IF(OR(V994="",V994=0),0,N994/V994)</f>
        <v>0.689450476944604</v>
      </c>
      <c r="AM994" s="65" t="n">
        <f aca="false">IF(OR(V994="",V994=0),0,1)</f>
        <v>1</v>
      </c>
      <c r="AN994" s="65" t="n">
        <f aca="false">IF(OR(E994="",F994=""),0,NETWORKDAYS(E994,F994,Ref!$K$2:$K$42))</f>
        <v>37</v>
      </c>
      <c r="AO994" s="65" t="n">
        <f aca="false">IF(L994="Renewal",1,0)</f>
        <v>0</v>
      </c>
      <c r="AP994" s="65" t="n">
        <f aca="false">AC994*AD994</f>
        <v>0</v>
      </c>
      <c r="AQ994" s="65" t="n">
        <f aca="false">IF(AND(G994&lt;&gt;"",'Historical Score'!$C$6&lt;&gt;""),IF(G994='Historical Score'!$C$6,1,0),0)</f>
        <v>0</v>
      </c>
      <c r="AR994" s="65" t="n">
        <f aca="false">IF(AND(L994&lt;&gt;"",'Historical Score'!$C$5&lt;&gt;""),IF(L994='Historical Score'!$C$5,1,0),0)</f>
        <v>1</v>
      </c>
      <c r="AS994" s="65" t="n">
        <f aca="false">IF(AND(Y994&lt;&gt;"",'Historical Score'!$C$7&lt;&gt;""),IF(Y994='Historical Score'!$C$7,1,0),0)</f>
        <v>0</v>
      </c>
      <c r="AT994" s="65" t="n">
        <f aca="false">IF(AND(K994&lt;&gt;"",'Historical Score'!$C$8&lt;&gt;""),IF(K994='Historical Score'!$C$8,1,0),0)</f>
        <v>0</v>
      </c>
      <c r="AU994" s="65" t="n">
        <f aca="false">IF(AND(J994&lt;&gt;"",'Historical Score'!$C$9&lt;&gt;""),IF(J994='Historical Score'!$C$9,1,0),0)</f>
        <v>0</v>
      </c>
      <c r="AV994" s="65" t="n">
        <f aca="false">AR994*AS994*AQ994</f>
        <v>0</v>
      </c>
      <c r="AW994" s="65" t="n">
        <f aca="false">AR994*AT994*AQ994</f>
        <v>0</v>
      </c>
      <c r="AX994" s="65" t="n">
        <f aca="false">AR994*AS994</f>
        <v>0</v>
      </c>
      <c r="AY994" s="65" t="n">
        <f aca="false">AR994*AT994</f>
        <v>0</v>
      </c>
      <c r="AZ994" s="65" t="n">
        <f aca="false">AR994*AQ994</f>
        <v>0</v>
      </c>
      <c r="BA994" s="65" t="n">
        <f aca="false">AR994</f>
        <v>1</v>
      </c>
      <c r="BB994" s="65" t="n">
        <f aca="false">1</f>
        <v>1</v>
      </c>
      <c r="BC994" s="65" t="n">
        <f aca="false">IF(AV994=1,1,IF(AW994=1,2,IF(AX994=1,3,IF(AY994=1,4,IF(AZ994=1,5,IF(BA994=1,6,7))))))</f>
        <v>6</v>
      </c>
      <c r="BD994" s="65" t="n">
        <f aca="false">IF(AD994=1,CHOOSE('Historical Score'!$C$29,AV994,AW994,AX994,AY994,AZ994,BA994,BB994),0)</f>
        <v>0</v>
      </c>
      <c r="BE994" s="65" t="str">
        <f aca="false">IF(BD994=1,COUNTIF($BD$2:BD994,1),"")</f>
        <v/>
      </c>
    </row>
    <row r="995" customFormat="false" ht="15" hidden="false" customHeight="false" outlineLevel="0" collapsed="false">
      <c r="A995" s="65" t="s">
        <v>2990</v>
      </c>
      <c r="B995" s="65" t="s">
        <v>2991</v>
      </c>
      <c r="C995" s="65" t="s">
        <v>2992</v>
      </c>
      <c r="D995" s="65" t="s">
        <v>295</v>
      </c>
      <c r="E995" s="112" t="n">
        <v>46204</v>
      </c>
      <c r="F995" s="112" t="n">
        <v>46248</v>
      </c>
      <c r="G995" s="65" t="n">
        <v>3</v>
      </c>
      <c r="H995" s="65" t="s">
        <v>409</v>
      </c>
      <c r="I995" s="65" t="s">
        <v>342</v>
      </c>
      <c r="J995" s="65" t="s">
        <v>350</v>
      </c>
      <c r="K995" s="65" t="s">
        <v>1204</v>
      </c>
      <c r="L995" s="65" t="s">
        <v>64</v>
      </c>
      <c r="M995" s="113" t="n">
        <v>1.45</v>
      </c>
      <c r="N995" s="114" t="n">
        <v>20000</v>
      </c>
      <c r="O995" s="114" t="n">
        <v>2400</v>
      </c>
      <c r="P995" s="114" t="n">
        <v>29000</v>
      </c>
      <c r="Q995" s="114" t="n">
        <v>6960</v>
      </c>
      <c r="R995" s="114" t="n">
        <v>22040</v>
      </c>
      <c r="S995" s="115" t="n">
        <v>0.24</v>
      </c>
      <c r="T995" s="65" t="n">
        <v>25</v>
      </c>
      <c r="U995" s="65" t="n">
        <v>0</v>
      </c>
      <c r="V995" s="65" t="n">
        <v>184402.29</v>
      </c>
      <c r="W995" s="115" t="n">
        <v>0.03</v>
      </c>
      <c r="X995" s="112" t="n">
        <v>45190</v>
      </c>
      <c r="Y995" s="65" t="str">
        <f aca="false">IF(I995="","No SIC",IFERROR(VLOOKUP(I995,Ref!$A$2:$B$65,2,FALSE()),"Unclassified"))</f>
        <v>Eating &amp; Drinking Places</v>
      </c>
      <c r="Z995" s="65" t="str">
        <f aca="false">IF(T995="","",IF(T995&lt;12,"Daily","Weekly"))</f>
        <v>Weekly</v>
      </c>
      <c r="AA995" s="65" t="n">
        <f aca="false">IF(T995="",0,IF(T995&lt;12,T995*Controls!$B$29,T995*5))</f>
        <v>125</v>
      </c>
      <c r="AB995" s="65" t="n">
        <f aca="false">IF(E995="",0,NETWORKDAYS(E995,Controls!$B$36,Ref!$K$2:$K$42))</f>
        <v>40</v>
      </c>
      <c r="AC995" s="65" t="n">
        <f aca="false">IF(AND(AA995&gt;0,AB995&gt;=Controls!$B$39*AA995),1,0)</f>
        <v>0</v>
      </c>
      <c r="AD995" s="65" t="n">
        <f aca="false">IF(AND(E995&lt;&gt;"",E995&gt;=Controls!$B$37,E995&lt;=Controls!$B$38),1,0)</f>
        <v>1</v>
      </c>
      <c r="AE995" s="65" t="n">
        <f aca="false">IF(IFERROR(VLOOKUP(D995,Controls!$A$64:$E$74,2,FALSE()),"No")="Yes",1,0)</f>
        <v>0</v>
      </c>
      <c r="AF995" s="65" t="n">
        <f aca="false">IF(IFERROR(VLOOKUP(D995,Controls!$A$64:$E$74,3,FALSE()),"No")="Yes",1,0)</f>
        <v>0</v>
      </c>
      <c r="AG995" s="65" t="n">
        <f aca="false">IF(IFERROR(VLOOKUP(D995,Controls!$A$64:$E$74,4,FALSE()),"No")="Yes",1,0)</f>
        <v>0</v>
      </c>
      <c r="AH995" s="65" t="n">
        <f aca="false">IF(IFERROR(VLOOKUP(D995,Controls!$A$64:$E$74,5,FALSE()),"No")="Yes",1,0)</f>
        <v>1</v>
      </c>
      <c r="AI995" s="65" t="n">
        <f aca="false">IF(ISNUMBER(MATCH(D995,Controls!$A$64:$A$74,0)),1,0)</f>
        <v>1</v>
      </c>
      <c r="AJ995" s="65" t="n">
        <f aca="false">Q995-N995</f>
        <v>-13040</v>
      </c>
      <c r="AK995" s="65" t="n">
        <f aca="false">IF(AE995=1,MAX(0,N995-Q995),0)</f>
        <v>0</v>
      </c>
      <c r="AL995" s="65" t="n">
        <f aca="false">IF(OR(V995="",V995=0),0,N995/V995)</f>
        <v>0.108458522939167</v>
      </c>
      <c r="AM995" s="65" t="n">
        <f aca="false">IF(OR(V995="",V995=0),0,1)</f>
        <v>1</v>
      </c>
      <c r="AN995" s="65" t="n">
        <f aca="false">IF(OR(E995="",F995=""),0,NETWORKDAYS(E995,F995,Ref!$K$2:$K$42))</f>
        <v>33</v>
      </c>
      <c r="AO995" s="65" t="n">
        <f aca="false">IF(L995="Renewal",1,0)</f>
        <v>0</v>
      </c>
      <c r="AP995" s="65" t="n">
        <f aca="false">AC995*AD995</f>
        <v>0</v>
      </c>
      <c r="AQ995" s="65" t="n">
        <f aca="false">IF(AND(G995&lt;&gt;"",'Historical Score'!$C$6&lt;&gt;""),IF(G995='Historical Score'!$C$6,1,0),0)</f>
        <v>0</v>
      </c>
      <c r="AR995" s="65" t="n">
        <f aca="false">IF(AND(L995&lt;&gt;"",'Historical Score'!$C$5&lt;&gt;""),IF(L995='Historical Score'!$C$5,1,0),0)</f>
        <v>1</v>
      </c>
      <c r="AS995" s="65" t="n">
        <f aca="false">IF(AND(Y995&lt;&gt;"",'Historical Score'!$C$7&lt;&gt;""),IF(Y995='Historical Score'!$C$7,1,0),0)</f>
        <v>0</v>
      </c>
      <c r="AT995" s="65" t="n">
        <f aca="false">IF(AND(K995&lt;&gt;"",'Historical Score'!$C$8&lt;&gt;""),IF(K995='Historical Score'!$C$8,1,0),0)</f>
        <v>0</v>
      </c>
      <c r="AU995" s="65" t="n">
        <f aca="false">IF(AND(J995&lt;&gt;"",'Historical Score'!$C$9&lt;&gt;""),IF(J995='Historical Score'!$C$9,1,0),0)</f>
        <v>0</v>
      </c>
      <c r="AV995" s="65" t="n">
        <f aca="false">AR995*AS995*AQ995</f>
        <v>0</v>
      </c>
      <c r="AW995" s="65" t="n">
        <f aca="false">AR995*AT995*AQ995</f>
        <v>0</v>
      </c>
      <c r="AX995" s="65" t="n">
        <f aca="false">AR995*AS995</f>
        <v>0</v>
      </c>
      <c r="AY995" s="65" t="n">
        <f aca="false">AR995*AT995</f>
        <v>0</v>
      </c>
      <c r="AZ995" s="65" t="n">
        <f aca="false">AR995*AQ995</f>
        <v>0</v>
      </c>
      <c r="BA995" s="65" t="n">
        <f aca="false">AR995</f>
        <v>1</v>
      </c>
      <c r="BB995" s="65" t="n">
        <f aca="false">1</f>
        <v>1</v>
      </c>
      <c r="BC995" s="65" t="n">
        <f aca="false">IF(AV995=1,1,IF(AW995=1,2,IF(AX995=1,3,IF(AY995=1,4,IF(AZ995=1,5,IF(BA995=1,6,7))))))</f>
        <v>6</v>
      </c>
      <c r="BD995" s="65" t="n">
        <f aca="false">IF(AD995=1,CHOOSE('Historical Score'!$C$29,AV995,AW995,AX995,AY995,AZ995,BA995,BB995),0)</f>
        <v>0</v>
      </c>
      <c r="BE995" s="65" t="str">
        <f aca="false">IF(BD995=1,COUNTIF($BD$2:BD995,1),"")</f>
        <v/>
      </c>
    </row>
    <row r="996" customFormat="false" ht="15" hidden="false" customHeight="false" outlineLevel="0" collapsed="false">
      <c r="A996" s="65" t="s">
        <v>2993</v>
      </c>
      <c r="B996" s="65" t="s">
        <v>2994</v>
      </c>
      <c r="C996" s="65" t="s">
        <v>2994</v>
      </c>
      <c r="D996" s="65" t="s">
        <v>295</v>
      </c>
      <c r="E996" s="112" t="n">
        <v>46204</v>
      </c>
      <c r="F996" s="112" t="n">
        <v>46253</v>
      </c>
      <c r="G996" s="65" t="n">
        <v>3</v>
      </c>
      <c r="H996" s="65" t="s">
        <v>1336</v>
      </c>
      <c r="I996" s="65" t="s">
        <v>379</v>
      </c>
      <c r="J996" s="65" t="s">
        <v>373</v>
      </c>
      <c r="K996" s="65" t="s">
        <v>55</v>
      </c>
      <c r="L996" s="65" t="s">
        <v>64</v>
      </c>
      <c r="M996" s="113" t="n">
        <v>1.49</v>
      </c>
      <c r="N996" s="114" t="n">
        <v>25000</v>
      </c>
      <c r="O996" s="114" t="n">
        <v>3500</v>
      </c>
      <c r="P996" s="114" t="n">
        <v>37250</v>
      </c>
      <c r="Q996" s="114" t="n">
        <v>3725.23</v>
      </c>
      <c r="R996" s="114" t="n">
        <v>33524.77</v>
      </c>
      <c r="S996" s="115" t="n">
        <v>0.100006174496644</v>
      </c>
      <c r="T996" s="65" t="n">
        <v>20</v>
      </c>
      <c r="U996" s="65" t="n">
        <v>8</v>
      </c>
      <c r="V996" s="65" t="n">
        <v>30373.05</v>
      </c>
      <c r="W996" s="115" t="n">
        <v>0.2453</v>
      </c>
      <c r="X996" s="112" t="n">
        <v>44287</v>
      </c>
      <c r="Y996" s="65" t="str">
        <f aca="false">IF(I996="","No SIC",IFERROR(VLOOKUP(I996,Ref!$A$2:$B$65,2,FALSE()),"Unclassified"))</f>
        <v>Food Stores</v>
      </c>
      <c r="Z996" s="65" t="str">
        <f aca="false">IF(T996="","",IF(T996&lt;12,"Daily","Weekly"))</f>
        <v>Weekly</v>
      </c>
      <c r="AA996" s="65" t="n">
        <f aca="false">IF(T996="",0,IF(T996&lt;12,T996*Controls!$B$29,T996*5))</f>
        <v>100</v>
      </c>
      <c r="AB996" s="65" t="n">
        <f aca="false">IF(E996="",0,NETWORKDAYS(E996,Controls!$B$36,Ref!$K$2:$K$42))</f>
        <v>40</v>
      </c>
      <c r="AC996" s="65" t="n">
        <f aca="false">IF(AND(AA996&gt;0,AB996&gt;=Controls!$B$39*AA996),1,0)</f>
        <v>0</v>
      </c>
      <c r="AD996" s="65" t="n">
        <f aca="false">IF(AND(E996&lt;&gt;"",E996&gt;=Controls!$B$37,E996&lt;=Controls!$B$38),1,0)</f>
        <v>1</v>
      </c>
      <c r="AE996" s="65" t="n">
        <f aca="false">IF(IFERROR(VLOOKUP(D996,Controls!$A$64:$E$74,2,FALSE()),"No")="Yes",1,0)</f>
        <v>0</v>
      </c>
      <c r="AF996" s="65" t="n">
        <f aca="false">IF(IFERROR(VLOOKUP(D996,Controls!$A$64:$E$74,3,FALSE()),"No")="Yes",1,0)</f>
        <v>0</v>
      </c>
      <c r="AG996" s="65" t="n">
        <f aca="false">IF(IFERROR(VLOOKUP(D996,Controls!$A$64:$E$74,4,FALSE()),"No")="Yes",1,0)</f>
        <v>0</v>
      </c>
      <c r="AH996" s="65" t="n">
        <f aca="false">IF(IFERROR(VLOOKUP(D996,Controls!$A$64:$E$74,5,FALSE()),"No")="Yes",1,0)</f>
        <v>1</v>
      </c>
      <c r="AI996" s="65" t="n">
        <f aca="false">IF(ISNUMBER(MATCH(D996,Controls!$A$64:$A$74,0)),1,0)</f>
        <v>1</v>
      </c>
      <c r="AJ996" s="65" t="n">
        <f aca="false">Q996-N996</f>
        <v>-21274.77</v>
      </c>
      <c r="AK996" s="65" t="n">
        <f aca="false">IF(AE996=1,MAX(0,N996-Q996),0)</f>
        <v>0</v>
      </c>
      <c r="AL996" s="65" t="n">
        <f aca="false">IF(OR(V996="",V996=0),0,N996/V996)</f>
        <v>0.823098108355927</v>
      </c>
      <c r="AM996" s="65" t="n">
        <f aca="false">IF(OR(V996="",V996=0),0,1)</f>
        <v>1</v>
      </c>
      <c r="AN996" s="65" t="n">
        <f aca="false">IF(OR(E996="",F996=""),0,NETWORKDAYS(E996,F996,Ref!$K$2:$K$42))</f>
        <v>36</v>
      </c>
      <c r="AO996" s="65" t="n">
        <f aca="false">IF(L996="Renewal",1,0)</f>
        <v>0</v>
      </c>
      <c r="AP996" s="65" t="n">
        <f aca="false">AC996*AD996</f>
        <v>0</v>
      </c>
      <c r="AQ996" s="65" t="n">
        <f aca="false">IF(AND(G996&lt;&gt;"",'Historical Score'!$C$6&lt;&gt;""),IF(G996='Historical Score'!$C$6,1,0),0)</f>
        <v>0</v>
      </c>
      <c r="AR996" s="65" t="n">
        <f aca="false">IF(AND(L996&lt;&gt;"",'Historical Score'!$C$5&lt;&gt;""),IF(L996='Historical Score'!$C$5,1,0),0)</f>
        <v>1</v>
      </c>
      <c r="AS996" s="65" t="n">
        <f aca="false">IF(AND(Y996&lt;&gt;"",'Historical Score'!$C$7&lt;&gt;""),IF(Y996='Historical Score'!$C$7,1,0),0)</f>
        <v>0</v>
      </c>
      <c r="AT996" s="65" t="n">
        <f aca="false">IF(AND(K996&lt;&gt;"",'Historical Score'!$C$8&lt;&gt;""),IF(K996='Historical Score'!$C$8,1,0),0)</f>
        <v>1</v>
      </c>
      <c r="AU996" s="65" t="n">
        <f aca="false">IF(AND(J996&lt;&gt;"",'Historical Score'!$C$9&lt;&gt;""),IF(J996='Historical Score'!$C$9,1,0),0)</f>
        <v>0</v>
      </c>
      <c r="AV996" s="65" t="n">
        <f aca="false">AR996*AS996*AQ996</f>
        <v>0</v>
      </c>
      <c r="AW996" s="65" t="n">
        <f aca="false">AR996*AT996*AQ996</f>
        <v>0</v>
      </c>
      <c r="AX996" s="65" t="n">
        <f aca="false">AR996*AS996</f>
        <v>0</v>
      </c>
      <c r="AY996" s="65" t="n">
        <f aca="false">AR996*AT996</f>
        <v>1</v>
      </c>
      <c r="AZ996" s="65" t="n">
        <f aca="false">AR996*AQ996</f>
        <v>0</v>
      </c>
      <c r="BA996" s="65" t="n">
        <f aca="false">AR996</f>
        <v>1</v>
      </c>
      <c r="BB996" s="65" t="n">
        <f aca="false">1</f>
        <v>1</v>
      </c>
      <c r="BC996" s="65" t="n">
        <f aca="false">IF(AV996=1,1,IF(AW996=1,2,IF(AX996=1,3,IF(AY996=1,4,IF(AZ996=1,5,IF(BA996=1,6,7))))))</f>
        <v>4</v>
      </c>
      <c r="BD996" s="65" t="n">
        <f aca="false">IF(AD996=1,CHOOSE('Historical Score'!$C$29,AV996,AW996,AX996,AY996,AZ996,BA996,BB996),0)</f>
        <v>0</v>
      </c>
      <c r="BE996" s="65" t="str">
        <f aca="false">IF(BD996=1,COUNTIF($BD$2:BD996,1),"")</f>
        <v/>
      </c>
    </row>
    <row r="997" customFormat="false" ht="15" hidden="false" customHeight="false" outlineLevel="0" collapsed="false">
      <c r="A997" s="65" t="s">
        <v>2995</v>
      </c>
      <c r="B997" s="65" t="s">
        <v>2918</v>
      </c>
      <c r="C997" s="65" t="s">
        <v>2919</v>
      </c>
      <c r="D997" s="65" t="s">
        <v>295</v>
      </c>
      <c r="E997" s="112" t="n">
        <v>46204</v>
      </c>
      <c r="F997" s="112" t="n">
        <v>46251</v>
      </c>
      <c r="G997" s="65" t="n">
        <v>4</v>
      </c>
      <c r="H997" s="65" t="s">
        <v>768</v>
      </c>
      <c r="I997" s="65" t="s">
        <v>443</v>
      </c>
      <c r="J997" s="65" t="s">
        <v>452</v>
      </c>
      <c r="K997" s="65" t="s">
        <v>538</v>
      </c>
      <c r="L997" s="65" t="s">
        <v>64</v>
      </c>
      <c r="M997" s="113" t="n">
        <v>1.39</v>
      </c>
      <c r="N997" s="114" t="n">
        <v>300000</v>
      </c>
      <c r="O997" s="114" t="n">
        <v>27000</v>
      </c>
      <c r="P997" s="114" t="n">
        <v>417000</v>
      </c>
      <c r="Q997" s="114" t="n">
        <v>72932.72</v>
      </c>
      <c r="R997" s="114" t="n">
        <v>344067.28</v>
      </c>
      <c r="S997" s="115" t="n">
        <v>0.17489860911271</v>
      </c>
      <c r="T997" s="65" t="n">
        <v>40</v>
      </c>
      <c r="U997" s="65" t="n">
        <v>0</v>
      </c>
      <c r="V997" s="65" t="n">
        <v>949336.14</v>
      </c>
      <c r="W997" s="115" t="n">
        <v>0.0439</v>
      </c>
      <c r="X997" s="112" t="n">
        <v>38959</v>
      </c>
      <c r="Y997" s="65" t="str">
        <f aca="false">IF(I997="","No SIC",IFERROR(VLOOKUP(I997,Ref!$A$2:$B$65,2,FALSE()),"Unclassified"))</f>
        <v>General Building Contractors</v>
      </c>
      <c r="Z997" s="65" t="str">
        <f aca="false">IF(T997="","",IF(T997&lt;12,"Daily","Weekly"))</f>
        <v>Weekly</v>
      </c>
      <c r="AA997" s="65" t="n">
        <f aca="false">IF(T997="",0,IF(T997&lt;12,T997*Controls!$B$29,T997*5))</f>
        <v>200</v>
      </c>
      <c r="AB997" s="65" t="n">
        <f aca="false">IF(E997="",0,NETWORKDAYS(E997,Controls!$B$36,Ref!$K$2:$K$42))</f>
        <v>40</v>
      </c>
      <c r="AC997" s="65" t="n">
        <f aca="false">IF(AND(AA997&gt;0,AB997&gt;=Controls!$B$39*AA997),1,0)</f>
        <v>0</v>
      </c>
      <c r="AD997" s="65" t="n">
        <f aca="false">IF(AND(E997&lt;&gt;"",E997&gt;=Controls!$B$37,E997&lt;=Controls!$B$38),1,0)</f>
        <v>1</v>
      </c>
      <c r="AE997" s="65" t="n">
        <f aca="false">IF(IFERROR(VLOOKUP(D997,Controls!$A$64:$E$74,2,FALSE()),"No")="Yes",1,0)</f>
        <v>0</v>
      </c>
      <c r="AF997" s="65" t="n">
        <f aca="false">IF(IFERROR(VLOOKUP(D997,Controls!$A$64:$E$74,3,FALSE()),"No")="Yes",1,0)</f>
        <v>0</v>
      </c>
      <c r="AG997" s="65" t="n">
        <f aca="false">IF(IFERROR(VLOOKUP(D997,Controls!$A$64:$E$74,4,FALSE()),"No")="Yes",1,0)</f>
        <v>0</v>
      </c>
      <c r="AH997" s="65" t="n">
        <f aca="false">IF(IFERROR(VLOOKUP(D997,Controls!$A$64:$E$74,5,FALSE()),"No")="Yes",1,0)</f>
        <v>1</v>
      </c>
      <c r="AI997" s="65" t="n">
        <f aca="false">IF(ISNUMBER(MATCH(D997,Controls!$A$64:$A$74,0)),1,0)</f>
        <v>1</v>
      </c>
      <c r="AJ997" s="65" t="n">
        <f aca="false">Q997-N997</f>
        <v>-227067.28</v>
      </c>
      <c r="AK997" s="65" t="n">
        <f aca="false">IF(AE997=1,MAX(0,N997-Q997),0)</f>
        <v>0</v>
      </c>
      <c r="AL997" s="65" t="n">
        <f aca="false">IF(OR(V997="",V997=0),0,N997/V997)</f>
        <v>0.316010301683027</v>
      </c>
      <c r="AM997" s="65" t="n">
        <f aca="false">IF(OR(V997="",V997=0),0,1)</f>
        <v>1</v>
      </c>
      <c r="AN997" s="65" t="n">
        <f aca="false">IF(OR(E997="",F997=""),0,NETWORKDAYS(E997,F997,Ref!$K$2:$K$42))</f>
        <v>34</v>
      </c>
      <c r="AO997" s="65" t="n">
        <f aca="false">IF(L997="Renewal",1,0)</f>
        <v>0</v>
      </c>
      <c r="AP997" s="65" t="n">
        <f aca="false">AC997*AD997</f>
        <v>0</v>
      </c>
      <c r="AQ997" s="65" t="n">
        <f aca="false">IF(AND(G997&lt;&gt;"",'Historical Score'!$C$6&lt;&gt;""),IF(G997='Historical Score'!$C$6,1,0),0)</f>
        <v>0</v>
      </c>
      <c r="AR997" s="65" t="n">
        <f aca="false">IF(AND(L997&lt;&gt;"",'Historical Score'!$C$5&lt;&gt;""),IF(L997='Historical Score'!$C$5,1,0),0)</f>
        <v>1</v>
      </c>
      <c r="AS997" s="65" t="n">
        <f aca="false">IF(AND(Y997&lt;&gt;"",'Historical Score'!$C$7&lt;&gt;""),IF(Y997='Historical Score'!$C$7,1,0),0)</f>
        <v>1</v>
      </c>
      <c r="AT997" s="65" t="n">
        <f aca="false">IF(AND(K997&lt;&gt;"",'Historical Score'!$C$8&lt;&gt;""),IF(K997='Historical Score'!$C$8,1,0),0)</f>
        <v>0</v>
      </c>
      <c r="AU997" s="65" t="n">
        <f aca="false">IF(AND(J997&lt;&gt;"",'Historical Score'!$C$9&lt;&gt;""),IF(J997='Historical Score'!$C$9,1,0),0)</f>
        <v>0</v>
      </c>
      <c r="AV997" s="65" t="n">
        <f aca="false">AR997*AS997*AQ997</f>
        <v>0</v>
      </c>
      <c r="AW997" s="65" t="n">
        <f aca="false">AR997*AT997*AQ997</f>
        <v>0</v>
      </c>
      <c r="AX997" s="65" t="n">
        <f aca="false">AR997*AS997</f>
        <v>1</v>
      </c>
      <c r="AY997" s="65" t="n">
        <f aca="false">AR997*AT997</f>
        <v>0</v>
      </c>
      <c r="AZ997" s="65" t="n">
        <f aca="false">AR997*AQ997</f>
        <v>0</v>
      </c>
      <c r="BA997" s="65" t="n">
        <f aca="false">AR997</f>
        <v>1</v>
      </c>
      <c r="BB997" s="65" t="n">
        <f aca="false">1</f>
        <v>1</v>
      </c>
      <c r="BC997" s="65" t="n">
        <f aca="false">IF(AV997=1,1,IF(AW997=1,2,IF(AX997=1,3,IF(AY997=1,4,IF(AZ997=1,5,IF(BA997=1,6,7))))))</f>
        <v>3</v>
      </c>
      <c r="BD997" s="65" t="n">
        <f aca="false">IF(AD997=1,CHOOSE('Historical Score'!$C$29,AV997,AW997,AX997,AY997,AZ997,BA997,BB997),0)</f>
        <v>0</v>
      </c>
      <c r="BE997" s="65" t="str">
        <f aca="false">IF(BD997=1,COUNTIF($BD$2:BD997,1),"")</f>
        <v/>
      </c>
    </row>
    <row r="998" customFormat="false" ht="15" hidden="false" customHeight="false" outlineLevel="0" collapsed="false">
      <c r="A998" s="65" t="s">
        <v>2996</v>
      </c>
      <c r="B998" s="65" t="s">
        <v>2997</v>
      </c>
      <c r="C998" s="65" t="s">
        <v>2998</v>
      </c>
      <c r="D998" s="65" t="s">
        <v>295</v>
      </c>
      <c r="E998" s="112" t="n">
        <v>46204</v>
      </c>
      <c r="F998" s="112" t="n">
        <v>46248</v>
      </c>
      <c r="G998" s="65" t="n">
        <v>3</v>
      </c>
      <c r="H998" s="65" t="s">
        <v>442</v>
      </c>
      <c r="I998" s="65" t="s">
        <v>443</v>
      </c>
      <c r="J998" s="65" t="s">
        <v>61</v>
      </c>
      <c r="K998" s="65" t="s">
        <v>55</v>
      </c>
      <c r="L998" s="65" t="s">
        <v>64</v>
      </c>
      <c r="M998" s="113" t="n">
        <v>1.49</v>
      </c>
      <c r="N998" s="114" t="n">
        <v>15000</v>
      </c>
      <c r="O998" s="114" t="n">
        <v>2100</v>
      </c>
      <c r="P998" s="114" t="n">
        <v>22350</v>
      </c>
      <c r="Q998" s="114" t="n">
        <v>3653.61</v>
      </c>
      <c r="R998" s="114" t="n">
        <v>18696.39</v>
      </c>
      <c r="S998" s="115" t="n">
        <v>0.163472483221477</v>
      </c>
      <c r="T998" s="65" t="n">
        <v>20</v>
      </c>
      <c r="U998" s="65" t="n">
        <v>0</v>
      </c>
      <c r="V998" s="65" t="n">
        <v>73423.09</v>
      </c>
      <c r="W998" s="115" t="n">
        <v>0.0609</v>
      </c>
      <c r="X998" s="112" t="n">
        <v>45826</v>
      </c>
      <c r="Y998" s="65" t="str">
        <f aca="false">IF(I998="","No SIC",IFERROR(VLOOKUP(I998,Ref!$A$2:$B$65,2,FALSE()),"Unclassified"))</f>
        <v>General Building Contractors</v>
      </c>
      <c r="Z998" s="65" t="str">
        <f aca="false">IF(T998="","",IF(T998&lt;12,"Daily","Weekly"))</f>
        <v>Weekly</v>
      </c>
      <c r="AA998" s="65" t="n">
        <f aca="false">IF(T998="",0,IF(T998&lt;12,T998*Controls!$B$29,T998*5))</f>
        <v>100</v>
      </c>
      <c r="AB998" s="65" t="n">
        <f aca="false">IF(E998="",0,NETWORKDAYS(E998,Controls!$B$36,Ref!$K$2:$K$42))</f>
        <v>40</v>
      </c>
      <c r="AC998" s="65" t="n">
        <f aca="false">IF(AND(AA998&gt;0,AB998&gt;=Controls!$B$39*AA998),1,0)</f>
        <v>0</v>
      </c>
      <c r="AD998" s="65" t="n">
        <f aca="false">IF(AND(E998&lt;&gt;"",E998&gt;=Controls!$B$37,E998&lt;=Controls!$B$38),1,0)</f>
        <v>1</v>
      </c>
      <c r="AE998" s="65" t="n">
        <f aca="false">IF(IFERROR(VLOOKUP(D998,Controls!$A$64:$E$74,2,FALSE()),"No")="Yes",1,0)</f>
        <v>0</v>
      </c>
      <c r="AF998" s="65" t="n">
        <f aca="false">IF(IFERROR(VLOOKUP(D998,Controls!$A$64:$E$74,3,FALSE()),"No")="Yes",1,0)</f>
        <v>0</v>
      </c>
      <c r="AG998" s="65" t="n">
        <f aca="false">IF(IFERROR(VLOOKUP(D998,Controls!$A$64:$E$74,4,FALSE()),"No")="Yes",1,0)</f>
        <v>0</v>
      </c>
      <c r="AH998" s="65" t="n">
        <f aca="false">IF(IFERROR(VLOOKUP(D998,Controls!$A$64:$E$74,5,FALSE()),"No")="Yes",1,0)</f>
        <v>1</v>
      </c>
      <c r="AI998" s="65" t="n">
        <f aca="false">IF(ISNUMBER(MATCH(D998,Controls!$A$64:$A$74,0)),1,0)</f>
        <v>1</v>
      </c>
      <c r="AJ998" s="65" t="n">
        <f aca="false">Q998-N998</f>
        <v>-11346.39</v>
      </c>
      <c r="AK998" s="65" t="n">
        <f aca="false">IF(AE998=1,MAX(0,N998-Q998),0)</f>
        <v>0</v>
      </c>
      <c r="AL998" s="65" t="n">
        <f aca="false">IF(OR(V998="",V998=0),0,N998/V998)</f>
        <v>0.204295406254354</v>
      </c>
      <c r="AM998" s="65" t="n">
        <f aca="false">IF(OR(V998="",V998=0),0,1)</f>
        <v>1</v>
      </c>
      <c r="AN998" s="65" t="n">
        <f aca="false">IF(OR(E998="",F998=""),0,NETWORKDAYS(E998,F998,Ref!$K$2:$K$42))</f>
        <v>33</v>
      </c>
      <c r="AO998" s="65" t="n">
        <f aca="false">IF(L998="Renewal",1,0)</f>
        <v>0</v>
      </c>
      <c r="AP998" s="65" t="n">
        <f aca="false">AC998*AD998</f>
        <v>0</v>
      </c>
      <c r="AQ998" s="65" t="n">
        <f aca="false">IF(AND(G998&lt;&gt;"",'Historical Score'!$C$6&lt;&gt;""),IF(G998='Historical Score'!$C$6,1,0),0)</f>
        <v>0</v>
      </c>
      <c r="AR998" s="65" t="n">
        <f aca="false">IF(AND(L998&lt;&gt;"",'Historical Score'!$C$5&lt;&gt;""),IF(L998='Historical Score'!$C$5,1,0),0)</f>
        <v>1</v>
      </c>
      <c r="AS998" s="65" t="n">
        <f aca="false">IF(AND(Y998&lt;&gt;"",'Historical Score'!$C$7&lt;&gt;""),IF(Y998='Historical Score'!$C$7,1,0),0)</f>
        <v>1</v>
      </c>
      <c r="AT998" s="65" t="n">
        <f aca="false">IF(AND(K998&lt;&gt;"",'Historical Score'!$C$8&lt;&gt;""),IF(K998='Historical Score'!$C$8,1,0),0)</f>
        <v>1</v>
      </c>
      <c r="AU998" s="65" t="n">
        <f aca="false">IF(AND(J998&lt;&gt;"",'Historical Score'!$C$9&lt;&gt;""),IF(J998='Historical Score'!$C$9,1,0),0)</f>
        <v>1</v>
      </c>
      <c r="AV998" s="65" t="n">
        <f aca="false">AR998*AS998*AQ998</f>
        <v>0</v>
      </c>
      <c r="AW998" s="65" t="n">
        <f aca="false">AR998*AT998*AQ998</f>
        <v>0</v>
      </c>
      <c r="AX998" s="65" t="n">
        <f aca="false">AR998*AS998</f>
        <v>1</v>
      </c>
      <c r="AY998" s="65" t="n">
        <f aca="false">AR998*AT998</f>
        <v>1</v>
      </c>
      <c r="AZ998" s="65" t="n">
        <f aca="false">AR998*AQ998</f>
        <v>0</v>
      </c>
      <c r="BA998" s="65" t="n">
        <f aca="false">AR998</f>
        <v>1</v>
      </c>
      <c r="BB998" s="65" t="n">
        <f aca="false">1</f>
        <v>1</v>
      </c>
      <c r="BC998" s="65" t="n">
        <f aca="false">IF(AV998=1,1,IF(AW998=1,2,IF(AX998=1,3,IF(AY998=1,4,IF(AZ998=1,5,IF(BA998=1,6,7))))))</f>
        <v>3</v>
      </c>
      <c r="BD998" s="65" t="n">
        <f aca="false">IF(AD998=1,CHOOSE('Historical Score'!$C$29,AV998,AW998,AX998,AY998,AZ998,BA998,BB998),0)</f>
        <v>0</v>
      </c>
      <c r="BE998" s="65" t="str">
        <f aca="false">IF(BD998=1,COUNTIF($BD$2:BD998,1),"")</f>
        <v/>
      </c>
    </row>
    <row r="999" customFormat="false" ht="15" hidden="false" customHeight="false" outlineLevel="0" collapsed="false">
      <c r="A999" s="65" t="s">
        <v>2999</v>
      </c>
      <c r="B999" s="65" t="s">
        <v>3000</v>
      </c>
      <c r="C999" s="65" t="s">
        <v>3000</v>
      </c>
      <c r="D999" s="65" t="s">
        <v>295</v>
      </c>
      <c r="E999" s="112" t="n">
        <v>46204</v>
      </c>
      <c r="F999" s="112" t="n">
        <v>46253</v>
      </c>
      <c r="G999" s="65" t="n">
        <v>3</v>
      </c>
      <c r="H999" s="65" t="s">
        <v>748</v>
      </c>
      <c r="I999" s="65" t="s">
        <v>619</v>
      </c>
      <c r="J999" s="65" t="s">
        <v>452</v>
      </c>
      <c r="K999" s="65" t="s">
        <v>961</v>
      </c>
      <c r="L999" s="65" t="s">
        <v>64</v>
      </c>
      <c r="M999" s="113" t="n">
        <v>1.42</v>
      </c>
      <c r="N999" s="114" t="n">
        <v>5000</v>
      </c>
      <c r="O999" s="114" t="n">
        <v>525</v>
      </c>
      <c r="P999" s="114" t="n">
        <v>7100</v>
      </c>
      <c r="Q999" s="114" t="n">
        <v>2344.32</v>
      </c>
      <c r="R999" s="114" t="n">
        <v>4755.68</v>
      </c>
      <c r="S999" s="115" t="n">
        <v>0.330185915492958</v>
      </c>
      <c r="T999" s="65" t="n">
        <v>3.279</v>
      </c>
      <c r="U999" s="65" t="n">
        <v>3</v>
      </c>
      <c r="V999" s="65" t="n">
        <v>19078.51</v>
      </c>
      <c r="W999" s="115" t="n">
        <v>0.0782</v>
      </c>
      <c r="X999" s="112" t="n">
        <v>45733</v>
      </c>
      <c r="Y999" s="65" t="str">
        <f aca="false">IF(I999="","No SIC",IFERROR(VLOOKUP(I999,Ref!$A$2:$B$65,2,FALSE()),"Unclassified"))</f>
        <v>Miscellaneous Retail</v>
      </c>
      <c r="Z999" s="65" t="str">
        <f aca="false">IF(T999="","",IF(T999&lt;12,"Daily","Weekly"))</f>
        <v>Daily</v>
      </c>
      <c r="AA999" s="65" t="n">
        <f aca="false">IF(T999="",0,IF(T999&lt;12,T999*Controls!$B$29,T999*5))</f>
        <v>71.006745</v>
      </c>
      <c r="AB999" s="65" t="n">
        <f aca="false">IF(E999="",0,NETWORKDAYS(E999,Controls!$B$36,Ref!$K$2:$K$42))</f>
        <v>40</v>
      </c>
      <c r="AC999" s="65" t="n">
        <f aca="false">IF(AND(AA999&gt;0,AB999&gt;=Controls!$B$39*AA999),1,0)</f>
        <v>0</v>
      </c>
      <c r="AD999" s="65" t="n">
        <f aca="false">IF(AND(E999&lt;&gt;"",E999&gt;=Controls!$B$37,E999&lt;=Controls!$B$38),1,0)</f>
        <v>1</v>
      </c>
      <c r="AE999" s="65" t="n">
        <f aca="false">IF(IFERROR(VLOOKUP(D999,Controls!$A$64:$E$74,2,FALSE()),"No")="Yes",1,0)</f>
        <v>0</v>
      </c>
      <c r="AF999" s="65" t="n">
        <f aca="false">IF(IFERROR(VLOOKUP(D999,Controls!$A$64:$E$74,3,FALSE()),"No")="Yes",1,0)</f>
        <v>0</v>
      </c>
      <c r="AG999" s="65" t="n">
        <f aca="false">IF(IFERROR(VLOOKUP(D999,Controls!$A$64:$E$74,4,FALSE()),"No")="Yes",1,0)</f>
        <v>0</v>
      </c>
      <c r="AH999" s="65" t="n">
        <f aca="false">IF(IFERROR(VLOOKUP(D999,Controls!$A$64:$E$74,5,FALSE()),"No")="Yes",1,0)</f>
        <v>1</v>
      </c>
      <c r="AI999" s="65" t="n">
        <f aca="false">IF(ISNUMBER(MATCH(D999,Controls!$A$64:$A$74,0)),1,0)</f>
        <v>1</v>
      </c>
      <c r="AJ999" s="65" t="n">
        <f aca="false">Q999-N999</f>
        <v>-2655.68</v>
      </c>
      <c r="AK999" s="65" t="n">
        <f aca="false">IF(AE999=1,MAX(0,N999-Q999),0)</f>
        <v>0</v>
      </c>
      <c r="AL999" s="65" t="n">
        <f aca="false">IF(OR(V999="",V999=0),0,N999/V999)</f>
        <v>0.262074973360079</v>
      </c>
      <c r="AM999" s="65" t="n">
        <f aca="false">IF(OR(V999="",V999=0),0,1)</f>
        <v>1</v>
      </c>
      <c r="AN999" s="65" t="n">
        <f aca="false">IF(OR(E999="",F999=""),0,NETWORKDAYS(E999,F999,Ref!$K$2:$K$42))</f>
        <v>36</v>
      </c>
      <c r="AO999" s="65" t="n">
        <f aca="false">IF(L999="Renewal",1,0)</f>
        <v>0</v>
      </c>
      <c r="AP999" s="65" t="n">
        <f aca="false">AC999*AD999</f>
        <v>0</v>
      </c>
      <c r="AQ999" s="65" t="n">
        <f aca="false">IF(AND(G999&lt;&gt;"",'Historical Score'!$C$6&lt;&gt;""),IF(G999='Historical Score'!$C$6,1,0),0)</f>
        <v>0</v>
      </c>
      <c r="AR999" s="65" t="n">
        <f aca="false">IF(AND(L999&lt;&gt;"",'Historical Score'!$C$5&lt;&gt;""),IF(L999='Historical Score'!$C$5,1,0),0)</f>
        <v>1</v>
      </c>
      <c r="AS999" s="65" t="n">
        <f aca="false">IF(AND(Y999&lt;&gt;"",'Historical Score'!$C$7&lt;&gt;""),IF(Y999='Historical Score'!$C$7,1,0),0)</f>
        <v>0</v>
      </c>
      <c r="AT999" s="65" t="n">
        <f aca="false">IF(AND(K999&lt;&gt;"",'Historical Score'!$C$8&lt;&gt;""),IF(K999='Historical Score'!$C$8,1,0),0)</f>
        <v>0</v>
      </c>
      <c r="AU999" s="65" t="n">
        <f aca="false">IF(AND(J999&lt;&gt;"",'Historical Score'!$C$9&lt;&gt;""),IF(J999='Historical Score'!$C$9,1,0),0)</f>
        <v>0</v>
      </c>
      <c r="AV999" s="65" t="n">
        <f aca="false">AR999*AS999*AQ999</f>
        <v>0</v>
      </c>
      <c r="AW999" s="65" t="n">
        <f aca="false">AR999*AT999*AQ999</f>
        <v>0</v>
      </c>
      <c r="AX999" s="65" t="n">
        <f aca="false">AR999*AS999</f>
        <v>0</v>
      </c>
      <c r="AY999" s="65" t="n">
        <f aca="false">AR999*AT999</f>
        <v>0</v>
      </c>
      <c r="AZ999" s="65" t="n">
        <f aca="false">AR999*AQ999</f>
        <v>0</v>
      </c>
      <c r="BA999" s="65" t="n">
        <f aca="false">AR999</f>
        <v>1</v>
      </c>
      <c r="BB999" s="65" t="n">
        <f aca="false">1</f>
        <v>1</v>
      </c>
      <c r="BC999" s="65" t="n">
        <f aca="false">IF(AV999=1,1,IF(AW999=1,2,IF(AX999=1,3,IF(AY999=1,4,IF(AZ999=1,5,IF(BA999=1,6,7))))))</f>
        <v>6</v>
      </c>
      <c r="BD999" s="65" t="n">
        <f aca="false">IF(AD999=1,CHOOSE('Historical Score'!$C$29,AV999,AW999,AX999,AY999,AZ999,BA999,BB999),0)</f>
        <v>0</v>
      </c>
      <c r="BE999" s="65" t="str">
        <f aca="false">IF(BD999=1,COUNTIF($BD$2:BD999,1),"")</f>
        <v/>
      </c>
    </row>
    <row r="1000" customFormat="false" ht="15" hidden="false" customHeight="false" outlineLevel="0" collapsed="false">
      <c r="A1000" s="65" t="s">
        <v>3001</v>
      </c>
      <c r="B1000" s="65" t="s">
        <v>2336</v>
      </c>
      <c r="C1000" s="65" t="s">
        <v>2336</v>
      </c>
      <c r="D1000" s="65" t="s">
        <v>295</v>
      </c>
      <c r="E1000" s="112" t="n">
        <v>46205</v>
      </c>
      <c r="F1000" s="112" t="n">
        <v>46247</v>
      </c>
      <c r="G1000" s="65" t="n">
        <v>3</v>
      </c>
      <c r="H1000" s="65" t="s">
        <v>748</v>
      </c>
      <c r="I1000" s="65" t="s">
        <v>619</v>
      </c>
      <c r="J1000" s="65" t="s">
        <v>452</v>
      </c>
      <c r="K1000" s="65" t="s">
        <v>476</v>
      </c>
      <c r="L1000" s="65" t="s">
        <v>320</v>
      </c>
      <c r="M1000" s="113" t="n">
        <v>1.49</v>
      </c>
      <c r="N1000" s="114" t="n">
        <v>25000</v>
      </c>
      <c r="O1000" s="114" t="n">
        <v>3500</v>
      </c>
      <c r="P1000" s="114" t="n">
        <v>37250</v>
      </c>
      <c r="Q1000" s="114" t="n">
        <v>7449.96</v>
      </c>
      <c r="R1000" s="114" t="n">
        <v>29800.04</v>
      </c>
      <c r="S1000" s="115" t="n">
        <v>0.199998926174497</v>
      </c>
      <c r="T1000" s="65" t="n">
        <v>30</v>
      </c>
      <c r="U1000" s="65" t="n">
        <v>0</v>
      </c>
      <c r="V1000" s="65" t="n">
        <v>47032.66</v>
      </c>
      <c r="W1000" s="115" t="n">
        <v>0.1056</v>
      </c>
      <c r="X1000" s="112" t="n">
        <v>44336</v>
      </c>
      <c r="Y1000" s="65" t="str">
        <f aca="false">IF(I1000="","No SIC",IFERROR(VLOOKUP(I1000,Ref!$A$2:$B$65,2,FALSE()),"Unclassified"))</f>
        <v>Miscellaneous Retail</v>
      </c>
      <c r="Z1000" s="65" t="str">
        <f aca="false">IF(T1000="","",IF(T1000&lt;12,"Daily","Weekly"))</f>
        <v>Weekly</v>
      </c>
      <c r="AA1000" s="65" t="n">
        <f aca="false">IF(T1000="",0,IF(T1000&lt;12,T1000*Controls!$B$29,T1000*5))</f>
        <v>150</v>
      </c>
      <c r="AB1000" s="65" t="n">
        <f aca="false">IF(E1000="",0,NETWORKDAYS(E1000,Controls!$B$36,Ref!$K$2:$K$42))</f>
        <v>39</v>
      </c>
      <c r="AC1000" s="65" t="n">
        <f aca="false">IF(AND(AA1000&gt;0,AB1000&gt;=Controls!$B$39*AA1000),1,0)</f>
        <v>0</v>
      </c>
      <c r="AD1000" s="65" t="n">
        <f aca="false">IF(AND(E1000&lt;&gt;"",E1000&gt;=Controls!$B$37,E1000&lt;=Controls!$B$38),1,0)</f>
        <v>1</v>
      </c>
      <c r="AE1000" s="65" t="n">
        <f aca="false">IF(IFERROR(VLOOKUP(D1000,Controls!$A$64:$E$74,2,FALSE()),"No")="Yes",1,0)</f>
        <v>0</v>
      </c>
      <c r="AF1000" s="65" t="n">
        <f aca="false">IF(IFERROR(VLOOKUP(D1000,Controls!$A$64:$E$74,3,FALSE()),"No")="Yes",1,0)</f>
        <v>0</v>
      </c>
      <c r="AG1000" s="65" t="n">
        <f aca="false">IF(IFERROR(VLOOKUP(D1000,Controls!$A$64:$E$74,4,FALSE()),"No")="Yes",1,0)</f>
        <v>0</v>
      </c>
      <c r="AH1000" s="65" t="n">
        <f aca="false">IF(IFERROR(VLOOKUP(D1000,Controls!$A$64:$E$74,5,FALSE()),"No")="Yes",1,0)</f>
        <v>1</v>
      </c>
      <c r="AI1000" s="65" t="n">
        <f aca="false">IF(ISNUMBER(MATCH(D1000,Controls!$A$64:$A$74,0)),1,0)</f>
        <v>1</v>
      </c>
      <c r="AJ1000" s="65" t="n">
        <f aca="false">Q1000-N1000</f>
        <v>-17550.04</v>
      </c>
      <c r="AK1000" s="65" t="n">
        <f aca="false">IF(AE1000=1,MAX(0,N1000-Q1000),0)</f>
        <v>0</v>
      </c>
      <c r="AL1000" s="65" t="n">
        <f aca="false">IF(OR(V1000="",V1000=0),0,N1000/V1000)</f>
        <v>0.531545526023831</v>
      </c>
      <c r="AM1000" s="65" t="n">
        <f aca="false">IF(OR(V1000="",V1000=0),0,1)</f>
        <v>1</v>
      </c>
      <c r="AN1000" s="65" t="n">
        <f aca="false">IF(OR(E1000="",F1000=""),0,NETWORKDAYS(E1000,F1000,Ref!$K$2:$K$42))</f>
        <v>31</v>
      </c>
      <c r="AO1000" s="65" t="n">
        <f aca="false">IF(L1000="Renewal",1,0)</f>
        <v>1</v>
      </c>
      <c r="AP1000" s="65" t="n">
        <f aca="false">AC1000*AD1000</f>
        <v>0</v>
      </c>
      <c r="AQ1000" s="65" t="n">
        <f aca="false">IF(AND(G1000&lt;&gt;"",'Historical Score'!$C$6&lt;&gt;""),IF(G1000='Historical Score'!$C$6,1,0),0)</f>
        <v>0</v>
      </c>
      <c r="AR1000" s="65" t="n">
        <f aca="false">IF(AND(L1000&lt;&gt;"",'Historical Score'!$C$5&lt;&gt;""),IF(L1000='Historical Score'!$C$5,1,0),0)</f>
        <v>0</v>
      </c>
      <c r="AS1000" s="65" t="n">
        <f aca="false">IF(AND(Y1000&lt;&gt;"",'Historical Score'!$C$7&lt;&gt;""),IF(Y1000='Historical Score'!$C$7,1,0),0)</f>
        <v>0</v>
      </c>
      <c r="AT1000" s="65" t="n">
        <f aca="false">IF(AND(K1000&lt;&gt;"",'Historical Score'!$C$8&lt;&gt;""),IF(K1000='Historical Score'!$C$8,1,0),0)</f>
        <v>0</v>
      </c>
      <c r="AU1000" s="65" t="n">
        <f aca="false">IF(AND(J1000&lt;&gt;"",'Historical Score'!$C$9&lt;&gt;""),IF(J1000='Historical Score'!$C$9,1,0),0)</f>
        <v>0</v>
      </c>
      <c r="AV1000" s="65" t="n">
        <f aca="false">AR1000*AS1000*AQ1000</f>
        <v>0</v>
      </c>
      <c r="AW1000" s="65" t="n">
        <f aca="false">AR1000*AT1000*AQ1000</f>
        <v>0</v>
      </c>
      <c r="AX1000" s="65" t="n">
        <f aca="false">AR1000*AS1000</f>
        <v>0</v>
      </c>
      <c r="AY1000" s="65" t="n">
        <f aca="false">AR1000*AT1000</f>
        <v>0</v>
      </c>
      <c r="AZ1000" s="65" t="n">
        <f aca="false">AR1000*AQ1000</f>
        <v>0</v>
      </c>
      <c r="BA1000" s="65" t="n">
        <f aca="false">AR1000</f>
        <v>0</v>
      </c>
      <c r="BB1000" s="65" t="n">
        <f aca="false">1</f>
        <v>1</v>
      </c>
      <c r="BC1000" s="65" t="n">
        <f aca="false">IF(AV1000=1,1,IF(AW1000=1,2,IF(AX1000=1,3,IF(AY1000=1,4,IF(AZ1000=1,5,IF(BA1000=1,6,7))))))</f>
        <v>7</v>
      </c>
      <c r="BD1000" s="65" t="n">
        <f aca="false">IF(AD1000=1,CHOOSE('Historical Score'!$C$29,AV1000,AW1000,AX1000,AY1000,AZ1000,BA1000,BB1000),0)</f>
        <v>0</v>
      </c>
      <c r="BE1000" s="65" t="str">
        <f aca="false">IF(BD1000=1,COUNTIF($BD$2:BD1000,1),"")</f>
        <v/>
      </c>
    </row>
    <row r="1001" customFormat="false" ht="15" hidden="false" customHeight="false" outlineLevel="0" collapsed="false">
      <c r="A1001" s="65" t="s">
        <v>3002</v>
      </c>
      <c r="B1001" s="65" t="s">
        <v>3003</v>
      </c>
      <c r="C1001" s="65" t="s">
        <v>3003</v>
      </c>
      <c r="D1001" s="65" t="s">
        <v>295</v>
      </c>
      <c r="E1001" s="112" t="n">
        <v>46205</v>
      </c>
      <c r="F1001" s="112" t="n">
        <v>46248</v>
      </c>
      <c r="G1001" s="65" t="n">
        <v>3</v>
      </c>
      <c r="H1001" s="65" t="s">
        <v>525</v>
      </c>
      <c r="I1001" s="65" t="s">
        <v>367</v>
      </c>
      <c r="J1001" s="65" t="s">
        <v>671</v>
      </c>
      <c r="K1001" s="65" t="s">
        <v>538</v>
      </c>
      <c r="L1001" s="65" t="s">
        <v>64</v>
      </c>
      <c r="M1001" s="113" t="n">
        <v>1.43</v>
      </c>
      <c r="N1001" s="114" t="n">
        <v>20000</v>
      </c>
      <c r="O1001" s="114" t="n">
        <v>2200</v>
      </c>
      <c r="P1001" s="114" t="n">
        <v>28600</v>
      </c>
      <c r="Q1001" s="114" t="n">
        <v>5721.06</v>
      </c>
      <c r="R1001" s="114" t="n">
        <v>22878.94</v>
      </c>
      <c r="S1001" s="115" t="n">
        <v>0.200037062937063</v>
      </c>
      <c r="T1001" s="65" t="n">
        <v>30</v>
      </c>
      <c r="U1001" s="65" t="n">
        <v>0</v>
      </c>
      <c r="V1001" s="65" t="n">
        <v>28734.87</v>
      </c>
      <c r="W1001" s="115" t="n">
        <v>0.1037</v>
      </c>
      <c r="X1001" s="112" t="n">
        <v>34394</v>
      </c>
      <c r="Y1001" s="65" t="str">
        <f aca="false">IF(I1001="","No SIC",IFERROR(VLOOKUP(I1001,Ref!$A$2:$B$65,2,FALSE()),"Unclassified"))</f>
        <v>Engineering, Accounting &amp; Management</v>
      </c>
      <c r="Z1001" s="65" t="str">
        <f aca="false">IF(T1001="","",IF(T1001&lt;12,"Daily","Weekly"))</f>
        <v>Weekly</v>
      </c>
      <c r="AA1001" s="65" t="n">
        <f aca="false">IF(T1001="",0,IF(T1001&lt;12,T1001*Controls!$B$29,T1001*5))</f>
        <v>150</v>
      </c>
      <c r="AB1001" s="65" t="n">
        <f aca="false">IF(E1001="",0,NETWORKDAYS(E1001,Controls!$B$36,Ref!$K$2:$K$42))</f>
        <v>39</v>
      </c>
      <c r="AC1001" s="65" t="n">
        <f aca="false">IF(AND(AA1001&gt;0,AB1001&gt;=Controls!$B$39*AA1001),1,0)</f>
        <v>0</v>
      </c>
      <c r="AD1001" s="65" t="n">
        <f aca="false">IF(AND(E1001&lt;&gt;"",E1001&gt;=Controls!$B$37,E1001&lt;=Controls!$B$38),1,0)</f>
        <v>1</v>
      </c>
      <c r="AE1001" s="65" t="n">
        <f aca="false">IF(IFERROR(VLOOKUP(D1001,Controls!$A$64:$E$74,2,FALSE()),"No")="Yes",1,0)</f>
        <v>0</v>
      </c>
      <c r="AF1001" s="65" t="n">
        <f aca="false">IF(IFERROR(VLOOKUP(D1001,Controls!$A$64:$E$74,3,FALSE()),"No")="Yes",1,0)</f>
        <v>0</v>
      </c>
      <c r="AG1001" s="65" t="n">
        <f aca="false">IF(IFERROR(VLOOKUP(D1001,Controls!$A$64:$E$74,4,FALSE()),"No")="Yes",1,0)</f>
        <v>0</v>
      </c>
      <c r="AH1001" s="65" t="n">
        <f aca="false">IF(IFERROR(VLOOKUP(D1001,Controls!$A$64:$E$74,5,FALSE()),"No")="Yes",1,0)</f>
        <v>1</v>
      </c>
      <c r="AI1001" s="65" t="n">
        <f aca="false">IF(ISNUMBER(MATCH(D1001,Controls!$A$64:$A$74,0)),1,0)</f>
        <v>1</v>
      </c>
      <c r="AJ1001" s="65" t="n">
        <f aca="false">Q1001-N1001</f>
        <v>-14278.94</v>
      </c>
      <c r="AK1001" s="65" t="n">
        <f aca="false">IF(AE1001=1,MAX(0,N1001-Q1001),0)</f>
        <v>0</v>
      </c>
      <c r="AL1001" s="65" t="n">
        <f aca="false">IF(OR(V1001="",V1001=0),0,N1001/V1001)</f>
        <v>0.696018461193665</v>
      </c>
      <c r="AM1001" s="65" t="n">
        <f aca="false">IF(OR(V1001="",V1001=0),0,1)</f>
        <v>1</v>
      </c>
      <c r="AN1001" s="65" t="n">
        <f aca="false">IF(OR(E1001="",F1001=""),0,NETWORKDAYS(E1001,F1001,Ref!$K$2:$K$42))</f>
        <v>32</v>
      </c>
      <c r="AO1001" s="65" t="n">
        <f aca="false">IF(L1001="Renewal",1,0)</f>
        <v>0</v>
      </c>
      <c r="AP1001" s="65" t="n">
        <f aca="false">AC1001*AD1001</f>
        <v>0</v>
      </c>
      <c r="AQ1001" s="65" t="n">
        <f aca="false">IF(AND(G1001&lt;&gt;"",'Historical Score'!$C$6&lt;&gt;""),IF(G1001='Historical Score'!$C$6,1,0),0)</f>
        <v>0</v>
      </c>
      <c r="AR1001" s="65" t="n">
        <f aca="false">IF(AND(L1001&lt;&gt;"",'Historical Score'!$C$5&lt;&gt;""),IF(L1001='Historical Score'!$C$5,1,0),0)</f>
        <v>1</v>
      </c>
      <c r="AS1001" s="65" t="n">
        <f aca="false">IF(AND(Y1001&lt;&gt;"",'Historical Score'!$C$7&lt;&gt;""),IF(Y1001='Historical Score'!$C$7,1,0),0)</f>
        <v>0</v>
      </c>
      <c r="AT1001" s="65" t="n">
        <f aca="false">IF(AND(K1001&lt;&gt;"",'Historical Score'!$C$8&lt;&gt;""),IF(K1001='Historical Score'!$C$8,1,0),0)</f>
        <v>0</v>
      </c>
      <c r="AU1001" s="65" t="n">
        <f aca="false">IF(AND(J1001&lt;&gt;"",'Historical Score'!$C$9&lt;&gt;""),IF(J1001='Historical Score'!$C$9,1,0),0)</f>
        <v>0</v>
      </c>
      <c r="AV1001" s="65" t="n">
        <f aca="false">AR1001*AS1001*AQ1001</f>
        <v>0</v>
      </c>
      <c r="AW1001" s="65" t="n">
        <f aca="false">AR1001*AT1001*AQ1001</f>
        <v>0</v>
      </c>
      <c r="AX1001" s="65" t="n">
        <f aca="false">AR1001*AS1001</f>
        <v>0</v>
      </c>
      <c r="AY1001" s="65" t="n">
        <f aca="false">AR1001*AT1001</f>
        <v>0</v>
      </c>
      <c r="AZ1001" s="65" t="n">
        <f aca="false">AR1001*AQ1001</f>
        <v>0</v>
      </c>
      <c r="BA1001" s="65" t="n">
        <f aca="false">AR1001</f>
        <v>1</v>
      </c>
      <c r="BB1001" s="65" t="n">
        <f aca="false">1</f>
        <v>1</v>
      </c>
      <c r="BC1001" s="65" t="n">
        <f aca="false">IF(AV1001=1,1,IF(AW1001=1,2,IF(AX1001=1,3,IF(AY1001=1,4,IF(AZ1001=1,5,IF(BA1001=1,6,7))))))</f>
        <v>6</v>
      </c>
      <c r="BD1001" s="65" t="n">
        <f aca="false">IF(AD1001=1,CHOOSE('Historical Score'!$C$29,AV1001,AW1001,AX1001,AY1001,AZ1001,BA1001,BB1001),0)</f>
        <v>0</v>
      </c>
      <c r="BE1001" s="65" t="str">
        <f aca="false">IF(BD1001=1,COUNTIF($BD$2:BD1001,1),"")</f>
        <v/>
      </c>
    </row>
    <row r="1002" customFormat="false" ht="15" hidden="false" customHeight="false" outlineLevel="0" collapsed="false">
      <c r="A1002" s="65" t="s">
        <v>3004</v>
      </c>
      <c r="B1002" s="65" t="s">
        <v>3005</v>
      </c>
      <c r="C1002" s="65" t="s">
        <v>3005</v>
      </c>
      <c r="D1002" s="65" t="s">
        <v>340</v>
      </c>
      <c r="E1002" s="112" t="n">
        <v>46209</v>
      </c>
      <c r="F1002" s="112" t="n">
        <v>46252</v>
      </c>
      <c r="G1002" s="65" t="n">
        <v>3</v>
      </c>
      <c r="H1002" s="65" t="s">
        <v>568</v>
      </c>
      <c r="I1002" s="65" t="s">
        <v>569</v>
      </c>
      <c r="J1002" s="65" t="s">
        <v>452</v>
      </c>
      <c r="K1002" s="65" t="s">
        <v>501</v>
      </c>
      <c r="L1002" s="65" t="s">
        <v>64</v>
      </c>
      <c r="M1002" s="113" t="n">
        <v>1.49</v>
      </c>
      <c r="N1002" s="114" t="n">
        <v>20000</v>
      </c>
      <c r="O1002" s="114" t="n">
        <v>2800</v>
      </c>
      <c r="P1002" s="114" t="n">
        <v>29800</v>
      </c>
      <c r="Q1002" s="114" t="n">
        <v>1191.48</v>
      </c>
      <c r="R1002" s="114" t="n">
        <v>28608.52</v>
      </c>
      <c r="S1002" s="115" t="n">
        <v>0.0399825503355705</v>
      </c>
      <c r="T1002" s="65" t="n">
        <v>30</v>
      </c>
      <c r="U1002" s="65" t="n">
        <v>7</v>
      </c>
      <c r="V1002" s="65" t="n">
        <v>38373.13</v>
      </c>
      <c r="W1002" s="115" t="n">
        <v>0.1035</v>
      </c>
      <c r="X1002" s="112" t="n">
        <v>44838</v>
      </c>
      <c r="Y1002" s="65" t="str">
        <f aca="false">IF(I1002="","No SIC",IFERROR(VLOOKUP(I1002,Ref!$A$2:$B$65,2,FALSE()),"Unclassified"))</f>
        <v>General Merchandise Stores</v>
      </c>
      <c r="Z1002" s="65" t="str">
        <f aca="false">IF(T1002="","",IF(T1002&lt;12,"Daily","Weekly"))</f>
        <v>Weekly</v>
      </c>
      <c r="AA1002" s="65" t="n">
        <f aca="false">IF(T1002="",0,IF(T1002&lt;12,T1002*Controls!$B$29,T1002*5))</f>
        <v>150</v>
      </c>
      <c r="AB1002" s="65" t="n">
        <f aca="false">IF(E1002="",0,NETWORKDAYS(E1002,Controls!$B$36,Ref!$K$2:$K$42))</f>
        <v>37</v>
      </c>
      <c r="AC1002" s="65" t="n">
        <f aca="false">IF(AND(AA1002&gt;0,AB1002&gt;=Controls!$B$39*AA1002),1,0)</f>
        <v>0</v>
      </c>
      <c r="AD1002" s="65" t="n">
        <f aca="false">IF(AND(E1002&lt;&gt;"",E1002&gt;=Controls!$B$37,E1002&lt;=Controls!$B$38),1,0)</f>
        <v>1</v>
      </c>
      <c r="AE1002" s="65" t="n">
        <f aca="false">IF(IFERROR(VLOOKUP(D1002,Controls!$A$64:$E$74,2,FALSE()),"No")="Yes",1,0)</f>
        <v>1</v>
      </c>
      <c r="AF1002" s="65" t="n">
        <f aca="false">IF(IFERROR(VLOOKUP(D1002,Controls!$A$64:$E$74,3,FALSE()),"No")="Yes",1,0)</f>
        <v>0</v>
      </c>
      <c r="AG1002" s="65" t="n">
        <f aca="false">IF(IFERROR(VLOOKUP(D1002,Controls!$A$64:$E$74,4,FALSE()),"No")="Yes",1,0)</f>
        <v>0</v>
      </c>
      <c r="AH1002" s="65" t="n">
        <f aca="false">IF(IFERROR(VLOOKUP(D1002,Controls!$A$64:$E$74,5,FALSE()),"No")="Yes",1,0)</f>
        <v>0</v>
      </c>
      <c r="AI1002" s="65" t="n">
        <f aca="false">IF(ISNUMBER(MATCH(D1002,Controls!$A$64:$A$74,0)),1,0)</f>
        <v>1</v>
      </c>
      <c r="AJ1002" s="65" t="n">
        <f aca="false">Q1002-N1002</f>
        <v>-18808.52</v>
      </c>
      <c r="AK1002" s="65" t="n">
        <f aca="false">IF(AE1002=1,MAX(0,N1002-Q1002),0)</f>
        <v>18808.52</v>
      </c>
      <c r="AL1002" s="65" t="n">
        <f aca="false">IF(OR(V1002="",V1002=0),0,N1002/V1002)</f>
        <v>0.521198036230039</v>
      </c>
      <c r="AM1002" s="65" t="n">
        <f aca="false">IF(OR(V1002="",V1002=0),0,1)</f>
        <v>1</v>
      </c>
      <c r="AN1002" s="65" t="n">
        <f aca="false">IF(OR(E1002="",F1002=""),0,NETWORKDAYS(E1002,F1002,Ref!$K$2:$K$42))</f>
        <v>32</v>
      </c>
      <c r="AO1002" s="65" t="n">
        <f aca="false">IF(L1002="Renewal",1,0)</f>
        <v>0</v>
      </c>
      <c r="AP1002" s="65" t="n">
        <f aca="false">AC1002*AD1002</f>
        <v>0</v>
      </c>
      <c r="AQ1002" s="65" t="n">
        <f aca="false">IF(AND(G1002&lt;&gt;"",'Historical Score'!$C$6&lt;&gt;""),IF(G1002='Historical Score'!$C$6,1,0),0)</f>
        <v>0</v>
      </c>
      <c r="AR1002" s="65" t="n">
        <f aca="false">IF(AND(L1002&lt;&gt;"",'Historical Score'!$C$5&lt;&gt;""),IF(L1002='Historical Score'!$C$5,1,0),0)</f>
        <v>1</v>
      </c>
      <c r="AS1002" s="65" t="n">
        <f aca="false">IF(AND(Y1002&lt;&gt;"",'Historical Score'!$C$7&lt;&gt;""),IF(Y1002='Historical Score'!$C$7,1,0),0)</f>
        <v>0</v>
      </c>
      <c r="AT1002" s="65" t="n">
        <f aca="false">IF(AND(K1002&lt;&gt;"",'Historical Score'!$C$8&lt;&gt;""),IF(K1002='Historical Score'!$C$8,1,0),0)</f>
        <v>0</v>
      </c>
      <c r="AU1002" s="65" t="n">
        <f aca="false">IF(AND(J1002&lt;&gt;"",'Historical Score'!$C$9&lt;&gt;""),IF(J1002='Historical Score'!$C$9,1,0),0)</f>
        <v>0</v>
      </c>
      <c r="AV1002" s="65" t="n">
        <f aca="false">AR1002*AS1002*AQ1002</f>
        <v>0</v>
      </c>
      <c r="AW1002" s="65" t="n">
        <f aca="false">AR1002*AT1002*AQ1002</f>
        <v>0</v>
      </c>
      <c r="AX1002" s="65" t="n">
        <f aca="false">AR1002*AS1002</f>
        <v>0</v>
      </c>
      <c r="AY1002" s="65" t="n">
        <f aca="false">AR1002*AT1002</f>
        <v>0</v>
      </c>
      <c r="AZ1002" s="65" t="n">
        <f aca="false">AR1002*AQ1002</f>
        <v>0</v>
      </c>
      <c r="BA1002" s="65" t="n">
        <f aca="false">AR1002</f>
        <v>1</v>
      </c>
      <c r="BB1002" s="65" t="n">
        <f aca="false">1</f>
        <v>1</v>
      </c>
      <c r="BC1002" s="65" t="n">
        <f aca="false">IF(AV1002=1,1,IF(AW1002=1,2,IF(AX1002=1,3,IF(AY1002=1,4,IF(AZ1002=1,5,IF(BA1002=1,6,7))))))</f>
        <v>6</v>
      </c>
      <c r="BD1002" s="65" t="n">
        <f aca="false">IF(AD1002=1,CHOOSE('Historical Score'!$C$29,AV1002,AW1002,AX1002,AY1002,AZ1002,BA1002,BB1002),0)</f>
        <v>0</v>
      </c>
      <c r="BE1002" s="65" t="str">
        <f aca="false">IF(BD1002=1,COUNTIF($BD$2:BD1002,1),"")</f>
        <v/>
      </c>
    </row>
    <row r="1003" customFormat="false" ht="15" hidden="false" customHeight="false" outlineLevel="0" collapsed="false">
      <c r="A1003" s="65" t="s">
        <v>3006</v>
      </c>
      <c r="B1003" s="65" t="s">
        <v>3007</v>
      </c>
      <c r="C1003" s="65" t="s">
        <v>3008</v>
      </c>
      <c r="D1003" s="65" t="s">
        <v>533</v>
      </c>
      <c r="E1003" s="112" t="n">
        <v>46209</v>
      </c>
      <c r="F1003" s="112" t="n">
        <v>46241</v>
      </c>
      <c r="G1003" s="65" t="n">
        <v>3</v>
      </c>
      <c r="H1003" s="65" t="s">
        <v>409</v>
      </c>
      <c r="I1003" s="65" t="s">
        <v>342</v>
      </c>
      <c r="J1003" s="65" t="s">
        <v>432</v>
      </c>
      <c r="K1003" s="65" t="s">
        <v>3009</v>
      </c>
      <c r="L1003" s="65" t="s">
        <v>64</v>
      </c>
      <c r="M1003" s="113" t="n">
        <v>1.49</v>
      </c>
      <c r="N1003" s="114" t="n">
        <v>30000</v>
      </c>
      <c r="O1003" s="114" t="n">
        <v>0</v>
      </c>
      <c r="P1003" s="114" t="n">
        <v>44700</v>
      </c>
      <c r="Q1003" s="114" t="n">
        <v>6706.23</v>
      </c>
      <c r="R1003" s="114" t="n">
        <v>37993.77</v>
      </c>
      <c r="S1003" s="115" t="n">
        <v>0.150027516778524</v>
      </c>
      <c r="T1003" s="65" t="n">
        <v>20</v>
      </c>
      <c r="U1003" s="65" t="n">
        <v>2</v>
      </c>
      <c r="V1003" s="65" t="n">
        <v>100542.37</v>
      </c>
      <c r="W1003" s="115" t="n">
        <v>0.0982</v>
      </c>
      <c r="X1003" s="112" t="n">
        <v>43516</v>
      </c>
      <c r="Y1003" s="65" t="str">
        <f aca="false">IF(I1003="","No SIC",IFERROR(VLOOKUP(I1003,Ref!$A$2:$B$65,2,FALSE()),"Unclassified"))</f>
        <v>Eating &amp; Drinking Places</v>
      </c>
      <c r="Z1003" s="65" t="str">
        <f aca="false">IF(T1003="","",IF(T1003&lt;12,"Daily","Weekly"))</f>
        <v>Weekly</v>
      </c>
      <c r="AA1003" s="65" t="n">
        <f aca="false">IF(T1003="",0,IF(T1003&lt;12,T1003*Controls!$B$29,T1003*5))</f>
        <v>100</v>
      </c>
      <c r="AB1003" s="65" t="n">
        <f aca="false">IF(E1003="",0,NETWORKDAYS(E1003,Controls!$B$36,Ref!$K$2:$K$42))</f>
        <v>37</v>
      </c>
      <c r="AC1003" s="65" t="n">
        <f aca="false">IF(AND(AA1003&gt;0,AB1003&gt;=Controls!$B$39*AA1003),1,0)</f>
        <v>0</v>
      </c>
      <c r="AD1003" s="65" t="n">
        <f aca="false">IF(AND(E1003&lt;&gt;"",E1003&gt;=Controls!$B$37,E1003&lt;=Controls!$B$38),1,0)</f>
        <v>1</v>
      </c>
      <c r="AE1003" s="65" t="n">
        <f aca="false">IF(IFERROR(VLOOKUP(D1003,Controls!$A$64:$E$74,2,FALSE()),"No")="Yes",1,0)</f>
        <v>1</v>
      </c>
      <c r="AF1003" s="65" t="n">
        <f aca="false">IF(IFERROR(VLOOKUP(D1003,Controls!$A$64:$E$74,3,FALSE()),"No")="Yes",1,0)</f>
        <v>0</v>
      </c>
      <c r="AG1003" s="65" t="n">
        <f aca="false">IF(IFERROR(VLOOKUP(D1003,Controls!$A$64:$E$74,4,FALSE()),"No")="Yes",1,0)</f>
        <v>0</v>
      </c>
      <c r="AH1003" s="65" t="n">
        <f aca="false">IF(IFERROR(VLOOKUP(D1003,Controls!$A$64:$E$74,5,FALSE()),"No")="Yes",1,0)</f>
        <v>0</v>
      </c>
      <c r="AI1003" s="65" t="n">
        <f aca="false">IF(ISNUMBER(MATCH(D1003,Controls!$A$64:$A$74,0)),1,0)</f>
        <v>1</v>
      </c>
      <c r="AJ1003" s="65" t="n">
        <f aca="false">Q1003-N1003</f>
        <v>-23293.77</v>
      </c>
      <c r="AK1003" s="65" t="n">
        <f aca="false">IF(AE1003=1,MAX(0,N1003-Q1003),0)</f>
        <v>23293.77</v>
      </c>
      <c r="AL1003" s="65" t="n">
        <f aca="false">IF(OR(V1003="",V1003=0),0,N1003/V1003)</f>
        <v>0.29838166735079</v>
      </c>
      <c r="AM1003" s="65" t="n">
        <f aca="false">IF(OR(V1003="",V1003=0),0,1)</f>
        <v>1</v>
      </c>
      <c r="AN1003" s="65" t="n">
        <f aca="false">IF(OR(E1003="",F1003=""),0,NETWORKDAYS(E1003,F1003,Ref!$K$2:$K$42))</f>
        <v>25</v>
      </c>
      <c r="AO1003" s="65" t="n">
        <f aca="false">IF(L1003="Renewal",1,0)</f>
        <v>0</v>
      </c>
      <c r="AP1003" s="65" t="n">
        <f aca="false">AC1003*AD1003</f>
        <v>0</v>
      </c>
      <c r="AQ1003" s="65" t="n">
        <f aca="false">IF(AND(G1003&lt;&gt;"",'Historical Score'!$C$6&lt;&gt;""),IF(G1003='Historical Score'!$C$6,1,0),0)</f>
        <v>0</v>
      </c>
      <c r="AR1003" s="65" t="n">
        <f aca="false">IF(AND(L1003&lt;&gt;"",'Historical Score'!$C$5&lt;&gt;""),IF(L1003='Historical Score'!$C$5,1,0),0)</f>
        <v>1</v>
      </c>
      <c r="AS1003" s="65" t="n">
        <f aca="false">IF(AND(Y1003&lt;&gt;"",'Historical Score'!$C$7&lt;&gt;""),IF(Y1003='Historical Score'!$C$7,1,0),0)</f>
        <v>0</v>
      </c>
      <c r="AT1003" s="65" t="n">
        <f aca="false">IF(AND(K1003&lt;&gt;"",'Historical Score'!$C$8&lt;&gt;""),IF(K1003='Historical Score'!$C$8,1,0),0)</f>
        <v>0</v>
      </c>
      <c r="AU1003" s="65" t="n">
        <f aca="false">IF(AND(J1003&lt;&gt;"",'Historical Score'!$C$9&lt;&gt;""),IF(J1003='Historical Score'!$C$9,1,0),0)</f>
        <v>0</v>
      </c>
      <c r="AV1003" s="65" t="n">
        <f aca="false">AR1003*AS1003*AQ1003</f>
        <v>0</v>
      </c>
      <c r="AW1003" s="65" t="n">
        <f aca="false">AR1003*AT1003*AQ1003</f>
        <v>0</v>
      </c>
      <c r="AX1003" s="65" t="n">
        <f aca="false">AR1003*AS1003</f>
        <v>0</v>
      </c>
      <c r="AY1003" s="65" t="n">
        <f aca="false">AR1003*AT1003</f>
        <v>0</v>
      </c>
      <c r="AZ1003" s="65" t="n">
        <f aca="false">AR1003*AQ1003</f>
        <v>0</v>
      </c>
      <c r="BA1003" s="65" t="n">
        <f aca="false">AR1003</f>
        <v>1</v>
      </c>
      <c r="BB1003" s="65" t="n">
        <f aca="false">1</f>
        <v>1</v>
      </c>
      <c r="BC1003" s="65" t="n">
        <f aca="false">IF(AV1003=1,1,IF(AW1003=1,2,IF(AX1003=1,3,IF(AY1003=1,4,IF(AZ1003=1,5,IF(BA1003=1,6,7))))))</f>
        <v>6</v>
      </c>
      <c r="BD1003" s="65" t="n">
        <f aca="false">IF(AD1003=1,CHOOSE('Historical Score'!$C$29,AV1003,AW1003,AX1003,AY1003,AZ1003,BA1003,BB1003),0)</f>
        <v>0</v>
      </c>
      <c r="BE1003" s="65" t="str">
        <f aca="false">IF(BD1003=1,COUNTIF($BD$2:BD1003,1),"")</f>
        <v/>
      </c>
    </row>
    <row r="1004" customFormat="false" ht="15" hidden="false" customHeight="false" outlineLevel="0" collapsed="false">
      <c r="A1004" s="65" t="s">
        <v>3010</v>
      </c>
      <c r="B1004" s="65" t="s">
        <v>3011</v>
      </c>
      <c r="C1004" s="65" t="s">
        <v>3012</v>
      </c>
      <c r="D1004" s="65" t="s">
        <v>295</v>
      </c>
      <c r="E1004" s="112" t="n">
        <v>46209</v>
      </c>
      <c r="F1004" s="112" t="n">
        <v>46253</v>
      </c>
      <c r="G1004" s="65" t="n">
        <v>3</v>
      </c>
      <c r="H1004" s="65" t="s">
        <v>409</v>
      </c>
      <c r="I1004" s="65" t="s">
        <v>342</v>
      </c>
      <c r="J1004" s="65" t="s">
        <v>510</v>
      </c>
      <c r="K1004" s="65" t="s">
        <v>1820</v>
      </c>
      <c r="L1004" s="65" t="s">
        <v>64</v>
      </c>
      <c r="M1004" s="113" t="n">
        <v>1.49</v>
      </c>
      <c r="N1004" s="114" t="n">
        <v>8000</v>
      </c>
      <c r="O1004" s="114" t="n">
        <v>1120</v>
      </c>
      <c r="P1004" s="114" t="n">
        <v>11920</v>
      </c>
      <c r="Q1004" s="114" t="n">
        <v>4925.59</v>
      </c>
      <c r="R1004" s="114" t="n">
        <v>6994.41</v>
      </c>
      <c r="S1004" s="115" t="n">
        <v>0.413220637583893</v>
      </c>
      <c r="T1004" s="65" t="n">
        <v>2.459</v>
      </c>
      <c r="U1004" s="65" t="n">
        <v>1</v>
      </c>
      <c r="V1004" s="65" t="n">
        <v>31597.8</v>
      </c>
      <c r="W1004" s="115" t="n">
        <v>0.1056</v>
      </c>
      <c r="X1004" s="112" t="n">
        <v>42962</v>
      </c>
      <c r="Y1004" s="65" t="str">
        <f aca="false">IF(I1004="","No SIC",IFERROR(VLOOKUP(I1004,Ref!$A$2:$B$65,2,FALSE()),"Unclassified"))</f>
        <v>Eating &amp; Drinking Places</v>
      </c>
      <c r="Z1004" s="65" t="str">
        <f aca="false">IF(T1004="","",IF(T1004&lt;12,"Daily","Weekly"))</f>
        <v>Daily</v>
      </c>
      <c r="AA1004" s="65" t="n">
        <f aca="false">IF(T1004="",0,IF(T1004&lt;12,T1004*Controls!$B$29,T1004*5))</f>
        <v>53.249645</v>
      </c>
      <c r="AB1004" s="65" t="n">
        <f aca="false">IF(E1004="",0,NETWORKDAYS(E1004,Controls!$B$36,Ref!$K$2:$K$42))</f>
        <v>37</v>
      </c>
      <c r="AC1004" s="65" t="n">
        <f aca="false">IF(AND(AA1004&gt;0,AB1004&gt;=Controls!$B$39*AA1004),1,0)</f>
        <v>0</v>
      </c>
      <c r="AD1004" s="65" t="n">
        <f aca="false">IF(AND(E1004&lt;&gt;"",E1004&gt;=Controls!$B$37,E1004&lt;=Controls!$B$38),1,0)</f>
        <v>1</v>
      </c>
      <c r="AE1004" s="65" t="n">
        <f aca="false">IF(IFERROR(VLOOKUP(D1004,Controls!$A$64:$E$74,2,FALSE()),"No")="Yes",1,0)</f>
        <v>0</v>
      </c>
      <c r="AF1004" s="65" t="n">
        <f aca="false">IF(IFERROR(VLOOKUP(D1004,Controls!$A$64:$E$74,3,FALSE()),"No")="Yes",1,0)</f>
        <v>0</v>
      </c>
      <c r="AG1004" s="65" t="n">
        <f aca="false">IF(IFERROR(VLOOKUP(D1004,Controls!$A$64:$E$74,4,FALSE()),"No")="Yes",1,0)</f>
        <v>0</v>
      </c>
      <c r="AH1004" s="65" t="n">
        <f aca="false">IF(IFERROR(VLOOKUP(D1004,Controls!$A$64:$E$74,5,FALSE()),"No")="Yes",1,0)</f>
        <v>1</v>
      </c>
      <c r="AI1004" s="65" t="n">
        <f aca="false">IF(ISNUMBER(MATCH(D1004,Controls!$A$64:$A$74,0)),1,0)</f>
        <v>1</v>
      </c>
      <c r="AJ1004" s="65" t="n">
        <f aca="false">Q1004-N1004</f>
        <v>-3074.41</v>
      </c>
      <c r="AK1004" s="65" t="n">
        <f aca="false">IF(AE1004=1,MAX(0,N1004-Q1004),0)</f>
        <v>0</v>
      </c>
      <c r="AL1004" s="65" t="n">
        <f aca="false">IF(OR(V1004="",V1004=0),0,N1004/V1004)</f>
        <v>0.253182183569742</v>
      </c>
      <c r="AM1004" s="65" t="n">
        <f aca="false">IF(OR(V1004="",V1004=0),0,1)</f>
        <v>1</v>
      </c>
      <c r="AN1004" s="65" t="n">
        <f aca="false">IF(OR(E1004="",F1004=""),0,NETWORKDAYS(E1004,F1004,Ref!$K$2:$K$42))</f>
        <v>33</v>
      </c>
      <c r="AO1004" s="65" t="n">
        <f aca="false">IF(L1004="Renewal",1,0)</f>
        <v>0</v>
      </c>
      <c r="AP1004" s="65" t="n">
        <f aca="false">AC1004*AD1004</f>
        <v>0</v>
      </c>
      <c r="AQ1004" s="65" t="n">
        <f aca="false">IF(AND(G1004&lt;&gt;"",'Historical Score'!$C$6&lt;&gt;""),IF(G1004='Historical Score'!$C$6,1,0),0)</f>
        <v>0</v>
      </c>
      <c r="AR1004" s="65" t="n">
        <f aca="false">IF(AND(L1004&lt;&gt;"",'Historical Score'!$C$5&lt;&gt;""),IF(L1004='Historical Score'!$C$5,1,0),0)</f>
        <v>1</v>
      </c>
      <c r="AS1004" s="65" t="n">
        <f aca="false">IF(AND(Y1004&lt;&gt;"",'Historical Score'!$C$7&lt;&gt;""),IF(Y1004='Historical Score'!$C$7,1,0),0)</f>
        <v>0</v>
      </c>
      <c r="AT1004" s="65" t="n">
        <f aca="false">IF(AND(K1004&lt;&gt;"",'Historical Score'!$C$8&lt;&gt;""),IF(K1004='Historical Score'!$C$8,1,0),0)</f>
        <v>0</v>
      </c>
      <c r="AU1004" s="65" t="n">
        <f aca="false">IF(AND(J1004&lt;&gt;"",'Historical Score'!$C$9&lt;&gt;""),IF(J1004='Historical Score'!$C$9,1,0),0)</f>
        <v>0</v>
      </c>
      <c r="AV1004" s="65" t="n">
        <f aca="false">AR1004*AS1004*AQ1004</f>
        <v>0</v>
      </c>
      <c r="AW1004" s="65" t="n">
        <f aca="false">AR1004*AT1004*AQ1004</f>
        <v>0</v>
      </c>
      <c r="AX1004" s="65" t="n">
        <f aca="false">AR1004*AS1004</f>
        <v>0</v>
      </c>
      <c r="AY1004" s="65" t="n">
        <f aca="false">AR1004*AT1004</f>
        <v>0</v>
      </c>
      <c r="AZ1004" s="65" t="n">
        <f aca="false">AR1004*AQ1004</f>
        <v>0</v>
      </c>
      <c r="BA1004" s="65" t="n">
        <f aca="false">AR1004</f>
        <v>1</v>
      </c>
      <c r="BB1004" s="65" t="n">
        <f aca="false">1</f>
        <v>1</v>
      </c>
      <c r="BC1004" s="65" t="n">
        <f aca="false">IF(AV1004=1,1,IF(AW1004=1,2,IF(AX1004=1,3,IF(AY1004=1,4,IF(AZ1004=1,5,IF(BA1004=1,6,7))))))</f>
        <v>6</v>
      </c>
      <c r="BD1004" s="65" t="n">
        <f aca="false">IF(AD1004=1,CHOOSE('Historical Score'!$C$29,AV1004,AW1004,AX1004,AY1004,AZ1004,BA1004,BB1004),0)</f>
        <v>0</v>
      </c>
      <c r="BE1004" s="65" t="str">
        <f aca="false">IF(BD1004=1,COUNTIF($BD$2:BD1004,1),"")</f>
        <v/>
      </c>
    </row>
    <row r="1005" customFormat="false" ht="15" hidden="false" customHeight="false" outlineLevel="0" collapsed="false">
      <c r="A1005" s="65" t="s">
        <v>3013</v>
      </c>
      <c r="B1005" s="65" t="s">
        <v>3014</v>
      </c>
      <c r="C1005" s="65" t="s">
        <v>3014</v>
      </c>
      <c r="D1005" s="65" t="s">
        <v>295</v>
      </c>
      <c r="E1005" s="112" t="n">
        <v>46210</v>
      </c>
      <c r="F1005" s="112" t="n">
        <v>46253</v>
      </c>
      <c r="G1005" s="65" t="n">
        <v>3</v>
      </c>
      <c r="H1005" s="65" t="s">
        <v>479</v>
      </c>
      <c r="I1005" s="65" t="s">
        <v>356</v>
      </c>
      <c r="J1005" s="65" t="s">
        <v>905</v>
      </c>
      <c r="K1005" s="65" t="s">
        <v>581</v>
      </c>
      <c r="L1005" s="65" t="s">
        <v>64</v>
      </c>
      <c r="M1005" s="113" t="n">
        <v>1.49</v>
      </c>
      <c r="N1005" s="114" t="n">
        <v>5000</v>
      </c>
      <c r="O1005" s="114" t="n">
        <v>700</v>
      </c>
      <c r="P1005" s="114" t="n">
        <v>7450</v>
      </c>
      <c r="Q1005" s="114" t="n">
        <v>1989.12</v>
      </c>
      <c r="R1005" s="114" t="n">
        <v>5460.88</v>
      </c>
      <c r="S1005" s="115" t="n">
        <v>0.266995973154362</v>
      </c>
      <c r="T1005" s="65" t="n">
        <v>3.934</v>
      </c>
      <c r="U1005" s="65" t="n">
        <v>0</v>
      </c>
      <c r="V1005" s="65" t="n">
        <v>64622.8</v>
      </c>
      <c r="W1005" s="115" t="n">
        <v>0.0202</v>
      </c>
      <c r="X1005" s="112" t="n">
        <v>39262</v>
      </c>
      <c r="Y1005" s="65" t="str">
        <f aca="false">IF(I1005="","No SIC",IFERROR(VLOOKUP(I1005,Ref!$A$2:$B$65,2,FALSE()),"Unclassified"))</f>
        <v>Trucking &amp; Warehousing</v>
      </c>
      <c r="Z1005" s="65" t="str">
        <f aca="false">IF(T1005="","",IF(T1005&lt;12,"Daily","Weekly"))</f>
        <v>Daily</v>
      </c>
      <c r="AA1005" s="65" t="n">
        <f aca="false">IF(T1005="",0,IF(T1005&lt;12,T1005*Controls!$B$29,T1005*5))</f>
        <v>85.19077</v>
      </c>
      <c r="AB1005" s="65" t="n">
        <f aca="false">IF(E1005="",0,NETWORKDAYS(E1005,Controls!$B$36,Ref!$K$2:$K$42))</f>
        <v>36</v>
      </c>
      <c r="AC1005" s="65" t="n">
        <f aca="false">IF(AND(AA1005&gt;0,AB1005&gt;=Controls!$B$39*AA1005),1,0)</f>
        <v>0</v>
      </c>
      <c r="AD1005" s="65" t="n">
        <f aca="false">IF(AND(E1005&lt;&gt;"",E1005&gt;=Controls!$B$37,E1005&lt;=Controls!$B$38),1,0)</f>
        <v>1</v>
      </c>
      <c r="AE1005" s="65" t="n">
        <f aca="false">IF(IFERROR(VLOOKUP(D1005,Controls!$A$64:$E$74,2,FALSE()),"No")="Yes",1,0)</f>
        <v>0</v>
      </c>
      <c r="AF1005" s="65" t="n">
        <f aca="false">IF(IFERROR(VLOOKUP(D1005,Controls!$A$64:$E$74,3,FALSE()),"No")="Yes",1,0)</f>
        <v>0</v>
      </c>
      <c r="AG1005" s="65" t="n">
        <f aca="false">IF(IFERROR(VLOOKUP(D1005,Controls!$A$64:$E$74,4,FALSE()),"No")="Yes",1,0)</f>
        <v>0</v>
      </c>
      <c r="AH1005" s="65" t="n">
        <f aca="false">IF(IFERROR(VLOOKUP(D1005,Controls!$A$64:$E$74,5,FALSE()),"No")="Yes",1,0)</f>
        <v>1</v>
      </c>
      <c r="AI1005" s="65" t="n">
        <f aca="false">IF(ISNUMBER(MATCH(D1005,Controls!$A$64:$A$74,0)),1,0)</f>
        <v>1</v>
      </c>
      <c r="AJ1005" s="65" t="n">
        <f aca="false">Q1005-N1005</f>
        <v>-3010.88</v>
      </c>
      <c r="AK1005" s="65" t="n">
        <f aca="false">IF(AE1005=1,MAX(0,N1005-Q1005),0)</f>
        <v>0</v>
      </c>
      <c r="AL1005" s="65" t="n">
        <f aca="false">IF(OR(V1005="",V1005=0),0,N1005/V1005)</f>
        <v>0.0773720730144779</v>
      </c>
      <c r="AM1005" s="65" t="n">
        <f aca="false">IF(OR(V1005="",V1005=0),0,1)</f>
        <v>1</v>
      </c>
      <c r="AN1005" s="65" t="n">
        <f aca="false">IF(OR(E1005="",F1005=""),0,NETWORKDAYS(E1005,F1005,Ref!$K$2:$K$42))</f>
        <v>32</v>
      </c>
      <c r="AO1005" s="65" t="n">
        <f aca="false">IF(L1005="Renewal",1,0)</f>
        <v>0</v>
      </c>
      <c r="AP1005" s="65" t="n">
        <f aca="false">AC1005*AD1005</f>
        <v>0</v>
      </c>
      <c r="AQ1005" s="65" t="n">
        <f aca="false">IF(AND(G1005&lt;&gt;"",'Historical Score'!$C$6&lt;&gt;""),IF(G1005='Historical Score'!$C$6,1,0),0)</f>
        <v>0</v>
      </c>
      <c r="AR1005" s="65" t="n">
        <f aca="false">IF(AND(L1005&lt;&gt;"",'Historical Score'!$C$5&lt;&gt;""),IF(L1005='Historical Score'!$C$5,1,0),0)</f>
        <v>1</v>
      </c>
      <c r="AS1005" s="65" t="n">
        <f aca="false">IF(AND(Y1005&lt;&gt;"",'Historical Score'!$C$7&lt;&gt;""),IF(Y1005='Historical Score'!$C$7,1,0),0)</f>
        <v>0</v>
      </c>
      <c r="AT1005" s="65" t="n">
        <f aca="false">IF(AND(K1005&lt;&gt;"",'Historical Score'!$C$8&lt;&gt;""),IF(K1005='Historical Score'!$C$8,1,0),0)</f>
        <v>0</v>
      </c>
      <c r="AU1005" s="65" t="n">
        <f aca="false">IF(AND(J1005&lt;&gt;"",'Historical Score'!$C$9&lt;&gt;""),IF(J1005='Historical Score'!$C$9,1,0),0)</f>
        <v>0</v>
      </c>
      <c r="AV1005" s="65" t="n">
        <f aca="false">AR1005*AS1005*AQ1005</f>
        <v>0</v>
      </c>
      <c r="AW1005" s="65" t="n">
        <f aca="false">AR1005*AT1005*AQ1005</f>
        <v>0</v>
      </c>
      <c r="AX1005" s="65" t="n">
        <f aca="false">AR1005*AS1005</f>
        <v>0</v>
      </c>
      <c r="AY1005" s="65" t="n">
        <f aca="false">AR1005*AT1005</f>
        <v>0</v>
      </c>
      <c r="AZ1005" s="65" t="n">
        <f aca="false">AR1005*AQ1005</f>
        <v>0</v>
      </c>
      <c r="BA1005" s="65" t="n">
        <f aca="false">AR1005</f>
        <v>1</v>
      </c>
      <c r="BB1005" s="65" t="n">
        <f aca="false">1</f>
        <v>1</v>
      </c>
      <c r="BC1005" s="65" t="n">
        <f aca="false">IF(AV1005=1,1,IF(AW1005=1,2,IF(AX1005=1,3,IF(AY1005=1,4,IF(AZ1005=1,5,IF(BA1005=1,6,7))))))</f>
        <v>6</v>
      </c>
      <c r="BD1005" s="65" t="n">
        <f aca="false">IF(AD1005=1,CHOOSE('Historical Score'!$C$29,AV1005,AW1005,AX1005,AY1005,AZ1005,BA1005,BB1005),0)</f>
        <v>0</v>
      </c>
      <c r="BE1005" s="65" t="str">
        <f aca="false">IF(BD1005=1,COUNTIF($BD$2:BD1005,1),"")</f>
        <v/>
      </c>
    </row>
    <row r="1006" customFormat="false" ht="15" hidden="false" customHeight="false" outlineLevel="0" collapsed="false">
      <c r="A1006" s="65" t="s">
        <v>3015</v>
      </c>
      <c r="B1006" s="65" t="s">
        <v>3016</v>
      </c>
      <c r="C1006" s="65" t="s">
        <v>3017</v>
      </c>
      <c r="D1006" s="65" t="s">
        <v>295</v>
      </c>
      <c r="E1006" s="112" t="n">
        <v>46210</v>
      </c>
      <c r="F1006" s="112" t="n">
        <v>46253</v>
      </c>
      <c r="G1006" s="65" t="n">
        <v>3</v>
      </c>
      <c r="H1006" s="65" t="s">
        <v>3018</v>
      </c>
      <c r="I1006" s="65" t="s">
        <v>564</v>
      </c>
      <c r="J1006" s="65" t="s">
        <v>432</v>
      </c>
      <c r="K1006" s="65" t="s">
        <v>3019</v>
      </c>
      <c r="L1006" s="65" t="s">
        <v>64</v>
      </c>
      <c r="M1006" s="113" t="n">
        <v>1.49</v>
      </c>
      <c r="N1006" s="114" t="n">
        <v>100000</v>
      </c>
      <c r="O1006" s="114" t="n">
        <v>14000</v>
      </c>
      <c r="P1006" s="114" t="n">
        <v>149000</v>
      </c>
      <c r="Q1006" s="114" t="n">
        <v>25545.42</v>
      </c>
      <c r="R1006" s="114" t="n">
        <v>123454.58</v>
      </c>
      <c r="S1006" s="115" t="n">
        <v>0.171445771812081</v>
      </c>
      <c r="T1006" s="65" t="n">
        <v>35</v>
      </c>
      <c r="U1006" s="65" t="n">
        <v>0</v>
      </c>
      <c r="V1006" s="65" t="n">
        <v>290619.15</v>
      </c>
      <c r="W1006" s="115" t="n">
        <v>0.0586</v>
      </c>
      <c r="X1006" s="112" t="n">
        <v>37347</v>
      </c>
      <c r="Y1006" s="65" t="str">
        <f aca="false">IF(I1006="","No SIC",IFERROR(VLOOKUP(I1006,Ref!$A$2:$B$65,2,FALSE()),"Unclassified"))</f>
        <v>Transportation Equipment</v>
      </c>
      <c r="Z1006" s="65" t="str">
        <f aca="false">IF(T1006="","",IF(T1006&lt;12,"Daily","Weekly"))</f>
        <v>Weekly</v>
      </c>
      <c r="AA1006" s="65" t="n">
        <f aca="false">IF(T1006="",0,IF(T1006&lt;12,T1006*Controls!$B$29,T1006*5))</f>
        <v>175</v>
      </c>
      <c r="AB1006" s="65" t="n">
        <f aca="false">IF(E1006="",0,NETWORKDAYS(E1006,Controls!$B$36,Ref!$K$2:$K$42))</f>
        <v>36</v>
      </c>
      <c r="AC1006" s="65" t="n">
        <f aca="false">IF(AND(AA1006&gt;0,AB1006&gt;=Controls!$B$39*AA1006),1,0)</f>
        <v>0</v>
      </c>
      <c r="AD1006" s="65" t="n">
        <f aca="false">IF(AND(E1006&lt;&gt;"",E1006&gt;=Controls!$B$37,E1006&lt;=Controls!$B$38),1,0)</f>
        <v>1</v>
      </c>
      <c r="AE1006" s="65" t="n">
        <f aca="false">IF(IFERROR(VLOOKUP(D1006,Controls!$A$64:$E$74,2,FALSE()),"No")="Yes",1,0)</f>
        <v>0</v>
      </c>
      <c r="AF1006" s="65" t="n">
        <f aca="false">IF(IFERROR(VLOOKUP(D1006,Controls!$A$64:$E$74,3,FALSE()),"No")="Yes",1,0)</f>
        <v>0</v>
      </c>
      <c r="AG1006" s="65" t="n">
        <f aca="false">IF(IFERROR(VLOOKUP(D1006,Controls!$A$64:$E$74,4,FALSE()),"No")="Yes",1,0)</f>
        <v>0</v>
      </c>
      <c r="AH1006" s="65" t="n">
        <f aca="false">IF(IFERROR(VLOOKUP(D1006,Controls!$A$64:$E$74,5,FALSE()),"No")="Yes",1,0)</f>
        <v>1</v>
      </c>
      <c r="AI1006" s="65" t="n">
        <f aca="false">IF(ISNUMBER(MATCH(D1006,Controls!$A$64:$A$74,0)),1,0)</f>
        <v>1</v>
      </c>
      <c r="AJ1006" s="65" t="n">
        <f aca="false">Q1006-N1006</f>
        <v>-74454.58</v>
      </c>
      <c r="AK1006" s="65" t="n">
        <f aca="false">IF(AE1006=1,MAX(0,N1006-Q1006),0)</f>
        <v>0</v>
      </c>
      <c r="AL1006" s="65" t="n">
        <f aca="false">IF(OR(V1006="",V1006=0),0,N1006/V1006)</f>
        <v>0.344092947763422</v>
      </c>
      <c r="AM1006" s="65" t="n">
        <f aca="false">IF(OR(V1006="",V1006=0),0,1)</f>
        <v>1</v>
      </c>
      <c r="AN1006" s="65" t="n">
        <f aca="false">IF(OR(E1006="",F1006=""),0,NETWORKDAYS(E1006,F1006,Ref!$K$2:$K$42))</f>
        <v>32</v>
      </c>
      <c r="AO1006" s="65" t="n">
        <f aca="false">IF(L1006="Renewal",1,0)</f>
        <v>0</v>
      </c>
      <c r="AP1006" s="65" t="n">
        <f aca="false">AC1006*AD1006</f>
        <v>0</v>
      </c>
      <c r="AQ1006" s="65" t="n">
        <f aca="false">IF(AND(G1006&lt;&gt;"",'Historical Score'!$C$6&lt;&gt;""),IF(G1006='Historical Score'!$C$6,1,0),0)</f>
        <v>0</v>
      </c>
      <c r="AR1006" s="65" t="n">
        <f aca="false">IF(AND(L1006&lt;&gt;"",'Historical Score'!$C$5&lt;&gt;""),IF(L1006='Historical Score'!$C$5,1,0),0)</f>
        <v>1</v>
      </c>
      <c r="AS1006" s="65" t="n">
        <f aca="false">IF(AND(Y1006&lt;&gt;"",'Historical Score'!$C$7&lt;&gt;""),IF(Y1006='Historical Score'!$C$7,1,0),0)</f>
        <v>0</v>
      </c>
      <c r="AT1006" s="65" t="n">
        <f aca="false">IF(AND(K1006&lt;&gt;"",'Historical Score'!$C$8&lt;&gt;""),IF(K1006='Historical Score'!$C$8,1,0),0)</f>
        <v>0</v>
      </c>
      <c r="AU1006" s="65" t="n">
        <f aca="false">IF(AND(J1006&lt;&gt;"",'Historical Score'!$C$9&lt;&gt;""),IF(J1006='Historical Score'!$C$9,1,0),0)</f>
        <v>0</v>
      </c>
      <c r="AV1006" s="65" t="n">
        <f aca="false">AR1006*AS1006*AQ1006</f>
        <v>0</v>
      </c>
      <c r="AW1006" s="65" t="n">
        <f aca="false">AR1006*AT1006*AQ1006</f>
        <v>0</v>
      </c>
      <c r="AX1006" s="65" t="n">
        <f aca="false">AR1006*AS1006</f>
        <v>0</v>
      </c>
      <c r="AY1006" s="65" t="n">
        <f aca="false">AR1006*AT1006</f>
        <v>0</v>
      </c>
      <c r="AZ1006" s="65" t="n">
        <f aca="false">AR1006*AQ1006</f>
        <v>0</v>
      </c>
      <c r="BA1006" s="65" t="n">
        <f aca="false">AR1006</f>
        <v>1</v>
      </c>
      <c r="BB1006" s="65" t="n">
        <f aca="false">1</f>
        <v>1</v>
      </c>
      <c r="BC1006" s="65" t="n">
        <f aca="false">IF(AV1006=1,1,IF(AW1006=1,2,IF(AX1006=1,3,IF(AY1006=1,4,IF(AZ1006=1,5,IF(BA1006=1,6,7))))))</f>
        <v>6</v>
      </c>
      <c r="BD1006" s="65" t="n">
        <f aca="false">IF(AD1006=1,CHOOSE('Historical Score'!$C$29,AV1006,AW1006,AX1006,AY1006,AZ1006,BA1006,BB1006),0)</f>
        <v>0</v>
      </c>
      <c r="BE1006" s="65" t="str">
        <f aca="false">IF(BD1006=1,COUNTIF($BD$2:BD1006,1),"")</f>
        <v/>
      </c>
    </row>
    <row r="1007" customFormat="false" ht="15" hidden="false" customHeight="false" outlineLevel="0" collapsed="false">
      <c r="A1007" s="65" t="s">
        <v>3020</v>
      </c>
      <c r="B1007" s="65" t="s">
        <v>3021</v>
      </c>
      <c r="C1007" s="65" t="s">
        <v>3021</v>
      </c>
      <c r="D1007" s="65" t="s">
        <v>295</v>
      </c>
      <c r="E1007" s="112" t="n">
        <v>46210</v>
      </c>
      <c r="F1007" s="112" t="n">
        <v>46253</v>
      </c>
      <c r="G1007" s="65" t="n">
        <v>3</v>
      </c>
      <c r="H1007" s="65" t="s">
        <v>3022</v>
      </c>
      <c r="I1007" s="65" t="s">
        <v>1199</v>
      </c>
      <c r="J1007" s="65" t="s">
        <v>61</v>
      </c>
      <c r="K1007" s="65" t="s">
        <v>961</v>
      </c>
      <c r="L1007" s="65" t="s">
        <v>64</v>
      </c>
      <c r="M1007" s="113" t="n">
        <v>1.49</v>
      </c>
      <c r="N1007" s="114" t="n">
        <v>8000</v>
      </c>
      <c r="O1007" s="114" t="n">
        <v>1120</v>
      </c>
      <c r="P1007" s="114" t="n">
        <v>11920</v>
      </c>
      <c r="Q1007" s="114" t="n">
        <v>3632</v>
      </c>
      <c r="R1007" s="114" t="n">
        <v>8288</v>
      </c>
      <c r="S1007" s="115" t="n">
        <v>0.304697986577181</v>
      </c>
      <c r="T1007" s="65" t="n">
        <v>3.443</v>
      </c>
      <c r="U1007" s="65" t="n">
        <v>0</v>
      </c>
      <c r="V1007" s="65" t="n">
        <v>20000</v>
      </c>
      <c r="W1007" s="115" t="n">
        <v>0.1135</v>
      </c>
      <c r="X1007" s="112" t="n">
        <v>45323</v>
      </c>
      <c r="Y1007" s="65" t="str">
        <f aca="false">IF(I1007="","No SIC",IFERROR(VLOOKUP(I1007,Ref!$A$2:$B$65,2,FALSE()),"Unclassified"))</f>
        <v>Lumber &amp; Wood Products</v>
      </c>
      <c r="Z1007" s="65" t="str">
        <f aca="false">IF(T1007="","",IF(T1007&lt;12,"Daily","Weekly"))</f>
        <v>Daily</v>
      </c>
      <c r="AA1007" s="65" t="n">
        <f aca="false">IF(T1007="",0,IF(T1007&lt;12,T1007*Controls!$B$29,T1007*5))</f>
        <v>74.558165</v>
      </c>
      <c r="AB1007" s="65" t="n">
        <f aca="false">IF(E1007="",0,NETWORKDAYS(E1007,Controls!$B$36,Ref!$K$2:$K$42))</f>
        <v>36</v>
      </c>
      <c r="AC1007" s="65" t="n">
        <f aca="false">IF(AND(AA1007&gt;0,AB1007&gt;=Controls!$B$39*AA1007),1,0)</f>
        <v>0</v>
      </c>
      <c r="AD1007" s="65" t="n">
        <f aca="false">IF(AND(E1007&lt;&gt;"",E1007&gt;=Controls!$B$37,E1007&lt;=Controls!$B$38),1,0)</f>
        <v>1</v>
      </c>
      <c r="AE1007" s="65" t="n">
        <f aca="false">IF(IFERROR(VLOOKUP(D1007,Controls!$A$64:$E$74,2,FALSE()),"No")="Yes",1,0)</f>
        <v>0</v>
      </c>
      <c r="AF1007" s="65" t="n">
        <f aca="false">IF(IFERROR(VLOOKUP(D1007,Controls!$A$64:$E$74,3,FALSE()),"No")="Yes",1,0)</f>
        <v>0</v>
      </c>
      <c r="AG1007" s="65" t="n">
        <f aca="false">IF(IFERROR(VLOOKUP(D1007,Controls!$A$64:$E$74,4,FALSE()),"No")="Yes",1,0)</f>
        <v>0</v>
      </c>
      <c r="AH1007" s="65" t="n">
        <f aca="false">IF(IFERROR(VLOOKUP(D1007,Controls!$A$64:$E$74,5,FALSE()),"No")="Yes",1,0)</f>
        <v>1</v>
      </c>
      <c r="AI1007" s="65" t="n">
        <f aca="false">IF(ISNUMBER(MATCH(D1007,Controls!$A$64:$A$74,0)),1,0)</f>
        <v>1</v>
      </c>
      <c r="AJ1007" s="65" t="n">
        <f aca="false">Q1007-N1007</f>
        <v>-4368</v>
      </c>
      <c r="AK1007" s="65" t="n">
        <f aca="false">IF(AE1007=1,MAX(0,N1007-Q1007),0)</f>
        <v>0</v>
      </c>
      <c r="AL1007" s="65" t="n">
        <f aca="false">IF(OR(V1007="",V1007=0),0,N1007/V1007)</f>
        <v>0.4</v>
      </c>
      <c r="AM1007" s="65" t="n">
        <f aca="false">IF(OR(V1007="",V1007=0),0,1)</f>
        <v>1</v>
      </c>
      <c r="AN1007" s="65" t="n">
        <f aca="false">IF(OR(E1007="",F1007=""),0,NETWORKDAYS(E1007,F1007,Ref!$K$2:$K$42))</f>
        <v>32</v>
      </c>
      <c r="AO1007" s="65" t="n">
        <f aca="false">IF(L1007="Renewal",1,0)</f>
        <v>0</v>
      </c>
      <c r="AP1007" s="65" t="n">
        <f aca="false">AC1007*AD1007</f>
        <v>0</v>
      </c>
      <c r="AQ1007" s="65" t="n">
        <f aca="false">IF(AND(G1007&lt;&gt;"",'Historical Score'!$C$6&lt;&gt;""),IF(G1007='Historical Score'!$C$6,1,0),0)</f>
        <v>0</v>
      </c>
      <c r="AR1007" s="65" t="n">
        <f aca="false">IF(AND(L1007&lt;&gt;"",'Historical Score'!$C$5&lt;&gt;""),IF(L1007='Historical Score'!$C$5,1,0),0)</f>
        <v>1</v>
      </c>
      <c r="AS1007" s="65" t="n">
        <f aca="false">IF(AND(Y1007&lt;&gt;"",'Historical Score'!$C$7&lt;&gt;""),IF(Y1007='Historical Score'!$C$7,1,0),0)</f>
        <v>0</v>
      </c>
      <c r="AT1007" s="65" t="n">
        <f aca="false">IF(AND(K1007&lt;&gt;"",'Historical Score'!$C$8&lt;&gt;""),IF(K1007='Historical Score'!$C$8,1,0),0)</f>
        <v>0</v>
      </c>
      <c r="AU1007" s="65" t="n">
        <f aca="false">IF(AND(J1007&lt;&gt;"",'Historical Score'!$C$9&lt;&gt;""),IF(J1007='Historical Score'!$C$9,1,0),0)</f>
        <v>1</v>
      </c>
      <c r="AV1007" s="65" t="n">
        <f aca="false">AR1007*AS1007*AQ1007</f>
        <v>0</v>
      </c>
      <c r="AW1007" s="65" t="n">
        <f aca="false">AR1007*AT1007*AQ1007</f>
        <v>0</v>
      </c>
      <c r="AX1007" s="65" t="n">
        <f aca="false">AR1007*AS1007</f>
        <v>0</v>
      </c>
      <c r="AY1007" s="65" t="n">
        <f aca="false">AR1007*AT1007</f>
        <v>0</v>
      </c>
      <c r="AZ1007" s="65" t="n">
        <f aca="false">AR1007*AQ1007</f>
        <v>0</v>
      </c>
      <c r="BA1007" s="65" t="n">
        <f aca="false">AR1007</f>
        <v>1</v>
      </c>
      <c r="BB1007" s="65" t="n">
        <f aca="false">1</f>
        <v>1</v>
      </c>
      <c r="BC1007" s="65" t="n">
        <f aca="false">IF(AV1007=1,1,IF(AW1007=1,2,IF(AX1007=1,3,IF(AY1007=1,4,IF(AZ1007=1,5,IF(BA1007=1,6,7))))))</f>
        <v>6</v>
      </c>
      <c r="BD1007" s="65" t="n">
        <f aca="false">IF(AD1007=1,CHOOSE('Historical Score'!$C$29,AV1007,AW1007,AX1007,AY1007,AZ1007,BA1007,BB1007),0)</f>
        <v>0</v>
      </c>
      <c r="BE1007" s="65" t="str">
        <f aca="false">IF(BD1007=1,COUNTIF($BD$2:BD1007,1),"")</f>
        <v/>
      </c>
    </row>
    <row r="1008" customFormat="false" ht="15" hidden="false" customHeight="false" outlineLevel="0" collapsed="false">
      <c r="A1008" s="65" t="s">
        <v>3023</v>
      </c>
      <c r="B1008" s="65" t="s">
        <v>3024</v>
      </c>
      <c r="C1008" s="65" t="s">
        <v>3025</v>
      </c>
      <c r="D1008" s="65" t="s">
        <v>295</v>
      </c>
      <c r="E1008" s="112" t="n">
        <v>46210</v>
      </c>
      <c r="F1008" s="112" t="n">
        <v>46241</v>
      </c>
      <c r="G1008" s="65" t="n">
        <v>3</v>
      </c>
      <c r="H1008" s="65" t="s">
        <v>1027</v>
      </c>
      <c r="I1008" s="65" t="s">
        <v>475</v>
      </c>
      <c r="J1008" s="65" t="s">
        <v>854</v>
      </c>
      <c r="K1008" s="65" t="s">
        <v>3026</v>
      </c>
      <c r="L1008" s="65" t="s">
        <v>64</v>
      </c>
      <c r="M1008" s="113" t="n">
        <v>1.35</v>
      </c>
      <c r="N1008" s="114" t="n">
        <v>20000</v>
      </c>
      <c r="O1008" s="114" t="n">
        <v>0</v>
      </c>
      <c r="P1008" s="114" t="n">
        <v>27000</v>
      </c>
      <c r="Q1008" s="114" t="n">
        <v>2250.36</v>
      </c>
      <c r="R1008" s="114" t="n">
        <v>24749.64</v>
      </c>
      <c r="S1008" s="115" t="n">
        <v>0.0833466666666667</v>
      </c>
      <c r="T1008" s="65" t="n">
        <v>24</v>
      </c>
      <c r="U1008" s="65" t="n">
        <v>8</v>
      </c>
      <c r="V1008" s="65" t="n">
        <v>64851.96</v>
      </c>
      <c r="W1008" s="115" t="n">
        <v>0.0694</v>
      </c>
      <c r="X1008" s="112" t="n">
        <v>45505</v>
      </c>
      <c r="Y1008" s="65" t="str">
        <f aca="false">IF(I1008="","No SIC",IFERROR(VLOOKUP(I1008,Ref!$A$2:$B$65,2,FALSE()),"Unclassified"))</f>
        <v>Auto Repair &amp; Services</v>
      </c>
      <c r="Z1008" s="65" t="str">
        <f aca="false">IF(T1008="","",IF(T1008&lt;12,"Daily","Weekly"))</f>
        <v>Weekly</v>
      </c>
      <c r="AA1008" s="65" t="n">
        <f aca="false">IF(T1008="",0,IF(T1008&lt;12,T1008*Controls!$B$29,T1008*5))</f>
        <v>120</v>
      </c>
      <c r="AB1008" s="65" t="n">
        <f aca="false">IF(E1008="",0,NETWORKDAYS(E1008,Controls!$B$36,Ref!$K$2:$K$42))</f>
        <v>36</v>
      </c>
      <c r="AC1008" s="65" t="n">
        <f aca="false">IF(AND(AA1008&gt;0,AB1008&gt;=Controls!$B$39*AA1008),1,0)</f>
        <v>0</v>
      </c>
      <c r="AD1008" s="65" t="n">
        <f aca="false">IF(AND(E1008&lt;&gt;"",E1008&gt;=Controls!$B$37,E1008&lt;=Controls!$B$38),1,0)</f>
        <v>1</v>
      </c>
      <c r="AE1008" s="65" t="n">
        <f aca="false">IF(IFERROR(VLOOKUP(D1008,Controls!$A$64:$E$74,2,FALSE()),"No")="Yes",1,0)</f>
        <v>0</v>
      </c>
      <c r="AF1008" s="65" t="n">
        <f aca="false">IF(IFERROR(VLOOKUP(D1008,Controls!$A$64:$E$74,3,FALSE()),"No")="Yes",1,0)</f>
        <v>0</v>
      </c>
      <c r="AG1008" s="65" t="n">
        <f aca="false">IF(IFERROR(VLOOKUP(D1008,Controls!$A$64:$E$74,4,FALSE()),"No")="Yes",1,0)</f>
        <v>0</v>
      </c>
      <c r="AH1008" s="65" t="n">
        <f aca="false">IF(IFERROR(VLOOKUP(D1008,Controls!$A$64:$E$74,5,FALSE()),"No")="Yes",1,0)</f>
        <v>1</v>
      </c>
      <c r="AI1008" s="65" t="n">
        <f aca="false">IF(ISNUMBER(MATCH(D1008,Controls!$A$64:$A$74,0)),1,0)</f>
        <v>1</v>
      </c>
      <c r="AJ1008" s="65" t="n">
        <f aca="false">Q1008-N1008</f>
        <v>-17749.64</v>
      </c>
      <c r="AK1008" s="65" t="n">
        <f aca="false">IF(AE1008=1,MAX(0,N1008-Q1008),0)</f>
        <v>0</v>
      </c>
      <c r="AL1008" s="65" t="n">
        <f aca="false">IF(OR(V1008="",V1008=0),0,N1008/V1008)</f>
        <v>0.308394688456602</v>
      </c>
      <c r="AM1008" s="65" t="n">
        <f aca="false">IF(OR(V1008="",V1008=0),0,1)</f>
        <v>1</v>
      </c>
      <c r="AN1008" s="65" t="n">
        <f aca="false">IF(OR(E1008="",F1008=""),0,NETWORKDAYS(E1008,F1008,Ref!$K$2:$K$42))</f>
        <v>24</v>
      </c>
      <c r="AO1008" s="65" t="n">
        <f aca="false">IF(L1008="Renewal",1,0)</f>
        <v>0</v>
      </c>
      <c r="AP1008" s="65" t="n">
        <f aca="false">AC1008*AD1008</f>
        <v>0</v>
      </c>
      <c r="AQ1008" s="65" t="n">
        <f aca="false">IF(AND(G1008&lt;&gt;"",'Historical Score'!$C$6&lt;&gt;""),IF(G1008='Historical Score'!$C$6,1,0),0)</f>
        <v>0</v>
      </c>
      <c r="AR1008" s="65" t="n">
        <f aca="false">IF(AND(L1008&lt;&gt;"",'Historical Score'!$C$5&lt;&gt;""),IF(L1008='Historical Score'!$C$5,1,0),0)</f>
        <v>1</v>
      </c>
      <c r="AS1008" s="65" t="n">
        <f aca="false">IF(AND(Y1008&lt;&gt;"",'Historical Score'!$C$7&lt;&gt;""),IF(Y1008='Historical Score'!$C$7,1,0),0)</f>
        <v>0</v>
      </c>
      <c r="AT1008" s="65" t="n">
        <f aca="false">IF(AND(K1008&lt;&gt;"",'Historical Score'!$C$8&lt;&gt;""),IF(K1008='Historical Score'!$C$8,1,0),0)</f>
        <v>0</v>
      </c>
      <c r="AU1008" s="65" t="n">
        <f aca="false">IF(AND(J1008&lt;&gt;"",'Historical Score'!$C$9&lt;&gt;""),IF(J1008='Historical Score'!$C$9,1,0),0)</f>
        <v>0</v>
      </c>
      <c r="AV1008" s="65" t="n">
        <f aca="false">AR1008*AS1008*AQ1008</f>
        <v>0</v>
      </c>
      <c r="AW1008" s="65" t="n">
        <f aca="false">AR1008*AT1008*AQ1008</f>
        <v>0</v>
      </c>
      <c r="AX1008" s="65" t="n">
        <f aca="false">AR1008*AS1008</f>
        <v>0</v>
      </c>
      <c r="AY1008" s="65" t="n">
        <f aca="false">AR1008*AT1008</f>
        <v>0</v>
      </c>
      <c r="AZ1008" s="65" t="n">
        <f aca="false">AR1008*AQ1008</f>
        <v>0</v>
      </c>
      <c r="BA1008" s="65" t="n">
        <f aca="false">AR1008</f>
        <v>1</v>
      </c>
      <c r="BB1008" s="65" t="n">
        <f aca="false">1</f>
        <v>1</v>
      </c>
      <c r="BC1008" s="65" t="n">
        <f aca="false">IF(AV1008=1,1,IF(AW1008=1,2,IF(AX1008=1,3,IF(AY1008=1,4,IF(AZ1008=1,5,IF(BA1008=1,6,7))))))</f>
        <v>6</v>
      </c>
      <c r="BD1008" s="65" t="n">
        <f aca="false">IF(AD1008=1,CHOOSE('Historical Score'!$C$29,AV1008,AW1008,AX1008,AY1008,AZ1008,BA1008,BB1008),0)</f>
        <v>0</v>
      </c>
      <c r="BE1008" s="65" t="str">
        <f aca="false">IF(BD1008=1,COUNTIF($BD$2:BD1008,1),"")</f>
        <v/>
      </c>
    </row>
    <row r="1009" customFormat="false" ht="15" hidden="false" customHeight="false" outlineLevel="0" collapsed="false">
      <c r="A1009" s="65" t="s">
        <v>3027</v>
      </c>
      <c r="B1009" s="65" t="s">
        <v>3028</v>
      </c>
      <c r="C1009" s="65" t="s">
        <v>3029</v>
      </c>
      <c r="D1009" s="65" t="s">
        <v>295</v>
      </c>
      <c r="E1009" s="112" t="n">
        <v>46210</v>
      </c>
      <c r="F1009" s="112" t="n">
        <v>46248</v>
      </c>
      <c r="G1009" s="65" t="n">
        <v>2</v>
      </c>
      <c r="H1009" s="65" t="s">
        <v>409</v>
      </c>
      <c r="I1009" s="65" t="s">
        <v>342</v>
      </c>
      <c r="J1009" s="65" t="s">
        <v>380</v>
      </c>
      <c r="K1009" s="65" t="s">
        <v>538</v>
      </c>
      <c r="L1009" s="65" t="s">
        <v>64</v>
      </c>
      <c r="M1009" s="113" t="n">
        <v>1.4</v>
      </c>
      <c r="N1009" s="114" t="n">
        <v>70000</v>
      </c>
      <c r="O1009" s="114" t="n">
        <v>6650</v>
      </c>
      <c r="P1009" s="114" t="n">
        <v>98000</v>
      </c>
      <c r="Q1009" s="114" t="n">
        <v>16799.04</v>
      </c>
      <c r="R1009" s="114" t="n">
        <v>81200.96</v>
      </c>
      <c r="S1009" s="115" t="n">
        <v>0.171418775510204</v>
      </c>
      <c r="T1009" s="65" t="n">
        <v>35</v>
      </c>
      <c r="U1009" s="65" t="n">
        <v>0</v>
      </c>
      <c r="V1009" s="65" t="n">
        <v>65531.76</v>
      </c>
      <c r="W1009" s="115" t="n">
        <v>0.1709</v>
      </c>
      <c r="X1009" s="112" t="n">
        <v>41814</v>
      </c>
      <c r="Y1009" s="65" t="str">
        <f aca="false">IF(I1009="","No SIC",IFERROR(VLOOKUP(I1009,Ref!$A$2:$B$65,2,FALSE()),"Unclassified"))</f>
        <v>Eating &amp; Drinking Places</v>
      </c>
      <c r="Z1009" s="65" t="str">
        <f aca="false">IF(T1009="","",IF(T1009&lt;12,"Daily","Weekly"))</f>
        <v>Weekly</v>
      </c>
      <c r="AA1009" s="65" t="n">
        <f aca="false">IF(T1009="",0,IF(T1009&lt;12,T1009*Controls!$B$29,T1009*5))</f>
        <v>175</v>
      </c>
      <c r="AB1009" s="65" t="n">
        <f aca="false">IF(E1009="",0,NETWORKDAYS(E1009,Controls!$B$36,Ref!$K$2:$K$42))</f>
        <v>36</v>
      </c>
      <c r="AC1009" s="65" t="n">
        <f aca="false">IF(AND(AA1009&gt;0,AB1009&gt;=Controls!$B$39*AA1009),1,0)</f>
        <v>0</v>
      </c>
      <c r="AD1009" s="65" t="n">
        <f aca="false">IF(AND(E1009&lt;&gt;"",E1009&gt;=Controls!$B$37,E1009&lt;=Controls!$B$38),1,0)</f>
        <v>1</v>
      </c>
      <c r="AE1009" s="65" t="n">
        <f aca="false">IF(IFERROR(VLOOKUP(D1009,Controls!$A$64:$E$74,2,FALSE()),"No")="Yes",1,0)</f>
        <v>0</v>
      </c>
      <c r="AF1009" s="65" t="n">
        <f aca="false">IF(IFERROR(VLOOKUP(D1009,Controls!$A$64:$E$74,3,FALSE()),"No")="Yes",1,0)</f>
        <v>0</v>
      </c>
      <c r="AG1009" s="65" t="n">
        <f aca="false">IF(IFERROR(VLOOKUP(D1009,Controls!$A$64:$E$74,4,FALSE()),"No")="Yes",1,0)</f>
        <v>0</v>
      </c>
      <c r="AH1009" s="65" t="n">
        <f aca="false">IF(IFERROR(VLOOKUP(D1009,Controls!$A$64:$E$74,5,FALSE()),"No")="Yes",1,0)</f>
        <v>1</v>
      </c>
      <c r="AI1009" s="65" t="n">
        <f aca="false">IF(ISNUMBER(MATCH(D1009,Controls!$A$64:$A$74,0)),1,0)</f>
        <v>1</v>
      </c>
      <c r="AJ1009" s="65" t="n">
        <f aca="false">Q1009-N1009</f>
        <v>-53200.96</v>
      </c>
      <c r="AK1009" s="65" t="n">
        <f aca="false">IF(AE1009=1,MAX(0,N1009-Q1009),0)</f>
        <v>0</v>
      </c>
      <c r="AL1009" s="65" t="n">
        <f aca="false">IF(OR(V1009="",V1009=0),0,N1009/V1009)</f>
        <v>1.06818434298117</v>
      </c>
      <c r="AM1009" s="65" t="n">
        <f aca="false">IF(OR(V1009="",V1009=0),0,1)</f>
        <v>1</v>
      </c>
      <c r="AN1009" s="65" t="n">
        <f aca="false">IF(OR(E1009="",F1009=""),0,NETWORKDAYS(E1009,F1009,Ref!$K$2:$K$42))</f>
        <v>29</v>
      </c>
      <c r="AO1009" s="65" t="n">
        <f aca="false">IF(L1009="Renewal",1,0)</f>
        <v>0</v>
      </c>
      <c r="AP1009" s="65" t="n">
        <f aca="false">AC1009*AD1009</f>
        <v>0</v>
      </c>
      <c r="AQ1009" s="65" t="n">
        <f aca="false">IF(AND(G1009&lt;&gt;"",'Historical Score'!$C$6&lt;&gt;""),IF(G1009='Historical Score'!$C$6,1,0),0)</f>
        <v>1</v>
      </c>
      <c r="AR1009" s="65" t="n">
        <f aca="false">IF(AND(L1009&lt;&gt;"",'Historical Score'!$C$5&lt;&gt;""),IF(L1009='Historical Score'!$C$5,1,0),0)</f>
        <v>1</v>
      </c>
      <c r="AS1009" s="65" t="n">
        <f aca="false">IF(AND(Y1009&lt;&gt;"",'Historical Score'!$C$7&lt;&gt;""),IF(Y1009='Historical Score'!$C$7,1,0),0)</f>
        <v>0</v>
      </c>
      <c r="AT1009" s="65" t="n">
        <f aca="false">IF(AND(K1009&lt;&gt;"",'Historical Score'!$C$8&lt;&gt;""),IF(K1009='Historical Score'!$C$8,1,0),0)</f>
        <v>0</v>
      </c>
      <c r="AU1009" s="65" t="n">
        <f aca="false">IF(AND(J1009&lt;&gt;"",'Historical Score'!$C$9&lt;&gt;""),IF(J1009='Historical Score'!$C$9,1,0),0)</f>
        <v>0</v>
      </c>
      <c r="AV1009" s="65" t="n">
        <f aca="false">AR1009*AS1009*AQ1009</f>
        <v>0</v>
      </c>
      <c r="AW1009" s="65" t="n">
        <f aca="false">AR1009*AT1009*AQ1009</f>
        <v>0</v>
      </c>
      <c r="AX1009" s="65" t="n">
        <f aca="false">AR1009*AS1009</f>
        <v>0</v>
      </c>
      <c r="AY1009" s="65" t="n">
        <f aca="false">AR1009*AT1009</f>
        <v>0</v>
      </c>
      <c r="AZ1009" s="65" t="n">
        <f aca="false">AR1009*AQ1009</f>
        <v>1</v>
      </c>
      <c r="BA1009" s="65" t="n">
        <f aca="false">AR1009</f>
        <v>1</v>
      </c>
      <c r="BB1009" s="65" t="n">
        <f aca="false">1</f>
        <v>1</v>
      </c>
      <c r="BC1009" s="65" t="n">
        <f aca="false">IF(AV1009=1,1,IF(AW1009=1,2,IF(AX1009=1,3,IF(AY1009=1,4,IF(AZ1009=1,5,IF(BA1009=1,6,7))))))</f>
        <v>5</v>
      </c>
      <c r="BD1009" s="65" t="n">
        <f aca="false">IF(AD1009=1,CHOOSE('Historical Score'!$C$29,AV1009,AW1009,AX1009,AY1009,AZ1009,BA1009,BB1009),0)</f>
        <v>0</v>
      </c>
      <c r="BE1009" s="65" t="str">
        <f aca="false">IF(BD1009=1,COUNTIF($BD$2:BD1009,1),"")</f>
        <v/>
      </c>
    </row>
    <row r="1010" customFormat="false" ht="15" hidden="false" customHeight="false" outlineLevel="0" collapsed="false">
      <c r="A1010" s="65" t="s">
        <v>3030</v>
      </c>
      <c r="B1010" s="65" t="s">
        <v>3031</v>
      </c>
      <c r="C1010" s="65" t="s">
        <v>3031</v>
      </c>
      <c r="D1010" s="65" t="s">
        <v>295</v>
      </c>
      <c r="E1010" s="112" t="n">
        <v>46211</v>
      </c>
      <c r="F1010" s="112" t="n">
        <v>46248</v>
      </c>
      <c r="G1010" s="65" t="n">
        <v>3</v>
      </c>
      <c r="H1010" s="65" t="s">
        <v>372</v>
      </c>
      <c r="I1010" s="65" t="s">
        <v>367</v>
      </c>
      <c r="J1010" s="65" t="s">
        <v>373</v>
      </c>
      <c r="K1010" s="65" t="s">
        <v>538</v>
      </c>
      <c r="L1010" s="65" t="s">
        <v>64</v>
      </c>
      <c r="M1010" s="113" t="n">
        <v>1.41</v>
      </c>
      <c r="N1010" s="114" t="n">
        <v>14000</v>
      </c>
      <c r="O1010" s="114" t="n">
        <v>1400</v>
      </c>
      <c r="P1010" s="114" t="n">
        <v>19740</v>
      </c>
      <c r="Q1010" s="114" t="n">
        <v>4486.4</v>
      </c>
      <c r="R1010" s="114" t="n">
        <v>15253.6</v>
      </c>
      <c r="S1010" s="115" t="n">
        <v>0.227274569402229</v>
      </c>
      <c r="T1010" s="65" t="n">
        <v>22</v>
      </c>
      <c r="U1010" s="65" t="n">
        <v>0</v>
      </c>
      <c r="V1010" s="65" t="n">
        <v>22320.52</v>
      </c>
      <c r="W1010" s="115" t="n">
        <v>0.1608</v>
      </c>
      <c r="X1010" s="112" t="n">
        <v>43646</v>
      </c>
      <c r="Y1010" s="65" t="str">
        <f aca="false">IF(I1010="","No SIC",IFERROR(VLOOKUP(I1010,Ref!$A$2:$B$65,2,FALSE()),"Unclassified"))</f>
        <v>Engineering, Accounting &amp; Management</v>
      </c>
      <c r="Z1010" s="65" t="str">
        <f aca="false">IF(T1010="","",IF(T1010&lt;12,"Daily","Weekly"))</f>
        <v>Weekly</v>
      </c>
      <c r="AA1010" s="65" t="n">
        <f aca="false">IF(T1010="",0,IF(T1010&lt;12,T1010*Controls!$B$29,T1010*5))</f>
        <v>110</v>
      </c>
      <c r="AB1010" s="65" t="n">
        <f aca="false">IF(E1010="",0,NETWORKDAYS(E1010,Controls!$B$36,Ref!$K$2:$K$42))</f>
        <v>35</v>
      </c>
      <c r="AC1010" s="65" t="n">
        <f aca="false">IF(AND(AA1010&gt;0,AB1010&gt;=Controls!$B$39*AA1010),1,0)</f>
        <v>0</v>
      </c>
      <c r="AD1010" s="65" t="n">
        <f aca="false">IF(AND(E1010&lt;&gt;"",E1010&gt;=Controls!$B$37,E1010&lt;=Controls!$B$38),1,0)</f>
        <v>1</v>
      </c>
      <c r="AE1010" s="65" t="n">
        <f aca="false">IF(IFERROR(VLOOKUP(D1010,Controls!$A$64:$E$74,2,FALSE()),"No")="Yes",1,0)</f>
        <v>0</v>
      </c>
      <c r="AF1010" s="65" t="n">
        <f aca="false">IF(IFERROR(VLOOKUP(D1010,Controls!$A$64:$E$74,3,FALSE()),"No")="Yes",1,0)</f>
        <v>0</v>
      </c>
      <c r="AG1010" s="65" t="n">
        <f aca="false">IF(IFERROR(VLOOKUP(D1010,Controls!$A$64:$E$74,4,FALSE()),"No")="Yes",1,0)</f>
        <v>0</v>
      </c>
      <c r="AH1010" s="65" t="n">
        <f aca="false">IF(IFERROR(VLOOKUP(D1010,Controls!$A$64:$E$74,5,FALSE()),"No")="Yes",1,0)</f>
        <v>1</v>
      </c>
      <c r="AI1010" s="65" t="n">
        <f aca="false">IF(ISNUMBER(MATCH(D1010,Controls!$A$64:$A$74,0)),1,0)</f>
        <v>1</v>
      </c>
      <c r="AJ1010" s="65" t="n">
        <f aca="false">Q1010-N1010</f>
        <v>-9513.6</v>
      </c>
      <c r="AK1010" s="65" t="n">
        <f aca="false">IF(AE1010=1,MAX(0,N1010-Q1010),0)</f>
        <v>0</v>
      </c>
      <c r="AL1010" s="65" t="n">
        <f aca="false">IF(OR(V1010="",V1010=0),0,N1010/V1010)</f>
        <v>0.627225530587997</v>
      </c>
      <c r="AM1010" s="65" t="n">
        <f aca="false">IF(OR(V1010="",V1010=0),0,1)</f>
        <v>1</v>
      </c>
      <c r="AN1010" s="65" t="n">
        <f aca="false">IF(OR(E1010="",F1010=""),0,NETWORKDAYS(E1010,F1010,Ref!$K$2:$K$42))</f>
        <v>28</v>
      </c>
      <c r="AO1010" s="65" t="n">
        <f aca="false">IF(L1010="Renewal",1,0)</f>
        <v>0</v>
      </c>
      <c r="AP1010" s="65" t="n">
        <f aca="false">AC1010*AD1010</f>
        <v>0</v>
      </c>
      <c r="AQ1010" s="65" t="n">
        <f aca="false">IF(AND(G1010&lt;&gt;"",'Historical Score'!$C$6&lt;&gt;""),IF(G1010='Historical Score'!$C$6,1,0),0)</f>
        <v>0</v>
      </c>
      <c r="AR1010" s="65" t="n">
        <f aca="false">IF(AND(L1010&lt;&gt;"",'Historical Score'!$C$5&lt;&gt;""),IF(L1010='Historical Score'!$C$5,1,0),0)</f>
        <v>1</v>
      </c>
      <c r="AS1010" s="65" t="n">
        <f aca="false">IF(AND(Y1010&lt;&gt;"",'Historical Score'!$C$7&lt;&gt;""),IF(Y1010='Historical Score'!$C$7,1,0),0)</f>
        <v>0</v>
      </c>
      <c r="AT1010" s="65" t="n">
        <f aca="false">IF(AND(K1010&lt;&gt;"",'Historical Score'!$C$8&lt;&gt;""),IF(K1010='Historical Score'!$C$8,1,0),0)</f>
        <v>0</v>
      </c>
      <c r="AU1010" s="65" t="n">
        <f aca="false">IF(AND(J1010&lt;&gt;"",'Historical Score'!$C$9&lt;&gt;""),IF(J1010='Historical Score'!$C$9,1,0),0)</f>
        <v>0</v>
      </c>
      <c r="AV1010" s="65" t="n">
        <f aca="false">AR1010*AS1010*AQ1010</f>
        <v>0</v>
      </c>
      <c r="AW1010" s="65" t="n">
        <f aca="false">AR1010*AT1010*AQ1010</f>
        <v>0</v>
      </c>
      <c r="AX1010" s="65" t="n">
        <f aca="false">AR1010*AS1010</f>
        <v>0</v>
      </c>
      <c r="AY1010" s="65" t="n">
        <f aca="false">AR1010*AT1010</f>
        <v>0</v>
      </c>
      <c r="AZ1010" s="65" t="n">
        <f aca="false">AR1010*AQ1010</f>
        <v>0</v>
      </c>
      <c r="BA1010" s="65" t="n">
        <f aca="false">AR1010</f>
        <v>1</v>
      </c>
      <c r="BB1010" s="65" t="n">
        <f aca="false">1</f>
        <v>1</v>
      </c>
      <c r="BC1010" s="65" t="n">
        <f aca="false">IF(AV1010=1,1,IF(AW1010=1,2,IF(AX1010=1,3,IF(AY1010=1,4,IF(AZ1010=1,5,IF(BA1010=1,6,7))))))</f>
        <v>6</v>
      </c>
      <c r="BD1010" s="65" t="n">
        <f aca="false">IF(AD1010=1,CHOOSE('Historical Score'!$C$29,AV1010,AW1010,AX1010,AY1010,AZ1010,BA1010,BB1010),0)</f>
        <v>0</v>
      </c>
      <c r="BE1010" s="65" t="str">
        <f aca="false">IF(BD1010=1,COUNTIF($BD$2:BD1010,1),"")</f>
        <v/>
      </c>
    </row>
    <row r="1011" customFormat="false" ht="15" hidden="false" customHeight="false" outlineLevel="0" collapsed="false">
      <c r="A1011" s="65" t="s">
        <v>3032</v>
      </c>
      <c r="B1011" s="65" t="s">
        <v>3033</v>
      </c>
      <c r="C1011" s="65" t="s">
        <v>3033</v>
      </c>
      <c r="D1011" s="65" t="s">
        <v>295</v>
      </c>
      <c r="E1011" s="112" t="n">
        <v>46211</v>
      </c>
      <c r="F1011" s="112" t="n">
        <v>46253</v>
      </c>
      <c r="G1011" s="65" t="n">
        <v>3</v>
      </c>
      <c r="H1011" s="65" t="s">
        <v>1983</v>
      </c>
      <c r="I1011" s="65" t="s">
        <v>668</v>
      </c>
      <c r="J1011" s="65" t="s">
        <v>495</v>
      </c>
      <c r="K1011" s="65" t="s">
        <v>848</v>
      </c>
      <c r="L1011" s="65" t="s">
        <v>64</v>
      </c>
      <c r="M1011" s="113" t="n">
        <v>1.42</v>
      </c>
      <c r="N1011" s="114" t="n">
        <v>30000</v>
      </c>
      <c r="O1011" s="114" t="n">
        <v>3150</v>
      </c>
      <c r="P1011" s="114" t="n">
        <v>42600</v>
      </c>
      <c r="Q1011" s="114" t="n">
        <v>16509.67</v>
      </c>
      <c r="R1011" s="114" t="n">
        <v>26090.33</v>
      </c>
      <c r="S1011" s="115" t="n">
        <v>0.387550938967136</v>
      </c>
      <c r="T1011" s="65" t="n">
        <v>2.623</v>
      </c>
      <c r="U1011" s="65" t="n">
        <v>0</v>
      </c>
      <c r="V1011" s="65" t="n">
        <v>318631.45</v>
      </c>
      <c r="W1011" s="115" t="n">
        <v>0.0351</v>
      </c>
      <c r="X1011" s="112" t="n">
        <v>44368</v>
      </c>
      <c r="Y1011" s="65" t="str">
        <f aca="false">IF(I1011="","No SIC",IFERROR(VLOOKUP(I1011,Ref!$A$2:$B$65,2,FALSE()),"Unclassified"))</f>
        <v>Auto Dealers &amp; Gas Stations</v>
      </c>
      <c r="Z1011" s="65" t="str">
        <f aca="false">IF(T1011="","",IF(T1011&lt;12,"Daily","Weekly"))</f>
        <v>Daily</v>
      </c>
      <c r="AA1011" s="65" t="n">
        <f aca="false">IF(T1011="",0,IF(T1011&lt;12,T1011*Controls!$B$29,T1011*5))</f>
        <v>56.801065</v>
      </c>
      <c r="AB1011" s="65" t="n">
        <f aca="false">IF(E1011="",0,NETWORKDAYS(E1011,Controls!$B$36,Ref!$K$2:$K$42))</f>
        <v>35</v>
      </c>
      <c r="AC1011" s="65" t="n">
        <f aca="false">IF(AND(AA1011&gt;0,AB1011&gt;=Controls!$B$39*AA1011),1,0)</f>
        <v>0</v>
      </c>
      <c r="AD1011" s="65" t="n">
        <f aca="false">IF(AND(E1011&lt;&gt;"",E1011&gt;=Controls!$B$37,E1011&lt;=Controls!$B$38),1,0)</f>
        <v>1</v>
      </c>
      <c r="AE1011" s="65" t="n">
        <f aca="false">IF(IFERROR(VLOOKUP(D1011,Controls!$A$64:$E$74,2,FALSE()),"No")="Yes",1,0)</f>
        <v>0</v>
      </c>
      <c r="AF1011" s="65" t="n">
        <f aca="false">IF(IFERROR(VLOOKUP(D1011,Controls!$A$64:$E$74,3,FALSE()),"No")="Yes",1,0)</f>
        <v>0</v>
      </c>
      <c r="AG1011" s="65" t="n">
        <f aca="false">IF(IFERROR(VLOOKUP(D1011,Controls!$A$64:$E$74,4,FALSE()),"No")="Yes",1,0)</f>
        <v>0</v>
      </c>
      <c r="AH1011" s="65" t="n">
        <f aca="false">IF(IFERROR(VLOOKUP(D1011,Controls!$A$64:$E$74,5,FALSE()),"No")="Yes",1,0)</f>
        <v>1</v>
      </c>
      <c r="AI1011" s="65" t="n">
        <f aca="false">IF(ISNUMBER(MATCH(D1011,Controls!$A$64:$A$74,0)),1,0)</f>
        <v>1</v>
      </c>
      <c r="AJ1011" s="65" t="n">
        <f aca="false">Q1011-N1011</f>
        <v>-13490.33</v>
      </c>
      <c r="AK1011" s="65" t="n">
        <f aca="false">IF(AE1011=1,MAX(0,N1011-Q1011),0)</f>
        <v>0</v>
      </c>
      <c r="AL1011" s="65" t="n">
        <f aca="false">IF(OR(V1011="",V1011=0),0,N1011/V1011)</f>
        <v>0.094152664465482</v>
      </c>
      <c r="AM1011" s="65" t="n">
        <f aca="false">IF(OR(V1011="",V1011=0),0,1)</f>
        <v>1</v>
      </c>
      <c r="AN1011" s="65" t="n">
        <f aca="false">IF(OR(E1011="",F1011=""),0,NETWORKDAYS(E1011,F1011,Ref!$K$2:$K$42))</f>
        <v>31</v>
      </c>
      <c r="AO1011" s="65" t="n">
        <f aca="false">IF(L1011="Renewal",1,0)</f>
        <v>0</v>
      </c>
      <c r="AP1011" s="65" t="n">
        <f aca="false">AC1011*AD1011</f>
        <v>0</v>
      </c>
      <c r="AQ1011" s="65" t="n">
        <f aca="false">IF(AND(G1011&lt;&gt;"",'Historical Score'!$C$6&lt;&gt;""),IF(G1011='Historical Score'!$C$6,1,0),0)</f>
        <v>0</v>
      </c>
      <c r="AR1011" s="65" t="n">
        <f aca="false">IF(AND(L1011&lt;&gt;"",'Historical Score'!$C$5&lt;&gt;""),IF(L1011='Historical Score'!$C$5,1,0),0)</f>
        <v>1</v>
      </c>
      <c r="AS1011" s="65" t="n">
        <f aca="false">IF(AND(Y1011&lt;&gt;"",'Historical Score'!$C$7&lt;&gt;""),IF(Y1011='Historical Score'!$C$7,1,0),0)</f>
        <v>0</v>
      </c>
      <c r="AT1011" s="65" t="n">
        <f aca="false">IF(AND(K1011&lt;&gt;"",'Historical Score'!$C$8&lt;&gt;""),IF(K1011='Historical Score'!$C$8,1,0),0)</f>
        <v>0</v>
      </c>
      <c r="AU1011" s="65" t="n">
        <f aca="false">IF(AND(J1011&lt;&gt;"",'Historical Score'!$C$9&lt;&gt;""),IF(J1011='Historical Score'!$C$9,1,0),0)</f>
        <v>0</v>
      </c>
      <c r="AV1011" s="65" t="n">
        <f aca="false">AR1011*AS1011*AQ1011</f>
        <v>0</v>
      </c>
      <c r="AW1011" s="65" t="n">
        <f aca="false">AR1011*AT1011*AQ1011</f>
        <v>0</v>
      </c>
      <c r="AX1011" s="65" t="n">
        <f aca="false">AR1011*AS1011</f>
        <v>0</v>
      </c>
      <c r="AY1011" s="65" t="n">
        <f aca="false">AR1011*AT1011</f>
        <v>0</v>
      </c>
      <c r="AZ1011" s="65" t="n">
        <f aca="false">AR1011*AQ1011</f>
        <v>0</v>
      </c>
      <c r="BA1011" s="65" t="n">
        <f aca="false">AR1011</f>
        <v>1</v>
      </c>
      <c r="BB1011" s="65" t="n">
        <f aca="false">1</f>
        <v>1</v>
      </c>
      <c r="BC1011" s="65" t="n">
        <f aca="false">IF(AV1011=1,1,IF(AW1011=1,2,IF(AX1011=1,3,IF(AY1011=1,4,IF(AZ1011=1,5,IF(BA1011=1,6,7))))))</f>
        <v>6</v>
      </c>
      <c r="BD1011" s="65" t="n">
        <f aca="false">IF(AD1011=1,CHOOSE('Historical Score'!$C$29,AV1011,AW1011,AX1011,AY1011,AZ1011,BA1011,BB1011),0)</f>
        <v>0</v>
      </c>
      <c r="BE1011" s="65" t="str">
        <f aca="false">IF(BD1011=1,COUNTIF($BD$2:BD1011,1),"")</f>
        <v/>
      </c>
    </row>
    <row r="1012" customFormat="false" ht="15" hidden="false" customHeight="false" outlineLevel="0" collapsed="false">
      <c r="A1012" s="65" t="s">
        <v>3034</v>
      </c>
      <c r="B1012" s="65" t="s">
        <v>3035</v>
      </c>
      <c r="C1012" s="65" t="s">
        <v>3035</v>
      </c>
      <c r="D1012" s="65" t="s">
        <v>295</v>
      </c>
      <c r="E1012" s="112" t="n">
        <v>46211</v>
      </c>
      <c r="F1012" s="112" t="n">
        <v>46253</v>
      </c>
      <c r="G1012" s="65" t="n">
        <v>3</v>
      </c>
      <c r="H1012" s="65" t="s">
        <v>3036</v>
      </c>
      <c r="I1012" s="65" t="s">
        <v>629</v>
      </c>
      <c r="J1012" s="65" t="s">
        <v>61</v>
      </c>
      <c r="K1012" s="65" t="s">
        <v>961</v>
      </c>
      <c r="L1012" s="65" t="s">
        <v>64</v>
      </c>
      <c r="M1012" s="113" t="n">
        <v>1.35</v>
      </c>
      <c r="N1012" s="114" t="n">
        <v>5000</v>
      </c>
      <c r="O1012" s="114" t="n">
        <v>350</v>
      </c>
      <c r="P1012" s="114" t="n">
        <v>6750</v>
      </c>
      <c r="Q1012" s="114" t="n">
        <v>1932.3</v>
      </c>
      <c r="R1012" s="114" t="n">
        <v>4817.7</v>
      </c>
      <c r="S1012" s="115" t="n">
        <v>0.286266666666667</v>
      </c>
      <c r="T1012" s="65" t="n">
        <v>3.443</v>
      </c>
      <c r="U1012" s="65" t="n">
        <v>0</v>
      </c>
      <c r="V1012" s="65" t="n">
        <v>53671.43</v>
      </c>
      <c r="W1012" s="115" t="n">
        <v>0.0252</v>
      </c>
      <c r="X1012" s="112" t="n">
        <v>45976</v>
      </c>
      <c r="Y1012" s="65" t="str">
        <f aca="false">IF(I1012="","No SIC",IFERROR(VLOOKUP(I1012,Ref!$A$2:$B$65,2,FALSE()),"Unclassified"))</f>
        <v>Hotels &amp; Lodging</v>
      </c>
      <c r="Z1012" s="65" t="str">
        <f aca="false">IF(T1012="","",IF(T1012&lt;12,"Daily","Weekly"))</f>
        <v>Daily</v>
      </c>
      <c r="AA1012" s="65" t="n">
        <f aca="false">IF(T1012="",0,IF(T1012&lt;12,T1012*Controls!$B$29,T1012*5))</f>
        <v>74.558165</v>
      </c>
      <c r="AB1012" s="65" t="n">
        <f aca="false">IF(E1012="",0,NETWORKDAYS(E1012,Controls!$B$36,Ref!$K$2:$K$42))</f>
        <v>35</v>
      </c>
      <c r="AC1012" s="65" t="n">
        <f aca="false">IF(AND(AA1012&gt;0,AB1012&gt;=Controls!$B$39*AA1012),1,0)</f>
        <v>0</v>
      </c>
      <c r="AD1012" s="65" t="n">
        <f aca="false">IF(AND(E1012&lt;&gt;"",E1012&gt;=Controls!$B$37,E1012&lt;=Controls!$B$38),1,0)</f>
        <v>1</v>
      </c>
      <c r="AE1012" s="65" t="n">
        <f aca="false">IF(IFERROR(VLOOKUP(D1012,Controls!$A$64:$E$74,2,FALSE()),"No")="Yes",1,0)</f>
        <v>0</v>
      </c>
      <c r="AF1012" s="65" t="n">
        <f aca="false">IF(IFERROR(VLOOKUP(D1012,Controls!$A$64:$E$74,3,FALSE()),"No")="Yes",1,0)</f>
        <v>0</v>
      </c>
      <c r="AG1012" s="65" t="n">
        <f aca="false">IF(IFERROR(VLOOKUP(D1012,Controls!$A$64:$E$74,4,FALSE()),"No")="Yes",1,0)</f>
        <v>0</v>
      </c>
      <c r="AH1012" s="65" t="n">
        <f aca="false">IF(IFERROR(VLOOKUP(D1012,Controls!$A$64:$E$74,5,FALSE()),"No")="Yes",1,0)</f>
        <v>1</v>
      </c>
      <c r="AI1012" s="65" t="n">
        <f aca="false">IF(ISNUMBER(MATCH(D1012,Controls!$A$64:$A$74,0)),1,0)</f>
        <v>1</v>
      </c>
      <c r="AJ1012" s="65" t="n">
        <f aca="false">Q1012-N1012</f>
        <v>-3067.7</v>
      </c>
      <c r="AK1012" s="65" t="n">
        <f aca="false">IF(AE1012=1,MAX(0,N1012-Q1012),0)</f>
        <v>0</v>
      </c>
      <c r="AL1012" s="65" t="n">
        <f aca="false">IF(OR(V1012="",V1012=0),0,N1012/V1012)</f>
        <v>0.0931594332403664</v>
      </c>
      <c r="AM1012" s="65" t="n">
        <f aca="false">IF(OR(V1012="",V1012=0),0,1)</f>
        <v>1</v>
      </c>
      <c r="AN1012" s="65" t="n">
        <f aca="false">IF(OR(E1012="",F1012=""),0,NETWORKDAYS(E1012,F1012,Ref!$K$2:$K$42))</f>
        <v>31</v>
      </c>
      <c r="AO1012" s="65" t="n">
        <f aca="false">IF(L1012="Renewal",1,0)</f>
        <v>0</v>
      </c>
      <c r="AP1012" s="65" t="n">
        <f aca="false">AC1012*AD1012</f>
        <v>0</v>
      </c>
      <c r="AQ1012" s="65" t="n">
        <f aca="false">IF(AND(G1012&lt;&gt;"",'Historical Score'!$C$6&lt;&gt;""),IF(G1012='Historical Score'!$C$6,1,0),0)</f>
        <v>0</v>
      </c>
      <c r="AR1012" s="65" t="n">
        <f aca="false">IF(AND(L1012&lt;&gt;"",'Historical Score'!$C$5&lt;&gt;""),IF(L1012='Historical Score'!$C$5,1,0),0)</f>
        <v>1</v>
      </c>
      <c r="AS1012" s="65" t="n">
        <f aca="false">IF(AND(Y1012&lt;&gt;"",'Historical Score'!$C$7&lt;&gt;""),IF(Y1012='Historical Score'!$C$7,1,0),0)</f>
        <v>0</v>
      </c>
      <c r="AT1012" s="65" t="n">
        <f aca="false">IF(AND(K1012&lt;&gt;"",'Historical Score'!$C$8&lt;&gt;""),IF(K1012='Historical Score'!$C$8,1,0),0)</f>
        <v>0</v>
      </c>
      <c r="AU1012" s="65" t="n">
        <f aca="false">IF(AND(J1012&lt;&gt;"",'Historical Score'!$C$9&lt;&gt;""),IF(J1012='Historical Score'!$C$9,1,0),0)</f>
        <v>1</v>
      </c>
      <c r="AV1012" s="65" t="n">
        <f aca="false">AR1012*AS1012*AQ1012</f>
        <v>0</v>
      </c>
      <c r="AW1012" s="65" t="n">
        <f aca="false">AR1012*AT1012*AQ1012</f>
        <v>0</v>
      </c>
      <c r="AX1012" s="65" t="n">
        <f aca="false">AR1012*AS1012</f>
        <v>0</v>
      </c>
      <c r="AY1012" s="65" t="n">
        <f aca="false">AR1012*AT1012</f>
        <v>0</v>
      </c>
      <c r="AZ1012" s="65" t="n">
        <f aca="false">AR1012*AQ1012</f>
        <v>0</v>
      </c>
      <c r="BA1012" s="65" t="n">
        <f aca="false">AR1012</f>
        <v>1</v>
      </c>
      <c r="BB1012" s="65" t="n">
        <f aca="false">1</f>
        <v>1</v>
      </c>
      <c r="BC1012" s="65" t="n">
        <f aca="false">IF(AV1012=1,1,IF(AW1012=1,2,IF(AX1012=1,3,IF(AY1012=1,4,IF(AZ1012=1,5,IF(BA1012=1,6,7))))))</f>
        <v>6</v>
      </c>
      <c r="BD1012" s="65" t="n">
        <f aca="false">IF(AD1012=1,CHOOSE('Historical Score'!$C$29,AV1012,AW1012,AX1012,AY1012,AZ1012,BA1012,BB1012),0)</f>
        <v>0</v>
      </c>
      <c r="BE1012" s="65" t="str">
        <f aca="false">IF(BD1012=1,COUNTIF($BD$2:BD1012,1),"")</f>
        <v/>
      </c>
    </row>
    <row r="1013" customFormat="false" ht="15" hidden="false" customHeight="false" outlineLevel="0" collapsed="false">
      <c r="A1013" s="65" t="s">
        <v>3037</v>
      </c>
      <c r="B1013" s="65" t="s">
        <v>3038</v>
      </c>
      <c r="C1013" s="65" t="s">
        <v>3038</v>
      </c>
      <c r="D1013" s="65" t="s">
        <v>295</v>
      </c>
      <c r="E1013" s="112" t="n">
        <v>46211</v>
      </c>
      <c r="F1013" s="112" t="n">
        <v>46248</v>
      </c>
      <c r="G1013" s="65" t="n">
        <v>3</v>
      </c>
      <c r="H1013" s="65" t="s">
        <v>442</v>
      </c>
      <c r="I1013" s="65" t="s">
        <v>443</v>
      </c>
      <c r="J1013" s="65" t="s">
        <v>717</v>
      </c>
      <c r="K1013" s="65" t="s">
        <v>538</v>
      </c>
      <c r="L1013" s="65" t="s">
        <v>64</v>
      </c>
      <c r="M1013" s="113" t="n">
        <v>1.34</v>
      </c>
      <c r="N1013" s="114" t="n">
        <v>35000</v>
      </c>
      <c r="O1013" s="114" t="n">
        <v>2100</v>
      </c>
      <c r="P1013" s="114" t="n">
        <v>46900</v>
      </c>
      <c r="Q1013" s="114" t="n">
        <v>8681</v>
      </c>
      <c r="R1013" s="114" t="n">
        <v>38219</v>
      </c>
      <c r="S1013" s="115" t="n">
        <v>0.185095948827292</v>
      </c>
      <c r="T1013" s="65" t="n">
        <v>27</v>
      </c>
      <c r="U1013" s="65" t="n">
        <v>0</v>
      </c>
      <c r="V1013" s="65" t="n">
        <v>219079.1</v>
      </c>
      <c r="W1013" s="115" t="n">
        <v>0.0317</v>
      </c>
      <c r="X1013" s="112" t="n">
        <v>45292</v>
      </c>
      <c r="Y1013" s="65" t="str">
        <f aca="false">IF(I1013="","No SIC",IFERROR(VLOOKUP(I1013,Ref!$A$2:$B$65,2,FALSE()),"Unclassified"))</f>
        <v>General Building Contractors</v>
      </c>
      <c r="Z1013" s="65" t="str">
        <f aca="false">IF(T1013="","",IF(T1013&lt;12,"Daily","Weekly"))</f>
        <v>Weekly</v>
      </c>
      <c r="AA1013" s="65" t="n">
        <f aca="false">IF(T1013="",0,IF(T1013&lt;12,T1013*Controls!$B$29,T1013*5))</f>
        <v>135</v>
      </c>
      <c r="AB1013" s="65" t="n">
        <f aca="false">IF(E1013="",0,NETWORKDAYS(E1013,Controls!$B$36,Ref!$K$2:$K$42))</f>
        <v>35</v>
      </c>
      <c r="AC1013" s="65" t="n">
        <f aca="false">IF(AND(AA1013&gt;0,AB1013&gt;=Controls!$B$39*AA1013),1,0)</f>
        <v>0</v>
      </c>
      <c r="AD1013" s="65" t="n">
        <f aca="false">IF(AND(E1013&lt;&gt;"",E1013&gt;=Controls!$B$37,E1013&lt;=Controls!$B$38),1,0)</f>
        <v>1</v>
      </c>
      <c r="AE1013" s="65" t="n">
        <f aca="false">IF(IFERROR(VLOOKUP(D1013,Controls!$A$64:$E$74,2,FALSE()),"No")="Yes",1,0)</f>
        <v>0</v>
      </c>
      <c r="AF1013" s="65" t="n">
        <f aca="false">IF(IFERROR(VLOOKUP(D1013,Controls!$A$64:$E$74,3,FALSE()),"No")="Yes",1,0)</f>
        <v>0</v>
      </c>
      <c r="AG1013" s="65" t="n">
        <f aca="false">IF(IFERROR(VLOOKUP(D1013,Controls!$A$64:$E$74,4,FALSE()),"No")="Yes",1,0)</f>
        <v>0</v>
      </c>
      <c r="AH1013" s="65" t="n">
        <f aca="false">IF(IFERROR(VLOOKUP(D1013,Controls!$A$64:$E$74,5,FALSE()),"No")="Yes",1,0)</f>
        <v>1</v>
      </c>
      <c r="AI1013" s="65" t="n">
        <f aca="false">IF(ISNUMBER(MATCH(D1013,Controls!$A$64:$A$74,0)),1,0)</f>
        <v>1</v>
      </c>
      <c r="AJ1013" s="65" t="n">
        <f aca="false">Q1013-N1013</f>
        <v>-26319</v>
      </c>
      <c r="AK1013" s="65" t="n">
        <f aca="false">IF(AE1013=1,MAX(0,N1013-Q1013),0)</f>
        <v>0</v>
      </c>
      <c r="AL1013" s="65" t="n">
        <f aca="false">IF(OR(V1013="",V1013=0),0,N1013/V1013)</f>
        <v>0.15975964845574</v>
      </c>
      <c r="AM1013" s="65" t="n">
        <f aca="false">IF(OR(V1013="",V1013=0),0,1)</f>
        <v>1</v>
      </c>
      <c r="AN1013" s="65" t="n">
        <f aca="false">IF(OR(E1013="",F1013=""),0,NETWORKDAYS(E1013,F1013,Ref!$K$2:$K$42))</f>
        <v>28</v>
      </c>
      <c r="AO1013" s="65" t="n">
        <f aca="false">IF(L1013="Renewal",1,0)</f>
        <v>0</v>
      </c>
      <c r="AP1013" s="65" t="n">
        <f aca="false">AC1013*AD1013</f>
        <v>0</v>
      </c>
      <c r="AQ1013" s="65" t="n">
        <f aca="false">IF(AND(G1013&lt;&gt;"",'Historical Score'!$C$6&lt;&gt;""),IF(G1013='Historical Score'!$C$6,1,0),0)</f>
        <v>0</v>
      </c>
      <c r="AR1013" s="65" t="n">
        <f aca="false">IF(AND(L1013&lt;&gt;"",'Historical Score'!$C$5&lt;&gt;""),IF(L1013='Historical Score'!$C$5,1,0),0)</f>
        <v>1</v>
      </c>
      <c r="AS1013" s="65" t="n">
        <f aca="false">IF(AND(Y1013&lt;&gt;"",'Historical Score'!$C$7&lt;&gt;""),IF(Y1013='Historical Score'!$C$7,1,0),0)</f>
        <v>1</v>
      </c>
      <c r="AT1013" s="65" t="n">
        <f aca="false">IF(AND(K1013&lt;&gt;"",'Historical Score'!$C$8&lt;&gt;""),IF(K1013='Historical Score'!$C$8,1,0),0)</f>
        <v>0</v>
      </c>
      <c r="AU1013" s="65" t="n">
        <f aca="false">IF(AND(J1013&lt;&gt;"",'Historical Score'!$C$9&lt;&gt;""),IF(J1013='Historical Score'!$C$9,1,0),0)</f>
        <v>0</v>
      </c>
      <c r="AV1013" s="65" t="n">
        <f aca="false">AR1013*AS1013*AQ1013</f>
        <v>0</v>
      </c>
      <c r="AW1013" s="65" t="n">
        <f aca="false">AR1013*AT1013*AQ1013</f>
        <v>0</v>
      </c>
      <c r="AX1013" s="65" t="n">
        <f aca="false">AR1013*AS1013</f>
        <v>1</v>
      </c>
      <c r="AY1013" s="65" t="n">
        <f aca="false">AR1013*AT1013</f>
        <v>0</v>
      </c>
      <c r="AZ1013" s="65" t="n">
        <f aca="false">AR1013*AQ1013</f>
        <v>0</v>
      </c>
      <c r="BA1013" s="65" t="n">
        <f aca="false">AR1013</f>
        <v>1</v>
      </c>
      <c r="BB1013" s="65" t="n">
        <f aca="false">1</f>
        <v>1</v>
      </c>
      <c r="BC1013" s="65" t="n">
        <f aca="false">IF(AV1013=1,1,IF(AW1013=1,2,IF(AX1013=1,3,IF(AY1013=1,4,IF(AZ1013=1,5,IF(BA1013=1,6,7))))))</f>
        <v>3</v>
      </c>
      <c r="BD1013" s="65" t="n">
        <f aca="false">IF(AD1013=1,CHOOSE('Historical Score'!$C$29,AV1013,AW1013,AX1013,AY1013,AZ1013,BA1013,BB1013),0)</f>
        <v>0</v>
      </c>
      <c r="BE1013" s="65" t="str">
        <f aca="false">IF(BD1013=1,COUNTIF($BD$2:BD1013,1),"")</f>
        <v/>
      </c>
    </row>
    <row r="1014" customFormat="false" ht="15" hidden="false" customHeight="false" outlineLevel="0" collapsed="false">
      <c r="A1014" s="65" t="s">
        <v>3039</v>
      </c>
      <c r="B1014" s="65" t="s">
        <v>3040</v>
      </c>
      <c r="C1014" s="65" t="s">
        <v>3040</v>
      </c>
      <c r="D1014" s="65" t="s">
        <v>295</v>
      </c>
      <c r="E1014" s="112" t="n">
        <v>46212</v>
      </c>
      <c r="F1014" s="112" t="n">
        <v>46253</v>
      </c>
      <c r="G1014" s="65" t="n">
        <v>2</v>
      </c>
      <c r="H1014" s="65" t="s">
        <v>563</v>
      </c>
      <c r="I1014" s="65" t="s">
        <v>564</v>
      </c>
      <c r="J1014" s="65" t="s">
        <v>452</v>
      </c>
      <c r="K1014" s="65" t="s">
        <v>983</v>
      </c>
      <c r="L1014" s="65" t="s">
        <v>64</v>
      </c>
      <c r="M1014" s="113" t="n">
        <v>1.4</v>
      </c>
      <c r="N1014" s="114" t="n">
        <v>35000</v>
      </c>
      <c r="O1014" s="114" t="n">
        <v>3325</v>
      </c>
      <c r="P1014" s="114" t="n">
        <v>49000</v>
      </c>
      <c r="Q1014" s="114" t="n">
        <v>10502.4</v>
      </c>
      <c r="R1014" s="114" t="n">
        <v>38497.6</v>
      </c>
      <c r="S1014" s="115" t="n">
        <v>0.214334693877551</v>
      </c>
      <c r="T1014" s="65" t="n">
        <v>4.59</v>
      </c>
      <c r="U1014" s="65" t="n">
        <v>0</v>
      </c>
      <c r="V1014" s="65" t="n">
        <v>70757.37</v>
      </c>
      <c r="W1014" s="115" t="n">
        <v>0.1039</v>
      </c>
      <c r="X1014" s="112" t="n">
        <v>40918</v>
      </c>
      <c r="Y1014" s="65" t="str">
        <f aca="false">IF(I1014="","No SIC",IFERROR(VLOOKUP(I1014,Ref!$A$2:$B$65,2,FALSE()),"Unclassified"))</f>
        <v>Transportation Equipment</v>
      </c>
      <c r="Z1014" s="65" t="str">
        <f aca="false">IF(T1014="","",IF(T1014&lt;12,"Daily","Weekly"))</f>
        <v>Daily</v>
      </c>
      <c r="AA1014" s="65" t="n">
        <f aca="false">IF(T1014="",0,IF(T1014&lt;12,T1014*Controls!$B$29,T1014*5))</f>
        <v>99.39645</v>
      </c>
      <c r="AB1014" s="65" t="n">
        <f aca="false">IF(E1014="",0,NETWORKDAYS(E1014,Controls!$B$36,Ref!$K$2:$K$42))</f>
        <v>34</v>
      </c>
      <c r="AC1014" s="65" t="n">
        <f aca="false">IF(AND(AA1014&gt;0,AB1014&gt;=Controls!$B$39*AA1014),1,0)</f>
        <v>0</v>
      </c>
      <c r="AD1014" s="65" t="n">
        <f aca="false">IF(AND(E1014&lt;&gt;"",E1014&gt;=Controls!$B$37,E1014&lt;=Controls!$B$38),1,0)</f>
        <v>1</v>
      </c>
      <c r="AE1014" s="65" t="n">
        <f aca="false">IF(IFERROR(VLOOKUP(D1014,Controls!$A$64:$E$74,2,FALSE()),"No")="Yes",1,0)</f>
        <v>0</v>
      </c>
      <c r="AF1014" s="65" t="n">
        <f aca="false">IF(IFERROR(VLOOKUP(D1014,Controls!$A$64:$E$74,3,FALSE()),"No")="Yes",1,0)</f>
        <v>0</v>
      </c>
      <c r="AG1014" s="65" t="n">
        <f aca="false">IF(IFERROR(VLOOKUP(D1014,Controls!$A$64:$E$74,4,FALSE()),"No")="Yes",1,0)</f>
        <v>0</v>
      </c>
      <c r="AH1014" s="65" t="n">
        <f aca="false">IF(IFERROR(VLOOKUP(D1014,Controls!$A$64:$E$74,5,FALSE()),"No")="Yes",1,0)</f>
        <v>1</v>
      </c>
      <c r="AI1014" s="65" t="n">
        <f aca="false">IF(ISNUMBER(MATCH(D1014,Controls!$A$64:$A$74,0)),1,0)</f>
        <v>1</v>
      </c>
      <c r="AJ1014" s="65" t="n">
        <f aca="false">Q1014-N1014</f>
        <v>-24497.6</v>
      </c>
      <c r="AK1014" s="65" t="n">
        <f aca="false">IF(AE1014=1,MAX(0,N1014-Q1014),0)</f>
        <v>0</v>
      </c>
      <c r="AL1014" s="65" t="n">
        <f aca="false">IF(OR(V1014="",V1014=0),0,N1014/V1014)</f>
        <v>0.494648119340784</v>
      </c>
      <c r="AM1014" s="65" t="n">
        <f aca="false">IF(OR(V1014="",V1014=0),0,1)</f>
        <v>1</v>
      </c>
      <c r="AN1014" s="65" t="n">
        <f aca="false">IF(OR(E1014="",F1014=""),0,NETWORKDAYS(E1014,F1014,Ref!$K$2:$K$42))</f>
        <v>30</v>
      </c>
      <c r="AO1014" s="65" t="n">
        <f aca="false">IF(L1014="Renewal",1,0)</f>
        <v>0</v>
      </c>
      <c r="AP1014" s="65" t="n">
        <f aca="false">AC1014*AD1014</f>
        <v>0</v>
      </c>
      <c r="AQ1014" s="65" t="n">
        <f aca="false">IF(AND(G1014&lt;&gt;"",'Historical Score'!$C$6&lt;&gt;""),IF(G1014='Historical Score'!$C$6,1,0),0)</f>
        <v>1</v>
      </c>
      <c r="AR1014" s="65" t="n">
        <f aca="false">IF(AND(L1014&lt;&gt;"",'Historical Score'!$C$5&lt;&gt;""),IF(L1014='Historical Score'!$C$5,1,0),0)</f>
        <v>1</v>
      </c>
      <c r="AS1014" s="65" t="n">
        <f aca="false">IF(AND(Y1014&lt;&gt;"",'Historical Score'!$C$7&lt;&gt;""),IF(Y1014='Historical Score'!$C$7,1,0),0)</f>
        <v>0</v>
      </c>
      <c r="AT1014" s="65" t="n">
        <f aca="false">IF(AND(K1014&lt;&gt;"",'Historical Score'!$C$8&lt;&gt;""),IF(K1014='Historical Score'!$C$8,1,0),0)</f>
        <v>0</v>
      </c>
      <c r="AU1014" s="65" t="n">
        <f aca="false">IF(AND(J1014&lt;&gt;"",'Historical Score'!$C$9&lt;&gt;""),IF(J1014='Historical Score'!$C$9,1,0),0)</f>
        <v>0</v>
      </c>
      <c r="AV1014" s="65" t="n">
        <f aca="false">AR1014*AS1014*AQ1014</f>
        <v>0</v>
      </c>
      <c r="AW1014" s="65" t="n">
        <f aca="false">AR1014*AT1014*AQ1014</f>
        <v>0</v>
      </c>
      <c r="AX1014" s="65" t="n">
        <f aca="false">AR1014*AS1014</f>
        <v>0</v>
      </c>
      <c r="AY1014" s="65" t="n">
        <f aca="false">AR1014*AT1014</f>
        <v>0</v>
      </c>
      <c r="AZ1014" s="65" t="n">
        <f aca="false">AR1014*AQ1014</f>
        <v>1</v>
      </c>
      <c r="BA1014" s="65" t="n">
        <f aca="false">AR1014</f>
        <v>1</v>
      </c>
      <c r="BB1014" s="65" t="n">
        <f aca="false">1</f>
        <v>1</v>
      </c>
      <c r="BC1014" s="65" t="n">
        <f aca="false">IF(AV1014=1,1,IF(AW1014=1,2,IF(AX1014=1,3,IF(AY1014=1,4,IF(AZ1014=1,5,IF(BA1014=1,6,7))))))</f>
        <v>5</v>
      </c>
      <c r="BD1014" s="65" t="n">
        <f aca="false">IF(AD1014=1,CHOOSE('Historical Score'!$C$29,AV1014,AW1014,AX1014,AY1014,AZ1014,BA1014,BB1014),0)</f>
        <v>0</v>
      </c>
      <c r="BE1014" s="65" t="str">
        <f aca="false">IF(BD1014=1,COUNTIF($BD$2:BD1014,1),"")</f>
        <v/>
      </c>
    </row>
    <row r="1015" customFormat="false" ht="15" hidden="false" customHeight="false" outlineLevel="0" collapsed="false">
      <c r="A1015" s="65" t="s">
        <v>3041</v>
      </c>
      <c r="B1015" s="65" t="s">
        <v>1619</v>
      </c>
      <c r="C1015" s="65" t="s">
        <v>1620</v>
      </c>
      <c r="D1015" s="65" t="s">
        <v>295</v>
      </c>
      <c r="E1015" s="112" t="n">
        <v>46212</v>
      </c>
      <c r="F1015" s="112" t="n">
        <v>46253</v>
      </c>
      <c r="G1015" s="65" t="n">
        <v>2</v>
      </c>
      <c r="H1015" s="65" t="s">
        <v>1962</v>
      </c>
      <c r="I1015" s="65" t="s">
        <v>415</v>
      </c>
      <c r="J1015" s="65" t="s">
        <v>61</v>
      </c>
      <c r="K1015" s="65" t="s">
        <v>3042</v>
      </c>
      <c r="L1015" s="65" t="s">
        <v>64</v>
      </c>
      <c r="M1015" s="113" t="n">
        <v>1.38</v>
      </c>
      <c r="N1015" s="114" t="n">
        <v>165000</v>
      </c>
      <c r="O1015" s="114" t="n">
        <v>16500</v>
      </c>
      <c r="P1015" s="114" t="n">
        <v>227700</v>
      </c>
      <c r="Q1015" s="114" t="n">
        <v>34105.56</v>
      </c>
      <c r="R1015" s="114" t="n">
        <v>193594.44</v>
      </c>
      <c r="S1015" s="115" t="n">
        <v>0.149782872200264</v>
      </c>
      <c r="T1015" s="65" t="n">
        <v>40</v>
      </c>
      <c r="U1015" s="65" t="n">
        <v>0</v>
      </c>
      <c r="V1015" s="65" t="n">
        <v>1306773.74</v>
      </c>
      <c r="W1015" s="115" t="n">
        <v>0.0174</v>
      </c>
      <c r="X1015" s="112" t="n">
        <v>43619</v>
      </c>
      <c r="Y1015" s="65" t="str">
        <f aca="false">IF(I1015="","No SIC",IFERROR(VLOOKUP(I1015,Ref!$A$2:$B$65,2,FALSE()),"Unclassified"))</f>
        <v>Wholesale Trade - Durable Goods</v>
      </c>
      <c r="Z1015" s="65" t="str">
        <f aca="false">IF(T1015="","",IF(T1015&lt;12,"Daily","Weekly"))</f>
        <v>Weekly</v>
      </c>
      <c r="AA1015" s="65" t="n">
        <f aca="false">IF(T1015="",0,IF(T1015&lt;12,T1015*Controls!$B$29,T1015*5))</f>
        <v>200</v>
      </c>
      <c r="AB1015" s="65" t="n">
        <f aca="false">IF(E1015="",0,NETWORKDAYS(E1015,Controls!$B$36,Ref!$K$2:$K$42))</f>
        <v>34</v>
      </c>
      <c r="AC1015" s="65" t="n">
        <f aca="false">IF(AND(AA1015&gt;0,AB1015&gt;=Controls!$B$39*AA1015),1,0)</f>
        <v>0</v>
      </c>
      <c r="AD1015" s="65" t="n">
        <f aca="false">IF(AND(E1015&lt;&gt;"",E1015&gt;=Controls!$B$37,E1015&lt;=Controls!$B$38),1,0)</f>
        <v>1</v>
      </c>
      <c r="AE1015" s="65" t="n">
        <f aca="false">IF(IFERROR(VLOOKUP(D1015,Controls!$A$64:$E$74,2,FALSE()),"No")="Yes",1,0)</f>
        <v>0</v>
      </c>
      <c r="AF1015" s="65" t="n">
        <f aca="false">IF(IFERROR(VLOOKUP(D1015,Controls!$A$64:$E$74,3,FALSE()),"No")="Yes",1,0)</f>
        <v>0</v>
      </c>
      <c r="AG1015" s="65" t="n">
        <f aca="false">IF(IFERROR(VLOOKUP(D1015,Controls!$A$64:$E$74,4,FALSE()),"No")="Yes",1,0)</f>
        <v>0</v>
      </c>
      <c r="AH1015" s="65" t="n">
        <f aca="false">IF(IFERROR(VLOOKUP(D1015,Controls!$A$64:$E$74,5,FALSE()),"No")="Yes",1,0)</f>
        <v>1</v>
      </c>
      <c r="AI1015" s="65" t="n">
        <f aca="false">IF(ISNUMBER(MATCH(D1015,Controls!$A$64:$A$74,0)),1,0)</f>
        <v>1</v>
      </c>
      <c r="AJ1015" s="65" t="n">
        <f aca="false">Q1015-N1015</f>
        <v>-130894.44</v>
      </c>
      <c r="AK1015" s="65" t="n">
        <f aca="false">IF(AE1015=1,MAX(0,N1015-Q1015),0)</f>
        <v>0</v>
      </c>
      <c r="AL1015" s="65" t="n">
        <f aca="false">IF(OR(V1015="",V1015=0),0,N1015/V1015)</f>
        <v>0.126265163546981</v>
      </c>
      <c r="AM1015" s="65" t="n">
        <f aca="false">IF(OR(V1015="",V1015=0),0,1)</f>
        <v>1</v>
      </c>
      <c r="AN1015" s="65" t="n">
        <f aca="false">IF(OR(E1015="",F1015=""),0,NETWORKDAYS(E1015,F1015,Ref!$K$2:$K$42))</f>
        <v>30</v>
      </c>
      <c r="AO1015" s="65" t="n">
        <f aca="false">IF(L1015="Renewal",1,0)</f>
        <v>0</v>
      </c>
      <c r="AP1015" s="65" t="n">
        <f aca="false">AC1015*AD1015</f>
        <v>0</v>
      </c>
      <c r="AQ1015" s="65" t="n">
        <f aca="false">IF(AND(G1015&lt;&gt;"",'Historical Score'!$C$6&lt;&gt;""),IF(G1015='Historical Score'!$C$6,1,0),0)</f>
        <v>1</v>
      </c>
      <c r="AR1015" s="65" t="n">
        <f aca="false">IF(AND(L1015&lt;&gt;"",'Historical Score'!$C$5&lt;&gt;""),IF(L1015='Historical Score'!$C$5,1,0),0)</f>
        <v>1</v>
      </c>
      <c r="AS1015" s="65" t="n">
        <f aca="false">IF(AND(Y1015&lt;&gt;"",'Historical Score'!$C$7&lt;&gt;""),IF(Y1015='Historical Score'!$C$7,1,0),0)</f>
        <v>0</v>
      </c>
      <c r="AT1015" s="65" t="n">
        <f aca="false">IF(AND(K1015&lt;&gt;"",'Historical Score'!$C$8&lt;&gt;""),IF(K1015='Historical Score'!$C$8,1,0),0)</f>
        <v>0</v>
      </c>
      <c r="AU1015" s="65" t="n">
        <f aca="false">IF(AND(J1015&lt;&gt;"",'Historical Score'!$C$9&lt;&gt;""),IF(J1015='Historical Score'!$C$9,1,0),0)</f>
        <v>1</v>
      </c>
      <c r="AV1015" s="65" t="n">
        <f aca="false">AR1015*AS1015*AQ1015</f>
        <v>0</v>
      </c>
      <c r="AW1015" s="65" t="n">
        <f aca="false">AR1015*AT1015*AQ1015</f>
        <v>0</v>
      </c>
      <c r="AX1015" s="65" t="n">
        <f aca="false">AR1015*AS1015</f>
        <v>0</v>
      </c>
      <c r="AY1015" s="65" t="n">
        <f aca="false">AR1015*AT1015</f>
        <v>0</v>
      </c>
      <c r="AZ1015" s="65" t="n">
        <f aca="false">AR1015*AQ1015</f>
        <v>1</v>
      </c>
      <c r="BA1015" s="65" t="n">
        <f aca="false">AR1015</f>
        <v>1</v>
      </c>
      <c r="BB1015" s="65" t="n">
        <f aca="false">1</f>
        <v>1</v>
      </c>
      <c r="BC1015" s="65" t="n">
        <f aca="false">IF(AV1015=1,1,IF(AW1015=1,2,IF(AX1015=1,3,IF(AY1015=1,4,IF(AZ1015=1,5,IF(BA1015=1,6,7))))))</f>
        <v>5</v>
      </c>
      <c r="BD1015" s="65" t="n">
        <f aca="false">IF(AD1015=1,CHOOSE('Historical Score'!$C$29,AV1015,AW1015,AX1015,AY1015,AZ1015,BA1015,BB1015),0)</f>
        <v>0</v>
      </c>
      <c r="BE1015" s="65" t="str">
        <f aca="false">IF(BD1015=1,COUNTIF($BD$2:BD1015,1),"")</f>
        <v/>
      </c>
    </row>
    <row r="1016" customFormat="false" ht="15" hidden="false" customHeight="false" outlineLevel="0" collapsed="false">
      <c r="A1016" s="65" t="s">
        <v>3043</v>
      </c>
      <c r="B1016" s="65" t="s">
        <v>1750</v>
      </c>
      <c r="C1016" s="65" t="s">
        <v>1750</v>
      </c>
      <c r="D1016" s="65" t="s">
        <v>295</v>
      </c>
      <c r="E1016" s="112" t="n">
        <v>46212</v>
      </c>
      <c r="F1016" s="112" t="n">
        <v>46253</v>
      </c>
      <c r="G1016" s="65" t="n">
        <v>3</v>
      </c>
      <c r="H1016" s="65" t="s">
        <v>442</v>
      </c>
      <c r="I1016" s="65" t="s">
        <v>443</v>
      </c>
      <c r="J1016" s="65" t="s">
        <v>762</v>
      </c>
      <c r="K1016" s="65" t="s">
        <v>1120</v>
      </c>
      <c r="L1016" s="65" t="s">
        <v>320</v>
      </c>
      <c r="M1016" s="113" t="n">
        <v>1.49</v>
      </c>
      <c r="N1016" s="114" t="n">
        <v>30000</v>
      </c>
      <c r="O1016" s="114" t="n">
        <v>4200</v>
      </c>
      <c r="P1016" s="114" t="n">
        <v>44700</v>
      </c>
      <c r="Q1016" s="114" t="n">
        <v>10799.31</v>
      </c>
      <c r="R1016" s="114" t="n">
        <v>33900.69</v>
      </c>
      <c r="S1016" s="115" t="n">
        <v>0.241595302013423</v>
      </c>
      <c r="T1016" s="65" t="n">
        <v>3.934</v>
      </c>
      <c r="U1016" s="65" t="n">
        <v>0</v>
      </c>
      <c r="V1016" s="65" t="n">
        <v>50226.03</v>
      </c>
      <c r="W1016" s="115" t="n">
        <v>0.1557</v>
      </c>
      <c r="X1016" s="112" t="n">
        <v>44627</v>
      </c>
      <c r="Y1016" s="65" t="str">
        <f aca="false">IF(I1016="","No SIC",IFERROR(VLOOKUP(I1016,Ref!$A$2:$B$65,2,FALSE()),"Unclassified"))</f>
        <v>General Building Contractors</v>
      </c>
      <c r="Z1016" s="65" t="str">
        <f aca="false">IF(T1016="","",IF(T1016&lt;12,"Daily","Weekly"))</f>
        <v>Daily</v>
      </c>
      <c r="AA1016" s="65" t="n">
        <f aca="false">IF(T1016="",0,IF(T1016&lt;12,T1016*Controls!$B$29,T1016*5))</f>
        <v>85.19077</v>
      </c>
      <c r="AB1016" s="65" t="n">
        <f aca="false">IF(E1016="",0,NETWORKDAYS(E1016,Controls!$B$36,Ref!$K$2:$K$42))</f>
        <v>34</v>
      </c>
      <c r="AC1016" s="65" t="n">
        <f aca="false">IF(AND(AA1016&gt;0,AB1016&gt;=Controls!$B$39*AA1016),1,0)</f>
        <v>0</v>
      </c>
      <c r="AD1016" s="65" t="n">
        <f aca="false">IF(AND(E1016&lt;&gt;"",E1016&gt;=Controls!$B$37,E1016&lt;=Controls!$B$38),1,0)</f>
        <v>1</v>
      </c>
      <c r="AE1016" s="65" t="n">
        <f aca="false">IF(IFERROR(VLOOKUP(D1016,Controls!$A$64:$E$74,2,FALSE()),"No")="Yes",1,0)</f>
        <v>0</v>
      </c>
      <c r="AF1016" s="65" t="n">
        <f aca="false">IF(IFERROR(VLOOKUP(D1016,Controls!$A$64:$E$74,3,FALSE()),"No")="Yes",1,0)</f>
        <v>0</v>
      </c>
      <c r="AG1016" s="65" t="n">
        <f aca="false">IF(IFERROR(VLOOKUP(D1016,Controls!$A$64:$E$74,4,FALSE()),"No")="Yes",1,0)</f>
        <v>0</v>
      </c>
      <c r="AH1016" s="65" t="n">
        <f aca="false">IF(IFERROR(VLOOKUP(D1016,Controls!$A$64:$E$74,5,FALSE()),"No")="Yes",1,0)</f>
        <v>1</v>
      </c>
      <c r="AI1016" s="65" t="n">
        <f aca="false">IF(ISNUMBER(MATCH(D1016,Controls!$A$64:$A$74,0)),1,0)</f>
        <v>1</v>
      </c>
      <c r="AJ1016" s="65" t="n">
        <f aca="false">Q1016-N1016</f>
        <v>-19200.69</v>
      </c>
      <c r="AK1016" s="65" t="n">
        <f aca="false">IF(AE1016=1,MAX(0,N1016-Q1016),0)</f>
        <v>0</v>
      </c>
      <c r="AL1016" s="65" t="n">
        <f aca="false">IF(OR(V1016="",V1016=0),0,N1016/V1016)</f>
        <v>0.59729984631475</v>
      </c>
      <c r="AM1016" s="65" t="n">
        <f aca="false">IF(OR(V1016="",V1016=0),0,1)</f>
        <v>1</v>
      </c>
      <c r="AN1016" s="65" t="n">
        <f aca="false">IF(OR(E1016="",F1016=""),0,NETWORKDAYS(E1016,F1016,Ref!$K$2:$K$42))</f>
        <v>30</v>
      </c>
      <c r="AO1016" s="65" t="n">
        <f aca="false">IF(L1016="Renewal",1,0)</f>
        <v>1</v>
      </c>
      <c r="AP1016" s="65" t="n">
        <f aca="false">AC1016*AD1016</f>
        <v>0</v>
      </c>
      <c r="AQ1016" s="65" t="n">
        <f aca="false">IF(AND(G1016&lt;&gt;"",'Historical Score'!$C$6&lt;&gt;""),IF(G1016='Historical Score'!$C$6,1,0),0)</f>
        <v>0</v>
      </c>
      <c r="AR1016" s="65" t="n">
        <f aca="false">IF(AND(L1016&lt;&gt;"",'Historical Score'!$C$5&lt;&gt;""),IF(L1016='Historical Score'!$C$5,1,0),0)</f>
        <v>0</v>
      </c>
      <c r="AS1016" s="65" t="n">
        <f aca="false">IF(AND(Y1016&lt;&gt;"",'Historical Score'!$C$7&lt;&gt;""),IF(Y1016='Historical Score'!$C$7,1,0),0)</f>
        <v>1</v>
      </c>
      <c r="AT1016" s="65" t="n">
        <f aca="false">IF(AND(K1016&lt;&gt;"",'Historical Score'!$C$8&lt;&gt;""),IF(K1016='Historical Score'!$C$8,1,0),0)</f>
        <v>0</v>
      </c>
      <c r="AU1016" s="65" t="n">
        <f aca="false">IF(AND(J1016&lt;&gt;"",'Historical Score'!$C$9&lt;&gt;""),IF(J1016='Historical Score'!$C$9,1,0),0)</f>
        <v>0</v>
      </c>
      <c r="AV1016" s="65" t="n">
        <f aca="false">AR1016*AS1016*AQ1016</f>
        <v>0</v>
      </c>
      <c r="AW1016" s="65" t="n">
        <f aca="false">AR1016*AT1016*AQ1016</f>
        <v>0</v>
      </c>
      <c r="AX1016" s="65" t="n">
        <f aca="false">AR1016*AS1016</f>
        <v>0</v>
      </c>
      <c r="AY1016" s="65" t="n">
        <f aca="false">AR1016*AT1016</f>
        <v>0</v>
      </c>
      <c r="AZ1016" s="65" t="n">
        <f aca="false">AR1016*AQ1016</f>
        <v>0</v>
      </c>
      <c r="BA1016" s="65" t="n">
        <f aca="false">AR1016</f>
        <v>0</v>
      </c>
      <c r="BB1016" s="65" t="n">
        <f aca="false">1</f>
        <v>1</v>
      </c>
      <c r="BC1016" s="65" t="n">
        <f aca="false">IF(AV1016=1,1,IF(AW1016=1,2,IF(AX1016=1,3,IF(AY1016=1,4,IF(AZ1016=1,5,IF(BA1016=1,6,7))))))</f>
        <v>7</v>
      </c>
      <c r="BD1016" s="65" t="n">
        <f aca="false">IF(AD1016=1,CHOOSE('Historical Score'!$C$29,AV1016,AW1016,AX1016,AY1016,AZ1016,BA1016,BB1016),0)</f>
        <v>0</v>
      </c>
      <c r="BE1016" s="65" t="str">
        <f aca="false">IF(BD1016=1,COUNTIF($BD$2:BD1016,1),"")</f>
        <v/>
      </c>
    </row>
    <row r="1017" customFormat="false" ht="15" hidden="false" customHeight="false" outlineLevel="0" collapsed="false">
      <c r="A1017" s="65" t="s">
        <v>3044</v>
      </c>
      <c r="B1017" s="65" t="s">
        <v>3045</v>
      </c>
      <c r="C1017" s="65" t="s">
        <v>3046</v>
      </c>
      <c r="D1017" s="65" t="s">
        <v>340</v>
      </c>
      <c r="E1017" s="112" t="n">
        <v>46212</v>
      </c>
      <c r="F1017" s="112" t="n">
        <v>46225</v>
      </c>
      <c r="G1017" s="65" t="n">
        <v>2</v>
      </c>
      <c r="H1017" s="65" t="s">
        <v>1971</v>
      </c>
      <c r="I1017" s="65" t="s">
        <v>703</v>
      </c>
      <c r="J1017" s="65" t="s">
        <v>410</v>
      </c>
      <c r="K1017" s="65" t="s">
        <v>501</v>
      </c>
      <c r="L1017" s="65" t="s">
        <v>64</v>
      </c>
      <c r="M1017" s="113" t="n">
        <v>1.49</v>
      </c>
      <c r="N1017" s="114" t="n">
        <v>25000</v>
      </c>
      <c r="O1017" s="114" t="n">
        <v>0</v>
      </c>
      <c r="P1017" s="114" t="n">
        <v>37250</v>
      </c>
      <c r="Q1017" s="114" t="n">
        <v>1862.16</v>
      </c>
      <c r="R1017" s="114" t="n">
        <v>35387.84</v>
      </c>
      <c r="S1017" s="115" t="n">
        <v>0.0499908724832215</v>
      </c>
      <c r="T1017" s="65" t="n">
        <v>20</v>
      </c>
      <c r="U1017" s="65" t="n">
        <v>1</v>
      </c>
      <c r="V1017" s="65" t="n">
        <v>235066.65</v>
      </c>
      <c r="W1017" s="115" t="n">
        <v>0.0177</v>
      </c>
      <c r="X1017" s="112" t="n">
        <v>45748</v>
      </c>
      <c r="Y1017" s="65" t="str">
        <f aca="false">IF(I1017="","No SIC",IFERROR(VLOOKUP(I1017,Ref!$A$2:$B$65,2,FALSE()),"Unclassified"))</f>
        <v>Wholesale Trade - Nondurable Goods</v>
      </c>
      <c r="Z1017" s="65" t="str">
        <f aca="false">IF(T1017="","",IF(T1017&lt;12,"Daily","Weekly"))</f>
        <v>Weekly</v>
      </c>
      <c r="AA1017" s="65" t="n">
        <f aca="false">IF(T1017="",0,IF(T1017&lt;12,T1017*Controls!$B$29,T1017*5))</f>
        <v>100</v>
      </c>
      <c r="AB1017" s="65" t="n">
        <f aca="false">IF(E1017="",0,NETWORKDAYS(E1017,Controls!$B$36,Ref!$K$2:$K$42))</f>
        <v>34</v>
      </c>
      <c r="AC1017" s="65" t="n">
        <f aca="false">IF(AND(AA1017&gt;0,AB1017&gt;=Controls!$B$39*AA1017),1,0)</f>
        <v>0</v>
      </c>
      <c r="AD1017" s="65" t="n">
        <f aca="false">IF(AND(E1017&lt;&gt;"",E1017&gt;=Controls!$B$37,E1017&lt;=Controls!$B$38),1,0)</f>
        <v>1</v>
      </c>
      <c r="AE1017" s="65" t="n">
        <f aca="false">IF(IFERROR(VLOOKUP(D1017,Controls!$A$64:$E$74,2,FALSE()),"No")="Yes",1,0)</f>
        <v>1</v>
      </c>
      <c r="AF1017" s="65" t="n">
        <f aca="false">IF(IFERROR(VLOOKUP(D1017,Controls!$A$64:$E$74,3,FALSE()),"No")="Yes",1,0)</f>
        <v>0</v>
      </c>
      <c r="AG1017" s="65" t="n">
        <f aca="false">IF(IFERROR(VLOOKUP(D1017,Controls!$A$64:$E$74,4,FALSE()),"No")="Yes",1,0)</f>
        <v>0</v>
      </c>
      <c r="AH1017" s="65" t="n">
        <f aca="false">IF(IFERROR(VLOOKUP(D1017,Controls!$A$64:$E$74,5,FALSE()),"No")="Yes",1,0)</f>
        <v>0</v>
      </c>
      <c r="AI1017" s="65" t="n">
        <f aca="false">IF(ISNUMBER(MATCH(D1017,Controls!$A$64:$A$74,0)),1,0)</f>
        <v>1</v>
      </c>
      <c r="AJ1017" s="65" t="n">
        <f aca="false">Q1017-N1017</f>
        <v>-23137.84</v>
      </c>
      <c r="AK1017" s="65" t="n">
        <f aca="false">IF(AE1017=1,MAX(0,N1017-Q1017),0)</f>
        <v>23137.84</v>
      </c>
      <c r="AL1017" s="65" t="n">
        <f aca="false">IF(OR(V1017="",V1017=0),0,N1017/V1017)</f>
        <v>0.106352815254737</v>
      </c>
      <c r="AM1017" s="65" t="n">
        <f aca="false">IF(OR(V1017="",V1017=0),0,1)</f>
        <v>1</v>
      </c>
      <c r="AN1017" s="65" t="n">
        <f aca="false">IF(OR(E1017="",F1017=""),0,NETWORKDAYS(E1017,F1017,Ref!$K$2:$K$42))</f>
        <v>10</v>
      </c>
      <c r="AO1017" s="65" t="n">
        <f aca="false">IF(L1017="Renewal",1,0)</f>
        <v>0</v>
      </c>
      <c r="AP1017" s="65" t="n">
        <f aca="false">AC1017*AD1017</f>
        <v>0</v>
      </c>
      <c r="AQ1017" s="65" t="n">
        <f aca="false">IF(AND(G1017&lt;&gt;"",'Historical Score'!$C$6&lt;&gt;""),IF(G1017='Historical Score'!$C$6,1,0),0)</f>
        <v>1</v>
      </c>
      <c r="AR1017" s="65" t="n">
        <f aca="false">IF(AND(L1017&lt;&gt;"",'Historical Score'!$C$5&lt;&gt;""),IF(L1017='Historical Score'!$C$5,1,0),0)</f>
        <v>1</v>
      </c>
      <c r="AS1017" s="65" t="n">
        <f aca="false">IF(AND(Y1017&lt;&gt;"",'Historical Score'!$C$7&lt;&gt;""),IF(Y1017='Historical Score'!$C$7,1,0),0)</f>
        <v>0</v>
      </c>
      <c r="AT1017" s="65" t="n">
        <f aca="false">IF(AND(K1017&lt;&gt;"",'Historical Score'!$C$8&lt;&gt;""),IF(K1017='Historical Score'!$C$8,1,0),0)</f>
        <v>0</v>
      </c>
      <c r="AU1017" s="65" t="n">
        <f aca="false">IF(AND(J1017&lt;&gt;"",'Historical Score'!$C$9&lt;&gt;""),IF(J1017='Historical Score'!$C$9,1,0),0)</f>
        <v>0</v>
      </c>
      <c r="AV1017" s="65" t="n">
        <f aca="false">AR1017*AS1017*AQ1017</f>
        <v>0</v>
      </c>
      <c r="AW1017" s="65" t="n">
        <f aca="false">AR1017*AT1017*AQ1017</f>
        <v>0</v>
      </c>
      <c r="AX1017" s="65" t="n">
        <f aca="false">AR1017*AS1017</f>
        <v>0</v>
      </c>
      <c r="AY1017" s="65" t="n">
        <f aca="false">AR1017*AT1017</f>
        <v>0</v>
      </c>
      <c r="AZ1017" s="65" t="n">
        <f aca="false">AR1017*AQ1017</f>
        <v>1</v>
      </c>
      <c r="BA1017" s="65" t="n">
        <f aca="false">AR1017</f>
        <v>1</v>
      </c>
      <c r="BB1017" s="65" t="n">
        <f aca="false">1</f>
        <v>1</v>
      </c>
      <c r="BC1017" s="65" t="n">
        <f aca="false">IF(AV1017=1,1,IF(AW1017=1,2,IF(AX1017=1,3,IF(AY1017=1,4,IF(AZ1017=1,5,IF(BA1017=1,6,7))))))</f>
        <v>5</v>
      </c>
      <c r="BD1017" s="65" t="n">
        <f aca="false">IF(AD1017=1,CHOOSE('Historical Score'!$C$29,AV1017,AW1017,AX1017,AY1017,AZ1017,BA1017,BB1017),0)</f>
        <v>0</v>
      </c>
      <c r="BE1017" s="65" t="str">
        <f aca="false">IF(BD1017=1,COUNTIF($BD$2:BD1017,1),"")</f>
        <v/>
      </c>
    </row>
    <row r="1018" customFormat="false" ht="15" hidden="false" customHeight="false" outlineLevel="0" collapsed="false">
      <c r="A1018" s="65" t="s">
        <v>3047</v>
      </c>
      <c r="B1018" s="65" t="s">
        <v>3048</v>
      </c>
      <c r="C1018" s="65" t="s">
        <v>3049</v>
      </c>
      <c r="D1018" s="65" t="s">
        <v>295</v>
      </c>
      <c r="E1018" s="112" t="n">
        <v>46213</v>
      </c>
      <c r="F1018" s="112" t="n">
        <v>46247</v>
      </c>
      <c r="G1018" s="65" t="n">
        <v>3</v>
      </c>
      <c r="H1018" s="65" t="s">
        <v>3050</v>
      </c>
      <c r="I1018" s="65" t="s">
        <v>1478</v>
      </c>
      <c r="J1018" s="65" t="s">
        <v>3051</v>
      </c>
      <c r="K1018" s="65" t="s">
        <v>538</v>
      </c>
      <c r="L1018" s="65" t="s">
        <v>64</v>
      </c>
      <c r="M1018" s="113" t="n">
        <v>1.45</v>
      </c>
      <c r="N1018" s="114" t="n">
        <v>225000</v>
      </c>
      <c r="O1018" s="114" t="n">
        <v>27000</v>
      </c>
      <c r="P1018" s="114" t="n">
        <v>326250</v>
      </c>
      <c r="Q1018" s="114" t="n">
        <v>47891.95</v>
      </c>
      <c r="R1018" s="114" t="n">
        <v>278358.05</v>
      </c>
      <c r="S1018" s="115" t="n">
        <v>0.146795249042146</v>
      </c>
      <c r="T1018" s="65" t="n">
        <v>34</v>
      </c>
      <c r="U1018" s="65" t="n">
        <v>0</v>
      </c>
      <c r="V1018" s="65" t="n">
        <v>1658595.82</v>
      </c>
      <c r="W1018" s="115" t="n">
        <v>0.0231</v>
      </c>
      <c r="X1018" s="112" t="n">
        <v>35492</v>
      </c>
      <c r="Y1018" s="65" t="str">
        <f aca="false">IF(I1018="","No SIC",IFERROR(VLOOKUP(I1018,Ref!$A$2:$B$65,2,FALSE()),"Unclassified"))</f>
        <v>Educational Services</v>
      </c>
      <c r="Z1018" s="65" t="str">
        <f aca="false">IF(T1018="","",IF(T1018&lt;12,"Daily","Weekly"))</f>
        <v>Weekly</v>
      </c>
      <c r="AA1018" s="65" t="n">
        <f aca="false">IF(T1018="",0,IF(T1018&lt;12,T1018*Controls!$B$29,T1018*5))</f>
        <v>170</v>
      </c>
      <c r="AB1018" s="65" t="n">
        <f aca="false">IF(E1018="",0,NETWORKDAYS(E1018,Controls!$B$36,Ref!$K$2:$K$42))</f>
        <v>33</v>
      </c>
      <c r="AC1018" s="65" t="n">
        <f aca="false">IF(AND(AA1018&gt;0,AB1018&gt;=Controls!$B$39*AA1018),1,0)</f>
        <v>0</v>
      </c>
      <c r="AD1018" s="65" t="n">
        <f aca="false">IF(AND(E1018&lt;&gt;"",E1018&gt;=Controls!$B$37,E1018&lt;=Controls!$B$38),1,0)</f>
        <v>1</v>
      </c>
      <c r="AE1018" s="65" t="n">
        <f aca="false">IF(IFERROR(VLOOKUP(D1018,Controls!$A$64:$E$74,2,FALSE()),"No")="Yes",1,0)</f>
        <v>0</v>
      </c>
      <c r="AF1018" s="65" t="n">
        <f aca="false">IF(IFERROR(VLOOKUP(D1018,Controls!$A$64:$E$74,3,FALSE()),"No")="Yes",1,0)</f>
        <v>0</v>
      </c>
      <c r="AG1018" s="65" t="n">
        <f aca="false">IF(IFERROR(VLOOKUP(D1018,Controls!$A$64:$E$74,4,FALSE()),"No")="Yes",1,0)</f>
        <v>0</v>
      </c>
      <c r="AH1018" s="65" t="n">
        <f aca="false">IF(IFERROR(VLOOKUP(D1018,Controls!$A$64:$E$74,5,FALSE()),"No")="Yes",1,0)</f>
        <v>1</v>
      </c>
      <c r="AI1018" s="65" t="n">
        <f aca="false">IF(ISNUMBER(MATCH(D1018,Controls!$A$64:$A$74,0)),1,0)</f>
        <v>1</v>
      </c>
      <c r="AJ1018" s="65" t="n">
        <f aca="false">Q1018-N1018</f>
        <v>-177108.05</v>
      </c>
      <c r="AK1018" s="65" t="n">
        <f aca="false">IF(AE1018=1,MAX(0,N1018-Q1018),0)</f>
        <v>0</v>
      </c>
      <c r="AL1018" s="65" t="n">
        <f aca="false">IF(OR(V1018="",V1018=0),0,N1018/V1018)</f>
        <v>0.135656919718995</v>
      </c>
      <c r="AM1018" s="65" t="n">
        <f aca="false">IF(OR(V1018="",V1018=0),0,1)</f>
        <v>1</v>
      </c>
      <c r="AN1018" s="65" t="n">
        <f aca="false">IF(OR(E1018="",F1018=""),0,NETWORKDAYS(E1018,F1018,Ref!$K$2:$K$42))</f>
        <v>25</v>
      </c>
      <c r="AO1018" s="65" t="n">
        <f aca="false">IF(L1018="Renewal",1,0)</f>
        <v>0</v>
      </c>
      <c r="AP1018" s="65" t="n">
        <f aca="false">AC1018*AD1018</f>
        <v>0</v>
      </c>
      <c r="AQ1018" s="65" t="n">
        <f aca="false">IF(AND(G1018&lt;&gt;"",'Historical Score'!$C$6&lt;&gt;""),IF(G1018='Historical Score'!$C$6,1,0),0)</f>
        <v>0</v>
      </c>
      <c r="AR1018" s="65" t="n">
        <f aca="false">IF(AND(L1018&lt;&gt;"",'Historical Score'!$C$5&lt;&gt;""),IF(L1018='Historical Score'!$C$5,1,0),0)</f>
        <v>1</v>
      </c>
      <c r="AS1018" s="65" t="n">
        <f aca="false">IF(AND(Y1018&lt;&gt;"",'Historical Score'!$C$7&lt;&gt;""),IF(Y1018='Historical Score'!$C$7,1,0),0)</f>
        <v>0</v>
      </c>
      <c r="AT1018" s="65" t="n">
        <f aca="false">IF(AND(K1018&lt;&gt;"",'Historical Score'!$C$8&lt;&gt;""),IF(K1018='Historical Score'!$C$8,1,0),0)</f>
        <v>0</v>
      </c>
      <c r="AU1018" s="65" t="n">
        <f aca="false">IF(AND(J1018&lt;&gt;"",'Historical Score'!$C$9&lt;&gt;""),IF(J1018='Historical Score'!$C$9,1,0),0)</f>
        <v>0</v>
      </c>
      <c r="AV1018" s="65" t="n">
        <f aca="false">AR1018*AS1018*AQ1018</f>
        <v>0</v>
      </c>
      <c r="AW1018" s="65" t="n">
        <f aca="false">AR1018*AT1018*AQ1018</f>
        <v>0</v>
      </c>
      <c r="AX1018" s="65" t="n">
        <f aca="false">AR1018*AS1018</f>
        <v>0</v>
      </c>
      <c r="AY1018" s="65" t="n">
        <f aca="false">AR1018*AT1018</f>
        <v>0</v>
      </c>
      <c r="AZ1018" s="65" t="n">
        <f aca="false">AR1018*AQ1018</f>
        <v>0</v>
      </c>
      <c r="BA1018" s="65" t="n">
        <f aca="false">AR1018</f>
        <v>1</v>
      </c>
      <c r="BB1018" s="65" t="n">
        <f aca="false">1</f>
        <v>1</v>
      </c>
      <c r="BC1018" s="65" t="n">
        <f aca="false">IF(AV1018=1,1,IF(AW1018=1,2,IF(AX1018=1,3,IF(AY1018=1,4,IF(AZ1018=1,5,IF(BA1018=1,6,7))))))</f>
        <v>6</v>
      </c>
      <c r="BD1018" s="65" t="n">
        <f aca="false">IF(AD1018=1,CHOOSE('Historical Score'!$C$29,AV1018,AW1018,AX1018,AY1018,AZ1018,BA1018,BB1018),0)</f>
        <v>0</v>
      </c>
      <c r="BE1018" s="65" t="str">
        <f aca="false">IF(BD1018=1,COUNTIF($BD$2:BD1018,1),"")</f>
        <v/>
      </c>
    </row>
    <row r="1019" customFormat="false" ht="15" hidden="false" customHeight="false" outlineLevel="0" collapsed="false">
      <c r="A1019" s="65" t="s">
        <v>3052</v>
      </c>
      <c r="B1019" s="65" t="s">
        <v>3053</v>
      </c>
      <c r="C1019" s="65" t="s">
        <v>3054</v>
      </c>
      <c r="D1019" s="65" t="s">
        <v>371</v>
      </c>
      <c r="E1019" s="112" t="n">
        <v>46213</v>
      </c>
      <c r="F1019" s="112" t="n">
        <v>46246</v>
      </c>
      <c r="G1019" s="65" t="n">
        <v>3</v>
      </c>
      <c r="H1019" s="65" t="s">
        <v>3050</v>
      </c>
      <c r="I1019" s="65" t="s">
        <v>1478</v>
      </c>
      <c r="J1019" s="65" t="s">
        <v>452</v>
      </c>
      <c r="K1019" s="65" t="s">
        <v>55</v>
      </c>
      <c r="L1019" s="65" t="s">
        <v>64</v>
      </c>
      <c r="M1019" s="113" t="n">
        <v>1.2460608</v>
      </c>
      <c r="N1019" s="114" t="n">
        <v>150000</v>
      </c>
      <c r="O1019" s="114" t="n">
        <v>21000</v>
      </c>
      <c r="P1019" s="114" t="n">
        <v>186909.12</v>
      </c>
      <c r="Q1019" s="114" t="n">
        <v>186909.12</v>
      </c>
      <c r="R1019" s="114" t="n">
        <v>0</v>
      </c>
      <c r="S1019" s="115" t="n">
        <v>1</v>
      </c>
      <c r="T1019" s="65" t="n">
        <v>32</v>
      </c>
      <c r="U1019" s="65" t="n">
        <v>0</v>
      </c>
      <c r="V1019" s="65" t="n">
        <v>760957.2</v>
      </c>
      <c r="W1019" s="115" t="n">
        <v>0.0167</v>
      </c>
      <c r="X1019" s="112" t="n">
        <v>43101</v>
      </c>
      <c r="Y1019" s="65" t="str">
        <f aca="false">IF(I1019="","No SIC",IFERROR(VLOOKUP(I1019,Ref!$A$2:$B$65,2,FALSE()),"Unclassified"))</f>
        <v>Educational Services</v>
      </c>
      <c r="Z1019" s="65" t="str">
        <f aca="false">IF(T1019="","",IF(T1019&lt;12,"Daily","Weekly"))</f>
        <v>Weekly</v>
      </c>
      <c r="AA1019" s="65" t="n">
        <f aca="false">IF(T1019="",0,IF(T1019&lt;12,T1019*Controls!$B$29,T1019*5))</f>
        <v>160</v>
      </c>
      <c r="AB1019" s="65" t="n">
        <f aca="false">IF(E1019="",0,NETWORKDAYS(E1019,Controls!$B$36,Ref!$K$2:$K$42))</f>
        <v>33</v>
      </c>
      <c r="AC1019" s="65" t="n">
        <f aca="false">IF(AND(AA1019&gt;0,AB1019&gt;=Controls!$B$39*AA1019),1,0)</f>
        <v>0</v>
      </c>
      <c r="AD1019" s="65" t="n">
        <f aca="false">IF(AND(E1019&lt;&gt;"",E1019&gt;=Controls!$B$37,E1019&lt;=Controls!$B$38),1,0)</f>
        <v>1</v>
      </c>
      <c r="AE1019" s="65" t="n">
        <f aca="false">IF(IFERROR(VLOOKUP(D1019,Controls!$A$64:$E$74,2,FALSE()),"No")="Yes",1,0)</f>
        <v>0</v>
      </c>
      <c r="AF1019" s="65" t="n">
        <f aca="false">IF(IFERROR(VLOOKUP(D1019,Controls!$A$64:$E$74,3,FALSE()),"No")="Yes",1,0)</f>
        <v>1</v>
      </c>
      <c r="AG1019" s="65" t="n">
        <f aca="false">IF(IFERROR(VLOOKUP(D1019,Controls!$A$64:$E$74,4,FALSE()),"No")="Yes",1,0)</f>
        <v>1</v>
      </c>
      <c r="AH1019" s="65" t="n">
        <f aca="false">IF(IFERROR(VLOOKUP(D1019,Controls!$A$64:$E$74,5,FALSE()),"No")="Yes",1,0)</f>
        <v>0</v>
      </c>
      <c r="AI1019" s="65" t="n">
        <f aca="false">IF(ISNUMBER(MATCH(D1019,Controls!$A$64:$A$74,0)),1,0)</f>
        <v>1</v>
      </c>
      <c r="AJ1019" s="65" t="n">
        <f aca="false">Q1019-N1019</f>
        <v>36909.12</v>
      </c>
      <c r="AK1019" s="65" t="n">
        <f aca="false">IF(AE1019=1,MAX(0,N1019-Q1019),0)</f>
        <v>0</v>
      </c>
      <c r="AL1019" s="65" t="n">
        <f aca="false">IF(OR(V1019="",V1019=0),0,N1019/V1019)</f>
        <v>0.197120153406788</v>
      </c>
      <c r="AM1019" s="65" t="n">
        <f aca="false">IF(OR(V1019="",V1019=0),0,1)</f>
        <v>1</v>
      </c>
      <c r="AN1019" s="65" t="n">
        <f aca="false">IF(OR(E1019="",F1019=""),0,NETWORKDAYS(E1019,F1019,Ref!$K$2:$K$42))</f>
        <v>24</v>
      </c>
      <c r="AO1019" s="65" t="n">
        <f aca="false">IF(L1019="Renewal",1,0)</f>
        <v>0</v>
      </c>
      <c r="AP1019" s="65" t="n">
        <f aca="false">AC1019*AD1019</f>
        <v>0</v>
      </c>
      <c r="AQ1019" s="65" t="n">
        <f aca="false">IF(AND(G1019&lt;&gt;"",'Historical Score'!$C$6&lt;&gt;""),IF(G1019='Historical Score'!$C$6,1,0),0)</f>
        <v>0</v>
      </c>
      <c r="AR1019" s="65" t="n">
        <f aca="false">IF(AND(L1019&lt;&gt;"",'Historical Score'!$C$5&lt;&gt;""),IF(L1019='Historical Score'!$C$5,1,0),0)</f>
        <v>1</v>
      </c>
      <c r="AS1019" s="65" t="n">
        <f aca="false">IF(AND(Y1019&lt;&gt;"",'Historical Score'!$C$7&lt;&gt;""),IF(Y1019='Historical Score'!$C$7,1,0),0)</f>
        <v>0</v>
      </c>
      <c r="AT1019" s="65" t="n">
        <f aca="false">IF(AND(K1019&lt;&gt;"",'Historical Score'!$C$8&lt;&gt;""),IF(K1019='Historical Score'!$C$8,1,0),0)</f>
        <v>1</v>
      </c>
      <c r="AU1019" s="65" t="n">
        <f aca="false">IF(AND(J1019&lt;&gt;"",'Historical Score'!$C$9&lt;&gt;""),IF(J1019='Historical Score'!$C$9,1,0),0)</f>
        <v>0</v>
      </c>
      <c r="AV1019" s="65" t="n">
        <f aca="false">AR1019*AS1019*AQ1019</f>
        <v>0</v>
      </c>
      <c r="AW1019" s="65" t="n">
        <f aca="false">AR1019*AT1019*AQ1019</f>
        <v>0</v>
      </c>
      <c r="AX1019" s="65" t="n">
        <f aca="false">AR1019*AS1019</f>
        <v>0</v>
      </c>
      <c r="AY1019" s="65" t="n">
        <f aca="false">AR1019*AT1019</f>
        <v>1</v>
      </c>
      <c r="AZ1019" s="65" t="n">
        <f aca="false">AR1019*AQ1019</f>
        <v>0</v>
      </c>
      <c r="BA1019" s="65" t="n">
        <f aca="false">AR1019</f>
        <v>1</v>
      </c>
      <c r="BB1019" s="65" t="n">
        <f aca="false">1</f>
        <v>1</v>
      </c>
      <c r="BC1019" s="65" t="n">
        <f aca="false">IF(AV1019=1,1,IF(AW1019=1,2,IF(AX1019=1,3,IF(AY1019=1,4,IF(AZ1019=1,5,IF(BA1019=1,6,7))))))</f>
        <v>4</v>
      </c>
      <c r="BD1019" s="65" t="n">
        <f aca="false">IF(AD1019=1,CHOOSE('Historical Score'!$C$29,AV1019,AW1019,AX1019,AY1019,AZ1019,BA1019,BB1019),0)</f>
        <v>0</v>
      </c>
      <c r="BE1019" s="65" t="str">
        <f aca="false">IF(BD1019=1,COUNTIF($BD$2:BD1019,1),"")</f>
        <v/>
      </c>
    </row>
    <row r="1020" customFormat="false" ht="15" hidden="false" customHeight="false" outlineLevel="0" collapsed="false">
      <c r="A1020" s="65" t="s">
        <v>3055</v>
      </c>
      <c r="B1020" s="65" t="s">
        <v>1743</v>
      </c>
      <c r="C1020" s="65" t="s">
        <v>1743</v>
      </c>
      <c r="D1020" s="65" t="s">
        <v>295</v>
      </c>
      <c r="E1020" s="112" t="n">
        <v>46213</v>
      </c>
      <c r="F1020" s="112" t="n">
        <v>46248</v>
      </c>
      <c r="G1020" s="65" t="n">
        <v>3</v>
      </c>
      <c r="H1020" s="65" t="s">
        <v>500</v>
      </c>
      <c r="I1020" s="65" t="s">
        <v>475</v>
      </c>
      <c r="J1020" s="65" t="s">
        <v>704</v>
      </c>
      <c r="K1020" s="65" t="s">
        <v>55</v>
      </c>
      <c r="L1020" s="65" t="s">
        <v>320</v>
      </c>
      <c r="M1020" s="113" t="n">
        <v>1.49</v>
      </c>
      <c r="N1020" s="114" t="n">
        <v>40000</v>
      </c>
      <c r="O1020" s="114" t="n">
        <v>5600</v>
      </c>
      <c r="P1020" s="114" t="n">
        <v>59600</v>
      </c>
      <c r="Q1020" s="114" t="n">
        <v>8278.1</v>
      </c>
      <c r="R1020" s="114" t="n">
        <v>51321.9</v>
      </c>
      <c r="S1020" s="115" t="n">
        <v>0.138894295302013</v>
      </c>
      <c r="T1020" s="65" t="n">
        <v>36</v>
      </c>
      <c r="U1020" s="65" t="n">
        <v>0</v>
      </c>
      <c r="V1020" s="65" t="n">
        <v>44329</v>
      </c>
      <c r="W1020" s="115" t="n">
        <v>0.1835</v>
      </c>
      <c r="X1020" s="112" t="n">
        <v>45812</v>
      </c>
      <c r="Y1020" s="65" t="str">
        <f aca="false">IF(I1020="","No SIC",IFERROR(VLOOKUP(I1020,Ref!$A$2:$B$65,2,FALSE()),"Unclassified"))</f>
        <v>Auto Repair &amp; Services</v>
      </c>
      <c r="Z1020" s="65" t="str">
        <f aca="false">IF(T1020="","",IF(T1020&lt;12,"Daily","Weekly"))</f>
        <v>Weekly</v>
      </c>
      <c r="AA1020" s="65" t="n">
        <f aca="false">IF(T1020="",0,IF(T1020&lt;12,T1020*Controls!$B$29,T1020*5))</f>
        <v>180</v>
      </c>
      <c r="AB1020" s="65" t="n">
        <f aca="false">IF(E1020="",0,NETWORKDAYS(E1020,Controls!$B$36,Ref!$K$2:$K$42))</f>
        <v>33</v>
      </c>
      <c r="AC1020" s="65" t="n">
        <f aca="false">IF(AND(AA1020&gt;0,AB1020&gt;=Controls!$B$39*AA1020),1,0)</f>
        <v>0</v>
      </c>
      <c r="AD1020" s="65" t="n">
        <f aca="false">IF(AND(E1020&lt;&gt;"",E1020&gt;=Controls!$B$37,E1020&lt;=Controls!$B$38),1,0)</f>
        <v>1</v>
      </c>
      <c r="AE1020" s="65" t="n">
        <f aca="false">IF(IFERROR(VLOOKUP(D1020,Controls!$A$64:$E$74,2,FALSE()),"No")="Yes",1,0)</f>
        <v>0</v>
      </c>
      <c r="AF1020" s="65" t="n">
        <f aca="false">IF(IFERROR(VLOOKUP(D1020,Controls!$A$64:$E$74,3,FALSE()),"No")="Yes",1,0)</f>
        <v>0</v>
      </c>
      <c r="AG1020" s="65" t="n">
        <f aca="false">IF(IFERROR(VLOOKUP(D1020,Controls!$A$64:$E$74,4,FALSE()),"No")="Yes",1,0)</f>
        <v>0</v>
      </c>
      <c r="AH1020" s="65" t="n">
        <f aca="false">IF(IFERROR(VLOOKUP(D1020,Controls!$A$64:$E$74,5,FALSE()),"No")="Yes",1,0)</f>
        <v>1</v>
      </c>
      <c r="AI1020" s="65" t="n">
        <f aca="false">IF(ISNUMBER(MATCH(D1020,Controls!$A$64:$A$74,0)),1,0)</f>
        <v>1</v>
      </c>
      <c r="AJ1020" s="65" t="n">
        <f aca="false">Q1020-N1020</f>
        <v>-31721.9</v>
      </c>
      <c r="AK1020" s="65" t="n">
        <f aca="false">IF(AE1020=1,MAX(0,N1020-Q1020),0)</f>
        <v>0</v>
      </c>
      <c r="AL1020" s="65" t="n">
        <f aca="false">IF(OR(V1020="",V1020=0),0,N1020/V1020)</f>
        <v>0.902343838119516</v>
      </c>
      <c r="AM1020" s="65" t="n">
        <f aca="false">IF(OR(V1020="",V1020=0),0,1)</f>
        <v>1</v>
      </c>
      <c r="AN1020" s="65" t="n">
        <f aca="false">IF(OR(E1020="",F1020=""),0,NETWORKDAYS(E1020,F1020,Ref!$K$2:$K$42))</f>
        <v>26</v>
      </c>
      <c r="AO1020" s="65" t="n">
        <f aca="false">IF(L1020="Renewal",1,0)</f>
        <v>1</v>
      </c>
      <c r="AP1020" s="65" t="n">
        <f aca="false">AC1020*AD1020</f>
        <v>0</v>
      </c>
      <c r="AQ1020" s="65" t="n">
        <f aca="false">IF(AND(G1020&lt;&gt;"",'Historical Score'!$C$6&lt;&gt;""),IF(G1020='Historical Score'!$C$6,1,0),0)</f>
        <v>0</v>
      </c>
      <c r="AR1020" s="65" t="n">
        <f aca="false">IF(AND(L1020&lt;&gt;"",'Historical Score'!$C$5&lt;&gt;""),IF(L1020='Historical Score'!$C$5,1,0),0)</f>
        <v>0</v>
      </c>
      <c r="AS1020" s="65" t="n">
        <f aca="false">IF(AND(Y1020&lt;&gt;"",'Historical Score'!$C$7&lt;&gt;""),IF(Y1020='Historical Score'!$C$7,1,0),0)</f>
        <v>0</v>
      </c>
      <c r="AT1020" s="65" t="n">
        <f aca="false">IF(AND(K1020&lt;&gt;"",'Historical Score'!$C$8&lt;&gt;""),IF(K1020='Historical Score'!$C$8,1,0),0)</f>
        <v>1</v>
      </c>
      <c r="AU1020" s="65" t="n">
        <f aca="false">IF(AND(J1020&lt;&gt;"",'Historical Score'!$C$9&lt;&gt;""),IF(J1020='Historical Score'!$C$9,1,0),0)</f>
        <v>0</v>
      </c>
      <c r="AV1020" s="65" t="n">
        <f aca="false">AR1020*AS1020*AQ1020</f>
        <v>0</v>
      </c>
      <c r="AW1020" s="65" t="n">
        <f aca="false">AR1020*AT1020*AQ1020</f>
        <v>0</v>
      </c>
      <c r="AX1020" s="65" t="n">
        <f aca="false">AR1020*AS1020</f>
        <v>0</v>
      </c>
      <c r="AY1020" s="65" t="n">
        <f aca="false">AR1020*AT1020</f>
        <v>0</v>
      </c>
      <c r="AZ1020" s="65" t="n">
        <f aca="false">AR1020*AQ1020</f>
        <v>0</v>
      </c>
      <c r="BA1020" s="65" t="n">
        <f aca="false">AR1020</f>
        <v>0</v>
      </c>
      <c r="BB1020" s="65" t="n">
        <f aca="false">1</f>
        <v>1</v>
      </c>
      <c r="BC1020" s="65" t="n">
        <f aca="false">IF(AV1020=1,1,IF(AW1020=1,2,IF(AX1020=1,3,IF(AY1020=1,4,IF(AZ1020=1,5,IF(BA1020=1,6,7))))))</f>
        <v>7</v>
      </c>
      <c r="BD1020" s="65" t="n">
        <f aca="false">IF(AD1020=1,CHOOSE('Historical Score'!$C$29,AV1020,AW1020,AX1020,AY1020,AZ1020,BA1020,BB1020),0)</f>
        <v>0</v>
      </c>
      <c r="BE1020" s="65" t="str">
        <f aca="false">IF(BD1020=1,COUNTIF($BD$2:BD1020,1),"")</f>
        <v/>
      </c>
    </row>
    <row r="1021" customFormat="false" ht="15" hidden="false" customHeight="false" outlineLevel="0" collapsed="false">
      <c r="A1021" s="65" t="s">
        <v>3056</v>
      </c>
      <c r="B1021" s="65" t="s">
        <v>3057</v>
      </c>
      <c r="C1021" s="65" t="s">
        <v>3058</v>
      </c>
      <c r="D1021" s="65" t="s">
        <v>959</v>
      </c>
      <c r="E1021" s="112" t="n">
        <v>46213</v>
      </c>
      <c r="F1021" s="112" t="n">
        <v>46253</v>
      </c>
      <c r="G1021" s="65" t="n">
        <v>3</v>
      </c>
      <c r="H1021" s="65" t="s">
        <v>3059</v>
      </c>
      <c r="I1021" s="65" t="s">
        <v>2060</v>
      </c>
      <c r="J1021" s="65" t="s">
        <v>546</v>
      </c>
      <c r="K1021" s="65" t="s">
        <v>3060</v>
      </c>
      <c r="L1021" s="65" t="s">
        <v>64</v>
      </c>
      <c r="M1021" s="113" t="n">
        <v>1.49</v>
      </c>
      <c r="N1021" s="114" t="n">
        <v>10000</v>
      </c>
      <c r="O1021" s="114" t="n">
        <v>0</v>
      </c>
      <c r="P1021" s="114" t="n">
        <v>14900</v>
      </c>
      <c r="Q1021" s="114" t="n">
        <v>965.55</v>
      </c>
      <c r="R1021" s="114" t="n">
        <v>13934.45</v>
      </c>
      <c r="S1021" s="115" t="n">
        <v>0.0648020134228188</v>
      </c>
      <c r="T1021" s="65" t="n">
        <v>2.951</v>
      </c>
      <c r="U1021" s="65" t="n">
        <v>19</v>
      </c>
      <c r="V1021" s="65" t="n">
        <v>23002.23</v>
      </c>
      <c r="W1021" s="115" t="n">
        <v>0.1511</v>
      </c>
      <c r="X1021" s="112" t="n">
        <v>45858</v>
      </c>
      <c r="Y1021" s="65" t="str">
        <f aca="false">IF(I1021="","No SIC",IFERROR(VLOOKUP(I1021,Ref!$A$2:$B$65,2,FALSE()),"Unclassified"))</f>
        <v>Furniture &amp; Home Furnishings Stores</v>
      </c>
      <c r="Z1021" s="65" t="str">
        <f aca="false">IF(T1021="","",IF(T1021&lt;12,"Daily","Weekly"))</f>
        <v>Daily</v>
      </c>
      <c r="AA1021" s="65" t="n">
        <f aca="false">IF(T1021="",0,IF(T1021&lt;12,T1021*Controls!$B$29,T1021*5))</f>
        <v>63.903905</v>
      </c>
      <c r="AB1021" s="65" t="n">
        <f aca="false">IF(E1021="",0,NETWORKDAYS(E1021,Controls!$B$36,Ref!$K$2:$K$42))</f>
        <v>33</v>
      </c>
      <c r="AC1021" s="65" t="n">
        <f aca="false">IF(AND(AA1021&gt;0,AB1021&gt;=Controls!$B$39*AA1021),1,0)</f>
        <v>0</v>
      </c>
      <c r="AD1021" s="65" t="n">
        <f aca="false">IF(AND(E1021&lt;&gt;"",E1021&gt;=Controls!$B$37,E1021&lt;=Controls!$B$38),1,0)</f>
        <v>1</v>
      </c>
      <c r="AE1021" s="65" t="n">
        <f aca="false">IF(IFERROR(VLOOKUP(D1021,Controls!$A$64:$E$74,2,FALSE()),"No")="Yes",1,0)</f>
        <v>0</v>
      </c>
      <c r="AF1021" s="65" t="n">
        <f aca="false">IF(IFERROR(VLOOKUP(D1021,Controls!$A$64:$E$74,3,FALSE()),"No")="Yes",1,0)</f>
        <v>0</v>
      </c>
      <c r="AG1021" s="65" t="n">
        <f aca="false">IF(IFERROR(VLOOKUP(D1021,Controls!$A$64:$E$74,4,FALSE()),"No")="Yes",1,0)</f>
        <v>0</v>
      </c>
      <c r="AH1021" s="65" t="n">
        <f aca="false">IF(IFERROR(VLOOKUP(D1021,Controls!$A$64:$E$74,5,FALSE()),"No")="Yes",1,0)</f>
        <v>0</v>
      </c>
      <c r="AI1021" s="65" t="n">
        <f aca="false">IF(ISNUMBER(MATCH(D1021,Controls!$A$64:$A$74,0)),1,0)</f>
        <v>1</v>
      </c>
      <c r="AJ1021" s="65" t="n">
        <f aca="false">Q1021-N1021</f>
        <v>-9034.45</v>
      </c>
      <c r="AK1021" s="65" t="n">
        <f aca="false">IF(AE1021=1,MAX(0,N1021-Q1021),0)</f>
        <v>0</v>
      </c>
      <c r="AL1021" s="65" t="n">
        <f aca="false">IF(OR(V1021="",V1021=0),0,N1021/V1021)</f>
        <v>0.434740457773007</v>
      </c>
      <c r="AM1021" s="65" t="n">
        <f aca="false">IF(OR(V1021="",V1021=0),0,1)</f>
        <v>1</v>
      </c>
      <c r="AN1021" s="65" t="n">
        <f aca="false">IF(OR(E1021="",F1021=""),0,NETWORKDAYS(E1021,F1021,Ref!$K$2:$K$42))</f>
        <v>29</v>
      </c>
      <c r="AO1021" s="65" t="n">
        <f aca="false">IF(L1021="Renewal",1,0)</f>
        <v>0</v>
      </c>
      <c r="AP1021" s="65" t="n">
        <f aca="false">AC1021*AD1021</f>
        <v>0</v>
      </c>
      <c r="AQ1021" s="65" t="n">
        <f aca="false">IF(AND(G1021&lt;&gt;"",'Historical Score'!$C$6&lt;&gt;""),IF(G1021='Historical Score'!$C$6,1,0),0)</f>
        <v>0</v>
      </c>
      <c r="AR1021" s="65" t="n">
        <f aca="false">IF(AND(L1021&lt;&gt;"",'Historical Score'!$C$5&lt;&gt;""),IF(L1021='Historical Score'!$C$5,1,0),0)</f>
        <v>1</v>
      </c>
      <c r="AS1021" s="65" t="n">
        <f aca="false">IF(AND(Y1021&lt;&gt;"",'Historical Score'!$C$7&lt;&gt;""),IF(Y1021='Historical Score'!$C$7,1,0),0)</f>
        <v>0</v>
      </c>
      <c r="AT1021" s="65" t="n">
        <f aca="false">IF(AND(K1021&lt;&gt;"",'Historical Score'!$C$8&lt;&gt;""),IF(K1021='Historical Score'!$C$8,1,0),0)</f>
        <v>0</v>
      </c>
      <c r="AU1021" s="65" t="n">
        <f aca="false">IF(AND(J1021&lt;&gt;"",'Historical Score'!$C$9&lt;&gt;""),IF(J1021='Historical Score'!$C$9,1,0),0)</f>
        <v>0</v>
      </c>
      <c r="AV1021" s="65" t="n">
        <f aca="false">AR1021*AS1021*AQ1021</f>
        <v>0</v>
      </c>
      <c r="AW1021" s="65" t="n">
        <f aca="false">AR1021*AT1021*AQ1021</f>
        <v>0</v>
      </c>
      <c r="AX1021" s="65" t="n">
        <f aca="false">AR1021*AS1021</f>
        <v>0</v>
      </c>
      <c r="AY1021" s="65" t="n">
        <f aca="false">AR1021*AT1021</f>
        <v>0</v>
      </c>
      <c r="AZ1021" s="65" t="n">
        <f aca="false">AR1021*AQ1021</f>
        <v>0</v>
      </c>
      <c r="BA1021" s="65" t="n">
        <f aca="false">AR1021</f>
        <v>1</v>
      </c>
      <c r="BB1021" s="65" t="n">
        <f aca="false">1</f>
        <v>1</v>
      </c>
      <c r="BC1021" s="65" t="n">
        <f aca="false">IF(AV1021=1,1,IF(AW1021=1,2,IF(AX1021=1,3,IF(AY1021=1,4,IF(AZ1021=1,5,IF(BA1021=1,6,7))))))</f>
        <v>6</v>
      </c>
      <c r="BD1021" s="65" t="n">
        <f aca="false">IF(AD1021=1,CHOOSE('Historical Score'!$C$29,AV1021,AW1021,AX1021,AY1021,AZ1021,BA1021,BB1021),0)</f>
        <v>0</v>
      </c>
      <c r="BE1021" s="65" t="str">
        <f aca="false">IF(BD1021=1,COUNTIF($BD$2:BD1021,1),"")</f>
        <v/>
      </c>
    </row>
    <row r="1022" customFormat="false" ht="15" hidden="false" customHeight="false" outlineLevel="0" collapsed="false">
      <c r="A1022" s="65" t="s">
        <v>3061</v>
      </c>
      <c r="B1022" s="65" t="s">
        <v>3062</v>
      </c>
      <c r="C1022" s="65" t="s">
        <v>3062</v>
      </c>
      <c r="D1022" s="65" t="s">
        <v>295</v>
      </c>
      <c r="E1022" s="112" t="n">
        <v>46213</v>
      </c>
      <c r="F1022" s="112" t="n">
        <v>46253</v>
      </c>
      <c r="G1022" s="65" t="n">
        <v>3</v>
      </c>
      <c r="H1022" s="65" t="s">
        <v>748</v>
      </c>
      <c r="I1022" s="65" t="s">
        <v>619</v>
      </c>
      <c r="J1022" s="65" t="s">
        <v>420</v>
      </c>
      <c r="K1022" s="65" t="s">
        <v>961</v>
      </c>
      <c r="L1022" s="65" t="s">
        <v>64</v>
      </c>
      <c r="M1022" s="113" t="n">
        <v>1.36</v>
      </c>
      <c r="N1022" s="114" t="n">
        <v>15000</v>
      </c>
      <c r="O1022" s="114" t="n">
        <v>1125</v>
      </c>
      <c r="P1022" s="114" t="n">
        <v>20400</v>
      </c>
      <c r="Q1022" s="114" t="n">
        <v>4845</v>
      </c>
      <c r="R1022" s="114" t="n">
        <v>15555</v>
      </c>
      <c r="S1022" s="115" t="n">
        <v>0.2375</v>
      </c>
      <c r="T1022" s="65" t="n">
        <v>2.623</v>
      </c>
      <c r="U1022" s="65" t="n">
        <v>9</v>
      </c>
      <c r="V1022" s="65" t="n">
        <v>5734.32</v>
      </c>
      <c r="W1022" s="115" t="n">
        <v>0.282</v>
      </c>
      <c r="X1022" s="112" t="n">
        <v>44165</v>
      </c>
      <c r="Y1022" s="65" t="str">
        <f aca="false">IF(I1022="","No SIC",IFERROR(VLOOKUP(I1022,Ref!$A$2:$B$65,2,FALSE()),"Unclassified"))</f>
        <v>Miscellaneous Retail</v>
      </c>
      <c r="Z1022" s="65" t="str">
        <f aca="false">IF(T1022="","",IF(T1022&lt;12,"Daily","Weekly"))</f>
        <v>Daily</v>
      </c>
      <c r="AA1022" s="65" t="n">
        <f aca="false">IF(T1022="",0,IF(T1022&lt;12,T1022*Controls!$B$29,T1022*5))</f>
        <v>56.801065</v>
      </c>
      <c r="AB1022" s="65" t="n">
        <f aca="false">IF(E1022="",0,NETWORKDAYS(E1022,Controls!$B$36,Ref!$K$2:$K$42))</f>
        <v>33</v>
      </c>
      <c r="AC1022" s="65" t="n">
        <f aca="false">IF(AND(AA1022&gt;0,AB1022&gt;=Controls!$B$39*AA1022),1,0)</f>
        <v>0</v>
      </c>
      <c r="AD1022" s="65" t="n">
        <f aca="false">IF(AND(E1022&lt;&gt;"",E1022&gt;=Controls!$B$37,E1022&lt;=Controls!$B$38),1,0)</f>
        <v>1</v>
      </c>
      <c r="AE1022" s="65" t="n">
        <f aca="false">IF(IFERROR(VLOOKUP(D1022,Controls!$A$64:$E$74,2,FALSE()),"No")="Yes",1,0)</f>
        <v>0</v>
      </c>
      <c r="AF1022" s="65" t="n">
        <f aca="false">IF(IFERROR(VLOOKUP(D1022,Controls!$A$64:$E$74,3,FALSE()),"No")="Yes",1,0)</f>
        <v>0</v>
      </c>
      <c r="AG1022" s="65" t="n">
        <f aca="false">IF(IFERROR(VLOOKUP(D1022,Controls!$A$64:$E$74,4,FALSE()),"No")="Yes",1,0)</f>
        <v>0</v>
      </c>
      <c r="AH1022" s="65" t="n">
        <f aca="false">IF(IFERROR(VLOOKUP(D1022,Controls!$A$64:$E$74,5,FALSE()),"No")="Yes",1,0)</f>
        <v>1</v>
      </c>
      <c r="AI1022" s="65" t="n">
        <f aca="false">IF(ISNUMBER(MATCH(D1022,Controls!$A$64:$A$74,0)),1,0)</f>
        <v>1</v>
      </c>
      <c r="AJ1022" s="65" t="n">
        <f aca="false">Q1022-N1022</f>
        <v>-10155</v>
      </c>
      <c r="AK1022" s="65" t="n">
        <f aca="false">IF(AE1022=1,MAX(0,N1022-Q1022),0)</f>
        <v>0</v>
      </c>
      <c r="AL1022" s="65" t="n">
        <f aca="false">IF(OR(V1022="",V1022=0),0,N1022/V1022)</f>
        <v>2.61582890386306</v>
      </c>
      <c r="AM1022" s="65" t="n">
        <f aca="false">IF(OR(V1022="",V1022=0),0,1)</f>
        <v>1</v>
      </c>
      <c r="AN1022" s="65" t="n">
        <f aca="false">IF(OR(E1022="",F1022=""),0,NETWORKDAYS(E1022,F1022,Ref!$K$2:$K$42))</f>
        <v>29</v>
      </c>
      <c r="AO1022" s="65" t="n">
        <f aca="false">IF(L1022="Renewal",1,0)</f>
        <v>0</v>
      </c>
      <c r="AP1022" s="65" t="n">
        <f aca="false">AC1022*AD1022</f>
        <v>0</v>
      </c>
      <c r="AQ1022" s="65" t="n">
        <f aca="false">IF(AND(G1022&lt;&gt;"",'Historical Score'!$C$6&lt;&gt;""),IF(G1022='Historical Score'!$C$6,1,0),0)</f>
        <v>0</v>
      </c>
      <c r="AR1022" s="65" t="n">
        <f aca="false">IF(AND(L1022&lt;&gt;"",'Historical Score'!$C$5&lt;&gt;""),IF(L1022='Historical Score'!$C$5,1,0),0)</f>
        <v>1</v>
      </c>
      <c r="AS1022" s="65" t="n">
        <f aca="false">IF(AND(Y1022&lt;&gt;"",'Historical Score'!$C$7&lt;&gt;""),IF(Y1022='Historical Score'!$C$7,1,0),0)</f>
        <v>0</v>
      </c>
      <c r="AT1022" s="65" t="n">
        <f aca="false">IF(AND(K1022&lt;&gt;"",'Historical Score'!$C$8&lt;&gt;""),IF(K1022='Historical Score'!$C$8,1,0),0)</f>
        <v>0</v>
      </c>
      <c r="AU1022" s="65" t="n">
        <f aca="false">IF(AND(J1022&lt;&gt;"",'Historical Score'!$C$9&lt;&gt;""),IF(J1022='Historical Score'!$C$9,1,0),0)</f>
        <v>0</v>
      </c>
      <c r="AV1022" s="65" t="n">
        <f aca="false">AR1022*AS1022*AQ1022</f>
        <v>0</v>
      </c>
      <c r="AW1022" s="65" t="n">
        <f aca="false">AR1022*AT1022*AQ1022</f>
        <v>0</v>
      </c>
      <c r="AX1022" s="65" t="n">
        <f aca="false">AR1022*AS1022</f>
        <v>0</v>
      </c>
      <c r="AY1022" s="65" t="n">
        <f aca="false">AR1022*AT1022</f>
        <v>0</v>
      </c>
      <c r="AZ1022" s="65" t="n">
        <f aca="false">AR1022*AQ1022</f>
        <v>0</v>
      </c>
      <c r="BA1022" s="65" t="n">
        <f aca="false">AR1022</f>
        <v>1</v>
      </c>
      <c r="BB1022" s="65" t="n">
        <f aca="false">1</f>
        <v>1</v>
      </c>
      <c r="BC1022" s="65" t="n">
        <f aca="false">IF(AV1022=1,1,IF(AW1022=1,2,IF(AX1022=1,3,IF(AY1022=1,4,IF(AZ1022=1,5,IF(BA1022=1,6,7))))))</f>
        <v>6</v>
      </c>
      <c r="BD1022" s="65" t="n">
        <f aca="false">IF(AD1022=1,CHOOSE('Historical Score'!$C$29,AV1022,AW1022,AX1022,AY1022,AZ1022,BA1022,BB1022),0)</f>
        <v>0</v>
      </c>
      <c r="BE1022" s="65" t="str">
        <f aca="false">IF(BD1022=1,COUNTIF($BD$2:BD1022,1),"")</f>
        <v/>
      </c>
    </row>
    <row r="1023" customFormat="false" ht="15" hidden="false" customHeight="false" outlineLevel="0" collapsed="false">
      <c r="A1023" s="65" t="s">
        <v>3063</v>
      </c>
      <c r="B1023" s="65" t="s">
        <v>3064</v>
      </c>
      <c r="C1023" s="65" t="s">
        <v>3065</v>
      </c>
      <c r="D1023" s="65" t="s">
        <v>371</v>
      </c>
      <c r="E1023" s="112" t="n">
        <v>46213</v>
      </c>
      <c r="F1023" s="112" t="n">
        <v>46252</v>
      </c>
      <c r="G1023" s="65" t="n">
        <v>4</v>
      </c>
      <c r="H1023" s="65" t="s">
        <v>3066</v>
      </c>
      <c r="I1023" s="65" t="s">
        <v>3067</v>
      </c>
      <c r="J1023" s="65" t="s">
        <v>452</v>
      </c>
      <c r="K1023" s="65" t="s">
        <v>538</v>
      </c>
      <c r="L1023" s="65" t="s">
        <v>64</v>
      </c>
      <c r="M1023" s="113" t="n">
        <v>1.41145813</v>
      </c>
      <c r="N1023" s="114" t="n">
        <v>160000</v>
      </c>
      <c r="O1023" s="114" t="n">
        <v>22400</v>
      </c>
      <c r="P1023" s="114" t="n">
        <v>225833.3008</v>
      </c>
      <c r="Q1023" s="114" t="n">
        <v>225833.3</v>
      </c>
      <c r="R1023" s="114" t="n">
        <v>0.000800000008894131</v>
      </c>
      <c r="S1023" s="115" t="n">
        <v>0.999999996457564</v>
      </c>
      <c r="T1023" s="65" t="n">
        <v>26</v>
      </c>
      <c r="U1023" s="65" t="n">
        <v>0</v>
      </c>
      <c r="V1023" s="65" t="n">
        <v>850734.34</v>
      </c>
      <c r="W1023" s="115" t="n">
        <v>0.0431</v>
      </c>
      <c r="X1023" s="112" t="n">
        <v>41609</v>
      </c>
      <c r="Y1023" s="65" t="str">
        <f aca="false">IF(I1023="","No SIC",IFERROR(VLOOKUP(I1023,Ref!$A$2:$B$65,2,FALSE()),"Unclassified"))</f>
        <v>National Security &amp; Intl Affairs</v>
      </c>
      <c r="Z1023" s="65" t="str">
        <f aca="false">IF(T1023="","",IF(T1023&lt;12,"Daily","Weekly"))</f>
        <v>Weekly</v>
      </c>
      <c r="AA1023" s="65" t="n">
        <f aca="false">IF(T1023="",0,IF(T1023&lt;12,T1023*Controls!$B$29,T1023*5))</f>
        <v>130</v>
      </c>
      <c r="AB1023" s="65" t="n">
        <f aca="false">IF(E1023="",0,NETWORKDAYS(E1023,Controls!$B$36,Ref!$K$2:$K$42))</f>
        <v>33</v>
      </c>
      <c r="AC1023" s="65" t="n">
        <f aca="false">IF(AND(AA1023&gt;0,AB1023&gt;=Controls!$B$39*AA1023),1,0)</f>
        <v>0</v>
      </c>
      <c r="AD1023" s="65" t="n">
        <f aca="false">IF(AND(E1023&lt;&gt;"",E1023&gt;=Controls!$B$37,E1023&lt;=Controls!$B$38),1,0)</f>
        <v>1</v>
      </c>
      <c r="AE1023" s="65" t="n">
        <f aca="false">IF(IFERROR(VLOOKUP(D1023,Controls!$A$64:$E$74,2,FALSE()),"No")="Yes",1,0)</f>
        <v>0</v>
      </c>
      <c r="AF1023" s="65" t="n">
        <f aca="false">IF(IFERROR(VLOOKUP(D1023,Controls!$A$64:$E$74,3,FALSE()),"No")="Yes",1,0)</f>
        <v>1</v>
      </c>
      <c r="AG1023" s="65" t="n">
        <f aca="false">IF(IFERROR(VLOOKUP(D1023,Controls!$A$64:$E$74,4,FALSE()),"No")="Yes",1,0)</f>
        <v>1</v>
      </c>
      <c r="AH1023" s="65" t="n">
        <f aca="false">IF(IFERROR(VLOOKUP(D1023,Controls!$A$64:$E$74,5,FALSE()),"No")="Yes",1,0)</f>
        <v>0</v>
      </c>
      <c r="AI1023" s="65" t="n">
        <f aca="false">IF(ISNUMBER(MATCH(D1023,Controls!$A$64:$A$74,0)),1,0)</f>
        <v>1</v>
      </c>
      <c r="AJ1023" s="65" t="n">
        <f aca="false">Q1023-N1023</f>
        <v>65833.3</v>
      </c>
      <c r="AK1023" s="65" t="n">
        <f aca="false">IF(AE1023=1,MAX(0,N1023-Q1023),0)</f>
        <v>0</v>
      </c>
      <c r="AL1023" s="65" t="n">
        <f aca="false">IF(OR(V1023="",V1023=0),0,N1023/V1023)</f>
        <v>0.188072812483389</v>
      </c>
      <c r="AM1023" s="65" t="n">
        <f aca="false">IF(OR(V1023="",V1023=0),0,1)</f>
        <v>1</v>
      </c>
      <c r="AN1023" s="65" t="n">
        <f aca="false">IF(OR(E1023="",F1023=""),0,NETWORKDAYS(E1023,F1023,Ref!$K$2:$K$42))</f>
        <v>28</v>
      </c>
      <c r="AO1023" s="65" t="n">
        <f aca="false">IF(L1023="Renewal",1,0)</f>
        <v>0</v>
      </c>
      <c r="AP1023" s="65" t="n">
        <f aca="false">AC1023*AD1023</f>
        <v>0</v>
      </c>
      <c r="AQ1023" s="65" t="n">
        <f aca="false">IF(AND(G1023&lt;&gt;"",'Historical Score'!$C$6&lt;&gt;""),IF(G1023='Historical Score'!$C$6,1,0),0)</f>
        <v>0</v>
      </c>
      <c r="AR1023" s="65" t="n">
        <f aca="false">IF(AND(L1023&lt;&gt;"",'Historical Score'!$C$5&lt;&gt;""),IF(L1023='Historical Score'!$C$5,1,0),0)</f>
        <v>1</v>
      </c>
      <c r="AS1023" s="65" t="n">
        <f aca="false">IF(AND(Y1023&lt;&gt;"",'Historical Score'!$C$7&lt;&gt;""),IF(Y1023='Historical Score'!$C$7,1,0),0)</f>
        <v>0</v>
      </c>
      <c r="AT1023" s="65" t="n">
        <f aca="false">IF(AND(K1023&lt;&gt;"",'Historical Score'!$C$8&lt;&gt;""),IF(K1023='Historical Score'!$C$8,1,0),0)</f>
        <v>0</v>
      </c>
      <c r="AU1023" s="65" t="n">
        <f aca="false">IF(AND(J1023&lt;&gt;"",'Historical Score'!$C$9&lt;&gt;""),IF(J1023='Historical Score'!$C$9,1,0),0)</f>
        <v>0</v>
      </c>
      <c r="AV1023" s="65" t="n">
        <f aca="false">AR1023*AS1023*AQ1023</f>
        <v>0</v>
      </c>
      <c r="AW1023" s="65" t="n">
        <f aca="false">AR1023*AT1023*AQ1023</f>
        <v>0</v>
      </c>
      <c r="AX1023" s="65" t="n">
        <f aca="false">AR1023*AS1023</f>
        <v>0</v>
      </c>
      <c r="AY1023" s="65" t="n">
        <f aca="false">AR1023*AT1023</f>
        <v>0</v>
      </c>
      <c r="AZ1023" s="65" t="n">
        <f aca="false">AR1023*AQ1023</f>
        <v>0</v>
      </c>
      <c r="BA1023" s="65" t="n">
        <f aca="false">AR1023</f>
        <v>1</v>
      </c>
      <c r="BB1023" s="65" t="n">
        <f aca="false">1</f>
        <v>1</v>
      </c>
      <c r="BC1023" s="65" t="n">
        <f aca="false">IF(AV1023=1,1,IF(AW1023=1,2,IF(AX1023=1,3,IF(AY1023=1,4,IF(AZ1023=1,5,IF(BA1023=1,6,7))))))</f>
        <v>6</v>
      </c>
      <c r="BD1023" s="65" t="n">
        <f aca="false">IF(AD1023=1,CHOOSE('Historical Score'!$C$29,AV1023,AW1023,AX1023,AY1023,AZ1023,BA1023,BB1023),0)</f>
        <v>0</v>
      </c>
      <c r="BE1023" s="65" t="str">
        <f aca="false">IF(BD1023=1,COUNTIF($BD$2:BD1023,1),"")</f>
        <v/>
      </c>
    </row>
    <row r="1024" customFormat="false" ht="15" hidden="false" customHeight="false" outlineLevel="0" collapsed="false">
      <c r="A1024" s="65" t="s">
        <v>3068</v>
      </c>
      <c r="B1024" s="65" t="s">
        <v>3069</v>
      </c>
      <c r="C1024" s="65" t="s">
        <v>3069</v>
      </c>
      <c r="D1024" s="65" t="s">
        <v>295</v>
      </c>
      <c r="E1024" s="112" t="n">
        <v>46213</v>
      </c>
      <c r="F1024" s="112" t="n">
        <v>46247</v>
      </c>
      <c r="G1024" s="65" t="n">
        <v>4</v>
      </c>
      <c r="H1024" s="65" t="s">
        <v>500</v>
      </c>
      <c r="I1024" s="65" t="s">
        <v>475</v>
      </c>
      <c r="J1024" s="65" t="s">
        <v>373</v>
      </c>
      <c r="K1024" s="65" t="s">
        <v>55</v>
      </c>
      <c r="L1024" s="65" t="s">
        <v>64</v>
      </c>
      <c r="M1024" s="113" t="n">
        <v>1.49</v>
      </c>
      <c r="N1024" s="114" t="n">
        <v>40000</v>
      </c>
      <c r="O1024" s="114" t="n">
        <v>6000</v>
      </c>
      <c r="P1024" s="114" t="n">
        <v>59600</v>
      </c>
      <c r="Q1024" s="114" t="n">
        <v>12416.75</v>
      </c>
      <c r="R1024" s="114" t="n">
        <v>47183.25</v>
      </c>
      <c r="S1024" s="115" t="n">
        <v>0.208334731543624</v>
      </c>
      <c r="T1024" s="65" t="n">
        <v>24</v>
      </c>
      <c r="U1024" s="65" t="n">
        <v>0</v>
      </c>
      <c r="V1024" s="65" t="n">
        <v>110294.91</v>
      </c>
      <c r="W1024" s="115" t="n">
        <v>0.0897</v>
      </c>
      <c r="X1024" s="112" t="n">
        <v>42583</v>
      </c>
      <c r="Y1024" s="65" t="str">
        <f aca="false">IF(I1024="","No SIC",IFERROR(VLOOKUP(I1024,Ref!$A$2:$B$65,2,FALSE()),"Unclassified"))</f>
        <v>Auto Repair &amp; Services</v>
      </c>
      <c r="Z1024" s="65" t="str">
        <f aca="false">IF(T1024="","",IF(T1024&lt;12,"Daily","Weekly"))</f>
        <v>Weekly</v>
      </c>
      <c r="AA1024" s="65" t="n">
        <f aca="false">IF(T1024="",0,IF(T1024&lt;12,T1024*Controls!$B$29,T1024*5))</f>
        <v>120</v>
      </c>
      <c r="AB1024" s="65" t="n">
        <f aca="false">IF(E1024="",0,NETWORKDAYS(E1024,Controls!$B$36,Ref!$K$2:$K$42))</f>
        <v>33</v>
      </c>
      <c r="AC1024" s="65" t="n">
        <f aca="false">IF(AND(AA1024&gt;0,AB1024&gt;=Controls!$B$39*AA1024),1,0)</f>
        <v>0</v>
      </c>
      <c r="AD1024" s="65" t="n">
        <f aca="false">IF(AND(E1024&lt;&gt;"",E1024&gt;=Controls!$B$37,E1024&lt;=Controls!$B$38),1,0)</f>
        <v>1</v>
      </c>
      <c r="AE1024" s="65" t="n">
        <f aca="false">IF(IFERROR(VLOOKUP(D1024,Controls!$A$64:$E$74,2,FALSE()),"No")="Yes",1,0)</f>
        <v>0</v>
      </c>
      <c r="AF1024" s="65" t="n">
        <f aca="false">IF(IFERROR(VLOOKUP(D1024,Controls!$A$64:$E$74,3,FALSE()),"No")="Yes",1,0)</f>
        <v>0</v>
      </c>
      <c r="AG1024" s="65" t="n">
        <f aca="false">IF(IFERROR(VLOOKUP(D1024,Controls!$A$64:$E$74,4,FALSE()),"No")="Yes",1,0)</f>
        <v>0</v>
      </c>
      <c r="AH1024" s="65" t="n">
        <f aca="false">IF(IFERROR(VLOOKUP(D1024,Controls!$A$64:$E$74,5,FALSE()),"No")="Yes",1,0)</f>
        <v>1</v>
      </c>
      <c r="AI1024" s="65" t="n">
        <f aca="false">IF(ISNUMBER(MATCH(D1024,Controls!$A$64:$A$74,0)),1,0)</f>
        <v>1</v>
      </c>
      <c r="AJ1024" s="65" t="n">
        <f aca="false">Q1024-N1024</f>
        <v>-27583.25</v>
      </c>
      <c r="AK1024" s="65" t="n">
        <f aca="false">IF(AE1024=1,MAX(0,N1024-Q1024),0)</f>
        <v>0</v>
      </c>
      <c r="AL1024" s="65" t="n">
        <f aca="false">IF(OR(V1024="",V1024=0),0,N1024/V1024)</f>
        <v>0.36266406128805</v>
      </c>
      <c r="AM1024" s="65" t="n">
        <f aca="false">IF(OR(V1024="",V1024=0),0,1)</f>
        <v>1</v>
      </c>
      <c r="AN1024" s="65" t="n">
        <f aca="false">IF(OR(E1024="",F1024=""),0,NETWORKDAYS(E1024,F1024,Ref!$K$2:$K$42))</f>
        <v>25</v>
      </c>
      <c r="AO1024" s="65" t="n">
        <f aca="false">IF(L1024="Renewal",1,0)</f>
        <v>0</v>
      </c>
      <c r="AP1024" s="65" t="n">
        <f aca="false">AC1024*AD1024</f>
        <v>0</v>
      </c>
      <c r="AQ1024" s="65" t="n">
        <f aca="false">IF(AND(G1024&lt;&gt;"",'Historical Score'!$C$6&lt;&gt;""),IF(G1024='Historical Score'!$C$6,1,0),0)</f>
        <v>0</v>
      </c>
      <c r="AR1024" s="65" t="n">
        <f aca="false">IF(AND(L1024&lt;&gt;"",'Historical Score'!$C$5&lt;&gt;""),IF(L1024='Historical Score'!$C$5,1,0),0)</f>
        <v>1</v>
      </c>
      <c r="AS1024" s="65" t="n">
        <f aca="false">IF(AND(Y1024&lt;&gt;"",'Historical Score'!$C$7&lt;&gt;""),IF(Y1024='Historical Score'!$C$7,1,0),0)</f>
        <v>0</v>
      </c>
      <c r="AT1024" s="65" t="n">
        <f aca="false">IF(AND(K1024&lt;&gt;"",'Historical Score'!$C$8&lt;&gt;""),IF(K1024='Historical Score'!$C$8,1,0),0)</f>
        <v>1</v>
      </c>
      <c r="AU1024" s="65" t="n">
        <f aca="false">IF(AND(J1024&lt;&gt;"",'Historical Score'!$C$9&lt;&gt;""),IF(J1024='Historical Score'!$C$9,1,0),0)</f>
        <v>0</v>
      </c>
      <c r="AV1024" s="65" t="n">
        <f aca="false">AR1024*AS1024*AQ1024</f>
        <v>0</v>
      </c>
      <c r="AW1024" s="65" t="n">
        <f aca="false">AR1024*AT1024*AQ1024</f>
        <v>0</v>
      </c>
      <c r="AX1024" s="65" t="n">
        <f aca="false">AR1024*AS1024</f>
        <v>0</v>
      </c>
      <c r="AY1024" s="65" t="n">
        <f aca="false">AR1024*AT1024</f>
        <v>1</v>
      </c>
      <c r="AZ1024" s="65" t="n">
        <f aca="false">AR1024*AQ1024</f>
        <v>0</v>
      </c>
      <c r="BA1024" s="65" t="n">
        <f aca="false">AR1024</f>
        <v>1</v>
      </c>
      <c r="BB1024" s="65" t="n">
        <f aca="false">1</f>
        <v>1</v>
      </c>
      <c r="BC1024" s="65" t="n">
        <f aca="false">IF(AV1024=1,1,IF(AW1024=1,2,IF(AX1024=1,3,IF(AY1024=1,4,IF(AZ1024=1,5,IF(BA1024=1,6,7))))))</f>
        <v>4</v>
      </c>
      <c r="BD1024" s="65" t="n">
        <f aca="false">IF(AD1024=1,CHOOSE('Historical Score'!$C$29,AV1024,AW1024,AX1024,AY1024,AZ1024,BA1024,BB1024),0)</f>
        <v>0</v>
      </c>
      <c r="BE1024" s="65" t="str">
        <f aca="false">IF(BD1024=1,COUNTIF($BD$2:BD1024,1),"")</f>
        <v/>
      </c>
    </row>
    <row r="1025" customFormat="false" ht="15" hidden="false" customHeight="false" outlineLevel="0" collapsed="false">
      <c r="A1025" s="65" t="s">
        <v>3070</v>
      </c>
      <c r="B1025" s="65" t="s">
        <v>1985</v>
      </c>
      <c r="C1025" s="65" t="s">
        <v>1985</v>
      </c>
      <c r="D1025" s="65" t="s">
        <v>295</v>
      </c>
      <c r="E1025" s="112" t="n">
        <v>46213</v>
      </c>
      <c r="F1025" s="112" t="n">
        <v>46253</v>
      </c>
      <c r="G1025" s="65" t="n">
        <v>5</v>
      </c>
      <c r="H1025" s="65" t="s">
        <v>969</v>
      </c>
      <c r="I1025" s="65" t="s">
        <v>970</v>
      </c>
      <c r="J1025" s="65" t="s">
        <v>350</v>
      </c>
      <c r="K1025" s="65" t="s">
        <v>1120</v>
      </c>
      <c r="L1025" s="65" t="s">
        <v>320</v>
      </c>
      <c r="M1025" s="113" t="n">
        <v>1.49</v>
      </c>
      <c r="N1025" s="114" t="n">
        <v>30000</v>
      </c>
      <c r="O1025" s="114" t="n">
        <v>4200</v>
      </c>
      <c r="P1025" s="114" t="n">
        <v>44700</v>
      </c>
      <c r="Q1025" s="114" t="n">
        <v>9628.46</v>
      </c>
      <c r="R1025" s="114" t="n">
        <v>35071.54</v>
      </c>
      <c r="S1025" s="115" t="n">
        <v>0.215401789709172</v>
      </c>
      <c r="T1025" s="65" t="n">
        <v>4.262</v>
      </c>
      <c r="U1025" s="65" t="n">
        <v>0</v>
      </c>
      <c r="V1025" s="65" t="n">
        <v>39426.6</v>
      </c>
      <c r="W1025" s="115" t="n">
        <v>0.282</v>
      </c>
      <c r="X1025" s="112" t="n">
        <v>42370</v>
      </c>
      <c r="Y1025" s="65" t="str">
        <f aca="false">IF(I1025="","No SIC",IFERROR(VLOOKUP(I1025,Ref!$A$2:$B$65,2,FALSE()),"Unclassified"))</f>
        <v>Industrial Machinery &amp; Equipment</v>
      </c>
      <c r="Z1025" s="65" t="str">
        <f aca="false">IF(T1025="","",IF(T1025&lt;12,"Daily","Weekly"))</f>
        <v>Daily</v>
      </c>
      <c r="AA1025" s="65" t="n">
        <f aca="false">IF(T1025="",0,IF(T1025&lt;12,T1025*Controls!$B$29,T1025*5))</f>
        <v>92.29361</v>
      </c>
      <c r="AB1025" s="65" t="n">
        <f aca="false">IF(E1025="",0,NETWORKDAYS(E1025,Controls!$B$36,Ref!$K$2:$K$42))</f>
        <v>33</v>
      </c>
      <c r="AC1025" s="65" t="n">
        <f aca="false">IF(AND(AA1025&gt;0,AB1025&gt;=Controls!$B$39*AA1025),1,0)</f>
        <v>0</v>
      </c>
      <c r="AD1025" s="65" t="n">
        <f aca="false">IF(AND(E1025&lt;&gt;"",E1025&gt;=Controls!$B$37,E1025&lt;=Controls!$B$38),1,0)</f>
        <v>1</v>
      </c>
      <c r="AE1025" s="65" t="n">
        <f aca="false">IF(IFERROR(VLOOKUP(D1025,Controls!$A$64:$E$74,2,FALSE()),"No")="Yes",1,0)</f>
        <v>0</v>
      </c>
      <c r="AF1025" s="65" t="n">
        <f aca="false">IF(IFERROR(VLOOKUP(D1025,Controls!$A$64:$E$74,3,FALSE()),"No")="Yes",1,0)</f>
        <v>0</v>
      </c>
      <c r="AG1025" s="65" t="n">
        <f aca="false">IF(IFERROR(VLOOKUP(D1025,Controls!$A$64:$E$74,4,FALSE()),"No")="Yes",1,0)</f>
        <v>0</v>
      </c>
      <c r="AH1025" s="65" t="n">
        <f aca="false">IF(IFERROR(VLOOKUP(D1025,Controls!$A$64:$E$74,5,FALSE()),"No")="Yes",1,0)</f>
        <v>1</v>
      </c>
      <c r="AI1025" s="65" t="n">
        <f aca="false">IF(ISNUMBER(MATCH(D1025,Controls!$A$64:$A$74,0)),1,0)</f>
        <v>1</v>
      </c>
      <c r="AJ1025" s="65" t="n">
        <f aca="false">Q1025-N1025</f>
        <v>-20371.54</v>
      </c>
      <c r="AK1025" s="65" t="n">
        <f aca="false">IF(AE1025=1,MAX(0,N1025-Q1025),0)</f>
        <v>0</v>
      </c>
      <c r="AL1025" s="65" t="n">
        <f aca="false">IF(OR(V1025="",V1025=0),0,N1025/V1025)</f>
        <v>0.760907610597921</v>
      </c>
      <c r="AM1025" s="65" t="n">
        <f aca="false">IF(OR(V1025="",V1025=0),0,1)</f>
        <v>1</v>
      </c>
      <c r="AN1025" s="65" t="n">
        <f aca="false">IF(OR(E1025="",F1025=""),0,NETWORKDAYS(E1025,F1025,Ref!$K$2:$K$42))</f>
        <v>29</v>
      </c>
      <c r="AO1025" s="65" t="n">
        <f aca="false">IF(L1025="Renewal",1,0)</f>
        <v>1</v>
      </c>
      <c r="AP1025" s="65" t="n">
        <f aca="false">AC1025*AD1025</f>
        <v>0</v>
      </c>
      <c r="AQ1025" s="65" t="n">
        <f aca="false">IF(AND(G1025&lt;&gt;"",'Historical Score'!$C$6&lt;&gt;""),IF(G1025='Historical Score'!$C$6,1,0),0)</f>
        <v>0</v>
      </c>
      <c r="AR1025" s="65" t="n">
        <f aca="false">IF(AND(L1025&lt;&gt;"",'Historical Score'!$C$5&lt;&gt;""),IF(L1025='Historical Score'!$C$5,1,0),0)</f>
        <v>0</v>
      </c>
      <c r="AS1025" s="65" t="n">
        <f aca="false">IF(AND(Y1025&lt;&gt;"",'Historical Score'!$C$7&lt;&gt;""),IF(Y1025='Historical Score'!$C$7,1,0),0)</f>
        <v>0</v>
      </c>
      <c r="AT1025" s="65" t="n">
        <f aca="false">IF(AND(K1025&lt;&gt;"",'Historical Score'!$C$8&lt;&gt;""),IF(K1025='Historical Score'!$C$8,1,0),0)</f>
        <v>0</v>
      </c>
      <c r="AU1025" s="65" t="n">
        <f aca="false">IF(AND(J1025&lt;&gt;"",'Historical Score'!$C$9&lt;&gt;""),IF(J1025='Historical Score'!$C$9,1,0),0)</f>
        <v>0</v>
      </c>
      <c r="AV1025" s="65" t="n">
        <f aca="false">AR1025*AS1025*AQ1025</f>
        <v>0</v>
      </c>
      <c r="AW1025" s="65" t="n">
        <f aca="false">AR1025*AT1025*AQ1025</f>
        <v>0</v>
      </c>
      <c r="AX1025" s="65" t="n">
        <f aca="false">AR1025*AS1025</f>
        <v>0</v>
      </c>
      <c r="AY1025" s="65" t="n">
        <f aca="false">AR1025*AT1025</f>
        <v>0</v>
      </c>
      <c r="AZ1025" s="65" t="n">
        <f aca="false">AR1025*AQ1025</f>
        <v>0</v>
      </c>
      <c r="BA1025" s="65" t="n">
        <f aca="false">AR1025</f>
        <v>0</v>
      </c>
      <c r="BB1025" s="65" t="n">
        <f aca="false">1</f>
        <v>1</v>
      </c>
      <c r="BC1025" s="65" t="n">
        <f aca="false">IF(AV1025=1,1,IF(AW1025=1,2,IF(AX1025=1,3,IF(AY1025=1,4,IF(AZ1025=1,5,IF(BA1025=1,6,7))))))</f>
        <v>7</v>
      </c>
      <c r="BD1025" s="65" t="n">
        <f aca="false">IF(AD1025=1,CHOOSE('Historical Score'!$C$29,AV1025,AW1025,AX1025,AY1025,AZ1025,BA1025,BB1025),0)</f>
        <v>0</v>
      </c>
      <c r="BE1025" s="65" t="str">
        <f aca="false">IF(BD1025=1,COUNTIF($BD$2:BD1025,1),"")</f>
        <v/>
      </c>
    </row>
    <row r="1026" customFormat="false" ht="15" hidden="false" customHeight="false" outlineLevel="0" collapsed="false">
      <c r="A1026" s="65" t="s">
        <v>3071</v>
      </c>
      <c r="B1026" s="65" t="s">
        <v>1694</v>
      </c>
      <c r="C1026" s="65" t="s">
        <v>1694</v>
      </c>
      <c r="D1026" s="65" t="s">
        <v>295</v>
      </c>
      <c r="E1026" s="112" t="n">
        <v>46216</v>
      </c>
      <c r="F1026" s="112" t="n">
        <v>46253</v>
      </c>
      <c r="G1026" s="65" t="n">
        <v>3</v>
      </c>
      <c r="H1026" s="65" t="s">
        <v>409</v>
      </c>
      <c r="I1026" s="65" t="s">
        <v>342</v>
      </c>
      <c r="J1026" s="65" t="s">
        <v>61</v>
      </c>
      <c r="K1026" s="65" t="s">
        <v>581</v>
      </c>
      <c r="L1026" s="65" t="s">
        <v>320</v>
      </c>
      <c r="M1026" s="113" t="n">
        <v>1.36</v>
      </c>
      <c r="N1026" s="114" t="n">
        <v>35000</v>
      </c>
      <c r="O1026" s="114" t="n">
        <v>2975</v>
      </c>
      <c r="P1026" s="114" t="n">
        <v>47600</v>
      </c>
      <c r="Q1026" s="114" t="n">
        <v>9123.41</v>
      </c>
      <c r="R1026" s="114" t="n">
        <v>38476.59</v>
      </c>
      <c r="S1026" s="115" t="n">
        <v>0.191668277310924</v>
      </c>
      <c r="T1026" s="65" t="n">
        <v>3.934</v>
      </c>
      <c r="U1026" s="65" t="n">
        <v>2</v>
      </c>
      <c r="V1026" s="65" t="n">
        <v>99573.09</v>
      </c>
      <c r="W1026" s="115" t="n">
        <v>0.0883</v>
      </c>
      <c r="X1026" s="112" t="n">
        <v>40625</v>
      </c>
      <c r="Y1026" s="65" t="str">
        <f aca="false">IF(I1026="","No SIC",IFERROR(VLOOKUP(I1026,Ref!$A$2:$B$65,2,FALSE()),"Unclassified"))</f>
        <v>Eating &amp; Drinking Places</v>
      </c>
      <c r="Z1026" s="65" t="str">
        <f aca="false">IF(T1026="","",IF(T1026&lt;12,"Daily","Weekly"))</f>
        <v>Daily</v>
      </c>
      <c r="AA1026" s="65" t="n">
        <f aca="false">IF(T1026="",0,IF(T1026&lt;12,T1026*Controls!$B$29,T1026*5))</f>
        <v>85.19077</v>
      </c>
      <c r="AB1026" s="65" t="n">
        <f aca="false">IF(E1026="",0,NETWORKDAYS(E1026,Controls!$B$36,Ref!$K$2:$K$42))</f>
        <v>32</v>
      </c>
      <c r="AC1026" s="65" t="n">
        <f aca="false">IF(AND(AA1026&gt;0,AB1026&gt;=Controls!$B$39*AA1026),1,0)</f>
        <v>0</v>
      </c>
      <c r="AD1026" s="65" t="n">
        <f aca="false">IF(AND(E1026&lt;&gt;"",E1026&gt;=Controls!$B$37,E1026&lt;=Controls!$B$38),1,0)</f>
        <v>1</v>
      </c>
      <c r="AE1026" s="65" t="n">
        <f aca="false">IF(IFERROR(VLOOKUP(D1026,Controls!$A$64:$E$74,2,FALSE()),"No")="Yes",1,0)</f>
        <v>0</v>
      </c>
      <c r="AF1026" s="65" t="n">
        <f aca="false">IF(IFERROR(VLOOKUP(D1026,Controls!$A$64:$E$74,3,FALSE()),"No")="Yes",1,0)</f>
        <v>0</v>
      </c>
      <c r="AG1026" s="65" t="n">
        <f aca="false">IF(IFERROR(VLOOKUP(D1026,Controls!$A$64:$E$74,4,FALSE()),"No")="Yes",1,0)</f>
        <v>0</v>
      </c>
      <c r="AH1026" s="65" t="n">
        <f aca="false">IF(IFERROR(VLOOKUP(D1026,Controls!$A$64:$E$74,5,FALSE()),"No")="Yes",1,0)</f>
        <v>1</v>
      </c>
      <c r="AI1026" s="65" t="n">
        <f aca="false">IF(ISNUMBER(MATCH(D1026,Controls!$A$64:$A$74,0)),1,0)</f>
        <v>1</v>
      </c>
      <c r="AJ1026" s="65" t="n">
        <f aca="false">Q1026-N1026</f>
        <v>-25876.59</v>
      </c>
      <c r="AK1026" s="65" t="n">
        <f aca="false">IF(AE1026=1,MAX(0,N1026-Q1026),0)</f>
        <v>0</v>
      </c>
      <c r="AL1026" s="65" t="n">
        <f aca="false">IF(OR(V1026="",V1026=0),0,N1026/V1026)</f>
        <v>0.35150059117378</v>
      </c>
      <c r="AM1026" s="65" t="n">
        <f aca="false">IF(OR(V1026="",V1026=0),0,1)</f>
        <v>1</v>
      </c>
      <c r="AN1026" s="65" t="n">
        <f aca="false">IF(OR(E1026="",F1026=""),0,NETWORKDAYS(E1026,F1026,Ref!$K$2:$K$42))</f>
        <v>28</v>
      </c>
      <c r="AO1026" s="65" t="n">
        <f aca="false">IF(L1026="Renewal",1,0)</f>
        <v>1</v>
      </c>
      <c r="AP1026" s="65" t="n">
        <f aca="false">AC1026*AD1026</f>
        <v>0</v>
      </c>
      <c r="AQ1026" s="65" t="n">
        <f aca="false">IF(AND(G1026&lt;&gt;"",'Historical Score'!$C$6&lt;&gt;""),IF(G1026='Historical Score'!$C$6,1,0),0)</f>
        <v>0</v>
      </c>
      <c r="AR1026" s="65" t="n">
        <f aca="false">IF(AND(L1026&lt;&gt;"",'Historical Score'!$C$5&lt;&gt;""),IF(L1026='Historical Score'!$C$5,1,0),0)</f>
        <v>0</v>
      </c>
      <c r="AS1026" s="65" t="n">
        <f aca="false">IF(AND(Y1026&lt;&gt;"",'Historical Score'!$C$7&lt;&gt;""),IF(Y1026='Historical Score'!$C$7,1,0),0)</f>
        <v>0</v>
      </c>
      <c r="AT1026" s="65" t="n">
        <f aca="false">IF(AND(K1026&lt;&gt;"",'Historical Score'!$C$8&lt;&gt;""),IF(K1026='Historical Score'!$C$8,1,0),0)</f>
        <v>0</v>
      </c>
      <c r="AU1026" s="65" t="n">
        <f aca="false">IF(AND(J1026&lt;&gt;"",'Historical Score'!$C$9&lt;&gt;""),IF(J1026='Historical Score'!$C$9,1,0),0)</f>
        <v>1</v>
      </c>
      <c r="AV1026" s="65" t="n">
        <f aca="false">AR1026*AS1026*AQ1026</f>
        <v>0</v>
      </c>
      <c r="AW1026" s="65" t="n">
        <f aca="false">AR1026*AT1026*AQ1026</f>
        <v>0</v>
      </c>
      <c r="AX1026" s="65" t="n">
        <f aca="false">AR1026*AS1026</f>
        <v>0</v>
      </c>
      <c r="AY1026" s="65" t="n">
        <f aca="false">AR1026*AT1026</f>
        <v>0</v>
      </c>
      <c r="AZ1026" s="65" t="n">
        <f aca="false">AR1026*AQ1026</f>
        <v>0</v>
      </c>
      <c r="BA1026" s="65" t="n">
        <f aca="false">AR1026</f>
        <v>0</v>
      </c>
      <c r="BB1026" s="65" t="n">
        <f aca="false">1</f>
        <v>1</v>
      </c>
      <c r="BC1026" s="65" t="n">
        <f aca="false">IF(AV1026=1,1,IF(AW1026=1,2,IF(AX1026=1,3,IF(AY1026=1,4,IF(AZ1026=1,5,IF(BA1026=1,6,7))))))</f>
        <v>7</v>
      </c>
      <c r="BD1026" s="65" t="n">
        <f aca="false">IF(AD1026=1,CHOOSE('Historical Score'!$C$29,AV1026,AW1026,AX1026,AY1026,AZ1026,BA1026,BB1026),0)</f>
        <v>0</v>
      </c>
      <c r="BE1026" s="65" t="str">
        <f aca="false">IF(BD1026=1,COUNTIF($BD$2:BD1026,1),"")</f>
        <v/>
      </c>
    </row>
    <row r="1027" customFormat="false" ht="15" hidden="false" customHeight="false" outlineLevel="0" collapsed="false">
      <c r="A1027" s="65" t="s">
        <v>3072</v>
      </c>
      <c r="B1027" s="65" t="s">
        <v>2317</v>
      </c>
      <c r="C1027" s="65" t="s">
        <v>2318</v>
      </c>
      <c r="D1027" s="65" t="s">
        <v>295</v>
      </c>
      <c r="E1027" s="112" t="n">
        <v>46216</v>
      </c>
      <c r="F1027" s="112" t="n">
        <v>46248</v>
      </c>
      <c r="G1027" s="65" t="n">
        <v>4</v>
      </c>
      <c r="H1027" s="65" t="s">
        <v>1097</v>
      </c>
      <c r="I1027" s="65" t="s">
        <v>367</v>
      </c>
      <c r="J1027" s="65" t="s">
        <v>350</v>
      </c>
      <c r="K1027" s="65" t="s">
        <v>2319</v>
      </c>
      <c r="L1027" s="65" t="s">
        <v>320</v>
      </c>
      <c r="M1027" s="113" t="n">
        <v>1.49</v>
      </c>
      <c r="N1027" s="114" t="n">
        <v>45000</v>
      </c>
      <c r="O1027" s="114" t="n">
        <v>6300</v>
      </c>
      <c r="P1027" s="114" t="n">
        <v>67050</v>
      </c>
      <c r="Q1027" s="114" t="n">
        <v>10481.9</v>
      </c>
      <c r="R1027" s="114" t="n">
        <v>56568.1</v>
      </c>
      <c r="S1027" s="115" t="n">
        <v>0.156329604772558</v>
      </c>
      <c r="T1027" s="65" t="n">
        <v>32</v>
      </c>
      <c r="U1027" s="65" t="n">
        <v>0</v>
      </c>
      <c r="V1027" s="65" t="n">
        <v>227249.49</v>
      </c>
      <c r="W1027" s="115" t="n">
        <v>0.0369</v>
      </c>
      <c r="X1027" s="112" t="n">
        <v>44410</v>
      </c>
      <c r="Y1027" s="65" t="str">
        <f aca="false">IF(I1027="","No SIC",IFERROR(VLOOKUP(I1027,Ref!$A$2:$B$65,2,FALSE()),"Unclassified"))</f>
        <v>Engineering, Accounting &amp; Management</v>
      </c>
      <c r="Z1027" s="65" t="str">
        <f aca="false">IF(T1027="","",IF(T1027&lt;12,"Daily","Weekly"))</f>
        <v>Weekly</v>
      </c>
      <c r="AA1027" s="65" t="n">
        <f aca="false">IF(T1027="",0,IF(T1027&lt;12,T1027*Controls!$B$29,T1027*5))</f>
        <v>160</v>
      </c>
      <c r="AB1027" s="65" t="n">
        <f aca="false">IF(E1027="",0,NETWORKDAYS(E1027,Controls!$B$36,Ref!$K$2:$K$42))</f>
        <v>32</v>
      </c>
      <c r="AC1027" s="65" t="n">
        <f aca="false">IF(AND(AA1027&gt;0,AB1027&gt;=Controls!$B$39*AA1027),1,0)</f>
        <v>0</v>
      </c>
      <c r="AD1027" s="65" t="n">
        <f aca="false">IF(AND(E1027&lt;&gt;"",E1027&gt;=Controls!$B$37,E1027&lt;=Controls!$B$38),1,0)</f>
        <v>1</v>
      </c>
      <c r="AE1027" s="65" t="n">
        <f aca="false">IF(IFERROR(VLOOKUP(D1027,Controls!$A$64:$E$74,2,FALSE()),"No")="Yes",1,0)</f>
        <v>0</v>
      </c>
      <c r="AF1027" s="65" t="n">
        <f aca="false">IF(IFERROR(VLOOKUP(D1027,Controls!$A$64:$E$74,3,FALSE()),"No")="Yes",1,0)</f>
        <v>0</v>
      </c>
      <c r="AG1027" s="65" t="n">
        <f aca="false">IF(IFERROR(VLOOKUP(D1027,Controls!$A$64:$E$74,4,FALSE()),"No")="Yes",1,0)</f>
        <v>0</v>
      </c>
      <c r="AH1027" s="65" t="n">
        <f aca="false">IF(IFERROR(VLOOKUP(D1027,Controls!$A$64:$E$74,5,FALSE()),"No")="Yes",1,0)</f>
        <v>1</v>
      </c>
      <c r="AI1027" s="65" t="n">
        <f aca="false">IF(ISNUMBER(MATCH(D1027,Controls!$A$64:$A$74,0)),1,0)</f>
        <v>1</v>
      </c>
      <c r="AJ1027" s="65" t="n">
        <f aca="false">Q1027-N1027</f>
        <v>-34518.1</v>
      </c>
      <c r="AK1027" s="65" t="n">
        <f aca="false">IF(AE1027=1,MAX(0,N1027-Q1027),0)</f>
        <v>0</v>
      </c>
      <c r="AL1027" s="65" t="n">
        <f aca="false">IF(OR(V1027="",V1027=0),0,N1027/V1027)</f>
        <v>0.198020246382071</v>
      </c>
      <c r="AM1027" s="65" t="n">
        <f aca="false">IF(OR(V1027="",V1027=0),0,1)</f>
        <v>1</v>
      </c>
      <c r="AN1027" s="65" t="n">
        <f aca="false">IF(OR(E1027="",F1027=""),0,NETWORKDAYS(E1027,F1027,Ref!$K$2:$K$42))</f>
        <v>25</v>
      </c>
      <c r="AO1027" s="65" t="n">
        <f aca="false">IF(L1027="Renewal",1,0)</f>
        <v>1</v>
      </c>
      <c r="AP1027" s="65" t="n">
        <f aca="false">AC1027*AD1027</f>
        <v>0</v>
      </c>
      <c r="AQ1027" s="65" t="n">
        <f aca="false">IF(AND(G1027&lt;&gt;"",'Historical Score'!$C$6&lt;&gt;""),IF(G1027='Historical Score'!$C$6,1,0),0)</f>
        <v>0</v>
      </c>
      <c r="AR1027" s="65" t="n">
        <f aca="false">IF(AND(L1027&lt;&gt;"",'Historical Score'!$C$5&lt;&gt;""),IF(L1027='Historical Score'!$C$5,1,0),0)</f>
        <v>0</v>
      </c>
      <c r="AS1027" s="65" t="n">
        <f aca="false">IF(AND(Y1027&lt;&gt;"",'Historical Score'!$C$7&lt;&gt;""),IF(Y1027='Historical Score'!$C$7,1,0),0)</f>
        <v>0</v>
      </c>
      <c r="AT1027" s="65" t="n">
        <f aca="false">IF(AND(K1027&lt;&gt;"",'Historical Score'!$C$8&lt;&gt;""),IF(K1027='Historical Score'!$C$8,1,0),0)</f>
        <v>0</v>
      </c>
      <c r="AU1027" s="65" t="n">
        <f aca="false">IF(AND(J1027&lt;&gt;"",'Historical Score'!$C$9&lt;&gt;""),IF(J1027='Historical Score'!$C$9,1,0),0)</f>
        <v>0</v>
      </c>
      <c r="AV1027" s="65" t="n">
        <f aca="false">AR1027*AS1027*AQ1027</f>
        <v>0</v>
      </c>
      <c r="AW1027" s="65" t="n">
        <f aca="false">AR1027*AT1027*AQ1027</f>
        <v>0</v>
      </c>
      <c r="AX1027" s="65" t="n">
        <f aca="false">AR1027*AS1027</f>
        <v>0</v>
      </c>
      <c r="AY1027" s="65" t="n">
        <f aca="false">AR1027*AT1027</f>
        <v>0</v>
      </c>
      <c r="AZ1027" s="65" t="n">
        <f aca="false">AR1027*AQ1027</f>
        <v>0</v>
      </c>
      <c r="BA1027" s="65" t="n">
        <f aca="false">AR1027</f>
        <v>0</v>
      </c>
      <c r="BB1027" s="65" t="n">
        <f aca="false">1</f>
        <v>1</v>
      </c>
      <c r="BC1027" s="65" t="n">
        <f aca="false">IF(AV1027=1,1,IF(AW1027=1,2,IF(AX1027=1,3,IF(AY1027=1,4,IF(AZ1027=1,5,IF(BA1027=1,6,7))))))</f>
        <v>7</v>
      </c>
      <c r="BD1027" s="65" t="n">
        <f aca="false">IF(AD1027=1,CHOOSE('Historical Score'!$C$29,AV1027,AW1027,AX1027,AY1027,AZ1027,BA1027,BB1027),0)</f>
        <v>0</v>
      </c>
      <c r="BE1027" s="65" t="str">
        <f aca="false">IF(BD1027=1,COUNTIF($BD$2:BD1027,1),"")</f>
        <v/>
      </c>
    </row>
    <row r="1028" customFormat="false" ht="15" hidden="false" customHeight="false" outlineLevel="0" collapsed="false">
      <c r="A1028" s="65" t="s">
        <v>3073</v>
      </c>
      <c r="B1028" s="65" t="s">
        <v>3074</v>
      </c>
      <c r="C1028" s="65" t="s">
        <v>3074</v>
      </c>
      <c r="D1028" s="65" t="s">
        <v>533</v>
      </c>
      <c r="E1028" s="112" t="n">
        <v>46216</v>
      </c>
      <c r="F1028" s="112" t="n">
        <v>46234</v>
      </c>
      <c r="G1028" s="65" t="n">
        <v>3</v>
      </c>
      <c r="H1028" s="65" t="s">
        <v>3075</v>
      </c>
      <c r="I1028" s="65" t="s">
        <v>392</v>
      </c>
      <c r="J1028" s="65" t="s">
        <v>1349</v>
      </c>
      <c r="K1028" s="65" t="s">
        <v>55</v>
      </c>
      <c r="L1028" s="65" t="s">
        <v>64</v>
      </c>
      <c r="M1028" s="113" t="n">
        <v>1.49</v>
      </c>
      <c r="N1028" s="114" t="n">
        <v>20000</v>
      </c>
      <c r="O1028" s="114" t="n">
        <v>0</v>
      </c>
      <c r="P1028" s="114" t="n">
        <v>29800</v>
      </c>
      <c r="Q1028" s="114" t="n">
        <v>0</v>
      </c>
      <c r="R1028" s="114" t="n">
        <v>29800</v>
      </c>
      <c r="S1028" s="115" t="n">
        <v>0</v>
      </c>
      <c r="T1028" s="65" t="n">
        <v>20</v>
      </c>
      <c r="U1028" s="65" t="n">
        <v>3</v>
      </c>
      <c r="V1028" s="65" t="n">
        <v>48000</v>
      </c>
      <c r="W1028" s="115" t="n">
        <v>0.0596</v>
      </c>
      <c r="X1028" s="112" t="n">
        <v>43324</v>
      </c>
      <c r="Y1028" s="65" t="str">
        <f aca="false">IF(I1028="","No SIC",IFERROR(VLOOKUP(I1028,Ref!$A$2:$B$65,2,FALSE()),"Unclassified"))</f>
        <v>Real Estate</v>
      </c>
      <c r="Z1028" s="65" t="str">
        <f aca="false">IF(T1028="","",IF(T1028&lt;12,"Daily","Weekly"))</f>
        <v>Weekly</v>
      </c>
      <c r="AA1028" s="65" t="n">
        <f aca="false">IF(T1028="",0,IF(T1028&lt;12,T1028*Controls!$B$29,T1028*5))</f>
        <v>100</v>
      </c>
      <c r="AB1028" s="65" t="n">
        <f aca="false">IF(E1028="",0,NETWORKDAYS(E1028,Controls!$B$36,Ref!$K$2:$K$42))</f>
        <v>32</v>
      </c>
      <c r="AC1028" s="65" t="n">
        <f aca="false">IF(AND(AA1028&gt;0,AB1028&gt;=Controls!$B$39*AA1028),1,0)</f>
        <v>0</v>
      </c>
      <c r="AD1028" s="65" t="n">
        <f aca="false">IF(AND(E1028&lt;&gt;"",E1028&gt;=Controls!$B$37,E1028&lt;=Controls!$B$38),1,0)</f>
        <v>1</v>
      </c>
      <c r="AE1028" s="65" t="n">
        <f aca="false">IF(IFERROR(VLOOKUP(D1028,Controls!$A$64:$E$74,2,FALSE()),"No")="Yes",1,0)</f>
        <v>1</v>
      </c>
      <c r="AF1028" s="65" t="n">
        <f aca="false">IF(IFERROR(VLOOKUP(D1028,Controls!$A$64:$E$74,3,FALSE()),"No")="Yes",1,0)</f>
        <v>0</v>
      </c>
      <c r="AG1028" s="65" t="n">
        <f aca="false">IF(IFERROR(VLOOKUP(D1028,Controls!$A$64:$E$74,4,FALSE()),"No")="Yes",1,0)</f>
        <v>0</v>
      </c>
      <c r="AH1028" s="65" t="n">
        <f aca="false">IF(IFERROR(VLOOKUP(D1028,Controls!$A$64:$E$74,5,FALSE()),"No")="Yes",1,0)</f>
        <v>0</v>
      </c>
      <c r="AI1028" s="65" t="n">
        <f aca="false">IF(ISNUMBER(MATCH(D1028,Controls!$A$64:$A$74,0)),1,0)</f>
        <v>1</v>
      </c>
      <c r="AJ1028" s="65" t="n">
        <f aca="false">Q1028-N1028</f>
        <v>-20000</v>
      </c>
      <c r="AK1028" s="65" t="n">
        <f aca="false">IF(AE1028=1,MAX(0,N1028-Q1028),0)</f>
        <v>20000</v>
      </c>
      <c r="AL1028" s="65" t="n">
        <f aca="false">IF(OR(V1028="",V1028=0),0,N1028/V1028)</f>
        <v>0.416666666666667</v>
      </c>
      <c r="AM1028" s="65" t="n">
        <f aca="false">IF(OR(V1028="",V1028=0),0,1)</f>
        <v>1</v>
      </c>
      <c r="AN1028" s="65" t="n">
        <f aca="false">IF(OR(E1028="",F1028=""),0,NETWORKDAYS(E1028,F1028,Ref!$K$2:$K$42))</f>
        <v>15</v>
      </c>
      <c r="AO1028" s="65" t="n">
        <f aca="false">IF(L1028="Renewal",1,0)</f>
        <v>0</v>
      </c>
      <c r="AP1028" s="65" t="n">
        <f aca="false">AC1028*AD1028</f>
        <v>0</v>
      </c>
      <c r="AQ1028" s="65" t="n">
        <f aca="false">IF(AND(G1028&lt;&gt;"",'Historical Score'!$C$6&lt;&gt;""),IF(G1028='Historical Score'!$C$6,1,0),0)</f>
        <v>0</v>
      </c>
      <c r="AR1028" s="65" t="n">
        <f aca="false">IF(AND(L1028&lt;&gt;"",'Historical Score'!$C$5&lt;&gt;""),IF(L1028='Historical Score'!$C$5,1,0),0)</f>
        <v>1</v>
      </c>
      <c r="AS1028" s="65" t="n">
        <f aca="false">IF(AND(Y1028&lt;&gt;"",'Historical Score'!$C$7&lt;&gt;""),IF(Y1028='Historical Score'!$C$7,1,0),0)</f>
        <v>0</v>
      </c>
      <c r="AT1028" s="65" t="n">
        <f aca="false">IF(AND(K1028&lt;&gt;"",'Historical Score'!$C$8&lt;&gt;""),IF(K1028='Historical Score'!$C$8,1,0),0)</f>
        <v>1</v>
      </c>
      <c r="AU1028" s="65" t="n">
        <f aca="false">IF(AND(J1028&lt;&gt;"",'Historical Score'!$C$9&lt;&gt;""),IF(J1028='Historical Score'!$C$9,1,0),0)</f>
        <v>0</v>
      </c>
      <c r="AV1028" s="65" t="n">
        <f aca="false">AR1028*AS1028*AQ1028</f>
        <v>0</v>
      </c>
      <c r="AW1028" s="65" t="n">
        <f aca="false">AR1028*AT1028*AQ1028</f>
        <v>0</v>
      </c>
      <c r="AX1028" s="65" t="n">
        <f aca="false">AR1028*AS1028</f>
        <v>0</v>
      </c>
      <c r="AY1028" s="65" t="n">
        <f aca="false">AR1028*AT1028</f>
        <v>1</v>
      </c>
      <c r="AZ1028" s="65" t="n">
        <f aca="false">AR1028*AQ1028</f>
        <v>0</v>
      </c>
      <c r="BA1028" s="65" t="n">
        <f aca="false">AR1028</f>
        <v>1</v>
      </c>
      <c r="BB1028" s="65" t="n">
        <f aca="false">1</f>
        <v>1</v>
      </c>
      <c r="BC1028" s="65" t="n">
        <f aca="false">IF(AV1028=1,1,IF(AW1028=1,2,IF(AX1028=1,3,IF(AY1028=1,4,IF(AZ1028=1,5,IF(BA1028=1,6,7))))))</f>
        <v>4</v>
      </c>
      <c r="BD1028" s="65" t="n">
        <f aca="false">IF(AD1028=1,CHOOSE('Historical Score'!$C$29,AV1028,AW1028,AX1028,AY1028,AZ1028,BA1028,BB1028),0)</f>
        <v>0</v>
      </c>
      <c r="BE1028" s="65" t="str">
        <f aca="false">IF(BD1028=1,COUNTIF($BD$2:BD1028,1),"")</f>
        <v/>
      </c>
    </row>
    <row r="1029" customFormat="false" ht="15" hidden="false" customHeight="false" outlineLevel="0" collapsed="false">
      <c r="A1029" s="65" t="s">
        <v>3076</v>
      </c>
      <c r="B1029" s="65" t="s">
        <v>2444</v>
      </c>
      <c r="C1029" s="65" t="s">
        <v>2444</v>
      </c>
      <c r="D1029" s="65" t="s">
        <v>295</v>
      </c>
      <c r="E1029" s="112" t="n">
        <v>46216</v>
      </c>
      <c r="F1029" s="112" t="n">
        <v>46248</v>
      </c>
      <c r="G1029" s="65" t="n">
        <v>4</v>
      </c>
      <c r="H1029" s="65" t="s">
        <v>479</v>
      </c>
      <c r="I1029" s="65" t="s">
        <v>356</v>
      </c>
      <c r="J1029" s="65" t="s">
        <v>61</v>
      </c>
      <c r="K1029" s="65" t="s">
        <v>55</v>
      </c>
      <c r="L1029" s="65" t="s">
        <v>320</v>
      </c>
      <c r="M1029" s="113" t="n">
        <v>1.49</v>
      </c>
      <c r="N1029" s="114" t="n">
        <v>35000</v>
      </c>
      <c r="O1029" s="114" t="n">
        <v>4900</v>
      </c>
      <c r="P1029" s="114" t="n">
        <v>52150</v>
      </c>
      <c r="Q1029" s="114" t="n">
        <v>8149.8</v>
      </c>
      <c r="R1029" s="114" t="n">
        <v>44000.2</v>
      </c>
      <c r="S1029" s="115" t="n">
        <v>0.156276126558006</v>
      </c>
      <c r="T1029" s="65" t="n">
        <v>32</v>
      </c>
      <c r="U1029" s="65" t="n">
        <v>0</v>
      </c>
      <c r="V1029" s="65" t="n">
        <v>56970.35</v>
      </c>
      <c r="W1029" s="115" t="n">
        <v>0.1419</v>
      </c>
      <c r="X1029" s="112" t="n">
        <v>45185</v>
      </c>
      <c r="Y1029" s="65" t="str">
        <f aca="false">IF(I1029="","No SIC",IFERROR(VLOOKUP(I1029,Ref!$A$2:$B$65,2,FALSE()),"Unclassified"))</f>
        <v>Trucking &amp; Warehousing</v>
      </c>
      <c r="Z1029" s="65" t="str">
        <f aca="false">IF(T1029="","",IF(T1029&lt;12,"Daily","Weekly"))</f>
        <v>Weekly</v>
      </c>
      <c r="AA1029" s="65" t="n">
        <f aca="false">IF(T1029="",0,IF(T1029&lt;12,T1029*Controls!$B$29,T1029*5))</f>
        <v>160</v>
      </c>
      <c r="AB1029" s="65" t="n">
        <f aca="false">IF(E1029="",0,NETWORKDAYS(E1029,Controls!$B$36,Ref!$K$2:$K$42))</f>
        <v>32</v>
      </c>
      <c r="AC1029" s="65" t="n">
        <f aca="false">IF(AND(AA1029&gt;0,AB1029&gt;=Controls!$B$39*AA1029),1,0)</f>
        <v>0</v>
      </c>
      <c r="AD1029" s="65" t="n">
        <f aca="false">IF(AND(E1029&lt;&gt;"",E1029&gt;=Controls!$B$37,E1029&lt;=Controls!$B$38),1,0)</f>
        <v>1</v>
      </c>
      <c r="AE1029" s="65" t="n">
        <f aca="false">IF(IFERROR(VLOOKUP(D1029,Controls!$A$64:$E$74,2,FALSE()),"No")="Yes",1,0)</f>
        <v>0</v>
      </c>
      <c r="AF1029" s="65" t="n">
        <f aca="false">IF(IFERROR(VLOOKUP(D1029,Controls!$A$64:$E$74,3,FALSE()),"No")="Yes",1,0)</f>
        <v>0</v>
      </c>
      <c r="AG1029" s="65" t="n">
        <f aca="false">IF(IFERROR(VLOOKUP(D1029,Controls!$A$64:$E$74,4,FALSE()),"No")="Yes",1,0)</f>
        <v>0</v>
      </c>
      <c r="AH1029" s="65" t="n">
        <f aca="false">IF(IFERROR(VLOOKUP(D1029,Controls!$A$64:$E$74,5,FALSE()),"No")="Yes",1,0)</f>
        <v>1</v>
      </c>
      <c r="AI1029" s="65" t="n">
        <f aca="false">IF(ISNUMBER(MATCH(D1029,Controls!$A$64:$A$74,0)),1,0)</f>
        <v>1</v>
      </c>
      <c r="AJ1029" s="65" t="n">
        <f aca="false">Q1029-N1029</f>
        <v>-26850.2</v>
      </c>
      <c r="AK1029" s="65" t="n">
        <f aca="false">IF(AE1029=1,MAX(0,N1029-Q1029),0)</f>
        <v>0</v>
      </c>
      <c r="AL1029" s="65" t="n">
        <f aca="false">IF(OR(V1029="",V1029=0),0,N1029/V1029)</f>
        <v>0.614354659923978</v>
      </c>
      <c r="AM1029" s="65" t="n">
        <f aca="false">IF(OR(V1029="",V1029=0),0,1)</f>
        <v>1</v>
      </c>
      <c r="AN1029" s="65" t="n">
        <f aca="false">IF(OR(E1029="",F1029=""),0,NETWORKDAYS(E1029,F1029,Ref!$K$2:$K$42))</f>
        <v>25</v>
      </c>
      <c r="AO1029" s="65" t="n">
        <f aca="false">IF(L1029="Renewal",1,0)</f>
        <v>1</v>
      </c>
      <c r="AP1029" s="65" t="n">
        <f aca="false">AC1029*AD1029</f>
        <v>0</v>
      </c>
      <c r="AQ1029" s="65" t="n">
        <f aca="false">IF(AND(G1029&lt;&gt;"",'Historical Score'!$C$6&lt;&gt;""),IF(G1029='Historical Score'!$C$6,1,0),0)</f>
        <v>0</v>
      </c>
      <c r="AR1029" s="65" t="n">
        <f aca="false">IF(AND(L1029&lt;&gt;"",'Historical Score'!$C$5&lt;&gt;""),IF(L1029='Historical Score'!$C$5,1,0),0)</f>
        <v>0</v>
      </c>
      <c r="AS1029" s="65" t="n">
        <f aca="false">IF(AND(Y1029&lt;&gt;"",'Historical Score'!$C$7&lt;&gt;""),IF(Y1029='Historical Score'!$C$7,1,0),0)</f>
        <v>0</v>
      </c>
      <c r="AT1029" s="65" t="n">
        <f aca="false">IF(AND(K1029&lt;&gt;"",'Historical Score'!$C$8&lt;&gt;""),IF(K1029='Historical Score'!$C$8,1,0),0)</f>
        <v>1</v>
      </c>
      <c r="AU1029" s="65" t="n">
        <f aca="false">IF(AND(J1029&lt;&gt;"",'Historical Score'!$C$9&lt;&gt;""),IF(J1029='Historical Score'!$C$9,1,0),0)</f>
        <v>1</v>
      </c>
      <c r="AV1029" s="65" t="n">
        <f aca="false">AR1029*AS1029*AQ1029</f>
        <v>0</v>
      </c>
      <c r="AW1029" s="65" t="n">
        <f aca="false">AR1029*AT1029*AQ1029</f>
        <v>0</v>
      </c>
      <c r="AX1029" s="65" t="n">
        <f aca="false">AR1029*AS1029</f>
        <v>0</v>
      </c>
      <c r="AY1029" s="65" t="n">
        <f aca="false">AR1029*AT1029</f>
        <v>0</v>
      </c>
      <c r="AZ1029" s="65" t="n">
        <f aca="false">AR1029*AQ1029</f>
        <v>0</v>
      </c>
      <c r="BA1029" s="65" t="n">
        <f aca="false">AR1029</f>
        <v>0</v>
      </c>
      <c r="BB1029" s="65" t="n">
        <f aca="false">1</f>
        <v>1</v>
      </c>
      <c r="BC1029" s="65" t="n">
        <f aca="false">IF(AV1029=1,1,IF(AW1029=1,2,IF(AX1029=1,3,IF(AY1029=1,4,IF(AZ1029=1,5,IF(BA1029=1,6,7))))))</f>
        <v>7</v>
      </c>
      <c r="BD1029" s="65" t="n">
        <f aca="false">IF(AD1029=1,CHOOSE('Historical Score'!$C$29,AV1029,AW1029,AX1029,AY1029,AZ1029,BA1029,BB1029),0)</f>
        <v>0</v>
      </c>
      <c r="BE1029" s="65" t="str">
        <f aca="false">IF(BD1029=1,COUNTIF($BD$2:BD1029,1),"")</f>
        <v/>
      </c>
    </row>
    <row r="1030" customFormat="false" ht="15" hidden="false" customHeight="false" outlineLevel="0" collapsed="false">
      <c r="A1030" s="65" t="s">
        <v>3077</v>
      </c>
      <c r="B1030" s="65" t="s">
        <v>3078</v>
      </c>
      <c r="C1030" s="65" t="s">
        <v>3078</v>
      </c>
      <c r="D1030" s="65" t="s">
        <v>295</v>
      </c>
      <c r="E1030" s="112" t="n">
        <v>46217</v>
      </c>
      <c r="F1030" s="112" t="n">
        <v>46248</v>
      </c>
      <c r="G1030" s="65" t="n">
        <v>3</v>
      </c>
      <c r="H1030" s="65" t="s">
        <v>500</v>
      </c>
      <c r="I1030" s="65" t="s">
        <v>475</v>
      </c>
      <c r="J1030" s="65" t="s">
        <v>410</v>
      </c>
      <c r="K1030" s="65" t="s">
        <v>1461</v>
      </c>
      <c r="L1030" s="65" t="s">
        <v>64</v>
      </c>
      <c r="M1030" s="113" t="n">
        <v>1.49</v>
      </c>
      <c r="N1030" s="114" t="n">
        <v>12000</v>
      </c>
      <c r="O1030" s="114" t="n">
        <v>1680</v>
      </c>
      <c r="P1030" s="114" t="n">
        <v>17880</v>
      </c>
      <c r="Q1030" s="114" t="n">
        <v>1986.68</v>
      </c>
      <c r="R1030" s="114" t="n">
        <v>15893.32</v>
      </c>
      <c r="S1030" s="115" t="n">
        <v>0.111111856823266</v>
      </c>
      <c r="T1030" s="65" t="n">
        <v>18</v>
      </c>
      <c r="U1030" s="65" t="n">
        <v>4</v>
      </c>
      <c r="W1030" s="115" t="n">
        <v>0.1525</v>
      </c>
      <c r="X1030" s="112" t="n">
        <v>43424</v>
      </c>
      <c r="Y1030" s="65" t="str">
        <f aca="false">IF(I1030="","No SIC",IFERROR(VLOOKUP(I1030,Ref!$A$2:$B$65,2,FALSE()),"Unclassified"))</f>
        <v>Auto Repair &amp; Services</v>
      </c>
      <c r="Z1030" s="65" t="str">
        <f aca="false">IF(T1030="","",IF(T1030&lt;12,"Daily","Weekly"))</f>
        <v>Weekly</v>
      </c>
      <c r="AA1030" s="65" t="n">
        <f aca="false">IF(T1030="",0,IF(T1030&lt;12,T1030*Controls!$B$29,T1030*5))</f>
        <v>90</v>
      </c>
      <c r="AB1030" s="65" t="n">
        <f aca="false">IF(E1030="",0,NETWORKDAYS(E1030,Controls!$B$36,Ref!$K$2:$K$42))</f>
        <v>31</v>
      </c>
      <c r="AC1030" s="65" t="n">
        <f aca="false">IF(AND(AA1030&gt;0,AB1030&gt;=Controls!$B$39*AA1030),1,0)</f>
        <v>0</v>
      </c>
      <c r="AD1030" s="65" t="n">
        <f aca="false">IF(AND(E1030&lt;&gt;"",E1030&gt;=Controls!$B$37,E1030&lt;=Controls!$B$38),1,0)</f>
        <v>1</v>
      </c>
      <c r="AE1030" s="65" t="n">
        <f aca="false">IF(IFERROR(VLOOKUP(D1030,Controls!$A$64:$E$74,2,FALSE()),"No")="Yes",1,0)</f>
        <v>0</v>
      </c>
      <c r="AF1030" s="65" t="n">
        <f aca="false">IF(IFERROR(VLOOKUP(D1030,Controls!$A$64:$E$74,3,FALSE()),"No")="Yes",1,0)</f>
        <v>0</v>
      </c>
      <c r="AG1030" s="65" t="n">
        <f aca="false">IF(IFERROR(VLOOKUP(D1030,Controls!$A$64:$E$74,4,FALSE()),"No")="Yes",1,0)</f>
        <v>0</v>
      </c>
      <c r="AH1030" s="65" t="n">
        <f aca="false">IF(IFERROR(VLOOKUP(D1030,Controls!$A$64:$E$74,5,FALSE()),"No")="Yes",1,0)</f>
        <v>1</v>
      </c>
      <c r="AI1030" s="65" t="n">
        <f aca="false">IF(ISNUMBER(MATCH(D1030,Controls!$A$64:$A$74,0)),1,0)</f>
        <v>1</v>
      </c>
      <c r="AJ1030" s="65" t="n">
        <f aca="false">Q1030-N1030</f>
        <v>-10013.32</v>
      </c>
      <c r="AK1030" s="65" t="n">
        <f aca="false">IF(AE1030=1,MAX(0,N1030-Q1030),0)</f>
        <v>0</v>
      </c>
      <c r="AL1030" s="65" t="n">
        <f aca="false">IF(OR(V1030="",V1030=0),0,N1030/V1030)</f>
        <v>0</v>
      </c>
      <c r="AM1030" s="65" t="n">
        <f aca="false">IF(OR(V1030="",V1030=0),0,1)</f>
        <v>0</v>
      </c>
      <c r="AN1030" s="65" t="n">
        <f aca="false">IF(OR(E1030="",F1030=""),0,NETWORKDAYS(E1030,F1030,Ref!$K$2:$K$42))</f>
        <v>24</v>
      </c>
      <c r="AO1030" s="65" t="n">
        <f aca="false">IF(L1030="Renewal",1,0)</f>
        <v>0</v>
      </c>
      <c r="AP1030" s="65" t="n">
        <f aca="false">AC1030*AD1030</f>
        <v>0</v>
      </c>
      <c r="AQ1030" s="65" t="n">
        <f aca="false">IF(AND(G1030&lt;&gt;"",'Historical Score'!$C$6&lt;&gt;""),IF(G1030='Historical Score'!$C$6,1,0),0)</f>
        <v>0</v>
      </c>
      <c r="AR1030" s="65" t="n">
        <f aca="false">IF(AND(L1030&lt;&gt;"",'Historical Score'!$C$5&lt;&gt;""),IF(L1030='Historical Score'!$C$5,1,0),0)</f>
        <v>1</v>
      </c>
      <c r="AS1030" s="65" t="n">
        <f aca="false">IF(AND(Y1030&lt;&gt;"",'Historical Score'!$C$7&lt;&gt;""),IF(Y1030='Historical Score'!$C$7,1,0),0)</f>
        <v>0</v>
      </c>
      <c r="AT1030" s="65" t="n">
        <f aca="false">IF(AND(K1030&lt;&gt;"",'Historical Score'!$C$8&lt;&gt;""),IF(K1030='Historical Score'!$C$8,1,0),0)</f>
        <v>0</v>
      </c>
      <c r="AU1030" s="65" t="n">
        <f aca="false">IF(AND(J1030&lt;&gt;"",'Historical Score'!$C$9&lt;&gt;""),IF(J1030='Historical Score'!$C$9,1,0),0)</f>
        <v>0</v>
      </c>
      <c r="AV1030" s="65" t="n">
        <f aca="false">AR1030*AS1030*AQ1030</f>
        <v>0</v>
      </c>
      <c r="AW1030" s="65" t="n">
        <f aca="false">AR1030*AT1030*AQ1030</f>
        <v>0</v>
      </c>
      <c r="AX1030" s="65" t="n">
        <f aca="false">AR1030*AS1030</f>
        <v>0</v>
      </c>
      <c r="AY1030" s="65" t="n">
        <f aca="false">AR1030*AT1030</f>
        <v>0</v>
      </c>
      <c r="AZ1030" s="65" t="n">
        <f aca="false">AR1030*AQ1030</f>
        <v>0</v>
      </c>
      <c r="BA1030" s="65" t="n">
        <f aca="false">AR1030</f>
        <v>1</v>
      </c>
      <c r="BB1030" s="65" t="n">
        <f aca="false">1</f>
        <v>1</v>
      </c>
      <c r="BC1030" s="65" t="n">
        <f aca="false">IF(AV1030=1,1,IF(AW1030=1,2,IF(AX1030=1,3,IF(AY1030=1,4,IF(AZ1030=1,5,IF(BA1030=1,6,7))))))</f>
        <v>6</v>
      </c>
      <c r="BD1030" s="65" t="n">
        <f aca="false">IF(AD1030=1,CHOOSE('Historical Score'!$C$29,AV1030,AW1030,AX1030,AY1030,AZ1030,BA1030,BB1030),0)</f>
        <v>0</v>
      </c>
      <c r="BE1030" s="65" t="str">
        <f aca="false">IF(BD1030=1,COUNTIF($BD$2:BD1030,1),"")</f>
        <v/>
      </c>
    </row>
    <row r="1031" customFormat="false" ht="15" hidden="false" customHeight="false" outlineLevel="0" collapsed="false">
      <c r="A1031" s="65" t="s">
        <v>3079</v>
      </c>
      <c r="B1031" s="65" t="s">
        <v>2505</v>
      </c>
      <c r="C1031" s="65" t="s">
        <v>2505</v>
      </c>
      <c r="D1031" s="65" t="s">
        <v>295</v>
      </c>
      <c r="E1031" s="112" t="n">
        <v>46218</v>
      </c>
      <c r="F1031" s="112" t="n">
        <v>46248</v>
      </c>
      <c r="G1031" s="65" t="n">
        <v>3</v>
      </c>
      <c r="H1031" s="65" t="s">
        <v>1182</v>
      </c>
      <c r="I1031" s="65" t="s">
        <v>367</v>
      </c>
      <c r="J1031" s="65" t="s">
        <v>646</v>
      </c>
      <c r="K1031" s="65" t="s">
        <v>581</v>
      </c>
      <c r="L1031" s="65" t="s">
        <v>320</v>
      </c>
      <c r="M1031" s="113" t="n">
        <v>1.45</v>
      </c>
      <c r="N1031" s="114" t="n">
        <v>50000</v>
      </c>
      <c r="O1031" s="114" t="n">
        <v>0</v>
      </c>
      <c r="P1031" s="114" t="n">
        <v>72500</v>
      </c>
      <c r="Q1031" s="114" t="n">
        <v>0</v>
      </c>
      <c r="R1031" s="114" t="n">
        <v>72500</v>
      </c>
      <c r="S1031" s="115" t="n">
        <v>0</v>
      </c>
      <c r="T1031" s="65" t="n">
        <v>24</v>
      </c>
      <c r="U1031" s="65" t="n">
        <v>4</v>
      </c>
      <c r="V1031" s="65" t="n">
        <v>123148.95</v>
      </c>
      <c r="W1031" s="115" t="n">
        <v>0.1162</v>
      </c>
      <c r="X1031" s="112" t="n">
        <v>40380</v>
      </c>
      <c r="Y1031" s="65" t="str">
        <f aca="false">IF(I1031="","No SIC",IFERROR(VLOOKUP(I1031,Ref!$A$2:$B$65,2,FALSE()),"Unclassified"))</f>
        <v>Engineering, Accounting &amp; Management</v>
      </c>
      <c r="Z1031" s="65" t="str">
        <f aca="false">IF(T1031="","",IF(T1031&lt;12,"Daily","Weekly"))</f>
        <v>Weekly</v>
      </c>
      <c r="AA1031" s="65" t="n">
        <f aca="false">IF(T1031="",0,IF(T1031&lt;12,T1031*Controls!$B$29,T1031*5))</f>
        <v>120</v>
      </c>
      <c r="AB1031" s="65" t="n">
        <f aca="false">IF(E1031="",0,NETWORKDAYS(E1031,Controls!$B$36,Ref!$K$2:$K$42))</f>
        <v>30</v>
      </c>
      <c r="AC1031" s="65" t="n">
        <f aca="false">IF(AND(AA1031&gt;0,AB1031&gt;=Controls!$B$39*AA1031),1,0)</f>
        <v>0</v>
      </c>
      <c r="AD1031" s="65" t="n">
        <f aca="false">IF(AND(E1031&lt;&gt;"",E1031&gt;=Controls!$B$37,E1031&lt;=Controls!$B$38),1,0)</f>
        <v>1</v>
      </c>
      <c r="AE1031" s="65" t="n">
        <f aca="false">IF(IFERROR(VLOOKUP(D1031,Controls!$A$64:$E$74,2,FALSE()),"No")="Yes",1,0)</f>
        <v>0</v>
      </c>
      <c r="AF1031" s="65" t="n">
        <f aca="false">IF(IFERROR(VLOOKUP(D1031,Controls!$A$64:$E$74,3,FALSE()),"No")="Yes",1,0)</f>
        <v>0</v>
      </c>
      <c r="AG1031" s="65" t="n">
        <f aca="false">IF(IFERROR(VLOOKUP(D1031,Controls!$A$64:$E$74,4,FALSE()),"No")="Yes",1,0)</f>
        <v>0</v>
      </c>
      <c r="AH1031" s="65" t="n">
        <f aca="false">IF(IFERROR(VLOOKUP(D1031,Controls!$A$64:$E$74,5,FALSE()),"No")="Yes",1,0)</f>
        <v>1</v>
      </c>
      <c r="AI1031" s="65" t="n">
        <f aca="false">IF(ISNUMBER(MATCH(D1031,Controls!$A$64:$A$74,0)),1,0)</f>
        <v>1</v>
      </c>
      <c r="AJ1031" s="65" t="n">
        <f aca="false">Q1031-N1031</f>
        <v>-50000</v>
      </c>
      <c r="AK1031" s="65" t="n">
        <f aca="false">IF(AE1031=1,MAX(0,N1031-Q1031),0)</f>
        <v>0</v>
      </c>
      <c r="AL1031" s="65" t="n">
        <f aca="false">IF(OR(V1031="",V1031=0),0,N1031/V1031)</f>
        <v>0.406012393934337</v>
      </c>
      <c r="AM1031" s="65" t="n">
        <f aca="false">IF(OR(V1031="",V1031=0),0,1)</f>
        <v>1</v>
      </c>
      <c r="AN1031" s="65" t="n">
        <f aca="false">IF(OR(E1031="",F1031=""),0,NETWORKDAYS(E1031,F1031,Ref!$K$2:$K$42))</f>
        <v>23</v>
      </c>
      <c r="AO1031" s="65" t="n">
        <f aca="false">IF(L1031="Renewal",1,0)</f>
        <v>1</v>
      </c>
      <c r="AP1031" s="65" t="n">
        <f aca="false">AC1031*AD1031</f>
        <v>0</v>
      </c>
      <c r="AQ1031" s="65" t="n">
        <f aca="false">IF(AND(G1031&lt;&gt;"",'Historical Score'!$C$6&lt;&gt;""),IF(G1031='Historical Score'!$C$6,1,0),0)</f>
        <v>0</v>
      </c>
      <c r="AR1031" s="65" t="n">
        <f aca="false">IF(AND(L1031&lt;&gt;"",'Historical Score'!$C$5&lt;&gt;""),IF(L1031='Historical Score'!$C$5,1,0),0)</f>
        <v>0</v>
      </c>
      <c r="AS1031" s="65" t="n">
        <f aca="false">IF(AND(Y1031&lt;&gt;"",'Historical Score'!$C$7&lt;&gt;""),IF(Y1031='Historical Score'!$C$7,1,0),0)</f>
        <v>0</v>
      </c>
      <c r="AT1031" s="65" t="n">
        <f aca="false">IF(AND(K1031&lt;&gt;"",'Historical Score'!$C$8&lt;&gt;""),IF(K1031='Historical Score'!$C$8,1,0),0)</f>
        <v>0</v>
      </c>
      <c r="AU1031" s="65" t="n">
        <f aca="false">IF(AND(J1031&lt;&gt;"",'Historical Score'!$C$9&lt;&gt;""),IF(J1031='Historical Score'!$C$9,1,0),0)</f>
        <v>0</v>
      </c>
      <c r="AV1031" s="65" t="n">
        <f aca="false">AR1031*AS1031*AQ1031</f>
        <v>0</v>
      </c>
      <c r="AW1031" s="65" t="n">
        <f aca="false">AR1031*AT1031*AQ1031</f>
        <v>0</v>
      </c>
      <c r="AX1031" s="65" t="n">
        <f aca="false">AR1031*AS1031</f>
        <v>0</v>
      </c>
      <c r="AY1031" s="65" t="n">
        <f aca="false">AR1031*AT1031</f>
        <v>0</v>
      </c>
      <c r="AZ1031" s="65" t="n">
        <f aca="false">AR1031*AQ1031</f>
        <v>0</v>
      </c>
      <c r="BA1031" s="65" t="n">
        <f aca="false">AR1031</f>
        <v>0</v>
      </c>
      <c r="BB1031" s="65" t="n">
        <f aca="false">1</f>
        <v>1</v>
      </c>
      <c r="BC1031" s="65" t="n">
        <f aca="false">IF(AV1031=1,1,IF(AW1031=1,2,IF(AX1031=1,3,IF(AY1031=1,4,IF(AZ1031=1,5,IF(BA1031=1,6,7))))))</f>
        <v>7</v>
      </c>
      <c r="BD1031" s="65" t="n">
        <f aca="false">IF(AD1031=1,CHOOSE('Historical Score'!$C$29,AV1031,AW1031,AX1031,AY1031,AZ1031,BA1031,BB1031),0)</f>
        <v>0</v>
      </c>
      <c r="BE1031" s="65" t="str">
        <f aca="false">IF(BD1031=1,COUNTIF($BD$2:BD1031,1),"")</f>
        <v/>
      </c>
    </row>
    <row r="1032" customFormat="false" ht="15" hidden="false" customHeight="false" outlineLevel="0" collapsed="false">
      <c r="A1032" s="65" t="s">
        <v>3080</v>
      </c>
      <c r="B1032" s="65" t="s">
        <v>2561</v>
      </c>
      <c r="C1032" s="65" t="s">
        <v>2561</v>
      </c>
      <c r="D1032" s="65" t="s">
        <v>295</v>
      </c>
      <c r="E1032" s="112" t="n">
        <v>46218</v>
      </c>
      <c r="F1032" s="112" t="n">
        <v>46248</v>
      </c>
      <c r="G1032" s="65" t="n">
        <v>3</v>
      </c>
      <c r="H1032" s="65" t="s">
        <v>391</v>
      </c>
      <c r="I1032" s="65" t="s">
        <v>392</v>
      </c>
      <c r="J1032" s="65" t="s">
        <v>61</v>
      </c>
      <c r="K1032" s="65" t="s">
        <v>2397</v>
      </c>
      <c r="L1032" s="65" t="s">
        <v>320</v>
      </c>
      <c r="M1032" s="113" t="n">
        <v>1.49</v>
      </c>
      <c r="N1032" s="114" t="n">
        <v>15000</v>
      </c>
      <c r="O1032" s="114" t="n">
        <v>2100</v>
      </c>
      <c r="P1032" s="114" t="n">
        <v>22350</v>
      </c>
      <c r="Q1032" s="114" t="n">
        <v>5591.56</v>
      </c>
      <c r="R1032" s="114" t="n">
        <v>16758.44</v>
      </c>
      <c r="S1032" s="115" t="n">
        <v>0.250181655480984</v>
      </c>
      <c r="T1032" s="65" t="n">
        <v>16</v>
      </c>
      <c r="U1032" s="65" t="n">
        <v>0</v>
      </c>
      <c r="V1032" s="65" t="n">
        <v>96907.37</v>
      </c>
      <c r="W1032" s="115" t="n">
        <v>0.0577</v>
      </c>
      <c r="X1032" s="112" t="n">
        <v>44232</v>
      </c>
      <c r="Y1032" s="65" t="str">
        <f aca="false">IF(I1032="","No SIC",IFERROR(VLOOKUP(I1032,Ref!$A$2:$B$65,2,FALSE()),"Unclassified"))</f>
        <v>Real Estate</v>
      </c>
      <c r="Z1032" s="65" t="str">
        <f aca="false">IF(T1032="","",IF(T1032&lt;12,"Daily","Weekly"))</f>
        <v>Weekly</v>
      </c>
      <c r="AA1032" s="65" t="n">
        <f aca="false">IF(T1032="",0,IF(T1032&lt;12,T1032*Controls!$B$29,T1032*5))</f>
        <v>80</v>
      </c>
      <c r="AB1032" s="65" t="n">
        <f aca="false">IF(E1032="",0,NETWORKDAYS(E1032,Controls!$B$36,Ref!$K$2:$K$42))</f>
        <v>30</v>
      </c>
      <c r="AC1032" s="65" t="n">
        <f aca="false">IF(AND(AA1032&gt;0,AB1032&gt;=Controls!$B$39*AA1032),1,0)</f>
        <v>0</v>
      </c>
      <c r="AD1032" s="65" t="n">
        <f aca="false">IF(AND(E1032&lt;&gt;"",E1032&gt;=Controls!$B$37,E1032&lt;=Controls!$B$38),1,0)</f>
        <v>1</v>
      </c>
      <c r="AE1032" s="65" t="n">
        <f aca="false">IF(IFERROR(VLOOKUP(D1032,Controls!$A$64:$E$74,2,FALSE()),"No")="Yes",1,0)</f>
        <v>0</v>
      </c>
      <c r="AF1032" s="65" t="n">
        <f aca="false">IF(IFERROR(VLOOKUP(D1032,Controls!$A$64:$E$74,3,FALSE()),"No")="Yes",1,0)</f>
        <v>0</v>
      </c>
      <c r="AG1032" s="65" t="n">
        <f aca="false">IF(IFERROR(VLOOKUP(D1032,Controls!$A$64:$E$74,4,FALSE()),"No")="Yes",1,0)</f>
        <v>0</v>
      </c>
      <c r="AH1032" s="65" t="n">
        <f aca="false">IF(IFERROR(VLOOKUP(D1032,Controls!$A$64:$E$74,5,FALSE()),"No")="Yes",1,0)</f>
        <v>1</v>
      </c>
      <c r="AI1032" s="65" t="n">
        <f aca="false">IF(ISNUMBER(MATCH(D1032,Controls!$A$64:$A$74,0)),1,0)</f>
        <v>1</v>
      </c>
      <c r="AJ1032" s="65" t="n">
        <f aca="false">Q1032-N1032</f>
        <v>-9408.44</v>
      </c>
      <c r="AK1032" s="65" t="n">
        <f aca="false">IF(AE1032=1,MAX(0,N1032-Q1032),0)</f>
        <v>0</v>
      </c>
      <c r="AL1032" s="65" t="n">
        <f aca="false">IF(OR(V1032="",V1032=0),0,N1032/V1032)</f>
        <v>0.154786988853376</v>
      </c>
      <c r="AM1032" s="65" t="n">
        <f aca="false">IF(OR(V1032="",V1032=0),0,1)</f>
        <v>1</v>
      </c>
      <c r="AN1032" s="65" t="n">
        <f aca="false">IF(OR(E1032="",F1032=""),0,NETWORKDAYS(E1032,F1032,Ref!$K$2:$K$42))</f>
        <v>23</v>
      </c>
      <c r="AO1032" s="65" t="n">
        <f aca="false">IF(L1032="Renewal",1,0)</f>
        <v>1</v>
      </c>
      <c r="AP1032" s="65" t="n">
        <f aca="false">AC1032*AD1032</f>
        <v>0</v>
      </c>
      <c r="AQ1032" s="65" t="n">
        <f aca="false">IF(AND(G1032&lt;&gt;"",'Historical Score'!$C$6&lt;&gt;""),IF(G1032='Historical Score'!$C$6,1,0),0)</f>
        <v>0</v>
      </c>
      <c r="AR1032" s="65" t="n">
        <f aca="false">IF(AND(L1032&lt;&gt;"",'Historical Score'!$C$5&lt;&gt;""),IF(L1032='Historical Score'!$C$5,1,0),0)</f>
        <v>0</v>
      </c>
      <c r="AS1032" s="65" t="n">
        <f aca="false">IF(AND(Y1032&lt;&gt;"",'Historical Score'!$C$7&lt;&gt;""),IF(Y1032='Historical Score'!$C$7,1,0),0)</f>
        <v>0</v>
      </c>
      <c r="AT1032" s="65" t="n">
        <f aca="false">IF(AND(K1032&lt;&gt;"",'Historical Score'!$C$8&lt;&gt;""),IF(K1032='Historical Score'!$C$8,1,0),0)</f>
        <v>0</v>
      </c>
      <c r="AU1032" s="65" t="n">
        <f aca="false">IF(AND(J1032&lt;&gt;"",'Historical Score'!$C$9&lt;&gt;""),IF(J1032='Historical Score'!$C$9,1,0),0)</f>
        <v>1</v>
      </c>
      <c r="AV1032" s="65" t="n">
        <f aca="false">AR1032*AS1032*AQ1032</f>
        <v>0</v>
      </c>
      <c r="AW1032" s="65" t="n">
        <f aca="false">AR1032*AT1032*AQ1032</f>
        <v>0</v>
      </c>
      <c r="AX1032" s="65" t="n">
        <f aca="false">AR1032*AS1032</f>
        <v>0</v>
      </c>
      <c r="AY1032" s="65" t="n">
        <f aca="false">AR1032*AT1032</f>
        <v>0</v>
      </c>
      <c r="AZ1032" s="65" t="n">
        <f aca="false">AR1032*AQ1032</f>
        <v>0</v>
      </c>
      <c r="BA1032" s="65" t="n">
        <f aca="false">AR1032</f>
        <v>0</v>
      </c>
      <c r="BB1032" s="65" t="n">
        <f aca="false">1</f>
        <v>1</v>
      </c>
      <c r="BC1032" s="65" t="n">
        <f aca="false">IF(AV1032=1,1,IF(AW1032=1,2,IF(AX1032=1,3,IF(AY1032=1,4,IF(AZ1032=1,5,IF(BA1032=1,6,7))))))</f>
        <v>7</v>
      </c>
      <c r="BD1032" s="65" t="n">
        <f aca="false">IF(AD1032=1,CHOOSE('Historical Score'!$C$29,AV1032,AW1032,AX1032,AY1032,AZ1032,BA1032,BB1032),0)</f>
        <v>0</v>
      </c>
      <c r="BE1032" s="65" t="str">
        <f aca="false">IF(BD1032=1,COUNTIF($BD$2:BD1032,1),"")</f>
        <v/>
      </c>
    </row>
    <row r="1033" customFormat="false" ht="15" hidden="false" customHeight="false" outlineLevel="0" collapsed="false">
      <c r="A1033" s="65" t="s">
        <v>3081</v>
      </c>
      <c r="B1033" s="65" t="s">
        <v>3082</v>
      </c>
      <c r="C1033" s="65" t="s">
        <v>3083</v>
      </c>
      <c r="D1033" s="65" t="s">
        <v>295</v>
      </c>
      <c r="E1033" s="112" t="n">
        <v>46218</v>
      </c>
      <c r="F1033" s="112" t="n">
        <v>46248</v>
      </c>
      <c r="G1033" s="65" t="n">
        <v>3</v>
      </c>
      <c r="H1033" s="65" t="s">
        <v>768</v>
      </c>
      <c r="I1033" s="65" t="s">
        <v>443</v>
      </c>
      <c r="J1033" s="65" t="s">
        <v>489</v>
      </c>
      <c r="K1033" s="65" t="s">
        <v>538</v>
      </c>
      <c r="L1033" s="65" t="s">
        <v>64</v>
      </c>
      <c r="M1033" s="113" t="n">
        <v>1.49</v>
      </c>
      <c r="N1033" s="114" t="n">
        <v>50000</v>
      </c>
      <c r="O1033" s="114" t="n">
        <v>7000</v>
      </c>
      <c r="P1033" s="114" t="n">
        <v>74500</v>
      </c>
      <c r="Q1033" s="114" t="n">
        <v>7451.95</v>
      </c>
      <c r="R1033" s="114" t="n">
        <v>67048.05</v>
      </c>
      <c r="S1033" s="115" t="n">
        <v>0.100026174496644</v>
      </c>
      <c r="T1033" s="65" t="n">
        <v>22</v>
      </c>
      <c r="U1033" s="65" t="n">
        <v>1</v>
      </c>
      <c r="V1033" s="65" t="n">
        <v>106266.58</v>
      </c>
      <c r="W1033" s="115" t="n">
        <v>0.1275</v>
      </c>
      <c r="X1033" s="112" t="n">
        <v>41275</v>
      </c>
      <c r="Y1033" s="65" t="str">
        <f aca="false">IF(I1033="","No SIC",IFERROR(VLOOKUP(I1033,Ref!$A$2:$B$65,2,FALSE()),"Unclassified"))</f>
        <v>General Building Contractors</v>
      </c>
      <c r="Z1033" s="65" t="str">
        <f aca="false">IF(T1033="","",IF(T1033&lt;12,"Daily","Weekly"))</f>
        <v>Weekly</v>
      </c>
      <c r="AA1033" s="65" t="n">
        <f aca="false">IF(T1033="",0,IF(T1033&lt;12,T1033*Controls!$B$29,T1033*5))</f>
        <v>110</v>
      </c>
      <c r="AB1033" s="65" t="n">
        <f aca="false">IF(E1033="",0,NETWORKDAYS(E1033,Controls!$B$36,Ref!$K$2:$K$42))</f>
        <v>30</v>
      </c>
      <c r="AC1033" s="65" t="n">
        <f aca="false">IF(AND(AA1033&gt;0,AB1033&gt;=Controls!$B$39*AA1033),1,0)</f>
        <v>0</v>
      </c>
      <c r="AD1033" s="65" t="n">
        <f aca="false">IF(AND(E1033&lt;&gt;"",E1033&gt;=Controls!$B$37,E1033&lt;=Controls!$B$38),1,0)</f>
        <v>1</v>
      </c>
      <c r="AE1033" s="65" t="n">
        <f aca="false">IF(IFERROR(VLOOKUP(D1033,Controls!$A$64:$E$74,2,FALSE()),"No")="Yes",1,0)</f>
        <v>0</v>
      </c>
      <c r="AF1033" s="65" t="n">
        <f aca="false">IF(IFERROR(VLOOKUP(D1033,Controls!$A$64:$E$74,3,FALSE()),"No")="Yes",1,0)</f>
        <v>0</v>
      </c>
      <c r="AG1033" s="65" t="n">
        <f aca="false">IF(IFERROR(VLOOKUP(D1033,Controls!$A$64:$E$74,4,FALSE()),"No")="Yes",1,0)</f>
        <v>0</v>
      </c>
      <c r="AH1033" s="65" t="n">
        <f aca="false">IF(IFERROR(VLOOKUP(D1033,Controls!$A$64:$E$74,5,FALSE()),"No")="Yes",1,0)</f>
        <v>1</v>
      </c>
      <c r="AI1033" s="65" t="n">
        <f aca="false">IF(ISNUMBER(MATCH(D1033,Controls!$A$64:$A$74,0)),1,0)</f>
        <v>1</v>
      </c>
      <c r="AJ1033" s="65" t="n">
        <f aca="false">Q1033-N1033</f>
        <v>-42548.05</v>
      </c>
      <c r="AK1033" s="65" t="n">
        <f aca="false">IF(AE1033=1,MAX(0,N1033-Q1033),0)</f>
        <v>0</v>
      </c>
      <c r="AL1033" s="65" t="n">
        <f aca="false">IF(OR(V1033="",V1033=0),0,N1033/V1033)</f>
        <v>0.470514812841441</v>
      </c>
      <c r="AM1033" s="65" t="n">
        <f aca="false">IF(OR(V1033="",V1033=0),0,1)</f>
        <v>1</v>
      </c>
      <c r="AN1033" s="65" t="n">
        <f aca="false">IF(OR(E1033="",F1033=""),0,NETWORKDAYS(E1033,F1033,Ref!$K$2:$K$42))</f>
        <v>23</v>
      </c>
      <c r="AO1033" s="65" t="n">
        <f aca="false">IF(L1033="Renewal",1,0)</f>
        <v>0</v>
      </c>
      <c r="AP1033" s="65" t="n">
        <f aca="false">AC1033*AD1033</f>
        <v>0</v>
      </c>
      <c r="AQ1033" s="65" t="n">
        <f aca="false">IF(AND(G1033&lt;&gt;"",'Historical Score'!$C$6&lt;&gt;""),IF(G1033='Historical Score'!$C$6,1,0),0)</f>
        <v>0</v>
      </c>
      <c r="AR1033" s="65" t="n">
        <f aca="false">IF(AND(L1033&lt;&gt;"",'Historical Score'!$C$5&lt;&gt;""),IF(L1033='Historical Score'!$C$5,1,0),0)</f>
        <v>1</v>
      </c>
      <c r="AS1033" s="65" t="n">
        <f aca="false">IF(AND(Y1033&lt;&gt;"",'Historical Score'!$C$7&lt;&gt;""),IF(Y1033='Historical Score'!$C$7,1,0),0)</f>
        <v>1</v>
      </c>
      <c r="AT1033" s="65" t="n">
        <f aca="false">IF(AND(K1033&lt;&gt;"",'Historical Score'!$C$8&lt;&gt;""),IF(K1033='Historical Score'!$C$8,1,0),0)</f>
        <v>0</v>
      </c>
      <c r="AU1033" s="65" t="n">
        <f aca="false">IF(AND(J1033&lt;&gt;"",'Historical Score'!$C$9&lt;&gt;""),IF(J1033='Historical Score'!$C$9,1,0),0)</f>
        <v>0</v>
      </c>
      <c r="AV1033" s="65" t="n">
        <f aca="false">AR1033*AS1033*AQ1033</f>
        <v>0</v>
      </c>
      <c r="AW1033" s="65" t="n">
        <f aca="false">AR1033*AT1033*AQ1033</f>
        <v>0</v>
      </c>
      <c r="AX1033" s="65" t="n">
        <f aca="false">AR1033*AS1033</f>
        <v>1</v>
      </c>
      <c r="AY1033" s="65" t="n">
        <f aca="false">AR1033*AT1033</f>
        <v>0</v>
      </c>
      <c r="AZ1033" s="65" t="n">
        <f aca="false">AR1033*AQ1033</f>
        <v>0</v>
      </c>
      <c r="BA1033" s="65" t="n">
        <f aca="false">AR1033</f>
        <v>1</v>
      </c>
      <c r="BB1033" s="65" t="n">
        <f aca="false">1</f>
        <v>1</v>
      </c>
      <c r="BC1033" s="65" t="n">
        <f aca="false">IF(AV1033=1,1,IF(AW1033=1,2,IF(AX1033=1,3,IF(AY1033=1,4,IF(AZ1033=1,5,IF(BA1033=1,6,7))))))</f>
        <v>3</v>
      </c>
      <c r="BD1033" s="65" t="n">
        <f aca="false">IF(AD1033=1,CHOOSE('Historical Score'!$C$29,AV1033,AW1033,AX1033,AY1033,AZ1033,BA1033,BB1033),0)</f>
        <v>0</v>
      </c>
      <c r="BE1033" s="65" t="str">
        <f aca="false">IF(BD1033=1,COUNTIF($BD$2:BD1033,1),"")</f>
        <v/>
      </c>
    </row>
    <row r="1034" customFormat="false" ht="15" hidden="false" customHeight="false" outlineLevel="0" collapsed="false">
      <c r="A1034" s="65" t="s">
        <v>3084</v>
      </c>
      <c r="B1034" s="65" t="s">
        <v>2364</v>
      </c>
      <c r="C1034" s="65" t="s">
        <v>2365</v>
      </c>
      <c r="D1034" s="65" t="s">
        <v>295</v>
      </c>
      <c r="E1034" s="112" t="n">
        <v>46219</v>
      </c>
      <c r="F1034" s="112" t="n">
        <v>46253</v>
      </c>
      <c r="G1034" s="65" t="n">
        <v>3</v>
      </c>
      <c r="H1034" s="65" t="s">
        <v>2366</v>
      </c>
      <c r="I1034" s="65" t="s">
        <v>2367</v>
      </c>
      <c r="J1034" s="65" t="s">
        <v>638</v>
      </c>
      <c r="K1034" s="65" t="s">
        <v>961</v>
      </c>
      <c r="L1034" s="65" t="s">
        <v>320</v>
      </c>
      <c r="M1034" s="113" t="n">
        <v>1.43</v>
      </c>
      <c r="N1034" s="114" t="n">
        <v>30000</v>
      </c>
      <c r="O1034" s="114" t="n">
        <v>3300</v>
      </c>
      <c r="P1034" s="114" t="n">
        <v>42900</v>
      </c>
      <c r="Q1034" s="114" t="n">
        <v>7661.25</v>
      </c>
      <c r="R1034" s="114" t="n">
        <v>35238.75</v>
      </c>
      <c r="S1034" s="115" t="n">
        <v>0.178583916083916</v>
      </c>
      <c r="T1034" s="65" t="n">
        <v>4.59</v>
      </c>
      <c r="U1034" s="65" t="n">
        <v>0</v>
      </c>
      <c r="V1034" s="65" t="n">
        <v>14934.99</v>
      </c>
      <c r="W1034" s="115" t="n">
        <v>0.4309</v>
      </c>
      <c r="X1034" s="112" t="n">
        <v>45524</v>
      </c>
      <c r="Y1034" s="65" t="str">
        <f aca="false">IF(I1034="","No SIC",IFERROR(VLOOKUP(I1034,Ref!$A$2:$B$65,2,FALSE()),"Unclassified"))</f>
        <v>Services - Miscellaneous</v>
      </c>
      <c r="Z1034" s="65" t="str">
        <f aca="false">IF(T1034="","",IF(T1034&lt;12,"Daily","Weekly"))</f>
        <v>Daily</v>
      </c>
      <c r="AA1034" s="65" t="n">
        <f aca="false">IF(T1034="",0,IF(T1034&lt;12,T1034*Controls!$B$29,T1034*5))</f>
        <v>99.39645</v>
      </c>
      <c r="AB1034" s="65" t="n">
        <f aca="false">IF(E1034="",0,NETWORKDAYS(E1034,Controls!$B$36,Ref!$K$2:$K$42))</f>
        <v>29</v>
      </c>
      <c r="AC1034" s="65" t="n">
        <f aca="false">IF(AND(AA1034&gt;0,AB1034&gt;=Controls!$B$39*AA1034),1,0)</f>
        <v>0</v>
      </c>
      <c r="AD1034" s="65" t="n">
        <f aca="false">IF(AND(E1034&lt;&gt;"",E1034&gt;=Controls!$B$37,E1034&lt;=Controls!$B$38),1,0)</f>
        <v>1</v>
      </c>
      <c r="AE1034" s="65" t="n">
        <f aca="false">IF(IFERROR(VLOOKUP(D1034,Controls!$A$64:$E$74,2,FALSE()),"No")="Yes",1,0)</f>
        <v>0</v>
      </c>
      <c r="AF1034" s="65" t="n">
        <f aca="false">IF(IFERROR(VLOOKUP(D1034,Controls!$A$64:$E$74,3,FALSE()),"No")="Yes",1,0)</f>
        <v>0</v>
      </c>
      <c r="AG1034" s="65" t="n">
        <f aca="false">IF(IFERROR(VLOOKUP(D1034,Controls!$A$64:$E$74,4,FALSE()),"No")="Yes",1,0)</f>
        <v>0</v>
      </c>
      <c r="AH1034" s="65" t="n">
        <f aca="false">IF(IFERROR(VLOOKUP(D1034,Controls!$A$64:$E$74,5,FALSE()),"No")="Yes",1,0)</f>
        <v>1</v>
      </c>
      <c r="AI1034" s="65" t="n">
        <f aca="false">IF(ISNUMBER(MATCH(D1034,Controls!$A$64:$A$74,0)),1,0)</f>
        <v>1</v>
      </c>
      <c r="AJ1034" s="65" t="n">
        <f aca="false">Q1034-N1034</f>
        <v>-22338.75</v>
      </c>
      <c r="AK1034" s="65" t="n">
        <f aca="false">IF(AE1034=1,MAX(0,N1034-Q1034),0)</f>
        <v>0</v>
      </c>
      <c r="AL1034" s="65" t="n">
        <f aca="false">IF(OR(V1034="",V1034=0),0,N1034/V1034)</f>
        <v>2.00870573063658</v>
      </c>
      <c r="AM1034" s="65" t="n">
        <f aca="false">IF(OR(V1034="",V1034=0),0,1)</f>
        <v>1</v>
      </c>
      <c r="AN1034" s="65" t="n">
        <f aca="false">IF(OR(E1034="",F1034=""),0,NETWORKDAYS(E1034,F1034,Ref!$K$2:$K$42))</f>
        <v>25</v>
      </c>
      <c r="AO1034" s="65" t="n">
        <f aca="false">IF(L1034="Renewal",1,0)</f>
        <v>1</v>
      </c>
      <c r="AP1034" s="65" t="n">
        <f aca="false">AC1034*AD1034</f>
        <v>0</v>
      </c>
      <c r="AQ1034" s="65" t="n">
        <f aca="false">IF(AND(G1034&lt;&gt;"",'Historical Score'!$C$6&lt;&gt;""),IF(G1034='Historical Score'!$C$6,1,0),0)</f>
        <v>0</v>
      </c>
      <c r="AR1034" s="65" t="n">
        <f aca="false">IF(AND(L1034&lt;&gt;"",'Historical Score'!$C$5&lt;&gt;""),IF(L1034='Historical Score'!$C$5,1,0),0)</f>
        <v>0</v>
      </c>
      <c r="AS1034" s="65" t="n">
        <f aca="false">IF(AND(Y1034&lt;&gt;"",'Historical Score'!$C$7&lt;&gt;""),IF(Y1034='Historical Score'!$C$7,1,0),0)</f>
        <v>0</v>
      </c>
      <c r="AT1034" s="65" t="n">
        <f aca="false">IF(AND(K1034&lt;&gt;"",'Historical Score'!$C$8&lt;&gt;""),IF(K1034='Historical Score'!$C$8,1,0),0)</f>
        <v>0</v>
      </c>
      <c r="AU1034" s="65" t="n">
        <f aca="false">IF(AND(J1034&lt;&gt;"",'Historical Score'!$C$9&lt;&gt;""),IF(J1034='Historical Score'!$C$9,1,0),0)</f>
        <v>0</v>
      </c>
      <c r="AV1034" s="65" t="n">
        <f aca="false">AR1034*AS1034*AQ1034</f>
        <v>0</v>
      </c>
      <c r="AW1034" s="65" t="n">
        <f aca="false">AR1034*AT1034*AQ1034</f>
        <v>0</v>
      </c>
      <c r="AX1034" s="65" t="n">
        <f aca="false">AR1034*AS1034</f>
        <v>0</v>
      </c>
      <c r="AY1034" s="65" t="n">
        <f aca="false">AR1034*AT1034</f>
        <v>0</v>
      </c>
      <c r="AZ1034" s="65" t="n">
        <f aca="false">AR1034*AQ1034</f>
        <v>0</v>
      </c>
      <c r="BA1034" s="65" t="n">
        <f aca="false">AR1034</f>
        <v>0</v>
      </c>
      <c r="BB1034" s="65" t="n">
        <f aca="false">1</f>
        <v>1</v>
      </c>
      <c r="BC1034" s="65" t="n">
        <f aca="false">IF(AV1034=1,1,IF(AW1034=1,2,IF(AX1034=1,3,IF(AY1034=1,4,IF(AZ1034=1,5,IF(BA1034=1,6,7))))))</f>
        <v>7</v>
      </c>
      <c r="BD1034" s="65" t="n">
        <f aca="false">IF(AD1034=1,CHOOSE('Historical Score'!$C$29,AV1034,AW1034,AX1034,AY1034,AZ1034,BA1034,BB1034),0)</f>
        <v>0</v>
      </c>
      <c r="BE1034" s="65" t="str">
        <f aca="false">IF(BD1034=1,COUNTIF($BD$2:BD1034,1),"")</f>
        <v/>
      </c>
    </row>
    <row r="1035" customFormat="false" ht="15" hidden="false" customHeight="false" outlineLevel="0" collapsed="false">
      <c r="A1035" s="65" t="s">
        <v>3085</v>
      </c>
      <c r="B1035" s="65" t="s">
        <v>3086</v>
      </c>
      <c r="C1035" s="65" t="s">
        <v>3087</v>
      </c>
      <c r="D1035" s="65" t="s">
        <v>295</v>
      </c>
      <c r="E1035" s="112" t="n">
        <v>46220</v>
      </c>
      <c r="F1035" s="112" t="n">
        <v>46253</v>
      </c>
      <c r="G1035" s="65" t="n">
        <v>4</v>
      </c>
      <c r="H1035" s="65" t="s">
        <v>3088</v>
      </c>
      <c r="I1035" s="65" t="s">
        <v>629</v>
      </c>
      <c r="J1035" s="65" t="s">
        <v>399</v>
      </c>
      <c r="K1035" s="65" t="s">
        <v>538</v>
      </c>
      <c r="L1035" s="65" t="s">
        <v>64</v>
      </c>
      <c r="M1035" s="113" t="n">
        <v>1.49</v>
      </c>
      <c r="N1035" s="114" t="n">
        <v>15000</v>
      </c>
      <c r="O1035" s="114" t="n">
        <v>2100</v>
      </c>
      <c r="P1035" s="114" t="n">
        <v>22350</v>
      </c>
      <c r="Q1035" s="114" t="n">
        <v>7708.3</v>
      </c>
      <c r="R1035" s="114" t="n">
        <v>14641.7</v>
      </c>
      <c r="S1035" s="115" t="n">
        <v>0.344890380313199</v>
      </c>
      <c r="T1035" s="65" t="n">
        <v>15</v>
      </c>
      <c r="U1035" s="65" t="n">
        <v>0</v>
      </c>
      <c r="V1035" s="65" t="n">
        <v>101183.29</v>
      </c>
      <c r="W1035" s="115" t="n">
        <v>0.2035</v>
      </c>
      <c r="X1035" s="112" t="n">
        <v>30841</v>
      </c>
      <c r="Y1035" s="65" t="str">
        <f aca="false">IF(I1035="","No SIC",IFERROR(VLOOKUP(I1035,Ref!$A$2:$B$65,2,FALSE()),"Unclassified"))</f>
        <v>Hotels &amp; Lodging</v>
      </c>
      <c r="Z1035" s="65" t="str">
        <f aca="false">IF(T1035="","",IF(T1035&lt;12,"Daily","Weekly"))</f>
        <v>Weekly</v>
      </c>
      <c r="AA1035" s="65" t="n">
        <f aca="false">IF(T1035="",0,IF(T1035&lt;12,T1035*Controls!$B$29,T1035*5))</f>
        <v>75</v>
      </c>
      <c r="AB1035" s="65" t="n">
        <f aca="false">IF(E1035="",0,NETWORKDAYS(E1035,Controls!$B$36,Ref!$K$2:$K$42))</f>
        <v>28</v>
      </c>
      <c r="AC1035" s="65" t="n">
        <f aca="false">IF(AND(AA1035&gt;0,AB1035&gt;=Controls!$B$39*AA1035),1,0)</f>
        <v>0</v>
      </c>
      <c r="AD1035" s="65" t="n">
        <f aca="false">IF(AND(E1035&lt;&gt;"",E1035&gt;=Controls!$B$37,E1035&lt;=Controls!$B$38),1,0)</f>
        <v>1</v>
      </c>
      <c r="AE1035" s="65" t="n">
        <f aca="false">IF(IFERROR(VLOOKUP(D1035,Controls!$A$64:$E$74,2,FALSE()),"No")="Yes",1,0)</f>
        <v>0</v>
      </c>
      <c r="AF1035" s="65" t="n">
        <f aca="false">IF(IFERROR(VLOOKUP(D1035,Controls!$A$64:$E$74,3,FALSE()),"No")="Yes",1,0)</f>
        <v>0</v>
      </c>
      <c r="AG1035" s="65" t="n">
        <f aca="false">IF(IFERROR(VLOOKUP(D1035,Controls!$A$64:$E$74,4,FALSE()),"No")="Yes",1,0)</f>
        <v>0</v>
      </c>
      <c r="AH1035" s="65" t="n">
        <f aca="false">IF(IFERROR(VLOOKUP(D1035,Controls!$A$64:$E$74,5,FALSE()),"No")="Yes",1,0)</f>
        <v>1</v>
      </c>
      <c r="AI1035" s="65" t="n">
        <f aca="false">IF(ISNUMBER(MATCH(D1035,Controls!$A$64:$A$74,0)),1,0)</f>
        <v>1</v>
      </c>
      <c r="AJ1035" s="65" t="n">
        <f aca="false">Q1035-N1035</f>
        <v>-7291.7</v>
      </c>
      <c r="AK1035" s="65" t="n">
        <f aca="false">IF(AE1035=1,MAX(0,N1035-Q1035),0)</f>
        <v>0</v>
      </c>
      <c r="AL1035" s="65" t="n">
        <f aca="false">IF(OR(V1035="",V1035=0),0,N1035/V1035)</f>
        <v>0.148245822012706</v>
      </c>
      <c r="AM1035" s="65" t="n">
        <f aca="false">IF(OR(V1035="",V1035=0),0,1)</f>
        <v>1</v>
      </c>
      <c r="AN1035" s="65" t="n">
        <f aca="false">IF(OR(E1035="",F1035=""),0,NETWORKDAYS(E1035,F1035,Ref!$K$2:$K$42))</f>
        <v>24</v>
      </c>
      <c r="AO1035" s="65" t="n">
        <f aca="false">IF(L1035="Renewal",1,0)</f>
        <v>0</v>
      </c>
      <c r="AP1035" s="65" t="n">
        <f aca="false">AC1035*AD1035</f>
        <v>0</v>
      </c>
      <c r="AQ1035" s="65" t="n">
        <f aca="false">IF(AND(G1035&lt;&gt;"",'Historical Score'!$C$6&lt;&gt;""),IF(G1035='Historical Score'!$C$6,1,0),0)</f>
        <v>0</v>
      </c>
      <c r="AR1035" s="65" t="n">
        <f aca="false">IF(AND(L1035&lt;&gt;"",'Historical Score'!$C$5&lt;&gt;""),IF(L1035='Historical Score'!$C$5,1,0),0)</f>
        <v>1</v>
      </c>
      <c r="AS1035" s="65" t="n">
        <f aca="false">IF(AND(Y1035&lt;&gt;"",'Historical Score'!$C$7&lt;&gt;""),IF(Y1035='Historical Score'!$C$7,1,0),0)</f>
        <v>0</v>
      </c>
      <c r="AT1035" s="65" t="n">
        <f aca="false">IF(AND(K1035&lt;&gt;"",'Historical Score'!$C$8&lt;&gt;""),IF(K1035='Historical Score'!$C$8,1,0),0)</f>
        <v>0</v>
      </c>
      <c r="AU1035" s="65" t="n">
        <f aca="false">IF(AND(J1035&lt;&gt;"",'Historical Score'!$C$9&lt;&gt;""),IF(J1035='Historical Score'!$C$9,1,0),0)</f>
        <v>0</v>
      </c>
      <c r="AV1035" s="65" t="n">
        <f aca="false">AR1035*AS1035*AQ1035</f>
        <v>0</v>
      </c>
      <c r="AW1035" s="65" t="n">
        <f aca="false">AR1035*AT1035*AQ1035</f>
        <v>0</v>
      </c>
      <c r="AX1035" s="65" t="n">
        <f aca="false">AR1035*AS1035</f>
        <v>0</v>
      </c>
      <c r="AY1035" s="65" t="n">
        <f aca="false">AR1035*AT1035</f>
        <v>0</v>
      </c>
      <c r="AZ1035" s="65" t="n">
        <f aca="false">AR1035*AQ1035</f>
        <v>0</v>
      </c>
      <c r="BA1035" s="65" t="n">
        <f aca="false">AR1035</f>
        <v>1</v>
      </c>
      <c r="BB1035" s="65" t="n">
        <f aca="false">1</f>
        <v>1</v>
      </c>
      <c r="BC1035" s="65" t="n">
        <f aca="false">IF(AV1035=1,1,IF(AW1035=1,2,IF(AX1035=1,3,IF(AY1035=1,4,IF(AZ1035=1,5,IF(BA1035=1,6,7))))))</f>
        <v>6</v>
      </c>
      <c r="BD1035" s="65" t="n">
        <f aca="false">IF(AD1035=1,CHOOSE('Historical Score'!$C$29,AV1035,AW1035,AX1035,AY1035,AZ1035,BA1035,BB1035),0)</f>
        <v>0</v>
      </c>
      <c r="BE1035" s="65" t="str">
        <f aca="false">IF(BD1035=1,COUNTIF($BD$2:BD1035,1),"")</f>
        <v/>
      </c>
    </row>
    <row r="1036" customFormat="false" ht="15" hidden="false" customHeight="false" outlineLevel="0" collapsed="false">
      <c r="A1036" s="65" t="s">
        <v>3089</v>
      </c>
      <c r="B1036" s="65" t="s">
        <v>2611</v>
      </c>
      <c r="C1036" s="65" t="s">
        <v>2611</v>
      </c>
      <c r="D1036" s="65" t="s">
        <v>295</v>
      </c>
      <c r="E1036" s="112" t="n">
        <v>46220</v>
      </c>
      <c r="F1036" s="112" t="n">
        <v>46253</v>
      </c>
      <c r="G1036" s="65" t="n">
        <v>3</v>
      </c>
      <c r="H1036" s="65" t="s">
        <v>442</v>
      </c>
      <c r="I1036" s="65" t="s">
        <v>443</v>
      </c>
      <c r="J1036" s="65" t="s">
        <v>61</v>
      </c>
      <c r="K1036" s="65" t="s">
        <v>2612</v>
      </c>
      <c r="L1036" s="65" t="s">
        <v>320</v>
      </c>
      <c r="M1036" s="113" t="n">
        <v>1.49</v>
      </c>
      <c r="N1036" s="114" t="n">
        <v>16000</v>
      </c>
      <c r="O1036" s="114" t="n">
        <v>2240</v>
      </c>
      <c r="P1036" s="114" t="n">
        <v>23840</v>
      </c>
      <c r="Q1036" s="114" t="n">
        <v>5406.88</v>
      </c>
      <c r="R1036" s="114" t="n">
        <v>18433.12</v>
      </c>
      <c r="S1036" s="115" t="n">
        <v>0.226798657718121</v>
      </c>
      <c r="T1036" s="65" t="n">
        <v>3.934</v>
      </c>
      <c r="U1036" s="65" t="n">
        <v>0</v>
      </c>
      <c r="V1036" s="65" t="n">
        <v>51341.83</v>
      </c>
      <c r="W1036" s="115" t="n">
        <v>0.0813</v>
      </c>
      <c r="X1036" s="112" t="n">
        <v>39965</v>
      </c>
      <c r="Y1036" s="65" t="str">
        <f aca="false">IF(I1036="","No SIC",IFERROR(VLOOKUP(I1036,Ref!$A$2:$B$65,2,FALSE()),"Unclassified"))</f>
        <v>General Building Contractors</v>
      </c>
      <c r="Z1036" s="65" t="str">
        <f aca="false">IF(T1036="","",IF(T1036&lt;12,"Daily","Weekly"))</f>
        <v>Daily</v>
      </c>
      <c r="AA1036" s="65" t="n">
        <f aca="false">IF(T1036="",0,IF(T1036&lt;12,T1036*Controls!$B$29,T1036*5))</f>
        <v>85.19077</v>
      </c>
      <c r="AB1036" s="65" t="n">
        <f aca="false">IF(E1036="",0,NETWORKDAYS(E1036,Controls!$B$36,Ref!$K$2:$K$42))</f>
        <v>28</v>
      </c>
      <c r="AC1036" s="65" t="n">
        <f aca="false">IF(AND(AA1036&gt;0,AB1036&gt;=Controls!$B$39*AA1036),1,0)</f>
        <v>0</v>
      </c>
      <c r="AD1036" s="65" t="n">
        <f aca="false">IF(AND(E1036&lt;&gt;"",E1036&gt;=Controls!$B$37,E1036&lt;=Controls!$B$38),1,0)</f>
        <v>1</v>
      </c>
      <c r="AE1036" s="65" t="n">
        <f aca="false">IF(IFERROR(VLOOKUP(D1036,Controls!$A$64:$E$74,2,FALSE()),"No")="Yes",1,0)</f>
        <v>0</v>
      </c>
      <c r="AF1036" s="65" t="n">
        <f aca="false">IF(IFERROR(VLOOKUP(D1036,Controls!$A$64:$E$74,3,FALSE()),"No")="Yes",1,0)</f>
        <v>0</v>
      </c>
      <c r="AG1036" s="65" t="n">
        <f aca="false">IF(IFERROR(VLOOKUP(D1036,Controls!$A$64:$E$74,4,FALSE()),"No")="Yes",1,0)</f>
        <v>0</v>
      </c>
      <c r="AH1036" s="65" t="n">
        <f aca="false">IF(IFERROR(VLOOKUP(D1036,Controls!$A$64:$E$74,5,FALSE()),"No")="Yes",1,0)</f>
        <v>1</v>
      </c>
      <c r="AI1036" s="65" t="n">
        <f aca="false">IF(ISNUMBER(MATCH(D1036,Controls!$A$64:$A$74,0)),1,0)</f>
        <v>1</v>
      </c>
      <c r="AJ1036" s="65" t="n">
        <f aca="false">Q1036-N1036</f>
        <v>-10593.12</v>
      </c>
      <c r="AK1036" s="65" t="n">
        <f aca="false">IF(AE1036=1,MAX(0,N1036-Q1036),0)</f>
        <v>0</v>
      </c>
      <c r="AL1036" s="65" t="n">
        <f aca="false">IF(OR(V1036="",V1036=0),0,N1036/V1036)</f>
        <v>0.311636729738695</v>
      </c>
      <c r="AM1036" s="65" t="n">
        <f aca="false">IF(OR(V1036="",V1036=0),0,1)</f>
        <v>1</v>
      </c>
      <c r="AN1036" s="65" t="n">
        <f aca="false">IF(OR(E1036="",F1036=""),0,NETWORKDAYS(E1036,F1036,Ref!$K$2:$K$42))</f>
        <v>24</v>
      </c>
      <c r="AO1036" s="65" t="n">
        <f aca="false">IF(L1036="Renewal",1,0)</f>
        <v>1</v>
      </c>
      <c r="AP1036" s="65" t="n">
        <f aca="false">AC1036*AD1036</f>
        <v>0</v>
      </c>
      <c r="AQ1036" s="65" t="n">
        <f aca="false">IF(AND(G1036&lt;&gt;"",'Historical Score'!$C$6&lt;&gt;""),IF(G1036='Historical Score'!$C$6,1,0),0)</f>
        <v>0</v>
      </c>
      <c r="AR1036" s="65" t="n">
        <f aca="false">IF(AND(L1036&lt;&gt;"",'Historical Score'!$C$5&lt;&gt;""),IF(L1036='Historical Score'!$C$5,1,0),0)</f>
        <v>0</v>
      </c>
      <c r="AS1036" s="65" t="n">
        <f aca="false">IF(AND(Y1036&lt;&gt;"",'Historical Score'!$C$7&lt;&gt;""),IF(Y1036='Historical Score'!$C$7,1,0),0)</f>
        <v>1</v>
      </c>
      <c r="AT1036" s="65" t="n">
        <f aca="false">IF(AND(K1036&lt;&gt;"",'Historical Score'!$C$8&lt;&gt;""),IF(K1036='Historical Score'!$C$8,1,0),0)</f>
        <v>0</v>
      </c>
      <c r="AU1036" s="65" t="n">
        <f aca="false">IF(AND(J1036&lt;&gt;"",'Historical Score'!$C$9&lt;&gt;""),IF(J1036='Historical Score'!$C$9,1,0),0)</f>
        <v>1</v>
      </c>
      <c r="AV1036" s="65" t="n">
        <f aca="false">AR1036*AS1036*AQ1036</f>
        <v>0</v>
      </c>
      <c r="AW1036" s="65" t="n">
        <f aca="false">AR1036*AT1036*AQ1036</f>
        <v>0</v>
      </c>
      <c r="AX1036" s="65" t="n">
        <f aca="false">AR1036*AS1036</f>
        <v>0</v>
      </c>
      <c r="AY1036" s="65" t="n">
        <f aca="false">AR1036*AT1036</f>
        <v>0</v>
      </c>
      <c r="AZ1036" s="65" t="n">
        <f aca="false">AR1036*AQ1036</f>
        <v>0</v>
      </c>
      <c r="BA1036" s="65" t="n">
        <f aca="false">AR1036</f>
        <v>0</v>
      </c>
      <c r="BB1036" s="65" t="n">
        <f aca="false">1</f>
        <v>1</v>
      </c>
      <c r="BC1036" s="65" t="n">
        <f aca="false">IF(AV1036=1,1,IF(AW1036=1,2,IF(AX1036=1,3,IF(AY1036=1,4,IF(AZ1036=1,5,IF(BA1036=1,6,7))))))</f>
        <v>7</v>
      </c>
      <c r="BD1036" s="65" t="n">
        <f aca="false">IF(AD1036=1,CHOOSE('Historical Score'!$C$29,AV1036,AW1036,AX1036,AY1036,AZ1036,BA1036,BB1036),0)</f>
        <v>0</v>
      </c>
      <c r="BE1036" s="65" t="str">
        <f aca="false">IF(BD1036=1,COUNTIF($BD$2:BD1036,1),"")</f>
        <v/>
      </c>
    </row>
    <row r="1037" customFormat="false" ht="15" hidden="false" customHeight="false" outlineLevel="0" collapsed="false">
      <c r="A1037" s="65" t="s">
        <v>3090</v>
      </c>
      <c r="B1037" s="65" t="s">
        <v>2677</v>
      </c>
      <c r="C1037" s="65" t="s">
        <v>2677</v>
      </c>
      <c r="D1037" s="65" t="s">
        <v>295</v>
      </c>
      <c r="E1037" s="112" t="n">
        <v>46223</v>
      </c>
      <c r="F1037" s="112" t="n">
        <v>46253</v>
      </c>
      <c r="G1037" s="65" t="n">
        <v>3</v>
      </c>
      <c r="H1037" s="65" t="s">
        <v>752</v>
      </c>
      <c r="I1037" s="65" t="s">
        <v>405</v>
      </c>
      <c r="J1037" s="65" t="s">
        <v>470</v>
      </c>
      <c r="K1037" s="65" t="s">
        <v>55</v>
      </c>
      <c r="L1037" s="65" t="s">
        <v>320</v>
      </c>
      <c r="M1037" s="113" t="n">
        <v>1.49</v>
      </c>
      <c r="N1037" s="114" t="n">
        <v>25000</v>
      </c>
      <c r="O1037" s="114" t="n">
        <v>3500</v>
      </c>
      <c r="P1037" s="114" t="n">
        <v>37250</v>
      </c>
      <c r="Q1037" s="114" t="n">
        <v>6827.92</v>
      </c>
      <c r="R1037" s="114" t="n">
        <v>30422.08</v>
      </c>
      <c r="S1037" s="115" t="n">
        <v>0.183299865771812</v>
      </c>
      <c r="T1037" s="65" t="n">
        <v>3.934</v>
      </c>
      <c r="U1037" s="65" t="n">
        <v>0</v>
      </c>
      <c r="V1037" s="65" t="n">
        <v>28362.13</v>
      </c>
      <c r="W1037" s="115" t="n">
        <v>0.2298</v>
      </c>
      <c r="X1037" s="112"/>
      <c r="Y1037" s="65" t="str">
        <f aca="false">IF(I1037="","No SIC",IFERROR(VLOOKUP(I1037,Ref!$A$2:$B$65,2,FALSE()),"Unclassified"))</f>
        <v>Health Services</v>
      </c>
      <c r="Z1037" s="65" t="str">
        <f aca="false">IF(T1037="","",IF(T1037&lt;12,"Daily","Weekly"))</f>
        <v>Daily</v>
      </c>
      <c r="AA1037" s="65" t="n">
        <f aca="false">IF(T1037="",0,IF(T1037&lt;12,T1037*Controls!$B$29,T1037*5))</f>
        <v>85.19077</v>
      </c>
      <c r="AB1037" s="65" t="n">
        <f aca="false">IF(E1037="",0,NETWORKDAYS(E1037,Controls!$B$36,Ref!$K$2:$K$42))</f>
        <v>27</v>
      </c>
      <c r="AC1037" s="65" t="n">
        <f aca="false">IF(AND(AA1037&gt;0,AB1037&gt;=Controls!$B$39*AA1037),1,0)</f>
        <v>0</v>
      </c>
      <c r="AD1037" s="65" t="n">
        <f aca="false">IF(AND(E1037&lt;&gt;"",E1037&gt;=Controls!$B$37,E1037&lt;=Controls!$B$38),1,0)</f>
        <v>1</v>
      </c>
      <c r="AE1037" s="65" t="n">
        <f aca="false">IF(IFERROR(VLOOKUP(D1037,Controls!$A$64:$E$74,2,FALSE()),"No")="Yes",1,0)</f>
        <v>0</v>
      </c>
      <c r="AF1037" s="65" t="n">
        <f aca="false">IF(IFERROR(VLOOKUP(D1037,Controls!$A$64:$E$74,3,FALSE()),"No")="Yes",1,0)</f>
        <v>0</v>
      </c>
      <c r="AG1037" s="65" t="n">
        <f aca="false">IF(IFERROR(VLOOKUP(D1037,Controls!$A$64:$E$74,4,FALSE()),"No")="Yes",1,0)</f>
        <v>0</v>
      </c>
      <c r="AH1037" s="65" t="n">
        <f aca="false">IF(IFERROR(VLOOKUP(D1037,Controls!$A$64:$E$74,5,FALSE()),"No")="Yes",1,0)</f>
        <v>1</v>
      </c>
      <c r="AI1037" s="65" t="n">
        <f aca="false">IF(ISNUMBER(MATCH(D1037,Controls!$A$64:$A$74,0)),1,0)</f>
        <v>1</v>
      </c>
      <c r="AJ1037" s="65" t="n">
        <f aca="false">Q1037-N1037</f>
        <v>-18172.08</v>
      </c>
      <c r="AK1037" s="65" t="n">
        <f aca="false">IF(AE1037=1,MAX(0,N1037-Q1037),0)</f>
        <v>0</v>
      </c>
      <c r="AL1037" s="65" t="n">
        <f aca="false">IF(OR(V1037="",V1037=0),0,N1037/V1037)</f>
        <v>0.881457069691169</v>
      </c>
      <c r="AM1037" s="65" t="n">
        <f aca="false">IF(OR(V1037="",V1037=0),0,1)</f>
        <v>1</v>
      </c>
      <c r="AN1037" s="65" t="n">
        <f aca="false">IF(OR(E1037="",F1037=""),0,NETWORKDAYS(E1037,F1037,Ref!$K$2:$K$42))</f>
        <v>23</v>
      </c>
      <c r="AO1037" s="65" t="n">
        <f aca="false">IF(L1037="Renewal",1,0)</f>
        <v>1</v>
      </c>
      <c r="AP1037" s="65" t="n">
        <f aca="false">AC1037*AD1037</f>
        <v>0</v>
      </c>
      <c r="AQ1037" s="65" t="n">
        <f aca="false">IF(AND(G1037&lt;&gt;"",'Historical Score'!$C$6&lt;&gt;""),IF(G1037='Historical Score'!$C$6,1,0),0)</f>
        <v>0</v>
      </c>
      <c r="AR1037" s="65" t="n">
        <f aca="false">IF(AND(L1037&lt;&gt;"",'Historical Score'!$C$5&lt;&gt;""),IF(L1037='Historical Score'!$C$5,1,0),0)</f>
        <v>0</v>
      </c>
      <c r="AS1037" s="65" t="n">
        <f aca="false">IF(AND(Y1037&lt;&gt;"",'Historical Score'!$C$7&lt;&gt;""),IF(Y1037='Historical Score'!$C$7,1,0),0)</f>
        <v>0</v>
      </c>
      <c r="AT1037" s="65" t="n">
        <f aca="false">IF(AND(K1037&lt;&gt;"",'Historical Score'!$C$8&lt;&gt;""),IF(K1037='Historical Score'!$C$8,1,0),0)</f>
        <v>1</v>
      </c>
      <c r="AU1037" s="65" t="n">
        <f aca="false">IF(AND(J1037&lt;&gt;"",'Historical Score'!$C$9&lt;&gt;""),IF(J1037='Historical Score'!$C$9,1,0),0)</f>
        <v>0</v>
      </c>
      <c r="AV1037" s="65" t="n">
        <f aca="false">AR1037*AS1037*AQ1037</f>
        <v>0</v>
      </c>
      <c r="AW1037" s="65" t="n">
        <f aca="false">AR1037*AT1037*AQ1037</f>
        <v>0</v>
      </c>
      <c r="AX1037" s="65" t="n">
        <f aca="false">AR1037*AS1037</f>
        <v>0</v>
      </c>
      <c r="AY1037" s="65" t="n">
        <f aca="false">AR1037*AT1037</f>
        <v>0</v>
      </c>
      <c r="AZ1037" s="65" t="n">
        <f aca="false">AR1037*AQ1037</f>
        <v>0</v>
      </c>
      <c r="BA1037" s="65" t="n">
        <f aca="false">AR1037</f>
        <v>0</v>
      </c>
      <c r="BB1037" s="65" t="n">
        <f aca="false">1</f>
        <v>1</v>
      </c>
      <c r="BC1037" s="65" t="n">
        <f aca="false">IF(AV1037=1,1,IF(AW1037=1,2,IF(AX1037=1,3,IF(AY1037=1,4,IF(AZ1037=1,5,IF(BA1037=1,6,7))))))</f>
        <v>7</v>
      </c>
      <c r="BD1037" s="65" t="n">
        <f aca="false">IF(AD1037=1,CHOOSE('Historical Score'!$C$29,AV1037,AW1037,AX1037,AY1037,AZ1037,BA1037,BB1037),0)</f>
        <v>0</v>
      </c>
      <c r="BE1037" s="65" t="str">
        <f aca="false">IF(BD1037=1,COUNTIF($BD$2:BD1037,1),"")</f>
        <v/>
      </c>
    </row>
    <row r="1038" customFormat="false" ht="15" hidden="false" customHeight="false" outlineLevel="0" collapsed="false">
      <c r="A1038" s="65" t="s">
        <v>3091</v>
      </c>
      <c r="B1038" s="65" t="s">
        <v>3092</v>
      </c>
      <c r="C1038" s="65" t="s">
        <v>3093</v>
      </c>
      <c r="D1038" s="65" t="s">
        <v>295</v>
      </c>
      <c r="E1038" s="112" t="n">
        <v>46224</v>
      </c>
      <c r="F1038" s="112" t="n">
        <v>46253</v>
      </c>
      <c r="G1038" s="65" t="n">
        <v>3</v>
      </c>
      <c r="H1038" s="65" t="s">
        <v>479</v>
      </c>
      <c r="I1038" s="65" t="s">
        <v>356</v>
      </c>
      <c r="J1038" s="65" t="s">
        <v>410</v>
      </c>
      <c r="K1038" s="65" t="s">
        <v>3094</v>
      </c>
      <c r="L1038" s="65" t="s">
        <v>320</v>
      </c>
      <c r="M1038" s="113" t="n">
        <v>1.4</v>
      </c>
      <c r="N1038" s="114" t="n">
        <v>95000</v>
      </c>
      <c r="O1038" s="114" t="n">
        <v>8075</v>
      </c>
      <c r="P1038" s="114" t="n">
        <v>133000</v>
      </c>
      <c r="Q1038" s="114" t="n">
        <v>15277.5</v>
      </c>
      <c r="R1038" s="114" t="n">
        <v>117722.5</v>
      </c>
      <c r="S1038" s="115" t="n">
        <v>0.114868421052632</v>
      </c>
      <c r="T1038" s="65" t="n">
        <v>6</v>
      </c>
      <c r="U1038" s="65" t="n">
        <v>0</v>
      </c>
      <c r="V1038" s="65" t="n">
        <v>367587.56</v>
      </c>
      <c r="W1038" s="115" t="n">
        <v>0.0476</v>
      </c>
      <c r="X1038" s="112"/>
      <c r="Y1038" s="65" t="str">
        <f aca="false">IF(I1038="","No SIC",IFERROR(VLOOKUP(I1038,Ref!$A$2:$B$65,2,FALSE()),"Unclassified"))</f>
        <v>Trucking &amp; Warehousing</v>
      </c>
      <c r="Z1038" s="65" t="str">
        <f aca="false">IF(T1038="","",IF(T1038&lt;12,"Daily","Weekly"))</f>
        <v>Daily</v>
      </c>
      <c r="AA1038" s="65" t="n">
        <f aca="false">IF(T1038="",0,IF(T1038&lt;12,T1038*Controls!$B$29,T1038*5))</f>
        <v>129.93</v>
      </c>
      <c r="AB1038" s="65" t="n">
        <f aca="false">IF(E1038="",0,NETWORKDAYS(E1038,Controls!$B$36,Ref!$K$2:$K$42))</f>
        <v>26</v>
      </c>
      <c r="AC1038" s="65" t="n">
        <f aca="false">IF(AND(AA1038&gt;0,AB1038&gt;=Controls!$B$39*AA1038),1,0)</f>
        <v>0</v>
      </c>
      <c r="AD1038" s="65" t="n">
        <f aca="false">IF(AND(E1038&lt;&gt;"",E1038&gt;=Controls!$B$37,E1038&lt;=Controls!$B$38),1,0)</f>
        <v>1</v>
      </c>
      <c r="AE1038" s="65" t="n">
        <f aca="false">IF(IFERROR(VLOOKUP(D1038,Controls!$A$64:$E$74,2,FALSE()),"No")="Yes",1,0)</f>
        <v>0</v>
      </c>
      <c r="AF1038" s="65" t="n">
        <f aca="false">IF(IFERROR(VLOOKUP(D1038,Controls!$A$64:$E$74,3,FALSE()),"No")="Yes",1,0)</f>
        <v>0</v>
      </c>
      <c r="AG1038" s="65" t="n">
        <f aca="false">IF(IFERROR(VLOOKUP(D1038,Controls!$A$64:$E$74,4,FALSE()),"No")="Yes",1,0)</f>
        <v>0</v>
      </c>
      <c r="AH1038" s="65" t="n">
        <f aca="false">IF(IFERROR(VLOOKUP(D1038,Controls!$A$64:$E$74,5,FALSE()),"No")="Yes",1,0)</f>
        <v>1</v>
      </c>
      <c r="AI1038" s="65" t="n">
        <f aca="false">IF(ISNUMBER(MATCH(D1038,Controls!$A$64:$A$74,0)),1,0)</f>
        <v>1</v>
      </c>
      <c r="AJ1038" s="65" t="n">
        <f aca="false">Q1038-N1038</f>
        <v>-79722.5</v>
      </c>
      <c r="AK1038" s="65" t="n">
        <f aca="false">IF(AE1038=1,MAX(0,N1038-Q1038),0)</f>
        <v>0</v>
      </c>
      <c r="AL1038" s="65" t="n">
        <f aca="false">IF(OR(V1038="",V1038=0),0,N1038/V1038)</f>
        <v>0.258441825398009</v>
      </c>
      <c r="AM1038" s="65" t="n">
        <f aca="false">IF(OR(V1038="",V1038=0),0,1)</f>
        <v>1</v>
      </c>
      <c r="AN1038" s="65" t="n">
        <f aca="false">IF(OR(E1038="",F1038=""),0,NETWORKDAYS(E1038,F1038,Ref!$K$2:$K$42))</f>
        <v>22</v>
      </c>
      <c r="AO1038" s="65" t="n">
        <f aca="false">IF(L1038="Renewal",1,0)</f>
        <v>1</v>
      </c>
      <c r="AP1038" s="65" t="n">
        <f aca="false">AC1038*AD1038</f>
        <v>0</v>
      </c>
      <c r="AQ1038" s="65" t="n">
        <f aca="false">IF(AND(G1038&lt;&gt;"",'Historical Score'!$C$6&lt;&gt;""),IF(G1038='Historical Score'!$C$6,1,0),0)</f>
        <v>0</v>
      </c>
      <c r="AR1038" s="65" t="n">
        <f aca="false">IF(AND(L1038&lt;&gt;"",'Historical Score'!$C$5&lt;&gt;""),IF(L1038='Historical Score'!$C$5,1,0),0)</f>
        <v>0</v>
      </c>
      <c r="AS1038" s="65" t="n">
        <f aca="false">IF(AND(Y1038&lt;&gt;"",'Historical Score'!$C$7&lt;&gt;""),IF(Y1038='Historical Score'!$C$7,1,0),0)</f>
        <v>0</v>
      </c>
      <c r="AT1038" s="65" t="n">
        <f aca="false">IF(AND(K1038&lt;&gt;"",'Historical Score'!$C$8&lt;&gt;""),IF(K1038='Historical Score'!$C$8,1,0),0)</f>
        <v>0</v>
      </c>
      <c r="AU1038" s="65" t="n">
        <f aca="false">IF(AND(J1038&lt;&gt;"",'Historical Score'!$C$9&lt;&gt;""),IF(J1038='Historical Score'!$C$9,1,0),0)</f>
        <v>0</v>
      </c>
      <c r="AV1038" s="65" t="n">
        <f aca="false">AR1038*AS1038*AQ1038</f>
        <v>0</v>
      </c>
      <c r="AW1038" s="65" t="n">
        <f aca="false">AR1038*AT1038*AQ1038</f>
        <v>0</v>
      </c>
      <c r="AX1038" s="65" t="n">
        <f aca="false">AR1038*AS1038</f>
        <v>0</v>
      </c>
      <c r="AY1038" s="65" t="n">
        <f aca="false">AR1038*AT1038</f>
        <v>0</v>
      </c>
      <c r="AZ1038" s="65" t="n">
        <f aca="false">AR1038*AQ1038</f>
        <v>0</v>
      </c>
      <c r="BA1038" s="65" t="n">
        <f aca="false">AR1038</f>
        <v>0</v>
      </c>
      <c r="BB1038" s="65" t="n">
        <f aca="false">1</f>
        <v>1</v>
      </c>
      <c r="BC1038" s="65" t="n">
        <f aca="false">IF(AV1038=1,1,IF(AW1038=1,2,IF(AX1038=1,3,IF(AY1038=1,4,IF(AZ1038=1,5,IF(BA1038=1,6,7))))))</f>
        <v>7</v>
      </c>
      <c r="BD1038" s="65" t="n">
        <f aca="false">IF(AD1038=1,CHOOSE('Historical Score'!$C$29,AV1038,AW1038,AX1038,AY1038,AZ1038,BA1038,BB1038),0)</f>
        <v>0</v>
      </c>
      <c r="BE1038" s="65" t="str">
        <f aca="false">IF(BD1038=1,COUNTIF($BD$2:BD1038,1),"")</f>
        <v/>
      </c>
    </row>
    <row r="1039" customFormat="false" ht="15" hidden="false" customHeight="false" outlineLevel="0" collapsed="false">
      <c r="A1039" s="65" t="s">
        <v>3095</v>
      </c>
      <c r="B1039" s="65" t="s">
        <v>1289</v>
      </c>
      <c r="C1039" s="65" t="s">
        <v>1289</v>
      </c>
      <c r="D1039" s="65" t="s">
        <v>295</v>
      </c>
      <c r="E1039" s="112" t="n">
        <v>46225</v>
      </c>
      <c r="F1039" s="112" t="n">
        <v>46248</v>
      </c>
      <c r="G1039" s="65" t="n">
        <v>3</v>
      </c>
      <c r="H1039" s="65" t="s">
        <v>409</v>
      </c>
      <c r="I1039" s="65" t="s">
        <v>342</v>
      </c>
      <c r="J1039" s="65" t="s">
        <v>61</v>
      </c>
      <c r="K1039" s="65" t="s">
        <v>581</v>
      </c>
      <c r="L1039" s="65" t="s">
        <v>320</v>
      </c>
      <c r="M1039" s="113" t="n">
        <v>1.49</v>
      </c>
      <c r="N1039" s="114" t="n">
        <v>35000</v>
      </c>
      <c r="O1039" s="114" t="n">
        <v>4900</v>
      </c>
      <c r="P1039" s="114" t="n">
        <v>52150</v>
      </c>
      <c r="Q1039" s="114" t="n">
        <v>5216.25</v>
      </c>
      <c r="R1039" s="114" t="n">
        <v>46933.75</v>
      </c>
      <c r="S1039" s="115" t="n">
        <v>0.100023969319271</v>
      </c>
      <c r="T1039" s="65" t="n">
        <v>30</v>
      </c>
      <c r="U1039" s="65" t="n">
        <v>0</v>
      </c>
      <c r="V1039" s="65" t="n">
        <v>42000</v>
      </c>
      <c r="W1039" s="115" t="n">
        <v>0.1391</v>
      </c>
      <c r="X1039" s="112" t="n">
        <v>44977</v>
      </c>
      <c r="Y1039" s="65" t="str">
        <f aca="false">IF(I1039="","No SIC",IFERROR(VLOOKUP(I1039,Ref!$A$2:$B$65,2,FALSE()),"Unclassified"))</f>
        <v>Eating &amp; Drinking Places</v>
      </c>
      <c r="Z1039" s="65" t="str">
        <f aca="false">IF(T1039="","",IF(T1039&lt;12,"Daily","Weekly"))</f>
        <v>Weekly</v>
      </c>
      <c r="AA1039" s="65" t="n">
        <f aca="false">IF(T1039="",0,IF(T1039&lt;12,T1039*Controls!$B$29,T1039*5))</f>
        <v>150</v>
      </c>
      <c r="AB1039" s="65" t="n">
        <f aca="false">IF(E1039="",0,NETWORKDAYS(E1039,Controls!$B$36,Ref!$K$2:$K$42))</f>
        <v>25</v>
      </c>
      <c r="AC1039" s="65" t="n">
        <f aca="false">IF(AND(AA1039&gt;0,AB1039&gt;=Controls!$B$39*AA1039),1,0)</f>
        <v>0</v>
      </c>
      <c r="AD1039" s="65" t="n">
        <f aca="false">IF(AND(E1039&lt;&gt;"",E1039&gt;=Controls!$B$37,E1039&lt;=Controls!$B$38),1,0)</f>
        <v>1</v>
      </c>
      <c r="AE1039" s="65" t="n">
        <f aca="false">IF(IFERROR(VLOOKUP(D1039,Controls!$A$64:$E$74,2,FALSE()),"No")="Yes",1,0)</f>
        <v>0</v>
      </c>
      <c r="AF1039" s="65" t="n">
        <f aca="false">IF(IFERROR(VLOOKUP(D1039,Controls!$A$64:$E$74,3,FALSE()),"No")="Yes",1,0)</f>
        <v>0</v>
      </c>
      <c r="AG1039" s="65" t="n">
        <f aca="false">IF(IFERROR(VLOOKUP(D1039,Controls!$A$64:$E$74,4,FALSE()),"No")="Yes",1,0)</f>
        <v>0</v>
      </c>
      <c r="AH1039" s="65" t="n">
        <f aca="false">IF(IFERROR(VLOOKUP(D1039,Controls!$A$64:$E$74,5,FALSE()),"No")="Yes",1,0)</f>
        <v>1</v>
      </c>
      <c r="AI1039" s="65" t="n">
        <f aca="false">IF(ISNUMBER(MATCH(D1039,Controls!$A$64:$A$74,0)),1,0)</f>
        <v>1</v>
      </c>
      <c r="AJ1039" s="65" t="n">
        <f aca="false">Q1039-N1039</f>
        <v>-29783.75</v>
      </c>
      <c r="AK1039" s="65" t="n">
        <f aca="false">IF(AE1039=1,MAX(0,N1039-Q1039),0)</f>
        <v>0</v>
      </c>
      <c r="AL1039" s="65" t="n">
        <f aca="false">IF(OR(V1039="",V1039=0),0,N1039/V1039)</f>
        <v>0.833333333333333</v>
      </c>
      <c r="AM1039" s="65" t="n">
        <f aca="false">IF(OR(V1039="",V1039=0),0,1)</f>
        <v>1</v>
      </c>
      <c r="AN1039" s="65" t="n">
        <f aca="false">IF(OR(E1039="",F1039=""),0,NETWORKDAYS(E1039,F1039,Ref!$K$2:$K$42))</f>
        <v>18</v>
      </c>
      <c r="AO1039" s="65" t="n">
        <f aca="false">IF(L1039="Renewal",1,0)</f>
        <v>1</v>
      </c>
      <c r="AP1039" s="65" t="n">
        <f aca="false">AC1039*AD1039</f>
        <v>0</v>
      </c>
      <c r="AQ1039" s="65" t="n">
        <f aca="false">IF(AND(G1039&lt;&gt;"",'Historical Score'!$C$6&lt;&gt;""),IF(G1039='Historical Score'!$C$6,1,0),0)</f>
        <v>0</v>
      </c>
      <c r="AR1039" s="65" t="n">
        <f aca="false">IF(AND(L1039&lt;&gt;"",'Historical Score'!$C$5&lt;&gt;""),IF(L1039='Historical Score'!$C$5,1,0),0)</f>
        <v>0</v>
      </c>
      <c r="AS1039" s="65" t="n">
        <f aca="false">IF(AND(Y1039&lt;&gt;"",'Historical Score'!$C$7&lt;&gt;""),IF(Y1039='Historical Score'!$C$7,1,0),0)</f>
        <v>0</v>
      </c>
      <c r="AT1039" s="65" t="n">
        <f aca="false">IF(AND(K1039&lt;&gt;"",'Historical Score'!$C$8&lt;&gt;""),IF(K1039='Historical Score'!$C$8,1,0),0)</f>
        <v>0</v>
      </c>
      <c r="AU1039" s="65" t="n">
        <f aca="false">IF(AND(J1039&lt;&gt;"",'Historical Score'!$C$9&lt;&gt;""),IF(J1039='Historical Score'!$C$9,1,0),0)</f>
        <v>1</v>
      </c>
      <c r="AV1039" s="65" t="n">
        <f aca="false">AR1039*AS1039*AQ1039</f>
        <v>0</v>
      </c>
      <c r="AW1039" s="65" t="n">
        <f aca="false">AR1039*AT1039*AQ1039</f>
        <v>0</v>
      </c>
      <c r="AX1039" s="65" t="n">
        <f aca="false">AR1039*AS1039</f>
        <v>0</v>
      </c>
      <c r="AY1039" s="65" t="n">
        <f aca="false">AR1039*AT1039</f>
        <v>0</v>
      </c>
      <c r="AZ1039" s="65" t="n">
        <f aca="false">AR1039*AQ1039</f>
        <v>0</v>
      </c>
      <c r="BA1039" s="65" t="n">
        <f aca="false">AR1039</f>
        <v>0</v>
      </c>
      <c r="BB1039" s="65" t="n">
        <f aca="false">1</f>
        <v>1</v>
      </c>
      <c r="BC1039" s="65" t="n">
        <f aca="false">IF(AV1039=1,1,IF(AW1039=1,2,IF(AX1039=1,3,IF(AY1039=1,4,IF(AZ1039=1,5,IF(BA1039=1,6,7))))))</f>
        <v>7</v>
      </c>
      <c r="BD1039" s="65" t="n">
        <f aca="false">IF(AD1039=1,CHOOSE('Historical Score'!$C$29,AV1039,AW1039,AX1039,AY1039,AZ1039,BA1039,BB1039),0)</f>
        <v>0</v>
      </c>
      <c r="BE1039" s="65" t="str">
        <f aca="false">IF(BD1039=1,COUNTIF($BD$2:BD1039,1),"")</f>
        <v/>
      </c>
    </row>
    <row r="1040" customFormat="false" ht="15" hidden="false" customHeight="false" outlineLevel="0" collapsed="false">
      <c r="A1040" s="65" t="s">
        <v>3096</v>
      </c>
      <c r="B1040" s="65" t="s">
        <v>3097</v>
      </c>
      <c r="C1040" s="65" t="s">
        <v>3098</v>
      </c>
      <c r="D1040" s="65" t="s">
        <v>295</v>
      </c>
      <c r="E1040" s="112" t="n">
        <v>46225</v>
      </c>
      <c r="F1040" s="112" t="n">
        <v>46253</v>
      </c>
      <c r="G1040" s="65" t="n">
        <v>4</v>
      </c>
      <c r="H1040" s="65" t="s">
        <v>1505</v>
      </c>
      <c r="I1040" s="65" t="s">
        <v>1506</v>
      </c>
      <c r="J1040" s="65" t="s">
        <v>380</v>
      </c>
      <c r="K1040" s="65" t="s">
        <v>1386</v>
      </c>
      <c r="L1040" s="65" t="s">
        <v>64</v>
      </c>
      <c r="M1040" s="113" t="n">
        <v>1.49</v>
      </c>
      <c r="N1040" s="114" t="n">
        <v>150000</v>
      </c>
      <c r="O1040" s="114" t="n">
        <v>21000</v>
      </c>
      <c r="P1040" s="114" t="n">
        <v>223500</v>
      </c>
      <c r="Q1040" s="114" t="n">
        <v>26316.8</v>
      </c>
      <c r="R1040" s="114" t="n">
        <v>197183.2</v>
      </c>
      <c r="S1040" s="115" t="n">
        <v>0.117748545861298</v>
      </c>
      <c r="T1040" s="65" t="n">
        <v>34</v>
      </c>
      <c r="U1040" s="65" t="n">
        <v>0</v>
      </c>
      <c r="V1040" s="65" t="n">
        <v>631372.54</v>
      </c>
      <c r="W1040" s="115" t="n">
        <v>0.0346</v>
      </c>
      <c r="X1040" s="112" t="n">
        <v>39338</v>
      </c>
      <c r="Y1040" s="65" t="str">
        <f aca="false">IF(I1040="","No SIC",IFERROR(VLOOKUP(I1040,Ref!$A$2:$B$65,2,FALSE()),"Unclassified"))</f>
        <v>Environmental Quality &amp; Housing</v>
      </c>
      <c r="Z1040" s="65" t="str">
        <f aca="false">IF(T1040="","",IF(T1040&lt;12,"Daily","Weekly"))</f>
        <v>Weekly</v>
      </c>
      <c r="AA1040" s="65" t="n">
        <f aca="false">IF(T1040="",0,IF(T1040&lt;12,T1040*Controls!$B$29,T1040*5))</f>
        <v>170</v>
      </c>
      <c r="AB1040" s="65" t="n">
        <f aca="false">IF(E1040="",0,NETWORKDAYS(E1040,Controls!$B$36,Ref!$K$2:$K$42))</f>
        <v>25</v>
      </c>
      <c r="AC1040" s="65" t="n">
        <f aca="false">IF(AND(AA1040&gt;0,AB1040&gt;=Controls!$B$39*AA1040),1,0)</f>
        <v>0</v>
      </c>
      <c r="AD1040" s="65" t="n">
        <f aca="false">IF(AND(E1040&lt;&gt;"",E1040&gt;=Controls!$B$37,E1040&lt;=Controls!$B$38),1,0)</f>
        <v>1</v>
      </c>
      <c r="AE1040" s="65" t="n">
        <f aca="false">IF(IFERROR(VLOOKUP(D1040,Controls!$A$64:$E$74,2,FALSE()),"No")="Yes",1,0)</f>
        <v>0</v>
      </c>
      <c r="AF1040" s="65" t="n">
        <f aca="false">IF(IFERROR(VLOOKUP(D1040,Controls!$A$64:$E$74,3,FALSE()),"No")="Yes",1,0)</f>
        <v>0</v>
      </c>
      <c r="AG1040" s="65" t="n">
        <f aca="false">IF(IFERROR(VLOOKUP(D1040,Controls!$A$64:$E$74,4,FALSE()),"No")="Yes",1,0)</f>
        <v>0</v>
      </c>
      <c r="AH1040" s="65" t="n">
        <f aca="false">IF(IFERROR(VLOOKUP(D1040,Controls!$A$64:$E$74,5,FALSE()),"No")="Yes",1,0)</f>
        <v>1</v>
      </c>
      <c r="AI1040" s="65" t="n">
        <f aca="false">IF(ISNUMBER(MATCH(D1040,Controls!$A$64:$A$74,0)),1,0)</f>
        <v>1</v>
      </c>
      <c r="AJ1040" s="65" t="n">
        <f aca="false">Q1040-N1040</f>
        <v>-123683.2</v>
      </c>
      <c r="AK1040" s="65" t="n">
        <f aca="false">IF(AE1040=1,MAX(0,N1040-Q1040),0)</f>
        <v>0</v>
      </c>
      <c r="AL1040" s="65" t="n">
        <f aca="false">IF(OR(V1040="",V1040=0),0,N1040/V1040)</f>
        <v>0.237577643145519</v>
      </c>
      <c r="AM1040" s="65" t="n">
        <f aca="false">IF(OR(V1040="",V1040=0),0,1)</f>
        <v>1</v>
      </c>
      <c r="AN1040" s="65" t="n">
        <f aca="false">IF(OR(E1040="",F1040=""),0,NETWORKDAYS(E1040,F1040,Ref!$K$2:$K$42))</f>
        <v>21</v>
      </c>
      <c r="AO1040" s="65" t="n">
        <f aca="false">IF(L1040="Renewal",1,0)</f>
        <v>0</v>
      </c>
      <c r="AP1040" s="65" t="n">
        <f aca="false">AC1040*AD1040</f>
        <v>0</v>
      </c>
      <c r="AQ1040" s="65" t="n">
        <f aca="false">IF(AND(G1040&lt;&gt;"",'Historical Score'!$C$6&lt;&gt;""),IF(G1040='Historical Score'!$C$6,1,0),0)</f>
        <v>0</v>
      </c>
      <c r="AR1040" s="65" t="n">
        <f aca="false">IF(AND(L1040&lt;&gt;"",'Historical Score'!$C$5&lt;&gt;""),IF(L1040='Historical Score'!$C$5,1,0),0)</f>
        <v>1</v>
      </c>
      <c r="AS1040" s="65" t="n">
        <f aca="false">IF(AND(Y1040&lt;&gt;"",'Historical Score'!$C$7&lt;&gt;""),IF(Y1040='Historical Score'!$C$7,1,0),0)</f>
        <v>0</v>
      </c>
      <c r="AT1040" s="65" t="n">
        <f aca="false">IF(AND(K1040&lt;&gt;"",'Historical Score'!$C$8&lt;&gt;""),IF(K1040='Historical Score'!$C$8,1,0),0)</f>
        <v>0</v>
      </c>
      <c r="AU1040" s="65" t="n">
        <f aca="false">IF(AND(J1040&lt;&gt;"",'Historical Score'!$C$9&lt;&gt;""),IF(J1040='Historical Score'!$C$9,1,0),0)</f>
        <v>0</v>
      </c>
      <c r="AV1040" s="65" t="n">
        <f aca="false">AR1040*AS1040*AQ1040</f>
        <v>0</v>
      </c>
      <c r="AW1040" s="65" t="n">
        <f aca="false">AR1040*AT1040*AQ1040</f>
        <v>0</v>
      </c>
      <c r="AX1040" s="65" t="n">
        <f aca="false">AR1040*AS1040</f>
        <v>0</v>
      </c>
      <c r="AY1040" s="65" t="n">
        <f aca="false">AR1040*AT1040</f>
        <v>0</v>
      </c>
      <c r="AZ1040" s="65" t="n">
        <f aca="false">AR1040*AQ1040</f>
        <v>0</v>
      </c>
      <c r="BA1040" s="65" t="n">
        <f aca="false">AR1040</f>
        <v>1</v>
      </c>
      <c r="BB1040" s="65" t="n">
        <f aca="false">1</f>
        <v>1</v>
      </c>
      <c r="BC1040" s="65" t="n">
        <f aca="false">IF(AV1040=1,1,IF(AW1040=1,2,IF(AX1040=1,3,IF(AY1040=1,4,IF(AZ1040=1,5,IF(BA1040=1,6,7))))))</f>
        <v>6</v>
      </c>
      <c r="BD1040" s="65" t="n">
        <f aca="false">IF(AD1040=1,CHOOSE('Historical Score'!$C$29,AV1040,AW1040,AX1040,AY1040,AZ1040,BA1040,BB1040),0)</f>
        <v>0</v>
      </c>
      <c r="BE1040" s="65" t="str">
        <f aca="false">IF(BD1040=1,COUNTIF($BD$2:BD1040,1),"")</f>
        <v/>
      </c>
    </row>
    <row r="1041" customFormat="false" ht="15" hidden="false" customHeight="false" outlineLevel="0" collapsed="false">
      <c r="A1041" s="65" t="s">
        <v>3099</v>
      </c>
      <c r="B1041" s="65" t="s">
        <v>968</v>
      </c>
      <c r="C1041" s="65" t="s">
        <v>968</v>
      </c>
      <c r="D1041" s="65" t="s">
        <v>340</v>
      </c>
      <c r="E1041" s="112" t="n">
        <v>46020</v>
      </c>
      <c r="F1041" s="112" t="n">
        <v>46020</v>
      </c>
      <c r="H1041" s="65" t="s">
        <v>3100</v>
      </c>
      <c r="I1041" s="65" t="s">
        <v>488</v>
      </c>
      <c r="J1041" s="65" t="s">
        <v>452</v>
      </c>
      <c r="K1041" s="65" t="s">
        <v>433</v>
      </c>
      <c r="L1041" s="65" t="s">
        <v>64</v>
      </c>
      <c r="M1041" s="113" t="n">
        <v>1.46</v>
      </c>
      <c r="N1041" s="114" t="n">
        <v>11000</v>
      </c>
      <c r="O1041" s="114" t="n">
        <v>1375</v>
      </c>
      <c r="P1041" s="114" t="n">
        <v>16060</v>
      </c>
      <c r="Q1041" s="114" t="n">
        <v>0</v>
      </c>
      <c r="R1041" s="114" t="n">
        <v>16060</v>
      </c>
      <c r="S1041" s="115" t="n">
        <v>0</v>
      </c>
      <c r="T1041" s="65" t="n">
        <v>3.279</v>
      </c>
      <c r="U1041" s="65" t="n">
        <v>0</v>
      </c>
      <c r="W1041" s="115" t="n">
        <v>0.055</v>
      </c>
      <c r="X1041" s="112" t="n">
        <v>43844</v>
      </c>
      <c r="Y1041" s="65" t="str">
        <f aca="false">IF(I1041="","No SIC",IFERROR(VLOOKUP(I1041,Ref!$A$2:$B$65,2,FALSE()),"Unclassified"))</f>
        <v>Food &amp; Kindred Products</v>
      </c>
      <c r="Z1041" s="65" t="str">
        <f aca="false">IF(T1041="","",IF(T1041&lt;12,"Daily","Weekly"))</f>
        <v>Daily</v>
      </c>
      <c r="AA1041" s="65" t="n">
        <f aca="false">IF(T1041="",0,IF(T1041&lt;12,T1041*Controls!$B$29,T1041*5))</f>
        <v>71.006745</v>
      </c>
      <c r="AB1041" s="65" t="n">
        <f aca="false">IF(E1041="",0,NETWORKDAYS(E1041,Controls!$B$36,Ref!$K$2:$K$42))</f>
        <v>167</v>
      </c>
      <c r="AC1041" s="65" t="n">
        <f aca="false">IF(AND(AA1041&gt;0,AB1041&gt;=Controls!$B$39*AA1041),1,0)</f>
        <v>1</v>
      </c>
      <c r="AD1041" s="65" t="n">
        <f aca="false">IF(AND(E1041&lt;&gt;"",E1041&gt;=Controls!$B$37,E1041&lt;=Controls!$B$38),1,0)</f>
        <v>1</v>
      </c>
      <c r="AE1041" s="65" t="n">
        <f aca="false">IF(IFERROR(VLOOKUP(D1041,Controls!$A$64:$E$74,2,FALSE()),"No")="Yes",1,0)</f>
        <v>1</v>
      </c>
      <c r="AF1041" s="65" t="n">
        <f aca="false">IF(IFERROR(VLOOKUP(D1041,Controls!$A$64:$E$74,3,FALSE()),"No")="Yes",1,0)</f>
        <v>0</v>
      </c>
      <c r="AG1041" s="65" t="n">
        <f aca="false">IF(IFERROR(VLOOKUP(D1041,Controls!$A$64:$E$74,4,FALSE()),"No")="Yes",1,0)</f>
        <v>0</v>
      </c>
      <c r="AH1041" s="65" t="n">
        <f aca="false">IF(IFERROR(VLOOKUP(D1041,Controls!$A$64:$E$74,5,FALSE()),"No")="Yes",1,0)</f>
        <v>0</v>
      </c>
      <c r="AI1041" s="65" t="n">
        <f aca="false">IF(ISNUMBER(MATCH(D1041,Controls!$A$64:$A$74,0)),1,0)</f>
        <v>1</v>
      </c>
      <c r="AJ1041" s="65" t="n">
        <f aca="false">Q1041-N1041</f>
        <v>-11000</v>
      </c>
      <c r="AK1041" s="65" t="n">
        <f aca="false">IF(AE1041=1,MAX(0,N1041-Q1041),0)</f>
        <v>11000</v>
      </c>
      <c r="AL1041" s="65" t="n">
        <f aca="false">IF(OR(V1041="",V1041=0),0,N1041/V1041)</f>
        <v>0</v>
      </c>
      <c r="AM1041" s="65" t="n">
        <f aca="false">IF(OR(V1041="",V1041=0),0,1)</f>
        <v>0</v>
      </c>
      <c r="AN1041" s="65" t="n">
        <f aca="false">IF(OR(E1041="",F1041=""),0,NETWORKDAYS(E1041,F1041,Ref!$K$2:$K$42))</f>
        <v>1</v>
      </c>
      <c r="AO1041" s="65" t="n">
        <f aca="false">IF(L1041="Renewal",1,0)</f>
        <v>0</v>
      </c>
      <c r="AP1041" s="65" t="n">
        <f aca="false">AC1041*AD1041</f>
        <v>1</v>
      </c>
      <c r="AQ1041" s="65" t="n">
        <f aca="false">IF(AND(G1041&lt;&gt;"",'Historical Score'!$C$6&lt;&gt;""),IF(G1041='Historical Score'!$C$6,1,0),0)</f>
        <v>0</v>
      </c>
      <c r="AR1041" s="65" t="n">
        <f aca="false">IF(AND(L1041&lt;&gt;"",'Historical Score'!$C$5&lt;&gt;""),IF(L1041='Historical Score'!$C$5,1,0),0)</f>
        <v>1</v>
      </c>
      <c r="AS1041" s="65" t="n">
        <f aca="false">IF(AND(Y1041&lt;&gt;"",'Historical Score'!$C$7&lt;&gt;""),IF(Y1041='Historical Score'!$C$7,1,0),0)</f>
        <v>0</v>
      </c>
      <c r="AT1041" s="65" t="n">
        <f aca="false">IF(AND(K1041&lt;&gt;"",'Historical Score'!$C$8&lt;&gt;""),IF(K1041='Historical Score'!$C$8,1,0),0)</f>
        <v>0</v>
      </c>
      <c r="AU1041" s="65" t="n">
        <f aca="false">IF(AND(J1041&lt;&gt;"",'Historical Score'!$C$9&lt;&gt;""),IF(J1041='Historical Score'!$C$9,1,0),0)</f>
        <v>0</v>
      </c>
      <c r="AV1041" s="65" t="n">
        <f aca="false">AR1041*AS1041*AQ1041</f>
        <v>0</v>
      </c>
      <c r="AW1041" s="65" t="n">
        <f aca="false">AR1041*AT1041*AQ1041</f>
        <v>0</v>
      </c>
      <c r="AX1041" s="65" t="n">
        <f aca="false">AR1041*AS1041</f>
        <v>0</v>
      </c>
      <c r="AY1041" s="65" t="n">
        <f aca="false">AR1041*AT1041</f>
        <v>0</v>
      </c>
      <c r="AZ1041" s="65" t="n">
        <f aca="false">AR1041*AQ1041</f>
        <v>0</v>
      </c>
      <c r="BA1041" s="65" t="n">
        <f aca="false">AR1041</f>
        <v>1</v>
      </c>
      <c r="BB1041" s="65" t="n">
        <f aca="false">1</f>
        <v>1</v>
      </c>
      <c r="BC1041" s="65" t="n">
        <f aca="false">IF(AV1041=1,1,IF(AW1041=1,2,IF(AX1041=1,3,IF(AY1041=1,4,IF(AZ1041=1,5,IF(BA1041=1,6,7))))))</f>
        <v>6</v>
      </c>
      <c r="BD1041" s="65" t="n">
        <f aca="false">IF(AD1041=1,CHOOSE('Historical Score'!$C$29,AV1041,AW1041,AX1041,AY1041,AZ1041,BA1041,BB1041),0)</f>
        <v>0</v>
      </c>
      <c r="BE1041" s="65" t="str">
        <f aca="false">IF(BD1041=1,COUNTIF($BD$2:BD1041,1),"")</f>
        <v/>
      </c>
    </row>
    <row r="1042" customFormat="false" ht="15" hidden="false" customHeight="false" outlineLevel="0" collapsed="false">
      <c r="A1042" s="65" t="s">
        <v>3101</v>
      </c>
      <c r="B1042" s="65" t="s">
        <v>2406</v>
      </c>
      <c r="C1042" s="65" t="s">
        <v>2406</v>
      </c>
      <c r="D1042" s="65" t="s">
        <v>295</v>
      </c>
      <c r="E1042" s="112" t="n">
        <v>46225</v>
      </c>
      <c r="F1042" s="112" t="n">
        <v>46253</v>
      </c>
      <c r="G1042" s="65" t="n">
        <v>3</v>
      </c>
      <c r="H1042" s="65" t="s">
        <v>479</v>
      </c>
      <c r="I1042" s="65" t="s">
        <v>356</v>
      </c>
      <c r="J1042" s="65" t="s">
        <v>546</v>
      </c>
      <c r="K1042" s="65" t="s">
        <v>2088</v>
      </c>
      <c r="L1042" s="65" t="s">
        <v>320</v>
      </c>
      <c r="M1042" s="113" t="n">
        <v>1.49</v>
      </c>
      <c r="N1042" s="114" t="n">
        <v>15000</v>
      </c>
      <c r="O1042" s="114" t="n">
        <v>2100</v>
      </c>
      <c r="P1042" s="114" t="n">
        <v>22350</v>
      </c>
      <c r="Q1042" s="114" t="n">
        <v>5028.48</v>
      </c>
      <c r="R1042" s="114" t="n">
        <v>17321.52</v>
      </c>
      <c r="S1042" s="115" t="n">
        <v>0.224987919463087</v>
      </c>
      <c r="T1042" s="65" t="n">
        <v>2.623</v>
      </c>
      <c r="U1042" s="65" t="n">
        <v>1</v>
      </c>
      <c r="V1042" s="65" t="n">
        <v>37897</v>
      </c>
      <c r="W1042" s="115" t="n">
        <v>0.1548</v>
      </c>
      <c r="X1042" s="112" t="n">
        <v>44256</v>
      </c>
      <c r="Y1042" s="65" t="str">
        <f aca="false">IF(I1042="","No SIC",IFERROR(VLOOKUP(I1042,Ref!$A$2:$B$65,2,FALSE()),"Unclassified"))</f>
        <v>Trucking &amp; Warehousing</v>
      </c>
      <c r="Z1042" s="65" t="str">
        <f aca="false">IF(T1042="","",IF(T1042&lt;12,"Daily","Weekly"))</f>
        <v>Daily</v>
      </c>
      <c r="AA1042" s="65" t="n">
        <f aca="false">IF(T1042="",0,IF(T1042&lt;12,T1042*Controls!$B$29,T1042*5))</f>
        <v>56.801065</v>
      </c>
      <c r="AB1042" s="65" t="n">
        <f aca="false">IF(E1042="",0,NETWORKDAYS(E1042,Controls!$B$36,Ref!$K$2:$K$42))</f>
        <v>25</v>
      </c>
      <c r="AC1042" s="65" t="n">
        <f aca="false">IF(AND(AA1042&gt;0,AB1042&gt;=Controls!$B$39*AA1042),1,0)</f>
        <v>0</v>
      </c>
      <c r="AD1042" s="65" t="n">
        <f aca="false">IF(AND(E1042&lt;&gt;"",E1042&gt;=Controls!$B$37,E1042&lt;=Controls!$B$38),1,0)</f>
        <v>1</v>
      </c>
      <c r="AE1042" s="65" t="n">
        <f aca="false">IF(IFERROR(VLOOKUP(D1042,Controls!$A$64:$E$74,2,FALSE()),"No")="Yes",1,0)</f>
        <v>0</v>
      </c>
      <c r="AF1042" s="65" t="n">
        <f aca="false">IF(IFERROR(VLOOKUP(D1042,Controls!$A$64:$E$74,3,FALSE()),"No")="Yes",1,0)</f>
        <v>0</v>
      </c>
      <c r="AG1042" s="65" t="n">
        <f aca="false">IF(IFERROR(VLOOKUP(D1042,Controls!$A$64:$E$74,4,FALSE()),"No")="Yes",1,0)</f>
        <v>0</v>
      </c>
      <c r="AH1042" s="65" t="n">
        <f aca="false">IF(IFERROR(VLOOKUP(D1042,Controls!$A$64:$E$74,5,FALSE()),"No")="Yes",1,0)</f>
        <v>1</v>
      </c>
      <c r="AI1042" s="65" t="n">
        <f aca="false">IF(ISNUMBER(MATCH(D1042,Controls!$A$64:$A$74,0)),1,0)</f>
        <v>1</v>
      </c>
      <c r="AJ1042" s="65" t="n">
        <f aca="false">Q1042-N1042</f>
        <v>-9971.52</v>
      </c>
      <c r="AK1042" s="65" t="n">
        <f aca="false">IF(AE1042=1,MAX(0,N1042-Q1042),0)</f>
        <v>0</v>
      </c>
      <c r="AL1042" s="65" t="n">
        <f aca="false">IF(OR(V1042="",V1042=0),0,N1042/V1042)</f>
        <v>0.395809694698789</v>
      </c>
      <c r="AM1042" s="65" t="n">
        <f aca="false">IF(OR(V1042="",V1042=0),0,1)</f>
        <v>1</v>
      </c>
      <c r="AN1042" s="65" t="n">
        <f aca="false">IF(OR(E1042="",F1042=""),0,NETWORKDAYS(E1042,F1042,Ref!$K$2:$K$42))</f>
        <v>21</v>
      </c>
      <c r="AO1042" s="65" t="n">
        <f aca="false">IF(L1042="Renewal",1,0)</f>
        <v>1</v>
      </c>
      <c r="AP1042" s="65" t="n">
        <f aca="false">AC1042*AD1042</f>
        <v>0</v>
      </c>
      <c r="AQ1042" s="65" t="n">
        <f aca="false">IF(AND(G1042&lt;&gt;"",'Historical Score'!$C$6&lt;&gt;""),IF(G1042='Historical Score'!$C$6,1,0),0)</f>
        <v>0</v>
      </c>
      <c r="AR1042" s="65" t="n">
        <f aca="false">IF(AND(L1042&lt;&gt;"",'Historical Score'!$C$5&lt;&gt;""),IF(L1042='Historical Score'!$C$5,1,0),0)</f>
        <v>0</v>
      </c>
      <c r="AS1042" s="65" t="n">
        <f aca="false">IF(AND(Y1042&lt;&gt;"",'Historical Score'!$C$7&lt;&gt;""),IF(Y1042='Historical Score'!$C$7,1,0),0)</f>
        <v>0</v>
      </c>
      <c r="AT1042" s="65" t="n">
        <f aca="false">IF(AND(K1042&lt;&gt;"",'Historical Score'!$C$8&lt;&gt;""),IF(K1042='Historical Score'!$C$8,1,0),0)</f>
        <v>0</v>
      </c>
      <c r="AU1042" s="65" t="n">
        <f aca="false">IF(AND(J1042&lt;&gt;"",'Historical Score'!$C$9&lt;&gt;""),IF(J1042='Historical Score'!$C$9,1,0),0)</f>
        <v>0</v>
      </c>
      <c r="AV1042" s="65" t="n">
        <f aca="false">AR1042*AS1042*AQ1042</f>
        <v>0</v>
      </c>
      <c r="AW1042" s="65" t="n">
        <f aca="false">AR1042*AT1042*AQ1042</f>
        <v>0</v>
      </c>
      <c r="AX1042" s="65" t="n">
        <f aca="false">AR1042*AS1042</f>
        <v>0</v>
      </c>
      <c r="AY1042" s="65" t="n">
        <f aca="false">AR1042*AT1042</f>
        <v>0</v>
      </c>
      <c r="AZ1042" s="65" t="n">
        <f aca="false">AR1042*AQ1042</f>
        <v>0</v>
      </c>
      <c r="BA1042" s="65" t="n">
        <f aca="false">AR1042</f>
        <v>0</v>
      </c>
      <c r="BB1042" s="65" t="n">
        <f aca="false">1</f>
        <v>1</v>
      </c>
      <c r="BC1042" s="65" t="n">
        <f aca="false">IF(AV1042=1,1,IF(AW1042=1,2,IF(AX1042=1,3,IF(AY1042=1,4,IF(AZ1042=1,5,IF(BA1042=1,6,7))))))</f>
        <v>7</v>
      </c>
      <c r="BD1042" s="65" t="n">
        <f aca="false">IF(AD1042=1,CHOOSE('Historical Score'!$C$29,AV1042,AW1042,AX1042,AY1042,AZ1042,BA1042,BB1042),0)</f>
        <v>0</v>
      </c>
      <c r="BE1042" s="65" t="str">
        <f aca="false">IF(BD1042=1,COUNTIF($BD$2:BD1042,1),"")</f>
        <v/>
      </c>
    </row>
    <row r="1043" customFormat="false" ht="15" hidden="false" customHeight="false" outlineLevel="0" collapsed="false">
      <c r="A1043" s="65" t="s">
        <v>3102</v>
      </c>
      <c r="B1043" s="65" t="s">
        <v>3103</v>
      </c>
      <c r="C1043" s="65" t="s">
        <v>2572</v>
      </c>
      <c r="D1043" s="65" t="s">
        <v>295</v>
      </c>
      <c r="E1043" s="112" t="n">
        <v>46225</v>
      </c>
      <c r="F1043" s="112" t="n">
        <v>46253</v>
      </c>
      <c r="G1043" s="65" t="n">
        <v>3</v>
      </c>
      <c r="H1043" s="65" t="s">
        <v>500</v>
      </c>
      <c r="I1043" s="65" t="s">
        <v>475</v>
      </c>
      <c r="J1043" s="65" t="s">
        <v>61</v>
      </c>
      <c r="K1043" s="65" t="s">
        <v>538</v>
      </c>
      <c r="L1043" s="65" t="s">
        <v>320</v>
      </c>
      <c r="M1043" s="113" t="n">
        <v>1.49</v>
      </c>
      <c r="N1043" s="114" t="n">
        <v>35000</v>
      </c>
      <c r="O1043" s="114" t="n">
        <v>4900</v>
      </c>
      <c r="P1043" s="114" t="n">
        <v>52150</v>
      </c>
      <c r="Q1043" s="114" t="n">
        <v>11584.6</v>
      </c>
      <c r="R1043" s="114" t="n">
        <v>40565.4</v>
      </c>
      <c r="S1043" s="115" t="n">
        <v>0.222139980824545</v>
      </c>
      <c r="T1043" s="65" t="n">
        <v>2.951</v>
      </c>
      <c r="U1043" s="65" t="n">
        <v>0</v>
      </c>
      <c r="V1043" s="65" t="n">
        <v>117980.29</v>
      </c>
      <c r="W1043" s="115" t="n">
        <v>0.1031</v>
      </c>
      <c r="X1043" s="112" t="n">
        <v>45465</v>
      </c>
      <c r="Y1043" s="65" t="str">
        <f aca="false">IF(I1043="","No SIC",IFERROR(VLOOKUP(I1043,Ref!$A$2:$B$65,2,FALSE()),"Unclassified"))</f>
        <v>Auto Repair &amp; Services</v>
      </c>
      <c r="Z1043" s="65" t="str">
        <f aca="false">IF(T1043="","",IF(T1043&lt;12,"Daily","Weekly"))</f>
        <v>Daily</v>
      </c>
      <c r="AA1043" s="65" t="n">
        <f aca="false">IF(T1043="",0,IF(T1043&lt;12,T1043*Controls!$B$29,T1043*5))</f>
        <v>63.903905</v>
      </c>
      <c r="AB1043" s="65" t="n">
        <f aca="false">IF(E1043="",0,NETWORKDAYS(E1043,Controls!$B$36,Ref!$K$2:$K$42))</f>
        <v>25</v>
      </c>
      <c r="AC1043" s="65" t="n">
        <f aca="false">IF(AND(AA1043&gt;0,AB1043&gt;=Controls!$B$39*AA1043),1,0)</f>
        <v>0</v>
      </c>
      <c r="AD1043" s="65" t="n">
        <f aca="false">IF(AND(E1043&lt;&gt;"",E1043&gt;=Controls!$B$37,E1043&lt;=Controls!$B$38),1,0)</f>
        <v>1</v>
      </c>
      <c r="AE1043" s="65" t="n">
        <f aca="false">IF(IFERROR(VLOOKUP(D1043,Controls!$A$64:$E$74,2,FALSE()),"No")="Yes",1,0)</f>
        <v>0</v>
      </c>
      <c r="AF1043" s="65" t="n">
        <f aca="false">IF(IFERROR(VLOOKUP(D1043,Controls!$A$64:$E$74,3,FALSE()),"No")="Yes",1,0)</f>
        <v>0</v>
      </c>
      <c r="AG1043" s="65" t="n">
        <f aca="false">IF(IFERROR(VLOOKUP(D1043,Controls!$A$64:$E$74,4,FALSE()),"No")="Yes",1,0)</f>
        <v>0</v>
      </c>
      <c r="AH1043" s="65" t="n">
        <f aca="false">IF(IFERROR(VLOOKUP(D1043,Controls!$A$64:$E$74,5,FALSE()),"No")="Yes",1,0)</f>
        <v>1</v>
      </c>
      <c r="AI1043" s="65" t="n">
        <f aca="false">IF(ISNUMBER(MATCH(D1043,Controls!$A$64:$A$74,0)),1,0)</f>
        <v>1</v>
      </c>
      <c r="AJ1043" s="65" t="n">
        <f aca="false">Q1043-N1043</f>
        <v>-23415.4</v>
      </c>
      <c r="AK1043" s="65" t="n">
        <f aca="false">IF(AE1043=1,MAX(0,N1043-Q1043),0)</f>
        <v>0</v>
      </c>
      <c r="AL1043" s="65" t="n">
        <f aca="false">IF(OR(V1043="",V1043=0),0,N1043/V1043)</f>
        <v>0.296659721721315</v>
      </c>
      <c r="AM1043" s="65" t="n">
        <f aca="false">IF(OR(V1043="",V1043=0),0,1)</f>
        <v>1</v>
      </c>
      <c r="AN1043" s="65" t="n">
        <f aca="false">IF(OR(E1043="",F1043=""),0,NETWORKDAYS(E1043,F1043,Ref!$K$2:$K$42))</f>
        <v>21</v>
      </c>
      <c r="AO1043" s="65" t="n">
        <f aca="false">IF(L1043="Renewal",1,0)</f>
        <v>1</v>
      </c>
      <c r="AP1043" s="65" t="n">
        <f aca="false">AC1043*AD1043</f>
        <v>0</v>
      </c>
      <c r="AQ1043" s="65" t="n">
        <f aca="false">IF(AND(G1043&lt;&gt;"",'Historical Score'!$C$6&lt;&gt;""),IF(G1043='Historical Score'!$C$6,1,0),0)</f>
        <v>0</v>
      </c>
      <c r="AR1043" s="65" t="n">
        <f aca="false">IF(AND(L1043&lt;&gt;"",'Historical Score'!$C$5&lt;&gt;""),IF(L1043='Historical Score'!$C$5,1,0),0)</f>
        <v>0</v>
      </c>
      <c r="AS1043" s="65" t="n">
        <f aca="false">IF(AND(Y1043&lt;&gt;"",'Historical Score'!$C$7&lt;&gt;""),IF(Y1043='Historical Score'!$C$7,1,0),0)</f>
        <v>0</v>
      </c>
      <c r="AT1043" s="65" t="n">
        <f aca="false">IF(AND(K1043&lt;&gt;"",'Historical Score'!$C$8&lt;&gt;""),IF(K1043='Historical Score'!$C$8,1,0),0)</f>
        <v>0</v>
      </c>
      <c r="AU1043" s="65" t="n">
        <f aca="false">IF(AND(J1043&lt;&gt;"",'Historical Score'!$C$9&lt;&gt;""),IF(J1043='Historical Score'!$C$9,1,0),0)</f>
        <v>1</v>
      </c>
      <c r="AV1043" s="65" t="n">
        <f aca="false">AR1043*AS1043*AQ1043</f>
        <v>0</v>
      </c>
      <c r="AW1043" s="65" t="n">
        <f aca="false">AR1043*AT1043*AQ1043</f>
        <v>0</v>
      </c>
      <c r="AX1043" s="65" t="n">
        <f aca="false">AR1043*AS1043</f>
        <v>0</v>
      </c>
      <c r="AY1043" s="65" t="n">
        <f aca="false">AR1043*AT1043</f>
        <v>0</v>
      </c>
      <c r="AZ1043" s="65" t="n">
        <f aca="false">AR1043*AQ1043</f>
        <v>0</v>
      </c>
      <c r="BA1043" s="65" t="n">
        <f aca="false">AR1043</f>
        <v>0</v>
      </c>
      <c r="BB1043" s="65" t="n">
        <f aca="false">1</f>
        <v>1</v>
      </c>
      <c r="BC1043" s="65" t="n">
        <f aca="false">IF(AV1043=1,1,IF(AW1043=1,2,IF(AX1043=1,3,IF(AY1043=1,4,IF(AZ1043=1,5,IF(BA1043=1,6,7))))))</f>
        <v>7</v>
      </c>
      <c r="BD1043" s="65" t="n">
        <f aca="false">IF(AD1043=1,CHOOSE('Historical Score'!$C$29,AV1043,AW1043,AX1043,AY1043,AZ1043,BA1043,BB1043),0)</f>
        <v>0</v>
      </c>
      <c r="BE1043" s="65" t="str">
        <f aca="false">IF(BD1043=1,COUNTIF($BD$2:BD1043,1),"")</f>
        <v/>
      </c>
    </row>
    <row r="1044" customFormat="false" ht="15" hidden="false" customHeight="false" outlineLevel="0" collapsed="false">
      <c r="A1044" s="65" t="s">
        <v>3104</v>
      </c>
      <c r="B1044" s="65" t="s">
        <v>3105</v>
      </c>
      <c r="C1044" s="65" t="s">
        <v>3106</v>
      </c>
      <c r="D1044" s="65" t="s">
        <v>295</v>
      </c>
      <c r="E1044" s="112" t="n">
        <v>46226</v>
      </c>
      <c r="F1044" s="112" t="n">
        <v>46253</v>
      </c>
      <c r="G1044" s="65" t="n">
        <v>3</v>
      </c>
      <c r="H1044" s="65" t="s">
        <v>3107</v>
      </c>
      <c r="I1044" s="65" t="s">
        <v>415</v>
      </c>
      <c r="J1044" s="65" t="s">
        <v>420</v>
      </c>
      <c r="K1044" s="65" t="s">
        <v>584</v>
      </c>
      <c r="L1044" s="65" t="s">
        <v>64</v>
      </c>
      <c r="M1044" s="113" t="n">
        <v>1.45</v>
      </c>
      <c r="N1044" s="114" t="n">
        <v>30000</v>
      </c>
      <c r="O1044" s="114" t="n">
        <v>3600</v>
      </c>
      <c r="P1044" s="114" t="n">
        <v>43500</v>
      </c>
      <c r="Q1044" s="114" t="n">
        <v>7833.42</v>
      </c>
      <c r="R1044" s="114" t="n">
        <v>35666.58</v>
      </c>
      <c r="S1044" s="115" t="n">
        <v>0.180078620689655</v>
      </c>
      <c r="T1044" s="65" t="n">
        <v>3.279</v>
      </c>
      <c r="U1044" s="65" t="n">
        <v>0</v>
      </c>
      <c r="V1044" s="65" t="n">
        <v>242412.73</v>
      </c>
      <c r="W1044" s="115" t="n">
        <v>0.0377</v>
      </c>
      <c r="X1044" s="112" t="n">
        <v>45323</v>
      </c>
      <c r="Y1044" s="65" t="str">
        <f aca="false">IF(I1044="","No SIC",IFERROR(VLOOKUP(I1044,Ref!$A$2:$B$65,2,FALSE()),"Unclassified"))</f>
        <v>Wholesale Trade - Durable Goods</v>
      </c>
      <c r="Z1044" s="65" t="str">
        <f aca="false">IF(T1044="","",IF(T1044&lt;12,"Daily","Weekly"))</f>
        <v>Daily</v>
      </c>
      <c r="AA1044" s="65" t="n">
        <f aca="false">IF(T1044="",0,IF(T1044&lt;12,T1044*Controls!$B$29,T1044*5))</f>
        <v>71.006745</v>
      </c>
      <c r="AB1044" s="65" t="n">
        <f aca="false">IF(E1044="",0,NETWORKDAYS(E1044,Controls!$B$36,Ref!$K$2:$K$42))</f>
        <v>24</v>
      </c>
      <c r="AC1044" s="65" t="n">
        <f aca="false">IF(AND(AA1044&gt;0,AB1044&gt;=Controls!$B$39*AA1044),1,0)</f>
        <v>0</v>
      </c>
      <c r="AD1044" s="65" t="n">
        <f aca="false">IF(AND(E1044&lt;&gt;"",E1044&gt;=Controls!$B$37,E1044&lt;=Controls!$B$38),1,0)</f>
        <v>1</v>
      </c>
      <c r="AE1044" s="65" t="n">
        <f aca="false">IF(IFERROR(VLOOKUP(D1044,Controls!$A$64:$E$74,2,FALSE()),"No")="Yes",1,0)</f>
        <v>0</v>
      </c>
      <c r="AF1044" s="65" t="n">
        <f aca="false">IF(IFERROR(VLOOKUP(D1044,Controls!$A$64:$E$74,3,FALSE()),"No")="Yes",1,0)</f>
        <v>0</v>
      </c>
      <c r="AG1044" s="65" t="n">
        <f aca="false">IF(IFERROR(VLOOKUP(D1044,Controls!$A$64:$E$74,4,FALSE()),"No")="Yes",1,0)</f>
        <v>0</v>
      </c>
      <c r="AH1044" s="65" t="n">
        <f aca="false">IF(IFERROR(VLOOKUP(D1044,Controls!$A$64:$E$74,5,FALSE()),"No")="Yes",1,0)</f>
        <v>1</v>
      </c>
      <c r="AI1044" s="65" t="n">
        <f aca="false">IF(ISNUMBER(MATCH(D1044,Controls!$A$64:$A$74,0)),1,0)</f>
        <v>1</v>
      </c>
      <c r="AJ1044" s="65" t="n">
        <f aca="false">Q1044-N1044</f>
        <v>-22166.58</v>
      </c>
      <c r="AK1044" s="65" t="n">
        <f aca="false">IF(AE1044=1,MAX(0,N1044-Q1044),0)</f>
        <v>0</v>
      </c>
      <c r="AL1044" s="65" t="n">
        <f aca="false">IF(OR(V1044="",V1044=0),0,N1044/V1044)</f>
        <v>0.123755877011904</v>
      </c>
      <c r="AM1044" s="65" t="n">
        <f aca="false">IF(OR(V1044="",V1044=0),0,1)</f>
        <v>1</v>
      </c>
      <c r="AN1044" s="65" t="n">
        <f aca="false">IF(OR(E1044="",F1044=""),0,NETWORKDAYS(E1044,F1044,Ref!$K$2:$K$42))</f>
        <v>20</v>
      </c>
      <c r="AO1044" s="65" t="n">
        <f aca="false">IF(L1044="Renewal",1,0)</f>
        <v>0</v>
      </c>
      <c r="AP1044" s="65" t="n">
        <f aca="false">AC1044*AD1044</f>
        <v>0</v>
      </c>
      <c r="AQ1044" s="65" t="n">
        <f aca="false">IF(AND(G1044&lt;&gt;"",'Historical Score'!$C$6&lt;&gt;""),IF(G1044='Historical Score'!$C$6,1,0),0)</f>
        <v>0</v>
      </c>
      <c r="AR1044" s="65" t="n">
        <f aca="false">IF(AND(L1044&lt;&gt;"",'Historical Score'!$C$5&lt;&gt;""),IF(L1044='Historical Score'!$C$5,1,0),0)</f>
        <v>1</v>
      </c>
      <c r="AS1044" s="65" t="n">
        <f aca="false">IF(AND(Y1044&lt;&gt;"",'Historical Score'!$C$7&lt;&gt;""),IF(Y1044='Historical Score'!$C$7,1,0),0)</f>
        <v>0</v>
      </c>
      <c r="AT1044" s="65" t="n">
        <f aca="false">IF(AND(K1044&lt;&gt;"",'Historical Score'!$C$8&lt;&gt;""),IF(K1044='Historical Score'!$C$8,1,0),0)</f>
        <v>0</v>
      </c>
      <c r="AU1044" s="65" t="n">
        <f aca="false">IF(AND(J1044&lt;&gt;"",'Historical Score'!$C$9&lt;&gt;""),IF(J1044='Historical Score'!$C$9,1,0),0)</f>
        <v>0</v>
      </c>
      <c r="AV1044" s="65" t="n">
        <f aca="false">AR1044*AS1044*AQ1044</f>
        <v>0</v>
      </c>
      <c r="AW1044" s="65" t="n">
        <f aca="false">AR1044*AT1044*AQ1044</f>
        <v>0</v>
      </c>
      <c r="AX1044" s="65" t="n">
        <f aca="false">AR1044*AS1044</f>
        <v>0</v>
      </c>
      <c r="AY1044" s="65" t="n">
        <f aca="false">AR1044*AT1044</f>
        <v>0</v>
      </c>
      <c r="AZ1044" s="65" t="n">
        <f aca="false">AR1044*AQ1044</f>
        <v>0</v>
      </c>
      <c r="BA1044" s="65" t="n">
        <f aca="false">AR1044</f>
        <v>1</v>
      </c>
      <c r="BB1044" s="65" t="n">
        <f aca="false">1</f>
        <v>1</v>
      </c>
      <c r="BC1044" s="65" t="n">
        <f aca="false">IF(AV1044=1,1,IF(AW1044=1,2,IF(AX1044=1,3,IF(AY1044=1,4,IF(AZ1044=1,5,IF(BA1044=1,6,7))))))</f>
        <v>6</v>
      </c>
      <c r="BD1044" s="65" t="n">
        <f aca="false">IF(AD1044=1,CHOOSE('Historical Score'!$C$29,AV1044,AW1044,AX1044,AY1044,AZ1044,BA1044,BB1044),0)</f>
        <v>0</v>
      </c>
      <c r="BE1044" s="65" t="str">
        <f aca="false">IF(BD1044=1,COUNTIF($BD$2:BD1044,1),"")</f>
        <v/>
      </c>
    </row>
    <row r="1045" customFormat="false" ht="15" hidden="false" customHeight="false" outlineLevel="0" collapsed="false">
      <c r="A1045" s="65" t="s">
        <v>3108</v>
      </c>
      <c r="B1045" s="65" t="s">
        <v>3109</v>
      </c>
      <c r="C1045" s="65" t="s">
        <v>3109</v>
      </c>
      <c r="D1045" s="65" t="s">
        <v>295</v>
      </c>
      <c r="E1045" s="112" t="n">
        <v>46227</v>
      </c>
      <c r="F1045" s="112" t="n">
        <v>46248</v>
      </c>
      <c r="G1045" s="65" t="n">
        <v>3</v>
      </c>
      <c r="H1045" s="65" t="s">
        <v>3110</v>
      </c>
      <c r="I1045" s="65" t="s">
        <v>2150</v>
      </c>
      <c r="J1045" s="65" t="s">
        <v>1977</v>
      </c>
      <c r="K1045" s="65" t="s">
        <v>1085</v>
      </c>
      <c r="L1045" s="65" t="s">
        <v>64</v>
      </c>
      <c r="M1045" s="113" t="n">
        <v>1.49</v>
      </c>
      <c r="N1045" s="114" t="n">
        <v>10000</v>
      </c>
      <c r="O1045" s="114" t="n">
        <v>1400</v>
      </c>
      <c r="P1045" s="114" t="n">
        <v>14900</v>
      </c>
      <c r="Q1045" s="114" t="n">
        <v>2241</v>
      </c>
      <c r="R1045" s="114" t="n">
        <v>12659</v>
      </c>
      <c r="S1045" s="115" t="n">
        <v>0.150402684563758</v>
      </c>
      <c r="T1045" s="65" t="n">
        <v>20</v>
      </c>
      <c r="U1045" s="65" t="n">
        <v>0</v>
      </c>
      <c r="V1045" s="65" t="n">
        <v>28839.01</v>
      </c>
      <c r="W1045" s="115" t="n">
        <v>0.1033</v>
      </c>
      <c r="X1045" s="112" t="n">
        <v>36897</v>
      </c>
      <c r="Y1045" s="65" t="str">
        <f aca="false">IF(I1045="","No SIC",IFERROR(VLOOKUP(I1045,Ref!$A$2:$B$65,2,FALSE()),"Unclassified"))</f>
        <v>Agricultural Production - Livestock</v>
      </c>
      <c r="Z1045" s="65" t="str">
        <f aca="false">IF(T1045="","",IF(T1045&lt;12,"Daily","Weekly"))</f>
        <v>Weekly</v>
      </c>
      <c r="AA1045" s="65" t="n">
        <f aca="false">IF(T1045="",0,IF(T1045&lt;12,T1045*Controls!$B$29,T1045*5))</f>
        <v>100</v>
      </c>
      <c r="AB1045" s="65" t="n">
        <f aca="false">IF(E1045="",0,NETWORKDAYS(E1045,Controls!$B$36,Ref!$K$2:$K$42))</f>
        <v>23</v>
      </c>
      <c r="AC1045" s="65" t="n">
        <f aca="false">IF(AND(AA1045&gt;0,AB1045&gt;=Controls!$B$39*AA1045),1,0)</f>
        <v>0</v>
      </c>
      <c r="AD1045" s="65" t="n">
        <f aca="false">IF(AND(E1045&lt;&gt;"",E1045&gt;=Controls!$B$37,E1045&lt;=Controls!$B$38),1,0)</f>
        <v>1</v>
      </c>
      <c r="AE1045" s="65" t="n">
        <f aca="false">IF(IFERROR(VLOOKUP(D1045,Controls!$A$64:$E$74,2,FALSE()),"No")="Yes",1,0)</f>
        <v>0</v>
      </c>
      <c r="AF1045" s="65" t="n">
        <f aca="false">IF(IFERROR(VLOOKUP(D1045,Controls!$A$64:$E$74,3,FALSE()),"No")="Yes",1,0)</f>
        <v>0</v>
      </c>
      <c r="AG1045" s="65" t="n">
        <f aca="false">IF(IFERROR(VLOOKUP(D1045,Controls!$A$64:$E$74,4,FALSE()),"No")="Yes",1,0)</f>
        <v>0</v>
      </c>
      <c r="AH1045" s="65" t="n">
        <f aca="false">IF(IFERROR(VLOOKUP(D1045,Controls!$A$64:$E$74,5,FALSE()),"No")="Yes",1,0)</f>
        <v>1</v>
      </c>
      <c r="AI1045" s="65" t="n">
        <f aca="false">IF(ISNUMBER(MATCH(D1045,Controls!$A$64:$A$74,0)),1,0)</f>
        <v>1</v>
      </c>
      <c r="AJ1045" s="65" t="n">
        <f aca="false">Q1045-N1045</f>
        <v>-7759</v>
      </c>
      <c r="AK1045" s="65" t="n">
        <f aca="false">IF(AE1045=1,MAX(0,N1045-Q1045),0)</f>
        <v>0</v>
      </c>
      <c r="AL1045" s="65" t="n">
        <f aca="false">IF(OR(V1045="",V1045=0),0,N1045/V1045)</f>
        <v>0.346752541089309</v>
      </c>
      <c r="AM1045" s="65" t="n">
        <f aca="false">IF(OR(V1045="",V1045=0),0,1)</f>
        <v>1</v>
      </c>
      <c r="AN1045" s="65" t="n">
        <f aca="false">IF(OR(E1045="",F1045=""),0,NETWORKDAYS(E1045,F1045,Ref!$K$2:$K$42))</f>
        <v>16</v>
      </c>
      <c r="AO1045" s="65" t="n">
        <f aca="false">IF(L1045="Renewal",1,0)</f>
        <v>0</v>
      </c>
      <c r="AP1045" s="65" t="n">
        <f aca="false">AC1045*AD1045</f>
        <v>0</v>
      </c>
      <c r="AQ1045" s="65" t="n">
        <f aca="false">IF(AND(G1045&lt;&gt;"",'Historical Score'!$C$6&lt;&gt;""),IF(G1045='Historical Score'!$C$6,1,0),0)</f>
        <v>0</v>
      </c>
      <c r="AR1045" s="65" t="n">
        <f aca="false">IF(AND(L1045&lt;&gt;"",'Historical Score'!$C$5&lt;&gt;""),IF(L1045='Historical Score'!$C$5,1,0),0)</f>
        <v>1</v>
      </c>
      <c r="AS1045" s="65" t="n">
        <f aca="false">IF(AND(Y1045&lt;&gt;"",'Historical Score'!$C$7&lt;&gt;""),IF(Y1045='Historical Score'!$C$7,1,0),0)</f>
        <v>0</v>
      </c>
      <c r="AT1045" s="65" t="n">
        <f aca="false">IF(AND(K1045&lt;&gt;"",'Historical Score'!$C$8&lt;&gt;""),IF(K1045='Historical Score'!$C$8,1,0),0)</f>
        <v>0</v>
      </c>
      <c r="AU1045" s="65" t="n">
        <f aca="false">IF(AND(J1045&lt;&gt;"",'Historical Score'!$C$9&lt;&gt;""),IF(J1045='Historical Score'!$C$9,1,0),0)</f>
        <v>0</v>
      </c>
      <c r="AV1045" s="65" t="n">
        <f aca="false">AR1045*AS1045*AQ1045</f>
        <v>0</v>
      </c>
      <c r="AW1045" s="65" t="n">
        <f aca="false">AR1045*AT1045*AQ1045</f>
        <v>0</v>
      </c>
      <c r="AX1045" s="65" t="n">
        <f aca="false">AR1045*AS1045</f>
        <v>0</v>
      </c>
      <c r="AY1045" s="65" t="n">
        <f aca="false">AR1045*AT1045</f>
        <v>0</v>
      </c>
      <c r="AZ1045" s="65" t="n">
        <f aca="false">AR1045*AQ1045</f>
        <v>0</v>
      </c>
      <c r="BA1045" s="65" t="n">
        <f aca="false">AR1045</f>
        <v>1</v>
      </c>
      <c r="BB1045" s="65" t="n">
        <f aca="false">1</f>
        <v>1</v>
      </c>
      <c r="BC1045" s="65" t="n">
        <f aca="false">IF(AV1045=1,1,IF(AW1045=1,2,IF(AX1045=1,3,IF(AY1045=1,4,IF(AZ1045=1,5,IF(BA1045=1,6,7))))))</f>
        <v>6</v>
      </c>
      <c r="BD1045" s="65" t="n">
        <f aca="false">IF(AD1045=1,CHOOSE('Historical Score'!$C$29,AV1045,AW1045,AX1045,AY1045,AZ1045,BA1045,BB1045),0)</f>
        <v>0</v>
      </c>
      <c r="BE1045" s="65" t="str">
        <f aca="false">IF(BD1045=1,COUNTIF($BD$2:BD1045,1),"")</f>
        <v/>
      </c>
    </row>
    <row r="1046" customFormat="false" ht="15" hidden="false" customHeight="false" outlineLevel="0" collapsed="false">
      <c r="A1046" s="65" t="s">
        <v>3111</v>
      </c>
      <c r="B1046" s="65" t="s">
        <v>2113</v>
      </c>
      <c r="C1046" s="65" t="s">
        <v>2113</v>
      </c>
      <c r="D1046" s="65" t="s">
        <v>295</v>
      </c>
      <c r="E1046" s="112" t="n">
        <v>46230</v>
      </c>
      <c r="F1046" s="112" t="n">
        <v>46248</v>
      </c>
      <c r="G1046" s="65" t="n">
        <v>3</v>
      </c>
      <c r="H1046" s="65" t="s">
        <v>2567</v>
      </c>
      <c r="I1046" s="65" t="s">
        <v>2302</v>
      </c>
      <c r="J1046" s="65" t="s">
        <v>61</v>
      </c>
      <c r="K1046" s="65" t="s">
        <v>55</v>
      </c>
      <c r="L1046" s="65" t="s">
        <v>320</v>
      </c>
      <c r="M1046" s="113" t="n">
        <v>1.49</v>
      </c>
      <c r="N1046" s="114" t="n">
        <v>40000</v>
      </c>
      <c r="O1046" s="114" t="n">
        <v>5600</v>
      </c>
      <c r="P1046" s="114" t="n">
        <v>59600</v>
      </c>
      <c r="Q1046" s="114" t="n">
        <v>3974.34</v>
      </c>
      <c r="R1046" s="114" t="n">
        <v>55625.66</v>
      </c>
      <c r="S1046" s="115" t="n">
        <v>0.0666835570469799</v>
      </c>
      <c r="T1046" s="65" t="n">
        <v>30</v>
      </c>
      <c r="U1046" s="65" t="n">
        <v>0</v>
      </c>
      <c r="V1046" s="65" t="n">
        <v>45291.67</v>
      </c>
      <c r="W1046" s="115" t="n">
        <v>0.1755</v>
      </c>
      <c r="X1046" s="112" t="n">
        <v>44427</v>
      </c>
      <c r="Y1046" s="65" t="str">
        <f aca="false">IF(I1046="","No SIC",IFERROR(VLOOKUP(I1046,Ref!$A$2:$B$65,2,FALSE()),"Unclassified"))</f>
        <v>Security &amp; Commodity Brokers</v>
      </c>
      <c r="Z1046" s="65" t="str">
        <f aca="false">IF(T1046="","",IF(T1046&lt;12,"Daily","Weekly"))</f>
        <v>Weekly</v>
      </c>
      <c r="AA1046" s="65" t="n">
        <f aca="false">IF(T1046="",0,IF(T1046&lt;12,T1046*Controls!$B$29,T1046*5))</f>
        <v>150</v>
      </c>
      <c r="AB1046" s="65" t="n">
        <f aca="false">IF(E1046="",0,NETWORKDAYS(E1046,Controls!$B$36,Ref!$K$2:$K$42))</f>
        <v>22</v>
      </c>
      <c r="AC1046" s="65" t="n">
        <f aca="false">IF(AND(AA1046&gt;0,AB1046&gt;=Controls!$B$39*AA1046),1,0)</f>
        <v>0</v>
      </c>
      <c r="AD1046" s="65" t="n">
        <f aca="false">IF(AND(E1046&lt;&gt;"",E1046&gt;=Controls!$B$37,E1046&lt;=Controls!$B$38),1,0)</f>
        <v>1</v>
      </c>
      <c r="AE1046" s="65" t="n">
        <f aca="false">IF(IFERROR(VLOOKUP(D1046,Controls!$A$64:$E$74,2,FALSE()),"No")="Yes",1,0)</f>
        <v>0</v>
      </c>
      <c r="AF1046" s="65" t="n">
        <f aca="false">IF(IFERROR(VLOOKUP(D1046,Controls!$A$64:$E$74,3,FALSE()),"No")="Yes",1,0)</f>
        <v>0</v>
      </c>
      <c r="AG1046" s="65" t="n">
        <f aca="false">IF(IFERROR(VLOOKUP(D1046,Controls!$A$64:$E$74,4,FALSE()),"No")="Yes",1,0)</f>
        <v>0</v>
      </c>
      <c r="AH1046" s="65" t="n">
        <f aca="false">IF(IFERROR(VLOOKUP(D1046,Controls!$A$64:$E$74,5,FALSE()),"No")="Yes",1,0)</f>
        <v>1</v>
      </c>
      <c r="AI1046" s="65" t="n">
        <f aca="false">IF(ISNUMBER(MATCH(D1046,Controls!$A$64:$A$74,0)),1,0)</f>
        <v>1</v>
      </c>
      <c r="AJ1046" s="65" t="n">
        <f aca="false">Q1046-N1046</f>
        <v>-36025.66</v>
      </c>
      <c r="AK1046" s="65" t="n">
        <f aca="false">IF(AE1046=1,MAX(0,N1046-Q1046),0)</f>
        <v>0</v>
      </c>
      <c r="AL1046" s="65" t="n">
        <f aca="false">IF(OR(V1046="",V1046=0),0,N1046/V1046)</f>
        <v>0.883164608414748</v>
      </c>
      <c r="AM1046" s="65" t="n">
        <f aca="false">IF(OR(V1046="",V1046=0),0,1)</f>
        <v>1</v>
      </c>
      <c r="AN1046" s="65" t="n">
        <f aca="false">IF(OR(E1046="",F1046=""),0,NETWORKDAYS(E1046,F1046,Ref!$K$2:$K$42))</f>
        <v>15</v>
      </c>
      <c r="AO1046" s="65" t="n">
        <f aca="false">IF(L1046="Renewal",1,0)</f>
        <v>1</v>
      </c>
      <c r="AP1046" s="65" t="n">
        <f aca="false">AC1046*AD1046</f>
        <v>0</v>
      </c>
      <c r="AQ1046" s="65" t="n">
        <f aca="false">IF(AND(G1046&lt;&gt;"",'Historical Score'!$C$6&lt;&gt;""),IF(G1046='Historical Score'!$C$6,1,0),0)</f>
        <v>0</v>
      </c>
      <c r="AR1046" s="65" t="n">
        <f aca="false">IF(AND(L1046&lt;&gt;"",'Historical Score'!$C$5&lt;&gt;""),IF(L1046='Historical Score'!$C$5,1,0),0)</f>
        <v>0</v>
      </c>
      <c r="AS1046" s="65" t="n">
        <f aca="false">IF(AND(Y1046&lt;&gt;"",'Historical Score'!$C$7&lt;&gt;""),IF(Y1046='Historical Score'!$C$7,1,0),0)</f>
        <v>0</v>
      </c>
      <c r="AT1046" s="65" t="n">
        <f aca="false">IF(AND(K1046&lt;&gt;"",'Historical Score'!$C$8&lt;&gt;""),IF(K1046='Historical Score'!$C$8,1,0),0)</f>
        <v>1</v>
      </c>
      <c r="AU1046" s="65" t="n">
        <f aca="false">IF(AND(J1046&lt;&gt;"",'Historical Score'!$C$9&lt;&gt;""),IF(J1046='Historical Score'!$C$9,1,0),0)</f>
        <v>1</v>
      </c>
      <c r="AV1046" s="65" t="n">
        <f aca="false">AR1046*AS1046*AQ1046</f>
        <v>0</v>
      </c>
      <c r="AW1046" s="65" t="n">
        <f aca="false">AR1046*AT1046*AQ1046</f>
        <v>0</v>
      </c>
      <c r="AX1046" s="65" t="n">
        <f aca="false">AR1046*AS1046</f>
        <v>0</v>
      </c>
      <c r="AY1046" s="65" t="n">
        <f aca="false">AR1046*AT1046</f>
        <v>0</v>
      </c>
      <c r="AZ1046" s="65" t="n">
        <f aca="false">AR1046*AQ1046</f>
        <v>0</v>
      </c>
      <c r="BA1046" s="65" t="n">
        <f aca="false">AR1046</f>
        <v>0</v>
      </c>
      <c r="BB1046" s="65" t="n">
        <f aca="false">1</f>
        <v>1</v>
      </c>
      <c r="BC1046" s="65" t="n">
        <f aca="false">IF(AV1046=1,1,IF(AW1046=1,2,IF(AX1046=1,3,IF(AY1046=1,4,IF(AZ1046=1,5,IF(BA1046=1,6,7))))))</f>
        <v>7</v>
      </c>
      <c r="BD1046" s="65" t="n">
        <f aca="false">IF(AD1046=1,CHOOSE('Historical Score'!$C$29,AV1046,AW1046,AX1046,AY1046,AZ1046,BA1046,BB1046),0)</f>
        <v>0</v>
      </c>
      <c r="BE1046" s="65" t="str">
        <f aca="false">IF(BD1046=1,COUNTIF($BD$2:BD1046,1),"")</f>
        <v/>
      </c>
    </row>
    <row r="1047" customFormat="false" ht="15" hidden="false" customHeight="false" outlineLevel="0" collapsed="false">
      <c r="A1047" s="65" t="s">
        <v>3112</v>
      </c>
      <c r="B1047" s="65" t="s">
        <v>3113</v>
      </c>
      <c r="C1047" s="65" t="s">
        <v>3113</v>
      </c>
      <c r="D1047" s="65" t="s">
        <v>295</v>
      </c>
      <c r="E1047" s="112" t="n">
        <v>46230</v>
      </c>
      <c r="F1047" s="112" t="n">
        <v>46248</v>
      </c>
      <c r="G1047" s="65" t="n">
        <v>3</v>
      </c>
      <c r="H1047" s="65" t="s">
        <v>517</v>
      </c>
      <c r="I1047" s="65" t="s">
        <v>415</v>
      </c>
      <c r="J1047" s="65" t="s">
        <v>380</v>
      </c>
      <c r="K1047" s="65" t="s">
        <v>2594</v>
      </c>
      <c r="L1047" s="65" t="s">
        <v>64</v>
      </c>
      <c r="M1047" s="113" t="n">
        <v>1.447</v>
      </c>
      <c r="N1047" s="114" t="n">
        <v>35000</v>
      </c>
      <c r="O1047" s="114" t="n">
        <v>4025</v>
      </c>
      <c r="P1047" s="114" t="n">
        <v>50645</v>
      </c>
      <c r="Q1047" s="114" t="n">
        <v>5065.17</v>
      </c>
      <c r="R1047" s="114" t="n">
        <v>45579.83</v>
      </c>
      <c r="S1047" s="115" t="n">
        <v>0.100013229341495</v>
      </c>
      <c r="T1047" s="65" t="n">
        <v>30</v>
      </c>
      <c r="U1047" s="65" t="n">
        <v>1</v>
      </c>
      <c r="V1047" s="65" t="n">
        <v>105211.24</v>
      </c>
      <c r="W1047" s="115" t="n">
        <v>0.0642</v>
      </c>
      <c r="X1047" s="112" t="n">
        <v>45100</v>
      </c>
      <c r="Y1047" s="65" t="str">
        <f aca="false">IF(I1047="","No SIC",IFERROR(VLOOKUP(I1047,Ref!$A$2:$B$65,2,FALSE()),"Unclassified"))</f>
        <v>Wholesale Trade - Durable Goods</v>
      </c>
      <c r="Z1047" s="65" t="str">
        <f aca="false">IF(T1047="","",IF(T1047&lt;12,"Daily","Weekly"))</f>
        <v>Weekly</v>
      </c>
      <c r="AA1047" s="65" t="n">
        <f aca="false">IF(T1047="",0,IF(T1047&lt;12,T1047*Controls!$B$29,T1047*5))</f>
        <v>150</v>
      </c>
      <c r="AB1047" s="65" t="n">
        <f aca="false">IF(E1047="",0,NETWORKDAYS(E1047,Controls!$B$36,Ref!$K$2:$K$42))</f>
        <v>22</v>
      </c>
      <c r="AC1047" s="65" t="n">
        <f aca="false">IF(AND(AA1047&gt;0,AB1047&gt;=Controls!$B$39*AA1047),1,0)</f>
        <v>0</v>
      </c>
      <c r="AD1047" s="65" t="n">
        <f aca="false">IF(AND(E1047&lt;&gt;"",E1047&gt;=Controls!$B$37,E1047&lt;=Controls!$B$38),1,0)</f>
        <v>1</v>
      </c>
      <c r="AE1047" s="65" t="n">
        <f aca="false">IF(IFERROR(VLOOKUP(D1047,Controls!$A$64:$E$74,2,FALSE()),"No")="Yes",1,0)</f>
        <v>0</v>
      </c>
      <c r="AF1047" s="65" t="n">
        <f aca="false">IF(IFERROR(VLOOKUP(D1047,Controls!$A$64:$E$74,3,FALSE()),"No")="Yes",1,0)</f>
        <v>0</v>
      </c>
      <c r="AG1047" s="65" t="n">
        <f aca="false">IF(IFERROR(VLOOKUP(D1047,Controls!$A$64:$E$74,4,FALSE()),"No")="Yes",1,0)</f>
        <v>0</v>
      </c>
      <c r="AH1047" s="65" t="n">
        <f aca="false">IF(IFERROR(VLOOKUP(D1047,Controls!$A$64:$E$74,5,FALSE()),"No")="Yes",1,0)</f>
        <v>1</v>
      </c>
      <c r="AI1047" s="65" t="n">
        <f aca="false">IF(ISNUMBER(MATCH(D1047,Controls!$A$64:$A$74,0)),1,0)</f>
        <v>1</v>
      </c>
      <c r="AJ1047" s="65" t="n">
        <f aca="false">Q1047-N1047</f>
        <v>-29934.83</v>
      </c>
      <c r="AK1047" s="65" t="n">
        <f aca="false">IF(AE1047=1,MAX(0,N1047-Q1047),0)</f>
        <v>0</v>
      </c>
      <c r="AL1047" s="65" t="n">
        <f aca="false">IF(OR(V1047="",V1047=0),0,N1047/V1047)</f>
        <v>0.332664076575849</v>
      </c>
      <c r="AM1047" s="65" t="n">
        <f aca="false">IF(OR(V1047="",V1047=0),0,1)</f>
        <v>1</v>
      </c>
      <c r="AN1047" s="65" t="n">
        <f aca="false">IF(OR(E1047="",F1047=""),0,NETWORKDAYS(E1047,F1047,Ref!$K$2:$K$42))</f>
        <v>15</v>
      </c>
      <c r="AO1047" s="65" t="n">
        <f aca="false">IF(L1047="Renewal",1,0)</f>
        <v>0</v>
      </c>
      <c r="AP1047" s="65" t="n">
        <f aca="false">AC1047*AD1047</f>
        <v>0</v>
      </c>
      <c r="AQ1047" s="65" t="n">
        <f aca="false">IF(AND(G1047&lt;&gt;"",'Historical Score'!$C$6&lt;&gt;""),IF(G1047='Historical Score'!$C$6,1,0),0)</f>
        <v>0</v>
      </c>
      <c r="AR1047" s="65" t="n">
        <f aca="false">IF(AND(L1047&lt;&gt;"",'Historical Score'!$C$5&lt;&gt;""),IF(L1047='Historical Score'!$C$5,1,0),0)</f>
        <v>1</v>
      </c>
      <c r="AS1047" s="65" t="n">
        <f aca="false">IF(AND(Y1047&lt;&gt;"",'Historical Score'!$C$7&lt;&gt;""),IF(Y1047='Historical Score'!$C$7,1,0),0)</f>
        <v>0</v>
      </c>
      <c r="AT1047" s="65" t="n">
        <f aca="false">IF(AND(K1047&lt;&gt;"",'Historical Score'!$C$8&lt;&gt;""),IF(K1047='Historical Score'!$C$8,1,0),0)</f>
        <v>0</v>
      </c>
      <c r="AU1047" s="65" t="n">
        <f aca="false">IF(AND(J1047&lt;&gt;"",'Historical Score'!$C$9&lt;&gt;""),IF(J1047='Historical Score'!$C$9,1,0),0)</f>
        <v>0</v>
      </c>
      <c r="AV1047" s="65" t="n">
        <f aca="false">AR1047*AS1047*AQ1047</f>
        <v>0</v>
      </c>
      <c r="AW1047" s="65" t="n">
        <f aca="false">AR1047*AT1047*AQ1047</f>
        <v>0</v>
      </c>
      <c r="AX1047" s="65" t="n">
        <f aca="false">AR1047*AS1047</f>
        <v>0</v>
      </c>
      <c r="AY1047" s="65" t="n">
        <f aca="false">AR1047*AT1047</f>
        <v>0</v>
      </c>
      <c r="AZ1047" s="65" t="n">
        <f aca="false">AR1047*AQ1047</f>
        <v>0</v>
      </c>
      <c r="BA1047" s="65" t="n">
        <f aca="false">AR1047</f>
        <v>1</v>
      </c>
      <c r="BB1047" s="65" t="n">
        <f aca="false">1</f>
        <v>1</v>
      </c>
      <c r="BC1047" s="65" t="n">
        <f aca="false">IF(AV1047=1,1,IF(AW1047=1,2,IF(AX1047=1,3,IF(AY1047=1,4,IF(AZ1047=1,5,IF(BA1047=1,6,7))))))</f>
        <v>6</v>
      </c>
      <c r="BD1047" s="65" t="n">
        <f aca="false">IF(AD1047=1,CHOOSE('Historical Score'!$C$29,AV1047,AW1047,AX1047,AY1047,AZ1047,BA1047,BB1047),0)</f>
        <v>0</v>
      </c>
      <c r="BE1047" s="65" t="str">
        <f aca="false">IF(BD1047=1,COUNTIF($BD$2:BD1047,1),"")</f>
        <v/>
      </c>
    </row>
    <row r="1048" customFormat="false" ht="15" hidden="false" customHeight="false" outlineLevel="0" collapsed="false">
      <c r="A1048" s="65" t="s">
        <v>3114</v>
      </c>
      <c r="B1048" s="65" t="s">
        <v>2411</v>
      </c>
      <c r="C1048" s="65" t="s">
        <v>2411</v>
      </c>
      <c r="D1048" s="65" t="s">
        <v>295</v>
      </c>
      <c r="E1048" s="112" t="n">
        <v>46230</v>
      </c>
      <c r="F1048" s="112" t="n">
        <v>46248</v>
      </c>
      <c r="G1048" s="65" t="n">
        <v>3</v>
      </c>
      <c r="H1048" s="65" t="s">
        <v>568</v>
      </c>
      <c r="I1048" s="65" t="s">
        <v>569</v>
      </c>
      <c r="J1048" s="65" t="s">
        <v>350</v>
      </c>
      <c r="K1048" s="65" t="s">
        <v>55</v>
      </c>
      <c r="L1048" s="65" t="s">
        <v>320</v>
      </c>
      <c r="M1048" s="113" t="n">
        <v>1.49</v>
      </c>
      <c r="N1048" s="114" t="n">
        <v>45000</v>
      </c>
      <c r="O1048" s="114" t="n">
        <v>6300</v>
      </c>
      <c r="P1048" s="114" t="n">
        <v>67050</v>
      </c>
      <c r="Q1048" s="114" t="n">
        <v>7179.87</v>
      </c>
      <c r="R1048" s="114" t="n">
        <v>59870.13</v>
      </c>
      <c r="S1048" s="115" t="n">
        <v>0.107082326621924</v>
      </c>
      <c r="T1048" s="65" t="n">
        <v>28</v>
      </c>
      <c r="U1048" s="65" t="n">
        <v>0</v>
      </c>
      <c r="V1048" s="65" t="n">
        <v>296382.23</v>
      </c>
      <c r="W1048" s="115" t="n">
        <v>0.0323</v>
      </c>
      <c r="X1048" s="112" t="n">
        <v>45547</v>
      </c>
      <c r="Y1048" s="65" t="str">
        <f aca="false">IF(I1048="","No SIC",IFERROR(VLOOKUP(I1048,Ref!$A$2:$B$65,2,FALSE()),"Unclassified"))</f>
        <v>General Merchandise Stores</v>
      </c>
      <c r="Z1048" s="65" t="str">
        <f aca="false">IF(T1048="","",IF(T1048&lt;12,"Daily","Weekly"))</f>
        <v>Weekly</v>
      </c>
      <c r="AA1048" s="65" t="n">
        <f aca="false">IF(T1048="",0,IF(T1048&lt;12,T1048*Controls!$B$29,T1048*5))</f>
        <v>140</v>
      </c>
      <c r="AB1048" s="65" t="n">
        <f aca="false">IF(E1048="",0,NETWORKDAYS(E1048,Controls!$B$36,Ref!$K$2:$K$42))</f>
        <v>22</v>
      </c>
      <c r="AC1048" s="65" t="n">
        <f aca="false">IF(AND(AA1048&gt;0,AB1048&gt;=Controls!$B$39*AA1048),1,0)</f>
        <v>0</v>
      </c>
      <c r="AD1048" s="65" t="n">
        <f aca="false">IF(AND(E1048&lt;&gt;"",E1048&gt;=Controls!$B$37,E1048&lt;=Controls!$B$38),1,0)</f>
        <v>1</v>
      </c>
      <c r="AE1048" s="65" t="n">
        <f aca="false">IF(IFERROR(VLOOKUP(D1048,Controls!$A$64:$E$74,2,FALSE()),"No")="Yes",1,0)</f>
        <v>0</v>
      </c>
      <c r="AF1048" s="65" t="n">
        <f aca="false">IF(IFERROR(VLOOKUP(D1048,Controls!$A$64:$E$74,3,FALSE()),"No")="Yes",1,0)</f>
        <v>0</v>
      </c>
      <c r="AG1048" s="65" t="n">
        <f aca="false">IF(IFERROR(VLOOKUP(D1048,Controls!$A$64:$E$74,4,FALSE()),"No")="Yes",1,0)</f>
        <v>0</v>
      </c>
      <c r="AH1048" s="65" t="n">
        <f aca="false">IF(IFERROR(VLOOKUP(D1048,Controls!$A$64:$E$74,5,FALSE()),"No")="Yes",1,0)</f>
        <v>1</v>
      </c>
      <c r="AI1048" s="65" t="n">
        <f aca="false">IF(ISNUMBER(MATCH(D1048,Controls!$A$64:$A$74,0)),1,0)</f>
        <v>1</v>
      </c>
      <c r="AJ1048" s="65" t="n">
        <f aca="false">Q1048-N1048</f>
        <v>-37820.13</v>
      </c>
      <c r="AK1048" s="65" t="n">
        <f aca="false">IF(AE1048=1,MAX(0,N1048-Q1048),0)</f>
        <v>0</v>
      </c>
      <c r="AL1048" s="65" t="n">
        <f aca="false">IF(OR(V1048="",V1048=0),0,N1048/V1048)</f>
        <v>0.151830965034577</v>
      </c>
      <c r="AM1048" s="65" t="n">
        <f aca="false">IF(OR(V1048="",V1048=0),0,1)</f>
        <v>1</v>
      </c>
      <c r="AN1048" s="65" t="n">
        <f aca="false">IF(OR(E1048="",F1048=""),0,NETWORKDAYS(E1048,F1048,Ref!$K$2:$K$42))</f>
        <v>15</v>
      </c>
      <c r="AO1048" s="65" t="n">
        <f aca="false">IF(L1048="Renewal",1,0)</f>
        <v>1</v>
      </c>
      <c r="AP1048" s="65" t="n">
        <f aca="false">AC1048*AD1048</f>
        <v>0</v>
      </c>
      <c r="AQ1048" s="65" t="n">
        <f aca="false">IF(AND(G1048&lt;&gt;"",'Historical Score'!$C$6&lt;&gt;""),IF(G1048='Historical Score'!$C$6,1,0),0)</f>
        <v>0</v>
      </c>
      <c r="AR1048" s="65" t="n">
        <f aca="false">IF(AND(L1048&lt;&gt;"",'Historical Score'!$C$5&lt;&gt;""),IF(L1048='Historical Score'!$C$5,1,0),0)</f>
        <v>0</v>
      </c>
      <c r="AS1048" s="65" t="n">
        <f aca="false">IF(AND(Y1048&lt;&gt;"",'Historical Score'!$C$7&lt;&gt;""),IF(Y1048='Historical Score'!$C$7,1,0),0)</f>
        <v>0</v>
      </c>
      <c r="AT1048" s="65" t="n">
        <f aca="false">IF(AND(K1048&lt;&gt;"",'Historical Score'!$C$8&lt;&gt;""),IF(K1048='Historical Score'!$C$8,1,0),0)</f>
        <v>1</v>
      </c>
      <c r="AU1048" s="65" t="n">
        <f aca="false">IF(AND(J1048&lt;&gt;"",'Historical Score'!$C$9&lt;&gt;""),IF(J1048='Historical Score'!$C$9,1,0),0)</f>
        <v>0</v>
      </c>
      <c r="AV1048" s="65" t="n">
        <f aca="false">AR1048*AS1048*AQ1048</f>
        <v>0</v>
      </c>
      <c r="AW1048" s="65" t="n">
        <f aca="false">AR1048*AT1048*AQ1048</f>
        <v>0</v>
      </c>
      <c r="AX1048" s="65" t="n">
        <f aca="false">AR1048*AS1048</f>
        <v>0</v>
      </c>
      <c r="AY1048" s="65" t="n">
        <f aca="false">AR1048*AT1048</f>
        <v>0</v>
      </c>
      <c r="AZ1048" s="65" t="n">
        <f aca="false">AR1048*AQ1048</f>
        <v>0</v>
      </c>
      <c r="BA1048" s="65" t="n">
        <f aca="false">AR1048</f>
        <v>0</v>
      </c>
      <c r="BB1048" s="65" t="n">
        <f aca="false">1</f>
        <v>1</v>
      </c>
      <c r="BC1048" s="65" t="n">
        <f aca="false">IF(AV1048=1,1,IF(AW1048=1,2,IF(AX1048=1,3,IF(AY1048=1,4,IF(AZ1048=1,5,IF(BA1048=1,6,7))))))</f>
        <v>7</v>
      </c>
      <c r="BD1048" s="65" t="n">
        <f aca="false">IF(AD1048=1,CHOOSE('Historical Score'!$C$29,AV1048,AW1048,AX1048,AY1048,AZ1048,BA1048,BB1048),0)</f>
        <v>0</v>
      </c>
      <c r="BE1048" s="65" t="str">
        <f aca="false">IF(BD1048=1,COUNTIF($BD$2:BD1048,1),"")</f>
        <v/>
      </c>
    </row>
    <row r="1049" customFormat="false" ht="15" hidden="false" customHeight="false" outlineLevel="0" collapsed="false">
      <c r="A1049" s="65" t="s">
        <v>3115</v>
      </c>
      <c r="B1049" s="65" t="s">
        <v>3116</v>
      </c>
      <c r="C1049" s="65" t="s">
        <v>3116</v>
      </c>
      <c r="D1049" s="65" t="s">
        <v>295</v>
      </c>
      <c r="E1049" s="112" t="n">
        <v>46230</v>
      </c>
      <c r="F1049" s="112" t="n">
        <v>46253</v>
      </c>
      <c r="G1049" s="65" t="n">
        <v>3</v>
      </c>
      <c r="H1049" s="65" t="s">
        <v>500</v>
      </c>
      <c r="I1049" s="65" t="s">
        <v>475</v>
      </c>
      <c r="J1049" s="65" t="s">
        <v>464</v>
      </c>
      <c r="K1049" s="65" t="s">
        <v>394</v>
      </c>
      <c r="L1049" s="65" t="s">
        <v>64</v>
      </c>
      <c r="M1049" s="113" t="n">
        <v>1.35</v>
      </c>
      <c r="N1049" s="114" t="n">
        <v>15000</v>
      </c>
      <c r="O1049" s="114" t="n">
        <v>1050</v>
      </c>
      <c r="P1049" s="114" t="n">
        <v>20250</v>
      </c>
      <c r="Q1049" s="114" t="n">
        <v>3332.98</v>
      </c>
      <c r="R1049" s="114" t="n">
        <v>16917.02</v>
      </c>
      <c r="S1049" s="115" t="n">
        <v>0.164591604938272</v>
      </c>
      <c r="T1049" s="65" t="n">
        <v>2.787</v>
      </c>
      <c r="U1049" s="65" t="n">
        <v>0</v>
      </c>
      <c r="V1049" s="65" t="n">
        <v>71218.75</v>
      </c>
      <c r="W1049" s="115" t="n">
        <v>0.0702</v>
      </c>
      <c r="X1049" s="112" t="n">
        <v>45036</v>
      </c>
      <c r="Y1049" s="65" t="str">
        <f aca="false">IF(I1049="","No SIC",IFERROR(VLOOKUP(I1049,Ref!$A$2:$B$65,2,FALSE()),"Unclassified"))</f>
        <v>Auto Repair &amp; Services</v>
      </c>
      <c r="Z1049" s="65" t="str">
        <f aca="false">IF(T1049="","",IF(T1049&lt;12,"Daily","Weekly"))</f>
        <v>Daily</v>
      </c>
      <c r="AA1049" s="65" t="n">
        <f aca="false">IF(T1049="",0,IF(T1049&lt;12,T1049*Controls!$B$29,T1049*5))</f>
        <v>60.352485</v>
      </c>
      <c r="AB1049" s="65" t="n">
        <f aca="false">IF(E1049="",0,NETWORKDAYS(E1049,Controls!$B$36,Ref!$K$2:$K$42))</f>
        <v>22</v>
      </c>
      <c r="AC1049" s="65" t="n">
        <f aca="false">IF(AND(AA1049&gt;0,AB1049&gt;=Controls!$B$39*AA1049),1,0)</f>
        <v>0</v>
      </c>
      <c r="AD1049" s="65" t="n">
        <f aca="false">IF(AND(E1049&lt;&gt;"",E1049&gt;=Controls!$B$37,E1049&lt;=Controls!$B$38),1,0)</f>
        <v>1</v>
      </c>
      <c r="AE1049" s="65" t="n">
        <f aca="false">IF(IFERROR(VLOOKUP(D1049,Controls!$A$64:$E$74,2,FALSE()),"No")="Yes",1,0)</f>
        <v>0</v>
      </c>
      <c r="AF1049" s="65" t="n">
        <f aca="false">IF(IFERROR(VLOOKUP(D1049,Controls!$A$64:$E$74,3,FALSE()),"No")="Yes",1,0)</f>
        <v>0</v>
      </c>
      <c r="AG1049" s="65" t="n">
        <f aca="false">IF(IFERROR(VLOOKUP(D1049,Controls!$A$64:$E$74,4,FALSE()),"No")="Yes",1,0)</f>
        <v>0</v>
      </c>
      <c r="AH1049" s="65" t="n">
        <f aca="false">IF(IFERROR(VLOOKUP(D1049,Controls!$A$64:$E$74,5,FALSE()),"No")="Yes",1,0)</f>
        <v>1</v>
      </c>
      <c r="AI1049" s="65" t="n">
        <f aca="false">IF(ISNUMBER(MATCH(D1049,Controls!$A$64:$A$74,0)),1,0)</f>
        <v>1</v>
      </c>
      <c r="AJ1049" s="65" t="n">
        <f aca="false">Q1049-N1049</f>
        <v>-11667.02</v>
      </c>
      <c r="AK1049" s="65" t="n">
        <f aca="false">IF(AE1049=1,MAX(0,N1049-Q1049),0)</f>
        <v>0</v>
      </c>
      <c r="AL1049" s="65" t="n">
        <f aca="false">IF(OR(V1049="",V1049=0),0,N1049/V1049)</f>
        <v>0.210618692408951</v>
      </c>
      <c r="AM1049" s="65" t="n">
        <f aca="false">IF(OR(V1049="",V1049=0),0,1)</f>
        <v>1</v>
      </c>
      <c r="AN1049" s="65" t="n">
        <f aca="false">IF(OR(E1049="",F1049=""),0,NETWORKDAYS(E1049,F1049,Ref!$K$2:$K$42))</f>
        <v>18</v>
      </c>
      <c r="AO1049" s="65" t="n">
        <f aca="false">IF(L1049="Renewal",1,0)</f>
        <v>0</v>
      </c>
      <c r="AP1049" s="65" t="n">
        <f aca="false">AC1049*AD1049</f>
        <v>0</v>
      </c>
      <c r="AQ1049" s="65" t="n">
        <f aca="false">IF(AND(G1049&lt;&gt;"",'Historical Score'!$C$6&lt;&gt;""),IF(G1049='Historical Score'!$C$6,1,0),0)</f>
        <v>0</v>
      </c>
      <c r="AR1049" s="65" t="n">
        <f aca="false">IF(AND(L1049&lt;&gt;"",'Historical Score'!$C$5&lt;&gt;""),IF(L1049='Historical Score'!$C$5,1,0),0)</f>
        <v>1</v>
      </c>
      <c r="AS1049" s="65" t="n">
        <f aca="false">IF(AND(Y1049&lt;&gt;"",'Historical Score'!$C$7&lt;&gt;""),IF(Y1049='Historical Score'!$C$7,1,0),0)</f>
        <v>0</v>
      </c>
      <c r="AT1049" s="65" t="n">
        <f aca="false">IF(AND(K1049&lt;&gt;"",'Historical Score'!$C$8&lt;&gt;""),IF(K1049='Historical Score'!$C$8,1,0),0)</f>
        <v>0</v>
      </c>
      <c r="AU1049" s="65" t="n">
        <f aca="false">IF(AND(J1049&lt;&gt;"",'Historical Score'!$C$9&lt;&gt;""),IF(J1049='Historical Score'!$C$9,1,0),0)</f>
        <v>0</v>
      </c>
      <c r="AV1049" s="65" t="n">
        <f aca="false">AR1049*AS1049*AQ1049</f>
        <v>0</v>
      </c>
      <c r="AW1049" s="65" t="n">
        <f aca="false">AR1049*AT1049*AQ1049</f>
        <v>0</v>
      </c>
      <c r="AX1049" s="65" t="n">
        <f aca="false">AR1049*AS1049</f>
        <v>0</v>
      </c>
      <c r="AY1049" s="65" t="n">
        <f aca="false">AR1049*AT1049</f>
        <v>0</v>
      </c>
      <c r="AZ1049" s="65" t="n">
        <f aca="false">AR1049*AQ1049</f>
        <v>0</v>
      </c>
      <c r="BA1049" s="65" t="n">
        <f aca="false">AR1049</f>
        <v>1</v>
      </c>
      <c r="BB1049" s="65" t="n">
        <f aca="false">1</f>
        <v>1</v>
      </c>
      <c r="BC1049" s="65" t="n">
        <f aca="false">IF(AV1049=1,1,IF(AW1049=1,2,IF(AX1049=1,3,IF(AY1049=1,4,IF(AZ1049=1,5,IF(BA1049=1,6,7))))))</f>
        <v>6</v>
      </c>
      <c r="BD1049" s="65" t="n">
        <f aca="false">IF(AD1049=1,CHOOSE('Historical Score'!$C$29,AV1049,AW1049,AX1049,AY1049,AZ1049,BA1049,BB1049),0)</f>
        <v>0</v>
      </c>
      <c r="BE1049" s="65" t="str">
        <f aca="false">IF(BD1049=1,COUNTIF($BD$2:BD1049,1),"")</f>
        <v/>
      </c>
    </row>
    <row r="1050" customFormat="false" ht="15" hidden="false" customHeight="false" outlineLevel="0" collapsed="false">
      <c r="A1050" s="65" t="s">
        <v>3117</v>
      </c>
      <c r="B1050" s="65" t="s">
        <v>1553</v>
      </c>
      <c r="C1050" s="65" t="s">
        <v>1553</v>
      </c>
      <c r="D1050" s="65" t="s">
        <v>295</v>
      </c>
      <c r="E1050" s="112" t="n">
        <v>46231</v>
      </c>
      <c r="F1050" s="112" t="n">
        <v>46248</v>
      </c>
      <c r="G1050" s="65" t="n">
        <v>3</v>
      </c>
      <c r="H1050" s="65" t="s">
        <v>568</v>
      </c>
      <c r="I1050" s="65" t="s">
        <v>569</v>
      </c>
      <c r="J1050" s="65" t="s">
        <v>61</v>
      </c>
      <c r="K1050" s="65" t="s">
        <v>538</v>
      </c>
      <c r="L1050" s="65" t="s">
        <v>320</v>
      </c>
      <c r="M1050" s="113" t="n">
        <v>1.46</v>
      </c>
      <c r="N1050" s="114" t="n">
        <v>17000</v>
      </c>
      <c r="O1050" s="114" t="n">
        <v>2125</v>
      </c>
      <c r="P1050" s="114" t="n">
        <v>24820</v>
      </c>
      <c r="Q1050" s="114" t="n">
        <v>3723.63</v>
      </c>
      <c r="R1050" s="114" t="n">
        <v>21096.37</v>
      </c>
      <c r="S1050" s="115" t="n">
        <v>0.150025382755842</v>
      </c>
      <c r="T1050" s="65" t="n">
        <v>20</v>
      </c>
      <c r="U1050" s="65" t="n">
        <v>0</v>
      </c>
      <c r="V1050" s="65" t="n">
        <v>19491.45</v>
      </c>
      <c r="W1050" s="115" t="n">
        <v>0.2574</v>
      </c>
      <c r="X1050" s="112" t="n">
        <v>44356</v>
      </c>
      <c r="Y1050" s="65" t="str">
        <f aca="false">IF(I1050="","No SIC",IFERROR(VLOOKUP(I1050,Ref!$A$2:$B$65,2,FALSE()),"Unclassified"))</f>
        <v>General Merchandise Stores</v>
      </c>
      <c r="Z1050" s="65" t="str">
        <f aca="false">IF(T1050="","",IF(T1050&lt;12,"Daily","Weekly"))</f>
        <v>Weekly</v>
      </c>
      <c r="AA1050" s="65" t="n">
        <f aca="false">IF(T1050="",0,IF(T1050&lt;12,T1050*Controls!$B$29,T1050*5))</f>
        <v>100</v>
      </c>
      <c r="AB1050" s="65" t="n">
        <f aca="false">IF(E1050="",0,NETWORKDAYS(E1050,Controls!$B$36,Ref!$K$2:$K$42))</f>
        <v>21</v>
      </c>
      <c r="AC1050" s="65" t="n">
        <f aca="false">IF(AND(AA1050&gt;0,AB1050&gt;=Controls!$B$39*AA1050),1,0)</f>
        <v>0</v>
      </c>
      <c r="AD1050" s="65" t="n">
        <f aca="false">IF(AND(E1050&lt;&gt;"",E1050&gt;=Controls!$B$37,E1050&lt;=Controls!$B$38),1,0)</f>
        <v>1</v>
      </c>
      <c r="AE1050" s="65" t="n">
        <f aca="false">IF(IFERROR(VLOOKUP(D1050,Controls!$A$64:$E$74,2,FALSE()),"No")="Yes",1,0)</f>
        <v>0</v>
      </c>
      <c r="AF1050" s="65" t="n">
        <f aca="false">IF(IFERROR(VLOOKUP(D1050,Controls!$A$64:$E$74,3,FALSE()),"No")="Yes",1,0)</f>
        <v>0</v>
      </c>
      <c r="AG1050" s="65" t="n">
        <f aca="false">IF(IFERROR(VLOOKUP(D1050,Controls!$A$64:$E$74,4,FALSE()),"No")="Yes",1,0)</f>
        <v>0</v>
      </c>
      <c r="AH1050" s="65" t="n">
        <f aca="false">IF(IFERROR(VLOOKUP(D1050,Controls!$A$64:$E$74,5,FALSE()),"No")="Yes",1,0)</f>
        <v>1</v>
      </c>
      <c r="AI1050" s="65" t="n">
        <f aca="false">IF(ISNUMBER(MATCH(D1050,Controls!$A$64:$A$74,0)),1,0)</f>
        <v>1</v>
      </c>
      <c r="AJ1050" s="65" t="n">
        <f aca="false">Q1050-N1050</f>
        <v>-13276.37</v>
      </c>
      <c r="AK1050" s="65" t="n">
        <f aca="false">IF(AE1050=1,MAX(0,N1050-Q1050),0)</f>
        <v>0</v>
      </c>
      <c r="AL1050" s="65" t="n">
        <f aca="false">IF(OR(V1050="",V1050=0),0,N1050/V1050)</f>
        <v>0.872177287990375</v>
      </c>
      <c r="AM1050" s="65" t="n">
        <f aca="false">IF(OR(V1050="",V1050=0),0,1)</f>
        <v>1</v>
      </c>
      <c r="AN1050" s="65" t="n">
        <f aca="false">IF(OR(E1050="",F1050=""),0,NETWORKDAYS(E1050,F1050,Ref!$K$2:$K$42))</f>
        <v>14</v>
      </c>
      <c r="AO1050" s="65" t="n">
        <f aca="false">IF(L1050="Renewal",1,0)</f>
        <v>1</v>
      </c>
      <c r="AP1050" s="65" t="n">
        <f aca="false">AC1050*AD1050</f>
        <v>0</v>
      </c>
      <c r="AQ1050" s="65" t="n">
        <f aca="false">IF(AND(G1050&lt;&gt;"",'Historical Score'!$C$6&lt;&gt;""),IF(G1050='Historical Score'!$C$6,1,0),0)</f>
        <v>0</v>
      </c>
      <c r="AR1050" s="65" t="n">
        <f aca="false">IF(AND(L1050&lt;&gt;"",'Historical Score'!$C$5&lt;&gt;""),IF(L1050='Historical Score'!$C$5,1,0),0)</f>
        <v>0</v>
      </c>
      <c r="AS1050" s="65" t="n">
        <f aca="false">IF(AND(Y1050&lt;&gt;"",'Historical Score'!$C$7&lt;&gt;""),IF(Y1050='Historical Score'!$C$7,1,0),0)</f>
        <v>0</v>
      </c>
      <c r="AT1050" s="65" t="n">
        <f aca="false">IF(AND(K1050&lt;&gt;"",'Historical Score'!$C$8&lt;&gt;""),IF(K1050='Historical Score'!$C$8,1,0),0)</f>
        <v>0</v>
      </c>
      <c r="AU1050" s="65" t="n">
        <f aca="false">IF(AND(J1050&lt;&gt;"",'Historical Score'!$C$9&lt;&gt;""),IF(J1050='Historical Score'!$C$9,1,0),0)</f>
        <v>1</v>
      </c>
      <c r="AV1050" s="65" t="n">
        <f aca="false">AR1050*AS1050*AQ1050</f>
        <v>0</v>
      </c>
      <c r="AW1050" s="65" t="n">
        <f aca="false">AR1050*AT1050*AQ1050</f>
        <v>0</v>
      </c>
      <c r="AX1050" s="65" t="n">
        <f aca="false">AR1050*AS1050</f>
        <v>0</v>
      </c>
      <c r="AY1050" s="65" t="n">
        <f aca="false">AR1050*AT1050</f>
        <v>0</v>
      </c>
      <c r="AZ1050" s="65" t="n">
        <f aca="false">AR1050*AQ1050</f>
        <v>0</v>
      </c>
      <c r="BA1050" s="65" t="n">
        <f aca="false">AR1050</f>
        <v>0</v>
      </c>
      <c r="BB1050" s="65" t="n">
        <f aca="false">1</f>
        <v>1</v>
      </c>
      <c r="BC1050" s="65" t="n">
        <f aca="false">IF(AV1050=1,1,IF(AW1050=1,2,IF(AX1050=1,3,IF(AY1050=1,4,IF(AZ1050=1,5,IF(BA1050=1,6,7))))))</f>
        <v>7</v>
      </c>
      <c r="BD1050" s="65" t="n">
        <f aca="false">IF(AD1050=1,CHOOSE('Historical Score'!$C$29,AV1050,AW1050,AX1050,AY1050,AZ1050,BA1050,BB1050),0)</f>
        <v>0</v>
      </c>
      <c r="BE1050" s="65" t="str">
        <f aca="false">IF(BD1050=1,COUNTIF($BD$2:BD1050,1),"")</f>
        <v/>
      </c>
    </row>
    <row r="1051" customFormat="false" ht="15" hidden="false" customHeight="false" outlineLevel="0" collapsed="false">
      <c r="A1051" s="65" t="s">
        <v>3118</v>
      </c>
      <c r="B1051" s="65" t="s">
        <v>1732</v>
      </c>
      <c r="C1051" s="65" t="s">
        <v>1732</v>
      </c>
      <c r="D1051" s="65" t="s">
        <v>295</v>
      </c>
      <c r="E1051" s="112" t="n">
        <v>46231</v>
      </c>
      <c r="F1051" s="112" t="n">
        <v>46253</v>
      </c>
      <c r="G1051" s="65" t="n">
        <v>3</v>
      </c>
      <c r="H1051" s="65" t="s">
        <v>463</v>
      </c>
      <c r="I1051" s="65" t="s">
        <v>419</v>
      </c>
      <c r="J1051" s="65" t="s">
        <v>682</v>
      </c>
      <c r="K1051" s="65" t="s">
        <v>394</v>
      </c>
      <c r="L1051" s="65" t="s">
        <v>320</v>
      </c>
      <c r="M1051" s="113" t="n">
        <v>1.49</v>
      </c>
      <c r="N1051" s="114" t="n">
        <v>35000</v>
      </c>
      <c r="O1051" s="114" t="n">
        <v>4900</v>
      </c>
      <c r="P1051" s="114" t="n">
        <v>52150</v>
      </c>
      <c r="Q1051" s="114" t="n">
        <v>6016.8</v>
      </c>
      <c r="R1051" s="114" t="n">
        <v>46133.2</v>
      </c>
      <c r="S1051" s="115" t="n">
        <v>0.115374880153404</v>
      </c>
      <c r="T1051" s="65" t="n">
        <v>4.262</v>
      </c>
      <c r="U1051" s="65" t="n">
        <v>1</v>
      </c>
      <c r="V1051" s="65" t="n">
        <v>56609.08</v>
      </c>
      <c r="W1051" s="115" t="n">
        <v>0.1488</v>
      </c>
      <c r="X1051" s="112" t="n">
        <v>42223</v>
      </c>
      <c r="Y1051" s="65" t="str">
        <f aca="false">IF(I1051="","No SIC",IFERROR(VLOOKUP(I1051,Ref!$A$2:$B$65,2,FALSE()),"Unclassified"))</f>
        <v>Business Services</v>
      </c>
      <c r="Z1051" s="65" t="str">
        <f aca="false">IF(T1051="","",IF(T1051&lt;12,"Daily","Weekly"))</f>
        <v>Daily</v>
      </c>
      <c r="AA1051" s="65" t="n">
        <f aca="false">IF(T1051="",0,IF(T1051&lt;12,T1051*Controls!$B$29,T1051*5))</f>
        <v>92.29361</v>
      </c>
      <c r="AB1051" s="65" t="n">
        <f aca="false">IF(E1051="",0,NETWORKDAYS(E1051,Controls!$B$36,Ref!$K$2:$K$42))</f>
        <v>21</v>
      </c>
      <c r="AC1051" s="65" t="n">
        <f aca="false">IF(AND(AA1051&gt;0,AB1051&gt;=Controls!$B$39*AA1051),1,0)</f>
        <v>0</v>
      </c>
      <c r="AD1051" s="65" t="n">
        <f aca="false">IF(AND(E1051&lt;&gt;"",E1051&gt;=Controls!$B$37,E1051&lt;=Controls!$B$38),1,0)</f>
        <v>1</v>
      </c>
      <c r="AE1051" s="65" t="n">
        <f aca="false">IF(IFERROR(VLOOKUP(D1051,Controls!$A$64:$E$74,2,FALSE()),"No")="Yes",1,0)</f>
        <v>0</v>
      </c>
      <c r="AF1051" s="65" t="n">
        <f aca="false">IF(IFERROR(VLOOKUP(D1051,Controls!$A$64:$E$74,3,FALSE()),"No")="Yes",1,0)</f>
        <v>0</v>
      </c>
      <c r="AG1051" s="65" t="n">
        <f aca="false">IF(IFERROR(VLOOKUP(D1051,Controls!$A$64:$E$74,4,FALSE()),"No")="Yes",1,0)</f>
        <v>0</v>
      </c>
      <c r="AH1051" s="65" t="n">
        <f aca="false">IF(IFERROR(VLOOKUP(D1051,Controls!$A$64:$E$74,5,FALSE()),"No")="Yes",1,0)</f>
        <v>1</v>
      </c>
      <c r="AI1051" s="65" t="n">
        <f aca="false">IF(ISNUMBER(MATCH(D1051,Controls!$A$64:$A$74,0)),1,0)</f>
        <v>1</v>
      </c>
      <c r="AJ1051" s="65" t="n">
        <f aca="false">Q1051-N1051</f>
        <v>-28983.2</v>
      </c>
      <c r="AK1051" s="65" t="n">
        <f aca="false">IF(AE1051=1,MAX(0,N1051-Q1051),0)</f>
        <v>0</v>
      </c>
      <c r="AL1051" s="65" t="n">
        <f aca="false">IF(OR(V1051="",V1051=0),0,N1051/V1051)</f>
        <v>0.618275372078119</v>
      </c>
      <c r="AM1051" s="65" t="n">
        <f aca="false">IF(OR(V1051="",V1051=0),0,1)</f>
        <v>1</v>
      </c>
      <c r="AN1051" s="65" t="n">
        <f aca="false">IF(OR(E1051="",F1051=""),0,NETWORKDAYS(E1051,F1051,Ref!$K$2:$K$42))</f>
        <v>17</v>
      </c>
      <c r="AO1051" s="65" t="n">
        <f aca="false">IF(L1051="Renewal",1,0)</f>
        <v>1</v>
      </c>
      <c r="AP1051" s="65" t="n">
        <f aca="false">AC1051*AD1051</f>
        <v>0</v>
      </c>
      <c r="AQ1051" s="65" t="n">
        <f aca="false">IF(AND(G1051&lt;&gt;"",'Historical Score'!$C$6&lt;&gt;""),IF(G1051='Historical Score'!$C$6,1,0),0)</f>
        <v>0</v>
      </c>
      <c r="AR1051" s="65" t="n">
        <f aca="false">IF(AND(L1051&lt;&gt;"",'Historical Score'!$C$5&lt;&gt;""),IF(L1051='Historical Score'!$C$5,1,0),0)</f>
        <v>0</v>
      </c>
      <c r="AS1051" s="65" t="n">
        <f aca="false">IF(AND(Y1051&lt;&gt;"",'Historical Score'!$C$7&lt;&gt;""),IF(Y1051='Historical Score'!$C$7,1,0),0)</f>
        <v>0</v>
      </c>
      <c r="AT1051" s="65" t="n">
        <f aca="false">IF(AND(K1051&lt;&gt;"",'Historical Score'!$C$8&lt;&gt;""),IF(K1051='Historical Score'!$C$8,1,0),0)</f>
        <v>0</v>
      </c>
      <c r="AU1051" s="65" t="n">
        <f aca="false">IF(AND(J1051&lt;&gt;"",'Historical Score'!$C$9&lt;&gt;""),IF(J1051='Historical Score'!$C$9,1,0),0)</f>
        <v>0</v>
      </c>
      <c r="AV1051" s="65" t="n">
        <f aca="false">AR1051*AS1051*AQ1051</f>
        <v>0</v>
      </c>
      <c r="AW1051" s="65" t="n">
        <f aca="false">AR1051*AT1051*AQ1051</f>
        <v>0</v>
      </c>
      <c r="AX1051" s="65" t="n">
        <f aca="false">AR1051*AS1051</f>
        <v>0</v>
      </c>
      <c r="AY1051" s="65" t="n">
        <f aca="false">AR1051*AT1051</f>
        <v>0</v>
      </c>
      <c r="AZ1051" s="65" t="n">
        <f aca="false">AR1051*AQ1051</f>
        <v>0</v>
      </c>
      <c r="BA1051" s="65" t="n">
        <f aca="false">AR1051</f>
        <v>0</v>
      </c>
      <c r="BB1051" s="65" t="n">
        <f aca="false">1</f>
        <v>1</v>
      </c>
      <c r="BC1051" s="65" t="n">
        <f aca="false">IF(AV1051=1,1,IF(AW1051=1,2,IF(AX1051=1,3,IF(AY1051=1,4,IF(AZ1051=1,5,IF(BA1051=1,6,7))))))</f>
        <v>7</v>
      </c>
      <c r="BD1051" s="65" t="n">
        <f aca="false">IF(AD1051=1,CHOOSE('Historical Score'!$C$29,AV1051,AW1051,AX1051,AY1051,AZ1051,BA1051,BB1051),0)</f>
        <v>0</v>
      </c>
      <c r="BE1051" s="65" t="str">
        <f aca="false">IF(BD1051=1,COUNTIF($BD$2:BD1051,1),"")</f>
        <v/>
      </c>
    </row>
    <row r="1052" customFormat="false" ht="15" hidden="false" customHeight="false" outlineLevel="0" collapsed="false">
      <c r="A1052" s="65" t="s">
        <v>3119</v>
      </c>
      <c r="B1052" s="65" t="s">
        <v>3120</v>
      </c>
      <c r="C1052" s="65" t="s">
        <v>3121</v>
      </c>
      <c r="D1052" s="65" t="s">
        <v>295</v>
      </c>
      <c r="E1052" s="112" t="n">
        <v>46231</v>
      </c>
      <c r="F1052" s="112" t="n">
        <v>46253</v>
      </c>
      <c r="G1052" s="65" t="n">
        <v>3</v>
      </c>
      <c r="H1052" s="65" t="s">
        <v>3122</v>
      </c>
      <c r="I1052" s="65" t="s">
        <v>679</v>
      </c>
      <c r="J1052" s="65" t="s">
        <v>399</v>
      </c>
      <c r="K1052" s="65" t="s">
        <v>581</v>
      </c>
      <c r="L1052" s="65" t="s">
        <v>64</v>
      </c>
      <c r="M1052" s="113" t="n">
        <v>1.49</v>
      </c>
      <c r="N1052" s="114" t="n">
        <v>20000</v>
      </c>
      <c r="O1052" s="114" t="n">
        <v>2800</v>
      </c>
      <c r="P1052" s="114" t="n">
        <v>29800</v>
      </c>
      <c r="Q1052" s="114" t="n">
        <v>4635.54</v>
      </c>
      <c r="R1052" s="114" t="n">
        <v>25164.46</v>
      </c>
      <c r="S1052" s="115" t="n">
        <v>0.155555033557047</v>
      </c>
      <c r="T1052" s="65" t="n">
        <v>2.951</v>
      </c>
      <c r="U1052" s="65" t="n">
        <v>0</v>
      </c>
      <c r="V1052" s="65" t="n">
        <v>25516.76</v>
      </c>
      <c r="W1052" s="115" t="n">
        <v>0.2725</v>
      </c>
      <c r="X1052" s="112" t="n">
        <v>37147</v>
      </c>
      <c r="Y1052" s="65" t="str">
        <f aca="false">IF(I1052="","No SIC",IFERROR(VLOOKUP(I1052,Ref!$A$2:$B$65,2,FALSE()),"Unclassified"))</f>
        <v>Amusement &amp; Recreation Services</v>
      </c>
      <c r="Z1052" s="65" t="str">
        <f aca="false">IF(T1052="","",IF(T1052&lt;12,"Daily","Weekly"))</f>
        <v>Daily</v>
      </c>
      <c r="AA1052" s="65" t="n">
        <f aca="false">IF(T1052="",0,IF(T1052&lt;12,T1052*Controls!$B$29,T1052*5))</f>
        <v>63.903905</v>
      </c>
      <c r="AB1052" s="65" t="n">
        <f aca="false">IF(E1052="",0,NETWORKDAYS(E1052,Controls!$B$36,Ref!$K$2:$K$42))</f>
        <v>21</v>
      </c>
      <c r="AC1052" s="65" t="n">
        <f aca="false">IF(AND(AA1052&gt;0,AB1052&gt;=Controls!$B$39*AA1052),1,0)</f>
        <v>0</v>
      </c>
      <c r="AD1052" s="65" t="n">
        <f aca="false">IF(AND(E1052&lt;&gt;"",E1052&gt;=Controls!$B$37,E1052&lt;=Controls!$B$38),1,0)</f>
        <v>1</v>
      </c>
      <c r="AE1052" s="65" t="n">
        <f aca="false">IF(IFERROR(VLOOKUP(D1052,Controls!$A$64:$E$74,2,FALSE()),"No")="Yes",1,0)</f>
        <v>0</v>
      </c>
      <c r="AF1052" s="65" t="n">
        <f aca="false">IF(IFERROR(VLOOKUP(D1052,Controls!$A$64:$E$74,3,FALSE()),"No")="Yes",1,0)</f>
        <v>0</v>
      </c>
      <c r="AG1052" s="65" t="n">
        <f aca="false">IF(IFERROR(VLOOKUP(D1052,Controls!$A$64:$E$74,4,FALSE()),"No")="Yes",1,0)</f>
        <v>0</v>
      </c>
      <c r="AH1052" s="65" t="n">
        <f aca="false">IF(IFERROR(VLOOKUP(D1052,Controls!$A$64:$E$74,5,FALSE()),"No")="Yes",1,0)</f>
        <v>1</v>
      </c>
      <c r="AI1052" s="65" t="n">
        <f aca="false">IF(ISNUMBER(MATCH(D1052,Controls!$A$64:$A$74,0)),1,0)</f>
        <v>1</v>
      </c>
      <c r="AJ1052" s="65" t="n">
        <f aca="false">Q1052-N1052</f>
        <v>-15364.46</v>
      </c>
      <c r="AK1052" s="65" t="n">
        <f aca="false">IF(AE1052=1,MAX(0,N1052-Q1052),0)</f>
        <v>0</v>
      </c>
      <c r="AL1052" s="65" t="n">
        <f aca="false">IF(OR(V1052="",V1052=0),0,N1052/V1052)</f>
        <v>0.783798570037889</v>
      </c>
      <c r="AM1052" s="65" t="n">
        <f aca="false">IF(OR(V1052="",V1052=0),0,1)</f>
        <v>1</v>
      </c>
      <c r="AN1052" s="65" t="n">
        <f aca="false">IF(OR(E1052="",F1052=""),0,NETWORKDAYS(E1052,F1052,Ref!$K$2:$K$42))</f>
        <v>17</v>
      </c>
      <c r="AO1052" s="65" t="n">
        <f aca="false">IF(L1052="Renewal",1,0)</f>
        <v>0</v>
      </c>
      <c r="AP1052" s="65" t="n">
        <f aca="false">AC1052*AD1052</f>
        <v>0</v>
      </c>
      <c r="AQ1052" s="65" t="n">
        <f aca="false">IF(AND(G1052&lt;&gt;"",'Historical Score'!$C$6&lt;&gt;""),IF(G1052='Historical Score'!$C$6,1,0),0)</f>
        <v>0</v>
      </c>
      <c r="AR1052" s="65" t="n">
        <f aca="false">IF(AND(L1052&lt;&gt;"",'Historical Score'!$C$5&lt;&gt;""),IF(L1052='Historical Score'!$C$5,1,0),0)</f>
        <v>1</v>
      </c>
      <c r="AS1052" s="65" t="n">
        <f aca="false">IF(AND(Y1052&lt;&gt;"",'Historical Score'!$C$7&lt;&gt;""),IF(Y1052='Historical Score'!$C$7,1,0),0)</f>
        <v>0</v>
      </c>
      <c r="AT1052" s="65" t="n">
        <f aca="false">IF(AND(K1052&lt;&gt;"",'Historical Score'!$C$8&lt;&gt;""),IF(K1052='Historical Score'!$C$8,1,0),0)</f>
        <v>0</v>
      </c>
      <c r="AU1052" s="65" t="n">
        <f aca="false">IF(AND(J1052&lt;&gt;"",'Historical Score'!$C$9&lt;&gt;""),IF(J1052='Historical Score'!$C$9,1,0),0)</f>
        <v>0</v>
      </c>
      <c r="AV1052" s="65" t="n">
        <f aca="false">AR1052*AS1052*AQ1052</f>
        <v>0</v>
      </c>
      <c r="AW1052" s="65" t="n">
        <f aca="false">AR1052*AT1052*AQ1052</f>
        <v>0</v>
      </c>
      <c r="AX1052" s="65" t="n">
        <f aca="false">AR1052*AS1052</f>
        <v>0</v>
      </c>
      <c r="AY1052" s="65" t="n">
        <f aca="false">AR1052*AT1052</f>
        <v>0</v>
      </c>
      <c r="AZ1052" s="65" t="n">
        <f aca="false">AR1052*AQ1052</f>
        <v>0</v>
      </c>
      <c r="BA1052" s="65" t="n">
        <f aca="false">AR1052</f>
        <v>1</v>
      </c>
      <c r="BB1052" s="65" t="n">
        <f aca="false">1</f>
        <v>1</v>
      </c>
      <c r="BC1052" s="65" t="n">
        <f aca="false">IF(AV1052=1,1,IF(AW1052=1,2,IF(AX1052=1,3,IF(AY1052=1,4,IF(AZ1052=1,5,IF(BA1052=1,6,7))))))</f>
        <v>6</v>
      </c>
      <c r="BD1052" s="65" t="n">
        <f aca="false">IF(AD1052=1,CHOOSE('Historical Score'!$C$29,AV1052,AW1052,AX1052,AY1052,AZ1052,BA1052,BB1052),0)</f>
        <v>0</v>
      </c>
      <c r="BE1052" s="65" t="str">
        <f aca="false">IF(BD1052=1,COUNTIF($BD$2:BD1052,1),"")</f>
        <v/>
      </c>
    </row>
    <row r="1053" customFormat="false" ht="15" hidden="false" customHeight="false" outlineLevel="0" collapsed="false">
      <c r="A1053" s="65" t="s">
        <v>3123</v>
      </c>
      <c r="B1053" s="65" t="s">
        <v>2399</v>
      </c>
      <c r="C1053" s="65" t="s">
        <v>2399</v>
      </c>
      <c r="D1053" s="65" t="s">
        <v>295</v>
      </c>
      <c r="E1053" s="112" t="n">
        <v>46231</v>
      </c>
      <c r="F1053" s="112" t="n">
        <v>46253</v>
      </c>
      <c r="G1053" s="65" t="n">
        <v>3</v>
      </c>
      <c r="H1053" s="65" t="s">
        <v>409</v>
      </c>
      <c r="I1053" s="65" t="s">
        <v>342</v>
      </c>
      <c r="J1053" s="65" t="s">
        <v>373</v>
      </c>
      <c r="K1053" s="65" t="s">
        <v>1963</v>
      </c>
      <c r="L1053" s="65" t="s">
        <v>320</v>
      </c>
      <c r="M1053" s="113" t="n">
        <v>1.49</v>
      </c>
      <c r="N1053" s="114" t="n">
        <v>20000</v>
      </c>
      <c r="O1053" s="114" t="n">
        <v>2800</v>
      </c>
      <c r="P1053" s="114" t="n">
        <v>29800</v>
      </c>
      <c r="Q1053" s="114" t="n">
        <v>4171.44</v>
      </c>
      <c r="R1053" s="114" t="n">
        <v>25628.56</v>
      </c>
      <c r="S1053" s="115" t="n">
        <v>0.139981208053691</v>
      </c>
      <c r="T1053" s="65" t="n">
        <v>3.279</v>
      </c>
      <c r="U1053" s="65" t="n">
        <v>0</v>
      </c>
      <c r="V1053" s="65" t="n">
        <v>32880.33</v>
      </c>
      <c r="W1053" s="115" t="n">
        <v>0.1903</v>
      </c>
      <c r="X1053" s="112" t="n">
        <v>44288</v>
      </c>
      <c r="Y1053" s="65" t="str">
        <f aca="false">IF(I1053="","No SIC",IFERROR(VLOOKUP(I1053,Ref!$A$2:$B$65,2,FALSE()),"Unclassified"))</f>
        <v>Eating &amp; Drinking Places</v>
      </c>
      <c r="Z1053" s="65" t="str">
        <f aca="false">IF(T1053="","",IF(T1053&lt;12,"Daily","Weekly"))</f>
        <v>Daily</v>
      </c>
      <c r="AA1053" s="65" t="n">
        <f aca="false">IF(T1053="",0,IF(T1053&lt;12,T1053*Controls!$B$29,T1053*5))</f>
        <v>71.006745</v>
      </c>
      <c r="AB1053" s="65" t="n">
        <f aca="false">IF(E1053="",0,NETWORKDAYS(E1053,Controls!$B$36,Ref!$K$2:$K$42))</f>
        <v>21</v>
      </c>
      <c r="AC1053" s="65" t="n">
        <f aca="false">IF(AND(AA1053&gt;0,AB1053&gt;=Controls!$B$39*AA1053),1,0)</f>
        <v>0</v>
      </c>
      <c r="AD1053" s="65" t="n">
        <f aca="false">IF(AND(E1053&lt;&gt;"",E1053&gt;=Controls!$B$37,E1053&lt;=Controls!$B$38),1,0)</f>
        <v>1</v>
      </c>
      <c r="AE1053" s="65" t="n">
        <f aca="false">IF(IFERROR(VLOOKUP(D1053,Controls!$A$64:$E$74,2,FALSE()),"No")="Yes",1,0)</f>
        <v>0</v>
      </c>
      <c r="AF1053" s="65" t="n">
        <f aca="false">IF(IFERROR(VLOOKUP(D1053,Controls!$A$64:$E$74,3,FALSE()),"No")="Yes",1,0)</f>
        <v>0</v>
      </c>
      <c r="AG1053" s="65" t="n">
        <f aca="false">IF(IFERROR(VLOOKUP(D1053,Controls!$A$64:$E$74,4,FALSE()),"No")="Yes",1,0)</f>
        <v>0</v>
      </c>
      <c r="AH1053" s="65" t="n">
        <f aca="false">IF(IFERROR(VLOOKUP(D1053,Controls!$A$64:$E$74,5,FALSE()),"No")="Yes",1,0)</f>
        <v>1</v>
      </c>
      <c r="AI1053" s="65" t="n">
        <f aca="false">IF(ISNUMBER(MATCH(D1053,Controls!$A$64:$A$74,0)),1,0)</f>
        <v>1</v>
      </c>
      <c r="AJ1053" s="65" t="n">
        <f aca="false">Q1053-N1053</f>
        <v>-15828.56</v>
      </c>
      <c r="AK1053" s="65" t="n">
        <f aca="false">IF(AE1053=1,MAX(0,N1053-Q1053),0)</f>
        <v>0</v>
      </c>
      <c r="AL1053" s="65" t="n">
        <f aca="false">IF(OR(V1053="",V1053=0),0,N1053/V1053)</f>
        <v>0.608266401219209</v>
      </c>
      <c r="AM1053" s="65" t="n">
        <f aca="false">IF(OR(V1053="",V1053=0),0,1)</f>
        <v>1</v>
      </c>
      <c r="AN1053" s="65" t="n">
        <f aca="false">IF(OR(E1053="",F1053=""),0,NETWORKDAYS(E1053,F1053,Ref!$K$2:$K$42))</f>
        <v>17</v>
      </c>
      <c r="AO1053" s="65" t="n">
        <f aca="false">IF(L1053="Renewal",1,0)</f>
        <v>1</v>
      </c>
      <c r="AP1053" s="65" t="n">
        <f aca="false">AC1053*AD1053</f>
        <v>0</v>
      </c>
      <c r="AQ1053" s="65" t="n">
        <f aca="false">IF(AND(G1053&lt;&gt;"",'Historical Score'!$C$6&lt;&gt;""),IF(G1053='Historical Score'!$C$6,1,0),0)</f>
        <v>0</v>
      </c>
      <c r="AR1053" s="65" t="n">
        <f aca="false">IF(AND(L1053&lt;&gt;"",'Historical Score'!$C$5&lt;&gt;""),IF(L1053='Historical Score'!$C$5,1,0),0)</f>
        <v>0</v>
      </c>
      <c r="AS1053" s="65" t="n">
        <f aca="false">IF(AND(Y1053&lt;&gt;"",'Historical Score'!$C$7&lt;&gt;""),IF(Y1053='Historical Score'!$C$7,1,0),0)</f>
        <v>0</v>
      </c>
      <c r="AT1053" s="65" t="n">
        <f aca="false">IF(AND(K1053&lt;&gt;"",'Historical Score'!$C$8&lt;&gt;""),IF(K1053='Historical Score'!$C$8,1,0),0)</f>
        <v>0</v>
      </c>
      <c r="AU1053" s="65" t="n">
        <f aca="false">IF(AND(J1053&lt;&gt;"",'Historical Score'!$C$9&lt;&gt;""),IF(J1053='Historical Score'!$C$9,1,0),0)</f>
        <v>0</v>
      </c>
      <c r="AV1053" s="65" t="n">
        <f aca="false">AR1053*AS1053*AQ1053</f>
        <v>0</v>
      </c>
      <c r="AW1053" s="65" t="n">
        <f aca="false">AR1053*AT1053*AQ1053</f>
        <v>0</v>
      </c>
      <c r="AX1053" s="65" t="n">
        <f aca="false">AR1053*AS1053</f>
        <v>0</v>
      </c>
      <c r="AY1053" s="65" t="n">
        <f aca="false">AR1053*AT1053</f>
        <v>0</v>
      </c>
      <c r="AZ1053" s="65" t="n">
        <f aca="false">AR1053*AQ1053</f>
        <v>0</v>
      </c>
      <c r="BA1053" s="65" t="n">
        <f aca="false">AR1053</f>
        <v>0</v>
      </c>
      <c r="BB1053" s="65" t="n">
        <f aca="false">1</f>
        <v>1</v>
      </c>
      <c r="BC1053" s="65" t="n">
        <f aca="false">IF(AV1053=1,1,IF(AW1053=1,2,IF(AX1053=1,3,IF(AY1053=1,4,IF(AZ1053=1,5,IF(BA1053=1,6,7))))))</f>
        <v>7</v>
      </c>
      <c r="BD1053" s="65" t="n">
        <f aca="false">IF(AD1053=1,CHOOSE('Historical Score'!$C$29,AV1053,AW1053,AX1053,AY1053,AZ1053,BA1053,BB1053),0)</f>
        <v>0</v>
      </c>
      <c r="BE1053" s="65" t="str">
        <f aca="false">IF(BD1053=1,COUNTIF($BD$2:BD1053,1),"")</f>
        <v/>
      </c>
    </row>
    <row r="1054" customFormat="false" ht="15" hidden="false" customHeight="false" outlineLevel="0" collapsed="false">
      <c r="A1054" s="65" t="s">
        <v>3124</v>
      </c>
      <c r="B1054" s="65" t="s">
        <v>1628</v>
      </c>
      <c r="C1054" s="65" t="s">
        <v>1628</v>
      </c>
      <c r="D1054" s="65" t="s">
        <v>295</v>
      </c>
      <c r="E1054" s="112" t="n">
        <v>46231</v>
      </c>
      <c r="F1054" s="112" t="n">
        <v>46248</v>
      </c>
      <c r="G1054" s="65" t="n">
        <v>3</v>
      </c>
      <c r="H1054" s="65" t="s">
        <v>479</v>
      </c>
      <c r="I1054" s="65" t="s">
        <v>356</v>
      </c>
      <c r="J1054" s="65" t="s">
        <v>732</v>
      </c>
      <c r="K1054" s="65" t="s">
        <v>581</v>
      </c>
      <c r="L1054" s="65" t="s">
        <v>320</v>
      </c>
      <c r="M1054" s="113" t="n">
        <v>1.4</v>
      </c>
      <c r="N1054" s="114" t="n">
        <v>35000</v>
      </c>
      <c r="O1054" s="114" t="n">
        <v>3325</v>
      </c>
      <c r="P1054" s="114" t="n">
        <v>49000</v>
      </c>
      <c r="Q1054" s="114" t="n">
        <v>5253.21</v>
      </c>
      <c r="R1054" s="114" t="n">
        <v>43746.79</v>
      </c>
      <c r="S1054" s="115" t="n">
        <v>0.107208367346939</v>
      </c>
      <c r="T1054" s="65" t="n">
        <v>28</v>
      </c>
      <c r="U1054" s="65" t="n">
        <v>0</v>
      </c>
      <c r="V1054" s="65" t="n">
        <v>99070.63</v>
      </c>
      <c r="W1054" s="115" t="n">
        <v>0.0707</v>
      </c>
      <c r="X1054" s="112" t="n">
        <v>44047</v>
      </c>
      <c r="Y1054" s="65" t="str">
        <f aca="false">IF(I1054="","No SIC",IFERROR(VLOOKUP(I1054,Ref!$A$2:$B$65,2,FALSE()),"Unclassified"))</f>
        <v>Trucking &amp; Warehousing</v>
      </c>
      <c r="Z1054" s="65" t="str">
        <f aca="false">IF(T1054="","",IF(T1054&lt;12,"Daily","Weekly"))</f>
        <v>Weekly</v>
      </c>
      <c r="AA1054" s="65" t="n">
        <f aca="false">IF(T1054="",0,IF(T1054&lt;12,T1054*Controls!$B$29,T1054*5))</f>
        <v>140</v>
      </c>
      <c r="AB1054" s="65" t="n">
        <f aca="false">IF(E1054="",0,NETWORKDAYS(E1054,Controls!$B$36,Ref!$K$2:$K$42))</f>
        <v>21</v>
      </c>
      <c r="AC1054" s="65" t="n">
        <f aca="false">IF(AND(AA1054&gt;0,AB1054&gt;=Controls!$B$39*AA1054),1,0)</f>
        <v>0</v>
      </c>
      <c r="AD1054" s="65" t="n">
        <f aca="false">IF(AND(E1054&lt;&gt;"",E1054&gt;=Controls!$B$37,E1054&lt;=Controls!$B$38),1,0)</f>
        <v>1</v>
      </c>
      <c r="AE1054" s="65" t="n">
        <f aca="false">IF(IFERROR(VLOOKUP(D1054,Controls!$A$64:$E$74,2,FALSE()),"No")="Yes",1,0)</f>
        <v>0</v>
      </c>
      <c r="AF1054" s="65" t="n">
        <f aca="false">IF(IFERROR(VLOOKUP(D1054,Controls!$A$64:$E$74,3,FALSE()),"No")="Yes",1,0)</f>
        <v>0</v>
      </c>
      <c r="AG1054" s="65" t="n">
        <f aca="false">IF(IFERROR(VLOOKUP(D1054,Controls!$A$64:$E$74,4,FALSE()),"No")="Yes",1,0)</f>
        <v>0</v>
      </c>
      <c r="AH1054" s="65" t="n">
        <f aca="false">IF(IFERROR(VLOOKUP(D1054,Controls!$A$64:$E$74,5,FALSE()),"No")="Yes",1,0)</f>
        <v>1</v>
      </c>
      <c r="AI1054" s="65" t="n">
        <f aca="false">IF(ISNUMBER(MATCH(D1054,Controls!$A$64:$A$74,0)),1,0)</f>
        <v>1</v>
      </c>
      <c r="AJ1054" s="65" t="n">
        <f aca="false">Q1054-N1054</f>
        <v>-29746.79</v>
      </c>
      <c r="AK1054" s="65" t="n">
        <f aca="false">IF(AE1054=1,MAX(0,N1054-Q1054),0)</f>
        <v>0</v>
      </c>
      <c r="AL1054" s="65" t="n">
        <f aca="false">IF(OR(V1054="",V1054=0),0,N1054/V1054)</f>
        <v>0.353283309089687</v>
      </c>
      <c r="AM1054" s="65" t="n">
        <f aca="false">IF(OR(V1054="",V1054=0),0,1)</f>
        <v>1</v>
      </c>
      <c r="AN1054" s="65" t="n">
        <f aca="false">IF(OR(E1054="",F1054=""),0,NETWORKDAYS(E1054,F1054,Ref!$K$2:$K$42))</f>
        <v>14</v>
      </c>
      <c r="AO1054" s="65" t="n">
        <f aca="false">IF(L1054="Renewal",1,0)</f>
        <v>1</v>
      </c>
      <c r="AP1054" s="65" t="n">
        <f aca="false">AC1054*AD1054</f>
        <v>0</v>
      </c>
      <c r="AQ1054" s="65" t="n">
        <f aca="false">IF(AND(G1054&lt;&gt;"",'Historical Score'!$C$6&lt;&gt;""),IF(G1054='Historical Score'!$C$6,1,0),0)</f>
        <v>0</v>
      </c>
      <c r="AR1054" s="65" t="n">
        <f aca="false">IF(AND(L1054&lt;&gt;"",'Historical Score'!$C$5&lt;&gt;""),IF(L1054='Historical Score'!$C$5,1,0),0)</f>
        <v>0</v>
      </c>
      <c r="AS1054" s="65" t="n">
        <f aca="false">IF(AND(Y1054&lt;&gt;"",'Historical Score'!$C$7&lt;&gt;""),IF(Y1054='Historical Score'!$C$7,1,0),0)</f>
        <v>0</v>
      </c>
      <c r="AT1054" s="65" t="n">
        <f aca="false">IF(AND(K1054&lt;&gt;"",'Historical Score'!$C$8&lt;&gt;""),IF(K1054='Historical Score'!$C$8,1,0),0)</f>
        <v>0</v>
      </c>
      <c r="AU1054" s="65" t="n">
        <f aca="false">IF(AND(J1054&lt;&gt;"",'Historical Score'!$C$9&lt;&gt;""),IF(J1054='Historical Score'!$C$9,1,0),0)</f>
        <v>0</v>
      </c>
      <c r="AV1054" s="65" t="n">
        <f aca="false">AR1054*AS1054*AQ1054</f>
        <v>0</v>
      </c>
      <c r="AW1054" s="65" t="n">
        <f aca="false">AR1054*AT1054*AQ1054</f>
        <v>0</v>
      </c>
      <c r="AX1054" s="65" t="n">
        <f aca="false">AR1054*AS1054</f>
        <v>0</v>
      </c>
      <c r="AY1054" s="65" t="n">
        <f aca="false">AR1054*AT1054</f>
        <v>0</v>
      </c>
      <c r="AZ1054" s="65" t="n">
        <f aca="false">AR1054*AQ1054</f>
        <v>0</v>
      </c>
      <c r="BA1054" s="65" t="n">
        <f aca="false">AR1054</f>
        <v>0</v>
      </c>
      <c r="BB1054" s="65" t="n">
        <f aca="false">1</f>
        <v>1</v>
      </c>
      <c r="BC1054" s="65" t="n">
        <f aca="false">IF(AV1054=1,1,IF(AW1054=1,2,IF(AX1054=1,3,IF(AY1054=1,4,IF(AZ1054=1,5,IF(BA1054=1,6,7))))))</f>
        <v>7</v>
      </c>
      <c r="BD1054" s="65" t="n">
        <f aca="false">IF(AD1054=1,CHOOSE('Historical Score'!$C$29,AV1054,AW1054,AX1054,AY1054,AZ1054,BA1054,BB1054),0)</f>
        <v>0</v>
      </c>
      <c r="BE1054" s="65" t="str">
        <f aca="false">IF(BD1054=1,COUNTIF($BD$2:BD1054,1),"")</f>
        <v/>
      </c>
    </row>
    <row r="1055" customFormat="false" ht="15" hidden="false" customHeight="false" outlineLevel="0" collapsed="false">
      <c r="A1055" s="65" t="s">
        <v>3125</v>
      </c>
      <c r="B1055" s="65" t="s">
        <v>3126</v>
      </c>
      <c r="C1055" s="65" t="s">
        <v>3127</v>
      </c>
      <c r="D1055" s="65" t="s">
        <v>295</v>
      </c>
      <c r="E1055" s="112" t="n">
        <v>46232</v>
      </c>
      <c r="F1055" s="112" t="n">
        <v>46252</v>
      </c>
      <c r="G1055" s="65" t="n">
        <v>3</v>
      </c>
      <c r="H1055" s="65" t="s">
        <v>3128</v>
      </c>
      <c r="I1055" s="65" t="s">
        <v>970</v>
      </c>
      <c r="J1055" s="65" t="s">
        <v>638</v>
      </c>
      <c r="K1055" s="65" t="s">
        <v>538</v>
      </c>
      <c r="L1055" s="65" t="s">
        <v>320</v>
      </c>
      <c r="M1055" s="113" t="n">
        <v>1.49</v>
      </c>
      <c r="N1055" s="114" t="n">
        <v>300000</v>
      </c>
      <c r="O1055" s="114" t="n">
        <v>42000</v>
      </c>
      <c r="P1055" s="114" t="n">
        <v>447000</v>
      </c>
      <c r="Q1055" s="114" t="n">
        <v>47888.34</v>
      </c>
      <c r="R1055" s="114" t="n">
        <v>399111.66</v>
      </c>
      <c r="S1055" s="115" t="n">
        <v>0.107132751677852</v>
      </c>
      <c r="T1055" s="65" t="n">
        <v>28</v>
      </c>
      <c r="U1055" s="65" t="n">
        <v>0</v>
      </c>
      <c r="V1055" s="65" t="n">
        <v>159987.75</v>
      </c>
      <c r="W1055" s="115" t="n">
        <v>0.3991</v>
      </c>
      <c r="X1055" s="112" t="n">
        <v>43693</v>
      </c>
      <c r="Y1055" s="65" t="str">
        <f aca="false">IF(I1055="","No SIC",IFERROR(VLOOKUP(I1055,Ref!$A$2:$B$65,2,FALSE()),"Unclassified"))</f>
        <v>Industrial Machinery &amp; Equipment</v>
      </c>
      <c r="Z1055" s="65" t="str">
        <f aca="false">IF(T1055="","",IF(T1055&lt;12,"Daily","Weekly"))</f>
        <v>Weekly</v>
      </c>
      <c r="AA1055" s="65" t="n">
        <f aca="false">IF(T1055="",0,IF(T1055&lt;12,T1055*Controls!$B$29,T1055*5))</f>
        <v>140</v>
      </c>
      <c r="AB1055" s="65" t="n">
        <f aca="false">IF(E1055="",0,NETWORKDAYS(E1055,Controls!$B$36,Ref!$K$2:$K$42))</f>
        <v>20</v>
      </c>
      <c r="AC1055" s="65" t="n">
        <f aca="false">IF(AND(AA1055&gt;0,AB1055&gt;=Controls!$B$39*AA1055),1,0)</f>
        <v>0</v>
      </c>
      <c r="AD1055" s="65" t="n">
        <f aca="false">IF(AND(E1055&lt;&gt;"",E1055&gt;=Controls!$B$37,E1055&lt;=Controls!$B$38),1,0)</f>
        <v>1</v>
      </c>
      <c r="AE1055" s="65" t="n">
        <f aca="false">IF(IFERROR(VLOOKUP(D1055,Controls!$A$64:$E$74,2,FALSE()),"No")="Yes",1,0)</f>
        <v>0</v>
      </c>
      <c r="AF1055" s="65" t="n">
        <f aca="false">IF(IFERROR(VLOOKUP(D1055,Controls!$A$64:$E$74,3,FALSE()),"No")="Yes",1,0)</f>
        <v>0</v>
      </c>
      <c r="AG1055" s="65" t="n">
        <f aca="false">IF(IFERROR(VLOOKUP(D1055,Controls!$A$64:$E$74,4,FALSE()),"No")="Yes",1,0)</f>
        <v>0</v>
      </c>
      <c r="AH1055" s="65" t="n">
        <f aca="false">IF(IFERROR(VLOOKUP(D1055,Controls!$A$64:$E$74,5,FALSE()),"No")="Yes",1,0)</f>
        <v>1</v>
      </c>
      <c r="AI1055" s="65" t="n">
        <f aca="false">IF(ISNUMBER(MATCH(D1055,Controls!$A$64:$A$74,0)),1,0)</f>
        <v>1</v>
      </c>
      <c r="AJ1055" s="65" t="n">
        <f aca="false">Q1055-N1055</f>
        <v>-252111.66</v>
      </c>
      <c r="AK1055" s="65" t="n">
        <f aca="false">IF(AE1055=1,MAX(0,N1055-Q1055),0)</f>
        <v>0</v>
      </c>
      <c r="AL1055" s="65" t="n">
        <f aca="false">IF(OR(V1055="",V1055=0),0,N1055/V1055)</f>
        <v>1.87514356567925</v>
      </c>
      <c r="AM1055" s="65" t="n">
        <f aca="false">IF(OR(V1055="",V1055=0),0,1)</f>
        <v>1</v>
      </c>
      <c r="AN1055" s="65" t="n">
        <f aca="false">IF(OR(E1055="",F1055=""),0,NETWORKDAYS(E1055,F1055,Ref!$K$2:$K$42))</f>
        <v>15</v>
      </c>
      <c r="AO1055" s="65" t="n">
        <f aca="false">IF(L1055="Renewal",1,0)</f>
        <v>1</v>
      </c>
      <c r="AP1055" s="65" t="n">
        <f aca="false">AC1055*AD1055</f>
        <v>0</v>
      </c>
      <c r="AQ1055" s="65" t="n">
        <f aca="false">IF(AND(G1055&lt;&gt;"",'Historical Score'!$C$6&lt;&gt;""),IF(G1055='Historical Score'!$C$6,1,0),0)</f>
        <v>0</v>
      </c>
      <c r="AR1055" s="65" t="n">
        <f aca="false">IF(AND(L1055&lt;&gt;"",'Historical Score'!$C$5&lt;&gt;""),IF(L1055='Historical Score'!$C$5,1,0),0)</f>
        <v>0</v>
      </c>
      <c r="AS1055" s="65" t="n">
        <f aca="false">IF(AND(Y1055&lt;&gt;"",'Historical Score'!$C$7&lt;&gt;""),IF(Y1055='Historical Score'!$C$7,1,0),0)</f>
        <v>0</v>
      </c>
      <c r="AT1055" s="65" t="n">
        <f aca="false">IF(AND(K1055&lt;&gt;"",'Historical Score'!$C$8&lt;&gt;""),IF(K1055='Historical Score'!$C$8,1,0),0)</f>
        <v>0</v>
      </c>
      <c r="AU1055" s="65" t="n">
        <f aca="false">IF(AND(J1055&lt;&gt;"",'Historical Score'!$C$9&lt;&gt;""),IF(J1055='Historical Score'!$C$9,1,0),0)</f>
        <v>0</v>
      </c>
      <c r="AV1055" s="65" t="n">
        <f aca="false">AR1055*AS1055*AQ1055</f>
        <v>0</v>
      </c>
      <c r="AW1055" s="65" t="n">
        <f aca="false">AR1055*AT1055*AQ1055</f>
        <v>0</v>
      </c>
      <c r="AX1055" s="65" t="n">
        <f aca="false">AR1055*AS1055</f>
        <v>0</v>
      </c>
      <c r="AY1055" s="65" t="n">
        <f aca="false">AR1055*AT1055</f>
        <v>0</v>
      </c>
      <c r="AZ1055" s="65" t="n">
        <f aca="false">AR1055*AQ1055</f>
        <v>0</v>
      </c>
      <c r="BA1055" s="65" t="n">
        <f aca="false">AR1055</f>
        <v>0</v>
      </c>
      <c r="BB1055" s="65" t="n">
        <f aca="false">1</f>
        <v>1</v>
      </c>
      <c r="BC1055" s="65" t="n">
        <f aca="false">IF(AV1055=1,1,IF(AW1055=1,2,IF(AX1055=1,3,IF(AY1055=1,4,IF(AZ1055=1,5,IF(BA1055=1,6,7))))))</f>
        <v>7</v>
      </c>
      <c r="BD1055" s="65" t="n">
        <f aca="false">IF(AD1055=1,CHOOSE('Historical Score'!$C$29,AV1055,AW1055,AX1055,AY1055,AZ1055,BA1055,BB1055),0)</f>
        <v>0</v>
      </c>
      <c r="BE1055" s="65" t="str">
        <f aca="false">IF(BD1055=1,COUNTIF($BD$2:BD1055,1),"")</f>
        <v/>
      </c>
    </row>
    <row r="1056" customFormat="false" ht="15" hidden="false" customHeight="false" outlineLevel="0" collapsed="false">
      <c r="A1056" s="65" t="s">
        <v>3129</v>
      </c>
      <c r="B1056" s="65" t="s">
        <v>3130</v>
      </c>
      <c r="C1056" s="65" t="s">
        <v>3130</v>
      </c>
      <c r="D1056" s="65" t="s">
        <v>295</v>
      </c>
      <c r="E1056" s="112" t="n">
        <v>46232</v>
      </c>
      <c r="F1056" s="112" t="n">
        <v>46248</v>
      </c>
      <c r="G1056" s="65" t="n">
        <v>3</v>
      </c>
      <c r="H1056" s="65" t="s">
        <v>3131</v>
      </c>
      <c r="I1056" s="65" t="s">
        <v>415</v>
      </c>
      <c r="J1056" s="65" t="s">
        <v>799</v>
      </c>
      <c r="K1056" s="65" t="s">
        <v>55</v>
      </c>
      <c r="L1056" s="65" t="s">
        <v>64</v>
      </c>
      <c r="M1056" s="113" t="n">
        <v>1.47</v>
      </c>
      <c r="N1056" s="114" t="n">
        <v>25000</v>
      </c>
      <c r="O1056" s="114" t="n">
        <v>2750</v>
      </c>
      <c r="P1056" s="114" t="n">
        <v>36750</v>
      </c>
      <c r="Q1056" s="114" t="n">
        <v>3062.4</v>
      </c>
      <c r="R1056" s="114" t="n">
        <v>33687.6</v>
      </c>
      <c r="S1056" s="115" t="n">
        <v>0.083330612244898</v>
      </c>
      <c r="T1056" s="65" t="n">
        <v>24</v>
      </c>
      <c r="U1056" s="65" t="n">
        <v>0</v>
      </c>
      <c r="V1056" s="65" t="n">
        <v>65000</v>
      </c>
      <c r="W1056" s="115" t="n">
        <v>0.1276</v>
      </c>
      <c r="X1056" s="112" t="n">
        <v>42370</v>
      </c>
      <c r="Y1056" s="65" t="str">
        <f aca="false">IF(I1056="","No SIC",IFERROR(VLOOKUP(I1056,Ref!$A$2:$B$65,2,FALSE()),"Unclassified"))</f>
        <v>Wholesale Trade - Durable Goods</v>
      </c>
      <c r="Z1056" s="65" t="str">
        <f aca="false">IF(T1056="","",IF(T1056&lt;12,"Daily","Weekly"))</f>
        <v>Weekly</v>
      </c>
      <c r="AA1056" s="65" t="n">
        <f aca="false">IF(T1056="",0,IF(T1056&lt;12,T1056*Controls!$B$29,T1056*5))</f>
        <v>120</v>
      </c>
      <c r="AB1056" s="65" t="n">
        <f aca="false">IF(E1056="",0,NETWORKDAYS(E1056,Controls!$B$36,Ref!$K$2:$K$42))</f>
        <v>20</v>
      </c>
      <c r="AC1056" s="65" t="n">
        <f aca="false">IF(AND(AA1056&gt;0,AB1056&gt;=Controls!$B$39*AA1056),1,0)</f>
        <v>0</v>
      </c>
      <c r="AD1056" s="65" t="n">
        <f aca="false">IF(AND(E1056&lt;&gt;"",E1056&gt;=Controls!$B$37,E1056&lt;=Controls!$B$38),1,0)</f>
        <v>1</v>
      </c>
      <c r="AE1056" s="65" t="n">
        <f aca="false">IF(IFERROR(VLOOKUP(D1056,Controls!$A$64:$E$74,2,FALSE()),"No")="Yes",1,0)</f>
        <v>0</v>
      </c>
      <c r="AF1056" s="65" t="n">
        <f aca="false">IF(IFERROR(VLOOKUP(D1056,Controls!$A$64:$E$74,3,FALSE()),"No")="Yes",1,0)</f>
        <v>0</v>
      </c>
      <c r="AG1056" s="65" t="n">
        <f aca="false">IF(IFERROR(VLOOKUP(D1056,Controls!$A$64:$E$74,4,FALSE()),"No")="Yes",1,0)</f>
        <v>0</v>
      </c>
      <c r="AH1056" s="65" t="n">
        <f aca="false">IF(IFERROR(VLOOKUP(D1056,Controls!$A$64:$E$74,5,FALSE()),"No")="Yes",1,0)</f>
        <v>1</v>
      </c>
      <c r="AI1056" s="65" t="n">
        <f aca="false">IF(ISNUMBER(MATCH(D1056,Controls!$A$64:$A$74,0)),1,0)</f>
        <v>1</v>
      </c>
      <c r="AJ1056" s="65" t="n">
        <f aca="false">Q1056-N1056</f>
        <v>-21937.6</v>
      </c>
      <c r="AK1056" s="65" t="n">
        <f aca="false">IF(AE1056=1,MAX(0,N1056-Q1056),0)</f>
        <v>0</v>
      </c>
      <c r="AL1056" s="65" t="n">
        <f aca="false">IF(OR(V1056="",V1056=0),0,N1056/V1056)</f>
        <v>0.384615384615385</v>
      </c>
      <c r="AM1056" s="65" t="n">
        <f aca="false">IF(OR(V1056="",V1056=0),0,1)</f>
        <v>1</v>
      </c>
      <c r="AN1056" s="65" t="n">
        <f aca="false">IF(OR(E1056="",F1056=""),0,NETWORKDAYS(E1056,F1056,Ref!$K$2:$K$42))</f>
        <v>13</v>
      </c>
      <c r="AO1056" s="65" t="n">
        <f aca="false">IF(L1056="Renewal",1,0)</f>
        <v>0</v>
      </c>
      <c r="AP1056" s="65" t="n">
        <f aca="false">AC1056*AD1056</f>
        <v>0</v>
      </c>
      <c r="AQ1056" s="65" t="n">
        <f aca="false">IF(AND(G1056&lt;&gt;"",'Historical Score'!$C$6&lt;&gt;""),IF(G1056='Historical Score'!$C$6,1,0),0)</f>
        <v>0</v>
      </c>
      <c r="AR1056" s="65" t="n">
        <f aca="false">IF(AND(L1056&lt;&gt;"",'Historical Score'!$C$5&lt;&gt;""),IF(L1056='Historical Score'!$C$5,1,0),0)</f>
        <v>1</v>
      </c>
      <c r="AS1056" s="65" t="n">
        <f aca="false">IF(AND(Y1056&lt;&gt;"",'Historical Score'!$C$7&lt;&gt;""),IF(Y1056='Historical Score'!$C$7,1,0),0)</f>
        <v>0</v>
      </c>
      <c r="AT1056" s="65" t="n">
        <f aca="false">IF(AND(K1056&lt;&gt;"",'Historical Score'!$C$8&lt;&gt;""),IF(K1056='Historical Score'!$C$8,1,0),0)</f>
        <v>1</v>
      </c>
      <c r="AU1056" s="65" t="n">
        <f aca="false">IF(AND(J1056&lt;&gt;"",'Historical Score'!$C$9&lt;&gt;""),IF(J1056='Historical Score'!$C$9,1,0),0)</f>
        <v>0</v>
      </c>
      <c r="AV1056" s="65" t="n">
        <f aca="false">AR1056*AS1056*AQ1056</f>
        <v>0</v>
      </c>
      <c r="AW1056" s="65" t="n">
        <f aca="false">AR1056*AT1056*AQ1056</f>
        <v>0</v>
      </c>
      <c r="AX1056" s="65" t="n">
        <f aca="false">AR1056*AS1056</f>
        <v>0</v>
      </c>
      <c r="AY1056" s="65" t="n">
        <f aca="false">AR1056*AT1056</f>
        <v>1</v>
      </c>
      <c r="AZ1056" s="65" t="n">
        <f aca="false">AR1056*AQ1056</f>
        <v>0</v>
      </c>
      <c r="BA1056" s="65" t="n">
        <f aca="false">AR1056</f>
        <v>1</v>
      </c>
      <c r="BB1056" s="65" t="n">
        <f aca="false">1</f>
        <v>1</v>
      </c>
      <c r="BC1056" s="65" t="n">
        <f aca="false">IF(AV1056=1,1,IF(AW1056=1,2,IF(AX1056=1,3,IF(AY1056=1,4,IF(AZ1056=1,5,IF(BA1056=1,6,7))))))</f>
        <v>4</v>
      </c>
      <c r="BD1056" s="65" t="n">
        <f aca="false">IF(AD1056=1,CHOOSE('Historical Score'!$C$29,AV1056,AW1056,AX1056,AY1056,AZ1056,BA1056,BB1056),0)</f>
        <v>0</v>
      </c>
      <c r="BE1056" s="65" t="str">
        <f aca="false">IF(BD1056=1,COUNTIF($BD$2:BD1056,1),"")</f>
        <v/>
      </c>
    </row>
    <row r="1057" customFormat="false" ht="15" hidden="false" customHeight="false" outlineLevel="0" collapsed="false">
      <c r="A1057" s="65" t="s">
        <v>3132</v>
      </c>
      <c r="B1057" s="65" t="s">
        <v>3133</v>
      </c>
      <c r="C1057" s="65" t="s">
        <v>3134</v>
      </c>
      <c r="D1057" s="65" t="s">
        <v>295</v>
      </c>
      <c r="E1057" s="112" t="n">
        <v>46232</v>
      </c>
      <c r="F1057" s="112" t="n">
        <v>46253</v>
      </c>
      <c r="G1057" s="65" t="n">
        <v>3</v>
      </c>
      <c r="H1057" s="65" t="s">
        <v>559</v>
      </c>
      <c r="I1057" s="65" t="s">
        <v>475</v>
      </c>
      <c r="J1057" s="65" t="s">
        <v>61</v>
      </c>
      <c r="K1057" s="65" t="s">
        <v>3135</v>
      </c>
      <c r="L1057" s="65" t="s">
        <v>64</v>
      </c>
      <c r="M1057" s="113" t="n">
        <v>1.39</v>
      </c>
      <c r="N1057" s="114" t="n">
        <v>15000</v>
      </c>
      <c r="O1057" s="114" t="n">
        <v>1350</v>
      </c>
      <c r="P1057" s="114" t="n">
        <v>20850</v>
      </c>
      <c r="Q1057" s="114" t="n">
        <v>2221.6</v>
      </c>
      <c r="R1057" s="114" t="n">
        <v>18628.4</v>
      </c>
      <c r="S1057" s="115" t="n">
        <v>0.106551558752998</v>
      </c>
      <c r="T1057" s="65" t="n">
        <v>4.918</v>
      </c>
      <c r="U1057" s="65" t="n">
        <v>0</v>
      </c>
      <c r="V1057" s="65" t="n">
        <v>71993.76</v>
      </c>
      <c r="W1057" s="115" t="n">
        <v>0.0405</v>
      </c>
      <c r="X1057" s="112" t="n">
        <v>44057</v>
      </c>
      <c r="Y1057" s="65" t="str">
        <f aca="false">IF(I1057="","No SIC",IFERROR(VLOOKUP(I1057,Ref!$A$2:$B$65,2,FALSE()),"Unclassified"))</f>
        <v>Auto Repair &amp; Services</v>
      </c>
      <c r="Z1057" s="65" t="str">
        <f aca="false">IF(T1057="","",IF(T1057&lt;12,"Daily","Weekly"))</f>
        <v>Daily</v>
      </c>
      <c r="AA1057" s="65" t="n">
        <f aca="false">IF(T1057="",0,IF(T1057&lt;12,T1057*Controls!$B$29,T1057*5))</f>
        <v>106.49929</v>
      </c>
      <c r="AB1057" s="65" t="n">
        <f aca="false">IF(E1057="",0,NETWORKDAYS(E1057,Controls!$B$36,Ref!$K$2:$K$42))</f>
        <v>20</v>
      </c>
      <c r="AC1057" s="65" t="n">
        <f aca="false">IF(AND(AA1057&gt;0,AB1057&gt;=Controls!$B$39*AA1057),1,0)</f>
        <v>0</v>
      </c>
      <c r="AD1057" s="65" t="n">
        <f aca="false">IF(AND(E1057&lt;&gt;"",E1057&gt;=Controls!$B$37,E1057&lt;=Controls!$B$38),1,0)</f>
        <v>1</v>
      </c>
      <c r="AE1057" s="65" t="n">
        <f aca="false">IF(IFERROR(VLOOKUP(D1057,Controls!$A$64:$E$74,2,FALSE()),"No")="Yes",1,0)</f>
        <v>0</v>
      </c>
      <c r="AF1057" s="65" t="n">
        <f aca="false">IF(IFERROR(VLOOKUP(D1057,Controls!$A$64:$E$74,3,FALSE()),"No")="Yes",1,0)</f>
        <v>0</v>
      </c>
      <c r="AG1057" s="65" t="n">
        <f aca="false">IF(IFERROR(VLOOKUP(D1057,Controls!$A$64:$E$74,4,FALSE()),"No")="Yes",1,0)</f>
        <v>0</v>
      </c>
      <c r="AH1057" s="65" t="n">
        <f aca="false">IF(IFERROR(VLOOKUP(D1057,Controls!$A$64:$E$74,5,FALSE()),"No")="Yes",1,0)</f>
        <v>1</v>
      </c>
      <c r="AI1057" s="65" t="n">
        <f aca="false">IF(ISNUMBER(MATCH(D1057,Controls!$A$64:$A$74,0)),1,0)</f>
        <v>1</v>
      </c>
      <c r="AJ1057" s="65" t="n">
        <f aca="false">Q1057-N1057</f>
        <v>-12778.4</v>
      </c>
      <c r="AK1057" s="65" t="n">
        <f aca="false">IF(AE1057=1,MAX(0,N1057-Q1057),0)</f>
        <v>0</v>
      </c>
      <c r="AL1057" s="65" t="n">
        <f aca="false">IF(OR(V1057="",V1057=0),0,N1057/V1057)</f>
        <v>0.208351390453839</v>
      </c>
      <c r="AM1057" s="65" t="n">
        <f aca="false">IF(OR(V1057="",V1057=0),0,1)</f>
        <v>1</v>
      </c>
      <c r="AN1057" s="65" t="n">
        <f aca="false">IF(OR(E1057="",F1057=""),0,NETWORKDAYS(E1057,F1057,Ref!$K$2:$K$42))</f>
        <v>16</v>
      </c>
      <c r="AO1057" s="65" t="n">
        <f aca="false">IF(L1057="Renewal",1,0)</f>
        <v>0</v>
      </c>
      <c r="AP1057" s="65" t="n">
        <f aca="false">AC1057*AD1057</f>
        <v>0</v>
      </c>
      <c r="AQ1057" s="65" t="n">
        <f aca="false">IF(AND(G1057&lt;&gt;"",'Historical Score'!$C$6&lt;&gt;""),IF(G1057='Historical Score'!$C$6,1,0),0)</f>
        <v>0</v>
      </c>
      <c r="AR1057" s="65" t="n">
        <f aca="false">IF(AND(L1057&lt;&gt;"",'Historical Score'!$C$5&lt;&gt;""),IF(L1057='Historical Score'!$C$5,1,0),0)</f>
        <v>1</v>
      </c>
      <c r="AS1057" s="65" t="n">
        <f aca="false">IF(AND(Y1057&lt;&gt;"",'Historical Score'!$C$7&lt;&gt;""),IF(Y1057='Historical Score'!$C$7,1,0),0)</f>
        <v>0</v>
      </c>
      <c r="AT1057" s="65" t="n">
        <f aca="false">IF(AND(K1057&lt;&gt;"",'Historical Score'!$C$8&lt;&gt;""),IF(K1057='Historical Score'!$C$8,1,0),0)</f>
        <v>0</v>
      </c>
      <c r="AU1057" s="65" t="n">
        <f aca="false">IF(AND(J1057&lt;&gt;"",'Historical Score'!$C$9&lt;&gt;""),IF(J1057='Historical Score'!$C$9,1,0),0)</f>
        <v>1</v>
      </c>
      <c r="AV1057" s="65" t="n">
        <f aca="false">AR1057*AS1057*AQ1057</f>
        <v>0</v>
      </c>
      <c r="AW1057" s="65" t="n">
        <f aca="false">AR1057*AT1057*AQ1057</f>
        <v>0</v>
      </c>
      <c r="AX1057" s="65" t="n">
        <f aca="false">AR1057*AS1057</f>
        <v>0</v>
      </c>
      <c r="AY1057" s="65" t="n">
        <f aca="false">AR1057*AT1057</f>
        <v>0</v>
      </c>
      <c r="AZ1057" s="65" t="n">
        <f aca="false">AR1057*AQ1057</f>
        <v>0</v>
      </c>
      <c r="BA1057" s="65" t="n">
        <f aca="false">AR1057</f>
        <v>1</v>
      </c>
      <c r="BB1057" s="65" t="n">
        <f aca="false">1</f>
        <v>1</v>
      </c>
      <c r="BC1057" s="65" t="n">
        <f aca="false">IF(AV1057=1,1,IF(AW1057=1,2,IF(AX1057=1,3,IF(AY1057=1,4,IF(AZ1057=1,5,IF(BA1057=1,6,7))))))</f>
        <v>6</v>
      </c>
      <c r="BD1057" s="65" t="n">
        <f aca="false">IF(AD1057=1,CHOOSE('Historical Score'!$C$29,AV1057,AW1057,AX1057,AY1057,AZ1057,BA1057,BB1057),0)</f>
        <v>0</v>
      </c>
      <c r="BE1057" s="65" t="str">
        <f aca="false">IF(BD1057=1,COUNTIF($BD$2:BD1057,1),"")</f>
        <v/>
      </c>
    </row>
    <row r="1058" customFormat="false" ht="15" hidden="false" customHeight="false" outlineLevel="0" collapsed="false">
      <c r="A1058" s="65" t="s">
        <v>3136</v>
      </c>
      <c r="B1058" s="65" t="s">
        <v>3137</v>
      </c>
      <c r="C1058" s="65" t="s">
        <v>3137</v>
      </c>
      <c r="D1058" s="65" t="s">
        <v>295</v>
      </c>
      <c r="E1058" s="112" t="n">
        <v>46232</v>
      </c>
      <c r="F1058" s="112" t="n">
        <v>46252</v>
      </c>
      <c r="G1058" s="65" t="n">
        <v>2</v>
      </c>
      <c r="H1058" s="65" t="s">
        <v>748</v>
      </c>
      <c r="I1058" s="65" t="s">
        <v>619</v>
      </c>
      <c r="J1058" s="65" t="s">
        <v>452</v>
      </c>
      <c r="K1058" s="65" t="s">
        <v>538</v>
      </c>
      <c r="L1058" s="65" t="s">
        <v>64</v>
      </c>
      <c r="M1058" s="113" t="n">
        <v>1.34</v>
      </c>
      <c r="N1058" s="114" t="n">
        <v>150000</v>
      </c>
      <c r="O1058" s="114" t="n">
        <v>9000</v>
      </c>
      <c r="P1058" s="114" t="n">
        <v>201000</v>
      </c>
      <c r="Q1058" s="114" t="n">
        <v>15074.34</v>
      </c>
      <c r="R1058" s="114" t="n">
        <v>185925.66</v>
      </c>
      <c r="S1058" s="115" t="n">
        <v>0.0749967164179105</v>
      </c>
      <c r="T1058" s="65" t="n">
        <v>40</v>
      </c>
      <c r="U1058" s="65" t="n">
        <v>0</v>
      </c>
      <c r="V1058" s="65" t="n">
        <v>251553.44</v>
      </c>
      <c r="W1058" s="115" t="n">
        <v>0.0799</v>
      </c>
      <c r="X1058" s="112" t="n">
        <v>41045</v>
      </c>
      <c r="Y1058" s="65" t="str">
        <f aca="false">IF(I1058="","No SIC",IFERROR(VLOOKUP(I1058,Ref!$A$2:$B$65,2,FALSE()),"Unclassified"))</f>
        <v>Miscellaneous Retail</v>
      </c>
      <c r="Z1058" s="65" t="str">
        <f aca="false">IF(T1058="","",IF(T1058&lt;12,"Daily","Weekly"))</f>
        <v>Weekly</v>
      </c>
      <c r="AA1058" s="65" t="n">
        <f aca="false">IF(T1058="",0,IF(T1058&lt;12,T1058*Controls!$B$29,T1058*5))</f>
        <v>200</v>
      </c>
      <c r="AB1058" s="65" t="n">
        <f aca="false">IF(E1058="",0,NETWORKDAYS(E1058,Controls!$B$36,Ref!$K$2:$K$42))</f>
        <v>20</v>
      </c>
      <c r="AC1058" s="65" t="n">
        <f aca="false">IF(AND(AA1058&gt;0,AB1058&gt;=Controls!$B$39*AA1058),1,0)</f>
        <v>0</v>
      </c>
      <c r="AD1058" s="65" t="n">
        <f aca="false">IF(AND(E1058&lt;&gt;"",E1058&gt;=Controls!$B$37,E1058&lt;=Controls!$B$38),1,0)</f>
        <v>1</v>
      </c>
      <c r="AE1058" s="65" t="n">
        <f aca="false">IF(IFERROR(VLOOKUP(D1058,Controls!$A$64:$E$74,2,FALSE()),"No")="Yes",1,0)</f>
        <v>0</v>
      </c>
      <c r="AF1058" s="65" t="n">
        <f aca="false">IF(IFERROR(VLOOKUP(D1058,Controls!$A$64:$E$74,3,FALSE()),"No")="Yes",1,0)</f>
        <v>0</v>
      </c>
      <c r="AG1058" s="65" t="n">
        <f aca="false">IF(IFERROR(VLOOKUP(D1058,Controls!$A$64:$E$74,4,FALSE()),"No")="Yes",1,0)</f>
        <v>0</v>
      </c>
      <c r="AH1058" s="65" t="n">
        <f aca="false">IF(IFERROR(VLOOKUP(D1058,Controls!$A$64:$E$74,5,FALSE()),"No")="Yes",1,0)</f>
        <v>1</v>
      </c>
      <c r="AI1058" s="65" t="n">
        <f aca="false">IF(ISNUMBER(MATCH(D1058,Controls!$A$64:$A$74,0)),1,0)</f>
        <v>1</v>
      </c>
      <c r="AJ1058" s="65" t="n">
        <f aca="false">Q1058-N1058</f>
        <v>-134925.66</v>
      </c>
      <c r="AK1058" s="65" t="n">
        <f aca="false">IF(AE1058=1,MAX(0,N1058-Q1058),0)</f>
        <v>0</v>
      </c>
      <c r="AL1058" s="65" t="n">
        <f aca="false">IF(OR(V1058="",V1058=0),0,N1058/V1058)</f>
        <v>0.596294767425959</v>
      </c>
      <c r="AM1058" s="65" t="n">
        <f aca="false">IF(OR(V1058="",V1058=0),0,1)</f>
        <v>1</v>
      </c>
      <c r="AN1058" s="65" t="n">
        <f aca="false">IF(OR(E1058="",F1058=""),0,NETWORKDAYS(E1058,F1058,Ref!$K$2:$K$42))</f>
        <v>15</v>
      </c>
      <c r="AO1058" s="65" t="n">
        <f aca="false">IF(L1058="Renewal",1,0)</f>
        <v>0</v>
      </c>
      <c r="AP1058" s="65" t="n">
        <f aca="false">AC1058*AD1058</f>
        <v>0</v>
      </c>
      <c r="AQ1058" s="65" t="n">
        <f aca="false">IF(AND(G1058&lt;&gt;"",'Historical Score'!$C$6&lt;&gt;""),IF(G1058='Historical Score'!$C$6,1,0),0)</f>
        <v>1</v>
      </c>
      <c r="AR1058" s="65" t="n">
        <f aca="false">IF(AND(L1058&lt;&gt;"",'Historical Score'!$C$5&lt;&gt;""),IF(L1058='Historical Score'!$C$5,1,0),0)</f>
        <v>1</v>
      </c>
      <c r="AS1058" s="65" t="n">
        <f aca="false">IF(AND(Y1058&lt;&gt;"",'Historical Score'!$C$7&lt;&gt;""),IF(Y1058='Historical Score'!$C$7,1,0),0)</f>
        <v>0</v>
      </c>
      <c r="AT1058" s="65" t="n">
        <f aca="false">IF(AND(K1058&lt;&gt;"",'Historical Score'!$C$8&lt;&gt;""),IF(K1058='Historical Score'!$C$8,1,0),0)</f>
        <v>0</v>
      </c>
      <c r="AU1058" s="65" t="n">
        <f aca="false">IF(AND(J1058&lt;&gt;"",'Historical Score'!$C$9&lt;&gt;""),IF(J1058='Historical Score'!$C$9,1,0),0)</f>
        <v>0</v>
      </c>
      <c r="AV1058" s="65" t="n">
        <f aca="false">AR1058*AS1058*AQ1058</f>
        <v>0</v>
      </c>
      <c r="AW1058" s="65" t="n">
        <f aca="false">AR1058*AT1058*AQ1058</f>
        <v>0</v>
      </c>
      <c r="AX1058" s="65" t="n">
        <f aca="false">AR1058*AS1058</f>
        <v>0</v>
      </c>
      <c r="AY1058" s="65" t="n">
        <f aca="false">AR1058*AT1058</f>
        <v>0</v>
      </c>
      <c r="AZ1058" s="65" t="n">
        <f aca="false">AR1058*AQ1058</f>
        <v>1</v>
      </c>
      <c r="BA1058" s="65" t="n">
        <f aca="false">AR1058</f>
        <v>1</v>
      </c>
      <c r="BB1058" s="65" t="n">
        <f aca="false">1</f>
        <v>1</v>
      </c>
      <c r="BC1058" s="65" t="n">
        <f aca="false">IF(AV1058=1,1,IF(AW1058=1,2,IF(AX1058=1,3,IF(AY1058=1,4,IF(AZ1058=1,5,IF(BA1058=1,6,7))))))</f>
        <v>5</v>
      </c>
      <c r="BD1058" s="65" t="n">
        <f aca="false">IF(AD1058=1,CHOOSE('Historical Score'!$C$29,AV1058,AW1058,AX1058,AY1058,AZ1058,BA1058,BB1058),0)</f>
        <v>0</v>
      </c>
      <c r="BE1058" s="65" t="str">
        <f aca="false">IF(BD1058=1,COUNTIF($BD$2:BD1058,1),"")</f>
        <v/>
      </c>
    </row>
    <row r="1059" customFormat="false" ht="15" hidden="false" customHeight="false" outlineLevel="0" collapsed="false">
      <c r="A1059" s="65" t="s">
        <v>3138</v>
      </c>
      <c r="B1059" s="65" t="s">
        <v>3139</v>
      </c>
      <c r="C1059" s="65" t="s">
        <v>3140</v>
      </c>
      <c r="D1059" s="65" t="s">
        <v>295</v>
      </c>
      <c r="E1059" s="112" t="n">
        <v>46232</v>
      </c>
      <c r="F1059" s="112" t="n">
        <v>46247</v>
      </c>
      <c r="G1059" s="65" t="n">
        <v>2</v>
      </c>
      <c r="H1059" s="65" t="s">
        <v>372</v>
      </c>
      <c r="I1059" s="65" t="s">
        <v>367</v>
      </c>
      <c r="J1059" s="65" t="s">
        <v>732</v>
      </c>
      <c r="K1059" s="65" t="s">
        <v>538</v>
      </c>
      <c r="L1059" s="65" t="s">
        <v>64</v>
      </c>
      <c r="M1059" s="113" t="n">
        <v>1.49</v>
      </c>
      <c r="N1059" s="114" t="n">
        <v>100000</v>
      </c>
      <c r="O1059" s="114" t="n">
        <v>14000</v>
      </c>
      <c r="P1059" s="114" t="n">
        <v>149000</v>
      </c>
      <c r="Q1059" s="114" t="n">
        <v>7640.26</v>
      </c>
      <c r="R1059" s="114" t="n">
        <v>141359.74</v>
      </c>
      <c r="S1059" s="115" t="n">
        <v>0.0512769127516779</v>
      </c>
      <c r="T1059" s="65" t="n">
        <v>39</v>
      </c>
      <c r="U1059" s="65" t="n">
        <v>0</v>
      </c>
      <c r="V1059" s="65" t="n">
        <v>172893.68</v>
      </c>
      <c r="W1059" s="115" t="n">
        <v>0.053</v>
      </c>
      <c r="X1059" s="112" t="n">
        <v>44298</v>
      </c>
      <c r="Y1059" s="65" t="str">
        <f aca="false">IF(I1059="","No SIC",IFERROR(VLOOKUP(I1059,Ref!$A$2:$B$65,2,FALSE()),"Unclassified"))</f>
        <v>Engineering, Accounting &amp; Management</v>
      </c>
      <c r="Z1059" s="65" t="str">
        <f aca="false">IF(T1059="","",IF(T1059&lt;12,"Daily","Weekly"))</f>
        <v>Weekly</v>
      </c>
      <c r="AA1059" s="65" t="n">
        <f aca="false">IF(T1059="",0,IF(T1059&lt;12,T1059*Controls!$B$29,T1059*5))</f>
        <v>195</v>
      </c>
      <c r="AB1059" s="65" t="n">
        <f aca="false">IF(E1059="",0,NETWORKDAYS(E1059,Controls!$B$36,Ref!$K$2:$K$42))</f>
        <v>20</v>
      </c>
      <c r="AC1059" s="65" t="n">
        <f aca="false">IF(AND(AA1059&gt;0,AB1059&gt;=Controls!$B$39*AA1059),1,0)</f>
        <v>0</v>
      </c>
      <c r="AD1059" s="65" t="n">
        <f aca="false">IF(AND(E1059&lt;&gt;"",E1059&gt;=Controls!$B$37,E1059&lt;=Controls!$B$38),1,0)</f>
        <v>1</v>
      </c>
      <c r="AE1059" s="65" t="n">
        <f aca="false">IF(IFERROR(VLOOKUP(D1059,Controls!$A$64:$E$74,2,FALSE()),"No")="Yes",1,0)</f>
        <v>0</v>
      </c>
      <c r="AF1059" s="65" t="n">
        <f aca="false">IF(IFERROR(VLOOKUP(D1059,Controls!$A$64:$E$74,3,FALSE()),"No")="Yes",1,0)</f>
        <v>0</v>
      </c>
      <c r="AG1059" s="65" t="n">
        <f aca="false">IF(IFERROR(VLOOKUP(D1059,Controls!$A$64:$E$74,4,FALSE()),"No")="Yes",1,0)</f>
        <v>0</v>
      </c>
      <c r="AH1059" s="65" t="n">
        <f aca="false">IF(IFERROR(VLOOKUP(D1059,Controls!$A$64:$E$74,5,FALSE()),"No")="Yes",1,0)</f>
        <v>1</v>
      </c>
      <c r="AI1059" s="65" t="n">
        <f aca="false">IF(ISNUMBER(MATCH(D1059,Controls!$A$64:$A$74,0)),1,0)</f>
        <v>1</v>
      </c>
      <c r="AJ1059" s="65" t="n">
        <f aca="false">Q1059-N1059</f>
        <v>-92359.74</v>
      </c>
      <c r="AK1059" s="65" t="n">
        <f aca="false">IF(AE1059=1,MAX(0,N1059-Q1059),0)</f>
        <v>0</v>
      </c>
      <c r="AL1059" s="65" t="n">
        <f aca="false">IF(OR(V1059="",V1059=0),0,N1059/V1059)</f>
        <v>0.578390141270635</v>
      </c>
      <c r="AM1059" s="65" t="n">
        <f aca="false">IF(OR(V1059="",V1059=0),0,1)</f>
        <v>1</v>
      </c>
      <c r="AN1059" s="65" t="n">
        <f aca="false">IF(OR(E1059="",F1059=""),0,NETWORKDAYS(E1059,F1059,Ref!$K$2:$K$42))</f>
        <v>12</v>
      </c>
      <c r="AO1059" s="65" t="n">
        <f aca="false">IF(L1059="Renewal",1,0)</f>
        <v>0</v>
      </c>
      <c r="AP1059" s="65" t="n">
        <f aca="false">AC1059*AD1059</f>
        <v>0</v>
      </c>
      <c r="AQ1059" s="65" t="n">
        <f aca="false">IF(AND(G1059&lt;&gt;"",'Historical Score'!$C$6&lt;&gt;""),IF(G1059='Historical Score'!$C$6,1,0),0)</f>
        <v>1</v>
      </c>
      <c r="AR1059" s="65" t="n">
        <f aca="false">IF(AND(L1059&lt;&gt;"",'Historical Score'!$C$5&lt;&gt;""),IF(L1059='Historical Score'!$C$5,1,0),0)</f>
        <v>1</v>
      </c>
      <c r="AS1059" s="65" t="n">
        <f aca="false">IF(AND(Y1059&lt;&gt;"",'Historical Score'!$C$7&lt;&gt;""),IF(Y1059='Historical Score'!$C$7,1,0),0)</f>
        <v>0</v>
      </c>
      <c r="AT1059" s="65" t="n">
        <f aca="false">IF(AND(K1059&lt;&gt;"",'Historical Score'!$C$8&lt;&gt;""),IF(K1059='Historical Score'!$C$8,1,0),0)</f>
        <v>0</v>
      </c>
      <c r="AU1059" s="65" t="n">
        <f aca="false">IF(AND(J1059&lt;&gt;"",'Historical Score'!$C$9&lt;&gt;""),IF(J1059='Historical Score'!$C$9,1,0),0)</f>
        <v>0</v>
      </c>
      <c r="AV1059" s="65" t="n">
        <f aca="false">AR1059*AS1059*AQ1059</f>
        <v>0</v>
      </c>
      <c r="AW1059" s="65" t="n">
        <f aca="false">AR1059*AT1059*AQ1059</f>
        <v>0</v>
      </c>
      <c r="AX1059" s="65" t="n">
        <f aca="false">AR1059*AS1059</f>
        <v>0</v>
      </c>
      <c r="AY1059" s="65" t="n">
        <f aca="false">AR1059*AT1059</f>
        <v>0</v>
      </c>
      <c r="AZ1059" s="65" t="n">
        <f aca="false">AR1059*AQ1059</f>
        <v>1</v>
      </c>
      <c r="BA1059" s="65" t="n">
        <f aca="false">AR1059</f>
        <v>1</v>
      </c>
      <c r="BB1059" s="65" t="n">
        <f aca="false">1</f>
        <v>1</v>
      </c>
      <c r="BC1059" s="65" t="n">
        <f aca="false">IF(AV1059=1,1,IF(AW1059=1,2,IF(AX1059=1,3,IF(AY1059=1,4,IF(AZ1059=1,5,IF(BA1059=1,6,7))))))</f>
        <v>5</v>
      </c>
      <c r="BD1059" s="65" t="n">
        <f aca="false">IF(AD1059=1,CHOOSE('Historical Score'!$C$29,AV1059,AW1059,AX1059,AY1059,AZ1059,BA1059,BB1059),0)</f>
        <v>0</v>
      </c>
      <c r="BE1059" s="65" t="str">
        <f aca="false">IF(BD1059=1,COUNTIF($BD$2:BD1059,1),"")</f>
        <v/>
      </c>
    </row>
    <row r="1060" customFormat="false" ht="15" hidden="false" customHeight="false" outlineLevel="0" collapsed="false">
      <c r="A1060" s="65" t="s">
        <v>3141</v>
      </c>
      <c r="B1060" s="65" t="s">
        <v>2559</v>
      </c>
      <c r="C1060" s="65" t="s">
        <v>2559</v>
      </c>
      <c r="D1060" s="65" t="s">
        <v>295</v>
      </c>
      <c r="E1060" s="112" t="n">
        <v>46233</v>
      </c>
      <c r="F1060" s="112" t="n">
        <v>46253</v>
      </c>
      <c r="G1060" s="65" t="n">
        <v>3</v>
      </c>
      <c r="H1060" s="65" t="s">
        <v>391</v>
      </c>
      <c r="I1060" s="65" t="s">
        <v>392</v>
      </c>
      <c r="J1060" s="65" t="s">
        <v>470</v>
      </c>
      <c r="K1060" s="65" t="s">
        <v>55</v>
      </c>
      <c r="L1060" s="65" t="s">
        <v>320</v>
      </c>
      <c r="M1060" s="113" t="n">
        <v>1.49</v>
      </c>
      <c r="N1060" s="114" t="n">
        <v>35000</v>
      </c>
      <c r="O1060" s="114" t="n">
        <v>4900</v>
      </c>
      <c r="P1060" s="114" t="n">
        <v>52150</v>
      </c>
      <c r="Q1060" s="114" t="n">
        <v>6081.74</v>
      </c>
      <c r="R1060" s="114" t="n">
        <v>46068.26</v>
      </c>
      <c r="S1060" s="115" t="n">
        <v>0.116620134228188</v>
      </c>
      <c r="T1060" s="65" t="n">
        <v>3.934</v>
      </c>
      <c r="U1060" s="65" t="n">
        <v>0</v>
      </c>
      <c r="V1060" s="65" t="n">
        <v>144343.78</v>
      </c>
      <c r="W1060" s="115" t="n">
        <v>0.0632</v>
      </c>
      <c r="X1060" s="112" t="n">
        <v>44044</v>
      </c>
      <c r="Y1060" s="65" t="str">
        <f aca="false">IF(I1060="","No SIC",IFERROR(VLOOKUP(I1060,Ref!$A$2:$B$65,2,FALSE()),"Unclassified"))</f>
        <v>Real Estate</v>
      </c>
      <c r="Z1060" s="65" t="str">
        <f aca="false">IF(T1060="","",IF(T1060&lt;12,"Daily","Weekly"))</f>
        <v>Daily</v>
      </c>
      <c r="AA1060" s="65" t="n">
        <f aca="false">IF(T1060="",0,IF(T1060&lt;12,T1060*Controls!$B$29,T1060*5))</f>
        <v>85.19077</v>
      </c>
      <c r="AB1060" s="65" t="n">
        <f aca="false">IF(E1060="",0,NETWORKDAYS(E1060,Controls!$B$36,Ref!$K$2:$K$42))</f>
        <v>19</v>
      </c>
      <c r="AC1060" s="65" t="n">
        <f aca="false">IF(AND(AA1060&gt;0,AB1060&gt;=Controls!$B$39*AA1060),1,0)</f>
        <v>0</v>
      </c>
      <c r="AD1060" s="65" t="n">
        <f aca="false">IF(AND(E1060&lt;&gt;"",E1060&gt;=Controls!$B$37,E1060&lt;=Controls!$B$38),1,0)</f>
        <v>1</v>
      </c>
      <c r="AE1060" s="65" t="n">
        <f aca="false">IF(IFERROR(VLOOKUP(D1060,Controls!$A$64:$E$74,2,FALSE()),"No")="Yes",1,0)</f>
        <v>0</v>
      </c>
      <c r="AF1060" s="65" t="n">
        <f aca="false">IF(IFERROR(VLOOKUP(D1060,Controls!$A$64:$E$74,3,FALSE()),"No")="Yes",1,0)</f>
        <v>0</v>
      </c>
      <c r="AG1060" s="65" t="n">
        <f aca="false">IF(IFERROR(VLOOKUP(D1060,Controls!$A$64:$E$74,4,FALSE()),"No")="Yes",1,0)</f>
        <v>0</v>
      </c>
      <c r="AH1060" s="65" t="n">
        <f aca="false">IF(IFERROR(VLOOKUP(D1060,Controls!$A$64:$E$74,5,FALSE()),"No")="Yes",1,0)</f>
        <v>1</v>
      </c>
      <c r="AI1060" s="65" t="n">
        <f aca="false">IF(ISNUMBER(MATCH(D1060,Controls!$A$64:$A$74,0)),1,0)</f>
        <v>1</v>
      </c>
      <c r="AJ1060" s="65" t="n">
        <f aca="false">Q1060-N1060</f>
        <v>-28918.26</v>
      </c>
      <c r="AK1060" s="65" t="n">
        <f aca="false">IF(AE1060=1,MAX(0,N1060-Q1060),0)</f>
        <v>0</v>
      </c>
      <c r="AL1060" s="65" t="n">
        <f aca="false">IF(OR(V1060="",V1060=0),0,N1060/V1060)</f>
        <v>0.242476676168519</v>
      </c>
      <c r="AM1060" s="65" t="n">
        <f aca="false">IF(OR(V1060="",V1060=0),0,1)</f>
        <v>1</v>
      </c>
      <c r="AN1060" s="65" t="n">
        <f aca="false">IF(OR(E1060="",F1060=""),0,NETWORKDAYS(E1060,F1060,Ref!$K$2:$K$42))</f>
        <v>15</v>
      </c>
      <c r="AO1060" s="65" t="n">
        <f aca="false">IF(L1060="Renewal",1,0)</f>
        <v>1</v>
      </c>
      <c r="AP1060" s="65" t="n">
        <f aca="false">AC1060*AD1060</f>
        <v>0</v>
      </c>
      <c r="AQ1060" s="65" t="n">
        <f aca="false">IF(AND(G1060&lt;&gt;"",'Historical Score'!$C$6&lt;&gt;""),IF(G1060='Historical Score'!$C$6,1,0),0)</f>
        <v>0</v>
      </c>
      <c r="AR1060" s="65" t="n">
        <f aca="false">IF(AND(L1060&lt;&gt;"",'Historical Score'!$C$5&lt;&gt;""),IF(L1060='Historical Score'!$C$5,1,0),0)</f>
        <v>0</v>
      </c>
      <c r="AS1060" s="65" t="n">
        <f aca="false">IF(AND(Y1060&lt;&gt;"",'Historical Score'!$C$7&lt;&gt;""),IF(Y1060='Historical Score'!$C$7,1,0),0)</f>
        <v>0</v>
      </c>
      <c r="AT1060" s="65" t="n">
        <f aca="false">IF(AND(K1060&lt;&gt;"",'Historical Score'!$C$8&lt;&gt;""),IF(K1060='Historical Score'!$C$8,1,0),0)</f>
        <v>1</v>
      </c>
      <c r="AU1060" s="65" t="n">
        <f aca="false">IF(AND(J1060&lt;&gt;"",'Historical Score'!$C$9&lt;&gt;""),IF(J1060='Historical Score'!$C$9,1,0),0)</f>
        <v>0</v>
      </c>
      <c r="AV1060" s="65" t="n">
        <f aca="false">AR1060*AS1060*AQ1060</f>
        <v>0</v>
      </c>
      <c r="AW1060" s="65" t="n">
        <f aca="false">AR1060*AT1060*AQ1060</f>
        <v>0</v>
      </c>
      <c r="AX1060" s="65" t="n">
        <f aca="false">AR1060*AS1060</f>
        <v>0</v>
      </c>
      <c r="AY1060" s="65" t="n">
        <f aca="false">AR1060*AT1060</f>
        <v>0</v>
      </c>
      <c r="AZ1060" s="65" t="n">
        <f aca="false">AR1060*AQ1060</f>
        <v>0</v>
      </c>
      <c r="BA1060" s="65" t="n">
        <f aca="false">AR1060</f>
        <v>0</v>
      </c>
      <c r="BB1060" s="65" t="n">
        <f aca="false">1</f>
        <v>1</v>
      </c>
      <c r="BC1060" s="65" t="n">
        <f aca="false">IF(AV1060=1,1,IF(AW1060=1,2,IF(AX1060=1,3,IF(AY1060=1,4,IF(AZ1060=1,5,IF(BA1060=1,6,7))))))</f>
        <v>7</v>
      </c>
      <c r="BD1060" s="65" t="n">
        <f aca="false">IF(AD1060=1,CHOOSE('Historical Score'!$C$29,AV1060,AW1060,AX1060,AY1060,AZ1060,BA1060,BB1060),0)</f>
        <v>0</v>
      </c>
      <c r="BE1060" s="65" t="str">
        <f aca="false">IF(BD1060=1,COUNTIF($BD$2:BD1060,1),"")</f>
        <v/>
      </c>
    </row>
    <row r="1061" customFormat="false" ht="15" hidden="false" customHeight="false" outlineLevel="0" collapsed="false">
      <c r="A1061" s="65" t="s">
        <v>3142</v>
      </c>
      <c r="B1061" s="65" t="s">
        <v>3143</v>
      </c>
      <c r="C1061" s="65" t="s">
        <v>3144</v>
      </c>
      <c r="D1061" s="65" t="s">
        <v>295</v>
      </c>
      <c r="E1061" s="112" t="n">
        <v>46233</v>
      </c>
      <c r="F1061" s="112" t="n">
        <v>46253</v>
      </c>
      <c r="G1061" s="65" t="n">
        <v>4</v>
      </c>
      <c r="H1061" s="65" t="s">
        <v>3145</v>
      </c>
      <c r="I1061" s="65" t="s">
        <v>367</v>
      </c>
      <c r="J1061" s="65" t="s">
        <v>350</v>
      </c>
      <c r="K1061" s="65" t="s">
        <v>433</v>
      </c>
      <c r="L1061" s="65" t="s">
        <v>64</v>
      </c>
      <c r="M1061" s="113" t="n">
        <v>1.49</v>
      </c>
      <c r="N1061" s="114" t="n">
        <v>150000</v>
      </c>
      <c r="O1061" s="114" t="n">
        <v>21000</v>
      </c>
      <c r="P1061" s="114" t="n">
        <v>223500</v>
      </c>
      <c r="Q1061" s="114" t="n">
        <v>22361.88</v>
      </c>
      <c r="R1061" s="114" t="n">
        <v>201138.12</v>
      </c>
      <c r="S1061" s="115" t="n">
        <v>0.100053154362416</v>
      </c>
      <c r="T1061" s="65" t="n">
        <v>30</v>
      </c>
      <c r="U1061" s="65" t="n">
        <v>0</v>
      </c>
      <c r="V1061" s="65" t="n">
        <v>1130644.29</v>
      </c>
      <c r="W1061" s="115" t="n">
        <v>0.0438</v>
      </c>
      <c r="X1061" s="112" t="n">
        <v>33903</v>
      </c>
      <c r="Y1061" s="65" t="str">
        <f aca="false">IF(I1061="","No SIC",IFERROR(VLOOKUP(I1061,Ref!$A$2:$B$65,2,FALSE()),"Unclassified"))</f>
        <v>Engineering, Accounting &amp; Management</v>
      </c>
      <c r="Z1061" s="65" t="str">
        <f aca="false">IF(T1061="","",IF(T1061&lt;12,"Daily","Weekly"))</f>
        <v>Weekly</v>
      </c>
      <c r="AA1061" s="65" t="n">
        <f aca="false">IF(T1061="",0,IF(T1061&lt;12,T1061*Controls!$B$29,T1061*5))</f>
        <v>150</v>
      </c>
      <c r="AB1061" s="65" t="n">
        <f aca="false">IF(E1061="",0,NETWORKDAYS(E1061,Controls!$B$36,Ref!$K$2:$K$42))</f>
        <v>19</v>
      </c>
      <c r="AC1061" s="65" t="n">
        <f aca="false">IF(AND(AA1061&gt;0,AB1061&gt;=Controls!$B$39*AA1061),1,0)</f>
        <v>0</v>
      </c>
      <c r="AD1061" s="65" t="n">
        <f aca="false">IF(AND(E1061&lt;&gt;"",E1061&gt;=Controls!$B$37,E1061&lt;=Controls!$B$38),1,0)</f>
        <v>1</v>
      </c>
      <c r="AE1061" s="65" t="n">
        <f aca="false">IF(IFERROR(VLOOKUP(D1061,Controls!$A$64:$E$74,2,FALSE()),"No")="Yes",1,0)</f>
        <v>0</v>
      </c>
      <c r="AF1061" s="65" t="n">
        <f aca="false">IF(IFERROR(VLOOKUP(D1061,Controls!$A$64:$E$74,3,FALSE()),"No")="Yes",1,0)</f>
        <v>0</v>
      </c>
      <c r="AG1061" s="65" t="n">
        <f aca="false">IF(IFERROR(VLOOKUP(D1061,Controls!$A$64:$E$74,4,FALSE()),"No")="Yes",1,0)</f>
        <v>0</v>
      </c>
      <c r="AH1061" s="65" t="n">
        <f aca="false">IF(IFERROR(VLOOKUP(D1061,Controls!$A$64:$E$74,5,FALSE()),"No")="Yes",1,0)</f>
        <v>1</v>
      </c>
      <c r="AI1061" s="65" t="n">
        <f aca="false">IF(ISNUMBER(MATCH(D1061,Controls!$A$64:$A$74,0)),1,0)</f>
        <v>1</v>
      </c>
      <c r="AJ1061" s="65" t="n">
        <f aca="false">Q1061-N1061</f>
        <v>-127638.12</v>
      </c>
      <c r="AK1061" s="65" t="n">
        <f aca="false">IF(AE1061=1,MAX(0,N1061-Q1061),0)</f>
        <v>0</v>
      </c>
      <c r="AL1061" s="65" t="n">
        <f aca="false">IF(OR(V1061="",V1061=0),0,N1061/V1061)</f>
        <v>0.13266771992454</v>
      </c>
      <c r="AM1061" s="65" t="n">
        <f aca="false">IF(OR(V1061="",V1061=0),0,1)</f>
        <v>1</v>
      </c>
      <c r="AN1061" s="65" t="n">
        <f aca="false">IF(OR(E1061="",F1061=""),0,NETWORKDAYS(E1061,F1061,Ref!$K$2:$K$42))</f>
        <v>15</v>
      </c>
      <c r="AO1061" s="65" t="n">
        <f aca="false">IF(L1061="Renewal",1,0)</f>
        <v>0</v>
      </c>
      <c r="AP1061" s="65" t="n">
        <f aca="false">AC1061*AD1061</f>
        <v>0</v>
      </c>
      <c r="AQ1061" s="65" t="n">
        <f aca="false">IF(AND(G1061&lt;&gt;"",'Historical Score'!$C$6&lt;&gt;""),IF(G1061='Historical Score'!$C$6,1,0),0)</f>
        <v>0</v>
      </c>
      <c r="AR1061" s="65" t="n">
        <f aca="false">IF(AND(L1061&lt;&gt;"",'Historical Score'!$C$5&lt;&gt;""),IF(L1061='Historical Score'!$C$5,1,0),0)</f>
        <v>1</v>
      </c>
      <c r="AS1061" s="65" t="n">
        <f aca="false">IF(AND(Y1061&lt;&gt;"",'Historical Score'!$C$7&lt;&gt;""),IF(Y1061='Historical Score'!$C$7,1,0),0)</f>
        <v>0</v>
      </c>
      <c r="AT1061" s="65" t="n">
        <f aca="false">IF(AND(K1061&lt;&gt;"",'Historical Score'!$C$8&lt;&gt;""),IF(K1061='Historical Score'!$C$8,1,0),0)</f>
        <v>0</v>
      </c>
      <c r="AU1061" s="65" t="n">
        <f aca="false">IF(AND(J1061&lt;&gt;"",'Historical Score'!$C$9&lt;&gt;""),IF(J1061='Historical Score'!$C$9,1,0),0)</f>
        <v>0</v>
      </c>
      <c r="AV1061" s="65" t="n">
        <f aca="false">AR1061*AS1061*AQ1061</f>
        <v>0</v>
      </c>
      <c r="AW1061" s="65" t="n">
        <f aca="false">AR1061*AT1061*AQ1061</f>
        <v>0</v>
      </c>
      <c r="AX1061" s="65" t="n">
        <f aca="false">AR1061*AS1061</f>
        <v>0</v>
      </c>
      <c r="AY1061" s="65" t="n">
        <f aca="false">AR1061*AT1061</f>
        <v>0</v>
      </c>
      <c r="AZ1061" s="65" t="n">
        <f aca="false">AR1061*AQ1061</f>
        <v>0</v>
      </c>
      <c r="BA1061" s="65" t="n">
        <f aca="false">AR1061</f>
        <v>1</v>
      </c>
      <c r="BB1061" s="65" t="n">
        <f aca="false">1</f>
        <v>1</v>
      </c>
      <c r="BC1061" s="65" t="n">
        <f aca="false">IF(AV1061=1,1,IF(AW1061=1,2,IF(AX1061=1,3,IF(AY1061=1,4,IF(AZ1061=1,5,IF(BA1061=1,6,7))))))</f>
        <v>6</v>
      </c>
      <c r="BD1061" s="65" t="n">
        <f aca="false">IF(AD1061=1,CHOOSE('Historical Score'!$C$29,AV1061,AW1061,AX1061,AY1061,AZ1061,BA1061,BB1061),0)</f>
        <v>0</v>
      </c>
      <c r="BE1061" s="65" t="str">
        <f aca="false">IF(BD1061=1,COUNTIF($BD$2:BD1061,1),"")</f>
        <v/>
      </c>
    </row>
    <row r="1062" customFormat="false" ht="15" hidden="false" customHeight="false" outlineLevel="0" collapsed="false">
      <c r="A1062" s="65" t="s">
        <v>3146</v>
      </c>
      <c r="B1062" s="65" t="s">
        <v>2447</v>
      </c>
      <c r="C1062" s="65" t="s">
        <v>2447</v>
      </c>
      <c r="D1062" s="65" t="s">
        <v>295</v>
      </c>
      <c r="E1062" s="112" t="n">
        <v>46234</v>
      </c>
      <c r="F1062" s="112" t="n">
        <v>46248</v>
      </c>
      <c r="G1062" s="65" t="n">
        <v>3</v>
      </c>
      <c r="H1062" s="65" t="s">
        <v>479</v>
      </c>
      <c r="I1062" s="65" t="s">
        <v>356</v>
      </c>
      <c r="J1062" s="65" t="s">
        <v>452</v>
      </c>
      <c r="K1062" s="65" t="s">
        <v>55</v>
      </c>
      <c r="L1062" s="65" t="s">
        <v>320</v>
      </c>
      <c r="M1062" s="113" t="n">
        <v>1.42</v>
      </c>
      <c r="N1062" s="114" t="n">
        <v>43000</v>
      </c>
      <c r="O1062" s="114" t="n">
        <v>4515</v>
      </c>
      <c r="P1062" s="114" t="n">
        <v>61060</v>
      </c>
      <c r="Q1062" s="114" t="n">
        <v>2777.02</v>
      </c>
      <c r="R1062" s="114" t="n">
        <v>58282.98</v>
      </c>
      <c r="S1062" s="115" t="n">
        <v>0.0454801834261382</v>
      </c>
      <c r="T1062" s="65" t="n">
        <v>44</v>
      </c>
      <c r="U1062" s="65" t="n">
        <v>0</v>
      </c>
      <c r="W1062" s="115" t="n">
        <v>0.0108</v>
      </c>
      <c r="X1062" s="112" t="n">
        <v>45524</v>
      </c>
      <c r="Y1062" s="65" t="str">
        <f aca="false">IF(I1062="","No SIC",IFERROR(VLOOKUP(I1062,Ref!$A$2:$B$65,2,FALSE()),"Unclassified"))</f>
        <v>Trucking &amp; Warehousing</v>
      </c>
      <c r="Z1062" s="65" t="str">
        <f aca="false">IF(T1062="","",IF(T1062&lt;12,"Daily","Weekly"))</f>
        <v>Weekly</v>
      </c>
      <c r="AA1062" s="65" t="n">
        <f aca="false">IF(T1062="",0,IF(T1062&lt;12,T1062*Controls!$B$29,T1062*5))</f>
        <v>220</v>
      </c>
      <c r="AB1062" s="65" t="n">
        <f aca="false">IF(E1062="",0,NETWORKDAYS(E1062,Controls!$B$36,Ref!$K$2:$K$42))</f>
        <v>18</v>
      </c>
      <c r="AC1062" s="65" t="n">
        <f aca="false">IF(AND(AA1062&gt;0,AB1062&gt;=Controls!$B$39*AA1062),1,0)</f>
        <v>0</v>
      </c>
      <c r="AD1062" s="65" t="n">
        <f aca="false">IF(AND(E1062&lt;&gt;"",E1062&gt;=Controls!$B$37,E1062&lt;=Controls!$B$38),1,0)</f>
        <v>1</v>
      </c>
      <c r="AE1062" s="65" t="n">
        <f aca="false">IF(IFERROR(VLOOKUP(D1062,Controls!$A$64:$E$74,2,FALSE()),"No")="Yes",1,0)</f>
        <v>0</v>
      </c>
      <c r="AF1062" s="65" t="n">
        <f aca="false">IF(IFERROR(VLOOKUP(D1062,Controls!$A$64:$E$74,3,FALSE()),"No")="Yes",1,0)</f>
        <v>0</v>
      </c>
      <c r="AG1062" s="65" t="n">
        <f aca="false">IF(IFERROR(VLOOKUP(D1062,Controls!$A$64:$E$74,4,FALSE()),"No")="Yes",1,0)</f>
        <v>0</v>
      </c>
      <c r="AH1062" s="65" t="n">
        <f aca="false">IF(IFERROR(VLOOKUP(D1062,Controls!$A$64:$E$74,5,FALSE()),"No")="Yes",1,0)</f>
        <v>1</v>
      </c>
      <c r="AI1062" s="65" t="n">
        <f aca="false">IF(ISNUMBER(MATCH(D1062,Controls!$A$64:$A$74,0)),1,0)</f>
        <v>1</v>
      </c>
      <c r="AJ1062" s="65" t="n">
        <f aca="false">Q1062-N1062</f>
        <v>-40222.98</v>
      </c>
      <c r="AK1062" s="65" t="n">
        <f aca="false">IF(AE1062=1,MAX(0,N1062-Q1062),0)</f>
        <v>0</v>
      </c>
      <c r="AL1062" s="65" t="n">
        <f aca="false">IF(OR(V1062="",V1062=0),0,N1062/V1062)</f>
        <v>0</v>
      </c>
      <c r="AM1062" s="65" t="n">
        <f aca="false">IF(OR(V1062="",V1062=0),0,1)</f>
        <v>0</v>
      </c>
      <c r="AN1062" s="65" t="n">
        <f aca="false">IF(OR(E1062="",F1062=""),0,NETWORKDAYS(E1062,F1062,Ref!$K$2:$K$42))</f>
        <v>11</v>
      </c>
      <c r="AO1062" s="65" t="n">
        <f aca="false">IF(L1062="Renewal",1,0)</f>
        <v>1</v>
      </c>
      <c r="AP1062" s="65" t="n">
        <f aca="false">AC1062*AD1062</f>
        <v>0</v>
      </c>
      <c r="AQ1062" s="65" t="n">
        <f aca="false">IF(AND(G1062&lt;&gt;"",'Historical Score'!$C$6&lt;&gt;""),IF(G1062='Historical Score'!$C$6,1,0),0)</f>
        <v>0</v>
      </c>
      <c r="AR1062" s="65" t="n">
        <f aca="false">IF(AND(L1062&lt;&gt;"",'Historical Score'!$C$5&lt;&gt;""),IF(L1062='Historical Score'!$C$5,1,0),0)</f>
        <v>0</v>
      </c>
      <c r="AS1062" s="65" t="n">
        <f aca="false">IF(AND(Y1062&lt;&gt;"",'Historical Score'!$C$7&lt;&gt;""),IF(Y1062='Historical Score'!$C$7,1,0),0)</f>
        <v>0</v>
      </c>
      <c r="AT1062" s="65" t="n">
        <f aca="false">IF(AND(K1062&lt;&gt;"",'Historical Score'!$C$8&lt;&gt;""),IF(K1062='Historical Score'!$C$8,1,0),0)</f>
        <v>1</v>
      </c>
      <c r="AU1062" s="65" t="n">
        <f aca="false">IF(AND(J1062&lt;&gt;"",'Historical Score'!$C$9&lt;&gt;""),IF(J1062='Historical Score'!$C$9,1,0),0)</f>
        <v>0</v>
      </c>
      <c r="AV1062" s="65" t="n">
        <f aca="false">AR1062*AS1062*AQ1062</f>
        <v>0</v>
      </c>
      <c r="AW1062" s="65" t="n">
        <f aca="false">AR1062*AT1062*AQ1062</f>
        <v>0</v>
      </c>
      <c r="AX1062" s="65" t="n">
        <f aca="false">AR1062*AS1062</f>
        <v>0</v>
      </c>
      <c r="AY1062" s="65" t="n">
        <f aca="false">AR1062*AT1062</f>
        <v>0</v>
      </c>
      <c r="AZ1062" s="65" t="n">
        <f aca="false">AR1062*AQ1062</f>
        <v>0</v>
      </c>
      <c r="BA1062" s="65" t="n">
        <f aca="false">AR1062</f>
        <v>0</v>
      </c>
      <c r="BB1062" s="65" t="n">
        <f aca="false">1</f>
        <v>1</v>
      </c>
      <c r="BC1062" s="65" t="n">
        <f aca="false">IF(AV1062=1,1,IF(AW1062=1,2,IF(AX1062=1,3,IF(AY1062=1,4,IF(AZ1062=1,5,IF(BA1062=1,6,7))))))</f>
        <v>7</v>
      </c>
      <c r="BD1062" s="65" t="n">
        <f aca="false">IF(AD1062=1,CHOOSE('Historical Score'!$C$29,AV1062,AW1062,AX1062,AY1062,AZ1062,BA1062,BB1062),0)</f>
        <v>0</v>
      </c>
      <c r="BE1062" s="65" t="str">
        <f aca="false">IF(BD1062=1,COUNTIF($BD$2:BD1062,1),"")</f>
        <v/>
      </c>
    </row>
    <row r="1063" customFormat="false" ht="15" hidden="false" customHeight="false" outlineLevel="0" collapsed="false">
      <c r="A1063" s="65" t="s">
        <v>3147</v>
      </c>
      <c r="B1063" s="65" t="s">
        <v>1202</v>
      </c>
      <c r="C1063" s="65" t="s">
        <v>1202</v>
      </c>
      <c r="D1063" s="65" t="s">
        <v>295</v>
      </c>
      <c r="E1063" s="112" t="n">
        <v>46234</v>
      </c>
      <c r="F1063" s="112" t="n">
        <v>46248</v>
      </c>
      <c r="G1063" s="65" t="n">
        <v>3</v>
      </c>
      <c r="H1063" s="65" t="s">
        <v>409</v>
      </c>
      <c r="I1063" s="65" t="s">
        <v>342</v>
      </c>
      <c r="J1063" s="65" t="s">
        <v>1203</v>
      </c>
      <c r="K1063" s="65" t="s">
        <v>1204</v>
      </c>
      <c r="L1063" s="65" t="s">
        <v>64</v>
      </c>
      <c r="M1063" s="113" t="n">
        <v>1.34</v>
      </c>
      <c r="N1063" s="114" t="n">
        <v>24000</v>
      </c>
      <c r="O1063" s="114" t="n">
        <v>1440</v>
      </c>
      <c r="P1063" s="114" t="n">
        <v>32160</v>
      </c>
      <c r="Q1063" s="114" t="n">
        <v>2007.86</v>
      </c>
      <c r="R1063" s="114" t="n">
        <v>30152.14</v>
      </c>
      <c r="S1063" s="115" t="n">
        <v>0.0624334577114428</v>
      </c>
      <c r="T1063" s="65" t="n">
        <v>32</v>
      </c>
      <c r="U1063" s="65" t="n">
        <v>0</v>
      </c>
      <c r="V1063" s="65" t="n">
        <v>126990.39</v>
      </c>
      <c r="W1063" s="115" t="n">
        <v>0.0447</v>
      </c>
      <c r="X1063" s="112" t="n">
        <v>46234</v>
      </c>
      <c r="Y1063" s="65" t="str">
        <f aca="false">IF(I1063="","No SIC",IFERROR(VLOOKUP(I1063,Ref!$A$2:$B$65,2,FALSE()),"Unclassified"))</f>
        <v>Eating &amp; Drinking Places</v>
      </c>
      <c r="Z1063" s="65" t="str">
        <f aca="false">IF(T1063="","",IF(T1063&lt;12,"Daily","Weekly"))</f>
        <v>Weekly</v>
      </c>
      <c r="AA1063" s="65" t="n">
        <f aca="false">IF(T1063="",0,IF(T1063&lt;12,T1063*Controls!$B$29,T1063*5))</f>
        <v>160</v>
      </c>
      <c r="AB1063" s="65" t="n">
        <f aca="false">IF(E1063="",0,NETWORKDAYS(E1063,Controls!$B$36,Ref!$K$2:$K$42))</f>
        <v>18</v>
      </c>
      <c r="AC1063" s="65" t="n">
        <f aca="false">IF(AND(AA1063&gt;0,AB1063&gt;=Controls!$B$39*AA1063),1,0)</f>
        <v>0</v>
      </c>
      <c r="AD1063" s="65" t="n">
        <f aca="false">IF(AND(E1063&lt;&gt;"",E1063&gt;=Controls!$B$37,E1063&lt;=Controls!$B$38),1,0)</f>
        <v>1</v>
      </c>
      <c r="AE1063" s="65" t="n">
        <f aca="false">IF(IFERROR(VLOOKUP(D1063,Controls!$A$64:$E$74,2,FALSE()),"No")="Yes",1,0)</f>
        <v>0</v>
      </c>
      <c r="AF1063" s="65" t="n">
        <f aca="false">IF(IFERROR(VLOOKUP(D1063,Controls!$A$64:$E$74,3,FALSE()),"No")="Yes",1,0)</f>
        <v>0</v>
      </c>
      <c r="AG1063" s="65" t="n">
        <f aca="false">IF(IFERROR(VLOOKUP(D1063,Controls!$A$64:$E$74,4,FALSE()),"No")="Yes",1,0)</f>
        <v>0</v>
      </c>
      <c r="AH1063" s="65" t="n">
        <f aca="false">IF(IFERROR(VLOOKUP(D1063,Controls!$A$64:$E$74,5,FALSE()),"No")="Yes",1,0)</f>
        <v>1</v>
      </c>
      <c r="AI1063" s="65" t="n">
        <f aca="false">IF(ISNUMBER(MATCH(D1063,Controls!$A$64:$A$74,0)),1,0)</f>
        <v>1</v>
      </c>
      <c r="AJ1063" s="65" t="n">
        <f aca="false">Q1063-N1063</f>
        <v>-21992.14</v>
      </c>
      <c r="AK1063" s="65" t="n">
        <f aca="false">IF(AE1063=1,MAX(0,N1063-Q1063),0)</f>
        <v>0</v>
      </c>
      <c r="AL1063" s="65" t="n">
        <f aca="false">IF(OR(V1063="",V1063=0),0,N1063/V1063)</f>
        <v>0.188990678743486</v>
      </c>
      <c r="AM1063" s="65" t="n">
        <f aca="false">IF(OR(V1063="",V1063=0),0,1)</f>
        <v>1</v>
      </c>
      <c r="AN1063" s="65" t="n">
        <f aca="false">IF(OR(E1063="",F1063=""),0,NETWORKDAYS(E1063,F1063,Ref!$K$2:$K$42))</f>
        <v>11</v>
      </c>
      <c r="AO1063" s="65" t="n">
        <f aca="false">IF(L1063="Renewal",1,0)</f>
        <v>0</v>
      </c>
      <c r="AP1063" s="65" t="n">
        <f aca="false">AC1063*AD1063</f>
        <v>0</v>
      </c>
      <c r="AQ1063" s="65" t="n">
        <f aca="false">IF(AND(G1063&lt;&gt;"",'Historical Score'!$C$6&lt;&gt;""),IF(G1063='Historical Score'!$C$6,1,0),0)</f>
        <v>0</v>
      </c>
      <c r="AR1063" s="65" t="n">
        <f aca="false">IF(AND(L1063&lt;&gt;"",'Historical Score'!$C$5&lt;&gt;""),IF(L1063='Historical Score'!$C$5,1,0),0)</f>
        <v>1</v>
      </c>
      <c r="AS1063" s="65" t="n">
        <f aca="false">IF(AND(Y1063&lt;&gt;"",'Historical Score'!$C$7&lt;&gt;""),IF(Y1063='Historical Score'!$C$7,1,0),0)</f>
        <v>0</v>
      </c>
      <c r="AT1063" s="65" t="n">
        <f aca="false">IF(AND(K1063&lt;&gt;"",'Historical Score'!$C$8&lt;&gt;""),IF(K1063='Historical Score'!$C$8,1,0),0)</f>
        <v>0</v>
      </c>
      <c r="AU1063" s="65" t="n">
        <f aca="false">IF(AND(J1063&lt;&gt;"",'Historical Score'!$C$9&lt;&gt;""),IF(J1063='Historical Score'!$C$9,1,0),0)</f>
        <v>0</v>
      </c>
      <c r="AV1063" s="65" t="n">
        <f aca="false">AR1063*AS1063*AQ1063</f>
        <v>0</v>
      </c>
      <c r="AW1063" s="65" t="n">
        <f aca="false">AR1063*AT1063*AQ1063</f>
        <v>0</v>
      </c>
      <c r="AX1063" s="65" t="n">
        <f aca="false">AR1063*AS1063</f>
        <v>0</v>
      </c>
      <c r="AY1063" s="65" t="n">
        <f aca="false">AR1063*AT1063</f>
        <v>0</v>
      </c>
      <c r="AZ1063" s="65" t="n">
        <f aca="false">AR1063*AQ1063</f>
        <v>0</v>
      </c>
      <c r="BA1063" s="65" t="n">
        <f aca="false">AR1063</f>
        <v>1</v>
      </c>
      <c r="BB1063" s="65" t="n">
        <f aca="false">1</f>
        <v>1</v>
      </c>
      <c r="BC1063" s="65" t="n">
        <f aca="false">IF(AV1063=1,1,IF(AW1063=1,2,IF(AX1063=1,3,IF(AY1063=1,4,IF(AZ1063=1,5,IF(BA1063=1,6,7))))))</f>
        <v>6</v>
      </c>
      <c r="BD1063" s="65" t="n">
        <f aca="false">IF(AD1063=1,CHOOSE('Historical Score'!$C$29,AV1063,AW1063,AX1063,AY1063,AZ1063,BA1063,BB1063),0)</f>
        <v>0</v>
      </c>
      <c r="BE1063" s="65" t="str">
        <f aca="false">IF(BD1063=1,COUNTIF($BD$2:BD1063,1),"")</f>
        <v/>
      </c>
    </row>
    <row r="1064" customFormat="false" ht="15" hidden="false" customHeight="false" outlineLevel="0" collapsed="false">
      <c r="A1064" s="65" t="s">
        <v>3148</v>
      </c>
      <c r="B1064" s="65" t="s">
        <v>3149</v>
      </c>
      <c r="C1064" s="65" t="s">
        <v>3150</v>
      </c>
      <c r="D1064" s="65" t="s">
        <v>295</v>
      </c>
      <c r="E1064" s="112" t="n">
        <v>46237</v>
      </c>
      <c r="F1064" s="112" t="n">
        <v>46248</v>
      </c>
      <c r="G1064" s="65" t="n">
        <v>2</v>
      </c>
      <c r="H1064" s="65" t="s">
        <v>752</v>
      </c>
      <c r="I1064" s="65" t="s">
        <v>405</v>
      </c>
      <c r="J1064" s="65" t="s">
        <v>1586</v>
      </c>
      <c r="K1064" s="65" t="s">
        <v>578</v>
      </c>
      <c r="L1064" s="65" t="s">
        <v>64</v>
      </c>
      <c r="M1064" s="113" t="n">
        <v>1.47</v>
      </c>
      <c r="N1064" s="114" t="n">
        <v>175000</v>
      </c>
      <c r="O1064" s="114" t="n">
        <v>22750</v>
      </c>
      <c r="P1064" s="114" t="n">
        <v>257250</v>
      </c>
      <c r="Q1064" s="114" t="n">
        <v>17156.88</v>
      </c>
      <c r="R1064" s="114" t="n">
        <v>240093.12</v>
      </c>
      <c r="S1064" s="115" t="n">
        <v>0.0666934110787172</v>
      </c>
      <c r="T1064" s="65" t="n">
        <v>30</v>
      </c>
      <c r="U1064" s="65" t="n">
        <v>0</v>
      </c>
      <c r="V1064" s="65" t="n">
        <v>341624.9</v>
      </c>
      <c r="W1064" s="115" t="n">
        <v>0.1004</v>
      </c>
      <c r="X1064" s="112" t="n">
        <v>45437</v>
      </c>
      <c r="Y1064" s="65" t="str">
        <f aca="false">IF(I1064="","No SIC",IFERROR(VLOOKUP(I1064,Ref!$A$2:$B$65,2,FALSE()),"Unclassified"))</f>
        <v>Health Services</v>
      </c>
      <c r="Z1064" s="65" t="str">
        <f aca="false">IF(T1064="","",IF(T1064&lt;12,"Daily","Weekly"))</f>
        <v>Weekly</v>
      </c>
      <c r="AA1064" s="65" t="n">
        <f aca="false">IF(T1064="",0,IF(T1064&lt;12,T1064*Controls!$B$29,T1064*5))</f>
        <v>150</v>
      </c>
      <c r="AB1064" s="65" t="n">
        <f aca="false">IF(E1064="",0,NETWORKDAYS(E1064,Controls!$B$36,Ref!$K$2:$K$42))</f>
        <v>17</v>
      </c>
      <c r="AC1064" s="65" t="n">
        <f aca="false">IF(AND(AA1064&gt;0,AB1064&gt;=Controls!$B$39*AA1064),1,0)</f>
        <v>0</v>
      </c>
      <c r="AD1064" s="65" t="n">
        <f aca="false">IF(AND(E1064&lt;&gt;"",E1064&gt;=Controls!$B$37,E1064&lt;=Controls!$B$38),1,0)</f>
        <v>1</v>
      </c>
      <c r="AE1064" s="65" t="n">
        <f aca="false">IF(IFERROR(VLOOKUP(D1064,Controls!$A$64:$E$74,2,FALSE()),"No")="Yes",1,0)</f>
        <v>0</v>
      </c>
      <c r="AF1064" s="65" t="n">
        <f aca="false">IF(IFERROR(VLOOKUP(D1064,Controls!$A$64:$E$74,3,FALSE()),"No")="Yes",1,0)</f>
        <v>0</v>
      </c>
      <c r="AG1064" s="65" t="n">
        <f aca="false">IF(IFERROR(VLOOKUP(D1064,Controls!$A$64:$E$74,4,FALSE()),"No")="Yes",1,0)</f>
        <v>0</v>
      </c>
      <c r="AH1064" s="65" t="n">
        <f aca="false">IF(IFERROR(VLOOKUP(D1064,Controls!$A$64:$E$74,5,FALSE()),"No")="Yes",1,0)</f>
        <v>1</v>
      </c>
      <c r="AI1064" s="65" t="n">
        <f aca="false">IF(ISNUMBER(MATCH(D1064,Controls!$A$64:$A$74,0)),1,0)</f>
        <v>1</v>
      </c>
      <c r="AJ1064" s="65" t="n">
        <f aca="false">Q1064-N1064</f>
        <v>-157843.12</v>
      </c>
      <c r="AK1064" s="65" t="n">
        <f aca="false">IF(AE1064=1,MAX(0,N1064-Q1064),0)</f>
        <v>0</v>
      </c>
      <c r="AL1064" s="65" t="n">
        <f aca="false">IF(OR(V1064="",V1064=0),0,N1064/V1064)</f>
        <v>0.512257742336697</v>
      </c>
      <c r="AM1064" s="65" t="n">
        <f aca="false">IF(OR(V1064="",V1064=0),0,1)</f>
        <v>1</v>
      </c>
      <c r="AN1064" s="65" t="n">
        <f aca="false">IF(OR(E1064="",F1064=""),0,NETWORKDAYS(E1064,F1064,Ref!$K$2:$K$42))</f>
        <v>10</v>
      </c>
      <c r="AO1064" s="65" t="n">
        <f aca="false">IF(L1064="Renewal",1,0)</f>
        <v>0</v>
      </c>
      <c r="AP1064" s="65" t="n">
        <f aca="false">AC1064*AD1064</f>
        <v>0</v>
      </c>
      <c r="AQ1064" s="65" t="n">
        <f aca="false">IF(AND(G1064&lt;&gt;"",'Historical Score'!$C$6&lt;&gt;""),IF(G1064='Historical Score'!$C$6,1,0),0)</f>
        <v>1</v>
      </c>
      <c r="AR1064" s="65" t="n">
        <f aca="false">IF(AND(L1064&lt;&gt;"",'Historical Score'!$C$5&lt;&gt;""),IF(L1064='Historical Score'!$C$5,1,0),0)</f>
        <v>1</v>
      </c>
      <c r="AS1064" s="65" t="n">
        <f aca="false">IF(AND(Y1064&lt;&gt;"",'Historical Score'!$C$7&lt;&gt;""),IF(Y1064='Historical Score'!$C$7,1,0),0)</f>
        <v>0</v>
      </c>
      <c r="AT1064" s="65" t="n">
        <f aca="false">IF(AND(K1064&lt;&gt;"",'Historical Score'!$C$8&lt;&gt;""),IF(K1064='Historical Score'!$C$8,1,0),0)</f>
        <v>0</v>
      </c>
      <c r="AU1064" s="65" t="n">
        <f aca="false">IF(AND(J1064&lt;&gt;"",'Historical Score'!$C$9&lt;&gt;""),IF(J1064='Historical Score'!$C$9,1,0),0)</f>
        <v>0</v>
      </c>
      <c r="AV1064" s="65" t="n">
        <f aca="false">AR1064*AS1064*AQ1064</f>
        <v>0</v>
      </c>
      <c r="AW1064" s="65" t="n">
        <f aca="false">AR1064*AT1064*AQ1064</f>
        <v>0</v>
      </c>
      <c r="AX1064" s="65" t="n">
        <f aca="false">AR1064*AS1064</f>
        <v>0</v>
      </c>
      <c r="AY1064" s="65" t="n">
        <f aca="false">AR1064*AT1064</f>
        <v>0</v>
      </c>
      <c r="AZ1064" s="65" t="n">
        <f aca="false">AR1064*AQ1064</f>
        <v>1</v>
      </c>
      <c r="BA1064" s="65" t="n">
        <f aca="false">AR1064</f>
        <v>1</v>
      </c>
      <c r="BB1064" s="65" t="n">
        <f aca="false">1</f>
        <v>1</v>
      </c>
      <c r="BC1064" s="65" t="n">
        <f aca="false">IF(AV1064=1,1,IF(AW1064=1,2,IF(AX1064=1,3,IF(AY1064=1,4,IF(AZ1064=1,5,IF(BA1064=1,6,7))))))</f>
        <v>5</v>
      </c>
      <c r="BD1064" s="65" t="n">
        <f aca="false">IF(AD1064=1,CHOOSE('Historical Score'!$C$29,AV1064,AW1064,AX1064,AY1064,AZ1064,BA1064,BB1064),0)</f>
        <v>0</v>
      </c>
      <c r="BE1064" s="65" t="str">
        <f aca="false">IF(BD1064=1,COUNTIF($BD$2:BD1064,1),"")</f>
        <v/>
      </c>
    </row>
    <row r="1065" customFormat="false" ht="15" hidden="false" customHeight="false" outlineLevel="0" collapsed="false">
      <c r="A1065" s="65" t="s">
        <v>3151</v>
      </c>
      <c r="B1065" s="65" t="s">
        <v>3152</v>
      </c>
      <c r="C1065" s="65" t="s">
        <v>3153</v>
      </c>
      <c r="D1065" s="65" t="s">
        <v>295</v>
      </c>
      <c r="E1065" s="112" t="n">
        <v>46239</v>
      </c>
      <c r="F1065" s="112" t="n">
        <v>46252</v>
      </c>
      <c r="G1065" s="65" t="n">
        <v>2</v>
      </c>
      <c r="H1065" s="65" t="s">
        <v>1010</v>
      </c>
      <c r="I1065" s="65" t="s">
        <v>405</v>
      </c>
      <c r="J1065" s="65" t="s">
        <v>658</v>
      </c>
      <c r="K1065" s="65" t="s">
        <v>578</v>
      </c>
      <c r="L1065" s="65" t="s">
        <v>64</v>
      </c>
      <c r="M1065" s="113" t="n">
        <v>1.36</v>
      </c>
      <c r="N1065" s="114" t="n">
        <v>75000</v>
      </c>
      <c r="O1065" s="114" t="n">
        <v>5625</v>
      </c>
      <c r="P1065" s="114" t="n">
        <v>102000</v>
      </c>
      <c r="Q1065" s="114" t="n">
        <v>6375</v>
      </c>
      <c r="R1065" s="114" t="n">
        <v>95625</v>
      </c>
      <c r="S1065" s="115" t="n">
        <v>0.0625</v>
      </c>
      <c r="T1065" s="65" t="n">
        <v>32</v>
      </c>
      <c r="U1065" s="65" t="n">
        <v>0</v>
      </c>
      <c r="V1065" s="65" t="n">
        <v>29886.36</v>
      </c>
      <c r="W1065" s="115" t="n">
        <v>0.085</v>
      </c>
      <c r="X1065" s="112" t="n">
        <v>38893</v>
      </c>
      <c r="Y1065" s="65" t="str">
        <f aca="false">IF(I1065="","No SIC",IFERROR(VLOOKUP(I1065,Ref!$A$2:$B$65,2,FALSE()),"Unclassified"))</f>
        <v>Health Services</v>
      </c>
      <c r="Z1065" s="65" t="str">
        <f aca="false">IF(T1065="","",IF(T1065&lt;12,"Daily","Weekly"))</f>
        <v>Weekly</v>
      </c>
      <c r="AA1065" s="65" t="n">
        <f aca="false">IF(T1065="",0,IF(T1065&lt;12,T1065*Controls!$B$29,T1065*5))</f>
        <v>160</v>
      </c>
      <c r="AB1065" s="65" t="n">
        <f aca="false">IF(E1065="",0,NETWORKDAYS(E1065,Controls!$B$36,Ref!$K$2:$K$42))</f>
        <v>15</v>
      </c>
      <c r="AC1065" s="65" t="n">
        <f aca="false">IF(AND(AA1065&gt;0,AB1065&gt;=Controls!$B$39*AA1065),1,0)</f>
        <v>0</v>
      </c>
      <c r="AD1065" s="65" t="n">
        <f aca="false">IF(AND(E1065&lt;&gt;"",E1065&gt;=Controls!$B$37,E1065&lt;=Controls!$B$38),1,0)</f>
        <v>1</v>
      </c>
      <c r="AE1065" s="65" t="n">
        <f aca="false">IF(IFERROR(VLOOKUP(D1065,Controls!$A$64:$E$74,2,FALSE()),"No")="Yes",1,0)</f>
        <v>0</v>
      </c>
      <c r="AF1065" s="65" t="n">
        <f aca="false">IF(IFERROR(VLOOKUP(D1065,Controls!$A$64:$E$74,3,FALSE()),"No")="Yes",1,0)</f>
        <v>0</v>
      </c>
      <c r="AG1065" s="65" t="n">
        <f aca="false">IF(IFERROR(VLOOKUP(D1065,Controls!$A$64:$E$74,4,FALSE()),"No")="Yes",1,0)</f>
        <v>0</v>
      </c>
      <c r="AH1065" s="65" t="n">
        <f aca="false">IF(IFERROR(VLOOKUP(D1065,Controls!$A$64:$E$74,5,FALSE()),"No")="Yes",1,0)</f>
        <v>1</v>
      </c>
      <c r="AI1065" s="65" t="n">
        <f aca="false">IF(ISNUMBER(MATCH(D1065,Controls!$A$64:$A$74,0)),1,0)</f>
        <v>1</v>
      </c>
      <c r="AJ1065" s="65" t="n">
        <f aca="false">Q1065-N1065</f>
        <v>-68625</v>
      </c>
      <c r="AK1065" s="65" t="n">
        <f aca="false">IF(AE1065=1,MAX(0,N1065-Q1065),0)</f>
        <v>0</v>
      </c>
      <c r="AL1065" s="65" t="n">
        <f aca="false">IF(OR(V1065="",V1065=0),0,N1065/V1065)</f>
        <v>2.50950600876119</v>
      </c>
      <c r="AM1065" s="65" t="n">
        <f aca="false">IF(OR(V1065="",V1065=0),0,1)</f>
        <v>1</v>
      </c>
      <c r="AN1065" s="65" t="n">
        <f aca="false">IF(OR(E1065="",F1065=""),0,NETWORKDAYS(E1065,F1065,Ref!$K$2:$K$42))</f>
        <v>10</v>
      </c>
      <c r="AO1065" s="65" t="n">
        <f aca="false">IF(L1065="Renewal",1,0)</f>
        <v>0</v>
      </c>
      <c r="AP1065" s="65" t="n">
        <f aca="false">AC1065*AD1065</f>
        <v>0</v>
      </c>
      <c r="AQ1065" s="65" t="n">
        <f aca="false">IF(AND(G1065&lt;&gt;"",'Historical Score'!$C$6&lt;&gt;""),IF(G1065='Historical Score'!$C$6,1,0),0)</f>
        <v>1</v>
      </c>
      <c r="AR1065" s="65" t="n">
        <f aca="false">IF(AND(L1065&lt;&gt;"",'Historical Score'!$C$5&lt;&gt;""),IF(L1065='Historical Score'!$C$5,1,0),0)</f>
        <v>1</v>
      </c>
      <c r="AS1065" s="65" t="n">
        <f aca="false">IF(AND(Y1065&lt;&gt;"",'Historical Score'!$C$7&lt;&gt;""),IF(Y1065='Historical Score'!$C$7,1,0),0)</f>
        <v>0</v>
      </c>
      <c r="AT1065" s="65" t="n">
        <f aca="false">IF(AND(K1065&lt;&gt;"",'Historical Score'!$C$8&lt;&gt;""),IF(K1065='Historical Score'!$C$8,1,0),0)</f>
        <v>0</v>
      </c>
      <c r="AU1065" s="65" t="n">
        <f aca="false">IF(AND(J1065&lt;&gt;"",'Historical Score'!$C$9&lt;&gt;""),IF(J1065='Historical Score'!$C$9,1,0),0)</f>
        <v>0</v>
      </c>
      <c r="AV1065" s="65" t="n">
        <f aca="false">AR1065*AS1065*AQ1065</f>
        <v>0</v>
      </c>
      <c r="AW1065" s="65" t="n">
        <f aca="false">AR1065*AT1065*AQ1065</f>
        <v>0</v>
      </c>
      <c r="AX1065" s="65" t="n">
        <f aca="false">AR1065*AS1065</f>
        <v>0</v>
      </c>
      <c r="AY1065" s="65" t="n">
        <f aca="false">AR1065*AT1065</f>
        <v>0</v>
      </c>
      <c r="AZ1065" s="65" t="n">
        <f aca="false">AR1065*AQ1065</f>
        <v>1</v>
      </c>
      <c r="BA1065" s="65" t="n">
        <f aca="false">AR1065</f>
        <v>1</v>
      </c>
      <c r="BB1065" s="65" t="n">
        <f aca="false">1</f>
        <v>1</v>
      </c>
      <c r="BC1065" s="65" t="n">
        <f aca="false">IF(AV1065=1,1,IF(AW1065=1,2,IF(AX1065=1,3,IF(AY1065=1,4,IF(AZ1065=1,5,IF(BA1065=1,6,7))))))</f>
        <v>5</v>
      </c>
      <c r="BD1065" s="65" t="n">
        <f aca="false">IF(AD1065=1,CHOOSE('Historical Score'!$C$29,AV1065,AW1065,AX1065,AY1065,AZ1065,BA1065,BB1065),0)</f>
        <v>0</v>
      </c>
      <c r="BE1065" s="65" t="str">
        <f aca="false">IF(BD1065=1,COUNTIF($BD$2:BD1065,1),"")</f>
        <v/>
      </c>
    </row>
    <row r="1066" customFormat="false" ht="15" hidden="false" customHeight="false" outlineLevel="0" collapsed="false">
      <c r="A1066" s="65" t="s">
        <v>3154</v>
      </c>
      <c r="B1066" s="65" t="s">
        <v>2291</v>
      </c>
      <c r="C1066" s="65" t="s">
        <v>2292</v>
      </c>
      <c r="D1066" s="65" t="s">
        <v>295</v>
      </c>
      <c r="E1066" s="112" t="n">
        <v>46240</v>
      </c>
      <c r="F1066" s="112" t="n">
        <v>46248</v>
      </c>
      <c r="G1066" s="65" t="n">
        <v>2</v>
      </c>
      <c r="H1066" s="65" t="s">
        <v>409</v>
      </c>
      <c r="I1066" s="65" t="s">
        <v>342</v>
      </c>
      <c r="J1066" s="65" t="s">
        <v>452</v>
      </c>
      <c r="K1066" s="65" t="s">
        <v>1529</v>
      </c>
      <c r="L1066" s="65" t="s">
        <v>320</v>
      </c>
      <c r="M1066" s="113" t="n">
        <v>1.49</v>
      </c>
      <c r="N1066" s="114" t="n">
        <v>27000</v>
      </c>
      <c r="O1066" s="114" t="n">
        <v>3780</v>
      </c>
      <c r="P1066" s="114" t="n">
        <v>40230</v>
      </c>
      <c r="Q1066" s="114" t="n">
        <v>1547.25</v>
      </c>
      <c r="R1066" s="114" t="n">
        <v>38682.75</v>
      </c>
      <c r="S1066" s="115" t="n">
        <v>0.0384601043997017</v>
      </c>
      <c r="T1066" s="65" t="n">
        <v>26</v>
      </c>
      <c r="U1066" s="65" t="n">
        <v>0</v>
      </c>
      <c r="V1066" s="65" t="n">
        <v>58969.27</v>
      </c>
      <c r="W1066" s="115" t="n">
        <v>0.0999</v>
      </c>
      <c r="X1066" s="112" t="n">
        <v>45355</v>
      </c>
      <c r="Y1066" s="65" t="str">
        <f aca="false">IF(I1066="","No SIC",IFERROR(VLOOKUP(I1066,Ref!$A$2:$B$65,2,FALSE()),"Unclassified"))</f>
        <v>Eating &amp; Drinking Places</v>
      </c>
      <c r="Z1066" s="65" t="str">
        <f aca="false">IF(T1066="","",IF(T1066&lt;12,"Daily","Weekly"))</f>
        <v>Weekly</v>
      </c>
      <c r="AA1066" s="65" t="n">
        <f aca="false">IF(T1066="",0,IF(T1066&lt;12,T1066*Controls!$B$29,T1066*5))</f>
        <v>130</v>
      </c>
      <c r="AB1066" s="65" t="n">
        <f aca="false">IF(E1066="",0,NETWORKDAYS(E1066,Controls!$B$36,Ref!$K$2:$K$42))</f>
        <v>14</v>
      </c>
      <c r="AC1066" s="65" t="n">
        <f aca="false">IF(AND(AA1066&gt;0,AB1066&gt;=Controls!$B$39*AA1066),1,0)</f>
        <v>0</v>
      </c>
      <c r="AD1066" s="65" t="n">
        <f aca="false">IF(AND(E1066&lt;&gt;"",E1066&gt;=Controls!$B$37,E1066&lt;=Controls!$B$38),1,0)</f>
        <v>1</v>
      </c>
      <c r="AE1066" s="65" t="n">
        <f aca="false">IF(IFERROR(VLOOKUP(D1066,Controls!$A$64:$E$74,2,FALSE()),"No")="Yes",1,0)</f>
        <v>0</v>
      </c>
      <c r="AF1066" s="65" t="n">
        <f aca="false">IF(IFERROR(VLOOKUP(D1066,Controls!$A$64:$E$74,3,FALSE()),"No")="Yes",1,0)</f>
        <v>0</v>
      </c>
      <c r="AG1066" s="65" t="n">
        <f aca="false">IF(IFERROR(VLOOKUP(D1066,Controls!$A$64:$E$74,4,FALSE()),"No")="Yes",1,0)</f>
        <v>0</v>
      </c>
      <c r="AH1066" s="65" t="n">
        <f aca="false">IF(IFERROR(VLOOKUP(D1066,Controls!$A$64:$E$74,5,FALSE()),"No")="Yes",1,0)</f>
        <v>1</v>
      </c>
      <c r="AI1066" s="65" t="n">
        <f aca="false">IF(ISNUMBER(MATCH(D1066,Controls!$A$64:$A$74,0)),1,0)</f>
        <v>1</v>
      </c>
      <c r="AJ1066" s="65" t="n">
        <f aca="false">Q1066-N1066</f>
        <v>-25452.75</v>
      </c>
      <c r="AK1066" s="65" t="n">
        <f aca="false">IF(AE1066=1,MAX(0,N1066-Q1066),0)</f>
        <v>0</v>
      </c>
      <c r="AL1066" s="65" t="n">
        <f aca="false">IF(OR(V1066="",V1066=0),0,N1066/V1066)</f>
        <v>0.457865596776084</v>
      </c>
      <c r="AM1066" s="65" t="n">
        <f aca="false">IF(OR(V1066="",V1066=0),0,1)</f>
        <v>1</v>
      </c>
      <c r="AN1066" s="65" t="n">
        <f aca="false">IF(OR(E1066="",F1066=""),0,NETWORKDAYS(E1066,F1066,Ref!$K$2:$K$42))</f>
        <v>7</v>
      </c>
      <c r="AO1066" s="65" t="n">
        <f aca="false">IF(L1066="Renewal",1,0)</f>
        <v>1</v>
      </c>
      <c r="AP1066" s="65" t="n">
        <f aca="false">AC1066*AD1066</f>
        <v>0</v>
      </c>
      <c r="AQ1066" s="65" t="n">
        <f aca="false">IF(AND(G1066&lt;&gt;"",'Historical Score'!$C$6&lt;&gt;""),IF(G1066='Historical Score'!$C$6,1,0),0)</f>
        <v>1</v>
      </c>
      <c r="AR1066" s="65" t="n">
        <f aca="false">IF(AND(L1066&lt;&gt;"",'Historical Score'!$C$5&lt;&gt;""),IF(L1066='Historical Score'!$C$5,1,0),0)</f>
        <v>0</v>
      </c>
      <c r="AS1066" s="65" t="n">
        <f aca="false">IF(AND(Y1066&lt;&gt;"",'Historical Score'!$C$7&lt;&gt;""),IF(Y1066='Historical Score'!$C$7,1,0),0)</f>
        <v>0</v>
      </c>
      <c r="AT1066" s="65" t="n">
        <f aca="false">IF(AND(K1066&lt;&gt;"",'Historical Score'!$C$8&lt;&gt;""),IF(K1066='Historical Score'!$C$8,1,0),0)</f>
        <v>0</v>
      </c>
      <c r="AU1066" s="65" t="n">
        <f aca="false">IF(AND(J1066&lt;&gt;"",'Historical Score'!$C$9&lt;&gt;""),IF(J1066='Historical Score'!$C$9,1,0),0)</f>
        <v>0</v>
      </c>
      <c r="AV1066" s="65" t="n">
        <f aca="false">AR1066*AS1066*AQ1066</f>
        <v>0</v>
      </c>
      <c r="AW1066" s="65" t="n">
        <f aca="false">AR1066*AT1066*AQ1066</f>
        <v>0</v>
      </c>
      <c r="AX1066" s="65" t="n">
        <f aca="false">AR1066*AS1066</f>
        <v>0</v>
      </c>
      <c r="AY1066" s="65" t="n">
        <f aca="false">AR1066*AT1066</f>
        <v>0</v>
      </c>
      <c r="AZ1066" s="65" t="n">
        <f aca="false">AR1066*AQ1066</f>
        <v>0</v>
      </c>
      <c r="BA1066" s="65" t="n">
        <f aca="false">AR1066</f>
        <v>0</v>
      </c>
      <c r="BB1066" s="65" t="n">
        <f aca="false">1</f>
        <v>1</v>
      </c>
      <c r="BC1066" s="65" t="n">
        <f aca="false">IF(AV1066=1,1,IF(AW1066=1,2,IF(AX1066=1,3,IF(AY1066=1,4,IF(AZ1066=1,5,IF(BA1066=1,6,7))))))</f>
        <v>7</v>
      </c>
      <c r="BD1066" s="65" t="n">
        <f aca="false">IF(AD1066=1,CHOOSE('Historical Score'!$C$29,AV1066,AW1066,AX1066,AY1066,AZ1066,BA1066,BB1066),0)</f>
        <v>0</v>
      </c>
      <c r="BE1066" s="65" t="str">
        <f aca="false">IF(BD1066=1,COUNTIF($BD$2:BD1066,1),"")</f>
        <v/>
      </c>
    </row>
    <row r="1067" customFormat="false" ht="15" hidden="false" customHeight="false" outlineLevel="0" collapsed="false">
      <c r="A1067" s="65" t="s">
        <v>3155</v>
      </c>
      <c r="B1067" s="65" t="s">
        <v>3156</v>
      </c>
      <c r="C1067" s="65" t="s">
        <v>3157</v>
      </c>
      <c r="D1067" s="65" t="s">
        <v>295</v>
      </c>
      <c r="E1067" s="112" t="n">
        <v>46240</v>
      </c>
      <c r="F1067" s="112" t="n">
        <v>46253</v>
      </c>
      <c r="G1067" s="65" t="n">
        <v>8</v>
      </c>
      <c r="H1067" s="65" t="s">
        <v>483</v>
      </c>
      <c r="I1067" s="65" t="s">
        <v>484</v>
      </c>
      <c r="J1067" s="65" t="s">
        <v>399</v>
      </c>
      <c r="K1067" s="65" t="s">
        <v>773</v>
      </c>
      <c r="L1067" s="65" t="s">
        <v>320</v>
      </c>
      <c r="M1067" s="113" t="n">
        <v>1.49</v>
      </c>
      <c r="N1067" s="114" t="n">
        <v>120000</v>
      </c>
      <c r="O1067" s="114" t="n">
        <v>16800</v>
      </c>
      <c r="P1067" s="114" t="n">
        <v>178800</v>
      </c>
      <c r="Q1067" s="114" t="n">
        <v>13874.42</v>
      </c>
      <c r="R1067" s="114" t="n">
        <v>164925.58</v>
      </c>
      <c r="S1067" s="115" t="n">
        <v>0.0775974272930649</v>
      </c>
      <c r="T1067" s="65" t="n">
        <v>4.557</v>
      </c>
      <c r="U1067" s="65" t="n">
        <v>0</v>
      </c>
      <c r="V1067" s="65" t="n">
        <v>220171.86</v>
      </c>
      <c r="W1067" s="115" t="n">
        <v>0.0884</v>
      </c>
      <c r="X1067" s="112"/>
      <c r="Y1067" s="65" t="str">
        <f aca="false">IF(I1067="","No SIC",IFERROR(VLOOKUP(I1067,Ref!$A$2:$B$65,2,FALSE()),"Unclassified"))</f>
        <v>Special Trade Contractors</v>
      </c>
      <c r="Z1067" s="65" t="str">
        <f aca="false">IF(T1067="","",IF(T1067&lt;12,"Daily","Weekly"))</f>
        <v>Daily</v>
      </c>
      <c r="AA1067" s="65" t="n">
        <f aca="false">IF(T1067="",0,IF(T1067&lt;12,T1067*Controls!$B$29,T1067*5))</f>
        <v>98.681835</v>
      </c>
      <c r="AB1067" s="65" t="n">
        <f aca="false">IF(E1067="",0,NETWORKDAYS(E1067,Controls!$B$36,Ref!$K$2:$K$42))</f>
        <v>14</v>
      </c>
      <c r="AC1067" s="65" t="n">
        <f aca="false">IF(AND(AA1067&gt;0,AB1067&gt;=Controls!$B$39*AA1067),1,0)</f>
        <v>0</v>
      </c>
      <c r="AD1067" s="65" t="n">
        <f aca="false">IF(AND(E1067&lt;&gt;"",E1067&gt;=Controls!$B$37,E1067&lt;=Controls!$B$38),1,0)</f>
        <v>1</v>
      </c>
      <c r="AE1067" s="65" t="n">
        <f aca="false">IF(IFERROR(VLOOKUP(D1067,Controls!$A$64:$E$74,2,FALSE()),"No")="Yes",1,0)</f>
        <v>0</v>
      </c>
      <c r="AF1067" s="65" t="n">
        <f aca="false">IF(IFERROR(VLOOKUP(D1067,Controls!$A$64:$E$74,3,FALSE()),"No")="Yes",1,0)</f>
        <v>0</v>
      </c>
      <c r="AG1067" s="65" t="n">
        <f aca="false">IF(IFERROR(VLOOKUP(D1067,Controls!$A$64:$E$74,4,FALSE()),"No")="Yes",1,0)</f>
        <v>0</v>
      </c>
      <c r="AH1067" s="65" t="n">
        <f aca="false">IF(IFERROR(VLOOKUP(D1067,Controls!$A$64:$E$74,5,FALSE()),"No")="Yes",1,0)</f>
        <v>1</v>
      </c>
      <c r="AI1067" s="65" t="n">
        <f aca="false">IF(ISNUMBER(MATCH(D1067,Controls!$A$64:$A$74,0)),1,0)</f>
        <v>1</v>
      </c>
      <c r="AJ1067" s="65" t="n">
        <f aca="false">Q1067-N1067</f>
        <v>-106125.58</v>
      </c>
      <c r="AK1067" s="65" t="n">
        <f aca="false">IF(AE1067=1,MAX(0,N1067-Q1067),0)</f>
        <v>0</v>
      </c>
      <c r="AL1067" s="65" t="n">
        <f aca="false">IF(OR(V1067="",V1067=0),0,N1067/V1067)</f>
        <v>0.545028778882097</v>
      </c>
      <c r="AM1067" s="65" t="n">
        <f aca="false">IF(OR(V1067="",V1067=0),0,1)</f>
        <v>1</v>
      </c>
      <c r="AN1067" s="65" t="n">
        <f aca="false">IF(OR(E1067="",F1067=""),0,NETWORKDAYS(E1067,F1067,Ref!$K$2:$K$42))</f>
        <v>10</v>
      </c>
      <c r="AO1067" s="65" t="n">
        <f aca="false">IF(L1067="Renewal",1,0)</f>
        <v>1</v>
      </c>
      <c r="AP1067" s="65" t="n">
        <f aca="false">AC1067*AD1067</f>
        <v>0</v>
      </c>
      <c r="AQ1067" s="65" t="n">
        <f aca="false">IF(AND(G1067&lt;&gt;"",'Historical Score'!$C$6&lt;&gt;""),IF(G1067='Historical Score'!$C$6,1,0),0)</f>
        <v>0</v>
      </c>
      <c r="AR1067" s="65" t="n">
        <f aca="false">IF(AND(L1067&lt;&gt;"",'Historical Score'!$C$5&lt;&gt;""),IF(L1067='Historical Score'!$C$5,1,0),0)</f>
        <v>0</v>
      </c>
      <c r="AS1067" s="65" t="n">
        <f aca="false">IF(AND(Y1067&lt;&gt;"",'Historical Score'!$C$7&lt;&gt;""),IF(Y1067='Historical Score'!$C$7,1,0),0)</f>
        <v>0</v>
      </c>
      <c r="AT1067" s="65" t="n">
        <f aca="false">IF(AND(K1067&lt;&gt;"",'Historical Score'!$C$8&lt;&gt;""),IF(K1067='Historical Score'!$C$8,1,0),0)</f>
        <v>0</v>
      </c>
      <c r="AU1067" s="65" t="n">
        <f aca="false">IF(AND(J1067&lt;&gt;"",'Historical Score'!$C$9&lt;&gt;""),IF(J1067='Historical Score'!$C$9,1,0),0)</f>
        <v>0</v>
      </c>
      <c r="AV1067" s="65" t="n">
        <f aca="false">AR1067*AS1067*AQ1067</f>
        <v>0</v>
      </c>
      <c r="AW1067" s="65" t="n">
        <f aca="false">AR1067*AT1067*AQ1067</f>
        <v>0</v>
      </c>
      <c r="AX1067" s="65" t="n">
        <f aca="false">AR1067*AS1067</f>
        <v>0</v>
      </c>
      <c r="AY1067" s="65" t="n">
        <f aca="false">AR1067*AT1067</f>
        <v>0</v>
      </c>
      <c r="AZ1067" s="65" t="n">
        <f aca="false">AR1067*AQ1067</f>
        <v>0</v>
      </c>
      <c r="BA1067" s="65" t="n">
        <f aca="false">AR1067</f>
        <v>0</v>
      </c>
      <c r="BB1067" s="65" t="n">
        <f aca="false">1</f>
        <v>1</v>
      </c>
      <c r="BC1067" s="65" t="n">
        <f aca="false">IF(AV1067=1,1,IF(AW1067=1,2,IF(AX1067=1,3,IF(AY1067=1,4,IF(AZ1067=1,5,IF(BA1067=1,6,7))))))</f>
        <v>7</v>
      </c>
      <c r="BD1067" s="65" t="n">
        <f aca="false">IF(AD1067=1,CHOOSE('Historical Score'!$C$29,AV1067,AW1067,AX1067,AY1067,AZ1067,BA1067,BB1067),0)</f>
        <v>0</v>
      </c>
      <c r="BE1067" s="65" t="str">
        <f aca="false">IF(BD1067=1,COUNTIF($BD$2:BD1067,1),"")</f>
        <v/>
      </c>
    </row>
    <row r="1068" customFormat="false" ht="15" hidden="false" customHeight="false" outlineLevel="0" collapsed="false">
      <c r="A1068" s="65" t="s">
        <v>3158</v>
      </c>
      <c r="B1068" s="65" t="s">
        <v>3159</v>
      </c>
      <c r="C1068" s="65" t="s">
        <v>3160</v>
      </c>
      <c r="D1068" s="65" t="s">
        <v>295</v>
      </c>
      <c r="E1068" s="112" t="n">
        <v>46241</v>
      </c>
      <c r="F1068" s="112" t="n">
        <v>46247</v>
      </c>
      <c r="G1068" s="65" t="n">
        <v>2</v>
      </c>
      <c r="H1068" s="65" t="s">
        <v>1589</v>
      </c>
      <c r="I1068" s="65" t="s">
        <v>1590</v>
      </c>
      <c r="J1068" s="65" t="s">
        <v>61</v>
      </c>
      <c r="K1068" s="65" t="s">
        <v>584</v>
      </c>
      <c r="L1068" s="65" t="s">
        <v>64</v>
      </c>
      <c r="M1068" s="113" t="n">
        <v>1.49</v>
      </c>
      <c r="N1068" s="114" t="n">
        <v>42000</v>
      </c>
      <c r="O1068" s="114" t="n">
        <v>5880</v>
      </c>
      <c r="P1068" s="114" t="n">
        <v>62580</v>
      </c>
      <c r="Q1068" s="114" t="n">
        <v>1564.81</v>
      </c>
      <c r="R1068" s="114" t="n">
        <v>61015.19</v>
      </c>
      <c r="S1068" s="115" t="n">
        <v>0.0250049536593161</v>
      </c>
      <c r="T1068" s="65" t="n">
        <v>40</v>
      </c>
      <c r="U1068" s="65" t="n">
        <v>0</v>
      </c>
      <c r="V1068" s="65" t="n">
        <v>36905.9</v>
      </c>
      <c r="W1068" s="115" t="n">
        <v>0.1696</v>
      </c>
      <c r="X1068" s="112" t="n">
        <v>35916</v>
      </c>
      <c r="Y1068" s="65" t="str">
        <f aca="false">IF(I1068="","No SIC",IFERROR(VLOOKUP(I1068,Ref!$A$2:$B$65,2,FALSE()),"Unclassified"))</f>
        <v>Legal Services</v>
      </c>
      <c r="Z1068" s="65" t="str">
        <f aca="false">IF(T1068="","",IF(T1068&lt;12,"Daily","Weekly"))</f>
        <v>Weekly</v>
      </c>
      <c r="AA1068" s="65" t="n">
        <f aca="false">IF(T1068="",0,IF(T1068&lt;12,T1068*Controls!$B$29,T1068*5))</f>
        <v>200</v>
      </c>
      <c r="AB1068" s="65" t="n">
        <f aca="false">IF(E1068="",0,NETWORKDAYS(E1068,Controls!$B$36,Ref!$K$2:$K$42))</f>
        <v>13</v>
      </c>
      <c r="AC1068" s="65" t="n">
        <f aca="false">IF(AND(AA1068&gt;0,AB1068&gt;=Controls!$B$39*AA1068),1,0)</f>
        <v>0</v>
      </c>
      <c r="AD1068" s="65" t="n">
        <f aca="false">IF(AND(E1068&lt;&gt;"",E1068&gt;=Controls!$B$37,E1068&lt;=Controls!$B$38),1,0)</f>
        <v>1</v>
      </c>
      <c r="AE1068" s="65" t="n">
        <f aca="false">IF(IFERROR(VLOOKUP(D1068,Controls!$A$64:$E$74,2,FALSE()),"No")="Yes",1,0)</f>
        <v>0</v>
      </c>
      <c r="AF1068" s="65" t="n">
        <f aca="false">IF(IFERROR(VLOOKUP(D1068,Controls!$A$64:$E$74,3,FALSE()),"No")="Yes",1,0)</f>
        <v>0</v>
      </c>
      <c r="AG1068" s="65" t="n">
        <f aca="false">IF(IFERROR(VLOOKUP(D1068,Controls!$A$64:$E$74,4,FALSE()),"No")="Yes",1,0)</f>
        <v>0</v>
      </c>
      <c r="AH1068" s="65" t="n">
        <f aca="false">IF(IFERROR(VLOOKUP(D1068,Controls!$A$64:$E$74,5,FALSE()),"No")="Yes",1,0)</f>
        <v>1</v>
      </c>
      <c r="AI1068" s="65" t="n">
        <f aca="false">IF(ISNUMBER(MATCH(D1068,Controls!$A$64:$A$74,0)),1,0)</f>
        <v>1</v>
      </c>
      <c r="AJ1068" s="65" t="n">
        <f aca="false">Q1068-N1068</f>
        <v>-40435.19</v>
      </c>
      <c r="AK1068" s="65" t="n">
        <f aca="false">IF(AE1068=1,MAX(0,N1068-Q1068),0)</f>
        <v>0</v>
      </c>
      <c r="AL1068" s="65" t="n">
        <f aca="false">IF(OR(V1068="",V1068=0),0,N1068/V1068)</f>
        <v>1.13802942077012</v>
      </c>
      <c r="AM1068" s="65" t="n">
        <f aca="false">IF(OR(V1068="",V1068=0),0,1)</f>
        <v>1</v>
      </c>
      <c r="AN1068" s="65" t="n">
        <f aca="false">IF(OR(E1068="",F1068=""),0,NETWORKDAYS(E1068,F1068,Ref!$K$2:$K$42))</f>
        <v>5</v>
      </c>
      <c r="AO1068" s="65" t="n">
        <f aca="false">IF(L1068="Renewal",1,0)</f>
        <v>0</v>
      </c>
      <c r="AP1068" s="65" t="n">
        <f aca="false">AC1068*AD1068</f>
        <v>0</v>
      </c>
      <c r="AQ1068" s="65" t="n">
        <f aca="false">IF(AND(G1068&lt;&gt;"",'Historical Score'!$C$6&lt;&gt;""),IF(G1068='Historical Score'!$C$6,1,0),0)</f>
        <v>1</v>
      </c>
      <c r="AR1068" s="65" t="n">
        <f aca="false">IF(AND(L1068&lt;&gt;"",'Historical Score'!$C$5&lt;&gt;""),IF(L1068='Historical Score'!$C$5,1,0),0)</f>
        <v>1</v>
      </c>
      <c r="AS1068" s="65" t="n">
        <f aca="false">IF(AND(Y1068&lt;&gt;"",'Historical Score'!$C$7&lt;&gt;""),IF(Y1068='Historical Score'!$C$7,1,0),0)</f>
        <v>0</v>
      </c>
      <c r="AT1068" s="65" t="n">
        <f aca="false">IF(AND(K1068&lt;&gt;"",'Historical Score'!$C$8&lt;&gt;""),IF(K1068='Historical Score'!$C$8,1,0),0)</f>
        <v>0</v>
      </c>
      <c r="AU1068" s="65" t="n">
        <f aca="false">IF(AND(J1068&lt;&gt;"",'Historical Score'!$C$9&lt;&gt;""),IF(J1068='Historical Score'!$C$9,1,0),0)</f>
        <v>1</v>
      </c>
      <c r="AV1068" s="65" t="n">
        <f aca="false">AR1068*AS1068*AQ1068</f>
        <v>0</v>
      </c>
      <c r="AW1068" s="65" t="n">
        <f aca="false">AR1068*AT1068*AQ1068</f>
        <v>0</v>
      </c>
      <c r="AX1068" s="65" t="n">
        <f aca="false">AR1068*AS1068</f>
        <v>0</v>
      </c>
      <c r="AY1068" s="65" t="n">
        <f aca="false">AR1068*AT1068</f>
        <v>0</v>
      </c>
      <c r="AZ1068" s="65" t="n">
        <f aca="false">AR1068*AQ1068</f>
        <v>1</v>
      </c>
      <c r="BA1068" s="65" t="n">
        <f aca="false">AR1068</f>
        <v>1</v>
      </c>
      <c r="BB1068" s="65" t="n">
        <f aca="false">1</f>
        <v>1</v>
      </c>
      <c r="BC1068" s="65" t="n">
        <f aca="false">IF(AV1068=1,1,IF(AW1068=1,2,IF(AX1068=1,3,IF(AY1068=1,4,IF(AZ1068=1,5,IF(BA1068=1,6,7))))))</f>
        <v>5</v>
      </c>
      <c r="BD1068" s="65" t="n">
        <f aca="false">IF(AD1068=1,CHOOSE('Historical Score'!$C$29,AV1068,AW1068,AX1068,AY1068,AZ1068,BA1068,BB1068),0)</f>
        <v>0</v>
      </c>
      <c r="BE1068" s="65" t="str">
        <f aca="false">IF(BD1068=1,COUNTIF($BD$2:BD1068,1),"")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  <col collapsed="false" customWidth="true" hidden="false" outlineLevel="0" max="7" min="6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83" t="s">
        <v>3161</v>
      </c>
    </row>
    <row r="2" customFormat="false" ht="15" hidden="false" customHeight="false" outlineLevel="0" collapsed="false">
      <c r="A2" s="82" t="s">
        <v>3162</v>
      </c>
    </row>
    <row r="3" customFormat="false" ht="15" hidden="false" customHeight="false" outlineLevel="0" collapsed="false">
      <c r="A3" s="8" t="s">
        <v>3163</v>
      </c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9" t="s">
        <v>31</v>
      </c>
      <c r="B4" s="9" t="s">
        <v>3164</v>
      </c>
      <c r="C4" s="9" t="s">
        <v>3165</v>
      </c>
      <c r="D4" s="9" t="s">
        <v>88</v>
      </c>
      <c r="E4" s="9" t="s">
        <v>3166</v>
      </c>
      <c r="F4" s="9"/>
      <c r="G4" s="9"/>
      <c r="H4" s="9" t="s">
        <v>3167</v>
      </c>
    </row>
    <row r="5" customFormat="false" ht="15" hidden="false" customHeight="false" outlineLevel="0" collapsed="false">
      <c r="A5" s="94" t="s">
        <v>89</v>
      </c>
      <c r="B5" s="116" t="n">
        <v>0.3</v>
      </c>
      <c r="C5" s="116" t="n">
        <v>0.45</v>
      </c>
      <c r="D5" s="116" t="n">
        <v>0.55</v>
      </c>
      <c r="E5" s="94" t="s">
        <v>3168</v>
      </c>
      <c r="H5" s="82" t="s">
        <v>3169</v>
      </c>
    </row>
    <row r="6" customFormat="false" ht="15" hidden="false" customHeight="false" outlineLevel="0" collapsed="false">
      <c r="A6" s="94" t="s">
        <v>90</v>
      </c>
      <c r="B6" s="116" t="n">
        <v>0.18</v>
      </c>
      <c r="C6" s="116" t="n">
        <v>0.25</v>
      </c>
      <c r="D6" s="116" t="n">
        <v>0.35</v>
      </c>
      <c r="E6" s="94" t="s">
        <v>3168</v>
      </c>
      <c r="H6" s="82" t="s">
        <v>3170</v>
      </c>
    </row>
    <row r="7" customFormat="false" ht="15" hidden="false" customHeight="false" outlineLevel="0" collapsed="false">
      <c r="A7" s="94" t="s">
        <v>91</v>
      </c>
      <c r="B7" s="116" t="n">
        <v>0.18</v>
      </c>
      <c r="C7" s="116" t="n">
        <v>0.3</v>
      </c>
      <c r="D7" s="116" t="n">
        <v>0.35</v>
      </c>
      <c r="E7" s="94" t="s">
        <v>3168</v>
      </c>
      <c r="H7" s="82" t="s">
        <v>3171</v>
      </c>
    </row>
    <row r="8" customFormat="false" ht="15" hidden="false" customHeight="false" outlineLevel="0" collapsed="false">
      <c r="A8" s="94" t="s">
        <v>92</v>
      </c>
      <c r="B8" s="117" t="n">
        <v>0.6</v>
      </c>
      <c r="C8" s="117" t="n">
        <v>0.9</v>
      </c>
      <c r="D8" s="117" t="n">
        <v>1.25</v>
      </c>
      <c r="E8" s="94" t="s">
        <v>3168</v>
      </c>
      <c r="H8" s="82" t="s">
        <v>3172</v>
      </c>
    </row>
    <row r="9" customFormat="false" ht="15" hidden="false" customHeight="false" outlineLevel="0" collapsed="false">
      <c r="A9" s="94" t="s">
        <v>93</v>
      </c>
      <c r="B9" s="118" t="n">
        <v>2</v>
      </c>
      <c r="C9" s="118" t="n">
        <v>5</v>
      </c>
      <c r="D9" s="118" t="n">
        <v>6</v>
      </c>
      <c r="E9" s="94" t="s">
        <v>3168</v>
      </c>
      <c r="H9" s="82" t="s">
        <v>3173</v>
      </c>
    </row>
    <row r="10" customFormat="false" ht="15" hidden="false" customHeight="false" outlineLevel="0" collapsed="false">
      <c r="A10" s="94" t="s">
        <v>94</v>
      </c>
      <c r="B10" s="116" t="n">
        <v>-0.05</v>
      </c>
      <c r="C10" s="116" t="n">
        <v>-0.15</v>
      </c>
      <c r="D10" s="116" t="n">
        <v>-0.3</v>
      </c>
      <c r="E10" s="94" t="s">
        <v>3174</v>
      </c>
      <c r="H10" s="82" t="s">
        <v>3175</v>
      </c>
    </row>
    <row r="11" customFormat="false" ht="15" hidden="false" customHeight="false" outlineLevel="0" collapsed="false">
      <c r="A11" s="94" t="s">
        <v>95</v>
      </c>
      <c r="B11" s="118" t="n">
        <v>1</v>
      </c>
      <c r="C11" s="118" t="n">
        <v>6</v>
      </c>
      <c r="D11" s="118" t="n">
        <v>10</v>
      </c>
      <c r="E11" s="94" t="s">
        <v>3168</v>
      </c>
      <c r="H11" s="82" t="s">
        <v>3176</v>
      </c>
    </row>
    <row r="12" customFormat="false" ht="15" hidden="false" customHeight="false" outlineLevel="0" collapsed="false">
      <c r="A12" s="94" t="s">
        <v>65</v>
      </c>
      <c r="B12" s="118" t="n">
        <v>650</v>
      </c>
      <c r="C12" s="118" t="n">
        <v>630</v>
      </c>
      <c r="D12" s="118" t="n">
        <v>0</v>
      </c>
      <c r="E12" s="94" t="s">
        <v>3174</v>
      </c>
      <c r="H12" s="82" t="s">
        <v>3177</v>
      </c>
    </row>
    <row r="13" customFormat="false" ht="15" hidden="false" customHeight="false" outlineLevel="0" collapsed="false">
      <c r="A13" s="94" t="s">
        <v>3178</v>
      </c>
      <c r="B13" s="118" t="n">
        <v>2</v>
      </c>
    </row>
    <row r="14" customFormat="false" ht="15" hidden="false" customHeight="false" outlineLevel="0" collapsed="false">
      <c r="A14" s="94" t="s">
        <v>3179</v>
      </c>
      <c r="B14" s="119" t="n">
        <v>20000</v>
      </c>
    </row>
    <row r="15" customFormat="false" ht="15" hidden="false" customHeight="false" outlineLevel="0" collapsed="false">
      <c r="A15" s="94" t="s">
        <v>3180</v>
      </c>
      <c r="B15" s="120" t="n">
        <v>0.05</v>
      </c>
    </row>
    <row r="17" customFormat="false" ht="15" hidden="false" customHeight="false" outlineLevel="0" collapsed="false">
      <c r="A17" s="8" t="s">
        <v>3181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9" t="s">
        <v>3182</v>
      </c>
      <c r="B18" s="9" t="s">
        <v>3183</v>
      </c>
      <c r="C18" s="9" t="s">
        <v>28</v>
      </c>
      <c r="D18" s="9"/>
      <c r="E18" s="9"/>
      <c r="F18" s="9"/>
      <c r="G18" s="9"/>
      <c r="H18" s="9" t="s">
        <v>3167</v>
      </c>
    </row>
    <row r="19" customFormat="false" ht="15" hidden="false" customHeight="false" outlineLevel="0" collapsed="false">
      <c r="A19" s="121" t="n">
        <v>0</v>
      </c>
      <c r="B19" s="118" t="n">
        <v>100</v>
      </c>
      <c r="C19" s="117" t="n">
        <v>1.49</v>
      </c>
      <c r="H19" s="82" t="s">
        <v>3184</v>
      </c>
    </row>
    <row r="20" customFormat="false" ht="15" hidden="false" customHeight="false" outlineLevel="0" collapsed="false">
      <c r="A20" s="121" t="n">
        <v>5</v>
      </c>
      <c r="B20" s="118" t="n">
        <v>130</v>
      </c>
      <c r="C20" s="117" t="n">
        <v>1.45</v>
      </c>
    </row>
    <row r="21" customFormat="false" ht="15" hidden="false" customHeight="false" outlineLevel="0" collapsed="false">
      <c r="A21" s="121" t="n">
        <v>6</v>
      </c>
      <c r="B21" s="118" t="n">
        <v>150</v>
      </c>
      <c r="C21" s="117" t="n">
        <v>1.45</v>
      </c>
    </row>
    <row r="22" customFormat="false" ht="15" hidden="false" customHeight="false" outlineLevel="0" collapsed="false">
      <c r="A22" s="121" t="n">
        <v>7</v>
      </c>
      <c r="B22" s="118" t="n">
        <v>195</v>
      </c>
      <c r="C22" s="117" t="n">
        <v>1.4</v>
      </c>
    </row>
    <row r="23" customFormat="false" ht="15" hidden="false" customHeight="false" outlineLevel="0" collapsed="false">
      <c r="A23" s="94" t="s">
        <v>3185</v>
      </c>
      <c r="B23" s="118" t="n">
        <v>9</v>
      </c>
      <c r="H23" s="82" t="s">
        <v>3186</v>
      </c>
    </row>
    <row r="24" customFormat="false" ht="15" hidden="false" customHeight="false" outlineLevel="0" collapsed="false">
      <c r="A24" s="94" t="s">
        <v>3187</v>
      </c>
      <c r="B24" s="117" t="n">
        <v>1.4</v>
      </c>
      <c r="C24" s="117" t="n">
        <v>1.45</v>
      </c>
      <c r="D24" s="117" t="n">
        <v>1.49</v>
      </c>
      <c r="H24" s="82" t="s">
        <v>3188</v>
      </c>
    </row>
    <row r="25" customFormat="false" ht="15" hidden="false" customHeight="false" outlineLevel="0" collapsed="false">
      <c r="A25" s="94" t="s">
        <v>3189</v>
      </c>
      <c r="B25" s="121" t="n">
        <v>6.5</v>
      </c>
      <c r="C25" s="121" t="n">
        <v>5</v>
      </c>
      <c r="D25" s="121" t="n">
        <v>3.5</v>
      </c>
    </row>
    <row r="27" customFormat="false" ht="15" hidden="false" customHeight="false" outlineLevel="0" collapsed="false">
      <c r="A27" s="8" t="s">
        <v>3190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94" t="s">
        <v>3191</v>
      </c>
      <c r="B28" s="122" t="n">
        <v>4.331</v>
      </c>
      <c r="H28" s="82" t="s">
        <v>3192</v>
      </c>
    </row>
    <row r="29" customFormat="false" ht="15" hidden="false" customHeight="false" outlineLevel="0" collapsed="false">
      <c r="A29" s="94" t="s">
        <v>3193</v>
      </c>
      <c r="B29" s="122" t="n">
        <v>21.655</v>
      </c>
      <c r="H29" s="82" t="s">
        <v>3194</v>
      </c>
    </row>
    <row r="30" customFormat="false" ht="15" hidden="false" customHeight="false" outlineLevel="0" collapsed="false">
      <c r="A30" s="94" t="s">
        <v>3195</v>
      </c>
      <c r="B30" s="118" t="n">
        <v>4</v>
      </c>
      <c r="H30" s="82" t="s">
        <v>3196</v>
      </c>
    </row>
    <row r="31" customFormat="false" ht="15" hidden="false" customHeight="false" outlineLevel="0" collapsed="false">
      <c r="A31" s="94" t="s">
        <v>3197</v>
      </c>
      <c r="B31" s="118" t="n">
        <v>21</v>
      </c>
      <c r="H31" s="82" t="s">
        <v>3198</v>
      </c>
    </row>
    <row r="32" customFormat="false" ht="15" hidden="false" customHeight="false" outlineLevel="0" collapsed="false">
      <c r="A32" s="94" t="s">
        <v>3199</v>
      </c>
      <c r="B32" s="123" t="n">
        <v>30.4375</v>
      </c>
      <c r="H32" s="82"/>
    </row>
    <row r="33" customFormat="false" ht="15" hidden="false" customHeight="false" outlineLevel="0" collapsed="false">
      <c r="A33" s="94" t="s">
        <v>3200</v>
      </c>
      <c r="B33" s="117" t="n">
        <v>1.45</v>
      </c>
      <c r="H33" s="82" t="s">
        <v>3201</v>
      </c>
    </row>
    <row r="35" customFormat="false" ht="15" hidden="false" customHeight="false" outlineLevel="0" collapsed="false">
      <c r="A35" s="8" t="s">
        <v>3202</v>
      </c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94" t="s">
        <v>3203</v>
      </c>
      <c r="B36" s="124" t="n">
        <v>46259</v>
      </c>
      <c r="H36" s="82" t="s">
        <v>3204</v>
      </c>
    </row>
    <row r="37" customFormat="false" ht="15" hidden="false" customHeight="false" outlineLevel="0" collapsed="false">
      <c r="A37" s="94" t="s">
        <v>3205</v>
      </c>
      <c r="B37" s="124" t="n">
        <v>45597</v>
      </c>
      <c r="H37" s="82"/>
    </row>
    <row r="38" customFormat="false" ht="15" hidden="false" customHeight="false" outlineLevel="0" collapsed="false">
      <c r="A38" s="94" t="s">
        <v>3206</v>
      </c>
      <c r="B38" s="124" t="n">
        <v>46259</v>
      </c>
      <c r="H38" s="82" t="s">
        <v>3207</v>
      </c>
    </row>
    <row r="39" customFormat="false" ht="15" hidden="false" customHeight="false" outlineLevel="0" collapsed="false">
      <c r="A39" s="94" t="s">
        <v>3208</v>
      </c>
      <c r="B39" s="117" t="n">
        <v>1.25</v>
      </c>
      <c r="H39" s="82" t="s">
        <v>3209</v>
      </c>
    </row>
    <row r="40" customFormat="false" ht="15" hidden="false" customHeight="false" outlineLevel="0" collapsed="false">
      <c r="A40" s="94" t="s">
        <v>3210</v>
      </c>
      <c r="B40" s="118" t="n">
        <v>10</v>
      </c>
      <c r="H40" s="82" t="s">
        <v>3211</v>
      </c>
    </row>
    <row r="41" customFormat="false" ht="15" hidden="false" customHeight="false" outlineLevel="0" collapsed="false">
      <c r="A41" s="94" t="s">
        <v>3212</v>
      </c>
      <c r="B41" s="119" t="n">
        <v>150000</v>
      </c>
      <c r="H41" s="82"/>
    </row>
    <row r="42" customFormat="false" ht="15" hidden="false" customHeight="false" outlineLevel="0" collapsed="false">
      <c r="A42" s="94" t="s">
        <v>3213</v>
      </c>
      <c r="B42" s="118" t="n">
        <v>30</v>
      </c>
      <c r="H42" s="82" t="s">
        <v>3214</v>
      </c>
    </row>
    <row r="43" customFormat="false" ht="15" hidden="false" customHeight="false" outlineLevel="0" collapsed="false">
      <c r="A43" s="94" t="s">
        <v>3215</v>
      </c>
      <c r="B43" s="120" t="n">
        <v>0.15</v>
      </c>
      <c r="H43" s="82" t="s">
        <v>3216</v>
      </c>
    </row>
    <row r="44" customFormat="false" ht="15" hidden="false" customHeight="false" outlineLevel="0" collapsed="false">
      <c r="A44" s="94" t="s">
        <v>3217</v>
      </c>
      <c r="B44" s="117" t="n">
        <v>0.6</v>
      </c>
      <c r="H44" s="82" t="s">
        <v>3218</v>
      </c>
    </row>
    <row r="45" customFormat="false" ht="15" hidden="false" customHeight="false" outlineLevel="0" collapsed="false">
      <c r="A45" s="94" t="s">
        <v>3219</v>
      </c>
      <c r="B45" s="117" t="n">
        <v>0.3</v>
      </c>
      <c r="H45" s="82" t="s">
        <v>3220</v>
      </c>
    </row>
    <row r="46" customFormat="false" ht="15" hidden="false" customHeight="false" outlineLevel="0" collapsed="false">
      <c r="A46" s="94" t="s">
        <v>3221</v>
      </c>
      <c r="B46" s="118" t="n">
        <v>1</v>
      </c>
      <c r="H46" s="82" t="s">
        <v>3222</v>
      </c>
    </row>
    <row r="47" customFormat="false" ht="15" hidden="false" customHeight="false" outlineLevel="0" collapsed="false">
      <c r="A47" s="94" t="s">
        <v>3223</v>
      </c>
      <c r="B47" s="118" t="n">
        <v>5</v>
      </c>
      <c r="H47" s="82" t="s">
        <v>3224</v>
      </c>
    </row>
    <row r="52" customFormat="false" ht="15" hidden="false" customHeight="false" outlineLevel="0" collapsed="false">
      <c r="A52" s="8" t="s">
        <v>3225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9" t="s">
        <v>3226</v>
      </c>
      <c r="B53" s="9" t="s">
        <v>3227</v>
      </c>
      <c r="C53" s="9" t="s">
        <v>3228</v>
      </c>
      <c r="D53" s="9" t="s">
        <v>174</v>
      </c>
      <c r="E53" s="9" t="s">
        <v>175</v>
      </c>
      <c r="F53" s="9" t="s">
        <v>123</v>
      </c>
      <c r="G53" s="9" t="s">
        <v>3229</v>
      </c>
      <c r="H53" s="9" t="s">
        <v>3167</v>
      </c>
    </row>
    <row r="54" customFormat="false" ht="15" hidden="false" customHeight="false" outlineLevel="0" collapsed="false">
      <c r="A54" s="117" t="n">
        <v>0.6</v>
      </c>
      <c r="B54" s="77" t="s">
        <v>3230</v>
      </c>
      <c r="C54" s="117" t="n">
        <v>1</v>
      </c>
      <c r="D54" s="118" t="n">
        <v>0</v>
      </c>
      <c r="E54" s="118" t="n">
        <v>0</v>
      </c>
      <c r="F54" s="125" t="s">
        <v>3231</v>
      </c>
      <c r="G54" s="125" t="s">
        <v>3232</v>
      </c>
      <c r="H54" s="82" t="s">
        <v>3233</v>
      </c>
    </row>
    <row r="55" customFormat="false" ht="15" hidden="false" customHeight="false" outlineLevel="0" collapsed="false">
      <c r="A55" s="117" t="n">
        <v>0.85</v>
      </c>
      <c r="B55" s="77" t="s">
        <v>3234</v>
      </c>
      <c r="C55" s="117" t="n">
        <v>0.95</v>
      </c>
      <c r="D55" s="118" t="n">
        <v>0</v>
      </c>
      <c r="E55" s="118" t="n">
        <v>0</v>
      </c>
      <c r="F55" s="125" t="s">
        <v>3231</v>
      </c>
      <c r="G55" s="125" t="s">
        <v>3232</v>
      </c>
      <c r="H55" s="82"/>
    </row>
    <row r="56" customFormat="false" ht="15" hidden="false" customHeight="false" outlineLevel="0" collapsed="false">
      <c r="A56" s="117" t="n">
        <v>1.15</v>
      </c>
      <c r="B56" s="77" t="s">
        <v>3235</v>
      </c>
      <c r="C56" s="117" t="n">
        <v>0.9</v>
      </c>
      <c r="D56" s="118" t="n">
        <v>0</v>
      </c>
      <c r="E56" s="118" t="n">
        <v>0</v>
      </c>
      <c r="F56" s="125" t="s">
        <v>3231</v>
      </c>
      <c r="G56" s="125" t="s">
        <v>3232</v>
      </c>
      <c r="H56" s="82" t="s">
        <v>3236</v>
      </c>
    </row>
    <row r="57" customFormat="false" ht="15" hidden="false" customHeight="false" outlineLevel="0" collapsed="false">
      <c r="A57" s="117" t="n">
        <v>1.4</v>
      </c>
      <c r="B57" s="77" t="s">
        <v>3237</v>
      </c>
      <c r="C57" s="117" t="n">
        <v>0.8</v>
      </c>
      <c r="D57" s="118" t="n">
        <v>-1</v>
      </c>
      <c r="E57" s="118" t="n">
        <v>1</v>
      </c>
      <c r="F57" s="125" t="s">
        <v>3231</v>
      </c>
      <c r="G57" s="125" t="s">
        <v>3232</v>
      </c>
      <c r="H57" s="82" t="s">
        <v>3238</v>
      </c>
    </row>
    <row r="58" customFormat="false" ht="15" hidden="false" customHeight="false" outlineLevel="0" collapsed="false">
      <c r="A58" s="117" t="n">
        <v>1.75</v>
      </c>
      <c r="B58" s="77" t="s">
        <v>3239</v>
      </c>
      <c r="C58" s="117" t="n">
        <v>0.7</v>
      </c>
      <c r="D58" s="118" t="n">
        <v>-1</v>
      </c>
      <c r="E58" s="118" t="n">
        <v>1</v>
      </c>
      <c r="F58" s="125" t="s">
        <v>35</v>
      </c>
      <c r="G58" s="125" t="s">
        <v>3232</v>
      </c>
      <c r="H58" s="82" t="s">
        <v>3240</v>
      </c>
    </row>
    <row r="59" customFormat="false" ht="15" hidden="false" customHeight="false" outlineLevel="0" collapsed="false">
      <c r="A59" s="117" t="n">
        <v>999</v>
      </c>
      <c r="B59" s="77" t="s">
        <v>3241</v>
      </c>
      <c r="C59" s="117" t="n">
        <v>0.55</v>
      </c>
      <c r="D59" s="118" t="n">
        <v>-2</v>
      </c>
      <c r="E59" s="118" t="n">
        <v>1</v>
      </c>
      <c r="F59" s="125" t="s">
        <v>35</v>
      </c>
      <c r="G59" s="125" t="s">
        <v>3242</v>
      </c>
      <c r="H59" s="82" t="s">
        <v>3243</v>
      </c>
    </row>
    <row r="62" customFormat="false" ht="15" hidden="false" customHeight="false" outlineLevel="0" collapsed="false">
      <c r="A62" s="8" t="s">
        <v>3244</v>
      </c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9" t="s">
        <v>87</v>
      </c>
      <c r="B63" s="9" t="s">
        <v>3245</v>
      </c>
      <c r="C63" s="9" t="s">
        <v>3246</v>
      </c>
      <c r="D63" s="9" t="s">
        <v>3247</v>
      </c>
      <c r="E63" s="9" t="s">
        <v>3248</v>
      </c>
      <c r="F63" s="9" t="s">
        <v>3249</v>
      </c>
      <c r="G63" s="9"/>
      <c r="H63" s="9"/>
    </row>
    <row r="64" customFormat="false" ht="15" hidden="false" customHeight="false" outlineLevel="0" collapsed="false">
      <c r="A64" s="94" t="s">
        <v>371</v>
      </c>
      <c r="B64" s="125" t="s">
        <v>3250</v>
      </c>
      <c r="C64" s="125" t="s">
        <v>3251</v>
      </c>
      <c r="D64" s="125" t="s">
        <v>3251</v>
      </c>
      <c r="E64" s="125" t="s">
        <v>3250</v>
      </c>
      <c r="F64" s="89" t="n">
        <f aca="false">COUNTIF('Historical Data'!$D$2:$D$1068,A64)</f>
        <v>378</v>
      </c>
    </row>
    <row r="65" customFormat="false" ht="15" hidden="false" customHeight="false" outlineLevel="0" collapsed="false">
      <c r="A65" s="94" t="s">
        <v>295</v>
      </c>
      <c r="B65" s="125" t="s">
        <v>3250</v>
      </c>
      <c r="C65" s="125" t="s">
        <v>3250</v>
      </c>
      <c r="D65" s="125" t="s">
        <v>3250</v>
      </c>
      <c r="E65" s="125" t="s">
        <v>3251</v>
      </c>
      <c r="F65" s="89" t="n">
        <f aca="false">COUNTIF('Historical Data'!$D$2:$D$1068,A65)</f>
        <v>300</v>
      </c>
    </row>
    <row r="66" customFormat="false" ht="15" hidden="false" customHeight="false" outlineLevel="0" collapsed="false">
      <c r="A66" s="94" t="s">
        <v>340</v>
      </c>
      <c r="B66" s="125" t="s">
        <v>3251</v>
      </c>
      <c r="C66" s="125" t="s">
        <v>3250</v>
      </c>
      <c r="D66" s="125" t="s">
        <v>3250</v>
      </c>
      <c r="E66" s="125" t="s">
        <v>3250</v>
      </c>
      <c r="F66" s="89" t="n">
        <f aca="false">COUNTIF('Historical Data'!$D$2:$D$1068,A66)</f>
        <v>248</v>
      </c>
    </row>
    <row r="67" customFormat="false" ht="15" hidden="false" customHeight="false" outlineLevel="0" collapsed="false">
      <c r="A67" s="94" t="s">
        <v>533</v>
      </c>
      <c r="B67" s="125" t="s">
        <v>3251</v>
      </c>
      <c r="C67" s="125" t="s">
        <v>3250</v>
      </c>
      <c r="D67" s="125" t="s">
        <v>3250</v>
      </c>
      <c r="E67" s="125" t="s">
        <v>3250</v>
      </c>
      <c r="F67" s="89" t="n">
        <f aca="false">COUNTIF('Historical Data'!$D$2:$D$1068,A67)</f>
        <v>73</v>
      </c>
    </row>
    <row r="68" customFormat="false" ht="15" hidden="false" customHeight="false" outlineLevel="0" collapsed="false">
      <c r="A68" s="94" t="s">
        <v>959</v>
      </c>
      <c r="B68" s="125" t="s">
        <v>3250</v>
      </c>
      <c r="C68" s="125" t="s">
        <v>3250</v>
      </c>
      <c r="D68" s="125" t="s">
        <v>3250</v>
      </c>
      <c r="E68" s="125" t="s">
        <v>3250</v>
      </c>
      <c r="F68" s="89" t="n">
        <f aca="false">COUNTIF('Historical Data'!$D$2:$D$1068,A68)</f>
        <v>22</v>
      </c>
      <c r="H68" s="82" t="s">
        <v>3252</v>
      </c>
    </row>
    <row r="69" customFormat="false" ht="15" hidden="false" customHeight="false" outlineLevel="0" collapsed="false">
      <c r="A69" s="94" t="s">
        <v>347</v>
      </c>
      <c r="B69" s="125" t="s">
        <v>3251</v>
      </c>
      <c r="C69" s="125" t="s">
        <v>3251</v>
      </c>
      <c r="D69" s="125" t="s">
        <v>3250</v>
      </c>
      <c r="E69" s="125" t="s">
        <v>3250</v>
      </c>
      <c r="F69" s="89" t="n">
        <f aca="false">COUNTIF('Historical Data'!$D$2:$D$1068,A69)</f>
        <v>15</v>
      </c>
    </row>
    <row r="70" customFormat="false" ht="15" hidden="false" customHeight="false" outlineLevel="0" collapsed="false">
      <c r="A70" s="94" t="s">
        <v>689</v>
      </c>
      <c r="B70" s="125" t="s">
        <v>3251</v>
      </c>
      <c r="C70" s="125" t="s">
        <v>3251</v>
      </c>
      <c r="D70" s="125" t="s">
        <v>3250</v>
      </c>
      <c r="E70" s="125" t="s">
        <v>3250</v>
      </c>
      <c r="F70" s="89" t="n">
        <f aca="false">COUNTIF('Historical Data'!$D$2:$D$1068,A70)</f>
        <v>12</v>
      </c>
    </row>
    <row r="71" customFormat="false" ht="15" hidden="false" customHeight="false" outlineLevel="0" collapsed="false">
      <c r="A71" s="94" t="s">
        <v>1467</v>
      </c>
      <c r="B71" s="125" t="s">
        <v>3251</v>
      </c>
      <c r="C71" s="125" t="s">
        <v>3251</v>
      </c>
      <c r="D71" s="125" t="s">
        <v>3250</v>
      </c>
      <c r="E71" s="125" t="s">
        <v>3250</v>
      </c>
      <c r="F71" s="89" t="n">
        <f aca="false">COUNTIF('Historical Data'!$D$2:$D$1068,A71)</f>
        <v>7</v>
      </c>
    </row>
    <row r="72" customFormat="false" ht="15" hidden="false" customHeight="false" outlineLevel="0" collapsed="false">
      <c r="A72" s="94" t="s">
        <v>1348</v>
      </c>
      <c r="B72" s="125" t="s">
        <v>3250</v>
      </c>
      <c r="C72" s="125" t="s">
        <v>3251</v>
      </c>
      <c r="D72" s="125" t="s">
        <v>3251</v>
      </c>
      <c r="E72" s="125" t="s">
        <v>3250</v>
      </c>
      <c r="F72" s="89" t="n">
        <f aca="false">COUNTIF('Historical Data'!$D$2:$D$1068,A72)</f>
        <v>6</v>
      </c>
    </row>
    <row r="73" customFormat="false" ht="15" hidden="false" customHeight="false" outlineLevel="0" collapsed="false">
      <c r="A73" s="94" t="s">
        <v>528</v>
      </c>
      <c r="B73" s="125" t="s">
        <v>3250</v>
      </c>
      <c r="C73" s="125" t="s">
        <v>3251</v>
      </c>
      <c r="D73" s="125" t="s">
        <v>3251</v>
      </c>
      <c r="E73" s="125" t="s">
        <v>3250</v>
      </c>
      <c r="F73" s="89" t="n">
        <f aca="false">COUNTIF('Historical Data'!$D$2:$D$1068,A73)</f>
        <v>5</v>
      </c>
    </row>
    <row r="74" customFormat="false" ht="15" hidden="false" customHeight="false" outlineLevel="0" collapsed="false">
      <c r="A74" s="94" t="s">
        <v>853</v>
      </c>
      <c r="B74" s="125" t="s">
        <v>3251</v>
      </c>
      <c r="C74" s="125" t="s">
        <v>3250</v>
      </c>
      <c r="D74" s="125" t="s">
        <v>3250</v>
      </c>
      <c r="E74" s="125" t="s">
        <v>3250</v>
      </c>
      <c r="F74" s="89" t="n">
        <f aca="false">COUNTIF('Historical Data'!$D$2:$D$1068,A74)</f>
        <v>1</v>
      </c>
      <c r="H74" s="82" t="s">
        <v>3253</v>
      </c>
    </row>
    <row r="77" customFormat="false" ht="15" hidden="false" customHeight="false" outlineLevel="0" collapsed="false">
      <c r="A77" s="8" t="s">
        <v>3254</v>
      </c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9" t="s">
        <v>3255</v>
      </c>
      <c r="B78" s="9" t="s">
        <v>3256</v>
      </c>
      <c r="C78" s="9" t="s">
        <v>3257</v>
      </c>
      <c r="D78" s="9"/>
      <c r="E78" s="9"/>
      <c r="F78" s="9"/>
      <c r="G78" s="9"/>
      <c r="H78" s="9" t="s">
        <v>3167</v>
      </c>
    </row>
    <row r="79" customFormat="false" ht="15" hidden="false" customHeight="false" outlineLevel="0" collapsed="false">
      <c r="A79" s="94" t="s">
        <v>3258</v>
      </c>
      <c r="B79" s="125" t="s">
        <v>3242</v>
      </c>
      <c r="H79" s="82"/>
    </row>
    <row r="80" customFormat="false" ht="15" hidden="false" customHeight="false" outlineLevel="0" collapsed="false">
      <c r="A80" s="94" t="s">
        <v>3259</v>
      </c>
      <c r="B80" s="125" t="s">
        <v>3242</v>
      </c>
      <c r="H80" s="82"/>
    </row>
    <row r="81" customFormat="false" ht="15" hidden="false" customHeight="false" outlineLevel="0" collapsed="false">
      <c r="A81" s="94" t="s">
        <v>3260</v>
      </c>
      <c r="B81" s="125" t="s">
        <v>3242</v>
      </c>
      <c r="H81" s="82"/>
    </row>
    <row r="82" customFormat="false" ht="15" hidden="false" customHeight="false" outlineLevel="0" collapsed="false">
      <c r="A82" s="94" t="s">
        <v>3261</v>
      </c>
      <c r="B82" s="125" t="s">
        <v>3242</v>
      </c>
      <c r="C82" s="118" t="n">
        <v>4</v>
      </c>
      <c r="H82" s="82" t="s">
        <v>3262</v>
      </c>
    </row>
    <row r="83" customFormat="false" ht="15" hidden="false" customHeight="false" outlineLevel="0" collapsed="false">
      <c r="A83" s="94" t="s">
        <v>3263</v>
      </c>
      <c r="B83" s="125" t="s">
        <v>3242</v>
      </c>
      <c r="C83" s="118" t="n">
        <v>3</v>
      </c>
      <c r="H83" s="82" t="s">
        <v>3264</v>
      </c>
    </row>
    <row r="84" customFormat="false" ht="15" hidden="false" customHeight="false" outlineLevel="0" collapsed="false">
      <c r="A84" s="94" t="s">
        <v>3265</v>
      </c>
      <c r="B84" s="125" t="s">
        <v>3242</v>
      </c>
      <c r="H84" s="82" t="s">
        <v>3266</v>
      </c>
    </row>
    <row r="85" customFormat="false" ht="15" hidden="false" customHeight="false" outlineLevel="0" collapsed="false">
      <c r="A85" s="94" t="s">
        <v>3267</v>
      </c>
      <c r="B85" s="125" t="s">
        <v>3242</v>
      </c>
      <c r="H85" s="82"/>
    </row>
    <row r="86" customFormat="false" ht="15" hidden="false" customHeight="false" outlineLevel="0" collapsed="false">
      <c r="A86" s="94" t="s">
        <v>3268</v>
      </c>
      <c r="B86" s="125" t="s">
        <v>3232</v>
      </c>
      <c r="H86" s="82" t="s">
        <v>3269</v>
      </c>
    </row>
    <row r="88" customFormat="false" ht="15" hidden="false" customHeight="false" outlineLevel="0" collapsed="false">
      <c r="A88" s="8" t="s">
        <v>3270</v>
      </c>
      <c r="B88" s="8"/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A89" s="9" t="s">
        <v>3271</v>
      </c>
      <c r="B89" s="9" t="s">
        <v>3256</v>
      </c>
      <c r="C89" s="9" t="s">
        <v>3272</v>
      </c>
      <c r="D89" s="9"/>
      <c r="E89" s="9"/>
      <c r="F89" s="9"/>
      <c r="G89" s="9"/>
      <c r="H89" s="9" t="s">
        <v>3167</v>
      </c>
    </row>
    <row r="90" customFormat="false" ht="15" hidden="false" customHeight="false" outlineLevel="0" collapsed="false">
      <c r="A90" s="94" t="s">
        <v>3273</v>
      </c>
      <c r="B90" s="125" t="s">
        <v>3242</v>
      </c>
      <c r="C90" s="94" t="s">
        <v>3274</v>
      </c>
      <c r="D90" s="94"/>
      <c r="E90" s="94"/>
      <c r="F90" s="94"/>
      <c r="G90" s="94"/>
      <c r="H90" s="82" t="s">
        <v>3275</v>
      </c>
    </row>
    <row r="91" customFormat="false" ht="15" hidden="false" customHeight="false" outlineLevel="0" collapsed="false">
      <c r="A91" s="94" t="s">
        <v>3276</v>
      </c>
      <c r="B91" s="125" t="s">
        <v>3242</v>
      </c>
      <c r="C91" s="94" t="s">
        <v>3277</v>
      </c>
      <c r="D91" s="94"/>
      <c r="E91" s="94"/>
      <c r="F91" s="94"/>
      <c r="G91" s="94"/>
      <c r="H91" s="82"/>
    </row>
    <row r="92" customFormat="false" ht="15" hidden="false" customHeight="false" outlineLevel="0" collapsed="false">
      <c r="A92" s="94" t="s">
        <v>3278</v>
      </c>
      <c r="B92" s="125" t="s">
        <v>3242</v>
      </c>
      <c r="C92" s="94" t="s">
        <v>3279</v>
      </c>
      <c r="D92" s="94"/>
      <c r="E92" s="94"/>
      <c r="F92" s="94"/>
      <c r="G92" s="94"/>
      <c r="H92" s="82"/>
    </row>
    <row r="93" customFormat="false" ht="15" hidden="false" customHeight="false" outlineLevel="0" collapsed="false">
      <c r="A93" s="94" t="s">
        <v>3280</v>
      </c>
      <c r="B93" s="125" t="s">
        <v>3242</v>
      </c>
      <c r="C93" s="94" t="s">
        <v>3281</v>
      </c>
      <c r="D93" s="94"/>
      <c r="E93" s="94"/>
      <c r="F93" s="94"/>
      <c r="G93" s="94"/>
      <c r="H93" s="82"/>
    </row>
    <row r="94" customFormat="false" ht="15" hidden="false" customHeight="false" outlineLevel="0" collapsed="false">
      <c r="A94" s="94" t="s">
        <v>3282</v>
      </c>
      <c r="B94" s="125" t="s">
        <v>3242</v>
      </c>
      <c r="C94" s="94" t="s">
        <v>3283</v>
      </c>
      <c r="D94" s="94"/>
      <c r="E94" s="94"/>
      <c r="F94" s="94"/>
      <c r="G94" s="94"/>
      <c r="H94" s="82"/>
    </row>
    <row r="95" customFormat="false" ht="15" hidden="false" customHeight="false" outlineLevel="0" collapsed="false">
      <c r="A95" s="94" t="s">
        <v>3284</v>
      </c>
      <c r="B95" s="125" t="s">
        <v>3242</v>
      </c>
      <c r="C95" s="94" t="s">
        <v>3285</v>
      </c>
      <c r="D95" s="94"/>
      <c r="E95" s="94"/>
      <c r="F95" s="94"/>
      <c r="G95" s="94"/>
      <c r="H95" s="82"/>
    </row>
    <row r="96" customFormat="false" ht="15" hidden="false" customHeight="false" outlineLevel="0" collapsed="false">
      <c r="A96" s="94" t="s">
        <v>3286</v>
      </c>
      <c r="B96" s="125" t="s">
        <v>3242</v>
      </c>
      <c r="C96" s="94" t="s">
        <v>3287</v>
      </c>
      <c r="D96" s="94"/>
      <c r="E96" s="94"/>
      <c r="F96" s="94"/>
      <c r="G96" s="94"/>
      <c r="H96" s="82"/>
    </row>
    <row r="97" customFormat="false" ht="15" hidden="false" customHeight="false" outlineLevel="0" collapsed="false">
      <c r="A97" s="94" t="s">
        <v>3288</v>
      </c>
      <c r="B97" s="125" t="s">
        <v>3242</v>
      </c>
      <c r="C97" s="94" t="s">
        <v>3289</v>
      </c>
      <c r="D97" s="94"/>
      <c r="E97" s="94"/>
      <c r="F97" s="94"/>
      <c r="G97" s="94"/>
      <c r="H97" s="82"/>
    </row>
  </sheetData>
  <mergeCells count="16">
    <mergeCell ref="A3:H3"/>
    <mergeCell ref="A17:H17"/>
    <mergeCell ref="A27:H27"/>
    <mergeCell ref="A35:H35"/>
    <mergeCell ref="A52:H52"/>
    <mergeCell ref="A62:H62"/>
    <mergeCell ref="A77:H77"/>
    <mergeCell ref="A88:H88"/>
    <mergeCell ref="C90:G90"/>
    <mergeCell ref="C91:G91"/>
    <mergeCell ref="C92:G92"/>
    <mergeCell ref="C93:G93"/>
    <mergeCell ref="C94:G94"/>
    <mergeCell ref="C95:G95"/>
    <mergeCell ref="C96:G96"/>
    <mergeCell ref="C97:G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83" t="s">
        <v>3290</v>
      </c>
    </row>
    <row r="2" customFormat="false" ht="15" hidden="false" customHeight="false" outlineLevel="0" collapsed="false">
      <c r="B2" s="104" t="str">
        <f aca="false">COUNTIF(C4:C52,"FAIL")&amp;" FAIL  |  "&amp;COUNTIF(C4:C52,"WARN")&amp;" WARN  |  "&amp;COUNTIF(C4:C52,"OK")&amp;" OK"</f>
        <v>0 FAIL  |  9 WARN  |  33 OK</v>
      </c>
    </row>
    <row r="3" customFormat="false" ht="15" hidden="false" customHeight="false" outlineLevel="0" collapsed="false">
      <c r="A3" s="9"/>
      <c r="B3" s="9" t="s">
        <v>3291</v>
      </c>
      <c r="C3" s="9" t="s">
        <v>3292</v>
      </c>
      <c r="D3" s="9" t="s">
        <v>119</v>
      </c>
    </row>
    <row r="4" customFormat="false" ht="15" hidden="false" customHeight="false" outlineLevel="0" collapsed="false">
      <c r="B4" s="8" t="s">
        <v>3293</v>
      </c>
      <c r="C4" s="8"/>
      <c r="D4" s="8"/>
    </row>
    <row r="5" customFormat="false" ht="15" hidden="false" customHeight="false" outlineLevel="0" collapsed="false">
      <c r="B5" s="94" t="s">
        <v>3294</v>
      </c>
      <c r="C5" s="77" t="str">
        <f aca="false">IF(Deal!$C$24=0,"WARN","OK")</f>
        <v>OK</v>
      </c>
      <c r="D5" s="99" t="str">
        <f aca="false">"months entered: "&amp;COUNT(Deal!$C$12:$C$23)</f>
        <v>months entered: 4</v>
      </c>
    </row>
    <row r="6" customFormat="false" ht="15" hidden="false" customHeight="false" outlineLevel="0" collapsed="false">
      <c r="B6" s="94" t="s">
        <v>3295</v>
      </c>
      <c r="C6" s="77" t="str">
        <f aca="false">IF(Deal!$D$24=0,"WARN","OK")</f>
        <v>OK</v>
      </c>
    </row>
    <row r="7" customFormat="false" ht="15" hidden="false" customHeight="false" outlineLevel="0" collapsed="false">
      <c r="B7" s="94" t="s">
        <v>3296</v>
      </c>
      <c r="C7" s="77" t="str">
        <f aca="false">IF(Deal!$K$15="","WARN","OK")</f>
        <v>OK</v>
      </c>
    </row>
    <row r="8" customFormat="false" ht="15" hidden="false" customHeight="false" outlineLevel="0" collapsed="false">
      <c r="B8" s="94" t="s">
        <v>3297</v>
      </c>
      <c r="C8" s="77" t="str">
        <f aca="false">IF(Deal!$K$12="","WARN",IF(COUNTIF('Historical Data'!$K$2:$K$1068,Deal!$K$12)=0,"WARN","OK"))</f>
        <v>OK</v>
      </c>
      <c r="D8" s="99" t="str">
        <f aca="false">IF(Deal!$K$12="","",COUNTIF('Historical Data'!$K$2:$K$1068,Deal!$K$12)&amp;" deals")</f>
        <v>175 deals</v>
      </c>
    </row>
    <row r="9" customFormat="false" ht="15" hidden="false" customHeight="false" outlineLevel="0" collapsed="false">
      <c r="B9" s="94" t="s">
        <v>3298</v>
      </c>
      <c r="C9" s="77" t="str">
        <f aca="false">IF(Deal!$K$13="","WARN",IF(COUNTIF('Historical Data'!$Y$2:$Y$1068,Deal!$K$13)=0,"WARN","OK"))</f>
        <v>OK</v>
      </c>
      <c r="D9" s="99" t="str">
        <f aca="false">IF(Deal!$K$13="","",COUNTIF('Historical Data'!$Y$2:$Y$1068,Deal!$K$13)&amp;" deals")</f>
        <v>121 deals</v>
      </c>
    </row>
    <row r="10" customFormat="false" ht="15" hidden="false" customHeight="false" outlineLevel="0" collapsed="false">
      <c r="B10" s="94" t="s">
        <v>3299</v>
      </c>
      <c r="C10" s="77" t="str">
        <f aca="false">IF(Deal!$K$14="","WARN","OK")</f>
        <v>OK</v>
      </c>
      <c r="D10" s="99" t="str">
        <f aca="false">"informational only"</f>
        <v>informational only</v>
      </c>
    </row>
    <row r="11" customFormat="false" ht="15" hidden="false" customHeight="false" outlineLevel="0" collapsed="false">
      <c r="B11" s="94" t="s">
        <v>3300</v>
      </c>
      <c r="C11" s="77" t="str">
        <f aca="false">IF(Deal!$K$16="","WARN","OK")</f>
        <v>OK</v>
      </c>
      <c r="D11" s="99" t="str">
        <f aca="false">"blank = metric not scored (score out of 7)"</f>
        <v>blank = metric not scored (score out of 7)</v>
      </c>
    </row>
    <row r="12" customFormat="false" ht="15" hidden="false" customHeight="false" outlineLevel="0" collapsed="false">
      <c r="B12" s="94" t="s">
        <v>3301</v>
      </c>
      <c r="C12" s="77" t="str">
        <f aca="false">IF(OR(Deal!$B$6="",Deal!$C$6="",Deal!$D$6="",Deal!$E$6=""),"WARN","OK")</f>
        <v>OK</v>
      </c>
      <c r="D12" s="99" t="str">
        <f aca="false">"optional - the engine still sizes an offer from bank data"</f>
        <v>optional - the engine still sizes an offer from bank data</v>
      </c>
    </row>
    <row r="13" customFormat="false" ht="15" hidden="false" customHeight="false" outlineLevel="0" collapsed="false">
      <c r="B13" s="94" t="s">
        <v>3302</v>
      </c>
      <c r="C13" s="77" t="str">
        <f aca="false">IF(Deal!$C$6="","OK",IF(ISNUMBER(MATCH(Deal!$C$6,Controls!$B$24:$D$24,0)),"OK","WARN"))</f>
        <v>OK</v>
      </c>
      <c r="D13" s="99" t="str">
        <f aca="false">"1.40 / 1.45 / 1.49 only"</f>
        <v>1.40 / 1.45 / 1.49 only</v>
      </c>
    </row>
    <row r="14" customFormat="false" ht="15" hidden="false" customHeight="false" outlineLevel="0" collapsed="false">
      <c r="B14" s="8" t="s">
        <v>3303</v>
      </c>
      <c r="C14" s="8"/>
      <c r="D14" s="8"/>
    </row>
    <row r="15" customFormat="false" ht="15" hidden="false" customHeight="false" outlineLevel="0" collapsed="false">
      <c r="B15" s="94" t="s">
        <v>3304</v>
      </c>
      <c r="C15" s="77" t="str">
        <f aca="false">IF(SUMPRODUCT(--ISERROR(Deal!$B$1:$M$82))=0,"OK","FAIL")</f>
        <v>OK</v>
      </c>
      <c r="D15" s="99" t="str">
        <f aca="false">SUMPRODUCT(--ISERROR(Deal!$B$1:$M$82))&amp;" error cells"</f>
        <v>0 error cells</v>
      </c>
    </row>
    <row r="16" customFormat="false" ht="15" hidden="false" customHeight="false" outlineLevel="0" collapsed="false">
      <c r="B16" s="94" t="s">
        <v>3305</v>
      </c>
      <c r="C16" s="77" t="str">
        <f aca="false">IF(SUMPRODUCT(--ISERROR('Historical Data'!$A$2:$A$1068))+SUMPRODUCT(--ISERROR('Historical Data'!$AA$2:$AA$1068))+SUMPRODUCT(--ISERROR('Historical Data'!$BC$2:$BC$1068))+SUMPRODUCT(--ISERROR('Historical Data'!$BE$2:$BE$1068))=0,"OK","FAIL")</f>
        <v>OK</v>
      </c>
    </row>
    <row r="17" customFormat="false" ht="15" hidden="false" customHeight="false" outlineLevel="0" collapsed="false">
      <c r="B17" s="94" t="s">
        <v>3306</v>
      </c>
      <c r="C17" s="77" t="str">
        <f aca="false">IF(SUMPRODUCT(--ISERROR('Historical Score'!$A$1:$AA$52))=0,"OK","FAIL")</f>
        <v>OK</v>
      </c>
    </row>
    <row r="18" customFormat="false" ht="15" hidden="false" customHeight="false" outlineLevel="0" collapsed="false">
      <c r="B18" s="94" t="s">
        <v>3307</v>
      </c>
      <c r="C18" s="77" t="str">
        <f aca="false">IF(SUMPRODUCT(--ISERROR('Offer Engine'!$B$1:$F$40))+SUMPRODUCT(--ISERROR('Decision Summary'!$B$1:$D$31))=0,"OK","FAIL")</f>
        <v>OK</v>
      </c>
    </row>
    <row r="19" customFormat="false" ht="15" hidden="false" customHeight="false" outlineLevel="0" collapsed="false">
      <c r="B19" s="8" t="s">
        <v>3308</v>
      </c>
      <c r="C19" s="8"/>
      <c r="D19" s="8"/>
    </row>
    <row r="20" customFormat="false" ht="15" hidden="false" customHeight="false" outlineLevel="0" collapsed="false">
      <c r="B20" s="94" t="s">
        <v>192</v>
      </c>
      <c r="C20" s="77" t="str">
        <f aca="false">'Offer Engine'!$D$36</f>
        <v>OK</v>
      </c>
    </row>
    <row r="21" customFormat="false" ht="15" hidden="false" customHeight="false" outlineLevel="0" collapsed="false">
      <c r="B21" s="94" t="s">
        <v>193</v>
      </c>
      <c r="C21" s="77" t="str">
        <f aca="false">'Offer Engine'!$D$37</f>
        <v>OK</v>
      </c>
    </row>
    <row r="22" customFormat="false" ht="15" hidden="false" customHeight="false" outlineLevel="0" collapsed="false">
      <c r="B22" s="94" t="s">
        <v>3309</v>
      </c>
      <c r="C22" s="77" t="str">
        <f aca="false">'Offer Engine'!$D$38</f>
        <v>OK</v>
      </c>
    </row>
    <row r="23" customFormat="false" ht="15" hidden="false" customHeight="false" outlineLevel="0" collapsed="false">
      <c r="B23" s="94" t="s">
        <v>3310</v>
      </c>
      <c r="C23" s="77" t="str">
        <f aca="false">'Offer Engine'!$D$39</f>
        <v>OK</v>
      </c>
    </row>
    <row r="24" customFormat="false" ht="15" hidden="false" customHeight="false" outlineLevel="0" collapsed="false">
      <c r="B24" s="8" t="s">
        <v>3311</v>
      </c>
      <c r="C24" s="8"/>
      <c r="D24" s="8"/>
    </row>
    <row r="25" customFormat="false" ht="15" hidden="false" customHeight="false" outlineLevel="0" collapsed="false">
      <c r="B25" s="94" t="s">
        <v>3312</v>
      </c>
      <c r="C25" s="77" t="str">
        <f aca="false">IF('Historical Score'!$C$29=7,"WARN","OK")</f>
        <v>OK</v>
      </c>
      <c r="D25" s="99" t="str">
        <f aca="false">IF('Historical Score'!$C$29=7,"book baseline in use - no specific evidence",'Historical Score'!$C$30)</f>
        <v>T1: new/renewal + industry + position</v>
      </c>
    </row>
    <row r="26" customFormat="false" ht="15" hidden="false" customHeight="false" outlineLevel="0" collapsed="false">
      <c r="B26" s="94" t="s">
        <v>3313</v>
      </c>
      <c r="C26" s="77" t="str">
        <f aca="false">IF(INDEX('Historical Score'!$U$14:$U$20,'Historical Score'!$C$29)="Yes","OK","WARN")</f>
        <v>OK</v>
      </c>
      <c r="D26" s="99" t="str">
        <f aca="false">"open share "&amp;IF('Historical Score'!$C$34="","n/a",TEXT('Historical Score'!$C$34,"0%"))</f>
        <v>open share 4%</v>
      </c>
    </row>
    <row r="27" customFormat="false" ht="15" hidden="false" customHeight="false" outlineLevel="0" collapsed="false">
      <c r="B27" s="94" t="s">
        <v>3314</v>
      </c>
      <c r="C27" s="77" t="str">
        <f aca="false">IF('Historical Score'!$C$37&gt;=Controls!$B$45,"OK","WARN")</f>
        <v>OK</v>
      </c>
      <c r="D27" s="99" t="str">
        <f aca="false">"Z = "&amp;TEXT('Historical Score'!$C$37,"0.00")</f>
        <v>Z = 0.43</v>
      </c>
    </row>
    <row r="28" customFormat="false" ht="15" hidden="false" customHeight="false" outlineLevel="0" collapsed="false">
      <c r="B28" s="94" t="s">
        <v>3315</v>
      </c>
      <c r="C28" s="77" t="str">
        <f aca="false">IF('Historical Score'!$C$50="No","OK","WARN")</f>
        <v>OK</v>
      </c>
      <c r="D28" s="99" t="str">
        <f aca="false">'Historical Score'!$C$50</f>
        <v>No</v>
      </c>
    </row>
    <row r="29" customFormat="false" ht="15" hidden="false" customHeight="false" outlineLevel="0" collapsed="false">
      <c r="B29" s="94" t="s">
        <v>3316</v>
      </c>
      <c r="C29" s="77" t="str">
        <f aca="false">IF('Historical Score'!$C$29=1,"OK","WARN")</f>
        <v>OK</v>
      </c>
      <c r="D29" s="99" t="str">
        <f aca="false">IF('Historical Score'!$C$29=1,"","tiers 1 to "&amp;('Historical Score'!$C$29-1)&amp;" had fewer than "&amp;Controls!$B$40&amp;" seasoned deals or under "&amp;TEXT(Controls!$B$41,"$#,##0"))</f>
        <v/>
      </c>
    </row>
    <row r="30" customFormat="false" ht="15" hidden="false" customHeight="false" outlineLevel="0" collapsed="false">
      <c r="B30" s="94" t="s">
        <v>3317</v>
      </c>
      <c r="C30" s="77" t="str">
        <f aca="false">"OK"</f>
        <v>OK</v>
      </c>
      <c r="D30" s="99" t="str">
        <f aca="false">'Historical Score'!$C$48</f>
        <v>State TX: 118 seasoned deals, lost 13.0% vs 21.1% book - informational only, not used in the offer</v>
      </c>
    </row>
    <row r="31" customFormat="false" ht="15" hidden="false" customHeight="false" outlineLevel="0" collapsed="false">
      <c r="B31" s="8" t="s">
        <v>3318</v>
      </c>
      <c r="C31" s="8"/>
      <c r="D31" s="8"/>
    </row>
    <row r="32" customFormat="false" ht="15" hidden="false" customHeight="false" outlineLevel="0" collapsed="false">
      <c r="B32" s="94" t="s">
        <v>3319</v>
      </c>
      <c r="C32" s="77" t="str">
        <f aca="false">IF(COUNTA('Historical Data'!$A$2:$A$1068)=1067,"OK","WARN")</f>
        <v>OK</v>
      </c>
      <c r="D32" s="99" t="str">
        <f aca="false">COUNTA('Historical Data'!$A$2:$A$1068)&amp;" deals (expected 1,067 from the 08/2026 export)"</f>
        <v>1067 deals (expected 1,067 from the 08/2026 export)</v>
      </c>
    </row>
    <row r="33" customFormat="false" ht="15" hidden="false" customHeight="false" outlineLevel="0" collapsed="false">
      <c r="B33" s="94" t="s">
        <v>3320</v>
      </c>
      <c r="C33" s="77" t="str">
        <f aca="false">IF(SUMPRODUCT(1-'Historical Data'!$AI$2:$AI$1068)=0,"OK","FAIL")</f>
        <v>OK</v>
      </c>
      <c r="D33" s="99" t="str">
        <f aca="false">SUMPRODUCT(1-'Historical Data'!$AI$2:$AI$1068)&amp;" deals with an unmapped status"</f>
        <v>0 deals with an unmapped status</v>
      </c>
    </row>
    <row r="34" customFormat="false" ht="15" hidden="false" customHeight="false" outlineLevel="0" collapsed="false">
      <c r="B34" s="94" t="s">
        <v>3321</v>
      </c>
      <c r="C34" s="77" t="str">
        <f aca="false">IF(SUMPRODUCT(1-'Historical Data'!$AM$2:$AM$1068)&gt;0,"WARN","OK")</f>
        <v>WARN</v>
      </c>
      <c r="D34" s="99" t="str">
        <f aca="false">SUMPRODUCT(1-'Historical Data'!$AM$2:$AM$1068)&amp;" deals - excluded from advance/revenue averages"</f>
        <v>154 deals - excluded from advance/revenue averages</v>
      </c>
    </row>
    <row r="35" customFormat="false" ht="15" hidden="false" customHeight="false" outlineLevel="0" collapsed="false">
      <c r="B35" s="94" t="s">
        <v>3322</v>
      </c>
      <c r="C35" s="77" t="str">
        <f aca="false">"WARN"</f>
        <v>WARN</v>
      </c>
      <c r="D35" s="99" t="str">
        <f aca="false">COUNTBLANK('Historical Data'!$K$2:$K$1068)&amp;" no ISO, "&amp;(COUNTBLANK('Historical Data'!$J$2:$J$1068)+COUNTIF('Historical Data'!$J$2:$J$1068,"No state"))&amp;" no state, "&amp;COUNTIF('Historical Data'!$Y$2:$Y$1068,"No SIC")&amp;" no SIC - never matched"</f>
        <v>0 no ISO, 37 no state, 6 no SIC - never matched</v>
      </c>
    </row>
    <row r="36" customFormat="false" ht="15" hidden="false" customHeight="false" outlineLevel="0" collapsed="false">
      <c r="B36" s="94" t="s">
        <v>3323</v>
      </c>
      <c r="C36" s="77" t="str">
        <f aca="false">"WARN"</f>
        <v>WARN</v>
      </c>
      <c r="D36" s="99" t="str">
        <f aca="false">COUNTIF('Historical Data'!$Q$2:$Q$1068,"&lt;=0")&amp;" deals"</f>
        <v>15 deals</v>
      </c>
    </row>
    <row r="37" customFormat="false" ht="15" hidden="false" customHeight="false" outlineLevel="0" collapsed="false">
      <c r="B37" s="94" t="s">
        <v>3324</v>
      </c>
      <c r="C37" s="77" t="str">
        <f aca="false">IF(SUMPRODUCT('Historical Data'!$AH$2:$AH$1068*('Historical Data'!$S$2:$S$1068&gt;=0.999))=0,"OK","WARN")</f>
        <v>WARN</v>
      </c>
      <c r="D37" s="99" t="str">
        <f aca="false">SUMPRODUCT('Historical Data'!$AH$2:$AH$1068*('Historical Data'!$S$2:$S$1068&gt;=0.999))&amp;" deals"</f>
        <v>8 deals</v>
      </c>
    </row>
    <row r="38" customFormat="false" ht="15" hidden="false" customHeight="false" outlineLevel="0" collapsed="false">
      <c r="B38" s="94" t="s">
        <v>3325</v>
      </c>
      <c r="C38" s="77" t="str">
        <f aca="false">"WARN"</f>
        <v>WARN</v>
      </c>
      <c r="D38" s="99" t="str">
        <f aca="false">SUMPRODUCT('Historical Data'!$AH$2:$AH$1068*('Historical Data'!$AB$2:$AB$1068&gt;1.5*'Historical Data'!$AA$2:$AA$1068))&amp;" deals"</f>
        <v>20 deals</v>
      </c>
    </row>
    <row r="39" customFormat="false" ht="15" hidden="false" customHeight="false" outlineLevel="0" collapsed="false">
      <c r="B39" s="94" t="s">
        <v>3326</v>
      </c>
      <c r="C39" s="77" t="str">
        <f aca="false">"WARN"</f>
        <v>WARN</v>
      </c>
      <c r="D39" s="99" t="str">
        <f aca="false">SUMPRODUCT(('Historical Data'!$T$2:$T$1068&gt;=12)*('Historical Data'!$T$2:$T$1068&gt;39))&amp;" deals, incl. 56 / 90 / 100 weeks"</f>
        <v>41 deals, incl. 56 / 90 / 100 weeks</v>
      </c>
    </row>
    <row r="40" customFormat="false" ht="15" hidden="false" customHeight="false" outlineLevel="0" collapsed="false">
      <c r="B40" s="94" t="s">
        <v>3327</v>
      </c>
      <c r="C40" s="77" t="str">
        <f aca="false">"WARN"</f>
        <v>WARN</v>
      </c>
      <c r="D40" s="99" t="str">
        <f aca="false">COUNTIF('Historical Data'!$G$2:$G$1068,3)&amp;" deals at position 3 of "&amp;COUNT('Historical Data'!$G$2:$G$1068)&amp;" - confirm the CRM field is position at funding"</f>
        <v>519 deals at position 3 of 1066 - confirm the CRM field is position at funding</v>
      </c>
    </row>
    <row r="41" customFormat="false" ht="15" hidden="false" customHeight="false" outlineLevel="0" collapsed="false">
      <c r="B41" s="94" t="s">
        <v>3328</v>
      </c>
      <c r="C41" s="77" t="str">
        <f aca="false">IF(Controls!$B$68="No","WARN","OK")</f>
        <v>WARN</v>
      </c>
      <c r="D41" s="99" t="str">
        <f aca="false">COUNTIF('Historical Data'!$D$2:$D$1068,"Lowered Payments")&amp;" restructured deals"</f>
        <v>22 restructured deals</v>
      </c>
    </row>
    <row r="42" customFormat="false" ht="15" hidden="false" customHeight="false" outlineLevel="0" collapsed="false">
      <c r="B42" s="94" t="s">
        <v>3329</v>
      </c>
      <c r="C42" s="77" t="str">
        <f aca="false">"WARN"</f>
        <v>WARN</v>
      </c>
      <c r="D42" s="99" t="str">
        <f aca="false">"avg % paid "&amp;TEXT(SUMPRODUCT(('Historical Data'!$D$2:$D$1068="Written-Off")*'Historical Data'!$S$2:$S$1068)/MAX(1,COUNTIF('Historical Data'!$D$2:$D$1068,"Written-Off")),"0%")&amp;" - status means stopped pursuing, not lost"</f>
        <v>avg % paid 64% - status means stopped pursuing, not lost</v>
      </c>
    </row>
    <row r="43" customFormat="false" ht="15" hidden="false" customHeight="false" outlineLevel="0" collapsed="false">
      <c r="B43" s="8" t="s">
        <v>3330</v>
      </c>
      <c r="C43" s="8"/>
      <c r="D43" s="8"/>
    </row>
    <row r="44" customFormat="false" ht="15" hidden="false" customHeight="false" outlineLevel="0" collapsed="false">
      <c r="B44" s="94" t="s">
        <v>3331</v>
      </c>
      <c r="C44" s="77" t="str">
        <f aca="false">IF(ABS(SUM('Historical Data'!$N$2:$N$1068)-34481626)&lt;1,"OK","FAIL")</f>
        <v>OK</v>
      </c>
      <c r="D44" s="99" t="str">
        <f aca="false">TEXT(SUM('Historical Data'!$N$2:$N$1068),"$#,##0")</f>
        <v>$34,481,626</v>
      </c>
    </row>
    <row r="45" customFormat="false" ht="15" hidden="false" customHeight="false" outlineLevel="0" collapsed="false">
      <c r="B45" s="94" t="s">
        <v>3332</v>
      </c>
      <c r="C45" s="77" t="str">
        <f aca="false">IF(ABS(SUM('Historical Data'!$Q$2:$Q$1068)-27438510)&lt;1,"OK","FAIL")</f>
        <v>OK</v>
      </c>
      <c r="D45" s="99" t="str">
        <f aca="false">TEXT(SUM('Historical Data'!$Q$2:$Q$1068),"$#,##0")</f>
        <v>$27,438,510</v>
      </c>
    </row>
    <row r="46" customFormat="false" ht="15" hidden="false" customHeight="false" outlineLevel="0" collapsed="false">
      <c r="B46" s="94" t="s">
        <v>3333</v>
      </c>
      <c r="C46" s="77" t="str">
        <f aca="false">IF(ABS(SUMPRODUCT('Historical Data'!$AK$2:$AK$1068)-5270163)&lt;1,"OK","WARN")</f>
        <v>OK</v>
      </c>
      <c r="D46" s="99" t="str">
        <f aca="false">TEXT(SUMPRODUCT('Historical Data'!$AK$2:$AK$1068),"$#,##0")&amp;"  (differs if the status mapping was changed)"</f>
        <v>$5,270,163  (differs if the status mapping was changed)</v>
      </c>
    </row>
    <row r="47" customFormat="false" ht="15" hidden="false" customHeight="false" outlineLevel="0" collapsed="false">
      <c r="B47" s="94" t="s">
        <v>3334</v>
      </c>
      <c r="C47" s="77" t="str">
        <f aca="false">IF(ABS(SUMPRODUCT('Historical Data'!$AK$2:$AK$1068)/SUM('Historical Data'!$N$2:$N$1068)-0.1528)&lt;0.001,"OK","WARN")</f>
        <v>OK</v>
      </c>
      <c r="D47" s="99" t="str">
        <f aca="false">TEXT(SUMPRODUCT('Historical Data'!$AK$2:$AK$1068)/SUM('Historical Data'!$N$2:$N$1068),"0.0%")</f>
        <v>15.3%</v>
      </c>
    </row>
    <row r="48" customFormat="false" ht="15" hidden="false" customHeight="false" outlineLevel="0" collapsed="false">
      <c r="B48" s="94" t="s">
        <v>3335</v>
      </c>
      <c r="C48" s="77" t="str">
        <f aca="false">IF(SUMPRODUCT(--(ABS('Historical Data'!$P$2:$P$1068-'Historical Data'!$N$2:$N$1068*'Historical Data'!$M$2:$M$1068)&gt;1))=0,"OK","WARN")</f>
        <v>OK</v>
      </c>
      <c r="D48" s="99" t="str">
        <f aca="false">SUMPRODUCT(--(ABS('Historical Data'!$P$2:$P$1068-'Historical Data'!$N$2:$N$1068*'Historical Data'!$M$2:$M$1068)&gt;1))&amp;" mismatches"</f>
        <v>0 mismatches</v>
      </c>
    </row>
    <row r="49" customFormat="false" ht="15" hidden="false" customHeight="false" outlineLevel="0" collapsed="false">
      <c r="B49" s="94" t="s">
        <v>3336</v>
      </c>
      <c r="C49" s="77" t="str">
        <f aca="false">IF('Historical Score'!$E$20=637,"OK","WARN")</f>
        <v>OK</v>
      </c>
      <c r="D49" s="99" t="str">
        <f aca="false">'Historical Score'!$E$20&amp;" seasoned deals; changes with the as-of date, window or multiple"</f>
        <v>637 seasoned deals; changes with the as-of date, window or multiple</v>
      </c>
    </row>
    <row r="50" customFormat="false" ht="15" hidden="false" customHeight="false" outlineLevel="0" collapsed="false">
      <c r="B50" s="94" t="s">
        <v>3337</v>
      </c>
      <c r="C50" s="77" t="str">
        <f aca="false">IF(ABS('Historical Score'!$G$20-SUMPRODUCT('Historical Data'!$AP$2:$AP$1068*'Historical Data'!$N$2:$N$1068))&lt;1,"OK","FAIL")</f>
        <v>OK</v>
      </c>
    </row>
    <row r="51" customFormat="false" ht="15" hidden="false" customHeight="false" outlineLevel="0" collapsed="false">
      <c r="B51" s="94" t="s">
        <v>3338</v>
      </c>
      <c r="C51" s="77" t="str">
        <f aca="false">IF(MIN(400,INDEX('Historical Score'!$D$14:$D$20,'Historical Score'!$C$29))=SUMPRODUCT(--('Comparable Deals'!$B$5:$B$404&lt;&gt;"")),"OK","FAIL")</f>
        <v>OK</v>
      </c>
      <c r="D51" s="99" t="str">
        <f aca="false">SUMPRODUCT(--('Comparable Deals'!$B$5:$B$404&lt;&gt;""))&amp;" listed"</f>
        <v>27 listed</v>
      </c>
    </row>
  </sheetData>
  <mergeCells count="6">
    <mergeCell ref="B4:D4"/>
    <mergeCell ref="B14:D14"/>
    <mergeCell ref="B19:D19"/>
    <mergeCell ref="B24:D24"/>
    <mergeCell ref="B31:D31"/>
    <mergeCell ref="B43:D43"/>
  </mergeCells>
  <conditionalFormatting sqref="C4:C5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"WARN"</formula>
    </cfRule>
    <cfRule type="cellIs" priority="4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5" min="5" style="0" width="44"/>
    <col collapsed="false" customWidth="true" hidden="false" outlineLevel="0" max="7" min="7" style="0" width="40"/>
    <col collapsed="false" customWidth="true" hidden="false" outlineLevel="0" max="9" min="9" style="0" width="10"/>
    <col collapsed="false" customWidth="true" hidden="false" outlineLevel="0" max="11" min="11" style="0" width="14"/>
    <col collapsed="false" customWidth="true" hidden="false" outlineLevel="0" max="13" min="13" style="0" width="22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9" t="s">
        <v>302</v>
      </c>
      <c r="B1" s="9" t="s">
        <v>57</v>
      </c>
      <c r="C1" s="9" t="s">
        <v>3339</v>
      </c>
      <c r="E1" s="9" t="s">
        <v>3340</v>
      </c>
      <c r="G1" s="9" t="s">
        <v>3341</v>
      </c>
      <c r="I1" s="9" t="s">
        <v>60</v>
      </c>
      <c r="K1" s="9" t="s">
        <v>3342</v>
      </c>
      <c r="M1" s="9" t="s">
        <v>3343</v>
      </c>
      <c r="O1" s="82" t="s">
        <v>3344</v>
      </c>
    </row>
    <row r="2" customFormat="false" ht="15" hidden="false" customHeight="false" outlineLevel="0" collapsed="false">
      <c r="A2" s="65" t="s">
        <v>398</v>
      </c>
      <c r="B2" s="65" t="s">
        <v>3345</v>
      </c>
      <c r="C2" s="65" t="s">
        <v>3346</v>
      </c>
      <c r="E2" s="65" t="s">
        <v>2468</v>
      </c>
      <c r="G2" s="65" t="s">
        <v>3347</v>
      </c>
      <c r="I2" s="65" t="s">
        <v>489</v>
      </c>
      <c r="K2" s="112" t="n">
        <v>45292</v>
      </c>
      <c r="M2" s="65" t="s">
        <v>371</v>
      </c>
    </row>
    <row r="3" customFormat="false" ht="15" hidden="false" customHeight="false" outlineLevel="0" collapsed="false">
      <c r="A3" s="65" t="s">
        <v>2150</v>
      </c>
      <c r="B3" s="65" t="s">
        <v>3348</v>
      </c>
      <c r="C3" s="65" t="s">
        <v>3346</v>
      </c>
      <c r="E3" s="65" t="s">
        <v>1482</v>
      </c>
      <c r="G3" s="65" t="s">
        <v>3345</v>
      </c>
      <c r="I3" s="65" t="s">
        <v>495</v>
      </c>
      <c r="K3" s="112" t="n">
        <v>45306</v>
      </c>
      <c r="M3" s="65" t="s">
        <v>295</v>
      </c>
    </row>
    <row r="4" customFormat="false" ht="15" hidden="false" customHeight="false" outlineLevel="0" collapsed="false">
      <c r="A4" s="65" t="s">
        <v>643</v>
      </c>
      <c r="B4" s="65" t="s">
        <v>3349</v>
      </c>
      <c r="C4" s="65" t="s">
        <v>3346</v>
      </c>
      <c r="E4" s="65" t="s">
        <v>2526</v>
      </c>
      <c r="G4" s="65" t="s">
        <v>3348</v>
      </c>
      <c r="I4" s="65" t="s">
        <v>380</v>
      </c>
      <c r="K4" s="112" t="n">
        <v>45341</v>
      </c>
      <c r="M4" s="65" t="s">
        <v>340</v>
      </c>
    </row>
    <row r="5" customFormat="false" ht="15" hidden="false" customHeight="false" outlineLevel="0" collapsed="false">
      <c r="A5" s="65" t="s">
        <v>1296</v>
      </c>
      <c r="B5" s="65" t="s">
        <v>3350</v>
      </c>
      <c r="C5" s="65" t="s">
        <v>3346</v>
      </c>
      <c r="E5" s="65" t="s">
        <v>822</v>
      </c>
      <c r="G5" s="65" t="s">
        <v>3349</v>
      </c>
      <c r="I5" s="65" t="s">
        <v>350</v>
      </c>
      <c r="K5" s="112" t="n">
        <v>45439</v>
      </c>
      <c r="M5" s="65" t="s">
        <v>533</v>
      </c>
    </row>
    <row r="6" customFormat="false" ht="15" hidden="false" customHeight="false" outlineLevel="0" collapsed="false">
      <c r="A6" s="65" t="s">
        <v>927</v>
      </c>
      <c r="B6" s="65" t="s">
        <v>3351</v>
      </c>
      <c r="C6" s="65" t="s">
        <v>3352</v>
      </c>
      <c r="E6" s="65" t="s">
        <v>2879</v>
      </c>
      <c r="G6" s="65" t="s">
        <v>3353</v>
      </c>
      <c r="I6" s="65" t="s">
        <v>343</v>
      </c>
      <c r="K6" s="112" t="n">
        <v>45462</v>
      </c>
      <c r="M6" s="65" t="s">
        <v>959</v>
      </c>
    </row>
    <row r="7" customFormat="false" ht="15" hidden="false" customHeight="false" outlineLevel="0" collapsed="false">
      <c r="A7" s="65" t="s">
        <v>349</v>
      </c>
      <c r="B7" s="65" t="s">
        <v>3354</v>
      </c>
      <c r="C7" s="65" t="s">
        <v>3352</v>
      </c>
      <c r="E7" s="65" t="s">
        <v>949</v>
      </c>
      <c r="G7" s="65" t="s">
        <v>3355</v>
      </c>
      <c r="I7" s="65" t="s">
        <v>1203</v>
      </c>
      <c r="K7" s="112" t="n">
        <v>45477</v>
      </c>
      <c r="M7" s="65" t="s">
        <v>347</v>
      </c>
    </row>
    <row r="8" customFormat="false" ht="15" hidden="false" customHeight="false" outlineLevel="0" collapsed="false">
      <c r="A8" s="65" t="s">
        <v>443</v>
      </c>
      <c r="B8" s="65" t="s">
        <v>58</v>
      </c>
      <c r="C8" s="65" t="s">
        <v>3356</v>
      </c>
      <c r="E8" s="65" t="s">
        <v>1914</v>
      </c>
      <c r="G8" s="65" t="s">
        <v>3357</v>
      </c>
      <c r="I8" s="65" t="s">
        <v>1306</v>
      </c>
      <c r="K8" s="112" t="n">
        <v>45537</v>
      </c>
      <c r="M8" s="65" t="s">
        <v>689</v>
      </c>
    </row>
    <row r="9" customFormat="false" ht="15" hidden="false" customHeight="false" outlineLevel="0" collapsed="false">
      <c r="A9" s="65" t="s">
        <v>469</v>
      </c>
      <c r="B9" s="65" t="s">
        <v>3358</v>
      </c>
      <c r="C9" s="65" t="s">
        <v>3356</v>
      </c>
      <c r="E9" s="65" t="s">
        <v>1284</v>
      </c>
      <c r="G9" s="65" t="s">
        <v>3359</v>
      </c>
      <c r="I9" s="65" t="s">
        <v>2077</v>
      </c>
      <c r="K9" s="112" t="n">
        <v>45579</v>
      </c>
      <c r="M9" s="65" t="s">
        <v>1467</v>
      </c>
    </row>
    <row r="10" customFormat="false" ht="15" hidden="false" customHeight="false" outlineLevel="0" collapsed="false">
      <c r="A10" s="65" t="s">
        <v>484</v>
      </c>
      <c r="B10" s="65" t="s">
        <v>3360</v>
      </c>
      <c r="C10" s="65" t="s">
        <v>3356</v>
      </c>
      <c r="E10" s="65" t="s">
        <v>2199</v>
      </c>
      <c r="G10" s="65" t="s">
        <v>3361</v>
      </c>
      <c r="I10" s="65" t="s">
        <v>452</v>
      </c>
      <c r="K10" s="112" t="n">
        <v>45607</v>
      </c>
      <c r="M10" s="65" t="s">
        <v>1348</v>
      </c>
    </row>
    <row r="11" customFormat="false" ht="15" hidden="false" customHeight="false" outlineLevel="0" collapsed="false">
      <c r="A11" s="65" t="s">
        <v>488</v>
      </c>
      <c r="B11" s="65" t="s">
        <v>3362</v>
      </c>
      <c r="C11" s="65" t="s">
        <v>3363</v>
      </c>
      <c r="E11" s="65" t="s">
        <v>1120</v>
      </c>
      <c r="G11" s="65" t="s">
        <v>3364</v>
      </c>
      <c r="I11" s="65" t="s">
        <v>373</v>
      </c>
      <c r="K11" s="112" t="n">
        <v>45624</v>
      </c>
      <c r="M11" s="65" t="s">
        <v>528</v>
      </c>
    </row>
    <row r="12" customFormat="false" ht="15" hidden="false" customHeight="false" outlineLevel="0" collapsed="false">
      <c r="A12" s="65" t="s">
        <v>1317</v>
      </c>
      <c r="B12" s="65" t="s">
        <v>3359</v>
      </c>
      <c r="C12" s="65" t="s">
        <v>3363</v>
      </c>
      <c r="E12" s="65" t="s">
        <v>983</v>
      </c>
      <c r="G12" s="65" t="s">
        <v>3365</v>
      </c>
      <c r="I12" s="65" t="s">
        <v>1421</v>
      </c>
      <c r="K12" s="112" t="n">
        <v>45651</v>
      </c>
      <c r="M12" s="65" t="s">
        <v>853</v>
      </c>
    </row>
    <row r="13" customFormat="false" ht="15" hidden="false" customHeight="false" outlineLevel="0" collapsed="false">
      <c r="A13" s="65" t="s">
        <v>1199</v>
      </c>
      <c r="B13" s="65" t="s">
        <v>3366</v>
      </c>
      <c r="C13" s="65" t="s">
        <v>3363</v>
      </c>
      <c r="E13" s="65" t="s">
        <v>351</v>
      </c>
      <c r="G13" s="65" t="s">
        <v>3367</v>
      </c>
      <c r="I13" s="65" t="s">
        <v>1349</v>
      </c>
      <c r="K13" s="112" t="n">
        <v>45658</v>
      </c>
    </row>
    <row r="14" customFormat="false" ht="15" hidden="false" customHeight="false" outlineLevel="0" collapsed="false">
      <c r="A14" s="65" t="s">
        <v>1490</v>
      </c>
      <c r="B14" s="65" t="s">
        <v>3368</v>
      </c>
      <c r="C14" s="65" t="s">
        <v>3363</v>
      </c>
      <c r="E14" s="65" t="s">
        <v>1714</v>
      </c>
      <c r="G14" s="65" t="s">
        <v>3369</v>
      </c>
      <c r="I14" s="65" t="s">
        <v>769</v>
      </c>
      <c r="K14" s="112" t="n">
        <v>45677</v>
      </c>
    </row>
    <row r="15" customFormat="false" ht="15" hidden="false" customHeight="false" outlineLevel="0" collapsed="false">
      <c r="A15" s="65" t="s">
        <v>1907</v>
      </c>
      <c r="B15" s="65" t="s">
        <v>3370</v>
      </c>
      <c r="C15" s="65" t="s">
        <v>3363</v>
      </c>
      <c r="E15" s="65" t="s">
        <v>1622</v>
      </c>
      <c r="G15" s="65" t="s">
        <v>3371</v>
      </c>
      <c r="I15" s="65" t="s">
        <v>410</v>
      </c>
      <c r="K15" s="112" t="n">
        <v>45705</v>
      </c>
    </row>
    <row r="16" customFormat="false" ht="15" hidden="false" customHeight="false" outlineLevel="0" collapsed="false">
      <c r="A16" s="65" t="s">
        <v>362</v>
      </c>
      <c r="B16" s="65" t="s">
        <v>3369</v>
      </c>
      <c r="C16" s="65" t="s">
        <v>3363</v>
      </c>
      <c r="E16" s="65" t="s">
        <v>893</v>
      </c>
      <c r="G16" s="65" t="s">
        <v>3372</v>
      </c>
      <c r="I16" s="65" t="s">
        <v>649</v>
      </c>
      <c r="K16" s="112" t="n">
        <v>45803</v>
      </c>
    </row>
    <row r="17" customFormat="false" ht="15" hidden="false" customHeight="false" outlineLevel="0" collapsed="false">
      <c r="A17" s="65" t="s">
        <v>1824</v>
      </c>
      <c r="B17" s="65" t="s">
        <v>3373</v>
      </c>
      <c r="C17" s="65" t="s">
        <v>3363</v>
      </c>
      <c r="E17" s="65" t="s">
        <v>1076</v>
      </c>
      <c r="G17" s="65" t="s">
        <v>3374</v>
      </c>
      <c r="I17" s="65" t="s">
        <v>646</v>
      </c>
      <c r="K17" s="112" t="n">
        <v>45827</v>
      </c>
    </row>
    <row r="18" customFormat="false" ht="15" hidden="false" customHeight="false" outlineLevel="0" collapsed="false">
      <c r="A18" s="65" t="s">
        <v>577</v>
      </c>
      <c r="B18" s="65" t="s">
        <v>3375</v>
      </c>
      <c r="C18" s="65" t="s">
        <v>3363</v>
      </c>
      <c r="E18" s="65" t="s">
        <v>1607</v>
      </c>
      <c r="G18" s="65" t="s">
        <v>3376</v>
      </c>
      <c r="I18" s="65" t="s">
        <v>1254</v>
      </c>
      <c r="K18" s="112" t="n">
        <v>45842</v>
      </c>
    </row>
    <row r="19" customFormat="false" ht="15" hidden="false" customHeight="false" outlineLevel="0" collapsed="false">
      <c r="A19" s="65" t="s">
        <v>603</v>
      </c>
      <c r="B19" s="65" t="s">
        <v>3377</v>
      </c>
      <c r="C19" s="65" t="s">
        <v>3363</v>
      </c>
      <c r="E19" s="65" t="s">
        <v>1564</v>
      </c>
      <c r="G19" s="65" t="s">
        <v>3378</v>
      </c>
      <c r="I19" s="65" t="s">
        <v>470</v>
      </c>
      <c r="K19" s="112" t="n">
        <v>45901</v>
      </c>
    </row>
    <row r="20" customFormat="false" ht="15" hidden="false" customHeight="false" outlineLevel="0" collapsed="false">
      <c r="A20" s="65" t="s">
        <v>657</v>
      </c>
      <c r="B20" s="65" t="s">
        <v>3379</v>
      </c>
      <c r="C20" s="65" t="s">
        <v>3363</v>
      </c>
      <c r="E20" s="65" t="s">
        <v>697</v>
      </c>
      <c r="G20" s="65" t="s">
        <v>3380</v>
      </c>
      <c r="I20" s="65" t="s">
        <v>464</v>
      </c>
      <c r="K20" s="112" t="n">
        <v>45943</v>
      </c>
    </row>
    <row r="21" customFormat="false" ht="15" hidden="false" customHeight="false" outlineLevel="0" collapsed="false">
      <c r="A21" s="65" t="s">
        <v>970</v>
      </c>
      <c r="B21" s="65" t="s">
        <v>3381</v>
      </c>
      <c r="C21" s="65" t="s">
        <v>3363</v>
      </c>
      <c r="E21" s="65" t="s">
        <v>1376</v>
      </c>
      <c r="G21" s="65" t="s">
        <v>3382</v>
      </c>
      <c r="I21" s="65" t="s">
        <v>671</v>
      </c>
      <c r="K21" s="112" t="n">
        <v>45972</v>
      </c>
    </row>
    <row r="22" customFormat="false" ht="15" hidden="false" customHeight="false" outlineLevel="0" collapsed="false">
      <c r="A22" s="65" t="s">
        <v>778</v>
      </c>
      <c r="B22" s="65" t="s">
        <v>3378</v>
      </c>
      <c r="C22" s="65" t="s">
        <v>3363</v>
      </c>
      <c r="E22" s="65" t="s">
        <v>2189</v>
      </c>
      <c r="G22" s="65" t="s">
        <v>3379</v>
      </c>
      <c r="I22" s="65" t="s">
        <v>521</v>
      </c>
      <c r="K22" s="112" t="n">
        <v>45988</v>
      </c>
    </row>
    <row r="23" customFormat="false" ht="15" hidden="false" customHeight="false" outlineLevel="0" collapsed="false">
      <c r="A23" s="65" t="s">
        <v>564</v>
      </c>
      <c r="B23" s="65" t="s">
        <v>3383</v>
      </c>
      <c r="C23" s="65" t="s">
        <v>3363</v>
      </c>
      <c r="E23" s="65" t="s">
        <v>2661</v>
      </c>
      <c r="G23" s="65" t="s">
        <v>3362</v>
      </c>
      <c r="I23" s="65" t="s">
        <v>432</v>
      </c>
      <c r="K23" s="112" t="n">
        <v>46016</v>
      </c>
    </row>
    <row r="24" customFormat="false" ht="15" hidden="false" customHeight="false" outlineLevel="0" collapsed="false">
      <c r="A24" s="65" t="s">
        <v>1447</v>
      </c>
      <c r="B24" s="65" t="s">
        <v>3384</v>
      </c>
      <c r="C24" s="65" t="s">
        <v>3363</v>
      </c>
      <c r="E24" s="65" t="s">
        <v>550</v>
      </c>
      <c r="G24" s="65" t="s">
        <v>3385</v>
      </c>
      <c r="I24" s="65" t="s">
        <v>438</v>
      </c>
      <c r="K24" s="112" t="n">
        <v>46023</v>
      </c>
    </row>
    <row r="25" customFormat="false" ht="15" hidden="false" customHeight="false" outlineLevel="0" collapsed="false">
      <c r="A25" s="65" t="s">
        <v>1415</v>
      </c>
      <c r="B25" s="65" t="s">
        <v>3386</v>
      </c>
      <c r="C25" s="65" t="s">
        <v>3363</v>
      </c>
      <c r="E25" s="65" t="s">
        <v>1999</v>
      </c>
      <c r="G25" s="65" t="s">
        <v>3350</v>
      </c>
      <c r="I25" s="65" t="s">
        <v>732</v>
      </c>
      <c r="K25" s="112" t="n">
        <v>46041</v>
      </c>
    </row>
    <row r="26" customFormat="false" ht="15" hidden="false" customHeight="false" outlineLevel="0" collapsed="false">
      <c r="A26" s="65" t="s">
        <v>816</v>
      </c>
      <c r="B26" s="65" t="s">
        <v>3387</v>
      </c>
      <c r="C26" s="65" t="s">
        <v>3388</v>
      </c>
      <c r="E26" s="65" t="s">
        <v>2812</v>
      </c>
      <c r="G26" s="65" t="s">
        <v>3368</v>
      </c>
      <c r="I26" s="65" t="s">
        <v>546</v>
      </c>
      <c r="K26" s="112" t="n">
        <v>46069</v>
      </c>
    </row>
    <row r="27" customFormat="false" ht="15" hidden="false" customHeight="false" outlineLevel="0" collapsed="false">
      <c r="A27" s="65" t="s">
        <v>356</v>
      </c>
      <c r="B27" s="65" t="s">
        <v>3389</v>
      </c>
      <c r="C27" s="65" t="s">
        <v>3388</v>
      </c>
      <c r="E27" s="65" t="s">
        <v>2428</v>
      </c>
      <c r="G27" s="65" t="s">
        <v>3390</v>
      </c>
      <c r="I27" s="65" t="s">
        <v>573</v>
      </c>
      <c r="K27" s="112" t="n">
        <v>46167</v>
      </c>
    </row>
    <row r="28" customFormat="false" ht="15" hidden="false" customHeight="false" outlineLevel="0" collapsed="false">
      <c r="A28" s="65" t="s">
        <v>2055</v>
      </c>
      <c r="B28" s="65" t="s">
        <v>3391</v>
      </c>
      <c r="C28" s="65" t="s">
        <v>3388</v>
      </c>
      <c r="E28" s="65" t="s">
        <v>514</v>
      </c>
      <c r="G28" s="65" t="s">
        <v>58</v>
      </c>
      <c r="I28" s="65" t="s">
        <v>399</v>
      </c>
      <c r="K28" s="112" t="n">
        <v>46192</v>
      </c>
    </row>
    <row r="29" customFormat="false" ht="15" hidden="false" customHeight="false" outlineLevel="0" collapsed="false">
      <c r="A29" s="65" t="s">
        <v>1072</v>
      </c>
      <c r="B29" s="65" t="s">
        <v>3353</v>
      </c>
      <c r="C29" s="65" t="s">
        <v>3388</v>
      </c>
      <c r="E29" s="65" t="s">
        <v>1085</v>
      </c>
      <c r="G29" s="65" t="s">
        <v>3392</v>
      </c>
      <c r="I29" s="65" t="s">
        <v>2125</v>
      </c>
      <c r="K29" s="112" t="n">
        <v>46272</v>
      </c>
    </row>
    <row r="30" customFormat="false" ht="15" hidden="false" customHeight="false" outlineLevel="0" collapsed="false">
      <c r="A30" s="65" t="s">
        <v>915</v>
      </c>
      <c r="B30" s="65" t="s">
        <v>3393</v>
      </c>
      <c r="C30" s="65" t="s">
        <v>3388</v>
      </c>
      <c r="E30" s="65" t="s">
        <v>1832</v>
      </c>
      <c r="G30" s="65" t="s">
        <v>3394</v>
      </c>
      <c r="I30" s="65" t="s">
        <v>1155</v>
      </c>
      <c r="K30" s="112" t="n">
        <v>46307</v>
      </c>
    </row>
    <row r="31" customFormat="false" ht="15" hidden="false" customHeight="false" outlineLevel="0" collapsed="false">
      <c r="A31" s="65" t="s">
        <v>885</v>
      </c>
      <c r="B31" s="65" t="s">
        <v>3371</v>
      </c>
      <c r="C31" s="65" t="s">
        <v>3388</v>
      </c>
      <c r="E31" s="65" t="s">
        <v>2784</v>
      </c>
      <c r="G31" s="65" t="s">
        <v>3358</v>
      </c>
      <c r="I31" s="65" t="s">
        <v>682</v>
      </c>
      <c r="K31" s="112" t="n">
        <v>46337</v>
      </c>
    </row>
    <row r="32" customFormat="false" ht="15" hidden="false" customHeight="false" outlineLevel="0" collapsed="false">
      <c r="A32" s="65" t="s">
        <v>1093</v>
      </c>
      <c r="B32" s="65" t="s">
        <v>3376</v>
      </c>
      <c r="C32" s="65" t="s">
        <v>3388</v>
      </c>
      <c r="E32" s="65" t="s">
        <v>694</v>
      </c>
      <c r="G32" s="65" t="s">
        <v>3395</v>
      </c>
      <c r="I32" s="65" t="s">
        <v>762</v>
      </c>
      <c r="K32" s="112" t="n">
        <v>46352</v>
      </c>
    </row>
    <row r="33" customFormat="false" ht="15" hidden="false" customHeight="false" outlineLevel="0" collapsed="false">
      <c r="A33" s="65" t="s">
        <v>415</v>
      </c>
      <c r="B33" s="65" t="s">
        <v>3396</v>
      </c>
      <c r="C33" s="65" t="s">
        <v>3397</v>
      </c>
      <c r="E33" s="65" t="s">
        <v>2871</v>
      </c>
      <c r="G33" s="65" t="s">
        <v>3381</v>
      </c>
      <c r="I33" s="65" t="s">
        <v>1586</v>
      </c>
      <c r="K33" s="112" t="n">
        <v>46381</v>
      </c>
    </row>
    <row r="34" customFormat="false" ht="15" hidden="false" customHeight="false" outlineLevel="0" collapsed="false">
      <c r="A34" s="65" t="s">
        <v>703</v>
      </c>
      <c r="B34" s="65" t="s">
        <v>3398</v>
      </c>
      <c r="C34" s="65" t="s">
        <v>3397</v>
      </c>
      <c r="E34" s="65" t="s">
        <v>889</v>
      </c>
      <c r="G34" s="65" t="s">
        <v>3384</v>
      </c>
      <c r="I34" s="65" t="s">
        <v>3051</v>
      </c>
      <c r="K34" s="112" t="n">
        <v>46388</v>
      </c>
    </row>
    <row r="35" customFormat="false" ht="15" hidden="false" customHeight="false" outlineLevel="0" collapsed="false">
      <c r="A35" s="65" t="s">
        <v>1330</v>
      </c>
      <c r="B35" s="65" t="s">
        <v>3365</v>
      </c>
      <c r="C35" s="65" t="s">
        <v>3399</v>
      </c>
      <c r="E35" s="65" t="s">
        <v>2594</v>
      </c>
      <c r="G35" s="65" t="s">
        <v>3400</v>
      </c>
      <c r="I35" s="65" t="s">
        <v>772</v>
      </c>
      <c r="K35" s="112" t="n">
        <v>46405</v>
      </c>
    </row>
    <row r="36" customFormat="false" ht="15" hidden="false" customHeight="false" outlineLevel="0" collapsed="false">
      <c r="A36" s="65" t="s">
        <v>569</v>
      </c>
      <c r="B36" s="65" t="s">
        <v>3392</v>
      </c>
      <c r="C36" s="65" t="s">
        <v>3399</v>
      </c>
      <c r="E36" s="65" t="s">
        <v>2695</v>
      </c>
      <c r="G36" s="65" t="s">
        <v>3401</v>
      </c>
      <c r="I36" s="65" t="s">
        <v>638</v>
      </c>
      <c r="K36" s="112" t="n">
        <v>46433</v>
      </c>
    </row>
    <row r="37" customFormat="false" ht="15" hidden="false" customHeight="false" outlineLevel="0" collapsed="false">
      <c r="A37" s="65" t="s">
        <v>379</v>
      </c>
      <c r="B37" s="65" t="s">
        <v>3385</v>
      </c>
      <c r="C37" s="65" t="s">
        <v>3399</v>
      </c>
      <c r="E37" s="65" t="s">
        <v>2809</v>
      </c>
      <c r="G37" s="65" t="s">
        <v>3402</v>
      </c>
      <c r="I37" s="65" t="s">
        <v>506</v>
      </c>
      <c r="K37" s="112" t="n">
        <v>46538</v>
      </c>
    </row>
    <row r="38" customFormat="false" ht="15" hidden="false" customHeight="false" outlineLevel="0" collapsed="false">
      <c r="A38" s="65" t="s">
        <v>668</v>
      </c>
      <c r="B38" s="65" t="s">
        <v>3361</v>
      </c>
      <c r="C38" s="65" t="s">
        <v>3399</v>
      </c>
      <c r="E38" s="65" t="s">
        <v>624</v>
      </c>
      <c r="G38" s="65" t="s">
        <v>3403</v>
      </c>
      <c r="I38" s="65" t="s">
        <v>717</v>
      </c>
      <c r="K38" s="112" t="n">
        <v>46573</v>
      </c>
    </row>
    <row r="39" customFormat="false" ht="15" hidden="false" customHeight="false" outlineLevel="0" collapsed="false">
      <c r="A39" s="65" t="s">
        <v>431</v>
      </c>
      <c r="B39" s="65" t="s">
        <v>3357</v>
      </c>
      <c r="C39" s="65" t="s">
        <v>3399</v>
      </c>
      <c r="E39" s="65" t="s">
        <v>2088</v>
      </c>
      <c r="G39" s="65" t="s">
        <v>3387</v>
      </c>
      <c r="I39" s="65" t="s">
        <v>386</v>
      </c>
      <c r="K39" s="112" t="n">
        <v>46636</v>
      </c>
    </row>
    <row r="40" customFormat="false" ht="15" hidden="false" customHeight="false" outlineLevel="0" collapsed="false">
      <c r="A40" s="65" t="s">
        <v>2060</v>
      </c>
      <c r="B40" s="65" t="s">
        <v>3390</v>
      </c>
      <c r="C40" s="65" t="s">
        <v>3399</v>
      </c>
      <c r="E40" s="65" t="s">
        <v>939</v>
      </c>
      <c r="G40" s="65" t="s">
        <v>3366</v>
      </c>
      <c r="I40" s="65" t="s">
        <v>905</v>
      </c>
      <c r="K40" s="112" t="n">
        <v>46671</v>
      </c>
    </row>
    <row r="41" customFormat="false" ht="15" hidden="false" customHeight="false" outlineLevel="0" collapsed="false">
      <c r="A41" s="65" t="s">
        <v>342</v>
      </c>
      <c r="B41" s="65" t="s">
        <v>3372</v>
      </c>
      <c r="C41" s="65" t="s">
        <v>3399</v>
      </c>
      <c r="E41" s="65" t="s">
        <v>1556</v>
      </c>
      <c r="G41" s="65" t="s">
        <v>3404</v>
      </c>
      <c r="I41" s="65" t="s">
        <v>393</v>
      </c>
      <c r="K41" s="112" t="n">
        <v>46702</v>
      </c>
    </row>
    <row r="42" customFormat="false" ht="15" hidden="false" customHeight="false" outlineLevel="0" collapsed="false">
      <c r="A42" s="65" t="s">
        <v>619</v>
      </c>
      <c r="B42" s="65" t="s">
        <v>3405</v>
      </c>
      <c r="C42" s="65" t="s">
        <v>3399</v>
      </c>
      <c r="E42" s="65" t="s">
        <v>1880</v>
      </c>
      <c r="G42" s="65" t="s">
        <v>3386</v>
      </c>
      <c r="I42" s="65" t="s">
        <v>854</v>
      </c>
      <c r="K42" s="112" t="n">
        <v>46716</v>
      </c>
    </row>
    <row r="43" customFormat="false" ht="15" hidden="false" customHeight="false" outlineLevel="0" collapsed="false">
      <c r="A43" s="65" t="s">
        <v>2302</v>
      </c>
      <c r="B43" s="65" t="s">
        <v>3406</v>
      </c>
      <c r="C43" s="65" t="s">
        <v>3407</v>
      </c>
      <c r="E43" s="65" t="s">
        <v>773</v>
      </c>
      <c r="G43" s="65" t="s">
        <v>3408</v>
      </c>
      <c r="I43" s="65" t="s">
        <v>1977</v>
      </c>
    </row>
    <row r="44" customFormat="false" ht="15" hidden="false" customHeight="false" outlineLevel="0" collapsed="false">
      <c r="A44" s="65" t="s">
        <v>1357</v>
      </c>
      <c r="B44" s="65" t="s">
        <v>3401</v>
      </c>
      <c r="C44" s="65" t="s">
        <v>3407</v>
      </c>
      <c r="E44" s="65" t="s">
        <v>3026</v>
      </c>
      <c r="G44" s="65" t="s">
        <v>3405</v>
      </c>
      <c r="I44" s="65" t="s">
        <v>510</v>
      </c>
    </row>
    <row r="45" customFormat="false" ht="15" hidden="false" customHeight="false" outlineLevel="0" collapsed="false">
      <c r="A45" s="65" t="s">
        <v>597</v>
      </c>
      <c r="B45" s="65" t="s">
        <v>3400</v>
      </c>
      <c r="C45" s="65" t="s">
        <v>3407</v>
      </c>
      <c r="E45" s="65" t="s">
        <v>381</v>
      </c>
      <c r="G45" s="65" t="s">
        <v>3409</v>
      </c>
      <c r="I45" s="65" t="s">
        <v>61</v>
      </c>
    </row>
    <row r="46" customFormat="false" ht="15" hidden="false" customHeight="false" outlineLevel="0" collapsed="false">
      <c r="A46" s="65" t="s">
        <v>392</v>
      </c>
      <c r="B46" s="65" t="s">
        <v>3410</v>
      </c>
      <c r="C46" s="65" t="s">
        <v>3407</v>
      </c>
      <c r="E46" s="65" t="s">
        <v>738</v>
      </c>
      <c r="G46" s="65" t="s">
        <v>3411</v>
      </c>
      <c r="I46" s="65" t="s">
        <v>658</v>
      </c>
    </row>
    <row r="47" customFormat="false" ht="15" hidden="false" customHeight="false" outlineLevel="0" collapsed="false">
      <c r="A47" s="65" t="s">
        <v>629</v>
      </c>
      <c r="B47" s="65" t="s">
        <v>3395</v>
      </c>
      <c r="C47" s="65" t="s">
        <v>3412</v>
      </c>
      <c r="E47" s="65" t="s">
        <v>827</v>
      </c>
      <c r="G47" s="65" t="s">
        <v>3413</v>
      </c>
      <c r="I47" s="65" t="s">
        <v>555</v>
      </c>
    </row>
    <row r="48" customFormat="false" ht="15" hidden="false" customHeight="false" outlineLevel="0" collapsed="false">
      <c r="A48" s="65" t="s">
        <v>425</v>
      </c>
      <c r="B48" s="65" t="s">
        <v>3414</v>
      </c>
      <c r="C48" s="65" t="s">
        <v>3412</v>
      </c>
      <c r="E48" s="65" t="s">
        <v>2498</v>
      </c>
      <c r="G48" s="65" t="s">
        <v>3354</v>
      </c>
      <c r="I48" s="65" t="s">
        <v>1426</v>
      </c>
    </row>
    <row r="49" customFormat="false" ht="15" hidden="false" customHeight="false" outlineLevel="0" collapsed="false">
      <c r="A49" s="65" t="s">
        <v>419</v>
      </c>
      <c r="B49" s="65" t="s">
        <v>3367</v>
      </c>
      <c r="C49" s="65" t="s">
        <v>3412</v>
      </c>
      <c r="E49" s="65" t="s">
        <v>659</v>
      </c>
      <c r="G49" s="65" t="s">
        <v>3351</v>
      </c>
      <c r="I49" s="65" t="s">
        <v>420</v>
      </c>
    </row>
    <row r="50" customFormat="false" ht="15" hidden="false" customHeight="false" outlineLevel="0" collapsed="false">
      <c r="A50" s="65" t="s">
        <v>475</v>
      </c>
      <c r="B50" s="65" t="s">
        <v>3364</v>
      </c>
      <c r="C50" s="65" t="s">
        <v>3412</v>
      </c>
      <c r="E50" s="65" t="s">
        <v>363</v>
      </c>
      <c r="G50" s="65" t="s">
        <v>3414</v>
      </c>
      <c r="I50" s="65" t="s">
        <v>704</v>
      </c>
    </row>
    <row r="51" customFormat="false" ht="15" hidden="false" customHeight="false" outlineLevel="0" collapsed="false">
      <c r="A51" s="65" t="s">
        <v>1595</v>
      </c>
      <c r="B51" s="65" t="s">
        <v>3408</v>
      </c>
      <c r="C51" s="65" t="s">
        <v>3412</v>
      </c>
      <c r="E51" s="65" t="s">
        <v>565</v>
      </c>
      <c r="G51" s="65" t="s">
        <v>3377</v>
      </c>
      <c r="I51" s="65" t="s">
        <v>799</v>
      </c>
    </row>
    <row r="52" customFormat="false" ht="15" hidden="false" customHeight="false" outlineLevel="0" collapsed="false">
      <c r="A52" s="65" t="s">
        <v>2250</v>
      </c>
      <c r="B52" s="65" t="s">
        <v>3409</v>
      </c>
      <c r="C52" s="65" t="s">
        <v>3412</v>
      </c>
      <c r="E52" s="65" t="s">
        <v>1173</v>
      </c>
      <c r="G52" s="65" t="s">
        <v>3370</v>
      </c>
    </row>
    <row r="53" customFormat="false" ht="15" hidden="false" customHeight="false" outlineLevel="0" collapsed="false">
      <c r="A53" s="65" t="s">
        <v>679</v>
      </c>
      <c r="B53" s="65" t="s">
        <v>3355</v>
      </c>
      <c r="C53" s="65" t="s">
        <v>3412</v>
      </c>
      <c r="E53" s="65" t="s">
        <v>2741</v>
      </c>
      <c r="G53" s="65" t="s">
        <v>3410</v>
      </c>
    </row>
    <row r="54" customFormat="false" ht="15" hidden="false" customHeight="false" outlineLevel="0" collapsed="false">
      <c r="A54" s="65" t="s">
        <v>405</v>
      </c>
      <c r="B54" s="65" t="s">
        <v>3394</v>
      </c>
      <c r="C54" s="65" t="s">
        <v>3412</v>
      </c>
      <c r="E54" s="65" t="s">
        <v>2876</v>
      </c>
      <c r="G54" s="65" t="s">
        <v>3373</v>
      </c>
    </row>
    <row r="55" customFormat="false" ht="15" hidden="false" customHeight="false" outlineLevel="0" collapsed="false">
      <c r="A55" s="65" t="s">
        <v>1590</v>
      </c>
      <c r="B55" s="65" t="s">
        <v>3403</v>
      </c>
      <c r="C55" s="65" t="s">
        <v>3412</v>
      </c>
      <c r="E55" s="65" t="s">
        <v>3019</v>
      </c>
      <c r="G55" s="65" t="s">
        <v>3406</v>
      </c>
    </row>
    <row r="56" customFormat="false" ht="15" hidden="false" customHeight="false" outlineLevel="0" collapsed="false">
      <c r="A56" s="65" t="s">
        <v>1478</v>
      </c>
      <c r="B56" s="65" t="s">
        <v>3374</v>
      </c>
      <c r="C56" s="65" t="s">
        <v>3412</v>
      </c>
      <c r="E56" s="65" t="s">
        <v>421</v>
      </c>
      <c r="G56" s="65" t="s">
        <v>3415</v>
      </c>
    </row>
    <row r="57" customFormat="false" ht="15" hidden="false" customHeight="false" outlineLevel="0" collapsed="false">
      <c r="A57" s="65" t="s">
        <v>437</v>
      </c>
      <c r="B57" s="65" t="s">
        <v>3416</v>
      </c>
      <c r="C57" s="65" t="s">
        <v>3412</v>
      </c>
      <c r="E57" s="65" t="s">
        <v>897</v>
      </c>
      <c r="G57" s="65" t="s">
        <v>3416</v>
      </c>
    </row>
    <row r="58" customFormat="false" ht="15" hidden="false" customHeight="false" outlineLevel="0" collapsed="false">
      <c r="A58" s="65" t="s">
        <v>385</v>
      </c>
      <c r="B58" s="65" t="s">
        <v>3411</v>
      </c>
      <c r="C58" s="65" t="s">
        <v>3412</v>
      </c>
      <c r="E58" s="65" t="s">
        <v>529</v>
      </c>
      <c r="G58" s="65" t="s">
        <v>3360</v>
      </c>
    </row>
    <row r="59" customFormat="false" ht="15" hidden="false" customHeight="false" outlineLevel="0" collapsed="false">
      <c r="A59" s="65" t="s">
        <v>1433</v>
      </c>
      <c r="B59" s="65" t="s">
        <v>3404</v>
      </c>
      <c r="C59" s="65" t="s">
        <v>3412</v>
      </c>
      <c r="E59" s="65" t="s">
        <v>1529</v>
      </c>
      <c r="G59" s="65" t="s">
        <v>3375</v>
      </c>
    </row>
    <row r="60" customFormat="false" ht="15" hidden="false" customHeight="false" outlineLevel="0" collapsed="false">
      <c r="A60" s="65" t="s">
        <v>367</v>
      </c>
      <c r="B60" s="65" t="s">
        <v>3380</v>
      </c>
      <c r="C60" s="65" t="s">
        <v>3412</v>
      </c>
      <c r="E60" s="65" t="s">
        <v>675</v>
      </c>
      <c r="G60" s="65" t="s">
        <v>3383</v>
      </c>
    </row>
    <row r="61" customFormat="false" ht="15" hidden="false" customHeight="false" outlineLevel="0" collapsed="false">
      <c r="A61" s="65" t="s">
        <v>2367</v>
      </c>
      <c r="B61" s="65" t="s">
        <v>3415</v>
      </c>
      <c r="C61" s="65" t="s">
        <v>3412</v>
      </c>
      <c r="E61" s="65" t="s">
        <v>1386</v>
      </c>
      <c r="G61" s="65" t="s">
        <v>3393</v>
      </c>
    </row>
    <row r="62" customFormat="false" ht="15" hidden="false" customHeight="false" outlineLevel="0" collapsed="false">
      <c r="A62" s="65" t="s">
        <v>1747</v>
      </c>
      <c r="B62" s="65" t="s">
        <v>3402</v>
      </c>
      <c r="C62" s="65" t="s">
        <v>3417</v>
      </c>
      <c r="E62" s="65" t="s">
        <v>501</v>
      </c>
      <c r="G62" s="65" t="s">
        <v>3389</v>
      </c>
    </row>
    <row r="63" customFormat="false" ht="15" hidden="false" customHeight="false" outlineLevel="0" collapsed="false">
      <c r="A63" s="65" t="s">
        <v>1506</v>
      </c>
      <c r="B63" s="65" t="s">
        <v>3382</v>
      </c>
      <c r="C63" s="65" t="s">
        <v>3417</v>
      </c>
      <c r="E63" s="65" t="s">
        <v>1257</v>
      </c>
      <c r="G63" s="65" t="s">
        <v>3391</v>
      </c>
    </row>
    <row r="64" customFormat="false" ht="15" hidden="false" customHeight="false" outlineLevel="0" collapsed="false">
      <c r="A64" s="65" t="s">
        <v>1325</v>
      </c>
      <c r="B64" s="65" t="s">
        <v>3347</v>
      </c>
      <c r="C64" s="65" t="s">
        <v>3417</v>
      </c>
      <c r="E64" s="65" t="s">
        <v>961</v>
      </c>
      <c r="G64" s="65" t="s">
        <v>3396</v>
      </c>
    </row>
    <row r="65" customFormat="false" ht="15" hidden="false" customHeight="false" outlineLevel="0" collapsed="false">
      <c r="A65" s="65" t="s">
        <v>3067</v>
      </c>
      <c r="B65" s="65" t="s">
        <v>3413</v>
      </c>
      <c r="C65" s="65" t="s">
        <v>3417</v>
      </c>
      <c r="E65" s="65" t="s">
        <v>1141</v>
      </c>
      <c r="G65" s="65" t="s">
        <v>3398</v>
      </c>
    </row>
    <row r="66" customFormat="false" ht="15" hidden="false" customHeight="false" outlineLevel="0" collapsed="false">
      <c r="E66" s="65" t="s">
        <v>344</v>
      </c>
      <c r="G66" s="65" t="s">
        <v>3418</v>
      </c>
    </row>
    <row r="67" customFormat="false" ht="15" hidden="false" customHeight="false" outlineLevel="0" collapsed="false">
      <c r="E67" s="65" t="s">
        <v>713</v>
      </c>
      <c r="G67" s="65" t="s">
        <v>3419</v>
      </c>
    </row>
    <row r="68" customFormat="false" ht="15" hidden="false" customHeight="false" outlineLevel="0" collapsed="false">
      <c r="E68" s="65" t="s">
        <v>3094</v>
      </c>
    </row>
    <row r="69" customFormat="false" ht="15" hidden="false" customHeight="false" outlineLevel="0" collapsed="false">
      <c r="E69" s="65" t="s">
        <v>936</v>
      </c>
    </row>
    <row r="70" customFormat="false" ht="15" hidden="false" customHeight="false" outlineLevel="0" collapsed="false">
      <c r="E70" s="65" t="s">
        <v>406</v>
      </c>
    </row>
    <row r="71" customFormat="false" ht="15" hidden="false" customHeight="false" outlineLevel="0" collapsed="false">
      <c r="E71" s="65" t="s">
        <v>2635</v>
      </c>
    </row>
    <row r="72" customFormat="false" ht="15" hidden="false" customHeight="false" outlineLevel="0" collapsed="false">
      <c r="E72" s="65" t="s">
        <v>368</v>
      </c>
    </row>
    <row r="73" customFormat="false" ht="15" hidden="false" customHeight="false" outlineLevel="0" collapsed="false">
      <c r="E73" s="65" t="s">
        <v>718</v>
      </c>
    </row>
    <row r="74" customFormat="false" ht="15" hidden="false" customHeight="false" outlineLevel="0" collapsed="false">
      <c r="E74" s="65" t="s">
        <v>3042</v>
      </c>
    </row>
    <row r="75" customFormat="false" ht="15" hidden="false" customHeight="false" outlineLevel="0" collapsed="false">
      <c r="E75" s="65" t="s">
        <v>400</v>
      </c>
    </row>
    <row r="76" customFormat="false" ht="15" hidden="false" customHeight="false" outlineLevel="0" collapsed="false">
      <c r="E76" s="65" t="s">
        <v>556</v>
      </c>
    </row>
    <row r="77" customFormat="false" ht="15" hidden="false" customHeight="false" outlineLevel="0" collapsed="false">
      <c r="E77" s="65" t="s">
        <v>1521</v>
      </c>
    </row>
    <row r="78" customFormat="false" ht="15" hidden="false" customHeight="false" outlineLevel="0" collapsed="false">
      <c r="E78" s="65" t="s">
        <v>1464</v>
      </c>
    </row>
    <row r="79" customFormat="false" ht="15" hidden="false" customHeight="false" outlineLevel="0" collapsed="false">
      <c r="E79" s="65" t="s">
        <v>2432</v>
      </c>
    </row>
    <row r="80" customFormat="false" ht="15" hidden="false" customHeight="false" outlineLevel="0" collapsed="false">
      <c r="E80" s="65" t="s">
        <v>2586</v>
      </c>
    </row>
    <row r="81" customFormat="false" ht="15" hidden="false" customHeight="false" outlineLevel="0" collapsed="false">
      <c r="E81" s="65" t="s">
        <v>1720</v>
      </c>
    </row>
    <row r="82" customFormat="false" ht="15" hidden="false" customHeight="false" outlineLevel="0" collapsed="false">
      <c r="E82" s="65" t="s">
        <v>1461</v>
      </c>
    </row>
    <row r="83" customFormat="false" ht="15" hidden="false" customHeight="false" outlineLevel="0" collapsed="false">
      <c r="E83" s="65" t="s">
        <v>2377</v>
      </c>
    </row>
    <row r="84" customFormat="false" ht="15" hidden="false" customHeight="false" outlineLevel="0" collapsed="false">
      <c r="E84" s="65" t="s">
        <v>357</v>
      </c>
    </row>
    <row r="85" customFormat="false" ht="15" hidden="false" customHeight="false" outlineLevel="0" collapsed="false">
      <c r="E85" s="65" t="s">
        <v>2009</v>
      </c>
    </row>
    <row r="86" customFormat="false" ht="15" hidden="false" customHeight="false" outlineLevel="0" collapsed="false">
      <c r="E86" s="65" t="s">
        <v>2685</v>
      </c>
    </row>
    <row r="87" customFormat="false" ht="15" hidden="false" customHeight="false" outlineLevel="0" collapsed="false">
      <c r="E87" s="65" t="s">
        <v>1591</v>
      </c>
    </row>
    <row r="88" customFormat="false" ht="15" hidden="false" customHeight="false" outlineLevel="0" collapsed="false">
      <c r="E88" s="65" t="s">
        <v>1496</v>
      </c>
    </row>
    <row r="89" customFormat="false" ht="15" hidden="false" customHeight="false" outlineLevel="0" collapsed="false">
      <c r="E89" s="65" t="s">
        <v>672</v>
      </c>
    </row>
    <row r="90" customFormat="false" ht="15" hidden="false" customHeight="false" outlineLevel="0" collapsed="false">
      <c r="E90" s="65" t="s">
        <v>1895</v>
      </c>
    </row>
    <row r="91" customFormat="false" ht="15" hidden="false" customHeight="false" outlineLevel="0" collapsed="false">
      <c r="E91" s="65" t="s">
        <v>2285</v>
      </c>
    </row>
    <row r="92" customFormat="false" ht="15" hidden="false" customHeight="false" outlineLevel="0" collapsed="false">
      <c r="E92" s="65" t="s">
        <v>444</v>
      </c>
    </row>
    <row r="93" customFormat="false" ht="15" hidden="false" customHeight="false" outlineLevel="0" collapsed="false">
      <c r="E93" s="65" t="s">
        <v>721</v>
      </c>
    </row>
    <row r="94" customFormat="false" ht="15" hidden="false" customHeight="false" outlineLevel="0" collapsed="false">
      <c r="E94" s="65" t="s">
        <v>2330</v>
      </c>
    </row>
    <row r="95" customFormat="false" ht="15" hidden="false" customHeight="false" outlineLevel="0" collapsed="false">
      <c r="E95" s="65" t="s">
        <v>2397</v>
      </c>
    </row>
    <row r="96" customFormat="false" ht="15" hidden="false" customHeight="false" outlineLevel="0" collapsed="false">
      <c r="E96" s="65" t="s">
        <v>1803</v>
      </c>
    </row>
    <row r="97" customFormat="false" ht="15" hidden="false" customHeight="false" outlineLevel="0" collapsed="false">
      <c r="E97" s="65" t="s">
        <v>534</v>
      </c>
    </row>
    <row r="98" customFormat="false" ht="15" hidden="false" customHeight="false" outlineLevel="0" collapsed="false">
      <c r="E98" s="65" t="s">
        <v>1204</v>
      </c>
    </row>
    <row r="99" customFormat="false" ht="15" hidden="false" customHeight="false" outlineLevel="0" collapsed="false">
      <c r="E99" s="65" t="s">
        <v>2380</v>
      </c>
    </row>
    <row r="100" customFormat="false" ht="15" hidden="false" customHeight="false" outlineLevel="0" collapsed="false">
      <c r="E100" s="65" t="s">
        <v>952</v>
      </c>
    </row>
    <row r="101" customFormat="false" ht="15" hidden="false" customHeight="false" outlineLevel="0" collapsed="false">
      <c r="E101" s="65" t="s">
        <v>560</v>
      </c>
    </row>
    <row r="102" customFormat="false" ht="15" hidden="false" customHeight="false" outlineLevel="0" collapsed="false">
      <c r="E102" s="65" t="s">
        <v>1379</v>
      </c>
    </row>
    <row r="103" customFormat="false" ht="15" hidden="false" customHeight="false" outlineLevel="0" collapsed="false">
      <c r="E103" s="65" t="s">
        <v>387</v>
      </c>
    </row>
    <row r="104" customFormat="false" ht="15" hidden="false" customHeight="false" outlineLevel="0" collapsed="false">
      <c r="E104" s="65" t="s">
        <v>507</v>
      </c>
    </row>
    <row r="105" customFormat="false" ht="15" hidden="false" customHeight="false" outlineLevel="0" collapsed="false">
      <c r="E105" s="65" t="s">
        <v>1820</v>
      </c>
    </row>
    <row r="106" customFormat="false" ht="15" hidden="false" customHeight="false" outlineLevel="0" collapsed="false">
      <c r="E106" s="65" t="s">
        <v>1788</v>
      </c>
    </row>
    <row r="107" customFormat="false" ht="15" hidden="false" customHeight="false" outlineLevel="0" collapsed="false">
      <c r="E107" s="65" t="s">
        <v>1358</v>
      </c>
    </row>
    <row r="108" customFormat="false" ht="15" hidden="false" customHeight="false" outlineLevel="0" collapsed="false">
      <c r="E108" s="65" t="s">
        <v>433</v>
      </c>
    </row>
    <row r="109" customFormat="false" ht="15" hidden="false" customHeight="false" outlineLevel="0" collapsed="false">
      <c r="E109" s="65" t="s">
        <v>538</v>
      </c>
    </row>
    <row r="110" customFormat="false" ht="15" hidden="false" customHeight="false" outlineLevel="0" collapsed="false">
      <c r="E110" s="65" t="s">
        <v>578</v>
      </c>
    </row>
    <row r="111" customFormat="false" ht="15" hidden="false" customHeight="false" outlineLevel="0" collapsed="false">
      <c r="E111" s="65" t="s">
        <v>2608</v>
      </c>
    </row>
    <row r="112" customFormat="false" ht="15" hidden="false" customHeight="false" outlineLevel="0" collapsed="false">
      <c r="E112" s="65" t="s">
        <v>830</v>
      </c>
    </row>
    <row r="113" customFormat="false" ht="15" hidden="false" customHeight="false" outlineLevel="0" collapsed="false">
      <c r="E113" s="65" t="s">
        <v>749</v>
      </c>
    </row>
    <row r="114" customFormat="false" ht="15" hidden="false" customHeight="false" outlineLevel="0" collapsed="false">
      <c r="E114" s="65" t="s">
        <v>426</v>
      </c>
    </row>
    <row r="115" customFormat="false" ht="15" hidden="false" customHeight="false" outlineLevel="0" collapsed="false">
      <c r="E115" s="65" t="s">
        <v>848</v>
      </c>
    </row>
    <row r="116" customFormat="false" ht="15" hidden="false" customHeight="false" outlineLevel="0" collapsed="false">
      <c r="E116" s="65" t="s">
        <v>411</v>
      </c>
    </row>
    <row r="117" customFormat="false" ht="15" hidden="false" customHeight="false" outlineLevel="0" collapsed="false">
      <c r="E117" s="65" t="s">
        <v>2180</v>
      </c>
    </row>
    <row r="118" customFormat="false" ht="15" hidden="false" customHeight="false" outlineLevel="0" collapsed="false">
      <c r="E118" s="65" t="s">
        <v>543</v>
      </c>
    </row>
    <row r="119" customFormat="false" ht="15" hidden="false" customHeight="false" outlineLevel="0" collapsed="false">
      <c r="E119" s="65" t="s">
        <v>3009</v>
      </c>
    </row>
    <row r="120" customFormat="false" ht="15" hidden="false" customHeight="false" outlineLevel="0" collapsed="false">
      <c r="E120" s="65" t="s">
        <v>374</v>
      </c>
    </row>
    <row r="121" customFormat="false" ht="15" hidden="false" customHeight="false" outlineLevel="0" collapsed="false">
      <c r="E121" s="65" t="s">
        <v>1963</v>
      </c>
    </row>
    <row r="122" customFormat="false" ht="15" hidden="false" customHeight="false" outlineLevel="0" collapsed="false">
      <c r="E122" s="65" t="s">
        <v>855</v>
      </c>
    </row>
    <row r="123" customFormat="false" ht="15" hidden="false" customHeight="false" outlineLevel="0" collapsed="false">
      <c r="E123" s="65" t="s">
        <v>933</v>
      </c>
    </row>
    <row r="124" customFormat="false" ht="15" hidden="false" customHeight="false" outlineLevel="0" collapsed="false">
      <c r="E124" s="65" t="s">
        <v>1047</v>
      </c>
    </row>
    <row r="125" customFormat="false" ht="15" hidden="false" customHeight="false" outlineLevel="0" collapsed="false">
      <c r="E125" s="65" t="s">
        <v>1856</v>
      </c>
    </row>
    <row r="126" customFormat="false" ht="15" hidden="false" customHeight="false" outlineLevel="0" collapsed="false">
      <c r="E126" s="65" t="s">
        <v>906</v>
      </c>
    </row>
    <row r="127" customFormat="false" ht="15" hidden="false" customHeight="false" outlineLevel="0" collapsed="false">
      <c r="E127" s="65" t="s">
        <v>518</v>
      </c>
    </row>
    <row r="128" customFormat="false" ht="15" hidden="false" customHeight="false" outlineLevel="0" collapsed="false">
      <c r="E128" s="65" t="s">
        <v>996</v>
      </c>
    </row>
    <row r="129" customFormat="false" ht="15" hidden="false" customHeight="false" outlineLevel="0" collapsed="false">
      <c r="E129" s="65" t="s">
        <v>1583</v>
      </c>
    </row>
    <row r="130" customFormat="false" ht="15" hidden="false" customHeight="false" outlineLevel="0" collapsed="false">
      <c r="E130" s="65" t="s">
        <v>2612</v>
      </c>
    </row>
    <row r="131" customFormat="false" ht="15" hidden="false" customHeight="false" outlineLevel="0" collapsed="false">
      <c r="E131" s="65" t="s">
        <v>456</v>
      </c>
    </row>
    <row r="132" customFormat="false" ht="15" hidden="false" customHeight="false" outlineLevel="0" collapsed="false">
      <c r="E132" s="65" t="s">
        <v>1000</v>
      </c>
    </row>
    <row r="133" customFormat="false" ht="15" hidden="false" customHeight="false" outlineLevel="0" collapsed="false">
      <c r="E133" s="65" t="s">
        <v>1390</v>
      </c>
    </row>
    <row r="134" customFormat="false" ht="15" hidden="false" customHeight="false" outlineLevel="0" collapsed="false">
      <c r="E134" s="65" t="s">
        <v>918</v>
      </c>
    </row>
    <row r="135" customFormat="false" ht="15" hidden="false" customHeight="false" outlineLevel="0" collapsed="false">
      <c r="E135" s="65" t="s">
        <v>2339</v>
      </c>
    </row>
    <row r="136" customFormat="false" ht="15" hidden="false" customHeight="false" outlineLevel="0" collapsed="false">
      <c r="E136" s="65" t="s">
        <v>1042</v>
      </c>
    </row>
    <row r="137" customFormat="false" ht="15" hidden="false" customHeight="false" outlineLevel="0" collapsed="false">
      <c r="E137" s="65" t="s">
        <v>476</v>
      </c>
    </row>
    <row r="138" customFormat="false" ht="15" hidden="false" customHeight="false" outlineLevel="0" collapsed="false">
      <c r="E138" s="65" t="s">
        <v>2319</v>
      </c>
    </row>
    <row r="139" customFormat="false" ht="15" hidden="false" customHeight="false" outlineLevel="0" collapsed="false">
      <c r="E139" s="65" t="s">
        <v>3135</v>
      </c>
    </row>
    <row r="140" customFormat="false" ht="15" hidden="false" customHeight="false" outlineLevel="0" collapsed="false">
      <c r="E140" s="65" t="s">
        <v>465</v>
      </c>
    </row>
    <row r="141" customFormat="false" ht="15" hidden="false" customHeight="false" outlineLevel="0" collapsed="false">
      <c r="E141" s="65" t="s">
        <v>1948</v>
      </c>
    </row>
    <row r="142" customFormat="false" ht="15" hidden="false" customHeight="false" outlineLevel="0" collapsed="false">
      <c r="E142" s="65" t="s">
        <v>394</v>
      </c>
    </row>
    <row r="143" customFormat="false" ht="15" hidden="false" customHeight="false" outlineLevel="0" collapsed="false">
      <c r="E143" s="65" t="s">
        <v>2326</v>
      </c>
    </row>
    <row r="144" customFormat="false" ht="15" hidden="false" customHeight="false" outlineLevel="0" collapsed="false">
      <c r="E144" s="65" t="s">
        <v>875</v>
      </c>
    </row>
    <row r="145" customFormat="false" ht="15" hidden="false" customHeight="false" outlineLevel="0" collapsed="false">
      <c r="E145" s="65" t="s">
        <v>496</v>
      </c>
    </row>
    <row r="146" customFormat="false" ht="15" hidden="false" customHeight="false" outlineLevel="0" collapsed="false">
      <c r="E146" s="65" t="s">
        <v>55</v>
      </c>
    </row>
    <row r="147" customFormat="false" ht="15" hidden="false" customHeight="false" outlineLevel="0" collapsed="false">
      <c r="E147" s="65" t="s">
        <v>2322</v>
      </c>
    </row>
    <row r="148" customFormat="false" ht="15" hidden="false" customHeight="false" outlineLevel="0" collapsed="false">
      <c r="E148" s="65" t="s">
        <v>1249</v>
      </c>
    </row>
    <row r="149" customFormat="false" ht="15" hidden="false" customHeight="false" outlineLevel="0" collapsed="false">
      <c r="E149" s="65" t="s">
        <v>2083</v>
      </c>
    </row>
    <row r="150" customFormat="false" ht="15" hidden="false" customHeight="false" outlineLevel="0" collapsed="false">
      <c r="E150" s="65" t="s">
        <v>584</v>
      </c>
    </row>
    <row r="151" customFormat="false" ht="15" hidden="false" customHeight="false" outlineLevel="0" collapsed="false">
      <c r="E151" s="65" t="s">
        <v>1162</v>
      </c>
    </row>
    <row r="152" customFormat="false" ht="15" hidden="false" customHeight="false" outlineLevel="0" collapsed="false">
      <c r="E152" s="65" t="s">
        <v>765</v>
      </c>
    </row>
    <row r="153" customFormat="false" ht="15" hidden="false" customHeight="false" outlineLevel="0" collapsed="false">
      <c r="E153" s="65" t="s">
        <v>1548</v>
      </c>
    </row>
    <row r="154" customFormat="false" ht="15" hidden="false" customHeight="false" outlineLevel="0" collapsed="false">
      <c r="E154" s="65" t="s">
        <v>581</v>
      </c>
    </row>
    <row r="155" customFormat="false" ht="15" hidden="false" customHeight="false" outlineLevel="0" collapsed="false">
      <c r="E155" s="65" t="s">
        <v>3060</v>
      </c>
    </row>
    <row r="156" customFormat="false" ht="15" hidden="false" customHeight="false" outlineLevel="0" collapsed="false">
      <c r="E156" s="65" t="s">
        <v>862</v>
      </c>
    </row>
    <row r="157" customFormat="false" ht="15" hidden="false" customHeight="false" outlineLevel="0" collapsed="false">
      <c r="E157" s="65" t="s">
        <v>2213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2026-09-02T21:04:08Z</dcterms:created>
  <dc:creator>openpyxl</dc:creator>
  <dc:description/>
  <dc:language>en-US</dc:language>
  <cp:lastModifiedBy/>
  <dcterms:modified xsi:type="dcterms:W3CDTF">2026-09-02T21:04:14Z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